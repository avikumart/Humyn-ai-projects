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00000000-0000-0000-0000-000000000000}"/>
  <workbookPr codeName="ThisWorkbook"/>
  <mc:AlternateContent xmlns:mc="http://schemas.openxmlformats.org/markup-compatibility/2006">
    <mc:Choice Requires="x15">
      <x15ac:absPath xmlns:x15ac="http://schemas.microsoft.com/office/spreadsheetml/2010/11/ac" url="Z:\GTE\GTE222_Exxaro Belfast Principle Agent\Engineering\Detailed Design_ BoQ, Drawings and Photos\Design Summary Spreadsheet with CAPEX\"/>
    </mc:Choice>
  </mc:AlternateContent>
  <bookViews>
    <workbookView xWindow="0" yWindow="0" windowWidth="13500" windowHeight="7740" firstSheet="7" activeTab="8"/>
  </bookViews>
  <sheets>
    <sheet name="Excavation" sheetId="7" state="hidden" r:id="rId1"/>
    <sheet name="Concrete Cut-off walls" sheetId="6" state="hidden" r:id="rId2"/>
    <sheet name="Concrete" sheetId="5" state="hidden" r:id="rId3"/>
    <sheet name="Backfill Costs" sheetId="4" state="hidden" r:id="rId4"/>
    <sheet name="Key" sheetId="11" state="hidden" r:id="rId5"/>
    <sheet name="Cluster 1" sheetId="12" state="hidden" r:id="rId6"/>
    <sheet name="Cl 1 _Simplification" sheetId="69" state="hidden" r:id="rId7"/>
    <sheet name="SUMMARY" sheetId="111" r:id="rId8"/>
    <sheet name="S1. Prelim and General" sheetId="108" r:id="rId9"/>
    <sheet name="S2. CLUSTER 1 BoQ" sheetId="28" r:id="rId10"/>
    <sheet name="S3. CLUSTER 2A BoQ " sheetId="86" r:id="rId11"/>
    <sheet name="Cluster 2A" sheetId="19" state="hidden" r:id="rId12"/>
    <sheet name="CLUSTER 2B" sheetId="30" state="hidden" r:id="rId13"/>
    <sheet name="S4. CLUSTER 2B BoQ" sheetId="84" r:id="rId14"/>
    <sheet name="S5. CLUSTER 3A BoQ" sheetId="87" r:id="rId15"/>
    <sheet name="CLUSTER 3A" sheetId="32" state="hidden" r:id="rId16"/>
    <sheet name="CLUSTER 3B" sheetId="34" state="hidden" r:id="rId17"/>
    <sheet name="S6. CLUSTER 3B BoQ" sheetId="91" r:id="rId18"/>
    <sheet name="CLUSTER 3B Simplification" sheetId="95" state="hidden" r:id="rId19"/>
    <sheet name="CLUSTER 3C" sheetId="36" state="hidden" r:id="rId20"/>
    <sheet name="3C Simplification" sheetId="99" state="hidden" r:id="rId21"/>
    <sheet name="CLUSTER 4A" sheetId="38" state="hidden" r:id="rId22"/>
    <sheet name="CLUSTER 4B" sheetId="40" state="hidden" r:id="rId23"/>
    <sheet name="CLUSTER 5A" sheetId="42" state="hidden" r:id="rId24"/>
    <sheet name="S7. CLUSTER 5A BoQ" sheetId="105" r:id="rId25"/>
    <sheet name="CLUSTER 6" sheetId="107" state="hidden" r:id="rId26"/>
  </sheets>
  <externalReferences>
    <externalReference r:id="rId27"/>
  </externalReferences>
  <definedNames>
    <definedName name="_xlnm.Print_Area" localSheetId="8">'S1. Prelim and General'!$B$1:$H$177</definedName>
    <definedName name="_xlnm.Print_Area" localSheetId="9">'S2. CLUSTER 1 BoQ'!$B$1:$H$217</definedName>
    <definedName name="_xlnm.Print_Area" localSheetId="10">'S3. CLUSTER 2A BoQ '!$B:$H</definedName>
    <definedName name="_xlnm.Print_Area" localSheetId="13">'S4. CLUSTER 2B BoQ'!$B:$H</definedName>
    <definedName name="_xlnm.Print_Area" localSheetId="14">'S5. CLUSTER 3A BoQ'!$B:$H</definedName>
    <definedName name="_xlnm.Print_Area" localSheetId="17">'S6. CLUSTER 3B BoQ'!$B$1:$H$246</definedName>
    <definedName name="_xlnm.Print_Area" localSheetId="24">'S7. CLUSTER 5A BoQ'!$B:$H</definedName>
    <definedName name="_xlnm.Print_Area" localSheetId="7">SUMMARY!$B$7:$H$39</definedName>
  </definedNames>
  <calcPr calcId="152511"/>
  <pivotCaches>
    <pivotCache cacheId="0" r:id="rId28"/>
    <pivotCache cacheId="1" r:id="rId29"/>
    <pivotCache cacheId="2" r:id="rId30"/>
    <pivotCache cacheId="3" r:id="rId31"/>
    <pivotCache cacheId="4" r:id="rId32"/>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23" i="111" l="1"/>
  <c r="H21" i="111"/>
  <c r="H19" i="111"/>
  <c r="H17" i="111"/>
  <c r="H15" i="111"/>
  <c r="H13" i="111"/>
  <c r="H11" i="111"/>
  <c r="H31" i="111" s="1"/>
  <c r="H33" i="111" l="1"/>
  <c r="H35" i="111" s="1"/>
  <c r="H37" i="111" l="1"/>
  <c r="H39" i="111" s="1"/>
  <c r="A29" i="108" l="1"/>
  <c r="A30" i="108"/>
  <c r="A31" i="108" s="1"/>
  <c r="A32" i="108" s="1"/>
  <c r="A33" i="108" s="1"/>
  <c r="A34" i="108" s="1"/>
  <c r="A35" i="108" s="1"/>
  <c r="A36" i="108" s="1"/>
  <c r="A37" i="108" s="1"/>
  <c r="A38" i="108" s="1"/>
  <c r="A39" i="108" s="1"/>
  <c r="A40" i="108" s="1"/>
  <c r="A41" i="108" s="1"/>
  <c r="A42" i="108" s="1"/>
  <c r="A43" i="108" s="1"/>
  <c r="A44" i="108" s="1"/>
  <c r="A45" i="108" s="1"/>
  <c r="A46" i="108" s="1"/>
  <c r="A47" i="108" s="1"/>
  <c r="A48" i="108" s="1"/>
  <c r="A49" i="108" s="1"/>
  <c r="A50" i="108" s="1"/>
  <c r="A51" i="108" s="1"/>
  <c r="A52" i="108" s="1"/>
  <c r="A53" i="108" s="1"/>
  <c r="A54" i="108" s="1"/>
  <c r="A55" i="108" s="1"/>
  <c r="A56" i="108" s="1"/>
  <c r="A57" i="108" s="1"/>
  <c r="A58" i="108" s="1"/>
  <c r="A59" i="108" s="1"/>
  <c r="A60" i="108" s="1"/>
  <c r="A61" i="108" s="1"/>
  <c r="A62" i="108" s="1"/>
  <c r="A63" i="108" s="1"/>
  <c r="A64" i="108" s="1"/>
  <c r="A65" i="108" s="1"/>
  <c r="A66" i="108" s="1"/>
  <c r="A67" i="108" s="1"/>
  <c r="A68" i="108" s="1"/>
  <c r="A69" i="108" s="1"/>
  <c r="A70" i="108" s="1"/>
  <c r="A71" i="108" s="1"/>
  <c r="A72" i="108" s="1"/>
  <c r="A73" i="108" s="1"/>
  <c r="A74" i="108" s="1"/>
  <c r="A75" i="108" s="1"/>
  <c r="A76" i="108" s="1"/>
  <c r="A77" i="108" s="1"/>
  <c r="A78" i="108" s="1"/>
  <c r="A79" i="108" s="1"/>
  <c r="A80" i="108" s="1"/>
  <c r="A81" i="108" s="1"/>
  <c r="A82" i="108" s="1"/>
  <c r="A83" i="108" s="1"/>
  <c r="A84" i="108" s="1"/>
  <c r="A85" i="108" s="1"/>
  <c r="A86" i="108" s="1"/>
  <c r="A87" i="108" s="1"/>
  <c r="A88" i="108" s="1"/>
  <c r="A89" i="108" s="1"/>
  <c r="A90" i="108" s="1"/>
  <c r="A91" i="108" s="1"/>
  <c r="A92" i="108" s="1"/>
  <c r="A93" i="108" s="1"/>
  <c r="A94" i="108" s="1"/>
  <c r="A95" i="108" s="1"/>
  <c r="A96" i="108" s="1"/>
  <c r="A97" i="108" s="1"/>
  <c r="A98" i="108" s="1"/>
  <c r="A99" i="108" s="1"/>
  <c r="A100" i="108" s="1"/>
  <c r="A101" i="108" s="1"/>
  <c r="A102" i="108" s="1"/>
  <c r="A103" i="108" s="1"/>
  <c r="A104" i="108" s="1"/>
  <c r="A105" i="108" s="1"/>
  <c r="A106" i="108" s="1"/>
  <c r="A107" i="108" s="1"/>
  <c r="A108" i="108" s="1"/>
  <c r="A109" i="108" s="1"/>
  <c r="A110" i="108" s="1"/>
  <c r="A111" i="108" s="1"/>
  <c r="A112" i="108" s="1"/>
  <c r="A113" i="108" s="1"/>
  <c r="A114" i="108" s="1"/>
  <c r="A115" i="108" s="1"/>
  <c r="A116" i="108" s="1"/>
  <c r="A117" i="108" s="1"/>
  <c r="A118" i="108" s="1"/>
  <c r="A119" i="108" s="1"/>
  <c r="A120" i="108" s="1"/>
  <c r="A121" i="108" s="1"/>
  <c r="A122" i="108" s="1"/>
  <c r="A123" i="108" s="1"/>
  <c r="A124" i="108" s="1"/>
  <c r="A125" i="108" s="1"/>
  <c r="A126" i="108" s="1"/>
  <c r="A127" i="108" s="1"/>
  <c r="A128" i="108" s="1"/>
  <c r="A129" i="108" s="1"/>
  <c r="A130" i="108" s="1"/>
  <c r="A131" i="108" s="1"/>
  <c r="A132" i="108" s="1"/>
  <c r="A133" i="108" s="1"/>
  <c r="A134" i="108" s="1"/>
  <c r="A135" i="108" s="1"/>
  <c r="A136" i="108" s="1"/>
  <c r="A137" i="108" s="1"/>
  <c r="A138" i="108" s="1"/>
  <c r="A139" i="108" s="1"/>
  <c r="A140" i="108" s="1"/>
  <c r="A141" i="108" s="1"/>
  <c r="A142" i="108" s="1"/>
  <c r="A143" i="108" s="1"/>
  <c r="A144" i="108" s="1"/>
  <c r="A145" i="108" s="1"/>
  <c r="A146" i="108" s="1"/>
  <c r="A147" i="108" s="1"/>
  <c r="A148" i="108" s="1"/>
  <c r="A149" i="108" s="1"/>
  <c r="A150" i="108" s="1"/>
  <c r="A151" i="108" s="1"/>
  <c r="A152" i="108" s="1"/>
  <c r="A153" i="108" s="1"/>
  <c r="A154" i="108" s="1"/>
  <c r="A155" i="108" s="1"/>
  <c r="A156" i="108" s="1"/>
  <c r="A157" i="108" s="1"/>
  <c r="A158" i="108" s="1"/>
  <c r="A159" i="108" s="1"/>
  <c r="A160" i="108" s="1"/>
  <c r="A161" i="108" s="1"/>
  <c r="A162" i="108" s="1"/>
  <c r="A163" i="108" s="1"/>
  <c r="A164" i="108" s="1"/>
  <c r="A165" i="108" s="1"/>
  <c r="A166" i="108" s="1"/>
  <c r="A167" i="108" s="1"/>
  <c r="A168" i="108" s="1"/>
  <c r="A169" i="108" s="1"/>
  <c r="A170" i="108" s="1"/>
  <c r="A171" i="108" s="1"/>
  <c r="A172" i="108" s="1"/>
  <c r="A173" i="108" s="1"/>
  <c r="A174" i="108" s="1"/>
  <c r="A175" i="108" s="1"/>
  <c r="A176" i="108" s="1"/>
  <c r="A177" i="108" s="1"/>
  <c r="B4" i="108"/>
  <c r="B5" i="108"/>
  <c r="B6" i="108"/>
  <c r="B7" i="108"/>
  <c r="B8" i="108"/>
  <c r="B9" i="108"/>
  <c r="B10" i="108"/>
  <c r="B11" i="108"/>
  <c r="B12" i="108"/>
  <c r="B13" i="108"/>
  <c r="B14" i="108"/>
  <c r="B15" i="108"/>
  <c r="B16" i="108"/>
  <c r="B17" i="108"/>
  <c r="B18" i="108"/>
  <c r="B19" i="108"/>
  <c r="B20" i="108"/>
  <c r="B21" i="108"/>
  <c r="B22" i="108"/>
  <c r="B23" i="108"/>
  <c r="B24" i="108"/>
  <c r="B25" i="108"/>
  <c r="B26" i="108"/>
  <c r="B27" i="108"/>
  <c r="B28" i="108"/>
  <c r="B29" i="108"/>
  <c r="B3" i="108"/>
  <c r="B53" i="84" l="1"/>
  <c r="B152" i="108" l="1"/>
  <c r="B154" i="108"/>
  <c r="B156" i="108"/>
  <c r="B157" i="108"/>
  <c r="B158" i="108"/>
  <c r="H129" i="108"/>
  <c r="B130" i="108"/>
  <c r="H130" i="108"/>
  <c r="B131" i="108"/>
  <c r="H131" i="108"/>
  <c r="B132" i="108"/>
  <c r="H132" i="108"/>
  <c r="H28" i="108"/>
  <c r="H29" i="108"/>
  <c r="B30" i="108"/>
  <c r="H30" i="108"/>
  <c r="B31" i="108"/>
  <c r="H31" i="108"/>
  <c r="B32" i="108"/>
  <c r="H32" i="108"/>
  <c r="H464" i="108"/>
  <c r="H463" i="108"/>
  <c r="H462" i="108"/>
  <c r="H461" i="108"/>
  <c r="H460" i="108"/>
  <c r="H459" i="108"/>
  <c r="H458" i="108"/>
  <c r="H226" i="108"/>
  <c r="B226" i="108"/>
  <c r="H225" i="108"/>
  <c r="B225" i="108"/>
  <c r="H220" i="108"/>
  <c r="B220" i="108"/>
  <c r="H219" i="108"/>
  <c r="B219" i="108"/>
  <c r="H218" i="108"/>
  <c r="B218" i="108"/>
  <c r="H214" i="108"/>
  <c r="B214" i="108"/>
  <c r="H213" i="108"/>
  <c r="B213" i="108"/>
  <c r="H212" i="108"/>
  <c r="B212" i="108"/>
  <c r="H211" i="108"/>
  <c r="B211" i="108"/>
  <c r="H210" i="108"/>
  <c r="B210" i="108"/>
  <c r="H209" i="108"/>
  <c r="H208" i="108"/>
  <c r="H207" i="108"/>
  <c r="H206" i="108"/>
  <c r="H205" i="108"/>
  <c r="H204" i="108"/>
  <c r="H203" i="108"/>
  <c r="H202" i="108"/>
  <c r="H201" i="108"/>
  <c r="H200" i="108"/>
  <c r="H174" i="108"/>
  <c r="H173" i="108"/>
  <c r="H172" i="108"/>
  <c r="H171" i="108"/>
  <c r="H170" i="108"/>
  <c r="H169" i="108"/>
  <c r="H168" i="108"/>
  <c r="H167" i="108"/>
  <c r="H166" i="108"/>
  <c r="H165" i="108"/>
  <c r="H164" i="108"/>
  <c r="H163" i="108"/>
  <c r="H162" i="108"/>
  <c r="H161" i="108"/>
  <c r="B160" i="108"/>
  <c r="H151" i="108"/>
  <c r="H150" i="108"/>
  <c r="H149" i="108"/>
  <c r="H148" i="108"/>
  <c r="H147" i="108"/>
  <c r="B147" i="108"/>
  <c r="H146" i="108"/>
  <c r="B146" i="108"/>
  <c r="H145" i="108"/>
  <c r="B145" i="108"/>
  <c r="H144" i="108"/>
  <c r="B144" i="108"/>
  <c r="H143" i="108"/>
  <c r="B143" i="108"/>
  <c r="H142" i="108"/>
  <c r="H141" i="108"/>
  <c r="H140" i="108"/>
  <c r="B140" i="108"/>
  <c r="H139" i="108"/>
  <c r="H138" i="108"/>
  <c r="B138" i="108"/>
  <c r="H137" i="108"/>
  <c r="H175" i="108" s="1"/>
  <c r="H177" i="108" s="1"/>
  <c r="H136" i="108"/>
  <c r="H128" i="108"/>
  <c r="H127" i="108"/>
  <c r="H126" i="108"/>
  <c r="H125" i="108"/>
  <c r="H124" i="108"/>
  <c r="B124" i="108"/>
  <c r="H123" i="108"/>
  <c r="H122" i="108"/>
  <c r="H121" i="108"/>
  <c r="H120" i="108"/>
  <c r="H119" i="108"/>
  <c r="H118" i="108"/>
  <c r="B118" i="108"/>
  <c r="H117" i="108"/>
  <c r="H116" i="108"/>
  <c r="B116" i="108"/>
  <c r="H115" i="108"/>
  <c r="H114" i="108"/>
  <c r="B114" i="108"/>
  <c r="H113" i="108"/>
  <c r="H112" i="108"/>
  <c r="B112" i="108"/>
  <c r="H111" i="108"/>
  <c r="H110" i="108"/>
  <c r="B110" i="108"/>
  <c r="H109" i="108"/>
  <c r="H108" i="108"/>
  <c r="B108" i="108"/>
  <c r="H107" i="108"/>
  <c r="B107" i="108"/>
  <c r="H106" i="108"/>
  <c r="B106" i="108"/>
  <c r="H105" i="108"/>
  <c r="B105" i="108"/>
  <c r="H104" i="108"/>
  <c r="B104" i="108"/>
  <c r="H103" i="108"/>
  <c r="B103" i="108"/>
  <c r="H102" i="108"/>
  <c r="B102" i="108"/>
  <c r="H98" i="108"/>
  <c r="B98" i="108"/>
  <c r="H97" i="108"/>
  <c r="B97" i="108"/>
  <c r="H96" i="108"/>
  <c r="H95" i="108"/>
  <c r="B95" i="108"/>
  <c r="H94" i="108"/>
  <c r="H93" i="108"/>
  <c r="B93" i="108"/>
  <c r="H92" i="108"/>
  <c r="H91" i="108"/>
  <c r="H90" i="108"/>
  <c r="H89" i="108"/>
  <c r="H88" i="108"/>
  <c r="H87" i="108"/>
  <c r="H86" i="108"/>
  <c r="H85" i="108"/>
  <c r="H84" i="108"/>
  <c r="H83" i="108"/>
  <c r="B83" i="108"/>
  <c r="H82" i="108"/>
  <c r="B82" i="108"/>
  <c r="H81" i="108"/>
  <c r="B81" i="108"/>
  <c r="H80" i="108"/>
  <c r="H79" i="108"/>
  <c r="H78" i="108"/>
  <c r="H77" i="108"/>
  <c r="H76" i="108"/>
  <c r="H75" i="108"/>
  <c r="H74" i="108"/>
  <c r="H73" i="108"/>
  <c r="H72" i="108"/>
  <c r="B72" i="108"/>
  <c r="H71" i="108"/>
  <c r="B71" i="108"/>
  <c r="H70" i="108"/>
  <c r="B70" i="108"/>
  <c r="H69" i="108"/>
  <c r="B69" i="108"/>
  <c r="H62" i="108"/>
  <c r="B62" i="108"/>
  <c r="H61" i="108"/>
  <c r="H60" i="108"/>
  <c r="H59" i="108"/>
  <c r="H58" i="108"/>
  <c r="H57" i="108"/>
  <c r="H56" i="108"/>
  <c r="H55" i="108"/>
  <c r="H54" i="108"/>
  <c r="B54" i="108"/>
  <c r="H53" i="108"/>
  <c r="H52" i="108"/>
  <c r="H51" i="108"/>
  <c r="H50" i="108"/>
  <c r="H49" i="108"/>
  <c r="H48" i="108"/>
  <c r="H47" i="108"/>
  <c r="H46" i="108"/>
  <c r="H45" i="108"/>
  <c r="H44" i="108"/>
  <c r="H43" i="108"/>
  <c r="H42" i="108"/>
  <c r="H41" i="108"/>
  <c r="H40" i="108"/>
  <c r="H39" i="108"/>
  <c r="H38" i="108"/>
  <c r="H37" i="108"/>
  <c r="H36" i="108"/>
  <c r="H27" i="108"/>
  <c r="H26" i="108"/>
  <c r="H25" i="108"/>
  <c r="H24" i="108"/>
  <c r="H23" i="108"/>
  <c r="H22" i="108"/>
  <c r="H21" i="108"/>
  <c r="H20" i="108"/>
  <c r="H19" i="108"/>
  <c r="H18" i="108"/>
  <c r="H17" i="108"/>
  <c r="H16" i="108"/>
  <c r="H15" i="108"/>
  <c r="H14" i="108"/>
  <c r="H13" i="108"/>
  <c r="H12" i="108"/>
  <c r="H11" i="108"/>
  <c r="H10" i="108"/>
  <c r="H9" i="108"/>
  <c r="H8" i="108"/>
  <c r="H7" i="108"/>
  <c r="H6" i="108"/>
  <c r="H5" i="108"/>
  <c r="H4" i="108"/>
  <c r="A4" i="108"/>
  <c r="A5" i="108" s="1"/>
  <c r="A6" i="108" s="1"/>
  <c r="A7" i="108" s="1"/>
  <c r="A8" i="108" s="1"/>
  <c r="H3" i="108"/>
  <c r="H133" i="108" l="1"/>
  <c r="H135" i="108" s="1"/>
  <c r="H33" i="108"/>
  <c r="H35" i="108" s="1"/>
  <c r="H66" i="108" s="1"/>
  <c r="H68" i="108" s="1"/>
  <c r="H99" i="108" s="1"/>
  <c r="H101" i="108" s="1"/>
  <c r="A9" i="108"/>
  <c r="A10" i="108" l="1"/>
  <c r="H215" i="108" l="1"/>
  <c r="H217" i="108" s="1"/>
  <c r="A11" i="108"/>
  <c r="A12" i="108" l="1"/>
  <c r="A13" i="108" l="1"/>
  <c r="A14" i="108" l="1"/>
  <c r="A15" i="108" l="1"/>
  <c r="A16" i="108" l="1"/>
  <c r="A17" i="108" l="1"/>
  <c r="A18" i="108" s="1"/>
  <c r="A19" i="108" s="1"/>
  <c r="A20" i="108" l="1"/>
  <c r="A21" i="108" l="1"/>
  <c r="A22" i="108" l="1"/>
  <c r="A23" i="108" l="1"/>
  <c r="A24" i="108" l="1"/>
  <c r="A25" i="108" l="1"/>
  <c r="A26" i="108" l="1"/>
  <c r="A27" i="108" l="1"/>
  <c r="A28" i="108" l="1"/>
  <c r="B36" i="108" l="1"/>
  <c r="B37" i="108" l="1"/>
  <c r="B38" i="108" l="1"/>
  <c r="B39" i="108" l="1"/>
  <c r="B40" i="108" l="1"/>
  <c r="B41" i="108" l="1"/>
  <c r="B42" i="108" l="1"/>
  <c r="B43" i="108" l="1"/>
  <c r="B44" i="108" l="1"/>
  <c r="B45" i="108" l="1"/>
  <c r="B46" i="108"/>
  <c r="B47" i="108" l="1"/>
  <c r="B48" i="108"/>
  <c r="B49" i="108" l="1"/>
  <c r="B50" i="108"/>
  <c r="B51" i="108" l="1"/>
  <c r="B52" i="108"/>
  <c r="B53" i="108" l="1"/>
  <c r="B56" i="108"/>
  <c r="B55" i="108" l="1"/>
  <c r="B57" i="108"/>
  <c r="B58" i="108" l="1"/>
  <c r="B59" i="108" l="1"/>
  <c r="B60" i="108" l="1"/>
  <c r="B61" i="108" l="1"/>
  <c r="B73" i="108" l="1"/>
  <c r="B74" i="108" l="1"/>
  <c r="B75" i="108" l="1"/>
  <c r="B76" i="108" l="1"/>
  <c r="B77" i="108" l="1"/>
  <c r="B78" i="108" l="1"/>
  <c r="B79" i="108" l="1"/>
  <c r="B80" i="108" l="1"/>
  <c r="B84" i="108" l="1"/>
  <c r="B85" i="108" l="1"/>
  <c r="B86" i="108" l="1"/>
  <c r="B87" i="108" l="1"/>
  <c r="B88" i="108" l="1"/>
  <c r="B89" i="108" l="1"/>
  <c r="B90" i="108" l="1"/>
  <c r="B91" i="108" l="1"/>
  <c r="B92" i="108" l="1"/>
  <c r="B94" i="108" l="1"/>
  <c r="B96" i="108" l="1"/>
  <c r="B120" i="108"/>
  <c r="B109" i="108" l="1"/>
  <c r="B111" i="108" l="1"/>
  <c r="B122" i="108"/>
  <c r="B113" i="108" l="1"/>
  <c r="B126" i="108"/>
  <c r="B115" i="108" l="1"/>
  <c r="B117" i="108" l="1"/>
  <c r="B128" i="108"/>
  <c r="B119" i="108" l="1"/>
  <c r="B121" i="108" l="1"/>
  <c r="B136" i="108"/>
  <c r="B123" i="108" l="1"/>
  <c r="B137" i="108"/>
  <c r="B125" i="108" l="1"/>
  <c r="B141" i="108"/>
  <c r="B127" i="108" l="1"/>
  <c r="B142" i="108"/>
  <c r="B129" i="108" l="1"/>
  <c r="B148" i="108"/>
  <c r="B139" i="108" l="1"/>
  <c r="B149" i="108"/>
  <c r="B150" i="108" l="1"/>
  <c r="B153" i="108" l="1"/>
  <c r="B151" i="108"/>
  <c r="B155" i="108" l="1"/>
  <c r="B159" i="108" l="1"/>
  <c r="B162" i="108"/>
  <c r="B161" i="108" l="1"/>
  <c r="B163" i="108"/>
  <c r="B167" i="108" l="1"/>
  <c r="A180" i="108" l="1"/>
  <c r="B168" i="108"/>
  <c r="A181" i="108" l="1"/>
  <c r="A182" i="108" l="1"/>
  <c r="A183" i="108" l="1"/>
  <c r="A184" i="108" s="1"/>
  <c r="A185" i="108" s="1"/>
  <c r="A186" i="108" s="1"/>
  <c r="A187" i="108" s="1"/>
  <c r="A188" i="108" s="1"/>
  <c r="A194" i="108" s="1"/>
  <c r="A195" i="108" l="1"/>
  <c r="A196" i="108" l="1"/>
  <c r="A197" i="108" l="1"/>
  <c r="A198" i="108" l="1"/>
  <c r="A199" i="108" l="1"/>
  <c r="A200" i="108" l="1"/>
  <c r="B200" i="108" l="1"/>
  <c r="A201" i="108"/>
  <c r="A202" i="108" l="1"/>
  <c r="B201" i="108"/>
  <c r="A203" i="108" l="1"/>
  <c r="B202" i="108"/>
  <c r="B203" i="108" l="1"/>
  <c r="A204" i="108"/>
  <c r="B204" i="108" l="1"/>
  <c r="A205" i="108"/>
  <c r="A206" i="108" l="1"/>
  <c r="B205" i="108"/>
  <c r="A207" i="108" l="1"/>
  <c r="B206" i="108"/>
  <c r="B207" i="108" l="1"/>
  <c r="A208" i="108"/>
  <c r="B208" i="108" l="1"/>
  <c r="A209" i="108"/>
  <c r="A210" i="108" l="1"/>
  <c r="A211" i="108" s="1"/>
  <c r="A212" i="108" s="1"/>
  <c r="A213" i="108" s="1"/>
  <c r="A214" i="108" s="1"/>
  <c r="A215" i="108" s="1"/>
  <c r="A216" i="108" s="1"/>
  <c r="A217" i="108" s="1"/>
  <c r="A218" i="108" s="1"/>
  <c r="B209" i="108"/>
  <c r="A219" i="108" l="1"/>
  <c r="A220" i="108" s="1"/>
  <c r="A225" i="108"/>
  <c r="A226" i="108" s="1"/>
  <c r="A227" i="108" s="1"/>
  <c r="A228" i="108" s="1"/>
  <c r="A229" i="108" s="1"/>
  <c r="A230" i="108" s="1"/>
  <c r="A231" i="108" s="1"/>
  <c r="A232" i="108" s="1"/>
  <c r="A233" i="108" s="1"/>
  <c r="A234" i="108" s="1"/>
  <c r="A235" i="108" s="1"/>
  <c r="A236" i="108" s="1"/>
  <c r="A237" i="108" s="1"/>
  <c r="A238" i="108" s="1"/>
  <c r="A239" i="108" s="1"/>
  <c r="A240" i="108" s="1"/>
  <c r="A241" i="108" s="1"/>
  <c r="A242" i="108" s="1"/>
  <c r="A243" i="108" s="1"/>
  <c r="A244" i="108" s="1"/>
  <c r="A245" i="108" s="1"/>
  <c r="A246" i="108" s="1"/>
  <c r="A247" i="108" s="1"/>
  <c r="A248" i="108" s="1"/>
  <c r="A252" i="108" s="1"/>
  <c r="A257" i="108" s="1"/>
  <c r="A258" i="108" s="1"/>
  <c r="A259" i="108" s="1"/>
  <c r="A260" i="108" s="1"/>
  <c r="A261" i="108" s="1"/>
  <c r="A262" i="108" s="1"/>
  <c r="A263" i="108" s="1"/>
  <c r="A264" i="108" s="1"/>
  <c r="A265" i="108" s="1"/>
  <c r="A266" i="108" s="1"/>
  <c r="A267" i="108" s="1"/>
  <c r="A268" i="108" s="1"/>
  <c r="A269" i="108" s="1"/>
  <c r="A270" i="108" s="1"/>
  <c r="A271" i="108" s="1"/>
  <c r="A272" i="108" s="1"/>
  <c r="A273" i="108" s="1"/>
  <c r="A274" i="108" s="1"/>
  <c r="A275" i="108" s="1"/>
  <c r="A276" i="108" s="1"/>
  <c r="A277" i="108" s="1"/>
  <c r="A278" i="108" s="1"/>
  <c r="A279" i="108" s="1"/>
  <c r="A280" i="108" s="1"/>
  <c r="A281" i="108" s="1"/>
  <c r="A283" i="108" s="1"/>
  <c r="A284" i="108" s="1"/>
  <c r="A289" i="108" s="1"/>
  <c r="A290" i="108" s="1"/>
  <c r="A291" i="108" s="1"/>
  <c r="A292" i="108" s="1"/>
  <c r="A293" i="108" s="1"/>
  <c r="A294" i="108" s="1"/>
  <c r="A295" i="108" s="1"/>
  <c r="A296" i="108" s="1"/>
  <c r="A297" i="108" s="1"/>
  <c r="A298" i="108" s="1"/>
  <c r="A299" i="108" s="1"/>
  <c r="A300" i="108" s="1"/>
  <c r="A301" i="108" s="1"/>
  <c r="A302" i="108" s="1"/>
  <c r="A303" i="108" s="1"/>
  <c r="A304" i="108" s="1"/>
  <c r="A305" i="108" s="1"/>
  <c r="A306" i="108" s="1"/>
  <c r="A307" i="108" s="1"/>
  <c r="A308" i="108" s="1"/>
  <c r="A309" i="108" s="1"/>
  <c r="A310" i="108" s="1"/>
  <c r="A311" i="108" s="1"/>
  <c r="A312" i="108" s="1"/>
  <c r="A313" i="108" s="1"/>
  <c r="A317" i="108" s="1"/>
  <c r="A318" i="108" s="1"/>
  <c r="A319" i="108" s="1"/>
  <c r="A320" i="108" s="1"/>
  <c r="A321" i="108" s="1"/>
  <c r="A322" i="108" s="1"/>
  <c r="A323" i="108" s="1"/>
  <c r="A324" i="108" s="1"/>
  <c r="A325" i="108" s="1"/>
  <c r="A326" i="108" s="1"/>
  <c r="A327" i="108" s="1"/>
  <c r="A328" i="108" s="1"/>
  <c r="A329" i="108" s="1"/>
  <c r="A330" i="108" s="1"/>
  <c r="A331" i="108" s="1"/>
  <c r="A332" i="108" s="1"/>
  <c r="A333" i="108" s="1"/>
  <c r="A334" i="108" s="1"/>
  <c r="A335" i="108" s="1"/>
  <c r="A336" i="108" s="1"/>
  <c r="A337" i="108" s="1"/>
  <c r="A338" i="108" s="1"/>
  <c r="A339" i="108" s="1"/>
  <c r="A340" i="108" s="1"/>
  <c r="A341" i="108" s="1"/>
  <c r="A342" i="108" s="1"/>
  <c r="A343" i="108" s="1"/>
  <c r="A344" i="108" s="1"/>
  <c r="A349" i="108" s="1"/>
  <c r="A350" i="108" s="1"/>
  <c r="A351" i="108" s="1"/>
  <c r="A352" i="108" s="1"/>
  <c r="A353" i="108" s="1"/>
  <c r="A354" i="108" s="1"/>
  <c r="A355" i="108" s="1"/>
  <c r="A356" i="108" s="1"/>
  <c r="A357" i="108" s="1"/>
  <c r="A358" i="108" s="1"/>
  <c r="A359" i="108" s="1"/>
  <c r="A360" i="108" s="1"/>
  <c r="A361" i="108" s="1"/>
  <c r="A362" i="108" s="1"/>
  <c r="A363" i="108" s="1"/>
  <c r="A364" i="108" s="1"/>
  <c r="A365" i="108" s="1"/>
  <c r="A366" i="108" s="1"/>
  <c r="A367" i="108" s="1"/>
  <c r="A368" i="108" s="1"/>
  <c r="A369" i="108" s="1"/>
  <c r="A370" i="108" s="1"/>
  <c r="A371" i="108" s="1"/>
  <c r="A372" i="108" s="1"/>
  <c r="A373" i="108" s="1"/>
  <c r="A374" i="108" s="1"/>
  <c r="A375" i="108" s="1"/>
  <c r="A380" i="108" s="1"/>
  <c r="A381" i="108" s="1"/>
  <c r="A382" i="108" s="1"/>
  <c r="A383" i="108" s="1"/>
  <c r="A384" i="108" s="1"/>
  <c r="A385" i="108" s="1"/>
  <c r="A386" i="108" s="1"/>
  <c r="A387" i="108" s="1"/>
  <c r="A388" i="108" s="1"/>
  <c r="A389" i="108" s="1"/>
  <c r="A390" i="108" s="1"/>
  <c r="A391" i="108" s="1"/>
  <c r="A392" i="108" s="1"/>
  <c r="A393" i="108" s="1"/>
  <c r="A394" i="108" s="1"/>
  <c r="A395" i="108" s="1"/>
  <c r="A396" i="108" s="1"/>
  <c r="A397" i="108" s="1"/>
  <c r="A398" i="108" s="1"/>
  <c r="A399" i="108" s="1"/>
  <c r="A400" i="108" s="1"/>
  <c r="A401" i="108" s="1"/>
  <c r="A402" i="108" s="1"/>
  <c r="A403" i="108" s="1"/>
  <c r="A404" i="108" s="1"/>
  <c r="A405" i="108" s="1"/>
  <c r="A406" i="108" s="1"/>
  <c r="A407" i="108" s="1"/>
  <c r="A408" i="108" s="1"/>
  <c r="A413" i="108" s="1"/>
  <c r="A414" i="108" s="1"/>
  <c r="A415" i="108" s="1"/>
  <c r="A416" i="108" s="1"/>
  <c r="A417" i="108" s="1"/>
  <c r="A418" i="108" s="1"/>
  <c r="A419" i="108" s="1"/>
  <c r="A420" i="108" s="1"/>
  <c r="A421" i="108" s="1"/>
  <c r="A422" i="108" s="1"/>
  <c r="A423" i="108" s="1"/>
  <c r="A424" i="108" s="1"/>
  <c r="A425" i="108" s="1"/>
  <c r="A426" i="108" s="1"/>
  <c r="A427" i="108" s="1"/>
  <c r="A428" i="108" s="1"/>
  <c r="A429" i="108" s="1"/>
  <c r="A430" i="108" s="1"/>
  <c r="A431" i="108" s="1"/>
  <c r="A432" i="108" s="1"/>
  <c r="A433" i="108" s="1"/>
  <c r="A434" i="108" s="1"/>
  <c r="A435" i="108" s="1"/>
  <c r="A436" i="108" s="1"/>
  <c r="A437" i="108" s="1"/>
  <c r="A438" i="108" s="1"/>
  <c r="A439" i="108" s="1"/>
  <c r="A440" i="108" s="1"/>
  <c r="A441" i="108" s="1"/>
  <c r="A442" i="108" s="1"/>
  <c r="A443" i="108" s="1"/>
  <c r="A444" i="108" s="1"/>
  <c r="A445" i="108" s="1"/>
  <c r="A446" i="108" s="1"/>
  <c r="A447" i="108" s="1"/>
  <c r="A448" i="108" s="1"/>
  <c r="A449" i="108" s="1"/>
  <c r="A450" i="108" s="1"/>
  <c r="A451" i="108" s="1"/>
  <c r="A452" i="108" s="1"/>
  <c r="A453" i="108" s="1"/>
  <c r="A454" i="108" s="1"/>
  <c r="A455" i="108" s="1"/>
  <c r="A456" i="108" s="1"/>
  <c r="H80" i="105" l="1"/>
  <c r="H70" i="105"/>
  <c r="H204" i="91"/>
  <c r="H205" i="91"/>
  <c r="H206" i="91"/>
  <c r="H207" i="91"/>
  <c r="H208" i="91"/>
  <c r="H209" i="91"/>
  <c r="H210" i="91"/>
  <c r="H211" i="91"/>
  <c r="H212" i="91"/>
  <c r="H213" i="91"/>
  <c r="H214" i="91"/>
  <c r="B211" i="91"/>
  <c r="B212" i="91"/>
  <c r="B213" i="91"/>
  <c r="B214" i="91"/>
  <c r="B215" i="91"/>
  <c r="B216" i="91"/>
  <c r="B217" i="91"/>
  <c r="H194" i="91"/>
  <c r="H196" i="91" s="1"/>
  <c r="H142" i="91"/>
  <c r="H143" i="91"/>
  <c r="H144" i="91"/>
  <c r="H145" i="91"/>
  <c r="H146" i="91"/>
  <c r="H147" i="91"/>
  <c r="H148" i="91"/>
  <c r="H149" i="91"/>
  <c r="H150" i="91"/>
  <c r="H151" i="91"/>
  <c r="H152" i="91"/>
  <c r="H153" i="91"/>
  <c r="H154" i="91"/>
  <c r="H155" i="91"/>
  <c r="H156" i="91"/>
  <c r="H157" i="91"/>
  <c r="H158" i="91"/>
  <c r="H159" i="91"/>
  <c r="H160" i="91"/>
  <c r="H161" i="91"/>
  <c r="H162" i="91"/>
  <c r="H163" i="91"/>
  <c r="H141" i="91"/>
  <c r="H170" i="91"/>
  <c r="H171" i="91"/>
  <c r="H172" i="91"/>
  <c r="H173" i="91"/>
  <c r="H174" i="91"/>
  <c r="H175" i="91"/>
  <c r="H176" i="91"/>
  <c r="H177" i="91"/>
  <c r="H178" i="91"/>
  <c r="H179" i="91"/>
  <c r="H180" i="91"/>
  <c r="H181" i="91"/>
  <c r="H182" i="91"/>
  <c r="H183" i="91"/>
  <c r="H184" i="91"/>
  <c r="H185" i="91"/>
  <c r="H186" i="91"/>
  <c r="H187" i="91"/>
  <c r="H188" i="91"/>
  <c r="H189" i="91"/>
  <c r="H190" i="91"/>
  <c r="H191" i="91"/>
  <c r="H192" i="91"/>
  <c r="H193" i="91"/>
  <c r="H197" i="91"/>
  <c r="H198" i="91"/>
  <c r="H199" i="91"/>
  <c r="H200" i="91"/>
  <c r="H201" i="91"/>
  <c r="H202" i="91"/>
  <c r="H203" i="91"/>
  <c r="H169" i="91"/>
  <c r="B178" i="91"/>
  <c r="B179" i="91"/>
  <c r="B180" i="91"/>
  <c r="H75" i="84"/>
  <c r="H76" i="84"/>
  <c r="H77" i="84"/>
  <c r="H78" i="84"/>
  <c r="H79" i="84"/>
  <c r="H80" i="84"/>
  <c r="H81" i="84"/>
  <c r="H82" i="84"/>
  <c r="H83" i="84"/>
  <c r="H84" i="84"/>
  <c r="H85" i="84"/>
  <c r="H86" i="84"/>
  <c r="H87" i="84"/>
  <c r="H88" i="84"/>
  <c r="H89" i="84"/>
  <c r="H90" i="84"/>
  <c r="H91" i="84"/>
  <c r="H92" i="84"/>
  <c r="H93" i="84"/>
  <c r="H94" i="84"/>
  <c r="H95" i="84"/>
  <c r="H96" i="84"/>
  <c r="H97" i="84"/>
  <c r="H98" i="84"/>
  <c r="H74" i="84"/>
  <c r="H23" i="84"/>
  <c r="B212" i="28"/>
  <c r="H212" i="28"/>
  <c r="B213" i="28"/>
  <c r="H213" i="28"/>
  <c r="B214" i="28"/>
  <c r="H214" i="28"/>
  <c r="H202" i="28"/>
  <c r="H203" i="28"/>
  <c r="H204" i="28"/>
  <c r="H205" i="28"/>
  <c r="H206" i="28"/>
  <c r="H207" i="28"/>
  <c r="H208" i="28"/>
  <c r="H209" i="28"/>
  <c r="H210" i="28"/>
  <c r="H211" i="28"/>
  <c r="H218" i="28"/>
  <c r="H219" i="28"/>
  <c r="H220" i="28"/>
  <c r="H201" i="28"/>
  <c r="H200" i="28"/>
  <c r="H199" i="28"/>
  <c r="H198" i="28"/>
  <c r="H197" i="28"/>
  <c r="H196" i="28"/>
  <c r="H195" i="28"/>
  <c r="H194" i="28"/>
  <c r="H193" i="28"/>
  <c r="H192" i="28"/>
  <c r="H191" i="28"/>
  <c r="H190" i="28"/>
  <c r="H188" i="28"/>
  <c r="B188" i="28"/>
  <c r="B190" i="28"/>
  <c r="B192" i="28"/>
  <c r="H182" i="28"/>
  <c r="H181" i="28"/>
  <c r="H180" i="28"/>
  <c r="H179" i="28"/>
  <c r="H178" i="28"/>
  <c r="H177" i="28"/>
  <c r="H175" i="28"/>
  <c r="H174" i="28"/>
  <c r="H173" i="28"/>
  <c r="H172" i="28"/>
  <c r="H171" i="28"/>
  <c r="H170" i="28"/>
  <c r="H169" i="28"/>
  <c r="H168" i="28"/>
  <c r="H167" i="28"/>
  <c r="H166" i="28"/>
  <c r="H165" i="28"/>
  <c r="H164" i="28"/>
  <c r="H163" i="28"/>
  <c r="H162" i="28"/>
  <c r="H161" i="28"/>
  <c r="H183" i="28" l="1"/>
  <c r="H154" i="28"/>
  <c r="H153" i="28"/>
  <c r="H152" i="28"/>
  <c r="H151" i="28"/>
  <c r="H150" i="28"/>
  <c r="H149" i="28"/>
  <c r="H148" i="28"/>
  <c r="H147" i="28"/>
  <c r="H146" i="28"/>
  <c r="H145" i="28"/>
  <c r="B187" i="28"/>
  <c r="B218" i="28"/>
  <c r="B219" i="28"/>
  <c r="B220" i="28"/>
  <c r="B225" i="28"/>
  <c r="H225" i="28"/>
  <c r="B226" i="28"/>
  <c r="H226" i="28"/>
  <c r="H133" i="28"/>
  <c r="H134" i="28"/>
  <c r="H135" i="28"/>
  <c r="H136" i="28"/>
  <c r="H137" i="28"/>
  <c r="H138" i="28"/>
  <c r="H139" i="28"/>
  <c r="H140" i="28"/>
  <c r="H141" i="28"/>
  <c r="H142" i="28"/>
  <c r="H143" i="28"/>
  <c r="H144" i="28"/>
  <c r="B143" i="28"/>
  <c r="B144" i="28"/>
  <c r="B145" i="28"/>
  <c r="B146" i="28"/>
  <c r="H107" i="28"/>
  <c r="H105" i="28"/>
  <c r="H104" i="28"/>
  <c r="H103" i="28"/>
  <c r="H62" i="28"/>
  <c r="B107" i="28" l="1"/>
  <c r="H106" i="28"/>
  <c r="B106" i="28"/>
  <c r="B105" i="28"/>
  <c r="B104" i="28"/>
  <c r="B103" i="28"/>
  <c r="H102" i="28"/>
  <c r="B102" i="28"/>
  <c r="H109" i="28" l="1"/>
  <c r="H110" i="28"/>
  <c r="H111" i="28"/>
  <c r="H112" i="28"/>
  <c r="H113" i="28"/>
  <c r="H114" i="28" l="1"/>
  <c r="H115" i="28"/>
  <c r="H116" i="28"/>
  <c r="H117" i="28"/>
  <c r="H118" i="28"/>
  <c r="H119" i="28"/>
  <c r="H120" i="28"/>
  <c r="H121" i="28"/>
  <c r="H122" i="28"/>
  <c r="H123" i="28"/>
  <c r="H124" i="28"/>
  <c r="H125" i="28"/>
  <c r="H126" i="28"/>
  <c r="H127" i="28"/>
  <c r="H128" i="28"/>
  <c r="H132" i="28"/>
  <c r="H108" i="28"/>
  <c r="H70" i="28"/>
  <c r="H71" i="28"/>
  <c r="H72" i="28"/>
  <c r="H73" i="28"/>
  <c r="H74" i="28"/>
  <c r="H75" i="28"/>
  <c r="H76" i="28"/>
  <c r="H77" i="28"/>
  <c r="H78" i="28"/>
  <c r="H79" i="28"/>
  <c r="H80" i="28"/>
  <c r="H81" i="28"/>
  <c r="H82" i="28"/>
  <c r="H83" i="28"/>
  <c r="H84" i="28"/>
  <c r="H85" i="28"/>
  <c r="H86" i="28"/>
  <c r="H87" i="28"/>
  <c r="H88" i="28"/>
  <c r="H89" i="28"/>
  <c r="H90" i="28"/>
  <c r="H91" i="28"/>
  <c r="H92" i="28"/>
  <c r="H93" i="28"/>
  <c r="H94" i="28"/>
  <c r="H95" i="28"/>
  <c r="H96" i="28"/>
  <c r="H97" i="28"/>
  <c r="H98" i="28"/>
  <c r="H69" i="28"/>
  <c r="H4" i="28"/>
  <c r="H5" i="28"/>
  <c r="H6" i="28"/>
  <c r="H7" i="28"/>
  <c r="H8" i="28"/>
  <c r="H9" i="28"/>
  <c r="H10" i="28"/>
  <c r="H11" i="28"/>
  <c r="H12" i="28"/>
  <c r="H13" i="28"/>
  <c r="H14" i="28"/>
  <c r="H15" i="28"/>
  <c r="H16" i="28"/>
  <c r="H17" i="28"/>
  <c r="H18" i="28"/>
  <c r="H19" i="28"/>
  <c r="H23" i="28"/>
  <c r="H24" i="28"/>
  <c r="H25" i="28"/>
  <c r="H26" i="28"/>
  <c r="H27" i="28"/>
  <c r="H28" i="28"/>
  <c r="H3" i="28"/>
  <c r="H33" i="28"/>
  <c r="H34" i="28"/>
  <c r="H35" i="28"/>
  <c r="H36" i="28"/>
  <c r="H37" i="28"/>
  <c r="H38" i="28"/>
  <c r="H39" i="28"/>
  <c r="H40" i="28"/>
  <c r="H41" i="28"/>
  <c r="H42" i="28"/>
  <c r="H43" i="28"/>
  <c r="H44" i="28"/>
  <c r="H45" i="28"/>
  <c r="H46" i="28"/>
  <c r="H47" i="28"/>
  <c r="H48" i="28"/>
  <c r="H49" i="28"/>
  <c r="H50" i="28"/>
  <c r="H51" i="28"/>
  <c r="H52" i="28"/>
  <c r="H53" i="28"/>
  <c r="H54" i="28"/>
  <c r="H55" i="28"/>
  <c r="H32" i="28"/>
  <c r="B69" i="28" l="1"/>
  <c r="B70" i="28"/>
  <c r="B71" i="28"/>
  <c r="B72" i="28"/>
  <c r="H61" i="28" l="1"/>
  <c r="H60" i="28"/>
  <c r="H59" i="28"/>
  <c r="H58" i="28"/>
  <c r="H57" i="28"/>
  <c r="H56" i="28"/>
  <c r="B32" i="28" l="1"/>
  <c r="H22" i="28" l="1"/>
  <c r="B7" i="28"/>
  <c r="B18" i="28"/>
  <c r="H21" i="28" l="1"/>
  <c r="H20" i="28"/>
  <c r="H29" i="28" s="1"/>
  <c r="A16" i="86"/>
  <c r="B16" i="86" s="1"/>
  <c r="B266" i="105" l="1"/>
  <c r="B267" i="105"/>
  <c r="B268" i="105"/>
  <c r="B269" i="105"/>
  <c r="B270" i="105"/>
  <c r="B271" i="105"/>
  <c r="B272" i="105"/>
  <c r="B273" i="105"/>
  <c r="B274" i="105"/>
  <c r="B275" i="105"/>
  <c r="B276" i="105"/>
  <c r="B277" i="105"/>
  <c r="B278" i="105"/>
  <c r="B279" i="105"/>
  <c r="B280" i="105"/>
  <c r="B281" i="105"/>
  <c r="B282" i="105"/>
  <c r="B283" i="105"/>
  <c r="B284" i="105"/>
  <c r="B285" i="105"/>
  <c r="B286" i="105"/>
  <c r="B287" i="105"/>
  <c r="B288" i="105"/>
  <c r="B289" i="105"/>
  <c r="B290" i="105"/>
  <c r="B291" i="105"/>
  <c r="B292" i="105"/>
  <c r="B293" i="105"/>
  <c r="B260" i="105"/>
  <c r="B262" i="105"/>
  <c r="B263" i="105"/>
  <c r="B265" i="105"/>
  <c r="B240" i="105"/>
  <c r="B241" i="105"/>
  <c r="B242" i="105"/>
  <c r="B243" i="105"/>
  <c r="B244" i="105"/>
  <c r="B245" i="105"/>
  <c r="B246" i="105"/>
  <c r="B247" i="105"/>
  <c r="B248" i="105"/>
  <c r="B249" i="105"/>
  <c r="B250" i="105"/>
  <c r="B251" i="105"/>
  <c r="B252" i="105"/>
  <c r="B253" i="105"/>
  <c r="B231" i="105"/>
  <c r="B232" i="105"/>
  <c r="B258" i="105"/>
  <c r="B259" i="105"/>
  <c r="B200" i="105"/>
  <c r="B201" i="105"/>
  <c r="B202" i="105"/>
  <c r="B210" i="105"/>
  <c r="B211" i="105"/>
  <c r="B213" i="105"/>
  <c r="B214" i="105"/>
  <c r="B215" i="105"/>
  <c r="B216" i="105"/>
  <c r="B217" i="105"/>
  <c r="H209" i="105"/>
  <c r="H208" i="105"/>
  <c r="H207" i="105"/>
  <c r="H206" i="105"/>
  <c r="H205" i="105"/>
  <c r="H204" i="105"/>
  <c r="H203" i="105"/>
  <c r="H202" i="105"/>
  <c r="H201" i="105"/>
  <c r="B192" i="105"/>
  <c r="B185" i="105"/>
  <c r="B186" i="105"/>
  <c r="B187" i="105"/>
  <c r="H199" i="105"/>
  <c r="H198" i="105"/>
  <c r="H197" i="105"/>
  <c r="H196" i="105"/>
  <c r="H195" i="105"/>
  <c r="H194" i="105"/>
  <c r="H193" i="105"/>
  <c r="H192" i="105"/>
  <c r="B114" i="105"/>
  <c r="B115" i="105"/>
  <c r="B116" i="105"/>
  <c r="B117" i="105"/>
  <c r="B118" i="105"/>
  <c r="B119" i="105"/>
  <c r="B120" i="105"/>
  <c r="B121" i="105"/>
  <c r="B122" i="105"/>
  <c r="H81" i="105"/>
  <c r="B27" i="105"/>
  <c r="B53" i="105"/>
  <c r="B54" i="105"/>
  <c r="B55" i="105"/>
  <c r="B56" i="105"/>
  <c r="B389" i="91"/>
  <c r="B390" i="91"/>
  <c r="B391" i="91"/>
  <c r="B392" i="91"/>
  <c r="B393" i="91"/>
  <c r="B394" i="91"/>
  <c r="B395" i="91"/>
  <c r="B396" i="91"/>
  <c r="B397" i="91"/>
  <c r="B398" i="91"/>
  <c r="B399" i="91"/>
  <c r="B284" i="91"/>
  <c r="B285" i="91"/>
  <c r="B287" i="91"/>
  <c r="B288" i="91"/>
  <c r="H375" i="91"/>
  <c r="H374" i="91"/>
  <c r="H373" i="91"/>
  <c r="H372" i="91"/>
  <c r="H371" i="91"/>
  <c r="H370" i="91"/>
  <c r="H369" i="91"/>
  <c r="H368" i="91"/>
  <c r="H367" i="91"/>
  <c r="H366" i="91"/>
  <c r="H365" i="91"/>
  <c r="H364" i="91"/>
  <c r="H358" i="91"/>
  <c r="H357" i="91"/>
  <c r="H356" i="91"/>
  <c r="H355" i="91"/>
  <c r="H354" i="91"/>
  <c r="H353" i="91"/>
  <c r="H351" i="91"/>
  <c r="H350" i="91"/>
  <c r="H349" i="91"/>
  <c r="H348" i="91"/>
  <c r="H347" i="91"/>
  <c r="H346" i="91"/>
  <c r="H345" i="91"/>
  <c r="H344" i="91"/>
  <c r="H343" i="91"/>
  <c r="H342" i="91"/>
  <c r="H341" i="91"/>
  <c r="H340" i="91"/>
  <c r="H339" i="91"/>
  <c r="H338" i="91"/>
  <c r="H337" i="91"/>
  <c r="H336" i="91"/>
  <c r="H335" i="91"/>
  <c r="H334" i="91"/>
  <c r="H329" i="91"/>
  <c r="H328" i="91"/>
  <c r="H327" i="91"/>
  <c r="H326" i="91"/>
  <c r="H325" i="91"/>
  <c r="H324" i="91"/>
  <c r="H323" i="91"/>
  <c r="H322" i="91"/>
  <c r="H321" i="91"/>
  <c r="H320" i="91"/>
  <c r="H319" i="91"/>
  <c r="H318" i="91"/>
  <c r="H317" i="91"/>
  <c r="H316" i="91"/>
  <c r="H315" i="91"/>
  <c r="H314" i="91"/>
  <c r="H313" i="91"/>
  <c r="H312" i="91"/>
  <c r="H310" i="91"/>
  <c r="H309" i="91"/>
  <c r="H308" i="91"/>
  <c r="H307" i="91"/>
  <c r="H300" i="91"/>
  <c r="H299" i="91"/>
  <c r="H298" i="91"/>
  <c r="H297" i="91"/>
  <c r="H296" i="91"/>
  <c r="H295" i="91"/>
  <c r="H294" i="91"/>
  <c r="H293" i="91"/>
  <c r="H292" i="91"/>
  <c r="H291" i="91"/>
  <c r="H290" i="91"/>
  <c r="H289" i="91"/>
  <c r="H288" i="91"/>
  <c r="H286" i="91"/>
  <c r="H285" i="91"/>
  <c r="H280" i="91"/>
  <c r="H283" i="91"/>
  <c r="H282" i="91"/>
  <c r="H281" i="91"/>
  <c r="H272" i="91"/>
  <c r="H271" i="91"/>
  <c r="H270" i="91"/>
  <c r="H269" i="91"/>
  <c r="H268" i="91"/>
  <c r="H267" i="91"/>
  <c r="H266" i="91"/>
  <c r="H265" i="91"/>
  <c r="H264" i="91"/>
  <c r="H263" i="91"/>
  <c r="H262" i="91"/>
  <c r="H261" i="91"/>
  <c r="H260" i="91"/>
  <c r="H258" i="91"/>
  <c r="H257" i="91"/>
  <c r="H254" i="91"/>
  <c r="H253" i="91"/>
  <c r="H252" i="91"/>
  <c r="H251" i="91"/>
  <c r="H250" i="91"/>
  <c r="H249" i="91"/>
  <c r="H242" i="91"/>
  <c r="H241" i="91"/>
  <c r="H240" i="91"/>
  <c r="H239" i="91"/>
  <c r="H238" i="91"/>
  <c r="H237" i="91"/>
  <c r="H236" i="91"/>
  <c r="H235" i="91"/>
  <c r="H234" i="91"/>
  <c r="H233" i="91"/>
  <c r="H220" i="91"/>
  <c r="H219" i="91"/>
  <c r="H218" i="91"/>
  <c r="H221" i="91"/>
  <c r="H222" i="91"/>
  <c r="H223" i="91"/>
  <c r="H224" i="91"/>
  <c r="H225" i="91"/>
  <c r="H226" i="91"/>
  <c r="H227" i="91"/>
  <c r="H228" i="91"/>
  <c r="H229" i="91"/>
  <c r="H230" i="91"/>
  <c r="H231" i="91"/>
  <c r="B100" i="91"/>
  <c r="B101" i="91"/>
  <c r="B102" i="91"/>
  <c r="B103" i="91"/>
  <c r="B64" i="91"/>
  <c r="B66" i="91"/>
  <c r="B67" i="91"/>
  <c r="B69" i="91"/>
  <c r="H93" i="91"/>
  <c r="H92" i="91"/>
  <c r="H91" i="91"/>
  <c r="H90" i="91"/>
  <c r="H89" i="91"/>
  <c r="H88" i="91"/>
  <c r="H87" i="91"/>
  <c r="H86" i="91"/>
  <c r="H85" i="91"/>
  <c r="H84" i="91"/>
  <c r="H83" i="91"/>
  <c r="H82" i="91"/>
  <c r="H81" i="91"/>
  <c r="H80" i="91"/>
  <c r="H79" i="91"/>
  <c r="H78" i="91"/>
  <c r="H77" i="91"/>
  <c r="H76" i="91"/>
  <c r="H75" i="91"/>
  <c r="H74" i="91"/>
  <c r="H68" i="91"/>
  <c r="H67" i="91"/>
  <c r="H65" i="91"/>
  <c r="H63" i="91"/>
  <c r="H61" i="91"/>
  <c r="H60" i="91"/>
  <c r="H59" i="91"/>
  <c r="H58" i="91"/>
  <c r="H57" i="91"/>
  <c r="H56" i="91"/>
  <c r="H55" i="91"/>
  <c r="H54" i="91"/>
  <c r="H53" i="91"/>
  <c r="H52" i="91"/>
  <c r="H51" i="91"/>
  <c r="H50" i="91"/>
  <c r="H49" i="91"/>
  <c r="H48" i="91"/>
  <c r="H47" i="91"/>
  <c r="H46" i="91"/>
  <c r="H45" i="91"/>
  <c r="H44" i="91"/>
  <c r="H43" i="91"/>
  <c r="H37" i="91"/>
  <c r="H36" i="91"/>
  <c r="H35" i="91"/>
  <c r="H34" i="91"/>
  <c r="B59" i="87"/>
  <c r="B60" i="87"/>
  <c r="B61" i="87"/>
  <c r="B78" i="84"/>
  <c r="B80" i="84"/>
  <c r="B81" i="84"/>
  <c r="B82" i="84"/>
  <c r="B83" i="84"/>
  <c r="B84" i="84"/>
  <c r="B85" i="84"/>
  <c r="B86" i="84"/>
  <c r="B87" i="84"/>
  <c r="B88" i="84"/>
  <c r="B89" i="84"/>
  <c r="B90" i="84"/>
  <c r="B91" i="84"/>
  <c r="B92" i="84"/>
  <c r="B93" i="84"/>
  <c r="B94" i="84"/>
  <c r="B95" i="84"/>
  <c r="B96" i="84"/>
  <c r="B97" i="84"/>
  <c r="B98" i="84"/>
  <c r="B99" i="84"/>
  <c r="B100" i="84"/>
  <c r="B101" i="84"/>
  <c r="B102" i="84"/>
  <c r="B103" i="84"/>
  <c r="B104" i="84"/>
  <c r="B105" i="84"/>
  <c r="B106" i="84"/>
  <c r="B107" i="84"/>
  <c r="B108" i="84"/>
  <c r="B109" i="84"/>
  <c r="B111" i="84"/>
  <c r="B75" i="84"/>
  <c r="B46" i="84"/>
  <c r="B47" i="84"/>
  <c r="B51" i="84"/>
  <c r="B52" i="84"/>
  <c r="B60" i="84"/>
  <c r="B61" i="84"/>
  <c r="B69" i="84"/>
  <c r="H68" i="84"/>
  <c r="H67" i="84"/>
  <c r="H66" i="84"/>
  <c r="H65" i="84"/>
  <c r="H64" i="84"/>
  <c r="H63" i="84"/>
  <c r="H62" i="84"/>
  <c r="H61" i="84"/>
  <c r="B119" i="86"/>
  <c r="B120" i="86"/>
  <c r="B121" i="86"/>
  <c r="B122" i="86"/>
  <c r="B123" i="86"/>
  <c r="B124" i="86"/>
  <c r="B125" i="86"/>
  <c r="B126" i="86"/>
  <c r="B127" i="86"/>
  <c r="B128" i="86"/>
  <c r="B129" i="86"/>
  <c r="B130" i="86"/>
  <c r="B131" i="86"/>
  <c r="B132" i="86"/>
  <c r="B133" i="86"/>
  <c r="B111" i="86"/>
  <c r="B112" i="86"/>
  <c r="B113" i="86"/>
  <c r="B114" i="86"/>
  <c r="B115" i="86"/>
  <c r="B116" i="86"/>
  <c r="B117" i="86"/>
  <c r="B118" i="86"/>
  <c r="B97" i="86"/>
  <c r="B98" i="86"/>
  <c r="B100" i="86"/>
  <c r="B101" i="86"/>
  <c r="B102" i="86"/>
  <c r="B103" i="86"/>
  <c r="B104" i="86"/>
  <c r="B105" i="86"/>
  <c r="B107" i="86"/>
  <c r="B108" i="86"/>
  <c r="B110" i="86"/>
  <c r="B70" i="86"/>
  <c r="B72" i="86"/>
  <c r="B73" i="86"/>
  <c r="B75" i="86"/>
  <c r="B76" i="86"/>
  <c r="B78" i="86"/>
  <c r="B79" i="86"/>
  <c r="B80" i="86"/>
  <c r="B82" i="86"/>
  <c r="B83" i="86"/>
  <c r="B85" i="86"/>
  <c r="B86" i="86"/>
  <c r="B87" i="86"/>
  <c r="B89" i="86"/>
  <c r="B90" i="86"/>
  <c r="H99" i="86"/>
  <c r="H98" i="86"/>
  <c r="H96" i="86"/>
  <c r="H95" i="86"/>
  <c r="H84" i="86"/>
  <c r="H83" i="86"/>
  <c r="H81" i="86"/>
  <c r="H80" i="86"/>
  <c r="H77" i="86"/>
  <c r="H76" i="86"/>
  <c r="H74" i="86"/>
  <c r="H73" i="86"/>
  <c r="H71" i="86"/>
  <c r="H70" i="86"/>
  <c r="H62" i="86"/>
  <c r="H60" i="86"/>
  <c r="H59" i="86"/>
  <c r="H58" i="86"/>
  <c r="H57" i="86"/>
  <c r="H56" i="86"/>
  <c r="H53" i="86"/>
  <c r="H52" i="86"/>
  <c r="H51" i="86"/>
  <c r="H50" i="86"/>
  <c r="H49" i="86"/>
  <c r="H47" i="86"/>
  <c r="H46" i="86"/>
  <c r="H45" i="86"/>
  <c r="H44" i="86"/>
  <c r="H42" i="86"/>
  <c r="H41" i="86"/>
  <c r="H40" i="86"/>
  <c r="H38" i="86"/>
  <c r="H37" i="86"/>
  <c r="H30" i="86"/>
  <c r="H29" i="86"/>
  <c r="B63" i="86"/>
  <c r="B61" i="86"/>
  <c r="B39" i="86"/>
  <c r="B40" i="86"/>
  <c r="B43" i="86"/>
  <c r="B37" i="86"/>
  <c r="B28" i="86"/>
  <c r="H45" i="84" l="1"/>
  <c r="H44" i="84"/>
  <c r="H43" i="84"/>
  <c r="H42" i="84"/>
  <c r="H26" i="84"/>
  <c r="B27" i="84"/>
  <c r="B106" i="86" l="1"/>
  <c r="B109" i="86" l="1"/>
  <c r="H24" i="87" l="1"/>
  <c r="H50" i="84" l="1"/>
  <c r="H49" i="84"/>
  <c r="B96" i="87" l="1"/>
  <c r="B58" i="87"/>
  <c r="B25" i="87"/>
  <c r="B34" i="84"/>
  <c r="B101" i="105"/>
  <c r="B102" i="105"/>
  <c r="B103" i="105"/>
  <c r="B104" i="105"/>
  <c r="B105" i="105"/>
  <c r="B106" i="105"/>
  <c r="B107" i="105"/>
  <c r="B108" i="105"/>
  <c r="B109" i="105"/>
  <c r="B110" i="105"/>
  <c r="B111" i="105"/>
  <c r="B112" i="105"/>
  <c r="B113" i="105"/>
  <c r="B99" i="105"/>
  <c r="H88" i="105"/>
  <c r="H89" i="105"/>
  <c r="H90" i="105"/>
  <c r="H91" i="105"/>
  <c r="H93" i="105"/>
  <c r="H94" i="105"/>
  <c r="H96" i="105"/>
  <c r="H97" i="105"/>
  <c r="H99" i="105"/>
  <c r="H100" i="105"/>
  <c r="H164" i="91"/>
  <c r="H44" i="87"/>
  <c r="B33" i="84"/>
  <c r="B14" i="84"/>
  <c r="B15" i="84"/>
  <c r="B16" i="84"/>
  <c r="B24" i="84"/>
  <c r="B28" i="84"/>
  <c r="B30" i="84"/>
  <c r="B31" i="84"/>
  <c r="B37" i="105" l="1"/>
  <c r="B38" i="105"/>
  <c r="B47" i="105"/>
  <c r="B52" i="105"/>
  <c r="B191" i="105"/>
  <c r="B154" i="105"/>
  <c r="B159" i="105"/>
  <c r="B158" i="105"/>
  <c r="B87" i="105"/>
  <c r="B71" i="105"/>
  <c r="B61" i="105"/>
  <c r="B60" i="105"/>
  <c r="H45" i="105"/>
  <c r="H44" i="105"/>
  <c r="H43" i="105"/>
  <c r="H42" i="105"/>
  <c r="H41" i="105"/>
  <c r="H40" i="105"/>
  <c r="H39" i="105"/>
  <c r="H38" i="105"/>
  <c r="H36" i="105"/>
  <c r="H35" i="105"/>
  <c r="H34" i="105"/>
  <c r="H33" i="105"/>
  <c r="H24" i="105"/>
  <c r="H23" i="105"/>
  <c r="H22" i="105"/>
  <c r="H21" i="105"/>
  <c r="H20" i="105"/>
  <c r="H18" i="105"/>
  <c r="H17" i="105"/>
  <c r="H15" i="105"/>
  <c r="H14" i="105"/>
  <c r="H13" i="105"/>
  <c r="H12" i="105"/>
  <c r="H11" i="105"/>
  <c r="H10" i="105"/>
  <c r="H9" i="105"/>
  <c r="H8" i="105"/>
  <c r="H7" i="105"/>
  <c r="B223" i="105"/>
  <c r="B162" i="105"/>
  <c r="B163" i="105"/>
  <c r="B165" i="105"/>
  <c r="B166" i="105"/>
  <c r="B171" i="105"/>
  <c r="B172" i="105"/>
  <c r="B176" i="105"/>
  <c r="B177" i="105"/>
  <c r="B160" i="105"/>
  <c r="B128" i="105"/>
  <c r="B129" i="105"/>
  <c r="B137" i="105"/>
  <c r="B138" i="105"/>
  <c r="B146" i="105"/>
  <c r="B147" i="105"/>
  <c r="B88" i="105"/>
  <c r="B90" i="105"/>
  <c r="B93" i="105"/>
  <c r="B96" i="105"/>
  <c r="H79" i="105"/>
  <c r="H78" i="105"/>
  <c r="H77" i="105"/>
  <c r="H76" i="105"/>
  <c r="H75" i="105"/>
  <c r="H74" i="105"/>
  <c r="H73" i="105"/>
  <c r="H72" i="105"/>
  <c r="H71" i="105"/>
  <c r="H69" i="105"/>
  <c r="H68" i="105"/>
  <c r="H67" i="105"/>
  <c r="H66" i="105"/>
  <c r="H65" i="105"/>
  <c r="H64" i="105"/>
  <c r="H63" i="105"/>
  <c r="H62" i="105"/>
  <c r="H61" i="105"/>
  <c r="H51" i="105"/>
  <c r="H50" i="105"/>
  <c r="H49" i="105"/>
  <c r="H48" i="105"/>
  <c r="H16" i="105"/>
  <c r="H264" i="105"/>
  <c r="H263" i="105"/>
  <c r="H261" i="105"/>
  <c r="H260" i="105"/>
  <c r="H259" i="105"/>
  <c r="H258" i="105"/>
  <c r="H239" i="105"/>
  <c r="H238" i="105"/>
  <c r="H237" i="105"/>
  <c r="H236" i="105"/>
  <c r="H235" i="105"/>
  <c r="H234" i="105"/>
  <c r="H233" i="105"/>
  <c r="H232" i="105"/>
  <c r="H230" i="105"/>
  <c r="H229" i="105"/>
  <c r="H228" i="105"/>
  <c r="H227" i="105"/>
  <c r="H226" i="105"/>
  <c r="H225" i="105"/>
  <c r="H224" i="105"/>
  <c r="H223" i="105"/>
  <c r="H212" i="105"/>
  <c r="H211" i="105"/>
  <c r="H175" i="105"/>
  <c r="H174" i="105"/>
  <c r="H173" i="105"/>
  <c r="H172" i="105"/>
  <c r="H170" i="105"/>
  <c r="H169" i="105"/>
  <c r="H168" i="105"/>
  <c r="H167" i="105"/>
  <c r="H166" i="105"/>
  <c r="H164" i="105"/>
  <c r="H163" i="105"/>
  <c r="H161" i="105"/>
  <c r="H160" i="105"/>
  <c r="H159" i="105"/>
  <c r="H153" i="105"/>
  <c r="H152" i="105"/>
  <c r="H151" i="105"/>
  <c r="H150" i="105"/>
  <c r="H149" i="105"/>
  <c r="H148" i="105"/>
  <c r="H147" i="105"/>
  <c r="H145" i="105"/>
  <c r="H144" i="105"/>
  <c r="H143" i="105"/>
  <c r="H142" i="105"/>
  <c r="H141" i="105"/>
  <c r="H140" i="105"/>
  <c r="H139" i="105"/>
  <c r="H138" i="105"/>
  <c r="H136" i="105"/>
  <c r="H135" i="105"/>
  <c r="H134" i="105"/>
  <c r="H133" i="105"/>
  <c r="H132" i="105"/>
  <c r="H131" i="105"/>
  <c r="H130" i="105"/>
  <c r="H129" i="105"/>
  <c r="B127" i="105"/>
  <c r="B126" i="105"/>
  <c r="H47" i="105"/>
  <c r="H32" i="105"/>
  <c r="B32" i="105"/>
  <c r="B31" i="105"/>
  <c r="B7" i="105"/>
  <c r="H6" i="105"/>
  <c r="B6" i="105"/>
  <c r="H5" i="105"/>
  <c r="B5" i="105"/>
  <c r="H4" i="105"/>
  <c r="B4" i="105"/>
  <c r="A4" i="105"/>
  <c r="A5" i="105" s="1"/>
  <c r="A6" i="105" s="1"/>
  <c r="A7" i="105" s="1"/>
  <c r="A8" i="105" s="1"/>
  <c r="B3" i="105"/>
  <c r="H28" i="105" l="1"/>
  <c r="H30" i="105" s="1"/>
  <c r="H57" i="105" s="1"/>
  <c r="B8" i="105"/>
  <c r="A9" i="105"/>
  <c r="H30" i="84"/>
  <c r="H31" i="84"/>
  <c r="H32" i="84"/>
  <c r="H59" i="105" l="1"/>
  <c r="H84" i="105" s="1"/>
  <c r="A10" i="105"/>
  <c r="B9" i="105"/>
  <c r="H86" i="105" l="1"/>
  <c r="H123" i="105" s="1"/>
  <c r="H125" i="105" s="1"/>
  <c r="H155" i="105" s="1"/>
  <c r="B10" i="105"/>
  <c r="A11" i="105"/>
  <c r="H157" i="105" l="1"/>
  <c r="H188" i="105" s="1"/>
  <c r="H190" i="105" s="1"/>
  <c r="B11" i="105"/>
  <c r="A12" i="105"/>
  <c r="H338" i="99"/>
  <c r="H337" i="99"/>
  <c r="H336" i="99"/>
  <c r="H335" i="99"/>
  <c r="H334" i="99"/>
  <c r="H333" i="99"/>
  <c r="H332" i="99"/>
  <c r="H331" i="99"/>
  <c r="H330" i="99"/>
  <c r="H329" i="99"/>
  <c r="H328" i="99"/>
  <c r="H327" i="99"/>
  <c r="H326" i="99"/>
  <c r="H325" i="99"/>
  <c r="H324" i="99"/>
  <c r="H323" i="99"/>
  <c r="H322" i="99"/>
  <c r="H321" i="99"/>
  <c r="H320" i="99"/>
  <c r="H319" i="99"/>
  <c r="H318" i="99"/>
  <c r="H317" i="99"/>
  <c r="H316" i="99"/>
  <c r="H315" i="99"/>
  <c r="H314" i="99"/>
  <c r="H313" i="99"/>
  <c r="H312" i="99"/>
  <c r="H311" i="99"/>
  <c r="H310" i="99"/>
  <c r="H309" i="99"/>
  <c r="H308" i="99"/>
  <c r="H307" i="99"/>
  <c r="H306" i="99"/>
  <c r="H305" i="99"/>
  <c r="H304" i="99"/>
  <c r="H303" i="99"/>
  <c r="H302" i="99"/>
  <c r="H301" i="99"/>
  <c r="H300" i="99"/>
  <c r="H299" i="99"/>
  <c r="H298" i="99"/>
  <c r="H297" i="99"/>
  <c r="H296" i="99"/>
  <c r="H295" i="99"/>
  <c r="H294" i="99"/>
  <c r="H293" i="99"/>
  <c r="H292" i="99"/>
  <c r="H291" i="99"/>
  <c r="H290" i="99"/>
  <c r="H289" i="99"/>
  <c r="H288" i="99"/>
  <c r="H287" i="99"/>
  <c r="H286" i="99"/>
  <c r="H285" i="99"/>
  <c r="H284" i="99"/>
  <c r="H283" i="99"/>
  <c r="H282" i="99"/>
  <c r="H281" i="99"/>
  <c r="H280" i="99"/>
  <c r="H279" i="99"/>
  <c r="H278" i="99"/>
  <c r="H277" i="99"/>
  <c r="H276" i="99"/>
  <c r="H275" i="99"/>
  <c r="H274" i="99"/>
  <c r="H273" i="99"/>
  <c r="H272" i="99"/>
  <c r="H271" i="99"/>
  <c r="H270" i="99"/>
  <c r="H269" i="99"/>
  <c r="H268" i="99"/>
  <c r="H267" i="99"/>
  <c r="H266" i="99"/>
  <c r="H265" i="99"/>
  <c r="H264" i="99"/>
  <c r="H263" i="99"/>
  <c r="H262" i="99"/>
  <c r="H261" i="99"/>
  <c r="H260" i="99"/>
  <c r="H259" i="99"/>
  <c r="H258" i="99"/>
  <c r="H257" i="99"/>
  <c r="H256" i="99"/>
  <c r="H255" i="99"/>
  <c r="H254" i="99"/>
  <c r="H253" i="99"/>
  <c r="H252" i="99"/>
  <c r="H251" i="99"/>
  <c r="H250" i="99"/>
  <c r="H249" i="99"/>
  <c r="H248" i="99"/>
  <c r="H247" i="99"/>
  <c r="H246" i="99"/>
  <c r="H245" i="99"/>
  <c r="H244" i="99"/>
  <c r="H243" i="99"/>
  <c r="H242" i="99"/>
  <c r="H241" i="99"/>
  <c r="H240" i="99"/>
  <c r="H239" i="99"/>
  <c r="H238" i="99"/>
  <c r="H237" i="99"/>
  <c r="H236" i="99"/>
  <c r="H235" i="99"/>
  <c r="H234" i="99"/>
  <c r="H233" i="99"/>
  <c r="H232" i="99"/>
  <c r="H231" i="99"/>
  <c r="H230" i="99"/>
  <c r="H229" i="99"/>
  <c r="H228" i="99"/>
  <c r="H227" i="99"/>
  <c r="H226" i="99"/>
  <c r="H225" i="99"/>
  <c r="H224" i="99"/>
  <c r="H223" i="99"/>
  <c r="H222" i="99"/>
  <c r="H221" i="99"/>
  <c r="H220" i="99"/>
  <c r="H219" i="99"/>
  <c r="H218" i="99"/>
  <c r="H217" i="99"/>
  <c r="H216" i="99"/>
  <c r="H215" i="99"/>
  <c r="H214" i="99"/>
  <c r="H213" i="99"/>
  <c r="H212" i="99"/>
  <c r="H211" i="99"/>
  <c r="H210" i="99"/>
  <c r="H209" i="99"/>
  <c r="H208" i="99"/>
  <c r="H207" i="99"/>
  <c r="H206" i="99"/>
  <c r="H205" i="99"/>
  <c r="H204" i="99"/>
  <c r="H203" i="99"/>
  <c r="H202" i="99"/>
  <c r="H201" i="99"/>
  <c r="H200" i="99"/>
  <c r="H199" i="99"/>
  <c r="H198" i="99"/>
  <c r="H197" i="99"/>
  <c r="H196" i="99"/>
  <c r="H195" i="99"/>
  <c r="H194" i="99"/>
  <c r="H193" i="99"/>
  <c r="H192" i="99"/>
  <c r="H191" i="99"/>
  <c r="H190" i="99"/>
  <c r="H189" i="99"/>
  <c r="H188" i="99"/>
  <c r="H187" i="99"/>
  <c r="H186" i="99"/>
  <c r="H185" i="99"/>
  <c r="H184" i="99"/>
  <c r="H183" i="99"/>
  <c r="H182" i="99"/>
  <c r="H181" i="99"/>
  <c r="H180" i="99"/>
  <c r="H179" i="99"/>
  <c r="H178" i="99"/>
  <c r="H177" i="99"/>
  <c r="H176" i="99"/>
  <c r="H175" i="99"/>
  <c r="H174" i="99"/>
  <c r="H173" i="99"/>
  <c r="H172" i="99"/>
  <c r="H171" i="99"/>
  <c r="H170" i="99"/>
  <c r="H169" i="99"/>
  <c r="H168" i="99"/>
  <c r="H167" i="99"/>
  <c r="H166" i="99"/>
  <c r="H165" i="99"/>
  <c r="H164" i="99"/>
  <c r="H163" i="99"/>
  <c r="H162" i="99"/>
  <c r="H161" i="99"/>
  <c r="H160" i="99"/>
  <c r="H159" i="99"/>
  <c r="H158" i="99"/>
  <c r="H157" i="99"/>
  <c r="H156" i="99"/>
  <c r="H155" i="99"/>
  <c r="H154" i="99"/>
  <c r="H153" i="99"/>
  <c r="H152" i="99"/>
  <c r="H151" i="99"/>
  <c r="H150" i="99"/>
  <c r="H149" i="99"/>
  <c r="H148" i="99"/>
  <c r="H147" i="99"/>
  <c r="H146" i="99"/>
  <c r="H145" i="99"/>
  <c r="H144" i="99"/>
  <c r="H143" i="99"/>
  <c r="H142" i="99"/>
  <c r="H141" i="99"/>
  <c r="H140" i="99"/>
  <c r="H139" i="99"/>
  <c r="H138" i="99"/>
  <c r="H137" i="99"/>
  <c r="H136" i="99"/>
  <c r="H135" i="99"/>
  <c r="H134" i="99"/>
  <c r="H133" i="99"/>
  <c r="H132" i="99"/>
  <c r="H131" i="99"/>
  <c r="H130" i="99"/>
  <c r="H129" i="99"/>
  <c r="H128" i="99"/>
  <c r="H127" i="99"/>
  <c r="H126" i="99"/>
  <c r="H125" i="99"/>
  <c r="H124" i="99"/>
  <c r="H123" i="99"/>
  <c r="H122" i="99"/>
  <c r="H121" i="99"/>
  <c r="H120" i="99"/>
  <c r="H119" i="99"/>
  <c r="H118" i="99"/>
  <c r="H117" i="99"/>
  <c r="H116" i="99"/>
  <c r="H115" i="99"/>
  <c r="H114" i="99"/>
  <c r="H113" i="99"/>
  <c r="H112" i="99"/>
  <c r="H111" i="99"/>
  <c r="H110" i="99"/>
  <c r="H109" i="99"/>
  <c r="H108" i="99"/>
  <c r="H107" i="99"/>
  <c r="H106" i="99"/>
  <c r="H105" i="99"/>
  <c r="H104" i="99"/>
  <c r="H103" i="99"/>
  <c r="H102" i="99"/>
  <c r="H101" i="99"/>
  <c r="H100" i="99"/>
  <c r="H99" i="99"/>
  <c r="H98" i="99"/>
  <c r="H97" i="99"/>
  <c r="H96" i="99"/>
  <c r="H95" i="99"/>
  <c r="H94" i="99"/>
  <c r="H93" i="99"/>
  <c r="H92" i="99"/>
  <c r="H91" i="99"/>
  <c r="H90" i="99"/>
  <c r="H89" i="99"/>
  <c r="H88" i="99"/>
  <c r="H87" i="99"/>
  <c r="H86" i="99"/>
  <c r="H85" i="99"/>
  <c r="H84" i="99"/>
  <c r="H83" i="99"/>
  <c r="H82" i="99"/>
  <c r="H81" i="99"/>
  <c r="H80" i="99"/>
  <c r="H79" i="99"/>
  <c r="H78" i="99"/>
  <c r="H77" i="99"/>
  <c r="H14" i="99"/>
  <c r="H13" i="99"/>
  <c r="H12" i="99"/>
  <c r="H11" i="99"/>
  <c r="H10" i="99"/>
  <c r="H9" i="99"/>
  <c r="H8" i="99"/>
  <c r="H7" i="99"/>
  <c r="H6" i="99"/>
  <c r="H5" i="99"/>
  <c r="H4" i="99"/>
  <c r="G4" i="99"/>
  <c r="F4" i="99"/>
  <c r="G21" i="95"/>
  <c r="F21" i="95"/>
  <c r="H21" i="95" s="1"/>
  <c r="H20" i="95"/>
  <c r="H19" i="95"/>
  <c r="H18" i="95"/>
  <c r="H17" i="95"/>
  <c r="H16" i="95"/>
  <c r="H15" i="95"/>
  <c r="H14" i="95"/>
  <c r="H13" i="95"/>
  <c r="H12" i="95"/>
  <c r="H11" i="95"/>
  <c r="H10" i="95"/>
  <c r="H9" i="95"/>
  <c r="H8" i="95"/>
  <c r="H7" i="95"/>
  <c r="H6" i="95"/>
  <c r="H5" i="95"/>
  <c r="H4" i="95"/>
  <c r="G3" i="95"/>
  <c r="F3" i="95"/>
  <c r="H3" i="95" s="1"/>
  <c r="B388" i="91"/>
  <c r="B387" i="91"/>
  <c r="B386" i="91"/>
  <c r="B385" i="91"/>
  <c r="B384" i="91"/>
  <c r="B383" i="91"/>
  <c r="B382" i="91"/>
  <c r="B364" i="91"/>
  <c r="H363" i="91"/>
  <c r="B363" i="91"/>
  <c r="B353" i="91"/>
  <c r="B352" i="91"/>
  <c r="B334" i="91"/>
  <c r="H306" i="91"/>
  <c r="B306" i="91"/>
  <c r="B305" i="91"/>
  <c r="H248" i="91"/>
  <c r="B248" i="91"/>
  <c r="B141" i="91"/>
  <c r="B140" i="91"/>
  <c r="B136" i="91"/>
  <c r="B135" i="91"/>
  <c r="B134" i="91"/>
  <c r="B133" i="91"/>
  <c r="H132" i="91"/>
  <c r="H131" i="91"/>
  <c r="H130" i="91"/>
  <c r="H129" i="91"/>
  <c r="H128" i="91"/>
  <c r="H127" i="91"/>
  <c r="H126" i="91"/>
  <c r="H125" i="91"/>
  <c r="H124" i="91"/>
  <c r="H123" i="91"/>
  <c r="H122" i="91"/>
  <c r="H121" i="91"/>
  <c r="H120" i="91"/>
  <c r="H119" i="91"/>
  <c r="H118" i="91"/>
  <c r="H117" i="91"/>
  <c r="H116" i="91"/>
  <c r="H115" i="91"/>
  <c r="H114" i="91"/>
  <c r="H113" i="91"/>
  <c r="H112" i="91"/>
  <c r="H111" i="91"/>
  <c r="H110" i="91"/>
  <c r="H109" i="91"/>
  <c r="H108" i="91"/>
  <c r="B108" i="91"/>
  <c r="B43" i="91"/>
  <c r="B42" i="91"/>
  <c r="B38" i="91"/>
  <c r="B34" i="91"/>
  <c r="B33" i="91"/>
  <c r="H32" i="91"/>
  <c r="H31" i="91"/>
  <c r="H30" i="91"/>
  <c r="H29" i="91"/>
  <c r="H28" i="91"/>
  <c r="H27" i="91"/>
  <c r="H26" i="91"/>
  <c r="H25" i="91"/>
  <c r="H24" i="91"/>
  <c r="H23" i="91"/>
  <c r="H22" i="91"/>
  <c r="H21" i="91"/>
  <c r="H20" i="91"/>
  <c r="H19" i="91"/>
  <c r="H18" i="91"/>
  <c r="H17" i="91"/>
  <c r="H16" i="91"/>
  <c r="H15" i="91"/>
  <c r="H14" i="91"/>
  <c r="H13" i="91"/>
  <c r="H12" i="91"/>
  <c r="H11" i="91"/>
  <c r="H10" i="91"/>
  <c r="H9" i="91"/>
  <c r="H8" i="91"/>
  <c r="H7" i="91"/>
  <c r="B7" i="91"/>
  <c r="H6" i="91"/>
  <c r="B6" i="91"/>
  <c r="H5" i="91"/>
  <c r="B5" i="91"/>
  <c r="H4" i="91"/>
  <c r="B4" i="91"/>
  <c r="A4" i="91"/>
  <c r="A5" i="91" s="1"/>
  <c r="A6" i="91" s="1"/>
  <c r="A7" i="91" s="1"/>
  <c r="A8" i="91" s="1"/>
  <c r="B3" i="91"/>
  <c r="B95" i="87"/>
  <c r="B94" i="87"/>
  <c r="B93" i="87"/>
  <c r="B92" i="87"/>
  <c r="B91" i="87"/>
  <c r="B90" i="87"/>
  <c r="B89" i="87"/>
  <c r="B88" i="87"/>
  <c r="B87" i="87"/>
  <c r="B86" i="87"/>
  <c r="B85" i="87"/>
  <c r="B84" i="87"/>
  <c r="B83" i="87"/>
  <c r="B82" i="87"/>
  <c r="B81" i="87"/>
  <c r="H80" i="87"/>
  <c r="H79" i="87"/>
  <c r="H78" i="87"/>
  <c r="H77" i="87"/>
  <c r="H76" i="87"/>
  <c r="H75" i="87"/>
  <c r="H74" i="87"/>
  <c r="H73" i="87"/>
  <c r="H72" i="87"/>
  <c r="H71" i="87"/>
  <c r="H70" i="87"/>
  <c r="H69" i="87"/>
  <c r="H68" i="87"/>
  <c r="B68" i="87"/>
  <c r="H67" i="87"/>
  <c r="B67" i="87"/>
  <c r="H66" i="87"/>
  <c r="B66" i="87"/>
  <c r="B57" i="87"/>
  <c r="B56" i="87"/>
  <c r="B55" i="87"/>
  <c r="B54" i="87"/>
  <c r="B53" i="87"/>
  <c r="B52" i="87"/>
  <c r="B51" i="87"/>
  <c r="B50" i="87"/>
  <c r="B49" i="87"/>
  <c r="B48" i="87"/>
  <c r="B47" i="87"/>
  <c r="B46" i="87"/>
  <c r="B45" i="87"/>
  <c r="B43" i="87"/>
  <c r="H42" i="87"/>
  <c r="H41" i="87"/>
  <c r="B41" i="87"/>
  <c r="B40" i="87"/>
  <c r="H39" i="87"/>
  <c r="H38" i="87"/>
  <c r="H37" i="87"/>
  <c r="B37" i="87"/>
  <c r="B36" i="87"/>
  <c r="H35" i="87"/>
  <c r="H34" i="87"/>
  <c r="H33" i="87"/>
  <c r="B33" i="87"/>
  <c r="B32" i="87"/>
  <c r="H23" i="87"/>
  <c r="H22" i="87"/>
  <c r="H21" i="87"/>
  <c r="H20" i="87"/>
  <c r="H19" i="87"/>
  <c r="H18" i="87"/>
  <c r="H17" i="87"/>
  <c r="H16" i="87"/>
  <c r="H15" i="87"/>
  <c r="H14" i="87"/>
  <c r="H13" i="87"/>
  <c r="H12" i="87"/>
  <c r="H11" i="87"/>
  <c r="B11" i="87"/>
  <c r="B10" i="87"/>
  <c r="H9" i="87"/>
  <c r="H8" i="87"/>
  <c r="H7" i="87"/>
  <c r="B7" i="87"/>
  <c r="H6" i="87"/>
  <c r="B6" i="87"/>
  <c r="H5" i="87"/>
  <c r="B5" i="87"/>
  <c r="H4" i="87"/>
  <c r="B4" i="87"/>
  <c r="A4" i="87"/>
  <c r="A5" i="87" s="1"/>
  <c r="A6" i="87" s="1"/>
  <c r="A7" i="87" s="1"/>
  <c r="A8" i="87" s="1"/>
  <c r="B3" i="87"/>
  <c r="B74" i="84"/>
  <c r="H59" i="84"/>
  <c r="H58" i="84"/>
  <c r="H57" i="84"/>
  <c r="H56" i="84"/>
  <c r="H55" i="84"/>
  <c r="H54" i="84"/>
  <c r="H53" i="84"/>
  <c r="H52" i="84"/>
  <c r="H48" i="84"/>
  <c r="H47" i="84"/>
  <c r="H41" i="84"/>
  <c r="H40" i="84"/>
  <c r="H39" i="84"/>
  <c r="B39" i="84"/>
  <c r="B38" i="84"/>
  <c r="H29" i="84"/>
  <c r="H28" i="84"/>
  <c r="H25" i="84"/>
  <c r="H24" i="84"/>
  <c r="H22" i="84"/>
  <c r="H21" i="84"/>
  <c r="H20" i="84"/>
  <c r="H19" i="84"/>
  <c r="H18" i="84"/>
  <c r="H17" i="84"/>
  <c r="H16" i="84"/>
  <c r="B13" i="84"/>
  <c r="H12" i="84"/>
  <c r="H11" i="84"/>
  <c r="B11" i="84"/>
  <c r="H9" i="84"/>
  <c r="H8" i="84"/>
  <c r="B8" i="84"/>
  <c r="H6" i="84"/>
  <c r="B6" i="84"/>
  <c r="H5" i="84"/>
  <c r="B5" i="84"/>
  <c r="H4" i="84"/>
  <c r="B4" i="84"/>
  <c r="A4" i="84"/>
  <c r="A5" i="84" s="1"/>
  <c r="A6" i="84" s="1"/>
  <c r="A8" i="84" s="1"/>
  <c r="A9" i="84" s="1"/>
  <c r="B3" i="84"/>
  <c r="H61" i="69"/>
  <c r="B61" i="69"/>
  <c r="H60" i="69"/>
  <c r="B60" i="69"/>
  <c r="H59" i="69"/>
  <c r="B59" i="69"/>
  <c r="H58" i="69"/>
  <c r="B58" i="69"/>
  <c r="H57" i="69"/>
  <c r="B57" i="69"/>
  <c r="H56" i="69"/>
  <c r="B56" i="69"/>
  <c r="H55" i="69"/>
  <c r="B55" i="69"/>
  <c r="H54" i="69"/>
  <c r="B54" i="69"/>
  <c r="H53" i="69"/>
  <c r="B53" i="69"/>
  <c r="H52" i="69"/>
  <c r="B52" i="69"/>
  <c r="H51" i="69"/>
  <c r="B51" i="69"/>
  <c r="H50" i="69"/>
  <c r="B50" i="69"/>
  <c r="H49" i="69"/>
  <c r="B49" i="69"/>
  <c r="H48" i="69"/>
  <c r="B48" i="69"/>
  <c r="H47" i="69"/>
  <c r="B47" i="69"/>
  <c r="H46" i="69"/>
  <c r="B46" i="69"/>
  <c r="H45" i="69"/>
  <c r="B45" i="69"/>
  <c r="H44" i="69"/>
  <c r="B44" i="69"/>
  <c r="G43" i="69"/>
  <c r="F43" i="69"/>
  <c r="B43" i="69" s="1"/>
  <c r="B42" i="69"/>
  <c r="H41" i="69"/>
  <c r="B41" i="69"/>
  <c r="H40" i="69"/>
  <c r="B40" i="69"/>
  <c r="H39" i="69"/>
  <c r="B39" i="69"/>
  <c r="H38" i="69"/>
  <c r="B38" i="69"/>
  <c r="H37" i="69"/>
  <c r="B37" i="69"/>
  <c r="H36" i="69"/>
  <c r="B36" i="69"/>
  <c r="H35" i="69"/>
  <c r="B35" i="69"/>
  <c r="H34" i="69"/>
  <c r="B34" i="69"/>
  <c r="H33" i="69"/>
  <c r="B33" i="69"/>
  <c r="H32" i="69"/>
  <c r="B32" i="69"/>
  <c r="H31" i="69"/>
  <c r="B31" i="69"/>
  <c r="H30" i="69"/>
  <c r="B30" i="69"/>
  <c r="H29" i="69"/>
  <c r="B29" i="69"/>
  <c r="H28" i="69"/>
  <c r="B28" i="69"/>
  <c r="H27" i="69"/>
  <c r="B27" i="69"/>
  <c r="H26" i="69"/>
  <c r="B26" i="69"/>
  <c r="H25" i="69"/>
  <c r="B25" i="69"/>
  <c r="G24" i="69"/>
  <c r="F24" i="69"/>
  <c r="B24" i="69" s="1"/>
  <c r="B23" i="69"/>
  <c r="H22" i="69"/>
  <c r="B22" i="69"/>
  <c r="H21" i="69"/>
  <c r="B21" i="69"/>
  <c r="H20" i="69"/>
  <c r="B20" i="69"/>
  <c r="H19" i="69"/>
  <c r="B19" i="69"/>
  <c r="H18" i="69"/>
  <c r="B18" i="69"/>
  <c r="H17" i="69"/>
  <c r="B17" i="69"/>
  <c r="H16" i="69"/>
  <c r="B16" i="69"/>
  <c r="H15" i="69"/>
  <c r="B15" i="69"/>
  <c r="H14" i="69"/>
  <c r="B14" i="69"/>
  <c r="H13" i="69"/>
  <c r="B13" i="69"/>
  <c r="H12" i="69"/>
  <c r="B12" i="69"/>
  <c r="H11" i="69"/>
  <c r="B11" i="69"/>
  <c r="H10" i="69"/>
  <c r="B10" i="69"/>
  <c r="H9" i="69"/>
  <c r="B9" i="69"/>
  <c r="H8" i="69"/>
  <c r="B8" i="69"/>
  <c r="H7" i="69"/>
  <c r="B7" i="69"/>
  <c r="H6" i="69"/>
  <c r="B6" i="69"/>
  <c r="H5" i="69"/>
  <c r="G5" i="69"/>
  <c r="F5" i="69"/>
  <c r="B5" i="69"/>
  <c r="H3" i="69"/>
  <c r="B95" i="86"/>
  <c r="B69" i="86"/>
  <c r="B68" i="86"/>
  <c r="B36" i="86"/>
  <c r="H27" i="86"/>
  <c r="H26" i="86"/>
  <c r="B26" i="86"/>
  <c r="B25" i="86"/>
  <c r="H24" i="86"/>
  <c r="H23" i="86"/>
  <c r="B23" i="86"/>
  <c r="B22" i="86"/>
  <c r="H21" i="86"/>
  <c r="H20" i="86"/>
  <c r="H19" i="86"/>
  <c r="H18" i="86"/>
  <c r="H17" i="86"/>
  <c r="H16" i="86"/>
  <c r="H15" i="86"/>
  <c r="B15" i="86"/>
  <c r="B14" i="86"/>
  <c r="H13" i="86"/>
  <c r="H12" i="86"/>
  <c r="B12" i="86"/>
  <c r="B11" i="86"/>
  <c r="H10" i="86"/>
  <c r="H9" i="86"/>
  <c r="H8" i="86"/>
  <c r="H7" i="86"/>
  <c r="B7" i="86"/>
  <c r="H6" i="86"/>
  <c r="B6" i="86"/>
  <c r="H5" i="86"/>
  <c r="B5" i="86"/>
  <c r="H4" i="86"/>
  <c r="B4" i="86"/>
  <c r="A4" i="86"/>
  <c r="A5" i="86" s="1"/>
  <c r="A6" i="86" s="1"/>
  <c r="A7" i="86" s="1"/>
  <c r="A8" i="86" s="1"/>
  <c r="B3" i="86"/>
  <c r="H464" i="28"/>
  <c r="H463" i="28"/>
  <c r="H462" i="28"/>
  <c r="H461" i="28"/>
  <c r="H460" i="28"/>
  <c r="H459" i="28"/>
  <c r="H458" i="28"/>
  <c r="B108" i="28"/>
  <c r="H31" i="28"/>
  <c r="H66" i="28" s="1"/>
  <c r="H68" i="28" s="1"/>
  <c r="H99" i="28" s="1"/>
  <c r="H101" i="28" s="1"/>
  <c r="H129" i="28" s="1"/>
  <c r="H131" i="28" s="1"/>
  <c r="H155" i="28" s="1"/>
  <c r="B6" i="28"/>
  <c r="B5" i="28"/>
  <c r="B4" i="28"/>
  <c r="A4" i="28"/>
  <c r="A5" i="28" s="1"/>
  <c r="A6" i="28" s="1"/>
  <c r="A7" i="28" s="1"/>
  <c r="A8" i="28" s="1"/>
  <c r="B8" i="28" s="1"/>
  <c r="B3" i="28"/>
  <c r="H157" i="28" l="1"/>
  <c r="H184" i="28"/>
  <c r="H186" i="28" s="1"/>
  <c r="H215" i="28" s="1"/>
  <c r="H217" i="28" s="1"/>
  <c r="H43" i="69"/>
  <c r="H24" i="69"/>
  <c r="H218" i="105"/>
  <c r="H220" i="105" s="1"/>
  <c r="H254" i="105" s="1"/>
  <c r="H256" i="105" s="1"/>
  <c r="H294" i="105" s="1"/>
  <c r="H39" i="91"/>
  <c r="H41" i="91" s="1"/>
  <c r="H70" i="91" s="1"/>
  <c r="H33" i="86"/>
  <c r="H35" i="86" s="1"/>
  <c r="H64" i="86" s="1"/>
  <c r="H29" i="87"/>
  <c r="H31" i="87" s="1"/>
  <c r="H62" i="87" s="1"/>
  <c r="H64" i="87" s="1"/>
  <c r="H97" i="87" s="1"/>
  <c r="A9" i="91"/>
  <c r="B8" i="91"/>
  <c r="B8" i="86"/>
  <c r="A9" i="86"/>
  <c r="A9" i="87"/>
  <c r="B8" i="87"/>
  <c r="H35" i="84"/>
  <c r="H37" i="84" s="1"/>
  <c r="H70" i="84" s="1"/>
  <c r="H72" i="84" s="1"/>
  <c r="H112" i="84" s="1"/>
  <c r="A9" i="28"/>
  <c r="B9" i="28" s="1"/>
  <c r="A13" i="105"/>
  <c r="B12" i="105"/>
  <c r="B9" i="84"/>
  <c r="A11" i="84"/>
  <c r="A12" i="84" s="1"/>
  <c r="H72" i="91" l="1"/>
  <c r="H104" i="91" s="1"/>
  <c r="H106" i="91" s="1"/>
  <c r="H137" i="91" s="1"/>
  <c r="H66" i="86"/>
  <c r="H91" i="86" s="1"/>
  <c r="A10" i="91"/>
  <c r="B9" i="91"/>
  <c r="B9" i="86"/>
  <c r="A10" i="86"/>
  <c r="B9" i="87"/>
  <c r="A10" i="87"/>
  <c r="A11" i="87" s="1"/>
  <c r="A12" i="87" s="1"/>
  <c r="A10" i="28"/>
  <c r="B10" i="28" s="1"/>
  <c r="A14" i="105"/>
  <c r="B13" i="105"/>
  <c r="B12" i="84"/>
  <c r="A13" i="84"/>
  <c r="A14" i="84" s="1"/>
  <c r="A15" i="84" s="1"/>
  <c r="A16" i="84" s="1"/>
  <c r="A17" i="84" s="1"/>
  <c r="H139" i="91" l="1"/>
  <c r="H165" i="91"/>
  <c r="H167" i="91" s="1"/>
  <c r="H93" i="86"/>
  <c r="H134" i="86" s="1"/>
  <c r="B10" i="91"/>
  <c r="A11" i="91"/>
  <c r="A11" i="86"/>
  <c r="A12" i="86" s="1"/>
  <c r="A13" i="86" s="1"/>
  <c r="B10" i="86"/>
  <c r="B12" i="87"/>
  <c r="A13" i="87"/>
  <c r="A18" i="84"/>
  <c r="B17" i="84"/>
  <c r="A11" i="28"/>
  <c r="B11" i="28" s="1"/>
  <c r="A15" i="105"/>
  <c r="B14" i="105"/>
  <c r="H244" i="91" l="1"/>
  <c r="H246" i="91" s="1"/>
  <c r="H275" i="91" s="1"/>
  <c r="H277" i="91" s="1"/>
  <c r="H302" i="91" s="1"/>
  <c r="H304" i="91" s="1"/>
  <c r="H330" i="91" s="1"/>
  <c r="H332" i="91" s="1"/>
  <c r="H360" i="91" s="1"/>
  <c r="H362" i="91" s="1"/>
  <c r="H400" i="91" s="1"/>
  <c r="B11" i="91"/>
  <c r="A12" i="91"/>
  <c r="A14" i="86"/>
  <c r="A15" i="86" s="1"/>
  <c r="B13" i="86"/>
  <c r="B13" i="87"/>
  <c r="A14" i="87"/>
  <c r="A19" i="84"/>
  <c r="B18" i="84"/>
  <c r="A12" i="28"/>
  <c r="B12" i="28" s="1"/>
  <c r="B15" i="105"/>
  <c r="A16" i="105"/>
  <c r="A13" i="91" l="1"/>
  <c r="B12" i="91"/>
  <c r="A17" i="86"/>
  <c r="A15" i="87"/>
  <c r="B14" i="87"/>
  <c r="A20" i="84"/>
  <c r="B19" i="84"/>
  <c r="A13" i="28"/>
  <c r="B13" i="28" s="1"/>
  <c r="B16" i="105"/>
  <c r="A17" i="105"/>
  <c r="A14" i="91" l="1"/>
  <c r="B13" i="91"/>
  <c r="A18" i="86"/>
  <c r="B17" i="86"/>
  <c r="A16" i="87"/>
  <c r="B15" i="87"/>
  <c r="B20" i="84"/>
  <c r="A21" i="84"/>
  <c r="A14" i="28"/>
  <c r="B14" i="28" s="1"/>
  <c r="A18" i="105"/>
  <c r="B17" i="105"/>
  <c r="B14" i="91" l="1"/>
  <c r="A15" i="91"/>
  <c r="B18" i="86"/>
  <c r="A19" i="86"/>
  <c r="B16" i="87"/>
  <c r="A17" i="87"/>
  <c r="A22" i="84"/>
  <c r="B21" i="84"/>
  <c r="A15" i="28"/>
  <c r="B15" i="28" s="1"/>
  <c r="B18" i="105"/>
  <c r="A19" i="105"/>
  <c r="B15" i="91" l="1"/>
  <c r="A16" i="91"/>
  <c r="B19" i="86"/>
  <c r="A20" i="86"/>
  <c r="B17" i="87"/>
  <c r="A18" i="87"/>
  <c r="A23" i="84"/>
  <c r="B22" i="84"/>
  <c r="A16" i="28"/>
  <c r="B16" i="28" s="1"/>
  <c r="B19" i="105"/>
  <c r="A20" i="105"/>
  <c r="A24" i="84" l="1"/>
  <c r="A25" i="84" s="1"/>
  <c r="A26" i="84" s="1"/>
  <c r="B23" i="84"/>
  <c r="A17" i="91"/>
  <c r="B16" i="91"/>
  <c r="A21" i="86"/>
  <c r="B20" i="86"/>
  <c r="A19" i="87"/>
  <c r="B18" i="87"/>
  <c r="B25" i="84"/>
  <c r="A17" i="28"/>
  <c r="B17" i="28" s="1"/>
  <c r="A21" i="105"/>
  <c r="B20" i="105"/>
  <c r="A28" i="84" l="1"/>
  <c r="A29" i="84" s="1"/>
  <c r="A30" i="84" s="1"/>
  <c r="A31" i="84" s="1"/>
  <c r="A32" i="84" s="1"/>
  <c r="A33" i="84" s="1"/>
  <c r="A34" i="84" s="1"/>
  <c r="B26" i="84"/>
  <c r="A18" i="91"/>
  <c r="B17" i="91"/>
  <c r="B21" i="86"/>
  <c r="A22" i="86"/>
  <c r="A23" i="86" s="1"/>
  <c r="A24" i="86" s="1"/>
  <c r="A20" i="87"/>
  <c r="B19" i="87"/>
  <c r="A18" i="28"/>
  <c r="A22" i="105"/>
  <c r="B21" i="105"/>
  <c r="B29" i="84" l="1"/>
  <c r="B18" i="91"/>
  <c r="A19" i="91"/>
  <c r="A25" i="86"/>
  <c r="A26" i="86" s="1"/>
  <c r="A27" i="86" s="1"/>
  <c r="A28" i="86" s="1"/>
  <c r="B24" i="86"/>
  <c r="B20" i="87"/>
  <c r="A21" i="87"/>
  <c r="B32" i="84"/>
  <c r="A19" i="28"/>
  <c r="B19" i="28" s="1"/>
  <c r="A23" i="105"/>
  <c r="B22" i="105"/>
  <c r="A38" i="84"/>
  <c r="A39" i="84" s="1"/>
  <c r="A40" i="84" s="1"/>
  <c r="B40" i="84" l="1"/>
  <c r="A41" i="84"/>
  <c r="B19" i="91"/>
  <c r="A20" i="91"/>
  <c r="B27" i="86"/>
  <c r="B21" i="87"/>
  <c r="A22" i="87"/>
  <c r="A20" i="28"/>
  <c r="B20" i="28" s="1"/>
  <c r="B23" i="105"/>
  <c r="A24" i="105"/>
  <c r="A25" i="105" s="1"/>
  <c r="A26" i="105" l="1"/>
  <c r="B25" i="105"/>
  <c r="A42" i="84"/>
  <c r="B41" i="84"/>
  <c r="A21" i="91"/>
  <c r="B20" i="91"/>
  <c r="A36" i="86"/>
  <c r="A37" i="86" s="1"/>
  <c r="A38" i="86" s="1"/>
  <c r="A23" i="87"/>
  <c r="A24" i="87" s="1"/>
  <c r="B22" i="87"/>
  <c r="A21" i="28"/>
  <c r="B21" i="28" s="1"/>
  <c r="B24" i="105"/>
  <c r="A27" i="105" l="1"/>
  <c r="A31" i="105" s="1"/>
  <c r="B26" i="105"/>
  <c r="B42" i="84"/>
  <c r="A43" i="84"/>
  <c r="B38" i="86"/>
  <c r="A39" i="86"/>
  <c r="A40" i="86" s="1"/>
  <c r="A41" i="86" s="1"/>
  <c r="A25" i="87"/>
  <c r="A32" i="87" s="1"/>
  <c r="A33" i="87" s="1"/>
  <c r="A34" i="87" s="1"/>
  <c r="B24" i="87"/>
  <c r="A22" i="91"/>
  <c r="B21" i="91"/>
  <c r="B23" i="87"/>
  <c r="A22" i="28"/>
  <c r="B22" i="28" s="1"/>
  <c r="A44" i="84" l="1"/>
  <c r="B43" i="84"/>
  <c r="B41" i="86"/>
  <c r="A42" i="86"/>
  <c r="B22" i="91"/>
  <c r="A23" i="91"/>
  <c r="A35" i="87"/>
  <c r="B34" i="87"/>
  <c r="A23" i="28"/>
  <c r="B23" i="28" s="1"/>
  <c r="B44" i="84" l="1"/>
  <c r="A45" i="84"/>
  <c r="A43" i="86"/>
  <c r="A44" i="86" s="1"/>
  <c r="B44" i="86" s="1"/>
  <c r="B42" i="86"/>
  <c r="B23" i="91"/>
  <c r="A24" i="91"/>
  <c r="B35" i="87"/>
  <c r="A36" i="87"/>
  <c r="A37" i="87" s="1"/>
  <c r="A38" i="87" s="1"/>
  <c r="A24" i="28"/>
  <c r="B24" i="28" s="1"/>
  <c r="A46" i="84" l="1"/>
  <c r="A47" i="84" s="1"/>
  <c r="A48" i="84" s="1"/>
  <c r="B45" i="84"/>
  <c r="A45" i="86"/>
  <c r="A46" i="86" s="1"/>
  <c r="A47" i="86" s="1"/>
  <c r="B48" i="86"/>
  <c r="A25" i="91"/>
  <c r="B24" i="91"/>
  <c r="B46" i="86"/>
  <c r="B38" i="87"/>
  <c r="A39" i="87"/>
  <c r="A25" i="28"/>
  <c r="B25" i="28" s="1"/>
  <c r="B48" i="84" l="1"/>
  <c r="A49" i="84"/>
  <c r="B45" i="86"/>
  <c r="A48" i="86"/>
  <c r="A49" i="86" s="1"/>
  <c r="A50" i="86" s="1"/>
  <c r="B47" i="86"/>
  <c r="B49" i="86"/>
  <c r="A26" i="91"/>
  <c r="B25" i="91"/>
  <c r="B39" i="87"/>
  <c r="A40" i="87"/>
  <c r="A41" i="87" s="1"/>
  <c r="A42" i="87" s="1"/>
  <c r="A26" i="28"/>
  <c r="B26" i="28" s="1"/>
  <c r="A50" i="84" l="1"/>
  <c r="B49" i="84"/>
  <c r="A51" i="86"/>
  <c r="B50" i="86"/>
  <c r="B26" i="91"/>
  <c r="A27" i="91"/>
  <c r="B42" i="87"/>
  <c r="A43" i="87"/>
  <c r="A44" i="87" s="1"/>
  <c r="A27" i="28"/>
  <c r="B27" i="28" s="1"/>
  <c r="A32" i="105"/>
  <c r="A33" i="105" s="1"/>
  <c r="B50" i="84" l="1"/>
  <c r="A51" i="84"/>
  <c r="A52" i="84" s="1"/>
  <c r="A53" i="84" s="1"/>
  <c r="A52" i="86"/>
  <c r="B51" i="86"/>
  <c r="B27" i="91"/>
  <c r="A28" i="91"/>
  <c r="A45" i="87"/>
  <c r="A46" i="87" s="1"/>
  <c r="A47" i="87" s="1"/>
  <c r="A48" i="87" s="1"/>
  <c r="A49" i="87" s="1"/>
  <c r="A50" i="87" s="1"/>
  <c r="A51" i="87" s="1"/>
  <c r="A52" i="87" s="1"/>
  <c r="A53" i="87" s="1"/>
  <c r="A54" i="87" s="1"/>
  <c r="A55" i="87" s="1"/>
  <c r="A56" i="87" s="1"/>
  <c r="A57" i="87" s="1"/>
  <c r="A58" i="87" s="1"/>
  <c r="A59" i="87" s="1"/>
  <c r="A60" i="87" s="1"/>
  <c r="A61" i="87" s="1"/>
  <c r="A66" i="87" s="1"/>
  <c r="B44" i="87"/>
  <c r="A28" i="28"/>
  <c r="A34" i="105"/>
  <c r="B33" i="105"/>
  <c r="B28" i="28" l="1"/>
  <c r="A33" i="28"/>
  <c r="A34" i="28" s="1"/>
  <c r="A35" i="28" s="1"/>
  <c r="A54" i="84"/>
  <c r="A53" i="86"/>
  <c r="B52" i="86"/>
  <c r="A29" i="91"/>
  <c r="B28" i="91"/>
  <c r="A67" i="87"/>
  <c r="A68" i="87" s="1"/>
  <c r="A69" i="87" s="1"/>
  <c r="A70" i="87" s="1"/>
  <c r="A35" i="105"/>
  <c r="B34" i="105"/>
  <c r="A36" i="28" l="1"/>
  <c r="A37" i="28" s="1"/>
  <c r="A38" i="28" s="1"/>
  <c r="B35" i="28"/>
  <c r="B54" i="84"/>
  <c r="A55" i="84"/>
  <c r="B53" i="86"/>
  <c r="A54" i="86"/>
  <c r="A30" i="91"/>
  <c r="B29" i="91"/>
  <c r="B69" i="87"/>
  <c r="B70" i="87"/>
  <c r="A71" i="87"/>
  <c r="A36" i="105"/>
  <c r="B35" i="105"/>
  <c r="A39" i="28" l="1"/>
  <c r="B38" i="28"/>
  <c r="A56" i="84"/>
  <c r="B55" i="84"/>
  <c r="A55" i="86"/>
  <c r="B54" i="86"/>
  <c r="B30" i="91"/>
  <c r="A31" i="91"/>
  <c r="A72" i="87"/>
  <c r="B71" i="87"/>
  <c r="B33" i="28"/>
  <c r="A37" i="105"/>
  <c r="A38" i="105" s="1"/>
  <c r="A39" i="105" s="1"/>
  <c r="B36" i="105"/>
  <c r="A40" i="28" l="1"/>
  <c r="B39" i="28"/>
  <c r="B56" i="84"/>
  <c r="A57" i="84"/>
  <c r="A56" i="86"/>
  <c r="B55" i="86"/>
  <c r="B34" i="28"/>
  <c r="B31" i="91"/>
  <c r="A32" i="91"/>
  <c r="B72" i="87"/>
  <c r="A73" i="87"/>
  <c r="A40" i="105"/>
  <c r="B39" i="105"/>
  <c r="A41" i="28" l="1"/>
  <c r="A42" i="28" s="1"/>
  <c r="A43" i="28" s="1"/>
  <c r="A44" i="28" s="1"/>
  <c r="A45" i="28" s="1"/>
  <c r="A46" i="28" s="1"/>
  <c r="B40" i="28"/>
  <c r="A58" i="84"/>
  <c r="B57" i="84"/>
  <c r="A57" i="86"/>
  <c r="B56" i="86"/>
  <c r="B36" i="28"/>
  <c r="A33" i="91"/>
  <c r="A34" i="91" s="1"/>
  <c r="A37" i="91" s="1"/>
  <c r="B32" i="91"/>
  <c r="A74" i="87"/>
  <c r="B73" i="87"/>
  <c r="A41" i="105"/>
  <c r="B40" i="105"/>
  <c r="A47" i="28" l="1"/>
  <c r="A48" i="28" s="1"/>
  <c r="A49" i="28" s="1"/>
  <c r="A50" i="28" s="1"/>
  <c r="A51" i="28" s="1"/>
  <c r="A52" i="28" s="1"/>
  <c r="A53" i="28" s="1"/>
  <c r="A54" i="28" s="1"/>
  <c r="A55" i="28" s="1"/>
  <c r="A56" i="28" s="1"/>
  <c r="A57" i="28" s="1"/>
  <c r="A58" i="28" s="1"/>
  <c r="A59" i="28" s="1"/>
  <c r="A60" i="28" s="1"/>
  <c r="A61" i="28" s="1"/>
  <c r="B46" i="28"/>
  <c r="A38" i="91"/>
  <c r="A42" i="91" s="1"/>
  <c r="A43" i="91" s="1"/>
  <c r="A44" i="91" s="1"/>
  <c r="B44" i="91" s="1"/>
  <c r="B37" i="91"/>
  <c r="B58" i="84"/>
  <c r="A59" i="84"/>
  <c r="A58" i="86"/>
  <c r="B57" i="86"/>
  <c r="B37" i="28"/>
  <c r="A75" i="87"/>
  <c r="B74" i="87"/>
  <c r="A42" i="105"/>
  <c r="B41" i="105"/>
  <c r="A62" i="28" l="1"/>
  <c r="B61" i="28"/>
  <c r="B41" i="28"/>
  <c r="A45" i="91"/>
  <c r="B45" i="91" s="1"/>
  <c r="A60" i="84"/>
  <c r="A61" i="84" s="1"/>
  <c r="A62" i="84" s="1"/>
  <c r="B59" i="84"/>
  <c r="A59" i="86"/>
  <c r="B58" i="86"/>
  <c r="B75" i="87"/>
  <c r="A76" i="87"/>
  <c r="A43" i="105"/>
  <c r="B42" i="105"/>
  <c r="A63" i="28" l="1"/>
  <c r="A64" i="28" s="1"/>
  <c r="A65" i="28" s="1"/>
  <c r="A66" i="28" s="1"/>
  <c r="A67" i="28" s="1"/>
  <c r="A68" i="28" s="1"/>
  <c r="A69" i="28" s="1"/>
  <c r="B62" i="28"/>
  <c r="B42" i="28"/>
  <c r="A46" i="91"/>
  <c r="A47" i="91" s="1"/>
  <c r="B62" i="84"/>
  <c r="A63" i="84"/>
  <c r="A60" i="86"/>
  <c r="B59" i="86"/>
  <c r="A77" i="87"/>
  <c r="B76" i="87"/>
  <c r="B43" i="105"/>
  <c r="A44" i="105"/>
  <c r="B46" i="91" l="1"/>
  <c r="B43" i="28"/>
  <c r="A48" i="91"/>
  <c r="B47" i="91"/>
  <c r="A64" i="84"/>
  <c r="B63" i="84"/>
  <c r="A61" i="86"/>
  <c r="A62" i="86" s="1"/>
  <c r="B60" i="86"/>
  <c r="B77" i="87"/>
  <c r="A78" i="87"/>
  <c r="A45" i="105"/>
  <c r="B44" i="105"/>
  <c r="B44" i="28" l="1"/>
  <c r="A49" i="91"/>
  <c r="B48" i="91"/>
  <c r="B64" i="84"/>
  <c r="A65" i="84"/>
  <c r="A63" i="86"/>
  <c r="A68" i="86" s="1"/>
  <c r="A69" i="86" s="1"/>
  <c r="A70" i="86" s="1"/>
  <c r="A71" i="86" s="1"/>
  <c r="B62" i="86"/>
  <c r="A79" i="87"/>
  <c r="B78" i="87"/>
  <c r="A47" i="105"/>
  <c r="A48" i="105" s="1"/>
  <c r="B45" i="105"/>
  <c r="B45" i="28" l="1"/>
  <c r="A50" i="91"/>
  <c r="B49" i="91"/>
  <c r="A66" i="84"/>
  <c r="B65" i="84"/>
  <c r="A72" i="86"/>
  <c r="A73" i="86" s="1"/>
  <c r="A74" i="86" s="1"/>
  <c r="B71" i="86"/>
  <c r="B79" i="87"/>
  <c r="A80" i="87"/>
  <c r="A49" i="105"/>
  <c r="B48" i="105"/>
  <c r="B50" i="91" l="1"/>
  <c r="A51" i="91"/>
  <c r="B66" i="84"/>
  <c r="A67" i="84"/>
  <c r="B74" i="86"/>
  <c r="A75" i="86"/>
  <c r="A76" i="86" s="1"/>
  <c r="A77" i="86" s="1"/>
  <c r="B80" i="87"/>
  <c r="A81" i="87"/>
  <c r="A82" i="87" s="1"/>
  <c r="A83" i="87" s="1"/>
  <c r="A84" i="87" s="1"/>
  <c r="A85" i="87" s="1"/>
  <c r="A86" i="87" s="1"/>
  <c r="A87" i="87" s="1"/>
  <c r="A88" i="87" s="1"/>
  <c r="A89" i="87" s="1"/>
  <c r="A90" i="87" s="1"/>
  <c r="A91" i="87" s="1"/>
  <c r="A92" i="87" s="1"/>
  <c r="A93" i="87" s="1"/>
  <c r="A94" i="87" s="1"/>
  <c r="A95" i="87" s="1"/>
  <c r="A96" i="87" s="1"/>
  <c r="A50" i="105"/>
  <c r="B49" i="105"/>
  <c r="B51" i="91" l="1"/>
  <c r="A52" i="91"/>
  <c r="B67" i="84"/>
  <c r="A68" i="84"/>
  <c r="A78" i="86"/>
  <c r="A79" i="86" s="1"/>
  <c r="A80" i="86" s="1"/>
  <c r="A81" i="86" s="1"/>
  <c r="B77" i="86"/>
  <c r="B50" i="105"/>
  <c r="A51" i="105"/>
  <c r="B47" i="28" l="1"/>
  <c r="A53" i="91"/>
  <c r="B52" i="91"/>
  <c r="A69" i="84"/>
  <c r="A74" i="84" s="1"/>
  <c r="A75" i="84" s="1"/>
  <c r="A76" i="84" s="1"/>
  <c r="B68" i="84"/>
  <c r="A82" i="86"/>
  <c r="A83" i="86" s="1"/>
  <c r="A84" i="86" s="1"/>
  <c r="B81" i="86"/>
  <c r="A52" i="105"/>
  <c r="A53" i="105" s="1"/>
  <c r="A54" i="105" s="1"/>
  <c r="A55" i="105" s="1"/>
  <c r="A56" i="105" s="1"/>
  <c r="A60" i="105" s="1"/>
  <c r="B51" i="105"/>
  <c r="B48" i="28" l="1"/>
  <c r="A54" i="91"/>
  <c r="B53" i="91"/>
  <c r="B76" i="84"/>
  <c r="A77" i="84"/>
  <c r="B84" i="86"/>
  <c r="A85" i="86"/>
  <c r="A86" i="86" s="1"/>
  <c r="A87" i="86" s="1"/>
  <c r="A88" i="86" s="1"/>
  <c r="A61" i="105"/>
  <c r="B49" i="28" l="1"/>
  <c r="A55" i="91"/>
  <c r="B54" i="91"/>
  <c r="A78" i="84"/>
  <c r="A79" i="84" s="1"/>
  <c r="B77" i="84"/>
  <c r="B88" i="86"/>
  <c r="A89" i="86"/>
  <c r="A90" i="86" s="1"/>
  <c r="A95" i="86" s="1"/>
  <c r="B50" i="28" l="1"/>
  <c r="B55" i="91"/>
  <c r="A56" i="91"/>
  <c r="A80" i="84"/>
  <c r="A81" i="84" s="1"/>
  <c r="A82" i="84" s="1"/>
  <c r="A83" i="84" s="1"/>
  <c r="A84" i="84" s="1"/>
  <c r="A85" i="84" s="1"/>
  <c r="A86" i="84" s="1"/>
  <c r="A87" i="84" s="1"/>
  <c r="A88" i="84" s="1"/>
  <c r="A89" i="84" s="1"/>
  <c r="A90" i="84" s="1"/>
  <c r="A91" i="84" s="1"/>
  <c r="A92" i="84" s="1"/>
  <c r="A93" i="84" s="1"/>
  <c r="A94" i="84" s="1"/>
  <c r="A95" i="84" s="1"/>
  <c r="A96" i="84" s="1"/>
  <c r="A97" i="84" s="1"/>
  <c r="A98" i="84" s="1"/>
  <c r="A99" i="84" s="1"/>
  <c r="A100" i="84" s="1"/>
  <c r="A101" i="84" s="1"/>
  <c r="A102" i="84" s="1"/>
  <c r="A103" i="84" s="1"/>
  <c r="A104" i="84" s="1"/>
  <c r="A105" i="84" s="1"/>
  <c r="A106" i="84" s="1"/>
  <c r="A107" i="84" s="1"/>
  <c r="A108" i="84" s="1"/>
  <c r="A109" i="84" s="1"/>
  <c r="A111" i="84" s="1"/>
  <c r="B79" i="84"/>
  <c r="A96" i="86"/>
  <c r="A97" i="86" s="1"/>
  <c r="A98" i="86" s="1"/>
  <c r="A99" i="86" s="1"/>
  <c r="B51" i="28" l="1"/>
  <c r="A57" i="91"/>
  <c r="B56" i="91"/>
  <c r="B99" i="86"/>
  <c r="A100" i="86"/>
  <c r="A101" i="86" s="1"/>
  <c r="A102" i="86" s="1"/>
  <c r="A103" i="86" s="1"/>
  <c r="A104" i="86" s="1"/>
  <c r="A105" i="86" s="1"/>
  <c r="A106" i="86" s="1"/>
  <c r="A107" i="86" s="1"/>
  <c r="A108" i="86" s="1"/>
  <c r="A109" i="86" s="1"/>
  <c r="A110" i="86" s="1"/>
  <c r="A111" i="86" s="1"/>
  <c r="A112" i="86" s="1"/>
  <c r="A113" i="86" s="1"/>
  <c r="A114" i="86" s="1"/>
  <c r="A115" i="86" s="1"/>
  <c r="A116" i="86" s="1"/>
  <c r="A117" i="86" s="1"/>
  <c r="A118" i="86" s="1"/>
  <c r="A119" i="86" s="1"/>
  <c r="A120" i="86" s="1"/>
  <c r="A121" i="86" s="1"/>
  <c r="A122" i="86" s="1"/>
  <c r="A123" i="86" s="1"/>
  <c r="A124" i="86" s="1"/>
  <c r="A125" i="86" s="1"/>
  <c r="A126" i="86" s="1"/>
  <c r="A127" i="86" s="1"/>
  <c r="A128" i="86" s="1"/>
  <c r="A129" i="86" s="1"/>
  <c r="A130" i="86" s="1"/>
  <c r="A131" i="86" s="1"/>
  <c r="A132" i="86" s="1"/>
  <c r="A133" i="86" s="1"/>
  <c r="B96" i="86"/>
  <c r="B52" i="28" l="1"/>
  <c r="A58" i="91"/>
  <c r="B57" i="91"/>
  <c r="B53" i="28" l="1"/>
  <c r="A59" i="91"/>
  <c r="B58" i="91"/>
  <c r="B54" i="28" l="1"/>
  <c r="B59" i="91"/>
  <c r="A60" i="91"/>
  <c r="A61" i="91" s="1"/>
  <c r="A62" i="105"/>
  <c r="B55" i="28" l="1"/>
  <c r="B61" i="91"/>
  <c r="A62" i="91"/>
  <c r="B60" i="91"/>
  <c r="B62" i="105"/>
  <c r="A63" i="105"/>
  <c r="A63" i="91" l="1"/>
  <c r="A64" i="91" s="1"/>
  <c r="A65" i="91" s="1"/>
  <c r="B62" i="91"/>
  <c r="B56" i="28"/>
  <c r="B63" i="91"/>
  <c r="A64" i="105"/>
  <c r="B63" i="105"/>
  <c r="B57" i="28" l="1"/>
  <c r="A66" i="91"/>
  <c r="A67" i="91" s="1"/>
  <c r="A68" i="91" s="1"/>
  <c r="B65" i="91"/>
  <c r="B64" i="105"/>
  <c r="A65" i="105"/>
  <c r="B58" i="28" l="1"/>
  <c r="A69" i="91"/>
  <c r="A74" i="91" s="1"/>
  <c r="B68" i="91"/>
  <c r="A66" i="105"/>
  <c r="B65" i="105"/>
  <c r="B59" i="28" l="1"/>
  <c r="B66" i="105"/>
  <c r="A67" i="105"/>
  <c r="B60" i="28" l="1"/>
  <c r="A68" i="105"/>
  <c r="B67" i="105"/>
  <c r="A73" i="28" l="1"/>
  <c r="B74" i="91"/>
  <c r="A75" i="91"/>
  <c r="B68" i="105"/>
  <c r="A69" i="105"/>
  <c r="A74" i="28" l="1"/>
  <c r="B73" i="28"/>
  <c r="A76" i="91"/>
  <c r="A77" i="91" s="1"/>
  <c r="B75" i="91"/>
  <c r="A70" i="105"/>
  <c r="B70" i="105" s="1"/>
  <c r="B69" i="105"/>
  <c r="A75" i="28" l="1"/>
  <c r="B74" i="28"/>
  <c r="B76" i="91"/>
  <c r="A78" i="91"/>
  <c r="B77" i="91"/>
  <c r="A71" i="105"/>
  <c r="A72" i="105" s="1"/>
  <c r="A76" i="28" l="1"/>
  <c r="B75" i="28"/>
  <c r="A79" i="91"/>
  <c r="B78" i="91"/>
  <c r="A73" i="105"/>
  <c r="B72" i="105"/>
  <c r="A77" i="28" l="1"/>
  <c r="B76" i="28"/>
  <c r="A80" i="91"/>
  <c r="B79" i="91"/>
  <c r="B73" i="105"/>
  <c r="A74" i="105"/>
  <c r="B77" i="28" l="1"/>
  <c r="A78" i="28"/>
  <c r="A81" i="91"/>
  <c r="B80" i="91"/>
  <c r="B74" i="105"/>
  <c r="A75" i="105"/>
  <c r="A79" i="28" l="1"/>
  <c r="B78" i="28"/>
  <c r="A82" i="91"/>
  <c r="B81" i="91"/>
  <c r="B81" i="28"/>
  <c r="B75" i="105"/>
  <c r="A76" i="105"/>
  <c r="A80" i="28" l="1"/>
  <c r="B79" i="28"/>
  <c r="B82" i="28"/>
  <c r="A83" i="91"/>
  <c r="B82" i="91"/>
  <c r="A77" i="105"/>
  <c r="B76" i="105"/>
  <c r="A81" i="28" l="1"/>
  <c r="A82" i="28" s="1"/>
  <c r="A83" i="28" s="1"/>
  <c r="A84" i="28" s="1"/>
  <c r="B80" i="28"/>
  <c r="B83" i="28"/>
  <c r="B83" i="91"/>
  <c r="A84" i="91"/>
  <c r="A78" i="105"/>
  <c r="B77" i="105"/>
  <c r="A85" i="28" l="1"/>
  <c r="B84" i="28"/>
  <c r="A85" i="91"/>
  <c r="B84" i="91"/>
  <c r="A79" i="105"/>
  <c r="B78" i="105"/>
  <c r="B85" i="28" l="1"/>
  <c r="A86" i="28"/>
  <c r="A86" i="91"/>
  <c r="B85" i="91"/>
  <c r="B79" i="105"/>
  <c r="A80" i="105"/>
  <c r="A87" i="105" l="1"/>
  <c r="A88" i="105" s="1"/>
  <c r="B80" i="105"/>
  <c r="A87" i="28"/>
  <c r="B86" i="28"/>
  <c r="A87" i="91"/>
  <c r="B86" i="91"/>
  <c r="A81" i="105"/>
  <c r="B81" i="105" s="1"/>
  <c r="A88" i="28" l="1"/>
  <c r="B87" i="28"/>
  <c r="A88" i="91"/>
  <c r="B87" i="91"/>
  <c r="A89" i="105"/>
  <c r="A89" i="28" l="1"/>
  <c r="B88" i="28"/>
  <c r="B88" i="91"/>
  <c r="A89" i="91"/>
  <c r="B89" i="105"/>
  <c r="A90" i="105"/>
  <c r="A91" i="105" s="1"/>
  <c r="B89" i="28" l="1"/>
  <c r="A90" i="28"/>
  <c r="B89" i="91"/>
  <c r="A90" i="91"/>
  <c r="A92" i="105"/>
  <c r="A93" i="105" s="1"/>
  <c r="A94" i="105" s="1"/>
  <c r="B91" i="105"/>
  <c r="B92" i="105"/>
  <c r="B90" i="28" l="1"/>
  <c r="A91" i="28"/>
  <c r="A91" i="91"/>
  <c r="B90" i="91"/>
  <c r="A95" i="105"/>
  <c r="A96" i="105" s="1"/>
  <c r="A97" i="105" s="1"/>
  <c r="B94" i="105"/>
  <c r="B95" i="105"/>
  <c r="A92" i="28" l="1"/>
  <c r="B91" i="28"/>
  <c r="B91" i="91"/>
  <c r="A92" i="91"/>
  <c r="A98" i="105"/>
  <c r="A99" i="105" s="1"/>
  <c r="A100" i="105" s="1"/>
  <c r="B97" i="105"/>
  <c r="B98" i="105"/>
  <c r="B92" i="28" l="1"/>
  <c r="A93" i="28"/>
  <c r="A101" i="105"/>
  <c r="A102" i="105" s="1"/>
  <c r="A103" i="105" s="1"/>
  <c r="A104" i="105" s="1"/>
  <c r="A105" i="105" s="1"/>
  <c r="A106" i="105" s="1"/>
  <c r="A107" i="105" s="1"/>
  <c r="A108" i="105" s="1"/>
  <c r="A109" i="105" s="1"/>
  <c r="A110" i="105" s="1"/>
  <c r="A111" i="105" s="1"/>
  <c r="A112" i="105" s="1"/>
  <c r="A113" i="105" s="1"/>
  <c r="B100" i="105"/>
  <c r="B92" i="91"/>
  <c r="A93" i="91"/>
  <c r="A94" i="28" l="1"/>
  <c r="B93" i="28"/>
  <c r="A114" i="105"/>
  <c r="A115" i="105" s="1"/>
  <c r="A116" i="105" s="1"/>
  <c r="A117" i="105" s="1"/>
  <c r="A118" i="105" s="1"/>
  <c r="A119" i="105" s="1"/>
  <c r="A120" i="105" s="1"/>
  <c r="A121" i="105" s="1"/>
  <c r="A122" i="105" s="1"/>
  <c r="A126" i="105" s="1"/>
  <c r="A127" i="105" s="1"/>
  <c r="A128" i="105" s="1"/>
  <c r="A129" i="105" s="1"/>
  <c r="A130" i="105" s="1"/>
  <c r="A94" i="91"/>
  <c r="B93" i="91"/>
  <c r="A95" i="28" l="1"/>
  <c r="B94" i="28"/>
  <c r="A131" i="105"/>
  <c r="B130" i="105"/>
  <c r="A95" i="91"/>
  <c r="B94" i="91"/>
  <c r="B112" i="28"/>
  <c r="B95" i="28" l="1"/>
  <c r="A96" i="28"/>
  <c r="A132" i="105"/>
  <c r="B131" i="105"/>
  <c r="B95" i="91"/>
  <c r="A96" i="91"/>
  <c r="B96" i="28" l="1"/>
  <c r="A97" i="28"/>
  <c r="B132" i="105"/>
  <c r="A133" i="105"/>
  <c r="B96" i="91"/>
  <c r="A97" i="91"/>
  <c r="B97" i="28" l="1"/>
  <c r="A98" i="28"/>
  <c r="A134" i="105"/>
  <c r="B133" i="105"/>
  <c r="A98" i="91"/>
  <c r="B97" i="91"/>
  <c r="A99" i="28" l="1"/>
  <c r="B98" i="28"/>
  <c r="B134" i="105"/>
  <c r="A135" i="105"/>
  <c r="A99" i="91"/>
  <c r="A100" i="91" s="1"/>
  <c r="A101" i="91" s="1"/>
  <c r="A102" i="91" s="1"/>
  <c r="A103" i="91" s="1"/>
  <c r="B98" i="91"/>
  <c r="A100" i="28" l="1"/>
  <c r="A136" i="105"/>
  <c r="B135" i="105"/>
  <c r="B99" i="91"/>
  <c r="A101" i="28" l="1"/>
  <c r="A137" i="105"/>
  <c r="A138" i="105" s="1"/>
  <c r="A139" i="105" s="1"/>
  <c r="B136" i="105"/>
  <c r="A108" i="91"/>
  <c r="A109" i="91" s="1"/>
  <c r="A102" i="28" l="1"/>
  <c r="A140" i="105"/>
  <c r="B139" i="105"/>
  <c r="B109" i="91"/>
  <c r="A110" i="91"/>
  <c r="A103" i="28" l="1"/>
  <c r="A108" i="28" s="1"/>
  <c r="A109" i="28" s="1"/>
  <c r="A141" i="105"/>
  <c r="B140" i="105"/>
  <c r="A111" i="91"/>
  <c r="B110" i="91"/>
  <c r="A110" i="28" l="1"/>
  <c r="B109" i="28"/>
  <c r="B141" i="105"/>
  <c r="A142" i="105"/>
  <c r="A112" i="91"/>
  <c r="B111" i="91"/>
  <c r="A111" i="28" l="1"/>
  <c r="B110" i="28"/>
  <c r="A143" i="105"/>
  <c r="B142" i="105"/>
  <c r="A113" i="91"/>
  <c r="B112" i="91"/>
  <c r="A112" i="28" l="1"/>
  <c r="A113" i="28" s="1"/>
  <c r="B111" i="28"/>
  <c r="A144" i="105"/>
  <c r="B143" i="105"/>
  <c r="B113" i="91"/>
  <c r="A114" i="91"/>
  <c r="A114" i="28" l="1"/>
  <c r="A115" i="28" s="1"/>
  <c r="B113" i="28"/>
  <c r="B114" i="28"/>
  <c r="A145" i="105"/>
  <c r="B144" i="105"/>
  <c r="A115" i="91"/>
  <c r="B114" i="91"/>
  <c r="B115" i="28" l="1"/>
  <c r="A116" i="28"/>
  <c r="B145" i="105"/>
  <c r="A146" i="105"/>
  <c r="A147" i="105" s="1"/>
  <c r="A148" i="105" s="1"/>
  <c r="A116" i="91"/>
  <c r="B115" i="91"/>
  <c r="A117" i="28" l="1"/>
  <c r="B116" i="28"/>
  <c r="A149" i="105"/>
  <c r="B148" i="105"/>
  <c r="B116" i="91"/>
  <c r="A117" i="91"/>
  <c r="A118" i="28" l="1"/>
  <c r="B117" i="28"/>
  <c r="A150" i="105"/>
  <c r="B149" i="105"/>
  <c r="B117" i="91"/>
  <c r="A118" i="91"/>
  <c r="A119" i="28" l="1"/>
  <c r="B118" i="28"/>
  <c r="B150" i="105"/>
  <c r="A151" i="105"/>
  <c r="A119" i="91"/>
  <c r="B118" i="91"/>
  <c r="B119" i="28" l="1"/>
  <c r="A120" i="28"/>
  <c r="A152" i="105"/>
  <c r="B151" i="105"/>
  <c r="A120" i="91"/>
  <c r="B119" i="91"/>
  <c r="B120" i="28" l="1"/>
  <c r="A121" i="28"/>
  <c r="B152" i="105"/>
  <c r="A153" i="105"/>
  <c r="B120" i="91"/>
  <c r="A121" i="91"/>
  <c r="B121" i="28" l="1"/>
  <c r="A122" i="28"/>
  <c r="A154" i="105"/>
  <c r="A158" i="105" s="1"/>
  <c r="A159" i="105" s="1"/>
  <c r="A160" i="105" s="1"/>
  <c r="A161" i="105" s="1"/>
  <c r="B153" i="105"/>
  <c r="B121" i="91"/>
  <c r="A122" i="91"/>
  <c r="B122" i="28" l="1"/>
  <c r="A123" i="28"/>
  <c r="A162" i="105"/>
  <c r="A163" i="105" s="1"/>
  <c r="A164" i="105" s="1"/>
  <c r="B161" i="105"/>
  <c r="A123" i="91"/>
  <c r="B122" i="91"/>
  <c r="A124" i="28" l="1"/>
  <c r="B123" i="28"/>
  <c r="A165" i="105"/>
  <c r="A166" i="105" s="1"/>
  <c r="A167" i="105" s="1"/>
  <c r="B164" i="105"/>
  <c r="A124" i="91"/>
  <c r="B123" i="91"/>
  <c r="A125" i="28" l="1"/>
  <c r="B124" i="28"/>
  <c r="A168" i="105"/>
  <c r="B167" i="105"/>
  <c r="B124" i="91"/>
  <c r="A125" i="91"/>
  <c r="A126" i="28" l="1"/>
  <c r="B125" i="28"/>
  <c r="B168" i="105"/>
  <c r="A169" i="105"/>
  <c r="B125" i="91"/>
  <c r="A126" i="91"/>
  <c r="B126" i="28" l="1"/>
  <c r="A127" i="28"/>
  <c r="B169" i="105"/>
  <c r="A170" i="105"/>
  <c r="A127" i="91"/>
  <c r="B126" i="91"/>
  <c r="B127" i="28" l="1"/>
  <c r="A128" i="28"/>
  <c r="B170" i="105"/>
  <c r="A171" i="105"/>
  <c r="A172" i="105" s="1"/>
  <c r="A173" i="105" s="1"/>
  <c r="A128" i="91"/>
  <c r="B127" i="91"/>
  <c r="A129" i="28" l="1"/>
  <c r="B128" i="28"/>
  <c r="A174" i="105"/>
  <c r="B173" i="105"/>
  <c r="A129" i="91"/>
  <c r="B128" i="91"/>
  <c r="A130" i="28" l="1"/>
  <c r="A175" i="105"/>
  <c r="B174" i="105"/>
  <c r="B129" i="91"/>
  <c r="A130" i="91"/>
  <c r="A131" i="28" l="1"/>
  <c r="B175" i="105"/>
  <c r="A176" i="105"/>
  <c r="A177" i="105" s="1"/>
  <c r="A178" i="105" s="1"/>
  <c r="A131" i="91"/>
  <c r="B130" i="91"/>
  <c r="A132" i="28" l="1"/>
  <c r="A179" i="105"/>
  <c r="B178" i="105"/>
  <c r="A132" i="91"/>
  <c r="B131" i="91"/>
  <c r="A133" i="28" l="1"/>
  <c r="B132" i="28"/>
  <c r="A180" i="105"/>
  <c r="B179" i="105"/>
  <c r="B132" i="91"/>
  <c r="A133" i="91"/>
  <c r="A134" i="91" s="1"/>
  <c r="A135" i="91" s="1"/>
  <c r="A136" i="91" s="1"/>
  <c r="A140" i="91" s="1"/>
  <c r="A141" i="91" s="1"/>
  <c r="A142" i="91" s="1"/>
  <c r="A143" i="91" l="1"/>
  <c r="A144" i="91" s="1"/>
  <c r="B142" i="91"/>
  <c r="B133" i="28"/>
  <c r="A134" i="28"/>
  <c r="B180" i="105"/>
  <c r="A181" i="105"/>
  <c r="B143" i="91"/>
  <c r="A135" i="28" l="1"/>
  <c r="B134" i="28"/>
  <c r="A182" i="105"/>
  <c r="B181" i="105"/>
  <c r="A145" i="91"/>
  <c r="B144" i="91"/>
  <c r="A136" i="28" l="1"/>
  <c r="B135" i="28"/>
  <c r="A183" i="105"/>
  <c r="B182" i="105"/>
  <c r="B145" i="91"/>
  <c r="A146" i="91"/>
  <c r="A137" i="28" l="1"/>
  <c r="B136" i="28"/>
  <c r="A184" i="105"/>
  <c r="A185" i="105" s="1"/>
  <c r="A186" i="105" s="1"/>
  <c r="A187" i="105" s="1"/>
  <c r="B183" i="105"/>
  <c r="B146" i="91"/>
  <c r="A147" i="91"/>
  <c r="A138" i="28" l="1"/>
  <c r="B137" i="28"/>
  <c r="A191" i="105"/>
  <c r="A192" i="105" s="1"/>
  <c r="A193" i="105" s="1"/>
  <c r="B184" i="105"/>
  <c r="A148" i="91"/>
  <c r="B147" i="91"/>
  <c r="A139" i="28" l="1"/>
  <c r="B138" i="28"/>
  <c r="A194" i="105"/>
  <c r="B193" i="105"/>
  <c r="A149" i="91"/>
  <c r="B148" i="91"/>
  <c r="A140" i="28" l="1"/>
  <c r="B139" i="28"/>
  <c r="A195" i="105"/>
  <c r="B194" i="105"/>
  <c r="B149" i="91"/>
  <c r="A150" i="91"/>
  <c r="A141" i="28" l="1"/>
  <c r="B140" i="28"/>
  <c r="B195" i="105"/>
  <c r="A196" i="105"/>
  <c r="B150" i="91"/>
  <c r="A151" i="91"/>
  <c r="A142" i="28" l="1"/>
  <c r="B141" i="28"/>
  <c r="B196" i="105"/>
  <c r="A197" i="105"/>
  <c r="A152" i="91"/>
  <c r="B151" i="91"/>
  <c r="A147" i="28" l="1"/>
  <c r="B147" i="28" s="1"/>
  <c r="B142" i="28"/>
  <c r="A198" i="105"/>
  <c r="B197" i="105"/>
  <c r="A153" i="91"/>
  <c r="B152" i="91"/>
  <c r="A148" i="28" l="1"/>
  <c r="A199" i="105"/>
  <c r="B198" i="105"/>
  <c r="B153" i="91"/>
  <c r="A154" i="91"/>
  <c r="A149" i="28" l="1"/>
  <c r="B148" i="28"/>
  <c r="B199" i="105"/>
  <c r="A200" i="105"/>
  <c r="A201" i="105" s="1"/>
  <c r="A202" i="105" s="1"/>
  <c r="A203" i="105" s="1"/>
  <c r="B154" i="91"/>
  <c r="A155" i="91"/>
  <c r="A150" i="28" l="1"/>
  <c r="B149" i="28"/>
  <c r="A204" i="105"/>
  <c r="B203" i="105"/>
  <c r="A156" i="91"/>
  <c r="B155" i="91"/>
  <c r="A151" i="28" l="1"/>
  <c r="B150" i="28"/>
  <c r="B204" i="105"/>
  <c r="A205" i="105"/>
  <c r="A157" i="91"/>
  <c r="B156" i="91"/>
  <c r="A152" i="28" l="1"/>
  <c r="B151" i="28"/>
  <c r="A206" i="105"/>
  <c r="B205" i="105"/>
  <c r="B157" i="91"/>
  <c r="A158" i="91"/>
  <c r="A153" i="28" l="1"/>
  <c r="B152" i="28"/>
  <c r="B206" i="105"/>
  <c r="A207" i="105"/>
  <c r="B158" i="91"/>
  <c r="A159" i="91"/>
  <c r="A154" i="28" l="1"/>
  <c r="B153" i="28"/>
  <c r="A208" i="105"/>
  <c r="B207" i="105"/>
  <c r="A160" i="91"/>
  <c r="B159" i="91"/>
  <c r="A155" i="28" l="1"/>
  <c r="B154" i="28"/>
  <c r="A209" i="105"/>
  <c r="B208" i="105"/>
  <c r="A161" i="91"/>
  <c r="B160" i="91"/>
  <c r="A156" i="28" l="1"/>
  <c r="A210" i="105"/>
  <c r="A211" i="105" s="1"/>
  <c r="A212" i="105" s="1"/>
  <c r="B209" i="105"/>
  <c r="B161" i="91"/>
  <c r="A162" i="91"/>
  <c r="A157" i="28" l="1"/>
  <c r="A213" i="105"/>
  <c r="A214" i="105" s="1"/>
  <c r="A215" i="105" s="1"/>
  <c r="A216" i="105" s="1"/>
  <c r="A217" i="105" s="1"/>
  <c r="A223" i="105" s="1"/>
  <c r="A224" i="105" s="1"/>
  <c r="B212" i="105"/>
  <c r="B162" i="91"/>
  <c r="A163" i="91"/>
  <c r="A164" i="91" l="1"/>
  <c r="B164" i="91" s="1"/>
  <c r="B163" i="91"/>
  <c r="A158" i="28"/>
  <c r="A225" i="105"/>
  <c r="B224" i="105"/>
  <c r="A165" i="91"/>
  <c r="A166" i="91" l="1"/>
  <c r="A159" i="28"/>
  <c r="B158" i="28"/>
  <c r="B225" i="105"/>
  <c r="A226" i="105"/>
  <c r="A167" i="91" l="1"/>
  <c r="A160" i="28"/>
  <c r="B159" i="28"/>
  <c r="A227" i="105"/>
  <c r="B226" i="105"/>
  <c r="A168" i="91" l="1"/>
  <c r="A161" i="28"/>
  <c r="B160" i="28"/>
  <c r="B227" i="105"/>
  <c r="A228" i="105"/>
  <c r="B187" i="91"/>
  <c r="B188" i="91"/>
  <c r="A169" i="91" l="1"/>
  <c r="B168" i="91"/>
  <c r="A162" i="28"/>
  <c r="B161" i="28"/>
  <c r="A229" i="105"/>
  <c r="B228" i="105"/>
  <c r="B189" i="91"/>
  <c r="B169" i="91" l="1"/>
  <c r="A170" i="91"/>
  <c r="A163" i="28"/>
  <c r="B162" i="28"/>
  <c r="A230" i="105"/>
  <c r="A231" i="105" s="1"/>
  <c r="A232" i="105" s="1"/>
  <c r="A233" i="105" s="1"/>
  <c r="B229" i="105"/>
  <c r="B190" i="91"/>
  <c r="A171" i="91" l="1"/>
  <c r="B170" i="91"/>
  <c r="B163" i="28"/>
  <c r="A167" i="28"/>
  <c r="A234" i="105"/>
  <c r="B233" i="105"/>
  <c r="B230" i="105"/>
  <c r="B191" i="91"/>
  <c r="A172" i="91" l="1"/>
  <c r="B171" i="91"/>
  <c r="A168" i="28"/>
  <c r="B167" i="28"/>
  <c r="A235" i="105"/>
  <c r="B234" i="105"/>
  <c r="B192" i="91"/>
  <c r="A173" i="91" l="1"/>
  <c r="B172" i="91"/>
  <c r="A180" i="28"/>
  <c r="B168" i="28"/>
  <c r="B235" i="105"/>
  <c r="A236" i="105"/>
  <c r="B193" i="91"/>
  <c r="A174" i="91" l="1"/>
  <c r="B173" i="91"/>
  <c r="A181" i="28"/>
  <c r="B180" i="28"/>
  <c r="A237" i="105"/>
  <c r="B236" i="105"/>
  <c r="A175" i="91" l="1"/>
  <c r="B174" i="91"/>
  <c r="A182" i="28"/>
  <c r="B181" i="28"/>
  <c r="A238" i="105"/>
  <c r="B237" i="105"/>
  <c r="A176" i="91" l="1"/>
  <c r="B175" i="91"/>
  <c r="A183" i="28"/>
  <c r="B182" i="28"/>
  <c r="A239" i="105"/>
  <c r="A240" i="105" s="1"/>
  <c r="A241" i="105" s="1"/>
  <c r="A242" i="105" s="1"/>
  <c r="A243" i="105" s="1"/>
  <c r="A244" i="105" s="1"/>
  <c r="A245" i="105" s="1"/>
  <c r="A246" i="105" s="1"/>
  <c r="A247" i="105" s="1"/>
  <c r="A248" i="105" s="1"/>
  <c r="A249" i="105" s="1"/>
  <c r="A250" i="105" s="1"/>
  <c r="A251" i="105" s="1"/>
  <c r="A252" i="105" s="1"/>
  <c r="A253" i="105" s="1"/>
  <c r="A258" i="105" s="1"/>
  <c r="B238" i="105"/>
  <c r="A177" i="91" l="1"/>
  <c r="B176" i="91"/>
  <c r="A184" i="28"/>
  <c r="B183" i="28"/>
  <c r="B239" i="105"/>
  <c r="A259" i="105"/>
  <c r="A260" i="105" s="1"/>
  <c r="A261" i="105" s="1"/>
  <c r="B197" i="91"/>
  <c r="A181" i="91" l="1"/>
  <c r="B177" i="91"/>
  <c r="A185" i="28"/>
  <c r="A186" i="28" s="1"/>
  <c r="A187" i="28" s="1"/>
  <c r="A188" i="28" s="1"/>
  <c r="A194" i="28" s="1"/>
  <c r="A262" i="105"/>
  <c r="A263" i="105" s="1"/>
  <c r="A264" i="105" s="1"/>
  <c r="B261" i="105"/>
  <c r="B198" i="91"/>
  <c r="A182" i="91" l="1"/>
  <c r="B181" i="91"/>
  <c r="A195" i="28"/>
  <c r="B194" i="28"/>
  <c r="B264" i="105"/>
  <c r="A265" i="105"/>
  <c r="A266" i="105" s="1"/>
  <c r="A267" i="105" s="1"/>
  <c r="A268" i="105" s="1"/>
  <c r="A269" i="105" s="1"/>
  <c r="A270" i="105" s="1"/>
  <c r="A271" i="105" s="1"/>
  <c r="A272" i="105" s="1"/>
  <c r="A273" i="105" s="1"/>
  <c r="A274" i="105" s="1"/>
  <c r="A275" i="105" s="1"/>
  <c r="A276" i="105" s="1"/>
  <c r="A277" i="105" s="1"/>
  <c r="A278" i="105" s="1"/>
  <c r="A279" i="105" s="1"/>
  <c r="A280" i="105" s="1"/>
  <c r="A281" i="105" s="1"/>
  <c r="A282" i="105" s="1"/>
  <c r="A283" i="105" s="1"/>
  <c r="A284" i="105" s="1"/>
  <c r="A285" i="105" s="1"/>
  <c r="A286" i="105" s="1"/>
  <c r="A287" i="105" s="1"/>
  <c r="A288" i="105" s="1"/>
  <c r="A289" i="105" s="1"/>
  <c r="A290" i="105" s="1"/>
  <c r="A291" i="105" s="1"/>
  <c r="A292" i="105" s="1"/>
  <c r="A293" i="105" s="1"/>
  <c r="A183" i="91" l="1"/>
  <c r="B182" i="91"/>
  <c r="A196" i="28"/>
  <c r="B195" i="28"/>
  <c r="A184" i="91" l="1"/>
  <c r="B183" i="91"/>
  <c r="A197" i="28"/>
  <c r="B196" i="28"/>
  <c r="A185" i="91" l="1"/>
  <c r="B184" i="91"/>
  <c r="A198" i="28"/>
  <c r="B197" i="28"/>
  <c r="A186" i="91" l="1"/>
  <c r="B185" i="91"/>
  <c r="A199" i="28"/>
  <c r="B198" i="28"/>
  <c r="A187" i="91" l="1"/>
  <c r="A188" i="91" s="1"/>
  <c r="A189" i="91" s="1"/>
  <c r="A190" i="91" s="1"/>
  <c r="A191" i="91" s="1"/>
  <c r="A192" i="91" s="1"/>
  <c r="A193" i="91" s="1"/>
  <c r="A194" i="91" s="1"/>
  <c r="A195" i="91" s="1"/>
  <c r="A196" i="91" s="1"/>
  <c r="A197" i="91" s="1"/>
  <c r="A198" i="91" s="1"/>
  <c r="A199" i="91" s="1"/>
  <c r="B186" i="91"/>
  <c r="A200" i="28"/>
  <c r="B199" i="28"/>
  <c r="A200" i="91" l="1"/>
  <c r="B199" i="91"/>
  <c r="A201" i="28"/>
  <c r="B200" i="28"/>
  <c r="A201" i="91" l="1"/>
  <c r="B200" i="91"/>
  <c r="A202" i="28"/>
  <c r="B201" i="28"/>
  <c r="A202" i="91" l="1"/>
  <c r="B201" i="91"/>
  <c r="A203" i="28"/>
  <c r="B202" i="28"/>
  <c r="A203" i="91" l="1"/>
  <c r="B202" i="91"/>
  <c r="A204" i="28"/>
  <c r="B203" i="28"/>
  <c r="A204" i="91" l="1"/>
  <c r="B203" i="91"/>
  <c r="B204" i="28"/>
  <c r="A205" i="28"/>
  <c r="B218" i="91"/>
  <c r="A205" i="91" l="1"/>
  <c r="B204" i="91"/>
  <c r="A206" i="28"/>
  <c r="B205" i="28"/>
  <c r="B219" i="91"/>
  <c r="A206" i="91" l="1"/>
  <c r="B205" i="91"/>
  <c r="A207" i="28"/>
  <c r="B206" i="28"/>
  <c r="B220" i="91"/>
  <c r="A207" i="91" l="1"/>
  <c r="B206" i="91"/>
  <c r="A208" i="28"/>
  <c r="B207" i="28"/>
  <c r="B221" i="91"/>
  <c r="A208" i="91" l="1"/>
  <c r="B207" i="91"/>
  <c r="B208" i="28"/>
  <c r="A209" i="28"/>
  <c r="B210" i="28"/>
  <c r="B222" i="91"/>
  <c r="B208" i="91" l="1"/>
  <c r="A215" i="91"/>
  <c r="A216" i="91" s="1"/>
  <c r="A217" i="91" s="1"/>
  <c r="A218" i="91" s="1"/>
  <c r="A219" i="91" s="1"/>
  <c r="A220" i="91" s="1"/>
  <c r="A221" i="91" s="1"/>
  <c r="A222" i="91" s="1"/>
  <c r="A223" i="91" s="1"/>
  <c r="A224" i="91" s="1"/>
  <c r="A209" i="91"/>
  <c r="A210" i="28"/>
  <c r="A211" i="28" s="1"/>
  <c r="A212" i="28" s="1"/>
  <c r="B209" i="28"/>
  <c r="B211" i="28"/>
  <c r="B223" i="91"/>
  <c r="A210" i="91" l="1"/>
  <c r="B210" i="91" s="1"/>
  <c r="B209" i="91"/>
  <c r="A213" i="28"/>
  <c r="A214" i="28" s="1"/>
  <c r="A215" i="28" s="1"/>
  <c r="A216" i="28" s="1"/>
  <c r="A217" i="28" s="1"/>
  <c r="A218" i="28" s="1"/>
  <c r="B224" i="91"/>
  <c r="A225" i="91"/>
  <c r="A219" i="28" l="1"/>
  <c r="A220" i="28" s="1"/>
  <c r="A225" i="28"/>
  <c r="A226" i="28" s="1"/>
  <c r="A227" i="28" s="1"/>
  <c r="A228" i="28" s="1"/>
  <c r="A229" i="28" s="1"/>
  <c r="A230" i="28" s="1"/>
  <c r="A231" i="28" s="1"/>
  <c r="A232" i="28" s="1"/>
  <c r="A233" i="28" s="1"/>
  <c r="A234" i="28" s="1"/>
  <c r="A235" i="28" s="1"/>
  <c r="A236" i="28" s="1"/>
  <c r="A237" i="28" s="1"/>
  <c r="A226" i="91"/>
  <c r="B225" i="91"/>
  <c r="A227" i="91" l="1"/>
  <c r="B226" i="91"/>
  <c r="A238" i="28"/>
  <c r="A248" i="91" l="1"/>
  <c r="A249" i="91" s="1"/>
  <c r="A250" i="91" s="1"/>
  <c r="B227" i="91"/>
  <c r="A239" i="28"/>
  <c r="B249" i="91" l="1"/>
  <c r="B250" i="91"/>
  <c r="A251" i="91"/>
  <c r="A240" i="28"/>
  <c r="B251" i="91" l="1"/>
  <c r="A252" i="91"/>
  <c r="A241" i="28"/>
  <c r="A253" i="91" l="1"/>
  <c r="B252" i="91"/>
  <c r="A242" i="28"/>
  <c r="A254" i="91" l="1"/>
  <c r="B253" i="91"/>
  <c r="A243" i="28"/>
  <c r="A255" i="91" l="1"/>
  <c r="B254" i="91"/>
  <c r="A244" i="28"/>
  <c r="A245" i="28" s="1"/>
  <c r="A246" i="28" s="1"/>
  <c r="B255" i="91" l="1"/>
  <c r="A256" i="91"/>
  <c r="A247" i="28"/>
  <c r="A257" i="91" l="1"/>
  <c r="B256" i="91"/>
  <c r="A248" i="28"/>
  <c r="B257" i="91" l="1"/>
  <c r="A258" i="91"/>
  <c r="A252" i="28"/>
  <c r="A257" i="28" s="1"/>
  <c r="A259" i="91" l="1"/>
  <c r="B258" i="91"/>
  <c r="A258" i="28"/>
  <c r="B259" i="91" l="1"/>
  <c r="A260" i="91"/>
  <c r="A259" i="28"/>
  <c r="A261" i="91" l="1"/>
  <c r="B260" i="91"/>
  <c r="A260" i="28"/>
  <c r="A262" i="91" l="1"/>
  <c r="B261" i="91"/>
  <c r="A261" i="28"/>
  <c r="B262" i="91" l="1"/>
  <c r="A263" i="91"/>
  <c r="A262" i="28"/>
  <c r="A264" i="91" l="1"/>
  <c r="B264" i="91" s="1"/>
  <c r="B263" i="91"/>
  <c r="A263" i="28"/>
  <c r="A265" i="91" l="1"/>
  <c r="A269" i="91"/>
  <c r="A264" i="28"/>
  <c r="A265" i="28" s="1"/>
  <c r="A266" i="28" s="1"/>
  <c r="A267" i="28" s="1"/>
  <c r="A270" i="91" l="1"/>
  <c r="B269" i="91"/>
  <c r="A266" i="91"/>
  <c r="B265" i="91"/>
  <c r="A268" i="28"/>
  <c r="A271" i="91" l="1"/>
  <c r="B270" i="91"/>
  <c r="A267" i="91"/>
  <c r="B267" i="91" s="1"/>
  <c r="B266" i="91"/>
  <c r="A269" i="28"/>
  <c r="A270" i="28" s="1"/>
  <c r="A271" i="28" s="1"/>
  <c r="A272" i="91" l="1"/>
  <c r="B271" i="91"/>
  <c r="A272" i="28"/>
  <c r="A273" i="28" s="1"/>
  <c r="A274" i="28" s="1"/>
  <c r="A280" i="91" l="1"/>
  <c r="B280" i="91" s="1"/>
  <c r="B272" i="91"/>
  <c r="A275" i="28"/>
  <c r="A276" i="28" s="1"/>
  <c r="A277" i="28" s="1"/>
  <c r="A281" i="91" l="1"/>
  <c r="A282" i="91" s="1"/>
  <c r="A278" i="28"/>
  <c r="B282" i="91" l="1"/>
  <c r="A283" i="91"/>
  <c r="B281" i="91"/>
  <c r="A279" i="28"/>
  <c r="A284" i="91" l="1"/>
  <c r="A285" i="91" s="1"/>
  <c r="A286" i="91" s="1"/>
  <c r="B283" i="91"/>
  <c r="A280" i="28"/>
  <c r="A281" i="28" s="1"/>
  <c r="A283" i="28" s="1"/>
  <c r="A284" i="28" s="1"/>
  <c r="A289" i="28" s="1"/>
  <c r="B286" i="91" l="1"/>
  <c r="A287" i="91"/>
  <c r="A288" i="91" s="1"/>
  <c r="A289" i="91" s="1"/>
  <c r="A290" i="28"/>
  <c r="A291" i="28" s="1"/>
  <c r="A290" i="91" l="1"/>
  <c r="B289" i="91"/>
  <c r="A292" i="28"/>
  <c r="B290" i="91" l="1"/>
  <c r="A291" i="91"/>
  <c r="A293" i="28"/>
  <c r="A294" i="28" s="1"/>
  <c r="A295" i="28" s="1"/>
  <c r="A292" i="91" l="1"/>
  <c r="B291" i="91"/>
  <c r="A296" i="28"/>
  <c r="A293" i="91" l="1"/>
  <c r="B292" i="91"/>
  <c r="A297" i="28"/>
  <c r="A294" i="91" l="1"/>
  <c r="B293" i="91"/>
  <c r="A298" i="28"/>
  <c r="A295" i="91" l="1"/>
  <c r="B294" i="91"/>
  <c r="A299" i="28"/>
  <c r="A296" i="91" l="1"/>
  <c r="B295" i="91"/>
  <c r="A300" i="28"/>
  <c r="B296" i="91" l="1"/>
  <c r="A297" i="91"/>
  <c r="A301" i="28"/>
  <c r="A298" i="91" l="1"/>
  <c r="B297" i="91"/>
  <c r="A302" i="28"/>
  <c r="A299" i="91" l="1"/>
  <c r="B298" i="91"/>
  <c r="A303" i="28"/>
  <c r="A304" i="28" s="1"/>
  <c r="A305" i="28" s="1"/>
  <c r="A300" i="91" l="1"/>
  <c r="B299" i="91"/>
  <c r="A306" i="28"/>
  <c r="B300" i="91" l="1"/>
  <c r="A305" i="91"/>
  <c r="A306" i="91" s="1"/>
  <c r="A307" i="91" s="1"/>
  <c r="B311" i="91"/>
  <c r="A307" i="28"/>
  <c r="B307" i="91" l="1"/>
  <c r="A308" i="91"/>
  <c r="B312" i="91"/>
  <c r="A308" i="28"/>
  <c r="A309" i="91" l="1"/>
  <c r="B308" i="91"/>
  <c r="B313" i="91"/>
  <c r="A309" i="28"/>
  <c r="A310" i="91" l="1"/>
  <c r="B309" i="91"/>
  <c r="A310" i="28"/>
  <c r="A311" i="91" l="1"/>
  <c r="A312" i="91" s="1"/>
  <c r="A313" i="91" s="1"/>
  <c r="A314" i="91" s="1"/>
  <c r="B310" i="91"/>
  <c r="A311" i="28"/>
  <c r="B314" i="91" l="1"/>
  <c r="A315" i="91"/>
  <c r="A312" i="28"/>
  <c r="A313" i="28" s="1"/>
  <c r="A317" i="28" s="1"/>
  <c r="A318" i="28" s="1"/>
  <c r="A319" i="28" s="1"/>
  <c r="A316" i="91" l="1"/>
  <c r="B315" i="91"/>
  <c r="A320" i="28"/>
  <c r="B316" i="91" l="1"/>
  <c r="A317" i="91"/>
  <c r="A321" i="28"/>
  <c r="A318" i="91" l="1"/>
  <c r="B317" i="91"/>
  <c r="A322" i="28"/>
  <c r="A319" i="91" l="1"/>
  <c r="B318" i="91"/>
  <c r="A323" i="28"/>
  <c r="B319" i="91" l="1"/>
  <c r="A320" i="91"/>
  <c r="A324" i="28"/>
  <c r="A321" i="91" l="1"/>
  <c r="B320" i="91"/>
  <c r="A325" i="28"/>
  <c r="B321" i="91" l="1"/>
  <c r="A322" i="91"/>
  <c r="A326" i="28"/>
  <c r="B322" i="91" l="1"/>
  <c r="A323" i="91"/>
  <c r="A327" i="28"/>
  <c r="A324" i="91" l="1"/>
  <c r="B323" i="91"/>
  <c r="A328" i="28"/>
  <c r="A325" i="91" l="1"/>
  <c r="B324" i="91"/>
  <c r="A329" i="28"/>
  <c r="B325" i="91" l="1"/>
  <c r="A326" i="91"/>
  <c r="A330" i="28"/>
  <c r="A327" i="91" l="1"/>
  <c r="B326" i="91"/>
  <c r="A331" i="28"/>
  <c r="A328" i="91" l="1"/>
  <c r="B327" i="91"/>
  <c r="A332" i="28"/>
  <c r="A329" i="91" l="1"/>
  <c r="B328" i="91"/>
  <c r="A333" i="28"/>
  <c r="B329" i="91" l="1"/>
  <c r="A334" i="91"/>
  <c r="A335" i="91" s="1"/>
  <c r="A334" i="28"/>
  <c r="A336" i="91" l="1"/>
  <c r="B335" i="91"/>
  <c r="A335" i="28"/>
  <c r="A337" i="91" l="1"/>
  <c r="B336" i="91"/>
  <c r="A336" i="28"/>
  <c r="A337" i="28" s="1"/>
  <c r="A338" i="28" s="1"/>
  <c r="A339" i="28" s="1"/>
  <c r="A340" i="28" s="1"/>
  <c r="A341" i="28" s="1"/>
  <c r="A342" i="28" s="1"/>
  <c r="A343" i="28" s="1"/>
  <c r="A344" i="28" s="1"/>
  <c r="A349" i="28" s="1"/>
  <c r="B337" i="91" l="1"/>
  <c r="A338" i="91"/>
  <c r="A339" i="91" l="1"/>
  <c r="B338" i="91"/>
  <c r="A350" i="28"/>
  <c r="A351" i="28" s="1"/>
  <c r="A340" i="91" l="1"/>
  <c r="B339" i="91"/>
  <c r="A352" i="28"/>
  <c r="A341" i="91" l="1"/>
  <c r="B340" i="91"/>
  <c r="A353" i="28"/>
  <c r="A342" i="91" l="1"/>
  <c r="B341" i="91"/>
  <c r="A354" i="28"/>
  <c r="A343" i="91" l="1"/>
  <c r="B342" i="91"/>
  <c r="A355" i="28"/>
  <c r="B343" i="91" l="1"/>
  <c r="A344" i="91"/>
  <c r="A356" i="28"/>
  <c r="B344" i="91" l="1"/>
  <c r="A345" i="91"/>
  <c r="A357" i="28"/>
  <c r="B345" i="91" l="1"/>
  <c r="A346" i="91"/>
  <c r="A358" i="28"/>
  <c r="B346" i="91" l="1"/>
  <c r="A347" i="91"/>
  <c r="A359" i="28"/>
  <c r="A348" i="91" l="1"/>
  <c r="B347" i="91"/>
  <c r="A360" i="28"/>
  <c r="B348" i="91" l="1"/>
  <c r="A349" i="91"/>
  <c r="A361" i="28"/>
  <c r="B349" i="91" l="1"/>
  <c r="A350" i="91"/>
  <c r="A362" i="28"/>
  <c r="B350" i="91" l="1"/>
  <c r="A351" i="91"/>
  <c r="A363" i="28"/>
  <c r="B351" i="91" l="1"/>
  <c r="A352" i="91"/>
  <c r="A353" i="91" s="1"/>
  <c r="A354" i="91" s="1"/>
  <c r="A364" i="28"/>
  <c r="A355" i="91" l="1"/>
  <c r="B354" i="91"/>
  <c r="A365" i="28"/>
  <c r="B355" i="91" l="1"/>
  <c r="A356" i="91"/>
  <c r="A366" i="28"/>
  <c r="A357" i="91" l="1"/>
  <c r="B356" i="91"/>
  <c r="B359" i="91"/>
  <c r="A367" i="28"/>
  <c r="A358" i="91" l="1"/>
  <c r="B357" i="91"/>
  <c r="A368" i="28"/>
  <c r="A359" i="91" l="1"/>
  <c r="A363" i="91" s="1"/>
  <c r="A364" i="91" s="1"/>
  <c r="A365" i="91" s="1"/>
  <c r="A366" i="91" s="1"/>
  <c r="B358" i="91"/>
  <c r="A369" i="28"/>
  <c r="A370" i="28" s="1"/>
  <c r="A371" i="28" s="1"/>
  <c r="A372" i="28" s="1"/>
  <c r="A373" i="28" s="1"/>
  <c r="B365" i="91" l="1"/>
  <c r="A367" i="91"/>
  <c r="B366" i="91"/>
  <c r="A374" i="28"/>
  <c r="A375" i="28" s="1"/>
  <c r="A380" i="28" s="1"/>
  <c r="A368" i="91" l="1"/>
  <c r="B367" i="91"/>
  <c r="A381" i="28"/>
  <c r="A382" i="28" s="1"/>
  <c r="A369" i="91" l="1"/>
  <c r="B368" i="91"/>
  <c r="A383" i="28"/>
  <c r="A370" i="91" l="1"/>
  <c r="B369" i="91"/>
  <c r="A384" i="28"/>
  <c r="B370" i="91" l="1"/>
  <c r="A371" i="91"/>
  <c r="A385" i="28"/>
  <c r="A372" i="91" l="1"/>
  <c r="B371" i="91"/>
  <c r="A386" i="28"/>
  <c r="A373" i="91" l="1"/>
  <c r="B372" i="91"/>
  <c r="A387" i="28"/>
  <c r="B373" i="91" l="1"/>
  <c r="A374" i="91"/>
  <c r="A388" i="28"/>
  <c r="B374" i="91" l="1"/>
  <c r="A375" i="91"/>
  <c r="B381" i="91"/>
  <c r="A389" i="28"/>
  <c r="B375" i="91" l="1"/>
  <c r="A376" i="91"/>
  <c r="A390" i="28"/>
  <c r="B376" i="91" l="1"/>
  <c r="A377" i="91"/>
  <c r="A391" i="28"/>
  <c r="A378" i="91" l="1"/>
  <c r="B377" i="91"/>
  <c r="A392" i="28"/>
  <c r="B378" i="91" l="1"/>
  <c r="A379" i="91"/>
  <c r="A393" i="28"/>
  <c r="A380" i="91" l="1"/>
  <c r="B379" i="91"/>
  <c r="A394" i="28"/>
  <c r="B380" i="91" l="1"/>
  <c r="A381" i="91"/>
  <c r="A382" i="91" s="1"/>
  <c r="A383" i="91" s="1"/>
  <c r="A384" i="91" s="1"/>
  <c r="A385" i="91" s="1"/>
  <c r="A386" i="91" s="1"/>
  <c r="A387" i="91" s="1"/>
  <c r="A388" i="91" s="1"/>
  <c r="A389" i="91" s="1"/>
  <c r="A390" i="91" s="1"/>
  <c r="A391" i="91" s="1"/>
  <c r="A392" i="91" s="1"/>
  <c r="A393" i="91" s="1"/>
  <c r="A394" i="91" s="1"/>
  <c r="A395" i="91" s="1"/>
  <c r="A396" i="91" s="1"/>
  <c r="A397" i="91" s="1"/>
  <c r="A398" i="91" s="1"/>
  <c r="A399" i="91" s="1"/>
  <c r="A395" i="28"/>
  <c r="A396" i="28" l="1"/>
  <c r="A397" i="28" l="1"/>
  <c r="A398" i="28" l="1"/>
  <c r="A399" i="28" l="1"/>
  <c r="A400" i="28" s="1"/>
  <c r="A401" i="28" s="1"/>
  <c r="A402" i="28" s="1"/>
  <c r="A403" i="28" s="1"/>
  <c r="A404" i="28" s="1"/>
  <c r="A405" i="28" s="1"/>
  <c r="A406" i="28" l="1"/>
  <c r="A407" i="28" s="1"/>
  <c r="A408" i="28" s="1"/>
  <c r="A413" i="28" s="1"/>
  <c r="A414" i="28" s="1"/>
  <c r="A415" i="28" l="1"/>
  <c r="A416" i="28" l="1"/>
  <c r="A417" i="28" s="1"/>
  <c r="A418" i="28" l="1"/>
  <c r="A419" i="28" l="1"/>
  <c r="A420" i="28" l="1"/>
  <c r="A421" i="28" l="1"/>
  <c r="A422" i="28" l="1"/>
  <c r="A423" i="28" l="1"/>
  <c r="A424" i="28" l="1"/>
  <c r="A425" i="28" l="1"/>
  <c r="A426" i="28" l="1"/>
  <c r="A427" i="28" l="1"/>
  <c r="A428" i="28" l="1"/>
  <c r="A429" i="28" l="1"/>
  <c r="A430" i="28" l="1"/>
  <c r="A431" i="28" l="1"/>
  <c r="A432" i="28" s="1"/>
  <c r="A433" i="28" s="1"/>
  <c r="A434" i="28" s="1"/>
  <c r="A435" i="28" s="1"/>
  <c r="A436" i="28" s="1"/>
  <c r="A437" i="28" s="1"/>
  <c r="A438" i="28" s="1"/>
  <c r="A439" i="28" s="1"/>
  <c r="A440" i="28" s="1"/>
  <c r="A441" i="28" s="1"/>
  <c r="A442" i="28" s="1"/>
  <c r="A443" i="28" s="1"/>
  <c r="A444" i="28" s="1"/>
  <c r="A445" i="28" s="1"/>
  <c r="A446" i="28" s="1"/>
  <c r="A447" i="28" s="1"/>
  <c r="A448" i="28" s="1"/>
  <c r="A449" i="28" s="1"/>
  <c r="A450" i="28" s="1"/>
  <c r="A451" i="28" s="1"/>
  <c r="A452" i="28" s="1"/>
  <c r="A453" i="28" s="1"/>
  <c r="A454" i="28" s="1"/>
  <c r="A455" i="28" s="1"/>
  <c r="A456" i="28" s="1"/>
</calcChain>
</file>

<file path=xl/sharedStrings.xml><?xml version="1.0" encoding="utf-8"?>
<sst xmlns="http://schemas.openxmlformats.org/spreadsheetml/2006/main" count="12507" uniqueCount="1058">
  <si>
    <t>Concrete</t>
  </si>
  <si>
    <t>Excavation</t>
  </si>
  <si>
    <t>kg</t>
  </si>
  <si>
    <t>unit</t>
  </si>
  <si>
    <t>m</t>
  </si>
  <si>
    <t>Row Labels</t>
  </si>
  <si>
    <t>Grand Total</t>
  </si>
  <si>
    <t>Complete</t>
  </si>
  <si>
    <t>Backfill Channel Below Road Crossing</t>
  </si>
  <si>
    <t>Backfill Channel at Road Crossing</t>
  </si>
  <si>
    <t>Backfilling Dam</t>
  </si>
  <si>
    <t>Sum of CONCRETE (m³)</t>
  </si>
  <si>
    <t>Sum of EXCAVATION (m³)</t>
  </si>
  <si>
    <t>Sum of EARTHWORKS (m3)</t>
  </si>
  <si>
    <t>Sum of Wetland Soil Backfill (m3)</t>
  </si>
  <si>
    <t xml:space="preserve">Sum of Costs </t>
  </si>
  <si>
    <t>Concrete Cut-off Walls</t>
  </si>
  <si>
    <t>Backfill Leeuwbankspruit</t>
  </si>
  <si>
    <t>Item</t>
  </si>
  <si>
    <t>2B</t>
  </si>
  <si>
    <t>5A</t>
  </si>
  <si>
    <t>3B</t>
  </si>
  <si>
    <t>3A</t>
  </si>
  <si>
    <t>2A</t>
  </si>
  <si>
    <t>4A</t>
  </si>
  <si>
    <t>4B</t>
  </si>
  <si>
    <t xml:space="preserve">SABS1200 GA </t>
  </si>
  <si>
    <t>8.4.3</t>
  </si>
  <si>
    <t>8.4.2</t>
  </si>
  <si>
    <t>8.3.2</t>
  </si>
  <si>
    <t>8.3.1</t>
  </si>
  <si>
    <t>SCHEDULED CONCRETE ITEMS</t>
  </si>
  <si>
    <t>SCHEDULED REINFORCEMENT ITEMS</t>
  </si>
  <si>
    <t>SCHEDULED ITEMS</t>
  </si>
  <si>
    <t>8.3.2b 1</t>
  </si>
  <si>
    <t>8.3.2b 2</t>
  </si>
  <si>
    <t>ITEM</t>
  </si>
  <si>
    <t>UNIT</t>
  </si>
  <si>
    <t>DESCRIPTION</t>
  </si>
  <si>
    <t>8.3.6</t>
  </si>
  <si>
    <t>No.</t>
  </si>
  <si>
    <t>SCHEDULED FORMWORK ITEMS</t>
  </si>
  <si>
    <t>8.4.4</t>
  </si>
  <si>
    <t>3C</t>
  </si>
  <si>
    <t>Included in East Link Bridge Rehabilitation</t>
  </si>
  <si>
    <t>Still Requires Work</t>
  </si>
  <si>
    <t>Drawings are required to be checked</t>
  </si>
  <si>
    <t>m²</t>
  </si>
  <si>
    <t>m³</t>
  </si>
  <si>
    <t>To Be checked</t>
  </si>
  <si>
    <t>Earthworks checked for import/excavation:</t>
  </si>
  <si>
    <t>Structures associated with road culvert</t>
  </si>
  <si>
    <t xml:space="preserve"> </t>
  </si>
  <si>
    <t>8.3.3a</t>
  </si>
  <si>
    <t xml:space="preserve">  </t>
  </si>
  <si>
    <t xml:space="preserve">SABS1200 DA  </t>
  </si>
  <si>
    <t xml:space="preserve"> SCHEDULED ITEMS </t>
  </si>
  <si>
    <t xml:space="preserve">KS18_001-Concrete Drop Inlet </t>
  </si>
  <si>
    <t xml:space="preserve">KS18_002-Concrete Drop Inlet </t>
  </si>
  <si>
    <t xml:space="preserve">KS20_001-Concrete Drop Inlet </t>
  </si>
  <si>
    <t xml:space="preserve">KS20_003-Concrete Buttress Weir </t>
  </si>
  <si>
    <t xml:space="preserve">KS20_004-Concrete Drop Inlet </t>
  </si>
  <si>
    <t xml:space="preserve">KS20_005-Concrete Drop Inlet </t>
  </si>
  <si>
    <t xml:space="preserve">KS20_007-Concrete Drop Inlet </t>
  </si>
  <si>
    <t xml:space="preserve">KS20_008-Concrete Drop Inlet </t>
  </si>
  <si>
    <t xml:space="preserve">KS20_009_b-Concrete Overflow Wall </t>
  </si>
  <si>
    <t xml:space="preserve">KS21_003-Concrete Drop Inlet </t>
  </si>
  <si>
    <t xml:space="preserve">KS21_005-Concrete Drop Inlet </t>
  </si>
  <si>
    <t xml:space="preserve">KS21_006-Concrete Drop Inlet </t>
  </si>
  <si>
    <t xml:space="preserve">KS21_007-Concrete Drop Inlet </t>
  </si>
  <si>
    <t xml:space="preserve">KS21_009-Concrete Drop Inlet </t>
  </si>
  <si>
    <t xml:space="preserve">KS21_010-Concrete Drop Inlet </t>
  </si>
  <si>
    <t xml:space="preserve">KS21-002-Earthworks </t>
  </si>
  <si>
    <t xml:space="preserve">SABS1200 DK </t>
  </si>
  <si>
    <t xml:space="preserve"> Pitching </t>
  </si>
  <si>
    <t xml:space="preserve"> Grouted Pitching - Light. </t>
  </si>
  <si>
    <t xml:space="preserve">KS21_001-10° sloped Grouted Pitching (Light) </t>
  </si>
  <si>
    <t xml:space="preserve"> 8.2.1 </t>
  </si>
  <si>
    <t xml:space="preserve">High-Tensile Welded Mesh-Ref 617 </t>
  </si>
  <si>
    <t xml:space="preserve">High-Tensile Welded Mesh-Ref 655 </t>
  </si>
  <si>
    <t xml:space="preserve">High-Tensile Welded Mesh-Ref 888 </t>
  </si>
  <si>
    <t>QTY</t>
  </si>
  <si>
    <t xml:space="preserve">KS20_010-Infilling of Drains  </t>
  </si>
  <si>
    <t xml:space="preserve">KS21-002-Earthworks  </t>
  </si>
  <si>
    <t xml:space="preserve">KS21-004-Earthworks  </t>
  </si>
  <si>
    <t xml:space="preserve">KS21-008-Infilling of Drain  </t>
  </si>
  <si>
    <t>RATE</t>
  </si>
  <si>
    <t>Remove topsoil to nominal depth 150 mm, stockpile and maintain for re-use. The rate shall cover the cost of removing topsoil, together with such vegetation and small roots as occur within the specified depth and of stockpiling on designated sites.</t>
  </si>
  <si>
    <t xml:space="preserve">Excavate for restricted foundations, footings and trenches  in all materials and use for embankments or backfill or dispose. </t>
  </si>
  <si>
    <t>Extra-over for intermediate excavation. (Provisional Quantities)</t>
  </si>
  <si>
    <t>Extra-over for hard rock. (Provisional Quantities)</t>
  </si>
  <si>
    <t xml:space="preserve">Limited  overhaul (provisional ). </t>
  </si>
  <si>
    <t xml:space="preserve">Strength Concrete: 25 Mpa with 19 mm stone. </t>
  </si>
  <si>
    <t xml:space="preserve">a) Wood floated Finish. </t>
  </si>
  <si>
    <t>PAYMENT CLAUSE</t>
  </si>
  <si>
    <t>AMOUNT</t>
  </si>
  <si>
    <t xml:space="preserve">KS16_003-Infilling of Drains  </t>
  </si>
  <si>
    <t xml:space="preserve">KS16_001-Infilling of Drains  </t>
  </si>
  <si>
    <t xml:space="preserve">KS16_004-Infilling of Drains  </t>
  </si>
  <si>
    <t xml:space="preserve">Pan09_001-Removal of Dam Wall  </t>
  </si>
  <si>
    <t xml:space="preserve">Pan8_002-Infilling of Drains  </t>
  </si>
  <si>
    <t xml:space="preserve">Pan8_004-Removal of Berm  </t>
  </si>
  <si>
    <t xml:space="preserve">Pan8_001-Foreign Materials  </t>
  </si>
  <si>
    <t xml:space="preserve">Pan8_003-Removal of Dam Wall  </t>
  </si>
  <si>
    <t xml:space="preserve">ks18-021-Backfill Main Channel  </t>
  </si>
  <si>
    <t xml:space="preserve">KS13_001-Infilling of Drains  </t>
  </si>
  <si>
    <t xml:space="preserve">KS13_002-Infilling of Drains  </t>
  </si>
  <si>
    <t xml:space="preserve">KS13_009-Infilling of Drains  </t>
  </si>
  <si>
    <t xml:space="preserve">KS13_010-Removal of Berm  </t>
  </si>
  <si>
    <t xml:space="preserve">KS13_016-Infilling of Drains  </t>
  </si>
  <si>
    <t xml:space="preserve">KS15_003-Removal of Dam Wall  </t>
  </si>
  <si>
    <t xml:space="preserve">KS15-002-Backfill Main Channel  </t>
  </si>
  <si>
    <t xml:space="preserve">LS08_001-Removal of Berm </t>
  </si>
  <si>
    <t xml:space="preserve">LS12_001-Removal of dam wall </t>
  </si>
  <si>
    <t xml:space="preserve">LS12_002-Removal of Berm </t>
  </si>
  <si>
    <t xml:space="preserve">LS16_012-Removal of Road </t>
  </si>
  <si>
    <t xml:space="preserve">LS16_013-Gabion energy breaker </t>
  </si>
  <si>
    <t xml:space="preserve">LS16_016-Gabion energy breaker </t>
  </si>
  <si>
    <t xml:space="preserve">LS16_017-Gabion energy breaker </t>
  </si>
  <si>
    <t xml:space="preserve">LS16_018-Gabion energy breaker </t>
  </si>
  <si>
    <t xml:space="preserve">LS16_019-Gabion energy breaker </t>
  </si>
  <si>
    <t xml:space="preserve">LS16_020-Removal of Road </t>
  </si>
  <si>
    <t xml:space="preserve">KS12_003-Removal of Berm and Dam Wall  </t>
  </si>
  <si>
    <t>Concrete 25  Mpa with 19mm stone complete with formwork. Rate to include formwork.</t>
  </si>
  <si>
    <t xml:space="preserve">SABS1200 LE </t>
  </si>
  <si>
    <t xml:space="preserve"> Supply and lay concrete pipe culverts. 600 mm Diameter Spigot and Socket SC Class 75D pre-cast concrete pipes on Class C bedding. SABS 677 approved pipes to be used. </t>
  </si>
  <si>
    <t>EARTHWORKS (SMALL WORKS)</t>
  </si>
  <si>
    <t>CONCRETE (SMALL WORKS)</t>
  </si>
  <si>
    <t>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sites./\KS19_007-Infilling of Drains  \m²\191.419859738212 \ 5</t>
  </si>
  <si>
    <t>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sites./\KS19_006-Removal of Dam Wall  \m²\3134.04 \ 5</t>
  </si>
  <si>
    <t>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sites./\Pan09_001-Removal of Dam Wall  \m²\977.744753861606 \ 5</t>
  </si>
  <si>
    <t>SABS1200 GA \CONCRETE (SMALL WORKS)/8.4\SCHEDULED CONCRETE ITEMS/8.4.3\Strength Concrete: 25 Mpa with 19 mm stone. /\LS16_001-Concrete Cut-Off Walls  \m³\5.04 \ 2000</t>
  </si>
  <si>
    <t>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sites./\KS13_001-Infilling of Drains  \m²\1148.93998599451 \ 5</t>
  </si>
  <si>
    <t>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sites./\KS13_002-Infilling of Drains  \m²\85.816653826392 \ 5</t>
  </si>
  <si>
    <t>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sites./\KS13_009-Infilling of Drains  \m²\78.5716708603933 \ 5</t>
  </si>
  <si>
    <t>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sites./\KS13_016-Infilling of Drains  \m²\332.18699875976 \ 5</t>
  </si>
  <si>
    <t>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sites./\KS13_010-Removal of Berm  \m²\1868.09496857721 \ 5</t>
  </si>
  <si>
    <t>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sites./\KS15_003-Removal of Dam Wall  \m²\619.289401121074 \ 5</t>
  </si>
  <si>
    <t>SABS1200 DK \ GABIONS AND PITCHING / 8.2\ Surface preparation for bedding of gabions / 8.2.1  \ b) Cavities filled with grade 15 concrete (provisional). /\LS16_013-Gabion energy breaker  \m²\1 \ 75</t>
  </si>
  <si>
    <t>SABS1200 DK \ GABIONS AND PITCHING / 8.2\ Gabions. Rate to allow for supply of approved gabion hand rock, SABS approved gabion baskets, installation and tying as per suppliers specifications. / 8.2.2 \ 3 m x 1 m x 1 m Galvanised Gabions. /\LS16_013-Gabion energy breaker  \m³\9 \ 1750</t>
  </si>
  <si>
    <t>SABS1200 DK \ GABIONS AND PITCHING / 8.2\ Gabions. Rate to allow for supply of approved gabion hand rock, SABS approved gabion baskets, installation and tying as per suppliers specifications. / 8.2.2 \ 3 m x 1 m x 0.3 m Galvanised Reno Mattress. /\LS16_013-Gabion energy breaker  \m³\4.5 \ 1750</t>
  </si>
  <si>
    <t>SABS1200 DK \ GABIONS AND PITCHING / 8.2\ Geotextile / 8.2.4 \ Needle punched Non-woven Geotextile (BiDim A4 or equivalent product). Rate to allow for supply of SABS approved geofabric such as Bidim a4 or equivalent product and installation between all gabion-soil interfaces.. /\LS16_013-Gabion energy breaker  \m²\44.9 \ 28</t>
  </si>
  <si>
    <t>SABS1200 DK \ GABIONS AND PITCHING / 8.2\ Surface preparation for bedding of gabions / 8.2.1  \ b) Cavities filled with grade 15 concrete (provisional). /\LS16_016-Gabion energy breaker  \m²\1 \ 75</t>
  </si>
  <si>
    <t>SABS1200 DK \ GABIONS AND PITCHING / 8.2\ Gabions. Rate to allow for supply of approved gabion hand rock, SABS approved gabion baskets, installation and tying as per suppliers specifications. / 8.2.2 \ 3 m x 1 m x 1 m Galvanised Gabions. /\LS16_016-Gabion energy breaker  \m³\12 \ 1750</t>
  </si>
  <si>
    <t>SABS1200 DK \ GABIONS AND PITCHING / 8.2\ Gabions. Rate to allow for supply of approved gabion hand rock, SABS approved gabion baskets, installation and tying as per suppliers specifications. / 8.2.2 \ 3 m x 1 m x 0.3 m Galvanised Reno Mattress. /\LS16_016-Gabion energy breaker  \m³\7.2 \ 1750</t>
  </si>
  <si>
    <t>SABS1200 DK \ GABIONS AND PITCHING / 8.2\ Geotextile / 8.2.4 \ Needle punched Non-woven Geotextile (BiDim A4 or equivalent product). Rate to allow for supply of SABS approved geofabric such as Bidim a4 or equivalent product and installation between all gabion-soil interfaces.. /\LS16_016-Gabion energy breaker  \m²\62.9 \ 28</t>
  </si>
  <si>
    <t>SABS1200 DK \ GABIONS AND PITCHING / 8.2\ Surface preparation for bedding of gabions / 8.2.1  \ b) Cavities filled with grade 15 concrete (provisional). /\LS16_017-Gabion energy breaker  \m²\1 \ 75</t>
  </si>
  <si>
    <t>SABS1200 DK \ GABIONS AND PITCHING / 8.2\ Gabions. Rate to allow for supply of approved gabion hand rock, SABS approved gabion baskets, installation and tying as per suppliers specifications. / 8.2.2 \ 3 m x 1 m x 1 m Galvanised Gabions. /\LS16_017-Gabion energy breaker  \m³\6 \ 1750</t>
  </si>
  <si>
    <t>SABS1200 DK \ GABIONS AND PITCHING / 8.2\ Gabions. Rate to allow for supply of approved gabion hand rock, SABS approved gabion baskets, installation and tying as per suppliers specifications. / 8.2.2 \ 3 m x 1 m x 0.3 m Galvanised Reno Mattress. /\LS16_017-Gabion energy breaker  \m³\9 \ 1750</t>
  </si>
  <si>
    <t>SABS1200 DK \ GABIONS AND PITCHING / 8.2\ Geotextile / 8.2.4 \ Needle punched Non-woven Geotextile (BiDim A4 or equivalent product). Rate to allow for supply of SABS approved geofabric such as Bidim a4 or equivalent product and installation between all gabion-soil interfaces.. /\LS16_017-Gabion energy breaker  \m²\74.9 \ 28</t>
  </si>
  <si>
    <t>SABS1200 DK \ GABIONS AND PITCHING / 8.2\ Surface preparation for bedding of gabions / 8.2.1  \ b) Cavities filled with grade 15 concrete (provisional). /\LS16_018-Gabion energy breaker  \m²\1 \ 75</t>
  </si>
  <si>
    <t>SABS1200 DK \ GABIONS AND PITCHING / 8.2\ Gabions. Rate to allow for supply of approved gabion hand rock, SABS approved gabion baskets, installation and tying as per suppliers specifications. / 8.2.2 \ 3 m x 1 m x 1 m Galvanised Gabions. /\LS16_018-Gabion energy breaker  \m³\15 \ 1750</t>
  </si>
  <si>
    <t>SABS1200 DK \ GABIONS AND PITCHING / 8.2\ Gabions. Rate to allow for supply of approved gabion hand rock, SABS approved gabion baskets, installation and tying as per suppliers specifications. / 8.2.2 \ 3 m x 1 m x 0.3 m Galvanised Reno Mattress. /\LS16_018-Gabion energy breaker  \m³\9.9 \ 1750</t>
  </si>
  <si>
    <t>SABS1200 DK \ GABIONS AND PITCHING / 8.2\ Geotextile / 8.2.4 \ Needle punched Non-woven Geotextile (BiDim A4 or equivalent product). Rate to allow for supply of SABS approved geofabric such as Bidim a4 or equivalent product and installation between all gabion-soil interfaces.. /\LS16_018-Gabion energy breaker  \m²\80.9 \ 28</t>
  </si>
  <si>
    <t>SABS1200 DK \ GABIONS AND PITCHING / 8.2\ Surface preparation for bedding of gabions / 8.2.1  \ b) Cavities filled with grade 15 concrete (provisional). /\LS16_019-Gabion energy breaker  \m²\1 \ 75</t>
  </si>
  <si>
    <t>SABS1200 DK \ GABIONS AND PITCHING / 8.2\ Gabions. Rate to allow for supply of approved gabion hand rock, SABS approved gabion baskets, installation and tying as per suppliers specifications. / 8.2.2 \ 3 m x 1 m x 1 m Galvanised Gabions. /\LS16_019-Gabion energy breaker  \m³\12 \ 1750</t>
  </si>
  <si>
    <t>SABS1200 DK \ GABIONS AND PITCHING / 8.2\ Gabions. Rate to allow for supply of approved gabion hand rock, SABS approved gabion baskets, installation and tying as per suppliers specifications. / 8.2.2 \ 3 m x 1 m x 0.3 m Galvanised Reno Mattress. /\LS16_019-Gabion energy breaker  \m³\10.8 \ 1750</t>
  </si>
  <si>
    <t>SABS1200 DK \ GABIONS AND PITCHING / 8.2\ Geotextile / 8.2.4 \ Needle punched Non-woven Geotextile (BiDim A4 or equivalent product). Rate to allow for supply of SABS approved geofabric such as Bidim a4 or equivalent product and installation between all gabion-soil interfaces.. /\LS16_019-Gabion energy breaker  \m²\83.9 \ 28</t>
  </si>
  <si>
    <t>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sites./\LS08_001-Removal of Berm  \m²\148.532778078669 \ 5</t>
  </si>
  <si>
    <t>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sites./\LS12_001-Removal of dam wall  \m²\2917.70393453744 \ 5</t>
  </si>
  <si>
    <t>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sites./\LS12_002-Removal of Berm  \m²\133.158114034667 \ 5</t>
  </si>
  <si>
    <t>SABS1200 GA \CONCRETE (SMALL WORKS)/8.4\SCHEDULED CONCRETE ITEMS/8.4.3\Strength Concrete: 25 Mpa with 19 mm stone. /\LS16_002-Concrete Cut-Off Walls  \m³\4.8 \ 2000</t>
  </si>
  <si>
    <t>SABS1200 GA \CONCRETE (SMALL WORKS)/8.4\SCHEDULED CONCRETE ITEMS/8.4.3\Strength Concrete: 25 Mpa with 19 mm stone. /\LS16_003-Concrete Cut-Off Walls  \m³\2.1 \ 2000</t>
  </si>
  <si>
    <t>SABS1200 GA \CONCRETE (SMALL WORKS)/8.4\SCHEDULED CONCRETE ITEMS/8.4.3\Strength Concrete: 25 Mpa with 19 mm stone. /\LS16_004-Concrete Cut-Off Walls  \m³\2.4 \ 2000</t>
  </si>
  <si>
    <t>SABS1200 GA \CONCRETE (SMALL WORKS)/8.4\SCHEDULED CONCRETE ITEMS/8.4.3\Strength Concrete: 25 Mpa with 19 mm stone. /\LS16_005-Concrete Cut-Off Walls  \m³\3.6 \ 2000</t>
  </si>
  <si>
    <t>SABS1200 GA \CONCRETE (SMALL WORKS)/8.4\SCHEDULED CONCRETE ITEMS/8.4.3\Strength Concrete: 25 Mpa with 19 mm stone. /\LS16_006-Concrete Cut-Off Walls  \m³\6.48 \ 2000</t>
  </si>
  <si>
    <t>SABS1200 GA \CONCRETE (SMALL WORKS)/8.4\SCHEDULED CONCRETE ITEMS/8.4.3\Strength Concrete: 25 Mpa with 19 mm stone. /\LS16_007-Concrete Cut-Off Walls  \m³\5.94 \ 2000</t>
  </si>
  <si>
    <t>SABS1200 GA \CONCRETE (SMALL WORKS)/8.4\SCHEDULED CONCRETE ITEMS/8.4.3\Strength Concrete: 25 Mpa with 19 mm stone. /\LS16_008-Concrete Cut-Off Walls  \m³\4.1325 \ 2000</t>
  </si>
  <si>
    <t>SABS1200 GA \CONCRETE (SMALL WORKS)/8.4\SCHEDULED CONCRETE ITEMS/8.4.3\Strength Concrete: 25 Mpa with 19 mm stone. /\LS16_009-Concrete Cut-Off Walls  \m³\4.35 \ 2000</t>
  </si>
  <si>
    <t>SABS1200 GA \CONCRETE (SMALL WORKS)/8.4\SCHEDULED CONCRETE ITEMS/8.4.3\Strength Concrete: 25 Mpa with 19 mm stone. /\LS16_010-Concrete Cut-Off Walls  \m³\5.1 \ 2000</t>
  </si>
  <si>
    <t>SABS1200 GA \CONCRETE (SMALL WORKS)/8.4\SCHEDULED CONCRETE ITEMS/8.4.3\Strength Concrete: 25 Mpa with 19 mm stone. /\LS16_011-Concrete Cut-Off Walls  \m³\3.3 \ 2000</t>
  </si>
  <si>
    <t>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sites./\Pan14_004-Infilling of Drains  \m²\380 \ 5</t>
  </si>
  <si>
    <t>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sites./\Pan14_005-Infilling of Drains  \m²\461.040922287129 \ 5</t>
  </si>
  <si>
    <t>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sites./\Pan14_006-Earthen Berms  \m²\190.755332217041 \ 5</t>
  </si>
  <si>
    <t>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sites./\Pan14_007-Infilling of Drains  \m²\168.280230740355 \ 5</t>
  </si>
  <si>
    <t>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sites./\KS16_002-Excavate Dam Wall  \m²\400.2 \ 5</t>
  </si>
  <si>
    <t>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sites./\KS15-002-Backfill Main Channel  \m²\3846.97837810187 \ 5</t>
  </si>
  <si>
    <t>SABS1200 DA \EARTHWORKS (SMALL WORKS)/8.3\SCHEDULED ITEMS/8.3.3b\Long overhaul (provisional). /\DS12_004-Removal of earthen material \m³/km\4105.685648 \ 6</t>
  </si>
  <si>
    <t>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sites./\KS13_014-Infilling of Drains  \m²\278.716598321288 \ 5</t>
  </si>
  <si>
    <t xml:space="preserve"> \  / \  /  \ Install Erosion control logs (2 m long x 300 mm Dimeter ). Rate to allow supply of erosion control log and 2 No. 1000 mm long steel fence droppers per a log. To be installed as per suppliers specifications./\LS16_014-Ecologs  \unit\9 \ 900</t>
  </si>
  <si>
    <t>SABS1200 DA \EARTHWORKS (SMALL WORKS)/8.3\SCHEDULED ITEMS/8.3.4\Importing of Suitable Granular Material from Spoil Stockpile or other Borrow Sources on Site. Rate to allow for loading from stockpile or borrow source, transport within 5 km free haul distance, stockpiling (if required), placing, spreading  and compacting material in layers, as specified by the engineer./\LS16_016-Gabion energy breaker  \m³\2 \ 300</t>
  </si>
  <si>
    <t>SABS1200 DA \EARTHWORKS (SMALL WORKS)/8.3\SCHEDULED ITEMS/8.3.4\Importing of Suitable Granular Material from Spoil Stockpile or other Borrow Sources on Site. Rate to allow for loading from stockpile or borrow source, transport within 5 km free haul distance, stockpiling (if required), placing, spreading  and compacting material in layers, as specified by the engineer./\LS16_017-Gabion energy breaker  \m³\0.666666666666667 \ 300</t>
  </si>
  <si>
    <t>SABS1200 DK \ GABIONS AND PITCHING / 8.2\ Gabions. Rate to allow for supply of approved gabion hand rock, SABS approved gabion baskets, installation and tying as per suppliers specifications. / 8.2.2 \ 2 m x 1 m x 1 m Galvanised  Gabions. /\LS16_017-Gabion energy breaker  \m³\8 \ 1750</t>
  </si>
  <si>
    <t>SABS1200 DA \EARTHWORKS (SMALL WORKS)/8.3\SCHEDULED ITEMS/8.3.4\Importing of Suitable Granular Material from Spoil Stockpile or other Borrow Sources on Site. Rate to allow for loading from stockpile or borrow source, transport within 5 km free haul distance, stockpiling (if required), placing, spreading  and compacting material in layers, as specified by the engineer./\LS16_018-Gabion energy breaker  \m³\3 \ 300</t>
  </si>
  <si>
    <t>SABS1200 DA \EARTHWORKS (SMALL WORKS)/8.3\SCHEDULED ITEMS/8.3.4\Importing of Suitable Granular Material from Spoil Stockpile or other Borrow Sources on Site. Rate to allow for loading from stockpile or borrow source, transport within 5 km free haul distance, stockpiling (if required), placing, spreading  and compacting material in layers, as specified by the engineer./\LS16_019-Gabion energy breaker  \m³\1.00833333333333 \ 300</t>
  </si>
  <si>
    <t>SABS1200 DK \ GABIONS AND PITCHING / 8.2\ Gabions. Rate to allow for supply of approved gabion hand rock, SABS approved gabion baskets, installation and tying as per suppliers specifications. / 8.2.2 \ 2 m x 1 m x 1 m Galvanised  Gabions. /\LS16_019-Gabion energy breaker  \m³\4 \ 1750</t>
  </si>
  <si>
    <t>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sites./\LS16_015-Earthworks (Reinforce Dam Wall)  \m²\567 \ 5</t>
  </si>
  <si>
    <t>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sites./\LS16_021-Backfill Main Channel and reshaping  \m²\6032.31 \ 5</t>
  </si>
  <si>
    <t xml:space="preserve"> GABIONS AND PITCHING </t>
  </si>
  <si>
    <t xml:space="preserve">KS20_009_a-Concrete Buttress Weir </t>
  </si>
  <si>
    <t xml:space="preserve"> Install Erosion control logs (2 m long x 300 mm Dimeter ). Rate to allow supply of erosion control log and 2 No. 1000 mm long steel fence droppers per a log. To be installed as per suppliers specifications.</t>
  </si>
  <si>
    <t>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t>
  </si>
  <si>
    <t>Grassing or other Vegetation Cover. Rate to allow for the supply of indigenous veld grass seed mix from commercial sources, seeding, raking and maintaining until established.</t>
  </si>
  <si>
    <t xml:space="preserve">KS18_001-Concrete Drop Inlet. Drawing NBC-GTW-CL-0019 </t>
  </si>
  <si>
    <t>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sites./\KS20_001-Concrete Drop Inlet. Drawing NBC-GTW-CL-0027 \m²\23.52 \ 5</t>
  </si>
  <si>
    <t>SABS1200 GA \CONCRETE (SMALL WORKS)/8.4\SCHEDULED CONCRETE ITEMS/8.4.3\Strength Concrete: 25 Mpa with 19 mm stone. /\KS20_001-Concrete Drop Inlet. Drawing NBC-GTW-CL-0027 \m³\20.39535 \ 2000</t>
  </si>
  <si>
    <t>SABS1200 GA \CONCRETE (SMALL WORKS)/8.4\SCHEDULED CONCRETE ITEMS/8.4.2\Construct Blinding Layer using 15MPa concrete . Rate to allow for blinding to a nominal depth of 75 mm for all bases pertaining to the following structures:/\KS20_001-Concrete Drop Inlet. Drawing NBC-GTW-CL-0027 \m²\37.752 \ 300</t>
  </si>
  <si>
    <t>SABS1200 GA \CONCRETE (SMALL WORKS)/8.4\SCHEDULED CONCRETE ITEMS/8.4.4\a) Wood floated Finish. /\KS20_001-Concrete Drop Inlet. Drawing NBC-GTW-CL-0027 \m²\7.905 \ 30</t>
  </si>
  <si>
    <t>SABS1200 GA \CONCRETE (SMALL WORKS)/8.3\SCHEDULED REINFORCEMENT ITEMS/8.3.2\High-Tensile Welded Mesh-Ref 888 /\KS20_001-Concrete Drop Inlet. Drawing NBC-GTW-CL-0027 \m²\16.46892 \ 20</t>
  </si>
  <si>
    <t>SABS1200 GA \CONCRETE (SMALL WORKS)/8.3\SCHEDULED REINFORCEMENT ITEMS/8.3.2\High-Tensile Welded Mesh-Ref 655 /\KS20_001-Concrete Drop Inlet. Drawing NBC-GTW-CL-0027 \m²\30.6176 \ 20</t>
  </si>
  <si>
    <t>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sites./\KS21_003-Concrete Drop Inlet. Drawing NBC-GTW-CL-0039 \m²\22.24 \ 5</t>
  </si>
  <si>
    <t>SABS1200 GA \CONCRETE (SMALL WORKS)/8.4\SCHEDULED CONCRETE ITEMS/8.4.3\Strength Concrete: 25 Mpa with 19 mm stone. /\KS21_003-Concrete Drop Inlet. Drawing NBC-GTW-CL-0039 \m³\24.79275 \ 2000</t>
  </si>
  <si>
    <t>SABS1200 GA \CONCRETE (SMALL WORKS)/8.4\SCHEDULED CONCRETE ITEMS/8.4.2\Construct Blinding Layer using 15MPa concrete . Rate to allow for blinding to a nominal depth of 75 mm for all bases pertaining to the following structures:/\KS21_003-Concrete Drop Inlet. Drawing NBC-GTW-CL-0039 \m²\52.66 \ 300</t>
  </si>
  <si>
    <t>SABS1200 GA \CONCRETE (SMALL WORKS)/8.4\SCHEDULED CONCRETE ITEMS/8.4.4\a) Wood floated Finish. /\KS21_003-Concrete Drop Inlet. Drawing NBC-GTW-CL-0039 \m²\9.545 \ 30</t>
  </si>
  <si>
    <t>SABS1200 GA \CONCRETE (SMALL WORKS)/8.3\SCHEDULED REINFORCEMENT ITEMS/8.3.2\High-Tensile Welded Mesh-Ref 888 /\KS21_003-Concrete Drop Inlet. Drawing NBC-GTW-CL-0039 \m²\23.8326 \ 20</t>
  </si>
  <si>
    <t>SABS1200 GA \CONCRETE (SMALL WORKS)/8.3\SCHEDULED REINFORCEMENT ITEMS/8.3.2\High-Tensile Welded Mesh-Ref 655 /\KS21_003-Concrete Drop Inlet. Drawing NBC-GTW-CL-0039 \m²\42.5784 \ 20</t>
  </si>
  <si>
    <t>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sites./\KS19_002-Concrete Drop Inlet. Drawing NBC-GTW-CL-0026 \m²\20.96 \ 5</t>
  </si>
  <si>
    <t>SABS1200 GA \CONCRETE (SMALL WORKS)/8.4\SCHEDULED CONCRETE ITEMS/8.4.3\Strength Concrete: 25 Mpa with 19 mm stone. /\KS19_002-Concrete Drop Inlet. Drawing NBC-GTW-CL-0026 \m³\27.3217512 \ 2000</t>
  </si>
  <si>
    <t>SABS1200 GA \CONCRETE (SMALL WORKS)/8.4\SCHEDULED CONCRETE ITEMS/8.4.2\Construct Blinding Layer using 15MPa concrete . Rate to allow for blinding to a nominal depth of 75 mm for all bases pertaining to the following structures:/\KS19_002-Concrete Drop Inlet. Drawing NBC-GTW-CL-0026 \m²\38.552 \ 300</t>
  </si>
  <si>
    <t>SABS1200 GA \CONCRETE (SMALL WORKS)/8.4\SCHEDULED CONCRETE ITEMS/8.4.4\a) Wood floated Finish. /\KS19_002-Concrete Drop Inlet. Drawing NBC-GTW-CL-0026 \m²\8.004 \ 30</t>
  </si>
  <si>
    <t>SABS1200 GA \CONCRETE (SMALL WORKS)/8.3\SCHEDULED REINFORCEMENT ITEMS/8.3.2\High-Tensile Welded Mesh-Ref 888 /\KS19_002-Concrete Drop Inlet. Drawing NBC-GTW-CL-0026 \m²\22.33528 \ 20</t>
  </si>
  <si>
    <t>SABS1200 GA \CONCRETE (SMALL WORKS)/8.3\SCHEDULED REINFORCEMENT ITEMS/8.3.2\High-Tensile Welded Mesh-Ref 655 /\KS19_002-Concrete Drop Inlet. Drawing NBC-GTW-CL-0026 \m²\27.8256 \ 20</t>
  </si>
  <si>
    <t>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sites./\KS13_003-Concrete Drop Inlet. Drawing NBC-GTW-CL-0009 \m²\23.2 \ 5</t>
  </si>
  <si>
    <t>SABS1200 GA \CONCRETE (SMALL WORKS)/8.4\SCHEDULED CONCRETE ITEMS/8.4.3\Strength Concrete: 25 Mpa with 19 mm stone. /\KS13_003-Concrete Drop Inlet. Drawing NBC-GTW-CL-0009 \m³\27.7266 \ 2000</t>
  </si>
  <si>
    <t>SABS1200 GA \CONCRETE (SMALL WORKS)/8.4\SCHEDULED CONCRETE ITEMS/8.4.2\Construct Blinding Layer using 15MPa concrete . Rate to allow for blinding to a nominal depth of 75 mm for all bases pertaining to the following structures:/\KS13_003-Concrete Drop Inlet. Drawing NBC-GTW-CL-0009 \m²\43.7 \ 300</t>
  </si>
  <si>
    <t>SABS1200 GA \CONCRETE (SMALL WORKS)/8.4\SCHEDULED CONCRETE ITEMS/8.4.4\a) Wood floated Finish. /\KS13_003-Concrete Drop Inlet. Drawing NBC-GTW-CL-0009 \m²\8.315 \ 30</t>
  </si>
  <si>
    <t>SABS1200 GA \CONCRETE (SMALL WORKS)/8.3\SCHEDULED REINFORCEMENT ITEMS/8.3.2\High-Tensile Welded Mesh-Ref 888 /\KS13_003-Concrete Drop Inlet. Drawing NBC-GTW-CL-0009 \m²\21.55892 \ 20</t>
  </si>
  <si>
    <t>SABS1200 GA \CONCRETE (SMALL WORKS)/8.3\SCHEDULED REINFORCEMENT ITEMS/8.3.2\High-Tensile Welded Mesh-Ref 655 /\KS13_003-Concrete Drop Inlet. Drawing NBC-GTW-CL-0009 \m²\35.5224 \ 20</t>
  </si>
  <si>
    <t xml:space="preserve">KS18_002-Concrete Drop Inlet. Drawing NBC-GTW-CL-0020 </t>
  </si>
  <si>
    <t xml:space="preserve">KS20_001-Concrete Drop Inlet. Drawing NBC-GTW-CL-0027 </t>
  </si>
  <si>
    <t xml:space="preserve">KS20_002-Concrete Drop Inlet. Drawing NBC-GTW-CL-0028 </t>
  </si>
  <si>
    <t xml:space="preserve">KS20_003-Concrete Buttress Weir. Drawing NBC-GTW-CL-0029 </t>
  </si>
  <si>
    <t xml:space="preserve">KS20_004-Concrete Drop Inlet. Drawing NBC-GTW-CL-0030 </t>
  </si>
  <si>
    <t xml:space="preserve">KS20_005-Concrete Drop Inlet. Drawing NBC-GTW-CL-0031 </t>
  </si>
  <si>
    <t xml:space="preserve">KS20_006-Concrete Drop Inlet. Drawing NBC-GTW-CL-0032 </t>
  </si>
  <si>
    <t xml:space="preserve">KS20_007-Concrete Drop Inlet. Drawing NBC-GTW-CL-0033 </t>
  </si>
  <si>
    <t xml:space="preserve">KS20_008-Concrete Drop Inlet. Drawing NBC-GTW-CL-0034 </t>
  </si>
  <si>
    <t xml:space="preserve">KS20_009_a-Concrete Buttress Weir. Drawing NBC-GTW-CL-0035 </t>
  </si>
  <si>
    <t xml:space="preserve">KS20_009_b-Concrete Overflow Wall. Drawing NBC-GTW-CL-0035 </t>
  </si>
  <si>
    <t xml:space="preserve">KS21_001-10° sloped Grouted Pitching (Light). Drawing NBC-GTW-CL-0038 </t>
  </si>
  <si>
    <t xml:space="preserve">KS21_003-Concrete Drop Inlet. Drawing NBC-GTW-CL-0039 </t>
  </si>
  <si>
    <t xml:space="preserve">KS21_005-Concrete Drop Inlet. Drawing NBC-GTW-CL-0040 </t>
  </si>
  <si>
    <t xml:space="preserve">KS21_006-Concrete Drop Inlet. Drawing NBC-GTW-CL-0041 </t>
  </si>
  <si>
    <t xml:space="preserve">KS21_007-Concrete Drop Inlet. Drawing NBC-GTW-CL-0042 </t>
  </si>
  <si>
    <t xml:space="preserve">KS21_009-Concrete Drop Inlet. Drawing NBC-GTW-CL-0043 </t>
  </si>
  <si>
    <t xml:space="preserve">KS21_010-Concrete Drop Inlet. Drawing NBC-GTW-CL-0044 </t>
  </si>
  <si>
    <t>Construct Blinding Layer using 15MPa concrete . Rate to allow for blinding to a nominal depth of 75 mm for all bases pertaining to the following structures:</t>
  </si>
  <si>
    <t>SECTION 2: CLUSTER 1 REHABILITATION</t>
  </si>
  <si>
    <t xml:space="preserve"> Install Erosion Control Logs (2 m long x 300 mm Dimeter ). Rate to allow supply of erosion control log and 2 No. 1000 mm long steel fence droppers per a log. To be installed as per suppliers specifications.</t>
  </si>
  <si>
    <t>Erosion Control Log Reinforcement</t>
  </si>
  <si>
    <t>SECTION 2 - SUBTOTAL CARRIED FORWARD</t>
  </si>
  <si>
    <t>SECTION 2 - SUBTOTAL BROUGHT FORWARD</t>
  </si>
  <si>
    <t>KS20_001-Concrete Drop Inlet</t>
  </si>
  <si>
    <t>KS20_009_c-Earthen Berm</t>
  </si>
  <si>
    <t>KS21_001-10° sloped Grouted Pitching (Light)</t>
  </si>
  <si>
    <t>KS21_003-Concrete Drop Inlet</t>
  </si>
  <si>
    <t>KS21_005-Concrete Drop Inlet</t>
  </si>
  <si>
    <t>Top Soiling. Rate to allow for excavations from stockpiled top soil  and vegetation, transport, placement and spreading to a nominal depth of 150 mm.</t>
  </si>
  <si>
    <t xml:space="preserve">Rough Formwork - Sloping (&gt;10°&lt;85°). </t>
  </si>
  <si>
    <t>Rough Formwork - Vertical (0°)</t>
  </si>
  <si>
    <t>Create Weep Holes (50 mm diameter). Rate to allow for the creation of weep holes in the concrete apron slab using 50 mm diameter PVC pipe.</t>
  </si>
  <si>
    <t xml:space="preserve">High-Tensile Steel Bars. Rate to include  cutting to length, bending as specified, transport to site and fixing. </t>
  </si>
  <si>
    <t xml:space="preserve">High-Tensile Welded Mesh-Ref 655. Rate to include  cutting to size, bending as specified, transport to site and fixing.  </t>
  </si>
  <si>
    <t xml:space="preserve">High-Tensile Welded Mesh-Ref 888. Rate to include  cutting to size, bending as specified, transport to site and fixing. </t>
  </si>
  <si>
    <t xml:space="preserve">a) Wood floated Finish to the Top Walls of the structures. </t>
  </si>
  <si>
    <t>SABS1200 DA \EARTHWORKS (SMALL WORKS)/8.3\SCHEDULED ITEMS/8.3.2b 2\Extra-over for hard rock. (Provisional Quantities)/\KS20_001-Concrete Drop Inlet. Drawing NBC-GTW-CL-0027 \m³\2.5966635 \ 500</t>
  </si>
  <si>
    <t>SABS1200 DA \EARTHWORKS (SMALL WORKS)/8.3\SCHEDULED ITEMS/8.3.6\Top Soiling. Rate to allow for excavations from stockpiled top soil  and vegetation, transport, placement and spreading to a nominal depth of 150 mm./\KS20_001-Concrete Drop Inlet. Drawing NBC-GTW-CL-0027 \m²\23.52 \ 5</t>
  </si>
  <si>
    <t>SABS1200 GA \CONCRETE (SMALL WORKS)/8.2\SCHEDULED FORMWORK ITEMS/8.2.1\Rough Formwork - Sloping (&gt;10°&lt;85°). /\KS20_001-Concrete Drop Inlet. Drawing NBC-GTW-CL-0027 \m²\38.0794658467317 \ 650</t>
  </si>
  <si>
    <t>SABS1200 GA \CONCRETE (SMALL WORKS)/8.2\SCHEDULED FORMWORK ITEMS/8.2.1\Rough Formwork - Vertical (0°). /\KS20_001-Concrete Drop Inlet. Drawing NBC-GTW-CL-0027 \m²\2.385 \ 650</t>
  </si>
  <si>
    <t>SABS1200 GA \CONCRETE (SMALL WORKS)/8.2\SCHEDULED FORMWORK ITEMS/8.2.4\Create Weep holes (50 mm Diameter). Rate to allow for the creation of weep holes in the concrete apron slab using 50 mm diameter PVC pipe./\KS20_001-Concrete Drop Inlet. Drawing NBC-GTW-CL-0027 \No.\7 \ 30</t>
  </si>
  <si>
    <t>SABS1200 DA \EARTHWORKS (SMALL WORKS)/8.3\SCHEDULED ITEMS/8.3.2b 2\Extra-over for hard rock. (Provisional Quantities)/\KS21_003-Concrete Drop Inlet. Drawing NBC-GTW-CL-0039 \m³\1.2893875 \ 500</t>
  </si>
  <si>
    <t>SABS1200 DA \EARTHWORKS (SMALL WORKS)/8.3\SCHEDULED ITEMS/8.3.6\Top Soiling. Rate to allow for excavations from stockpiled top soil  and vegetation, transport, placement and spreading to a nominal depth of 150 mm./\KS21_003-Concrete Drop Inlet. Drawing NBC-GTW-CL-0039 \m²\22.24 \ 5</t>
  </si>
  <si>
    <t>SABS1200 GA \CONCRETE (SMALL WORKS)/8.2\SCHEDULED FORMWORK ITEMS/8.2.1\Rough Formwork - Sloping (&gt;10°&lt;85°). /\KS21_003-Concrete Drop Inlet. Drawing NBC-GTW-CL-0039 \m²\40.8873193576764 \ 650</t>
  </si>
  <si>
    <t>SABS1200 GA \CONCRETE (SMALL WORKS)/8.2\SCHEDULED FORMWORK ITEMS/8.2.1\Rough Formwork - Vertical (0°). /\KS21_003-Concrete Drop Inlet. Drawing NBC-GTW-CL-0039 \m²\4.25 \ 650</t>
  </si>
  <si>
    <t>SABS1200 DA \EARTHWORKS (SMALL WORKS)/8.3\SCHEDULED ITEMS/8.3.6\Top Soiling. Rate to allow for excavations from stockpiled top soil  and vegetation, transport, placement and spreading to a nominal depth of 150 mm./\KS19_007-Infilling of Drains  \m²\179.7515 \ 5</t>
  </si>
  <si>
    <t>SABS1200 DA \EARTHWORKS (SMALL WORKS)/8.3\SCHEDULED ITEMS/8.3.6\Top Soiling. Rate to allow for excavations from stockpiled top soil  and vegetation, transport, placement and spreading to a nominal depth of 150 mm./\KS19_006-Removal of Dam Wall  \m²\3134.04 \ 5</t>
  </si>
  <si>
    <t>SABS1200 DA \EARTHWORKS (SMALL WORKS)/8.3\SCHEDULED ITEMS/8.3.2b 2\Extra-over for hard rock. (Provisional Quantities)/\KS19_002-Concrete Drop Inlet. Drawing NBC-GTW-CL-0026 \m³\1.9380019 \ 500</t>
  </si>
  <si>
    <t>SABS1200 DA \EARTHWORKS (SMALL WORKS)/8.3\SCHEDULED ITEMS/8.3.6\Top Soiling. Rate to allow for excavations from stockpiled top soil  and vegetation, transport, placement and spreading to a nominal depth of 150 mm./\KS19_002-Concrete Drop Inlet. Drawing NBC-GTW-CL-0026 \m²\20.96 \ 5</t>
  </si>
  <si>
    <t>SABS1200 GA \CONCRETE (SMALL WORKS)/8.2\SCHEDULED FORMWORK ITEMS/8.2.1\Rough Formwork - Sloping (&gt;10°&lt;85°). /\KS19_002-Concrete Drop Inlet. Drawing NBC-GTW-CL-0026 \m²\46.0892027908199 \ 650</t>
  </si>
  <si>
    <t>SABS1200 GA \CONCRETE (SMALL WORKS)/8.2\SCHEDULED FORMWORK ITEMS/8.2.1\Rough Formwork - Vertical (0°). /\KS19_002-Concrete Drop Inlet. Drawing NBC-GTW-CL-0026 \m²\6.42 \ 650</t>
  </si>
  <si>
    <t>SABS1200 GA \CONCRETE (SMALL WORKS)/8.2\SCHEDULED FORMWORK ITEMS/8.2.4\Create Weep holes (50 mm Diameter). Rate to allow for the creation of weep holes in the concrete apron slab using 50 mm diameter PVC pipe./\KS19_002-Concrete Drop Inlet. Drawing NBC-GTW-CL-0026 \No.\6 \ 30</t>
  </si>
  <si>
    <t>SABS1200 DA \EARTHWORKS (SMALL WORKS)/8.3\SCHEDULED ITEMS/8.3.6\Top Soiling. Rate to allow for excavations from stockpiled top soil  and vegetation, transport, placement and spreading to a nominal depth of 150 mm./\Pan09_001-Removal of Dam Wall  \m²\594 \ 5</t>
  </si>
  <si>
    <t>SABS1200 DA \EARTHWORKS (SMALL WORKS)/8.3\SCHEDULED ITEMS/8.3.6\Top Soiling. Rate to allow for excavations from stockpiled top soil  and vegetation, transport, placement and spreading to a nominal depth of 150 mm./\KS16_002-Excavate Dam Wall  \m²\283.947757718744 \ 5</t>
  </si>
  <si>
    <t>SABS1200 DA \EARTHWORKS (SMALL WORKS)/8.3\SCHEDULED ITEMS/8.3.6\Top Soiling. Rate to allow for excavations from stockpiled top soil  and vegetation, transport, placement and spreading to a nominal depth of 150 mm./\KS13_001-Infilling of Drains  \m²\1148.93998599451 \ 5</t>
  </si>
  <si>
    <t>SABS1200 DA \EARTHWORKS (SMALL WORKS)/8.3\SCHEDULED ITEMS/8.3.6\Top Soiling. Rate to allow for excavations from stockpiled top soil  and vegetation, transport, placement and spreading to a nominal depth of 150 mm./\KS13_002-Infilling of Drains  \m²\85.816653826392 \ 5</t>
  </si>
  <si>
    <t>SABS1200 DA \EARTHWORKS (SMALL WORKS)/8.3\SCHEDULED ITEMS/8.3.6\Top Soiling. Rate to allow for excavations from stockpiled top soil  and vegetation, transport, placement and spreading to a nominal depth of 150 mm./\KS13_009-Infilling of Drains  \m²\78.5716708603933 \ 5</t>
  </si>
  <si>
    <t>SABS1200 DA \EARTHWORKS (SMALL WORKS)/8.3\SCHEDULED ITEMS/8.3.6\Top Soiling. Rate to allow for excavations from stockpiled top soil  and vegetation, transport, placement and spreading to a nominal depth of 150 mm./\KS13_016-Infilling of Drains  \m²\332.18699875976 \ 5</t>
  </si>
  <si>
    <t>SABS1200 DA \EARTHWORKS (SMALL WORKS)/8.3\SCHEDULED ITEMS/8.3.6\Top Soiling. Rate to allow for excavations from stockpiled top soil  and vegetation, transport, placement and spreading to a nominal depth of 150 mm./\KS13_010-Removal of Berm  \m²\1020.985 \ 5</t>
  </si>
  <si>
    <t>SABS1200 DA \EARTHWORKS (SMALL WORKS)/8.3\SCHEDULED ITEMS/8.3.6\Top Soiling. Rate to allow for excavations from stockpiled top soil  and vegetation, transport, placement and spreading to a nominal depth of 150 mm./\KS15_003-Removal of Dam Wall  \m²\619.289401121074 \ 5</t>
  </si>
  <si>
    <t>SABS1200 DA \EARTHWORKS (SMALL WORKS)/8.3\SCHEDULED ITEMS/8.3.6\Top Soiling. Rate to allow for excavations from stockpiled top soil  and vegetation, transport, placement and spreading to a nominal depth of 150 mm./\KS15-002-Backfill Main Channel  \m²\3846.97837810187 \ 5</t>
  </si>
  <si>
    <t>SABS1200 DA \EARTHWORKS (SMALL WORKS)/8.3\SCHEDULED ITEMS/8.3.6\Top Soiling. Rate to allow for excavations from stockpiled top soil  and vegetation, transport, placement and spreading to a nominal depth of 150 mm./\KS13_014-Infilling of Drains  \m²\278.716598321288 \ 5</t>
  </si>
  <si>
    <t>SABS1200 DA \EARTHWORKS (SMALL WORKS)/8.3\SCHEDULED ITEMS/8.3.2b 2\Extra-over for hard rock. (Provisional Quantities)/\KS13_003-Concrete Drop Inlet. Drawing NBC-GTW-CL-0009 \m³\2.201625 \ 500</t>
  </si>
  <si>
    <t>SABS1200 DA \EARTHWORKS (SMALL WORKS)/8.3\SCHEDULED ITEMS/8.3.6\Top Soiling. Rate to allow for excavations from stockpiled top soil  and vegetation, transport, placement and spreading to a nominal depth of 150 mm./\KS13_003-Concrete Drop Inlet. Drawing NBC-GTW-CL-0009 \m²\23.2 \ 5</t>
  </si>
  <si>
    <t>SABS1200 GA \CONCRETE (SMALL WORKS)/8.2\SCHEDULED FORMWORK ITEMS/8.2.1\Rough Formwork - Sloping (&gt;10°&lt;85°). /\KS13_003-Concrete Drop Inlet. Drawing NBC-GTW-CL-0009 \m²\49.822834066672 \ 650</t>
  </si>
  <si>
    <t>SABS1200 GA \CONCRETE (SMALL WORKS)/8.2\SCHEDULED FORMWORK ITEMS/8.2.1\Rough Formwork - Vertical (0°). /\KS13_003-Concrete Drop Inlet. Drawing NBC-GTW-CL-0009 \m²\16.51 \ 650</t>
  </si>
  <si>
    <t>SABS1200 GA \CONCRETE (SMALL WORKS)/8.2\SCHEDULED FORMWORK ITEMS/8.2.4\Create Weep holes (50 mm Diameter). Rate to allow for the creation of weep holes in the concrete apron slab using 50 mm diameter PVC pipe./\KS13_003-Concrete Drop Inlet. Drawing NBC-GTW-CL-0009 \No.\8 \ 30</t>
  </si>
  <si>
    <t>SABS1200 DA \EARTHWORKS (SMALL WORKS)/8.3\SCHEDULED ITEMS/8.3.6\Top Soiling. Rate to allow for excavations from stockpiled top soil  and vegetation, transport, placement and spreading to a nominal depth of 150 mm./\LS16_012-Removal of Road  \m²\360 \ 5</t>
  </si>
  <si>
    <t>SABS1200 DA \EARTHWORKS (SMALL WORKS)/8.3\SCHEDULED ITEMS/8.3.6\Top Soiling. Rate to allow for excavations from stockpiled top soil  and vegetation, transport, placement and spreading to a nominal depth of 150 mm./\LS16_020-Removal of Road  \m²\1782 \ 5</t>
  </si>
  <si>
    <t>SABS1200 DA \EARTHWORKS (SMALL WORKS)/8.3\SCHEDULED ITEMS/8.3.6\Top Soiling. Rate to allow for excavations from stockpiled top soil  and vegetation, transport, placement and spreading to a nominal depth of 150 mm./\LS08_001-Removal of Berm  \m²\148.532778078669 \ 5</t>
  </si>
  <si>
    <t>SABS1200 DA \EARTHWORKS (SMALL WORKS)/8.3\SCHEDULED ITEMS/8.3.6\Top Soiling. Rate to allow for excavations from stockpiled top soil  and vegetation, transport, placement and spreading to a nominal depth of 150 mm./\LS12_001-Removal of dam wall  \m²\2917.70393453744 \ 5</t>
  </si>
  <si>
    <t>SABS1200 DA \EARTHWORKS (SMALL WORKS)/8.3\SCHEDULED ITEMS/8.3.6\Top Soiling. Rate to allow for excavations from stockpiled top soil  and vegetation, transport, placement and spreading to a nominal depth of 150 mm./\LS12_002-Removal of Berm  \m²\76 \ 5</t>
  </si>
  <si>
    <t>SABS1200 DA \EARTHWORKS (SMALL WORKS)/8.3\SCHEDULED ITEMS/8.3.6\Top Soiling. Rate to allow for excavations from stockpiled top soil  and vegetation, transport, placement and spreading to a nominal depth of 150 mm./\LS16_015-Earthworks (Reinforce Dam Wall)  \m²\567 \ 5</t>
  </si>
  <si>
    <t>SABS1200 DA \EARTHWORKS (SMALL WORKS)/8.3\SCHEDULED ITEMS/8.3.6\Top Soiling. Rate to allow for excavations from stockpiled top soil  and vegetation, transport, placement and spreading to a nominal depth of 150 mm./\LS16_021-Backfill Main Channel and reshaping  \m²\6032.31 \ 5</t>
  </si>
  <si>
    <t>SABS1200 DA \EARTHWORKS (SMALL WORKS)/8.3\SCHEDULED ITEMS/8.3.6\Top Soiling. Rate to allow for excavations from stockpiled top soil  and vegetation, transport, placement and spreading to a nominal depth of 150 mm./\Pan14_004-Infilling of Drains  \m²\180 \ 5</t>
  </si>
  <si>
    <t>SABS1200 DA \EARTHWORKS (SMALL WORKS)/8.3\SCHEDULED ITEMS/8.3.6\Top Soiling. Rate to allow for excavations from stockpiled top soil  and vegetation, transport, placement and spreading to a nominal depth of 150 mm./\Pan14_005-Infilling of Drains  \m²\450 \ 5</t>
  </si>
  <si>
    <t>SABS1200 DA \EARTHWORKS (SMALL WORKS)/8.3\SCHEDULED ITEMS/8.3.6\Top Soiling. Rate to allow for excavations from stockpiled top soil  and vegetation, transport, placement and spreading to a nominal depth of 150 mm./\Pan14_006-Earthen Berms  \m²\190.755332217041 \ 5</t>
  </si>
  <si>
    <t>SABS1200 DA \EARTHWORKS (SMALL WORKS)/8.3\SCHEDULED ITEMS/8.3.6\Top Soiling. Rate to allow for excavations from stockpiled top soil  and vegetation, transport, placement and spreading to a nominal depth of 150 mm./\Pan14_007-Infilling of Drains  \m²\76 \ 5</t>
  </si>
  <si>
    <t xml:space="preserve">KS16_005-Deactivate Drain  </t>
  </si>
  <si>
    <t xml:space="preserve">KS16_002-Excavate Dam Wall  </t>
  </si>
  <si>
    <t>SABS1200 DA \EARTHWORKS (SMALL WORKS)/8.3\SCHEDULED ITEMS/8.3.6\Top Soiling. Rate to allow for excavations from stockpiled top soil  and vegetation, transport, placement and spreading to a nominal depth of 150 mm./\Pan8_001-Foreign Materials  \m²\54 \ 5</t>
  </si>
  <si>
    <t>SABS1200 DA \EARTHWORKS (SMALL WORKS)/8.3\SCHEDULED ITEMS/8.3.1c 1\Extra-over for intermediate excavation. (Provisional Quantities)/\Pan8_003-Removal of Dam Wall  \m³\32.43575 \ 75</t>
  </si>
  <si>
    <t>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sites./\Pan8_002-Infilling of Drains  \m²\320 \ 5</t>
  </si>
  <si>
    <t>SABS1200 DA \EARTHWORKS (SMALL WORKS)/8.3\SCHEDULED ITEMS/8.3.6\Top Soiling. Rate to allow for excavations from stockpiled top soil  and vegetation, transport, placement and spreading to a nominal depth of 150 mm./\Pan8_002-Infilling of Drains  \m²\320 \ 5</t>
  </si>
  <si>
    <t>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sites./\Pan8_004-Removal of Berm  \m²\34.9811660377019 \ 5</t>
  </si>
  <si>
    <t>SABS1200 DA \EARTHWORKS (SMALL WORKS)/8.3\SCHEDULED ITEMS/8.3.6\Top Soiling. Rate to allow for excavations from stockpiled top soil  and vegetation, transport, placement and spreading to a nominal depth of 150 mm./\Pan8_004-Removal of Berm  \m²\18 \ 5</t>
  </si>
  <si>
    <t>SABS1200 C \ SITE CLEARANCE / 8.2\ SCHEDULED ITEMS / 8.2.1 \ Clear and Grub the area designated by the engineer. /\Pan8_003-Removal of Dam Wall  \m²\1700 \ 10</t>
  </si>
  <si>
    <t>SABS1200 C \ SITE CLEARANCE / 8.2\ SCHEDULED ITEMS / 8.2.2 \ Remove and large trees and trees stumps of girth over 1m and up to 2m. /\Pan8_003-Removal of Dam Wall  \No.\5 \ 1500</t>
  </si>
  <si>
    <t xml:space="preserve">SABS1200 C </t>
  </si>
  <si>
    <t xml:space="preserve"> SITE CLEARANCE </t>
  </si>
  <si>
    <t xml:space="preserve"> Clear and Grub the area designated by the engineer. </t>
  </si>
  <si>
    <t>SECTION 4: CLUSTER 2B REHABILITATION</t>
  </si>
  <si>
    <t xml:space="preserve">Remove and large trees and trees stumps of girth over 1m and up to 2m. </t>
  </si>
  <si>
    <t xml:space="preserve">Excavate (non-restrictive) in all materials and use for embankments or backfill or dispose, as ordered by the engineer. </t>
  </si>
  <si>
    <t>SECTION 4 - SUBTOTAL CARRIED FORWARD</t>
  </si>
  <si>
    <t>SECTION 4 - SUBTOTAL CARRIED FORWARD TO SUMMARY</t>
  </si>
  <si>
    <t xml:space="preserve">KS19_002-Concrete Drop Inlet. Drawing NBC-GTW-CL-0026 </t>
  </si>
  <si>
    <t xml:space="preserve">KS19_006-Removal of Dam Wall  </t>
  </si>
  <si>
    <t xml:space="preserve">KS19_007-Infilling of Drains  </t>
  </si>
  <si>
    <t xml:space="preserve">KS19_001-Infilling of Drains  </t>
  </si>
  <si>
    <t xml:space="preserve">KS19_003-Headcut  </t>
  </si>
  <si>
    <t xml:space="preserve">KS19_004-Infilling of Drains  </t>
  </si>
  <si>
    <t xml:space="preserve">KS19_005-Infilling of Drains  </t>
  </si>
  <si>
    <t xml:space="preserve">Rough Formwork - Vertical (0°). </t>
  </si>
  <si>
    <t>Create Weep holes (50 mm Diameter). Rate to allow for the creation of weep holes in the concrete apron slab using 50 mm diameter PVC pipe.</t>
  </si>
  <si>
    <t>Excavate (non-restrictive) in all materials and use for backfilling dam basin.</t>
  </si>
  <si>
    <t/>
  </si>
  <si>
    <t>SECTION 3: CLUSTER 2A REHABILITATION</t>
  </si>
  <si>
    <t>SECTION 3 - SUBTOTAL CARRIED FORWARD TO SUMMARY</t>
  </si>
  <si>
    <t>SECTION 3 - SUBTOTAL CARRIED FORWARD</t>
  </si>
  <si>
    <t>SECTION 3 - SUBTOTAL BROUGHT FORWARD</t>
  </si>
  <si>
    <t>SECTION 4 - SUBTOTAL BROUGHT FORWARD</t>
  </si>
  <si>
    <t xml:space="preserve">KS18-014-Concrete Filled Geo-Cell Berm. Drawing NBC-GTW-CL-0001 </t>
  </si>
  <si>
    <t>PAYMENT</t>
  </si>
  <si>
    <t>REFERENCE</t>
  </si>
  <si>
    <t>SECTION 5: CLUSTER 3A REHABILITATION</t>
  </si>
  <si>
    <t>SECTION 5 - SUBTOTAL CARRIED FORWARD</t>
  </si>
  <si>
    <t>SECTION 5 - SUBTOTAL BROUGHT FORWARD</t>
  </si>
  <si>
    <t xml:space="preserve">KS18-014-Concrete Filled Geo-Cell Berm. </t>
  </si>
  <si>
    <t>SECTION 5 - SUBTOTAL CARRIED FORWARD TO SUMMARY</t>
  </si>
  <si>
    <t xml:space="preserve">KS13_003-Concrete Drop Inlet. Drawing NBC-GTW-CL-0009 </t>
  </si>
  <si>
    <t xml:space="preserve">KS13_004-Concrete Drop Inlet. Drawing NBC-GTW-CL-0010 </t>
  </si>
  <si>
    <t xml:space="preserve">KS13_005-Concrete Drop Inlet. Drawing NBC-GTW-CL-0011 </t>
  </si>
  <si>
    <t xml:space="preserve">KS13_006-Concrete Drop Inlet. Drawing NBC-GTW-CL-0012 </t>
  </si>
  <si>
    <t xml:space="preserve">KS13_007-Concrete Drop Inlet. Drawing NBC-GTW-CL-0013 </t>
  </si>
  <si>
    <t xml:space="preserve">KS13_008-Concrete Drop Inlet. Drawing NBC-GTW-CL-0014 </t>
  </si>
  <si>
    <t xml:space="preserve">KS13_011-Concrete Drop Inlet. Drawing NBC-GTW-CL-0015 </t>
  </si>
  <si>
    <t xml:space="preserve">KS13_012-Concrete Drop Inlet. Drawing NBC-GTW-CL-0016 </t>
  </si>
  <si>
    <t xml:space="preserve">KS13_013-Concrete Drop Inlet. Drawing NBC-GTW-CL-0017 </t>
  </si>
  <si>
    <t xml:space="preserve">KS13_014-Infilling of Drains  </t>
  </si>
  <si>
    <t xml:space="preserve">KS13_015-Concrete Drop Inlet. Drawing NBC-GTW-CL-0018 </t>
  </si>
  <si>
    <t xml:space="preserve">KS18_015-Concrete Drop Inlet. Drawing NBC-GTW-CL-0021 </t>
  </si>
  <si>
    <t xml:space="preserve">KS18_016-Concrete Drop Inlet. Drawing NBC-GTW-CL-0022 </t>
  </si>
  <si>
    <t xml:space="preserve">KS18_017-Concrete Drop Inlet. Drawing NBC-GTW-CL-0023 </t>
  </si>
  <si>
    <t xml:space="preserve">KS18_018-Concrete Drop Inlet. Drawing NBC-GTW-CL-0024 </t>
  </si>
  <si>
    <t xml:space="preserve">KS18_019-Concrete Drop Inlet. Drawing NBC-GTW-CL-0025 </t>
  </si>
  <si>
    <t xml:space="preserve">KS18_020-Concrete Drop Inlet associated with Road Culvert  </t>
  </si>
  <si>
    <t xml:space="preserve">KS13_010-Removal of Berm </t>
  </si>
  <si>
    <t>SECTION 6: CLUSTER 3B REHABILITATION</t>
  </si>
  <si>
    <t>KS13_003-Concrete Drop Inlet.</t>
  </si>
  <si>
    <t>Excavate for restricted foundations, footings and trenches  in all materials and use for backfill around structure. Excess material to be use in earthwork interventions.</t>
  </si>
  <si>
    <t>SECTION 6 - SUBTOTAL CARRIED FORWARD</t>
  </si>
  <si>
    <t>SECTION 6 - SUBTOTAL BROUGHT FORWARD</t>
  </si>
  <si>
    <t xml:space="preserve">KS13_003-Concrete Drop Inlet. </t>
  </si>
  <si>
    <t>SECTION 6 - SUBTOTAL CARRIED FORWARD TO SUMMARY</t>
  </si>
  <si>
    <t>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sites./\Pan14_008-Infilling of Drains  \m²\108 \ 5</t>
  </si>
  <si>
    <t>SABS1200 DA \EARTHWORKS (SMALL WORKS)/8.3\SCHEDULED ITEMS/8.3.6\Top Soiling. Rate to allow for excavations from stockpiled top soil  and vegetation, transport, placement and spreading to a nominal depth of 150 mm./\Pan14_008-Infilling of Drains  \m²\108 \ 5</t>
  </si>
  <si>
    <t>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sites./\Pan14_009-Infilling of Drains  \m²\139.612870262106 \ 5</t>
  </si>
  <si>
    <t>SABS1200 DA \EARTHWORKS (SMALL WORKS)/8.3\SCHEDULED ITEMS/8.3.6\Top Soiling. Rate to allow for excavations from stockpiled top soil  and vegetation, transport, placement and spreading to a nominal depth of 150 mm./\Pan14_009-Infilling of Drains  \m²\78.4 \ 5</t>
  </si>
  <si>
    <t>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sites./\Pan14_011-Infilling of Drains  \m²\4365 \ 5</t>
  </si>
  <si>
    <t>SABS1200 DA \EARTHWORKS (SMALL WORKS)/8.3\SCHEDULED ITEMS/8.3.6\Top Soiling. Rate to allow for excavations from stockpiled top soil  and vegetation, transport, placement and spreading to a nominal depth of 150 mm./\Pan14_011-Infilling of Drains  \m²\4365 \ 5</t>
  </si>
  <si>
    <t>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sites./\Pan14-001-Reinstate Pan Edge  \m²\367.230725070567 \ 5</t>
  </si>
  <si>
    <t>SABS1200 DA \EARTHWORKS (SMALL WORKS)/8.3\SCHEDULED ITEMS/8.3.6\Top Soiling. Rate to allow for excavations from stockpiled top soil  and vegetation, transport, placement and spreading to a nominal depth of 150 mm./\Pan14-001-Reinstate Pan Edge  \m²\360 \ 5</t>
  </si>
  <si>
    <t>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sites./\Pan14-003-Remove berm and backfill drain  \m²\2365 \ 5</t>
  </si>
  <si>
    <t>SABS1200 DA \EARTHWORKS (SMALL WORKS)/8.3\SCHEDULED ITEMS/8.3.6\Top Soiling. Rate to allow for excavations from stockpiled top soil  and vegetation, transport, placement and spreading to a nominal depth of 150 mm./\Pan14-003-Remove berm and backfill drain  \m²\2365 \ 5</t>
  </si>
  <si>
    <t>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sites./\Pan14-002-Remove Berm  \m²\198 \ 5</t>
  </si>
  <si>
    <t>SABS1200 DA \EARTHWORKS (SMALL WORKS)/8.3\SCHEDULED ITEMS/8.3.6\Top Soiling. Rate to allow for excavations from stockpiled top soil  and vegetation, transport, placement and spreading to a nominal depth of 150 mm./\Pan14-002-Remove Berm  \m²\198 \ 5</t>
  </si>
  <si>
    <t>Extra-over for limited overhaul:</t>
  </si>
  <si>
    <t xml:space="preserve">Pan9_001-Removal of Dam Wall  </t>
  </si>
  <si>
    <t xml:space="preserve">KS12_002-Concrete Drop Inlet. Drawing NBC-GTW-CL-0002 </t>
  </si>
  <si>
    <t xml:space="preserve">KS12_004-Concrete Drop Inlet. Drawing NBC-GTW-CL-0003 </t>
  </si>
  <si>
    <t xml:space="preserve">KS12_005-Concrete Drop Inlet. Drawing NBC-GTW-CL-0004 </t>
  </si>
  <si>
    <t xml:space="preserve">KS12_006-Concrete Drop Inlet. Drawing NBC-GTW-CL-0005 </t>
  </si>
  <si>
    <t xml:space="preserve">KS12_007-Concrete Drop Inlet. Drawing NBC-GTW-CL-0006 </t>
  </si>
  <si>
    <t xml:space="preserve">KS12_008-Concrete Drop Inlet. Drawing NBC-GTW-CL-0007 </t>
  </si>
  <si>
    <t xml:space="preserve">KS12_009-Concrete Drop Inlet. Drawing NBC-GTW-CL-0008 </t>
  </si>
  <si>
    <t xml:space="preserve">KS12_001-Pipe Culvert. Drawing NBC-GTW-CL-0069 </t>
  </si>
  <si>
    <t xml:space="preserve">High-Tensile Welded Mesh-Mesh 395 </t>
  </si>
  <si>
    <t xml:space="preserve">LS16_019-Pipe Culvert. Drawing NBC-GTW-CL-0069 </t>
  </si>
  <si>
    <t xml:space="preserve"> STORMWATER DRAINAGE </t>
  </si>
  <si>
    <t xml:space="preserve"> 8.2.9 </t>
  </si>
  <si>
    <t xml:space="preserve"> a) Brickwork. Rate to allow for supply of minimum strength 7 Mpa bricks for 230 mm thick wall and laying of bricks with type 2 motar.</t>
  </si>
  <si>
    <t xml:space="preserve">SABS1200 DB </t>
  </si>
  <si>
    <t xml:space="preserve"> EARTHWORKS (PIPE TRENCHES) </t>
  </si>
  <si>
    <t xml:space="preserve"> 8.3.1 </t>
  </si>
  <si>
    <t xml:space="preserve"> Site Clearance and Removal of Topsoil. a) Clear vegetation and trees to a girth of 1 m</t>
  </si>
  <si>
    <t xml:space="preserve"> Site Clearance and Removal of Topsoil. c) Remove top soil</t>
  </si>
  <si>
    <t xml:space="preserve">KS12_001-Pipe Culvert </t>
  </si>
  <si>
    <t xml:space="preserve"> 8.3.2 </t>
  </si>
  <si>
    <t xml:space="preserve"> Excavation. Excavate in all materials for trenches, backfill, compact and dispose of surplus material</t>
  </si>
  <si>
    <t xml:space="preserve"> 8.3.3.1 </t>
  </si>
  <si>
    <t xml:space="preserve"> Make up deficiency in backfill material (Provisional). a) From other necessary excavations on site.</t>
  </si>
  <si>
    <t>KS12_004-Concrete Drop Inlet.</t>
  </si>
  <si>
    <t>KS12_005-Concrete Drop Inlet.</t>
  </si>
  <si>
    <t>KS12_006-Concrete Drop Inlet.</t>
  </si>
  <si>
    <t>KS12_007-Concrete Drop Inlet.</t>
  </si>
  <si>
    <t>KS12_008-Concrete Drop Inlet.</t>
  </si>
  <si>
    <t>KS12_009-Concrete Drop Inlet.</t>
  </si>
  <si>
    <t>Strength Concrete: 25 Mpa with 19 mm stone. Rate to not include formwork.</t>
  </si>
  <si>
    <t>SECTION 10 - SUBTOTAL CARRIED FORWARD</t>
  </si>
  <si>
    <t>SECTION 10 - SUBTOTAL BROUGHT FORWARD</t>
  </si>
  <si>
    <t>SECTION 10 - SUBTOTAL CARRIED FORWARD TO SUMMARY</t>
  </si>
  <si>
    <t>Extra-over for Boulder -B excavation. (Provisional Quantities)</t>
  </si>
  <si>
    <t>8.3.1c 4</t>
  </si>
  <si>
    <t>Rehabilitation of tracks. Rate to allow for scarifying of ground surface, replanting with indigenous veld grass seed mix, raking and watering as required until grass establishes.</t>
  </si>
  <si>
    <t>8.3.7 PSDA 5.2.5.3</t>
  </si>
  <si>
    <t>8.3.2a PSDA 8.3.2 PSDA 5.2.6.3a</t>
  </si>
  <si>
    <t>8.3.1b PSDA 8.3.1 PSDA 5.2.6.3a</t>
  </si>
  <si>
    <t>8.3.4 
PSDA 8.3.4 PSDA 5.2.6.3(b) PSDA  5.2.3.3</t>
  </si>
  <si>
    <t>8.3.1a 
PSC 5.6</t>
  </si>
  <si>
    <t xml:space="preserve">8.3.1a 
PSC 5.6 </t>
  </si>
  <si>
    <t xml:space="preserve"> 8.2.1
PSC 8.2.1
PSC 8.1 </t>
  </si>
  <si>
    <t xml:space="preserve"> 8.2.2
PSC 5.2.3.2 </t>
  </si>
  <si>
    <t xml:space="preserve"> 8.2.5 PSDK 5.3.3 </t>
  </si>
  <si>
    <t>8.2.1 
PSGA 5.2.1</t>
  </si>
  <si>
    <t>8.2.4 
PSGA 5.3</t>
  </si>
  <si>
    <t>8.3
PSGA 5.1</t>
  </si>
  <si>
    <t>8.4.2
PSGA 5.4.1.9, 8.1.1.5</t>
  </si>
  <si>
    <t>8.3.1
PSGA 8.1.2, 5.1.1, 5.1.2</t>
  </si>
  <si>
    <t>8.3.2
PSGA 8.1.2, 5.1.1, 5.1.2</t>
  </si>
  <si>
    <t>8.2 
PSGA 8.1.1, 4.4, 5.2</t>
  </si>
  <si>
    <t>8.4
PSGA 5.4, 8.1.3</t>
  </si>
  <si>
    <t>8.4.3
PSGA 5.4.1.5, 8.1.3</t>
  </si>
  <si>
    <t>SABS1200 DA \EARTHWORKS (SMALL WORKS)/8.3\SCHEDULED ITEMS/8.3.4\Import Suitable Wetland Earth Backfill Material  from Designated Borrow Pit. Rate to allow for loading from stockpile or borrow source, transport within 5 km free haul distance, stockpiling (if required), placing, spreading  and compacting material in layers, as specified by the engineer./\ks11-003-Backfilling Dam to Create Wetland  \m³\11500 \ 50</t>
  </si>
  <si>
    <t>SABS1200 DA \EARTHWORKS (SMALL WORKS)/8.3\SCHEDULED ITEMS/8.3.4\Import Suitable Wetland Earth Backfill Material  from Designated Borrow Pit. Rate to allow for loading from stockpile or borrow source, transport within 5 km free haul distance, stockpiling (if required), placing, spreading  and compacting material in layers, as specified by the engineer./\ks11-005-Backfilling Dam to Create Wetland  \m³\5200 \ 50</t>
  </si>
  <si>
    <t>SABS1200 GA \CONCRETE (SMALL WORKS)/8.4\SCHEDULED CONCRETE ITEMS/8.4.3\Strength Concrete: 25 Mpa with 19 mm stone. /\ks11-001-Off-take structure  \m³\1.5 \ 2000</t>
  </si>
  <si>
    <t>SABS1200 GA \CONCRETE (SMALL WORKS)/8.2\SCHEDULED FORMWORK ITEMS/8.2.1\Rough Formwork - Vertical (0°). /\ks11-001-Off-take structure  \m²\3.068 \ 650</t>
  </si>
  <si>
    <t>SABS1200 GA \CONCRETE (SMALL WORKS)/8.4\SCHEDULED CONCRETE ITEMS/8.4.4\a) Wood floated Finish. /\ks11-001-Off-take structure  \m²\4.316 \ 30</t>
  </si>
  <si>
    <t>SABS1200 GA \CONCRETE (SMALL WORKS)/8.3\SCHEDULED REINFORCEMENT ITEMS/8.3.2\High-Tensile Welded Mesh-Ref 395 /\ks11-001-Off-take structure  \m²\7.5 \ 20</t>
  </si>
  <si>
    <t>SABS1200 LE \ STORMWATER DRAINAGE / 8.2\ SCHEDULED ITEMS / 8.2.9 \ a) Brickwork. Rate to allow for supply of minimum strength 7 Mpa bricks for 230 mm thick wall and laying of bricks with type 2 motar.
 (double skin) wall, supply and mixing of type 2 mortar, and laying of bricks as per intervention drawing.  /\ks11-001-Off-take structure  \m²\4.632 \ 750</t>
  </si>
  <si>
    <t>SABS1200 L \ MEDIUM-PRESSURE PIPELINES / 8.2\ SCHEDULED ITEMS / 8.2.1 \ Supply, Lay, and Bed Pipes Complete with Couplings. Rate to allow for jointing and testing.. 250mm uPVC class 6 laid on C-class type bedding. SABS 966 approved pipe to be used./\ks11-001-Off-take structure  \m\265 \ 500</t>
  </si>
  <si>
    <t>SABS1200 L \ MEDIUM-PRESSURE PIPELINES / 8.2\ SCHEDULED ITEMS / 8.2.13 \ Valve and hydrant chambers,etc. 1000 mm Diameter Pre-cast concrete manholes at  depths of 1.5 m with pre-cast lid cover/\ks11-001-Off-take structure  \No.\4 \ 7500</t>
  </si>
  <si>
    <t>SABS1200 DB \ EARTHWORKS (PIPE TRENCHES) / 8.3\ SCHEDULED ITEMS / 8.3.1 \ Site Clearance and Removal of Topsoil. a) Clear vegetation and trees to a girth of 1 m/\ks11-001-Off-take structure  \m\265 \ 100</t>
  </si>
  <si>
    <t>SABS1200 DB \ EARTHWORKS (PIPE TRENCHES) / 8.3\ SCHEDULED ITEMS / 8.3.1 \ Site Clearance and Removal of Topsoil. c) Remove top soil/\ks11-001-Off-take structure \m²\185.5 \ 12</t>
  </si>
  <si>
    <t>SABS1200 DB \ EARTHWORKS (PIPE TRENCHES) / 8.3\ SCHEDULED ITEMS / 8.3.2 \ Excavation. Excavate in all materials for trenches, backfill, compact and dispose of surplus material/\ks11-001-Off-take structure  \m\265 \ 50</t>
  </si>
  <si>
    <t>SABS1200 DB \ EARTHWORKS (PIPE TRENCHES) / 8.3\ SCHEDULED ITEMS / 8.3.3.1 \ Make up deficiency in backfill material (Provisional). a) From other necessary excavations on site./\ks11-001-Off-take structure  \m³\5 \ 300</t>
  </si>
  <si>
    <t>SABS1200 L \ MEDIUM-PRESSURE PIPELINES / 8.2\ SCHEDULED ITEMS /  \ Supply, install, joint, incl cut pipes where necessary, test, flanged valve with non rising spindle and hand wheel.. 250 mm diam. RSV gate valve/\ks11-001-Off-take structure  \No.\1 \ 12500</t>
  </si>
  <si>
    <t>SABS1200 L \ MEDIUM-PRESSURE PIPELINES / 8.2\ SCHEDULED ITEMS /  \ Bends uPVC class 6 socketed. . 250mm diameter 45 deg./\ks11-001-Off-take structure  \No.\2 \ 3000</t>
  </si>
  <si>
    <t>SABS1200 L \ MEDIUM-PRESSURE PIPELINES / 8.2\ SCHEDULED ITEMS /  \ Cast Iron Flange Adaptors.. 250 mm diameter./\ks11-001-Off-take structure  \No.\2 \ 1800</t>
  </si>
  <si>
    <t xml:space="preserve"> \  / \  /  \ Rate for the supply and installation of a 38 mm fibreglass grating with openings not greater than 50 mm x 50 mm.. /\ks11-001-Off-take structure  \m²\0.5 \ 3000</t>
  </si>
  <si>
    <t>SABS1200 GA \CONCRETE (SMALL WORKS)/8.4\SCHEDULED CONCRETE ITEMS/8.4.2\Construct Blinding Layer using 15MPa concrete . Rate to allow for blinding to a nominal depth of 75 mm for all bases pertaining to the following structures:/\ks11-002b-Concrete Splash Through Structure. Drawing NBC-GTW-CL-0067 \m²\64 \ 300</t>
  </si>
  <si>
    <t>SABS1200 GA \CONCRETE (SMALL WORKS)/8.3\SCHEDULED REINFORCEMENT ITEMS/8.3.1 \High-Tensile Steel Bars. Rate to include  cutting to length, bending as specified, transport to site and fixing. /\ks11-002b-Concrete Splash Through Structure. Drawing NBC-GTW-CL-0067 \kg\98 \ 18</t>
  </si>
  <si>
    <t>SABS1200 GA \CONCRETE (SMALL WORKS)/8.2\SCHEDULED FORMWORK ITEMS/8.2.1\Rough Formwork - Vertical (0°). /\ks11-002b-Concrete Splash Through Structure. Drawing NBC-GTW-CL-0067 \m²\10.8 \ 650</t>
  </si>
  <si>
    <t>SABS1200 GA \CONCRETE (SMALL WORKS)/8.4\SCHEDULED CONCRETE ITEMS/8.4.3\Concrete 25  Mpa with 19mm stone complete with formwork. Rate to include formwork./\LS16_012-Concrete Splash Through Structure. Drawing NBC-GTW-CL-0067 \m³\21.3 \ 3250</t>
  </si>
  <si>
    <t>SABS1200 DK \ GABIONS AND PITCHING / 8.2\ Geotextile / 8.2.4 \ Needle punched Non-woven Geotextile (BiDim A4 or equivalent product). Rate to allow for supply of SABS approved geofabric such as Bidim a4 or equivalent product and installation between all gabion-soil interfaces.. /\ks11-002b-Concrete Splash Through Structure. Drawing NBC-GTW-CL-0067 \m²\87 \ 28</t>
  </si>
  <si>
    <t xml:space="preserve"> \  / \  /  \ . /\ks11-002b-Concrete Splash Through Structure. Drawing NBC-GTW-CL-0067 \m³\24 \ 500</t>
  </si>
  <si>
    <t>SABS1200 GA \CONCRETE (SMALL WORKS)/8.3\SCHEDULED REINFORCEMENT ITEMS/8.3.2\High-Tensile Welded Mesh-Ref 617 /\ks11-002b-Concrete Splash Through Structure. Drawing NBC-GTW-CL-0067 \m²\64 \ 20</t>
  </si>
  <si>
    <t>SABS1200 GA \CONCRETE (SMALL WORKS)/8.4\SCHEDULED CONCRETE ITEMS/8.4.2\Construct Blinding Layer using 15MPa concrete . Rate to allow for blinding to a nominal depth of 75 mm for all bases pertaining to the following structures:/\ks11-004b-Concrete Splash Through Structure. Drawing NBC-GTW-CL-0068 \m²\64 \ 300</t>
  </si>
  <si>
    <t>SABS1200 GA \CONCRETE (SMALL WORKS)/8.3\SCHEDULED REINFORCEMENT ITEMS/8.3.1 \High-Tensile Steel Bars. Rate to include  cutting to length, bending as specified, transport to site and fixing. /\ks11-004b-Concrete Splash Through Structure. Drawing NBC-GTW-CL-0068 \kg\98 \ 18</t>
  </si>
  <si>
    <t>SABS1200 GA \CONCRETE (SMALL WORKS)/8.2\SCHEDULED FORMWORK ITEMS/8.2.1\Rough Formwork - Vertical (0°). /\ks11-004b-Concrete Splash Through Structure. Drawing NBC-GTW-CL-0068 \m²\10.8 \ 650</t>
  </si>
  <si>
    <t>SABS1200 GA \CONCRETE (SMALL WORKS)/8.4\SCHEDULED CONCRETE ITEMS/8.4.3\Concrete 25  Mpa with 19mm stone complete with formwork. Rate to include formwork./\LS16_016-Concrete Splash Through Structure. Drawing NBC-GTW-CL-0068 \m³\21.3 \ 3250</t>
  </si>
  <si>
    <t>SABS1200 DK \ GABIONS AND PITCHING / 8.2\ Geotextile / 8.2.4 \ Needle punched Non-woven Geotextile (BiDim A4 or equivalent product). Rate to allow for supply of SABS approved geofabric such as Bidim a4 or equivalent product and installation between all gabion-soil interfaces.. /\ks11-004b-Concrete Splash Through Structure. Drawing NBC-GTW-CL-0068 \m²\87 \ 28</t>
  </si>
  <si>
    <t xml:space="preserve"> \  / \  /  \ . /\ks11-004b-Concrete Splash Through Structure. Drawing NBC-GTW-CL-0068 \m³\24 \ 500</t>
  </si>
  <si>
    <t>SABS1200 GA \CONCRETE (SMALL WORKS)/8.3\SCHEDULED REINFORCEMENT ITEMS/8.3.2\High-Tensile Welded Mesh-Ref617 /\ks11-004b-Concrete Splash Through Structure. Drawing NBC-GTW-CL-0068 \m²\64 \ 20</t>
  </si>
  <si>
    <t>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sites./\ks11-002a-Concrete Drop Inlet on Dam Wall  \m²\31.8 \ 5</t>
  </si>
  <si>
    <t>SABS1200 DA \EARTHWORKS (SMALL WORKS)/8.3\SCHEDULED ITEMS/8.3.2b 2\Extra-over for hard rock. (Provisional Quantities)/\ks11-002a-Concrete Drop Inlet on Dam Wall  \m³\10.9657 \ 500</t>
  </si>
  <si>
    <t>SABS1200 DA \EARTHWORKS (SMALL WORKS)/8.3\SCHEDULED ITEMS/8.3.6\Top Soiling. Rate to allow for excavations from stockpiled top soil  and vegetation, transport, placement and spreading to a nominal depth of 150 mm./\ks11-002a-Concrete Drop Inlet on Dam Wall  \m²\31.8 \ 5</t>
  </si>
  <si>
    <t>SABS1200 GA \CONCRETE (SMALL WORKS)/8.4\SCHEDULED CONCRETE ITEMS/8.4.3\Strength Concrete: 25 Mpa with 19 mm stone. /\ks11-002a-Concrete Drop Inlet on Dam Wall  \m³\94.9432 \ 2000</t>
  </si>
  <si>
    <t>SABS1200 GA \CONCRETE (SMALL WORKS)/8.4\SCHEDULED CONCRETE ITEMS/8.4.2\Construct Blinding Layer using 15MPa concrete . Rate to allow for blinding to a nominal depth of 75 mm for all bases pertaining to the following structures:/\ks11-002a-Concrete Drop Inlet on Dam Wall  \m²\101.64 \ 300</t>
  </si>
  <si>
    <t>SABS1200 GA \CONCRETE (SMALL WORKS)/8.2\SCHEDULED FORMWORK ITEMS/8.2.1\Rough Formwork - Sloping (&gt;10°&lt;85°). /\ks11-002a-Concrete Drop Inlet on Dam Wall  \m²\124.76995008702 \ 650</t>
  </si>
  <si>
    <t>SABS1200 GA \CONCRETE (SMALL WORKS)/8.2\SCHEDULED FORMWORK ITEMS/8.2.1\Rough Formwork - Vertical (0°). /\ks11-002a-Concrete Drop Inlet on Dam Wall  \m²\47 \ 650</t>
  </si>
  <si>
    <t>SABS1200 GA \CONCRETE (SMALL WORKS)/8.2\SCHEDULED FORMWORK ITEMS/8.2.4\Create Weep holes (50 mm Diameter). Rate to allow for the creation of weep holes in the concrete apron slab using 50 mm diameter PVC pipe./\ks11-002a-Concrete Drop Inlet on Dam Wall  \No.\16 \ 30</t>
  </si>
  <si>
    <t>SABS1200 GA \CONCRETE (SMALL WORKS)/8.4\SCHEDULED CONCRETE ITEMS/8.4.4\a) Wood floated Finish. /\ks11-002a-Concrete Drop Inlet on Dam Wall  \m²\15 \ 30</t>
  </si>
  <si>
    <t>SABS1200 GA \CONCRETE (SMALL WORKS)/8.3\SCHEDULED REINFORCEMENT ITEMS/8.3.2\High-Tensile Welded Mesh-Ref 888 /\ks11-002a-Concrete Drop Inlet on Dam Wall  \m²\89.6992 \ 20</t>
  </si>
  <si>
    <t>SABS1200 GA \CONCRETE (SMALL WORKS)/8.3\SCHEDULED REINFORCEMENT ITEMS/8.3.2\High-Tensile Welded Mesh-Ref 943 /\ks11-002a-Concrete Drop Inlet on Dam Wall  \m²\82.1744 \ 20</t>
  </si>
  <si>
    <t xml:space="preserve"> \  / \  /  \ Rate to allow for the supply and installation of a 2.5 meter long, 250 mm diameter steel pipe with removable stop-end. Rate to include paddle flanges, flange adaptor, stop end,  seals, nuts, and bolts.. /\ks11-002a-Concrete Drop Inlet on Dam Wall  \No.\1 \ 0</t>
  </si>
  <si>
    <t>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sites./\ks11-004a-Concrete Drop Inlet on Dam Wall  \m²\31.8 \ 5</t>
  </si>
  <si>
    <t>SABS1200 DA \EARTHWORKS (SMALL WORKS)/8.3\SCHEDULED ITEMS/8.3.2b 2\Extra-over for hard rock. (Provisional Quantities)/\ks11-004a-Concrete Drop Inlet on Dam Wall  \m³\14.235864 \ 500</t>
  </si>
  <si>
    <t>SABS1200 DA \EARTHWORKS (SMALL WORKS)/8.3\SCHEDULED ITEMS/8.3.6\Top Soiling. Rate to allow for excavations from stockpiled top soil  and vegetation, transport, placement and spreading to a nominal depth of 150 mm./\ks11-004a-Concrete Drop Inlet on Dam Wall  \m²\31.8 \ 5</t>
  </si>
  <si>
    <t>SABS1200 GA \CONCRETE (SMALL WORKS)/8.4\SCHEDULED CONCRETE ITEMS/8.4.3\Strength Concrete: 25 Mpa with 19 mm stone. /\ks11-004a-Concrete Drop Inlet on Dam Wall  \m³\94.9432 \ 2000</t>
  </si>
  <si>
    <t>SABS1200 GA \CONCRETE (SMALL WORKS)/8.4\SCHEDULED CONCRETE ITEMS/8.4.2\Construct Blinding Layer using 15MPa concrete . Rate to allow for blinding to a nominal depth of 75 mm for all bases pertaining to the following structures:/\ks11-004a-Concrete Drop Inlet on Dam Wall  \m²\101.64 \ 300</t>
  </si>
  <si>
    <t>SABS1200 GA \CONCRETE (SMALL WORKS)/8.2\SCHEDULED FORMWORK ITEMS/8.2.1\Rough Formwork - Sloping (&gt;10°&lt;85°). /\ks11-004a-Concrete Drop Inlet on Dam Wall  \m²\124.76995008702 \ 650</t>
  </si>
  <si>
    <t>SABS1200 GA \CONCRETE (SMALL WORKS)/8.2\SCHEDULED FORMWORK ITEMS/8.2.1\Rough Formwork - Vertical (0°). /\ks11-004a-Concrete Drop Inlet on Dam Wall  \m²\47 \ 650</t>
  </si>
  <si>
    <t>SABS1200 GA \CONCRETE (SMALL WORKS)/8.2\SCHEDULED FORMWORK ITEMS/8.2.4\Create Weep holes (50 mm Diameter). Rate to allow for the creation of weep holes in the concrete apron slab using 50 mm diameter PVC pipe./\ks11-004a-Concrete Drop Inlet on Dam Wall  \No.\16 \ 30</t>
  </si>
  <si>
    <t>SABS1200 GA \CONCRETE (SMALL WORKS)/8.4\SCHEDULED CONCRETE ITEMS/8.4.4\a) Wood floated Finish. /\ks11-004a-Concrete Drop Inlet on Dam Wall  \m²\15 \ 30</t>
  </si>
  <si>
    <t>SABS1200 GA \CONCRETE (SMALL WORKS)/8.3\SCHEDULED REINFORCEMENT ITEMS/8.3.2\High-Tensile Welded Mesh-Ref 888 /\ks11-004a-Concrete Drop Inlet on Dam Wall  \m²\89.6992 \ 20</t>
  </si>
  <si>
    <t>SABS1200 GA \CONCRETE (SMALL WORKS)/8.3\SCHEDULED REINFORCEMENT ITEMS/8.3.2\High-Tensile Welded Mesh-Ref 943 /\ks11-004a-Concrete Drop Inlet on Dam Wall  \m²\82.1744 \ 20</t>
  </si>
  <si>
    <t xml:space="preserve"> \  / \  /  \ Rate to allow for the supply and installation of a 2.5 meter long, 250 mm diameter steel pipe with removable stop-end. Rate to include paddle flanges, flange adaptor, stop end,  seals, nuts, and bolts.. /\ks11-004a-Concrete Drop Inlet on Dam Wall  \No.\1 \ 0</t>
  </si>
  <si>
    <t>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sites./\DS12_001-Excavation of Dam Wall  \m²\1251.40232690631 \ 5</t>
  </si>
  <si>
    <t>SABS1200 DA \EARTHWORKS (SMALL WORKS)/8.3\SCHEDULED ITEMS/8.3.6\Top Soiling. Rate to allow for excavations from stockpiled top soil  and vegetation, transport, placement and spreading to a nominal depth of 150 mm./\DS12_001-Excavation of Dam Wall  \m²\1251.40232690631 \ 5</t>
  </si>
  <si>
    <t>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sites./\DS12_002-Backfilling Dam  \m²\995.487318191585 \ 5</t>
  </si>
  <si>
    <t>SABS1200 DA \EARTHWORKS (SMALL WORKS)/8.3\SCHEDULED ITEMS/8.3.6\Top Soiling. Rate to allow for excavations from stockpiled top soil  and vegetation, transport, placement and spreading to a nominal depth of 150 mm./\DS12_002-Backfilling Dam  \m²\995.487318191585 \ 5</t>
  </si>
  <si>
    <t>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sites./\DS12_003-Excavation of Dam Wall  \m²\621.569611479008 \ 5</t>
  </si>
  <si>
    <t>SABS1200 DA \EARTHWORKS (SMALL WORKS)/8.3\SCHEDULED ITEMS/8.3.6\Top Soiling. Rate to allow for excavations from stockpiled top soil  and vegetation, transport, placement and spreading to a nominal depth of 150 mm./\DS12_003-Excavation of Dam Wall  \m²\621.569611479008 \ 5</t>
  </si>
  <si>
    <t>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sites./\ks11-002c-Dam wall excavation. Drawing NBC-GTW-CL-0067 \m²\1870 \ 5</t>
  </si>
  <si>
    <t>SABS1200 DA \EARTHWORKS (SMALL WORKS)/8.3\SCHEDULED ITEMS/8.3.6\Top Soiling. Rate to allow for excavations from stockpiled top soil  and vegetation, transport, placement and spreading to a nominal depth of 150 mm./\ks11-002c-Dam wall excavation. Drawing NBC-GTW-CL-0067 \m²\1870 \ 5</t>
  </si>
  <si>
    <t>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sites./\ks11-004c-Dam wall excavation. Drawing NBC-GTW-CL-0068 \m²\1200 \ 5</t>
  </si>
  <si>
    <t>SABS1200 DA \EARTHWORKS (SMALL WORKS)/8.3\SCHEDULED ITEMS/8.3.6\Top Soiling. Rate to allow for excavations from stockpiled top soil  and vegetation, transport, placement and spreading to a nominal depth of 150 mm./\ks11-004c-Dam wall excavation. Drawing NBC-GTW-CL-0068 \m²\1200 \ 5</t>
  </si>
  <si>
    <t>SABS1200 DA \EARTHWORKS (SMALL WORKS)/8.3\SCHEDULED ITEMS/8.3.2a\Excavate for restricted foundations, footings and trenches  in all materials and use for embankments or backfill or dispose. /\ks11-001-Off-take structure  \m³\4 \ 85</t>
  </si>
  <si>
    <t>SABS1200 DA \EARTHWORKS (SMALL WORKS)/8.3\SCHEDULED ITEMS/8.3.2a\Excavate for restricted foundations, footings and trenches  in all materials and use for embankments or backfill or dispose. /\ks11-002b-Concrete Splash Through Structure. Drawing NBC-GTW-CL-0067 \m³\210 \ 85</t>
  </si>
  <si>
    <t>SABS1200 DA \EARTHWORKS (SMALL WORKS)/8.3\SCHEDULED ITEMS/8.3.2a\Excavate for restricted foundations, footings and trenches  in all materials and use for embankments or backfill or dispose. /\ks11-004b-Concrete Splash Through Structure. Drawing NBC-GTW-CL-0068 \m³\210 \ 85</t>
  </si>
  <si>
    <t>SABS1200 DA \EARTHWORKS (SMALL WORKS)/8.3\SCHEDULED ITEMS/8.3.2a\Excavate for restricted foundations, footings and trenches  in all materials and use for embankments or backfill or dispose. /\ks11-002a-Concrete Drop Inlet on Dam Wall  \m³\394.7652 \ 85</t>
  </si>
  <si>
    <t>SABS1200 DA \EARTHWORKS (SMALL WORKS)/8.3\SCHEDULED ITEMS/8.3.2b 1\Extra-over for intermediate excavation. (Provisional Quantities)/\ks11-002a-Concrete Drop Inlet on Dam Wall  \m³\39.47652 \ 125</t>
  </si>
  <si>
    <t>SABS1200 DA \EARTHWORKS (SMALL WORKS)/8.3\SCHEDULED ITEMS/8.3.2a\Excavate for restricted foundations, footings and trenches  in all materials and use for embankments or backfill or dispose. /\ks11-004a-Concrete Drop Inlet on Dam Wall  \m³\355.8966 \ 85</t>
  </si>
  <si>
    <t>SABS1200 DA \EARTHWORKS (SMALL WORKS)/8.3\SCHEDULED ITEMS/8.3.2b 1\Extra-over for intermediate excavation. (Provisional Quantities)/\ks11-004a-Concrete Drop Inlet on Dam Wall  \m³\26.46966 \ 125</t>
  </si>
  <si>
    <t>SABS1200 DA \EARTHWORKS (SMALL WORKS)/8.3\SCHEDULED ITEMS/8.3.1b\Excavate in all materials and use for embankments or backfill or dispose, as ordered by the engineer. /\DS12_001-Excavation of Dam Wall  \m³\1419.11 \ 50</t>
  </si>
  <si>
    <t>SABS1200 DA \EARTHWORKS (SMALL WORKS)/8.3\SCHEDULED ITEMS/8.3.1b\Excavate in all materials and use for embankments or backfill or dispose, as ordered by the engineer. /\DS12_002-Backfilling Dam  \m³\1723.444675 \ 50</t>
  </si>
  <si>
    <t>SABS1200 DA \EARTHWORKS (SMALL WORKS)/8.3\SCHEDULED ITEMS/8.3.1b\Excavate in all materials and use for embankments or backfill or dispose, as ordered by the engineer. /\DS12_003-Excavation of Dam Wall  \m³\659.314 \ 50</t>
  </si>
  <si>
    <t>SABS1200 DA \EARTHWORKS (SMALL WORKS)/8.3\SCHEDULED ITEMS/8.3.1b\Excavate in all materials and use for embankments or backfill or dispose, as ordered by the engineer. /\ks11-002c-Dam wall excavation. Drawing NBC-GTW-CL-0067 \m³\2651.36666666667 \ 50</t>
  </si>
  <si>
    <t>SABS1200 DA \EARTHWORKS (SMALL WORKS)/8.3\SCHEDULED ITEMS/8.3.1b\Excavate in all materials and use for embankments or backfill or dispose, as ordered by the engineer. /\ks11-004c-Dam wall excavation. Drawing NBC-GTW-CL-0068 \m³\665.25 \ 50</t>
  </si>
  <si>
    <t>SABS1200 DA \EARTHWORKS (SMALL WORKS)/8.3\SCHEDULED ITEMS/8.3.7\Grassing or other Vegetation Cover. Rate to allow for the supply of indigenous veld grass seed mix from commercial sources, seeding, raking and maintaining until established./\ks11-003-Backfilling Dam to Create Wetland  \m²\17400 \ 10</t>
  </si>
  <si>
    <t>SABS1200 DA \EARTHWORKS (SMALL WORKS)/8.3\SCHEDULED ITEMS/8.3.7\Grassing or other Vegetation Cover. Rate to allow for the supply of indigenous veld grass seed mix from commercial sources, seeding, raking and maintaining until established./\ks11-005-Backfilling Dam to Create Wetland  \m²\38200 \ 10</t>
  </si>
  <si>
    <t>SABS1200 DA \EARTHWORKS (SMALL WORKS)/8.3\SCHEDULED ITEMS/8.3.7\Grassing or other Vegetation Cover. Rate to allow for the supply of indigenous veld grass seed mix from commercial sources, seeding, raking and maintaining until established./\ks11-002a-Concrete Drop Inlet on Dam Wall  \m²\31.8 \ 10</t>
  </si>
  <si>
    <t>SABS1200 DA \EARTHWORKS (SMALL WORKS)/8.3\SCHEDULED ITEMS/8.3.7\Grassing or other Vegetation Cover. Rate to allow for the supply of indigenous veld grass seed mix from commercial sources, seeding, raking and maintaining until established./\ks11-004a-Concrete Drop Inlet on Dam Wall  \m²\31.8 \ 10</t>
  </si>
  <si>
    <t>SABS1200 DA \EARTHWORKS (SMALL WORKS)/8.3\SCHEDULED ITEMS/8.3.7\Grassing or other Vegetation Cover. Rate to allow for the supply of indigenous veld grass seed mix from commercial sources, seeding, raking and maintaining until established./\DS12_001-Excavation of Dam Wall  \m²\1251.4 \ 10</t>
  </si>
  <si>
    <t>SABS1200 DA \EARTHWORKS (SMALL WORKS)/8.3\SCHEDULED ITEMS/8.3.7\Grassing or other Vegetation Cover. Rate to allow for the supply of indigenous veld grass seed mix from commercial sources, seeding, raking and maintaining until established./\DS12_002-Backfilling Dam  \m²\995.487318191585 \ 10</t>
  </si>
  <si>
    <t>SABS1200 DA \EARTHWORKS (SMALL WORKS)/8.3\SCHEDULED ITEMS/8.3.7\Grassing or other Vegetation Cover. Rate to allow for the supply of indigenous veld grass seed mix from commercial sources, seeding, raking and maintaining until established./\DS12_003-Excavation of Dam Wall  \m²\621.57 \ 10</t>
  </si>
  <si>
    <t>SABS1200 DA \EARTHWORKS (SMALL WORKS)/8.3\SCHEDULED ITEMS/8.3.7\Grassing or other Vegetation Cover. Rate to allow for the supply of indigenous veld grass seed mix from commercial sources, seeding, raking and maintaining until established./\ks11-002c-Dam wall excavation. Drawing NBC-GTW-CL-0067 \m²\1870 \ 10</t>
  </si>
  <si>
    <t>SABS1200 DA \EARTHWORKS (SMALL WORKS)/8.3\SCHEDULED ITEMS/8.3.7\Grassing or other Vegetation Cover. Rate to allow for the supply of indigenous veld grass seed mix from commercial sources, seeding, raking and maintaining until established./\ks11-004c-Dam wall excavation. Drawing NBC-GTW-CL-0068 \m²\1200 \ 10</t>
  </si>
  <si>
    <t>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engineer./\ks11-003-Backfilling Dam to Create Wetland  \m³\24200 \ 120</t>
  </si>
  <si>
    <t>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engineer./\ks11-005-Backfilling Dam to Create Wetland  \m³\12300 \ 120</t>
  </si>
  <si>
    <t>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engineer./\ks11-002a-Concrete Drop Inlet on Dam Wall  \m³\25.2498 \ 120</t>
  </si>
  <si>
    <t>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engineer./\ks11-004a-Concrete Drop Inlet on Dam Wall  \m³\25.2498 \ 120</t>
  </si>
  <si>
    <t>SABS1200 DA \EARTHWORKS (SMALL WORKS)/8.3\SCHEDULED ITEMS/8.3.2a\Excavate for restricted foundations, footings and trenches  in all materials and use for embankments or backfill or dispose. /\KS18_001-Concrete Check Wall. Drawing NBC-GTW-CL-0019 \m³\12 \ 85</t>
  </si>
  <si>
    <t>SABS1200 GA \CONCRETE (SMALL WORKS)/8.4\SCHEDULED CONCRETE ITEMS/8.4.3\Strength Concrete: 25 Mpa with 19 mm stone. /\KS18_001-Concrete Check Wall. Drawing NBC-GTW-CL-0019 \m³\12 \ 2000</t>
  </si>
  <si>
    <t>SABS1200 GA \CONCRETE (SMALL WORKS)/8.4\SCHEDULED CONCRETE ITEMS/8.4.4\a) Wood floated Finish. /\KS18_001-Concrete Check Wall. Drawing NBC-GTW-CL-0019 \m²\5.1 \ 30</t>
  </si>
  <si>
    <t>SABS1200 DA \EARTHWORKS (SMALL WORKS)/8.3\SCHEDULED ITEMS/8.3.2a\Excavate for restricted foundations, footings and trenches  in all materials and use for embankments or backfill or dispose. /\KS18_002A-Concrete Check Wall. Drawing NBC-GTW-CL-0020 \m³\8 \ 85</t>
  </si>
  <si>
    <t>SABS1200 GA \CONCRETE (SMALL WORKS)/8.4\SCHEDULED CONCRETE ITEMS/8.4.3\Strength Concrete: 25 Mpa with 19 mm stone. /\KS18_002A-Concrete Check Wall. Drawing NBC-GTW-CL-0020 \m³\8 \ 2000</t>
  </si>
  <si>
    <t>SABS1200 GA \CONCRETE (SMALL WORKS)/8.4\SCHEDULED CONCRETE ITEMS/8.4.4\a) Wood floated Finish. /\KS18_002A-Concrete Check Wall. Drawing NBC-GTW-CL-0020 \m²\4.2 \ 30</t>
  </si>
  <si>
    <t>SABS1200 DA \EARTHWORKS (SMALL WORKS)/8.3\SCHEDULED ITEMS/8.3.2a\Excavate for restricted foundations, footings and trenches  in all materials and use for embankments or backfill or dispose. /\KS18_002B-Concrete Check Wall  \m³\6 \ 85</t>
  </si>
  <si>
    <t>SABS1200 GA \CONCRETE (SMALL WORKS)/8.4\SCHEDULED CONCRETE ITEMS/8.4.3\Strength Concrete: 25 Mpa with 19 mm stone. /\KS18_002B-Concrete Check Wall  \m³\6 \ 2000</t>
  </si>
  <si>
    <t>SABS1200 GA \CONCRETE (SMALL WORKS)/8.4\SCHEDULED CONCRETE ITEMS/8.4.4\a) Wood floated Finish. /\KS18_002B-Concrete Check Wall  \m²\4.2 \ 30</t>
  </si>
  <si>
    <t>SABS1200 DA \EARTHWORKS (SMALL WORKS)/8.3\SCHEDULED ITEMS/8.3.2a\Excavate for restricted foundations, footings and trenches  in all materials and use for embankments or backfill or dispose. /\KS20_002-Concrete Check Wall. Drawing NBC-GTW-CL-0028 \m³\6.453 \ 85</t>
  </si>
  <si>
    <t>SABS1200 GA \CONCRETE (SMALL WORKS)/8.4\SCHEDULED CONCRETE ITEMS/8.4.3\Strength Concrete: 25 Mpa with 19 mm stone. /\KS20_002-Concrete Check Wall. Drawing NBC-GTW-CL-0028 \m³\6.453 \ 2000</t>
  </si>
  <si>
    <t>SABS1200 GA \CONCRETE (SMALL WORKS)/8.4\SCHEDULED CONCRETE ITEMS/8.4.4\a) Wood floated Finish. /\KS20_002-Concrete Check Wall. Drawing NBC-GTW-CL-0028 \m²\3.6 \ 30</t>
  </si>
  <si>
    <t>SABS1200 DA \EARTHWORKS (SMALL WORKS)/8.3\SCHEDULED ITEMS/8.3.2a\Excavate for restricted foundations, footings and trenches  in all materials and use for embankments or backfill or dispose. /\KS20_003-Concrete Check Wall. Drawing NBC-GTW-CL-0029 \m³\9.855 \ 85</t>
  </si>
  <si>
    <t>SABS1200 GA \CONCRETE (SMALL WORKS)/8.4\SCHEDULED CONCRETE ITEMS/8.4.3\Strength Concrete: 25 Mpa with 19 mm stone. /\KS20_003-Concrete Check Wall. Drawing NBC-GTW-CL-0029 \m³\9.855 \ 2000</t>
  </si>
  <si>
    <t>SABS1200 GA \CONCRETE (SMALL WORKS)/8.4\SCHEDULED CONCRETE ITEMS/8.4.4\a) Wood floated Finish. /\KS20_003-Concrete Check Wall. Drawing NBC-GTW-CL-0029 \m²\3.9 \ 30</t>
  </si>
  <si>
    <t>SABS1200 DA \EARTHWORKS (SMALL WORKS)/8.3\SCHEDULED ITEMS/8.3.2a\Excavate for restricted foundations, footings and trenches  in all materials and use for embankments or backfill or dispose. /\KS20_004-Concrete Check Wall. Drawing NBC-GTW-CL-0030 \m³\9.405 \ 85</t>
  </si>
  <si>
    <t>SABS1200 GA \CONCRETE (SMALL WORKS)/8.4\SCHEDULED CONCRETE ITEMS/8.4.3\Strength Concrete: 25 Mpa with 19 mm stone. /\KS20_004-Concrete Check Wall. Drawing NBC-GTW-CL-0030 \m³\9.405 \ 2000</t>
  </si>
  <si>
    <t>SABS1200 GA \CONCRETE (SMALL WORKS)/8.4\SCHEDULED CONCRETE ITEMS/8.4.4\a) Wood floated Finish. /\KS20_004-Concrete Check Wall. Drawing NBC-GTW-CL-0030 \m²\4.5 \ 30</t>
  </si>
  <si>
    <t>SABS1200 DA \EARTHWORKS (SMALL WORKS)/8.3\SCHEDULED ITEMS/8.3.2a\Excavate for restricted foundations, footings and trenches  in all materials and use for embankments or backfill or dispose. /\KS20_005-Concrete Check Wall. Drawing NBC-GTW-CL-0031 \m³\10.032 \ 85</t>
  </si>
  <si>
    <t>SABS1200 GA \CONCRETE (SMALL WORKS)/8.4\SCHEDULED CONCRETE ITEMS/8.4.3\Strength Concrete: 25 Mpa with 19 mm stone. /\KS20_005-Concrete Check Wall. Drawing NBC-GTW-CL-0031 \m³\10.032 \ 2000</t>
  </si>
  <si>
    <t>SABS1200 GA \CONCRETE (SMALL WORKS)/8.4\SCHEDULED CONCRETE ITEMS/8.4.4\a) Wood floated Finish. /\KS20_005-Concrete Check Wall. Drawing NBC-GTW-CL-0031 \m²\4.5 \ 30</t>
  </si>
  <si>
    <t>SABS1200 DA \EARTHWORKS (SMALL WORKS)/8.3\SCHEDULED ITEMS/8.3.2a\Excavate for restricted foundations, footings and trenches  in all materials and use for embankments or backfill or dispose. /\KS20_007-Concrete Check Wall. Drawing NBC-GTW-CL-0033 \m³\8.289 \ 85</t>
  </si>
  <si>
    <t>SABS1200 GA \CONCRETE (SMALL WORKS)/8.4\SCHEDULED CONCRETE ITEMS/8.4.3\Strength Concrete: 25 Mpa with 19 mm stone. /\KS20_007-Concrete Check Wall. Drawing NBC-GTW-CL-0033 \m³\8.289 \ 2000</t>
  </si>
  <si>
    <t>SABS1200 GA \CONCRETE (SMALL WORKS)/8.4\SCHEDULED CONCRETE ITEMS/8.4.4\a) Wood floated Finish. /\KS20_007-Concrete Check Wall. Drawing NBC-GTW-CL-0033 \m²\4.5 \ 30</t>
  </si>
  <si>
    <t>SABS1200 DA \EARTHWORKS (SMALL WORKS)/8.3\SCHEDULED ITEMS/8.3.2a\Excavate for restricted foundations, footings and trenches  in all materials and use for embankments or backfill or dispose. /\KS20_008-Concrete Check Wall. Drawing NBC-GTW-CL-0034 \m³\10.8 \ 85</t>
  </si>
  <si>
    <t>SABS1200 GA \CONCRETE (SMALL WORKS)/8.4\SCHEDULED CONCRETE ITEMS/8.4.3\Strength Concrete: 25 Mpa with 19 mm stone. /\KS20_008-Concrete Check Wall. Drawing NBC-GTW-CL-0034 \m³\10.8 \ 2000</t>
  </si>
  <si>
    <t>SABS1200 GA \CONCRETE (SMALL WORKS)/8.4\SCHEDULED CONCRETE ITEMS/8.4.4\a) Wood floated Finish. /\KS20_008-Concrete Check Wall. Drawing NBC-GTW-CL-0034 \m²\4.35 \ 30</t>
  </si>
  <si>
    <t>SABS1200 DA \EARTHWORKS (SMALL WORKS)/8.3\SCHEDULED ITEMS/8.3.2a\Excavate for restricted foundations, footings and trenches  in all materials and use for embankments or backfill or dispose. /\KS20_009_a-Concrete Check Wall. Drawing NBC-GTW-CL-0035 \m³\27 \ 85</t>
  </si>
  <si>
    <t>SABS1200 GA \CONCRETE (SMALL WORKS)/8.4\SCHEDULED CONCRETE ITEMS/8.4.3\Strength Concrete: 25 Mpa with 19 mm stone. /\KS20_009_a-Concrete Check Wall. Drawing NBC-GTW-CL-0035 \m³\29.408 \ 2000</t>
  </si>
  <si>
    <t>SABS1200 GA \CONCRETE (SMALL WORKS)/8.2\SCHEDULED FORMWORK ITEMS/8.2.1\Rough Formwork - Vertical (0°). /\KS20_009_a-Concrete Check Wall. Drawing NBC-GTW-CL-0035 \m²\11 \ 650</t>
  </si>
  <si>
    <t>SABS1200 GA \CONCRETE (SMALL WORKS)/8.4\SCHEDULED CONCRETE ITEMS/8.4.4\a) Wood floated Finish. /\KS20_009_a-Concrete Check Wall. Drawing NBC-GTW-CL-0035 \m²\15 \ 30</t>
  </si>
  <si>
    <t>SABS1200 DA \EARTHWORKS (SMALL WORKS)/8.3\SCHEDULED ITEMS/8.3.2a\Excavate for restricted foundations, footings and trenches  in all materials and use for embankments or backfill or dispose. /\KS20_010-Ecologs  \m³\3.6 \ 85</t>
  </si>
  <si>
    <t>SABS1200 DA \EARTHWORKS (SMALL WORKS)/8.3\SCHEDULED ITEMS/8.3.3b\Long overhaul (provisional). /\KS20_010-Ecologs \m³/km\3.6 \ 6</t>
  </si>
  <si>
    <t xml:space="preserve"> \  / \  /  \ Install Erosion control logs (2 m long x 300 mm Dimeter ). Rate to allow supply of erosion control log and 2 No. 1000 mm long steel fence droppers per a log. To be installed as per suppliers specifications./\KS20_010-Ecologs  \unit\20 \ 900</t>
  </si>
  <si>
    <t>SABS1200 DA \EARTHWORKS (SMALL WORKS)/8.3\SCHEDULED ITEMS/8.3.2a\Excavate for restricted foundations, footings and trenches  in all materials and use for embankments or backfill or dispose. /\KS20_011-Backfilling Main Channel  \m³\950 \ 85</t>
  </si>
  <si>
    <t>SABS1200 DA \EARTHWORKS (SMALL WORKS)/8.3\SCHEDULED ITEMS/8.3.6\Top Soiling. Rate to allow for excavations from stockpiled top soil  and vegetation, transport, placement and spreading to a nominal depth of 150 mm./\KS20_011-Backfilling Main Channel  \m²\6700 \ 5</t>
  </si>
  <si>
    <t>SABS1200 DA \EARTHWORKS (SMALL WORKS)/8.3\SCHEDULED ITEMS/8.3.7\Grassing or other Vegetation Cover. Rate to allow for the supply of indigenous veld grass seed mix from commercial sources, seeding, raking and maintaining until established./\KS20_011-Backfilling Main Channel  \m²\6700 \ 10</t>
  </si>
  <si>
    <t>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engineer./\KS20_011-Backfilling Main Channel  \m³\5730 \ 120</t>
  </si>
  <si>
    <t>SABS1200 DA \EARTHWORKS (SMALL WORKS)/8.3\SCHEDULED ITEMS/8.3.2a\Excavate for restricted foundations, footings and trenches  in all materials and use for embankments or backfill or dispose. /\KS20_001-Concrete Drop Inlet. Drawing NBC-GTW-CL-0027 \m³\51.93327 \ 85</t>
  </si>
  <si>
    <t>SABS1200 DA \EARTHWORKS (SMALL WORKS)/8.3\SCHEDULED ITEMS/8.3.2b 1\Extra-over for intermediate excavation. (Provisional Quantities)/\KS20_001-Concrete Drop Inlet. Drawing NBC-GTW-CL-0027 \m³\5.193327 \ 125</t>
  </si>
  <si>
    <t>SABS1200 DA \EARTHWORKS (SMALL WORKS)/8.3\SCHEDULED ITEMS/8.3.7\Grassing or other Vegetation Cover. Rate to allow for the supply of indigenous veld grass seed mix from commercial sources, seeding, raking and maintaining until established./\KS20_001-Concrete Drop Inlet. Drawing NBC-GTW-CL-0027 \m²\23.52 \ 10</t>
  </si>
  <si>
    <t>SABS1200 DA \EARTHWORKS (SMALL WORKS)/8.3\SCHEDULED ITEMS/8.3.3b\Long overhaul (provisional). /\KS20_001-Concrete Drop Inlet \m³/km\51.93327 \ 6</t>
  </si>
  <si>
    <t>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engineer./\KS20_001-Concrete Drop Inlet. Drawing NBC-GTW-CL-0027 \m³\32.7276 \ 120</t>
  </si>
  <si>
    <t>SABS1200 DA \EARTHWORKS (SMALL WORKS)/8.3\SCHEDULED ITEMS/8.3.2a\Excavate for restricted foundations, footings and trenches  in all materials and use for embankments or backfill or dispose. /\KS21_003-Concrete Drop Inlet. Drawing NBC-GTW-CL-0039 \m³\25.78775 \ 85</t>
  </si>
  <si>
    <t>SABS1200 DA \EARTHWORKS (SMALL WORKS)/8.3\SCHEDULED ITEMS/8.3.2b 1\Extra-over for intermediate excavation. (Provisional Quantities)/\KS21_003-Concrete Drop Inlet. Drawing NBC-GTW-CL-0039 \m³\2.578775 \ 125</t>
  </si>
  <si>
    <t>SABS1200 DA \EARTHWORKS (SMALL WORKS)/8.3\SCHEDULED ITEMS/8.3.7\Grassing or other Vegetation Cover. Rate to allow for the supply of indigenous veld grass seed mix from commercial sources, seeding, raking and maintaining until established./\KS21_003-Concrete Drop Inlet. Drawing NBC-GTW-CL-0039 \m²\22.24 \ 10</t>
  </si>
  <si>
    <t>SABS1200 DA \EARTHWORKS (SMALL WORKS)/8.3\SCHEDULED ITEMS/8.3.3b\Long overhaul (provisional). /\KS21_003-Concrete Drop Inlet \m³/km\25.78775 \ 6</t>
  </si>
  <si>
    <t>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sites./\KS20_009_b-Concrete Check Wall. Drawing NBC-GTW-CL-0035 \m²\60 \ 5</t>
  </si>
  <si>
    <t>SABS1200 DA \EARTHWORKS (SMALL WORKS)/8.3\SCHEDULED ITEMS/8.3.2a\Excavate for restricted foundations, footings and trenches  in all materials and use for embankments or backfill or dispose. /\KS20_009_b-Concrete Check Wall. Drawing NBC-GTW-CL-0035 \m³\16 \ 85</t>
  </si>
  <si>
    <t>SABS1200 DA \EARTHWORKS (SMALL WORKS)/8.3\SCHEDULED ITEMS/8.3.6\Top Soiling. Rate to allow for excavations from stockpiled top soil  and vegetation, transport, placement and spreading to a nominal depth of 150 mm./\KS20_009_b-Concrete Check Wall. Drawing NBC-GTW-CL-0035 \m²\60 \ 5</t>
  </si>
  <si>
    <t>SABS1200 DA \EARTHWORKS (SMALL WORKS)/8.3\SCHEDULED ITEMS/8.3.7\Grassing or other Vegetation Cover. Rate to allow for the supply of indigenous veld grass seed mix from commercial sources, seeding, raking and maintaining until established./\KS20_009_b-Concrete Check Wall. Drawing NBC-GTW-CL-0035 \m²\60 \ 10</t>
  </si>
  <si>
    <t>SABS1200 GA \CONCRETE (SMALL WORKS)/8.4\SCHEDULED CONCRETE ITEMS/8.4.3\Strength Concrete: 25 Mpa with 19 mm stone. /\KS20_009_b-Concrete Check Wall. Drawing NBC-GTW-CL-0035 \m³\4.032 \ 2000</t>
  </si>
  <si>
    <t>SABS1200 GA \CONCRETE (SMALL WORKS)/8.4\SCHEDULED CONCRETE ITEMS/8.4.4\a) Wood floated Finish. /\KS20_009_b-Concrete Check Wall. Drawing NBC-GTW-CL-0035 \m²\2 \ 30</t>
  </si>
  <si>
    <t>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sites./\KS21_001-10° sloped Grouted Pitching (Light). Drawing NBC-GTW-CL-0038 \m²\38 \ 5</t>
  </si>
  <si>
    <t>SABS1200 DA \EARTHWORKS (SMALL WORKS)/8.3\SCHEDULED ITEMS/8.3.2a\Excavate for restricted foundations, footings and trenches  in all materials and use for embankments or backfill or dispose. /\KS21_001-10° sloped Grouted Pitching (Light). Drawing NBC-GTW-CL-0038 \m³\20 \ 85</t>
  </si>
  <si>
    <t>SABS1200 DA \EARTHWORKS (SMALL WORKS)/8.3\SCHEDULED ITEMS/8.3.2b 2\Extra-over for hard rock. (Provisional Quantities)/\KS21_001-10° sloped Grouted Pitching (Light). Drawing NBC-GTW-CL-0038 \m³\1 \ 500</t>
  </si>
  <si>
    <t>SABS1200 DA \EARTHWORKS (SMALL WORKS)/8.3\SCHEDULED ITEMS/8.3.3b\Long overhaul (provisional). /\KS21_001-10° sloped Grouted Pitching (Light) \m³/km\20 \ 6</t>
  </si>
  <si>
    <t>SABS1200 DK \ GABIONS AND PITCHING / 8.2\ Pitching / 8.2.5 \ Grouted Pitching - Light. /\KS21_001-10° sloped Grouted Pitching (Light). Drawing NBC-GTW-CL-0038 \m²\50 \ 750</t>
  </si>
  <si>
    <t>SABS1200 DA \EARTHWORKS (SMALL WORKS)/8.3\SCHEDULED ITEMS/8.3.2a\Excavate for restricted foundations, footings and trenches  in all materials and use for embankments or backfill or dispose. /\DS12_004-Removal of earthen material  \m³\523.01728 \ 85</t>
  </si>
  <si>
    <t>SABS1200 DA \EARTHWORKS (SMALL WORKS)/8.3\SCHEDULED ITEMS/8.3.7\Grassing or other Vegetation Cover. Rate to allow for the supply of indigenous veld grass seed mix from commercial sources, seeding, raking and maintaining until established./\DS12_004-Removal of earthen material  \m²\626.368 \ 10</t>
  </si>
  <si>
    <t>SABS1200 DA \EARTHWORKS (SMALL WORKS)/8.3\SCHEDULED ITEMS/8.3.7\Grassing or other Vegetation Cover. Rate to allow for the supply of indigenous veld grass seed mix from commercial sources, seeding, raking and maintaining until established./\KS19_007-Infilling of Drains  \m²\179.7515 \ 10</t>
  </si>
  <si>
    <t>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engineer./\KS19_007-Infilling of Drains  \m³\38 \ 120</t>
  </si>
  <si>
    <t>SABS1200 DA \EARTHWORKS (SMALL WORKS)/8.3\SCHEDULED ITEMS/8.3.1b\Excavate in all materials and use for embankments or backfill or dispose, as ordered by the engineer. /\KS19_006-Removal of Dam Wall  \m³\1385.03125 \ 50</t>
  </si>
  <si>
    <t>SABS1200 DA \EARTHWORKS (SMALL WORKS)/8.3\SCHEDULED ITEMS/8.3.7\Grassing or other Vegetation Cover. Rate to allow for the supply of indigenous veld grass seed mix from commercial sources, seeding, raking and maintaining until established./\KS19_006-Removal of Dam Wall  \m²\3134.04 \ 10</t>
  </si>
  <si>
    <t>SABS1200 DA \EARTHWORKS (SMALL WORKS)/8.3\SCHEDULED ITEMS/8.3.2a\Excavate for restricted foundations, footings and trenches  in all materials and use for embankments or backfill or dispose. /\KS19_002-Concrete Drop Inlet. Drawing NBC-GTW-CL-0026 \m³\38.760038 \ 85</t>
  </si>
  <si>
    <t>SABS1200 DA \EARTHWORKS (SMALL WORKS)/8.3\SCHEDULED ITEMS/8.3.2b 1\Extra-over for intermediate excavation. (Provisional Quantities)/\KS19_002-Concrete Drop Inlet. Drawing NBC-GTW-CL-0026 \m³\3.8760038 \ 125</t>
  </si>
  <si>
    <t>SABS1200 DA \EARTHWORKS (SMALL WORKS)/8.3\SCHEDULED ITEMS/8.3.7\Grassing or other Vegetation Cover. Rate to allow for the supply of indigenous veld grass seed mix from commercial sources, seeding, raking and maintaining until established./\KS19_002-Concrete Drop Inlet. Drawing NBC-GTW-CL-0026 \m²\20.96 \ 10</t>
  </si>
  <si>
    <t>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engineer./\KS19_002-Concrete Drop Inlet. Drawing NBC-GTW-CL-0026 \m³\10.8096 \ 120</t>
  </si>
  <si>
    <t>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sites./\KS18-021-Backfill Main Channel  \m²\3294.95 \ 5</t>
  </si>
  <si>
    <t>SABS1200 DA \EARTHWORKS (SMALL WORKS)/8.3\SCHEDULED ITEMS/8.3.2a\Excavate for restricted foundations, footings and trenches  in all materials and use for embankments or backfill or dispose. /\KS18-021-Backfill Main Channel  \m³\1098 \ 85</t>
  </si>
  <si>
    <t>SABS1200 DA \EARTHWORKS (SMALL WORKS)/8.3\SCHEDULED ITEMS/8.3.6\Top Soiling. Rate to allow for excavations from stockpiled top soil  and vegetation, transport, placement and spreading to a nominal depth of 150 mm./\KS18-021-Backfill Main Channel  \m²\3294.95 \ 5</t>
  </si>
  <si>
    <t>SABS1200 DA \EARTHWORKS (SMALL WORKS)/8.3\SCHEDULED ITEMS/8.3.7\Grassing or other Vegetation Cover. Rate to allow for the supply of indigenous veld grass seed mix from commercial sources, seeding, raking and maintaining until established./\KS18-021-Backfill Main Channel  \m²\3294.95 \ 10</t>
  </si>
  <si>
    <t>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engineer./\KS18-021-Backfill Main Channel  \m³\1879.7535 \ 120</t>
  </si>
  <si>
    <t>SABS1200 DA \EARTHWORKS (SMALL WORKS)/8.3\SCHEDULED ITEMS/8.3.2a\Excavate for restricted foundations, footings and trenches  in all materials and use for embankments or backfill or dispose. /\KS13_004-Concrete Check Wall. Drawing NBC-GTW-CL-0010 \m³\5.322 \ 85</t>
  </si>
  <si>
    <t>SABS1200 GA \CONCRETE (SMALL WORKS)/8.4\SCHEDULED CONCRETE ITEMS/8.4.3\Strength Concrete: 25 Mpa with 19 mm stone. /\KS13_004-Concrete Check Wall. Drawing NBC-GTW-CL-0010 \m³\5.322 \ 2000</t>
  </si>
  <si>
    <t>SABS1200 GA \CONCRETE (SMALL WORKS)/8.4\SCHEDULED CONCRETE ITEMS/8.4.4\a) Wood floated Finish. /\KS13_004-Concrete Check Wall. Drawing NBC-GTW-CL-0010 \m²\3.9 \ 30</t>
  </si>
  <si>
    <t>SABS1200 DA \EARTHWORKS (SMALL WORKS)/8.3\SCHEDULED ITEMS/8.3.2a\Excavate for restricted foundations, footings and trenches  in all materials and use for embankments or backfill or dispose. /\KS13_005-Concrete Check Wall. Drawing NBC-GTW-CL-0011 \m³\7.482 \ 85</t>
  </si>
  <si>
    <t>SABS1200 GA \CONCRETE (SMALL WORKS)/8.4\SCHEDULED CONCRETE ITEMS/8.4.3\Strength Concrete: 25 Mpa with 19 mm stone. /\KS13_005-Concrete Check Wall. Drawing NBC-GTW-CL-0011 \m³\7.482 \ 2000</t>
  </si>
  <si>
    <t>SABS1200 GA \CONCRETE (SMALL WORKS)/8.4\SCHEDULED CONCRETE ITEMS/8.4.4\a) Wood floated Finish. /\KS13_005-Concrete Check Wall. Drawing NBC-GTW-CL-0011 \m²\3.9 \ 30</t>
  </si>
  <si>
    <t>SABS1200 DA \EARTHWORKS (SMALL WORKS)/8.3\SCHEDULED ITEMS/8.3.2a\Excavate for restricted foundations, footings and trenches  in all materials and use for embankments or backfill or dispose. /\KS13_006-Concrete Check Wall. Drawing NBC-GTW-CL-0012 \m³\7.4025 \ 85</t>
  </si>
  <si>
    <t>SABS1200 GA \CONCRETE (SMALL WORKS)/8.4\SCHEDULED CONCRETE ITEMS/8.4.3\Strength Concrete: 25 Mpa with 19 mm stone. /\KS13_006-Concrete Check Wall. Drawing NBC-GTW-CL-0012 \m³\7.4025 \ 2000</t>
  </si>
  <si>
    <t>SABS1200 GA \CONCRETE (SMALL WORKS)/8.4\SCHEDULED CONCRETE ITEMS/8.4.4\a) Wood floated Finish. /\KS13_006-Concrete Check Wall. Drawing NBC-GTW-CL-0012 \m²\4.2 \ 30</t>
  </si>
  <si>
    <t>SABS1200 DA \EARTHWORKS (SMALL WORKS)/8.3\SCHEDULED ITEMS/8.3.2a\Excavate for restricted foundations, footings and trenches  in all materials and use for embankments or backfill or dispose. /\KS13_007-Concrete Check Wall. Drawing NBC-GTW-CL-0013 \m³\5.8575 \ 85</t>
  </si>
  <si>
    <t>SABS1200 GA \CONCRETE (SMALL WORKS)/8.4\SCHEDULED CONCRETE ITEMS/8.4.3\Strength Concrete: 25 Mpa with 19 mm stone. /\KS13_007-Concrete Check Wall. Drawing NBC-GTW-CL-0013 \m³\5.8575 \ 2000</t>
  </si>
  <si>
    <t>SABS1200 GA \CONCRETE (SMALL WORKS)/8.4\SCHEDULED CONCRETE ITEMS/8.4.4\a) Wood floated Finish. /\KS13_007-Concrete Check Wall. Drawing NBC-GTW-CL-0013 \m²\4.05 \ 30</t>
  </si>
  <si>
    <t>SABS1200 DA \EARTHWORKS (SMALL WORKS)/8.3\SCHEDULED ITEMS/8.3.2a\Excavate for restricted foundations, footings and trenches  in all materials and use for embankments or backfill or dispose. /\KS13_008-Concrete Check Wall. Drawing NBC-GTW-CL-0014 \m³\7.515 \ 85</t>
  </si>
  <si>
    <t>SABS1200 GA \CONCRETE (SMALL WORKS)/8.4\SCHEDULED CONCRETE ITEMS/8.4.3\Strength Concrete: 25 Mpa with 19 mm stone. /\KS13_008-Concrete Check Wall. Drawing NBC-GTW-CL-0014 \m³\7.515 \ 2000</t>
  </si>
  <si>
    <t>SABS1200 GA \CONCRETE (SMALL WORKS)/8.4\SCHEDULED CONCRETE ITEMS/8.4.4\a) Wood floated Finish. /\KS13_008-Concrete Check Wall. Drawing NBC-GTW-CL-0014 \m²\3.75 \ 30</t>
  </si>
  <si>
    <t>SABS1200 DA \EARTHWORKS (SMALL WORKS)/8.3\SCHEDULED ITEMS/8.3.2a\Excavate for restricted foundations, footings and trenches  in all materials and use for embankments or backfill or dispose. /\KS13_011-Concrete Check Wall. Drawing NBC-GTW-CL-0015 \m³\6.696 \ 85</t>
  </si>
  <si>
    <t>SABS1200 GA \CONCRETE (SMALL WORKS)/8.4\SCHEDULED CONCRETE ITEMS/8.4.3\Strength Concrete: 25 Mpa with 19 mm stone. /\KS13_011-Concrete Check Wall. Drawing NBC-GTW-CL-0015 \m³\6.696 \ 2000</t>
  </si>
  <si>
    <t>SABS1200 GA \CONCRETE (SMALL WORKS)/8.4\SCHEDULED CONCRETE ITEMS/8.4.4\a) Wood floated Finish. /\KS13_011-Concrete Check Wall. Drawing NBC-GTW-CL-0015 \m²\4.5 \ 30</t>
  </si>
  <si>
    <t>SABS1200 DA \EARTHWORKS (SMALL WORKS)/8.3\SCHEDULED ITEMS/8.3.2a\Excavate for restricted foundations, footings and trenches  in all materials and use for embankments or backfill or dispose. /\KS13_012-Concrete Check Wall. Drawing NBC-GTW-CL-0016 \m³\6.012 \ 85</t>
  </si>
  <si>
    <t>SABS1200 GA \CONCRETE (SMALL WORKS)/8.4\SCHEDULED CONCRETE ITEMS/8.4.3\Strength Concrete: 25 Mpa with 19 mm stone. /\KS13_012-Concrete Check Wall. Drawing NBC-GTW-CL-0016 \m³\6.012 \ 2000</t>
  </si>
  <si>
    <t>SABS1200 GA \CONCRETE (SMALL WORKS)/8.4\SCHEDULED CONCRETE ITEMS/8.4.4\a) Wood floated Finish. /\KS13_012-Concrete Check Wall. Drawing NBC-GTW-CL-0016 \m²\3.6 \ 30</t>
  </si>
  <si>
    <t>SABS1200 DA \EARTHWORKS (SMALL WORKS)/8.3\SCHEDULED ITEMS/8.3.2a\Excavate for restricted foundations, footings and trenches  in all materials and use for embankments or backfill or dispose. /\KS13_013-Concrete Check Wall. Drawing NBC-GTW-CL-0017 \m³\5.166 \ 85</t>
  </si>
  <si>
    <t>SABS1200 GA \CONCRETE (SMALL WORKS)/8.4\SCHEDULED CONCRETE ITEMS/8.4.3\Strength Concrete: 25 Mpa with 19 mm stone. /\KS13_013-Concrete Check Wall. Drawing NBC-GTW-CL-0017 \m³\5.166 \ 2000</t>
  </si>
  <si>
    <t>SABS1200 GA \CONCRETE (SMALL WORKS)/8.4\SCHEDULED CONCRETE ITEMS/8.4.4\a) Wood floated Finish. /\KS13_013-Concrete Check Wall. Drawing NBC-GTW-CL-0017 \m²\3.6 \ 30</t>
  </si>
  <si>
    <t>SABS1200 DA \EARTHWORKS (SMALL WORKS)/8.3\SCHEDULED ITEMS/8.3.2a\Excavate for restricted foundations, footings and trenches  in all materials and use for embankments or backfill or dispose. /\KS13_015-Concrete Check Wall. Drawing NBC-GTW-CL-0018 \m³\5.361 \ 85</t>
  </si>
  <si>
    <t>SABS1200 GA \CONCRETE (SMALL WORKS)/8.4\SCHEDULED CONCRETE ITEMS/8.4.3\Strength Concrete: 25 Mpa with 19 mm stone. /\KS13_015-Concrete Check Wall. Drawing NBC-GTW-CL-0018 \m³\5.361 \ 2000</t>
  </si>
  <si>
    <t>SABS1200 GA \CONCRETE (SMALL WORKS)/8.4\SCHEDULED CONCRETE ITEMS/8.4.4\a) Wood floated Finish. /\KS13_015-Concrete Check Wall. Drawing NBC-GTW-CL-0018 \m²\3.9 \ 30</t>
  </si>
  <si>
    <t>SABS1200 DA \EARTHWORKS (SMALL WORKS)/8.3\SCHEDULED ITEMS/8.3.2a\Excavate for restricted foundations, footings and trenches  in all materials and use for embankments or backfill or dispose. /\KS13_017-Backfilling Main Channel  \m³\633.5898924573 \ 85</t>
  </si>
  <si>
    <t>SABS1200 DA \EARTHWORKS (SMALL WORKS)/8.3\SCHEDULED ITEMS/8.3.6\Top Soiling. Rate to allow for excavations from stockpiled top soil  and vegetation, transport, placement and spreading to a nominal depth of 150 mm./\KS13_017-Backfilling Main Channel  \m²\4680 \ 5</t>
  </si>
  <si>
    <t>SABS1200 DA \EARTHWORKS (SMALL WORKS)/8.3\SCHEDULED ITEMS/8.3.7\Grassing or other Vegetation Cover. Rate to allow for the supply of indigenous veld grass seed mix from commercial sources, seeding, raking and maintaining until established./\KS13_017-Backfilling Main Channel  \m²\4680 \ 10</t>
  </si>
  <si>
    <t>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engineer./\KS13_017-Backfilling Main Channel  \m³\2559.3521265 \ 120</t>
  </si>
  <si>
    <t>SABS1200 DA \EARTHWORKS (SMALL WORKS)/8.3\SCHEDULED ITEMS/8.3.2a\Excavate for restricted foundations, footings and trenches  in all materials and use for embankments or backfill or dispose. /\KS15_001-Concrete Check Wall  \m³\6.264 \ 85</t>
  </si>
  <si>
    <t>SABS1200 GA \CONCRETE (SMALL WORKS)/8.4\SCHEDULED CONCRETE ITEMS/8.4.3\Strength Concrete: 25 Mpa with 19 mm stone. /\KS15_001-Concrete Check Wall  \m³\6.264 \ 2000</t>
  </si>
  <si>
    <t>SABS1200 DA \EARTHWORKS (SMALL WORKS)/8.3\SCHEDULED ITEMS/8.3.2a\Excavate for restricted foundations, footings and trenches  in all materials and use for embankments or backfill or dispose. /\KS18_015-Concrete Check Wall. Drawing NBC-GTW-CL-0021 \m³\7.74 \ 85</t>
  </si>
  <si>
    <t>SABS1200 GA \CONCRETE (SMALL WORKS)/8.4\SCHEDULED CONCRETE ITEMS/8.4.3\Strength Concrete: 25 Mpa with 19 mm stone. /\KS18_015-Concrete Check Wall. Drawing NBC-GTW-CL-0021 \m³\7.74 \ 2000</t>
  </si>
  <si>
    <t>SABS1200 GA \CONCRETE (SMALL WORKS)/8.4\SCHEDULED CONCRETE ITEMS/8.4.4\a) Wood floated Finish. /\KS18_015-Concrete Check Wall. Drawing NBC-GTW-CL-0021 \m²\3.9 \ 30</t>
  </si>
  <si>
    <t>SABS1200 DA \EARTHWORKS (SMALL WORKS)/8.3\SCHEDULED ITEMS/8.3.2a\Excavate for restricted foundations, footings and trenches  in all materials and use for embankments or backfill or dispose. /\KS18_016-Concrete Check Wall. Drawing NBC-GTW-CL-0022 \m³\6.804 \ 85</t>
  </si>
  <si>
    <t>SABS1200 GA \CONCRETE (SMALL WORKS)/8.4\SCHEDULED CONCRETE ITEMS/8.4.3\Strength Concrete: 25 Mpa with 19 mm stone. /\KS18_016-Concrete Check Wall. Drawing NBC-GTW-CL-0022 \m³\6.804 \ 2000</t>
  </si>
  <si>
    <t>SABS1200 GA \CONCRETE (SMALL WORKS)/8.4\SCHEDULED CONCRETE ITEMS/8.4.4\a) Wood floated Finish. /\KS18_016-Concrete Check Wall. Drawing NBC-GTW-CL-0022 \m²\3.6 \ 30</t>
  </si>
  <si>
    <t>SABS1200 DA \EARTHWORKS (SMALL WORKS)/8.3\SCHEDULED ITEMS/8.3.2a\Excavate for restricted foundations, footings and trenches  in all materials and use for embankments or backfill or dispose. /\KS18_017-Concrete Check Wall. Drawing NBC-GTW-CL-0023 \m³\5.94 \ 85</t>
  </si>
  <si>
    <t>SABS1200 GA \CONCRETE (SMALL WORKS)/8.4\SCHEDULED CONCRETE ITEMS/8.4.3\Strength Concrete: 25 Mpa with 19 mm stone. /\KS18_017-Concrete Check Wall. Drawing NBC-GTW-CL-0023 \m³\5.94 \ 2000</t>
  </si>
  <si>
    <t>SABS1200 GA \CONCRETE (SMALL WORKS)/8.4\SCHEDULED CONCRETE ITEMS/8.4.4\a) Wood floated Finish. /\KS18_017-Concrete Check Wall. Drawing NBC-GTW-CL-0023 \m²\3.6 \ 30</t>
  </si>
  <si>
    <t>SABS1200 DA \EARTHWORKS (SMALL WORKS)/8.3\SCHEDULED ITEMS/8.3.2a\Excavate for restricted foundations, footings and trenches  in all materials and use for embankments or backfill or dispose. /\KS18_018-Concrete Check Wall. Drawing NBC-GTW-CL-0024 \m³\4.998 \ 85</t>
  </si>
  <si>
    <t>SABS1200 GA \CONCRETE (SMALL WORKS)/8.4\SCHEDULED CONCRETE ITEMS/8.4.3\Strength Concrete: 25 Mpa with 19 mm stone. /\KS18_018-Concrete Check Wall. Drawing NBC-GTW-CL-0024 \m³\4.998 \ 2000</t>
  </si>
  <si>
    <t>SABS1200 GA \CONCRETE (SMALL WORKS)/8.4\SCHEDULED CONCRETE ITEMS/8.4.4\a) Wood floated Finish. /\KS18_018-Concrete Check Wall. Drawing NBC-GTW-CL-0024 \m²\3.45 \ 30</t>
  </si>
  <si>
    <t>SABS1200 DA \EARTHWORKS (SMALL WORKS)/8.3\SCHEDULED ITEMS/8.3.2a\Excavate for restricted foundations, footings and trenches  in all materials and use for embankments or backfill or dispose. /\KS18_019-Concrete Check Wall. Drawing NBC-GTW-CL-0025 \m³\6.624 \ 85</t>
  </si>
  <si>
    <t>SABS1200 GA \CONCRETE (SMALL WORKS)/8.4\SCHEDULED CONCRETE ITEMS/8.4.3\Strength Concrete: 25 Mpa with 19 mm stone. /\KS18_019-Concrete Check Wall. Drawing NBC-GTW-CL-0025 \m³\6.624 \ 2000</t>
  </si>
  <si>
    <t>SABS1200 GA \CONCRETE (SMALL WORKS)/8.4\SCHEDULED CONCRETE ITEMS/8.4.4\a) Wood floated Finish. /\KS18_019-Concrete Check Wall. Drawing NBC-GTW-CL-0025 \m²\3.6 \ 30</t>
  </si>
  <si>
    <t>SABS1200 DA \EARTHWORKS (SMALL WORKS)/8.3\SCHEDULED ITEMS/8.3.2a\Excavate for restricted foundations, footings and trenches  in all materials and use for embankments or backfill or dispose. /\KS18_020-Concrete Check Wall  \m³\6.7575 \ 85</t>
  </si>
  <si>
    <t>SABS1200 GA \CONCRETE (SMALL WORKS)/8.4\SCHEDULED CONCRETE ITEMS/8.4.3\Strength Concrete: 25 Mpa with 19 mm stone. /\KS18_020-Concrete Check Wall  \m³\6.7575 \ 2000</t>
  </si>
  <si>
    <t>SABS1200 GA \CONCRETE (SMALL WORKS)/8.4\SCHEDULED CONCRETE ITEMS/8.4.4\a) Wood floated Finish. /\KS18_020-Concrete Check Wall  \m²\3.75 \ 30</t>
  </si>
  <si>
    <t>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engineer./\KS13_001-Infilling of Drains  \m³\215 \ 120</t>
  </si>
  <si>
    <t>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engineer./\KS13_002-Infilling of Drains  \m³\15 \ 120</t>
  </si>
  <si>
    <t>SABS1200 DA \EARTHWORKS (SMALL WORKS)/8.3\SCHEDULED ITEMS/8.3.7\Grassing or other Vegetation Cover. Rate to allow for the supply of indigenous veld grass seed mix from commercial sources, seeding, raking and maintaining until established./\KS13_009-Infilling of Drains  \m²\78.5716708603933 \ 10</t>
  </si>
  <si>
    <t>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engineer./\KS13_009-Infilling of Drains  \m³\12.5385 \ 120</t>
  </si>
  <si>
    <t>SABS1200 DA \EARTHWORKS (SMALL WORKS)/8.3\SCHEDULED ITEMS/8.3.1b\Excavate in all materials and use for embankments or backfill or dispose, as ordered by the engineer. /\KS13_016-Infilling of Drains  \m³\111.91475 \ 50</t>
  </si>
  <si>
    <t>SABS1200 DA \EARTHWORKS (SMALL WORKS)/8.3\SCHEDULED ITEMS/8.3.7\Grassing or other Vegetation Cover. Rate to allow for the supply of indigenous veld grass seed mix from commercial sources, seeding, raking and maintaining until established./\KS13_016-Infilling of Drains  \m²\332.18699875976 \ 10</t>
  </si>
  <si>
    <t>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engineer./\KS13_016-Infilling of Drains  \m³\111.91475 \ 120</t>
  </si>
  <si>
    <t>SABS1200 DA \EARTHWORKS (SMALL WORKS)/8.3\SCHEDULED ITEMS/8.3.1b\Excavate in all materials and use for embankments or backfill or dispose, as ordered by the engineer. /\KS13_010-Removal of Berm  \m³\336.92505 \ 50</t>
  </si>
  <si>
    <t>SABS1200 DA \EARTHWORKS (SMALL WORKS)/8.3\SCHEDULED ITEMS/8.3.7\Grassing or other Vegetation Cover. Rate to allow for the supply of indigenous veld grass seed mix from commercial sources, seeding, raking and maintaining until established./\KS13_010-Removal of Berm  \m²\1020.985 \ 10</t>
  </si>
  <si>
    <t>SABS1200 DA \EARTHWORKS (SMALL WORKS)/8.3\SCHEDULED ITEMS/8.3.1b\Excavate in all materials and use for embankments or backfill or dispose, as ordered by the engineer. /\KS15_003-Removal of Dam Wall  \m³\185.54375 \ 50</t>
  </si>
  <si>
    <t>SABS1200 DA \EARTHWORKS (SMALL WORKS)/8.3\SCHEDULED ITEMS/8.3.7\Grassing or other Vegetation Cover. Rate to allow for the supply of indigenous veld grass seed mix from commercial sources, seeding, raking and maintaining until established./\KS15_003-Removal of Dam Wall  \m²\619.289401121074 \ 10</t>
  </si>
  <si>
    <t>SABS1200 DA \EARTHWORKS (SMALL WORKS)/8.3\SCHEDULED ITEMS/8.3.2a\Excavate for restricted foundations, footings and trenches  in all materials and use for embankments or backfill or dispose. /\KS15-002-Backfill Main Channel  \m³\980 \ 85</t>
  </si>
  <si>
    <t>SABS1200 DA \EARTHWORKS (SMALL WORKS)/8.3\SCHEDULED ITEMS/8.3.7\Grassing or other Vegetation Cover. Rate to allow for the supply of indigenous veld grass seed mix from commercial sources, seeding, raking and maintaining until established./\KS15-002-Backfill Main Channel  \m²\3846.97837810187 \ 10</t>
  </si>
  <si>
    <t>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engineer./\KS15-002-Backfill Main Channel  \m³\3200 \ 120</t>
  </si>
  <si>
    <t>SABS1200 DA \EARTHWORKS (SMALL WORKS)/8.3\SCHEDULED ITEMS/8.3.7\Grassing or other Vegetation Cover. Rate to allow for the supply of indigenous veld grass seed mix from commercial sources, seeding, raking and maintaining until established./\KS13_014-Infilling of Drains  \m²\278.716598321288 \ 10</t>
  </si>
  <si>
    <t>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engineer./\KS13_014-Infilling of Drains  \m³\64.84266 \ 120</t>
  </si>
  <si>
    <t>SABS1200 DA \EARTHWORKS (SMALL WORKS)/8.3\SCHEDULED ITEMS/8.3.2a\Excavate for restricted foundations, footings and trenches  in all materials and use for embankments or backfill or dispose. /\KS13_003-Concrete Drop Inlet. Drawing NBC-GTW-CL-0009 \m³\44.0325 \ 85</t>
  </si>
  <si>
    <t>SABS1200 DA \EARTHWORKS (SMALL WORKS)/8.3\SCHEDULED ITEMS/8.3.2b 1\Extra-over for intermediate excavation. (Provisional Quantities)/\KS13_003-Concrete Drop Inlet. Drawing NBC-GTW-CL-0009 \m³\4.40325 \ 125</t>
  </si>
  <si>
    <t>SABS1200 DA \EARTHWORKS (SMALL WORKS)/8.3\SCHEDULED ITEMS/8.3.7\Grassing or other Vegetation Cover. Rate to allow for the supply of indigenous veld grass seed mix from commercial sources, seeding, raking and maintaining until established./\KS13_003-Concrete Drop Inlet. Drawing NBC-GTW-CL-0009 \m²\23.2 \ 10</t>
  </si>
  <si>
    <t>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engineer./\KS13_003-Concrete Drop Inlet. Drawing NBC-GTW-CL-0009 \m³\12.735 \ 120</t>
  </si>
  <si>
    <t>SABS1200 DA \EARTHWORKS (SMALL WORKS)/8.3\SCHEDULED ITEMS/8.3.1b\Excavate in all materials and use for embankments or backfill or dispose, as ordered by the engineer. /\LS16_012-Removal of Road  \m³\161.55 \ 50</t>
  </si>
  <si>
    <t>SABS1200 DA \EARTHWORKS (SMALL WORKS)/8.3\SCHEDULED ITEMS/8.3.7\Grassing or other Vegetation Cover. Rate to allow for the supply of indigenous veld grass seed mix from commercial sources, seeding, raking and maintaining until established./\LS16_012-Removal of Road  \m²\360 \ 10</t>
  </si>
  <si>
    <t>SABS1200 DA \EARTHWORKS (SMALL WORKS)/8.3\SCHEDULED ITEMS/8.3.1b\Excavate in all materials and use for embankments or backfill or dispose, as ordered by the engineer. /\LS16_020-Removal of Road  \m³\744.2325 \ 50</t>
  </si>
  <si>
    <t>SABS1200 DA \EARTHWORKS (SMALL WORKS)/8.3\SCHEDULED ITEMS/8.3.7\Grassing or other Vegetation Cover. Rate to allow for the supply of indigenous veld grass seed mix from commercial sources, seeding, raking and maintaining until established./\LS16_020-Removal of Road  \m²\1782 \ 10</t>
  </si>
  <si>
    <t>SABS1200 DA \EARTHWORKS (SMALL WORKS)/8.3\SCHEDULED ITEMS/8.3.2a\Excavate for restricted foundations, footings and trenches  in all materials and use for embankments or backfill or dispose. /\LS16_013-Gabion energy breaker  \m³\13.68 \ 85</t>
  </si>
  <si>
    <t>SABS1200 DA \EARTHWORKS (SMALL WORKS)/8.3\SCHEDULED ITEMS/8.3.2a\Excavate for restricted foundations, footings and trenches  in all materials and use for embankments or backfill or dispose. /\LS16_014-Ecologs  \m³\1.62 \ 85</t>
  </si>
  <si>
    <t>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engineer./\LS16_014-Ecologs  \m³\1.27234502470387 \ 120</t>
  </si>
  <si>
    <t>SABS1200 DA \EARTHWORKS (SMALL WORKS)/8.3\SCHEDULED ITEMS/8.3.2a\Excavate for restricted foundations, footings and trenches  in all materials and use for embankments or backfill or dispose. /\LS16_016-Gabion energy breaker  \m³\20 \ 85</t>
  </si>
  <si>
    <t>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engineer./\LS16_016-Gabion energy breaker  \m³\2.4 \ 120</t>
  </si>
  <si>
    <t>SABS1200 DA \EARTHWORKS (SMALL WORKS)/8.3\SCHEDULED ITEMS/8.3.2a\Excavate for restricted foundations, footings and trenches  in all materials and use for embankments or backfill or dispose. /\LS16_017-Gabion energy breaker  \m³\25 \ 85</t>
  </si>
  <si>
    <t>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engineer./\LS16_017-Gabion energy breaker  \m³\2.8 \ 120</t>
  </si>
  <si>
    <t>SABS1200 DA \EARTHWORKS (SMALL WORKS)/8.3\SCHEDULED ITEMS/8.3.2a\Excavate for restricted foundations, footings and trenches  in all materials and use for embankments or backfill or dispose. /\LS16_018-Gabion energy breaker  \m³\22.08 \ 85</t>
  </si>
  <si>
    <t>SABS1200 DA \EARTHWORKS (SMALL WORKS)/8.3\SCHEDULED ITEMS/8.3.2a\Excavate for restricted foundations, footings and trenches  in all materials and use for embankments or backfill or dispose. /\LS16_019-Gabion energy breaker  \m³\24.48 \ 85</t>
  </si>
  <si>
    <t>SABS1200 DA \EARTHWORKS (SMALL WORKS)/8.3\SCHEDULED ITEMS/8.3.1b\Excavate in all materials and use for embankments or backfill or dispose, as ordered by the engineer. /\LS08_001-Removal of Berm  \m³\43.75 \ 50</t>
  </si>
  <si>
    <t>SABS1200 DA \EARTHWORKS (SMALL WORKS)/8.3\SCHEDULED ITEMS/8.3.7\Grassing or other Vegetation Cover. Rate to allow for the supply of indigenous veld grass seed mix from commercial sources, seeding, raking and maintaining until established./\LS08_001-Removal of Berm  \m²\148.532778078669 \ 10</t>
  </si>
  <si>
    <t>SABS1200 DA \EARTHWORKS (SMALL WORKS)/8.3\SCHEDULED ITEMS/8.3.1b\Excavate in all materials and use for embankments or backfill or dispose, as ordered by the engineer. /\LS12_001-Removal of dam wall  \m³\1696.474 \ 50</t>
  </si>
  <si>
    <t>SABS1200 DA \EARTHWORKS (SMALL WORKS)/8.3\SCHEDULED ITEMS/8.3.7\Grassing or other Vegetation Cover. Rate to allow for the supply of indigenous veld grass seed mix from commercial sources, seeding, raking and maintaining until established./\LS12_001-Removal of dam wall  \m²\2917.70393453744 \ 10</t>
  </si>
  <si>
    <t>SABS1200 DA \EARTHWORKS (SMALL WORKS)/8.3\SCHEDULED ITEMS/8.3.1b\Excavate in all materials and use for embankments or backfill or dispose, as ordered by the engineer. /\LS12_002-Removal of Berm  \m³\27.17 \ 50</t>
  </si>
  <si>
    <t>SABS1200 DA \EARTHWORKS (SMALL WORKS)/8.3\SCHEDULED ITEMS/8.3.7\Grassing or other Vegetation Cover. Rate to allow for the supply of indigenous veld grass seed mix from commercial sources, seeding, raking and maintaining until established./\LS12_002-Removal of Berm  \m²\76 \ 10</t>
  </si>
  <si>
    <t>SABS1200 DA \EARTHWORKS (SMALL WORKS)/8.3\SCHEDULED ITEMS/8.3.7\Grassing or other Vegetation Cover. Rate to allow for the supply of indigenous veld grass seed mix from commercial sources, seeding, raking and maintaining until established./\LS16_015-Earthworks (Reinforce Dam Wall)  \m²\567 \ 10</t>
  </si>
  <si>
    <t>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engineer./\LS16_015-Earthworks (Reinforce Dam Wall)  \m³\198.45 \ 120</t>
  </si>
  <si>
    <t>SABS1200 DA \EARTHWORKS (SMALL WORKS)/8.3\SCHEDULED ITEMS/8.3.2a\Excavate for restricted foundations, footings and trenches  in all materials and use for embankments or backfill or dispose. /\LS16_021-Backfill Main Channel and reshaping  \m³\500 \ 85</t>
  </si>
  <si>
    <t>SABS1200 DA \EARTHWORKS (SMALL WORKS)/8.3\SCHEDULED ITEMS/8.3.7\Grassing or other Vegetation Cover. Rate to allow for the supply of indigenous veld grass seed mix from commercial sources, seeding, raking and maintaining until established./\LS16_021-Backfill Main Channel and reshaping  \m²\6032.31 \ 10</t>
  </si>
  <si>
    <t>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engineer./\LS16_021-Backfill Main Channel and reshaping  \m³\3454 \ 120</t>
  </si>
  <si>
    <t>SABS1200 DA \EARTHWORKS (SMALL WORKS)/8.3\SCHEDULED ITEMS/8.3.2a\Excavate for restricted foundations, footings and trenches  in all materials and use for embankments or backfill or dispose. /\LS16_001-Concrete Cut-Off Walls  \m³\5.04 \ 85</t>
  </si>
  <si>
    <t>SABS1200 DA \EARTHWORKS (SMALL WORKS)/8.3\SCHEDULED ITEMS/8.3.2a\Excavate for restricted foundations, footings and trenches  in all materials and use for embankments or backfill or dispose. /\LS16_002-Concrete Cut-Off Walls  \m³\4.8 \ 85</t>
  </si>
  <si>
    <t>SABS1200 DA \EARTHWORKS (SMALL WORKS)/8.3\SCHEDULED ITEMS/8.3.2a\Excavate for restricted foundations, footings and trenches  in all materials and use for embankments or backfill or dispose. /\LS16_003-Concrete Cut-Off Walls  \m³\2.1 \ 85</t>
  </si>
  <si>
    <t>SABS1200 DA \EARTHWORKS (SMALL WORKS)/8.3\SCHEDULED ITEMS/8.3.2a\Excavate for restricted foundations, footings and trenches  in all materials and use for embankments or backfill or dispose. /\LS16_004-Concrete Cut-Off Walls  \m³\2.4 \ 85</t>
  </si>
  <si>
    <t>SABS1200 DA \EARTHWORKS (SMALL WORKS)/8.3\SCHEDULED ITEMS/8.3.2a\Excavate for restricted foundations, footings and trenches  in all materials and use for embankments or backfill or dispose. /\LS16_005-Concrete Cut-Off Walls  \m³\3.6 \ 85</t>
  </si>
  <si>
    <t>SABS1200 DA \EARTHWORKS (SMALL WORKS)/8.3\SCHEDULED ITEMS/8.3.2a\Excavate for restricted foundations, footings and trenches  in all materials and use for embankments or backfill or dispose. /\LS16_006-Concrete Cut-Off Walls  \m³\6.48 \ 85</t>
  </si>
  <si>
    <t>SABS1200 DA \EARTHWORKS (SMALL WORKS)/8.3\SCHEDULED ITEMS/8.3.2a\Excavate for restricted foundations, footings and trenches  in all materials and use for embankments or backfill or dispose. /\LS16_007-Concrete Cut-Off Walls  \m³\5.94 \ 85</t>
  </si>
  <si>
    <t>SABS1200 DA \EARTHWORKS (SMALL WORKS)/8.3\SCHEDULED ITEMS/8.3.2a\Excavate for restricted foundations, footings and trenches  in all materials and use for embankments or backfill or dispose. /\LS16_008-Concrete Cut-Off Walls  \m³\4.1325 \ 85</t>
  </si>
  <si>
    <t>SABS1200 DA \EARTHWORKS (SMALL WORKS)/8.3\SCHEDULED ITEMS/8.3.2a\Excavate for restricted foundations, footings and trenches  in all materials and use for embankments or backfill or dispose. /\LS16_009-Concrete Cut-Off Walls  \m³\4.35 \ 85</t>
  </si>
  <si>
    <t>SABS1200 DA \EARTHWORKS (SMALL WORKS)/8.3\SCHEDULED ITEMS/8.3.2a\Excavate for restricted foundations, footings and trenches  in all materials and use for embankments or backfill or dispose. /\LS16_010-Concrete Cut-Off Walls  \m³\5.1 \ 85</t>
  </si>
  <si>
    <t>SABS1200 DA \EARTHWORKS (SMALL WORKS)/8.3\SCHEDULED ITEMS/8.3.2a\Excavate for restricted foundations, footings and trenches  in all materials and use for embankments or backfill or dispose. /\LS16_011-Concrete Cut-Off Walls  \m³\3.3 \ 85</t>
  </si>
  <si>
    <t>SABS1200 DA \EARTHWORKS (SMALL WORKS)/8.3\SCHEDULED ITEMS/8.3.7\Grassing or other Vegetation Cover. Rate to allow for the supply of indigenous veld grass seed mix from commercial sources, seeding, raking and maintaining until established./\Pan14_010-Infilling of Drains  \m²\3437.5 \ 10</t>
  </si>
  <si>
    <t>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engineer./\Pan14_010-Infilling of Drains  \m³\1312.5 \ 120</t>
  </si>
  <si>
    <t>SABS1200 DA \EARTHWORKS (SMALL WORKS)/8.3\SCHEDULED ITEMS/8.3.7\Grassing or other Vegetation Cover. Rate to allow for the supply of indigenous veld grass seed mix from commercial sources, seeding, raking and maintaining until established./\Pan14_004-Infilling of Drains  \m²\180 \ 10</t>
  </si>
  <si>
    <t>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engineer./\Pan14_004-Infilling of Drains  \m³\90 \ 120</t>
  </si>
  <si>
    <t>SABS1200 DA \EARTHWORKS (SMALL WORKS)/8.3\SCHEDULED ITEMS/8.3.7\Grassing or other Vegetation Cover. Rate to allow for the supply of indigenous veld grass seed mix from commercial sources, seeding, raking and maintaining until established./\Pan14_005-Infilling of Drains  \m²\450 \ 10</t>
  </si>
  <si>
    <t>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engineer./\Pan14_005-Infilling of Drains  \m³\81.9 \ 120</t>
  </si>
  <si>
    <t>SABS1200 DA \EARTHWORKS (SMALL WORKS)/8.3\SCHEDULED ITEMS/8.3.7\Grassing or other Vegetation Cover. Rate to allow for the supply of indigenous veld grass seed mix from commercial sources, seeding, raking and maintaining until established./\Pan14_006-Earthen Berms  \m²\190.755332217041 \ 10</t>
  </si>
  <si>
    <t>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engineer./\Pan14_006-Earthen Berms  \m³\57.375 \ 120</t>
  </si>
  <si>
    <t>SABS1200 DA \EARTHWORKS (SMALL WORKS)/8.3\SCHEDULED ITEMS/8.3.2a\Excavate for restricted foundations, footings and trenches  in all materials and use for embankments or backfill or dispose. /\Pan14_007-Infilling of Drains  \m³\18.6 \ 85</t>
  </si>
  <si>
    <t>SABS1200 DA \EARTHWORKS (SMALL WORKS)/8.3\SCHEDULED ITEMS/8.3.7\Grassing or other Vegetation Cover. Rate to allow for the supply of indigenous veld grass seed mix from commercial sources, seeding, raking and maintaining until established./\Pan14_007-Infilling of Drains  \m²\76 \ 10</t>
  </si>
  <si>
    <t>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engineer./\Pan14_007-Infilling of Drains  \m³\47.88 \ 120</t>
  </si>
  <si>
    <t>SABS1200 DA \EARTHWORKS (SMALL WORKS)/8.3\SCHEDULED ITEMS/8.3.2a\Excavate for restricted foundations, footings and trenches  in all materials and use for embankments or backfill or dispose. /\Pan14_008-Infilling of Drains  \m³\48.6 \ 85</t>
  </si>
  <si>
    <t>SABS1200 DA \EARTHWORKS (SMALL WORKS)/8.3\SCHEDULED ITEMS/8.3.1b\Excavate in all materials and use for embankments or backfill or dispose, as ordered by the engineer. /\Pan14_008-Infilling of Drains  \m³\73.44 \ 50</t>
  </si>
  <si>
    <t>SABS1200 DA \EARTHWORKS (SMALL WORKS)/8.3\SCHEDULED ITEMS/8.3.7\Grassing or other Vegetation Cover. Rate to allow for the supply of indigenous veld grass seed mix from commercial sources, seeding, raking and maintaining until established./\Pan14_008-Infilling of Drains  \m²\108 \ 10</t>
  </si>
  <si>
    <t>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engineer./\Pan14_008-Infilling of Drains  \m³\18.36 \ 120</t>
  </si>
  <si>
    <t>SABS1200 DA \EARTHWORKS (SMALL WORKS)/8.3\SCHEDULED ITEMS/8.3.7\Grassing or other Vegetation Cover. Rate to allow for the supply of indigenous veld grass seed mix from commercial sources, seeding, raking and maintaining until established./\Pan14_009-Infilling of Drains  \m²\78.4 \ 10</t>
  </si>
  <si>
    <t>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engineer./\Pan14_009-Infilling of Drains  \m³\27.44 \ 120</t>
  </si>
  <si>
    <t>SABS1200 DA \EARTHWORKS (SMALL WORKS)/8.3\SCHEDULED ITEMS/8.3.2a\Excavate for restricted foundations, footings and trenches  in all materials and use for embankments or backfill or dispose. /\Pan14_011-Infilling of Drains  \m³\582 \ 85</t>
  </si>
  <si>
    <t>SABS1200 DA \EARTHWORKS (SMALL WORKS)/8.3\SCHEDULED ITEMS/8.3.7\Grassing or other Vegetation Cover. Rate to allow for the supply of indigenous veld grass seed mix from commercial sources, seeding, raking and maintaining until established./\Pan14_011-Infilling of Drains  \m²\4365 \ 10</t>
  </si>
  <si>
    <t>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engineer./\Pan14_011-Infilling of Drains  \m³\582 \ 120</t>
  </si>
  <si>
    <t>SABS1200 DA \EARTHWORKS (SMALL WORKS)/8.3\SCHEDULED ITEMS/8.3.7\Grassing or other Vegetation Cover. Rate to allow for the supply of indigenous veld grass seed mix from commercial sources, seeding, raking and maintaining until established./\Pan14-001-Reinstate Pan Edge  \m²\360 \ 10</t>
  </si>
  <si>
    <t>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engineer./\Pan14-001-Reinstate Pan Edge  \m³\92 \ 120</t>
  </si>
  <si>
    <t>SABS1200 DA \EARTHWORKS (SMALL WORKS)/8.3\SCHEDULED ITEMS/8.3.1b\Excavate in all materials and use for embankments or backfill or dispose, as ordered by the engineer. /\Pan14-003-Remove berm and backfill drain  \m³\435.82 \ 50</t>
  </si>
  <si>
    <t>SABS1200 DA \EARTHWORKS (SMALL WORKS)/8.3\SCHEDULED ITEMS/8.3.7\Grassing or other Vegetation Cover. Rate to allow for the supply of indigenous veld grass seed mix from commercial sources, seeding, raking and maintaining until established./\Pan14-003-Remove berm and backfill drain  \m²\2365 \ 10</t>
  </si>
  <si>
    <t>SABS1200 DA \EARTHWORKS (SMALL WORKS)/8.3\SCHEDULED ITEMS/8.3.2a\Excavate for restricted foundations, footings and trenches  in all materials and use for embankments or backfill or dispose. /\Pan14-002-Remove Berm  \m³\49.41 \ 85</t>
  </si>
  <si>
    <t>SABS1200 DA \EARTHWORKS (SMALL WORKS)/8.3\SCHEDULED ITEMS/8.3.7\Grassing or other Vegetation Cover. Rate to allow for the supply of indigenous veld grass seed mix from commercial sources, seeding, raking and maintaining until established./\Pan14-002-Remove Berm  \m²\198 \ 10</t>
  </si>
  <si>
    <t>SABS1200 DA \EARTHWORKS (SMALL WORKS)/8.3\SCHEDULED ITEMS/8.3.2a\Excavate for restricted foundations, footings and trenches  in all materials and use for embankments or backfill or dispose. /\Pan8_001-Foreign Materials  \m³\18.9 \ 85</t>
  </si>
  <si>
    <t>SABS1200 DA \EARTHWORKS (SMALL WORKS)/8.3\SCHEDULED ITEMS/8.3.7\Grassing or other Vegetation Cover. Rate to allow for the supply of indigenous veld grass seed mix from commercial sources, seeding, raking and maintaining until established./\Pan8_001-Foreign Materials  \m²\54 \ 10</t>
  </si>
  <si>
    <t>SABS1200 DA \EARTHWORKS (SMALL WORKS)/8.3\SCHEDULED ITEMS/8.3.2a\Excavate for restricted foundations, footings and trenches  in all materials and use for embankments or backfill or dispose. /\Pan8_003-Removal of Dam Wall  \m³\324.3575 \ 85</t>
  </si>
  <si>
    <t>SABS1200 DA \EARTHWORKS (SMALL WORKS)/8.3\SCHEDULED ITEMS/8.3.2a\Excavate for restricted foundations, footings and trenches  in all materials and use for embankments or backfill or dispose. /\Pan8_002-Infilling of Drains  \m³\64 \ 85</t>
  </si>
  <si>
    <t>SABS1200 DA \EARTHWORKS (SMALL WORKS)/8.3\SCHEDULED ITEMS/8.3.7\Grassing or other Vegetation Cover. Rate to allow for the supply of indigenous veld grass seed mix from commercial sources, seeding, raking and maintaining until established./\Pan8_002-Infilling of Drains  \m²\320 \ 10</t>
  </si>
  <si>
    <t>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engineer./\Pan8_002-Infilling of Drains  \m³\93 \ 120</t>
  </si>
  <si>
    <t>SABS1200 DA \EARTHWORKS (SMALL WORKS)/8.3\SCHEDULED ITEMS/8.3.1b\Excavate in all materials and use for embankments or backfill or dispose, as ordered by the engineer. /\Pan09_001-Removal of Dam Wall  \m³\188 \ 50</t>
  </si>
  <si>
    <t>SABS1200 DA \EARTHWORKS (SMALL WORKS)/8.3\SCHEDULED ITEMS/8.3.7\Grassing or other Vegetation Cover. Rate to allow for the supply of indigenous veld grass seed mix from commercial sources, seeding, raking and maintaining until established./\Pan09_001-Removal of Dam Wall  \m²\594 \ 10</t>
  </si>
  <si>
    <t>SABS1200 DA \EARTHWORKS (SMALL WORKS)/8.3\SCHEDULED ITEMS/8.3.2a\Excavate for restricted foundations, footings and trenches  in all materials and use for embankments or backfill or dispose. /\Pan8_004-Removal of Berm  \m³\5.4 \ 85</t>
  </si>
  <si>
    <t>SABS1200 DA \EARTHWORKS (SMALL WORKS)/8.3\SCHEDULED ITEMS/8.3.7\Grassing or other Vegetation Cover. Rate to allow for the supply of indigenous veld grass seed mix from commercial sources, seeding, raking and maintaining until established./\Pan8_004-Removal of Berm  \m²\18 \ 10</t>
  </si>
  <si>
    <t>SABS1200 DA \EARTHWORKS (SMALL WORKS)/8.3\SCHEDULED ITEMS/8.3.1b\Excavate in all materials and use for embankments or backfill or dispose, as ordered by the engineer. /\KS16_002-Excavate Dam Wall  \m³\89.7 \ 50</t>
  </si>
  <si>
    <t>SABS1200 DA \EARTHWORKS (SMALL WORKS)/8.3\SCHEDULED ITEMS/8.3.7\Grassing or other Vegetation Cover. Rate to allow for the supply of indigenous veld grass seed mix from commercial sources, seeding, raking and maintaining until established./\KS16_002-Excavate Dam Wall  \m²\283.947757718744 \ 10</t>
  </si>
  <si>
    <t>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sites./\KS16_001-Earthen berm  \m²\494.873340531892 \ 5</t>
  </si>
  <si>
    <t>SABS1200 DA \EARTHWORKS (SMALL WORKS)/8.3\SCHEDULED ITEMS/8.3.6\Top Soiling. Rate to allow for excavations from stockpiled top soil  and vegetation, transport, placement and spreading to a nominal depth of 150 mm./\KS16_001-Earthen berm  \m²\494.873340531892 \ 5</t>
  </si>
  <si>
    <t>SABS1200 DA \EARTHWORKS (SMALL WORKS)/8.3\SCHEDULED ITEMS/8.3.7\Grassing or other Vegetation Cover. Rate to allow for the supply of indigenous veld grass seed mix from commercial sources, seeding, raking and maintaining until established./\KS16_001-Earthen berm  \m²\494.873340531892 \ 10</t>
  </si>
  <si>
    <t>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engineer./\KS16_001-Earthen berm  \m³\103.38 \ 120</t>
  </si>
  <si>
    <t>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sites./\KS16_004-Earthen berm  \m²\494.089808285138 \ 5</t>
  </si>
  <si>
    <t>SABS1200 DA \EARTHWORKS (SMALL WORKS)/8.3\SCHEDULED ITEMS/8.3.6\Top Soiling. Rate to allow for excavations from stockpiled top soil  and vegetation, transport, placement and spreading to a nominal depth of 150 mm./\KS16_004-Earthen berm  \m²\480 \ 5</t>
  </si>
  <si>
    <t>SABS1200 DA \EARTHWORKS (SMALL WORKS)/8.3\SCHEDULED ITEMS/8.3.7\Grassing or other Vegetation Cover. Rate to allow for the supply of indigenous veld grass seed mix from commercial sources, seeding, raking and maintaining until established./\KS16_004-Earthen berm  \m²\480 \ 10</t>
  </si>
  <si>
    <t>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engineer./\KS16_004-Earthen berm  \m³\69.08 \ 120</t>
  </si>
  <si>
    <t xml:space="preserve">KS16_004-Earthen Berms </t>
  </si>
  <si>
    <t xml:space="preserve">KS16_001-Earthen Berms </t>
  </si>
  <si>
    <t>SABS1200 DA \EARTHWORKS (SMALL WORKS)/8,3\SCHEDULED ITEMS/8.3.2a\Excavate for restricted foundations, footings and trenches  in all materials and use for embankments or backfill or dispose. /\KS16_003-Ecologs  \m³\14,22 \ 85</t>
  </si>
  <si>
    <t xml:space="preserve"> \  / \  /  \ Install Erosion control logs (2 m long x 300 mm Dimeter ). Rate to allow supply of erosion control log and 2 No. 1000 mm long steel fence droppers per a log. To be installed as per suppliers specifications./\KS16_003-Ecologs  \unit\79 \ 900</t>
  </si>
  <si>
    <t>SABS1200 DA \EARTHWORKS (SMALL WORKS)/8,3\SCHEDULED ITEMS/8.3.2a\Excavate for restricted foundations, footings and trenches  in all materials and use for embankments or backfill or dispose. /\KS16_005-Ecologs  \m³\18,36 \ 85</t>
  </si>
  <si>
    <t xml:space="preserve"> \  / \  /  \ Install Erosion control logs (2 m long x 300 mm Dimeter ). Rate to allow supply of erosion control log and 2 No. 1000 mm long steel fence droppers per a log. To be installed as per suppliers specifications./\KS16_005-Ecologs  \unit\102 \ 900</t>
  </si>
  <si>
    <t>SABS1200 DA \EARTHWORKS (SMALL WORKS)/8,3\SCHEDULED ITEMS/8.3.3a\Limited  overhaul (provisional ). /\Pan09_001-Removal of Dam Wall \m³\188 \ 0</t>
  </si>
  <si>
    <t>SABS1200 DA \EARTHWORKS (SMALL WORKS)/8,3\SCHEDULED ITEMS/8.3.2a\Excavate for restricted foundations, footings and trenches  in all materials and use for embankments or backfill or dispose. /\KS20_006-Concrete Check Wall. Drawing NBC-GTW-CL-0032 \m³\10,035 \ 85</t>
  </si>
  <si>
    <t>SABS1200 GA \CONCRETE (SMALL WORKS)/8,4\SCHEDULED CONCRETE ITEMS/8.4.3\Strength Concrete: 25 Mpa with 19 mm stone. /\KS20_006-Concrete Check Wall. Drawing NBC-GTW-CL-0032 \m³\10,035 \ 2000</t>
  </si>
  <si>
    <t>SABS1200 GA \CONCRETE (SMALL WORKS)/8,4\SCHEDULED CONCRETE ITEMS/8.4.4\a) Wood floated Finish. /\KS20_006-Concrete Check Wall. Drawing NBC-GTW-CL-0032 \m²\4,8 \ 30</t>
  </si>
  <si>
    <t>SABS1200 DA \EARTHWORKS (SMALL WORKS)/8,3\SCHEDULED ITEMS/8.3.2a\Excavate for restricted foundations, footings and trenches  in all materials and use for embankments or backfill or dispose. /\KS21_006-Concrete Check Wall. Drawing NBC-GTW-CL-0041 \m³\7,98 \ 85</t>
  </si>
  <si>
    <t>SABS1200 GA \CONCRETE (SMALL WORKS)/8,4\SCHEDULED CONCRETE ITEMS/8.4.3\Strength Concrete: 25 Mpa with 19 mm stone. /\KS21_006-Concrete Check Wall. Drawing NBC-GTW-CL-0041 \m³\7,98 \ 2000</t>
  </si>
  <si>
    <t>SABS1200 DA \EARTHWORKS (SMALL WORKS)/8,3\SCHEDULED ITEMS/8.3.2a\Excavate for restricted foundations, footings and trenches  in all materials and use for embankments or backfill or dispose. /\KS21_007-Concrete Check Wall. Drawing NBC-GTW-CL-0042 \m³\7,98 \ 85</t>
  </si>
  <si>
    <t>SABS1200 GA \CONCRETE (SMALL WORKS)/8,4\SCHEDULED CONCRETE ITEMS/8.4.3\Strength Concrete: 25 Mpa with 19 mm stone. /\KS21_007-Concrete Check Wall. Drawing NBC-GTW-CL-0042 \m³\7,98 \ 2000</t>
  </si>
  <si>
    <t>SABS1200 DA \EARTHWORKS (SMALL WORKS)/8,3\SCHEDULED ITEMS/8.3.2a\Excavate for restricted foundations, footings and trenches  in all materials and use for embankments or backfill or dispose. /\KS21_009-Concrete Check Wall. Drawing NBC-GTW-CL-0043 \m³\7,98 \ 85</t>
  </si>
  <si>
    <t>SABS1200 GA \CONCRETE (SMALL WORKS)/8,4\SCHEDULED CONCRETE ITEMS/8.4.3\Strength Concrete: 25 Mpa with 19 mm stone. /\KS21_009-Concrete Check Wall. Drawing NBC-GTW-CL-0043 \m³\7,98 \ 2000</t>
  </si>
  <si>
    <t>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sites./\KS20_009_c-Removal of Earthen Berm. Drawing NBC-GTW-CL-0035 \m²\69 \ 5</t>
  </si>
  <si>
    <t>SABS1200 DA \EARTHWORKS (SMALL WORKS)/8,3\SCHEDULED ITEMS/8.3.6\Top Soiling. Rate to allow for excavations from stockpiled top soil  and vegetation, transport, placement and spreading to a nominal depth of 150 mm./\KS20_009_c-Removal of Earthen Berm. Drawing NBC-GTW-CL-0035 \m²\69 \ 5</t>
  </si>
  <si>
    <t>SABS1200 DA \EARTHWORKS (SMALL WORKS)/8,3\SCHEDULED ITEMS/8.3.7\Grassing or other Vegetation Cover. Rate to allow for the supply of indigenous veld grass seed mix from commercial sources, seeding, raking and maintaining until established./\KS20_009_c-Removal of Earthen Berm. Drawing NBC-GTW-CL-0035 \m²\69 \ 10</t>
  </si>
  <si>
    <t>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sites./\KS21_005-Concrete Drop Inlet. Drawing NBC-GTW-CL-0040 \m²\22,24 \ 5</t>
  </si>
  <si>
    <t>SABS1200 DA \EARTHWORKS (SMALL WORKS)/8,3\SCHEDULED ITEMS/8.3.2a\Excavate for restricted foundations, footings and trenches  in all materials and use for embankments or backfill or dispose. /\KS21_005-Concrete Drop Inlet. Drawing NBC-GTW-CL-0040 \m³\25,78775 \ 85</t>
  </si>
  <si>
    <t>SABS1200 DA \EARTHWORKS (SMALL WORKS)/8,3\SCHEDULED ITEMS/8.3.2b 1\Extra-over for intermediate excavation. (Provisional Quantities)/\KS21_005-Concrete Drop Inlet. Drawing NBC-GTW-CL-0040 \m³\2,578775 \ 125</t>
  </si>
  <si>
    <t>SABS1200 DA \EARTHWORKS (SMALL WORKS)/8,3\SCHEDULED ITEMS/8.3.2b 2\Extra-over for hard rock. (Provisional Quantities)/\KS21_005-Concrete Drop Inlet. Drawing NBC-GTW-CL-0040 \m³\1,2893875 \ 500</t>
  </si>
  <si>
    <t>SABS1200 DA \EARTHWORKS (SMALL WORKS)/8,3\SCHEDULED ITEMS/8.3.6\Top Soiling. Rate to allow for excavations from stockpiled top soil  and vegetation, transport, placement and spreading to a nominal depth of 150 mm./\KS21_005-Concrete Drop Inlet. Drawing NBC-GTW-CL-0040 \m²\22,24 \ 5</t>
  </si>
  <si>
    <t>SABS1200 DA \EARTHWORKS (SMALL WORKS)/8,3\SCHEDULED ITEMS/8.3.7\Grassing or other Vegetation Cover. Rate to allow for the supply of indigenous veld grass seed mix from commercial sources, seeding, raking and maintaining until established./\KS21_005-Concrete Drop Inlet. Drawing NBC-GTW-CL-0040 \m²\22,24 \ 10</t>
  </si>
  <si>
    <t>SABS1200 DA \EARTHWORKS (SMALL WORKS)/8,3\SCHEDULED ITEMS/8.3.3b\Long overhaul (provisional). /\KS21_005-Concrete Drop Inlet \m³/km\25,78775 \ 6</t>
  </si>
  <si>
    <t>SABS1200 GA \CONCRETE (SMALL WORKS)/8,4\SCHEDULED CONCRETE ITEMS/8.4.3\Strength Concrete: 25 Mpa with 19 mm stone. /\KS21_005-Concrete Drop Inlet. Drawing NBC-GTW-CL-0040 \m³\24,79275 \ 2000</t>
  </si>
  <si>
    <t>SABS1200 GA \CONCRETE (SMALL WORKS)/8,4\SCHEDULED CONCRETE ITEMS/8.4.2\Construct Blinding Layer using 15MPa concrete . Rate to allow for blinding to a nominal depth of 75 mm for all bases pertaining to the following structures:/\KS21_005-Concrete Drop Inlet. Drawing NBC-GTW-CL-0040 \m²\52,66 \ 300</t>
  </si>
  <si>
    <t>SABS1200 GA \CONCRETE (SMALL WORKS)/8,2\SCHEDULED FORMWORK ITEMS/8.2.1\Rough Formwork - Sloping (&gt;10°&lt;85°). /\KS21_005-Concrete Drop Inlet. Drawing NBC-GTW-CL-0040 \m²\40,8873193576764 \ 650</t>
  </si>
  <si>
    <t>SABS1200 GA \CONCRETE (SMALL WORKS)/8,2\SCHEDULED FORMWORK ITEMS/8.2.1\Rough Formwork - Vertical (0°). /\KS21_005-Concrete Drop Inlet. Drawing NBC-GTW-CL-0040 \m²\4,25 \ 650</t>
  </si>
  <si>
    <t>SABS1200 GA \CONCRETE (SMALL WORKS)/8,4\SCHEDULED CONCRETE ITEMS/8.4.4\a) Wood floated Finish. /\KS21_005-Concrete Drop Inlet. Drawing NBC-GTW-CL-0040 \m²\9,545 \ 30</t>
  </si>
  <si>
    <t>SABS1200 GA \CONCRETE (SMALL WORKS)/8,3\SCHEDULED REINFORCEMENT ITEMS/8.3.2\High-Tensile Welded Mesh-Ref 888 /\KS21_005-Concrete Drop Inlet. Drawing NBC-GTW-CL-0040 \m²\23,8326 \ 20</t>
  </si>
  <si>
    <t>SABS1200 GA \CONCRETE (SMALL WORKS)/8,3\SCHEDULED REINFORCEMENT ITEMS/8.3.2\High-Tensile Welded Mesh-Ref 655 /\KS21_005-Concrete Drop Inlet. Drawing NBC-GTW-CL-0040 \m²\42,5784 \ 20</t>
  </si>
  <si>
    <t>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sites./\KS21-010-Backfilling Main Channel. Drawing No Drawing \m²\2320,5501703847 \ 5</t>
  </si>
  <si>
    <t>SABS1200 DA \EARTHWORKS (SMALL WORKS)/8,3\SCHEDULED ITEMS/8.3.6\Top Soiling. Rate to allow for excavations from stockpiled top soil  and vegetation, transport, placement and spreading to a nominal depth of 150 mm./\KS21-010-Backfilling Main Channel. Drawing No Drawing \m²\2320,5501703847 \ 5</t>
  </si>
  <si>
    <t>SABS1200 DA \EARTHWORKS (SMALL WORKS)/8,3\SCHEDULED ITEMS/8.3.7\Grassing or other Vegetation Cover. Rate to allow for the supply of indigenous veld grass seed mix from commercial sources, seeding, raking and maintaining until established./\KS21-010-Backfilling Main Channel. Drawing No Drawing \m²\2320,5501703847 \ 10</t>
  </si>
  <si>
    <t>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engineer./\KS21-010-Backfilling Main Channel. Drawing No Drawing \m³\2347,2 \ 120</t>
  </si>
  <si>
    <t>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sites./\KS21-002-Earthworks  \m²\340 \ 5</t>
  </si>
  <si>
    <t>SABS1200 DA \EARTHWORKS (SMALL WORKS)/8,3\SCHEDULED ITEMS/8.3.2a\Excavate for restricted foundations, footings and trenches  in all materials and use for embankments or backfill or dispose. /\KS21-002-Earthworks  \m³\191,4 \ 85</t>
  </si>
  <si>
    <t>SABS1200 DA \EARTHWORKS (SMALL WORKS)/8,3\SCHEDULED ITEMS/8.3.6\Top Soiling. Rate to allow for excavations from stockpiled top soil  and vegetation, transport, placement and spreading to a nominal depth of 150 mm./\KS21-002-Earthworks  \m²\850 \ 5</t>
  </si>
  <si>
    <t>SABS1200 DA \EARTHWORKS (SMALL WORKS)/8,3\SCHEDULED ITEMS/8.3.7\Grassing or other Vegetation Cover. Rate to allow for the supply of indigenous veld grass seed mix from commercial sources, seeding, raking and maintaining until established./\KS21-002-Earthworks  \m²\850 \ 10</t>
  </si>
  <si>
    <t>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sites./\KS21-004-Infilling of drain  \m²\112,305322126996 \ 5</t>
  </si>
  <si>
    <t>SABS1200 DA \EARTHWORKS (SMALL WORKS)/8,3\SCHEDULED ITEMS/8.3.6\Top Soiling. Rate to allow for excavations from stockpiled top soil  and vegetation, transport, placement and spreading to a nominal depth of 150 mm./\KS21-004-Infilling of drain  \m²\111 \ 5</t>
  </si>
  <si>
    <t>SABS1200 DA \EARTHWORKS (SMALL WORKS)/8,3\SCHEDULED ITEMS/8.3.7\Grassing or other Vegetation Cover. Rate to allow for the supply of indigenous veld grass seed mix from commercial sources, seeding, raking and maintaining until established./\KS21-004-Infilling of drain  \m²\111 \ 10</t>
  </si>
  <si>
    <t>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sites./\KS21-008-Infilling of drain  \m²\110,103362133363 \ 5</t>
  </si>
  <si>
    <t>SABS1200 DA \EARTHWORKS (SMALL WORKS)/8,3\SCHEDULED ITEMS/8.3.6\Top Soiling. Rate to allow for excavations from stockpiled top soil  and vegetation, transport, placement and spreading to a nominal depth of 150 mm./\KS21-008-Infilling of drain  \m²\129,2 \ 5</t>
  </si>
  <si>
    <t>SABS1200 DA \EARTHWORKS (SMALL WORKS)/8,3\SCHEDULED ITEMS/8.3.7\Grassing or other Vegetation Cover. Rate to allow for the supply of indigenous veld grass seed mix from commercial sources, seeding, raking and maintaining until established./\KS21-008-Infilling of drain  \m²\129,2 \ 10</t>
  </si>
  <si>
    <t>SABS1200 DA \EARTHWORKS (SMALL WORKS)/8,3\SCHEDULED ITEMS/8.3.3a\Limited  overhaul (provisional ). /\DS12_004-Removal of earthen material \m³\523,01728 \ 0</t>
  </si>
  <si>
    <t>SABS1200 DA \EARTHWORKS (SMALL WORKS)/8,3\SCHEDULED ITEMS/8.3.2a\Excavate for restricted foundations, footings and trenches  in all materials and use for embankments or backfill or dispose. /\KS19_001-Ecologs  \m³\5 \ 85</t>
  </si>
  <si>
    <t xml:space="preserve"> \  / \  /  \ Install Erosion control logs (2 m long x 300 mm Dimeter ). Rate to allow supply of erosion control log and 2 No. 1000 mm long steel fence droppers per a log. To be installed as per suppliers specifications./\KS19_001-Ecologs  \unit\20 \ 900</t>
  </si>
  <si>
    <t>SABS1200 DA \EARTHWORKS (SMALL WORKS)/8,3\SCHEDULED ITEMS/8.3.2a\Excavate for restricted foundations, footings and trenches  in all materials and use for embankments or backfill or dispose. /\KS19_003-Ecologs  \m³\5,316 \ 85</t>
  </si>
  <si>
    <t xml:space="preserve"> \  / \  /  \ Install Erosion control logs (2 m long x 300 mm Dimeter ). Rate to allow supply of erosion control log and 2 No. 1000 mm long steel fence droppers per a log. To be installed as per suppliers specifications./\KS19_003-Ecologs  \unit\8 \ 900</t>
  </si>
  <si>
    <t>SABS1200 DA \EARTHWORKS (SMALL WORKS)/8,3\SCHEDULED ITEMS/8.3.2a\Excavate for restricted foundations, footings and trenches  in all materials and use for embankments or backfill or dispose. /\KS19_004-Ecologs  \m³\4,5 \ 85</t>
  </si>
  <si>
    <t xml:space="preserve"> \  / \  /  \ Install Erosion control logs (2 m long x 300 mm Dimeter ). Rate to allow supply of erosion control log and 2 No. 1000 mm long steel fence droppers per a log. To be installed as per suppliers specifications./\KS19_004-Ecologs  \unit\25 \ 900</t>
  </si>
  <si>
    <t>SABS1200 DA \EARTHWORKS (SMALL WORKS)/8,3\SCHEDULED ITEMS/8.3.2a\Excavate for restricted foundations, footings and trenches  in all materials and use for embankments or backfill or dispose. /\KS19_005-Ecologs  \m³\4,68 \ 85</t>
  </si>
  <si>
    <t xml:space="preserve"> \  / \  /  \ Install Erosion control logs (2 m long x 300 mm Dimeter ). Rate to allow supply of erosion control log and 2 No. 1000 mm long steel fence droppers per a log. To be installed as per suppliers specifications./\KS19_005-Ecologs  \unit\26 \ 900</t>
  </si>
  <si>
    <t>SABS1200 DA \EARTHWORKS (SMALL WORKS)/8,3\SCHEDULED ITEMS/8.3.2a\Excavate for restricted foundations, footings and trenches  in all materials and use for embankments or backfill or dispose. /\KS18_003-Concrete Check Wall. Drawing NBC-GTW-CL-0045 \m³\5,7 \ 85</t>
  </si>
  <si>
    <t>SABS1200 GA \CONCRETE (SMALL WORKS)/8,4\SCHEDULED CONCRETE ITEMS/8.4.3\Strength Concrete: 25 Mpa with 19 mm stone. /\KS18_003-Concrete Check Wall. Drawing NBC-GTW-CL-0045 \m³\5,7 \ 2000</t>
  </si>
  <si>
    <t>SABS1200 DA \EARTHWORKS (SMALL WORKS)/8,3\SCHEDULED ITEMS/8.3.2a\Excavate for restricted foundations, footings and trenches  in all materials and use for embankments or backfill or dispose. /\KS18_004-Concrete Check Wall. Drawing NBC-GTW-CL-0045 \m³\5,355 \ 85</t>
  </si>
  <si>
    <t>SABS1200 GA \CONCRETE (SMALL WORKS)/8,4\SCHEDULED CONCRETE ITEMS/8.4.3\Strength Concrete: 25 Mpa with 19 mm stone. /\KS18_004-Concrete Check Wall. Drawing NBC-GTW-CL-0045 \m³\5,355 \ 2000</t>
  </si>
  <si>
    <t>SABS1200 DA \EARTHWORKS (SMALL WORKS)/8,3\SCHEDULED ITEMS/8.3.2a\Excavate for restricted foundations, footings and trenches  in all materials and use for embankments or backfill or dispose. /\KS18_005-Concrete Check Wall. Drawing NBC-GTW-CL-0045 \m³\6,93 \ 85</t>
  </si>
  <si>
    <t>SABS1200 GA \CONCRETE (SMALL WORKS)/8,4\SCHEDULED CONCRETE ITEMS/8.4.3\Strength Concrete: 25 Mpa with 19 mm stone. /\KS18_005-Concrete Check Wall. Drawing NBC-GTW-CL-0045 \m³\6,93 \ 2000</t>
  </si>
  <si>
    <t>SABS1200 DA \EARTHWORKS (SMALL WORKS)/8,3\SCHEDULED ITEMS/8.3.2a\Excavate for restricted foundations, footings and trenches  in all materials and use for embankments or backfill or dispose. /\KS18_006-Concrete Check Wall. Drawing NBC-GTW-CL-0045 \m³\6,615 \ 85</t>
  </si>
  <si>
    <t>SABS1200 GA \CONCRETE (SMALL WORKS)/8,4\SCHEDULED CONCRETE ITEMS/8.4.3\Strength Concrete: 25 Mpa with 19 mm stone. /\KS18_006-Concrete Check Wall. Drawing NBC-GTW-CL-0045 \m³\6,615 \ 2000</t>
  </si>
  <si>
    <t>SABS1200 DA \EARTHWORKS (SMALL WORKS)/8,3\SCHEDULED ITEMS/8.3.2a\Excavate for restricted foundations, footings and trenches  in all materials and use for embankments or backfill or dispose. /\KS18_007-Concrete Check Wall. Drawing NBC-GTW-CL-0045 \m³\5,04 \ 85</t>
  </si>
  <si>
    <t>SABS1200 GA \CONCRETE (SMALL WORKS)/8,4\SCHEDULED CONCRETE ITEMS/8.4.3\Strength Concrete: 25 Mpa with 19 mm stone. /\KS18_007-Concrete Check Wall. Drawing NBC-GTW-CL-0045 \m³\5,04 \ 2000</t>
  </si>
  <si>
    <t>SABS1200 DA \EARTHWORKS (SMALL WORKS)/8,3\SCHEDULED ITEMS/8.3.2a\Excavate for restricted foundations, footings and trenches  in all materials and use for embankments or backfill or dispose. /\KS18_008-Concrete Check Wall. Drawing NBC-GTW-CL-0045 \m³\5,76 \ 85</t>
  </si>
  <si>
    <t>SABS1200 GA \CONCRETE (SMALL WORKS)/8,4\SCHEDULED CONCRETE ITEMS/8.4.3\Strength Concrete: 25 Mpa with 19 mm stone. /\KS18_008-Concrete Check Wall. Drawing NBC-GTW-CL-0045 \m³\5,76 \ 2000</t>
  </si>
  <si>
    <t>SABS1200 DA \EARTHWORKS (SMALL WORKS)/8,3\SCHEDULED ITEMS/8.3.2a\Excavate for restricted foundations, footings and trenches  in all materials and use for embankments or backfill or dispose. /\KS18_009-Concrete Check Wall. Drawing NBC-GTW-CL-0045 \m³\5,775 \ 85</t>
  </si>
  <si>
    <t>SABS1200 GA \CONCRETE (SMALL WORKS)/8,4\SCHEDULED CONCRETE ITEMS/8.4.3\Strength Concrete: 25 Mpa with 19 mm stone. /\KS18_009-Concrete Check Wall. Drawing NBC-GTW-CL-0045 \m³\5,775 \ 2000</t>
  </si>
  <si>
    <t>SABS1200 DA \EARTHWORKS (SMALL WORKS)/8,3\SCHEDULED ITEMS/8.3.2a\Excavate for restricted foundations, footings and trenches  in all materials and use for embankments or backfill or dispose. /\KS18_010-Concrete Check Wall. Drawing NBC-GTW-CL-0045 \m³\6,93 \ 85</t>
  </si>
  <si>
    <t>SABS1200 GA \CONCRETE (SMALL WORKS)/8,4\SCHEDULED CONCRETE ITEMS/8.4.3\Strength Concrete: 25 Mpa with 19 mm stone. /\KS18_010-Concrete Check Wall. Drawing NBC-GTW-CL-0045 \m³\6,93 \ 2000</t>
  </si>
  <si>
    <t>SABS1200 DA \EARTHWORKS (SMALL WORKS)/8,3\SCHEDULED ITEMS/8.3.2a\Excavate for restricted foundations, footings and trenches  in all materials and use for embankments or backfill or dispose. /\KS18_011-Concrete Check Wall. Drawing NBC-GTW-CL-0045 \m³\6 \ 85</t>
  </si>
  <si>
    <t>SABS1200 GA \CONCRETE (SMALL WORKS)/8,4\SCHEDULED CONCRETE ITEMS/8.4.3\Strength Concrete: 25 Mpa with 19 mm stone. /\KS18_011-Concrete Check Wall. Drawing NBC-GTW-CL-0045 \m³\6 \ 2000</t>
  </si>
  <si>
    <t>SABS1200 DA \EARTHWORKS (SMALL WORKS)/8,3\SCHEDULED ITEMS/8.3.2a\Excavate for restricted foundations, footings and trenches  in all materials and use for embankments or backfill or dispose. /\KS18_012-Concrete Check Wall. Drawing NBC-GTW-CL-0045 \m³\6,6 \ 85</t>
  </si>
  <si>
    <t>SABS1200 GA \CONCRETE (SMALL WORKS)/8,4\SCHEDULED CONCRETE ITEMS/8.4.3\Strength Concrete: 25 Mpa with 19 mm stone. /\KS18_012-Concrete Check Wall. Drawing NBC-GTW-CL-0045 \m³\6,6 \ 2000</t>
  </si>
  <si>
    <t>SABS1200 DA \EARTHWORKS (SMALL WORKS)/8,3\SCHEDULED ITEMS/8.3.2a\Excavate for restricted foundations, footings and trenches  in all materials and use for embankments or backfill or dispose. /\KS18_013-Concrete Check Wall. Drawing NBC-GTW-CL-0045 \m³\6 \ 85</t>
  </si>
  <si>
    <t>SABS1200 GA \CONCRETE (SMALL WORKS)/8,4\SCHEDULED CONCRETE ITEMS/8.4.3\Strength Concrete: 25 Mpa with 19 mm stone. /\KS18_013-Concrete Check Wall. Drawing NBC-GTW-CL-0045 \m³\6 \ 2000</t>
  </si>
  <si>
    <t>SABS1200 DA \EARTHWORKS (SMALL WORKS)/8,3\SCHEDULED ITEMS/8.3.2a\Excavate for restricted foundations, footings and trenches  in all materials and use for embankments or backfill or dispose. /\KS18_014-Concrete Check Wall. Drawing NBC-GTW-CL-0001 \m³\6,66 \ 85</t>
  </si>
  <si>
    <t>SABS1200 GA \CONCRETE (SMALL WORKS)/8,4\SCHEDULED CONCRETE ITEMS/8.4.3\Strength Concrete: 25 Mpa with 19 mm stone. /\KS18_014-Concrete Check Wall. Drawing NBC-GTW-CL-0001 \m³\6,66 \ 2000</t>
  </si>
  <si>
    <t>SABS1200 GA \CONCRETE (SMALL WORKS)/8,4\SCHEDULED CONCRETE ITEMS/8.4.4\a) Wood floated Finish. /\KS18_014-Concrete Check Wall. Drawing NBC-GTW-CL-0001 \m²\3,6 \ 30</t>
  </si>
  <si>
    <t>SABS1200 DA \EARTHWORKS (SMALL WORKS)/8,3\SCHEDULED ITEMS/8.3.3a\Limited  overhaul (provisional ). /\KS13_010-Removal of Berm \m³\150 \ 0</t>
  </si>
  <si>
    <t>SABS1200 DA \EARTHWORKS (SMALL WORKS)/8,3\SCHEDULED ITEMS/8.3.3a\Limited  overhaul (provisional ). /\LS16_012-Removal of Road \m³\80,775 \ 0</t>
  </si>
  <si>
    <t>SABS1200 DA \EARTHWORKS (SMALL WORKS)/8,3\SCHEDULED ITEMS/8.3.3a\Limited  overhaul (provisional ). /\LS16_020-Removal of Road \m³\372,11625 \ 0</t>
  </si>
  <si>
    <t>SABS1200 DA \EARTHWORKS (SMALL WORKS)/8,3\SCHEDULED ITEMS/8.3.3a\Limited  overhaul (provisional ). /\LS16_013-Gabion energy breaker \m³\13,68 \ 0</t>
  </si>
  <si>
    <t>SABS1200 DA \EARTHWORKS (SMALL WORKS)/8,3\SCHEDULED ITEMS/8.3.3a\Limited  overhaul (provisional ). /\LS16_016-Gabion energy breaker \m³\20 \ 0</t>
  </si>
  <si>
    <t>SABS1200 DA \EARTHWORKS (SMALL WORKS)/8,3\SCHEDULED ITEMS/8.3.3a\Limited  overhaul (provisional ). /\LS16_017-Gabion energy breaker \m³\25 \ 0</t>
  </si>
  <si>
    <t>SABS1200 DA \EARTHWORKS (SMALL WORKS)/8,3\SCHEDULED ITEMS/8.3.3a\Limited  overhaul (provisional ). /\LS16_018-Gabion energy breaker \m³\22,08 \ 0</t>
  </si>
  <si>
    <t>SABS1200 DA \EARTHWORKS (SMALL WORKS)/8,3\SCHEDULED ITEMS/8.3.3a\Limited  overhaul (provisional ). /\LS16_019-Gabion energy breaker \m³\24,48 \ 0</t>
  </si>
  <si>
    <t>SABS1200 DA \EARTHWORKS (SMALL WORKS)/8,3\SCHEDULED ITEMS/8.3.3a\Limited  overhaul (provisional ). /\LS08_001-Removal of Berm \m³\21,875 \ 0</t>
  </si>
  <si>
    <t>SABS1200 DA \EARTHWORKS (SMALL WORKS)/8,3\SCHEDULED ITEMS/8.3.3a\Limited  overhaul (provisional ). /\LS12_001-Removal of dam wall \m³\848,237 \ 0</t>
  </si>
  <si>
    <t>SABS1200 DA \EARTHWORKS (SMALL WORKS)/8,3\SCHEDULED ITEMS/8.3.3a\Limited  overhaul (provisional ). /\LS12_002-Removal of Berm \m³\13,585 \ 0</t>
  </si>
  <si>
    <t>KS21_010-Backfilling Main channel</t>
  </si>
  <si>
    <t>KS18_002a-Concrete Check Wall. Drawing NBC-GTW-CL-0020</t>
  </si>
  <si>
    <t>KS18_002b-Concrete Check Wall. Drawing NBC-GTW-CL-0020</t>
  </si>
  <si>
    <t xml:space="preserve">KS20_002-Concrete check wall. Drawing NBC-GTW-CL-0028 </t>
  </si>
  <si>
    <t xml:space="preserve">KS20_004-Concrete check wall. Drawing NBC-GTW-CL-0030 </t>
  </si>
  <si>
    <t xml:space="preserve">KS20_005-Concrete check wall. Drawing NBC-GTW-CL-0031 </t>
  </si>
  <si>
    <t xml:space="preserve">KS20_006-Concrete check wall. Drawing NBC-GTW-CL-0032 </t>
  </si>
  <si>
    <t xml:space="preserve">KS20_007-Concrete check wall. Drawing NBC-GTW-CL-0033 </t>
  </si>
  <si>
    <t>KS20_010-Ecologs</t>
  </si>
  <si>
    <t>KS20_009_b-Concrete Check Wall</t>
  </si>
  <si>
    <t>KS20_009_a-Concrete Check Wall</t>
  </si>
  <si>
    <t>KS20_008-Concrete Check Wall.</t>
  </si>
  <si>
    <t xml:space="preserve">KS20_011- Backfilling main Channel  </t>
  </si>
  <si>
    <t xml:space="preserve">KS21_006-Concrete Check Wall. Drawing NBC-GTW-CL-0041 </t>
  </si>
  <si>
    <t xml:space="preserve">KS21_007-Concrete Check Wall. Drawing NBC-GTW-CL-0042 </t>
  </si>
  <si>
    <t xml:space="preserve">KS21_009-Concrete Check Wall. Drawing NBC-GTW-CL-0043 </t>
  </si>
  <si>
    <t>KS20_011-Backfilling Main Channel.</t>
  </si>
  <si>
    <t>KS21_010-Backfilling Main Channel.</t>
  </si>
  <si>
    <t>KS20_011-Backfilling Main channel</t>
  </si>
  <si>
    <t>KS21_010-Backfilling Main Channel</t>
  </si>
  <si>
    <t xml:space="preserve">KS18_001-Concrete Check Wall. Drawing NBC-GTW-CL-0019 </t>
  </si>
  <si>
    <t>KS20_001-Concrete drop inlet. Drawing NBC-GTW-CL-0027</t>
  </si>
  <si>
    <t>KS20_009_c - Construction of earthen berm</t>
  </si>
  <si>
    <t>KS21_002-Earthworks</t>
  </si>
  <si>
    <t xml:space="preserve">KS18_001-Concrete Check wall. Drawing NBC-GTW-CL-0019 </t>
  </si>
  <si>
    <t xml:space="preserve">KS18_002-Concrete Check wall. Drawing NBC-GTW-CL-0020 </t>
  </si>
  <si>
    <t xml:space="preserve">KS20_002-Concrete Check wall. Drawing NBC-GTW-CL-0028 </t>
  </si>
  <si>
    <t xml:space="preserve">KS20_004-Concrete Check wall. Drawing NBC-GTW-CL-0030 </t>
  </si>
  <si>
    <t xml:space="preserve">KS20_005-Concrete Check wall. Drawing NBC-GTW-CL-0031 </t>
  </si>
  <si>
    <t xml:space="preserve">KS20_006-Concrete Check wall. Drawing NBC-GTW-CL-0032 </t>
  </si>
  <si>
    <t xml:space="preserve">KS20_007-Concrete Check wall. Drawing NBC-GTW-CL-0033 </t>
  </si>
  <si>
    <t xml:space="preserve">KS20_008-Concrete Check wall. Drawing NBC-GTW-CL-0034 </t>
  </si>
  <si>
    <t xml:space="preserve">KS20_009_a-Concrete Check wall. Drawing NBC-GTW-CL-0035 </t>
  </si>
  <si>
    <t xml:space="preserve">KS20_003-Concrete Check wall. Drawing NBC-GTW-CL-0029 </t>
  </si>
  <si>
    <t xml:space="preserve">KS21_006-Concrete Check wall. Drawing NBC-GTW-CL-0041 </t>
  </si>
  <si>
    <t xml:space="preserve">KS21_007-Concrete Check wall. Drawing NBC-GTW-CL-0042 </t>
  </si>
  <si>
    <t xml:space="preserve">KS21_009-Concrete Check wall. Drawing NBC-GTW-CL-0043 </t>
  </si>
  <si>
    <t xml:space="preserve">KS19_001-Ecologs  </t>
  </si>
  <si>
    <t>KS19_003-Headcut ecologs</t>
  </si>
  <si>
    <t>KS19_004-Infilling of Drains  ecologs</t>
  </si>
  <si>
    <t>KS19_005-Infilling of Drains  ecologs</t>
  </si>
  <si>
    <t xml:space="preserve">KS18_003-Concrete Check Walls. Drawing NBC-GTW-CL-0045 </t>
  </si>
  <si>
    <t xml:space="preserve">KS18_004-Concrete Check Walls. Drawing NBC-GTW-CL-0045 </t>
  </si>
  <si>
    <t xml:space="preserve">KS18_005-Concrete Check Walls. Drawing NBC-GTW-CL-0045 </t>
  </si>
  <si>
    <t xml:space="preserve">KS18_006-Concrete Check Walls. Drawing NBC-GTW-CL-0045 </t>
  </si>
  <si>
    <t xml:space="preserve">KS18_007-Concrete Check Walls. Drawing NBC-GTW-CL-0045 </t>
  </si>
  <si>
    <t xml:space="preserve">KS18_008-Concrete Check Walls. Drawing NBC-GTW-CL-0045 </t>
  </si>
  <si>
    <t xml:space="preserve">KS18_009-Concrete Check Walls. Drawing NBC-GTW-CL-0045 </t>
  </si>
  <si>
    <t xml:space="preserve">KS18_010-Concrete Check Walls. Drawing NBC-GTW-CL-0045 </t>
  </si>
  <si>
    <t xml:space="preserve">KS18_011-Concrete Check Walls. Drawing NBC-GTW-CL-0045 </t>
  </si>
  <si>
    <t xml:space="preserve">KS18_012-Concrete Check Walls. Drawing NBC-GTW-CL-0045 </t>
  </si>
  <si>
    <t xml:space="preserve">KS18_013-Concrete Check Walls. Drawing NBC-GTW-CL-0045 </t>
  </si>
  <si>
    <t xml:space="preserve">KS18_014-Concrete Check Walls. Drawing NBC-GTW-CL-0045 </t>
  </si>
  <si>
    <t xml:space="preserve">KS13_017-Backfilling of Main Channel   </t>
  </si>
  <si>
    <t>Excavate in all materials and use for embankments or backfill or dispose, as ordered by the engineer. (non-restricted)</t>
  </si>
  <si>
    <t xml:space="preserve">KS13_004-Concrete Check wall. Drawing NBC-GTW-CL-0010 </t>
  </si>
  <si>
    <t xml:space="preserve">KS13_005-Concrete Check wall. Drawing NBC-GTW-CL-0011 </t>
  </si>
  <si>
    <t xml:space="preserve">KS13_006-Concrete Check wall. Drawing NBC-GTW-CL-0012 </t>
  </si>
  <si>
    <t xml:space="preserve">KS13_007-Concrete Check wall. Drawing NBC-GTW-CL-0013 </t>
  </si>
  <si>
    <t xml:space="preserve">KS13_008-Concrete Check wall. Drawing NBC-GTW-CL-0014 </t>
  </si>
  <si>
    <t xml:space="preserve">KS13_011-Concrete Check wall. Drawing NBC-GTW-CL-0015 </t>
  </si>
  <si>
    <t xml:space="preserve">KS13_012-Concrete Check wall. Drawing NBC-GTW-CL-0016 </t>
  </si>
  <si>
    <t xml:space="preserve">KS13_013-Concrete Check wall. Drawing NBC-GTW-CL-0017 </t>
  </si>
  <si>
    <t xml:space="preserve">KS13_015-Concrete Check wall. Drawing NBC-GTW-CL-0018 </t>
  </si>
  <si>
    <t xml:space="preserve">KS18_015-Concrete Check wall. Drawing NBC-GTW-CL-0021 </t>
  </si>
  <si>
    <t xml:space="preserve">KS18_016-Concrete Check wall. Drawing NBC-GTW-CL-0022 </t>
  </si>
  <si>
    <t xml:space="preserve">KS18_017-Concrete Check wall. Drawing NBC-GTW-CL-0023 </t>
  </si>
  <si>
    <t xml:space="preserve">KS18_018-Concrete Check wall. Drawing NBC-GTW-CL-0024 </t>
  </si>
  <si>
    <t xml:space="preserve">KS18_019-Concrete Check wall. Drawing NBC-GTW-CL-0025 </t>
  </si>
  <si>
    <t xml:space="preserve">KS18_020-Concrete Check wall associated with Road Culvert  </t>
  </si>
  <si>
    <t xml:space="preserve">KS15_001-Concrete Check wall. Drawing NBC-GTW-CL-0018 </t>
  </si>
  <si>
    <t xml:space="preserve">KS13-017-Backfill Main Channel  </t>
  </si>
  <si>
    <t xml:space="preserve">Overhaul (provisional ). </t>
  </si>
  <si>
    <t xml:space="preserve">KS13_017-Backfilling Main channel </t>
  </si>
  <si>
    <t>KS13_009-Infilling of Drains</t>
  </si>
  <si>
    <t xml:space="preserve">KS13_076-Backfilling Main Channel  </t>
  </si>
  <si>
    <t>KS12_010-Removal of dam Wall.</t>
  </si>
  <si>
    <t>Excavate in all materials and use for embankments or backfill or dispose, as ordered by the engineer. (non restricted)</t>
  </si>
  <si>
    <t>SECTION 7: CLUSTER 5A REHABILITATION</t>
  </si>
  <si>
    <t>SECTION 1: PRELIMINARY AND GENERAL</t>
  </si>
  <si>
    <t>BILL NO. 1</t>
  </si>
  <si>
    <t>SCHEDULED FIXED CHARGE ITEMS</t>
  </si>
  <si>
    <t>SANS1200 A</t>
  </si>
  <si>
    <t>PRELIMINARY AND GENERAL</t>
  </si>
  <si>
    <t>8.3</t>
  </si>
  <si>
    <t>1. For Pricing of these items, due cognisance must be taken of the Conditions of Contract, requirements of the Works Information, the Specifications and all other provisions of the enquiry document</t>
  </si>
  <si>
    <t>2. The Contractor is reminded that with his tender he is to submit a fully detailed cash flowed Preliminary and General breakdown (Find attached P&amp;G's Pricing Sheet)</t>
  </si>
  <si>
    <t>3. The Contractor is to submit a cost breakdown for each of the Lump sum priced Preliminary and General items</t>
  </si>
  <si>
    <t>4. Bonds and Contractual requirements listed here under will be paid on actual proven cost plus agreed contractual mark-up.</t>
  </si>
  <si>
    <t>Contractual Requirements</t>
  </si>
  <si>
    <t>Establishment of facilities on the site:</t>
  </si>
  <si>
    <t>Facilities for Engineer</t>
  </si>
  <si>
    <t>Furnished Offices</t>
  </si>
  <si>
    <t>H4</t>
  </si>
  <si>
    <t>SUM</t>
  </si>
  <si>
    <t>H2</t>
  </si>
  <si>
    <t>8.3.2.1</t>
  </si>
  <si>
    <t>H1</t>
  </si>
  <si>
    <t>8.3.2.1 a)</t>
  </si>
  <si>
    <t>8.3.2.1 b)</t>
  </si>
  <si>
    <t>Telephone, Laptop and Internet Access Facilities</t>
  </si>
  <si>
    <t>8.3.2.1 c)</t>
  </si>
  <si>
    <t>Project nameboards</t>
  </si>
  <si>
    <t>8.3.2.2</t>
  </si>
  <si>
    <t>Facilities for Contractor</t>
  </si>
  <si>
    <t>8.3.2.2 a), PS 8.1, PSA 4.2</t>
  </si>
  <si>
    <t>Offices and storage sheds</t>
  </si>
  <si>
    <t>8.3.2.2 d), PS 8.1</t>
  </si>
  <si>
    <t>Living accommodation</t>
  </si>
  <si>
    <t>8.3.2.2 e), PS 8.4</t>
  </si>
  <si>
    <t>Ablution and latrine facilities</t>
  </si>
  <si>
    <t>8.3.2.2 f)</t>
  </si>
  <si>
    <t>Tools and equipment</t>
  </si>
  <si>
    <t>8.3.2.2 g), PS 8.2, 8.3 &amp; 8.7</t>
  </si>
  <si>
    <t>Water supplies, electric power and communications</t>
  </si>
  <si>
    <t>8.3.2.2 h), PSA 8.3.5</t>
  </si>
  <si>
    <t>Dealing with water including sediment control (Sub clause 5.5)</t>
  </si>
  <si>
    <t>8.3.2.2 i), PS 7.5</t>
  </si>
  <si>
    <t>Access to the Works</t>
  </si>
  <si>
    <t>8.3.2.2 j)</t>
  </si>
  <si>
    <t>Plant and transport</t>
  </si>
  <si>
    <t>8.3.3</t>
  </si>
  <si>
    <t>Other fixed charge obligations (Contractor to specify in P&amp;G's Pricing Sheet)</t>
  </si>
  <si>
    <t>8.3.4, PS 8.1 &amp; PSA 4.5</t>
  </si>
  <si>
    <t>Removal of site establishment</t>
  </si>
  <si>
    <t>PSA 8.9, PS 20 &amp; PS 24</t>
  </si>
  <si>
    <t>Compliance with the Occupational Health and Safety Act, Act 85 of 1994, including any costs associated with medical examinations, inductions or security screenings of the Contractor's staff in accordance with Exxaro's requirements</t>
  </si>
  <si>
    <t>PSA 8.10</t>
  </si>
  <si>
    <t>Compliance with Environmental Management Programme</t>
  </si>
  <si>
    <t>PS 15 &amp;, PSA 8.11</t>
  </si>
  <si>
    <t>Quality Control and Management</t>
  </si>
  <si>
    <t>SECTION 1</t>
  </si>
  <si>
    <t>BILL NO. 2</t>
  </si>
  <si>
    <t>8.4</t>
  </si>
  <si>
    <t>SCHEDULED TIME RELATED ITEMS</t>
  </si>
  <si>
    <t>Contractual Requirements (To be priced under Fixed Charge Items)</t>
  </si>
  <si>
    <t>Operate and maintain facilities on the site for duration of construction</t>
  </si>
  <si>
    <t>8.4.2.1</t>
  </si>
  <si>
    <t>8.4.2.1 a)</t>
  </si>
  <si>
    <t>8.4.2.1 b)</t>
  </si>
  <si>
    <t>8.4.2.1 d), PS 9.7</t>
  </si>
  <si>
    <t>Survey assistant / equipment</t>
  </si>
  <si>
    <t>8.4.2.2</t>
  </si>
  <si>
    <t>8.4.2.2 a), PS 8.1, PSA 4.2</t>
  </si>
  <si>
    <t>8.4.2.2 d), PS 8.1</t>
  </si>
  <si>
    <t>8.4.2.2 e), PS 8.4</t>
  </si>
  <si>
    <t>8.4.2.2 f)</t>
  </si>
  <si>
    <t>8.4.2.2 g), PS 8.2, 8.3 &amp; 8.7</t>
  </si>
  <si>
    <t>8.4.2.2 h), PSA 8.3.5</t>
  </si>
  <si>
    <t>8.4.2.2 j)</t>
  </si>
  <si>
    <t>Supervision for the duration of the Contract</t>
  </si>
  <si>
    <t>Company and head office overhead costs for the duration of the contract</t>
  </si>
  <si>
    <t>8.4.5</t>
  </si>
  <si>
    <t>Other time related obligations (Contractor to specify in P&amp;G's Pricing Sheet)</t>
  </si>
  <si>
    <t>Compliance with the Occupational Health and Safety Act, Act 85 of 1994</t>
  </si>
  <si>
    <t>PS 15 &amp; PSA 8.11</t>
  </si>
  <si>
    <t>Compliance with Exxaro's quality control / assurance system</t>
  </si>
  <si>
    <t>8.5</t>
  </si>
  <si>
    <t>SUMS STATED PROVISIONALLY BY THE ENGINEER</t>
  </si>
  <si>
    <t>Additional testing as instructed by the Engineer</t>
  </si>
  <si>
    <t>Management, Overheads, Charges &amp; Profit on Item 1/2/18</t>
  </si>
  <si>
    <t>%</t>
  </si>
  <si>
    <t>PS 21</t>
  </si>
  <si>
    <t>Accommodation of traffic</t>
  </si>
  <si>
    <t>Management, Overheads, Charges &amp; Profit on Item 1/2/20</t>
  </si>
  <si>
    <t>8.7</t>
  </si>
  <si>
    <t>DAYWORKS</t>
  </si>
  <si>
    <t>Labour</t>
  </si>
  <si>
    <t>H3</t>
  </si>
  <si>
    <t>a) Unskilled</t>
  </si>
  <si>
    <t>Hrs</t>
  </si>
  <si>
    <t>b) Semi-skilled</t>
  </si>
  <si>
    <t>c) Skilled</t>
  </si>
  <si>
    <t>Plant</t>
  </si>
  <si>
    <t>4x4 Backhoe Loader Type: ......................................... kW: ........................</t>
  </si>
  <si>
    <t>20 ton Excavator</t>
  </si>
  <si>
    <t>Materials</t>
  </si>
  <si>
    <t>Allowance for materials used under Dayworks items</t>
  </si>
  <si>
    <t>Management, Overheads, Charges &amp; Profit on Item 1/2/27</t>
  </si>
  <si>
    <t>8.8</t>
  </si>
  <si>
    <t>TEMPORARY WORKS</t>
  </si>
  <si>
    <t>8.8.7 &amp; PSA 8.8</t>
  </si>
  <si>
    <t>Take down and re-erect fencing (Provisional Quantity)</t>
  </si>
  <si>
    <t>SECTION 2</t>
  </si>
  <si>
    <t>PA 02</t>
  </si>
  <si>
    <t>PA 03</t>
  </si>
  <si>
    <t>PA 07</t>
  </si>
  <si>
    <t>SECTION 1 - SUBTOTAL CARRIED FORWARD</t>
  </si>
  <si>
    <t>SECTION 1 - SUBTOTAL BROUGHT FORWARD</t>
  </si>
  <si>
    <t>BILL OF QUANTITIES - SUMMARY</t>
  </si>
  <si>
    <t>SECTION</t>
  </si>
  <si>
    <t>CLUSTER 1 REHABILITATION ACTIVITIES</t>
  </si>
  <si>
    <t>SECTION 3</t>
  </si>
  <si>
    <t>CLUSTER 2A REHABILITATION ACTIVITIES</t>
  </si>
  <si>
    <t>SECTION 4</t>
  </si>
  <si>
    <t>CLUSTER 2B REHABILITATION ACTIVITIES</t>
  </si>
  <si>
    <t>SECTION 5</t>
  </si>
  <si>
    <t>CLUSTER 3A REHABILITATION ACTIVITIES</t>
  </si>
  <si>
    <t>SECTION 6</t>
  </si>
  <si>
    <t>CLUSTER 3B REHABILITATION ACTIVITIES</t>
  </si>
  <si>
    <t>SECTION 7</t>
  </si>
  <si>
    <t>CLUSTER 5 REHABILITATION ACTIVITIES</t>
  </si>
  <si>
    <t>SUBTOTAL A</t>
  </si>
  <si>
    <t>ADD</t>
  </si>
  <si>
    <t>CONTINGENCIES @ 10%</t>
  </si>
  <si>
    <t>SUBTOTAL B</t>
  </si>
  <si>
    <t>VAT @ 15%</t>
  </si>
  <si>
    <t>TOTAL TENDER SUM CARRIED TO FORM OF OFFER AND ACCEPTANCE</t>
  </si>
  <si>
    <t xml:space="preserve">PA 02 </t>
  </si>
  <si>
    <t>KS21_006-Concrete Check Wall</t>
  </si>
  <si>
    <t xml:space="preserve">KS21_007-Concrete Check Wall </t>
  </si>
  <si>
    <t>KS21_009-Concrete Check Wall</t>
  </si>
  <si>
    <t>KS21_010-Concrete Check Wall</t>
  </si>
  <si>
    <t>PA 05</t>
  </si>
  <si>
    <t>PA 06</t>
  </si>
  <si>
    <t>PA 09</t>
  </si>
  <si>
    <t>PA 08</t>
  </si>
  <si>
    <t xml:space="preserve">PA 06 </t>
  </si>
  <si>
    <t xml:space="preserve">PA 07 </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</si>
</sst>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164" formatCode="_ &quot;R&quot;\ * #,##0.00_ ;_ &quot;R&quot;\ * \-#,##0.00_ ;_ &quot;R&quot;\ * &quot;-&quot;??_ ;_ @_ "/>
    <numFmt numFmtId="165" formatCode="_ * #,##0.00_ ;_ * \-#,##0.00_ ;_ * &quot;-&quot;??_ ;_ @_ "/>
    <numFmt numFmtId="166" formatCode="[$-F800]dddd\,\ mmmm\ dd\,\ yyyy"/>
    <numFmt numFmtId="167" formatCode="&quot;R&quot;\ #,##0.00"/>
    <numFmt numFmtId="168" formatCode="0.000"/>
    <numFmt numFmtId="169" formatCode="&quot;R&quot;#,##0.00"/>
    <numFmt numFmtId="170" formatCode="_ * #,##0.000_ ;_ * \-#,##0.000_ ;_ * &quot;-&quot;??_ ;_ @_ "/>
  </numFmts>
  <fonts count="37" x14ac:knownFonts="1">
    <font>
      <sz val="11"/>
      <color theme="1"/>
      <name val="Calibri"/>
      <family val="2"/>
      <scheme val="minor"/>
    </font>
    <font>
      <sz val="11"/>
      <color theme="1"/>
      <name val="Calibri"/>
      <family val="2"/>
      <scheme val="minor"/>
    </font>
    <font>
      <b/>
      <sz val="11"/>
      <color theme="1"/>
      <name val="Calibri"/>
      <family val="2"/>
      <scheme val="minor"/>
    </font>
    <font>
      <sz val="11"/>
      <color rgb="FFFF0000"/>
      <name val="Calibri"/>
      <family val="2"/>
      <scheme val="minor"/>
    </font>
    <font>
      <sz val="8"/>
      <color theme="1"/>
      <name val="Century Gothic"/>
      <family val="2"/>
    </font>
    <font>
      <b/>
      <sz val="8"/>
      <color theme="1"/>
      <name val="Century Gothic"/>
      <family val="2"/>
    </font>
    <font>
      <u/>
      <sz val="8"/>
      <color theme="1"/>
      <name val="Century Gothic"/>
      <family val="2"/>
    </font>
    <font>
      <b/>
      <sz val="9"/>
      <name val="Arial"/>
      <family val="2"/>
    </font>
    <font>
      <sz val="8"/>
      <name val="Century Gothic"/>
      <family val="2"/>
    </font>
    <font>
      <sz val="8"/>
      <color theme="1"/>
      <name val="Arial"/>
      <family val="2"/>
    </font>
    <font>
      <b/>
      <sz val="9"/>
      <color theme="1"/>
      <name val="Century Gothic"/>
      <family val="2"/>
    </font>
    <font>
      <sz val="10"/>
      <color theme="1"/>
      <name val="Arial"/>
      <family val="2"/>
    </font>
    <font>
      <sz val="10"/>
      <name val="Arial"/>
      <family val="2"/>
    </font>
    <font>
      <b/>
      <sz val="9"/>
      <color theme="1"/>
      <name val="Calibri"/>
      <family val="2"/>
      <scheme val="minor"/>
    </font>
    <font>
      <sz val="8"/>
      <color rgb="FFFF0000"/>
      <name val="Century Gothic"/>
      <family val="2"/>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sz val="11"/>
      <color rgb="FF9C5700"/>
      <name val="Calibri"/>
      <family val="2"/>
      <scheme val="minor"/>
    </font>
    <font>
      <b/>
      <sz val="10"/>
      <color theme="1"/>
      <name val="Calibri"/>
      <family val="2"/>
      <scheme val="minor"/>
    </font>
    <font>
      <b/>
      <u/>
      <sz val="8"/>
      <color theme="1"/>
      <name val="Century Gothic"/>
      <family val="2"/>
    </font>
    <font>
      <b/>
      <sz val="8"/>
      <name val="Century Gothic"/>
      <family val="2"/>
    </font>
    <font>
      <b/>
      <sz val="8"/>
      <color rgb="FFFF0000"/>
      <name val="Century Gothic"/>
      <family val="2"/>
    </font>
    <font>
      <u/>
      <sz val="8"/>
      <name val="Century Gothic"/>
      <family val="2"/>
    </font>
    <font>
      <b/>
      <sz val="10"/>
      <name val="Arial"/>
      <family val="2"/>
    </font>
    <font>
      <b/>
      <sz val="10"/>
      <color theme="1"/>
      <name val="Arial"/>
      <family val="2"/>
    </font>
    <font>
      <sz val="10"/>
      <color theme="1"/>
      <name val="Calibri"/>
      <family val="2"/>
      <scheme val="minor"/>
    </font>
  </fonts>
  <fills count="41">
    <fill>
      <patternFill patternType="none"/>
    </fill>
    <fill>
      <patternFill patternType="gray125"/>
    </fill>
    <fill>
      <patternFill patternType="solid">
        <fgColor rgb="FFFFFF00"/>
        <bgColor indexed="64"/>
      </patternFill>
    </fill>
    <fill>
      <patternFill patternType="solid">
        <fgColor theme="9" tint="0.39997558519241921"/>
        <bgColor indexed="64"/>
      </patternFill>
    </fill>
    <fill>
      <patternFill patternType="solid">
        <fgColor theme="0" tint="-0.249977111117893"/>
        <bgColor indexed="64"/>
      </patternFill>
    </fill>
    <fill>
      <patternFill patternType="solid">
        <fgColor rgb="FF996633"/>
        <bgColor indexed="64"/>
      </patternFill>
    </fill>
    <fill>
      <patternFill patternType="solid">
        <fgColor theme="4" tint="0.39997558519241921"/>
        <bgColor indexed="64"/>
      </patternFill>
    </fill>
    <fill>
      <patternFill patternType="solid">
        <fgColor theme="5"/>
        <bgColor indexed="64"/>
      </patternFill>
    </fill>
    <fill>
      <patternFill patternType="solid">
        <fgColor rgb="FF7030A0"/>
        <bgColor indexed="64"/>
      </patternFill>
    </fill>
    <fill>
      <patternFill patternType="solid">
        <fgColor theme="7" tint="0.39997558519241921"/>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26">
    <border>
      <left/>
      <right/>
      <top/>
      <bottom/>
      <diagonal/>
    </border>
    <border>
      <left style="thin">
        <color indexed="64"/>
      </left>
      <right style="thin">
        <color indexed="64"/>
      </right>
      <top style="thin">
        <color indexed="64"/>
      </top>
      <bottom style="thin">
        <color indexed="64"/>
      </bottom>
      <diagonal/>
    </border>
    <border>
      <left/>
      <right/>
      <top/>
      <bottom style="thin">
        <color theme="4" tint="0.3999755851924192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hair">
        <color indexed="64"/>
      </bottom>
      <diagonal/>
    </border>
    <border>
      <left style="medium">
        <color indexed="64"/>
      </left>
      <right style="medium">
        <color indexed="64"/>
      </right>
      <top style="hair">
        <color indexed="64"/>
      </top>
      <bottom style="hair">
        <color indexed="64"/>
      </bottom>
      <diagonal/>
    </border>
    <border>
      <left style="medium">
        <color indexed="64"/>
      </left>
      <right style="medium">
        <color indexed="64"/>
      </right>
      <top/>
      <bottom/>
      <diagonal/>
    </border>
    <border>
      <left style="medium">
        <color indexed="64"/>
      </left>
      <right style="medium">
        <color indexed="64"/>
      </right>
      <top style="hair">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44">
    <xf numFmtId="0" fontId="0" fillId="0" borderId="0"/>
    <xf numFmtId="164" fontId="1" fillId="0" borderId="0" applyFont="0" applyFill="0" applyBorder="0" applyAlignment="0" applyProtection="0"/>
    <xf numFmtId="165" fontId="1" fillId="0" borderId="0" applyFont="0" applyFill="0" applyBorder="0" applyAlignment="0" applyProtection="0"/>
    <xf numFmtId="0" fontId="15" fillId="0" borderId="0" applyNumberFormat="0" applyFill="0" applyBorder="0" applyAlignment="0" applyProtection="0"/>
    <xf numFmtId="0" fontId="16" fillId="0" borderId="11" applyNumberFormat="0" applyFill="0" applyAlignment="0" applyProtection="0"/>
    <xf numFmtId="0" fontId="17" fillId="0" borderId="12" applyNumberFormat="0" applyFill="0" applyAlignment="0" applyProtection="0"/>
    <xf numFmtId="0" fontId="18" fillId="0" borderId="13" applyNumberFormat="0" applyFill="0" applyAlignment="0" applyProtection="0"/>
    <xf numFmtId="0" fontId="18" fillId="0" borderId="0" applyNumberFormat="0" applyFill="0" applyBorder="0" applyAlignment="0" applyProtection="0"/>
    <xf numFmtId="0" fontId="19" fillId="10" borderId="0" applyNumberFormat="0" applyBorder="0" applyAlignment="0" applyProtection="0"/>
    <xf numFmtId="0" fontId="20" fillId="11" borderId="0" applyNumberFormat="0" applyBorder="0" applyAlignment="0" applyProtection="0"/>
    <xf numFmtId="0" fontId="21" fillId="13" borderId="14" applyNumberFormat="0" applyAlignment="0" applyProtection="0"/>
    <xf numFmtId="0" fontId="22" fillId="14" borderId="15" applyNumberFormat="0" applyAlignment="0" applyProtection="0"/>
    <xf numFmtId="0" fontId="23" fillId="14" borderId="14" applyNumberFormat="0" applyAlignment="0" applyProtection="0"/>
    <xf numFmtId="0" fontId="24" fillId="0" borderId="16" applyNumberFormat="0" applyFill="0" applyAlignment="0" applyProtection="0"/>
    <xf numFmtId="0" fontId="25" fillId="15" borderId="17" applyNumberFormat="0" applyAlignment="0" applyProtection="0"/>
    <xf numFmtId="0" fontId="3" fillId="0" borderId="0" applyNumberFormat="0" applyFill="0" applyBorder="0" applyAlignment="0" applyProtection="0"/>
    <xf numFmtId="0" fontId="1" fillId="16" borderId="18" applyNumberFormat="0" applyFont="0" applyAlignment="0" applyProtection="0"/>
    <xf numFmtId="0" fontId="26" fillId="0" borderId="0" applyNumberFormat="0" applyFill="0" applyBorder="0" applyAlignment="0" applyProtection="0"/>
    <xf numFmtId="0" fontId="2" fillId="0" borderId="19" applyNumberFormat="0" applyFill="0" applyAlignment="0" applyProtection="0"/>
    <xf numFmtId="0" fontId="2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2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2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2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27" fillId="33" borderId="0" applyNumberFormat="0" applyBorder="0" applyAlignment="0" applyProtection="0"/>
    <xf numFmtId="0" fontId="1" fillId="34" borderId="0" applyNumberFormat="0" applyBorder="0" applyAlignment="0" applyProtection="0"/>
    <xf numFmtId="0" fontId="1" fillId="35" borderId="0" applyNumberFormat="0" applyBorder="0" applyAlignment="0" applyProtection="0"/>
    <xf numFmtId="0" fontId="27" fillId="37" borderId="0" applyNumberFormat="0" applyBorder="0" applyAlignment="0" applyProtection="0"/>
    <xf numFmtId="0" fontId="1" fillId="38" borderId="0" applyNumberFormat="0" applyBorder="0" applyAlignment="0" applyProtection="0"/>
    <xf numFmtId="0" fontId="1" fillId="39" borderId="0" applyNumberFormat="0" applyBorder="0" applyAlignment="0" applyProtection="0"/>
    <xf numFmtId="0" fontId="28" fillId="12"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cellStyleXfs>
  <cellXfs count="229">
    <xf numFmtId="0" fontId="0" fillId="0" borderId="0" xfId="0"/>
    <xf numFmtId="164" fontId="0" fillId="0" borderId="1" xfId="0" applyNumberFormat="1" applyBorder="1"/>
    <xf numFmtId="0" fontId="0" fillId="0" borderId="1" xfId="0" applyBorder="1"/>
    <xf numFmtId="0" fontId="0" fillId="0" borderId="1" xfId="0" pivotButton="1" applyBorder="1"/>
    <xf numFmtId="0" fontId="0" fillId="0" borderId="1" xfId="0" applyNumberFormat="1" applyBorder="1"/>
    <xf numFmtId="0" fontId="0" fillId="0" borderId="1" xfId="0" applyBorder="1" applyAlignment="1">
      <alignment horizontal="left"/>
    </xf>
    <xf numFmtId="0" fontId="0" fillId="0" borderId="1" xfId="0" pivotButton="1" applyBorder="1" applyAlignment="1">
      <alignment wrapText="1"/>
    </xf>
    <xf numFmtId="0" fontId="0" fillId="0" borderId="1" xfId="0" applyNumberFormat="1" applyBorder="1" applyAlignment="1">
      <alignment wrapText="1"/>
    </xf>
    <xf numFmtId="0" fontId="0" fillId="0" borderId="1" xfId="0" applyNumberFormat="1" applyBorder="1" applyAlignment="1">
      <alignment horizontal="center"/>
    </xf>
    <xf numFmtId="0" fontId="0" fillId="3" borderId="1" xfId="0" applyFill="1" applyBorder="1"/>
    <xf numFmtId="0" fontId="0" fillId="0" borderId="0" xfId="0" applyAlignment="1">
      <alignment horizontal="left"/>
    </xf>
    <xf numFmtId="0" fontId="0" fillId="0" borderId="0" xfId="0" pivotButton="1"/>
    <xf numFmtId="0" fontId="0" fillId="5" borderId="0" xfId="0" applyFill="1"/>
    <xf numFmtId="0" fontId="0" fillId="6" borderId="1" xfId="0" applyFill="1" applyBorder="1"/>
    <xf numFmtId="0" fontId="0" fillId="7" borderId="0" xfId="0" applyFill="1"/>
    <xf numFmtId="0" fontId="0" fillId="2" borderId="0" xfId="0" applyFill="1"/>
    <xf numFmtId="0" fontId="0" fillId="8" borderId="0" xfId="0" applyFill="1"/>
    <xf numFmtId="0" fontId="0" fillId="9" borderId="0" xfId="0" applyFill="1"/>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indent="3"/>
    </xf>
    <xf numFmtId="0" fontId="0" fillId="0" borderId="0" xfId="0" applyAlignment="1">
      <alignment horizontal="left" indent="4"/>
    </xf>
    <xf numFmtId="0" fontId="0" fillId="0" borderId="0" xfId="0" applyAlignment="1">
      <alignment horizontal="left" indent="5"/>
    </xf>
    <xf numFmtId="0" fontId="0" fillId="0" borderId="0" xfId="0" applyAlignment="1">
      <alignment horizontal="left" indent="6"/>
    </xf>
    <xf numFmtId="0" fontId="0" fillId="0" borderId="0" xfId="0" applyAlignment="1">
      <alignment horizontal="left" indent="7"/>
    </xf>
    <xf numFmtId="0" fontId="0" fillId="0" borderId="0" xfId="0" applyAlignment="1">
      <alignment horizontal="left" indent="8"/>
    </xf>
    <xf numFmtId="0" fontId="0" fillId="0" borderId="0" xfId="0" applyAlignment="1">
      <alignment horizontal="left" indent="9"/>
    </xf>
    <xf numFmtId="0" fontId="0" fillId="0" borderId="0" xfId="0" applyAlignment="1">
      <alignment horizontal="left" indent="10"/>
    </xf>
    <xf numFmtId="0" fontId="0" fillId="0" borderId="0" xfId="0" applyAlignment="1">
      <alignment horizontal="left" indent="11"/>
    </xf>
    <xf numFmtId="0" fontId="0" fillId="0" borderId="0" xfId="0" applyAlignment="1">
      <alignment horizontal="left" indent="12"/>
    </xf>
    <xf numFmtId="0" fontId="0" fillId="0" borderId="0" xfId="0" applyAlignment="1">
      <alignment horizontal="left" indent="13"/>
    </xf>
    <xf numFmtId="0" fontId="0" fillId="0" borderId="0" xfId="0" applyAlignment="1">
      <alignment horizontal="left" indent="14"/>
    </xf>
    <xf numFmtId="0" fontId="0" fillId="0" borderId="0" xfId="0" applyAlignment="1">
      <alignment horizontal="left" indent="15"/>
    </xf>
    <xf numFmtId="0" fontId="0" fillId="0" borderId="0" xfId="0" applyAlignment="1">
      <alignment horizontal="left" indent="16"/>
    </xf>
    <xf numFmtId="0" fontId="0" fillId="0" borderId="0" xfId="0" applyAlignment="1">
      <alignment horizontal="left" indent="17"/>
    </xf>
    <xf numFmtId="0" fontId="0" fillId="0" borderId="0" xfId="0" applyAlignment="1">
      <alignment horizontal="left" indent="18"/>
    </xf>
    <xf numFmtId="0" fontId="0" fillId="0" borderId="0" xfId="0" applyAlignment="1">
      <alignment horizontal="left" indent="19"/>
    </xf>
    <xf numFmtId="0" fontId="0" fillId="0" borderId="0" xfId="0" applyAlignment="1">
      <alignment horizontal="left" indent="20"/>
    </xf>
    <xf numFmtId="0" fontId="0" fillId="0" borderId="0" xfId="0" applyAlignment="1">
      <alignment horizontal="left" indent="21"/>
    </xf>
    <xf numFmtId="0" fontId="0" fillId="0" borderId="0" xfId="0" applyAlignment="1">
      <alignment horizontal="left" indent="22"/>
    </xf>
    <xf numFmtId="0" fontId="0" fillId="0" borderId="0" xfId="0" applyAlignment="1">
      <alignment horizontal="left" indent="23"/>
    </xf>
    <xf numFmtId="0" fontId="0" fillId="0" borderId="0" xfId="0" applyAlignment="1">
      <alignment horizontal="left" indent="24"/>
    </xf>
    <xf numFmtId="0" fontId="0" fillId="0" borderId="0" xfId="0" applyAlignment="1">
      <alignment horizontal="left" indent="25"/>
    </xf>
    <xf numFmtId="0" fontId="0" fillId="0" borderId="0" xfId="0" applyAlignment="1">
      <alignment horizontal="left" indent="26"/>
    </xf>
    <xf numFmtId="0" fontId="0" fillId="0" borderId="0" xfId="0" applyAlignment="1">
      <alignment horizontal="left" indent="27"/>
    </xf>
    <xf numFmtId="0" fontId="0" fillId="0" borderId="0" xfId="0" applyAlignment="1">
      <alignment horizontal="left" indent="28"/>
    </xf>
    <xf numFmtId="0" fontId="0" fillId="0" borderId="0" xfId="0" applyAlignment="1">
      <alignment horizontal="left" indent="29"/>
    </xf>
    <xf numFmtId="0" fontId="0" fillId="0" borderId="0" xfId="0" applyAlignment="1">
      <alignment horizontal="left" indent="30"/>
    </xf>
    <xf numFmtId="0" fontId="0" fillId="0" borderId="0" xfId="0" applyAlignment="1">
      <alignment horizontal="left" indent="31"/>
    </xf>
    <xf numFmtId="0" fontId="0" fillId="0" borderId="0" xfId="0" applyAlignment="1">
      <alignment horizontal="left" indent="32"/>
    </xf>
    <xf numFmtId="0" fontId="0" fillId="0" borderId="0" xfId="0" applyAlignment="1">
      <alignment horizontal="left" indent="33"/>
    </xf>
    <xf numFmtId="0" fontId="0" fillId="0" borderId="0" xfId="0" applyAlignment="1">
      <alignment horizontal="left" indent="34"/>
    </xf>
    <xf numFmtId="0" fontId="0" fillId="0" borderId="0" xfId="0" applyAlignment="1">
      <alignment horizontal="left" indent="35"/>
    </xf>
    <xf numFmtId="0" fontId="0" fillId="0" borderId="0" xfId="0" applyAlignment="1">
      <alignment horizontal="left" indent="36"/>
    </xf>
    <xf numFmtId="0" fontId="0" fillId="0" borderId="0" xfId="0" applyAlignment="1">
      <alignment horizontal="left" indent="37"/>
    </xf>
    <xf numFmtId="0" fontId="0" fillId="0" borderId="0" xfId="0" applyAlignment="1">
      <alignment horizontal="left" indent="38"/>
    </xf>
    <xf numFmtId="0" fontId="0" fillId="0" borderId="0" xfId="0" applyAlignment="1">
      <alignment horizontal="left" indent="39"/>
    </xf>
    <xf numFmtId="0" fontId="0" fillId="0" borderId="0" xfId="0" applyAlignment="1">
      <alignment horizontal="left" indent="40"/>
    </xf>
    <xf numFmtId="0" fontId="0" fillId="0" borderId="0" xfId="0" applyAlignment="1">
      <alignment horizontal="left" indent="41"/>
    </xf>
    <xf numFmtId="0" fontId="0" fillId="0" borderId="0" xfId="0" applyAlignment="1">
      <alignment horizontal="left" indent="42"/>
    </xf>
    <xf numFmtId="0" fontId="0" fillId="0" borderId="0" xfId="0" applyAlignment="1">
      <alignment horizontal="left" indent="43"/>
    </xf>
    <xf numFmtId="0" fontId="0" fillId="0" borderId="0" xfId="0" applyAlignment="1">
      <alignment horizontal="left" indent="44"/>
    </xf>
    <xf numFmtId="0" fontId="0" fillId="0" borderId="0" xfId="0" applyAlignment="1">
      <alignment horizontal="left" indent="45"/>
    </xf>
    <xf numFmtId="0" fontId="0" fillId="0" borderId="0" xfId="0" applyAlignment="1">
      <alignment horizontal="left" indent="46"/>
    </xf>
    <xf numFmtId="0" fontId="0" fillId="0" borderId="0" xfId="0" applyAlignment="1">
      <alignment horizontal="left" indent="47"/>
    </xf>
    <xf numFmtId="0" fontId="0" fillId="0" borderId="0" xfId="0" applyAlignment="1">
      <alignment horizontal="left" indent="48"/>
    </xf>
    <xf numFmtId="0" fontId="0" fillId="0" borderId="0" xfId="0" applyAlignment="1">
      <alignment horizontal="left" indent="49"/>
    </xf>
    <xf numFmtId="0" fontId="0" fillId="0" borderId="0" xfId="0" applyAlignment="1">
      <alignment horizontal="left" indent="50"/>
    </xf>
    <xf numFmtId="0" fontId="0" fillId="0" borderId="0" xfId="0" applyAlignment="1">
      <alignment horizontal="left" indent="51"/>
    </xf>
    <xf numFmtId="0" fontId="0" fillId="0" borderId="0" xfId="0" applyAlignment="1">
      <alignment horizontal="left" indent="52"/>
    </xf>
    <xf numFmtId="0" fontId="0" fillId="0" borderId="0" xfId="0" applyAlignment="1">
      <alignment horizontal="left" indent="53"/>
    </xf>
    <xf numFmtId="0" fontId="0" fillId="0" borderId="0" xfId="0" applyAlignment="1">
      <alignment horizontal="left" indent="54"/>
    </xf>
    <xf numFmtId="0" fontId="0" fillId="0" borderId="0" xfId="0" applyAlignment="1">
      <alignment horizontal="left" indent="55"/>
    </xf>
    <xf numFmtId="0" fontId="0" fillId="0" borderId="0" xfId="0" applyAlignment="1">
      <alignment horizontal="left" indent="56"/>
    </xf>
    <xf numFmtId="0" fontId="0" fillId="0" borderId="0" xfId="0" applyAlignment="1">
      <alignment horizontal="left" indent="57"/>
    </xf>
    <xf numFmtId="0" fontId="0" fillId="0" borderId="0" xfId="0" applyAlignment="1">
      <alignment horizontal="left" indent="58"/>
    </xf>
    <xf numFmtId="0" fontId="0" fillId="0" borderId="0" xfId="0" applyAlignment="1">
      <alignment horizontal="left" indent="59"/>
    </xf>
    <xf numFmtId="0" fontId="0" fillId="0" borderId="0" xfId="0" applyAlignment="1">
      <alignment horizontal="left" indent="60"/>
    </xf>
    <xf numFmtId="0" fontId="0" fillId="0" borderId="0" xfId="0" applyAlignment="1">
      <alignment horizontal="left" indent="61"/>
    </xf>
    <xf numFmtId="0" fontId="0" fillId="0" borderId="0" xfId="0" applyAlignment="1">
      <alignment horizontal="left" indent="62"/>
    </xf>
    <xf numFmtId="0" fontId="0" fillId="0" borderId="0" xfId="0" applyAlignment="1">
      <alignment horizontal="left" indent="63"/>
    </xf>
    <xf numFmtId="0" fontId="0" fillId="0" borderId="0" xfId="0" applyAlignment="1">
      <alignment horizontal="left" indent="64"/>
    </xf>
    <xf numFmtId="0" fontId="0" fillId="0" borderId="0" xfId="0" applyAlignment="1">
      <alignment horizontal="left" indent="65"/>
    </xf>
    <xf numFmtId="0" fontId="0" fillId="0" borderId="0" xfId="0" applyAlignment="1">
      <alignment horizontal="left" indent="66"/>
    </xf>
    <xf numFmtId="0" fontId="0" fillId="0" borderId="0" xfId="0" applyAlignment="1">
      <alignment horizontal="left" indent="67"/>
    </xf>
    <xf numFmtId="0" fontId="0" fillId="0" borderId="0" xfId="0" applyAlignment="1">
      <alignment horizontal="left" indent="68"/>
    </xf>
    <xf numFmtId="0" fontId="0" fillId="0" borderId="0" xfId="0" applyAlignment="1">
      <alignment horizontal="left" indent="69"/>
    </xf>
    <xf numFmtId="0" fontId="0" fillId="0" borderId="0" xfId="0" applyAlignment="1">
      <alignment horizontal="left" indent="70"/>
    </xf>
    <xf numFmtId="0" fontId="0" fillId="0" borderId="0" xfId="0" applyAlignment="1">
      <alignment horizontal="left" indent="71"/>
    </xf>
    <xf numFmtId="0" fontId="0" fillId="0" borderId="0" xfId="0" applyAlignment="1">
      <alignment horizontal="left" indent="72"/>
    </xf>
    <xf numFmtId="0" fontId="0" fillId="0" borderId="0" xfId="0" applyAlignment="1">
      <alignment horizontal="left" indent="73"/>
    </xf>
    <xf numFmtId="0" fontId="4" fillId="0" borderId="0" xfId="0" applyFont="1" applyAlignment="1">
      <alignment horizontal="center" vertical="center"/>
    </xf>
    <xf numFmtId="167" fontId="4" fillId="0" borderId="0" xfId="0" applyNumberFormat="1" applyFont="1" applyAlignment="1">
      <alignment horizontal="center" vertical="center"/>
    </xf>
    <xf numFmtId="0" fontId="4" fillId="0" borderId="0" xfId="0" applyFont="1" applyAlignment="1">
      <alignment vertical="center"/>
    </xf>
    <xf numFmtId="0" fontId="4" fillId="0" borderId="0" xfId="0" applyFont="1" applyAlignment="1">
      <alignment horizontal="left" vertical="center" wrapText="1"/>
    </xf>
    <xf numFmtId="168" fontId="4" fillId="0" borderId="0" xfId="0" applyNumberFormat="1" applyFont="1" applyAlignment="1">
      <alignment horizontal="left" vertical="center"/>
    </xf>
    <xf numFmtId="168" fontId="7" fillId="0" borderId="6" xfId="0" applyNumberFormat="1" applyFont="1" applyBorder="1" applyAlignment="1">
      <alignment horizontal="center" vertical="center" wrapText="1"/>
    </xf>
    <xf numFmtId="0" fontId="7" fillId="0" borderId="6" xfId="0" applyFont="1" applyBorder="1" applyAlignment="1">
      <alignment horizontal="center" vertical="center" wrapText="1"/>
    </xf>
    <xf numFmtId="1" fontId="7" fillId="0" borderId="6" xfId="0" applyNumberFormat="1" applyFont="1" applyBorder="1" applyAlignment="1">
      <alignment horizontal="center" vertical="center" wrapText="1"/>
    </xf>
    <xf numFmtId="169" fontId="7" fillId="0" borderId="6" xfId="0" applyNumberFormat="1" applyFont="1" applyBorder="1" applyAlignment="1">
      <alignment horizontal="center" vertical="center" wrapText="1"/>
    </xf>
    <xf numFmtId="168" fontId="8" fillId="0" borderId="7" xfId="0" applyNumberFormat="1" applyFont="1" applyBorder="1" applyAlignment="1">
      <alignment horizontal="center" vertical="center" wrapText="1"/>
    </xf>
    <xf numFmtId="0" fontId="9" fillId="0" borderId="8" xfId="0" applyFont="1" applyBorder="1" applyAlignment="1">
      <alignment horizontal="center" vertical="center" wrapText="1"/>
    </xf>
    <xf numFmtId="0" fontId="10" fillId="0" borderId="8" xfId="0" applyFont="1" applyBorder="1" applyAlignment="1">
      <alignment horizontal="left" vertical="center" wrapText="1"/>
    </xf>
    <xf numFmtId="0" fontId="11" fillId="0" borderId="8" xfId="0" applyFont="1" applyBorder="1" applyAlignment="1">
      <alignment horizontal="center" vertical="center" wrapText="1"/>
    </xf>
    <xf numFmtId="1" fontId="11" fillId="0" borderId="8" xfId="0" applyNumberFormat="1" applyFont="1" applyBorder="1" applyAlignment="1">
      <alignment horizontal="center" vertical="center" wrapText="1"/>
    </xf>
    <xf numFmtId="167" fontId="8" fillId="0" borderId="8" xfId="0" applyNumberFormat="1" applyFont="1" applyBorder="1" applyAlignment="1" applyProtection="1">
      <alignment horizontal="center" vertical="center" wrapText="1"/>
      <protection locked="0"/>
    </xf>
    <xf numFmtId="167" fontId="8" fillId="0" borderId="8" xfId="1" applyNumberFormat="1" applyFont="1" applyFill="1" applyBorder="1" applyAlignment="1" applyProtection="1">
      <alignment horizontal="center" vertical="center" wrapText="1"/>
      <protection locked="0"/>
    </xf>
    <xf numFmtId="0" fontId="4" fillId="0" borderId="8" xfId="0" applyFont="1" applyBorder="1" applyAlignment="1">
      <alignment horizontal="center" vertical="center" wrapText="1"/>
    </xf>
    <xf numFmtId="0" fontId="4" fillId="0" borderId="8" xfId="0" applyFont="1" applyBorder="1" applyAlignment="1">
      <alignment horizontal="left" vertical="center" wrapText="1"/>
    </xf>
    <xf numFmtId="1" fontId="4" fillId="0" borderId="8" xfId="0" applyNumberFormat="1" applyFont="1" applyBorder="1" applyAlignment="1">
      <alignment horizontal="center" vertical="center" wrapText="1"/>
    </xf>
    <xf numFmtId="0" fontId="5" fillId="0" borderId="8" xfId="0" applyFont="1" applyBorder="1" applyAlignment="1">
      <alignment horizontal="center" vertical="center" wrapText="1"/>
    </xf>
    <xf numFmtId="0" fontId="5" fillId="0" borderId="8" xfId="0" applyFont="1" applyBorder="1" applyAlignment="1">
      <alignment horizontal="left" vertical="center" wrapText="1"/>
    </xf>
    <xf numFmtId="0" fontId="6" fillId="0" borderId="8" xfId="0" applyFont="1" applyBorder="1" applyAlignment="1">
      <alignment horizontal="left" vertical="center" wrapText="1"/>
    </xf>
    <xf numFmtId="170" fontId="12" fillId="0" borderId="0" xfId="2" applyNumberFormat="1" applyFont="1" applyAlignment="1">
      <alignment vertical="center"/>
    </xf>
    <xf numFmtId="2" fontId="7" fillId="0" borderId="6" xfId="0" applyNumberFormat="1" applyFont="1" applyBorder="1" applyAlignment="1">
      <alignment horizontal="center" vertical="center" wrapText="1"/>
    </xf>
    <xf numFmtId="0" fontId="7" fillId="0" borderId="6" xfId="0" applyFont="1" applyBorder="1" applyAlignment="1">
      <alignment horizontal="center" vertical="center"/>
    </xf>
    <xf numFmtId="169" fontId="7" fillId="0" borderId="6" xfId="0" applyNumberFormat="1" applyFont="1" applyBorder="1" applyAlignment="1">
      <alignment horizontal="center" vertical="center"/>
    </xf>
    <xf numFmtId="169" fontId="7" fillId="0" borderId="6" xfId="1" applyNumberFormat="1" applyFont="1" applyBorder="1" applyAlignment="1" applyProtection="1">
      <alignment horizontal="right" vertical="center"/>
      <protection locked="0"/>
    </xf>
    <xf numFmtId="0" fontId="13" fillId="0" borderId="9" xfId="0" applyFont="1" applyBorder="1" applyAlignment="1">
      <alignment horizontal="left" vertical="center"/>
    </xf>
    <xf numFmtId="169" fontId="7" fillId="0" borderId="9" xfId="1" applyNumberFormat="1" applyFont="1" applyBorder="1" applyAlignment="1" applyProtection="1">
      <alignment horizontal="right" vertical="center"/>
      <protection locked="0"/>
    </xf>
    <xf numFmtId="0" fontId="0" fillId="0" borderId="0" xfId="0" applyAlignment="1">
      <alignment horizontal="left" indent="74"/>
    </xf>
    <xf numFmtId="0" fontId="0" fillId="0" borderId="0" xfId="0" applyAlignment="1">
      <alignment horizontal="left" indent="75"/>
    </xf>
    <xf numFmtId="0" fontId="0" fillId="0" borderId="0" xfId="0" applyAlignment="1">
      <alignment horizontal="left" indent="76"/>
    </xf>
    <xf numFmtId="0" fontId="0" fillId="0" borderId="0" xfId="0" applyAlignment="1">
      <alignment horizontal="left" indent="77"/>
    </xf>
    <xf numFmtId="0" fontId="0" fillId="0" borderId="0" xfId="0" applyAlignment="1">
      <alignment horizontal="left" indent="78"/>
    </xf>
    <xf numFmtId="0" fontId="0" fillId="0" borderId="0" xfId="0" applyAlignment="1">
      <alignment horizontal="left" indent="79"/>
    </xf>
    <xf numFmtId="0" fontId="0" fillId="0" borderId="0" xfId="0" applyAlignment="1">
      <alignment horizontal="left" indent="80"/>
    </xf>
    <xf numFmtId="0" fontId="0" fillId="0" borderId="0" xfId="0" applyAlignment="1">
      <alignment horizontal="left" indent="81"/>
    </xf>
    <xf numFmtId="0" fontId="0" fillId="0" borderId="0" xfId="0" applyAlignment="1">
      <alignment horizontal="left" indent="82"/>
    </xf>
    <xf numFmtId="0" fontId="0" fillId="0" borderId="0" xfId="0" applyAlignment="1">
      <alignment horizontal="left" indent="83"/>
    </xf>
    <xf numFmtId="0" fontId="0" fillId="0" borderId="0" xfId="0" applyAlignment="1">
      <alignment horizontal="left" indent="84"/>
    </xf>
    <xf numFmtId="0" fontId="0" fillId="0" borderId="0" xfId="0" applyAlignment="1">
      <alignment horizontal="left" indent="85"/>
    </xf>
    <xf numFmtId="0" fontId="0" fillId="0" borderId="0" xfId="0" applyAlignment="1">
      <alignment horizontal="left" indent="86"/>
    </xf>
    <xf numFmtId="0" fontId="0" fillId="0" borderId="0" xfId="0" applyAlignment="1">
      <alignment horizontal="left" indent="87"/>
    </xf>
    <xf numFmtId="0" fontId="0" fillId="0" borderId="0" xfId="0" applyAlignment="1">
      <alignment horizontal="left" indent="88"/>
    </xf>
    <xf numFmtId="0" fontId="0" fillId="0" borderId="0" xfId="0" applyAlignment="1">
      <alignment horizontal="left" indent="89"/>
    </xf>
    <xf numFmtId="0" fontId="0" fillId="0" borderId="0" xfId="0" applyAlignment="1">
      <alignment horizontal="left" indent="90"/>
    </xf>
    <xf numFmtId="0" fontId="0" fillId="0" borderId="0" xfId="0" applyAlignment="1">
      <alignment horizontal="left" indent="91"/>
    </xf>
    <xf numFmtId="0" fontId="0" fillId="0" borderId="0" xfId="0" applyAlignment="1">
      <alignment horizontal="left" indent="92"/>
    </xf>
    <xf numFmtId="0" fontId="0" fillId="0" borderId="0" xfId="0" applyAlignment="1">
      <alignment horizontal="left" indent="93"/>
    </xf>
    <xf numFmtId="0" fontId="5" fillId="4" borderId="1" xfId="0" applyFont="1" applyFill="1" applyBorder="1" applyAlignment="1">
      <alignment horizontal="center" vertical="center"/>
    </xf>
    <xf numFmtId="167" fontId="5" fillId="4" borderId="1" xfId="0" applyNumberFormat="1" applyFont="1" applyFill="1" applyBorder="1" applyAlignment="1">
      <alignment horizontal="center" vertical="center"/>
    </xf>
    <xf numFmtId="0" fontId="5" fillId="4" borderId="1" xfId="0" applyFont="1" applyFill="1" applyBorder="1" applyAlignment="1">
      <alignment horizontal="left" vertical="center"/>
    </xf>
    <xf numFmtId="0" fontId="4" fillId="0" borderId="0" xfId="0" applyFont="1" applyAlignment="1">
      <alignment horizontal="left" vertical="center"/>
    </xf>
    <xf numFmtId="0" fontId="5" fillId="0" borderId="0" xfId="0" applyFont="1" applyBorder="1" applyAlignment="1">
      <alignment vertical="center"/>
    </xf>
    <xf numFmtId="0" fontId="5" fillId="4" borderId="1" xfId="0" applyFont="1" applyFill="1" applyBorder="1" applyAlignment="1">
      <alignment vertical="center"/>
    </xf>
    <xf numFmtId="0" fontId="5" fillId="0" borderId="2" xfId="0" applyFont="1" applyBorder="1" applyAlignment="1">
      <alignment vertical="center"/>
    </xf>
    <xf numFmtId="0" fontId="5" fillId="0" borderId="0" xfId="0" applyFont="1" applyAlignment="1">
      <alignment vertical="center"/>
    </xf>
    <xf numFmtId="0" fontId="5" fillId="4" borderId="1" xfId="0" applyFont="1" applyFill="1" applyBorder="1" applyAlignment="1">
      <alignment horizontal="left" vertical="center" wrapText="1"/>
    </xf>
    <xf numFmtId="0" fontId="5" fillId="0" borderId="0" xfId="0" applyFont="1" applyAlignment="1">
      <alignment horizontal="left" vertical="center" wrapText="1"/>
    </xf>
    <xf numFmtId="0" fontId="5" fillId="0" borderId="0" xfId="0" applyFont="1" applyAlignment="1">
      <alignment horizontal="center" vertical="center"/>
    </xf>
    <xf numFmtId="167" fontId="5" fillId="0" borderId="0" xfId="0" applyNumberFormat="1" applyFont="1" applyAlignment="1">
      <alignment horizontal="center" vertical="center"/>
    </xf>
    <xf numFmtId="0" fontId="4" fillId="0" borderId="8" xfId="0" applyFont="1" applyBorder="1" applyAlignment="1">
      <alignment vertical="center" wrapText="1"/>
    </xf>
    <xf numFmtId="0" fontId="4" fillId="0" borderId="8" xfId="0" applyFont="1" applyBorder="1" applyAlignment="1">
      <alignment horizontal="left" vertical="top" wrapText="1"/>
    </xf>
    <xf numFmtId="0" fontId="4" fillId="0" borderId="8" xfId="0" applyFont="1" applyFill="1" applyBorder="1" applyAlignment="1">
      <alignment horizontal="center" vertical="center" wrapText="1"/>
    </xf>
    <xf numFmtId="0" fontId="4" fillId="0" borderId="8" xfId="0" applyFont="1" applyFill="1" applyBorder="1" applyAlignment="1">
      <alignment horizontal="left" vertical="center" wrapText="1"/>
    </xf>
    <xf numFmtId="1" fontId="4" fillId="0" borderId="8" xfId="0" applyNumberFormat="1" applyFont="1" applyFill="1" applyBorder="1" applyAlignment="1">
      <alignment horizontal="center" vertical="center" wrapText="1"/>
    </xf>
    <xf numFmtId="167" fontId="8" fillId="0" borderId="8" xfId="0" applyNumberFormat="1" applyFont="1" applyFill="1" applyBorder="1" applyAlignment="1" applyProtection="1">
      <alignment horizontal="center" vertical="center" wrapText="1"/>
      <protection locked="0"/>
    </xf>
    <xf numFmtId="0" fontId="6" fillId="0" borderId="8" xfId="0" applyFont="1" applyFill="1" applyBorder="1" applyAlignment="1">
      <alignment horizontal="left" vertical="center" wrapText="1"/>
    </xf>
    <xf numFmtId="0" fontId="5" fillId="0" borderId="8" xfId="0" applyFont="1" applyFill="1" applyBorder="1" applyAlignment="1">
      <alignment horizontal="center" vertical="center" wrapText="1"/>
    </xf>
    <xf numFmtId="168" fontId="8" fillId="0" borderId="7" xfId="0" applyNumberFormat="1" applyFont="1" applyFill="1" applyBorder="1" applyAlignment="1">
      <alignment horizontal="center" vertical="center" wrapText="1"/>
    </xf>
    <xf numFmtId="0" fontId="14" fillId="0" borderId="8" xfId="0" applyFont="1" applyBorder="1" applyAlignment="1">
      <alignment horizontal="left" vertical="center" wrapText="1"/>
    </xf>
    <xf numFmtId="0" fontId="8" fillId="0" borderId="8" xfId="0" applyFont="1" applyBorder="1" applyAlignment="1">
      <alignment horizontal="left" vertical="center" wrapText="1"/>
    </xf>
    <xf numFmtId="0" fontId="4" fillId="0" borderId="10" xfId="0" applyFont="1" applyBorder="1" applyAlignment="1">
      <alignment horizontal="center" vertical="center" wrapText="1"/>
    </xf>
    <xf numFmtId="0" fontId="4" fillId="0" borderId="10" xfId="0" applyFont="1" applyBorder="1" applyAlignment="1">
      <alignment horizontal="left" vertical="center" wrapText="1"/>
    </xf>
    <xf numFmtId="1" fontId="4" fillId="0" borderId="10" xfId="0" applyNumberFormat="1" applyFont="1" applyBorder="1" applyAlignment="1">
      <alignment horizontal="center" vertical="center" wrapText="1"/>
    </xf>
    <xf numFmtId="167" fontId="8" fillId="0" borderId="10" xfId="0" applyNumberFormat="1" applyFont="1" applyBorder="1" applyAlignment="1" applyProtection="1">
      <alignment horizontal="center" vertical="center" wrapText="1"/>
      <protection locked="0"/>
    </xf>
    <xf numFmtId="0" fontId="4" fillId="0" borderId="7" xfId="0" applyFont="1" applyBorder="1" applyAlignment="1">
      <alignment horizontal="center" vertical="center" wrapText="1"/>
    </xf>
    <xf numFmtId="0" fontId="4" fillId="0" borderId="7" xfId="0" applyFont="1" applyBorder="1" applyAlignment="1">
      <alignment horizontal="left" vertical="center" wrapText="1"/>
    </xf>
    <xf numFmtId="1" fontId="4" fillId="0" borderId="7" xfId="0" applyNumberFormat="1" applyFont="1" applyBorder="1" applyAlignment="1">
      <alignment horizontal="center" vertical="center" wrapText="1"/>
    </xf>
    <xf numFmtId="167" fontId="8" fillId="0" borderId="7" xfId="0" applyNumberFormat="1" applyFont="1" applyBorder="1" applyAlignment="1" applyProtection="1">
      <alignment horizontal="center" vertical="center" wrapText="1"/>
      <protection locked="0"/>
    </xf>
    <xf numFmtId="4" fontId="7" fillId="0" borderId="6" xfId="0" applyNumberFormat="1" applyFont="1" applyBorder="1" applyAlignment="1">
      <alignment horizontal="left" vertical="center"/>
    </xf>
    <xf numFmtId="0" fontId="13" fillId="0" borderId="6" xfId="0" applyFont="1" applyBorder="1" applyAlignment="1">
      <alignment horizontal="left" vertical="center"/>
    </xf>
    <xf numFmtId="4" fontId="7" fillId="0" borderId="3" xfId="0" applyNumberFormat="1" applyFont="1" applyBorder="1" applyAlignment="1">
      <alignment horizontal="left" vertical="center"/>
    </xf>
    <xf numFmtId="4" fontId="7" fillId="0" borderId="4" xfId="0" applyNumberFormat="1" applyFont="1" applyBorder="1" applyAlignment="1">
      <alignment horizontal="left" vertical="center"/>
    </xf>
    <xf numFmtId="4" fontId="7" fillId="0" borderId="5" xfId="0" applyNumberFormat="1" applyFont="1" applyBorder="1" applyAlignment="1">
      <alignment horizontal="left" vertical="center"/>
    </xf>
    <xf numFmtId="0" fontId="33" fillId="0" borderId="8" xfId="0" applyFont="1" applyBorder="1" applyAlignment="1">
      <alignment horizontal="left" vertical="center" wrapText="1"/>
    </xf>
    <xf numFmtId="2" fontId="35" fillId="0" borderId="23" xfId="0" applyNumberFormat="1" applyFont="1" applyFill="1" applyBorder="1" applyAlignment="1">
      <alignment horizontal="center" vertical="top"/>
    </xf>
    <xf numFmtId="0" fontId="31" fillId="0" borderId="8" xfId="0" applyFont="1" applyBorder="1" applyAlignment="1">
      <alignment horizontal="left" vertical="center" wrapText="1"/>
    </xf>
    <xf numFmtId="0" fontId="30" fillId="0" borderId="8" xfId="0" applyFont="1" applyBorder="1" applyAlignment="1">
      <alignment horizontal="left" vertical="center" wrapText="1"/>
    </xf>
    <xf numFmtId="0" fontId="11" fillId="0" borderId="8" xfId="0" applyFont="1" applyFill="1" applyBorder="1" applyAlignment="1">
      <alignment horizontal="left" vertical="center" wrapText="1"/>
    </xf>
    <xf numFmtId="169" fontId="34" fillId="0" borderId="0" xfId="0" applyNumberFormat="1" applyFont="1" applyBorder="1" applyAlignment="1">
      <alignment horizontal="center" vertical="center"/>
    </xf>
    <xf numFmtId="0" fontId="32" fillId="0" borderId="8" xfId="0" applyFont="1" applyBorder="1" applyAlignment="1">
      <alignment horizontal="left" vertical="center" wrapText="1"/>
    </xf>
    <xf numFmtId="0" fontId="34" fillId="0" borderId="0" xfId="0" applyFont="1" applyBorder="1" applyAlignment="1">
      <alignment horizontal="center" vertical="center" wrapText="1"/>
    </xf>
    <xf numFmtId="0" fontId="11" fillId="0" borderId="10" xfId="0" applyFont="1" applyFill="1" applyBorder="1" applyAlignment="1">
      <alignment horizontal="left" vertical="center" wrapText="1"/>
    </xf>
    <xf numFmtId="0" fontId="29" fillId="0" borderId="6" xfId="0" applyFont="1" applyBorder="1" applyAlignment="1">
      <alignment horizontal="center" vertical="center"/>
    </xf>
    <xf numFmtId="169" fontId="34" fillId="0" borderId="6" xfId="1" applyNumberFormat="1" applyFont="1" applyFill="1" applyBorder="1" applyAlignment="1" applyProtection="1">
      <alignment horizontal="right" vertical="center" wrapText="1"/>
      <protection locked="0"/>
    </xf>
    <xf numFmtId="0" fontId="34" fillId="0" borderId="0" xfId="0" applyFont="1" applyBorder="1" applyAlignment="1">
      <alignment horizontal="center" vertical="center"/>
    </xf>
    <xf numFmtId="169" fontId="34" fillId="0" borderId="0" xfId="0" applyNumberFormat="1" applyFont="1" applyBorder="1" applyAlignment="1">
      <alignment horizontal="center" vertical="center" wrapText="1"/>
    </xf>
    <xf numFmtId="0" fontId="36" fillId="0" borderId="7" xfId="0" applyFont="1" applyBorder="1" applyAlignment="1">
      <alignment vertical="center"/>
    </xf>
    <xf numFmtId="0" fontId="29" fillId="0" borderId="6" xfId="0" applyFont="1" applyBorder="1" applyAlignment="1">
      <alignment horizontal="left" vertical="center" wrapText="1"/>
    </xf>
    <xf numFmtId="2" fontId="35" fillId="0" borderId="20" xfId="0" applyNumberFormat="1" applyFont="1" applyFill="1" applyBorder="1" applyAlignment="1">
      <alignment horizontal="center" vertical="top"/>
    </xf>
    <xf numFmtId="169" fontId="12" fillId="0" borderId="8" xfId="2" applyNumberFormat="1" applyFont="1" applyFill="1" applyBorder="1" applyAlignment="1" applyProtection="1">
      <alignment horizontal="right" vertical="center"/>
      <protection locked="0"/>
    </xf>
    <xf numFmtId="0" fontId="0" fillId="0" borderId="21" xfId="0" applyBorder="1" applyAlignment="1">
      <alignment horizontal="center"/>
    </xf>
    <xf numFmtId="169" fontId="34" fillId="0" borderId="0" xfId="1" applyNumberFormat="1" applyFont="1" applyBorder="1" applyAlignment="1" applyProtection="1">
      <alignment horizontal="right" vertical="center"/>
      <protection locked="0"/>
    </xf>
    <xf numFmtId="0" fontId="0" fillId="0" borderId="24" xfId="0" applyBorder="1" applyAlignment="1">
      <alignment horizontal="center" vertical="center"/>
    </xf>
    <xf numFmtId="4" fontId="34" fillId="0" borderId="0" xfId="0" applyNumberFormat="1" applyFont="1" applyBorder="1" applyAlignment="1">
      <alignment horizontal="left" vertical="center"/>
    </xf>
    <xf numFmtId="0" fontId="36" fillId="0" borderId="8" xfId="0" applyFont="1" applyBorder="1" applyAlignment="1">
      <alignment vertical="center" wrapText="1"/>
    </xf>
    <xf numFmtId="169" fontId="0" fillId="0" borderId="25" xfId="0" applyNumberFormat="1" applyBorder="1" applyAlignment="1">
      <alignment horizontal="right"/>
    </xf>
    <xf numFmtId="0" fontId="0" fillId="0" borderId="24" xfId="0" applyBorder="1" applyAlignment="1">
      <alignment horizontal="center"/>
    </xf>
    <xf numFmtId="169" fontId="12" fillId="0" borderId="10" xfId="2" applyNumberFormat="1" applyFont="1" applyFill="1" applyBorder="1" applyAlignment="1" applyProtection="1">
      <alignment horizontal="right" vertical="center" wrapText="1"/>
      <protection locked="0"/>
    </xf>
    <xf numFmtId="169" fontId="12" fillId="0" borderId="8" xfId="1" applyNumberFormat="1" applyFont="1" applyFill="1" applyBorder="1" applyAlignment="1" applyProtection="1">
      <alignment horizontal="right" vertical="center" wrapText="1"/>
      <protection locked="0"/>
    </xf>
    <xf numFmtId="0" fontId="2" fillId="0" borderId="0" xfId="0" applyFont="1" applyBorder="1" applyAlignment="1">
      <alignment horizontal="left" vertical="center"/>
    </xf>
    <xf numFmtId="0" fontId="35" fillId="0" borderId="6" xfId="0" applyFont="1" applyFill="1" applyBorder="1" applyAlignment="1">
      <alignment horizontal="center" vertical="center"/>
    </xf>
    <xf numFmtId="0" fontId="0" fillId="0" borderId="22" xfId="0" applyBorder="1" applyAlignment="1">
      <alignment horizontal="center"/>
    </xf>
    <xf numFmtId="169" fontId="11" fillId="0" borderId="7" xfId="0" applyNumberFormat="1" applyFont="1" applyFill="1" applyBorder="1" applyAlignment="1" applyProtection="1">
      <alignment horizontal="right" vertical="center"/>
      <protection locked="0"/>
    </xf>
    <xf numFmtId="169" fontId="0" fillId="0" borderId="24" xfId="0" applyNumberFormat="1" applyBorder="1" applyAlignment="1">
      <alignment horizontal="right"/>
    </xf>
    <xf numFmtId="2" fontId="34" fillId="0" borderId="0" xfId="0" applyNumberFormat="1" applyFont="1" applyBorder="1" applyAlignment="1">
      <alignment horizontal="center" vertical="center" wrapText="1"/>
    </xf>
    <xf numFmtId="0" fontId="35" fillId="0" borderId="6" xfId="0" applyFont="1" applyFill="1" applyBorder="1" applyAlignment="1">
      <alignment horizontal="left" vertical="center" wrapText="1"/>
    </xf>
    <xf numFmtId="0" fontId="36" fillId="0" borderId="8" xfId="0" applyFont="1" applyBorder="1" applyAlignment="1">
      <alignment vertical="center"/>
    </xf>
    <xf numFmtId="0" fontId="36" fillId="0" borderId="7" xfId="0" applyFont="1" applyBorder="1" applyAlignment="1">
      <alignment horizontal="left" vertical="center" wrapText="1"/>
    </xf>
    <xf numFmtId="0" fontId="36" fillId="0" borderId="8" xfId="0" applyFont="1" applyBorder="1" applyAlignment="1">
      <alignment horizontal="center" vertical="center" wrapText="1"/>
    </xf>
    <xf numFmtId="169" fontId="12" fillId="0" borderId="10" xfId="1" applyNumberFormat="1" applyFont="1" applyFill="1" applyBorder="1" applyAlignment="1" applyProtection="1">
      <alignment horizontal="right" vertical="center"/>
      <protection locked="0"/>
    </xf>
    <xf numFmtId="169" fontId="12" fillId="0" borderId="8" xfId="1" applyNumberFormat="1" applyFont="1" applyFill="1" applyBorder="1" applyAlignment="1" applyProtection="1">
      <alignment horizontal="right" vertical="center"/>
      <protection locked="0"/>
    </xf>
    <xf numFmtId="0" fontId="11" fillId="0" borderId="7" xfId="0" applyFont="1" applyFill="1" applyBorder="1" applyAlignment="1">
      <alignment horizontal="left" vertical="center" wrapText="1"/>
    </xf>
    <xf numFmtId="0" fontId="11" fillId="0" borderId="8" xfId="0" applyFont="1" applyFill="1" applyBorder="1" applyAlignment="1">
      <alignment horizontal="center" vertical="center" wrapText="1"/>
    </xf>
    <xf numFmtId="0" fontId="36" fillId="0" borderId="10" xfId="0" applyFont="1" applyBorder="1" applyAlignment="1">
      <alignment vertical="center"/>
    </xf>
    <xf numFmtId="0" fontId="36" fillId="0" borderId="8" xfId="0" applyFont="1" applyFill="1" applyBorder="1" applyAlignment="1">
      <alignment vertical="center"/>
    </xf>
    <xf numFmtId="169" fontId="35" fillId="0" borderId="6" xfId="0" applyNumberFormat="1" applyFont="1" applyFill="1" applyBorder="1" applyAlignment="1">
      <alignment horizontal="center" vertical="center" wrapText="1"/>
    </xf>
    <xf numFmtId="169" fontId="12" fillId="0" borderId="7" xfId="1" applyNumberFormat="1" applyFont="1" applyFill="1" applyBorder="1" applyAlignment="1" applyProtection="1">
      <alignment horizontal="right" vertical="center" wrapText="1"/>
      <protection locked="0"/>
    </xf>
    <xf numFmtId="0" fontId="36" fillId="0" borderId="10" xfId="0" applyFont="1" applyBorder="1" applyAlignment="1">
      <alignment horizontal="left" vertical="center" wrapText="1"/>
    </xf>
    <xf numFmtId="0" fontId="36" fillId="0" borderId="8" xfId="0" applyFont="1" applyBorder="1" applyAlignment="1">
      <alignment horizontal="left" vertical="center" wrapText="1"/>
    </xf>
    <xf numFmtId="164" fontId="35" fillId="0" borderId="6" xfId="1" applyFont="1" applyFill="1" applyBorder="1" applyAlignment="1">
      <alignment horizontal="left" vertical="center"/>
    </xf>
    <xf numFmtId="0" fontId="36" fillId="0" borderId="6" xfId="0" applyFont="1" applyBorder="1" applyAlignment="1">
      <alignment vertical="center"/>
    </xf>
    <xf numFmtId="169" fontId="34" fillId="0" borderId="6" xfId="1" applyNumberFormat="1" applyFont="1" applyFill="1" applyBorder="1" applyAlignment="1" applyProtection="1">
      <alignment horizontal="right" vertical="center"/>
      <protection locked="0"/>
    </xf>
    <xf numFmtId="0" fontId="11" fillId="0" borderId="0" xfId="0" applyFont="1" applyFill="1" applyBorder="1" applyAlignment="1">
      <alignment horizontal="left" vertical="center" wrapText="1"/>
    </xf>
    <xf numFmtId="0" fontId="36" fillId="0" borderId="0" xfId="0" applyFont="1" applyBorder="1" applyAlignment="1">
      <alignment horizontal="left" vertical="center" wrapText="1"/>
    </xf>
    <xf numFmtId="0" fontId="36" fillId="0" borderId="0" xfId="0" applyFont="1" applyBorder="1" applyAlignment="1">
      <alignment vertical="center"/>
    </xf>
    <xf numFmtId="169" fontId="11" fillId="0" borderId="0" xfId="0" applyNumberFormat="1" applyFont="1" applyFill="1" applyBorder="1" applyAlignment="1" applyProtection="1">
      <alignment horizontal="right" vertical="center" wrapText="1"/>
      <protection locked="0"/>
    </xf>
  </cellXfs>
  <cellStyles count="44">
    <cellStyle name="20% - Accent1" xfId="20" builtinId="30" customBuiltin="1"/>
    <cellStyle name="20% - Accent2" xfId="23" builtinId="34" customBuiltin="1"/>
    <cellStyle name="20% - Accent3" xfId="26" builtinId="38" customBuiltin="1"/>
    <cellStyle name="20% - Accent4" xfId="29" builtinId="42" customBuiltin="1"/>
    <cellStyle name="20% - Accent5" xfId="32" builtinId="46" customBuiltin="1"/>
    <cellStyle name="20% - Accent6" xfId="35" builtinId="50" customBuiltin="1"/>
    <cellStyle name="40% - Accent1" xfId="21" builtinId="31" customBuiltin="1"/>
    <cellStyle name="40% - Accent2" xfId="24" builtinId="35" customBuiltin="1"/>
    <cellStyle name="40% - Accent3" xfId="27" builtinId="39" customBuiltin="1"/>
    <cellStyle name="40% - Accent4" xfId="30" builtinId="43" customBuiltin="1"/>
    <cellStyle name="40% - Accent5" xfId="33" builtinId="47" customBuiltin="1"/>
    <cellStyle name="40% - Accent6" xfId="36" builtinId="51" customBuiltin="1"/>
    <cellStyle name="60% - Accent1 2" xfId="38"/>
    <cellStyle name="60% - Accent2 2" xfId="39"/>
    <cellStyle name="60% - Accent3 2" xfId="40"/>
    <cellStyle name="60% - Accent4 2" xfId="41"/>
    <cellStyle name="60% - Accent5 2" xfId="42"/>
    <cellStyle name="60% - Accent6 2" xfId="43"/>
    <cellStyle name="Accent1" xfId="19" builtinId="29" customBuiltin="1"/>
    <cellStyle name="Accent2" xfId="22" builtinId="33" customBuiltin="1"/>
    <cellStyle name="Accent3" xfId="25" builtinId="37" customBuiltin="1"/>
    <cellStyle name="Accent4" xfId="28" builtinId="41" customBuiltin="1"/>
    <cellStyle name="Accent5" xfId="31" builtinId="45" customBuiltin="1"/>
    <cellStyle name="Accent6" xfId="34" builtinId="49" customBuiltin="1"/>
    <cellStyle name="Bad" xfId="9" builtinId="27" customBuiltin="1"/>
    <cellStyle name="Calculation" xfId="12" builtinId="22" customBuiltin="1"/>
    <cellStyle name="Check Cell" xfId="14" builtinId="23" customBuiltin="1"/>
    <cellStyle name="Comma" xfId="2" builtinId="3"/>
    <cellStyle name="Currency" xfId="1" builtinId="4"/>
    <cellStyle name="Explanatory Text" xfId="17" builtinId="53" customBuiltin="1"/>
    <cellStyle name="Good" xfId="8" builtinId="26" customBuiltin="1"/>
    <cellStyle name="Heading 1" xfId="4" builtinId="16" customBuiltin="1"/>
    <cellStyle name="Heading 2" xfId="5" builtinId="17" customBuiltin="1"/>
    <cellStyle name="Heading 3" xfId="6" builtinId="18" customBuiltin="1"/>
    <cellStyle name="Heading 4" xfId="7" builtinId="19" customBuiltin="1"/>
    <cellStyle name="Input" xfId="10" builtinId="20" customBuiltin="1"/>
    <cellStyle name="Linked Cell" xfId="13" builtinId="24" customBuiltin="1"/>
    <cellStyle name="Neutral 2" xfId="37"/>
    <cellStyle name="Normal" xfId="0" builtinId="0"/>
    <cellStyle name="Note" xfId="16" builtinId="10" customBuiltin="1"/>
    <cellStyle name="Output" xfId="11" builtinId="21" customBuiltin="1"/>
    <cellStyle name="Title" xfId="3" builtinId="15" customBuiltin="1"/>
    <cellStyle name="Total" xfId="18" builtinId="25" customBuiltin="1"/>
    <cellStyle name="Warning Text" xfId="15" builtinId="11" customBuiltin="1"/>
  </cellStyles>
  <dxfs count="48">
    <dxf>
      <alignment wrapText="1" readingOrder="0"/>
    </dxf>
    <dxf>
      <alignment wrapText="1" readingOrder="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dxf>
    <dxf>
      <numFmt numFmtId="0" formatCode="General"/>
    </dxf>
    <dxf>
      <numFmt numFmtId="0" formatCode="General"/>
    </dxf>
    <dxf>
      <numFmt numFmtId="0" formatCode="General"/>
    </dxf>
    <dxf>
      <numFmt numFmtId="164" formatCode="_ &quot;R&quot;\ * #,##0.00_ ;_ &quot;R&quot;\ * \-#,##0.00_ ;_ &quot;R&quot;\ * &quot;-&quot;??_ ;_ @_ "/>
    </dxf>
    <dxf>
      <numFmt numFmtId="164" formatCode="_ &quot;R&quot;\ * #,##0.00_ ;_ &quot;R&quot;\ * \-#,##0.00_ ;_ &quot;R&quot;\ * &quot;-&quot;??_ ;_ @_ "/>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dxf>
    <dxf>
      <numFmt numFmtId="0" formatCode="General"/>
    </dxf>
    <dxf>
      <numFmt numFmtId="164" formatCode="_ &quot;R&quot;\ * #,##0.00_ ;_ &quot;R&quot;\ * \-#,##0.00_ ;_ &quot;R&quot;\ * &quot;-&quot;??_ ;_ @_ "/>
    </dxf>
    <dxf>
      <numFmt numFmtId="164" formatCode="_ &quot;R&quot;\ * #,##0.00_ ;_ &quot;R&quot;\ * \-#,##0.00_ ;_ &quot;R&quot;\ * &quot;-&quot;??_ ;_ @_ "/>
    </dxf>
    <dxf>
      <alignment wrapText="1" readingOrder="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readingOrder="0"/>
    </dxf>
    <dxf>
      <alignment horizontal="center" readingOrder="0"/>
    </dxf>
    <dxf>
      <numFmt numFmtId="0" formatCode="General"/>
    </dxf>
    <dxf>
      <numFmt numFmtId="0" formatCode="General"/>
    </dxf>
    <dxf>
      <numFmt numFmtId="164" formatCode="_ &quot;R&quot;\ * #,##0.00_ ;_ &quot;R&quot;\ * \-#,##0.00_ ;_ &quot;R&quot;\ * &quot;-&quot;??_ ;_ @_ "/>
    </dxf>
    <dxf>
      <numFmt numFmtId="164" formatCode="_ &quot;R&quot;\ * #,##0.00_ ;_ &quot;R&quot;\ * \-#,##0.00_ ;_ &quot;R&quot;\ * &quot;-&quot;??_ ;_ @_ "/>
    </dxf>
    <dxf>
      <alignment wrapText="1" readingOrder="0"/>
    </dxf>
    <dxf>
      <numFmt numFmtId="0" formatCode="General"/>
    </dxf>
    <dxf>
      <numFmt numFmtId="0" formatCode="Genera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4" formatCode="_ &quot;R&quot;\ * #,##0.00_ ;_ &quot;R&quot;\ * \-#,##0.00_ ;_ &quot;R&quot;\ * &quot;-&quot;??_ ;_ @_ "/>
    </dxf>
    <dxf>
      <numFmt numFmtId="164" formatCode="_ &quot;R&quot;\ * #,##0.00_ ;_ &quot;R&quot;\ * \-#,##0.00_ ;_ &quot;R&quot;\ * &quot;-&quot;??_ ;_ @_ "/>
    </dxf>
  </dxfs>
  <tableStyles count="0" defaultTableStyle="TableStyleMedium2" defaultPivotStyle="PivotStyleLight16"/>
  <colors>
    <mruColors>
      <color rgb="FF9966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5.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1.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1.xml"/><Relationship Id="rId30" Type="http://schemas.openxmlformats.org/officeDocument/2006/relationships/pivotCacheDefinition" Target="pivotCache/pivotCacheDefinition3.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keaton.parker.GROUNDTRUTH1\Downloads\GTW413_Exxaro%20Belfast%20Wetland%20Rehabilitation%20BoQ_20180801_R01%20Rev%20AB%20Blank.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SEC1-P&amp;G"/>
      <sheetName val="SEC 2-CL1"/>
      <sheetName val="SEC 3-CL2A"/>
      <sheetName val="SEC 4-CL2B"/>
      <sheetName val="SEC 5-CL3A"/>
      <sheetName val="SEC 6-CL3B"/>
      <sheetName val="SEC 7-CL3C"/>
      <sheetName val="SEC 8-CL4A"/>
      <sheetName val="SEC 9-CL4B"/>
      <sheetName val="SEC 10- CL5A"/>
      <sheetName val="Sec3 Clstr 2A"/>
      <sheetName val="Sec4 Clstr 2B"/>
    </sheetNames>
    <sheetDataSet>
      <sheetData sheetId="0"/>
      <sheetData sheetId="1"/>
      <sheetData sheetId="2">
        <row r="381">
          <cell r="H381" t="str">
            <v/>
          </cell>
        </row>
      </sheetData>
      <sheetData sheetId="3"/>
      <sheetData sheetId="4"/>
      <sheetData sheetId="5"/>
      <sheetData sheetId="6"/>
      <sheetData sheetId="7"/>
      <sheetData sheetId="8"/>
      <sheetData sheetId="9"/>
      <sheetData sheetId="10"/>
      <sheetData sheetId="11"/>
      <sheetData sheetId="12"/>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pivotCacheDefinition1.xml><?xml version="1.0" encoding="utf-8"?>
<pivotCacheDefinition xmlns="http://schemas.openxmlformats.org/spreadsheetml/2006/main" xmlns:r="http://schemas.openxmlformats.org/officeDocument/2006/relationships" r:id="rId1" refreshedBy="Megan Grewcock" refreshedDate="42759.315387615738" createdVersion="5" refreshedVersion="5" minRefreshableVersion="3" recordCount="131">
  <cacheSource type="worksheet">
    <worksheetSource ref="A2:FS132" sheet="DATA"/>
  </cacheSource>
  <cacheFields count="53">
    <cacheField name="HGM Unit" numFmtId="0">
      <sharedItems count="16">
        <s v="KS18"/>
        <s v="KS15"/>
        <s v="LS16"/>
        <s v="KS11"/>
        <s v="KS12"/>
        <s v="KS13"/>
        <s v="KS19"/>
        <s v="KS20"/>
        <s v="KS21"/>
        <s v="KS16"/>
        <s v="Pan 14"/>
        <s v="Pan 08"/>
        <s v="DS12"/>
        <s v="LS08"/>
        <s v="LS12"/>
        <s v="Pan 09"/>
      </sharedItems>
    </cacheField>
    <cacheField name="INTERVENTION DESCRIPTION" numFmtId="0">
      <sharedItems count="28">
        <s v="Concrete Filled Geo-Cell Berm"/>
        <s v="Backfill Main Channel"/>
        <s v="Earthworks"/>
        <s v="Off-take structure"/>
        <s v="Pipe Culvert"/>
        <s v="Concrete Box Culvert"/>
        <s v="Concrete Drop Inlet"/>
        <s v="Rehab road culvert"/>
        <s v="Headcut"/>
        <s v="Concrete Butresss weir"/>
        <s v="Stone Pitching Chute"/>
        <s v="Concrete drop inlet weir"/>
        <s v="Concrete Cut-Off Walls"/>
        <s v="Infilling of Drains"/>
        <s v="Earthen Berm"/>
        <s v="Reinstate Pan Edge"/>
        <s v="Remove berm and backfill drain"/>
        <s v="Ecologs"/>
        <s v="Removal of Berms"/>
        <s v="Excavation"/>
        <s v="Removal of Berm and Dam Wall"/>
        <s v="Removal of Dam Wall"/>
        <s v="Removal of Berm"/>
        <s v="Removal of Road"/>
        <s v="Remove Berm"/>
        <s v="Foreign Materials"/>
        <s v="Fish Bowl"/>
        <s v="Gabion energy breaker"/>
      </sharedItems>
    </cacheField>
    <cacheField name="INTERVENTION TYPE" numFmtId="0">
      <sharedItems count="13">
        <s v="Armoured Earthen Berm"/>
        <s v="Backfill Channel at Road Crossing"/>
        <s v="Backfill Channel Below Road Crossing"/>
        <s v="Backfill Leeuwbankspruit"/>
        <s v="Backfilling Dam"/>
        <s v="Concrete"/>
        <s v="Concrete Cut-off Wall"/>
        <s v="Earthworks"/>
        <s v="Ecologs"/>
        <s v="Excavation"/>
        <s v="Fish Bowl"/>
        <s v="Gabions"/>
        <s v="Backfill Leobankspruit" u="1"/>
      </sharedItems>
    </cacheField>
    <cacheField name="INTERVENTION NUMBER" numFmtId="0">
      <sharedItems count="132">
        <s v="KS18_014"/>
        <s v="ks15-002"/>
        <s v="ks18-021"/>
        <s v="LS16_021"/>
        <s v="ks11-003"/>
        <s v="ks11-005"/>
        <s v="ks11-001"/>
        <s v="KS12_001"/>
        <s v="KS12_002"/>
        <s v="KS12_004"/>
        <s v="KS12_005"/>
        <s v="KS12_006"/>
        <s v="KS12_007"/>
        <s v="KS12_008"/>
        <s v="KS12_009"/>
        <s v="KS13_003"/>
        <s v="KS13_004"/>
        <s v="KS13_005"/>
        <s v="KS13_006"/>
        <s v="KS13_007"/>
        <s v="KS13_008"/>
        <s v="KS13_011"/>
        <s v="KS13_012"/>
        <s v="KS13_013"/>
        <s v="KS13_015"/>
        <s v="KS18_001"/>
        <s v="KS18_002"/>
        <s v="KS18_015"/>
        <s v="KS18_016"/>
        <s v="KS18_017"/>
        <s v="KS18_018"/>
        <s v="KS18_019"/>
        <s v="KS18_020"/>
        <s v="KS19_002"/>
        <s v="KS20_001"/>
        <s v="KS20_002"/>
        <s v="KS20_003"/>
        <s v="KS20_004"/>
        <s v="KS20_005"/>
        <s v="KS20_006"/>
        <s v="KS20_007"/>
        <s v="KS20_008"/>
        <s v="KS20_009"/>
        <s v="KS21-001"/>
        <s v="KS21-003"/>
        <s v="KS21-005"/>
        <s v="KS21-006"/>
        <s v="KS21-007"/>
        <s v="KS21-009"/>
        <s v="KS21-010"/>
        <s v="KS18_003"/>
        <s v="KS18_004"/>
        <s v="KS18_005"/>
        <s v="KS18_006"/>
        <s v="KS18_007"/>
        <s v="KS18_008"/>
        <s v="KS18_009"/>
        <s v="KS18_010"/>
        <s v="KS18_011"/>
        <s v="KS18_012"/>
        <s v="KS18_013"/>
        <s v="LS16_001"/>
        <s v="LS16_002"/>
        <s v="LS16_003"/>
        <s v="LS16_004"/>
        <s v="LS16_005"/>
        <s v="LS16_006"/>
        <s v="LS16_007"/>
        <s v="LS16_008"/>
        <s v="LS16_009"/>
        <s v="LS16_010"/>
        <s v="LS16_011"/>
        <s v="KS13_001"/>
        <s v="KS13_002"/>
        <s v="KS13_002b"/>
        <s v="KS13_009"/>
        <s v="KS13_014"/>
        <s v="KS13_016"/>
        <s v="KS16_001"/>
        <s v="KS16_002"/>
        <s v="KS16_004"/>
        <s v="KS16_005"/>
        <s v="KS16_007"/>
        <s v="KS19_007"/>
        <s v="KS21-002"/>
        <s v="KS21-004"/>
        <s v="KS21-008"/>
        <s v="LS16_015"/>
        <s v="Pan14_004"/>
        <s v="Pan14_005"/>
        <s v="Pan14_006"/>
        <s v="Pan14_007"/>
        <s v="Pan14_008"/>
        <s v="Pan14_009"/>
        <s v="Pan14_010"/>
        <s v="Pan14_011"/>
        <s v="Pan14-001"/>
        <s v="Pan14-003"/>
        <s v="Pan8_002"/>
        <s v="KS16_003"/>
        <s v="KS16_006"/>
        <s v="KS19_001"/>
        <s v="KS19_003"/>
        <s v="KS19_004"/>
        <s v="KS19_005"/>
        <s v="KS20_010"/>
        <s v="LS16_014"/>
        <s v="DS12_004"/>
        <s v="ks11-002"/>
        <s v="ks11-004"/>
        <s v="KS12_003"/>
        <s v="KS12_010"/>
        <s v="KS13_010"/>
        <s v="KS15_003"/>
        <s v="KS19_006"/>
        <s v="LS08_001"/>
        <s v="LS12_001"/>
        <s v="LS12_002"/>
        <s v="LS16_012"/>
        <s v="LS16_020"/>
        <s v="Pan09_001"/>
        <s v="Pan14-002"/>
        <s v="Pan8_001"/>
        <s v="Pan8_003"/>
        <s v="Pan8_004"/>
        <s v="KS15_001"/>
        <s v="LS16_013"/>
        <s v="LS16_016"/>
        <s v="LS16_017"/>
        <s v="LS16_018"/>
        <s v="LS16_019"/>
        <s v="KS12_011" u="1"/>
      </sharedItems>
    </cacheField>
    <cacheField name="Cluster Number" numFmtId="0">
      <sharedItems containsMixedTypes="1" containsNumber="1" containsInteger="1" minValue="1" maxValue="6" count="10">
        <s v="3A"/>
        <s v="3B"/>
        <s v="4A"/>
        <n v="6"/>
        <s v="5A"/>
        <n v="1"/>
        <s v="2A"/>
        <s v="3C"/>
        <s v="2B"/>
        <s v="4B"/>
      </sharedItems>
    </cacheField>
    <cacheField name="Complete/Estimate" numFmtId="0">
      <sharedItems/>
    </cacheField>
    <cacheField name="Design Complete" numFmtId="0">
      <sharedItems containsBlank="1"/>
    </cacheField>
    <cacheField name="BoQ Completed" numFmtId="0">
      <sharedItems/>
    </cacheField>
    <cacheField name="BOQ Checked Date" numFmtId="0">
      <sharedItems containsNonDate="0" containsDate="1" containsString="0" containsBlank="1" minDate="2016-01-23T00:00:00" maxDate="2017-01-24T00:00:00"/>
    </cacheField>
    <cacheField name="Drawing Completed" numFmtId="0">
      <sharedItems containsBlank="1"/>
    </cacheField>
    <cacheField name="Drawing Checked" numFmtId="0">
      <sharedItems containsNonDate="0" containsDate="1" containsString="0" containsBlank="1" minDate="2017-01-23T00:00:00" maxDate="2017-01-24T00:00:00"/>
    </cacheField>
    <cacheField name="EXCAVATION (m³)" numFmtId="0">
      <sharedItems containsString="0" containsBlank="1" containsNumber="1" minValue="1" maxValue="4384" count="97">
        <n v="32"/>
        <m/>
        <n v="340"/>
        <n v="40"/>
        <n v="45.04"/>
        <n v="82.604940000000013"/>
        <n v="84.774646000000004"/>
        <n v="62.773040000000016"/>
        <n v="81.75706000000001"/>
        <n v="59.667256000000009"/>
        <n v="42.942240000000012"/>
        <n v="91.02852"/>
        <n v="57.791250000000005"/>
        <n v="80.430900000000008"/>
        <n v="81.05922000000001"/>
        <n v="65.703088000000008"/>
        <n v="79.361128000000022"/>
        <n v="88.723800000000011"/>
        <n v="72.225780000000015"/>
        <n v="79.293720000000022"/>
        <n v="83.89876000000001"/>
        <n v="125.24424000000003"/>
        <n v="89.99254000000002"/>
        <n v="116.94408"/>
        <n v="77.659076000000013"/>
        <n v="90.157320000000013"/>
        <n v="87.979892000000007"/>
        <n v="78.84866000000001"/>
        <n v="85.567350000000005"/>
        <n v="63"/>
        <n v="87.654512000000011"/>
        <n v="130.52754000000002"/>
        <n v="126.16344400000001"/>
        <n v="99.749848000000014"/>
        <n v="140.61696000000001"/>
        <n v="117.16403600000002"/>
        <n v="120.18811200000003"/>
        <n v="120.29248000000003"/>
        <n v="152"/>
        <n v="7.5"/>
        <n v="44"/>
        <n v="79"/>
        <n v="68"/>
        <n v="69"/>
        <n v="91"/>
        <n v="85"/>
        <n v="5.7"/>
        <n v="5.3550000000000004"/>
        <n v="6.9300000000000006"/>
        <n v="6.6150000000000002"/>
        <n v="5.04"/>
        <n v="5.7600000000000007"/>
        <n v="5.7749999999999995"/>
        <n v="6"/>
        <n v="6.6"/>
        <n v="10.799999999999999"/>
        <n v="12.48"/>
        <n v="6.3"/>
        <n v="7.1999999999999993"/>
        <n v="10.35"/>
        <n v="12.239999999999998"/>
        <n v="11.219999999999999"/>
        <n v="7.8090000000000002"/>
        <n v="9.1199999999999992"/>
        <n v="9.66"/>
        <n v="7.98"/>
        <n v="192"/>
        <n v="950"/>
        <n v="24"/>
        <n v="30"/>
        <n v="1"/>
        <n v="5"/>
        <n v="9"/>
        <n v="11"/>
        <n v="1.5"/>
        <n v="523.01728000000003"/>
        <n v="4384"/>
        <n v="887"/>
        <n v="347.62068249999999"/>
        <n v="216.66486187499999"/>
        <n v="336.92505000000006"/>
        <n v="283.01130000000001"/>
        <n v="1400"/>
        <n v="43.75"/>
        <n v="1700"/>
        <n v="27.169999999999998"/>
        <n v="115"/>
        <n v="750"/>
        <n v="188.47125"/>
        <n v="65"/>
        <n v="12.96"/>
        <n v="139.059490625"/>
        <n v="10"/>
        <n v="215.62099999999998"/>
        <n v="13"/>
        <n v="25"/>
        <n v="37"/>
      </sharedItems>
    </cacheField>
    <cacheField name="CONCRETE (m³)" numFmtId="0">
      <sharedItems containsString="0" containsBlank="1" containsNumber="1" minValue="3" maxValue="120"/>
    </cacheField>
    <cacheField name="REINFORCEMENT (kg)" numFmtId="0">
      <sharedItems containsString="0" containsBlank="1" containsNumber="1" minValue="250" maxValue="1840" count="24">
        <m/>
        <n v="250"/>
        <n v="760"/>
        <n v="666.57600000000002"/>
        <n v="538.70399999999995"/>
        <n v="444.38400000000001"/>
        <n v="316.512"/>
        <n v="760.89599999999996"/>
        <n v="335.80799999999999"/>
        <n v="671.61599999999999"/>
        <n v="538.70000000000005"/>
        <n v="799.48800000000006"/>
        <n v="1239.2640000000001"/>
        <n v="543.74400000000003"/>
        <n v="1031.328"/>
        <n v="903.45600000000002"/>
        <n v="767.23199999999997"/>
        <n v="1135.296"/>
        <n v="1840"/>
        <n v="770"/>
        <n v="850"/>
        <n v="780"/>
        <n v="560"/>
        <n v="610"/>
      </sharedItems>
    </cacheField>
    <cacheField name="M200 BLOCKS (unit)" numFmtId="0">
      <sharedItems containsString="0" containsBlank="1" containsNumber="1" containsInteger="1" minValue="193" maxValue="250" count="4">
        <m/>
        <n v="250"/>
        <n v="210"/>
        <n v="193"/>
      </sharedItems>
    </cacheField>
    <cacheField name="EARTHWORKS" numFmtId="0">
      <sharedItems containsString="0" containsBlank="1" containsNumber="1" minValue="0" maxValue="24200" count="57">
        <n v="76"/>
        <n v="2500"/>
        <n v="1900"/>
        <n v="4150"/>
        <n v="24200"/>
        <n v="12300"/>
        <m/>
        <n v="30"/>
        <n v="15.04"/>
        <n v="22.880000000000003"/>
        <n v="14.5"/>
        <n v="8.49"/>
        <n v="19.170000000000002"/>
        <n v="13.74"/>
        <n v="13.87"/>
        <n v="12.75"/>
        <n v="16.8"/>
        <n v="18.760000000000002"/>
        <n v="18.23"/>
        <n v="21.360000000000003"/>
        <n v="12"/>
        <n v="29.98"/>
        <n v="15.79"/>
        <n v="23.630000000000003"/>
        <n v="538.70399999999995"/>
        <n v="29.46"/>
        <n v="48.35"/>
        <n v="31.42"/>
        <n v="24.490000000000002"/>
        <n v="23"/>
        <n v="198.78425999999999"/>
        <n v="92"/>
        <n v="9"/>
        <n v="26.1"/>
        <n v="64.842659999999995"/>
        <n v="63"/>
        <n v="110"/>
        <n v="90"/>
        <n v="102"/>
        <n v="52"/>
        <n v="320"/>
        <n v="42"/>
        <n v="18"/>
        <n v="78"/>
        <n v="200"/>
        <n v="29.7"/>
        <n v="93"/>
        <n v="147"/>
        <n v="64.400000000000006"/>
        <n v="249.48"/>
        <n v="28.8"/>
        <n v="477.4"/>
        <n v="1170"/>
        <n v="950"/>
        <n v="163.93100000000001"/>
        <n v="0"/>
        <n v="12.9"/>
      </sharedItems>
    </cacheField>
    <cacheField name="ROCKPACK (m3)" numFmtId="0">
      <sharedItems containsNonDate="0" containsString="0" containsBlank="1"/>
    </cacheField>
    <cacheField name="GEO-FABRIC (m2)" numFmtId="0">
      <sharedItems containsString="0" containsBlank="1" containsNumber="1" minValue="40" maxValue="628.101"/>
    </cacheField>
    <cacheField name="ECO-LOGS (unit)" numFmtId="0">
      <sharedItems containsString="0" containsBlank="1" containsNumber="1" containsInteger="1" minValue="2" maxValue="78"/>
    </cacheField>
    <cacheField name="Gabions (m3)" numFmtId="0">
      <sharedItems containsString="0" containsBlank="1" containsNumber="1" containsInteger="1" minValue="14" maxValue="32"/>
    </cacheField>
    <cacheField name="Barb Wire Fence (m)" numFmtId="0">
      <sharedItems containsNonDate="0" containsString="0" containsBlank="1"/>
    </cacheField>
    <cacheField name="1.5mm HDPE Liner (m2)" numFmtId="0">
      <sharedItems containsNonDate="0" containsString="0" containsBlank="1"/>
    </cacheField>
    <cacheField name="2mm HDPE Liner (m2)" numFmtId="0">
      <sharedItems containsNonDate="0" containsString="0" containsBlank="1"/>
    </cacheField>
    <cacheField name="Bentonite (Envirobent)" numFmtId="0">
      <sharedItems containsNonDate="0" containsString="0" containsBlank="1"/>
    </cacheField>
    <cacheField name="MacMat Liner (m2)" numFmtId="0">
      <sharedItems containsNonDate="0" containsString="0" containsBlank="1"/>
    </cacheField>
    <cacheField name="Reshaping (ha)" numFmtId="0">
      <sharedItems containsNonDate="0" containsString="0" containsBlank="1"/>
    </cacheField>
    <cacheField name="Scarifying Earthworks (ha)" numFmtId="0">
      <sharedItems containsNonDate="0" containsString="0" containsBlank="1"/>
    </cacheField>
    <cacheField name="Seeding (ha)" numFmtId="0">
      <sharedItems containsString="0" containsBlank="1" containsNumber="1" minValue="0.19497238218666732" maxValue="3.82"/>
    </cacheField>
    <cacheField name="Sediment Fences" numFmtId="0">
      <sharedItems containsNonDate="0" containsString="0" containsBlank="1"/>
    </cacheField>
    <cacheField name="Stone Pitching (m3)" numFmtId="0">
      <sharedItems containsString="0" containsBlank="1" containsNumber="1" minValue="1" maxValue="8.5"/>
    </cacheField>
    <cacheField name="600 mm Pipe (m)" numFmtId="0">
      <sharedItems containsString="0" containsBlank="1" containsNumber="1" containsInteger="1" minValue="20" maxValue="250"/>
    </cacheField>
    <cacheField name="Wetland Soil Backfill" numFmtId="0">
      <sharedItems containsString="0" containsBlank="1" containsNumber="1" minValue="584.91714656000192" maxValue="11500"/>
    </cacheField>
    <cacheField name="Cost of Excavation (R)" numFmtId="164">
      <sharedItems containsSemiMixedTypes="0" containsString="0" containsNumber="1" minValue="0" maxValue="109600"/>
    </cacheField>
    <cacheField name="Cost of Concrete" numFmtId="164">
      <sharedItems containsSemiMixedTypes="0" containsString="0" containsNumber="1" minValue="0" maxValue="420000"/>
    </cacheField>
    <cacheField name="Cost of  Reinforcement (R)" numFmtId="164">
      <sharedItems containsSemiMixedTypes="0" containsString="0" containsNumber="1" minValue="0" maxValue="36800"/>
    </cacheField>
    <cacheField name="Cost of M200 Blocks" numFmtId="164">
      <sharedItems containsSemiMixedTypes="0" containsString="0" containsNumber="1" containsInteger="1" minValue="0" maxValue="6250"/>
    </cacheField>
    <cacheField name="Cost of Earthworks" numFmtId="164">
      <sharedItems containsSemiMixedTypes="0" containsString="0" containsNumber="1" minValue="0" maxValue="1452000"/>
    </cacheField>
    <cacheField name="Cost of Rockpack" numFmtId="164">
      <sharedItems containsSemiMixedTypes="0" containsString="0" containsNumber="1" containsInteger="1" minValue="0" maxValue="0"/>
    </cacheField>
    <cacheField name="Cost of Geo-fabric" numFmtId="164">
      <sharedItems containsSemiMixedTypes="0" containsString="0" containsNumber="1" minValue="0" maxValue="18843.03"/>
    </cacheField>
    <cacheField name="Cost of Eco-logs" numFmtId="164">
      <sharedItems containsSemiMixedTypes="0" containsString="0" containsNumber="1" containsInteger="1" minValue="0" maxValue="156000"/>
    </cacheField>
    <cacheField name="Cost of Gabions" numFmtId="164">
      <sharedItems containsSemiMixedTypes="0" containsString="0" containsNumber="1" containsInteger="1" minValue="0" maxValue="96000"/>
    </cacheField>
    <cacheField name="Cost of Barb Wire Fencing ( R)" numFmtId="164">
      <sharedItems containsSemiMixedTypes="0" containsString="0" containsNumber="1" containsInteger="1" minValue="0" maxValue="0"/>
    </cacheField>
    <cacheField name="Cost of HDPE Liner" numFmtId="164">
      <sharedItems containsSemiMixedTypes="0" containsString="0" containsNumber="1" containsInteger="1" minValue="0" maxValue="0"/>
    </cacheField>
    <cacheField name="Envirobent (or equiv.)" numFmtId="164">
      <sharedItems containsSemiMixedTypes="0" containsString="0" containsNumber="1" containsInteger="1" minValue="0" maxValue="0"/>
    </cacheField>
    <cacheField name="Cost of MacMat Liner ( R)" numFmtId="164">
      <sharedItems containsSemiMixedTypes="0" containsString="0" containsNumber="1" containsInteger="1" minValue="0" maxValue="0"/>
    </cacheField>
    <cacheField name="Cost of Reshaping (R )" numFmtId="164">
      <sharedItems containsSemiMixedTypes="0" containsString="0" containsNumber="1" containsInteger="1" minValue="0" maxValue="0"/>
    </cacheField>
    <cacheField name="Scarifying Cost of earthworks (R )" numFmtId="164">
      <sharedItems containsSemiMixedTypes="0" containsString="0" containsNumber="1" containsInteger="1" minValue="0" maxValue="0"/>
    </cacheField>
    <cacheField name="Cost of Seeding ( R)" numFmtId="164">
      <sharedItems containsSemiMixedTypes="0" containsString="0" containsNumber="1" minValue="0" maxValue="764000"/>
    </cacheField>
    <cacheField name="Cost of Sediment Fences (R )" numFmtId="164">
      <sharedItems containsSemiMixedTypes="0" containsString="0" containsNumber="1" containsInteger="1" minValue="0" maxValue="0"/>
    </cacheField>
    <cacheField name="Cost of Stone Pitching" numFmtId="164">
      <sharedItems containsSemiMixedTypes="0" containsString="0" containsNumber="1" containsInteger="1" minValue="0" maxValue="17000"/>
    </cacheField>
    <cacheField name="600 mm Diam Pipe Cost" numFmtId="164">
      <sharedItems containsSemiMixedTypes="0" containsString="0" containsNumber="1" containsInteger="1" minValue="0" maxValue="225000"/>
    </cacheField>
    <cacheField name="Cost of Wetland soil backfill" numFmtId="164">
      <sharedItems containsSemiMixedTypes="0" containsString="0" containsNumber="1" minValue="0" maxValue="575000"/>
    </cacheField>
    <cacheField name="Costs " numFmtId="164">
      <sharedItems containsSemiMixedTypes="0" containsString="0" containsNumber="1" minValue="250" maxValue="2375000"/>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Keaton Parker" refreshedDate="43507.662674421299" createdVersion="5" refreshedVersion="5" minRefreshableVersion="3" recordCount="141">
  <cacheSource type="worksheet">
    <worksheetSource ref="A3:JW144" sheet="DATA"/>
  </cacheSource>
  <cacheFields count="283">
    <cacheField name="HGM Unit" numFmtId="0">
      <sharedItems/>
    </cacheField>
    <cacheField name="INTERVENTION DESCRIPTION" numFmtId="0">
      <sharedItems/>
    </cacheField>
    <cacheField name="INTERVENTION TYPE" numFmtId="0">
      <sharedItems/>
    </cacheField>
    <cacheField name="INTERVENTION NUMBER" numFmtId="0">
      <sharedItems/>
    </cacheField>
    <cacheField name="Cluster Number" numFmtId="0">
      <sharedItems containsMixedTypes="1" containsNumber="1" containsInteger="1" minValue="1" maxValue="6" count="11">
        <s v="2A"/>
        <n v="6"/>
        <s v="5A"/>
        <s v="3B"/>
        <s v="2B"/>
        <n v="1"/>
        <s v="3A"/>
        <s v="3C"/>
        <s v="4A"/>
        <s v="4B"/>
        <s v="ROAD - Maintain Road"/>
      </sharedItems>
    </cacheField>
    <cacheField name="LONGITUDE " numFmtId="0">
      <sharedItems containsString="0" containsBlank="1" containsNumber="1" minValue="29.940713611" maxValue="31.003015277778001"/>
    </cacheField>
    <cacheField name="LATITUDE" numFmtId="0">
      <sharedItems containsString="0" containsBlank="1" containsNumber="1" minValue="-25.834729721999999" maxValue="-25.793607776999998"/>
    </cacheField>
    <cacheField name="LONGITUDE 2" numFmtId="0">
      <sharedItems containsBlank="1"/>
    </cacheField>
    <cacheField name="LATITUDE2" numFmtId="0">
      <sharedItems containsBlank="1"/>
    </cacheField>
    <cacheField name="Complete/Estimate" numFmtId="0">
      <sharedItems containsBlank="1"/>
    </cacheField>
    <cacheField name="Design Complete" numFmtId="0">
      <sharedItems containsBlank="1" containsMixedTypes="1" containsNumber="1" containsInteger="1" minValue="0" maxValue="0"/>
    </cacheField>
    <cacheField name="BoQ Completed" numFmtId="0">
      <sharedItems containsBlank="1"/>
    </cacheField>
    <cacheField name="BOQ Checked Date" numFmtId="166">
      <sharedItems containsDate="1" containsBlank="1" containsMixedTypes="1" minDate="1899-12-30T00:00:00" maxDate="2017-06-01T00:00:00"/>
    </cacheField>
    <cacheField name="Drawing Completed" numFmtId="0">
      <sharedItems containsBlank="1"/>
    </cacheField>
    <cacheField name="Drawing Checked" numFmtId="0">
      <sharedItems containsDate="1" containsBlank="1" containsMixedTypes="1" minDate="1899-12-30T00:00:00" maxDate="2017-02-07T00:00:00"/>
    </cacheField>
    <cacheField name="Drawing Number" numFmtId="0">
      <sharedItems containsBlank="1"/>
    </cacheField>
    <cacheField name="Checked_16062018" numFmtId="0">
      <sharedItems containsBlank="1"/>
    </cacheField>
    <cacheField name="Rev No." numFmtId="0">
      <sharedItems containsBlank="1"/>
    </cacheField>
    <cacheField name="Last Rev Date" numFmtId="0">
      <sharedItems containsNonDate="0" containsDate="1" containsString="0" containsBlank="1" minDate="2018-06-16T00:00:00" maxDate="2018-12-08T00:00:00"/>
    </cacheField>
    <cacheField name="Implementation Phase" numFmtId="166">
      <sharedItems containsBlank="1"/>
    </cacheField>
    <cacheField name="Implementation Year" numFmtId="0">
      <sharedItems containsBlank="1"/>
    </cacheField>
    <cacheField name="a) Excavation (Remove Top Soil)" numFmtId="1">
      <sharedItems containsString="0" containsBlank="1" containsNumber="1" minValue="0" maxValue="6032.3099999999995"/>
    </cacheField>
    <cacheField name="b) Excavation (non-restricted)" numFmtId="1">
      <sharedItems containsString="0" containsBlank="1" containsNumber="1" minValue="0" maxValue="2651.3666666666668"/>
    </cacheField>
    <cacheField name="ci)Excavation (Extra-over intermediate)" numFmtId="1">
      <sharedItems containsString="0" containsBlank="1" containsNumber="1" minValue="0" maxValue="32.435749999999999"/>
    </cacheField>
    <cacheField name="cii)Excavation (Extra-over Hard Rock)" numFmtId="1">
      <sharedItems containsString="0" containsBlank="1" containsNumber="1" containsInteger="1" minValue="0" maxValue="0"/>
    </cacheField>
    <cacheField name="ciii) Excavation (Bolders-B)" numFmtId="1">
      <sharedItems containsString="0" containsBlank="1" containsNumber="1" containsInteger="1" minValue="0" maxValue="0"/>
    </cacheField>
    <cacheField name="a) Excavation " numFmtId="1">
      <sharedItems containsString="0" containsBlank="1" containsNumber="1" minValue="0" maxValue="1098"/>
    </cacheField>
    <cacheField name="bi)Excavation (Extra-over intermediate)" numFmtId="1">
      <sharedItems containsString="0" containsBlank="1" containsNumber="1" minValue="0" maxValue="39.476520000000001"/>
    </cacheField>
    <cacheField name="bii)Excavation (Extra-over Hard Rock)" numFmtId="1">
      <sharedItems containsString="0" containsBlank="1" containsNumber="1" minValue="0" maxValue="14.235863999999999"/>
    </cacheField>
    <cacheField name="Topsoiling (m2)" numFmtId="1">
      <sharedItems containsString="0" containsBlank="1" containsNumber="1" minValue="0" maxValue="6700"/>
    </cacheField>
    <cacheField name="Revegetation (m2)" numFmtId="1">
      <sharedItems containsString="0" containsBlank="1" containsNumber="1" minValue="0" maxValue="38200"/>
    </cacheField>
    <cacheField name="Freehaul" numFmtId="1">
      <sharedItems containsString="0" containsBlank="1" containsNumber="1" minValue="0" maxValue="848.23699999999997"/>
    </cacheField>
    <cacheField name="Overhaul" numFmtId="1">
      <sharedItems containsString="0" containsBlank="1" containsNumber="1" minValue="0" maxValue="4105.6856479999997"/>
    </cacheField>
    <cacheField name="CONCRETE (m³)" numFmtId="0">
      <sharedItems containsString="0" containsBlank="1" containsNumber="1" minValue="0" maxValue="94.94319999999999"/>
    </cacheField>
    <cacheField name="Blinding Layer (m²)" numFmtId="0">
      <sharedItems containsString="0" containsBlank="1" containsNumber="1" minValue="0" maxValue="101.63999999999999"/>
    </cacheField>
    <cacheField name="Steel bars (High Tensile)" numFmtId="0">
      <sharedItems containsString="0" containsBlank="1" containsNumber="1" containsInteger="1" minValue="0" maxValue="98"/>
    </cacheField>
    <cacheField name="Steel bars (mild Tensile)" numFmtId="0">
      <sharedItems containsString="0" containsBlank="1" containsNumber="1" containsInteger="1" minValue="0" maxValue="0"/>
    </cacheField>
    <cacheField name=" Mesh Code 1" numFmtId="0">
      <sharedItems containsBlank="1" containsMixedTypes="1" containsNumber="1" containsInteger="1" minValue="0" maxValue="0"/>
    </cacheField>
    <cacheField name="Mesh Ref 1 (m²)" numFmtId="0">
      <sharedItems containsString="0" containsBlank="1" containsNumber="1" minValue="0" maxValue="89.69919999999999"/>
    </cacheField>
    <cacheField name=" Mesh Code 2" numFmtId="0">
      <sharedItems containsBlank="1" containsMixedTypes="1" containsNumber="1" containsInteger="1" minValue="0" maxValue="0"/>
    </cacheField>
    <cacheField name="Mesh Ref 2 (m²)" numFmtId="0">
      <sharedItems containsString="0" containsBlank="1" containsNumber="1" minValue="0" maxValue="82.174399999999991"/>
    </cacheField>
    <cacheField name="Rough - Horizontal (85°-90°)" numFmtId="0">
      <sharedItems containsString="0" containsBlank="1" containsNumber="1" containsInteger="1" minValue="0" maxValue="0"/>
    </cacheField>
    <cacheField name="Rough - Sloping (&gt;10°&lt;85°)" numFmtId="0">
      <sharedItems containsString="0" containsBlank="1" containsNumber="1" minValue="0" maxValue="124.76995008701984"/>
    </cacheField>
    <cacheField name="Rough - Battered (&lt;10°)" numFmtId="0">
      <sharedItems containsString="0" containsBlank="1" containsNumber="1" containsInteger="1" minValue="0" maxValue="0"/>
    </cacheField>
    <cacheField name="Rough - Vertical (0°)" numFmtId="0">
      <sharedItems containsString="0" containsBlank="1" containsNumber="1" minValue="0" maxValue="47"/>
    </cacheField>
    <cacheField name="Smooth - Horizontal (85°-90°)" numFmtId="0">
      <sharedItems containsString="0" containsBlank="1" containsNumber="1" containsInteger="1" minValue="0" maxValue="0"/>
    </cacheField>
    <cacheField name="Smooth - Sloping (&gt;10°&lt;85°)" numFmtId="0">
      <sharedItems containsString="0" containsBlank="1" containsNumber="1" containsInteger="1" minValue="0" maxValue="0"/>
    </cacheField>
    <cacheField name="Smooth - Battered (&lt;10°)" numFmtId="0">
      <sharedItems containsString="0" containsBlank="1" containsNumber="1" containsInteger="1" minValue="0" maxValue="0"/>
    </cacheField>
    <cacheField name="Smooth - Vertical (0°)" numFmtId="0">
      <sharedItems containsString="0" containsBlank="1" containsNumber="1" containsInteger="1" minValue="0" maxValue="0"/>
    </cacheField>
    <cacheField name="Narrow Widths (up to 300 mm)" numFmtId="0">
      <sharedItems containsString="0" containsBlank="1" containsNumber="1" containsInteger="1" minValue="0" maxValue="0"/>
    </cacheField>
    <cacheField name="Box Out Holes (Up to 0.35 m Diameter and 0.5 m deep)" numFmtId="0">
      <sharedItems containsString="0" containsBlank="1" containsNumber="1" containsInteger="1" minValue="0" maxValue="16"/>
    </cacheField>
    <cacheField name="a) Wood floated Finish" numFmtId="0">
      <sharedItems containsString="0" containsBlank="1" containsNumber="1" minValue="0" maxValue="15"/>
    </cacheField>
    <cacheField name="b) Steel-floated Finish" numFmtId="0">
      <sharedItems containsString="0" containsBlank="1" containsNumber="1" containsInteger="1" minValue="0" maxValue="0"/>
    </cacheField>
    <cacheField name="Concrete complete with Formwork (m3)" numFmtId="0">
      <sharedItems containsString="0" containsBlank="1" containsNumber="1" minValue="0" maxValue="21.3"/>
    </cacheField>
    <cacheField name="M200 BLOCKS (unit)" numFmtId="0">
      <sharedItems containsString="0" containsBlank="1" containsNumber="1" containsInteger="1" minValue="0" maxValue="0"/>
    </cacheField>
    <cacheField name="Earthen material" numFmtId="0">
      <sharedItems containsString="0" containsBlank="1" containsNumber="1" minValue="0" maxValue="24200"/>
    </cacheField>
    <cacheField name="Granular Fill Material" numFmtId="0">
      <sharedItems containsString="0" containsBlank="1" containsNumber="1" minValue="0" maxValue="3.0000000000000004"/>
    </cacheField>
    <cacheField name="a) Cavities filled with approved excavated material or rock" numFmtId="0">
      <sharedItems containsString="0" containsBlank="1" containsNumber="1" containsInteger="1" minValue="0" maxValue="0"/>
    </cacheField>
    <cacheField name="b) Cavities filled with grade 15 concrete (provisional)" numFmtId="0">
      <sharedItems containsString="0" containsBlank="1" containsNumber="1" containsInteger="1" minValue="0" maxValue="1"/>
    </cacheField>
    <cacheField name="1 m x 1 m x 1 m Galvanised Gabions" numFmtId="0">
      <sharedItems containsString="0" containsBlank="1" containsNumber="1" containsInteger="1" minValue="0" maxValue="0"/>
    </cacheField>
    <cacheField name="2 m x 1 m x 1 m Galvanised  Gabions" numFmtId="0">
      <sharedItems containsString="0" containsBlank="1" containsNumber="1" containsInteger="1" minValue="0" maxValue="8"/>
    </cacheField>
    <cacheField name="3 m x 1 m x 1 m Galvanised Gabions" numFmtId="0">
      <sharedItems containsString="0" containsBlank="1" containsNumber="1" containsInteger="1" minValue="0" maxValue="15"/>
    </cacheField>
    <cacheField name="4 m x 1 m x 1 m Galvanised Gabions" numFmtId="0">
      <sharedItems containsString="0" containsBlank="1" containsNumber="1" containsInteger="1" minValue="0" maxValue="0"/>
    </cacheField>
    <cacheField name="2 m x 0.5 m x 0.5 m Galvanised Gabions" numFmtId="0">
      <sharedItems containsString="0" containsBlank="1" containsNumber="1" containsInteger="1" minValue="0" maxValue="0"/>
    </cacheField>
    <cacheField name="2 m x 1 m x 0.3 m Galvanised Reno Mattress" numFmtId="0">
      <sharedItems containsString="0" containsBlank="1" containsNumber="1" containsInteger="1" minValue="0" maxValue="0"/>
    </cacheField>
    <cacheField name="3 m x 1 m x 0.3 m Galvanised Reno Mattress" numFmtId="0">
      <sharedItems containsString="0" containsBlank="1" containsNumber="1" minValue="0" maxValue="10.8"/>
    </cacheField>
    <cacheField name="6 m x 2 m x 0.3 m Galvanised Reno Mattress" numFmtId="0">
      <sharedItems containsString="0" containsBlank="1" containsNumber="1" containsInteger="1" minValue="0" maxValue="0"/>
    </cacheField>
    <cacheField name="1 m x 1 m x 1 m PVC coated Gabions" numFmtId="0">
      <sharedItems containsString="0" containsBlank="1" containsNumber="1" containsInteger="1" minValue="0" maxValue="0"/>
    </cacheField>
    <cacheField name="2 m x 1 m x 1 m PVC coated Gabions" numFmtId="0">
      <sharedItems containsString="0" containsBlank="1" containsNumber="1" containsInteger="1" minValue="0" maxValue="0"/>
    </cacheField>
    <cacheField name="3 m x 1 m x 1 m PVC coated Gabions" numFmtId="0">
      <sharedItems containsString="0" containsBlank="1" containsNumber="1" containsInteger="1" minValue="0" maxValue="0"/>
    </cacheField>
    <cacheField name="4 m x 1 m x 1 m PVC coated Gabions" numFmtId="0">
      <sharedItems containsString="0" containsBlank="1" containsNumber="1" containsInteger="1" minValue="0" maxValue="0"/>
    </cacheField>
    <cacheField name="2 m x 0.5 m x 0.5 m PVC coated Gabions" numFmtId="0">
      <sharedItems containsString="0" containsBlank="1" containsNumber="1" containsInteger="1" minValue="0" maxValue="0"/>
    </cacheField>
    <cacheField name="2 m x 1 m x 0.3 m PVC coated Reno Mattress" numFmtId="0">
      <sharedItems containsString="0" containsBlank="1" containsNumber="1" containsInteger="1" minValue="0" maxValue="0"/>
    </cacheField>
    <cacheField name="3 m x 1 m x 0.3 m PVC coated Reno Mattress" numFmtId="0">
      <sharedItems containsString="0" containsBlank="1" containsNumber="1" containsInteger="1" minValue="0" maxValue="0"/>
    </cacheField>
    <cacheField name="6 m x 2 m x 0.3 m PVC coated Reno Mattress" numFmtId="0">
      <sharedItems containsString="0" containsBlank="1" containsNumber="1" containsInteger="1" minValue="0" maxValue="0"/>
    </cacheField>
    <cacheField name="Extra-over 8.2.2 for packing selected stone for exposed surfaces" numFmtId="0">
      <sharedItems containsString="0" containsBlank="1" containsNumber="1" containsInteger="1" minValue="0" maxValue="0"/>
    </cacheField>
    <cacheField name="Needle punched Non-woven Geotextile" numFmtId="0">
      <sharedItems containsString="0" containsBlank="1" containsNumber="1" minValue="0" maxValue="87"/>
    </cacheField>
    <cacheField name="Stone Pitching - Light" numFmtId="0">
      <sharedItems containsString="0" containsBlank="1" containsNumber="1" containsInteger="1" minValue="0" maxValue="0"/>
    </cacheField>
    <cacheField name="Stone Pitching - Medium" numFmtId="0">
      <sharedItems containsString="0" containsBlank="1" containsNumber="1" containsInteger="1" minValue="0" maxValue="0"/>
    </cacheField>
    <cacheField name="Grouted Pitching - Light" numFmtId="0">
      <sharedItems containsString="0" containsBlank="1" containsNumber="1" containsInteger="1" minValue="0" maxValue="50"/>
    </cacheField>
    <cacheField name="Grouted Pitching - Medium" numFmtId="0">
      <sharedItems containsString="0" containsBlank="1" containsNumber="1" containsInteger="1" minValue="0" maxValue="0"/>
    </cacheField>
    <cacheField name="Weepholes in grouted stone pitching" numFmtId="0">
      <sharedItems containsString="0" containsBlank="1" containsNumber="1" containsInteger="1" minValue="0" maxValue="0"/>
    </cacheField>
    <cacheField name="ROCKPACK (m3)" numFmtId="0">
      <sharedItems containsString="0" containsBlank="1" containsNumber="1" containsInteger="1" minValue="0" maxValue="24"/>
    </cacheField>
    <cacheField name="ECO-LOGS (unit)" numFmtId="0">
      <sharedItems containsString="0" containsBlank="1" containsNumber="1" containsInteger="1" minValue="0" maxValue="102"/>
    </cacheField>
    <cacheField name="Geo-cells (m²)" numFmtId="0">
      <sharedItems containsString="0" containsBlank="1" containsNumber="1" containsInteger="1" minValue="0" maxValue="0"/>
    </cacheField>
    <cacheField name="Barb Wire Fence (m)" numFmtId="0">
      <sharedItems containsString="0" containsBlank="1" containsNumber="1" containsInteger="1" minValue="0" maxValue="0"/>
    </cacheField>
    <cacheField name="1.5mm HDPE Liner (m2)" numFmtId="0">
      <sharedItems containsString="0" containsBlank="1" containsNumber="1" containsInteger="1" minValue="0" maxValue="0"/>
    </cacheField>
    <cacheField name="2mm HDPE Liner (m2)" numFmtId="0">
      <sharedItems containsString="0" containsBlank="1" containsNumber="1" containsInteger="1" minValue="0" maxValue="0"/>
    </cacheField>
    <cacheField name="Bentonite (Envirobent) (m3)" numFmtId="0">
      <sharedItems containsString="0" containsBlank="1" containsNumber="1" containsInteger="1" minValue="0" maxValue="0"/>
    </cacheField>
    <cacheField name="MacMat Liner (m2)" numFmtId="0">
      <sharedItems containsString="0" containsBlank="1" containsNumber="1" containsInteger="1" minValue="0" maxValue="0"/>
    </cacheField>
    <cacheField name="Reshaping (ha)" numFmtId="0">
      <sharedItems containsString="0" containsBlank="1" containsNumber="1" containsInteger="1" minValue="0" maxValue="0"/>
    </cacheField>
    <cacheField name="Scarifying Earthworks (ha)" numFmtId="0">
      <sharedItems containsString="0" containsBlank="1" containsNumber="1" containsInteger="1" minValue="0" maxValue="0"/>
    </cacheField>
    <cacheField name="Sediment Fences" numFmtId="0">
      <sharedItems containsString="0" containsBlank="1" containsNumber="1" containsInteger="1" minValue="0" maxValue="0"/>
    </cacheField>
    <cacheField name="600 mm Pipe (m)" numFmtId="0">
      <sharedItems containsString="0" containsBlank="1" containsNumber="1" containsInteger="1" minValue="0" maxValue="15"/>
    </cacheField>
    <cacheField name="Wetland Soil Backfill" numFmtId="0">
      <sharedItems containsString="0" containsBlank="1" containsNumber="1" containsInteger="1" minValue="0" maxValue="11500"/>
    </cacheField>
    <cacheField name="Brickwork - 230 mm thick (m²)" numFmtId="0">
      <sharedItems containsString="0" containsBlank="1" containsNumber="1" minValue="0" maxValue="6"/>
    </cacheField>
    <cacheField name="250 mm Diameter uPVC pipe (m)" numFmtId="0">
      <sharedItems containsString="0" containsBlank="1" containsNumber="1" containsInteger="1" minValue="0" maxValue="265"/>
    </cacheField>
    <cacheField name="Manholes 1000 mm diameter pre-cast (No.)" numFmtId="0">
      <sharedItems containsString="0" containsBlank="1" containsNumber="1" containsInteger="1" minValue="0" maxValue="4"/>
    </cacheField>
    <cacheField name="Vegetation clearing (m)" numFmtId="0">
      <sharedItems containsString="0" containsBlank="1" containsNumber="1" containsInteger="1" minValue="0" maxValue="265"/>
    </cacheField>
    <cacheField name="Top soil removal (m²)" numFmtId="0">
      <sharedItems containsString="0" containsBlank="1" containsNumber="1" minValue="0" maxValue="185.5"/>
    </cacheField>
    <cacheField name="Excavation of trench (m)" numFmtId="0">
      <sharedItems containsString="0" containsBlank="1" containsNumber="1" containsInteger="1" minValue="0" maxValue="265"/>
    </cacheField>
    <cacheField name="Make up deficiency in backfill material (m³)" numFmtId="0">
      <sharedItems containsString="0" containsBlank="1" containsNumber="1" minValue="0" maxValue="5"/>
    </cacheField>
    <cacheField name="Clear and Grub (m²)" numFmtId="0">
      <sharedItems containsString="0" containsBlank="1" containsNumber="1" containsInteger="1" minValue="0" maxValue="1700"/>
    </cacheField>
    <cacheField name="Remove and large trees and trees stumps  (No.)" numFmtId="0">
      <sharedItems containsString="0" containsBlank="1" containsNumber="1" containsInteger="1" minValue="0" maxValue="5"/>
    </cacheField>
    <cacheField name="Create new temporary access road (m)" numFmtId="0">
      <sharedItems containsString="0" containsBlank="1" containsNumber="1" containsInteger="1" minValue="0" maxValue="0"/>
    </cacheField>
    <cacheField name="Upgrade existing access road (m)" numFmtId="0">
      <sharedItems containsString="0" containsBlank="1" containsNumber="1" containsInteger="1" minValue="0" maxValue="0"/>
    </cacheField>
    <cacheField name="Maintain existing access road (m)" numFmtId="0">
      <sharedItems containsString="0" containsBlank="1" containsNumber="1" minValue="0" maxValue="6440.9"/>
    </cacheField>
    <cacheField name="250 mm Diam. Rsv Gate Valve (No.)" numFmtId="0">
      <sharedItems containsString="0" containsBlank="1" containsNumber="1" containsInteger="1" minValue="1" maxValue="1"/>
    </cacheField>
    <cacheField name="Bends uPVC Class 6 socketed (No.)" numFmtId="0">
      <sharedItems containsString="0" containsBlank="1" containsNumber="1" containsInteger="1" minValue="2" maxValue="2"/>
    </cacheField>
    <cacheField name="Cast Iron Flange Adaptors (No.)" numFmtId="0">
      <sharedItems containsString="0" containsBlank="1" containsNumber="1" containsInteger="1" minValue="2" maxValue="2"/>
    </cacheField>
    <cacheField name="38mm Fiberglass Grating (m²)" numFmtId="0">
      <sharedItems containsString="0" containsBlank="1" containsNumber="1" minValue="0.5" maxValue="0.5"/>
    </cacheField>
    <cacheField name="250 mm Steel pipe with removable stop end (No.)" numFmtId="0">
      <sharedItems containsString="0" containsBlank="1" containsNumber="1" containsInteger="1" minValue="1" maxValue="1"/>
    </cacheField>
    <cacheField name="?????? (*)" numFmtId="0">
      <sharedItems containsNonDate="0" containsString="0" containsBlank="1"/>
    </cacheField>
    <cacheField name="??????? (*)" numFmtId="0">
      <sharedItems containsNonDate="0" containsString="0" containsBlank="1"/>
    </cacheField>
    <cacheField name="???????? (*)" numFmtId="0">
      <sharedItems containsNonDate="0" containsString="0" containsBlank="1"/>
    </cacheField>
    <cacheField name="????????? (*)" numFmtId="0">
      <sharedItems containsNonDate="0" containsString="0" containsBlank="1"/>
    </cacheField>
    <cacheField name="a) Excavation (Remove Top Soil)2" numFmtId="164">
      <sharedItems containsSemiMixedTypes="0" containsString="0" containsNumber="1" minValue="0" maxValue="30161.549999999996"/>
    </cacheField>
    <cacheField name="b) Excavation (non-restricted)2" numFmtId="164">
      <sharedItems containsSemiMixedTypes="0" containsString="0" containsNumber="1" minValue="0" maxValue="132568.33333333334"/>
    </cacheField>
    <cacheField name="ci)Excavation (Extra-over intermediate)2" numFmtId="164">
      <sharedItems containsSemiMixedTypes="0" containsString="0" containsNumber="1" minValue="0" maxValue="2432.6812500000001"/>
    </cacheField>
    <cacheField name="cii)Excavation (Extra-over Hard Rock)2" numFmtId="164">
      <sharedItems containsSemiMixedTypes="0" containsString="0" containsNumber="1" containsInteger="1" minValue="0" maxValue="0"/>
    </cacheField>
    <cacheField name="ciii) Excavation (Bolders-B)2" numFmtId="164">
      <sharedItems containsSemiMixedTypes="0" containsString="0" containsNumber="1" containsInteger="1" minValue="0" maxValue="0"/>
    </cacheField>
    <cacheField name="a) Excavation 2" numFmtId="164">
      <sharedItems containsSemiMixedTypes="0" containsString="0" containsNumber="1" minValue="0" maxValue="93330"/>
    </cacheField>
    <cacheField name="bi)Excavation (Extra-over intermediate)2" numFmtId="164">
      <sharedItems containsSemiMixedTypes="0" containsString="0" containsNumber="1" minValue="0" maxValue="4934.5650000000005"/>
    </cacheField>
    <cacheField name="bii)Excavation (Extra-over Hard Rock)2" numFmtId="164">
      <sharedItems containsSemiMixedTypes="0" containsString="0" containsNumber="1" minValue="0" maxValue="7117.9319999999998"/>
    </cacheField>
    <cacheField name="Cost of Top Soiling" numFmtId="164">
      <sharedItems containsSemiMixedTypes="0" containsString="0" containsNumber="1" minValue="0" maxValue="33500"/>
    </cacheField>
    <cacheField name="Cost of Re-Vegetation" numFmtId="164">
      <sharedItems containsSemiMixedTypes="0" containsString="0" containsNumber="1" minValue="0" maxValue="382000"/>
    </cacheField>
    <cacheField name="Cost of Overhaul" numFmtId="164">
      <sharedItems containsSemiMixedTypes="0" containsString="0" containsNumber="1" minValue="0" maxValue="24634.113888"/>
    </cacheField>
    <cacheField name="Cost of Concrete" numFmtId="164">
      <sharedItems containsSemiMixedTypes="0" containsString="0" containsNumber="1" minValue="0" maxValue="189886.4"/>
    </cacheField>
    <cacheField name="BLINDING LAYER (m2)" numFmtId="164">
      <sharedItems containsSemiMixedTypes="0" containsString="0" containsNumber="1" minValue="0" maxValue="30491.999999999996"/>
    </cacheField>
    <cacheField name="High Tensile" numFmtId="164">
      <sharedItems containsSemiMixedTypes="0" containsString="0" containsNumber="1" containsInteger="1" minValue="0" maxValue="1764"/>
    </cacheField>
    <cacheField name="Mild Tensile" numFmtId="164">
      <sharedItems containsSemiMixedTypes="0" containsString="0" containsNumber="1" containsInteger="1" minValue="0" maxValue="0"/>
    </cacheField>
    <cacheField name="Welded Mesh" numFmtId="164">
      <sharedItems containsSemiMixedTypes="0" containsString="0" containsNumber="1" minValue="0" maxValue="3437.4719999999998"/>
    </cacheField>
    <cacheField name="Cost of Formwork" numFmtId="164">
      <sharedItems containsSemiMixedTypes="0" containsString="0" containsNumber="1" minValue="0" maxValue="112130.4675565629"/>
    </cacheField>
    <cacheField name="Cost of Unformed Surface Finishes" numFmtId="164">
      <sharedItems containsSemiMixedTypes="0" containsString="0" containsNumber="1" minValue="0" maxValue="450"/>
    </cacheField>
    <cacheField name="Cost of Concrete complete w Formwork" numFmtId="164">
      <sharedItems containsSemiMixedTypes="0" containsString="0" containsNumber="1" containsInteger="1" minValue="0" maxValue="69225"/>
    </cacheField>
    <cacheField name="Cost of M200 Blocks" numFmtId="164">
      <sharedItems containsSemiMixedTypes="0" containsString="0" containsNumber="1" containsInteger="1" minValue="0" maxValue="0"/>
    </cacheField>
    <cacheField name="Earthen material2" numFmtId="164">
      <sharedItems containsSemiMixedTypes="0" containsString="0" containsNumber="1" minValue="0" maxValue="2904000"/>
    </cacheField>
    <cacheField name="Granular Fill Material2" numFmtId="164">
      <sharedItems containsSemiMixedTypes="0" containsString="0" containsNumber="1" minValue="0" maxValue="900.00000000000011"/>
    </cacheField>
    <cacheField name="Cost of Gabions" numFmtId="164">
      <sharedItems containsSemiMixedTypes="0" containsString="0" containsNumber="1" containsInteger="1" minValue="0" maxValue="46975"/>
    </cacheField>
    <cacheField name="Cost of Pitching" numFmtId="164">
      <sharedItems containsSemiMixedTypes="0" containsString="0" containsNumber="1" containsInteger="1" minValue="0" maxValue="37500"/>
    </cacheField>
    <cacheField name="Cost of Geotextile" numFmtId="164">
      <sharedItems containsSemiMixedTypes="0" containsString="0" containsNumber="1" minValue="0" maxValue="2436"/>
    </cacheField>
    <cacheField name="Cost of Rockpack" numFmtId="164">
      <sharedItems containsSemiMixedTypes="0" containsString="0" containsNumber="1" containsInteger="1" minValue="0" maxValue="12000"/>
    </cacheField>
    <cacheField name="Cost of Eco-logs" numFmtId="164">
      <sharedItems containsSemiMixedTypes="0" containsString="0" containsNumber="1" containsInteger="1" minValue="0" maxValue="91800"/>
    </cacheField>
    <cacheField name="Cost of Geo-cells" numFmtId="164">
      <sharedItems containsSemiMixedTypes="0" containsString="0" containsNumber="1" containsInteger="1" minValue="0" maxValue="0"/>
    </cacheField>
    <cacheField name="Cost of Barb Wire Fencing ( R)" numFmtId="164">
      <sharedItems containsSemiMixedTypes="0" containsString="0" containsNumber="1" containsInteger="1" minValue="0" maxValue="0"/>
    </cacheField>
    <cacheField name="Cost of HDPE Liner" numFmtId="164">
      <sharedItems containsSemiMixedTypes="0" containsString="0" containsNumber="1" containsInteger="1" minValue="0" maxValue="0"/>
    </cacheField>
    <cacheField name="Envirobent (or equiv.)" numFmtId="164">
      <sharedItems containsSemiMixedTypes="0" containsString="0" containsNumber="1" containsInteger="1" minValue="0" maxValue="0"/>
    </cacheField>
    <cacheField name="Cost of MacMat Liner ( R)" numFmtId="164">
      <sharedItems containsSemiMixedTypes="0" containsString="0" containsNumber="1" containsInteger="1" minValue="0" maxValue="0"/>
    </cacheField>
    <cacheField name="Cost of Reshaping (R )" numFmtId="164">
      <sharedItems containsSemiMixedTypes="0" containsString="0" containsNumber="1" containsInteger="1" minValue="0" maxValue="0"/>
    </cacheField>
    <cacheField name="Scarifying Cost of earthworks (R )" numFmtId="164">
      <sharedItems containsSemiMixedTypes="0" containsString="0" containsNumber="1" containsInteger="1" minValue="0" maxValue="0"/>
    </cacheField>
    <cacheField name="Cost of Sediment Fences (R )" numFmtId="164">
      <sharedItems containsSemiMixedTypes="0" containsString="0" containsNumber="1" containsInteger="1" minValue="0" maxValue="0"/>
    </cacheField>
    <cacheField name="600 mm Diam Pipe Cost" numFmtId="164">
      <sharedItems containsSemiMixedTypes="0" containsString="0" containsNumber="1" containsInteger="1" minValue="0" maxValue="15000"/>
    </cacheField>
    <cacheField name="Cost of Wetland soil backfill" numFmtId="164">
      <sharedItems containsSemiMixedTypes="0" containsString="0" containsNumber="1" containsInteger="1" minValue="0" maxValue="575000"/>
    </cacheField>
    <cacheField name="Cost of Brickwork - 230 mm thick" numFmtId="164">
      <sharedItems containsSemiMixedTypes="0" containsString="0" containsNumber="1" minValue="0" maxValue="4500"/>
    </cacheField>
    <cacheField name="Cost of 250 mm Diameter uPVC pipe" numFmtId="164">
      <sharedItems containsSemiMixedTypes="0" containsString="0" containsNumber="1" containsInteger="1" minValue="0" maxValue="132500"/>
    </cacheField>
    <cacheField name="Cost of Manholes 1000 mm diameter pre-cast" numFmtId="164">
      <sharedItems containsSemiMixedTypes="0" containsString="0" containsNumber="1" containsInteger="1" minValue="0" maxValue="30000"/>
    </cacheField>
    <cacheField name="Cost of Vegetation clearing" numFmtId="164">
      <sharedItems containsSemiMixedTypes="0" containsString="0" containsNumber="1" containsInteger="1" minValue="0" maxValue="26500"/>
    </cacheField>
    <cacheField name="Cost of Top soil removal" numFmtId="164">
      <sharedItems containsSemiMixedTypes="0" containsString="0" containsNumber="1" containsInteger="1" minValue="0" maxValue="2226"/>
    </cacheField>
    <cacheField name="Cost of Excavation of trench" numFmtId="164">
      <sharedItems containsSemiMixedTypes="0" containsString="0" containsNumber="1" containsInteger="1" minValue="0" maxValue="13250"/>
    </cacheField>
    <cacheField name="Cost of Make up deficiency in backfill material" numFmtId="164">
      <sharedItems containsSemiMixedTypes="0" containsString="0" containsNumber="1" containsInteger="1" minValue="0" maxValue="1500"/>
    </cacheField>
    <cacheField name="Cost of Clear and Grub" numFmtId="164">
      <sharedItems containsSemiMixedTypes="0" containsString="0" containsNumber="1" containsInteger="1" minValue="0" maxValue="17000"/>
    </cacheField>
    <cacheField name="Cost of Remove and large trees and trees stumps " numFmtId="164">
      <sharedItems containsSemiMixedTypes="0" containsString="0" containsNumber="1" containsInteger="1" minValue="0" maxValue="7500"/>
    </cacheField>
    <cacheField name="Cost of Create new temporary access road" numFmtId="164">
      <sharedItems containsSemiMixedTypes="0" containsString="0" containsNumber="1" containsInteger="1" minValue="0" maxValue="0"/>
    </cacheField>
    <cacheField name="Cost of Upgrade existing access road" numFmtId="164">
      <sharedItems containsSemiMixedTypes="0" containsString="0" containsNumber="1" containsInteger="1" minValue="0" maxValue="0"/>
    </cacheField>
    <cacheField name="Cost of Maintain existing access road" numFmtId="164">
      <sharedItems containsSemiMixedTypes="0" containsString="0" containsNumber="1" minValue="0" maxValue="32204.5"/>
    </cacheField>
    <cacheField name="Cost of 250 mm Diam. Rsv Gate Valve" numFmtId="164">
      <sharedItems containsSemiMixedTypes="0" containsString="0" containsNumber="1" containsInteger="1" minValue="0" maxValue="12500"/>
    </cacheField>
    <cacheField name="Cost of Bends uPVC Class 6 socketed" numFmtId="164">
      <sharedItems containsSemiMixedTypes="0" containsString="0" containsNumber="1" containsInteger="1" minValue="0" maxValue="6000"/>
    </cacheField>
    <cacheField name="Cost of Cast Iron Flange Adaptors" numFmtId="164">
      <sharedItems containsSemiMixedTypes="0" containsString="0" containsNumber="1" containsInteger="1" minValue="0" maxValue="3600"/>
    </cacheField>
    <cacheField name="Cost of 38mm Fiberglass Grating" numFmtId="164">
      <sharedItems containsSemiMixedTypes="0" containsString="0" containsNumber="1" containsInteger="1" minValue="0" maxValue="1500"/>
    </cacheField>
    <cacheField name="Cost of 250 mm Steel pipe with removable stop end" numFmtId="164">
      <sharedItems containsSemiMixedTypes="0" containsString="0" containsNumber="1" containsInteger="1" minValue="0" maxValue="0"/>
    </cacheField>
    <cacheField name="Cost of ??????" numFmtId="164">
      <sharedItems containsSemiMixedTypes="0" containsString="0" containsNumber="1" containsInteger="1" minValue="0" maxValue="0"/>
    </cacheField>
    <cacheField name="Cost of ???????" numFmtId="164">
      <sharedItems containsSemiMixedTypes="0" containsString="0" containsNumber="1" containsInteger="1" minValue="0" maxValue="0"/>
    </cacheField>
    <cacheField name="Cost of ????????" numFmtId="164">
      <sharedItems containsSemiMixedTypes="0" containsString="0" containsNumber="1" containsInteger="1" minValue="0" maxValue="0"/>
    </cacheField>
    <cacheField name="Cost of ?????????" numFmtId="164">
      <sharedItems containsSemiMixedTypes="0" containsString="0" containsNumber="1" containsInteger="1" minValue="0" maxValue="0"/>
    </cacheField>
    <cacheField name="Cost Summary " numFmtId="164">
      <sharedItems containsSemiMixedTypes="0" containsString="0" containsNumber="1" minValue="903.90583018850941" maxValue="3653000"/>
    </cacheField>
    <cacheField name="Year 1 Est. Cost" numFmtId="164">
      <sharedItems containsMixedTypes="1" containsNumber="1" minValue="958.14017999982002" maxValue="920981"/>
    </cacheField>
    <cacheField name="Year 2 Est. Cost" numFmtId="164">
      <sharedItems/>
    </cacheField>
    <cacheField name="Year 3 Est. Cost" numFmtId="164">
      <sharedItems containsMixedTypes="1" containsNumber="1" minValue="3768.7206977255655" maxValue="687962.04621920013"/>
    </cacheField>
    <cacheField name="Year 4 Est. Cost" numFmtId="164">
      <sharedItems/>
    </cacheField>
    <cacheField name="Year 5 Est. Cost" numFmtId="164">
      <sharedItems containsMixedTypes="1" containsNumber="1" minValue="43096.885613819213" maxValue="43096.885613819213"/>
    </cacheField>
    <cacheField name="Year 6 Est. Cost" numFmtId="164">
      <sharedItems/>
    </cacheField>
    <cacheField name="Year 7 Est. Cost" numFmtId="164">
      <sharedItems/>
    </cacheField>
    <cacheField name="Year 8 Est. Cost" numFmtId="164">
      <sharedItems containsMixedTypes="1" containsNumber="1" minValue="72356.074231849736" maxValue="5822327.0162611669"/>
    </cacheField>
    <cacheField name="Year 9 Est. Cost" numFmtId="164">
      <sharedItems/>
    </cacheField>
    <cacheField name="Year 10 Est. Cost" numFmtId="164">
      <sharedItems/>
    </cacheField>
    <cacheField name="Year 11 Est. Cost" numFmtId="164">
      <sharedItems/>
    </cacheField>
    <cacheField name="Year 12 Est. Cost" numFmtId="164">
      <sharedItems/>
    </cacheField>
    <cacheField name="Year 13 Est. Cost" numFmtId="164">
      <sharedItems/>
    </cacheField>
    <cacheField name="Year 14 Est. Cost" numFmtId="164">
      <sharedItems/>
    </cacheField>
    <cacheField name="Year 15 Est. Cost" numFmtId="164">
      <sharedItems/>
    </cacheField>
    <cacheField name="a) Excavation (Remove Top Soil)3" numFmtId="0">
      <sharedItems count="101" longText="1">
        <s v=" "/>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DS12_001-Excavation of Dam Wall  \m²\1251.40232690631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DS12_002-Backfilling Dam  \m²\995.487318191585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DS12_003-Excavation of Dam Wall  \m²\621.569611479008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1-002a-Concrete Drop Inlet on Dam Wall  \m²\31.8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1-002c-Dam wall excavation. Drawing NBC-GTW-CL-0067 \m²\1870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1-004a-Concrete Drop Inlet on Dam Wall  \m²\31.8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1-004c-Dam wall excavation. Drawing NBC-GTW-CL-0068 \m²\1200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2_002-Concrete Drop Inlet. Drawing NBC-GTW-CL-0002 \m²\30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2_003-Removal of Berm and Dam Wall  \m²\1876.14315788985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2_004-Concrete Drop Inlet. Drawing NBC-GTW-CL-0003 \m²\21.76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2_005-Concrete Drop Inlet. Drawing NBC-GTW-CL-0004 \m²\21.92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2_006-Concrete Drop Inlet. Drawing NBC-GTW-CL-0005 \m²\21.44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2_007-Concrete Drop Inlet. Drawing NBC-GTW-CL-0006 \m²\21.92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2_008-Concrete Drop Inlet. Drawing NBC-GTW-CL-0007 \m²\21.44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2_009-Concrete Drop Inlet. Drawing NBC-GTW-CL-0008 \m²\21.44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2_010-Removal of Dam Wall  \m²\619.185479905302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3_001-Infilling of Drains  \m²\1148.93998599451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3_002-Infilling of Drains  \m²\85.816653826392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3_003-Concrete Drop Inlet. Drawing NBC-GTW-CL-0009 \m²\23.2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3_009-Infilling of Drains  \m²\78.5716708603933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3_010-Removal of Berm  \m²\1868.09496857721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3_014-Infilling of Drains  \m²\278.716598321288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3_016-Infilling of Drains  \m²\332.18699875976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5_003-Removal of Dam Wall  \m²\619.289401121074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5-002-Backfill Main Channel  \m²\3846.97837810187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6_001-Earthen berm  \m²\494.873340531892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6_002-Excavate Dam Wall  \m²\400.2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6_004-Earthen berm  \m²\494.089808285138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8-021-Backfill Main Channel  \m²\3294.95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9_002-Concrete Drop Inlet. Drawing NBC-GTW-CL-0026 \m²\20.96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9_006-Removal of Dam Wall  \m²\3134.04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9_007-Infilling of Drains  \m²\191.419859738212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20_001-Concrete Drop Inlet. Drawing NBC-GTW-CL-0027 \m²\23.52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20_009_b-Concrete Check Wall. Drawing NBC-GTW-CL-0035 \m²\60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20_009_c-Removal of Earthen Berm. Drawing NBC-GTW-CL-0035 \m²\69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21_001-10° sloped Grouted Pitching (Light). Drawing NBC-GTW-CL-0038 \m²\38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21_003-Concrete Drop Inlet. Drawing NBC-GTW-CL-0039 \m²\22.24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21_005-Concrete Drop Inlet. Drawing NBC-GTW-CL-0040 \m²\22,24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21-010-Backfilling Main Channel. Drawing No Drawing \m²\2320,5501703847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21-002-Earthworks  \m²\340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21-004-Infilling of drain  \m²\112,305322126996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21-008-Infilling of drain  \m²\110,103362133363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LS08_001-Removal of Berm  \m²\148.532778078669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LS12_001-Removal of dam wall  \m²\2917.70393453744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LS12_002-Removal of Berm  \m²\133.158114034667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LS16_015-Earthworks (Reinforce Dam Wall)  \m²\567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LS16_021-Backfill Main Channel and reshaping  \m²\6032.31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Pan09_001-Removal of Dam Wall  \m²\977.744753861606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Pan14_004-Infilling of Drains  \m²\380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Pan14_005-Infilling of Drains  \m²\461.040922287129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Pan14_006-Earthen Berms  \m²\190.755332217041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Pan14_007-Infilling of Drains  \m²\168.280230740355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Pan14_008-Infilling of Drains  \m²\108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Pan14_009-Infilling of Drains  \m²\139.612870262106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Pan14_011-Infilling of Drains  \m²\4365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Pan14-001-Reinstate Pan Edge  \m²\367.230725070567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Pan14-002-Remove Berm  \m²\198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Pan14-003-Remove berm and backfill drain  \m²\2365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Pan8_002-Infilling of Drains  \m²\320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Pan8_004-Removal of Berm  \m²\34.9811660377019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8_001-Concrete Drop Inlet. Drawing NBC-GTW-CL-0019 \m²\23.84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20_007-Concrete Drop Inlet. Drawing NBC-GTW-CL-0033 \m²\23.04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20_002-Concrete Drop Inlet. Drawing NBC-GTW-CL-0028 \m²\24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6_001-Infilling of Drains  \m²\494.873340531892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8_002-Concrete Drop Inlet. Drawing NBC-GTW-CL-0020 \m²\17.52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20_009_c-Earthen Berm. Drawing NBC-GTW-CL-0035 \m²\69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21_001-10° sloped Grouted Pitching (Light). Drawing NBC-GTW-CL-0038 \m²\32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20_003-Concrete Buttress Weir. Drawing NBC-GTW-CL-0029 \m²\26.68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21-004-Earthworks  \m²\112.305322126996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21_006-Concrete Drop Inlet. Drawing NBC-GTW-CL-0041 \m²\21.6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21_007-Concrete Drop Inlet. Drawing NBC-GTW-CL-0042 \m²\21.6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5_001-Fish Bowl  \m²\504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3_004-Concrete Drop Inlet. Drawing NBC-GTW-CL-0010 \m²\22.4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21-002-Earthworks  \m²\340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3_012-Concrete Drop Inlet. Drawing NBC-GTW-CL-0016 \m²\23.2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20_008-Concrete Drop Inlet. Drawing NBC-GTW-CL-0034 \m²\23.2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6_004-Infilling of Drains  \m²\494.089808285138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20_009_b-Concrete Overflow Wall. Drawing NBC-GTW-CL-0035 \m²\50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21-008-Infilling of Drain  \m²\110.103362133363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8-014-Concrete Filled Geo-Cell Berm. Drawing NBC-GTW-CL-0001 \m²\31.75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3_005-Concrete Drop Inlet. Drawing NBC-GTW-CL-0011 \m²\21.76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3_006-Concrete Drop Inlet. Drawing NBC-GTW-CL-0012 \m²\21.76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21_005-Concrete Drop Inlet. Drawing NBC-GTW-CL-0040 \m²\21.76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20_009_a-Concrete Buttress Weir. Drawing NBC-GTW-CL-0035 \m²\25.88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3_011-Concrete Drop Inlet. Drawing NBC-GTW-CL-0015 \m²\22.88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8_020-Concrete Drop Inlet associated with Road Culvert  \m²\23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21_009-Concrete Drop Inlet. Drawing NBC-GTW-CL-0043 \m²\21.92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21_010-Concrete Drop Inlet. Drawing NBC-GTW-CL-0044 \m²\21.92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3_013-Concrete Drop Inlet. Drawing NBC-GTW-CL-0017 \m²\22.56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3_015-Concrete Drop Inlet. Drawing NBC-GTW-CL-0018 \m²\22.56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8_015-Concrete Drop Inlet. Drawing NBC-GTW-CL-0021 \m²\23.68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3_007-Concrete Drop Inlet. Drawing NBC-GTW-CL-0013 \m²\22.24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3_008-Concrete Drop Inlet. Drawing NBC-GTW-CL-0014 \m²\22.24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8_019-Concrete Drop Inlet. Drawing NBC-GTW-CL-0025 \m²\22.24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8_016-Concrete Drop Inlet. Drawing NBC-GTW-CL-0022 \m²\23.36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8_017-Concrete Drop Inlet. Drawing NBC-GTW-CL-0023 \m²\23.36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8_018-Concrete Drop Inlet. Drawing NBC-GTW-CL-0024 \m²\23.36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20_004-Concrete Drop Inlet. Drawing NBC-GTW-CL-0030 \m²\23.36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20_005-Concrete Drop Inlet. Drawing NBC-GTW-CL-0031 \m²\23.36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20_006-Concrete Drop Inlet. Drawing NBC-GTW-CL-0032 \m²\23.36 \ 5" u="1"/>
      </sharedItems>
    </cacheField>
    <cacheField name="b) Excavation (non-restricted)3" numFmtId="0">
      <sharedItems count="46">
        <s v=" "/>
        <s v="SABS1200 DA \EARTHWORKS (SMALL WORKS)/8.3\SCHEDULED ITEMS/8.3.1b\Excavate in all materials and use for embankments or backfill or dispose, as ordered by the engineer. /\DS12_001-Excavation of Dam Wall  \m³\1419.11 \ 50"/>
        <s v="SABS1200 DA \EARTHWORKS (SMALL WORKS)/8.3\SCHEDULED ITEMS/8.3.1b\Excavate in all materials and use for embankments or backfill or dispose, as ordered by the engineer. /\DS12_002-Backfilling Dam  \m³\1723.444675 \ 50"/>
        <s v="SABS1200 DA \EARTHWORKS (SMALL WORKS)/8.3\SCHEDULED ITEMS/8.3.1b\Excavate in all materials and use for embankments or backfill or dispose, as ordered by the engineer. /\DS12_003-Excavation of Dam Wall  \m³\659.314 \ 50"/>
        <s v="SABS1200 DA \EARTHWORKS (SMALL WORKS)/8.3\SCHEDULED ITEMS/8.3.1b\Excavate in all materials and use for embankments or backfill or dispose, as ordered by the engineer. /\ks11-002c-Dam wall excavation. Drawing NBC-GTW-CL-0067 \m³\2651.36666666667 \ 50"/>
        <s v="SABS1200 DA \EARTHWORKS (SMALL WORKS)/8.3\SCHEDULED ITEMS/8.3.1b\Excavate in all materials and use for embankments or backfill or dispose, as ordered by the engineer. /\ks11-004c-Dam wall excavation. Drawing NBC-GTW-CL-0068 \m³\665.25 \ 50"/>
        <s v="SABS1200 DA \EARTHWORKS (SMALL WORKS)/8.3\SCHEDULED ITEMS/8.3.1b\Excavate in all materials and use for embankments or backfill or dispose, as ordered by the engineer. /\KS12_003-Removal of Berm and Dam Wall  \m³\801.25656625 \ 50"/>
        <s v="SABS1200 DA \EARTHWORKS (SMALL WORKS)/8.3\SCHEDULED ITEMS/8.3.1b\Excavate in all materials and use for embankments or backfill or dispose, as ordered by the engineer. /\KS12_010-Removal of Dam Wall  \m³\211.894375 \ 50"/>
        <s v="SABS1200 DA \EARTHWORKS (SMALL WORKS)/8.3\SCHEDULED ITEMS/8.3.1b\Excavate in all materials and use for embankments or backfill or dispose, as ordered by the engineer. /\KS13_010-Removal of Berm  \m³\336.92505 \ 50"/>
        <s v="SABS1200 DA \EARTHWORKS (SMALL WORKS)/8.3\SCHEDULED ITEMS/8.3.1b\Excavate in all materials and use for embankments or backfill or dispose, as ordered by the engineer. /\KS13_016-Infilling of Drains  \m³\111.91475 \ 50"/>
        <s v="SABS1200 DA \EARTHWORKS (SMALL WORKS)/8.3\SCHEDULED ITEMS/8.3.1b\Excavate in all materials and use for embankments or backfill or dispose, as ordered by the engineer. /\KS15_003-Removal of Dam Wall  \m³\185.54375 \ 50"/>
        <s v="SABS1200 DA \EARTHWORKS (SMALL WORKS)/8.3\SCHEDULED ITEMS/8.3.1b\Excavate in all materials and use for embankments or backfill or dispose, as ordered by the engineer. /\KS16_002-Excavate Dam Wall  \m³\89.7 \ 50"/>
        <s v="SABS1200 DA \EARTHWORKS (SMALL WORKS)/8.3\SCHEDULED ITEMS/8.3.1b\Excavate in all materials and use for embankments or backfill or dispose, as ordered by the engineer. /\KS19_006-Removal of Dam Wall  \m³\1385.03125 \ 50"/>
        <s v="SABS1200 DA \EARTHWORKS (SMALL WORKS)/8.3\SCHEDULED ITEMS/8.3.1b\Excavate in all materials and use for embankments or backfill or dispose, as ordered by the engineer. /\LS08_001-Removal of Berm  \m³\43.75 \ 50"/>
        <s v="SABS1200 DA \EARTHWORKS (SMALL WORKS)/8.3\SCHEDULED ITEMS/8.3.1b\Excavate in all materials and use for embankments or backfill or dispose, as ordered by the engineer. /\LS12_001-Removal of dam wall  \m³\1696.474 \ 50"/>
        <s v="SABS1200 DA \EARTHWORKS (SMALL WORKS)/8.3\SCHEDULED ITEMS/8.3.1b\Excavate in all materials and use for embankments or backfill or dispose, as ordered by the engineer. /\LS12_002-Removal of Berm  \m³\27.17 \ 50"/>
        <s v="SABS1200 DA \EARTHWORKS (SMALL WORKS)/8.3\SCHEDULED ITEMS/8.3.1b\Excavate in all materials and use for embankments or backfill or dispose, as ordered by the engineer. /\LS16_012-Removal of Road  \m³\161.55 \ 50"/>
        <s v="SABS1200 DA \EARTHWORKS (SMALL WORKS)/8.3\SCHEDULED ITEMS/8.3.1b\Excavate in all materials and use for embankments or backfill or dispose, as ordered by the engineer. /\LS16_020-Removal of Road  \m³\744.2325 \ 50"/>
        <s v="SABS1200 DA \EARTHWORKS (SMALL WORKS)/8.3\SCHEDULED ITEMS/8.3.1b\Excavate in all materials and use for embankments or backfill or dispose, as ordered by the engineer. /\Pan09_001-Removal of Dam Wall  \m³\188 \ 50"/>
        <s v="SABS1200 DA \EARTHWORKS (SMALL WORKS)/8.3\SCHEDULED ITEMS/8.3.1b\Excavate in all materials and use for embankments or backfill or dispose, as ordered by the engineer. /\Pan14_008-Infilling of Drains  \m³\73.44 \ 50"/>
        <s v="SABS1200 DA \EARTHWORKS (SMALL WORKS)/8.3\SCHEDULED ITEMS/8.3.1b\Excavate in all materials and use for embankments or backfill or dispose, as ordered by the engineer. /\Pan14-003-Remove berm and backfill drain  \m³\435.82 \ 50"/>
        <s v="SABS1200 DA \EARTHWORKS (SMALL WORKS)/8.3\SCHEDULED ITEMS/8.3.1b\Excavate in all materials and use for embankments or backfill or dispose, as ordered by the engineer. /\KS13_016-Infilling of Drains  \m³\111.91475 \ 30" u="1"/>
        <s v="SABS1200 DA \EARTHWORKS (SMALL WORKS)/8.3\SCHEDULED ITEMS/8.3.1b\Excavate in all materials and use for embankments or backfill or dispose, as ordered by the engineer. /\Pan14_008-Infilling of Drains  \m³\73.44 \ 30" u="1"/>
        <s v="SABS1200 DA \EARTHWORKS (SMALL WORKS)/8.3\SCHEDULED ITEMS/8.3.1b\Excavate in all materials and use for embankments or backfill or dispose, as ordered by the engineer. /\DS12_003-Excavation of Dam Wall  \m³\659.314 \ 30" u="1"/>
        <s v="SABS1200 DA \EARTHWORKS (SMALL WORKS)/8.3\SCHEDULED ITEMS/8.3.1b\Excavate in all materials and use for embankments or backfill or dispose, as ordered by the engineer. /\KS19_006-Removal of Dam Wall  \m³\1385.03125 \ 30" u="1"/>
        <s v="SABS1200 DA \EARTHWORKS (SMALL WORKS)/8.3\SCHEDULED ITEMS/8.3.1b\Excavate in all materials and use for embankments or backfill or dispose, as ordered by the engineer. /\Pan8_004-Removal of Berm  \m³\5.4 \ 30" u="1"/>
        <s v="SABS1200 DA \EARTHWORKS (SMALL WORKS)/8.3\SCHEDULED ITEMS/8.3.1b\Excavate in all materials and use for embankments or backfill or dispose, as ordered by the engineer. /\Pan8_001-Foreign Materials  \m³\18.9 \ 30" u="1"/>
        <s v="SABS1200 DA \EARTHWORKS (SMALL WORKS)/8.3\SCHEDULED ITEMS/8.3.1b\Excavate in all materials and use for embankments or backfill or dispose, as ordered by the engineer. /\LS08_001-Removal of Berm  \m³\43.75 \ 30" u="1"/>
        <s v="SABS1200 DA \EARTHWORKS (SMALL WORKS)/8.3\SCHEDULED ITEMS/8.3.1b\Excavate in all materials and use for embankments or backfill or dispose, as ordered by the engineer. /\KS13_010-Removal of Berm  \m³\336.92505 \ 30" u="1"/>
        <s v="SABS1200 DA \EARTHWORKS (SMALL WORKS)/8.3\SCHEDULED ITEMS/8.3.1b\Excavate in all materials and use for embankments or backfill or dispose, as ordered by the engineer. /\KS16_002-Excavate Dam Wall  \m³\89.7 \ 30" u="1"/>
        <s v="SABS1200 DA \EARTHWORKS (SMALL WORKS)/8.3\SCHEDULED ITEMS/8.3.1b\Excavate in all materials and use for embankments or backfill or dispose, as ordered by the engineer. /\Pan14_011-Infilling of Drains  \m³\582 \ 30" u="1"/>
        <s v="SABS1200 DA \EARTHWORKS (SMALL WORKS)/8.3\SCHEDULED ITEMS/8.3.1b\Excavate in all materials and use for embankments or backfill or dispose, as ordered by the engineer. /\Pan14-002-Remove Berm  \m³\49.41 \ 30" u="1"/>
        <s v="SABS1200 DA \EARTHWORKS (SMALL WORKS)/8.3\SCHEDULED ITEMS/8.3.1b\Excavate in all materials and use for embankments or backfill or dispose, as ordered by the engineer. /\LS16_020-Removal of Road  \m³\744.2325 \ 30" u="1"/>
        <s v="SABS1200 DA \EARTHWORKS (SMALL WORKS)/8.3\SCHEDULED ITEMS/8.3.1b\Excavate in all materials and use for embankments or backfill or dispose, as ordered by the engineer. /\DS12_001-Excavation of Dam Wall  \m³\1419.11 \ 30" u="1"/>
        <s v="SABS1200 DA \EARTHWORKS (SMALL WORKS)/8.3\SCHEDULED ITEMS/8.3.1b\Excavate in all materials and use for embankments or backfill or dispose, as ordered by the engineer. /\ks11-004c-Dam wall excavation. Drawing NBC-GTW-CL-0068 \m³\665.25 \ 30" u="1"/>
        <s v="SABS1200 DA \EARTHWORKS (SMALL WORKS)/8.3\SCHEDULED ITEMS/8.3.1b\Excavate in all materials and use for embankments or backfill or dispose, as ordered by the engineer. /\KS12_003-Removal of Berm and Dam Wall  \m³\801.25656625 \ 30" u="1"/>
        <s v="SABS1200 DA \EARTHWORKS (SMALL WORKS)/8.3\SCHEDULED ITEMS/8.3.1b\Excavate in all materials and use for embankments or backfill or dispose, as ordered by the engineer. /\LS12_001-Removal of dam wall  \m³\1696.474 \ 30" u="1"/>
        <s v="SABS1200 DA \EARTHWORKS (SMALL WORKS)/8.3\SCHEDULED ITEMS/8.3.1b\Excavate in all materials and use for embankments or backfill or dispose, as ordered by the engineer. /\Pan8_003-Removal of Dam Wall  \m³\324.3575 \ 30" u="1"/>
        <s v="SABS1200 DA \EARTHWORKS (SMALL WORKS)/8.3\SCHEDULED ITEMS/8.3.1b\Excavate in all materials and use for embankments or backfill or dispose, as ordered by the engineer. /\ks11-002c-Dam wall excavation. Drawing NBC-GTW-CL-0067 \m³\2651.36666666667 \ 30" u="1"/>
        <s v="SABS1200 DA \EARTHWORKS (SMALL WORKS)/8.3\SCHEDULED ITEMS/8.3.1b\Excavate in all materials and use for embankments or backfill or dispose, as ordered by the engineer. /\DS12_002-Backfilling Dam  \m³\1723.444675 \ 30" u="1"/>
        <s v="SABS1200 DA \EARTHWORKS (SMALL WORKS)/8.3\SCHEDULED ITEMS/8.3.1b\Excavate in all materials and use for embankments or backfill or dispose, as ordered by the engineer. /\LS16_012-Removal of Road  \m³\161.55 \ 30" u="1"/>
        <s v="SABS1200 DA \EARTHWORKS (SMALL WORKS)/8.3\SCHEDULED ITEMS/8.3.1b\Excavate in all materials and use for embankments or backfill or dispose, as ordered by the engineer. /\KS12_010-Removal of Dam Wall  \m³\211.894375 \ 30" u="1"/>
        <s v="SABS1200 DA \EARTHWORKS (SMALL WORKS)/8.3\SCHEDULED ITEMS/8.3.1b\Excavate in all materials and use for embankments or backfill or dispose, as ordered by the engineer. /\Pan14-003-Remove berm and backfill drain  \m³\435.82 \ 30" u="1"/>
        <s v="SABS1200 DA \EARTHWORKS (SMALL WORKS)/8.3\SCHEDULED ITEMS/8.3.1b\Excavate in all materials and use for embankments or backfill or dispose, as ordered by the engineer. /\Pan09_001-Removal of Dam Wall  \m³\188.47125 \ 30" u="1"/>
        <s v="SABS1200 DA \EARTHWORKS (SMALL WORKS)/8.3\SCHEDULED ITEMS/8.3.1b\Excavate in all materials and use for embankments or backfill or dispose, as ordered by the engineer. /\LS12_002-Removal of Berm  \m³\27.17 \ 30" u="1"/>
        <s v="SABS1200 DA \EARTHWORKS (SMALL WORKS)/8.3\SCHEDULED ITEMS/8.3.1b\Excavate in all materials and use for embankments or backfill or dispose, as ordered by the engineer. /\KS15_003-Removal of Dam Wall  \m³\185.54375 \ 30" u="1"/>
      </sharedItems>
    </cacheField>
    <cacheField name="ci)Excavation (Extra-over intermediate)3" numFmtId="0">
      <sharedItems count="2">
        <s v=" "/>
        <s v="SABS1200 DA \EARTHWORKS (SMALL WORKS)/8.3\SCHEDULED ITEMS/8.3.1c 1\Extra-over for intermediate excavation. (Provisional Quantities)/\Pan8_003-Removal of Dam Wall  \m³\32.43575 \ 75"/>
      </sharedItems>
    </cacheField>
    <cacheField name="cii)Excavation (Extra-over Hard Rock)3" numFmtId="0">
      <sharedItems count="1">
        <s v=" "/>
      </sharedItems>
    </cacheField>
    <cacheField name="ciii) Excavation (Bolders-B)3" numFmtId="0">
      <sharedItems count="1">
        <s v=" "/>
      </sharedItems>
    </cacheField>
    <cacheField name="a) Excavation 3" numFmtId="0">
      <sharedItems count="225" longText="1">
        <s v="SABS1200 DA \EARTHWORKS (SMALL WORKS)/8.3\SCHEDULED ITEMS/8.3.2a\Excavate for restricted foundations, footings and trenches  in all materials and use for embankments or backfill or dispose. /\DS12_004-Removal of earthen material  \m³\523.01728 \ 85"/>
        <s v=" "/>
        <s v="SABS1200 DA \EARTHWORKS (SMALL WORKS)/8.3\SCHEDULED ITEMS/8.3.2a\Excavate for restricted foundations, footings and trenches  in all materials and use for embankments or backfill or dispose. /\ks11-001-Off-take structure  \m³\4 \ 85"/>
        <s v="SABS1200 DA \EARTHWORKS (SMALL WORKS)/8.3\SCHEDULED ITEMS/8.3.2a\Excavate for restricted foundations, footings and trenches  in all materials and use for embankments or backfill or dispose. /\ks11-002a-Concrete Drop Inlet on Dam Wall  \m³\394.7652 \ 85"/>
        <s v="SABS1200 DA \EARTHWORKS (SMALL WORKS)/8.3\SCHEDULED ITEMS/8.3.2a\Excavate for restricted foundations, footings and trenches  in all materials and use for embankments or backfill or dispose. /\ks11-002b-Concrete Splash Through Structure. Drawing NBC-GTW-CL-0067 \m³\210 \ 85"/>
        <s v="SABS1200 DA \EARTHWORKS (SMALL WORKS)/8.3\SCHEDULED ITEMS/8.3.2a\Excavate for restricted foundations, footings and trenches  in all materials and use for embankments or backfill or dispose. /\ks11-004a-Concrete Drop Inlet on Dam Wall  \m³\355.8966 \ 85"/>
        <s v="SABS1200 DA \EARTHWORKS (SMALL WORKS)/8.3\SCHEDULED ITEMS/8.3.2a\Excavate for restricted foundations, footings and trenches  in all materials and use for embankments or backfill or dispose. /\ks11-004b-Concrete Splash Through Structure. Drawing NBC-GTW-CL-0068 \m³\210 \ 85"/>
        <s v="SABS1200 DA \EARTHWORKS (SMALL WORKS)/8.3\SCHEDULED ITEMS/8.3.2a\Excavate for restricted foundations, footings and trenches  in all materials and use for embankments or backfill or dispose. /\KS12_001-Pipe Culvert. Drawing NBC-GTW-CL-0069 \m³\2 \ 85"/>
        <s v="SABS1200 DA \EARTHWORKS (SMALL WORKS)/8.3\SCHEDULED ITEMS/8.3.2a\Excavate for restricted foundations, footings and trenches  in all materials and use for embankments or backfill or dispose. /\KS12_002-Concrete Drop Inlet. Drawing NBC-GTW-CL-0002 \m³\37 \ 85"/>
        <s v="SABS1200 DA \EARTHWORKS (SMALL WORKS)/8.3\SCHEDULED ITEMS/8.3.2a\Excavate for restricted foundations, footings and trenches  in all materials and use for embankments or backfill or dispose. /\KS12_004-Concrete Drop Inlet. Drawing NBC-GTW-CL-0003 \m³\36.6111 \ 85"/>
        <s v="SABS1200 DA \EARTHWORKS (SMALL WORKS)/8.3\SCHEDULED ITEMS/8.3.2a\Excavate for restricted foundations, footings and trenches  in all materials and use for embankments or backfill or dispose. /\KS12_005-Concrete Drop Inlet. Drawing NBC-GTW-CL-0004 \m³\36.4286202 \ 85"/>
        <s v="SABS1200 DA \EARTHWORKS (SMALL WORKS)/8.3\SCHEDULED ITEMS/8.3.2a\Excavate for restricted foundations, footings and trenches  in all materials and use for embankments or backfill or dispose. /\KS12_006-Concrete Drop Inlet. Drawing NBC-GTW-CL-0005 \m³\31.948975 \ 85"/>
        <s v="SABS1200 DA \EARTHWORKS (SMALL WORKS)/8.3\SCHEDULED ITEMS/8.3.2a\Excavate for restricted foundations, footings and trenches  in all materials and use for embankments or backfill or dispose. /\KS12_007-Concrete Drop Inlet. Drawing NBC-GTW-CL-0006 \m³\47.313325 \ 85"/>
        <s v="SABS1200 DA \EARTHWORKS (SMALL WORKS)/8.3\SCHEDULED ITEMS/8.3.2a\Excavate for restricted foundations, footings and trenches  in all materials and use for embankments or backfill or dispose. /\KS12_008-Concrete Drop Inlet. Drawing NBC-GTW-CL-0007 \m³\33.21409 \ 85"/>
        <s v="SABS1200 DA \EARTHWORKS (SMALL WORKS)/8.3\SCHEDULED ITEMS/8.3.2a\Excavate for restricted foundations, footings and trenches  in all materials and use for embankments or backfill or dispose. /\KS12_009-Concrete Drop Inlet. Drawing NBC-GTW-CL-0008 \m³\21.46164 \ 85"/>
        <s v="SABS1200 DA \EARTHWORKS (SMALL WORKS)/8.3\SCHEDULED ITEMS/8.3.2a\Excavate for restricted foundations, footings and trenches  in all materials and use for embankments or backfill or dispose. /\KS13_003-Concrete Drop Inlet. Drawing NBC-GTW-CL-0009 \m³\44.0325 \ 85"/>
        <s v="SABS1200 DA \EARTHWORKS (SMALL WORKS)/8.3\SCHEDULED ITEMS/8.3.2a\Excavate for restricted foundations, footings and trenches  in all materials and use for embankments or backfill or dispose. /\KS13_004-Concrete Check Wall. Drawing NBC-GTW-CL-0010 \m³\5.322 \ 85"/>
        <s v="SABS1200 DA \EARTHWORKS (SMALL WORKS)/8.3\SCHEDULED ITEMS/8.3.2a\Excavate for restricted foundations, footings and trenches  in all materials and use for embankments or backfill or dispose. /\KS13_005-Concrete Check Wall. Drawing NBC-GTW-CL-0011 \m³\7.482 \ 85"/>
        <s v="SABS1200 DA \EARTHWORKS (SMALL WORKS)/8.3\SCHEDULED ITEMS/8.3.2a\Excavate for restricted foundations, footings and trenches  in all materials and use for embankments or backfill or dispose. /\KS13_006-Concrete Check Wall. Drawing NBC-GTW-CL-0012 \m³\7.4025 \ 85"/>
        <s v="SABS1200 DA \EARTHWORKS (SMALL WORKS)/8.3\SCHEDULED ITEMS/8.3.2a\Excavate for restricted foundations, footings and trenches  in all materials and use for embankments or backfill or dispose. /\KS13_007-Concrete Check Wall. Drawing NBC-GTW-CL-0013 \m³\5.8575 \ 85"/>
        <s v="SABS1200 DA \EARTHWORKS (SMALL WORKS)/8.3\SCHEDULED ITEMS/8.3.2a\Excavate for restricted foundations, footings and trenches  in all materials and use for embankments or backfill or dispose. /\KS13_008-Concrete Check Wall. Drawing NBC-GTW-CL-0014 \m³\7.515 \ 85"/>
        <s v="SABS1200 DA \EARTHWORKS (SMALL WORKS)/8.3\SCHEDULED ITEMS/8.3.2a\Excavate for restricted foundations, footings and trenches  in all materials and use for embankments or backfill or dispose. /\KS13_011-Concrete Check Wall. Drawing NBC-GTW-CL-0015 \m³\6.696 \ 85"/>
        <s v="SABS1200 DA \EARTHWORKS (SMALL WORKS)/8.3\SCHEDULED ITEMS/8.3.2a\Excavate for restricted foundations, footings and trenches  in all materials and use for embankments or backfill or dispose. /\KS13_012-Concrete Check Wall. Drawing NBC-GTW-CL-0016 \m³\6.012 \ 85"/>
        <s v="SABS1200 DA \EARTHWORKS (SMALL WORKS)/8.3\SCHEDULED ITEMS/8.3.2a\Excavate for restricted foundations, footings and trenches  in all materials and use for embankments or backfill or dispose. /\KS13_013-Concrete Check Wall. Drawing NBC-GTW-CL-0017 \m³\5.166 \ 85"/>
        <s v="SABS1200 DA \EARTHWORKS (SMALL WORKS)/8.3\SCHEDULED ITEMS/8.3.2a\Excavate for restricted foundations, footings and trenches  in all materials and use for embankments or backfill or dispose. /\KS13_015-Concrete Check Wall. Drawing NBC-GTW-CL-0018 \m³\5.361 \ 85"/>
        <s v="SABS1200 DA \EARTHWORKS (SMALL WORKS)/8.3\SCHEDULED ITEMS/8.3.2a\Excavate for restricted foundations, footings and trenches  in all materials and use for embankments or backfill or dispose. /\KS13_017-Backfilling Main Channel  \m³\633.5898924573 \ 85"/>
        <s v="SABS1200 DA \EARTHWORKS (SMALL WORKS)/8.3\SCHEDULED ITEMS/8.3.2a\Excavate for restricted foundations, footings and trenches  in all materials and use for embankments or backfill or dispose. /\KS15_001-Concrete Check Wall  \m³\6.264 \ 85"/>
        <s v="SABS1200 DA \EARTHWORKS (SMALL WORKS)/8.3\SCHEDULED ITEMS/8.3.2a\Excavate for restricted foundations, footings and trenches  in all materials and use for embankments or backfill or dispose. /\KS15-002-Backfill Main Channel  \m³\980 \ 85"/>
        <s v="SABS1200 DA \EARTHWORKS (SMALL WORKS)/8,3\SCHEDULED ITEMS/8.3.2a\Excavate for restricted foundations, footings and trenches  in all materials and use for embankments or backfill or dispose. /\KS16_003-Ecologs  \m³\14,22 \ 85"/>
        <s v="SABS1200 DA \EARTHWORKS (SMALL WORKS)/8,3\SCHEDULED ITEMS/8.3.2a\Excavate for restricted foundations, footings and trenches  in all materials and use for embankments or backfill or dispose. /\KS16_005-Ecologs  \m³\18,36 \ 85"/>
        <s v="SABS1200 DA \EARTHWORKS (SMALL WORKS)/8.3\SCHEDULED ITEMS/8.3.2a\Excavate for restricted foundations, footings and trenches  in all materials and use for embankments or backfill or dispose. /\KS18_001-Concrete Check Wall. Drawing NBC-GTW-CL-0019 \m³\12 \ 85"/>
        <s v="SABS1200 DA \EARTHWORKS (SMALL WORKS)/8.3\SCHEDULED ITEMS/8.3.2a\Excavate for restricted foundations, footings and trenches  in all materials and use for embankments or backfill or dispose. /\KS18_002A-Concrete Check Wall. Drawing NBC-GTW-CL-0020 \m³\8 \ 85"/>
        <s v="SABS1200 DA \EARTHWORKS (SMALL WORKS)/8.3\SCHEDULED ITEMS/8.3.2a\Excavate for restricted foundations, footings and trenches  in all materials and use for embankments or backfill or dispose. /\KS18_002B-Concrete Check Wall  \m³\6 \ 85"/>
        <s v="SABS1200 DA \EARTHWORKS (SMALL WORKS)/8,3\SCHEDULED ITEMS/8.3.2a\Excavate for restricted foundations, footings and trenches  in all materials and use for embankments or backfill or dispose. /\KS18_003-Concrete Check Wall. Drawing NBC-GTW-CL-0045 \m³\5,7 \ 85"/>
        <s v="SABS1200 DA \EARTHWORKS (SMALL WORKS)/8,3\SCHEDULED ITEMS/8.3.2a\Excavate for restricted foundations, footings and trenches  in all materials and use for embankments or backfill or dispose. /\KS18_004-Concrete Check Wall. Drawing NBC-GTW-CL-0045 \m³\5,355 \ 85"/>
        <s v="SABS1200 DA \EARTHWORKS (SMALL WORKS)/8,3\SCHEDULED ITEMS/8.3.2a\Excavate for restricted foundations, footings and trenches  in all materials and use for embankments or backfill or dispose. /\KS18_005-Concrete Check Wall. Drawing NBC-GTW-CL-0045 \m³\6,93 \ 85"/>
        <s v="SABS1200 DA \EARTHWORKS (SMALL WORKS)/8,3\SCHEDULED ITEMS/8.3.2a\Excavate for restricted foundations, footings and trenches  in all materials and use for embankments or backfill or dispose. /\KS18_006-Concrete Check Wall. Drawing NBC-GTW-CL-0045 \m³\6,615 \ 85"/>
        <s v="SABS1200 DA \EARTHWORKS (SMALL WORKS)/8,3\SCHEDULED ITEMS/8.3.2a\Excavate for restricted foundations, footings and trenches  in all materials and use for embankments or backfill or dispose. /\KS18_007-Concrete Check Wall. Drawing NBC-GTW-CL-0045 \m³\5,04 \ 85"/>
        <s v="SABS1200 DA \EARTHWORKS (SMALL WORKS)/8,3\SCHEDULED ITEMS/8.3.2a\Excavate for restricted foundations, footings and trenches  in all materials and use for embankments or backfill or dispose. /\KS18_008-Concrete Check Wall. Drawing NBC-GTW-CL-0045 \m³\5,76 \ 85"/>
        <s v="SABS1200 DA \EARTHWORKS (SMALL WORKS)/8,3\SCHEDULED ITEMS/8.3.2a\Excavate for restricted foundations, footings and trenches  in all materials and use for embankments or backfill or dispose. /\KS18_009-Concrete Check Wall. Drawing NBC-GTW-CL-0045 \m³\5,775 \ 85"/>
        <s v="SABS1200 DA \EARTHWORKS (SMALL WORKS)/8,3\SCHEDULED ITEMS/8.3.2a\Excavate for restricted foundations, footings and trenches  in all materials and use for embankments or backfill or dispose. /\KS18_010-Concrete Check Wall. Drawing NBC-GTW-CL-0045 \m³\6,93 \ 85"/>
        <s v="SABS1200 DA \EARTHWORKS (SMALL WORKS)/8,3\SCHEDULED ITEMS/8.3.2a\Excavate for restricted foundations, footings and trenches  in all materials and use for embankments or backfill or dispose. /\KS18_011-Concrete Check Wall. Drawing NBC-GTW-CL-0045 \m³\6 \ 85"/>
        <s v="SABS1200 DA \EARTHWORKS (SMALL WORKS)/8,3\SCHEDULED ITEMS/8.3.2a\Excavate for restricted foundations, footings and trenches  in all materials and use for embankments or backfill or dispose. /\KS18_012-Concrete Check Wall. Drawing NBC-GTW-CL-0045 \m³\6,6 \ 85"/>
        <s v="SABS1200 DA \EARTHWORKS (SMALL WORKS)/8,3\SCHEDULED ITEMS/8.3.2a\Excavate for restricted foundations, footings and trenches  in all materials and use for embankments or backfill or dispose. /\KS18_013-Concrete Check Wall. Drawing NBC-GTW-CL-0045 \m³\6 \ 85"/>
        <s v="SABS1200 DA \EARTHWORKS (SMALL WORKS)/8.3\SCHEDULED ITEMS/8.3.2a\Excavate for restricted foundations, footings and trenches  in all materials and use for embankments or backfill or dispose. /\KS18_015-Concrete Check Wall. Drawing NBC-GTW-CL-0021 \m³\7.74 \ 85"/>
        <s v="SABS1200 DA \EARTHWORKS (SMALL WORKS)/8.3\SCHEDULED ITEMS/8.3.2a\Excavate for restricted foundations, footings and trenches  in all materials and use for embankments or backfill or dispose. /\KS18_016-Concrete Check Wall. Drawing NBC-GTW-CL-0022 \m³\6.804 \ 85"/>
        <s v="SABS1200 DA \EARTHWORKS (SMALL WORKS)/8.3\SCHEDULED ITEMS/8.3.2a\Excavate for restricted foundations, footings and trenches  in all materials and use for embankments or backfill or dispose. /\KS18_017-Concrete Check Wall. Drawing NBC-GTW-CL-0023 \m³\5.94 \ 85"/>
        <s v="SABS1200 DA \EARTHWORKS (SMALL WORKS)/8.3\SCHEDULED ITEMS/8.3.2a\Excavate for restricted foundations, footings and trenches  in all materials and use for embankments or backfill or dispose. /\KS18_018-Concrete Check Wall. Drawing NBC-GTW-CL-0024 \m³\4.998 \ 85"/>
        <s v="SABS1200 DA \EARTHWORKS (SMALL WORKS)/8.3\SCHEDULED ITEMS/8.3.2a\Excavate for restricted foundations, footings and trenches  in all materials and use for embankments or backfill or dispose. /\KS18_019-Concrete Check Wall. Drawing NBC-GTW-CL-0025 \m³\6.624 \ 85"/>
        <s v="SABS1200 DA \EARTHWORKS (SMALL WORKS)/8.3\SCHEDULED ITEMS/8.3.2a\Excavate for restricted foundations, footings and trenches  in all materials and use for embankments or backfill or dispose. /\KS18_020-Concrete Check Wall  \m³\6.7575 \ 85"/>
        <s v="SABS1200 DA \EARTHWORKS (SMALL WORKS)/8,3\SCHEDULED ITEMS/8.3.2a\Excavate for restricted foundations, footings and trenches  in all materials and use for embankments or backfill or dispose. /\KS18_014-Concrete Check Wall. Drawing NBC-GTW-CL-0001 \m³\6,66 \ 85"/>
        <s v="SABS1200 DA \EARTHWORKS (SMALL WORKS)/8.3\SCHEDULED ITEMS/8.3.2a\Excavate for restricted foundations, footings and trenches  in all materials and use for embankments or backfill or dispose. /\KS18-021-Backfill Main Channel  \m³\1098 \ 85"/>
        <s v="SABS1200 DA \EARTHWORKS (SMALL WORKS)/8,3\SCHEDULED ITEMS/8.3.2a\Excavate for restricted foundations, footings and trenches  in all materials and use for embankments or backfill or dispose. /\KS19_001-Ecologs  \m³\5 \ 85"/>
        <s v="SABS1200 DA \EARTHWORKS (SMALL WORKS)/8.3\SCHEDULED ITEMS/8.3.2a\Excavate for restricted foundations, footings and trenches  in all materials and use for embankments or backfill or dispose. /\KS19_002-Concrete Drop Inlet. Drawing NBC-GTW-CL-0026 \m³\38.760038 \ 85"/>
        <s v="SABS1200 DA \EARTHWORKS (SMALL WORKS)/8,3\SCHEDULED ITEMS/8.3.2a\Excavate for restricted foundations, footings and trenches  in all materials and use for embankments or backfill or dispose. /\KS19_003-Ecologs  \m³\5,316 \ 85"/>
        <s v="SABS1200 DA \EARTHWORKS (SMALL WORKS)/8,3\SCHEDULED ITEMS/8.3.2a\Excavate for restricted foundations, footings and trenches  in all materials and use for embankments or backfill or dispose. /\KS19_004-Ecologs  \m³\4,5 \ 85"/>
        <s v="SABS1200 DA \EARTHWORKS (SMALL WORKS)/8,3\SCHEDULED ITEMS/8.3.2a\Excavate for restricted foundations, footings and trenches  in all materials and use for embankments or backfill or dispose. /\KS19_005-Ecologs  \m³\4,68 \ 85"/>
        <s v="SABS1200 DA \EARTHWORKS (SMALL WORKS)/8.3\SCHEDULED ITEMS/8.3.2a\Excavate for restricted foundations, footings and trenches  in all materials and use for embankments or backfill or dispose. /\KS20_001-Concrete Drop Inlet. Drawing NBC-GTW-CL-0027 \m³\51.93327 \ 85"/>
        <s v="SABS1200 DA \EARTHWORKS (SMALL WORKS)/8.3\SCHEDULED ITEMS/8.3.2a\Excavate for restricted foundations, footings and trenches  in all materials and use for embankments or backfill or dispose. /\KS20_002-Concrete Check Wall. Drawing NBC-GTW-CL-0028 \m³\6.453 \ 85"/>
        <s v="SABS1200 DA \EARTHWORKS (SMALL WORKS)/8.3\SCHEDULED ITEMS/8.3.2a\Excavate for restricted foundations, footings and trenches  in all materials and use for embankments or backfill or dispose. /\KS20_003-Concrete Check Wall. Drawing NBC-GTW-CL-0029 \m³\9.855 \ 85"/>
        <s v="SABS1200 DA \EARTHWORKS (SMALL WORKS)/8.3\SCHEDULED ITEMS/8.3.2a\Excavate for restricted foundations, footings and trenches  in all materials and use for embankments or backfill or dispose. /\KS20_004-Concrete Check Wall. Drawing NBC-GTW-CL-0030 \m³\9.405 \ 85"/>
        <s v="SABS1200 DA \EARTHWORKS (SMALL WORKS)/8.3\SCHEDULED ITEMS/8.3.2a\Excavate for restricted foundations, footings and trenches  in all materials and use for embankments or backfill or dispose. /\KS20_005-Concrete Check Wall. Drawing NBC-GTW-CL-0031 \m³\10.032 \ 85"/>
        <s v="SABS1200 DA \EARTHWORKS (SMALL WORKS)/8,3\SCHEDULED ITEMS/8.3.2a\Excavate for restricted foundations, footings and trenches  in all materials and use for embankments or backfill or dispose. /\KS20_006-Concrete Check Wall. Drawing NBC-GTW-CL-0032 \m³\10,035 \ 85"/>
        <s v="SABS1200 DA \EARTHWORKS (SMALL WORKS)/8.3\SCHEDULED ITEMS/8.3.2a\Excavate for restricted foundations, footings and trenches  in all materials and use for embankments or backfill or dispose. /\KS20_007-Concrete Check Wall. Drawing NBC-GTW-CL-0033 \m³\8.289 \ 85"/>
        <s v="SABS1200 DA \EARTHWORKS (SMALL WORKS)/8.3\SCHEDULED ITEMS/8.3.2a\Excavate for restricted foundations, footings and trenches  in all materials and use for embankments or backfill or dispose. /\KS20_008-Concrete Check Wall. Drawing NBC-GTW-CL-0034 \m³\10.8 \ 85"/>
        <s v="SABS1200 DA \EARTHWORKS (SMALL WORKS)/8.3\SCHEDULED ITEMS/8.3.2a\Excavate for restricted foundations, footings and trenches  in all materials and use for embankments or backfill or dispose. /\KS20_009_a-Concrete Check Wall. Drawing NBC-GTW-CL-0035 \m³\27 \ 85"/>
        <s v="SABS1200 DA \EARTHWORKS (SMALL WORKS)/8.3\SCHEDULED ITEMS/8.3.2a\Excavate for restricted foundations, footings and trenches  in all materials and use for embankments or backfill or dispose. /\KS20_009_b-Concrete Check Wall. Drawing NBC-GTW-CL-0035 \m³\16 \ 85"/>
        <s v="SABS1200 DA \EARTHWORKS (SMALL WORKS)/8.3\SCHEDULED ITEMS/8.3.2a\Excavate for restricted foundations, footings and trenches  in all materials and use for embankments or backfill or dispose. /\KS20_010-Ecologs  \m³\3.6 \ 85"/>
        <s v="SABS1200 DA \EARTHWORKS (SMALL WORKS)/8.3\SCHEDULED ITEMS/8.3.2a\Excavate for restricted foundations, footings and trenches  in all materials and use for embankments or backfill or dispose. /\KS20_011-Backfilling Main Channel  \m³\950 \ 85"/>
        <s v="SABS1200 DA \EARTHWORKS (SMALL WORKS)/8.3\SCHEDULED ITEMS/8.3.2a\Excavate for restricted foundations, footings and trenches  in all materials and use for embankments or backfill or dispose. /\KS21_001-10° sloped Grouted Pitching (Light). Drawing NBC-GTW-CL-0038 \m³\20 \ 85"/>
        <s v="SABS1200 DA \EARTHWORKS (SMALL WORKS)/8.3\SCHEDULED ITEMS/8.3.2a\Excavate for restricted foundations, footings and trenches  in all materials and use for embankments or backfill or dispose. /\KS21_003-Concrete Drop Inlet. Drawing NBC-GTW-CL-0039 \m³\25.78775 \ 85"/>
        <s v="SABS1200 DA \EARTHWORKS (SMALL WORKS)/8,3\SCHEDULED ITEMS/8.3.2a\Excavate for restricted foundations, footings and trenches  in all materials and use for embankments or backfill or dispose. /\KS21_005-Concrete Drop Inlet. Drawing NBC-GTW-CL-0040 \m³\25,78775 \ 85"/>
        <s v="SABS1200 DA \EARTHWORKS (SMALL WORKS)/8,3\SCHEDULED ITEMS/8.3.2a\Excavate for restricted foundations, footings and trenches  in all materials and use for embankments or backfill or dispose. /\KS21_006-Concrete Check Wall. Drawing NBC-GTW-CL-0041 \m³\7,98 \ 85"/>
        <s v="SABS1200 DA \EARTHWORKS (SMALL WORKS)/8,3\SCHEDULED ITEMS/8.3.2a\Excavate for restricted foundations, footings and trenches  in all materials and use for embankments or backfill or dispose. /\KS21_007-Concrete Check Wall. Drawing NBC-GTW-CL-0042 \m³\7,98 \ 85"/>
        <s v="SABS1200 DA \EARTHWORKS (SMALL WORKS)/8,3\SCHEDULED ITEMS/8.3.2a\Excavate for restricted foundations, footings and trenches  in all materials and use for embankments or backfill or dispose. /\KS21_009-Concrete Check Wall. Drawing NBC-GTW-CL-0043 \m³\7,98 \ 85"/>
        <s v="SABS1200 DA \EARTHWORKS (SMALL WORKS)/8,3\SCHEDULED ITEMS/8.3.2a\Excavate for restricted foundations, footings and trenches  in all materials and use for embankments or backfill or dispose. /\KS21-002-Earthworks  \m³\191,4 \ 85"/>
        <s v="SABS1200 DA \EARTHWORKS (SMALL WORKS)/8.3\SCHEDULED ITEMS/8.3.2a\Excavate for restricted foundations, footings and trenches  in all materials and use for embankments or backfill or dispose. /\LS16_001-Concrete Cut-Off Walls  \m³\5.04 \ 85"/>
        <s v="SABS1200 DA \EARTHWORKS (SMALL WORKS)/8.3\SCHEDULED ITEMS/8.3.2a\Excavate for restricted foundations, footings and trenches  in all materials and use for embankments or backfill or dispose. /\LS16_002-Concrete Cut-Off Walls  \m³\4.8 \ 85"/>
        <s v="SABS1200 DA \EARTHWORKS (SMALL WORKS)/8.3\SCHEDULED ITEMS/8.3.2a\Excavate for restricted foundations, footings and trenches  in all materials and use for embankments or backfill or dispose. /\LS16_003-Concrete Cut-Off Walls  \m³\2.1 \ 85"/>
        <s v="SABS1200 DA \EARTHWORKS (SMALL WORKS)/8.3\SCHEDULED ITEMS/8.3.2a\Excavate for restricted foundations, footings and trenches  in all materials and use for embankments or backfill or dispose. /\LS16_004-Concrete Cut-Off Walls  \m³\2.4 \ 85"/>
        <s v="SABS1200 DA \EARTHWORKS (SMALL WORKS)/8.3\SCHEDULED ITEMS/8.3.2a\Excavate for restricted foundations, footings and trenches  in all materials and use for embankments or backfill or dispose. /\LS16_005-Concrete Cut-Off Walls  \m³\3.6 \ 85"/>
        <s v="SABS1200 DA \EARTHWORKS (SMALL WORKS)/8.3\SCHEDULED ITEMS/8.3.2a\Excavate for restricted foundations, footings and trenches  in all materials and use for embankments or backfill or dispose. /\LS16_006-Concrete Cut-Off Walls  \m³\6.48 \ 85"/>
        <s v="SABS1200 DA \EARTHWORKS (SMALL WORKS)/8.3\SCHEDULED ITEMS/8.3.2a\Excavate for restricted foundations, footings and trenches  in all materials and use for embankments or backfill or dispose. /\LS16_007-Concrete Cut-Off Walls  \m³\5.94 \ 85"/>
        <s v="SABS1200 DA \EARTHWORKS (SMALL WORKS)/8.3\SCHEDULED ITEMS/8.3.2a\Excavate for restricted foundations, footings and trenches  in all materials and use for embankments or backfill or dispose. /\LS16_008-Concrete Cut-Off Walls  \m³\4.1325 \ 85"/>
        <s v="SABS1200 DA \EARTHWORKS (SMALL WORKS)/8.3\SCHEDULED ITEMS/8.3.2a\Excavate for restricted foundations, footings and trenches  in all materials and use for embankments or backfill or dispose. /\LS16_009-Concrete Cut-Off Walls  \m³\4.35 \ 85"/>
        <s v="SABS1200 DA \EARTHWORKS (SMALL WORKS)/8.3\SCHEDULED ITEMS/8.3.2a\Excavate for restricted foundations, footings and trenches  in all materials and use for embankments or backfill or dispose. /\LS16_010-Concrete Cut-Off Walls  \m³\5.1 \ 85"/>
        <s v="SABS1200 DA \EARTHWORKS (SMALL WORKS)/8.3\SCHEDULED ITEMS/8.3.2a\Excavate for restricted foundations, footings and trenches  in all materials and use for embankments or backfill or dispose. /\LS16_011-Concrete Cut-Off Walls  \m³\3.3 \ 85"/>
        <s v="SABS1200 DA \EARTHWORKS (SMALL WORKS)/8.3\SCHEDULED ITEMS/8.3.2a\Excavate for restricted foundations, footings and trenches  in all materials and use for embankments or backfill or dispose. /\LS16_013-Gabion energy breaker  \m³\13.68 \ 85"/>
        <s v="SABS1200 DA \EARTHWORKS (SMALL WORKS)/8.3\SCHEDULED ITEMS/8.3.2a\Excavate for restricted foundations, footings and trenches  in all materials and use for embankments or backfill or dispose. /\LS16_014-Ecologs  \m³\1.62 \ 85"/>
        <s v="SABS1200 DA \EARTHWORKS (SMALL WORKS)/8.3\SCHEDULED ITEMS/8.3.2a\Excavate for restricted foundations, footings and trenches  in all materials and use for embankments or backfill or dispose. /\LS16_016-Gabion energy breaker  \m³\20 \ 85"/>
        <s v="SABS1200 DA \EARTHWORKS (SMALL WORKS)/8.3\SCHEDULED ITEMS/8.3.2a\Excavate for restricted foundations, footings and trenches  in all materials and use for embankments or backfill or dispose. /\LS16_017-Gabion energy breaker  \m³\25 \ 85"/>
        <s v="SABS1200 DA \EARTHWORKS (SMALL WORKS)/8.3\SCHEDULED ITEMS/8.3.2a\Excavate for restricted foundations, footings and trenches  in all materials and use for embankments or backfill or dispose. /\LS16_018-Gabion energy breaker  \m³\22.08 \ 85"/>
        <s v="SABS1200 DA \EARTHWORKS (SMALL WORKS)/8.3\SCHEDULED ITEMS/8.3.2a\Excavate for restricted foundations, footings and trenches  in all materials and use for embankments or backfill or dispose. /\LS16_019-Gabion energy breaker  \m³\24.48 \ 85"/>
        <s v="SABS1200 DA \EARTHWORKS (SMALL WORKS)/8.3\SCHEDULED ITEMS/8.3.2a\Excavate for restricted foundations, footings and trenches  in all materials and use for embankments or backfill or dispose. /\LS16_021-Backfill Main Channel and reshaping  \m³\500 \ 85"/>
        <s v="SABS1200 DA \EARTHWORKS (SMALL WORKS)/8.3\SCHEDULED ITEMS/8.3.2a\Excavate for restricted foundations, footings and trenches  in all materials and use for embankments or backfill or dispose. /\Pan14_007-Infilling of Drains  \m³\18.6 \ 85"/>
        <s v="SABS1200 DA \EARTHWORKS (SMALL WORKS)/8.3\SCHEDULED ITEMS/8.3.2a\Excavate for restricted foundations, footings and trenches  in all materials and use for embankments or backfill or dispose. /\Pan14_008-Infilling of Drains  \m³\48.6 \ 85"/>
        <s v="SABS1200 DA \EARTHWORKS (SMALL WORKS)/8.3\SCHEDULED ITEMS/8.3.2a\Excavate for restricted foundations, footings and trenches  in all materials and use for embankments or backfill or dispose. /\Pan14_011-Infilling of Drains  \m³\582 \ 85"/>
        <s v="SABS1200 DA \EARTHWORKS (SMALL WORKS)/8.3\SCHEDULED ITEMS/8.3.2a\Excavate for restricted foundations, footings and trenches  in all materials and use for embankments or backfill or dispose. /\Pan14-002-Remove Berm  \m³\49.41 \ 85"/>
        <s v="SABS1200 DA \EARTHWORKS (SMALL WORKS)/8.3\SCHEDULED ITEMS/8.3.2a\Excavate for restricted foundations, footings and trenches  in all materials and use for embankments or backfill or dispose. /\Pan8_001-Foreign Materials  \m³\18.9 \ 85"/>
        <s v="SABS1200 DA \EARTHWORKS (SMALL WORKS)/8.3\SCHEDULED ITEMS/8.3.2a\Excavate for restricted foundations, footings and trenches  in all materials and use for embankments or backfill or dispose. /\Pan8_002-Infilling of Drains  \m³\64 \ 85"/>
        <s v="SABS1200 DA \EARTHWORKS (SMALL WORKS)/8.3\SCHEDULED ITEMS/8.3.2a\Excavate for restricted foundations, footings and trenches  in all materials and use for embankments or backfill or dispose. /\Pan8_003-Removal of Dam Wall  \m³\324.3575 \ 85"/>
        <s v="SABS1200 DA \EARTHWORKS (SMALL WORKS)/8.3\SCHEDULED ITEMS/8.3.2a\Excavate for restricted foundations, footings and trenches  in all materials and use for embankments or backfill or dispose. /\Pan8_004-Removal of Berm  \m³\5.4 \ 85"/>
        <s v="SABS1200 DA \EARTHWORKS (SMALL WORKS)/8.3\SCHEDULED ITEMS/8.3.2a\Excavate for restricted foundations, footings and trenches  in all materials and use for embankments or backfill or dispose. /\KS18_008-Concrete Cut-Off Walls. Drawing NBC-GTW-CL-0045 \m³\5.76 \ 85" u="1"/>
        <s v="SABS1200 DA \EARTHWORKS (SMALL WORKS)/8.3\SCHEDULED ITEMS/8.3.2a\Excavate for restricted foundations, footings and trenches  in all materials and use for embankments or backfill or dispose. /\LS16_010-Concrete Cut-Off Walls  \m³\5.1 \ 50" u="1"/>
        <s v="SABS1200 DA \EARTHWORKS (SMALL WORKS)/8.3\SCHEDULED ITEMS/8.3.2a\Excavate for restricted foundations, footings and trenches  in all materials and use for embankments or backfill or dispose. /\KS18_020-Concrete Drop Inlet associated with Road Culvert  \m³\38.02413 \ 50" u="1"/>
        <s v="SABS1200 DA \EARTHWORKS (SMALL WORKS)/8.3\SCHEDULED ITEMS/8.3.2a\Excavate for restricted foundations, footings and trenches  in all materials and use for embankments or backfill or dispose. /\KS18-014-Concrete Filled Geo-Cell Berm. Drawing NBC-GTW-CL-0001 \m³\23.9803125 \ 50" u="1"/>
        <s v="SABS1200 DA \EARTHWORKS (SMALL WORKS)/8.3\SCHEDULED ITEMS/8.3.2a\Excavate for restricted foundations, footings and trenches  in all materials and use for embankments or backfill or dispose. /\KS19_005-Infilling of Drains  \m³\4.68 \ 50" u="1"/>
        <s v="SABS1200 DA \EARTHWORKS (SMALL WORKS)/8.3\SCHEDULED ITEMS/8.3.2a\Excavate for restricted foundations, footings and trenches  in all materials and use for embankments or backfill or dispose. /\ks11-004a-Concrete Drop Inlet on Dam Wall  \m³\355.8966 \ 50" u="1"/>
        <s v="SABS1200 DA \EARTHWORKS (SMALL WORKS)/8.3\SCHEDULED ITEMS/8.3.2a\Excavate for restricted foundations, footings and trenches  in all materials and use for embankments or backfill or dispose. /\KS19_003-Headcut  \m³\5.316 \ 50" u="1"/>
        <s v="SABS1200 DA \EARTHWORKS (SMALL WORKS)/8.3\SCHEDULED ITEMS/8.3.2a\Excavate for restricted foundations, footings and trenches  in all materials and use for embankments or backfill or dispose. /\KS20_010-Infilling of Drains  \m³\3.6 \ 50" u="1"/>
        <s v="SABS1200 DA \EARTHWORKS (SMALL WORKS)/8.3\SCHEDULED ITEMS/8.3.2a\Excavate for restricted foundations, footings and trenches  in all materials and use for embankments or backfill or dispose. /\KS21_005-Concrete Drop Inlet. Drawing NBC-GTW-CL-0040 \m³\35.7722215 \ 85" u="1"/>
        <s v="SABS1200 DA \EARTHWORKS (SMALL WORKS)/8.3\SCHEDULED ITEMS/8.3.2a\Excavate for restricted foundations, footings and trenches  in all materials and use for embankments or backfill or dispose. /\LS16_013-Gabion energy breaker  \m³\13.68 \ 50" u="1"/>
        <s v="SABS1200 DA \EARTHWORKS (SMALL WORKS)/8.3\SCHEDULED ITEMS/8.3.2a\Excavate for restricted foundations, footings and trenches  in all materials and use for embankments or backfill or dispose. /\KS18_004-Concrete Cut-Off Walls. Drawing NBC-GTW-CL-0045 \m³\5.355 \ 85" u="1"/>
        <s v="SABS1200 DA \EARTHWORKS (SMALL WORKS)/8.3\SCHEDULED ITEMS/8.3.2a\Excavate for restricted foundations, footings and trenches  in all materials and use for embankments or backfill or dispose. /\KS20_003-Concrete Buttress Weir. Drawing NBC-GTW-CL-0029 \m³\82.9571958 \ 50" u="1"/>
        <s v="SABS1200 DA \EARTHWORKS (SMALL WORKS)/8.3\SCHEDULED ITEMS/8.3.2a\Excavate for restricted foundations, footings and trenches  in all materials and use for embankments or backfill or dispose. /\KS18_004-Concrete Cut-Off Walls. Drawing NBC-GTW-CL-0045 \m³\5.355 \ 50" u="1"/>
        <s v="SABS1200 DA \EARTHWORKS (SMALL WORKS)/8.3\SCHEDULED ITEMS/8.3.2a\Excavate for restricted foundations, footings and trenches  in all materials and use for embankments or backfill or dispose. /\LS16_008-Concrete Cut-Off Walls  \m³\4.1325 \ 50" u="1"/>
        <s v="SABS1200 DA \EARTHWORKS (SMALL WORKS)/8.3\SCHEDULED ITEMS/8.3.2a\Excavate for restricted foundations, footings and trenches  in all materials and use for embankments or backfill or dispose. /\KS21_006-Concrete Drop Inlet. Drawing NBC-GTW-CL-0041 \m³\31.9418025 \ 85" u="1"/>
        <s v="SABS1200 DA \EARTHWORKS (SMALL WORKS)/8.3\SCHEDULED ITEMS/8.3.2a\Excavate for restricted foundations, footings and trenches  in all materials and use for embankments or backfill or dispose. /\ks11-001-Off-take structure  \m³\4 \ 50" u="1"/>
        <s v="SABS1200 DA \EARTHWORKS (SMALL WORKS)/8.3\SCHEDULED ITEMS/8.3.2a\Excavate for restricted foundations, footings and trenches  in all materials and use for embankments or backfill or dispose. /\KS21_009-Concrete Drop Inlet. Drawing NBC-GTW-CL-0043 \m³\40.198585 \ 85" u="1"/>
        <s v="SABS1200 DA \EARTHWORKS (SMALL WORKS)/8.3\SCHEDULED ITEMS/8.3.2a\Excavate for restricted foundations, footings and trenches  in all materials and use for embankments or backfill or dispose. /\ks11-002b-Concrete Splash Through Structure. Drawing NBC-GTW-CL-0067 \m³\210 \ 50" u="1"/>
        <s v="SABS1200 DA \EARTHWORKS (SMALL WORKS)/8.3\SCHEDULED ITEMS/8.3.2a\Excavate for restricted foundations, footings and trenches  in all materials and use for embankments or backfill or dispose. /\ks11-004b-Concrete Splash Through Structure. Drawing NBC-GTW-CL-0068 \m³\210 \ 50" u="1"/>
        <s v="SABS1200 DA \EARTHWORKS (SMALL WORKS)/8.3\SCHEDULED ITEMS/8.3.2a\Excavate for restricted foundations, footings and trenches  in all materials and use for embankments or backfill or dispose. /\KS18_015-Concrete Drop Inlet. Drawing NBC-GTW-CL-0021 \m³\57.16188 \ 50" u="1"/>
        <s v="SABS1200 DA \EARTHWORKS (SMALL WORKS)/8.3\SCHEDULED ITEMS/8.3.2a\Excavate for restricted foundations, footings and trenches  in all materials and use for embankments or backfill or dispose. /\KS20_004-Concrete Drop Inlet. Drawing NBC-GTW-CL-0030 \m³\42.774586 \ 50" u="1"/>
        <s v="SABS1200 DA \EARTHWORKS (SMALL WORKS)/8.3\SCHEDULED ITEMS/8.3.2a\Excavate for restricted foundations, footings and trenches  in all materials and use for embankments or backfill or dispose. /\KS18_005-Concrete Cut-Off Walls. Drawing NBC-GTW-CL-0045 \m³\6.93 \ 50" u="1"/>
        <s v="SABS1200 DA \EARTHWORKS (SMALL WORKS)/8.3\SCHEDULED ITEMS/8.3.2a\Excavate for restricted foundations, footings and trenches  in all materials and use for embankments or backfill or dispose. /\KS18_010-Concrete Cut-Off Walls. Drawing NBC-GTW-CL-0045 \m³\6.93 \ 50" u="1"/>
        <s v="SABS1200 DA \EARTHWORKS (SMALL WORKS)/8.3\SCHEDULED ITEMS/8.3.2a\Excavate for restricted foundations, footings and trenches  in all materials and use for embankments or backfill or dispose. /\KS13_008-Concrete Drop Inlet. Drawing NBC-GTW-CL-0014 \m³\40.93968 \ 50" u="1"/>
        <s v="SABS1200 DA \EARTHWORKS (SMALL WORKS)/8.3\SCHEDULED ITEMS/8.3.2a\Excavate for restricted foundations, footings and trenches  in all materials and use for embankments or backfill or dispose. /\KS19_005-Infilling of Drains  \m³\4.68 \ 85" u="1"/>
        <s v="SABS1200 DA \EARTHWORKS (SMALL WORKS)/8.3\SCHEDULED ITEMS/8.3.2a\Excavate for restricted foundations, footings and trenches  in all materials and use for embankments or backfill or dispose. /\LS16_005-Concrete Cut-Off Walls  \m³\3.6 \ 50" u="1"/>
        <s v="SABS1200 DA \EARTHWORKS (SMALL WORKS)/8.3\SCHEDULED ITEMS/8.3.2a\Excavate for restricted foundations, footings and trenches  in all materials and use for embankments or backfill or dispose. /\KS13_011-Concrete Drop Inlet. Drawing NBC-GTW-CL-0015 \m³\38.8 \ 50" u="1"/>
        <s v="SABS1200 DA \EARTHWORKS (SMALL WORKS)/8.3\SCHEDULED ITEMS/8.3.2a\Excavate for restricted foundations, footings and trenches  in all materials and use for embankments or backfill or dispose. /\Pan8_004-Removal of Berm  \m³\5.4 \ 50" u="1"/>
        <s v="SABS1200 DA \EARTHWORKS (SMALL WORKS)/8.3\SCHEDULED ITEMS/8.3.2a\Excavate for restricted foundations, footings and trenches  in all materials and use for embankments or backfill or dispose. /\KS18_017-Concrete Drop Inlet. Drawing NBC-GTW-CL-0023 \m³\43.59664 \ 50" u="1"/>
        <s v="SABS1200 DA \EARTHWORKS (SMALL WORKS)/8.3\SCHEDULED ITEMS/8.3.2a\Excavate for restricted foundations, footings and trenches  in all materials and use for embankments or backfill or dispose. /\KS12_008-Concrete Drop Inlet. Drawing NBC-GTW-CL-0007 \m³\33.21409 \ 50" u="1"/>
        <s v="SABS1200 DA \EARTHWORKS (SMALL WORKS)/8.3\SCHEDULED ITEMS/8.3.2a\Excavate for restricted foundations, footings and trenches  in all materials and use for embankments or backfill or dispose. /\Pan14_011-Infilling of Drains  \m³\582 \ 50" u="1"/>
        <s v="SABS1200 DA \EARTHWORKS (SMALL WORKS)/8.3\SCHEDULED ITEMS/8.3.2a\Excavate for restricted foundations, footings and trenches  in all materials and use for embankments or backfill or dispose. /\LS16_018-Gabion energy breaker  \m³\22.08 \ 50" u="1"/>
        <s v="SABS1200 DA \EARTHWORKS (SMALL WORKS)/8.3\SCHEDULED ITEMS/8.3.2a\Excavate for restricted foundations, footings and trenches  in all materials and use for embankments or backfill or dispose. /\KS18_003-Concrete Cut-Off Walls. Drawing NBC-GTW-CL-0045 \m³\5.7 \ 85" u="1"/>
        <s v="SABS1200 DA \EARTHWORKS (SMALL WORKS)/8.3\SCHEDULED ITEMS/8.3.2a\Excavate for restricted foundations, footings and trenches  in all materials and use for embankments or backfill or dispose. /\KS13_012-Concrete Drop Inlet. Drawing NBC-GTW-CL-0016 \m³\29.930225 \ 50" u="1"/>
        <s v="SABS1200 DA \EARTHWORKS (SMALL WORKS)/8.3\SCHEDULED ITEMS/8.3.2a\Excavate for restricted foundations, footings and trenches  in all materials and use for embankments or backfill or dispose. /\KS18_011-Concrete Cut-Off Walls. Drawing NBC-GTW-CL-0045 \m³\6 \ 85" u="1"/>
        <s v="SABS1200 DA \EARTHWORKS (SMALL WORKS)/8.3\SCHEDULED ITEMS/8.3.2a\Excavate for restricted foundations, footings and trenches  in all materials and use for embankments or backfill or dispose. /\KS18_013-Concrete Cut-Off Walls. Drawing NBC-GTW-CL-0045 \m³\6 \ 85" u="1"/>
        <s v="SABS1200 DA \EARTHWORKS (SMALL WORKS)/8.3\SCHEDULED ITEMS/8.3.2a\Excavate for restricted foundations, footings and trenches  in all materials and use for embankments or backfill or dispose. /\KS18_012-Concrete Cut-Off Walls. Drawing NBC-GTW-CL-0045 \m³\6.6 \ 85" u="1"/>
        <s v="SABS1200 DA \EARTHWORKS (SMALL WORKS)/8.3\SCHEDULED ITEMS/8.3.2a\Excavate for restricted foundations, footings and trenches  in all materials and use for embankments or backfill or dispose. /\KS21_003-Concrete Drop Inlet. Drawing NBC-GTW-CL-0039 \m³\25.78775 \ 50" u="1"/>
        <s v="SABS1200 DA \EARTHWORKS (SMALL WORKS)/8.3\SCHEDULED ITEMS/8.3.2a\Excavate for restricted foundations, footings and trenches  in all materials and use for embankments or backfill or dispose. /\KS12_009-Concrete Drop Inlet. Drawing NBC-GTW-CL-0008 \m³\21.46164 \ 50" u="1"/>
        <s v="SABS1200 DA \EARTHWORKS (SMALL WORKS)/8.3\SCHEDULED ITEMS/8.3.2a\Excavate for restricted foundations, footings and trenches  in all materials and use for embankments or backfill or dispose. /\KS21_005-Concrete Drop Inlet. Drawing NBC-GTW-CL-0040 \m³\35.7722215 \ 50" u="1"/>
        <s v="SABS1200 DA \EARTHWORKS (SMALL WORKS)/8.3\SCHEDULED ITEMS/8.3.2a\Excavate for restricted foundations, footings and trenches  in all materials and use for embankments or backfill or dispose. /\KS19_004-Infilling of Drains  \m³\4.5 \ 85" u="1"/>
        <s v="SABS1200 DA \EARTHWORKS (SMALL WORKS)/8.3\SCHEDULED ITEMS/8.3.2a\Excavate for restricted foundations, footings and trenches  in all materials and use for embankments or backfill or dispose. /\LS16_006-Concrete Cut-Off Walls  \m³\6.48 \ 50" u="1"/>
        <s v="SABS1200 DA \EARTHWORKS (SMALL WORKS)/8.3\SCHEDULED ITEMS/8.3.2a\Excavate for restricted foundations, footings and trenches  in all materials and use for embankments or backfill or dispose. /\KS12_005-Concrete Drop Inlet. Drawing NBC-GTW-CL-0004 \m³\36.4286202 \ 50" u="1"/>
        <s v="SABS1200 DA \EARTHWORKS (SMALL WORKS)/8.3\SCHEDULED ITEMS/8.3.2a\Excavate for restricted foundations, footings and trenches  in all materials and use for embankments or backfill or dispose. /\KS20_007-Concrete Drop Inlet. Drawing NBC-GTW-CL-0033 \m³\56.185603 \ 50" u="1"/>
        <s v="SABS1200 DA \EARTHWORKS (SMALL WORKS)/8.3\SCHEDULED ITEMS/8.3.2a\Excavate for restricted foundations, footings and trenches  in all materials and use for embankments or backfill or dispose. /\KS18_001-Concrete Drop Inlet. Drawing NBC-GTW-CL-0019 \m³\61.486052 \ 50" u="1"/>
        <s v="SABS1200 DA \EARTHWORKS (SMALL WORKS)/8.3\SCHEDULED ITEMS/8.3.2a\Excavate for restricted foundations, footings and trenches  in all materials and use for embankments or backfill or dispose. /\KS19_004-Infilling of Drains  \m³\4.5 \ 50" u="1"/>
        <s v="SABS1200 DA \EARTHWORKS (SMALL WORKS)/8.3\SCHEDULED ITEMS/8.3.2a\Excavate for restricted foundations, footings and trenches  in all materials and use for embankments or backfill or dispose. /\KS21_006-Concrete Drop Inlet. Drawing NBC-GTW-CL-0041 \m³\31.9418025 \ 50" u="1"/>
        <s v="SABS1200 DA \EARTHWORKS (SMALL WORKS)/8.3\SCHEDULED ITEMS/8.3.2a\Excavate for restricted foundations, footings and trenches  in all materials and use for embankments or backfill or dispose. /\Pan8_003-Removal of Dam Wall  \m³\324.3575 \ 50" u="1"/>
        <s v="SABS1200 DA \EARTHWORKS (SMALL WORKS)/8.3\SCHEDULED ITEMS/8.3.2a\Excavate for restricted foundations, footings and trenches  in all materials and use for embankments or backfill or dispose. /\KS15_001-Fish Bowl  \m³\215.621 \ 50" u="1"/>
        <s v="SABS1200 DA \EARTHWORKS (SMALL WORKS)/8.3\SCHEDULED ITEMS/8.3.2a\Excavate for restricted foundations, footings and trenches  in all materials and use for embankments or backfill or dispose. /\KS18_007-Concrete Cut-Off Walls. Drawing NBC-GTW-CL-0045 \m³\5.04 \ 85" u="1"/>
        <s v="SABS1200 DA \EARTHWORKS (SMALL WORKS)/8.3\SCHEDULED ITEMS/8.3.2a\Excavate for restricted foundations, footings and trenches  in all materials and use for embankments or backfill or dispose. /\KS18_003-Concrete Cut-Off Walls. Drawing NBC-GTW-CL-0045 \m³\5.7 \ 50" u="1"/>
        <s v="SABS1200 DA \EARTHWORKS (SMALL WORKS)/8.3\SCHEDULED ITEMS/8.3.2a\Excavate for restricted foundations, footings and trenches  in all materials and use for embankments or backfill or dispose. /\KS20_006-Concrete Check Wall. Drawing NBC-GTW-CL-0032 \m³\10.035 \ 85" u="1"/>
        <s v="SABS1200 DA \EARTHWORKS (SMALL WORKS)/8.3\SCHEDULED ITEMS/8.3.2a\Excavate for restricted foundations, footings and trenches  in all materials and use for embankments or backfill or dispose. /\LS16_007-Concrete Cut-Off Walls  \m³\5.94 \ 50" u="1"/>
        <s v="SABS1200 DA \EARTHWORKS (SMALL WORKS)/8.3\SCHEDULED ITEMS/8.3.2a\Excavate for restricted foundations, footings and trenches  in all materials and use for embankments or backfill or dispose. /\KS13_013-Concrete Drop Inlet. Drawing NBC-GTW-CL-0017 \m³\37.8822 \ 50" u="1"/>
        <s v="SABS1200 DA \EARTHWORKS (SMALL WORKS)/8.3\SCHEDULED ITEMS/8.3.2a\Excavate for restricted foundations, footings and trenches  in all materials and use for embankments or backfill or dispose. /\KS20_009_a-Concrete Buttress Weir. Drawing NBC-GTW-CL-0035 \m³\132.757199 \ 50" u="1"/>
        <s v="SABS1200 DA \EARTHWORKS (SMALL WORKS)/8.3\SCHEDULED ITEMS/8.3.2a\Excavate for restricted foundations, footings and trenches  in all materials and use for embankments or backfill or dispose. /\LS16_016-Gabion energy breaker  \m³\20 \ 50" u="1"/>
        <s v="SABS1200 DA \EARTHWORKS (SMALL WORKS)/8.3\SCHEDULED ITEMS/8.3.2a\Excavate for restricted foundations, footings and trenches  in all materials and use for embankments or backfill or dispose. /\KS18_012-Concrete Cut-Off Walls. Drawing NBC-GTW-CL-0045 \m³\6.6 \ 50" u="1"/>
        <s v="SABS1200 DA \EARTHWORKS (SMALL WORKS)/8.3\SCHEDULED ITEMS/8.3.2a\Excavate for restricted foundations, footings and trenches  in all materials and use for embankments or backfill or dispose. /\LS16_002-Concrete Cut-Off Walls  \m³\4.8 \ 50" u="1"/>
        <s v="SABS1200 DA \EARTHWORKS (SMALL WORKS)/8.3\SCHEDULED ITEMS/8.3.2a\Excavate for restricted foundations, footings and trenches  in all materials and use for embankments or backfill or dispose. /\KS18_008-Concrete Cut-Off Walls. Drawing NBC-GTW-CL-0045 \m³\5.76 \ 50" u="1"/>
        <s v="SABS1200 DA \EARTHWORKS (SMALL WORKS)/8.3\SCHEDULED ITEMS/8.3.2a\Excavate for restricted foundations, footings and trenches  in all materials and use for embankments or backfill or dispose. /\DS12_004-Removal of earthen material  \m³\523.01728 \ 50" u="1"/>
        <s v="SABS1200 DA \EARTHWORKS (SMALL WORKS)/8.3\SCHEDULED ITEMS/8.3.2a\Excavate for restricted foundations, footings and trenches  in all materials and use for embankments or backfill or dispose. /\KS21_009-Concrete Drop Inlet. Drawing NBC-GTW-CL-0043 \m³\40.198585 \ 50" u="1"/>
        <s v="SABS1200 DA \EARTHWORKS (SMALL WORKS)/8.3\SCHEDULED ITEMS/8.3.2a\Excavate for restricted foundations, footings and trenches  in all materials and use for embankments or backfill or dispose. /\KS18_002-Concrete Drop Inlet. Drawing NBC-GTW-CL-0020 \m³\32.274065 \ 50" u="1"/>
        <s v="SABS1200 DA \EARTHWORKS (SMALL WORKS)/8.3\SCHEDULED ITEMS/8.3.2a\Excavate for restricted foundations, footings and trenches  in all materials and use for embankments or backfill or dispose. /\KS18_006-Concrete Cut-Off Walls. Drawing NBC-GTW-CL-0045 \m³\6.615 \ 85" u="1"/>
        <s v="SABS1200 DA \EARTHWORKS (SMALL WORKS)/8.3\SCHEDULED ITEMS/8.3.2a\Excavate for restricted foundations, footings and trenches  in all materials and use for embankments or backfill or dispose. /\KS18_006-Concrete Cut-Off Walls. Drawing NBC-GTW-CL-0045 \m³\6.615 \ 50" u="1"/>
        <s v="SABS1200 DA \EARTHWORKS (SMALL WORKS)/8.3\SCHEDULED ITEMS/8.3.2a\Excavate for restricted foundations, footings and trenches  in all materials and use for embankments or backfill or dispose. /\KS20_009_b-Concrete Overflow Wall. Drawing NBC-GTW-CL-0035 \m³\30.7675 \ 50" u="1"/>
        <s v="SABS1200 DA \EARTHWORKS (SMALL WORKS)/8.3\SCHEDULED ITEMS/8.3.2a\Excavate for restricted foundations, footings and trenches  in all materials and use for embankments or backfill or dispose. /\Pan14-002-Remove Berm  \m³\49.41 \ 50" u="1"/>
        <s v="SABS1200 DA \EARTHWORKS (SMALL WORKS)/8.3\SCHEDULED ITEMS/8.3.2a\Excavate for restricted foundations, footings and trenches  in all materials and use for embankments or backfill or dispose. /\LS16_003-Concrete Cut-Off Walls  \m³\2.1 \ 50" u="1"/>
        <s v="SABS1200 DA \EARTHWORKS (SMALL WORKS)/8.3\SCHEDULED ITEMS/8.3.2a\Excavate for restricted foundations, footings and trenches  in all materials and use for embankments or backfill or dispose. /\KS16_003-Infilling of Drains  \m³\14.22 \ 85" u="1"/>
        <s v="SABS1200 DA \EARTHWORKS (SMALL WORKS)/8.3\SCHEDULED ITEMS/8.3.2a\Excavate for restricted foundations, footings and trenches  in all materials and use for embankments or backfill or dispose. /\KS20_008-Concrete Drop Inlet. Drawing NBC-GTW-CL-0034 \m³\54.33924 \ 50" u="1"/>
        <s v="SABS1200 DA \EARTHWORKS (SMALL WORKS)/8.3\SCHEDULED ITEMS/8.3.2a\Excavate for restricted foundations, footings and trenches  in all materials and use for embankments or backfill or dispose. /\Pan09_001-Removal of Dam Wall  \m³\188.47125 \ 50" u="1"/>
        <s v="SABS1200 DA \EARTHWORKS (SMALL WORKS)/8.3\SCHEDULED ITEMS/8.3.2a\Excavate for restricted foundations, footings and trenches  in all materials and use for embankments or backfill or dispose. /\KS19_002-Concrete Drop Inlet. Drawing NBC-GTW-CL-0026 \m³\38.760038 \ 50" u="1"/>
        <s v="SABS1200 DA \EARTHWORKS (SMALL WORKS)/8.3\SCHEDULED ITEMS/8.3.2a\Excavate for restricted foundations, footings and trenches  in all materials and use for embankments or backfill or dispose. /\LS16_014-Ecologs  \m³\1.62 \ 50" u="1"/>
        <s v="SABS1200 DA \EARTHWORKS (SMALL WORKS)/8.3\SCHEDULED ITEMS/8.3.2a\Excavate for restricted foundations, footings and trenches  in all materials and use for embankments or backfill or dispose. /\KS20_002-Concrete Drop Inlet. Drawing NBC-GTW-CL-0028 \m³\60.04969 \ 50" u="1"/>
        <s v="SABS1200 DA \EARTHWORKS (SMALL WORKS)/8.3\SCHEDULED ITEMS/8.3.2a\Excavate for restricted foundations, footings and trenches  in all materials and use for embankments or backfill or dispose. /\ks11-002a-Concrete Drop Inlet on Dam Wall  \m³\394.7652 \ 50" u="1"/>
        <s v="SABS1200 DA \EARTHWORKS (SMALL WORKS)/8.3\SCHEDULED ITEMS/8.3.2a\Excavate for restricted foundations, footings and trenches  in all materials and use for embankments or backfill or dispose. /\KS12_002-Concrete Drop Inlet. Drawing NBC-GTW-CL-0002 \m³\37 \ 50" u="1"/>
        <s v="SABS1200 DA \EARTHWORKS (SMALL WORKS)/8.3\SCHEDULED ITEMS/8.3.2a\Excavate for restricted foundations, footings and trenches  in all materials and use for embankments or backfill or dispose. /\Pan8_002-Infilling of Drains  \m³\64 \ 50" u="1"/>
        <s v="SABS1200 DA \EARTHWORKS (SMALL WORKS)/8.3\SCHEDULED ITEMS/8.3.2a\Excavate for restricted foundations, footings and trenches  in all materials and use for embankments or backfill or dispose. /\Pan14_007-Infilling of Drains  \m³\18.6 \ 50" u="1"/>
        <s v="SABS1200 DA \EARTHWORKS (SMALL WORKS)/8.3\SCHEDULED ITEMS/8.3.2a\Excavate for restricted foundations, footings and trenches  in all materials and use for embankments or backfill or dispose. /\KS12_004-Concrete Drop Inlet. Drawing NBC-GTW-CL-0003 \m³\36.6111 \ 50" u="1"/>
        <s v="SABS1200 DA \EARTHWORKS (SMALL WORKS)/8.3\SCHEDULED ITEMS/8.3.2a\Excavate for restricted foundations, footings and trenches  in all materials and use for embankments or backfill or dispose. /\KS13_005-Concrete Drop Inlet. Drawing NBC-GTW-CL-0011 \m³\40.88154 \ 50" u="1"/>
        <s v="SABS1200 DA \EARTHWORKS (SMALL WORKS)/8.3\SCHEDULED ITEMS/8.3.2a\Excavate for restricted foundations, footings and trenches  in all materials and use for embankments or backfill or dispose. /\KS13_006-Concrete Drop Inlet. Drawing NBC-GTW-CL-0012 \m³\40.88154 \ 50" u="1"/>
        <s v="SABS1200 DA \EARTHWORKS (SMALL WORKS)/8.3\SCHEDULED ITEMS/8.3.2a\Excavate for restricted foundations, footings and trenches  in all materials and use for embankments or backfill or dispose. /\KS18_018-Concrete Drop Inlet. Drawing NBC-GTW-CL-0024 \m³\52.32581 \ 50" u="1"/>
        <s v="SABS1200 DA \EARTHWORKS (SMALL WORKS)/8.3\SCHEDULED ITEMS/8.3.2a\Excavate for restricted foundations, footings and trenches  in all materials and use for embankments or backfill or dispose. /\KS12_007-Concrete Drop Inlet. Drawing NBC-GTW-CL-0006 \m³\47.313325 \ 50" u="1"/>
        <s v="SABS1200 DA \EARTHWORKS (SMALL WORKS)/8.3\SCHEDULED ITEMS/8.3.2a\Excavate for restricted foundations, footings and trenches  in all materials and use for embankments or backfill or dispose. /\KS21_010-Concrete Drop Inlet. Drawing NBC-GTW-CL-0044 \m³\37.9104055 \ 85" u="1"/>
        <s v="SABS1200 DA \EARTHWORKS (SMALL WORKS)/8.3\SCHEDULED ITEMS/8.3.2a\Excavate for restricted foundations, footings and trenches  in all materials and use for embankments or backfill or dispose. /\LS16_019-Gabion energy breaker  \m³\24.48 \ 50" u="1"/>
        <s v="SABS1200 DA \EARTHWORKS (SMALL WORKS)/8.3\SCHEDULED ITEMS/8.3.2a\Excavate for restricted foundations, footings and trenches  in all materials and use for embankments or backfill or dispose. /\KS18_016-Concrete Drop Inlet. Drawing NBC-GTW-CL-0022 \m³\46.41016 \ 50" u="1"/>
        <s v="SABS1200 DA \EARTHWORKS (SMALL WORKS)/8.3\SCHEDULED ITEMS/8.3.2a\Excavate for restricted foundations, footings and trenches  in all materials and use for embankments or backfill or dispose. /\LS16_017-Gabion energy breaker  \m³\25 \ 50" u="1"/>
        <s v="SABS1200 DA \EARTHWORKS (SMALL WORKS)/8.3\SCHEDULED ITEMS/8.3.2a\Excavate for restricted foundations, footings and trenches  in all materials and use for embankments or backfill or dispose. /\KS12_001-Pipe Culvert. Drawing NBC-GTW-CL-0069 \m³\2 \ 50" u="1"/>
        <s v="SABS1200 DA \EARTHWORKS (SMALL WORKS)/8.3\SCHEDULED ITEMS/8.3.2a\Excavate for restricted foundations, footings and trenches  in all materials and use for embankments or backfill or dispose. /\KS19_003-Headcut  \m³\5.316 \ 85" u="1"/>
        <s v="SABS1200 DA \EARTHWORKS (SMALL WORKS)/8.3\SCHEDULED ITEMS/8.3.2a\Excavate for restricted foundations, footings and trenches  in all materials and use for embankments or backfill or dispose. /\KS20_001-Concrete Drop Inlet. Drawing NBC-GTW-CL-0027 \m³\51.93327 \ 50" u="1"/>
        <s v="SABS1200 DA \EARTHWORKS (SMALL WORKS)/8.3\SCHEDULED ITEMS/8.3.2a\Excavate for restricted foundations, footings and trenches  in all materials and use for embankments or backfill or dispose. /\LS16_011-Concrete Cut-Off Walls  \m³\3.3 \ 50" u="1"/>
        <s v="SABS1200 DA \EARTHWORKS (SMALL WORKS)/8.3\SCHEDULED ITEMS/8.3.2a\Excavate for restricted foundations, footings and trenches  in all materials and use for embankments or backfill or dispose. /\Pan8_001-Foreign Materials  \m³\18.9 \ 50" u="1"/>
        <s v="SABS1200 DA \EARTHWORKS (SMALL WORKS)/8.3\SCHEDULED ITEMS/8.3.2a\Excavate for restricted foundations, footings and trenches  in all materials and use for embankments or backfill or dispose. /\KS18_019-Concrete Drop Inlet. Drawing NBC-GTW-CL-0025 \m³\36.11444 \ 50" u="1"/>
        <s v="SABS1200 DA \EARTHWORKS (SMALL WORKS)/8.3\SCHEDULED ITEMS/8.3.2a\Excavate for restricted foundations, footings and trenches  in all materials and use for embankments or backfill or dispose. /\KS21-002-Earthworks  \m³\191.4 \ 85" u="1"/>
        <s v="SABS1200 DA \EARTHWORKS (SMALL WORKS)/8.3\SCHEDULED ITEMS/8.3.2a\Excavate for restricted foundations, footings and trenches  in all materials and use for embankments or backfill or dispose. /\KS21_007-Concrete Drop Inlet. Drawing NBC-GTW-CL-0042 \m³\31.14898 \ 85" u="1"/>
        <s v="SABS1200 DA \EARTHWORKS (SMALL WORKS)/8.3\SCHEDULED ITEMS/8.3.2a\Excavate for restricted foundations, footings and trenches  in all materials and use for embankments or backfill or dispose. /\KS18_007-Concrete Cut-Off Walls. Drawing NBC-GTW-CL-0045 \m³\5.04 \ 50" u="1"/>
        <s v="SABS1200 DA \EARTHWORKS (SMALL WORKS)/8.3\SCHEDULED ITEMS/8.3.2a\Excavate for restricted foundations, footings and trenches  in all materials and use for embankments or backfill or dispose. /\KS16_003-Infilling of Drains  \m³\14.22 \ 50" u="1"/>
        <s v="SABS1200 DA \EARTHWORKS (SMALL WORKS)/8.3\SCHEDULED ITEMS/8.3.2a\Excavate for restricted foundations, footings and trenches  in all materials and use for embankments or backfill or dispose. /\KS21_007-Concrete Drop Inlet. Drawing NBC-GTW-CL-0042 \m³\31.14898 \ 50" u="1"/>
        <s v="SABS1200 DA \EARTHWORKS (SMALL WORKS)/8.3\SCHEDULED ITEMS/8.3.2a\Excavate for restricted foundations, footings and trenches  in all materials and use for embankments or backfill or dispose. /\KS13_004-Concrete Drop Inlet. Drawing NBC-GTW-CL-0010 \m³\32.319 \ 50" u="1"/>
        <s v="SABS1200 DA \EARTHWORKS (SMALL WORKS)/8.3\SCHEDULED ITEMS/8.3.2a\Excavate for restricted foundations, footings and trenches  in all materials and use for embankments or backfill or dispose. /\KS20_005-Concrete Drop Inlet. Drawing NBC-GTW-CL-0031 \m³\69.658655 \ 50" u="1"/>
        <s v="SABS1200 DA \EARTHWORKS (SMALL WORKS)/8.3\SCHEDULED ITEMS/8.3.2a\Excavate for restricted foundations, footings and trenches  in all materials and use for embankments or backfill or dispose. /\KS18_011-Concrete Cut-Off Walls. Drawing NBC-GTW-CL-0045 \m³\6 \ 50" u="1"/>
        <s v="SABS1200 DA \EARTHWORKS (SMALL WORKS)/8.3\SCHEDULED ITEMS/8.3.2a\Excavate for restricted foundations, footings and trenches  in all materials and use for embankments or backfill or dispose. /\KS18_013-Concrete Cut-Off Walls. Drawing NBC-GTW-CL-0045 \m³\6 \ 50" u="1"/>
        <s v="SABS1200 DA \EARTHWORKS (SMALL WORKS)/8.3\SCHEDULED ITEMS/8.3.2a\Excavate for restricted foundations, footings and trenches  in all materials and use for embankments or backfill or dispose. /\KS13_003-Concrete Drop Inlet. Drawing NBC-GTW-CL-0009 \m³\44.0325 \ 50" u="1"/>
        <s v="SABS1200 DA \EARTHWORKS (SMALL WORKS)/8.3\SCHEDULED ITEMS/8.3.2a\Excavate for restricted foundations, footings and trenches  in all materials and use for embankments or backfill or dispose. /\KS16_005-Deactivate Drain  \m³\18.36 \ 85" u="1"/>
        <s v="SABS1200 DA \EARTHWORKS (SMALL WORKS)/8.3\SCHEDULED ITEMS/8.3.2a\Excavate for restricted foundations, footings and trenches  in all materials and use for embankments or backfill or dispose. /\KS19_001-Infilling of Drains  \m³\5 \ 85" u="1"/>
        <s v="SABS1200 DA \EARTHWORKS (SMALL WORKS)/8.3\SCHEDULED ITEMS/8.3.2a\Excavate for restricted foundations, footings and trenches  in all materials and use for embankments or backfill or dispose. /\KS18_005-Concrete Cut-Off Walls. Drawing NBC-GTW-CL-0045 \m³\6.93 \ 85" u="1"/>
        <s v="SABS1200 DA \EARTHWORKS (SMALL WORKS)/8.3\SCHEDULED ITEMS/8.3.2a\Excavate for restricted foundations, footings and trenches  in all materials and use for embankments or backfill or dispose. /\KS18_010-Concrete Cut-Off Walls. Drawing NBC-GTW-CL-0045 \m³\6.93 \ 85" u="1"/>
        <s v="SABS1200 DA \EARTHWORKS (SMALL WORKS)/8.3\SCHEDULED ITEMS/8.3.2a\Excavate for restricted foundations, footings and trenches  in all materials and use for embankments or backfill or dispose. /\KS21_010-Concrete Drop Inlet. Drawing NBC-GTW-CL-0044 \m³\37.9104055 \ 50" u="1"/>
        <s v="SABS1200 DA \EARTHWORKS (SMALL WORKS)/8.3\SCHEDULED ITEMS/8.3.2a\Excavate for restricted foundations, footings and trenches  in all materials and use for embankments or backfill or dispose. /\KS13_015-Concrete Drop Inlet. Drawing NBC-GTW-CL-0018 \m³\45.89906 \ 50" u="1"/>
        <s v="SABS1200 DA \EARTHWORKS (SMALL WORKS)/8.3\SCHEDULED ITEMS/8.3.2a\Excavate for restricted foundations, footings and trenches  in all materials and use for embankments or backfill or dispose. /\KS16_005-Deactivate Drain  \m³\18.36 \ 50" u="1"/>
        <s v="SABS1200 DA \EARTHWORKS (SMALL WORKS)/8.3\SCHEDULED ITEMS/8.3.2a\Excavate for restricted foundations, footings and trenches  in all materials and use for embankments or backfill or dispose. /\LS16_001-Concrete Cut-Off Walls  \m³\5.04 \ 50" u="1"/>
        <s v="SABS1200 DA \EARTHWORKS (SMALL WORKS)/8.3\SCHEDULED ITEMS/8.3.2a\Excavate for restricted foundations, footings and trenches  in all materials and use for embankments or backfill or dispose. /\Pan14_008-Infilling of Drains  \m³\48.6 \ 50" u="1"/>
        <s v="SABS1200 DA \EARTHWORKS (SMALL WORKS)/8.3\SCHEDULED ITEMS/8.3.2a\Excavate for restricted foundations, footings and trenches  in all materials and use for embankments or backfill or dispose. /\KS18_009-Concrete Cut-Off Walls. Drawing NBC-GTW-CL-0045 \m³\5.775 \ 85" u="1"/>
        <s v="SABS1200 DA \EARTHWORKS (SMALL WORKS)/8.3\SCHEDULED ITEMS/8.3.2a\Excavate for restricted foundations, footings and trenches  in all materials and use for embankments or backfill or dispose. /\KS18_009-Concrete Cut-Off Walls. Drawing NBC-GTW-CL-0045 \m³\5.775 \ 50" u="1"/>
        <s v="SABS1200 DA \EARTHWORKS (SMALL WORKS)/8.3\SCHEDULED ITEMS/8.3.2a\Excavate for restricted foundations, footings and trenches  in all materials and use for embankments or backfill or dispose. /\KS18-014-Concrete Check Wall. Drawing NBC-GTW-CL-0001 \m³\6.66 \ 85" u="1"/>
        <s v="SABS1200 DA \EARTHWORKS (SMALL WORKS)/8.3\SCHEDULED ITEMS/8.3.2a\Excavate for restricted foundations, footings and trenches  in all materials and use for embankments or backfill or dispose. /\Pan14-003-Remove berm and backfill drain  \m³\950 \ 50" u="1"/>
        <s v="SABS1200 DA \EARTHWORKS (SMALL WORKS)/8.3\SCHEDULED ITEMS/8.3.2a\Excavate for restricted foundations, footings and trenches  in all materials and use for embankments or backfill or dispose. /\KS19_001-Infilling of Drains  \m³\5 \ 50" u="1"/>
        <s v="SABS1200 DA \EARTHWORKS (SMALL WORKS)/8.3\SCHEDULED ITEMS/8.3.2a\Excavate for restricted foundations, footings and trenches  in all materials and use for embankments or backfill or dispose. /\KS21-002-Earthworks  \m³\191.4 \ 50" u="1"/>
        <s v="SABS1200 DA \EARTHWORKS (SMALL WORKS)/8.3\SCHEDULED ITEMS/8.3.2a\Excavate for restricted foundations, footings and trenches  in all materials and use for embankments or backfill or dispose. /\KS13_007-Concrete Drop Inlet. Drawing NBC-GTW-CL-0013 \m³\35.99056 \ 50" u="1"/>
        <s v="SABS1200 DA \EARTHWORKS (SMALL WORKS)/8.3\SCHEDULED ITEMS/8.3.2a\Excavate for restricted foundations, footings and trenches  in all materials and use for embankments or backfill or dispose. /\LS16_009-Concrete Cut-Off Walls  \m³\4.35 \ 50" u="1"/>
        <s v="SABS1200 DA \EARTHWORKS (SMALL WORKS)/8.3\SCHEDULED ITEMS/8.3.2a\Excavate for restricted foundations, footings and trenches  in all materials and use for embankments or backfill or dispose. /\KS20_006-Concrete Drop Inlet. Drawing NBC-GTW-CL-0032 \m³\55.598465 \ 50" u="1"/>
        <s v="SABS1200 DA \EARTHWORKS (SMALL WORKS)/8.3\SCHEDULED ITEMS/8.3.2a\Excavate for restricted foundations, footings and trenches  in all materials and use for embankments or backfill or dispose. /\KS21_001-10° sloped Grouted Pitching (Light). Drawing NBC-GTW-CL-0038 \m³\15 \ 50" u="1"/>
        <s v="SABS1200 DA \EARTHWORKS (SMALL WORKS)/8.3\SCHEDULED ITEMS/8.3.2a\Excavate for restricted foundations, footings and trenches  in all materials and use for embankments or backfill or dispose. /\KS12_006-Concrete Drop Inlet. Drawing NBC-GTW-CL-0005 \m³\31.948975 \ 50" u="1"/>
        <s v="SABS1200 DA \EARTHWORKS (SMALL WORKS)/8.3\SCHEDULED ITEMS/8.3.2a\Excavate for restricted foundations, footings and trenches  in all materials and use for embankments or backfill or dispose. /\LS16_004-Concrete Cut-Off Walls  \m³\2.4 \ 50" u="1"/>
      </sharedItems>
    </cacheField>
    <cacheField name="bi)Excavation (Extra-over intermediate)3" numFmtId="0">
      <sharedItems count="56">
        <s v=" "/>
        <s v="SABS1200 DA \EARTHWORKS (SMALL WORKS)/8.3\SCHEDULED ITEMS/8.3.2b 1\Extra-over for intermediate excavation. (Provisional Quantities)/\ks11-002a-Concrete Drop Inlet on Dam Wall  \m³\39.47652 \ 125"/>
        <s v="SABS1200 DA \EARTHWORKS (SMALL WORKS)/8.3\SCHEDULED ITEMS/8.3.2b 1\Extra-over for intermediate excavation. (Provisional Quantities)/\ks11-004a-Concrete Drop Inlet on Dam Wall  \m³\26.46966 \ 125"/>
        <s v="SABS1200 DA \EARTHWORKS (SMALL WORKS)/8.3\SCHEDULED ITEMS/8.3.2b 1\Extra-over for intermediate excavation. (Provisional Quantities)/\KS13_003-Concrete Drop Inlet. Drawing NBC-GTW-CL-0009 \m³\4.40325 \ 125"/>
        <s v="SABS1200 DA \EARTHWORKS (SMALL WORKS)/8.3\SCHEDULED ITEMS/8.3.2b 1\Extra-over for intermediate excavation. (Provisional Quantities)/\KS19_002-Concrete Drop Inlet. Drawing NBC-GTW-CL-0026 \m³\3.8760038 \ 125"/>
        <s v="SABS1200 DA \EARTHWORKS (SMALL WORKS)/8.3\SCHEDULED ITEMS/8.3.2b 1\Extra-over for intermediate excavation. (Provisional Quantities)/\KS20_001-Concrete Drop Inlet. Drawing NBC-GTW-CL-0027 \m³\5.193327 \ 125"/>
        <s v="SABS1200 DA \EARTHWORKS (SMALL WORKS)/8.3\SCHEDULED ITEMS/8.3.2b 1\Extra-over for intermediate excavation. (Provisional Quantities)/\KS21_003-Concrete Drop Inlet. Drawing NBC-GTW-CL-0039 \m³\2.578775 \ 125"/>
        <s v="SABS1200 DA \EARTHWORKS (SMALL WORKS)/8,3\SCHEDULED ITEMS/8.3.2b 1\Extra-over for intermediate excavation. (Provisional Quantities)/\KS21_005-Concrete Drop Inlet. Drawing NBC-GTW-CL-0040 \m³\2,578775 \ 125"/>
        <s v="SABS1200 DA \EARTHWORKS (SMALL WORKS)/8.3\SCHEDULED ITEMS/8.3.2b 1\Extra-over for intermediate excavation. (Provisional Quantities)/\KS21_006-Concrete Drop Inlet. Drawing NBC-GTW-CL-0041 \m³\3.19418025 \ 125" u="1"/>
        <s v="SABS1200 DA \EARTHWORKS (SMALL WORKS)/8.3\SCHEDULED ITEMS/8.3.2b 1\Extra-over for intermediate excavation. (Provisional Quantities)/\KS21_010-Concrete Drop Inlet. Drawing NBC-GTW-CL-0044 \m³\3.79104055 \ 75" u="1"/>
        <s v="SABS1200 DA \EARTHWORKS (SMALL WORKS)/8.3\SCHEDULED ITEMS/8.3.2b 1\Extra-over for intermediate excavation. (Provisional Quantities)/\KS18_017-Concrete Drop Inlet. Drawing NBC-GTW-CL-0023 \m³\4.359664 \ 75" u="1"/>
        <s v="SABS1200 DA \EARTHWORKS (SMALL WORKS)/8.3\SCHEDULED ITEMS/8.3.2b 1\Extra-over for intermediate excavation. (Provisional Quantities)/\KS13_012-Concrete Drop Inlet. Drawing NBC-GTW-CL-0016 \m³\2.9930225 \ 75" u="1"/>
        <s v="SABS1200 DA \EARTHWORKS (SMALL WORKS)/8.3\SCHEDULED ITEMS/8.3.2b 1\Extra-over for intermediate excavation. (Provisional Quantities)/\KS21_009-Concrete Drop Inlet. Drawing NBC-GTW-CL-0043 \m³\4.0198585 \ 75" u="1"/>
        <s v="SABS1200 DA \EARTHWORKS (SMALL WORKS)/8.3\SCHEDULED ITEMS/8.3.2b 1\Extra-over for intermediate excavation. (Provisional Quantities)/\KS21_006-Concrete Drop Inlet. Drawing NBC-GTW-CL-0041 \m³\3.19418025 \ 75" u="1"/>
        <s v="SABS1200 DA \EARTHWORKS (SMALL WORKS)/8.3\SCHEDULED ITEMS/8.3.2b 1\Extra-over for intermediate excavation. (Provisional Quantities)/\KS18_001-Concrete Drop Inlet. Drawing NBC-GTW-CL-0019 \m³\6.1486052 \ 75" u="1"/>
        <s v="SABS1200 DA \EARTHWORKS (SMALL WORKS)/8.3\SCHEDULED ITEMS/8.3.2b 1\Extra-over for intermediate excavation. (Provisional Quantities)/\KS21_010-Concrete Drop Inlet. Drawing NBC-GTW-CL-0044 \m³\3.79104055 \ 125" u="1"/>
        <s v="SABS1200 DA \EARTHWORKS (SMALL WORKS)/8.3\SCHEDULED ITEMS/8.3.2b 1\Extra-over for intermediate excavation. (Provisional Quantities)/\KS21_007-Concrete Drop Inlet. Drawing NBC-GTW-CL-0042 \m³\3.114898 \ 125" u="1"/>
        <s v="SABS1200 DA \EARTHWORKS (SMALL WORKS)/8.3\SCHEDULED ITEMS/8.3.2b 1\Extra-over for intermediate excavation. (Provisional Quantities)/\KS12_008-Concrete Drop Inlet. Drawing NBC-GTW-CL-0007 \m³\3.321409 \ 75" u="1"/>
        <s v="SABS1200 DA \EARTHWORKS (SMALL WORKS)/8.3\SCHEDULED ITEMS/8.3.2b 1\Extra-over for intermediate excavation. (Provisional Quantities)/\KS20_003-Concrete Buttress Weir. Drawing NBC-GTW-CL-0029 \m³\8.29571958 \ 75" u="1"/>
        <s v="SABS1200 DA \EARTHWORKS (SMALL WORKS)/8.3\SCHEDULED ITEMS/8.3.2b 1\Extra-over for intermediate excavation. (Provisional Quantities)/\KS20_002-Concrete Drop Inlet. Drawing NBC-GTW-CL-0028 \m³\1.580255 \ 75" u="1"/>
        <s v="SABS1200 DA \EARTHWORKS (SMALL WORKS)/8.3\SCHEDULED ITEMS/8.3.2b 1\Extra-over for intermediate excavation. (Provisional Quantities)/\KS18_002-Concrete Drop Inlet. Drawing NBC-GTW-CL-0020 \m³\3.2274065 \ 75" u="1"/>
        <s v="SABS1200 DA \EARTHWORKS (SMALL WORKS)/8.3\SCHEDULED ITEMS/8.3.2b 1\Extra-over for intermediate excavation. (Provisional Quantities)/\KS20_001-Concrete Drop Inlet. Drawing NBC-GTW-CL-0027 \m³\5.193327 \ 75" u="1"/>
        <s v="SABS1200 DA \EARTHWORKS (SMALL WORKS)/8.3\SCHEDULED ITEMS/8.3.2b 1\Extra-over for intermediate excavation. (Provisional Quantities)/\KS20_004-Concrete Drop Inlet. Drawing NBC-GTW-CL-0030 \m³\4.2774586 \ 75" u="1"/>
        <s v="SABS1200 DA \EARTHWORKS (SMALL WORKS)/8.3\SCHEDULED ITEMS/8.3.2b 1\Extra-over for intermediate excavation. (Provisional Quantities)/\KS12_007-Concrete Drop Inlet. Drawing NBC-GTW-CL-0006 \m³\4.7313325 \ 75" u="1"/>
        <s v="SABS1200 DA \EARTHWORKS (SMALL WORKS)/8.3\SCHEDULED ITEMS/8.3.2b 1\Extra-over for intermediate excavation. (Provisional Quantities)/\KS12_006-Concrete Drop Inlet. Drawing NBC-GTW-CL-0005 \m³\3.1948975 \ 75" u="1"/>
        <s v="SABS1200 DA \EARTHWORKS (SMALL WORKS)/8.3\SCHEDULED ITEMS/8.3.2b 1\Extra-over for intermediate excavation. (Provisional Quantities)/\KS20_005-Concrete Drop Inlet. Drawing NBC-GTW-CL-0031 \m³\6.9658655 \ 75" u="1"/>
        <s v="SABS1200 DA \EARTHWORKS (SMALL WORKS)/8.3\SCHEDULED ITEMS/8.3.2b 1\Extra-over for intermediate excavation. (Provisional Quantities)/\KS18_015-Concrete Drop Inlet. Drawing NBC-GTW-CL-0021 \m³\5.716188 \ 75" u="1"/>
        <s v="SABS1200 DA \EARTHWORKS (SMALL WORKS)/8.3\SCHEDULED ITEMS/8.3.2b 1\Extra-over for intermediate excavation. (Provisional Quantities)/\KS20_008-Concrete Drop Inlet. Drawing NBC-GTW-CL-0034 \m³\5.433924 \ 75" u="1"/>
        <s v="SABS1200 DA \EARTHWORKS (SMALL WORKS)/8.3\SCHEDULED ITEMS/8.3.2b 1\Extra-over for intermediate excavation. (Provisional Quantities)/\KS21_007-Concrete Drop Inlet. Drawing NBC-GTW-CL-0042 \m³\3.114898 \ 75" u="1"/>
        <s v="SABS1200 DA \EARTHWORKS (SMALL WORKS)/8.3\SCHEDULED ITEMS/8.3.2b 1\Extra-over for intermediate excavation. (Provisional Quantities)/\KS13_003-Concrete Drop Inlet. Drawing NBC-GTW-CL-0009 \m³\4.40325 \ 75" u="1"/>
        <s v="SABS1200 DA \EARTHWORKS (SMALL WORKS)/8.3\SCHEDULED ITEMS/8.3.2b 1\Extra-over for intermediate excavation. (Provisional Quantities)/\KS19_002-Concrete Drop Inlet. Drawing NBC-GTW-CL-0026 \m³\3.8760038 \ 75" u="1"/>
        <s v="SABS1200 DA \EARTHWORKS (SMALL WORKS)/8.3\SCHEDULED ITEMS/8.3.2b 1\Extra-over for intermediate excavation. (Provisional Quantities)/\ks11-002a-Concrete Drop Inlet on Dam Wall  \m³\39.47652 \ 75" u="1"/>
        <s v="SABS1200 DA \EARTHWORKS (SMALL WORKS)/8.3\SCHEDULED ITEMS/8.3.2b 1\Extra-over for intermediate excavation. (Provisional Quantities)/\KS21_005-Concrete Drop Inlet. Drawing NBC-GTW-CL-0040 \m³\3.57722215 \ 125" u="1"/>
        <s v="SABS1200 DA \EARTHWORKS (SMALL WORKS)/8.3\SCHEDULED ITEMS/8.3.2b 1\Extra-over for intermediate excavation. (Provisional Quantities)/\KS13_007-Concrete Drop Inlet. Drawing NBC-GTW-CL-0013 \m³\3.599056 \ 75" u="1"/>
        <s v="SABS1200 DA \EARTHWORKS (SMALL WORKS)/8.3\SCHEDULED ITEMS/8.3.2b 1\Extra-over for intermediate excavation. (Provisional Quantities)/\KS12_005-Concrete Drop Inlet. Drawing NBC-GTW-CL-0004 \m³\3.64286202 \ 75" u="1"/>
        <s v="SABS1200 DA \EARTHWORKS (SMALL WORKS)/8.3\SCHEDULED ITEMS/8.3.2b 1\Extra-over for intermediate excavation. (Provisional Quantities)/\KS20_009_a-Concrete Buttress Weir. Drawing NBC-GTW-CL-0035 \m³\13.2757199 \ 75" u="1"/>
        <s v="SABS1200 DA \EARTHWORKS (SMALL WORKS)/8.3\SCHEDULED ITEMS/8.3.2b 1\Extra-over for intermediate excavation. (Provisional Quantities)/\KS18_016-Concrete Drop Inlet. Drawing NBC-GTW-CL-0022 \m³\4.641016 \ 75" u="1"/>
        <s v="SABS1200 DA \EARTHWORKS (SMALL WORKS)/8.3\SCHEDULED ITEMS/8.3.2b 1\Extra-over for intermediate excavation. (Provisional Quantities)/\KS21_003-Concrete Drop Inlet. Drawing NBC-GTW-CL-0039 \m³\2.578775 \ 75" u="1"/>
        <s v="SABS1200 DA \EARTHWORKS (SMALL WORKS)/8.3\SCHEDULED ITEMS/8.3.2b 1\Extra-over for intermediate excavation. (Provisional Quantities)/\KS21_005-Concrete Drop Inlet. Drawing NBC-GTW-CL-0040 \m³\3.57722215 \ 75" u="1"/>
        <s v="SABS1200 DA \EARTHWORKS (SMALL WORKS)/8.3\SCHEDULED ITEMS/8.3.2b 1\Extra-over for intermediate excavation. (Provisional Quantities)/\KS12_004-Concrete Drop Inlet. Drawing NBC-GTW-CL-0003 \m³\3.66111 \ 75" u="1"/>
        <s v="SABS1200 DA \EARTHWORKS (SMALL WORKS)/8.3\SCHEDULED ITEMS/8.3.2b 1\Extra-over for intermediate excavation. (Provisional Quantities)/\KS21_009-Concrete Drop Inlet. Drawing NBC-GTW-CL-0043 \m³\4.0198585 \ 125" u="1"/>
        <s v="SABS1200 DA \EARTHWORKS (SMALL WORKS)/8.3\SCHEDULED ITEMS/8.3.2b 1\Extra-over for intermediate excavation. (Provisional Quantities)/\KS18_019-Concrete Drop Inlet. Drawing NBC-GTW-CL-0025 \m³\3.611444 \ 75" u="1"/>
        <s v="SABS1200 DA \EARTHWORKS (SMALL WORKS)/8.3\SCHEDULED ITEMS/8.3.2b 1\Extra-over for intermediate excavation. (Provisional Quantities)/\KS20_007-Concrete Drop Inlet. Drawing NBC-GTW-CL-0033 \m³\5.6185603 \ 75" u="1"/>
        <s v="SABS1200 DA \EARTHWORKS (SMALL WORKS)/8.3\SCHEDULED ITEMS/8.3.2b 1\Extra-over for intermediate excavation. (Provisional Quantities)/\KS20_006-Concrete Drop Inlet. Drawing NBC-GTW-CL-0032 \m³\5.5598465 \ 75" u="1"/>
        <s v="SABS1200 DA \EARTHWORKS (SMALL WORKS)/8.3\SCHEDULED ITEMS/8.3.2b 1\Extra-over for intermediate excavation. (Provisional Quantities)/\KS13_008-Concrete Drop Inlet. Drawing NBC-GTW-CL-0014 \m³\4.093968 \ 75" u="1"/>
        <s v="SABS1200 DA \EARTHWORKS (SMALL WORKS)/8.3\SCHEDULED ITEMS/8.3.2b 1\Extra-over for intermediate excavation. (Provisional Quantities)/\KS12_002-Concrete Drop Inlet. Drawing NBC-GTW-CL-0002 \m³\3.7 \ 75" u="1"/>
        <s v="SABS1200 DA \EARTHWORKS (SMALL WORKS)/8.3\SCHEDULED ITEMS/8.3.2b 1\Extra-over for intermediate excavation. (Provisional Quantities)/\KS18_018-Concrete Drop Inlet. Drawing NBC-GTW-CL-0024 \m³\5.232581 \ 75" u="1"/>
        <s v="SABS1200 DA \EARTHWORKS (SMALL WORKS)/8.3\SCHEDULED ITEMS/8.3.2b 1\Extra-over for intermediate excavation. (Provisional Quantities)/\KS12_009-Concrete Drop Inlet. Drawing NBC-GTW-CL-0008 \m³\2.146164 \ 75" u="1"/>
        <s v="SABS1200 DA \EARTHWORKS (SMALL WORKS)/8.3\SCHEDULED ITEMS/8.3.2b 1\Extra-over for intermediate excavation. (Provisional Quantities)/\KS13_011-Concrete Drop Inlet. Drawing NBC-GTW-CL-0015 \m³\1 \ 75" u="1"/>
        <s v="SABS1200 DA \EARTHWORKS (SMALL WORKS)/8.3\SCHEDULED ITEMS/8.3.2b 1\Extra-over for intermediate excavation. (Provisional Quantities)/\KS18_020-Concrete Drop Inlet associated with Road Culvert  \m³\1.000635 \ 75" u="1"/>
        <s v="SABS1200 DA \EARTHWORKS (SMALL WORKS)/8.3\SCHEDULED ITEMS/8.3.2b 1\Extra-over for intermediate excavation. (Provisional Quantities)/\KS13_013-Concrete Drop Inlet. Drawing NBC-GTW-CL-0017 \m³\3.78822 \ 75" u="1"/>
        <s v="SABS1200 DA \EARTHWORKS (SMALL WORKS)/8.3\SCHEDULED ITEMS/8.3.2b 1\Extra-over for intermediate excavation. (Provisional Quantities)/\KS13_005-Concrete Drop Inlet. Drawing NBC-GTW-CL-0011 \m³\4.088154 \ 75" u="1"/>
        <s v="SABS1200 DA \EARTHWORKS (SMALL WORKS)/8.3\SCHEDULED ITEMS/8.3.2b 1\Extra-over for intermediate excavation. (Provisional Quantities)/\KS13_006-Concrete Drop Inlet. Drawing NBC-GTW-CL-0012 \m³\4.088154 \ 75" u="1"/>
        <s v="SABS1200 DA \EARTHWORKS (SMALL WORKS)/8.3\SCHEDULED ITEMS/8.3.2b 1\Extra-over for intermediate excavation. (Provisional Quantities)/\ks11-004a-Concrete Drop Inlet on Dam Wall  \m³\26.46966 \ 75" u="1"/>
        <s v="SABS1200 DA \EARTHWORKS (SMALL WORKS)/8.3\SCHEDULED ITEMS/8.3.2b 1\Extra-over for intermediate excavation. (Provisional Quantities)/\KS13_015-Concrete Drop Inlet. Drawing NBC-GTW-CL-0018 \m³\4.589906 \ 75" u="1"/>
        <s v="SABS1200 DA \EARTHWORKS (SMALL WORKS)/8.3\SCHEDULED ITEMS/8.3.2b 1\Extra-over for intermediate excavation. (Provisional Quantities)/\KS13_004-Concrete Drop Inlet. Drawing NBC-GTW-CL-0010 \m³\3.2319 \ 75" u="1"/>
      </sharedItems>
    </cacheField>
    <cacheField name="bii)Excavation (Extra-over Hard Rock)3" numFmtId="0">
      <sharedItems count="55">
        <s v=" "/>
        <s v="SABS1200 DA \EARTHWORKS (SMALL WORKS)/8.3\SCHEDULED ITEMS/8.3.2b 2\Extra-over for hard rock. (Provisional Quantities)/\ks11-002a-Concrete Drop Inlet on Dam Wall  \m³\10.9657 \ 500"/>
        <s v="SABS1200 DA \EARTHWORKS (SMALL WORKS)/8.3\SCHEDULED ITEMS/8.3.2b 2\Extra-over for hard rock. (Provisional Quantities)/\ks11-004a-Concrete Drop Inlet on Dam Wall  \m³\14.235864 \ 500"/>
        <s v="SABS1200 DA \EARTHWORKS (SMALL WORKS)/8.3\SCHEDULED ITEMS/8.3.2b 2\Extra-over for hard rock. (Provisional Quantities)/\KS12_002-Concrete Drop Inlet. Drawing NBC-GTW-CL-0002 \m³\5.55 \ 500"/>
        <s v="SABS1200 DA \EARTHWORKS (SMALL WORKS)/8.3\SCHEDULED ITEMS/8.3.2b 2\Extra-over for hard rock. (Provisional Quantities)/\KS12_004-Concrete Drop Inlet. Drawing NBC-GTW-CL-0003 \m³\5.491665 \ 500"/>
        <s v="SABS1200 DA \EARTHWORKS (SMALL WORKS)/8.3\SCHEDULED ITEMS/8.3.2b 2\Extra-over for hard rock. (Provisional Quantities)/\KS12_005-Concrete Drop Inlet. Drawing NBC-GTW-CL-0004 \m³\5.46429303 \ 500"/>
        <s v="SABS1200 DA \EARTHWORKS (SMALL WORKS)/8.3\SCHEDULED ITEMS/8.3.2b 2\Extra-over for hard rock. (Provisional Quantities)/\KS12_006-Concrete Drop Inlet. Drawing NBC-GTW-CL-0005 \m³\4.79234625 \ 500"/>
        <s v="SABS1200 DA \EARTHWORKS (SMALL WORKS)/8.3\SCHEDULED ITEMS/8.3.2b 2\Extra-over for hard rock. (Provisional Quantities)/\KS12_007-Concrete Drop Inlet. Drawing NBC-GTW-CL-0006 \m³\7.09699875 \ 500"/>
        <s v="SABS1200 DA \EARTHWORKS (SMALL WORKS)/8.3\SCHEDULED ITEMS/8.3.2b 2\Extra-over for hard rock. (Provisional Quantities)/\KS12_008-Concrete Drop Inlet. Drawing NBC-GTW-CL-0007 \m³\4.9821135 \ 500"/>
        <s v="SABS1200 DA \EARTHWORKS (SMALL WORKS)/8.3\SCHEDULED ITEMS/8.3.2b 2\Extra-over for hard rock. (Provisional Quantities)/\KS12_009-Concrete Drop Inlet. Drawing NBC-GTW-CL-0008 \m³\3.219246 \ 500"/>
        <s v="SABS1200 DA \EARTHWORKS (SMALL WORKS)/8.3\SCHEDULED ITEMS/8.3.2b 2\Extra-over for hard rock. (Provisional Quantities)/\KS13_003-Concrete Drop Inlet. Drawing NBC-GTW-CL-0009 \m³\2.201625 \ 500"/>
        <s v="SABS1200 DA \EARTHWORKS (SMALL WORKS)/8.3\SCHEDULED ITEMS/8.3.2b 2\Extra-over for hard rock. (Provisional Quantities)/\KS19_002-Concrete Drop Inlet. Drawing NBC-GTW-CL-0026 \m³\1.9380019 \ 500"/>
        <s v="SABS1200 DA \EARTHWORKS (SMALL WORKS)/8.3\SCHEDULED ITEMS/8.3.2b 2\Extra-over for hard rock. (Provisional Quantities)/\KS20_001-Concrete Drop Inlet. Drawing NBC-GTW-CL-0027 \m³\2.5966635 \ 500"/>
        <s v="SABS1200 DA \EARTHWORKS (SMALL WORKS)/8.3\SCHEDULED ITEMS/8.3.2b 2\Extra-over for hard rock. (Provisional Quantities)/\KS21_001-10° sloped Grouted Pitching (Light). Drawing NBC-GTW-CL-0038 \m³\1 \ 500"/>
        <s v="SABS1200 DA \EARTHWORKS (SMALL WORKS)/8.3\SCHEDULED ITEMS/8.3.2b 2\Extra-over for hard rock. (Provisional Quantities)/\KS21_003-Concrete Drop Inlet. Drawing NBC-GTW-CL-0039 \m³\1.2893875 \ 500"/>
        <s v="SABS1200 DA \EARTHWORKS (SMALL WORKS)/8,3\SCHEDULED ITEMS/8.3.2b 2\Extra-over for hard rock. (Provisional Quantities)/\KS21_005-Concrete Drop Inlet. Drawing NBC-GTW-CL-0040 \m³\1,2893875 \ 500"/>
        <s v="SABS1200 DA \EARTHWORKS (SMALL WORKS)/8.3\SCHEDULED ITEMS/8.3.2b 2\Extra-over for hard rock. (Provisional Quantities)/\KS13_008-Concrete Drop Inlet. Drawing NBC-GTW-CL-0014 \m³\2.046984 \ 500" u="1"/>
        <s v="SABS1200 DA \EARTHWORKS (SMALL WORKS)/8.3\SCHEDULED ITEMS/8.3.2b 2\Extra-over for hard rock. (Provisional Quantities)/\KS13_011-Concrete Drop Inlet. Drawing NBC-GTW-CL-0015 \m³\1.94 \ 500" u="1"/>
        <s v="SABS1200 DA \EARTHWORKS (SMALL WORKS)/8.3\SCHEDULED ITEMS/8.3.2b 2\Extra-over for hard rock. (Provisional Quantities)/\KS20_007-Concrete Drop Inlet. Drawing NBC-GTW-CL-0033 \m³\2.80928015 \ 500" u="1"/>
        <s v="SABS1200 DA \EARTHWORKS (SMALL WORKS)/8.3\SCHEDULED ITEMS/8.3.2b 2\Extra-over for hard rock. (Provisional Quantities)/\KS12_004-Concrete Drop Inlet. Drawing NBC-GTW-CL-0003 \m³\1.830555 \ 500" u="1"/>
        <s v="SABS1200 DA \EARTHWORKS (SMALL WORKS)/8.3\SCHEDULED ITEMS/8.3.2b 2\Extra-over for hard rock. (Provisional Quantities)/\KS12_009-Concrete Drop Inlet. Drawing NBC-GTW-CL-0008 \m³\1.073082 \ 500" u="1"/>
        <s v="SABS1200 DA \EARTHWORKS (SMALL WORKS)/8.3\SCHEDULED ITEMS/8.3.2b 2\Extra-over for hard rock. (Provisional Quantities)/\KS18_019-Concrete Drop Inlet. Drawing NBC-GTW-CL-0025 \m³\1.805722 \ 500" u="1"/>
        <s v="SABS1200 DA \EARTHWORKS (SMALL WORKS)/8.3\SCHEDULED ITEMS/8.3.2b 2\Extra-over for hard rock. (Provisional Quantities)/\KS13_005-Concrete Drop Inlet. Drawing NBC-GTW-CL-0011 \m³\2.044077 \ 500" u="1"/>
        <s v="SABS1200 DA \EARTHWORKS (SMALL WORKS)/8.3\SCHEDULED ITEMS/8.3.2b 2\Extra-over for hard rock. (Provisional Quantities)/\KS13_006-Concrete Drop Inlet. Drawing NBC-GTW-CL-0012 \m³\2.044077 \ 500" u="1"/>
        <s v="SABS1200 DA \EARTHWORKS (SMALL WORKS)/8.3\SCHEDULED ITEMS/8.3.2b 2\Extra-over for hard rock. (Provisional Quantities)/\KS18_001-Concrete Drop Inlet. Drawing NBC-GTW-CL-0019 \m³\3.0743026 \ 500" u="1"/>
        <s v="SABS1200 DA \EARTHWORKS (SMALL WORKS)/8.3\SCHEDULED ITEMS/8.3.2b 2\Extra-over for hard rock. (Provisional Quantities)/\KS21_009-Concrete Drop Inlet. Drawing NBC-GTW-CL-0043 \m³\2.00992925 \ 500" u="1"/>
        <s v="SABS1200 DA \EARTHWORKS (SMALL WORKS)/8.3\SCHEDULED ITEMS/8.3.2b 2\Extra-over for hard rock. (Provisional Quantities)/\KS18_018-Concrete Drop Inlet. Drawing NBC-GTW-CL-0024 \m³\2.6162905 \ 500" u="1"/>
        <s v="SABS1200 DA \EARTHWORKS (SMALL WORKS)/8.3\SCHEDULED ITEMS/8.3.2b 2\Extra-over for hard rock. (Provisional Quantities)/\KS20_003-Concrete Buttress Weir. Drawing NBC-GTW-CL-0029 \m³\4.14785979 \ 500" u="1"/>
        <s v="SABS1200 DA \EARTHWORKS (SMALL WORKS)/8.3\SCHEDULED ITEMS/8.3.2b 2\Extra-over for hard rock. (Provisional Quantities)/\KS13_015-Concrete Drop Inlet. Drawing NBC-GTW-CL-0018 \m³\2.294953 \ 500" u="1"/>
        <s v="SABS1200 DA \EARTHWORKS (SMALL WORKS)/8.3\SCHEDULED ITEMS/8.3.2b 2\Extra-over for hard rock. (Provisional Quantities)/\KS12_005-Concrete Drop Inlet. Drawing NBC-GTW-CL-0004 \m³\1.82143101 \ 500" u="1"/>
        <s v="SABS1200 DA \EARTHWORKS (SMALL WORKS)/8.3\SCHEDULED ITEMS/8.3.2b 2\Extra-over for hard rock. (Provisional Quantities)/\KS13_013-Concrete Drop Inlet. Drawing NBC-GTW-CL-0017 \m³\1.89411 \ 500" u="1"/>
        <s v="SABS1200 DA \EARTHWORKS (SMALL WORKS)/8.3\SCHEDULED ITEMS/8.3.2b 2\Extra-over for hard rock. (Provisional Quantities)/\KS21_005-Concrete Drop Inlet. Drawing NBC-GTW-CL-0040 \m³\1.788611075 \ 500" u="1"/>
        <s v="SABS1200 DA \EARTHWORKS (SMALL WORKS)/8.3\SCHEDULED ITEMS/8.3.2b 2\Extra-over for hard rock. (Provisional Quantities)/\KS20_009_b-Concrete Overflow Wall. Drawing NBC-GTW-CL-0035 \m³\1.538375 \ 500" u="1"/>
        <s v="SABS1200 DA \EARTHWORKS (SMALL WORKS)/8.3\SCHEDULED ITEMS/8.3.2b 2\Extra-over for hard rock. (Provisional Quantities)/\KS12_002-Concrete Drop Inlet. Drawing NBC-GTW-CL-0002 \m³\1.85 \ 500" u="1"/>
        <s v="SABS1200 DA \EARTHWORKS (SMALL WORKS)/8.3\SCHEDULED ITEMS/8.3.2b 2\Extra-over for hard rock. (Provisional Quantities)/\KS21_001-10° sloped Grouted Pitching (Light). Drawing NBC-GTW-CL-0038 \m³\0.75 \ 500" u="1"/>
        <s v="SABS1200 DA \EARTHWORKS (SMALL WORKS)/8.3\SCHEDULED ITEMS/8.3.2b 2\Extra-over for hard rock. (Provisional Quantities)/\KS21_010-Concrete Drop Inlet. Drawing NBC-GTW-CL-0044 \m³\1.895520275 \ 500" u="1"/>
        <s v="SABS1200 DA \EARTHWORKS (SMALL WORKS)/8.3\SCHEDULED ITEMS/8.3.2b 2\Extra-over for hard rock. (Provisional Quantities)/\KS20_008-Concrete Drop Inlet. Drawing NBC-GTW-CL-0034 \m³\2.716962 \ 500" u="1"/>
        <s v="SABS1200 DA \EARTHWORKS (SMALL WORKS)/8.3\SCHEDULED ITEMS/8.3.2b 2\Extra-over for hard rock. (Provisional Quantities)/\KS18_002-Concrete Drop Inlet. Drawing NBC-GTW-CL-0020 \m³\1.61370325 \ 500" u="1"/>
        <s v="SABS1200 DA \EARTHWORKS (SMALL WORKS)/8.3\SCHEDULED ITEMS/8.3.2b 2\Extra-over for hard rock. (Provisional Quantities)/\KS20_006-Concrete Drop Inlet. Drawing NBC-GTW-CL-0032 \m³\2.77992325 \ 500" u="1"/>
        <s v="SABS1200 DA \EARTHWORKS (SMALL WORKS)/8.3\SCHEDULED ITEMS/8.3.2b 2\Extra-over for hard rock. (Provisional Quantities)/\KS20_002-Concrete Drop Inlet. Drawing NBC-GTW-CL-0028 \m³\3.0024845 \ 500" u="1"/>
        <s v="SABS1200 DA \EARTHWORKS (SMALL WORKS)/8.3\SCHEDULED ITEMS/8.3.2b 2\Extra-over for hard rock. (Provisional Quantities)/\KS21_006-Concrete Drop Inlet. Drawing NBC-GTW-CL-0041 \m³\1.597090125 \ 500" u="1"/>
        <s v="SABS1200 DA \EARTHWORKS (SMALL WORKS)/8.3\SCHEDULED ITEMS/8.3.2b 2\Extra-over for hard rock. (Provisional Quantities)/\KS20_004-Concrete Drop Inlet. Drawing NBC-GTW-CL-0030 \m³\2.1387293 \ 500" u="1"/>
        <s v="SABS1200 DA \EARTHWORKS (SMALL WORKS)/8.3\SCHEDULED ITEMS/8.3.2b 2\Extra-over for hard rock. (Provisional Quantities)/\KS13_007-Concrete Drop Inlet. Drawing NBC-GTW-CL-0013 \m³\1.799528 \ 500" u="1"/>
        <s v="SABS1200 DA \EARTHWORKS (SMALL WORKS)/8.3\SCHEDULED ITEMS/8.3.2b 2\Extra-over for hard rock. (Provisional Quantities)/\KS12_006-Concrete Drop Inlet. Drawing NBC-GTW-CL-0005 \m³\1.59744875 \ 500" u="1"/>
        <s v="SABS1200 DA \EARTHWORKS (SMALL WORKS)/8.3\SCHEDULED ITEMS/8.3.2b 2\Extra-over for hard rock. (Provisional Quantities)/\KS21_007-Concrete Drop Inlet. Drawing NBC-GTW-CL-0042 \m³\1.557449 \ 500" u="1"/>
        <s v="SABS1200 DA \EARTHWORKS (SMALL WORKS)/8.3\SCHEDULED ITEMS/8.3.2b 2\Extra-over for hard rock. (Provisional Quantities)/\KS13_004-Concrete Drop Inlet. Drawing NBC-GTW-CL-0010 \m³\1.61595 \ 500" u="1"/>
        <s v="SABS1200 DA \EARTHWORKS (SMALL WORKS)/8.3\SCHEDULED ITEMS/8.3.2b 2\Extra-over for hard rock. (Provisional Quantities)/\KS18_016-Concrete Drop Inlet. Drawing NBC-GTW-CL-0022 \m³\2.320508 \ 500" u="1"/>
        <s v="SABS1200 DA \EARTHWORKS (SMALL WORKS)/8.3\SCHEDULED ITEMS/8.3.2b 2\Extra-over for hard rock. (Provisional Quantities)/\KS18_015-Concrete Drop Inlet. Drawing NBC-GTW-CL-0021 \m³\2.858094 \ 500" u="1"/>
        <s v="SABS1200 DA \EARTHWORKS (SMALL WORKS)/8.3\SCHEDULED ITEMS/8.3.2b 2\Extra-over for hard rock. (Provisional Quantities)/\KS12_008-Concrete Drop Inlet. Drawing NBC-GTW-CL-0007 \m³\1.6607045 \ 500" u="1"/>
        <s v="SABS1200 DA \EARTHWORKS (SMALL WORKS)/8.3\SCHEDULED ITEMS/8.3.2b 2\Extra-over for hard rock. (Provisional Quantities)/\KS12_007-Concrete Drop Inlet. Drawing NBC-GTW-CL-0006 \m³\2.36566625 \ 500" u="1"/>
        <s v="SABS1200 DA \EARTHWORKS (SMALL WORKS)/8.3\SCHEDULED ITEMS/8.3.2b 2\Extra-over for hard rock. (Provisional Quantities)/\KS18_020-Concrete Drop Inlet associated with Road Culvert  \m³\1.9012065 \ 500" u="1"/>
        <s v="SABS1200 DA \EARTHWORKS (SMALL WORKS)/8.3\SCHEDULED ITEMS/8.3.2b 2\Extra-over for hard rock. (Provisional Quantities)/\KS13_012-Concrete Drop Inlet. Drawing NBC-GTW-CL-0016 \m³\1.49651125 \ 500" u="1"/>
        <s v="SABS1200 DA \EARTHWORKS (SMALL WORKS)/8.3\SCHEDULED ITEMS/8.3.2b 2\Extra-over for hard rock. (Provisional Quantities)/\KS18_017-Concrete Drop Inlet. Drawing NBC-GTW-CL-0023 \m³\2.179832 \ 500" u="1"/>
        <s v="SABS1200 DA \EARTHWORKS (SMALL WORKS)/8.3\SCHEDULED ITEMS/8.3.2b 2\Extra-over for hard rock. (Provisional Quantities)/\KS20_005-Concrete Drop Inlet. Drawing NBC-GTW-CL-0031 \m³\3.48293275 \ 500" u="1"/>
        <s v="SABS1200 DA \EARTHWORKS (SMALL WORKS)/8.3\SCHEDULED ITEMS/8.3.2b 2\Extra-over for hard rock. (Provisional Quantities)/\KS20_009_a-Concrete Buttress Weir. Drawing NBC-GTW-CL-0035 \m³\6.63785995 \ 500" u="1"/>
      </sharedItems>
    </cacheField>
    <cacheField name="Top Soiling" numFmtId="0">
      <sharedItems count="103" longText="1">
        <s v=" "/>
        <s v="SABS1200 DA \EARTHWORKS (SMALL WORKS)/8.3\SCHEDULED ITEMS/8.3.6\Top Soiling. Rate to allow for excavations from stockpiled top soil  and vegetation, transport, placement and spreading to a nominal depth of 150 mm./\DS12_001-Excavation of Dam Wall  \m²\1251.40232690631 \ 5"/>
        <s v="SABS1200 DA \EARTHWORKS (SMALL WORKS)/8.3\SCHEDULED ITEMS/8.3.6\Top Soiling. Rate to allow for excavations from stockpiled top soil  and vegetation, transport, placement and spreading to a nominal depth of 150 mm./\DS12_002-Backfilling Dam  \m²\995.487318191585 \ 5"/>
        <s v="SABS1200 DA \EARTHWORKS (SMALL WORKS)/8.3\SCHEDULED ITEMS/8.3.6\Top Soiling. Rate to allow for excavations from stockpiled top soil  and vegetation, transport, placement and spreading to a nominal depth of 150 mm./\DS12_003-Excavation of Dam Wall  \m²\621.569611479008 \ 5"/>
        <s v="SABS1200 DA \EARTHWORKS (SMALL WORKS)/8.3\SCHEDULED ITEMS/8.3.6\Top Soiling. Rate to allow for excavations from stockpiled top soil  and vegetation, transport, placement and spreading to a nominal depth of 150 mm./\ks11-002a-Concrete Drop Inlet on Dam Wall  \m²\31.8 \ 5"/>
        <s v="SABS1200 DA \EARTHWORKS (SMALL WORKS)/8.3\SCHEDULED ITEMS/8.3.6\Top Soiling. Rate to allow for excavations from stockpiled top soil  and vegetation, transport, placement and spreading to a nominal depth of 150 mm./\ks11-002c-Dam wall excavation. Drawing NBC-GTW-CL-0067 \m²\1870 \ 5"/>
        <s v="SABS1200 DA \EARTHWORKS (SMALL WORKS)/8.3\SCHEDULED ITEMS/8.3.6\Top Soiling. Rate to allow for excavations from stockpiled top soil  and vegetation, transport, placement and spreading to a nominal depth of 150 mm./\ks11-004a-Concrete Drop Inlet on Dam Wall  \m²\31.8 \ 5"/>
        <s v="SABS1200 DA \EARTHWORKS (SMALL WORKS)/8.3\SCHEDULED ITEMS/8.3.6\Top Soiling. Rate to allow for excavations from stockpiled top soil  and vegetation, transport, placement and spreading to a nominal depth of 150 mm./\ks11-004c-Dam wall excavation. Drawing NBC-GTW-CL-0068 \m²\1200 \ 5"/>
        <s v="SABS1200 DA \EARTHWORKS (SMALL WORKS)/8.3\SCHEDULED ITEMS/8.3.6\Top Soiling. Rate to allow for excavations from stockpiled top soil  and vegetation, transport, placement and spreading to a nominal depth of 150 mm./\KS12_002-Concrete Drop Inlet. Drawing NBC-GTW-CL-0002 \m²\30 \ 5"/>
        <s v="SABS1200 DA \EARTHWORKS (SMALL WORKS)/8.3\SCHEDULED ITEMS/8.3.6\Top Soiling. Rate to allow for excavations from stockpiled top soil  and vegetation, transport, placement and spreading to a nominal depth of 150 mm./\KS12_003-Removal of Berm and Dam Wall  \m²\1876.14315788985 \ 5"/>
        <s v="SABS1200 DA \EARTHWORKS (SMALL WORKS)/8.3\SCHEDULED ITEMS/8.3.6\Top Soiling. Rate to allow for excavations from stockpiled top soil  and vegetation, transport, placement and spreading to a nominal depth of 150 mm./\KS12_004-Concrete Drop Inlet. Drawing NBC-GTW-CL-0003 \m²\21.76 \ 5"/>
        <s v="SABS1200 DA \EARTHWORKS (SMALL WORKS)/8.3\SCHEDULED ITEMS/8.3.6\Top Soiling. Rate to allow for excavations from stockpiled top soil  and vegetation, transport, placement and spreading to a nominal depth of 150 mm./\KS12_005-Concrete Drop Inlet. Drawing NBC-GTW-CL-0004 \m²\21.92 \ 5"/>
        <s v="SABS1200 DA \EARTHWORKS (SMALL WORKS)/8.3\SCHEDULED ITEMS/8.3.6\Top Soiling. Rate to allow for excavations from stockpiled top soil  and vegetation, transport, placement and spreading to a nominal depth of 150 mm./\KS12_006-Concrete Drop Inlet. Drawing NBC-GTW-CL-0005 \m²\21.44 \ 5"/>
        <s v="SABS1200 DA \EARTHWORKS (SMALL WORKS)/8.3\SCHEDULED ITEMS/8.3.6\Top Soiling. Rate to allow for excavations from stockpiled top soil  and vegetation, transport, placement and spreading to a nominal depth of 150 mm./\KS12_007-Concrete Drop Inlet. Drawing NBC-GTW-CL-0006 \m²\21.92 \ 5"/>
        <s v="SABS1200 DA \EARTHWORKS (SMALL WORKS)/8.3\SCHEDULED ITEMS/8.3.6\Top Soiling. Rate to allow for excavations from stockpiled top soil  and vegetation, transport, placement and spreading to a nominal depth of 150 mm./\KS12_008-Concrete Drop Inlet. Drawing NBC-GTW-CL-0007 \m²\21.44 \ 5"/>
        <s v="SABS1200 DA \EARTHWORKS (SMALL WORKS)/8.3\SCHEDULED ITEMS/8.3.6\Top Soiling. Rate to allow for excavations from stockpiled top soil  and vegetation, transport, placement and spreading to a nominal depth of 150 mm./\KS12_009-Concrete Drop Inlet. Drawing NBC-GTW-CL-0008 \m²\21.44 \ 5"/>
        <s v="SABS1200 DA \EARTHWORKS (SMALL WORKS)/8.3\SCHEDULED ITEMS/8.3.6\Top Soiling. Rate to allow for excavations from stockpiled top soil  and vegetation, transport, placement and spreading to a nominal depth of 150 mm./\KS12_010-Removal of Dam Wall  \m²\619.185479905302 \ 5"/>
        <s v="SABS1200 DA \EARTHWORKS (SMALL WORKS)/8.3\SCHEDULED ITEMS/8.3.6\Top Soiling. Rate to allow for excavations from stockpiled top soil  and vegetation, transport, placement and spreading to a nominal depth of 150 mm./\KS13_001-Infilling of Drains  \m²\1148.93998599451 \ 5"/>
        <s v="SABS1200 DA \EARTHWORKS (SMALL WORKS)/8.3\SCHEDULED ITEMS/8.3.6\Top Soiling. Rate to allow for excavations from stockpiled top soil  and vegetation, transport, placement and spreading to a nominal depth of 150 mm./\KS13_002-Infilling of Drains  \m²\85.816653826392 \ 5"/>
        <s v="SABS1200 DA \EARTHWORKS (SMALL WORKS)/8.3\SCHEDULED ITEMS/8.3.6\Top Soiling. Rate to allow for excavations from stockpiled top soil  and vegetation, transport, placement and spreading to a nominal depth of 150 mm./\KS13_003-Concrete Drop Inlet. Drawing NBC-GTW-CL-0009 \m²\23.2 \ 5"/>
        <s v="SABS1200 DA \EARTHWORKS (SMALL WORKS)/8.3\SCHEDULED ITEMS/8.3.6\Top Soiling. Rate to allow for excavations from stockpiled top soil  and vegetation, transport, placement and spreading to a nominal depth of 150 mm./\KS13_009-Infilling of Drains  \m²\78.5716708603933 \ 5"/>
        <s v="SABS1200 DA \EARTHWORKS (SMALL WORKS)/8.3\SCHEDULED ITEMS/8.3.6\Top Soiling. Rate to allow for excavations from stockpiled top soil  and vegetation, transport, placement and spreading to a nominal depth of 150 mm./\KS13_010-Removal of Berm  \m²\1020.985 \ 5"/>
        <s v="SABS1200 DA \EARTHWORKS (SMALL WORKS)/8.3\SCHEDULED ITEMS/8.3.6\Top Soiling. Rate to allow for excavations from stockpiled top soil  and vegetation, transport, placement and spreading to a nominal depth of 150 mm./\KS13_014-Infilling of Drains  \m²\278.716598321288 \ 5"/>
        <s v="SABS1200 DA \EARTHWORKS (SMALL WORKS)/8.3\SCHEDULED ITEMS/8.3.6\Top Soiling. Rate to allow for excavations from stockpiled top soil  and vegetation, transport, placement and spreading to a nominal depth of 150 mm./\KS13_016-Infilling of Drains  \m²\332.18699875976 \ 5"/>
        <s v="SABS1200 DA \EARTHWORKS (SMALL WORKS)/8.3\SCHEDULED ITEMS/8.3.6\Top Soiling. Rate to allow for excavations from stockpiled top soil  and vegetation, transport, placement and spreading to a nominal depth of 150 mm./\KS13_017-Backfilling Main Channel  \m²\4680 \ 5"/>
        <s v="SABS1200 DA \EARTHWORKS (SMALL WORKS)/8.3\SCHEDULED ITEMS/8.3.6\Top Soiling. Rate to allow for excavations from stockpiled top soil  and vegetation, transport, placement and spreading to a nominal depth of 150 mm./\KS15_003-Removal of Dam Wall  \m²\619.289401121074 \ 5"/>
        <s v="SABS1200 DA \EARTHWORKS (SMALL WORKS)/8.3\SCHEDULED ITEMS/8.3.6\Top Soiling. Rate to allow for excavations from stockpiled top soil  and vegetation, transport, placement and spreading to a nominal depth of 150 mm./\KS15-002-Backfill Main Channel  \m²\3846.97837810187 \ 5"/>
        <s v="SABS1200 DA \EARTHWORKS (SMALL WORKS)/8.3\SCHEDULED ITEMS/8.3.6\Top Soiling. Rate to allow for excavations from stockpiled top soil  and vegetation, transport, placement and spreading to a nominal depth of 150 mm./\KS16_001-Earthen berm  \m²\494.873340531892 \ 5"/>
        <s v="SABS1200 DA \EARTHWORKS (SMALL WORKS)/8.3\SCHEDULED ITEMS/8.3.6\Top Soiling. Rate to allow for excavations from stockpiled top soil  and vegetation, transport, placement and spreading to a nominal depth of 150 mm./\KS16_002-Excavate Dam Wall  \m²\283.947757718744 \ 5"/>
        <s v="SABS1200 DA \EARTHWORKS (SMALL WORKS)/8.3\SCHEDULED ITEMS/8.3.6\Top Soiling. Rate to allow for excavations from stockpiled top soil  and vegetation, transport, placement and spreading to a nominal depth of 150 mm./\KS16_004-Earthen berm  \m²\480 \ 5"/>
        <s v="SABS1200 DA \EARTHWORKS (SMALL WORKS)/8.3\SCHEDULED ITEMS/8.3.6\Top Soiling. Rate to allow for excavations from stockpiled top soil  and vegetation, transport, placement and spreading to a nominal depth of 150 mm./\KS18-021-Backfill Main Channel  \m²\3294.95 \ 5"/>
        <s v="SABS1200 DA \EARTHWORKS (SMALL WORKS)/8.3\SCHEDULED ITEMS/8.3.6\Top Soiling. Rate to allow for excavations from stockpiled top soil  and vegetation, transport, placement and spreading to a nominal depth of 150 mm./\KS19_002-Concrete Drop Inlet. Drawing NBC-GTW-CL-0026 \m²\20.96 \ 5"/>
        <s v="SABS1200 DA \EARTHWORKS (SMALL WORKS)/8.3\SCHEDULED ITEMS/8.3.6\Top Soiling. Rate to allow for excavations from stockpiled top soil  and vegetation, transport, placement and spreading to a nominal depth of 150 mm./\KS19_006-Removal of Dam Wall  \m²\3134.04 \ 5"/>
        <s v="SABS1200 DA \EARTHWORKS (SMALL WORKS)/8.3\SCHEDULED ITEMS/8.3.6\Top Soiling. Rate to allow for excavations from stockpiled top soil  and vegetation, transport, placement and spreading to a nominal depth of 150 mm./\KS19_007-Infilling of Drains  \m²\179.7515 \ 5"/>
        <s v="SABS1200 DA \EARTHWORKS (SMALL WORKS)/8.3\SCHEDULED ITEMS/8.3.6\Top Soiling. Rate to allow for excavations from stockpiled top soil  and vegetation, transport, placement and spreading to a nominal depth of 150 mm./\KS20_001-Concrete Drop Inlet. Drawing NBC-GTW-CL-0027 \m²\23.52 \ 5"/>
        <s v="SABS1200 DA \EARTHWORKS (SMALL WORKS)/8.3\SCHEDULED ITEMS/8.3.6\Top Soiling. Rate to allow for excavations from stockpiled top soil  and vegetation, transport, placement and spreading to a nominal depth of 150 mm./\KS20_009_b-Concrete Check Wall. Drawing NBC-GTW-CL-0035 \m²\60 \ 5"/>
        <s v="SABS1200 DA \EARTHWORKS (SMALL WORKS)/8,3\SCHEDULED ITEMS/8.3.6\Top Soiling. Rate to allow for excavations from stockpiled top soil  and vegetation, transport, placement and spreading to a nominal depth of 150 mm./\KS20_009_c-Removal of Earthen Berm. Drawing NBC-GTW-CL-0035 \m²\69 \ 5"/>
        <s v="SABS1200 DA \EARTHWORKS (SMALL WORKS)/8.3\SCHEDULED ITEMS/8.3.6\Top Soiling. Rate to allow for excavations from stockpiled top soil  and vegetation, transport, placement and spreading to a nominal depth of 150 mm./\KS20_011-Backfilling Main Channel  \m²\6700 \ 5"/>
        <s v="SABS1200 DA \EARTHWORKS (SMALL WORKS)/8.3\SCHEDULED ITEMS/8.3.6\Top Soiling. Rate to allow for excavations from stockpiled top soil  and vegetation, transport, placement and spreading to a nominal depth of 150 mm./\KS21_003-Concrete Drop Inlet. Drawing NBC-GTW-CL-0039 \m²\22.24 \ 5"/>
        <s v="SABS1200 DA \EARTHWORKS (SMALL WORKS)/8,3\SCHEDULED ITEMS/8.3.6\Top Soiling. Rate to allow for excavations from stockpiled top soil  and vegetation, transport, placement and spreading to a nominal depth of 150 mm./\KS21_005-Concrete Drop Inlet. Drawing NBC-GTW-CL-0040 \m²\22,24 \ 5"/>
        <s v="SABS1200 DA \EARTHWORKS (SMALL WORKS)/8,3\SCHEDULED ITEMS/8.3.6\Top Soiling. Rate to allow for excavations from stockpiled top soil  and vegetation, transport, placement and spreading to a nominal depth of 150 mm./\KS21-010-Backfilling Main Channel. Drawing No Drawing \m²\2320,5501703847 \ 5"/>
        <s v="SABS1200 DA \EARTHWORKS (SMALL WORKS)/8,3\SCHEDULED ITEMS/8.3.6\Top Soiling. Rate to allow for excavations from stockpiled top soil  and vegetation, transport, placement and spreading to a nominal depth of 150 mm./\KS21-002-Earthworks  \m²\850 \ 5"/>
        <s v="SABS1200 DA \EARTHWORKS (SMALL WORKS)/8,3\SCHEDULED ITEMS/8.3.6\Top Soiling. Rate to allow for excavations from stockpiled top soil  and vegetation, transport, placement and spreading to a nominal depth of 150 mm./\KS21-004-Infilling of drain  \m²\111 \ 5"/>
        <s v="SABS1200 DA \EARTHWORKS (SMALL WORKS)/8,3\SCHEDULED ITEMS/8.3.6\Top Soiling. Rate to allow for excavations from stockpiled top soil  and vegetation, transport, placement and spreading to a nominal depth of 150 mm./\KS21-008-Infilling of drain  \m²\129,2 \ 5"/>
        <s v="SABS1200 DA \EARTHWORKS (SMALL WORKS)/8.3\SCHEDULED ITEMS/8.3.6\Top Soiling. Rate to allow for excavations from stockpiled top soil  and vegetation, transport, placement and spreading to a nominal depth of 150 mm./\LS08_001-Removal of Berm  \m²\148.532778078669 \ 5"/>
        <s v="SABS1200 DA \EARTHWORKS (SMALL WORKS)/8.3\SCHEDULED ITEMS/8.3.6\Top Soiling. Rate to allow for excavations from stockpiled top soil  and vegetation, transport, placement and spreading to a nominal depth of 150 mm./\LS12_001-Removal of dam wall  \m²\2917.70393453744 \ 5"/>
        <s v="SABS1200 DA \EARTHWORKS (SMALL WORKS)/8.3\SCHEDULED ITEMS/8.3.6\Top Soiling. Rate to allow for excavations from stockpiled top soil  and vegetation, transport, placement and spreading to a nominal depth of 150 mm./\LS12_002-Removal of Berm  \m²\76 \ 5"/>
        <s v="SABS1200 DA \EARTHWORKS (SMALL WORKS)/8.3\SCHEDULED ITEMS/8.3.6\Top Soiling. Rate to allow for excavations from stockpiled top soil  and vegetation, transport, placement and spreading to a nominal depth of 150 mm./\LS16_012-Removal of Road  \m²\360 \ 5"/>
        <s v="SABS1200 DA \EARTHWORKS (SMALL WORKS)/8.3\SCHEDULED ITEMS/8.3.6\Top Soiling. Rate to allow for excavations from stockpiled top soil  and vegetation, transport, placement and spreading to a nominal depth of 150 mm./\LS16_015-Earthworks (Reinforce Dam Wall)  \m²\567 \ 5"/>
        <s v="SABS1200 DA \EARTHWORKS (SMALL WORKS)/8.3\SCHEDULED ITEMS/8.3.6\Top Soiling. Rate to allow for excavations from stockpiled top soil  and vegetation, transport, placement and spreading to a nominal depth of 150 mm./\LS16_020-Removal of Road  \m²\1782 \ 5"/>
        <s v="SABS1200 DA \EARTHWORKS (SMALL WORKS)/8.3\SCHEDULED ITEMS/8.3.6\Top Soiling. Rate to allow for excavations from stockpiled top soil  and vegetation, transport, placement and spreading to a nominal depth of 150 mm./\LS16_021-Backfill Main Channel and reshaping  \m²\6032.31 \ 5"/>
        <s v="SABS1200 DA \EARTHWORKS (SMALL WORKS)/8.3\SCHEDULED ITEMS/8.3.6\Top Soiling. Rate to allow for excavations from stockpiled top soil  and vegetation, transport, placement and spreading to a nominal depth of 150 mm./\Pan09_001-Removal of Dam Wall  \m²\594 \ 5"/>
        <s v="SABS1200 DA \EARTHWORKS (SMALL WORKS)/8.3\SCHEDULED ITEMS/8.3.6\Top Soiling. Rate to allow for excavations from stockpiled top soil  and vegetation, transport, placement and spreading to a nominal depth of 150 mm./\Pan14_004-Infilling of Drains  \m²\180 \ 5"/>
        <s v="SABS1200 DA \EARTHWORKS (SMALL WORKS)/8.3\SCHEDULED ITEMS/8.3.6\Top Soiling. Rate to allow for excavations from stockpiled top soil  and vegetation, transport, placement and spreading to a nominal depth of 150 mm./\Pan14_005-Infilling of Drains  \m²\450 \ 5"/>
        <s v="SABS1200 DA \EARTHWORKS (SMALL WORKS)/8.3\SCHEDULED ITEMS/8.3.6\Top Soiling. Rate to allow for excavations from stockpiled top soil  and vegetation, transport, placement and spreading to a nominal depth of 150 mm./\Pan14_006-Earthen Berms  \m²\190.755332217041 \ 5"/>
        <s v="SABS1200 DA \EARTHWORKS (SMALL WORKS)/8.3\SCHEDULED ITEMS/8.3.6\Top Soiling. Rate to allow for excavations from stockpiled top soil  and vegetation, transport, placement and spreading to a nominal depth of 150 mm./\Pan14_007-Infilling of Drains  \m²\76 \ 5"/>
        <s v="SABS1200 DA \EARTHWORKS (SMALL WORKS)/8.3\SCHEDULED ITEMS/8.3.6\Top Soiling. Rate to allow for excavations from stockpiled top soil  and vegetation, transport, placement and spreading to a nominal depth of 150 mm./\Pan14_008-Infilling of Drains  \m²\108 \ 5"/>
        <s v="SABS1200 DA \EARTHWORKS (SMALL WORKS)/8.3\SCHEDULED ITEMS/8.3.6\Top Soiling. Rate to allow for excavations from stockpiled top soil  and vegetation, transport, placement and spreading to a nominal depth of 150 mm./\Pan14_009-Infilling of Drains  \m²\78.4 \ 5"/>
        <s v="SABS1200 DA \EARTHWORKS (SMALL WORKS)/8.3\SCHEDULED ITEMS/8.3.6\Top Soiling. Rate to allow for excavations from stockpiled top soil  and vegetation, transport, placement and spreading to a nominal depth of 150 mm./\Pan14_011-Infilling of Drains  \m²\4365 \ 5"/>
        <s v="SABS1200 DA \EARTHWORKS (SMALL WORKS)/8.3\SCHEDULED ITEMS/8.3.6\Top Soiling. Rate to allow for excavations from stockpiled top soil  and vegetation, transport, placement and spreading to a nominal depth of 150 mm./\Pan14-001-Reinstate Pan Edge  \m²\360 \ 5"/>
        <s v="SABS1200 DA \EARTHWORKS (SMALL WORKS)/8.3\SCHEDULED ITEMS/8.3.6\Top Soiling. Rate to allow for excavations from stockpiled top soil  and vegetation, transport, placement and spreading to a nominal depth of 150 mm./\Pan14-002-Remove Berm  \m²\198 \ 5"/>
        <s v="SABS1200 DA \EARTHWORKS (SMALL WORKS)/8.3\SCHEDULED ITEMS/8.3.6\Top Soiling. Rate to allow for excavations from stockpiled top soil  and vegetation, transport, placement and spreading to a nominal depth of 150 mm./\Pan14-003-Remove berm and backfill drain  \m²\2365 \ 5"/>
        <s v="SABS1200 DA \EARTHWORKS (SMALL WORKS)/8.3\SCHEDULED ITEMS/8.3.6\Top Soiling. Rate to allow for excavations from stockpiled top soil  and vegetation, transport, placement and spreading to a nominal depth of 150 mm./\Pan8_001-Foreign Materials  \m²\54 \ 5"/>
        <s v="SABS1200 DA \EARTHWORKS (SMALL WORKS)/8.3\SCHEDULED ITEMS/8.3.6\Top Soiling. Rate to allow for excavations from stockpiled top soil  and vegetation, transport, placement and spreading to a nominal depth of 150 mm./\Pan8_002-Infilling of Drains  \m²\320 \ 5"/>
        <s v="SABS1200 DA \EARTHWORKS (SMALL WORKS)/8.3\SCHEDULED ITEMS/8.3.6\Top Soiling. Rate to allow for excavations from stockpiled top soil  and vegetation, transport, placement and spreading to a nominal depth of 150 mm./\Pan8_004-Removal of Berm  \m²\18 \ 5"/>
        <s v="SABS1200 DA \EARTHWORKS (SMALL WORKS)/8.3\SCHEDULED ITEMS/8.3.6\Top Soiling. Rate to allow for excavations from stockpiled top soil  and vegetation, transport, placement and spreading to a nominal depth of 150 mm./\KS20_009_a-Concrete Buttress Weir. Drawing NBC-GTW-CL-0035 \m²\25.88 \ 5" u="1"/>
        <s v="SABS1200 DA \EARTHWORKS (SMALL WORKS)/8.3\SCHEDULED ITEMS/8.3.6\Top Soiling. Rate to allow for excavations from stockpiled top soil  and vegetation, transport, placement and spreading to a nominal depth of 150 mm./\KS20_002-Concrete Drop Inlet. Drawing NBC-GTW-CL-0028 \m²\24.48 \ 5" u="1"/>
        <s v="SABS1200 DA \EARTHWORKS (SMALL WORKS)/8.3\SCHEDULED ITEMS/8.3.6\Top Soiling. Rate to allow for excavations from stockpiled top soil  and vegetation, transport, placement and spreading to a nominal depth of 150 mm./\KS21_009-Concrete Drop Inlet. Drawing NBC-GTW-CL-0043 \m²\21.92 \ 5" u="1"/>
        <s v="SABS1200 DA \EARTHWORKS (SMALL WORKS)/8.3\SCHEDULED ITEMS/8.3.6\Top Soiling. Rate to allow for excavations from stockpiled top soil  and vegetation, transport, placement and spreading to a nominal depth of 150 mm./\KS21_010-Concrete Drop Inlet. Drawing NBC-GTW-CL-0044 \m²\21.92 \ 5" u="1"/>
        <s v="SABS1200 DA \EARTHWORKS (SMALL WORKS)/8.3\SCHEDULED ITEMS/8.3.6\Top Soiling. Rate to allow for excavations from stockpiled top soil  and vegetation, transport, placement and spreading to a nominal depth of 150 mm./\KS16_001-Infilling of Drains  \m²\494.873340531892 \ 5" u="1"/>
        <s v="SABS1200 DA \EARTHWORKS (SMALL WORKS)/8.3\SCHEDULED ITEMS/8.3.6\Top Soiling. Rate to allow for excavations from stockpiled top soil  and vegetation, transport, placement and spreading to a nominal depth of 150 mm./\KS18_015-Concrete Drop Inlet. Drawing NBC-GTW-CL-0021 \m²\23.68 \ 5" u="1"/>
        <s v="SABS1200 DA \EARTHWORKS (SMALL WORKS)/8.3\SCHEDULED ITEMS/8.3.6\Top Soiling. Rate to allow for excavations from stockpiled top soil  and vegetation, transport, placement and spreading to a nominal depth of 150 mm./\KS13_011-Concrete Drop Inlet. Drawing NBC-GTW-CL-0015 \m²\22.88 \ 5" u="1"/>
        <s v="SABS1200 DA \EARTHWORKS (SMALL WORKS)/8.3\SCHEDULED ITEMS/8.3.6\Top Soiling. Rate to allow for excavations from stockpiled top soil  and vegetation, transport, placement and spreading to a nominal depth of 150 mm./\KS20_007-Concrete Drop Inlet. Drawing NBC-GTW-CL-0033 \m²\23.04 \ 5" u="1"/>
        <s v="SABS1200 DA \EARTHWORKS (SMALL WORKS)/8.3\SCHEDULED ITEMS/8.3.6\Top Soiling. Rate to allow for excavations from stockpiled top soil  and vegetation, transport, placement and spreading to a nominal depth of 150 mm./\KS13_007-Concrete Drop Inlet. Drawing NBC-GTW-CL-0013 \m²\22.24 \ 5" u="1"/>
        <s v="SABS1200 DA \EARTHWORKS (SMALL WORKS)/8.3\SCHEDULED ITEMS/8.3.6\Top Soiling. Rate to allow for excavations from stockpiled top soil  and vegetation, transport, placement and spreading to a nominal depth of 150 mm./\KS13_008-Concrete Drop Inlet. Drawing NBC-GTW-CL-0014 \m²\22.24 \ 5" u="1"/>
        <s v="SABS1200 DA \EARTHWORKS (SMALL WORKS)/8.3\SCHEDULED ITEMS/8.3.6\Top Soiling. Rate to allow for excavations from stockpiled top soil  and vegetation, transport, placement and spreading to a nominal depth of 150 mm./\KS18_019-Concrete Drop Inlet. Drawing NBC-GTW-CL-0025 \m²\22.24 \ 5" u="1"/>
        <s v="SABS1200 DA \EARTHWORKS (SMALL WORKS)/8.3\SCHEDULED ITEMS/8.3.6\Top Soiling. Rate to allow for excavations from stockpiled top soil  and vegetation, transport, placement and spreading to a nominal depth of 150 mm./\KS18_001-Concrete Drop Inlet. Drawing NBC-GTW-CL-0019 \m²\23.84 \ 5" u="1"/>
        <s v="SABS1200 DA \EARTHWORKS (SMALL WORKS)/8.3\SCHEDULED ITEMS/8.3.6\Top Soiling. Rate to allow for excavations from stockpiled top soil  and vegetation, transport, placement and spreading to a nominal depth of 150 mm./\KS18-014-Concrete Filled Geo-Cell Berm. Drawing NBC-GTW-CL-0001 \m²\31.75 \ 5" u="1"/>
        <s v="SABS1200 DA \EARTHWORKS (SMALL WORKS)/8.3\SCHEDULED ITEMS/8.3.6\Top Soiling. Rate to allow for excavations from stockpiled top soil  and vegetation, transport, placement and spreading to a nominal depth of 150 mm./\KS18_020-Concrete Drop Inlet associated with Road Culvert  \m²\22.384 \ 5" u="1"/>
        <s v="SABS1200 DA \EARTHWORKS (SMALL WORKS)/8.3\SCHEDULED ITEMS/8.3.6\Top Soiling. Rate to allow for excavations from stockpiled top soil  and vegetation, transport, placement and spreading to a nominal depth of 150 mm./\KS20_009_b-Concrete Overflow Wall. Drawing NBC-GTW-CL-0035 \m²\50 \ 5" u="1"/>
        <s v="SABS1200 DA \EARTHWORKS (SMALL WORKS)/8.3\SCHEDULED ITEMS/8.3.6\Top Soiling. Rate to allow for excavations from stockpiled top soil  and vegetation, transport, placement and spreading to a nominal depth of 150 mm./\KS18_002-Concrete Drop Inlet. Drawing NBC-GTW-CL-0020 \m²\17.52 \ 5" u="1"/>
        <s v="SABS1200 DA \EARTHWORKS (SMALL WORKS)/8.3\SCHEDULED ITEMS/8.3.6\Top Soiling. Rate to allow for excavations from stockpiled top soil  and vegetation, transport, placement and spreading to a nominal depth of 150 mm./\KS21-008-Infilling of Drain  \m²\129.2 \ 5" u="1"/>
        <s v="SABS1200 DA \EARTHWORKS (SMALL WORKS)/8.3\SCHEDULED ITEMS/8.3.6\Top Soiling. Rate to allow for excavations from stockpiled top soil  and vegetation, transport, placement and spreading to a nominal depth of 150 mm./\KS13_012-Concrete Drop Inlet. Drawing NBC-GTW-CL-0016 \m²\23.2 \ 5" u="1"/>
        <s v="SABS1200 DA \EARTHWORKS (SMALL WORKS)/8.3\SCHEDULED ITEMS/8.3.6\Top Soiling. Rate to allow for excavations from stockpiled top soil  and vegetation, transport, placement and spreading to a nominal depth of 150 mm./\KS20_008-Concrete Drop Inlet. Drawing NBC-GTW-CL-0034 \m²\23.2 \ 5" u="1"/>
        <s v="SABS1200 DA \EARTHWORKS (SMALL WORKS)/8.3\SCHEDULED ITEMS/8.3.6\Top Soiling. Rate to allow for excavations from stockpiled top soil  and vegetation, transport, placement and spreading to a nominal depth of 150 mm./\KS18_016-Concrete Drop Inlet. Drawing NBC-GTW-CL-0022 \m²\23.36 \ 5" u="1"/>
        <s v="SABS1200 DA \EARTHWORKS (SMALL WORKS)/8.3\SCHEDULED ITEMS/8.3.6\Top Soiling. Rate to allow for excavations from stockpiled top soil  and vegetation, transport, placement and spreading to a nominal depth of 150 mm./\KS18_017-Concrete Drop Inlet. Drawing NBC-GTW-CL-0023 \m²\23.36 \ 5" u="1"/>
        <s v="SABS1200 DA \EARTHWORKS (SMALL WORKS)/8.3\SCHEDULED ITEMS/8.3.6\Top Soiling. Rate to allow for excavations from stockpiled top soil  and vegetation, transport, placement and spreading to a nominal depth of 150 mm./\KS18_018-Concrete Drop Inlet. Drawing NBC-GTW-CL-0024 \m²\23.36 \ 5" u="1"/>
        <s v="SABS1200 DA \EARTHWORKS (SMALL WORKS)/8.3\SCHEDULED ITEMS/8.3.6\Top Soiling. Rate to allow for excavations from stockpiled top soil  and vegetation, transport, placement and spreading to a nominal depth of 150 mm./\KS20_004-Concrete Drop Inlet. Drawing NBC-GTW-CL-0030 \m²\23.36 \ 5" u="1"/>
        <s v="SABS1200 DA \EARTHWORKS (SMALL WORKS)/8.3\SCHEDULED ITEMS/8.3.6\Top Soiling. Rate to allow for excavations from stockpiled top soil  and vegetation, transport, placement and spreading to a nominal depth of 150 mm./\KS20_005-Concrete Drop Inlet. Drawing NBC-GTW-CL-0031 \m²\23.36 \ 5" u="1"/>
        <s v="SABS1200 DA \EARTHWORKS (SMALL WORKS)/8.3\SCHEDULED ITEMS/8.3.6\Top Soiling. Rate to allow for excavations from stockpiled top soil  and vegetation, transport, placement and spreading to a nominal depth of 150 mm./\KS20_006-Concrete Drop Inlet. Drawing NBC-GTW-CL-0032 \m²\23.36 \ 5" u="1"/>
        <s v="SABS1200 DA \EARTHWORKS (SMALL WORKS)/8.3\SCHEDULED ITEMS/8.3.6\Top Soiling. Rate to allow for excavations from stockpiled top soil  and vegetation, transport, placement and spreading to a nominal depth of 150 mm./\KS13_004-Concrete Drop Inlet. Drawing NBC-GTW-CL-0010 \m²\22.4 \ 5" u="1"/>
        <s v="SABS1200 DA \EARTHWORKS (SMALL WORKS)/8.3\SCHEDULED ITEMS/8.3.6\Top Soiling. Rate to allow for excavations from stockpiled top soil  and vegetation, transport, placement and spreading to a nominal depth of 150 mm./\KS13_013-Concrete Drop Inlet. Drawing NBC-GTW-CL-0017 \m²\22.56 \ 5" u="1"/>
        <s v="SABS1200 DA \EARTHWORKS (SMALL WORKS)/8.3\SCHEDULED ITEMS/8.3.6\Top Soiling. Rate to allow for excavations from stockpiled top soil  and vegetation, transport, placement and spreading to a nominal depth of 150 mm./\KS13_015-Concrete Drop Inlet. Drawing NBC-GTW-CL-0018 \m²\22.56 \ 5" u="1"/>
        <s v="SABS1200 DA \EARTHWORKS (SMALL WORKS)/8.3\SCHEDULED ITEMS/8.3.6\Top Soiling. Rate to allow for excavations from stockpiled top soil  and vegetation, transport, placement and spreading to a nominal depth of 150 mm./\KS21-002-Earthworks  \m²\850 \ 5" u="1"/>
        <s v="SABS1200 DA \EARTHWORKS (SMALL WORKS)/8.3\SCHEDULED ITEMS/8.3.6\Top Soiling. Rate to allow for excavations from stockpiled top soil  and vegetation, transport, placement and spreading to a nominal depth of 150 mm./\KS21_006-Concrete Drop Inlet. Drawing NBC-GTW-CL-0041 \m²\21.6 \ 5" u="1"/>
        <s v="SABS1200 DA \EARTHWORKS (SMALL WORKS)/8.3\SCHEDULED ITEMS/8.3.6\Top Soiling. Rate to allow for excavations from stockpiled top soil  and vegetation, transport, placement and spreading to a nominal depth of 150 mm./\KS21_007-Concrete Drop Inlet. Drawing NBC-GTW-CL-0042 \m²\21.6 \ 5" u="1"/>
        <s v="SABS1200 DA \EARTHWORKS (SMALL WORKS)/8.3\SCHEDULED ITEMS/8.3.6\Top Soiling. Rate to allow for excavations from stockpiled top soil  and vegetation, transport, placement and spreading to a nominal depth of 150 mm./\KS13_005-Concrete Drop Inlet. Drawing NBC-GTW-CL-0011 \m²\21.76 \ 5" u="1"/>
        <s v="SABS1200 DA \EARTHWORKS (SMALL WORKS)/8.3\SCHEDULED ITEMS/8.3.6\Top Soiling. Rate to allow for excavations from stockpiled top soil  and vegetation, transport, placement and spreading to a nominal depth of 150 mm./\KS13_006-Concrete Drop Inlet. Drawing NBC-GTW-CL-0012 \m²\21.76 \ 5" u="1"/>
        <s v="SABS1200 DA \EARTHWORKS (SMALL WORKS)/8.3\SCHEDULED ITEMS/8.3.6\Top Soiling. Rate to allow for excavations from stockpiled top soil  and vegetation, transport, placement and spreading to a nominal depth of 150 mm./\KS21_005-Concrete Drop Inlet. Drawing NBC-GTW-CL-0040 \m²\21.76 \ 5" u="1"/>
        <s v="SABS1200 DA \EARTHWORKS (SMALL WORKS)/8.3\SCHEDULED ITEMS/8.3.6\Top Soiling. Rate to allow for excavations from stockpiled top soil  and vegetation, transport, placement and spreading to a nominal depth of 150 mm./\KS20_009_c-Earthen Berm. Drawing NBC-GTW-CL-0035 \m²\69 \ 5" u="1"/>
        <s v="SABS1200 DA \EARTHWORKS (SMALL WORKS)/8.3\SCHEDULED ITEMS/8.3.6\Top Soiling. Rate to allow for excavations from stockpiled top soil  and vegetation, transport, placement and spreading to a nominal depth of 150 mm./\KS21-004-Earthworks  \m²\111 \ 5" u="1"/>
        <s v="SABS1200 DA \EARTHWORKS (SMALL WORKS)/8.3\SCHEDULED ITEMS/8.3.6\Top Soiling. Rate to allow for excavations from stockpiled top soil  and vegetation, transport, placement and spreading to a nominal depth of 150 mm./\KS16_004-Infilling of Drains  \m²\480 \ 5" u="1"/>
        <s v="SABS1200 DA \EARTHWORKS (SMALL WORKS)/8.3\SCHEDULED ITEMS/8.3.6\Top Soiling. Rate to allow for excavations from stockpiled top soil  and vegetation, transport, placement and spreading to a nominal depth of 150 mm./\KS20_003-Concrete Buttress Weir. Drawing NBC-GTW-CL-0029 \m²\26.68 \ 5" u="1"/>
      </sharedItems>
    </cacheField>
    <cacheField name="Grassing or other Vegetation Cover" numFmtId="0">
      <sharedItems count="166" longText="1">
        <s v="SABS1200 DA \EARTHWORKS (SMALL WORKS)/8.3\SCHEDULED ITEMS/8.3.7\Grassing or other Vegetation Cover. Rate to allow for the supply of indigenous veld grass seed mix from commercial sources, seeding, raking and maintaining until established./\DS12_004-Removal of earthen material  \m²\626.368 \ 10"/>
        <s v="SABS1200 DA \EARTHWORKS (SMALL WORKS)/8.3\SCHEDULED ITEMS/8.3.7\Grassing or other Vegetation Cover. Rate to allow for the supply of indigenous veld grass seed mix from commercial sources, seeding, raking and maintaining until established./\DS12_001-Excavation of Dam Wall  \m²\1251.4 \ 10"/>
        <s v="SABS1200 DA \EARTHWORKS (SMALL WORKS)/8.3\SCHEDULED ITEMS/8.3.7\Grassing or other Vegetation Cover. Rate to allow for the supply of indigenous veld grass seed mix from commercial sources, seeding, raking and maintaining until established./\DS12_002-Backfilling Dam  \m²\995.487318191585 \ 10"/>
        <s v="SABS1200 DA \EARTHWORKS (SMALL WORKS)/8.3\SCHEDULED ITEMS/8.3.7\Grassing or other Vegetation Cover. Rate to allow for the supply of indigenous veld grass seed mix from commercial sources, seeding, raking and maintaining until established./\DS12_003-Excavation of Dam Wall  \m²\621.57 \ 10"/>
        <s v=" "/>
        <s v="SABS1200 DA \EARTHWORKS (SMALL WORKS)/8.3\SCHEDULED ITEMS/8.3.7\Grassing or other Vegetation Cover. Rate to allow for the supply of indigenous veld grass seed mix from commercial sources, seeding, raking and maintaining until established./\ks11-002a-Concrete Drop Inlet on Dam Wall  \m²\31.8 \ 10"/>
        <s v="SABS1200 DA \EARTHWORKS (SMALL WORKS)/8.3\SCHEDULED ITEMS/8.3.7\Grassing or other Vegetation Cover. Rate to allow for the supply of indigenous veld grass seed mix from commercial sources, seeding, raking and maintaining until established./\ks11-002c-Dam wall excavation. Drawing NBC-GTW-CL-0067 \m²\1870 \ 10"/>
        <s v="SABS1200 DA \EARTHWORKS (SMALL WORKS)/8.3\SCHEDULED ITEMS/8.3.7\Grassing or other Vegetation Cover. Rate to allow for the supply of indigenous veld grass seed mix from commercial sources, seeding, raking and maintaining until established./\ks11-003-Backfilling Dam to Create Wetland  \m²\17400 \ 10"/>
        <s v="SABS1200 DA \EARTHWORKS (SMALL WORKS)/8.3\SCHEDULED ITEMS/8.3.7\Grassing or other Vegetation Cover. Rate to allow for the supply of indigenous veld grass seed mix from commercial sources, seeding, raking and maintaining until established./\ks11-004a-Concrete Drop Inlet on Dam Wall  \m²\31.8 \ 10"/>
        <s v="SABS1200 DA \EARTHWORKS (SMALL WORKS)/8.3\SCHEDULED ITEMS/8.3.7\Grassing or other Vegetation Cover. Rate to allow for the supply of indigenous veld grass seed mix from commercial sources, seeding, raking and maintaining until established./\ks11-004c-Dam wall excavation. Drawing NBC-GTW-CL-0068 \m²\1200 \ 10"/>
        <s v="SABS1200 DA \EARTHWORKS (SMALL WORKS)/8.3\SCHEDULED ITEMS/8.3.7\Grassing or other Vegetation Cover. Rate to allow for the supply of indigenous veld grass seed mix from commercial sources, seeding, raking and maintaining until established./\ks11-005-Backfilling Dam to Create Wetland  \m²\38200 \ 10"/>
        <s v="SABS1200 DA \EARTHWORKS (SMALL WORKS)/8.3\SCHEDULED ITEMS/8.3.7\Grassing or other Vegetation Cover. Rate to allow for the supply of indigenous veld grass seed mix from commercial sources, seeding, raking and maintaining until established./\KS12_002-Concrete Drop Inlet. Drawing NBC-GTW-CL-0002 \m²\30 \ 10"/>
        <s v="SABS1200 DA \EARTHWORKS (SMALL WORKS)/8.3\SCHEDULED ITEMS/8.3.7\Grassing or other Vegetation Cover. Rate to allow for the supply of indigenous veld grass seed mix from commercial sources, seeding, raking and maintaining until established./\KS12_003-Removal of Berm and Dam Wall  \m²\1876.14315788985 \ 10"/>
        <s v="SABS1200 DA \EARTHWORKS (SMALL WORKS)/8.3\SCHEDULED ITEMS/8.3.7\Grassing or other Vegetation Cover. Rate to allow for the supply of indigenous veld grass seed mix from commercial sources, seeding, raking and maintaining until established./\KS12_004-Concrete Drop Inlet. Drawing NBC-GTW-CL-0003 \m²\21.76 \ 10"/>
        <s v="SABS1200 DA \EARTHWORKS (SMALL WORKS)/8.3\SCHEDULED ITEMS/8.3.7\Grassing or other Vegetation Cover. Rate to allow for the supply of indigenous veld grass seed mix from commercial sources, seeding, raking and maintaining until established./\KS12_005-Concrete Drop Inlet. Drawing NBC-GTW-CL-0004 \m²\21.92 \ 10"/>
        <s v="SABS1200 DA \EARTHWORKS (SMALL WORKS)/8.3\SCHEDULED ITEMS/8.3.7\Grassing or other Vegetation Cover. Rate to allow for the supply of indigenous veld grass seed mix from commercial sources, seeding, raking and maintaining until established./\KS12_006-Concrete Drop Inlet. Drawing NBC-GTW-CL-0005 \m²\21.44 \ 10"/>
        <s v="SABS1200 DA \EARTHWORKS (SMALL WORKS)/8.3\SCHEDULED ITEMS/8.3.7\Grassing or other Vegetation Cover. Rate to allow for the supply of indigenous veld grass seed mix from commercial sources, seeding, raking and maintaining until established./\KS12_007-Concrete Drop Inlet. Drawing NBC-GTW-CL-0006 \m²\21.92 \ 10"/>
        <s v="SABS1200 DA \EARTHWORKS (SMALL WORKS)/8.3\SCHEDULED ITEMS/8.3.7\Grassing or other Vegetation Cover. Rate to allow for the supply of indigenous veld grass seed mix from commercial sources, seeding, raking and maintaining until established./\KS12_008-Concrete Drop Inlet. Drawing NBC-GTW-CL-0007 \m²\21.44 \ 10"/>
        <s v="SABS1200 DA \EARTHWORKS (SMALL WORKS)/8.3\SCHEDULED ITEMS/8.3.7\Grassing or other Vegetation Cover. Rate to allow for the supply of indigenous veld grass seed mix from commercial sources, seeding, raking and maintaining until established./\KS12_009-Concrete Drop Inlet. Drawing NBC-GTW-CL-0008 \m²\21.44 \ 10"/>
        <s v="SABS1200 DA \EARTHWORKS (SMALL WORKS)/8.3\SCHEDULED ITEMS/8.3.7\Grassing or other Vegetation Cover. Rate to allow for the supply of indigenous veld grass seed mix from commercial sources, seeding, raking and maintaining until established./\KS12_010-Removal of Dam Wall  \m²\619.185479905302 \ 10"/>
        <s v="SABS1200 DA \EARTHWORKS (SMALL WORKS)/8.3\SCHEDULED ITEMS/8.3.7\Grassing or other Vegetation Cover. Rate to allow for the supply of indigenous veld grass seed mix from commercial sources, seeding, raking and maintaining until established./\KS13_003-Concrete Drop Inlet. Drawing NBC-GTW-CL-0009 \m²\23.2 \ 10"/>
        <s v="SABS1200 DA \EARTHWORKS (SMALL WORKS)/8.3\SCHEDULED ITEMS/8.3.7\Grassing or other Vegetation Cover. Rate to allow for the supply of indigenous veld grass seed mix from commercial sources, seeding, raking and maintaining until established./\KS13_009-Infilling of Drains  \m²\78.5716708603933 \ 10"/>
        <s v="SABS1200 DA \EARTHWORKS (SMALL WORKS)/8.3\SCHEDULED ITEMS/8.3.7\Grassing or other Vegetation Cover. Rate to allow for the supply of indigenous veld grass seed mix from commercial sources, seeding, raking and maintaining until established./\KS13_010-Removal of Berm  \m²\1020.985 \ 10"/>
        <s v="SABS1200 DA \EARTHWORKS (SMALL WORKS)/8.3\SCHEDULED ITEMS/8.3.7\Grassing or other Vegetation Cover. Rate to allow for the supply of indigenous veld grass seed mix from commercial sources, seeding, raking and maintaining until established./\KS13_014-Infilling of Drains  \m²\278.716598321288 \ 10"/>
        <s v="SABS1200 DA \EARTHWORKS (SMALL WORKS)/8.3\SCHEDULED ITEMS/8.3.7\Grassing or other Vegetation Cover. Rate to allow for the supply of indigenous veld grass seed mix from commercial sources, seeding, raking and maintaining until established./\KS13_016-Infilling of Drains  \m²\332.18699875976 \ 10"/>
        <s v="SABS1200 DA \EARTHWORKS (SMALL WORKS)/8.3\SCHEDULED ITEMS/8.3.7\Grassing or other Vegetation Cover. Rate to allow for the supply of indigenous veld grass seed mix from commercial sources, seeding, raking and maintaining until established./\KS13_017-Backfilling Main Channel  \m²\4680 \ 10"/>
        <s v="SABS1200 DA \EARTHWORKS (SMALL WORKS)/8.3\SCHEDULED ITEMS/8.3.7\Grassing or other Vegetation Cover. Rate to allow for the supply of indigenous veld grass seed mix from commercial sources, seeding, raking and maintaining until established./\KS15_003-Removal of Dam Wall  \m²\619.289401121074 \ 10"/>
        <s v="SABS1200 DA \EARTHWORKS (SMALL WORKS)/8.3\SCHEDULED ITEMS/8.3.7\Grassing or other Vegetation Cover. Rate to allow for the supply of indigenous veld grass seed mix from commercial sources, seeding, raking and maintaining until established./\KS15-002-Backfill Main Channel  \m²\3846.97837810187 \ 10"/>
        <s v="SABS1200 DA \EARTHWORKS (SMALL WORKS)/8.3\SCHEDULED ITEMS/8.3.7\Grassing or other Vegetation Cover. Rate to allow for the supply of indigenous veld grass seed mix from commercial sources, seeding, raking and maintaining until established./\KS16_001-Earthen berm  \m²\494.873340531892 \ 10"/>
        <s v="SABS1200 DA \EARTHWORKS (SMALL WORKS)/8.3\SCHEDULED ITEMS/8.3.7\Grassing or other Vegetation Cover. Rate to allow for the supply of indigenous veld grass seed mix from commercial sources, seeding, raking and maintaining until established./\KS16_002-Excavate Dam Wall  \m²\283.947757718744 \ 10"/>
        <s v="SABS1200 DA \EARTHWORKS (SMALL WORKS)/8.3\SCHEDULED ITEMS/8.3.7\Grassing or other Vegetation Cover. Rate to allow for the supply of indigenous veld grass seed mix from commercial sources, seeding, raking and maintaining until established./\KS16_004-Earthen berm  \m²\480 \ 10"/>
        <s v="SABS1200 DA \EARTHWORKS (SMALL WORKS)/8.3\SCHEDULED ITEMS/8.3.7\Grassing or other Vegetation Cover. Rate to allow for the supply of indigenous veld grass seed mix from commercial sources, seeding, raking and maintaining until established./\KS18-021-Backfill Main Channel  \m²\3294.95 \ 10"/>
        <s v="SABS1200 DA \EARTHWORKS (SMALL WORKS)/8.3\SCHEDULED ITEMS/8.3.7\Grassing or other Vegetation Cover. Rate to allow for the supply of indigenous veld grass seed mix from commercial sources, seeding, raking and maintaining until established./\KS19_002-Concrete Drop Inlet. Drawing NBC-GTW-CL-0026 \m²\20.96 \ 10"/>
        <s v="SABS1200 DA \EARTHWORKS (SMALL WORKS)/8.3\SCHEDULED ITEMS/8.3.7\Grassing or other Vegetation Cover. Rate to allow for the supply of indigenous veld grass seed mix from commercial sources, seeding, raking and maintaining until established./\KS19_006-Removal of Dam Wall  \m²\3134.04 \ 10"/>
        <s v="SABS1200 DA \EARTHWORKS (SMALL WORKS)/8.3\SCHEDULED ITEMS/8.3.7\Grassing or other Vegetation Cover. Rate to allow for the supply of indigenous veld grass seed mix from commercial sources, seeding, raking and maintaining until established./\KS19_007-Infilling of Drains  \m²\179.7515 \ 10"/>
        <s v="SABS1200 DA \EARTHWORKS (SMALL WORKS)/8.3\SCHEDULED ITEMS/8.3.7\Grassing or other Vegetation Cover. Rate to allow for the supply of indigenous veld grass seed mix from commercial sources, seeding, raking and maintaining until established./\KS20_001-Concrete Drop Inlet. Drawing NBC-GTW-CL-0027 \m²\23.52 \ 10"/>
        <s v="SABS1200 DA \EARTHWORKS (SMALL WORKS)/8.3\SCHEDULED ITEMS/8.3.7\Grassing or other Vegetation Cover. Rate to allow for the supply of indigenous veld grass seed mix from commercial sources, seeding, raking and maintaining until established./\KS20_009_b-Concrete Check Wall. Drawing NBC-GTW-CL-0035 \m²\60 \ 10"/>
        <s v="SABS1200 DA \EARTHWORKS (SMALL WORKS)/8,3\SCHEDULED ITEMS/8.3.7\Grassing or other Vegetation Cover. Rate to allow for the supply of indigenous veld grass seed mix from commercial sources, seeding, raking and maintaining until established./\KS20_009_c-Removal of Earthen Berm. Drawing NBC-GTW-CL-0035 \m²\69 \ 10"/>
        <s v="SABS1200 DA \EARTHWORKS (SMALL WORKS)/8.3\SCHEDULED ITEMS/8.3.7\Grassing or other Vegetation Cover. Rate to allow for the supply of indigenous veld grass seed mix from commercial sources, seeding, raking and maintaining until established./\KS20_011-Backfilling Main Channel  \m²\6700 \ 10"/>
        <s v="SABS1200 DA \EARTHWORKS (SMALL WORKS)/8.3\SCHEDULED ITEMS/8.3.7\Grassing or other Vegetation Cover. Rate to allow for the supply of indigenous veld grass seed mix from commercial sources, seeding, raking and maintaining until established./\KS21_003-Concrete Drop Inlet. Drawing NBC-GTW-CL-0039 \m²\22.24 \ 10"/>
        <s v="SABS1200 DA \EARTHWORKS (SMALL WORKS)/8,3\SCHEDULED ITEMS/8.3.7\Grassing or other Vegetation Cover. Rate to allow for the supply of indigenous veld grass seed mix from commercial sources, seeding, raking and maintaining until established./\KS21_005-Concrete Drop Inlet. Drawing NBC-GTW-CL-0040 \m²\22,24 \ 10"/>
        <s v="SABS1200 DA \EARTHWORKS (SMALL WORKS)/8,3\SCHEDULED ITEMS/8.3.7\Grassing or other Vegetation Cover. Rate to allow for the supply of indigenous veld grass seed mix from commercial sources, seeding, raking and maintaining until established./\KS21-010-Backfilling Main Channel. Drawing No Drawing \m²\2320,5501703847 \ 10"/>
        <s v="SABS1200 DA \EARTHWORKS (SMALL WORKS)/8,3\SCHEDULED ITEMS/8.3.7\Grassing or other Vegetation Cover. Rate to allow for the supply of indigenous veld grass seed mix from commercial sources, seeding, raking and maintaining until established./\KS21-002-Earthworks  \m²\850 \ 10"/>
        <s v="SABS1200 DA \EARTHWORKS (SMALL WORKS)/8,3\SCHEDULED ITEMS/8.3.7\Grassing or other Vegetation Cover. Rate to allow for the supply of indigenous veld grass seed mix from commercial sources, seeding, raking and maintaining until established./\KS21-004-Infilling of drain  \m²\111 \ 10"/>
        <s v="SABS1200 DA \EARTHWORKS (SMALL WORKS)/8,3\SCHEDULED ITEMS/8.3.7\Grassing or other Vegetation Cover. Rate to allow for the supply of indigenous veld grass seed mix from commercial sources, seeding, raking and maintaining until established./\KS21-008-Infilling of drain  \m²\129,2 \ 10"/>
        <s v="SABS1200 DA \EARTHWORKS (SMALL WORKS)/8.3\SCHEDULED ITEMS/8.3.7\Grassing or other Vegetation Cover. Rate to allow for the supply of indigenous veld grass seed mix from commercial sources, seeding, raking and maintaining until established./\LS08_001-Removal of Berm  \m²\148.532778078669 \ 10"/>
        <s v="SABS1200 DA \EARTHWORKS (SMALL WORKS)/8.3\SCHEDULED ITEMS/8.3.7\Grassing or other Vegetation Cover. Rate to allow for the supply of indigenous veld grass seed mix from commercial sources, seeding, raking and maintaining until established./\LS12_001-Removal of dam wall  \m²\2917.70393453744 \ 10"/>
        <s v="SABS1200 DA \EARTHWORKS (SMALL WORKS)/8.3\SCHEDULED ITEMS/8.3.7\Grassing or other Vegetation Cover. Rate to allow for the supply of indigenous veld grass seed mix from commercial sources, seeding, raking and maintaining until established./\LS12_002-Removal of Berm  \m²\76 \ 10"/>
        <s v="SABS1200 DA \EARTHWORKS (SMALL WORKS)/8.3\SCHEDULED ITEMS/8.3.7\Grassing or other Vegetation Cover. Rate to allow for the supply of indigenous veld grass seed mix from commercial sources, seeding, raking and maintaining until established./\LS16_012-Removal of Road  \m²\360 \ 10"/>
        <s v="SABS1200 DA \EARTHWORKS (SMALL WORKS)/8.3\SCHEDULED ITEMS/8.3.7\Grassing or other Vegetation Cover. Rate to allow for the supply of indigenous veld grass seed mix from commercial sources, seeding, raking and maintaining until established./\LS16_015-Earthworks (Reinforce Dam Wall)  \m²\567 \ 10"/>
        <s v="SABS1200 DA \EARTHWORKS (SMALL WORKS)/8.3\SCHEDULED ITEMS/8.3.7\Grassing or other Vegetation Cover. Rate to allow for the supply of indigenous veld grass seed mix from commercial sources, seeding, raking and maintaining until established./\LS16_020-Removal of Road  \m²\1782 \ 10"/>
        <s v="SABS1200 DA \EARTHWORKS (SMALL WORKS)/8.3\SCHEDULED ITEMS/8.3.7\Grassing or other Vegetation Cover. Rate to allow for the supply of indigenous veld grass seed mix from commercial sources, seeding, raking and maintaining until established./\LS16_021-Backfill Main Channel and reshaping  \m²\6032.31 \ 10"/>
        <s v="SABS1200 DA \EARTHWORKS (SMALL WORKS)/8.3\SCHEDULED ITEMS/8.3.7\Grassing or other Vegetation Cover. Rate to allow for the supply of indigenous veld grass seed mix from commercial sources, seeding, raking and maintaining until established./\Pan09_001-Removal of Dam Wall  \m²\594 \ 10"/>
        <s v="SABS1200 DA \EARTHWORKS (SMALL WORKS)/8.3\SCHEDULED ITEMS/8.3.7\Grassing or other Vegetation Cover. Rate to allow for the supply of indigenous veld grass seed mix from commercial sources, seeding, raking and maintaining until established./\Pan14_004-Infilling of Drains  \m²\180 \ 10"/>
        <s v="SABS1200 DA \EARTHWORKS (SMALL WORKS)/8.3\SCHEDULED ITEMS/8.3.7\Grassing or other Vegetation Cover. Rate to allow for the supply of indigenous veld grass seed mix from commercial sources, seeding, raking and maintaining until established./\Pan14_005-Infilling of Drains  \m²\450 \ 10"/>
        <s v="SABS1200 DA \EARTHWORKS (SMALL WORKS)/8.3\SCHEDULED ITEMS/8.3.7\Grassing or other Vegetation Cover. Rate to allow for the supply of indigenous veld grass seed mix from commercial sources, seeding, raking and maintaining until established./\Pan14_006-Earthen Berms  \m²\190.755332217041 \ 10"/>
        <s v="SABS1200 DA \EARTHWORKS (SMALL WORKS)/8.3\SCHEDULED ITEMS/8.3.7\Grassing or other Vegetation Cover. Rate to allow for the supply of indigenous veld grass seed mix from commercial sources, seeding, raking and maintaining until established./\Pan14_007-Infilling of Drains  \m²\76 \ 10"/>
        <s v="SABS1200 DA \EARTHWORKS (SMALL WORKS)/8.3\SCHEDULED ITEMS/8.3.7\Grassing or other Vegetation Cover. Rate to allow for the supply of indigenous veld grass seed mix from commercial sources, seeding, raking and maintaining until established./\Pan14_008-Infilling of Drains  \m²\108 \ 10"/>
        <s v="SABS1200 DA \EARTHWORKS (SMALL WORKS)/8.3\SCHEDULED ITEMS/8.3.7\Grassing or other Vegetation Cover. Rate to allow for the supply of indigenous veld grass seed mix from commercial sources, seeding, raking and maintaining until established./\Pan14_009-Infilling of Drains  \m²\78.4 \ 10"/>
        <s v="SABS1200 DA \EARTHWORKS (SMALL WORKS)/8.3\SCHEDULED ITEMS/8.3.7\Grassing or other Vegetation Cover. Rate to allow for the supply of indigenous veld grass seed mix from commercial sources, seeding, raking and maintaining until established./\Pan14_010-Infilling of Drains  \m²\3437.5 \ 10"/>
        <s v="SABS1200 DA \EARTHWORKS (SMALL WORKS)/8.3\SCHEDULED ITEMS/8.3.7\Grassing or other Vegetation Cover. Rate to allow for the supply of indigenous veld grass seed mix from commercial sources, seeding, raking and maintaining until established./\Pan14_011-Infilling of Drains  \m²\4365 \ 10"/>
        <s v="SABS1200 DA \EARTHWORKS (SMALL WORKS)/8.3\SCHEDULED ITEMS/8.3.7\Grassing or other Vegetation Cover. Rate to allow for the supply of indigenous veld grass seed mix from commercial sources, seeding, raking and maintaining until established./\Pan14-001-Reinstate Pan Edge  \m²\360 \ 10"/>
        <s v="SABS1200 DA \EARTHWORKS (SMALL WORKS)/8.3\SCHEDULED ITEMS/8.3.7\Grassing or other Vegetation Cover. Rate to allow for the supply of indigenous veld grass seed mix from commercial sources, seeding, raking and maintaining until established./\Pan14-002-Remove Berm  \m²\198 \ 10"/>
        <s v="SABS1200 DA \EARTHWORKS (SMALL WORKS)/8.3\SCHEDULED ITEMS/8.3.7\Grassing or other Vegetation Cover. Rate to allow for the supply of indigenous veld grass seed mix from commercial sources, seeding, raking and maintaining until established./\Pan14-003-Remove berm and backfill drain  \m²\2365 \ 10"/>
        <s v="SABS1200 DA \EARTHWORKS (SMALL WORKS)/8.3\SCHEDULED ITEMS/8.3.7\Grassing or other Vegetation Cover. Rate to allow for the supply of indigenous veld grass seed mix from commercial sources, seeding, raking and maintaining until established./\Pan8_001-Foreign Materials  \m²\54 \ 10"/>
        <s v="SABS1200 DA \EARTHWORKS (SMALL WORKS)/8.3\SCHEDULED ITEMS/8.3.7\Grassing or other Vegetation Cover. Rate to allow for the supply of indigenous veld grass seed mix from commercial sources, seeding, raking and maintaining until established./\Pan8_002-Infilling of Drains  \m²\320 \ 10"/>
        <s v="SABS1200 DA \EARTHWORKS (SMALL WORKS)/8.3\SCHEDULED ITEMS/8.3.7\Grassing or other Vegetation Cover. Rate to allow for the supply of indigenous veld grass seed mix from commercial sources, seeding, raking and maintaining until established./\Pan8_004-Removal of Berm  \m²\18 \ 10"/>
        <s v="SABS1200 DA \EARTHWORKS (SMALL WORKS)/8.3\SCHEDULED ITEMS/8.3.7\Grassing or other Vegetation Cover. Rate to allow for the supply of indigenous veld grass seed mix from commercial sources, seeding, raking and maintaining until established./\KS18_015-Concrete Drop Inlet. Drawing NBC-GTW-CL-0021 \m²\23.68 \ 5" u="1"/>
        <s v="SABS1200 DA \EARTHWORKS (SMALL WORKS)/8.3\SCHEDULED ITEMS/8.3.7\Grassing or other Vegetation Cover. Rate to allow for the supply of indigenous veld grass seed mix from commercial sources, seeding, raking and maintaining until established./\KS21_009-Concrete Drop Inlet. Drawing NBC-GTW-CL-0043 \m²\21.92 \ 10" u="1"/>
        <s v="SABS1200 DA \EARTHWORKS (SMALL WORKS)/8.3\SCHEDULED ITEMS/8.3.7\Grassing or other Vegetation Cover. Rate to allow for the supply of indigenous veld grass seed mix from commercial sources, seeding, raking and maintaining until established./\KS21_010-Concrete Drop Inlet. Drawing NBC-GTW-CL-0044 \m²\21.92 \ 10" u="1"/>
        <s v="SABS1200 DA \EARTHWORKS (SMALL WORKS)/8.3\SCHEDULED ITEMS/8.3.7\Grassing or other Vegetation Cover. Rate to allow for the supply of indigenous veld grass seed mix from commercial sources, seeding, raking and maintaining until established./\Pan14_010-Infilling of Drains  \m²\3437.5 \ 5" u="1"/>
        <s v="SABS1200 DA \EARTHWORKS (SMALL WORKS)/8.3\SCHEDULED ITEMS/8.3.7\Grassing or other Vegetation Cover. Rate to allow for the supply of indigenous veld grass seed mix from commercial sources, seeding, raking and maintaining until established./\KS13_013-Concrete Drop Inlet. Drawing NBC-GTW-CL-0017 \m²\22.56 \ 5" u="1"/>
        <s v="SABS1200 DA \EARTHWORKS (SMALL WORKS)/8.3\SCHEDULED ITEMS/8.3.7\Grassing or other Vegetation Cover. Rate to allow for the supply of indigenous veld grass seed mix from commercial sources, seeding, raking and maintaining until established./\KS13_015-Concrete Drop Inlet. Drawing NBC-GTW-CL-0018 \m²\22.56 \ 5" u="1"/>
        <s v="SABS1200 DA \EARTHWORKS (SMALL WORKS)/8.3\SCHEDULED ITEMS/8.3.7\Grassing or other Vegetation Cover. Rate to allow for the supply of indigenous veld grass seed mix from commercial sources, seeding, raking and maintaining until established./\DS12_002-Backfilling Dam  \m²\995.487318191585 \ 5" u="1"/>
        <s v="SABS1200 DA \EARTHWORKS (SMALL WORKS)/8.3\SCHEDULED ITEMS/8.3.7\Grassing or other Vegetation Cover. Rate to allow for the supply of indigenous veld grass seed mix from commercial sources, seeding, raking and maintaining until established./\KS12_006-Concrete Drop Inlet. Drawing NBC-GTW-CL-0005 \m²\21.44 \ 5" u="1"/>
        <s v="SABS1200 DA \EARTHWORKS (SMALL WORKS)/8.3\SCHEDULED ITEMS/8.3.7\Grassing or other Vegetation Cover. Rate to allow for the supply of indigenous veld grass seed mix from commercial sources, seeding, raking and maintaining until established./\KS12_008-Concrete Drop Inlet. Drawing NBC-GTW-CL-0007 \m²\21.44 \ 5" u="1"/>
        <s v="SABS1200 DA \EARTHWORKS (SMALL WORKS)/8.3\SCHEDULED ITEMS/8.3.7\Grassing or other Vegetation Cover. Rate to allow for the supply of indigenous veld grass seed mix from commercial sources, seeding, raking and maintaining until established./\KS12_009-Concrete Drop Inlet. Drawing NBC-GTW-CL-0008 \m²\21.44 \ 5" u="1"/>
        <s v="SABS1200 DA \EARTHWORKS (SMALL WORKS)/8.3\SCHEDULED ITEMS/8.3.7\Grassing or other Vegetation Cover. Rate to allow for the supply of indigenous veld grass seed mix from commercial sources, seeding, raking and maintaining until established./\KS20_001-Concrete Drop Inlet. Drawing NBC-GTW-CL-0027 \m²\23.52 \ 5" u="1"/>
        <s v="SABS1200 DA \EARTHWORKS (SMALL WORKS)/8.3\SCHEDULED ITEMS/8.3.7\Grassing or other Vegetation Cover. Rate to allow for the supply of indigenous veld grass seed mix from commercial sources, seeding, raking and maintaining until established./\KS21-002-Earthworks  \m²\850 \ 5" u="1"/>
        <s v="SABS1200 DA \EARTHWORKS (SMALL WORKS)/8.3\SCHEDULED ITEMS/8.3.7\Grassing or other Vegetation Cover. Rate to allow for the supply of indigenous veld grass seed mix from commercial sources, seeding, raking and maintaining until established./\KS21-004-Earthworks  \m²\111 \ 10" u="1"/>
        <s v="SABS1200 DA \EARTHWORKS (SMALL WORKS)/8.3\SCHEDULED ITEMS/8.3.7\Grassing or other Vegetation Cover. Rate to allow for the supply of indigenous veld grass seed mix from commercial sources, seeding, raking and maintaining until established./\Pan14-003-Remove berm and backfill drain  \m²\2365 \ 5" u="1"/>
        <s v="SABS1200 DA \EARTHWORKS (SMALL WORKS)/8.3\SCHEDULED ITEMS/8.3.7\Grassing or other Vegetation Cover. Rate to allow for the supply of indigenous veld grass seed mix from commercial sources, seeding, raking and maintaining until established./\Pan14-001-Reinstate Pan Edge  \m²\360 \ 5" u="1"/>
        <s v="SABS1200 DA \EARTHWORKS (SMALL WORKS)/8.3\SCHEDULED ITEMS/8.3.7\Grassing or other Vegetation Cover. Rate to allow for the supply of indigenous veld grass seed mix from commercial sources, seeding, raking and maintaining until established./\KS16_002-Excavate Dam Wall  \m²\283.947757718744 \ 5" u="1"/>
        <s v="SABS1200 DA \EARTHWORKS (SMALL WORKS)/8.3\SCHEDULED ITEMS/8.3.7\Grassing or other Vegetation Cover. Rate to allow for the supply of indigenous veld grass seed mix from commercial sources, seeding, raking and maintaining until established./\KS21_005-Concrete Drop Inlet. Drawing NBC-GTW-CL-0040 \m²\21.76 \ 10" u="1"/>
        <s v="SABS1200 DA \EARTHWORKS (SMALL WORKS)/8.3\SCHEDULED ITEMS/8.3.7\Grassing or other Vegetation Cover. Rate to allow for the supply of indigenous veld grass seed mix from commercial sources, seeding, raking and maintaining until established./\KS20_002-Concrete Drop Inlet. Drawing NBC-GTW-CL-0028 \m²\24.48 \ 5" u="1"/>
        <s v="SABS1200 DA \EARTHWORKS (SMALL WORKS)/8.3\SCHEDULED ITEMS/8.3.7\Grassing or other Vegetation Cover. Rate to allow for the supply of indigenous veld grass seed mix from commercial sources, seeding, raking and maintaining until established./\LS12_001-Removal of dam wall  \m²\2917.70393453744 \ 5" u="1"/>
        <s v="SABS1200 DA \EARTHWORKS (SMALL WORKS)/8.3\SCHEDULED ITEMS/8.3.7\Grassing or other Vegetation Cover. Rate to allow for the supply of indigenous veld grass seed mix from commercial sources, seeding, raking and maintaining until established./\KS18_016-Concrete Drop Inlet. Drawing NBC-GTW-CL-0022 \m²\23.36 \ 5" u="1"/>
        <s v="SABS1200 DA \EARTHWORKS (SMALL WORKS)/8.3\SCHEDULED ITEMS/8.3.7\Grassing or other Vegetation Cover. Rate to allow for the supply of indigenous veld grass seed mix from commercial sources, seeding, raking and maintaining until established./\KS18_017-Concrete Drop Inlet. Drawing NBC-GTW-CL-0023 \m²\23.36 \ 5" u="1"/>
        <s v="SABS1200 DA \EARTHWORKS (SMALL WORKS)/8.3\SCHEDULED ITEMS/8.3.7\Grassing or other Vegetation Cover. Rate to allow for the supply of indigenous veld grass seed mix from commercial sources, seeding, raking and maintaining until established./\KS18_018-Concrete Drop Inlet. Drawing NBC-GTW-CL-0024 \m²\23.36 \ 5" u="1"/>
        <s v="SABS1200 DA \EARTHWORKS (SMALL WORKS)/8.3\SCHEDULED ITEMS/8.3.7\Grassing or other Vegetation Cover. Rate to allow for the supply of indigenous veld grass seed mix from commercial sources, seeding, raking and maintaining until established./\KS20_004-Concrete Drop Inlet. Drawing NBC-GTW-CL-0030 \m²\23.36 \ 5" u="1"/>
        <s v="SABS1200 DA \EARTHWORKS (SMALL WORKS)/8.3\SCHEDULED ITEMS/8.3.7\Grassing or other Vegetation Cover. Rate to allow for the supply of indigenous veld grass seed mix from commercial sources, seeding, raking and maintaining until established./\KS20_005-Concrete Drop Inlet. Drawing NBC-GTW-CL-0031 \m²\23.36 \ 5" u="1"/>
        <s v="SABS1200 DA \EARTHWORKS (SMALL WORKS)/8.3\SCHEDULED ITEMS/8.3.7\Grassing or other Vegetation Cover. Rate to allow for the supply of indigenous veld grass seed mix from commercial sources, seeding, raking and maintaining until established./\KS20_006-Concrete Drop Inlet. Drawing NBC-GTW-CL-0032 \m²\23.36 \ 5" u="1"/>
        <s v="SABS1200 DA \EARTHWORKS (SMALL WORKS)/8.3\SCHEDULED ITEMS/8.3.7\Grassing or other Vegetation Cover. Rate to allow for the supply of indigenous veld grass seed mix from commercial sources, seeding, raking and maintaining until established./\LS12_002-Removal of Berm  \m²\76 \ 5" u="1"/>
        <s v="SABS1200 DA \EARTHWORKS (SMALL WORKS)/8.3\SCHEDULED ITEMS/8.3.7\Grassing or other Vegetation Cover. Rate to allow for the supply of indigenous veld grass seed mix from commercial sources, seeding, raking and maintaining until established./\LS16_020-Removal of Road  \m²\1782 \ 5" u="1"/>
        <s v="SABS1200 DA \EARTHWORKS (SMALL WORKS)/8.3\SCHEDULED ITEMS/8.3.7\Grassing or other Vegetation Cover. Rate to allow for the supply of indigenous veld grass seed mix from commercial sources, seeding, raking and maintaining until established./\KS13_007-Concrete Drop Inlet. Drawing NBC-GTW-CL-0013 \m²\22.24 \ 5" u="1"/>
        <s v="SABS1200 DA \EARTHWORKS (SMALL WORKS)/8.3\SCHEDULED ITEMS/8.3.7\Grassing or other Vegetation Cover. Rate to allow for the supply of indigenous veld grass seed mix from commercial sources, seeding, raking and maintaining until established./\KS13_008-Concrete Drop Inlet. Drawing NBC-GTW-CL-0014 \m²\22.24 \ 5" u="1"/>
        <s v="SABS1200 DA \EARTHWORKS (SMALL WORKS)/8.3\SCHEDULED ITEMS/8.3.7\Grassing or other Vegetation Cover. Rate to allow for the supply of indigenous veld grass seed mix from commercial sources, seeding, raking and maintaining until established./\KS18_019-Concrete Drop Inlet. Drawing NBC-GTW-CL-0025 \m²\22.24 \ 5" u="1"/>
        <s v="SABS1200 DA \EARTHWORKS (SMALL WORKS)/8.3\SCHEDULED ITEMS/8.3.7\Grassing or other Vegetation Cover. Rate to allow for the supply of indigenous veld grass seed mix from commercial sources, seeding, raking and maintaining until established./\KS21_003-Concrete Drop Inlet. Drawing NBC-GTW-CL-0039 \m²\22.24 \ 5" u="1"/>
        <s v="SABS1200 DA \EARTHWORKS (SMALL WORKS)/8.3\SCHEDULED ITEMS/8.3.7\Grassing or other Vegetation Cover. Rate to allow for the supply of indigenous veld grass seed mix from commercial sources, seeding, raking and maintaining until established./\ks11-002a-Concrete Drop Inlet on Dam Wall  \m²\31.8 \ 5" u="1"/>
        <s v="SABS1200 DA \EARTHWORKS (SMALL WORKS)/8.3\SCHEDULED ITEMS/8.3.7\Grassing or other Vegetation Cover. Rate to allow for the supply of indigenous veld grass seed mix from commercial sources, seeding, raking and maintaining until established./\ks11-004a-Concrete Drop Inlet on Dam Wall  \m²\31.8 \ 5" u="1"/>
        <s v="SABS1200 DA \EARTHWORKS (SMALL WORKS)/8.3\SCHEDULED ITEMS/8.3.7\Grassing or other Vegetation Cover. Rate to allow for the supply of indigenous veld grass seed mix from commercial sources, seeding, raking and maintaining until established./\KS20_009_c-Earthen Berm. Drawing NBC-GTW-CL-0035 \m²\69 \ 5" u="1"/>
        <s v="SABS1200 DA \EARTHWORKS (SMALL WORKS)/8.3\SCHEDULED ITEMS/8.3.7\Grassing or other Vegetation Cover. Rate to allow for the supply of indigenous veld grass seed mix from commercial sources, seeding, raking and maintaining until established./\KS21-004-Earthworks  \m²\111 \ 5" u="1"/>
        <s v="SABS1200 DA \EARTHWORKS (SMALL WORKS)/8.3\SCHEDULED ITEMS/8.3.7\Grassing or other Vegetation Cover. Rate to allow for the supply of indigenous veld grass seed mix from commercial sources, seeding, raking and maintaining until established./\KS21-008-Infilling of Drain  \m²\129.2 \ 10" u="1"/>
        <s v="SABS1200 DA \EARTHWORKS (SMALL WORKS)/8.3\SCHEDULED ITEMS/8.3.7\Grassing or other Vegetation Cover. Rate to allow for the supply of indigenous veld grass seed mix from commercial sources, seeding, raking and maintaining until established./\Pan14_004-Infilling of Drains  \m²\180 \ 5" u="1"/>
        <s v="SABS1200 DA \EARTHWORKS (SMALL WORKS)/8.3\SCHEDULED ITEMS/8.3.7\Grassing or other Vegetation Cover. Rate to allow for the supply of indigenous veld grass seed mix from commercial sources, seeding, raking and maintaining until established./\KS15-002-Backfill Main Channel  \m²\3846.97837810187 \ 5" u="1"/>
        <s v="SABS1200 DA \EARTHWORKS (SMALL WORKS)/8.3\SCHEDULED ITEMS/8.3.7\Grassing or other Vegetation Cover. Rate to allow for the supply of indigenous veld grass seed mix from commercial sources, seeding, raking and maintaining until established./\KS19_007-Infilling of Drains  \m²\179.7515 \ 5" u="1"/>
        <s v="SABS1200 DA \EARTHWORKS (SMALL WORKS)/8.3\SCHEDULED ITEMS/8.3.7\Grassing or other Vegetation Cover. Rate to allow for the supply of indigenous veld grass seed mix from commercial sources, seeding, raking and maintaining until established./\KS20_009_a-Concrete Buttress Weir. Drawing NBC-GTW-CL-0035 \m²\25.88 \ 5" u="1"/>
        <s v="SABS1200 DA \EARTHWORKS (SMALL WORKS)/8.3\SCHEDULED ITEMS/8.3.7\Grassing or other Vegetation Cover. Rate to allow for the supply of indigenous veld grass seed mix from commercial sources, seeding, raking and maintaining until established./\KS18_002-Concrete Drop Inlet. Drawing NBC-GTW-CL-0020 \m²\17.52 \ 5" u="1"/>
        <s v="SABS1200 DA \EARTHWORKS (SMALL WORKS)/8.3\SCHEDULED ITEMS/8.3.7\Grassing or other Vegetation Cover. Rate to allow for the supply of indigenous veld grass seed mix from commercial sources, seeding, raking and maintaining until established./\KS20_007-Concrete Drop Inlet. Drawing NBC-GTW-CL-0033 \m²\23.04 \ 5" u="1"/>
        <s v="SABS1200 DA \EARTHWORKS (SMALL WORKS)/8.3\SCHEDULED ITEMS/8.3.7\Grassing or other Vegetation Cover. Rate to allow for the supply of indigenous veld grass seed mix from commercial sources, seeding, raking and maintaining until established./\KS18_020-Concrete Drop Inlet associated with Road Culvert  \m²\22.384 \ 5" u="1"/>
        <s v="SABS1200 DA \EARTHWORKS (SMALL WORKS)/8.3\SCHEDULED ITEMS/8.3.7\Grassing or other Vegetation Cover. Rate to allow for the supply of indigenous veld grass seed mix from commercial sources, seeding, raking and maintaining until established./\KS21_006-Concrete Drop Inlet. Drawing NBC-GTW-CL-0041 \m²\21.6 \ 5" u="1"/>
        <s v="SABS1200 DA \EARTHWORKS (SMALL WORKS)/8.3\SCHEDULED ITEMS/8.3.7\Grassing or other Vegetation Cover. Rate to allow for the supply of indigenous veld grass seed mix from commercial sources, seeding, raking and maintaining until established./\KS21_007-Concrete Drop Inlet. Drawing NBC-GTW-CL-0042 \m²\21.6 \ 5" u="1"/>
        <s v="SABS1200 DA \EARTHWORKS (SMALL WORKS)/8.3\SCHEDULED ITEMS/8.3.7\Grassing or other Vegetation Cover. Rate to allow for the supply of indigenous veld grass seed mix from commercial sources, seeding, raking and maintaining until established./\ks11-003-Backfilling Dam to Create Wetland  \m²\17400 \ 5" u="1"/>
        <s v="SABS1200 DA \EARTHWORKS (SMALL WORKS)/8.3\SCHEDULED ITEMS/8.3.7\Grassing or other Vegetation Cover. Rate to allow for the supply of indigenous veld grass seed mix from commercial sources, seeding, raking and maintaining until established./\KS12_010-Removal of Dam Wall  \m²\619.185479905302 \ 5" u="1"/>
        <s v="SABS1200 DA \EARTHWORKS (SMALL WORKS)/8.3\SCHEDULED ITEMS/8.3.7\Grassing or other Vegetation Cover. Rate to allow for the supply of indigenous veld grass seed mix from commercial sources, seeding, raking and maintaining until established./\Pan14-002-Remove Berm  \m²\198 \ 5" u="1"/>
        <s v="SABS1200 DA \EARTHWORKS (SMALL WORKS)/8.3\SCHEDULED ITEMS/8.3.7\Grassing or other Vegetation Cover. Rate to allow for the supply of indigenous veld grass seed mix from commercial sources, seeding, raking and maintaining until established./\Pan8_002-Infilling of Drains  \m²\320 \ 5" u="1"/>
        <s v="SABS1200 DA \EARTHWORKS (SMALL WORKS)/8.3\SCHEDULED ITEMS/8.3.7\Grassing or other Vegetation Cover. Rate to allow for the supply of indigenous veld grass seed mix from commercial sources, seeding, raking and maintaining until established./\Pan14_005-Infilling of Drains  \m²\450 \ 5" u="1"/>
        <s v="SABS1200 DA \EARTHWORKS (SMALL WORKS)/8.3\SCHEDULED ITEMS/8.3.7\Grassing or other Vegetation Cover. Rate to allow for the supply of indigenous veld grass seed mix from commercial sources, seeding, raking and maintaining until established./\ks18-021-Backfill Main Channel  \m²\3294.95 \ 5" u="1"/>
        <s v="SABS1200 DA \EARTHWORKS (SMALL WORKS)/8.3\SCHEDULED ITEMS/8.3.7\Grassing or other Vegetation Cover. Rate to allow for the supply of indigenous veld grass seed mix from commercial sources, seeding, raking and maintaining until established./\KS19_006-Removal of Dam Wall  \m²\3134.04 \ 5" u="1"/>
        <s v="SABS1200 DA \EARTHWORKS (SMALL WORKS)/8.3\SCHEDULED ITEMS/8.3.7\Grassing or other Vegetation Cover. Rate to allow for the supply of indigenous veld grass seed mix from commercial sources, seeding, raking and maintaining until established./\Pan8_001-Foreign Materials  \m²\54 \ 5" u="1"/>
        <s v="SABS1200 DA \EARTHWORKS (SMALL WORKS)/8.3\SCHEDULED ITEMS/8.3.7\Grassing or other Vegetation Cover. Rate to allow for the supply of indigenous veld grass seed mix from commercial sources, seeding, raking and maintaining until established./\LS08_001-Removal of Berm  \m²\148.532778078669 \ 5" u="1"/>
        <s v="SABS1200 DA \EARTHWORKS (SMALL WORKS)/8.3\SCHEDULED ITEMS/8.3.7\Grassing or other Vegetation Cover. Rate to allow for the supply of indigenous veld grass seed mix from commercial sources, seeding, raking and maintaining until established./\KS21_006-Concrete Drop Inlet. Drawing NBC-GTW-CL-0041 \m²\21.6 \ 10" u="1"/>
        <s v="SABS1200 DA \EARTHWORKS (SMALL WORKS)/8.3\SCHEDULED ITEMS/8.3.7\Grassing or other Vegetation Cover. Rate to allow for the supply of indigenous veld grass seed mix from commercial sources, seeding, raking and maintaining until established./\KS21_007-Concrete Drop Inlet. Drawing NBC-GTW-CL-0042 \m²\21.6 \ 10" u="1"/>
        <s v="SABS1200 DA \EARTHWORKS (SMALL WORKS)/8.3\SCHEDULED ITEMS/8.3.7\Grassing or other Vegetation Cover. Rate to allow for the supply of indigenous veld grass seed mix from commercial sources, seeding, raking and maintaining until established./\KS20_009_b-Concrete Overflow Wall. Drawing NBC-GTW-CL-0035 \m²\50 \ 5" u="1"/>
        <s v="SABS1200 DA \EARTHWORKS (SMALL WORKS)/8.3\SCHEDULED ITEMS/8.3.7\Grassing or other Vegetation Cover. Rate to allow for the supply of indigenous veld grass seed mix from commercial sources, seeding, raking and maintaining until established./\KS12_002-Concrete Drop Inlet. Drawing NBC-GTW-CL-0002 \m²\30 \ 5" u="1"/>
        <s v="SABS1200 DA \EARTHWORKS (SMALL WORKS)/8.3\SCHEDULED ITEMS/8.3.7\Grassing or other Vegetation Cover. Rate to allow for the supply of indigenous veld grass seed mix from commercial sources, seeding, raking and maintaining until established./\Pan14_009-Infilling of Drains  \m²\78.4 \ 5" u="1"/>
        <s v="SABS1200 DA \EARTHWORKS (SMALL WORKS)/8.3\SCHEDULED ITEMS/8.3.7\Grassing or other Vegetation Cover. Rate to allow for the supply of indigenous veld grass seed mix from commercial sources, seeding, raking and maintaining until established./\KS19_002-Concrete Drop Inlet. Drawing NBC-GTW-CL-0026 \m²\20.96 \ 5" u="1"/>
        <s v="SABS1200 DA \EARTHWORKS (SMALL WORKS)/8.3\SCHEDULED ITEMS/8.3.7\Grassing or other Vegetation Cover. Rate to allow for the supply of indigenous veld grass seed mix from commercial sources, seeding, raking and maintaining until established./\KS13_004-Concrete Drop Inlet. Drawing NBC-GTW-CL-0010 \m²\22.4 \ 5" u="1"/>
        <s v="SABS1200 DA \EARTHWORKS (SMALL WORKS)/8.3\SCHEDULED ITEMS/8.3.7\Grassing or other Vegetation Cover. Rate to allow for the supply of indigenous veld grass seed mix from commercial sources, seeding, raking and maintaining until established./\LS16_021-Backfill Main Channel and reshaping  \m²\6032.31 \ 5" u="1"/>
        <s v="SABS1200 DA \EARTHWORKS (SMALL WORKS)/8.3\SCHEDULED ITEMS/8.3.7\Grassing or other Vegetation Cover. Rate to allow for the supply of indigenous veld grass seed mix from commercial sources, seeding, raking and maintaining until established./\ks11-002c-Dam wall excavation. Drawing NBC-GTW-CL-0067 \m²\1870 \ 5" u="1"/>
        <s v="SABS1200 DA \EARTHWORKS (SMALL WORKS)/8.3\SCHEDULED ITEMS/8.3.7\Grassing or other Vegetation Cover. Rate to allow for the supply of indigenous veld grass seed mix from commercial sources, seeding, raking and maintaining until established./\KS12_005-Concrete Drop Inlet. Drawing NBC-GTW-CL-0004 \m²\21.92 \ 5" u="1"/>
        <s v="SABS1200 DA \EARTHWORKS (SMALL WORKS)/8.3\SCHEDULED ITEMS/8.3.7\Grassing or other Vegetation Cover. Rate to allow for the supply of indigenous veld grass seed mix from commercial sources, seeding, raking and maintaining until established./\KS12_007-Concrete Drop Inlet. Drawing NBC-GTW-CL-0006 \m²\21.92 \ 5" u="1"/>
        <s v="SABS1200 DA \EARTHWORKS (SMALL WORKS)/8.3\SCHEDULED ITEMS/8.3.7\Grassing or other Vegetation Cover. Rate to allow for the supply of indigenous veld grass seed mix from commercial sources, seeding, raking and maintaining until established./\KS21_009-Concrete Drop Inlet. Drawing NBC-GTW-CL-0043 \m²\21.92 \ 5" u="1"/>
        <s v="SABS1200 DA \EARTHWORKS (SMALL WORKS)/8.3\SCHEDULED ITEMS/8.3.7\Grassing or other Vegetation Cover. Rate to allow for the supply of indigenous veld grass seed mix from commercial sources, seeding, raking and maintaining until established./\KS21_010-Concrete Drop Inlet. Drawing NBC-GTW-CL-0044 \m²\21.92 \ 5" u="1"/>
        <s v="SABS1200 DA \EARTHWORKS (SMALL WORKS)/8.3\SCHEDULED ITEMS/8.3.7\Grassing or other Vegetation Cover. Rate to allow for the supply of indigenous veld grass seed mix from commercial sources, seeding, raking and maintaining until established./\Pan8_004-Removal of Berm  \m²\18 \ 5" u="1"/>
        <s v="SABS1200 DA \EARTHWORKS (SMALL WORKS)/8.3\SCHEDULED ITEMS/8.3.7\Grassing or other Vegetation Cover. Rate to allow for the supply of indigenous veld grass seed mix from commercial sources, seeding, raking and maintaining until established./\KS20_003-Concrete Buttress Weir. Drawing NBC-GTW-CL-0029 \m²\26.68 \ 5" u="1"/>
        <s v="SABS1200 DA \EARTHWORKS (SMALL WORKS)/8.3\SCHEDULED ITEMS/8.3.7\Grassing or other Vegetation Cover. Rate to allow for the supply of indigenous veld grass seed mix from commercial sources, seeding, raking and maintaining until established./\Pan14_007-Infilling of Drains  \m²\76 \ 5" u="1"/>
        <s v="SABS1200 DA \EARTHWORKS (SMALL WORKS)/8.3\SCHEDULED ITEMS/8.3.7\Grassing or other Vegetation Cover. Rate to allow for the supply of indigenous veld grass seed mix from commercial sources, seeding, raking and maintaining until established./\Pan14_008-Infilling of Drains  \m²\108 \ 5" u="1"/>
        <s v="SABS1200 DA \EARTHWORKS (SMALL WORKS)/8.3\SCHEDULED ITEMS/8.3.7\Grassing or other Vegetation Cover. Rate to allow for the supply of indigenous veld grass seed mix from commercial sources, seeding, raking and maintaining until established./\DS12_001-Excavation of Dam Wall  \m²\1251.4 \ 5" u="1"/>
        <s v="SABS1200 DA \EARTHWORKS (SMALL WORKS)/8.3\SCHEDULED ITEMS/8.3.7\Grassing or other Vegetation Cover. Rate to allow for the supply of indigenous veld grass seed mix from commercial sources, seeding, raking and maintaining until established./\DS12_004-Removal of earthen material  \m²\626.368 \ 5" u="1"/>
        <s v="SABS1200 DA \EARTHWORKS (SMALL WORKS)/8.3\SCHEDULED ITEMS/8.3.7\Grassing or other Vegetation Cover. Rate to allow for the supply of indigenous veld grass seed mix from commercial sources, seeding, raking and maintaining until established./\KS15_003-Removal of Dam Wall  \m²\619.289401121074 \ 5" u="1"/>
        <s v="SABS1200 DA \EARTHWORKS (SMALL WORKS)/8.3\SCHEDULED ITEMS/8.3.7\Grassing or other Vegetation Cover. Rate to allow for the supply of indigenous veld grass seed mix from commercial sources, seeding, raking and maintaining until established./\Pan09_001-Removal of Dam Wall  \m²\594 \ 5" u="1"/>
        <s v="SABS1200 DA \EARTHWORKS (SMALL WORKS)/8.3\SCHEDULED ITEMS/8.3.7\Grassing or other Vegetation Cover. Rate to allow for the supply of indigenous veld grass seed mix from commercial sources, seeding, raking and maintaining until established./\LS16_012-Removal of Road  \m²\360 \ 5" u="1"/>
        <s v="SABS1200 DA \EARTHWORKS (SMALL WORKS)/8.3\SCHEDULED ITEMS/8.3.7\Grassing or other Vegetation Cover. Rate to allow for the supply of indigenous veld grass seed mix from commercial sources, seeding, raking and maintaining until established./\Pan14_011-Infilling of Drains  \m²\4365 \ 5" u="1"/>
        <s v="SABS1200 DA \EARTHWORKS (SMALL WORKS)/8.3\SCHEDULED ITEMS/8.3.7\Grassing or other Vegetation Cover. Rate to allow for the supply of indigenous veld grass seed mix from commercial sources, seeding, raking and maintaining until established./\DS12_003-Excavation of Dam Wall  \m²\621.57 \ 5" u="1"/>
        <s v="SABS1200 DA \EARTHWORKS (SMALL WORKS)/8.3\SCHEDULED ITEMS/8.3.7\Grassing or other Vegetation Cover. Rate to allow for the supply of indigenous veld grass seed mix from commercial sources, seeding, raking and maintaining until established./\LS16_015-Earthworks (Reinforce Dam Wall)  \m²\567 \ 5" u="1"/>
        <s v="SABS1200 DA \EARTHWORKS (SMALL WORKS)/8.3\SCHEDULED ITEMS/8.3.7\Grassing or other Vegetation Cover. Rate to allow for the supply of indigenous veld grass seed mix from commercial sources, seeding, raking and maintaining until established./\KS13_016-Infilling of Drains  \m²\332.18699875976 \ 5" u="1"/>
        <s v="SABS1200 DA \EARTHWORKS (SMALL WORKS)/8.3\SCHEDULED ITEMS/8.3.7\Grassing or other Vegetation Cover. Rate to allow for the supply of indigenous veld grass seed mix from commercial sources, seeding, raking and maintaining until established./\KS13_011-Concrete Drop Inlet. Drawing NBC-GTW-CL-0015 \m²\22.88 \ 5" u="1"/>
        <s v="SABS1200 DA \EARTHWORKS (SMALL WORKS)/8.3\SCHEDULED ITEMS/8.3.7\Grassing or other Vegetation Cover. Rate to allow for the supply of indigenous veld grass seed mix from commercial sources, seeding, raking and maintaining until established./\KS21-002-Earthworks  \m²\850 \ 10" u="1"/>
        <s v="SABS1200 DA \EARTHWORKS (SMALL WORKS)/8.3\SCHEDULED ITEMS/8.3.7\Grassing or other Vegetation Cover. Rate to allow for the supply of indigenous veld grass seed mix from commercial sources, seeding, raking and maintaining until established./\KS12_004-Concrete Drop Inlet. Drawing NBC-GTW-CL-0003 \m²\21.76 \ 5" u="1"/>
        <s v="SABS1200 DA \EARTHWORKS (SMALL WORKS)/8.3\SCHEDULED ITEMS/8.3.7\Grassing or other Vegetation Cover. Rate to allow for the supply of indigenous veld grass seed mix from commercial sources, seeding, raking and maintaining until established./\KS13_005-Concrete Drop Inlet. Drawing NBC-GTW-CL-0011 \m²\21.76 \ 5" u="1"/>
        <s v="SABS1200 DA \EARTHWORKS (SMALL WORKS)/8.3\SCHEDULED ITEMS/8.3.7\Grassing or other Vegetation Cover. Rate to allow for the supply of indigenous veld grass seed mix from commercial sources, seeding, raking and maintaining until established./\KS13_006-Concrete Drop Inlet. Drawing NBC-GTW-CL-0012 \m²\21.76 \ 5" u="1"/>
        <s v="SABS1200 DA \EARTHWORKS (SMALL WORKS)/8.3\SCHEDULED ITEMS/8.3.7\Grassing or other Vegetation Cover. Rate to allow for the supply of indigenous veld grass seed mix from commercial sources, seeding, raking and maintaining until established./\KS21_005-Concrete Drop Inlet. Drawing NBC-GTW-CL-0040 \m²\21.76 \ 5" u="1"/>
        <s v="SABS1200 DA \EARTHWORKS (SMALL WORKS)/8.3\SCHEDULED ITEMS/8.3.7\Grassing or other Vegetation Cover. Rate to allow for the supply of indigenous veld grass seed mix from commercial sources, seeding, raking and maintaining until established./\KS13_003-Concrete Drop Inlet. Drawing NBC-GTW-CL-0009 \m²\23.2 \ 5" u="1"/>
        <s v="SABS1200 DA \EARTHWORKS (SMALL WORKS)/8.3\SCHEDULED ITEMS/8.3.7\Grassing or other Vegetation Cover. Rate to allow for the supply of indigenous veld grass seed mix from commercial sources, seeding, raking and maintaining until established./\KS13_012-Concrete Drop Inlet. Drawing NBC-GTW-CL-0016 \m²\23.2 \ 5" u="1"/>
        <s v="SABS1200 DA \EARTHWORKS (SMALL WORKS)/8.3\SCHEDULED ITEMS/8.3.7\Grassing or other Vegetation Cover. Rate to allow for the supply of indigenous veld grass seed mix from commercial sources, seeding, raking and maintaining until established./\KS20_008-Concrete Drop Inlet. Drawing NBC-GTW-CL-0034 \m²\23.2 \ 5" u="1"/>
        <s v="SABS1200 DA \EARTHWORKS (SMALL WORKS)/8.3\SCHEDULED ITEMS/8.3.7\Grassing or other Vegetation Cover. Rate to allow for the supply of indigenous veld grass seed mix from commercial sources, seeding, raking and maintaining until established./\KS18_001-Concrete Drop Inlet. Drawing NBC-GTW-CL-0019 \m²\23.84 \ 5" u="1"/>
        <s v="SABS1200 DA \EARTHWORKS (SMALL WORKS)/8.3\SCHEDULED ITEMS/8.3.7\Grassing or other Vegetation Cover. Rate to allow for the supply of indigenous veld grass seed mix from commercial sources, seeding, raking and maintaining until established./\Pan14_006-Earthen Berms  \m²\190.755332217041 \ 5" u="1"/>
        <s v="SABS1200 DA \EARTHWORKS (SMALL WORKS)/8.3\SCHEDULED ITEMS/8.3.7\Grassing or other Vegetation Cover. Rate to allow for the supply of indigenous veld grass seed mix from commercial sources, seeding, raking and maintaining until established./\KS21-008-Infilling of Drain  \m²\129.2 \ 5" u="1"/>
        <s v="SABS1200 DA \EARTHWORKS (SMALL WORKS)/8.3\SCHEDULED ITEMS/8.3.7\Grassing or other Vegetation Cover. Rate to allow for the supply of indigenous veld grass seed mix from commercial sources, seeding, raking and maintaining until established./\KS13_014-Infilling of Drains  \m²\278.716598321288 \ 5" u="1"/>
        <s v="SABS1200 DA \EARTHWORKS (SMALL WORKS)/8.3\SCHEDULED ITEMS/8.3.7\Grassing or other Vegetation Cover. Rate to allow for the supply of indigenous veld grass seed mix from commercial sources, seeding, raking and maintaining until established./\KS16_004-Infilling of Drains  \m²\480 \ 5" u="1"/>
        <s v="SABS1200 DA \EARTHWORKS (SMALL WORKS)/8.3\SCHEDULED ITEMS/8.3.7\Grassing or other Vegetation Cover. Rate to allow for the supply of indigenous veld grass seed mix from commercial sources, seeding, raking and maintaining until established./\KS16_001-Infilling of Drains  \m²\494.873340531892 \ 5" u="1"/>
        <s v="SABS1200 DA \EARTHWORKS (SMALL WORKS)/8.3\SCHEDULED ITEMS/8.3.7\Grassing or other Vegetation Cover. Rate to allow for the supply of indigenous veld grass seed mix from commercial sources, seeding, raking and maintaining until established./\ks11-005-Backfilling Dam to Create Wetland  \m²\38200 \ 5" u="1"/>
        <s v="SABS1200 DA \EARTHWORKS (SMALL WORKS)/8.3\SCHEDULED ITEMS/8.3.7\Grassing or other Vegetation Cover. Rate to allow for the supply of indigenous veld grass seed mix from commercial sources, seeding, raking and maintaining until established./\KS20_009_c-Earthen Berm. Drawing NBC-GTW-CL-0035 \m²\69 \ 10" u="1"/>
        <s v="SABS1200 DA \EARTHWORKS (SMALL WORKS)/8.3\SCHEDULED ITEMS/8.3.7\Grassing or other Vegetation Cover. Rate to allow for the supply of indigenous veld grass seed mix from commercial sources, seeding, raking and maintaining until established./\ks11-004c-Dam wall excavation. Drawing NBC-GTW-CL-0068 \m²\1200 \ 5" u="1"/>
        <s v="SABS1200 DA \EARTHWORKS (SMALL WORKS)/8.3\SCHEDULED ITEMS/8.3.7\Grassing or other Vegetation Cover. Rate to allow for the supply of indigenous veld grass seed mix from commercial sources, seeding, raking and maintaining until established./\KS12_003-Removal of Berm and Dam Wall  \m²\1876.14315788985 \ 5" u="1"/>
      </sharedItems>
    </cacheField>
    <cacheField name="a) Limited Overhaul" numFmtId="0">
      <sharedItems count="45">
        <s v="SABS1200 DA \EARTHWORKS (SMALL WORKS)/8,3\SCHEDULED ITEMS/8.3.3a\Limited  overhaul (provisional ). /\DS12_004-Removal of earthen material \m³\523,01728 \ 0"/>
        <s v=" "/>
        <s v="SABS1200 DA \EARTHWORKS (SMALL WORKS)/8,3\SCHEDULED ITEMS/8.3.3a\Limited  overhaul (provisional ). /\KS13_010-Removal of Berm \m³\150 \ 0"/>
        <s v="SABS1200 DA \EARTHWORKS (SMALL WORKS)/8,3\SCHEDULED ITEMS/8.3.3a\Limited  overhaul (provisional ). /\LS08_001-Removal of Berm \m³\21,875 \ 0"/>
        <s v="SABS1200 DA \EARTHWORKS (SMALL WORKS)/8,3\SCHEDULED ITEMS/8.3.3a\Limited  overhaul (provisional ). /\LS12_001-Removal of dam wall \m³\848,237 \ 0"/>
        <s v="SABS1200 DA \EARTHWORKS (SMALL WORKS)/8,3\SCHEDULED ITEMS/8.3.3a\Limited  overhaul (provisional ). /\LS12_002-Removal of Berm \m³\13,585 \ 0"/>
        <s v="SABS1200 DA \EARTHWORKS (SMALL WORKS)/8,3\SCHEDULED ITEMS/8.3.3a\Limited  overhaul (provisional ). /\LS16_012-Removal of Road \m³\80,775 \ 0"/>
        <s v="SABS1200 DA \EARTHWORKS (SMALL WORKS)/8,3\SCHEDULED ITEMS/8.3.3a\Limited  overhaul (provisional ). /\LS16_013-Gabion energy breaker \m³\13,68 \ 0"/>
        <s v="SABS1200 DA \EARTHWORKS (SMALL WORKS)/8,3\SCHEDULED ITEMS/8.3.3a\Limited  overhaul (provisional ). /\LS16_016-Gabion energy breaker \m³\20 \ 0"/>
        <s v="SABS1200 DA \EARTHWORKS (SMALL WORKS)/8,3\SCHEDULED ITEMS/8.3.3a\Limited  overhaul (provisional ). /\LS16_017-Gabion energy breaker \m³\25 \ 0"/>
        <s v="SABS1200 DA \EARTHWORKS (SMALL WORKS)/8,3\SCHEDULED ITEMS/8.3.3a\Limited  overhaul (provisional ). /\LS16_018-Gabion energy breaker \m³\22,08 \ 0"/>
        <s v="SABS1200 DA \EARTHWORKS (SMALL WORKS)/8,3\SCHEDULED ITEMS/8.3.3a\Limited  overhaul (provisional ). /\LS16_019-Gabion energy breaker \m³\24,48 \ 0"/>
        <s v="SABS1200 DA \EARTHWORKS (SMALL WORKS)/8,3\SCHEDULED ITEMS/8.3.3a\Limited  overhaul (provisional ). /\LS16_020-Removal of Road \m³\372,11625 \ 0"/>
        <s v="SABS1200 DA \EARTHWORKS (SMALL WORKS)/8,3\SCHEDULED ITEMS/8.3.3a\Limited  overhaul (provisional ). /\Pan09_001-Removal of Dam Wall \m³\188 \ 0"/>
        <s v="SABS1200 DA \EARTHWORKS (SMALL WORKS)/8.3\SCHEDULED ITEMS/8.3.3a\Limited  overhaul (provisional ). /\LS16_018-Gabion energy breaker \m³\22.08 \ 30" u="1"/>
        <s v="SABS1200 DA \EARTHWORKS (SMALL WORKS)/8.3\SCHEDULED ITEMS/8.3.3a\Limited  overhaul (provisional ). /\KS13_010-Removal of Berm \m³\150 \ 30" u="1"/>
        <s v="SABS1200 DA \EARTHWORKS (SMALL WORKS)/8.3\SCHEDULED ITEMS/8.3.3a\Limited  overhaul (provisional ). /\KS20_008-Concrete Drop Inlet \m³\16.301772 \ 30" u="1"/>
        <s v="SABS1200 DA \EARTHWORKS (SMALL WORKS)/8.3\SCHEDULED ITEMS/8.3.3a\Limited  overhaul (provisional ). /\LS16_017-Gabion energy breaker \m³\25 \ 30" u="1"/>
        <s v="SABS1200 DA \EARTHWORKS (SMALL WORKS)/8.3\SCHEDULED ITEMS/8.3.3a\Limited  overhaul (provisional ). /\LS12_001-Removal of dam wall \m³\848.237 \ 30" u="1"/>
        <s v="SABS1200 DA \EARTHWORKS (SMALL WORKS)/8.3\SCHEDULED ITEMS/8.3.3a\Limited  overhaul (provisional ). /\LS16_013-Gabion energy breaker \m³\13.68 \ 30" u="1"/>
        <s v="SABS1200 DA \EARTHWORKS (SMALL WORKS)/8.3\SCHEDULED ITEMS/8.3.3a\Limited  overhaul (provisional ). /\KS21_009-Concrete Drop Inlet \m³\12.0595755 \ 30" u="1"/>
        <s v="SABS1200 DA \EARTHWORKS (SMALL WORKS)/8.3\SCHEDULED ITEMS/8.3.3a\Limited  overhaul (provisional ). /\LS08_001-Removal of Berm \m³\21.875 \ 30" u="1"/>
        <s v="SABS1200 DA \EARTHWORKS (SMALL WORKS)/8.3\SCHEDULED ITEMS/8.3.3a\Limited  overhaul (provisional ). /\KS20_003-Concrete Buttress Weir \m³\24.88715874 \ 30" u="1"/>
        <s v="SABS1200 DA \EARTHWORKS (SMALL WORKS)/8.3\SCHEDULED ITEMS/8.3.3a\Limited  overhaul (provisional ). /\LS16_020-Removal of Road \m³\372.11625 \ 30" u="1"/>
        <s v="SABS1200 DA \EARTHWORKS (SMALL WORKS)/8.3\SCHEDULED ITEMS/8.3.3a\Limited  overhaul (provisional ). /\DS12_004-Removal of earthen material \m³\523.01728 \ 30" u="1"/>
        <s v="SABS1200 DA \EARTHWORKS (SMALL WORKS)/8.3\SCHEDULED ITEMS/8.3.3a\Limited  overhaul (provisional ). /\KS20_009_b-Concrete Overflow Wall \m³\9.23025 \ 30" u="1"/>
        <s v="SABS1200 DA \EARTHWORKS (SMALL WORKS)/8.3\SCHEDULED ITEMS/8.3.3a\Limited  overhaul (provisional ). /\KS21_005-Concrete Drop Inlet \m³\10.73166645 \ 30" u="1"/>
        <s v="SABS1200 DA \EARTHWORKS (SMALL WORKS)/8.3\SCHEDULED ITEMS/8.3.3a\Limited  overhaul (provisional ). /\KS21_010-Concrete Drop Inlet \m³\11.37312165 \ 30" u="1"/>
        <s v="SABS1200 DA \EARTHWORKS (SMALL WORKS)/8.3\SCHEDULED ITEMS/8.3.3a\Limited  overhaul (provisional ). /\LS12_002-Removal of Berm \m³\13.585 \ 30" u="1"/>
        <s v="SABS1200 DA \EARTHWORKS (SMALL WORKS)/8.3\SCHEDULED ITEMS/8.3.3a\Limited  overhaul (provisional ). /\KS21-002-Earthworks \m³\57.42 \ 30" u="1"/>
        <s v="SABS1200 DA \EARTHWORKS (SMALL WORKS)/8.3\SCHEDULED ITEMS/8.3.3a\Limited  overhaul (provisional ). /\KS21_001-10° sloped Grouted Pitching (Light) \m³\4.5 \ 30" u="1"/>
        <s v="SABS1200 DA \EARTHWORKS (SMALL WORKS)/8.3\SCHEDULED ITEMS/8.3.3a\Limited  overhaul (provisional ). /\Pan09_001-Removal of Dam Wall \m³\188 \ 30" u="1"/>
        <s v="SABS1200 DA \EARTHWORKS (SMALL WORKS)/8.3\SCHEDULED ITEMS/8.3.3a\Limited  overhaul (provisional ). /\KS18_001-Concrete Drop Inlet \m³\18.4458156 \ 30" u="1"/>
        <s v="SABS1200 DA \EARTHWORKS (SMALL WORKS)/8.3\SCHEDULED ITEMS/8.3.3a\Limited  overhaul (provisional ). /\KS20_005-Concrete Drop Inlet \m³\20.8975965 \ 30" u="1"/>
        <s v="SABS1200 DA \EARTHWORKS (SMALL WORKS)/8.3\SCHEDULED ITEMS/8.3.3a\Limited  overhaul (provisional ). /\KS20_001-Concrete Drop Inlet \m³\15.579981 \ 30" u="1"/>
        <s v="SABS1200 DA \EARTHWORKS (SMALL WORKS)/8.3\SCHEDULED ITEMS/8.3.3a\Limited  overhaul (provisional ). /\KS20_007-Concrete Drop Inlet \m³\16.8556809 \ 30" u="1"/>
        <s v="SABS1200 DA \EARTHWORKS (SMALL WORKS)/8.3\SCHEDULED ITEMS/8.3.3a\Limited  overhaul (provisional ). /\KS21_006-Concrete Drop Inlet \m³\9.58254075 \ 30" u="1"/>
        <s v="SABS1200 DA \EARTHWORKS (SMALL WORKS)/8.3\SCHEDULED ITEMS/8.3.3a\Limited  overhaul (provisional ). /\LS16_012-Removal of Road \m³\80.775 \ 30" u="1"/>
        <s v="SABS1200 DA \EARTHWORKS (SMALL WORKS)/8.3\SCHEDULED ITEMS/8.3.3a\Limited  overhaul (provisional ). /\LS16_016-Gabion energy breaker \m³\20 \ 30" u="1"/>
        <s v="SABS1200 DA \EARTHWORKS (SMALL WORKS)/8.3\SCHEDULED ITEMS/8.3.3a\Limited  overhaul (provisional ). /\LS16_019-Gabion energy breaker \m³\24.48 \ 30" u="1"/>
        <s v="SABS1200 DA \EARTHWORKS (SMALL WORKS)/8.3\SCHEDULED ITEMS/8.3.3a\Limited  overhaul (provisional ). /\KS21_003-Concrete Drop Inlet \m³\7.736325 \ 30" u="1"/>
        <s v="SABS1200 DA \EARTHWORKS (SMALL WORKS)/8.3\SCHEDULED ITEMS/8.3.3a\Limited  overhaul (provisional ). /\KS18_002-Concrete Drop Inlet \m³\9.6822195 \ 30" u="1"/>
        <s v="SABS1200 DA \EARTHWORKS (SMALL WORKS)/8.3\SCHEDULED ITEMS/8.3.3a\Limited  overhaul (provisional ). /\KS21_007-Concrete Drop Inlet \m³\9.344694 \ 30" u="1"/>
        <s v="SABS1200 DA \EARTHWORKS (SMALL WORKS)/8.3\SCHEDULED ITEMS/8.3.3a\Limited  overhaul (provisional ). /\KS20_009_a-Concrete Buttress Weir \m³\39.8271597 \ 30" u="1"/>
        <s v="SABS1200 DA \EARTHWORKS (SMALL WORKS)/8.3\SCHEDULED ITEMS/8.3.3a\Limited  overhaul (provisional ). /\KS20_004-Concrete Drop Inlet \m³\12.8323758 \ 30" u="1"/>
      </sharedItems>
    </cacheField>
    <cacheField name="b) Long Overhaul" numFmtId="0">
      <sharedItems count="12">
        <s v="SABS1200 DA \EARTHWORKS (SMALL WORKS)/8.3\SCHEDULED ITEMS/8.3.3b\Long overhaul (provisional). /\DS12_004-Removal of earthen material \m³/km\4105.685648 \ 6"/>
        <s v=" "/>
        <s v="SABS1200 DA \EARTHWORKS (SMALL WORKS)/8.3\SCHEDULED ITEMS/8.3.3b\Long overhaul (provisional). /\KS20_001-Concrete Drop Inlet \m³/km\51.93327 \ 6"/>
        <s v="SABS1200 DA \EARTHWORKS (SMALL WORKS)/8.3\SCHEDULED ITEMS/8.3.3b\Long overhaul (provisional). /\KS20_010-Ecologs \m³/km\3.6 \ 6"/>
        <s v="SABS1200 DA \EARTHWORKS (SMALL WORKS)/8.3\SCHEDULED ITEMS/8.3.3b\Long overhaul (provisional). /\KS21_001-10° sloped Grouted Pitching (Light) \m³/km\20 \ 6"/>
        <s v="SABS1200 DA \EARTHWORKS (SMALL WORKS)/8.3\SCHEDULED ITEMS/8.3.3b\Long overhaul (provisional). /\KS21_003-Concrete Drop Inlet \m³/km\25.78775 \ 6"/>
        <s v="SABS1200 DA \EARTHWORKS (SMALL WORKS)/8,3\SCHEDULED ITEMS/8.3.3b\Long overhaul (provisional). /\KS21_005-Concrete Drop Inlet \m³/km\25,78775 \ 6"/>
        <s v="SABS1200 DA \EARTHWORKS (SMALL WORKS)/8.3\SCHEDULED ITEMS/8.3.3b\Long overhaul (provisional). /\KS21_005-Concrete Drop Inlet \m³/km\35.7722215 \ 6" u="1"/>
        <s v="SABS1200 DA \EARTHWORKS (SMALL WORKS)/8.3\SCHEDULED ITEMS/8.3.3b\Long overhaul (provisional). /\KS21_009-Concrete Drop Inlet \m³/km\40.198585 \ 6" u="1"/>
        <s v="SABS1200 DA \EARTHWORKS (SMALL WORKS)/8.3\SCHEDULED ITEMS/8.3.3b\Long overhaul (provisional). /\KS21_007-Concrete Drop Inlet \m³/km\31.14898 \ 6" u="1"/>
        <s v="SABS1200 DA \EARTHWORKS (SMALL WORKS)/8.3\SCHEDULED ITEMS/8.3.3b\Long overhaul (provisional). /\KS21_010-Concrete Drop Inlet \m³/km\37.9104055 \ 6" u="1"/>
        <s v="SABS1200 DA \EARTHWORKS (SMALL WORKS)/8.3\SCHEDULED ITEMS/8.3.3b\Long overhaul (provisional). /\KS21_006-Concrete Drop Inlet \m³/km\31.9418025 \ 6" u="1"/>
      </sharedItems>
    </cacheField>
    <cacheField name="25MPa/19mm Concrete" numFmtId="0">
      <sharedItems count="116">
        <s v=" "/>
        <s v="SABS1200 GA \CONCRETE (SMALL WORKS)/8.4\SCHEDULED CONCRETE ITEMS/8.4.3\Strength Concrete: 25 Mpa with 19 mm stone. /\ks11-001-Off-take structure  \m³\1.5 \ 2000"/>
        <s v="SABS1200 GA \CONCRETE (SMALL WORKS)/8.4\SCHEDULED CONCRETE ITEMS/8.4.3\Strength Concrete: 25 Mpa with 19 mm stone. /\ks11-002a-Concrete Drop Inlet on Dam Wall  \m³\94.9432 \ 2000"/>
        <s v="SABS1200 GA \CONCRETE (SMALL WORKS)/8.4\SCHEDULED CONCRETE ITEMS/8.4.3\Strength Concrete: 25 Mpa with 19 mm stone. /\ks11-004a-Concrete Drop Inlet on Dam Wall  \m³\94.9432 \ 2000"/>
        <s v="SABS1200 GA \CONCRETE (SMALL WORKS)/8.4\SCHEDULED CONCRETE ITEMS/8.4.3\Strength Concrete: 25 Mpa with 19 mm stone. /\KS12_002-Concrete Drop Inlet. Drawing NBC-GTW-CL-0002 \m³\24 \ 2000"/>
        <s v="SABS1200 GA \CONCRETE (SMALL WORKS)/8.4\SCHEDULED CONCRETE ITEMS/8.4.3\Strength Concrete: 25 Mpa with 19 mm stone. /\KS12_004-Concrete Drop Inlet. Drawing NBC-GTW-CL-0003 \m³\32.178 \ 2000"/>
        <s v="SABS1200 GA \CONCRETE (SMALL WORKS)/8.4\SCHEDULED CONCRETE ITEMS/8.4.3\Strength Concrete: 25 Mpa with 19 mm stone. /\KS12_005-Concrete Drop Inlet. Drawing NBC-GTW-CL-0004 \m³\30.30542048 \ 2000"/>
        <s v="SABS1200 GA \CONCRETE (SMALL WORKS)/8.4\SCHEDULED CONCRETE ITEMS/8.4.3\Strength Concrete: 25 Mpa with 19 mm stone. /\KS12_006-Concrete Drop Inlet. Drawing NBC-GTW-CL-0005 \m³\16.51343 \ 2000"/>
        <s v="SABS1200 GA \CONCRETE (SMALL WORKS)/8.4\SCHEDULED CONCRETE ITEMS/8.4.3\Strength Concrete: 25 Mpa with 19 mm stone. /\KS12_007-Concrete Drop Inlet. Drawing NBC-GTW-CL-0006 \m³\20.1 \ 2000"/>
        <s v="SABS1200 GA \CONCRETE (SMALL WORKS)/8.4\SCHEDULED CONCRETE ITEMS/8.4.3\Strength Concrete: 25 Mpa with 19 mm stone. /\KS12_008-Concrete Drop Inlet. Drawing NBC-GTW-CL-0007 \m³\15.98068 \ 2000"/>
        <s v="SABS1200 GA \CONCRETE (SMALL WORKS)/8.4\SCHEDULED CONCRETE ITEMS/8.4.3\Strength Concrete: 25 Mpa with 19 mm stone. /\KS12_009-Concrete Drop Inlet. Drawing NBC-GTW-CL-0008 \m³\11 \ 2000"/>
        <s v="SABS1200 GA \CONCRETE (SMALL WORKS)/8.4\SCHEDULED CONCRETE ITEMS/8.4.3\Strength Concrete: 25 Mpa with 19 mm stone. /\KS13_003-Concrete Drop Inlet. Drawing NBC-GTW-CL-0009 \m³\27.7266 \ 2000"/>
        <s v="SABS1200 GA \CONCRETE (SMALL WORKS)/8.4\SCHEDULED CONCRETE ITEMS/8.4.3\Strength Concrete: 25 Mpa with 19 mm stone. /\KS13_004-Concrete Check Wall. Drawing NBC-GTW-CL-0010 \m³\5.322 \ 2000"/>
        <s v="SABS1200 GA \CONCRETE (SMALL WORKS)/8.4\SCHEDULED CONCRETE ITEMS/8.4.3\Strength Concrete: 25 Mpa with 19 mm stone. /\KS13_005-Concrete Check Wall. Drawing NBC-GTW-CL-0011 \m³\7.482 \ 2000"/>
        <s v="SABS1200 GA \CONCRETE (SMALL WORKS)/8.4\SCHEDULED CONCRETE ITEMS/8.4.3\Strength Concrete: 25 Mpa with 19 mm stone. /\KS13_006-Concrete Check Wall. Drawing NBC-GTW-CL-0012 \m³\7.4025 \ 2000"/>
        <s v="SABS1200 GA \CONCRETE (SMALL WORKS)/8.4\SCHEDULED CONCRETE ITEMS/8.4.3\Strength Concrete: 25 Mpa with 19 mm stone. /\KS13_007-Concrete Check Wall. Drawing NBC-GTW-CL-0013 \m³\5.8575 \ 2000"/>
        <s v="SABS1200 GA \CONCRETE (SMALL WORKS)/8.4\SCHEDULED CONCRETE ITEMS/8.4.3\Strength Concrete: 25 Mpa with 19 mm stone. /\KS13_008-Concrete Check Wall. Drawing NBC-GTW-CL-0014 \m³\7.515 \ 2000"/>
        <s v="SABS1200 GA \CONCRETE (SMALL WORKS)/8.4\SCHEDULED CONCRETE ITEMS/8.4.3\Strength Concrete: 25 Mpa with 19 mm stone. /\KS13_011-Concrete Check Wall. Drawing NBC-GTW-CL-0015 \m³\6.696 \ 2000"/>
        <s v="SABS1200 GA \CONCRETE (SMALL WORKS)/8.4\SCHEDULED CONCRETE ITEMS/8.4.3\Strength Concrete: 25 Mpa with 19 mm stone. /\KS13_012-Concrete Check Wall. Drawing NBC-GTW-CL-0016 \m³\6.012 \ 2000"/>
        <s v="SABS1200 GA \CONCRETE (SMALL WORKS)/8.4\SCHEDULED CONCRETE ITEMS/8.4.3\Strength Concrete: 25 Mpa with 19 mm stone. /\KS13_013-Concrete Check Wall. Drawing NBC-GTW-CL-0017 \m³\5.166 \ 2000"/>
        <s v="SABS1200 GA \CONCRETE (SMALL WORKS)/8.4\SCHEDULED CONCRETE ITEMS/8.4.3\Strength Concrete: 25 Mpa with 19 mm stone. /\KS13_015-Concrete Check Wall. Drawing NBC-GTW-CL-0018 \m³\5.361 \ 2000"/>
        <s v="SABS1200 GA \CONCRETE (SMALL WORKS)/8.4\SCHEDULED CONCRETE ITEMS/8.4.3\Strength Concrete: 25 Mpa with 19 mm stone. /\KS15_001-Concrete Check Wall  \m³\6.264 \ 2000"/>
        <s v="SABS1200 GA \CONCRETE (SMALL WORKS)/8.4\SCHEDULED CONCRETE ITEMS/8.4.3\Strength Concrete: 25 Mpa with 19 mm stone. /\KS18_001-Concrete Check Wall. Drawing NBC-GTW-CL-0019 \m³\12 \ 2000"/>
        <s v="SABS1200 GA \CONCRETE (SMALL WORKS)/8.4\SCHEDULED CONCRETE ITEMS/8.4.3\Strength Concrete: 25 Mpa with 19 mm stone. /\KS18_002A-Concrete Check Wall. Drawing NBC-GTW-CL-0020 \m³\8 \ 2000"/>
        <s v="SABS1200 GA \CONCRETE (SMALL WORKS)/8.4\SCHEDULED CONCRETE ITEMS/8.4.3\Strength Concrete: 25 Mpa with 19 mm stone. /\KS18_002B-Concrete Check Wall  \m³\6 \ 2000"/>
        <s v="SABS1200 GA \CONCRETE (SMALL WORKS)/8,4\SCHEDULED CONCRETE ITEMS/8.4.3\Strength Concrete: 25 Mpa with 19 mm stone. /\KS18_003-Concrete Check Wall. Drawing NBC-GTW-CL-0045 \m³\5,7 \ 2000"/>
        <s v="SABS1200 GA \CONCRETE (SMALL WORKS)/8,4\SCHEDULED CONCRETE ITEMS/8.4.3\Strength Concrete: 25 Mpa with 19 mm stone. /\KS18_004-Concrete Check Wall. Drawing NBC-GTW-CL-0045 \m³\5,355 \ 2000"/>
        <s v="SABS1200 GA \CONCRETE (SMALL WORKS)/8,4\SCHEDULED CONCRETE ITEMS/8.4.3\Strength Concrete: 25 Mpa with 19 mm stone. /\KS18_005-Concrete Check Wall. Drawing NBC-GTW-CL-0045 \m³\6,93 \ 2000"/>
        <s v="SABS1200 GA \CONCRETE (SMALL WORKS)/8,4\SCHEDULED CONCRETE ITEMS/8.4.3\Strength Concrete: 25 Mpa with 19 mm stone. /\KS18_006-Concrete Check Wall. Drawing NBC-GTW-CL-0045 \m³\6,615 \ 2000"/>
        <s v="SABS1200 GA \CONCRETE (SMALL WORKS)/8,4\SCHEDULED CONCRETE ITEMS/8.4.3\Strength Concrete: 25 Mpa with 19 mm stone. /\KS18_007-Concrete Check Wall. Drawing NBC-GTW-CL-0045 \m³\5,04 \ 2000"/>
        <s v="SABS1200 GA \CONCRETE (SMALL WORKS)/8,4\SCHEDULED CONCRETE ITEMS/8.4.3\Strength Concrete: 25 Mpa with 19 mm stone. /\KS18_008-Concrete Check Wall. Drawing NBC-GTW-CL-0045 \m³\5,76 \ 2000"/>
        <s v="SABS1200 GA \CONCRETE (SMALL WORKS)/8,4\SCHEDULED CONCRETE ITEMS/8.4.3\Strength Concrete: 25 Mpa with 19 mm stone. /\KS18_009-Concrete Check Wall. Drawing NBC-GTW-CL-0045 \m³\5,775 \ 2000"/>
        <s v="SABS1200 GA \CONCRETE (SMALL WORKS)/8,4\SCHEDULED CONCRETE ITEMS/8.4.3\Strength Concrete: 25 Mpa with 19 mm stone. /\KS18_010-Concrete Check Wall. Drawing NBC-GTW-CL-0045 \m³\6,93 \ 2000"/>
        <s v="SABS1200 GA \CONCRETE (SMALL WORKS)/8,4\SCHEDULED CONCRETE ITEMS/8.4.3\Strength Concrete: 25 Mpa with 19 mm stone. /\KS18_011-Concrete Check Wall. Drawing NBC-GTW-CL-0045 \m³\6 \ 2000"/>
        <s v="SABS1200 GA \CONCRETE (SMALL WORKS)/8,4\SCHEDULED CONCRETE ITEMS/8.4.3\Strength Concrete: 25 Mpa with 19 mm stone. /\KS18_012-Concrete Check Wall. Drawing NBC-GTW-CL-0045 \m³\6,6 \ 2000"/>
        <s v="SABS1200 GA \CONCRETE (SMALL WORKS)/8,4\SCHEDULED CONCRETE ITEMS/8.4.3\Strength Concrete: 25 Mpa with 19 mm stone. /\KS18_013-Concrete Check Wall. Drawing NBC-GTW-CL-0045 \m³\6 \ 2000"/>
        <s v="SABS1200 GA \CONCRETE (SMALL WORKS)/8.4\SCHEDULED CONCRETE ITEMS/8.4.3\Strength Concrete: 25 Mpa with 19 mm stone. /\KS18_015-Concrete Check Wall. Drawing NBC-GTW-CL-0021 \m³\7.74 \ 2000"/>
        <s v="SABS1200 GA \CONCRETE (SMALL WORKS)/8.4\SCHEDULED CONCRETE ITEMS/8.4.3\Strength Concrete: 25 Mpa with 19 mm stone. /\KS18_016-Concrete Check Wall. Drawing NBC-GTW-CL-0022 \m³\6.804 \ 2000"/>
        <s v="SABS1200 GA \CONCRETE (SMALL WORKS)/8.4\SCHEDULED CONCRETE ITEMS/8.4.3\Strength Concrete: 25 Mpa with 19 mm stone. /\KS18_017-Concrete Check Wall. Drawing NBC-GTW-CL-0023 \m³\5.94 \ 2000"/>
        <s v="SABS1200 GA \CONCRETE (SMALL WORKS)/8.4\SCHEDULED CONCRETE ITEMS/8.4.3\Strength Concrete: 25 Mpa with 19 mm stone. /\KS18_018-Concrete Check Wall. Drawing NBC-GTW-CL-0024 \m³\4.998 \ 2000"/>
        <s v="SABS1200 GA \CONCRETE (SMALL WORKS)/8.4\SCHEDULED CONCRETE ITEMS/8.4.3\Strength Concrete: 25 Mpa with 19 mm stone. /\KS18_019-Concrete Check Wall. Drawing NBC-GTW-CL-0025 \m³\6.624 \ 2000"/>
        <s v="SABS1200 GA \CONCRETE (SMALL WORKS)/8.4\SCHEDULED CONCRETE ITEMS/8.4.3\Strength Concrete: 25 Mpa with 19 mm stone. /\KS18_020-Concrete Check Wall  \m³\6.7575 \ 2000"/>
        <s v="SABS1200 GA \CONCRETE (SMALL WORKS)/8,4\SCHEDULED CONCRETE ITEMS/8.4.3\Strength Concrete: 25 Mpa with 19 mm stone. /\KS18_014-Concrete Check Wall. Drawing NBC-GTW-CL-0001 \m³\6,66 \ 2000"/>
        <s v="SABS1200 GA \CONCRETE (SMALL WORKS)/8.4\SCHEDULED CONCRETE ITEMS/8.4.3\Strength Concrete: 25 Mpa with 19 mm stone. /\KS19_002-Concrete Drop Inlet. Drawing NBC-GTW-CL-0026 \m³\27.3217512 \ 2000"/>
        <s v="SABS1200 GA \CONCRETE (SMALL WORKS)/8.4\SCHEDULED CONCRETE ITEMS/8.4.3\Strength Concrete: 25 Mpa with 19 mm stone. /\KS20_001-Concrete Drop Inlet. Drawing NBC-GTW-CL-0027 \m³\20.39535 \ 2000"/>
        <s v="SABS1200 GA \CONCRETE (SMALL WORKS)/8.4\SCHEDULED CONCRETE ITEMS/8.4.3\Strength Concrete: 25 Mpa with 19 mm stone. /\KS20_002-Concrete Check Wall. Drawing NBC-GTW-CL-0028 \m³\6.453 \ 2000"/>
        <s v="SABS1200 GA \CONCRETE (SMALL WORKS)/8.4\SCHEDULED CONCRETE ITEMS/8.4.3\Strength Concrete: 25 Mpa with 19 mm stone. /\KS20_003-Concrete Check Wall. Drawing NBC-GTW-CL-0029 \m³\9.855 \ 2000"/>
        <s v="SABS1200 GA \CONCRETE (SMALL WORKS)/8.4\SCHEDULED CONCRETE ITEMS/8.4.3\Strength Concrete: 25 Mpa with 19 mm stone. /\KS20_004-Concrete Check Wall. Drawing NBC-GTW-CL-0030 \m³\9.405 \ 2000"/>
        <s v="SABS1200 GA \CONCRETE (SMALL WORKS)/8.4\SCHEDULED CONCRETE ITEMS/8.4.3\Strength Concrete: 25 Mpa with 19 mm stone. /\KS20_005-Concrete Check Wall. Drawing NBC-GTW-CL-0031 \m³\10.032 \ 2000"/>
        <s v="SABS1200 GA \CONCRETE (SMALL WORKS)/8,4\SCHEDULED CONCRETE ITEMS/8.4.3\Strength Concrete: 25 Mpa with 19 mm stone. /\KS20_006-Concrete Check Wall. Drawing NBC-GTW-CL-0032 \m³\10,035 \ 2000"/>
        <s v="SABS1200 GA \CONCRETE (SMALL WORKS)/8.4\SCHEDULED CONCRETE ITEMS/8.4.3\Strength Concrete: 25 Mpa with 19 mm stone. /\KS20_007-Concrete Check Wall. Drawing NBC-GTW-CL-0033 \m³\8.289 \ 2000"/>
        <s v="SABS1200 GA \CONCRETE (SMALL WORKS)/8.4\SCHEDULED CONCRETE ITEMS/8.4.3\Strength Concrete: 25 Mpa with 19 mm stone. /\KS20_008-Concrete Check Wall. Drawing NBC-GTW-CL-0034 \m³\10.8 \ 2000"/>
        <s v="SABS1200 GA \CONCRETE (SMALL WORKS)/8.4\SCHEDULED CONCRETE ITEMS/8.4.3\Strength Concrete: 25 Mpa with 19 mm stone. /\KS20_009_a-Concrete Check Wall. Drawing NBC-GTW-CL-0035 \m³\29.408 \ 2000"/>
        <s v="SABS1200 GA \CONCRETE (SMALL WORKS)/8.4\SCHEDULED CONCRETE ITEMS/8.4.3\Strength Concrete: 25 Mpa with 19 mm stone. /\KS20_009_b-Concrete Check Wall. Drawing NBC-GTW-CL-0035 \m³\4.032 \ 2000"/>
        <s v="SABS1200 GA \CONCRETE (SMALL WORKS)/8.4\SCHEDULED CONCRETE ITEMS/8.4.3\Strength Concrete: 25 Mpa with 19 mm stone. /\KS21_003-Concrete Drop Inlet. Drawing NBC-GTW-CL-0039 \m³\24.79275 \ 2000"/>
        <s v="SABS1200 GA \CONCRETE (SMALL WORKS)/8,4\SCHEDULED CONCRETE ITEMS/8.4.3\Strength Concrete: 25 Mpa with 19 mm stone. /\KS21_005-Concrete Drop Inlet. Drawing NBC-GTW-CL-0040 \m³\24,79275 \ 2000"/>
        <s v="SABS1200 GA \CONCRETE (SMALL WORKS)/8,4\SCHEDULED CONCRETE ITEMS/8.4.3\Strength Concrete: 25 Mpa with 19 mm stone. /\KS21_006-Concrete Check Wall. Drawing NBC-GTW-CL-0041 \m³\7,98 \ 2000"/>
        <s v="SABS1200 GA \CONCRETE (SMALL WORKS)/8,4\SCHEDULED CONCRETE ITEMS/8.4.3\Strength Concrete: 25 Mpa with 19 mm stone. /\KS21_007-Concrete Check Wall. Drawing NBC-GTW-CL-0042 \m³\7,98 \ 2000"/>
        <s v="SABS1200 GA \CONCRETE (SMALL WORKS)/8,4\SCHEDULED CONCRETE ITEMS/8.4.3\Strength Concrete: 25 Mpa with 19 mm stone. /\KS21_009-Concrete Check Wall. Drawing NBC-GTW-CL-0043 \m³\7,98 \ 2000"/>
        <s v="SABS1200 GA \CONCRETE (SMALL WORKS)/8.4\SCHEDULED CONCRETE ITEMS/8.4.3\Strength Concrete: 25 Mpa with 19 mm stone. /\LS16_001-Concrete Cut-Off Walls  \m³\5.04 \ 2000"/>
        <s v="SABS1200 GA \CONCRETE (SMALL WORKS)/8.4\SCHEDULED CONCRETE ITEMS/8.4.3\Strength Concrete: 25 Mpa with 19 mm stone. /\LS16_002-Concrete Cut-Off Walls  \m³\4.8 \ 2000"/>
        <s v="SABS1200 GA \CONCRETE (SMALL WORKS)/8.4\SCHEDULED CONCRETE ITEMS/8.4.3\Strength Concrete: 25 Mpa with 19 mm stone. /\LS16_003-Concrete Cut-Off Walls  \m³\2.1 \ 2000"/>
        <s v="SABS1200 GA \CONCRETE (SMALL WORKS)/8.4\SCHEDULED CONCRETE ITEMS/8.4.3\Strength Concrete: 25 Mpa with 19 mm stone. /\LS16_004-Concrete Cut-Off Walls  \m³\2.4 \ 2000"/>
        <s v="SABS1200 GA \CONCRETE (SMALL WORKS)/8.4\SCHEDULED CONCRETE ITEMS/8.4.3\Strength Concrete: 25 Mpa with 19 mm stone. /\LS16_005-Concrete Cut-Off Walls  \m³\3.6 \ 2000"/>
        <s v="SABS1200 GA \CONCRETE (SMALL WORKS)/8.4\SCHEDULED CONCRETE ITEMS/8.4.3\Strength Concrete: 25 Mpa with 19 mm stone. /\LS16_006-Concrete Cut-Off Walls  \m³\6.48 \ 2000"/>
        <s v="SABS1200 GA \CONCRETE (SMALL WORKS)/8.4\SCHEDULED CONCRETE ITEMS/8.4.3\Strength Concrete: 25 Mpa with 19 mm stone. /\LS16_007-Concrete Cut-Off Walls  \m³\5.94 \ 2000"/>
        <s v="SABS1200 GA \CONCRETE (SMALL WORKS)/8.4\SCHEDULED CONCRETE ITEMS/8.4.3\Strength Concrete: 25 Mpa with 19 mm stone. /\LS16_008-Concrete Cut-Off Walls  \m³\4.1325 \ 2000"/>
        <s v="SABS1200 GA \CONCRETE (SMALL WORKS)/8.4\SCHEDULED CONCRETE ITEMS/8.4.3\Strength Concrete: 25 Mpa with 19 mm stone. /\LS16_009-Concrete Cut-Off Walls  \m³\4.35 \ 2000"/>
        <s v="SABS1200 GA \CONCRETE (SMALL WORKS)/8.4\SCHEDULED CONCRETE ITEMS/8.4.3\Strength Concrete: 25 Mpa with 19 mm stone. /\LS16_010-Concrete Cut-Off Walls  \m³\5.1 \ 2000"/>
        <s v="SABS1200 GA \CONCRETE (SMALL WORKS)/8.4\SCHEDULED CONCRETE ITEMS/8.4.3\Strength Concrete: 25 Mpa with 19 mm stone. /\LS16_011-Concrete Cut-Off Walls  \m³\3.3 \ 2000"/>
        <s v="SABS1200 GA \CONCRETE (SMALL WORKS)/8.4\SCHEDULED CONCRETE ITEMS/8.4.3\Strength Concrete: 25 Mpa with 19 mm stone. /\KS13_012-Concrete Drop Inlet. Drawing NBC-GTW-CL-0016 \m³\27.4978 \ 2000" u="1"/>
        <s v="SABS1200 GA \CONCRETE (SMALL WORKS)/8.4\SCHEDULED CONCRETE ITEMS/8.4.3\Strength Concrete: 25 Mpa with 19 mm stone. /\KS18_020-Concrete Drop Inlet associated with Road Culvert  \m³\30.97659 \ 2000" u="1"/>
        <s v="SABS1200 GA \CONCRETE (SMALL WORKS)/8.4\SCHEDULED CONCRETE ITEMS/8.4.3\Strength Concrete: 25 Mpa with 19 mm stone. /\KS18_003-Concrete Cut-Off Walls. Drawing NBC-GTW-CL-0045 \m³\5.7 \ 2000" u="1"/>
        <s v="SABS1200 GA \CONCRETE (SMALL WORKS)/8.4\SCHEDULED CONCRETE ITEMS/8.4.3\Strength Concrete: 25 Mpa with 19 mm stone. /\KS21_007-Concrete Drop Inlet. Drawing NBC-GTW-CL-0042 \m³\25.587276 \ 2000" u="1"/>
        <s v="SABS1200 GA \CONCRETE (SMALL WORKS)/8.4\SCHEDULED CONCRETE ITEMS/8.4.3\Strength Concrete: 25 Mpa with 19 mm stone. /\KS13_015-Concrete Drop Inlet. Drawing NBC-GTW-CL-0018 \m³\26.49053 \ 2000" u="1"/>
        <s v="SABS1200 GA \CONCRETE (SMALL WORKS)/8.4\SCHEDULED CONCRETE ITEMS/8.4.3\Strength Concrete: 25 Mpa with 19 mm stone. /\KS20_007-Concrete Drop Inlet. Drawing NBC-GTW-CL-0033 \m³\34.576244 \ 2000" u="1"/>
        <s v="SABS1200 GA \CONCRETE (SMALL WORKS)/8.4\SCHEDULED CONCRETE ITEMS/8.4.3\Strength Concrete: 25 Mpa with 19 mm stone. /\KS18_007-Concrete Cut-Off Walls. Drawing NBC-GTW-CL-0045 \m³\5.04 \ 2000" u="1"/>
        <s v="SABS1200 GA \CONCRETE (SMALL WORKS)/8.4\SCHEDULED CONCRETE ITEMS/8.4.3\Strength Concrete: 25 Mpa with 19 mm stone. /\KS18_015-Concrete Drop Inlet. Drawing NBC-GTW-CL-0021 \m³\38.2205 \ 2000" u="1"/>
        <s v="SABS1200 GA \CONCRETE (SMALL WORKS)/8.4\SCHEDULED CONCRETE ITEMS/8.4.3\Strength Concrete: 25 Mpa with 19 mm stone. /\KS20_006-Concrete Check Wall. Drawing NBC-GTW-CL-0032 \m³\10.035 \ 2000" u="1"/>
        <s v="SABS1200 GA \CONCRETE (SMALL WORKS)/8.4\SCHEDULED CONCRETE ITEMS/8.4.3\Strength Concrete: 25 Mpa with 19 mm stone. /\KS13_008-Concrete Drop Inlet. Drawing NBC-GTW-CL-0014 \m³\33.0207 \ 2000" u="1"/>
        <s v="SABS1200 GA \CONCRETE (SMALL WORKS)/8.4\SCHEDULED CONCRETE ITEMS/8.4.3\Strength Concrete: 25 Mpa with 19 mm stone. /\KS18_001-Concrete Drop Inlet. Drawing NBC-GTW-CL-0019 \m³\59.00696 \ 2000" u="1"/>
        <s v="SABS1200 GA \CONCRETE (SMALL WORKS)/8.4\SCHEDULED CONCRETE ITEMS/8.4.3\Strength Concrete: 25 Mpa with 19 mm stone. /\KS21_006-Concrete Drop Inlet. Drawing NBC-GTW-CL-0041 \m³\27.1821095 \ 2000" u="1"/>
        <s v="SABS1200 GA \CONCRETE (SMALL WORKS)/8.4\SCHEDULED CONCRETE ITEMS/8.4.3\Strength Concrete: 25 Mpa with 19 mm stone. /\KS18_019-Concrete Drop Inlet. Drawing NBC-GTW-CL-0025 \m³\30.1032 \ 2000" u="1"/>
        <s v="SABS1200 GA \CONCRETE (SMALL WORKS)/8.4\SCHEDULED CONCRETE ITEMS/8.4.3\Strength Concrete: 25 Mpa with 19 mm stone. /\KS18_016-Concrete Drop Inlet. Drawing NBC-GTW-CL-0022 \m³\29.8284 \ 2000" u="1"/>
        <s v="SABS1200 GA \CONCRETE (SMALL WORKS)/8.4\SCHEDULED CONCRETE ITEMS/8.4.3\Strength Concrete: 25 Mpa with 19 mm stone. /\KS20_006-Concrete Drop Inlet. Drawing NBC-GTW-CL-0032 \m³\45.5624175 \ 2000" u="1"/>
        <s v="SABS1200 GA \CONCRETE (SMALL WORKS)/8.4\SCHEDULED CONCRETE ITEMS/8.4.3\Strength Concrete: 25 Mpa with 19 mm stone. /\KS15_001-Fish Bowl  \m³\112 \ 2000" u="1"/>
        <s v="SABS1200 GA \CONCRETE (SMALL WORKS)/8.4\SCHEDULED CONCRETE ITEMS/8.4.3\Strength Concrete: 25 Mpa with 19 mm stone. /\KS18_006-Concrete Cut-Off Walls. Drawing NBC-GTW-CL-0045 \m³\6.615 \ 2000" u="1"/>
        <s v="SABS1200 GA \CONCRETE (SMALL WORKS)/8.4\SCHEDULED CONCRETE ITEMS/8.4.3\Strength Concrete: 25 Mpa with 19 mm stone. /\KS21_005-Concrete Drop Inlet. Drawing NBC-GTW-CL-0040 \m³\29.7712955 \ 2000" u="1"/>
        <s v="SABS1200 GA \CONCRETE (SMALL WORKS)/8.4\SCHEDULED CONCRETE ITEMS/8.4.3\Strength Concrete: 25 Mpa with 19 mm stone. /\KS18_002-Concrete Drop Inlet. Drawing NBC-GTW-CL-0020 \m³\38.418 \ 2000" u="1"/>
        <s v="SABS1200 GA \CONCRETE (SMALL WORKS)/8.4\SCHEDULED CONCRETE ITEMS/8.4.3\Strength Concrete: 25 Mpa with 19 mm stone. /\KS18_004-Concrete Cut-Off Walls. Drawing NBC-GTW-CL-0045 \m³\5.355 \ 2000" u="1"/>
        <s v="SABS1200 GA \CONCRETE (SMALL WORKS)/8.4\SCHEDULED CONCRETE ITEMS/8.4.3\Strength Concrete: 25 Mpa with 19 mm stone. /\KS18-014-Concrete Filled Geo-Cell Berm. Drawing NBC-GTW-CL-0001 \m³\9.03840508391961 \ 2000" u="1"/>
        <s v="SABS1200 GA \CONCRETE (SMALL WORKS)/8.4\SCHEDULED CONCRETE ITEMS/8.4.3\Strength Concrete: 25 Mpa with 19 mm stone. /\KS18_009-Concrete Cut-Off Walls. Drawing NBC-GTW-CL-0045 \m³\5.775 \ 2000" u="1"/>
        <s v="SABS1200 GA \CONCRETE (SMALL WORKS)/8.4\SCHEDULED CONCRETE ITEMS/8.4.3\Strength Concrete: 25 Mpa with 19 mm stone. /\KS21_010-Concrete Drop Inlet. Drawing NBC-GTW-CL-0044 \m³\29.6325325 \ 2000" u="1"/>
        <s v="SABS1200 GA \CONCRETE (SMALL WORKS)/8.4\SCHEDULED CONCRETE ITEMS/8.4.3\Strength Concrete: 25 Mpa with 19 mm stone. /\KS18_018-Concrete Drop Inlet. Drawing NBC-GTW-CL-0024 \m³\22.42595 \ 2000" u="1"/>
        <s v="SABS1200 GA \CONCRETE (SMALL WORKS)/8.4\SCHEDULED CONCRETE ITEMS/8.4.3\Strength Concrete: 25 Mpa with 19 mm stone. /\KS20_005-Concrete Drop Inlet. Drawing NBC-GTW-CL-0031 \m³\43.50478 \ 2000" u="1"/>
        <s v="SABS1200 GA \CONCRETE (SMALL WORKS)/8.4\SCHEDULED CONCRETE ITEMS/8.4.3\Strength Concrete: 25 Mpa with 19 mm stone. /\KS20_009_b-Concrete Overflow Wall. Drawing NBC-GTW-CL-0035 \m³\6.1 \ 2000" u="1"/>
        <s v="SABS1200 GA \CONCRETE (SMALL WORKS)/8.4\SCHEDULED CONCRETE ITEMS/8.4.3\Strength Concrete: 25 Mpa with 19 mm stone. /\KS18_012-Concrete Cut-Off Walls. Drawing NBC-GTW-CL-0045 \m³\6.6 \ 2000" u="1"/>
        <s v="SABS1200 GA \CONCRETE (SMALL WORKS)/8.4\SCHEDULED CONCRETE ITEMS/8.4.3\Strength Concrete: 25 Mpa with 19 mm stone. /\KS18_011-Concrete Cut-Off Walls. Drawing NBC-GTW-CL-0045 \m³\6 \ 2000" u="1"/>
        <s v="SABS1200 GA \CONCRETE (SMALL WORKS)/8.4\SCHEDULED CONCRETE ITEMS/8.4.3\Strength Concrete: 25 Mpa with 19 mm stone. /\KS18_013-Concrete Cut-Off Walls. Drawing NBC-GTW-CL-0045 \m³\6 \ 2000" u="1"/>
        <s v="SABS1200 GA \CONCRETE (SMALL WORKS)/8.4\SCHEDULED CONCRETE ITEMS/8.4.3\Strength Concrete: 25 Mpa with 19 mm stone. /\KS18_005-Concrete Cut-Off Walls. Drawing NBC-GTW-CL-0045 \m³\6.93 \ 2000" u="1"/>
        <s v="SABS1200 GA \CONCRETE (SMALL WORKS)/8.4\SCHEDULED CONCRETE ITEMS/8.4.3\Strength Concrete: 25 Mpa with 19 mm stone. /\KS18_010-Concrete Cut-Off Walls. Drawing NBC-GTW-CL-0045 \m³\6.93 \ 2000" u="1"/>
        <s v="SABS1200 GA \CONCRETE (SMALL WORKS)/8.4\SCHEDULED CONCRETE ITEMS/8.4.3\Strength Concrete: 25 Mpa with 19 mm stone. /\KS20_003-Concrete Buttress Weir. Drawing NBC-GTW-CL-0029 \m³\50.2704448 \ 2000" u="1"/>
        <s v="SABS1200 GA \CONCRETE (SMALL WORKS)/8.4\SCHEDULED CONCRETE ITEMS/8.4.3\Strength Concrete: 25 Mpa with 19 mm stone. /\KS13_004-Concrete Drop Inlet. Drawing NBC-GTW-CL-0010 \m³\22.2744 \ 2000" u="1"/>
        <s v="SABS1200 GA \CONCRETE (SMALL WORKS)/8.4\SCHEDULED CONCRETE ITEMS/8.4.3\Strength Concrete: 25 Mpa with 19 mm stone. /\KS20_002-Concrete Drop Inlet. Drawing NBC-GTW-CL-0028 \m³\31.39634 \ 2000" u="1"/>
        <s v="SABS1200 GA \CONCRETE (SMALL WORKS)/8.4\SCHEDULED CONCRETE ITEMS/8.4.3\Strength Concrete: 25 Mpa with 19 mm stone. /\KS13_011-Concrete Drop Inlet. Drawing NBC-GTW-CL-0015 \m³\33.53 \ 2000" u="1"/>
        <s v="SABS1200 GA \CONCRETE (SMALL WORKS)/8.4\SCHEDULED CONCRETE ITEMS/8.4.3\Strength Concrete: 25 Mpa with 19 mm stone. /\KS20_008-Concrete Drop Inlet. Drawing NBC-GTW-CL-0034 \m³\47.24264 \ 2000" u="1"/>
        <s v="SABS1200 GA \CONCRETE (SMALL WORKS)/8.4\SCHEDULED CONCRETE ITEMS/8.4.3\Strength Concrete: 25 Mpa with 19 mm stone. /\KS21_009-Concrete Drop Inlet. Drawing NBC-GTW-CL-0043 \m³\31.18664 \ 2000" u="1"/>
        <s v="SABS1200 GA \CONCRETE (SMALL WORKS)/8.4\SCHEDULED CONCRETE ITEMS/8.4.3\Strength Concrete: 25 Mpa with 19 mm stone. /\KS13_005-Concrete Drop Inlet. Drawing NBC-GTW-CL-0011 \m³\35.97891 \ 2000" u="1"/>
        <s v="SABS1200 GA \CONCRETE (SMALL WORKS)/8.4\SCHEDULED CONCRETE ITEMS/8.4.3\Strength Concrete: 25 Mpa with 19 mm stone. /\KS13_006-Concrete Drop Inlet. Drawing NBC-GTW-CL-0012 \m³\32.9871 \ 2000" u="1"/>
        <s v="SABS1200 GA \CONCRETE (SMALL WORKS)/8.4\SCHEDULED CONCRETE ITEMS/8.4.3\Strength Concrete: 25 Mpa with 19 mm stone. /\KS13_007-Concrete Drop Inlet. Drawing NBC-GTW-CL-0013 \m³\25.3974 \ 2000" u="1"/>
        <s v="SABS1200 GA \CONCRETE (SMALL WORKS)/8.4\SCHEDULED CONCRETE ITEMS/8.4.3\Strength Concrete: 25 Mpa with 19 mm stone. /\KS13_013-Concrete Drop Inlet. Drawing NBC-GTW-CL-0017 \m³\23.5474 \ 2000" u="1"/>
        <s v="SABS1200 GA \CONCRETE (SMALL WORKS)/8.4\SCHEDULED CONCRETE ITEMS/8.4.3\Strength Concrete: 25 Mpa with 19 mm stone. /\KS18_017-Concrete Drop Inlet. Drawing NBC-GTW-CL-0023 \m³\27.5224 \ 2000" u="1"/>
        <s v="SABS1200 GA \CONCRETE (SMALL WORKS)/8.4\SCHEDULED CONCRETE ITEMS/8.4.3\Strength Concrete: 25 Mpa with 19 mm stone. /\KS18-014-Concrete Check Wall. Drawing NBC-GTW-CL-0001 \m³\6.66 \ 2000" u="1"/>
        <s v="SABS1200 GA \CONCRETE (SMALL WORKS)/8.4\SCHEDULED CONCRETE ITEMS/8.4.3\Strength Concrete: 25 Mpa with 19 mm stone. /\KS20_009_a-Concrete Buttress Weir. Drawing NBC-GTW-CL-0035 \m³\64.5 \ 2000" u="1"/>
        <s v="SABS1200 GA \CONCRETE (SMALL WORKS)/8.4\SCHEDULED CONCRETE ITEMS/8.4.3\Strength Concrete: 25 Mpa with 19 mm stone. /\KS20_004-Concrete Drop Inlet. Drawing NBC-GTW-CL-0030 \m³\36.703448 \ 2000" u="1"/>
        <s v="SABS1200 GA \CONCRETE (SMALL WORKS)/8.4\SCHEDULED CONCRETE ITEMS/8.4.3\Strength Concrete: 25 Mpa with 19 mm stone. /\KS18_008-Concrete Cut-Off Walls. Drawing NBC-GTW-CL-0045 \m³\5.76 \ 2000" u="1"/>
      </sharedItems>
    </cacheField>
    <cacheField name="Blinding Layer" numFmtId="0">
      <sharedItems count="48" longText="1">
        <s v=" "/>
        <s v="SABS1200 GA \CONCRETE (SMALL WORKS)/8.4\SCHEDULED CONCRETE ITEMS/8.4.2\Construct Blinding Layer using 15MPa concrete . Rate to allow for blinding to a nominal depth of 75 mm for all bases pertaining to the following structures:/\ks11-002a-Concrete Drop Inlet on Dam Wall  \m²\101.64 \ 300"/>
        <s v="SABS1200 GA \CONCRETE (SMALL WORKS)/8.4\SCHEDULED CONCRETE ITEMS/8.4.2\Construct Blinding Layer using 15MPa concrete . Rate to allow for blinding to a nominal depth of 75 mm for all bases pertaining to the following structures:/\ks11-002b-Concrete Splash Through Structure. Drawing NBC-GTW-CL-0067 \m²\64 \ 300"/>
        <s v="SABS1200 GA \CONCRETE (SMALL WORKS)/8.4\SCHEDULED CONCRETE ITEMS/8.4.2\Construct Blinding Layer using 15MPa concrete . Rate to allow for blinding to a nominal depth of 75 mm for all bases pertaining to the following structures:/\ks11-004a-Concrete Drop Inlet on Dam Wall  \m²\101.64 \ 300"/>
        <s v="SABS1200 GA \CONCRETE (SMALL WORKS)/8.4\SCHEDULED CONCRETE ITEMS/8.4.2\Construct Blinding Layer using 15MPa concrete . Rate to allow for blinding to a nominal depth of 75 mm for all bases pertaining to the following structures:/\ks11-004b-Concrete Splash Through Structure. Drawing NBC-GTW-CL-0068 \m²\64 \ 300"/>
        <s v="SABS1200 GA \CONCRETE (SMALL WORKS)/8.4\SCHEDULED CONCRETE ITEMS/8.4.2\Construct Blinding Layer using 15MPa concrete . Rate to allow for blinding to a nominal depth of 75 mm for all bases pertaining to the following structures:/\KS12_002-Concrete Drop Inlet. Drawing NBC-GTW-CL-0002 \m²\52 \ 300"/>
        <s v="SABS1200 GA \CONCRETE (SMALL WORKS)/8.4\SCHEDULED CONCRETE ITEMS/8.4.2\Construct Blinding Layer using 15MPa concrete . Rate to allow for blinding to a nominal depth of 75 mm for all bases pertaining to the following structures:/\KS12_004-Concrete Drop Inlet. Drawing NBC-GTW-CL-0003 \m²\41.52 \ 300"/>
        <s v="SABS1200 GA \CONCRETE (SMALL WORKS)/8.4\SCHEDULED CONCRETE ITEMS/8.4.2\Construct Blinding Layer using 15MPa concrete . Rate to allow for blinding to a nominal depth of 75 mm for all bases pertaining to the following structures:/\KS12_005-Concrete Drop Inlet. Drawing NBC-GTW-CL-0004 \m²\35.8384 \ 300"/>
        <s v="SABS1200 GA \CONCRETE (SMALL WORKS)/8.4\SCHEDULED CONCRETE ITEMS/8.4.2\Construct Blinding Layer using 15MPa concrete . Rate to allow for blinding to a nominal depth of 75 mm for all bases pertaining to the following structures:/\KS12_006-Concrete Drop Inlet. Drawing NBC-GTW-CL-0005 \m²\30.542 \ 300"/>
        <s v="SABS1200 GA \CONCRETE (SMALL WORKS)/8.4\SCHEDULED CONCRETE ITEMS/8.4.2\Construct Blinding Layer using 15MPa concrete . Rate to allow for blinding to a nominal depth of 75 mm for all bases pertaining to the following structures:/\KS12_007-Concrete Drop Inlet. Drawing NBC-GTW-CL-0006 \m²\33.16 \ 300"/>
        <s v="SABS1200 GA \CONCRETE (SMALL WORKS)/8.4\SCHEDULED CONCRETE ITEMS/8.4.2\Construct Blinding Layer using 15MPa concrete . Rate to allow for blinding to a nominal depth of 75 mm for all bases pertaining to the following structures:/\KS12_008-Concrete Drop Inlet. Drawing NBC-GTW-CL-0007 \m²\28.492 \ 300"/>
        <s v="SABS1200 GA \CONCRETE (SMALL WORKS)/8.4\SCHEDULED CONCRETE ITEMS/8.4.2\Construct Blinding Layer using 15MPa concrete . Rate to allow for blinding to a nominal depth of 75 mm for all bases pertaining to the following structures:/\KS12_009-Concrete Drop Inlet. Drawing NBC-GTW-CL-0008 \m²\23.424 \ 300"/>
        <s v="SABS1200 GA \CONCRETE (SMALL WORKS)/8.4\SCHEDULED CONCRETE ITEMS/8.4.2\Construct Blinding Layer using 15MPa concrete . Rate to allow for blinding to a nominal depth of 75 mm for all bases pertaining to the following structures:/\KS13_003-Concrete Drop Inlet. Drawing NBC-GTW-CL-0009 \m²\43.7 \ 300"/>
        <s v="SABS1200 GA \CONCRETE (SMALL WORKS)/8.4\SCHEDULED CONCRETE ITEMS/8.4.2\Construct Blinding Layer using 15MPa concrete . Rate to allow for blinding to a nominal depth of 75 mm for all bases pertaining to the following structures:/\KS19_002-Concrete Drop Inlet. Drawing NBC-GTW-CL-0026 \m²\38.552 \ 300"/>
        <s v="SABS1200 GA \CONCRETE (SMALL WORKS)/8.4\SCHEDULED CONCRETE ITEMS/8.4.2\Construct Blinding Layer using 15MPa concrete . Rate to allow for blinding to a nominal depth of 75 mm for all bases pertaining to the following structures:/\KS20_001-Concrete Drop Inlet. Drawing NBC-GTW-CL-0027 \m²\37.752 \ 300"/>
        <s v="SABS1200 GA \CONCRETE (SMALL WORKS)/8.4\SCHEDULED CONCRETE ITEMS/8.4.2\Construct Blinding Layer using 15MPa concrete . Rate to allow for blinding to a nominal depth of 75 mm for all bases pertaining to the following structures:/\KS21_003-Concrete Drop Inlet. Drawing NBC-GTW-CL-0039 \m²\52.66 \ 300"/>
        <s v="SABS1200 GA \CONCRETE (SMALL WORKS)/8,4\SCHEDULED CONCRETE ITEMS/8.4.2\Construct Blinding Layer using 15MPa concrete . Rate to allow for blinding to a nominal depth of 75 mm for all bases pertaining to the following structures:/\KS21_005-Concrete Drop Inlet. Drawing NBC-GTW-CL-0040 \m²\52,66 \ 300"/>
        <s v="SABS1200 GA \CONCRETE (SMALL WORKS)/8.4\SCHEDULED CONCRETE ITEMS/8.4.2\Construct Blinding Layer using 15MPa concrete . Rate to allow for blinding to a nominal depth of 75 mm for all bases pertaining to the following structures:/\KS18_002-Concrete Drop Inlet. Drawing NBC-GTW-CL-0020 \m²\44.62 \ 300" u="1"/>
        <s v="SABS1200 GA \CONCRETE (SMALL WORKS)/8.4\SCHEDULED CONCRETE ITEMS/8.4.2\Construct Blinding Layer using 15MPa concrete . Rate to allow for blinding to a nominal depth of 75 mm for all bases pertaining to the following structures:/\KS13_011-Concrete Drop Inlet. Drawing NBC-GTW-CL-0015 \m²\42 \ 300" u="1"/>
        <s v="SABS1200 GA \CONCRETE (SMALL WORKS)/8.4\SCHEDULED CONCRETE ITEMS/8.4.2\Construct Blinding Layer using 15MPa concrete . Rate to allow for blinding to a nominal depth of 75 mm for all bases pertaining to the following structures:/\KS21_010-Concrete Drop Inlet. Drawing NBC-GTW-CL-0044 \m²\38.212 \ 300" u="1"/>
        <s v="SABS1200 GA \CONCRETE (SMALL WORKS)/8.4\SCHEDULED CONCRETE ITEMS/8.4.2\Construct Blinding Layer using 15MPa concrete . Rate to allow for blinding to a nominal depth of 75 mm for all bases pertaining to the following structures:/\KS20_002-Concrete Drop Inlet. Drawing NBC-GTW-CL-0028 \m²\51.08 \ 300" u="1"/>
        <s v="SABS1200 GA \CONCRETE (SMALL WORKS)/8.4\SCHEDULED CONCRETE ITEMS/8.4.2\Construct Blinding Layer using 15MPa concrete . Rate to allow for blinding to a nominal depth of 75 mm for all bases pertaining to the following structures:/\KS13_012-Concrete Drop Inlet. Drawing NBC-GTW-CL-0016 \m²\36.92 \ 300" u="1"/>
        <s v="SABS1200 GA \CONCRETE (SMALL WORKS)/8.4\SCHEDULED CONCRETE ITEMS/8.4.2\Construct Blinding Layer using 15MPa concrete . Rate to allow for blinding to a nominal depth of 75 mm for all bases pertaining to the following structures:/\KS18_018-Concrete Drop Inlet. Drawing NBC-GTW-CL-0024 \m²\33.502 \ 300" u="1"/>
        <s v="SABS1200 GA \CONCRETE (SMALL WORKS)/8.4\SCHEDULED CONCRETE ITEMS/8.4.2\Construct Blinding Layer using 15MPa concrete . Rate to allow for blinding to a nominal depth of 75 mm for all bases pertaining to the following structures:/\KS21_009-Concrete Drop Inlet. Drawing NBC-GTW-CL-0043 \m²\38.584 \ 300" u="1"/>
        <s v="SABS1200 GA \CONCRETE (SMALL WORKS)/8.4\SCHEDULED CONCRETE ITEMS/8.4.2\Construct Blinding Layer using 15MPa concrete . Rate to allow for blinding to a nominal depth of 75 mm for all bases pertaining to the following structures:/\KS20_009_b-Concrete Overflow Wall. Drawing NBC-GTW-CL-0035 \m²\10.65 \ 300" u="1"/>
        <s v="SABS1200 GA \CONCRETE (SMALL WORKS)/8.4\SCHEDULED CONCRETE ITEMS/8.4.2\Construct Blinding Layer using 15MPa concrete . Rate to allow for blinding to a nominal depth of 75 mm for all bases pertaining to the following structures:/\KS18_015-Concrete Drop Inlet. Drawing NBC-GTW-CL-0021 \m²\46.216 \ 300" u="1"/>
        <s v="SABS1200 GA \CONCRETE (SMALL WORKS)/8.4\SCHEDULED CONCRETE ITEMS/8.4.2\Construct Blinding Layer using 15MPa concrete . Rate to allow for blinding to a nominal depth of 75 mm for all bases pertaining to the following structures:/\KS20_008-Concrete Drop Inlet. Drawing NBC-GTW-CL-0034 \m²\65.712 \ 300" u="1"/>
        <s v="SABS1200 GA \CONCRETE (SMALL WORKS)/8.4\SCHEDULED CONCRETE ITEMS/8.4.2\Construct Blinding Layer using 15MPa concrete . Rate to allow for blinding to a nominal depth of 75 mm for all bases pertaining to the following structures:/\KS20_005-Concrete Drop Inlet. Drawing NBC-GTW-CL-0031 \m²\65.95 \ 300" u="1"/>
        <s v="SABS1200 GA \CONCRETE (SMALL WORKS)/8.4\SCHEDULED CONCRETE ITEMS/8.4.2\Construct Blinding Layer using 15MPa concrete . Rate to allow for blinding to a nominal depth of 75 mm for all bases pertaining to the following structures:/\KS20_003-Concrete Buttress Weir. Drawing NBC-GTW-CL-0029 \m²\81.26 \ 300" u="1"/>
        <s v="SABS1200 GA \CONCRETE (SMALL WORKS)/8.4\SCHEDULED CONCRETE ITEMS/8.4.2\Construct Blinding Layer using 15MPa concrete . Rate to allow for blinding to a nominal depth of 75 mm for all bases pertaining to the following structures:/\KS13_004-Concrete Drop Inlet. Drawing NBC-GTW-CL-0010 \m²\38.69 \ 300" u="1"/>
        <s v="SABS1200 GA \CONCRETE (SMALL WORKS)/8.4\SCHEDULED CONCRETE ITEMS/8.4.2\Construct Blinding Layer using 15MPa concrete . Rate to allow for blinding to a nominal depth of 75 mm for all bases pertaining to the following structures:/\KS18_016-Concrete Drop Inlet. Drawing NBC-GTW-CL-0022 \m²\38.236 \ 300" u="1"/>
        <s v="SABS1200 GA \CONCRETE (SMALL WORKS)/8.4\SCHEDULED CONCRETE ITEMS/8.4.2\Construct Blinding Layer using 15MPa concrete . Rate to allow for blinding to a nominal depth of 75 mm for all bases pertaining to the following structures:/\KS20_007-Concrete Drop Inlet. Drawing NBC-GTW-CL-0033 \m²\52.642 \ 300" u="1"/>
        <s v="SABS1200 GA \CONCRETE (SMALL WORKS)/8.4\SCHEDULED CONCRETE ITEMS/8.4.2\Construct Blinding Layer using 15MPa concrete . Rate to allow for blinding to a nominal depth of 75 mm for all bases pertaining to the following structures:/\KS20_004-Concrete Drop Inlet. Drawing NBC-GTW-CL-0030 \m²\54.552 \ 300" u="1"/>
        <s v="SABS1200 GA \CONCRETE (SMALL WORKS)/8.4\SCHEDULED CONCRETE ITEMS/8.4.2\Construct Blinding Layer using 15MPa concrete . Rate to allow for blinding to a nominal depth of 75 mm for all bases pertaining to the following structures:/\KS18_001-Concrete Drop Inlet. Drawing NBC-GTW-CL-0019 \m²\71.536 \ 300" u="1"/>
        <s v="SABS1200 GA \CONCRETE (SMALL WORKS)/8.4\SCHEDULED CONCRETE ITEMS/8.4.2\Construct Blinding Layer using 15MPa concrete . Rate to allow for blinding to a nominal depth of 75 mm for all bases pertaining to the following structures:/\KS20_006-Concrete Drop Inlet. Drawing NBC-GTW-CL-0032 \m²\61.315 \ 300" u="1"/>
        <s v="SABS1200 GA \CONCRETE (SMALL WORKS)/8.4\SCHEDULED CONCRETE ITEMS/8.4.2\Construct Blinding Layer using 15MPa concrete . Rate to allow for blinding to a nominal depth of 75 mm for all bases pertaining to the following structures:/\KS21_005-Concrete Drop Inlet. Drawing NBC-GTW-CL-0040 \m²\45.451 \ 300" u="1"/>
        <s v="SABS1200 GA \CONCRETE (SMALL WORKS)/8.4\SCHEDULED CONCRETE ITEMS/8.4.2\Construct Blinding Layer using 15MPa concrete . Rate to allow for blinding to a nominal depth of 75 mm for all bases pertaining to the following structures:/\KS20_009_a-Concrete Buttress Weir. Drawing NBC-GTW-CL-0035 \m²\81.41 \ 300" u="1"/>
        <s v="SABS1200 GA \CONCRETE (SMALL WORKS)/8.4\SCHEDULED CONCRETE ITEMS/8.4.2\Construct Blinding Layer using 15MPa concrete . Rate to allow for blinding to a nominal depth of 75 mm for all bases pertaining to the following structures:/\KS18_019-Concrete Drop Inlet. Drawing NBC-GTW-CL-0025 \m²\34.736 \ 300" u="1"/>
        <s v="SABS1200 GA \CONCRETE (SMALL WORKS)/8.4\SCHEDULED CONCRETE ITEMS/8.4.2\Construct Blinding Layer using 15MPa concrete . Rate to allow for blinding to a nominal depth of 75 mm for all bases pertaining to the following structures:/\KS13_005-Concrete Drop Inlet. Drawing NBC-GTW-CL-0011 \m²\41.124 \ 300" u="1"/>
        <s v="SABS1200 GA \CONCRETE (SMALL WORKS)/8.4\SCHEDULED CONCRETE ITEMS/8.4.2\Construct Blinding Layer using 15MPa concrete . Rate to allow for blinding to a nominal depth of 75 mm for all bases pertaining to the following structures:/\KS13_006-Concrete Drop Inlet. Drawing NBC-GTW-CL-0012 \m²\41.124 \ 300" u="1"/>
        <s v="SABS1200 GA \CONCRETE (SMALL WORKS)/8.4\SCHEDULED CONCRETE ITEMS/8.4.2\Construct Blinding Layer using 15MPa concrete . Rate to allow for blinding to a nominal depth of 75 mm for all bases pertaining to the following structures:/\KS13_007-Concrete Drop Inlet. Drawing NBC-GTW-CL-0013 \m²\37.12 \ 300" u="1"/>
        <s v="SABS1200 GA \CONCRETE (SMALL WORKS)/8.4\SCHEDULED CONCRETE ITEMS/8.4.2\Construct Blinding Layer using 15MPa concrete . Rate to allow for blinding to a nominal depth of 75 mm for all bases pertaining to the following structures:/\KS13_013-Concrete Drop Inlet. Drawing NBC-GTW-CL-0017 \m²\41.704 \ 300" u="1"/>
        <s v="SABS1200 GA \CONCRETE (SMALL WORKS)/8.4\SCHEDULED CONCRETE ITEMS/8.4.2\Construct Blinding Layer using 15MPa concrete . Rate to allow for blinding to a nominal depth of 75 mm for all bases pertaining to the following structures:/\KS13_015-Concrete Drop Inlet. Drawing NBC-GTW-CL-0018 \m²\41.704 \ 300" u="1"/>
        <s v="SABS1200 GA \CONCRETE (SMALL WORKS)/8.4\SCHEDULED CONCRETE ITEMS/8.4.2\Construct Blinding Layer using 15MPa concrete . Rate to allow for blinding to a nominal depth of 75 mm for all bases pertaining to the following structures:/\KS21_006-Concrete Drop Inlet. Drawing NBC-GTW-CL-0041 \m²\46.002 \ 300" u="1"/>
        <s v="SABS1200 GA \CONCRETE (SMALL WORKS)/8.4\SCHEDULED CONCRETE ITEMS/8.4.2\Construct Blinding Layer using 15MPa concrete . Rate to allow for blinding to a nominal depth of 75 mm for all bases pertaining to the following structures:/\KS13_008-Concrete Drop Inlet. Drawing NBC-GTW-CL-0014 \m²\47.264 \ 300" u="1"/>
        <s v="SABS1200 GA \CONCRETE (SMALL WORKS)/8.4\SCHEDULED CONCRETE ITEMS/8.4.2\Construct Blinding Layer using 15MPa concrete . Rate to allow for blinding to a nominal depth of 75 mm for all bases pertaining to the following structures:/\KS18_017-Concrete Drop Inlet. Drawing NBC-GTW-CL-0023 \m²\37.508 \ 300" u="1"/>
        <s v="SABS1200 GA \CONCRETE (SMALL WORKS)/8.4\SCHEDULED CONCRETE ITEMS/8.4.2\Construct Blinding Layer using 15MPa concrete . Rate to allow for blinding to a nominal depth of 75 mm for all bases pertaining to the following structures:/\KS18_020-Concrete Drop Inlet associated with Road Culvert  \m²\42.822 \ 300" u="1"/>
        <s v="SABS1200 GA \CONCRETE (SMALL WORKS)/8.4\SCHEDULED CONCRETE ITEMS/8.4.2\Construct Blinding Layer using 15MPa concrete . Rate to allow for blinding to a nominal depth of 75 mm for all bases pertaining to the following structures:/\KS21_007-Concrete Drop Inlet. Drawing NBC-GTW-CL-0042 \m²\39.824 \ 300" u="1"/>
      </sharedItems>
    </cacheField>
    <cacheField name="Reinforcement High Tensile bars" numFmtId="0">
      <sharedItems count="6" longText="1">
        <s v=" "/>
        <s v="SABS1200 GA \CONCRETE (SMALL WORKS)/8.3\SCHEDULED REINFORCEMENT ITEMS/8.3.1 \High-Tensile Steel Bars. Rate to include  cutting to length, bending as specified, transport to site and fixing. /\ks11-002b-Concrete Splash Through Structure. Drawing NBC-GTW-CL-0067 \kg\98 \ 18"/>
        <s v="SABS1200 GA \CONCRETE (SMALL WORKS)/8.3\SCHEDULED REINFORCEMENT ITEMS/8.3.1 \High-Tensile Steel Bars. Rate to include  cutting to length, bending as specified, transport to site and fixing. /\ks11-004b-Concrete Splash Through Structure. Drawing NBC-GTW-CL-0068 \kg\98 \ 18"/>
        <s v="SABS1200 GA \CONCRETE (SMALL WORKS)/8.3\SCHEDULED REINFORCEMENT ITEMS/8.3.1 \High-Tensile Steel Bars. Rate to include  cutting to length, bending as specified, transport to site and fixing. /\KS12_002-Concrete Drop Inlet. Drawing NBC-GTW-CL-0002 \kg\30 \ 18"/>
        <s v="SABS1200 GA \CONCRETE (SMALL WORKS)/8.3\SCHEDULED REINFORCEMENT ITEMS/8.3.1 \High-Tensile Steel Bars. Rate to include  cutting to length, bending as specified, transport to site and fixing. /\KS20_009_b-Concrete Overflow Wall. Drawing NBC-GTW-CL-0035 \kg\150 \ 18" u="1"/>
        <s v="SABS1200 GA \CONCRETE (SMALL WORKS)/8.3\SCHEDULED REINFORCEMENT ITEMS/8.3.1 \High-Tensile Steel Bars. Rate to include  cutting to length, bending as specified, transport to site and fixing. /\KS20_009_a-Concrete Buttress Weir. Drawing NBC-GTW-CL-0035 \kg\50 \ 18" u="1"/>
      </sharedItems>
    </cacheField>
    <cacheField name="Reinforcement Mild Tensile bars" numFmtId="0">
      <sharedItems count="2">
        <s v=" "/>
        <s v="SABS1200 GA \CONCRETE (SMALL WORKS)/8.3\SCHEDULED REINFORCEMENT ITEMS/8.3.1\Mild-Tensile Steel Bars. Rate to include  cutting to length, bending as specified, transport to site and fixing. /\KS20_009_a-1. Drawing NBC-GTW-CL-0035 \kg\32 \ 15" u="1"/>
      </sharedItems>
    </cacheField>
    <cacheField name="High tensile Welded Mesh 1" numFmtId="0">
      <sharedItems count="50">
        <s v=" "/>
        <s v="SABS1200 GA \CONCRETE (SMALL WORKS)/8.3\SCHEDULED REINFORCEMENT ITEMS/8.3.2\High-Tensile Welded Mesh-Ref 395 /\ks11-001-Off-take structure  \m²\7.5 \ 20"/>
        <s v="SABS1200 GA \CONCRETE (SMALL WORKS)/8.3\SCHEDULED REINFORCEMENT ITEMS/8.3.2\High-Tensile Welded Mesh-Ref 888 /\ks11-002a-Concrete Drop Inlet on Dam Wall  \m²\89.6992 \ 20"/>
        <s v="SABS1200 GA \CONCRETE (SMALL WORKS)/8.3\SCHEDULED REINFORCEMENT ITEMS/8.3.2\High-Tensile Welded Mesh-Ref 617 /\ks11-002b-Concrete Splash Through Structure. Drawing NBC-GTW-CL-0067 \m²\64 \ 20"/>
        <s v="SABS1200 GA \CONCRETE (SMALL WORKS)/8.3\SCHEDULED REINFORCEMENT ITEMS/8.3.2\High-Tensile Welded Mesh-Ref 888 /\ks11-004a-Concrete Drop Inlet on Dam Wall  \m²\89.6992 \ 20"/>
        <s v="SABS1200 GA \CONCRETE (SMALL WORKS)/8.3\SCHEDULED REINFORCEMENT ITEMS/8.3.2\High-Tensile Welded Mesh-Ref617 /\ks11-004b-Concrete Splash Through Structure. Drawing NBC-GTW-CL-0068 \m²\64 \ 20"/>
        <s v="SABS1200 GA \CONCRETE (SMALL WORKS)/8.3\SCHEDULED REINFORCEMENT ITEMS/8.3.2\High-Tensile Welded Mesh-Mesh 395 /\KS12_001-Pipe Culvert. Drawing NBC-GTW-CL-0069 \m²\3 \ 20"/>
        <s v="SABS1200 GA \CONCRETE (SMALL WORKS)/8.3\SCHEDULED REINFORCEMENT ITEMS/8.3.2\High-Tensile Welded Mesh-Ref 888 /\KS12_002-Concrete Drop Inlet. Drawing NBC-GTW-CL-0002 \m²\23 \ 20"/>
        <s v="SABS1200 GA \CONCRETE (SMALL WORKS)/8.3\SCHEDULED REINFORCEMENT ITEMS/8.3.2\High-Tensile Welded Mesh-Ref 888 /\KS12_004-Concrete Drop Inlet. Drawing NBC-GTW-CL-0003 \m²\22.0008 \ 20"/>
        <s v="SABS1200 GA \CONCRETE (SMALL WORKS)/8.3\SCHEDULED REINFORCEMENT ITEMS/8.3.2\High-Tensile Welded Mesh-Ref 888 /\KS12_005-Concrete Drop Inlet. Drawing NBC-GTW-CL-0004 \m²\17.595592 \ 20"/>
        <s v="SABS1200 GA \CONCRETE (SMALL WORKS)/8.3\SCHEDULED REINFORCEMENT ITEMS/8.3.2\High-Tensile Welded Mesh-Ref 888 /\KS12_006-Concrete Drop Inlet. Drawing NBC-GTW-CL-0005 \m²\15.6462 \ 20"/>
        <s v="SABS1200 GA \CONCRETE (SMALL WORKS)/8.3\SCHEDULED REINFORCEMENT ITEMS/8.3.2\High-Tensile Welded Mesh-Ref 888 /\KS12_007-Concrete Drop Inlet. Drawing NBC-GTW-CL-0006 \m²\16 \ 20"/>
        <s v="SABS1200 GA \CONCRETE (SMALL WORKS)/8.3\SCHEDULED REINFORCEMENT ITEMS/8.3.2\High-Tensile Welded Mesh-Ref 888 /\KS12_008-Concrete Drop Inlet. Drawing NBC-GTW-CL-0007 \m²\12.5 \ 20"/>
        <s v="SABS1200 GA \CONCRETE (SMALL WORKS)/8.3\SCHEDULED REINFORCEMENT ITEMS/8.3.2\High-Tensile Welded Mesh-Ref 888 /\KS12_009-Concrete Drop Inlet. Drawing NBC-GTW-CL-0008 \m²\7.5 \ 20"/>
        <s v="SABS1200 GA \CONCRETE (SMALL WORKS)/8.3\SCHEDULED REINFORCEMENT ITEMS/8.3.2\High-Tensile Welded Mesh-Ref 888 /\KS13_003-Concrete Drop Inlet. Drawing NBC-GTW-CL-0009 \m²\21.55892 \ 20"/>
        <s v="SABS1200 GA \CONCRETE (SMALL WORKS)/8.3\SCHEDULED REINFORCEMENT ITEMS/8.3.2\High-Tensile Welded Mesh-Ref 888 /\KS19_002-Concrete Drop Inlet. Drawing NBC-GTW-CL-0026 \m²\22.33528 \ 20"/>
        <s v="SABS1200 GA \CONCRETE (SMALL WORKS)/8.3\SCHEDULED REINFORCEMENT ITEMS/8.3.2\High-Tensile Welded Mesh-Ref 888 /\KS20_001-Concrete Drop Inlet. Drawing NBC-GTW-CL-0027 \m²\16.46892 \ 20"/>
        <s v="SABS1200 GA \CONCRETE (SMALL WORKS)/8.3\SCHEDULED REINFORCEMENT ITEMS/8.3.2\High-Tensile Welded Mesh-Ref 888 /\KS21_003-Concrete Drop Inlet. Drawing NBC-GTW-CL-0039 \m²\23.8326 \ 20"/>
        <s v="SABS1200 GA \CONCRETE (SMALL WORKS)/8,3\SCHEDULED REINFORCEMENT ITEMS/8.3.2\High-Tensile Welded Mesh-Ref 888 /\KS21_005-Concrete Drop Inlet. Drawing NBC-GTW-CL-0040 \m²\23,8326 \ 20"/>
        <s v="SABS1200 GA \CONCRETE (SMALL WORKS)/8.3\SCHEDULED REINFORCEMENT ITEMS/8.3.2\High-Tensile Welded Mesh-Ref 888 /\KS20_004-Concrete Drop Inlet. Drawing NBC-GTW-CL-0030 \m²\24.62688 \ 20" u="1"/>
        <s v="SABS1200 GA \CONCRETE (SMALL WORKS)/8.3\SCHEDULED REINFORCEMENT ITEMS/8.3.2\High-Tensile Welded Mesh-Ref 888 /\KS20_006-Concrete Drop Inlet. Drawing NBC-GTW-CL-0032 \m²\29.99772 \ 20" u="1"/>
        <s v="SABS1200 GA \CONCRETE (SMALL WORKS)/8.3\SCHEDULED REINFORCEMENT ITEMS/8.3.2\High-Tensile Welded Mesh-Ref 888 /\KS18_016-Concrete Drop Inlet. Drawing NBC-GTW-CL-0022 \m²\17.36952 \ 20" u="1"/>
        <s v="SABS1200 GA \CONCRETE (SMALL WORKS)/8.3\SCHEDULED REINFORCEMENT ITEMS/8.3.2\High-Tensile Welded Mesh-Ref 888 /\KS20_009_a-Concrete Buttress Weir. Drawing NBC-GTW-CL-0035 \m²\49.206832 \ 20" u="1"/>
        <s v="SABS1200 GA \CONCRETE (SMALL WORKS)/8.3\SCHEDULED REINFORCEMENT ITEMS/8.3.2\High-Tensile Welded Mesh-Ref 888 /\KS21_006-Concrete Drop Inlet. Drawing NBC-GTW-CL-0041 \m²\24.78818 \ 20" u="1"/>
        <s v="SABS1200 GA \CONCRETE (SMALL WORKS)/8.3\SCHEDULED REINFORCEMENT ITEMS/8.3.2\High-Tensile Welded Mesh-Ref 888 /\KS13_006-Concrete Drop Inlet. Drawing NBC-GTW-CL-0012 \m²\24.278 \ 20" u="1"/>
        <s v="SABS1200 GA \CONCRETE (SMALL WORKS)/8.3\SCHEDULED REINFORCEMENT ITEMS/8.3.2\High-Tensile Welded Mesh-Ref 888 /\KS20_008-Concrete Drop Inlet. Drawing NBC-GTW-CL-0034 \m²\33.41 \ 20" u="1"/>
        <s v="SABS1200 GA \CONCRETE (SMALL WORKS)/8.3\SCHEDULED REINFORCEMENT ITEMS/8.3.2\High-Tensile Welded Mesh-Ref 888 /\KS18_019-Concrete Drop Inlet. Drawing NBC-GTW-CL-0025 \m²\18.13032 \ 20" u="1"/>
        <s v="SABS1200 GA \CONCRETE (SMALL WORKS)/8.3\SCHEDULED REINFORCEMENT ITEMS/8.3.2\High-Tensile Welded Mesh-Ref 888 /\KS18_020-Concrete Drop Inlet associated with Road Culvert  \m²\19.49628 \ 20" u="1"/>
        <s v="SABS1200 GA \CONCRETE (SMALL WORKS)/8.3\SCHEDULED REINFORCEMENT ITEMS/8.3.2\High-Tensile Welded Mesh-Ref 888 /\KS21_009-Concrete Drop Inlet. Drawing NBC-GTW-CL-0043 \m²\19.8378 \ 20" u="1"/>
        <s v="SABS1200 GA \CONCRETE (SMALL WORKS)/8.3\SCHEDULED REINFORCEMENT ITEMS/8.3.2\High-Tensile Welded Mesh-Ref 888 /\KS18_017-Concrete Drop Inlet. Drawing NBC-GTW-CL-0023 \m²\17.922 \ 20" u="1"/>
        <s v="SABS1200 GA \CONCRETE (SMALL WORKS)/8.3\SCHEDULED REINFORCEMENT ITEMS/8.3.2\High-Tensile Welded Mesh-Ref 888 /\KS13_005-Concrete Drop Inlet. Drawing NBC-GTW-CL-0011 \m²\24.02328 \ 20" u="1"/>
        <s v="SABS1200 GA \CONCRETE (SMALL WORKS)/8.3\SCHEDULED REINFORCEMENT ITEMS/8.3.2\High-Tensile Welded Mesh-Ref 888 /\KS21_005-Concrete Drop Inlet. Drawing NBC-GTW-CL-0040 \m²\24.54506 \ 20" u="1"/>
        <s v="SABS1200 GA \CONCRETE (SMALL WORKS)/8.3\SCHEDULED REINFORCEMENT ITEMS/8.3.2\High-Tensile Welded Mesh-Ref 888 /\KS13_008-Concrete Drop Inlet. Drawing NBC-GTW-CL-0014 \m²\26.08944 \ 20" u="1"/>
        <s v="SABS1200 GA \CONCRETE (SMALL WORKS)/8.3\SCHEDULED REINFORCEMENT ITEMS/8.3.2\High-Tensile Welded Mesh-Ref 888 /\KS13_004-Concrete Drop Inlet. Drawing NBC-GTW-CL-0010 \m²\18.87844 \ 20" u="1"/>
        <s v="SABS1200 GA \CONCRETE (SMALL WORKS)/8.3\SCHEDULED REINFORCEMENT ITEMS/8.3.2\High-Tensile Welded Mesh-Ref 888 /\KS21_010-Concrete Drop Inlet. Drawing NBC-GTW-CL-0044 \m²\19.3479 \ 20" u="1"/>
        <s v="SABS1200 GA \CONCRETE (SMALL WORKS)/8.3\SCHEDULED REINFORCEMENT ITEMS/8.3.2\High-Tensile Welded Mesh-Ref 888 /\KS13_013-Concrete Drop Inlet. Drawing NBC-GTW-CL-0017 \m²\21.48552 \ 20" u="1"/>
        <s v="SABS1200 GA \CONCRETE (SMALL WORKS)/8.3\SCHEDULED REINFORCEMENT ITEMS/8.3.2\High-Tensile Welded Mesh-Ref 888 /\KS13_011-Concrete Drop Inlet. Drawing NBC-GTW-CL-0015 \m²\21.5 \ 20" u="1"/>
        <s v="SABS1200 GA \CONCRETE (SMALL WORKS)/8.3\SCHEDULED REINFORCEMENT ITEMS/8.3.2\High-Tensile Welded Mesh-Ref 888 /\KS13_015-Concrete Drop Inlet. Drawing NBC-GTW-CL-0018 \m²\23.29992 \ 20" u="1"/>
        <s v="SABS1200 GA \CONCRETE (SMALL WORKS)/8.3\SCHEDULED REINFORCEMENT ITEMS/8.3.2\High-Tensile Welded Mesh-Ref 888 /\KS13_012-Concrete Drop Inlet. Drawing NBC-GTW-CL-0016 \m²\16.8548 \ 20" u="1"/>
        <s v="SABS1200 GA \CONCRETE (SMALL WORKS)/8.3\SCHEDULED REINFORCEMENT ITEMS/8.3.2\High-Tensile Welded Mesh-Ref 888 /\KS21_007-Concrete Drop Inlet. Drawing NBC-GTW-CL-0042 \m²\20.68352 \ 20" u="1"/>
        <s v="SABS1200 GA \CONCRETE (SMALL WORKS)/8.3\SCHEDULED REINFORCEMENT ITEMS/8.3.2\High-Tensile Welded Mesh-Ref 888 /\KS13_007-Concrete Drop Inlet. Drawing NBC-GTW-CL-0013 \m²\18.99072 \ 20" u="1"/>
        <s v="SABS1200 GA \CONCRETE (SMALL WORKS)/8.3\SCHEDULED REINFORCEMENT ITEMS/8.3.2\High-Tensile Welded Mesh-Ref 888 /\KS20_002-Concrete Drop Inlet. Drawing NBC-GTW-CL-0028 \m²\25.5606 \ 20" u="1"/>
        <s v="SABS1200 GA \CONCRETE (SMALL WORKS)/8.3\SCHEDULED REINFORCEMENT ITEMS/8.3.2\High-Tensile Welded Mesh-Ref 888 /\KS18_001-Concrete Drop Inlet. Drawing NBC-GTW-CL-0019 \m²\37.21536 \ 20" u="1"/>
        <s v="SABS1200 GA \CONCRETE (SMALL WORKS)/8.3\SCHEDULED REINFORCEMENT ITEMS/8.3.2\High-Tensile Welded Mesh-Ref 888 /\KS20_005-Concrete Drop Inlet. Drawing NBC-GTW-CL-0031 \m²\31.90684 \ 20" u="1"/>
        <s v="SABS1200 GA \CONCRETE (SMALL WORKS)/8.3\SCHEDULED REINFORCEMENT ITEMS/8.3.2\High-Tensile Welded Mesh-Ref 888 /\KS20_003-Concrete Buttress Weir. Drawing NBC-GTW-CL-0029 \m²\41.260352 \ 20" u="1"/>
        <s v="SABS1200 GA \CONCRETE (SMALL WORKS)/8.3\SCHEDULED REINFORCEMENT ITEMS/8.3.2\High-Tensile Welded Mesh-Ref 888 /\KS20_007-Concrete Drop Inlet. Drawing NBC-GTW-CL-0033 \m²\24.11068 \ 20" u="1"/>
        <s v="SABS1200 GA \CONCRETE (SMALL WORKS)/8.3\SCHEDULED REINFORCEMENT ITEMS/8.3.2\High-Tensile Welded Mesh-Ref 888 /\KS18_002-Concrete Drop Inlet. Drawing NBC-GTW-CL-0020 \m²\20.8292 \ 20" u="1"/>
        <s v="SABS1200 GA \CONCRETE (SMALL WORKS)/8.3\SCHEDULED REINFORCEMENT ITEMS/8.3.2\High-Tensile Welded Mesh-Ref 888 /\KS18_018-Concrete Drop Inlet. Drawing NBC-GTW-CL-0024 \m²\15.01908 \ 20" u="1"/>
        <s v="SABS1200 GA \CONCRETE (SMALL WORKS)/8.3\SCHEDULED REINFORCEMENT ITEMS/8.3.2\High-Tensile Welded Mesh-Ref 888 /\KS18_015-Concrete Drop Inlet. Drawing NBC-GTW-CL-0021 \m²\23.7248 \ 20" u="1"/>
        <s v="SABS1200 GA \CONCRETE (SMALL WORKS)/8.3\SCHEDULED REINFORCEMENT ITEMS/8.3.2\High-Tensile Welded Mesh-Ref 617 /\KS20_009_b-Concrete Overflow Wall. Drawing NBC-GTW-CL-0035 \m²\9 \ 20" u="1"/>
      </sharedItems>
    </cacheField>
    <cacheField name="High tensile Welded Mesh 2" numFmtId="0">
      <sharedItems count="46">
        <s v=" "/>
        <s v="SABS1200 GA \CONCRETE (SMALL WORKS)/8.3\SCHEDULED REINFORCEMENT ITEMS/8.3.2\High-Tensile Welded Mesh-Ref 943 /\ks11-002a-Concrete Drop Inlet on Dam Wall  \m²\82.1744 \ 20"/>
        <s v="SABS1200 GA \CONCRETE (SMALL WORKS)/8.3\SCHEDULED REINFORCEMENT ITEMS/8.3.2\High-Tensile Welded Mesh-Ref 943 /\ks11-004a-Concrete Drop Inlet on Dam Wall  \m²\82.1744 \ 20"/>
        <s v="SABS1200 GA \CONCRETE (SMALL WORKS)/8.3\SCHEDULED REINFORCEMENT ITEMS/8.3.2\High-Tensile Welded Mesh-Ref 617 /\KS12_002-Concrete Drop Inlet. Drawing NBC-GTW-CL-0002 \m²\38 \ 20"/>
        <s v="SABS1200 GA \CONCRETE (SMALL WORKS)/8.3\SCHEDULED REINFORCEMENT ITEMS/8.3.2\High-Tensile Welded Mesh-Ref 655 /\KS12_004-Concrete Drop Inlet. Drawing NBC-GTW-CL-0003 \m²\30.0464 \ 20"/>
        <s v="SABS1200 GA \CONCRETE (SMALL WORKS)/8.3\SCHEDULED REINFORCEMENT ITEMS/8.3.2\High-Tensile Welded Mesh-Ref 655 /\KS12_005-Concrete Drop Inlet. Drawing NBC-GTW-CL-0004 \m²\24.34752 \ 20"/>
        <s v="SABS1200 GA \CONCRETE (SMALL WORKS)/8.3\SCHEDULED REINFORCEMENT ITEMS/8.3.2\High-Tensile Welded Mesh-Ref 617 /\KS12_006-Concrete Drop Inlet. Drawing NBC-GTW-CL-0005 \m²\21.4668 \ 20"/>
        <s v="SABS1200 GA \CONCRETE (SMALL WORKS)/8.3\SCHEDULED REINFORCEMENT ITEMS/8.3.2\High-Tensile Welded Mesh-Ref 655 /\KS12_007-Concrete Drop Inlet. Drawing NBC-GTW-CL-0006 \m²\23.4144 \ 20"/>
        <s v="SABS1200 GA \CONCRETE (SMALL WORKS)/8.3\SCHEDULED REINFORCEMENT ITEMS/8.3.2\High-Tensile Welded Mesh-Ref 617 /\KS12_008-Concrete Drop Inlet. Drawing NBC-GTW-CL-0007 \m²\19.4568 \ 20"/>
        <s v="SABS1200 GA \CONCRETE (SMALL WORKS)/8.3\SCHEDULED REINFORCEMENT ITEMS/8.3.2\High-Tensile Welded Mesh-Ref 617 /\KS12_009-Concrete Drop Inlet. Drawing NBC-GTW-CL-0008 \m²\15.1152 \ 20"/>
        <s v="SABS1200 GA \CONCRETE (SMALL WORKS)/8.3\SCHEDULED REINFORCEMENT ITEMS/8.3.2\High-Tensile Welded Mesh-Ref 655 /\KS13_003-Concrete Drop Inlet. Drawing NBC-GTW-CL-0009 \m²\35.5224 \ 20"/>
        <s v="SABS1200 GA \CONCRETE (SMALL WORKS)/8.3\SCHEDULED REINFORCEMENT ITEMS/8.3.2\High-Tensile Welded Mesh-Ref 655 /\KS19_002-Concrete Drop Inlet. Drawing NBC-GTW-CL-0026 \m²\27.8256 \ 20"/>
        <s v="SABS1200 GA \CONCRETE (SMALL WORKS)/8.3\SCHEDULED REINFORCEMENT ITEMS/8.3.2\High-Tensile Welded Mesh-Ref 655 /\KS20_001-Concrete Drop Inlet. Drawing NBC-GTW-CL-0027 \m²\30.6176 \ 20"/>
        <s v="SABS1200 GA \CONCRETE (SMALL WORKS)/8.3\SCHEDULED REINFORCEMENT ITEMS/8.3.2\High-Tensile Welded Mesh-Ref 655 /\KS21_003-Concrete Drop Inlet. Drawing NBC-GTW-CL-0039 \m²\42.5784 \ 20"/>
        <s v="SABS1200 GA \CONCRETE (SMALL WORKS)/8,3\SCHEDULED REINFORCEMENT ITEMS/8.3.2\High-Tensile Welded Mesh-Ref 655 /\KS21_005-Concrete Drop Inlet. Drawing NBC-GTW-CL-0040 \m²\42,5784 \ 20"/>
        <s v="SABS1200 GA \CONCRETE (SMALL WORKS)/8.3\SCHEDULED REINFORCEMENT ITEMS/8.3.2\High-Tensile Welded Mesh-Ref 655 /\KS13_004-Concrete Drop Inlet. Drawing NBC-GTW-CL-0010 \m²\31.2052 \ 20" u="1"/>
        <s v="SABS1200 GA \CONCRETE (SMALL WORKS)/8.3\SCHEDULED REINFORCEMENT ITEMS/8.3.2\High-Tensile Welded Mesh-Ref 772 /\KS20_005-Concrete Drop Inlet. Drawing NBC-GTW-CL-0031 \m²\53.3484 \ 20" u="1"/>
        <s v="SABS1200 GA \CONCRETE (SMALL WORKS)/8.3\SCHEDULED REINFORCEMENT ITEMS/8.3.2\High-Tensile Welded Mesh-Ref 772 /\KS20_006-Concrete Drop Inlet. Drawing NBC-GTW-CL-0032 \m²\48.3894 \ 20" u="1"/>
        <s v="SABS1200 GA \CONCRETE (SMALL WORKS)/8.3\SCHEDULED REINFORCEMENT ITEMS/8.3.2\High-Tensile Welded Mesh-Ref 655 /\KS20_009_a-Concrete Buttress Weir. Drawing NBC-GTW-CL-0035 \m²\63.18832 \ 20" u="1"/>
        <s v="SABS1200 GA \CONCRETE (SMALL WORKS)/8.3\SCHEDULED REINFORCEMENT ITEMS/8.3.2\High-Tensile Welded Mesh-Ref 655 /\KS13_013-Concrete Drop Inlet. Drawing NBC-GTW-CL-0017 \m²\34.1712 \ 20" u="1"/>
        <s v="SABS1200 GA \CONCRETE (SMALL WORKS)/8.3\SCHEDULED REINFORCEMENT ITEMS/8.3.2\High-Tensile Welded Mesh-Ref 655 /\KS13_015-Concrete Drop Inlet. Drawing NBC-GTW-CL-0018 \m²\34.1712 \ 20" u="1"/>
        <s v="SABS1200 GA \CONCRETE (SMALL WORKS)/8.3\SCHEDULED REINFORCEMENT ITEMS/8.3.2\High-Tensile Welded Mesh-Ref 655 /\KS13_011-Concrete Drop Inlet. Drawing NBC-GTW-CL-0015 \m²\33 \ 20" u="1"/>
        <s v="SABS1200 GA \CONCRETE (SMALL WORKS)/8.3\SCHEDULED REINFORCEMENT ITEMS/8.3.2\High-Tensile Welded Mesh-Ref 617 /\KS21_007-Concrete Drop Inlet. Drawing NBC-GTW-CL-0042 \m²\29.0048 \ 20" u="1"/>
        <s v="SABS1200 GA \CONCRETE (SMALL WORKS)/8.3\SCHEDULED REINFORCEMENT ITEMS/8.3.2\High-Tensile Welded Mesh-Ref 772 /\KS18_001-Concrete Drop Inlet. Drawing NBC-GTW-CL-0019 \m²\60.4352 \ 20" u="1"/>
        <s v="SABS1200 GA \CONCRETE (SMALL WORKS)/8.3\SCHEDULED REINFORCEMENT ITEMS/8.3.2\High-Tensile Welded Mesh-Ref 617 /\KS21_006-Concrete Drop Inlet. Drawing NBC-GTW-CL-0041 \m²\35.1436 \ 20" u="1"/>
        <s v="SABS1200 GA \CONCRETE (SMALL WORKS)/8.3\SCHEDULED REINFORCEMENT ITEMS/8.3.2\High-Tensile Welded Mesh-Ref 655 /\KS13_007-Concrete Drop Inlet. Drawing NBC-GTW-CL-0013 \m²\29.0304 \ 20" u="1"/>
        <s v="SABS1200 GA \CONCRETE (SMALL WORKS)/8.3\SCHEDULED REINFORCEMENT ITEMS/8.3.2\High-Tensile Welded Mesh-Ref 655 /\KS21_005-Concrete Drop Inlet. Drawing NBC-GTW-CL-0040 \m²\34.1398 \ 20" u="1"/>
        <s v="SABS1200 GA \CONCRETE (SMALL WORKS)/8.3\SCHEDULED REINFORCEMENT ITEMS/8.3.2\High-Tensile Welded Mesh-Ref 655 /\KS13_008-Concrete Drop Inlet. Drawing NBC-GTW-CL-0014 \m²\38.3616 \ 20" u="1"/>
        <s v="SABS1200 GA \CONCRETE (SMALL WORKS)/8.3\SCHEDULED REINFORCEMENT ITEMS/8.3.2\High-Tensile Welded Mesh-Ref 655 /\KS18_018-Concrete Drop Inlet. Drawing NBC-GTW-CL-0024 \m²\25.8028 \ 20" u="1"/>
        <s v="SABS1200 GA \CONCRETE (SMALL WORKS)/8.3\SCHEDULED REINFORCEMENT ITEMS/8.3.2\High-Tensile Welded Mesh-Ref 772 /\KS18_015-Concrete Drop Inlet. Drawing NBC-GTW-CL-0021 \m²\36.7488 \ 20" u="1"/>
        <s v="SABS1200 GA \CONCRETE (SMALL WORKS)/8.3\SCHEDULED REINFORCEMENT ITEMS/8.3.2\High-Tensile Welded Mesh-Ref 655 /\KS13_005-Concrete Drop Inlet. Drawing NBC-GTW-CL-0011 \m²\31.9992 \ 20" u="1"/>
        <s v="SABS1200 GA \CONCRETE (SMALL WORKS)/8.3\SCHEDULED REINFORCEMENT ITEMS/8.3.2\High-Tensile Welded Mesh-Ref 655 /\KS13_006-Concrete Drop Inlet. Drawing NBC-GTW-CL-0012 \m²\31.9992 \ 20" u="1"/>
        <s v="SABS1200 GA \CONCRETE (SMALL WORKS)/8.3\SCHEDULED REINFORCEMENT ITEMS/8.3.2\High-Tensile Welded Mesh-Ref 655 /\KS18_020-Concrete Drop Inlet associated with Road Culvert  \m²\33.7212 \ 20" u="1"/>
        <s v="SABS1200 GA \CONCRETE (SMALL WORKS)/8.3\SCHEDULED REINFORCEMENT ITEMS/8.3.2\High-Tensile Welded Mesh-Ref 655 /\KS18_017-Concrete Drop Inlet. Drawing NBC-GTW-CL-0023 \m²\29.116 \ 20" u="1"/>
        <s v="SABS1200 GA \CONCRETE (SMALL WORKS)/8.3\SCHEDULED REINFORCEMENT ITEMS/8.3.2\High-Tensile Welded Mesh-Ref 655 /\KS18_002-Concrete Drop Inlet. Drawing NBC-GTW-CL-0020 \m²\36.1224 \ 20" u="1"/>
        <s v="SABS1200 GA \CONCRETE (SMALL WORKS)/8.3\SCHEDULED REINFORCEMENT ITEMS/8.3.2\High-Tensile Welded Mesh-Ref 655 /\KS18_019-Concrete Drop Inlet. Drawing NBC-GTW-CL-0025 \m²\25.7472 \ 20" u="1"/>
        <s v="SABS1200 GA \CONCRETE (SMALL WORKS)/8.3\SCHEDULED REINFORCEMENT ITEMS/8.3.2\High-Tensile Welded Mesh-Ref 655 /\KS21_009-Concrete Drop Inlet. Drawing NBC-GTW-CL-0043 \m²\26.6976 \ 20" u="1"/>
        <s v="SABS1200 GA \CONCRETE (SMALL WORKS)/8.3\SCHEDULED REINFORCEMENT ITEMS/8.3.2\High-Tensile Welded Mesh-Ref 655 /\KS21_010-Concrete Drop Inlet. Drawing NBC-GTW-CL-0044 \m²\26.568 \ 20" u="1"/>
        <s v="SABS1200 GA \CONCRETE (SMALL WORKS)/8.3\SCHEDULED REINFORCEMENT ITEMS/8.3.2\High-Tensile Welded Mesh-Ref 655 /\KS13_012-Concrete Drop Inlet. Drawing NBC-GTW-CL-0016 \m²\28.536 \ 20" u="1"/>
        <s v="SABS1200 GA \CONCRETE (SMALL WORKS)/8.3\SCHEDULED REINFORCEMENT ITEMS/8.3.2\High-Tensile Welded Mesh-Ref 655 /\KS20_007-Concrete Drop Inlet. Drawing NBC-GTW-CL-0033 \m²\40.8628 \ 20" u="1"/>
        <s v="SABS1200 GA \CONCRETE (SMALL WORKS)/8.3\SCHEDULED REINFORCEMENT ITEMS/8.3.2\High-Tensile Welded Mesh-Ref 772 /\KS20_003-Concrete Buttress Weir. Drawing NBC-GTW-CL-0029 \m²\65.02272 \ 20" u="1"/>
        <s v="SABS1200 GA \CONCRETE (SMALL WORKS)/8.3\SCHEDULED REINFORCEMENT ITEMS/8.3.2\High-Tensile Welded Mesh-Ref 772 /\KS20_002-Concrete Drop Inlet. Drawing NBC-GTW-CL-0028 \m²\40.1376 \ 20" u="1"/>
        <s v="SABS1200 GA \CONCRETE (SMALL WORKS)/8.3\SCHEDULED REINFORCEMENT ITEMS/8.3.2\High-Tensile Welded Mesh-Ref 772 /\KS20_008-Concrete Drop Inlet. Drawing NBC-GTW-CL-0034 \m²\52.6336 \ 20" u="1"/>
        <s v="SABS1200 GA \CONCRETE (SMALL WORKS)/8.3\SCHEDULED REINFORCEMENT ITEMS/8.3.2\High-Tensile Welded Mesh-Ref 655 /\KS18_016-Concrete Drop Inlet. Drawing NBC-GTW-CL-0022 \m²\29.5176 \ 20" u="1"/>
        <s v="SABS1200 GA \CONCRETE (SMALL WORKS)/8.3\SCHEDULED REINFORCEMENT ITEMS/8.3.2\High-Tensile Welded Mesh-Ref 772 /\KS20_004-Concrete Drop Inlet. Drawing NBC-GTW-CL-0030 \m²\42.5952 \ 20" u="1"/>
        <s v="SABS1200 GA \CONCRETE (SMALL WORKS)/8.3\SCHEDULED REINFORCEMENT ITEMS/8.3.2\High-Tensile Welded Mesh-Ref 395 /\KS20_009_b-Concrete Overflow Wall. Drawing NBC-GTW-CL-0035 \m²\9 \ 20" u="1"/>
      </sharedItems>
    </cacheField>
    <cacheField name="Rough - Horizontal (85°-90°)2" numFmtId="0">
      <sharedItems count="1">
        <s v=" "/>
      </sharedItems>
    </cacheField>
    <cacheField name="Rough - Sloping (&gt;10°&lt;85°)2" numFmtId="0">
      <sharedItems count="46">
        <s v=" "/>
        <s v="SABS1200 GA \CONCRETE (SMALL WORKS)/8.2\SCHEDULED FORMWORK ITEMS/8.2.1\Rough Formwork - Sloping (&gt;10°&lt;85°). /\ks11-002a-Concrete Drop Inlet on Dam Wall  \m²\124.76995008702 \ 650"/>
        <s v="SABS1200 GA \CONCRETE (SMALL WORKS)/8.2\SCHEDULED FORMWORK ITEMS/8.2.1\Rough Formwork - Sloping (&gt;10°&lt;85°). /\ks11-004a-Concrete Drop Inlet on Dam Wall  \m²\124.76995008702 \ 650"/>
        <s v="SABS1200 GA \CONCRETE (SMALL WORKS)/8.2\SCHEDULED FORMWORK ITEMS/8.2.1\Rough Formwork - Sloping (&gt;10°&lt;85°). /\KS12_002-Concrete Drop Inlet. Drawing NBC-GTW-CL-0002 \m²\14 \ 650"/>
        <s v="SABS1200 GA \CONCRETE (SMALL WORKS)/8.2\SCHEDULED FORMWORK ITEMS/8.2.1\Rough Formwork - Sloping (&gt;10°&lt;85°). /\KS12_004-Concrete Drop Inlet. Drawing NBC-GTW-CL-0003 \m²\58.4070059649952 \ 650"/>
        <s v="SABS1200 GA \CONCRETE (SMALL WORKS)/8.2\SCHEDULED FORMWORK ITEMS/8.2.1\Rough Formwork - Sloping (&gt;10°&lt;85°). /\KS12_005-Concrete Drop Inlet. Drawing NBC-GTW-CL-0004 \m²\58.1500556713744 \ 650"/>
        <s v="SABS1200 GA \CONCRETE (SMALL WORKS)/8.2\SCHEDULED FORMWORK ITEMS/8.2.1\Rough Formwork - Sloping (&gt;10°&lt;85°). /\KS12_006-Concrete Drop Inlet. Drawing NBC-GTW-CL-0005 \m²\30.9852321055478 \ 650"/>
        <s v="SABS1200 GA \CONCRETE (SMALL WORKS)/8.2\SCHEDULED FORMWORK ITEMS/8.2.1\Rough Formwork - Sloping (&gt;10°&lt;85°). /\KS12_007-Concrete Drop Inlet. Drawing NBC-GTW-CL-0006 \m²\38.9264143183359 \ 650"/>
        <s v="SABS1200 GA \CONCRETE (SMALL WORKS)/8.2\SCHEDULED FORMWORK ITEMS/8.2.1\Rough Formwork - Sloping (&gt;10°&lt;85°). /\KS12_008-Concrete Drop Inlet. Drawing NBC-GTW-CL-0007 \m²\30.6856907895328 \ 650"/>
        <s v="SABS1200 GA \CONCRETE (SMALL WORKS)/8.2\SCHEDULED FORMWORK ITEMS/8.2.1\Rough Formwork - Sloping (&gt;10°&lt;85°). /\KS12_009-Concrete Drop Inlet. Drawing NBC-GTW-CL-0008 \m²\23.4752412582958 \ 650"/>
        <s v="SABS1200 GA \CONCRETE (SMALL WORKS)/8.2\SCHEDULED FORMWORK ITEMS/8.2.1\Rough Formwork - Sloping (&gt;10°&lt;85°). /\KS13_003-Concrete Drop Inlet. Drawing NBC-GTW-CL-0009 \m²\49.822834066672 \ 650"/>
        <s v="SABS1200 GA \CONCRETE (SMALL WORKS)/8.2\SCHEDULED FORMWORK ITEMS/8.2.1\Rough Formwork - Sloping (&gt;10°&lt;85°). /\KS19_002-Concrete Drop Inlet. Drawing NBC-GTW-CL-0026 \m²\46.0892027908199 \ 650"/>
        <s v="SABS1200 GA \CONCRETE (SMALL WORKS)/8.2\SCHEDULED FORMWORK ITEMS/8.2.1\Rough Formwork - Sloping (&gt;10°&lt;85°). /\KS20_001-Concrete Drop Inlet. Drawing NBC-GTW-CL-0027 \m²\38.0794658467317 \ 650"/>
        <s v="SABS1200 GA \CONCRETE (SMALL WORKS)/8.2\SCHEDULED FORMWORK ITEMS/8.2.1\Rough Formwork - Sloping (&gt;10°&lt;85°). /\KS21_003-Concrete Drop Inlet. Drawing NBC-GTW-CL-0039 \m²\40.8873193576764 \ 650"/>
        <s v="SABS1200 GA \CONCRETE (SMALL WORKS)/8,2\SCHEDULED FORMWORK ITEMS/8.2.1\Rough Formwork - Sloping (&gt;10°&lt;85°). /\KS21_005-Concrete Drop Inlet. Drawing NBC-GTW-CL-0040 \m²\40,8873193576764 \ 650"/>
        <s v="SABS1200 GA \CONCRETE (SMALL WORKS)/8.2\SCHEDULED FORMWORK ITEMS/8.2.1\Rough Formwork - Sloping (&gt;10°&lt;85°). /\KS20_007-Concrete Drop Inlet. Drawing NBC-GTW-CL-0033 \m²\59.5374174381272 \ 650" u="1"/>
        <s v="SABS1200 GA \CONCRETE (SMALL WORKS)/8.2\SCHEDULED FORMWORK ITEMS/8.2.1\Rough Formwork - Sloping (&gt;10°&lt;85°). /\KS20_003-Concrete Buttress Weir. Drawing NBC-GTW-CL-0029 \m²\61.3910444262817 \ 650" u="1"/>
        <s v="SABS1200 GA \CONCRETE (SMALL WORKS)/8.2\SCHEDULED FORMWORK ITEMS/8.2.1\Rough Formwork - Sloping (&gt;10°&lt;85°). /\KS13_007-Concrete Drop Inlet. Drawing NBC-GTW-CL-0013 \m²\47.2031779853186 \ 650" u="1"/>
        <s v="SABS1200 GA \CONCRETE (SMALL WORKS)/8.2\SCHEDULED FORMWORK ITEMS/8.2.1\Rough Formwork - Sloping (&gt;10°&lt;85°). /\KS20_009_a-Concrete Buttress Weir. Drawing NBC-GTW-CL-0035 \m²\70.1490045214263 \ 650" u="1"/>
        <s v="SABS1200 GA \CONCRETE (SMALL WORKS)/8.2\SCHEDULED FORMWORK ITEMS/8.2.1\Rough Formwork - Sloping (&gt;10°&lt;85°). /\KS20_002-Concrete Drop Inlet. Drawing NBC-GTW-CL-0028 \m²\56.8884402314798 \ 650" u="1"/>
        <s v="SABS1200 GA \CONCRETE (SMALL WORKS)/8.2\SCHEDULED FORMWORK ITEMS/8.2.1\Rough Formwork - Sloping (&gt;10°&lt;85°). /\KS21_006-Concrete Drop Inlet. Drawing NBC-GTW-CL-0041 \m²\45.348677435461 \ 650" u="1"/>
        <s v="SABS1200 GA \CONCRETE (SMALL WORKS)/8.2\SCHEDULED FORMWORK ITEMS/8.2.1\Rough Formwork - Sloping (&gt;10°&lt;85°). /\KS21_010-Concrete Drop Inlet. Drawing NBC-GTW-CL-0044 \m²\55.2431932328765 \ 650" u="1"/>
        <s v="SABS1200 GA \CONCRETE (SMALL WORKS)/8.2\SCHEDULED FORMWORK ITEMS/8.2.1\Rough Formwork - Sloping (&gt;10°&lt;85°). /\KS18_020-Concrete Drop Inlet associated with Road Culvert  \m²\57.6958279475728 \ 650" u="1"/>
        <s v="SABS1200 GA \CONCRETE (SMALL WORKS)/8.2\SCHEDULED FORMWORK ITEMS/8.2.1\Rough Formwork - Sloping (&gt;10°&lt;85°). /\KS13_015-Concrete Drop Inlet. Drawing NBC-GTW-CL-0018 \m²\41.4671810737264 \ 650" u="1"/>
        <s v="SABS1200 GA \CONCRETE (SMALL WORKS)/8.2\SCHEDULED FORMWORK ITEMS/8.2.1\Rough Formwork - Sloping (&gt;10°&lt;85°). /\KS13_011-Concrete Drop Inlet. Drawing NBC-GTW-CL-0015 \m²\60.2 \ 650" u="1"/>
        <s v="SABS1200 GA \CONCRETE (SMALL WORKS)/8.2\SCHEDULED FORMWORK ITEMS/8.2.1\Rough Formwork - Sloping (&gt;10°&lt;85°). /\KS20_004-Concrete Drop Inlet. Drawing NBC-GTW-CL-0030 \m²\63.3332755056505 \ 650" u="1"/>
        <s v="SABS1200 GA \CONCRETE (SMALL WORKS)/8.2\SCHEDULED FORMWORK ITEMS/8.2.1\Rough Formwork - Sloping (&gt;10°&lt;85°). /\KS13_008-Concrete Drop Inlet. Drawing NBC-GTW-CL-0014 \m²\56.6781972496904 \ 650" u="1"/>
        <s v="SABS1200 GA \CONCRETE (SMALL WORKS)/8.2\SCHEDULED FORMWORK ITEMS/8.2.1\Rough Formwork - Sloping (&gt;10°&lt;85°). /\KS18_018-Concrete Drop Inlet. Drawing NBC-GTW-CL-0024 \m²\44.5054266893638 \ 650" u="1"/>
        <s v="SABS1200 GA \CONCRETE (SMALL WORKS)/8.2\SCHEDULED FORMWORK ITEMS/8.2.1\Rough Formwork - Sloping (&gt;10°&lt;85°). /\KS20_009_b-Concrete Overflow Wall. Drawing NBC-GTW-CL-0035 \m²\4.29566479139143 \ 650" u="1"/>
        <s v="SABS1200 GA \CONCRETE (SMALL WORKS)/8.2\SCHEDULED FORMWORK ITEMS/8.2.1\Rough Formwork - Sloping (&gt;10°&lt;85°). /\KS13_013-Concrete Drop Inlet. Drawing NBC-GTW-CL-0017 \m²\41.2942277297212 \ 650" u="1"/>
        <s v="SABS1200 GA \CONCRETE (SMALL WORKS)/8.2\SCHEDULED FORMWORK ITEMS/8.2.1\Rough Formwork - Sloping (&gt;10°&lt;85°). /\KS18_015-Concrete Drop Inlet. Drawing NBC-GTW-CL-0021 \m²\66.929119262221 \ 650" u="1"/>
        <s v="SABS1200 GA \CONCRETE (SMALL WORKS)/8.2\SCHEDULED FORMWORK ITEMS/8.2.1\Rough Formwork - Sloping (&gt;10°&lt;85°). /\KS18_016-Concrete Drop Inlet. Drawing NBC-GTW-CL-0022 \m²\56.3622478801672 \ 650" u="1"/>
        <s v="SABS1200 GA \CONCRETE (SMALL WORKS)/8.2\SCHEDULED FORMWORK ITEMS/8.2.1\Rough Formwork - Sloping (&gt;10°&lt;85°). /\KS13_004-Concrete Drop Inlet. Drawing NBC-GTW-CL-0010 \m²\40.611330282822 \ 650" u="1"/>
        <s v="SABS1200 GA \CONCRETE (SMALL WORKS)/8.2\SCHEDULED FORMWORK ITEMS/8.2.1\Rough Formwork - Sloping (&gt;10°&lt;85°). /\KS20_008-Concrete Drop Inlet. Drawing NBC-GTW-CL-0034 \m²\72.8740665047539 \ 650" u="1"/>
        <s v="SABS1200 GA \CONCRETE (SMALL WORKS)/8.2\SCHEDULED FORMWORK ITEMS/8.2.1\Rough Formwork - Sloping (&gt;10°&lt;85°). /\KS18_017-Concrete Drop Inlet. Drawing NBC-GTW-CL-0023 \m²\52.575645514272 \ 650" u="1"/>
        <s v="SABS1200 GA \CONCRETE (SMALL WORKS)/8.2\SCHEDULED FORMWORK ITEMS/8.2.1\Rough Formwork - Sloping (&gt;10°&lt;85°). /\KS13_012-Concrete Drop Inlet. Drawing NBC-GTW-CL-0016 \m²\52.3209261824991 \ 650" u="1"/>
        <s v="SABS1200 GA \CONCRETE (SMALL WORKS)/8.2\SCHEDULED FORMWORK ITEMS/8.2.1\Rough Formwork - Sloping (&gt;10°&lt;85°). /\KS13_005-Concrete Drop Inlet. Drawing NBC-GTW-CL-0011 \m²\57.7914437861174 \ 650" u="1"/>
        <s v="SABS1200 GA \CONCRETE (SMALL WORKS)/8.2\SCHEDULED FORMWORK ITEMS/8.2.1\Rough Formwork - Sloping (&gt;10°&lt;85°). /\KS21_005-Concrete Drop Inlet. Drawing NBC-GTW-CL-0040 \m²\50.939046755886 \ 650" u="1"/>
        <s v="SABS1200 GA \CONCRETE (SMALL WORKS)/8.2\SCHEDULED FORMWORK ITEMS/8.2.1\Rough Formwork - Sloping (&gt;10°&lt;85°). /\KS20_006-Concrete Drop Inlet. Drawing NBC-GTW-CL-0032 \m²\72.579338047832 \ 650" u="1"/>
        <s v="SABS1200 GA \CONCRETE (SMALL WORKS)/8.2\SCHEDULED FORMWORK ITEMS/8.2.1\Rough Formwork - Sloping (&gt;10°&lt;85°). /\KS21_009-Concrete Drop Inlet. Drawing NBC-GTW-CL-0043 \m²\57.7336849462415 \ 650" u="1"/>
        <s v="SABS1200 GA \CONCRETE (SMALL WORKS)/8.2\SCHEDULED FORMWORK ITEMS/8.2.1\Rough Formwork - Sloping (&gt;10°&lt;85°). /\KS21_007-Concrete Drop Inlet. Drawing NBC-GTW-CL-0042 \m²\46.0461262534551 \ 650" u="1"/>
        <s v="SABS1200 GA \CONCRETE (SMALL WORKS)/8.2\SCHEDULED FORMWORK ITEMS/8.2.1\Rough Formwork - Sloping (&gt;10°&lt;85°). /\KS18_019-Concrete Drop Inlet. Drawing NBC-GTW-CL-0025 \m²\56.7255840503127 \ 650" u="1"/>
        <s v="SABS1200 GA \CONCRETE (SMALL WORKS)/8.2\SCHEDULED FORMWORK ITEMS/8.2.1\Rough Formwork - Sloping (&gt;10°&lt;85°). /\KS20_005-Concrete Drop Inlet. Drawing NBC-GTW-CL-0031 \m²\67.9531453846429 \ 650" u="1"/>
        <s v="SABS1200 GA \CONCRETE (SMALL WORKS)/8.2\SCHEDULED FORMWORK ITEMS/8.2.1\Rough Formwork - Sloping (&gt;10°&lt;85°). /\KS13_006-Concrete Drop Inlet. Drawing NBC-GTW-CL-0012 \m²\58.0575615157111 \ 650" u="1"/>
        <s v="SABS1200 GA \CONCRETE (SMALL WORKS)/8.2\SCHEDULED FORMWORK ITEMS/8.2.1\Rough Formwork - Sloping (&gt;10°&lt;85°). /\KS18_002-Concrete Drop Inlet. Drawing NBC-GTW-CL-0020 \m²\46.8829660474418 \ 650" u="1"/>
        <s v="SABS1200 GA \CONCRETE (SMALL WORKS)/8.2\SCHEDULED FORMWORK ITEMS/8.2.1\Rough Formwork - Sloping (&gt;10°&lt;85°). /\KS18_001-Concrete Drop Inlet. Drawing NBC-GTW-CL-0019 \m²\88.650348334798 \ 650" u="1"/>
      </sharedItems>
    </cacheField>
    <cacheField name="Rough - Battered (&lt;10°)2" numFmtId="0">
      <sharedItems count="1">
        <s v=" "/>
      </sharedItems>
    </cacheField>
    <cacheField name="Rough - Vertical (0°)2" numFmtId="0">
      <sharedItems count="50">
        <s v=" "/>
        <s v="SABS1200 GA \CONCRETE (SMALL WORKS)/8.2\SCHEDULED FORMWORK ITEMS/8.2.1\Rough Formwork - Vertical (0°). /\ks11-001-Off-take structure  \m²\3.068 \ 650"/>
        <s v="SABS1200 GA \CONCRETE (SMALL WORKS)/8.2\SCHEDULED FORMWORK ITEMS/8.2.1\Rough Formwork - Vertical (0°). /\ks11-002a-Concrete Drop Inlet on Dam Wall  \m²\47 \ 650"/>
        <s v="SABS1200 GA \CONCRETE (SMALL WORKS)/8.2\SCHEDULED FORMWORK ITEMS/8.2.1\Rough Formwork - Vertical (0°). /\ks11-002b-Concrete Splash Through Structure. Drawing NBC-GTW-CL-0067 \m²\10.8 \ 650"/>
        <s v="SABS1200 GA \CONCRETE (SMALL WORKS)/8.2\SCHEDULED FORMWORK ITEMS/8.2.1\Rough Formwork - Vertical (0°). /\ks11-004a-Concrete Drop Inlet on Dam Wall  \m²\47 \ 650"/>
        <s v="SABS1200 GA \CONCRETE (SMALL WORKS)/8.2\SCHEDULED FORMWORK ITEMS/8.2.1\Rough Formwork - Vertical (0°). /\ks11-004b-Concrete Splash Through Structure. Drawing NBC-GTW-CL-0068 \m²\10.8 \ 650"/>
        <s v="SABS1200 GA \CONCRETE (SMALL WORKS)/8.2\SCHEDULED FORMWORK ITEMS/8.2.1\Rough Formwork - Vertical (0°). /\KS12_002-Concrete Drop Inlet. Drawing NBC-GTW-CL-0002 \m²\20.3 \ 650"/>
        <s v="SABS1200 GA \CONCRETE (SMALL WORKS)/8.2\SCHEDULED FORMWORK ITEMS/8.2.1\Rough Formwork - Vertical (0°). /\KS12_004-Concrete Drop Inlet. Drawing NBC-GTW-CL-0003 \m²\7.2 \ 650"/>
        <s v="SABS1200 GA \CONCRETE (SMALL WORKS)/8.2\SCHEDULED FORMWORK ITEMS/8.2.1\Rough Formwork - Vertical (0°). /\KS12_005-Concrete Drop Inlet. Drawing NBC-GTW-CL-0004 \m²\5.58 \ 650"/>
        <s v="SABS1200 GA \CONCRETE (SMALL WORKS)/8.2\SCHEDULED FORMWORK ITEMS/8.2.1\Rough Formwork - Vertical (0°). /\KS12_006-Concrete Drop Inlet. Drawing NBC-GTW-CL-0005 \m²\2.25 \ 650"/>
        <s v="SABS1200 GA \CONCRETE (SMALL WORKS)/8.2\SCHEDULED FORMWORK ITEMS/8.2.1\Rough Formwork - Vertical (0°). /\KS12_007-Concrete Drop Inlet. Drawing NBC-GTW-CL-0006 \m²\3.15 \ 650"/>
        <s v="SABS1200 GA \CONCRETE (SMALL WORKS)/8.2\SCHEDULED FORMWORK ITEMS/8.2.1\Rough Formwork - Vertical (0°). /\KS12_008-Concrete Drop Inlet. Drawing NBC-GTW-CL-0007 \m²\2 \ 650"/>
        <s v="SABS1200 GA \CONCRETE (SMALL WORKS)/8.2\SCHEDULED FORMWORK ITEMS/8.2.1\Rough Formwork - Vertical (0°). /\KS12_009-Concrete Drop Inlet. Drawing NBC-GTW-CL-0008 \m²\0.9 \ 650"/>
        <s v="SABS1200 GA \CONCRETE (SMALL WORKS)/8.2\SCHEDULED FORMWORK ITEMS/8.2.1\Rough Formwork - Vertical (0°). /\KS13_003-Concrete Drop Inlet. Drawing NBC-GTW-CL-0009 \m²\16.51 \ 650"/>
        <s v="SABS1200 GA \CONCRETE (SMALL WORKS)/8.2\SCHEDULED FORMWORK ITEMS/8.2.1\Rough Formwork - Vertical (0°). /\KS19_002-Concrete Drop Inlet. Drawing NBC-GTW-CL-0026 \m²\6.42 \ 650"/>
        <s v="SABS1200 GA \CONCRETE (SMALL WORKS)/8.2\SCHEDULED FORMWORK ITEMS/8.2.1\Rough Formwork - Vertical (0°). /\KS20_001-Concrete Drop Inlet. Drawing NBC-GTW-CL-0027 \m²\2.385 \ 650"/>
        <s v="SABS1200 GA \CONCRETE (SMALL WORKS)/8.2\SCHEDULED FORMWORK ITEMS/8.2.1\Rough Formwork - Vertical (0°). /\KS20_009_a-Concrete Check Wall. Drawing NBC-GTW-CL-0035 \m²\11 \ 650"/>
        <s v="SABS1200 GA \CONCRETE (SMALL WORKS)/8.2\SCHEDULED FORMWORK ITEMS/8.2.1\Rough Formwork - Vertical (0°). /\KS21_003-Concrete Drop Inlet. Drawing NBC-GTW-CL-0039 \m²\4.25 \ 650"/>
        <s v="SABS1200 GA \CONCRETE (SMALL WORKS)/8,2\SCHEDULED FORMWORK ITEMS/8.2.1\Rough Formwork - Vertical (0°). /\KS21_005-Concrete Drop Inlet. Drawing NBC-GTW-CL-0040 \m²\4,25 \ 650"/>
        <s v="SABS1200 GA \CONCRETE (SMALL WORKS)/8.2\SCHEDULED FORMWORK ITEMS/8.2.1\Rough Formwork - Vertical (0°). /\KS13_006-Concrete Drop Inlet. Drawing NBC-GTW-CL-0012 \m²\19.2 \ 650" u="1"/>
        <s v="SABS1200 GA \CONCRETE (SMALL WORKS)/8.2\SCHEDULED FORMWORK ITEMS/8.2.1\Rough Formwork - Vertical (0°). /\KS21_006-Concrete Drop Inlet. Drawing NBC-GTW-CL-0041 \m²\17.9256 \ 650" u="1"/>
        <s v="SABS1200 GA \CONCRETE (SMALL WORKS)/8.2\SCHEDULED FORMWORK ITEMS/8.2.1\Rough Formwork - Vertical (0°). /\KS18_016-Concrete Drop Inlet. Drawing NBC-GTW-CL-0022 \m²\18.4 \ 650" u="1"/>
        <s v="SABS1200 GA \CONCRETE (SMALL WORKS)/8.2\SCHEDULED FORMWORK ITEMS/8.2.1\Rough Formwork - Vertical (0°). /\KS21_005-Concrete Drop Inlet. Drawing NBC-GTW-CL-0040 \m²\20.4756 \ 650" u="1"/>
        <s v="SABS1200 GA \CONCRETE (SMALL WORKS)/8.2\SCHEDULED FORMWORK ITEMS/8.2.1\Rough Formwork - Vertical (0°). /\KS18_002-Concrete Drop Inlet. Drawing NBC-GTW-CL-0020 \m²\17.6 \ 650" u="1"/>
        <s v="SABS1200 GA \CONCRETE (SMALL WORKS)/8.2\SCHEDULED FORMWORK ITEMS/8.2.1\Rough Formwork - Vertical (0°). /\KS13_013-Concrete Drop Inlet. Drawing NBC-GTW-CL-0017 \m²\13.04 \ 650" u="1"/>
        <s v="SABS1200 GA \CONCRETE (SMALL WORKS)/8.2\SCHEDULED FORMWORK ITEMS/8.2.1\Rough Formwork - Vertical (0°). /\KS20_006-Concrete Drop Inlet. Drawing NBC-GTW-CL-0032 \m²\28.7426 \ 650" u="1"/>
        <s v="SABS1200 GA \CONCRETE (SMALL WORKS)/8.2\SCHEDULED FORMWORK ITEMS/8.2.1\Rough Formwork - Vertical (0°). /\KS20_009_a-Concrete Buttress Weir. Drawing NBC-GTW-CL-0035 \m²\69.6344577319588 \ 650" u="1"/>
        <s v="SABS1200 GA \CONCRETE (SMALL WORKS)/8.2\SCHEDULED FORMWORK ITEMS/8.2.1\Rough Formwork - Vertical (0°). /\KS20_009_b-Concrete Overflow Wall. Drawing NBC-GTW-CL-0035 \m²\29.036 \ 650" u="1"/>
        <s v="SABS1200 GA \CONCRETE (SMALL WORKS)/8.2\SCHEDULED FORMWORK ITEMS/8.2.1\Rough Formwork - Vertical (0°). /\KS20_004-Concrete Drop Inlet. Drawing NBC-GTW-CL-0030 \m²\19.9134 \ 650" u="1"/>
        <s v="SABS1200 GA \CONCRETE (SMALL WORKS)/8.2\SCHEDULED FORMWORK ITEMS/8.2.1\Rough Formwork - Vertical (0°). /\KS20_003-Concrete Buttress Weir. Drawing NBC-GTW-CL-0029 \m²\50.7771862068966 \ 650" u="1"/>
        <s v="SABS1200 GA \CONCRETE (SMALL WORKS)/8.2\SCHEDULED FORMWORK ITEMS/8.2.1\Rough Formwork - Vertical (0°). /\KS18_018-Concrete Drop Inlet. Drawing NBC-GTW-CL-0024 \m²\13.81 \ 650" u="1"/>
        <s v="SABS1200 GA \CONCRETE (SMALL WORKS)/8.2\SCHEDULED FORMWORK ITEMS/8.2.1\Rough Formwork - Vertical (0°). /\KS20_002-Concrete Drop Inlet. Drawing NBC-GTW-CL-0028 \m²\4.8 \ 650" u="1"/>
        <s v="SABS1200 GA \CONCRETE (SMALL WORKS)/8.2\SCHEDULED FORMWORK ITEMS/8.2.1\Rough Formwork - Vertical (0°). /\KS21_010-Concrete Drop Inlet. Drawing NBC-GTW-CL-0044 \m²\17.0307 \ 650" u="1"/>
        <s v="SABS1200 GA \CONCRETE (SMALL WORKS)/8.2\SCHEDULED FORMWORK ITEMS/8.2.1\Rough Formwork - Vertical (0°). /\KS18_020-Concrete Drop Inlet associated with Road Culvert  \m²\18.465 \ 650" u="1"/>
        <s v="SABS1200 GA \CONCRETE (SMALL WORKS)/8.2\SCHEDULED FORMWORK ITEMS/8.2.1\Rough Formwork - Vertical (0°). /\KS18_015-Concrete Drop Inlet. Drawing NBC-GTW-CL-0021 \m²\23.46 \ 650" u="1"/>
        <s v="SABS1200 GA \CONCRETE (SMALL WORKS)/8.2\SCHEDULED FORMWORK ITEMS/8.2.1\Rough Formwork - Vertical (0°). /\KS21_009-Concrete Drop Inlet. Drawing NBC-GTW-CL-0043 \m²\18.4275 \ 650" u="1"/>
        <s v="SABS1200 GA \CONCRETE (SMALL WORKS)/8.2\SCHEDULED FORMWORK ITEMS/8.2.1\Rough Formwork - Vertical (0°). /\KS13_007-Concrete Drop Inlet. Drawing NBC-GTW-CL-0013 \m²\14.91 \ 650" u="1"/>
        <s v="SABS1200 GA \CONCRETE (SMALL WORKS)/8.2\SCHEDULED FORMWORK ITEMS/8.2.1\Rough Formwork - Vertical (0°). /\KS13_011-Concrete Drop Inlet. Drawing NBC-GTW-CL-0015 \m²\20.2 \ 650" u="1"/>
        <s v="SABS1200 GA \CONCRETE (SMALL WORKS)/8.2\SCHEDULED FORMWORK ITEMS/8.2.1\Rough Formwork - Vertical (0°). /\KS18_017-Concrete Drop Inlet. Drawing NBC-GTW-CL-0023 \m²\17.06 \ 650" u="1"/>
        <s v="SABS1200 GA \CONCRETE (SMALL WORKS)/8.2\SCHEDULED FORMWORK ITEMS/8.2.1\Rough Formwork - Vertical (0°). /\KS13_005-Concrete Drop Inlet. Drawing NBC-GTW-CL-0011 \m²\18.96 \ 650" u="1"/>
        <s v="SABS1200 GA \CONCRETE (SMALL WORKS)/8.2\SCHEDULED FORMWORK ITEMS/8.2.1\Rough Formwork - Vertical (0°). /\KS20_007-Concrete Drop Inlet. Drawing NBC-GTW-CL-0033 \m²\18.3664 \ 650" u="1"/>
        <s v="SABS1200 GA \CONCRETE (SMALL WORKS)/8.2\SCHEDULED FORMWORK ITEMS/8.2.1\Rough Formwork - Vertical (0°). /\KS18_001-Concrete Drop Inlet. Drawing NBC-GTW-CL-0019 \m²\34.38 \ 650" u="1"/>
        <s v="SABS1200 GA \CONCRETE (SMALL WORKS)/8.2\SCHEDULED FORMWORK ITEMS/8.2.1\Rough Formwork - Vertical (0°). /\KS13_004-Concrete Drop Inlet. Drawing NBC-GTW-CL-0010 \m²\12.74 \ 650" u="1"/>
        <s v="SABS1200 GA \CONCRETE (SMALL WORKS)/8.2\SCHEDULED FORMWORK ITEMS/8.2.1\Rough Formwork - Vertical (0°). /\KS13_012-Concrete Drop Inlet. Drawing NBC-GTW-CL-0016 \m²\16.88 \ 650" u="1"/>
        <s v="SABS1200 GA \CONCRETE (SMALL WORKS)/8.2\SCHEDULED FORMWORK ITEMS/8.2.1\Rough Formwork - Vertical (0°). /\KS21_007-Concrete Drop Inlet. Drawing NBC-GTW-CL-0042 \m²\14.7763 \ 650" u="1"/>
        <s v="SABS1200 GA \CONCRETE (SMALL WORKS)/8.2\SCHEDULED FORMWORK ITEMS/8.2.1\Rough Formwork - Vertical (0°). /\KS13_015-Concrete Drop Inlet. Drawing NBC-GTW-CL-0018 \m²\13.34 \ 650" u="1"/>
        <s v="SABS1200 GA \CONCRETE (SMALL WORKS)/8.2\SCHEDULED FORMWORK ITEMS/8.2.1\Rough Formwork - Vertical (0°). /\KS20_008-Concrete Drop Inlet. Drawing NBC-GTW-CL-0034 \m²\32.34 \ 650" u="1"/>
        <s v="SABS1200 GA \CONCRETE (SMALL WORKS)/8.2\SCHEDULED FORMWORK ITEMS/8.2.1\Rough Formwork - Vertical (0°). /\KS20_005-Concrete Drop Inlet. Drawing NBC-GTW-CL-0031 \m²\27.8504 \ 650" u="1"/>
        <s v="SABS1200 GA \CONCRETE (SMALL WORKS)/8.2\SCHEDULED FORMWORK ITEMS/8.2.1\Rough Formwork - Vertical (0°). /\KS18_019-Concrete Drop Inlet. Drawing NBC-GTW-CL-0025 \m²\4.56 \ 650" u="1"/>
        <s v="SABS1200 GA \CONCRETE (SMALL WORKS)/8.2\SCHEDULED FORMWORK ITEMS/8.2.1\Rough Formwork - Vertical (0°). /\KS13_008-Concrete Drop Inlet. Drawing NBC-GTW-CL-0014 \m²\19.39 \ 650" u="1"/>
      </sharedItems>
    </cacheField>
    <cacheField name="Smooth - Horizontal (85°-90°)2" numFmtId="0">
      <sharedItems count="1">
        <s v=" "/>
      </sharedItems>
    </cacheField>
    <cacheField name="Smooth - Sloping (&gt;10°&lt;85°)2" numFmtId="0">
      <sharedItems count="1">
        <s v=" "/>
      </sharedItems>
    </cacheField>
    <cacheField name="Smooth - Battered (&lt;10°)2" numFmtId="0">
      <sharedItems count="1">
        <s v=" "/>
      </sharedItems>
    </cacheField>
    <cacheField name="Smooth - Vertical (0°)2" numFmtId="0">
      <sharedItems count="1">
        <s v=" "/>
      </sharedItems>
    </cacheField>
    <cacheField name="Narrow Widths (up to 300 mm)2" numFmtId="0">
      <sharedItems count="1">
        <s v=" "/>
      </sharedItems>
    </cacheField>
    <cacheField name="Box Out Holes (Up to 0.35 m Diameter and 0.5 m deep)2" numFmtId="0">
      <sharedItems count="37" longText="1">
        <s v=" "/>
        <s v="SABS1200 GA \CONCRETE (SMALL WORKS)/8.2\SCHEDULED FORMWORK ITEMS/8.2.4\Create Weep holes (50 mm Diameter). Rate to allow for the creation of weep holes in the concrete apron slab using 50 mm diameter PVC pipe./\ks11-002a-Concrete Drop Inlet on Dam Wall  \No.\16 \ 30"/>
        <s v="SABS1200 GA \CONCRETE (SMALL WORKS)/8.2\SCHEDULED FORMWORK ITEMS/8.2.4\Create Weep holes (50 mm Diameter). Rate to allow for the creation of weep holes in the concrete apron slab using 50 mm diameter PVC pipe./\ks11-004a-Concrete Drop Inlet on Dam Wall  \No.\16 \ 30"/>
        <s v="SABS1200 GA \CONCRETE (SMALL WORKS)/8.2\SCHEDULED FORMWORK ITEMS/8.2.4\Create Weep holes (50 mm Diameter). Rate to allow for the creation of weep holes in the concrete apron slab using 50 mm diameter PVC pipe./\KS12_004-Concrete Drop Inlet. Drawing NBC-GTW-CL-0003 \No.\7 \ 30"/>
        <s v="SABS1200 GA \CONCRETE (SMALL WORKS)/8.2\SCHEDULED FORMWORK ITEMS/8.2.4\Create Weep holes (50 mm Diameter). Rate to allow for the creation of weep holes in the concrete apron slab using 50 mm diameter PVC pipe./\KS12_005-Concrete Drop Inlet. Drawing NBC-GTW-CL-0004 \No.\6 \ 30"/>
        <s v="SABS1200 GA \CONCRETE (SMALL WORKS)/8.2\SCHEDULED FORMWORK ITEMS/8.2.4\Create Weep holes (50 mm Diameter). Rate to allow for the creation of weep holes in the concrete apron slab using 50 mm diameter PVC pipe./\KS12_006-Concrete Drop Inlet. Drawing NBC-GTW-CL-0005 \No.\5 \ 30"/>
        <s v="SABS1200 GA \CONCRETE (SMALL WORKS)/8.2\SCHEDULED FORMWORK ITEMS/8.2.4\Create Weep holes (50 mm Diameter). Rate to allow for the creation of weep holes in the concrete apron slab using 50 mm diameter PVC pipe./\KS12_007-Concrete Drop Inlet. Drawing NBC-GTW-CL-0006 \No.\5 \ 30"/>
        <s v="SABS1200 GA \CONCRETE (SMALL WORKS)/8.2\SCHEDULED FORMWORK ITEMS/8.2.4\Create Weep holes (50 mm Diameter). Rate to allow for the creation of weep holes in the concrete apron slab using 50 mm diameter PVC pipe./\KS12_008-Concrete Drop Inlet. Drawing NBC-GTW-CL-0007 \No.\4 \ 30"/>
        <s v="SABS1200 GA \CONCRETE (SMALL WORKS)/8.2\SCHEDULED FORMWORK ITEMS/8.2.4\Create Weep holes (50 mm Diameter). Rate to allow for the creation of weep holes in the concrete apron slab using 50 mm diameter PVC pipe./\KS12_009-Concrete Drop Inlet. Drawing NBC-GTW-CL-0008 \No.\3 \ 30"/>
        <s v="SABS1200 GA \CONCRETE (SMALL WORKS)/8.2\SCHEDULED FORMWORK ITEMS/8.2.4\Create Weep holes (50 mm Diameter). Rate to allow for the creation of weep holes in the concrete apron slab using 50 mm diameter PVC pipe./\KS13_003-Concrete Drop Inlet. Drawing NBC-GTW-CL-0009 \No.\8 \ 30"/>
        <s v="SABS1200 GA \CONCRETE (SMALL WORKS)/8.2\SCHEDULED FORMWORK ITEMS/8.2.4\Create Weep holes (50 mm Diameter). Rate to allow for the creation of weep holes in the concrete apron slab using 50 mm diameter PVC pipe./\KS19_002-Concrete Drop Inlet. Drawing NBC-GTW-CL-0026 \No.\6 \ 30"/>
        <s v="SABS1200 GA \CONCRETE (SMALL WORKS)/8.2\SCHEDULED FORMWORK ITEMS/8.2.4\Create Weep holes (50 mm Diameter). Rate to allow for the creation of weep holes in the concrete apron slab using 50 mm diameter PVC pipe./\KS20_001-Concrete Drop Inlet. Drawing NBC-GTW-CL-0027 \No.\7 \ 30"/>
        <s v="SABS1200 GA \CONCRETE (SMALL WORKS)/8.2\SCHEDULED FORMWORK ITEMS/8.2.4\Create Weep holes (50 mm Diameter). Rate to allow for the creation of weep holes in the concrete apron slab using 50 mm diameter PVC pipe./\KS13_004-Concrete Drop Inlet. Drawing NBC-GTW-CL-0010 \No.\7 \ 30" u="1"/>
        <s v="SABS1200 GA \CONCRETE (SMALL WORKS)/8.2\SCHEDULED FORMWORK ITEMS/8.2.4\Create Weep holes (50 mm Diameter). Rate to allow for the creation of weep holes in the concrete apron slab using 50 mm diameter PVC pipe./\KS13_005-Concrete Drop Inlet. Drawing NBC-GTW-CL-0011 \No.\7 \ 30" u="1"/>
        <s v="SABS1200 GA \CONCRETE (SMALL WORKS)/8.2\SCHEDULED FORMWORK ITEMS/8.2.4\Create Weep holes (50 mm Diameter). Rate to allow for the creation of weep holes in the concrete apron slab using 50 mm diameter PVC pipe./\KS13_006-Concrete Drop Inlet. Drawing NBC-GTW-CL-0012 \No.\7 \ 30" u="1"/>
        <s v="SABS1200 GA \CONCRETE (SMALL WORKS)/8.2\SCHEDULED FORMWORK ITEMS/8.2.4\Create Weep holes (50 mm Diameter). Rate to allow for the creation of weep holes in the concrete apron slab using 50 mm diameter PVC pipe./\KS13_007-Concrete Drop Inlet. Drawing NBC-GTW-CL-0013 \No.\7 \ 30" u="1"/>
        <s v="SABS1200 GA \CONCRETE (SMALL WORKS)/8.2\SCHEDULED FORMWORK ITEMS/8.2.4\Create Weep holes (50 mm Diameter). Rate to allow for the creation of weep holes in the concrete apron slab using 50 mm diameter PVC pipe./\KS13_012-Concrete Drop Inlet. Drawing NBC-GTW-CL-0016 \No.\7 \ 30" u="1"/>
        <s v="SABS1200 GA \CONCRETE (SMALL WORKS)/8.2\SCHEDULED FORMWORK ITEMS/8.2.4\Create Weep holes (50 mm Diameter). Rate to allow for the creation of weep holes in the concrete apron slab using 50 mm diameter PVC pipe./\KS18_016-Concrete Drop Inlet. Drawing NBC-GTW-CL-0022 \No.\7 \ 30" u="1"/>
        <s v="SABS1200 GA \CONCRETE (SMALL WORKS)/8.2\SCHEDULED FORMWORK ITEMS/8.2.4\Create Weep holes (50 mm Diameter). Rate to allow for the creation of weep holes in the concrete apron slab using 50 mm diameter PVC pipe./\KS18_017-Concrete Drop Inlet. Drawing NBC-GTW-CL-0023 \No.\7 \ 30" u="1"/>
        <s v="SABS1200 GA \CONCRETE (SMALL WORKS)/8.2\SCHEDULED FORMWORK ITEMS/8.2.4\Create Weep holes (50 mm Diameter). Rate to allow for the creation of weep holes in the concrete apron slab using 50 mm diameter PVC pipe./\KS20_004-Concrete Drop Inlet. Drawing NBC-GTW-CL-0030 \No.\10 \ 30" u="1"/>
        <s v="SABS1200 GA \CONCRETE (SMALL WORKS)/8.2\SCHEDULED FORMWORK ITEMS/8.2.4\Create Weep holes (50 mm Diameter). Rate to allow for the creation of weep holes in the concrete apron slab using 50 mm diameter PVC pipe./\KS20_007-Concrete Drop Inlet. Drawing NBC-GTW-CL-0033 \No.\10 \ 30" u="1"/>
        <s v="SABS1200 GA \CONCRETE (SMALL WORKS)/8.2\SCHEDULED FORMWORK ITEMS/8.2.4\Create Weep holes (50 mm Diameter). Rate to allow for the creation of weep holes in the concrete apron slab using 50 mm diameter PVC pipe./\KS21_007-Concrete Drop Inlet. Drawing NBC-GTW-CL-0042 \No.\10 \ 30" u="1"/>
        <s v="SABS1200 GA \CONCRETE (SMALL WORKS)/8.2\SCHEDULED FORMWORK ITEMS/8.2.4\Create Weep holes (50 mm Diameter). Rate to allow for the creation of weep holes in the concrete apron slab using 50 mm diameter PVC pipe./\KS18_018-Concrete Drop Inlet. Drawing NBC-GTW-CL-0024 \No.\6 \ 30" u="1"/>
        <s v="SABS1200 GA \CONCRETE (SMALL WORKS)/8.2\SCHEDULED FORMWORK ITEMS/8.2.4\Create Weep holes (50 mm Diameter). Rate to allow for the creation of weep holes in the concrete apron slab using 50 mm diameter PVC pipe./\KS18_019-Concrete Drop Inlet. Drawing NBC-GTW-CL-0025 \No.\6 \ 30" u="1"/>
        <s v="SABS1200 GA \CONCRETE (SMALL WORKS)/8.2\SCHEDULED FORMWORK ITEMS/8.2.4\Create Weep holes (50 mm Diameter). Rate to allow for the creation of weep holes in the concrete apron slab using 50 mm diameter PVC pipe./\KS20_005-Concrete Drop Inlet. Drawing NBC-GTW-CL-0031 \No.\13 \ 30" u="1"/>
        <s v="SABS1200 GA \CONCRETE (SMALL WORKS)/8.2\SCHEDULED FORMWORK ITEMS/8.2.4\Create Weep holes (50 mm Diameter). Rate to allow for the creation of weep holes in the concrete apron slab using 50 mm diameter PVC pipe./\KS20_008-Concrete Drop Inlet. Drawing NBC-GTW-CL-0034 \No.\13 \ 30" u="1"/>
        <s v="SABS1200 GA \CONCRETE (SMALL WORKS)/8.2\SCHEDULED FORMWORK ITEMS/8.2.4\Create Weep holes (50 mm Diameter). Rate to allow for the creation of weep holes in the concrete apron slab using 50 mm diameter PVC pipe./\KS18_001-Concrete Drop Inlet. Drawing NBC-GTW-CL-0019 \No.\15 \ 30" u="1"/>
        <s v="SABS1200 GA \CONCRETE (SMALL WORKS)/8.2\SCHEDULED FORMWORK ITEMS/8.2.4\Create Weep holes (50 mm Diameter). Rate to allow for the creation of weep holes in the concrete apron slab using 50 mm diameter PVC pipe./\KS20_003-Concrete Buttress Weir. Drawing NBC-GTW-CL-0029 \No.\16 \ 30" u="1"/>
        <s v="SABS1200 GA \CONCRETE (SMALL WORKS)/8.2\SCHEDULED FORMWORK ITEMS/8.2.4\Create Weep holes (50 mm Diameter). Rate to allow for the creation of weep holes in the concrete apron slab using 50 mm diameter PVC pipe./\KS13_008-Concrete Drop Inlet. Drawing NBC-GTW-CL-0014 \No.\9 \ 30" u="1"/>
        <s v="SABS1200 GA \CONCRETE (SMALL WORKS)/8.2\SCHEDULED FORMWORK ITEMS/8.2.4\Create Weep holes (50 mm Diameter). Rate to allow for the creation of weep holes in the concrete apron slab using 50 mm diameter PVC pipe./\KS18_002-Concrete Drop Inlet. Drawing NBC-GTW-CL-0020 \No.\9 \ 30" u="1"/>
        <s v="SABS1200 GA \CONCRETE (SMALL WORKS)/8.2\SCHEDULED FORMWORK ITEMS/8.2.4\Create Weep holes (50 mm Diameter). Rate to allow for the creation of weep holes in the concrete apron slab using 50 mm diameter PVC pipe./\KS18_015-Concrete Drop Inlet. Drawing NBC-GTW-CL-0021 \No.\9 \ 30" u="1"/>
        <s v="SABS1200 GA \CONCRETE (SMALL WORKS)/8.2\SCHEDULED FORMWORK ITEMS/8.2.4\Create Weep holes (50 mm Diameter). Rate to allow for the creation of weep holes in the concrete apron slab using 50 mm diameter PVC pipe./\KS20_009_a-Concrete Buttress Weir. Drawing NBC-GTW-CL-0035 \No.\15 \ 30" u="1"/>
        <s v="SABS1200 GA \CONCRETE (SMALL WORKS)/8.2\SCHEDULED FORMWORK ITEMS/8.2.4\Create Weep holes (50 mm Diameter). Rate to allow for the creation of weep holes in the concrete apron slab using 50 mm diameter PVC pipe./\KS13_011-Concrete Drop Inlet. Drawing NBC-GTW-CL-0015 \No.\8 \ 30" u="1"/>
        <s v="SABS1200 GA \CONCRETE (SMALL WORKS)/8.2\SCHEDULED FORMWORK ITEMS/8.2.4\Create Weep holes (50 mm Diameter). Rate to allow for the creation of weep holes in the concrete apron slab using 50 mm diameter PVC pipe./\KS13_013-Concrete Drop Inlet. Drawing NBC-GTW-CL-0017 \No.\8 \ 30" u="1"/>
        <s v="SABS1200 GA \CONCRETE (SMALL WORKS)/8.2\SCHEDULED FORMWORK ITEMS/8.2.4\Create Weep holes (50 mm Diameter). Rate to allow for the creation of weep holes in the concrete apron slab using 50 mm diameter PVC pipe./\KS13_015-Concrete Drop Inlet. Drawing NBC-GTW-CL-0018 \No.\8 \ 30" u="1"/>
        <s v="SABS1200 GA \CONCRETE (SMALL WORKS)/8.2\SCHEDULED FORMWORK ITEMS/8.2.4\Create Weep holes (50 mm Diameter). Rate to allow for the creation of weep holes in the concrete apron slab using 50 mm diameter PVC pipe./\KS21_009-Concrete Drop Inlet. Drawing NBC-GTW-CL-0043 \No.\8 \ 30" u="1"/>
        <s v="SABS1200 GA \CONCRETE (SMALL WORKS)/8.2\SCHEDULED FORMWORK ITEMS/8.2.4\Create Weep holes (50 mm Diameter). Rate to allow for the creation of weep holes in the concrete apron slab using 50 mm diameter PVC pipe./\KS21_010-Concrete Drop Inlet. Drawing NBC-GTW-CL-0044 \No.\8 \ 30" u="1"/>
      </sharedItems>
    </cacheField>
    <cacheField name="a) Wood floated Finish2" numFmtId="0">
      <sharedItems count="76">
        <s v=" "/>
        <s v="SABS1200 GA \CONCRETE (SMALL WORKS)/8.4\SCHEDULED CONCRETE ITEMS/8.4.4\a) Wood floated Finish. /\ks11-001-Off-take structure  \m²\4.316 \ 30"/>
        <s v="SABS1200 GA \CONCRETE (SMALL WORKS)/8.4\SCHEDULED CONCRETE ITEMS/8.4.4\a) Wood floated Finish. /\ks11-002a-Concrete Drop Inlet on Dam Wall  \m²\15 \ 30"/>
        <s v="SABS1200 GA \CONCRETE (SMALL WORKS)/8.4\SCHEDULED CONCRETE ITEMS/8.4.4\a) Wood floated Finish. /\ks11-004a-Concrete Drop Inlet on Dam Wall  \m²\15 \ 30"/>
        <s v="SABS1200 GA \CONCRETE (SMALL WORKS)/8.4\SCHEDULED CONCRETE ITEMS/8.4.4\a) Wood floated Finish. /\KS12_001-Pipe Culvert. Drawing NBC-GTW-CL-0069 \m²\3 \ 30"/>
        <s v="SABS1200 GA \CONCRETE (SMALL WORKS)/8.4\SCHEDULED CONCRETE ITEMS/8.4.4\a) Wood floated Finish. /\KS12_004-Concrete Drop Inlet. Drawing NBC-GTW-CL-0003 \m²\7.86 \ 30"/>
        <s v="SABS1200 GA \CONCRETE (SMALL WORKS)/8.4\SCHEDULED CONCRETE ITEMS/8.4.4\a) Wood floated Finish. /\KS12_005-Concrete Drop Inlet. Drawing NBC-GTW-CL-0004 \m²\7.26 \ 30"/>
        <s v="SABS1200 GA \CONCRETE (SMALL WORKS)/8.4\SCHEDULED CONCRETE ITEMS/8.4.4\a) Wood floated Finish. /\KS12_006-Concrete Drop Inlet. Drawing NBC-GTW-CL-0005 \m²\7.08 \ 30"/>
        <s v="SABS1200 GA \CONCRETE (SMALL WORKS)/8.4\SCHEDULED CONCRETE ITEMS/8.4.4\a) Wood floated Finish. /\KS12_007-Concrete Drop Inlet. Drawing NBC-GTW-CL-0006 \m²\7.35 \ 30"/>
        <s v="SABS1200 GA \CONCRETE (SMALL WORKS)/8.4\SCHEDULED CONCRETE ITEMS/8.4.4\a) Wood floated Finish. /\KS12_008-Concrete Drop Inlet. Drawing NBC-GTW-CL-0007 \m²\6.66 \ 30"/>
        <s v="SABS1200 GA \CONCRETE (SMALL WORKS)/8.4\SCHEDULED CONCRETE ITEMS/8.4.4\a) Wood floated Finish. /\KS12_009-Concrete Drop Inlet. Drawing NBC-GTW-CL-0008 \m²\6.36 \ 30"/>
        <s v="SABS1200 GA \CONCRETE (SMALL WORKS)/8.4\SCHEDULED CONCRETE ITEMS/8.4.4\a) Wood floated Finish. /\KS13_003-Concrete Drop Inlet. Drawing NBC-GTW-CL-0009 \m²\8.315 \ 30"/>
        <s v="SABS1200 GA \CONCRETE (SMALL WORKS)/8.4\SCHEDULED CONCRETE ITEMS/8.4.4\a) Wood floated Finish. /\KS13_004-Concrete Check Wall. Drawing NBC-GTW-CL-0010 \m²\3.9 \ 30"/>
        <s v="SABS1200 GA \CONCRETE (SMALL WORKS)/8.4\SCHEDULED CONCRETE ITEMS/8.4.4\a) Wood floated Finish. /\KS13_005-Concrete Check Wall. Drawing NBC-GTW-CL-0011 \m²\3.9 \ 30"/>
        <s v="SABS1200 GA \CONCRETE (SMALL WORKS)/8.4\SCHEDULED CONCRETE ITEMS/8.4.4\a) Wood floated Finish. /\KS13_006-Concrete Check Wall. Drawing NBC-GTW-CL-0012 \m²\4.2 \ 30"/>
        <s v="SABS1200 GA \CONCRETE (SMALL WORKS)/8.4\SCHEDULED CONCRETE ITEMS/8.4.4\a) Wood floated Finish. /\KS13_007-Concrete Check Wall. Drawing NBC-GTW-CL-0013 \m²\4.05 \ 30"/>
        <s v="SABS1200 GA \CONCRETE (SMALL WORKS)/8.4\SCHEDULED CONCRETE ITEMS/8.4.4\a) Wood floated Finish. /\KS13_008-Concrete Check Wall. Drawing NBC-GTW-CL-0014 \m²\3.75 \ 30"/>
        <s v="SABS1200 GA \CONCRETE (SMALL WORKS)/8.4\SCHEDULED CONCRETE ITEMS/8.4.4\a) Wood floated Finish. /\KS13_011-Concrete Check Wall. Drawing NBC-GTW-CL-0015 \m²\4.5 \ 30"/>
        <s v="SABS1200 GA \CONCRETE (SMALL WORKS)/8.4\SCHEDULED CONCRETE ITEMS/8.4.4\a) Wood floated Finish. /\KS13_012-Concrete Check Wall. Drawing NBC-GTW-CL-0016 \m²\3.6 \ 30"/>
        <s v="SABS1200 GA \CONCRETE (SMALL WORKS)/8.4\SCHEDULED CONCRETE ITEMS/8.4.4\a) Wood floated Finish. /\KS13_013-Concrete Check Wall. Drawing NBC-GTW-CL-0017 \m²\3.6 \ 30"/>
        <s v="SABS1200 GA \CONCRETE (SMALL WORKS)/8.4\SCHEDULED CONCRETE ITEMS/8.4.4\a) Wood floated Finish. /\KS13_015-Concrete Check Wall. Drawing NBC-GTW-CL-0018 \m²\3.9 \ 30"/>
        <s v="SABS1200 GA \CONCRETE (SMALL WORKS)/8.4\SCHEDULED CONCRETE ITEMS/8.4.4\a) Wood floated Finish. /\KS18_001-Concrete Check Wall. Drawing NBC-GTW-CL-0019 \m²\5.1 \ 30"/>
        <s v="SABS1200 GA \CONCRETE (SMALL WORKS)/8.4\SCHEDULED CONCRETE ITEMS/8.4.4\a) Wood floated Finish. /\KS18_002A-Concrete Check Wall. Drawing NBC-GTW-CL-0020 \m²\4.2 \ 30"/>
        <s v="SABS1200 GA \CONCRETE (SMALL WORKS)/8.4\SCHEDULED CONCRETE ITEMS/8.4.4\a) Wood floated Finish. /\KS18_002B-Concrete Check Wall  \m²\4.2 \ 30"/>
        <s v="SABS1200 GA \CONCRETE (SMALL WORKS)/8.4\SCHEDULED CONCRETE ITEMS/8.4.4\a) Wood floated Finish. /\KS18_015-Concrete Check Wall. Drawing NBC-GTW-CL-0021 \m²\3.9 \ 30"/>
        <s v="SABS1200 GA \CONCRETE (SMALL WORKS)/8.4\SCHEDULED CONCRETE ITEMS/8.4.4\a) Wood floated Finish. /\KS18_016-Concrete Check Wall. Drawing NBC-GTW-CL-0022 \m²\3.6 \ 30"/>
        <s v="SABS1200 GA \CONCRETE (SMALL WORKS)/8.4\SCHEDULED CONCRETE ITEMS/8.4.4\a) Wood floated Finish. /\KS18_017-Concrete Check Wall. Drawing NBC-GTW-CL-0023 \m²\3.6 \ 30"/>
        <s v="SABS1200 GA \CONCRETE (SMALL WORKS)/8.4\SCHEDULED CONCRETE ITEMS/8.4.4\a) Wood floated Finish. /\KS18_018-Concrete Check Wall. Drawing NBC-GTW-CL-0024 \m²\3.45 \ 30"/>
        <s v="SABS1200 GA \CONCRETE (SMALL WORKS)/8.4\SCHEDULED CONCRETE ITEMS/8.4.4\a) Wood floated Finish. /\KS18_019-Concrete Check Wall. Drawing NBC-GTW-CL-0025 \m²\3.6 \ 30"/>
        <s v="SABS1200 GA \CONCRETE (SMALL WORKS)/8.4\SCHEDULED CONCRETE ITEMS/8.4.4\a) Wood floated Finish. /\KS18_020-Concrete Check Wall  \m²\3.75 \ 30"/>
        <s v="SABS1200 GA \CONCRETE (SMALL WORKS)/8,4\SCHEDULED CONCRETE ITEMS/8.4.4\a) Wood floated Finish. /\KS18_014-Concrete Check Wall. Drawing NBC-GTW-CL-0001 \m²\3,6 \ 30"/>
        <s v="SABS1200 GA \CONCRETE (SMALL WORKS)/8.4\SCHEDULED CONCRETE ITEMS/8.4.4\a) Wood floated Finish. /\KS19_002-Concrete Drop Inlet. Drawing NBC-GTW-CL-0026 \m²\8.004 \ 30"/>
        <s v="SABS1200 GA \CONCRETE (SMALL WORKS)/8.4\SCHEDULED CONCRETE ITEMS/8.4.4\a) Wood floated Finish. /\KS20_001-Concrete Drop Inlet. Drawing NBC-GTW-CL-0027 \m²\7.905 \ 30"/>
        <s v="SABS1200 GA \CONCRETE (SMALL WORKS)/8.4\SCHEDULED CONCRETE ITEMS/8.4.4\a) Wood floated Finish. /\KS20_002-Concrete Check Wall. Drawing NBC-GTW-CL-0028 \m²\3.6 \ 30"/>
        <s v="SABS1200 GA \CONCRETE (SMALL WORKS)/8.4\SCHEDULED CONCRETE ITEMS/8.4.4\a) Wood floated Finish. /\KS20_003-Concrete Check Wall. Drawing NBC-GTW-CL-0029 \m²\3.9 \ 30"/>
        <s v="SABS1200 GA \CONCRETE (SMALL WORKS)/8.4\SCHEDULED CONCRETE ITEMS/8.4.4\a) Wood floated Finish. /\KS20_004-Concrete Check Wall. Drawing NBC-GTW-CL-0030 \m²\4.5 \ 30"/>
        <s v="SABS1200 GA \CONCRETE (SMALL WORKS)/8.4\SCHEDULED CONCRETE ITEMS/8.4.4\a) Wood floated Finish. /\KS20_005-Concrete Check Wall. Drawing NBC-GTW-CL-0031 \m²\4.5 \ 30"/>
        <s v="SABS1200 GA \CONCRETE (SMALL WORKS)/8,4\SCHEDULED CONCRETE ITEMS/8.4.4\a) Wood floated Finish. /\KS20_006-Concrete Check Wall. Drawing NBC-GTW-CL-0032 \m²\4,8 \ 30"/>
        <s v="SABS1200 GA \CONCRETE (SMALL WORKS)/8.4\SCHEDULED CONCRETE ITEMS/8.4.4\a) Wood floated Finish. /\KS20_007-Concrete Check Wall. Drawing NBC-GTW-CL-0033 \m²\4.5 \ 30"/>
        <s v="SABS1200 GA \CONCRETE (SMALL WORKS)/8.4\SCHEDULED CONCRETE ITEMS/8.4.4\a) Wood floated Finish. /\KS20_008-Concrete Check Wall. Drawing NBC-GTW-CL-0034 \m²\4.35 \ 30"/>
        <s v="SABS1200 GA \CONCRETE (SMALL WORKS)/8.4\SCHEDULED CONCRETE ITEMS/8.4.4\a) Wood floated Finish. /\KS20_009_a-Concrete Check Wall. Drawing NBC-GTW-CL-0035 \m²\15 \ 30"/>
        <s v="SABS1200 GA \CONCRETE (SMALL WORKS)/8.4\SCHEDULED CONCRETE ITEMS/8.4.4\a) Wood floated Finish. /\KS20_009_b-Concrete Check Wall. Drawing NBC-GTW-CL-0035 \m²\2 \ 30"/>
        <s v="SABS1200 GA \CONCRETE (SMALL WORKS)/8.4\SCHEDULED CONCRETE ITEMS/8.4.4\a) Wood floated Finish. /\KS21_003-Concrete Drop Inlet. Drawing NBC-GTW-CL-0039 \m²\9.545 \ 30"/>
        <s v="SABS1200 GA \CONCRETE (SMALL WORKS)/8,4\SCHEDULED CONCRETE ITEMS/8.4.4\a) Wood floated Finish. /\KS21_005-Concrete Drop Inlet. Drawing NBC-GTW-CL-0040 \m²\9,545 \ 30"/>
        <s v="SABS1200 GA \CONCRETE (SMALL WORKS)/8.4\SCHEDULED CONCRETE ITEMS/8.4.4\a) Wood floated Finish. /\KS13_011-Concrete Drop Inlet. Drawing NBC-GTW-CL-0015 \m²\8.1 \ 30" u="1"/>
        <s v="SABS1200 GA \CONCRETE (SMALL WORKS)/8.4\SCHEDULED CONCRETE ITEMS/8.4.4\a) Wood floated Finish. /\KS13_004-Concrete Drop Inlet. Drawing NBC-GTW-CL-0010 \m²\7.905 \ 30" u="1"/>
        <s v="SABS1200 GA \CONCRETE (SMALL WORKS)/8.4\SCHEDULED CONCRETE ITEMS/8.4.4\a) Wood floated Finish. /\KS21_009-Concrete Drop Inlet. Drawing NBC-GTW-CL-0043 \m²\6.92 \ 30" u="1"/>
        <s v="SABS1200 GA \CONCRETE (SMALL WORKS)/8.4\SCHEDULED CONCRETE ITEMS/8.4.4\a) Wood floated Finish. /\KS21_010-Concrete Drop Inlet. Drawing NBC-GTW-CL-0044 \m²\6.92 \ 30" u="1"/>
        <s v="SABS1200 GA \CONCRETE (SMALL WORKS)/8.4\SCHEDULED CONCRETE ITEMS/8.4.4\a) Wood floated Finish. /\KS20_006-Concrete Drop Inlet. Drawing NBC-GTW-CL-0032 \m²\9.46 \ 30" u="1"/>
        <s v="SABS1200 GA \CONCRETE (SMALL WORKS)/8.4\SCHEDULED CONCRETE ITEMS/8.4.4\a) Wood floated Finish. /\KS20_006-Concrete Check Wall. Drawing NBC-GTW-CL-0032 \m²\4.8 \ 30" u="1"/>
        <s v="SABS1200 GA \CONCRETE (SMALL WORKS)/8.4\SCHEDULED CONCRETE ITEMS/8.4.4\a) Wood floated Finish. /\KS21_005-Concrete Drop Inlet. Drawing NBC-GTW-CL-0040 \m²\7.66 \ 30" u="1"/>
        <s v="SABS1200 GA \CONCRETE (SMALL WORKS)/8.4\SCHEDULED CONCRETE ITEMS/8.4.4\a) Wood floated Finish. /\KS13_007-Concrete Drop Inlet. Drawing NBC-GTW-CL-0013 \m²\7.69 \ 30" u="1"/>
        <s v="SABS1200 GA \CONCRETE (SMALL WORKS)/8.4\SCHEDULED CONCRETE ITEMS/8.4.4\a) Wood floated Finish. /\KS13_013-Concrete Drop Inlet. Drawing NBC-GTW-CL-0017 \m²\8.34 \ 30" u="1"/>
        <s v="SABS1200 GA \CONCRETE (SMALL WORKS)/8.4\SCHEDULED CONCRETE ITEMS/8.4.4\a) Wood floated Finish. /\KS13_015-Concrete Drop Inlet. Drawing NBC-GTW-CL-0018 \m²\8.34 \ 30" u="1"/>
        <s v="SABS1200 GA \CONCRETE (SMALL WORKS)/8.4\SCHEDULED CONCRETE ITEMS/8.4.4\a) Wood floated Finish. /\KS13_008-Concrete Drop Inlet. Drawing NBC-GTW-CL-0014 \m²\8.61 \ 30" u="1"/>
        <s v="SABS1200 GA \CONCRETE (SMALL WORKS)/8.4\SCHEDULED CONCRETE ITEMS/8.4.4\a) Wood floated Finish. /\KS18_019-Concrete Drop Inlet. Drawing NBC-GTW-CL-0025 \m²\7.24 \ 30" u="1"/>
        <s v="SABS1200 GA \CONCRETE (SMALL WORKS)/8.4\SCHEDULED CONCRETE ITEMS/8.4.4\a) Wood floated Finish. /\KS18_016-Concrete Drop Inlet. Drawing NBC-GTW-CL-0022 \m²\7.9 \ 30" u="1"/>
        <s v="SABS1200 GA \CONCRETE (SMALL WORKS)/8.4\SCHEDULED CONCRETE ITEMS/8.4.4\a) Wood floated Finish. /\KS18_001-Concrete Drop Inlet. Drawing NBC-GTW-CL-0019 \m²\10.95 \ 30" u="1"/>
        <s v="SABS1200 GA \CONCRETE (SMALL WORKS)/8.4\SCHEDULED CONCRETE ITEMS/8.4.4\a) Wood floated Finish. /\KS20_004-Concrete Drop Inlet. Drawing NBC-GTW-CL-0030 \m²\8.96 \ 30" u="1"/>
        <s v="SABS1200 GA \CONCRETE (SMALL WORKS)/8.4\SCHEDULED CONCRETE ITEMS/8.4.4\a) Wood floated Finish. /\KS20_003-Concrete Buttress Weir. Drawing NBC-GTW-CL-0029 \m²\11.5870942263055 \ 30" u="1"/>
        <s v="SABS1200 GA \CONCRETE (SMALL WORKS)/8.4\SCHEDULED CONCRETE ITEMS/8.4.4\a) Wood floated Finish. /\KS21_007-Concrete Drop Inlet. Drawing NBC-GTW-CL-0042 \m²\7.2 \ 30" u="1"/>
        <s v="SABS1200 GA \CONCRETE (SMALL WORKS)/8.4\SCHEDULED CONCRETE ITEMS/8.4.4\a) Wood floated Finish. /\KS18_020-Concrete Drop Inlet associated with Road Culvert  \m²\7.884 \ 30" u="1"/>
        <s v="SABS1200 GA \CONCRETE (SMALL WORKS)/8.4\SCHEDULED CONCRETE ITEMS/8.4.4\a) Wood floated Finish. /\KS18_017-Concrete Drop Inlet. Drawing NBC-GTW-CL-0023 \m²\7.58 \ 30" u="1"/>
        <s v="SABS1200 GA \CONCRETE (SMALL WORKS)/8.4\SCHEDULED CONCRETE ITEMS/8.4.4\a) Wood floated Finish. /\KS13_012-Concrete Drop Inlet. Drawing NBC-GTW-CL-0016 \m²\7.84 \ 30" u="1"/>
        <s v="SABS1200 GA \CONCRETE (SMALL WORKS)/8.4\SCHEDULED CONCRETE ITEMS/8.4.4\a) Wood floated Finish. /\KS13_005-Concrete Drop Inlet. Drawing NBC-GTW-CL-0011 \m²\7.86 \ 30" u="1"/>
        <s v="SABS1200 GA \CONCRETE (SMALL WORKS)/8.4\SCHEDULED CONCRETE ITEMS/8.4.4\a) Wood floated Finish. /\KS13_006-Concrete Drop Inlet. Drawing NBC-GTW-CL-0012 \m²\7.86 \ 30" u="1"/>
        <s v="SABS1200 GA \CONCRETE (SMALL WORKS)/8.4\SCHEDULED CONCRETE ITEMS/8.4.4\a) Wood floated Finish. /\KS18-014-Concrete Check Wall. Drawing NBC-GTW-CL-0001 \m²\3.6 \ 30" u="1"/>
        <s v="SABS1200 GA \CONCRETE (SMALL WORKS)/8.4\SCHEDULED CONCRETE ITEMS/8.4.4\a) Wood floated Finish. /\KS18_002-Concrete Drop Inlet. Drawing NBC-GTW-CL-0020 \m²\14.16 \ 30" u="1"/>
        <s v="SABS1200 GA \CONCRETE (SMALL WORKS)/8.4\SCHEDULED CONCRETE ITEMS/8.4.4\a) Wood floated Finish. /\KS20_005-Concrete Drop Inlet. Drawing NBC-GTW-CL-0031 \m²\9.96 \ 30" u="1"/>
        <s v="SABS1200 GA \CONCRETE (SMALL WORKS)/8.4\SCHEDULED CONCRETE ITEMS/8.4.4\a) Wood floated Finish. /\KS20_002-Concrete Drop Inlet. Drawing NBC-GTW-CL-0028 \m²\10.26 \ 30" u="1"/>
        <s v="SABS1200 GA \CONCRETE (SMALL WORKS)/8.4\SCHEDULED CONCRETE ITEMS/8.4.4\a) Wood floated Finish. /\KS21_006-Concrete Drop Inlet. Drawing NBC-GTW-CL-0041 \m²\7.8 \ 30" u="1"/>
        <s v="SABS1200 GA \CONCRETE (SMALL WORKS)/8.4\SCHEDULED CONCRETE ITEMS/8.4.4\a) Wood floated Finish. /\KS20_008-Concrete Drop Inlet. Drawing NBC-GTW-CL-0034 \m²\9.9 \ 30" u="1"/>
        <s v="SABS1200 GA \CONCRETE (SMALL WORKS)/8.4\SCHEDULED CONCRETE ITEMS/8.4.4\a) Wood floated Finish. /\KS20_007-Concrete Drop Inlet. Drawing NBC-GTW-CL-0033 \m²\8.84 \ 30" u="1"/>
        <s v="SABS1200 GA \CONCRETE (SMALL WORKS)/8.4\SCHEDULED CONCRETE ITEMS/8.4.4\a) Wood floated Finish. /\KS20_009_a-Concrete Buttress Weir. Drawing NBC-GTW-CL-0035 \m²\10.5025983121934 \ 30" u="1"/>
        <s v="SABS1200 GA \CONCRETE (SMALL WORKS)/8.4\SCHEDULED CONCRETE ITEMS/8.4.4\a) Wood floated Finish. /\KS18_018-Concrete Drop Inlet. Drawing NBC-GTW-CL-0024 \m²\7.315 \ 30" u="1"/>
        <s v="SABS1200 GA \CONCRETE (SMALL WORKS)/8.4\SCHEDULED CONCRETE ITEMS/8.4.4\a) Wood floated Finish. /\KS18_015-Concrete Drop Inlet. Drawing NBC-GTW-CL-0021 \m²\8.43 \ 30" u="1"/>
      </sharedItems>
    </cacheField>
    <cacheField name="b) Steel-floated Finish2" numFmtId="0">
      <sharedItems count="1">
        <s v=" "/>
      </sharedItems>
    </cacheField>
    <cacheField name="Concrete 25  Mpa/19mm complete with formwork" numFmtId="0">
      <sharedItems count="4">
        <s v=" "/>
        <s v="SABS1200 GA \CONCRETE (SMALL WORKS)/8.4\SCHEDULED CONCRETE ITEMS/8.4.3\Concrete 25  Mpa with 19mm stone complete with formwork. Rate to include formwork./\LS16_012-Concrete Splash Through Structure. Drawing NBC-GTW-CL-0067 \m³\21.3 \ 3250"/>
        <s v="SABS1200 GA \CONCRETE (SMALL WORKS)/8.4\SCHEDULED CONCRETE ITEMS/8.4.3\Concrete 25  Mpa with 19mm stone complete with formwork. Rate to include formwork./\LS16_016-Concrete Splash Through Structure. Drawing NBC-GTW-CL-0068 \m³\21.3 \ 3250"/>
        <s v="SABS1200 GA \CONCRETE (SMALL WORKS)/8.4\SCHEDULED CONCRETE ITEMS/8.4.3\Concrete 25  Mpa with 19mm stone complete with formwork. Rate to include formwork./\LS16_019-Pipe Culvert. Drawing NBC-GTW-CL-0069 \m³\1 \ 3250"/>
      </sharedItems>
    </cacheField>
    <cacheField name="M200 Blocks" numFmtId="0">
      <sharedItems count="1">
        <s v=" "/>
      </sharedItems>
    </cacheField>
    <cacheField name="Suitable Earthen Backfill Material" numFmtId="0">
      <sharedItems count="107" longText="1">
        <s v=" "/>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1-002a-Concrete Drop Inlet on Dam Wall  \m³\25.2498 \ 120"/>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1-003-Backfilling Dam to Create Wetland  \m³\24200 \ 120"/>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1-004a-Concrete Drop Inlet on Dam Wall  \m³\25.2498 \ 120"/>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1-005-Backfilling Dam to Create Wetland  \m³\12300 \ 120"/>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2_006-Concrete Drop Inlet. Drawing NBC-GTW-CL-0005 \m³\14.729 \ 120"/>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2_007-Concrete Drop Inlet. Drawing NBC-GTW-CL-0006 \m³\25.978 \ 120"/>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2_008-Concrete Drop Inlet. Drawing NBC-GTW-CL-0007 \m³\16.6032 \ 120"/>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2_009-Concrete Drop Inlet. Drawing NBC-GTW-CL-0008 \m³\8.9856 \ 120"/>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3_001-Infilling of Drains  \m³\215 \ 120"/>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3_002-Infilling of Drains  \m³\15 \ 120"/>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3_003-Concrete Drop Inlet. Drawing NBC-GTW-CL-0009 \m³\12.735 \ 120"/>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3_009-Infilling of Drains  \m³\12.5385 \ 120"/>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3_014-Infilling of Drains  \m³\64.84266 \ 120"/>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3_016-Infilling of Drains  \m³\111.91475 \ 120"/>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3_017-Backfilling Main Channel  \m³\2559.3521265 \ 120"/>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5-002-Backfill Main Channel  \m³\3200 \ 120"/>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6_001-Earthen berm  \m³\103.38 \ 120"/>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6_004-Earthen berm  \m³\69.08 \ 120"/>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8-021-Backfill Main Channel  \m³\1879.7535 \ 120"/>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9_002-Concrete Drop Inlet. Drawing NBC-GTW-CL-0026 \m³\10.8096 \ 120"/>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9_007-Infilling of Drains  \m³\38 \ 120"/>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20_001-Concrete Drop Inlet. Drawing NBC-GTW-CL-0027 \m³\32.7276 \ 120"/>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20_011-Backfilling Main Channel  \m³\5730 \ 120"/>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21-010-Backfilling Main Channel. Drawing No Drawing \m³\2347,2 \ 120"/>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LS16_014-Ecologs  \m³\1.27234502470387 \ 120"/>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LS16_015-Earthworks (Reinforce Dam Wall)  \m³\198.45 \ 120"/>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LS16_016-Gabion energy breaker  \m³\2.4 \ 120"/>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LS16_017-Gabion energy breaker  \m³\2.8 \ 120"/>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LS16_021-Backfill Main Channel and reshaping  \m³\3454 \ 120"/>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Pan14_004-Infilling of Drains  \m³\90 \ 120"/>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Pan14_005-Infilling of Drains  \m³\81.9 \ 120"/>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Pan14_006-Earthen Berms  \m³\57.375 \ 120"/>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Pan14_007-Infilling of Drains  \m³\47.88 \ 120"/>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Pan14_008-Infilling of Drains  \m³\18.36 \ 120"/>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Pan14_009-Infilling of Drains  \m³\27.44 \ 120"/>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Pan14_010-Infilling of Drains  \m³\1312.5 \ 120"/>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Pan14_011-Infilling of Drains  \m³\582 \ 120"/>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Pan14-001-Reinstate Pan Edge  \m³\92 \ 120"/>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Pan8_002-Infilling of Drains  \m³\93 \ 120"/>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9_007-Infilling of Drains  \m³\38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8_002-Concrete Drop Inlet. Drawing NBC-GTW-CL-0020 \m³\12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20_001-Concrete Drop Inlet. Drawing NBC-GTW-CL-0027 \m³\32.7276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21-002-Earthworks  \m³\40.342938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3_003-Concrete Drop Inlet. Drawing NBC-GTW-CL-0009 \m³\12.735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20_005-Concrete Drop Inlet. Drawing NBC-GTW-CL-0031 \m³\18.755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20_009_c-Earthen Berm. Drawing NBC-GTW-CL-0035 \m³\23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Pan14_006-Earthen Berms  \m³\57.375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6_005-Deactivate Drain  \m³\14.4199102799772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LS16_015-Earthworks (Reinforce Dam Wall)  \m³\198.45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2_009-Concrete Drop Inlet. Drawing NBC-GTW-CL-0008 \m³\8.9856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6_003-Infilling of Drains  \m³\11.1683618835117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5-002-Backfill Main Channel  \m³\2476.48321243472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LS16_016-Gabion energy breaker  \m³\2.4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1-005-Backfilling Dam to Create Wetland  \m³\12300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3_004-Concrete Drop Inlet. Drawing NBC-GTW-CL-0010 \m³\7.147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20_003-Concrete Buttress Weir. Drawing NBC-GTW-CL-0029 \m³\22.85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Pan14_004-Infilling of Drains  \m³\90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3_016-Infilling of Drains  \m³\111.91475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21-004-Earthworks  \m³\13.875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3_014-Infilling of Drains  \m³\64.84266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2_007-Concrete Drop Inlet. Drawing NBC-GTW-CL-0006 \m³\25.978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8-021-Backfill Main Channel  \m³\1879.7535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3_005-Concrete Drop Inlet. Drawing NBC-GTW-CL-0011 \m³\2.7444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3_006-Concrete Drop Inlet. Drawing NBC-GTW-CL-0012 \m³\2.7444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20_002-Concrete Drop Inlet. Drawing NBC-GTW-CL-0028 \m³\27.81832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LS16_021-Backfill Main Channel and reshaping  \m³\2656.6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8_018-Concrete Drop Inlet. Drawing NBC-GTW-CL-0024 \m³\29.2436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3_015-Concrete Drop Inlet. Drawing NBC-GTW-CL-0018 \m³\21.288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Pan14_011-Infilling of Drains  \m³\582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9_002-Concrete Drop Inlet. Drawing NBC-GTW-CL-0026 \m³\10.8096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20_009_a-Concrete Buttress Weir. Drawing NBC-GTW-CL-0035 \m³\22.6896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2_008-Concrete Drop Inlet. Drawing NBC-GTW-CL-0007 \m³\16.6032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1-002a-Concrete Drop Inlet on Dam Wall  \m³\25.2498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1-004a-Concrete Drop Inlet on Dam Wall  \m³\25.2498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9_003-Headcut  \m³\2.40331837999619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Pan14_007-Infilling of Drains  \m³\47.88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8_016-Concrete Drop Inlet. Drawing NBC-GTW-CL-0022 \m³\11.5948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21-008-Infilling of Drain  \m³\83.9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9_001-Infilling of Drains  \m³\2.82743338823081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20_010-Infilling of Drains  \m³\2.82743338823081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LS16_014-Ecologs  \m³\1.27234502470387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9_004-Infilling of Drains  \m³\3.53429173528852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5_001-Fish Bowl  \m³\12.9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3_002-Infilling of Drains  \m³\15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6_002-Excavate Dam Wall  \m³\16.7658333333333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3_009-Infilling of Drains  \m³\12.5385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Pan14_005-Infilling of Drains  \m³\81.9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1-003-Backfilling Dam to Create Wetland  \m³\24200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Pan14_010-Infilling of Drains  \m³\1312.5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3_007-Concrete Drop Inlet. Drawing NBC-GTW-CL-0013 \m³\6.884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2_006-Concrete Drop Inlet. Drawing NBC-GTW-CL-0005 \m³\14.729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3_013-Concrete Drop Inlet. Drawing NBC-GTW-CL-0017 \m³\12.0852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Pan8_002-Infilling of Drains  \m³\93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9_005-Infilling of Drains  \m³\3.67566340470006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8-014-Concrete Filled Geo-Cell Berm. Drawing NBC-GTW-CL-0001 \m³\35.1075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Pan14_009-Infilling of Drains  \m³\27.44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3_001-Infilling of Drains  \m³\215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LS16_017-Gabion energy breaker  \m³\2.8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8_015-Concrete Drop Inlet. Drawing NBC-GTW-CL-0021 \m³\23.5168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20_007-Concrete Drop Inlet. Drawing NBC-GTW-CL-0033 \m³\14.9706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Pan14_008-Infilling of Drains  \m³\18.36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8_017-Concrete Drop Inlet. Drawing NBC-GTW-CL-0023 \m³\11.0904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3_008-Concrete Drop Inlet. Drawing NBC-GTW-CL-0014 \m³\3.1744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6_004-Infilling of Drains  \m³\103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Pan14-001-Reinstate Pan Edge  \m³\92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6_001-Infilling of Drains  \m³\118 \ 300" u="1"/>
      </sharedItems>
    </cacheField>
    <cacheField name="Select granular material" numFmtId="0">
      <sharedItems count="5" longText="1">
        <s v=" "/>
        <s v="SABS1200 DA \EARTHWORKS (SMALL WORKS)/8.3\SCHEDULED ITEMS/8.3.4\Importing of Suitable Granular Material from Spoil Stockpile or other Borrow Sources on Site. Rate to allow for loading from stockpile or borrow source, transport within 5 km free haul distance, stockpiling (if required), placing, spreading  and compacting material in layers, as specified by the engineer./\LS16_016-Gabion energy breaker  \m³\2 \ 300"/>
        <s v="SABS1200 DA \EARTHWORKS (SMALL WORKS)/8.3\SCHEDULED ITEMS/8.3.4\Importing of Suitable Granular Material from Spoil Stockpile or other Borrow Sources on Site. Rate to allow for loading from stockpile or borrow source, transport within 5 km free haul distance, stockpiling (if required), placing, spreading  and compacting material in layers, as specified by the engineer./\LS16_017-Gabion energy breaker  \m³\0.666666666666667 \ 300"/>
        <s v="SABS1200 DA \EARTHWORKS (SMALL WORKS)/8.3\SCHEDULED ITEMS/8.3.4\Importing of Suitable Granular Material from Spoil Stockpile or other Borrow Sources on Site. Rate to allow for loading from stockpile or borrow source, transport within 5 km free haul distance, stockpiling (if required), placing, spreading  and compacting material in layers, as specified by the engineer./\LS16_018-Gabion energy breaker  \m³\3 \ 300"/>
        <s v="SABS1200 DA \EARTHWORKS (SMALL WORKS)/8.3\SCHEDULED ITEMS/8.3.4\Importing of Suitable Granular Material from Spoil Stockpile or other Borrow Sources on Site. Rate to allow for loading from stockpile or borrow source, transport within 5 km free haul distance, stockpiling (if required), placing, spreading  and compacting material in layers, as specified by the engineer./\LS16_019-Gabion energy breaker  \m³\1.00833333333333 \ 300"/>
      </sharedItems>
    </cacheField>
    <cacheField name="a) Cavities filled with approved excavated material or rock2" numFmtId="0">
      <sharedItems count="1">
        <s v=" "/>
      </sharedItems>
    </cacheField>
    <cacheField name="b) Cavities filled with grade 15 concrete (provisional)2" numFmtId="0">
      <sharedItems count="6">
        <s v=" "/>
        <s v="SABS1200 DK \ GABIONS AND PITCHING / 8.2\ Surface preparation for bedding of gabions / 8.2.1  \ b) Cavities filled with grade 15 concrete (provisional). /\LS16_013-Gabion energy breaker  \m²\1 \ 75"/>
        <s v="SABS1200 DK \ GABIONS AND PITCHING / 8.2\ Surface preparation for bedding of gabions / 8.2.1  \ b) Cavities filled with grade 15 concrete (provisional). /\LS16_016-Gabion energy breaker  \m²\1 \ 75"/>
        <s v="SABS1200 DK \ GABIONS AND PITCHING / 8.2\ Surface preparation for bedding of gabions / 8.2.1  \ b) Cavities filled with grade 15 concrete (provisional). /\LS16_017-Gabion energy breaker  \m²\1 \ 75"/>
        <s v="SABS1200 DK \ GABIONS AND PITCHING / 8.2\ Surface preparation for bedding of gabions / 8.2.1  \ b) Cavities filled with grade 15 concrete (provisional). /\LS16_018-Gabion energy breaker  \m²\1 \ 75"/>
        <s v="SABS1200 DK \ GABIONS AND PITCHING / 8.2\ Surface preparation for bedding of gabions / 8.2.1  \ b) Cavities filled with grade 15 concrete (provisional). /\LS16_019-Gabion energy breaker  \m²\1 \ 75"/>
      </sharedItems>
    </cacheField>
    <cacheField name="1 m x 1 m x 1 m Galvanised Gabions2" numFmtId="0">
      <sharedItems count="1">
        <s v=" "/>
      </sharedItems>
    </cacheField>
    <cacheField name="2 m x 1 m x 1 m Galvanised  Gabions2" numFmtId="0">
      <sharedItems count="3" longText="1">
        <s v=" "/>
        <s v="SABS1200 DK \ GABIONS AND PITCHING / 8.2\ Gabions. Rate to allow for supply of approved gabion hand rock, SABS approved gabion baskets, installation and tying as per suppliers specifications. / 8.2.2 \ 2 m x 1 m x 1 m Galvanised  Gabions. /\LS16_017-Gabion energy breaker  \m³\8 \ 1750"/>
        <s v="SABS1200 DK \ GABIONS AND PITCHING / 8.2\ Gabions. Rate to allow for supply of approved gabion hand rock, SABS approved gabion baskets, installation and tying as per suppliers specifications. / 8.2.2 \ 2 m x 1 m x 1 m Galvanised  Gabions. /\LS16_019-Gabion energy breaker  \m³\4 \ 1750"/>
      </sharedItems>
    </cacheField>
    <cacheField name="3 m x 1 m x 1 m Galvanised Gabions2" numFmtId="0">
      <sharedItems count="6" longText="1">
        <s v=" "/>
        <s v="SABS1200 DK \ GABIONS AND PITCHING / 8.2\ Gabions. Rate to allow for supply of approved gabion hand rock, SABS approved gabion baskets, installation and tying as per suppliers specifications. / 8.2.2 \ 3 m x 1 m x 1 m Galvanised Gabions. /\LS16_013-Gabion energy breaker  \m³\9 \ 1750"/>
        <s v="SABS1200 DK \ GABIONS AND PITCHING / 8.2\ Gabions. Rate to allow for supply of approved gabion hand rock, SABS approved gabion baskets, installation and tying as per suppliers specifications. / 8.2.2 \ 3 m x 1 m x 1 m Galvanised Gabions. /\LS16_016-Gabion energy breaker  \m³\12 \ 1750"/>
        <s v="SABS1200 DK \ GABIONS AND PITCHING / 8.2\ Gabions. Rate to allow for supply of approved gabion hand rock, SABS approved gabion baskets, installation and tying as per suppliers specifications. / 8.2.2 \ 3 m x 1 m x 1 m Galvanised Gabions. /\LS16_017-Gabion energy breaker  \m³\6 \ 1750"/>
        <s v="SABS1200 DK \ GABIONS AND PITCHING / 8.2\ Gabions. Rate to allow for supply of approved gabion hand rock, SABS approved gabion baskets, installation and tying as per suppliers specifications. / 8.2.2 \ 3 m x 1 m x 1 m Galvanised Gabions. /\LS16_018-Gabion energy breaker  \m³\15 \ 1750"/>
        <s v="SABS1200 DK \ GABIONS AND PITCHING / 8.2\ Gabions. Rate to allow for supply of approved gabion hand rock, SABS approved gabion baskets, installation and tying as per suppliers specifications. / 8.2.2 \ 3 m x 1 m x 1 m Galvanised Gabions. /\LS16_019-Gabion energy breaker  \m³\12 \ 1750"/>
      </sharedItems>
    </cacheField>
    <cacheField name="4 m x 1 m x 1 m Galvanised Gabions2" numFmtId="0">
      <sharedItems count="1">
        <s v=" "/>
      </sharedItems>
    </cacheField>
    <cacheField name="2 m x 0.5 m x 0.5 m Galvanised Gabions2" numFmtId="0">
      <sharedItems count="1">
        <s v=" "/>
      </sharedItems>
    </cacheField>
    <cacheField name="2 m x 1 m x 0.3 m Galvanised Reno Mattress2" numFmtId="0">
      <sharedItems count="1">
        <s v=" "/>
      </sharedItems>
    </cacheField>
    <cacheField name="3 m x 1 m x 0.3 m Galvanised Reno Mattress2" numFmtId="0">
      <sharedItems count="6" longText="1">
        <s v=" "/>
        <s v="SABS1200 DK \ GABIONS AND PITCHING / 8.2\ Gabions. Rate to allow for supply of approved gabion hand rock, SABS approved gabion baskets, installation and tying as per suppliers specifications. / 8.2.2 \ 3 m x 1 m x 0.3 m Galvanised Reno Mattress. /\LS16_013-Gabion energy breaker  \m³\4.5 \ 1750"/>
        <s v="SABS1200 DK \ GABIONS AND PITCHING / 8.2\ Gabions. Rate to allow for supply of approved gabion hand rock, SABS approved gabion baskets, installation and tying as per suppliers specifications. / 8.2.2 \ 3 m x 1 m x 0.3 m Galvanised Reno Mattress. /\LS16_016-Gabion energy breaker  \m³\7.2 \ 1750"/>
        <s v="SABS1200 DK \ GABIONS AND PITCHING / 8.2\ Gabions. Rate to allow for supply of approved gabion hand rock, SABS approved gabion baskets, installation and tying as per suppliers specifications. / 8.2.2 \ 3 m x 1 m x 0.3 m Galvanised Reno Mattress. /\LS16_017-Gabion energy breaker  \m³\9 \ 1750"/>
        <s v="SABS1200 DK \ GABIONS AND PITCHING / 8.2\ Gabions. Rate to allow for supply of approved gabion hand rock, SABS approved gabion baskets, installation and tying as per suppliers specifications. / 8.2.2 \ 3 m x 1 m x 0.3 m Galvanised Reno Mattress. /\LS16_018-Gabion energy breaker  \m³\9.9 \ 1750"/>
        <s v="SABS1200 DK \ GABIONS AND PITCHING / 8.2\ Gabions. Rate to allow for supply of approved gabion hand rock, SABS approved gabion baskets, installation and tying as per suppliers specifications. / 8.2.2 \ 3 m x 1 m x 0.3 m Galvanised Reno Mattress. /\LS16_019-Gabion energy breaker  \m³\10.8 \ 1750"/>
      </sharedItems>
    </cacheField>
    <cacheField name="6 m x 2 m x 0.3 m Galvanised Reno Mattress2" numFmtId="0">
      <sharedItems count="1">
        <s v=" "/>
      </sharedItems>
    </cacheField>
    <cacheField name="1 m x 1 m x 1 m PVC coated Gabions2" numFmtId="0">
      <sharedItems count="1">
        <s v=" "/>
      </sharedItems>
    </cacheField>
    <cacheField name="2 m x 1 m x 1 m PVC coated Gabions2" numFmtId="0">
      <sharedItems count="1">
        <s v=" "/>
      </sharedItems>
    </cacheField>
    <cacheField name="3 m x 1 m x 1 m PVC coated Gabions2" numFmtId="0">
      <sharedItems count="1">
        <s v=" "/>
      </sharedItems>
    </cacheField>
    <cacheField name="4 m x 1 m x 1 m PVC coated Gabions2" numFmtId="0">
      <sharedItems count="1">
        <s v=" "/>
      </sharedItems>
    </cacheField>
    <cacheField name="2 m x 0.5 m x 0.5 m PVC coated Gabions2" numFmtId="0">
      <sharedItems count="1">
        <s v=" "/>
      </sharedItems>
    </cacheField>
    <cacheField name="2 m x 1 m x 0.3 m PVC coated Reno Mattress2" numFmtId="0">
      <sharedItems count="1">
        <s v=" "/>
      </sharedItems>
    </cacheField>
    <cacheField name="3 m x 1 m x 0.3 m PVC coated Reno Mattress2" numFmtId="0">
      <sharedItems count="1">
        <s v=" "/>
      </sharedItems>
    </cacheField>
    <cacheField name="6 m x 2 m x 0.3 m PVC coated Reno Mattress2" numFmtId="0">
      <sharedItems count="1">
        <s v=" "/>
      </sharedItems>
    </cacheField>
    <cacheField name="Extra-over 8.2.2 for packing selected stone for exposed surfaces2" numFmtId="0">
      <sharedItems count="1">
        <s v=" "/>
      </sharedItems>
    </cacheField>
    <cacheField name="Needle punched Non-woven Geotextile2" numFmtId="0">
      <sharedItems count="8" longText="1">
        <s v=" "/>
        <s v="SABS1200 DK \ GABIONS AND PITCHING / 8.2\ Geotextile / 8.2.4 \ Needle punched Non-woven Geotextile (BiDim A4 or equivalent product). Rate to allow for supply of SABS approved geofabric such as Bidim a4 or equivalent product and installation between all gabion-soil interfaces.. /\ks11-002b-Concrete Splash Through Structure. Drawing NBC-GTW-CL-0067 \m²\87 \ 28"/>
        <s v="SABS1200 DK \ GABIONS AND PITCHING / 8.2\ Geotextile / 8.2.4 \ Needle punched Non-woven Geotextile (BiDim A4 or equivalent product). Rate to allow for supply of SABS approved geofabric such as Bidim a4 or equivalent product and installation between all gabion-soil interfaces.. /\ks11-004b-Concrete Splash Through Structure. Drawing NBC-GTW-CL-0068 \m²\87 \ 28"/>
        <s v="SABS1200 DK \ GABIONS AND PITCHING / 8.2\ Geotextile / 8.2.4 \ Needle punched Non-woven Geotextile (BiDim A4 or equivalent product). Rate to allow for supply of SABS approved geofabric such as Bidim a4 or equivalent product and installation between all gabion-soil interfaces.. /\LS16_013-Gabion energy breaker  \m²\44.9 \ 28"/>
        <s v="SABS1200 DK \ GABIONS AND PITCHING / 8.2\ Geotextile / 8.2.4 \ Needle punched Non-woven Geotextile (BiDim A4 or equivalent product). Rate to allow for supply of SABS approved geofabric such as Bidim a4 or equivalent product and installation between all gabion-soil interfaces.. /\LS16_016-Gabion energy breaker  \m²\62.9 \ 28"/>
        <s v="SABS1200 DK \ GABIONS AND PITCHING / 8.2\ Geotextile / 8.2.4 \ Needle punched Non-woven Geotextile (BiDim A4 or equivalent product). Rate to allow for supply of SABS approved geofabric such as Bidim a4 or equivalent product and installation between all gabion-soil interfaces.. /\LS16_017-Gabion energy breaker  \m²\74.9 \ 28"/>
        <s v="SABS1200 DK \ GABIONS AND PITCHING / 8.2\ Geotextile / 8.2.4 \ Needle punched Non-woven Geotextile (BiDim A4 or equivalent product). Rate to allow for supply of SABS approved geofabric such as Bidim a4 or equivalent product and installation between all gabion-soil interfaces.. /\LS16_018-Gabion energy breaker  \m²\80.9 \ 28"/>
        <s v="SABS1200 DK \ GABIONS AND PITCHING / 8.2\ Geotextile / 8.2.4 \ Needle punched Non-woven Geotextile (BiDim A4 or equivalent product). Rate to allow for supply of SABS approved geofabric such as Bidim a4 or equivalent product and installation between all gabion-soil interfaces.. /\LS16_019-Gabion energy breaker  \m²\83.9 \ 28"/>
      </sharedItems>
    </cacheField>
    <cacheField name="Stone Pitching - Light2" numFmtId="0">
      <sharedItems count="1">
        <s v=" "/>
      </sharedItems>
    </cacheField>
    <cacheField name="Stone Pitching - Medium2" numFmtId="0">
      <sharedItems count="1">
        <s v=" "/>
      </sharedItems>
    </cacheField>
    <cacheField name="Grouted Pitching - Light2" numFmtId="0">
      <sharedItems count="3">
        <s v=" "/>
        <s v="SABS1200 DK \ GABIONS AND PITCHING / 8.2\ Pitching / 8.2.5 \ Grouted Pitching - Light. /\KS21_001-10° sloped Grouted Pitching (Light). Drawing NBC-GTW-CL-0038 \m²\50 \ 750"/>
        <s v="SABS1200 DK \ GABIONS AND PITCHING / 8.2\ Pitching / 8.2.5 \ Grouted Pitching - Light. /\KS21_001-10° sloped Grouted Pitching (Light). Drawing NBC-GTW-CL-0038 \m²\38.098221281347 \ 750" u="1"/>
      </sharedItems>
    </cacheField>
    <cacheField name="Grouted Pitching - Medium2" numFmtId="0">
      <sharedItems count="1">
        <s v=" "/>
      </sharedItems>
    </cacheField>
    <cacheField name="Weepholes in grouted stone pitching2" numFmtId="0">
      <sharedItems count="1">
        <s v=" "/>
      </sharedItems>
    </cacheField>
    <cacheField name="Rockpack" numFmtId="0">
      <sharedItems count="3">
        <s v=" "/>
        <s v=" \  / \  /  \ . /\ks11-002b-Concrete Splash Through Structure. Drawing NBC-GTW-CL-0067 \m³\24 \ 500"/>
        <s v=" \  / \  /  \ . /\ks11-004b-Concrete Splash Through Structure. Drawing NBC-GTW-CL-0068 \m³\24 \ 500"/>
      </sharedItems>
    </cacheField>
    <cacheField name="Eco-logs" numFmtId="0">
      <sharedItems count="16" longText="1">
        <s v=" "/>
        <s v=" \  / \  /  \ Install Erosion control logs (2 m long x 300 mm Dimeter ). Rate to allow supply of erosion control log and 2 No. 1000 mm long steel fence droppers per a log. To be installed as per suppliers specifications./\KS16_003-Ecologs  \unit\79 \ 900"/>
        <s v=" \  / \  /  \ Install Erosion control logs (2 m long x 300 mm Dimeter ). Rate to allow supply of erosion control log and 2 No. 1000 mm long steel fence droppers per a log. To be installed as per suppliers specifications./\KS16_005-Ecologs  \unit\102 \ 900"/>
        <s v=" \  / \  /  \ Install Erosion control logs (2 m long x 300 mm Dimeter ). Rate to allow supply of erosion control log and 2 No. 1000 mm long steel fence droppers per a log. To be installed as per suppliers specifications./\KS19_001-Ecologs  \unit\20 \ 900"/>
        <s v=" \  / \  /  \ Install Erosion control logs (2 m long x 300 mm Dimeter ). Rate to allow supply of erosion control log and 2 No. 1000 mm long steel fence droppers per a log. To be installed as per suppliers specifications./\KS19_003-Ecologs  \unit\8 \ 900"/>
        <s v=" \  / \  /  \ Install Erosion control logs (2 m long x 300 mm Dimeter ). Rate to allow supply of erosion control log and 2 No. 1000 mm long steel fence droppers per a log. To be installed as per suppliers specifications./\KS19_004-Ecologs  \unit\25 \ 900"/>
        <s v=" \  / \  /  \ Install Erosion control logs (2 m long x 300 mm Dimeter ). Rate to allow supply of erosion control log and 2 No. 1000 mm long steel fence droppers per a log. To be installed as per suppliers specifications./\KS19_005-Ecologs  \unit\26 \ 900"/>
        <s v=" \  / \  /  \ Install Erosion control logs (2 m long x 300 mm Dimeter ). Rate to allow supply of erosion control log and 2 No. 1000 mm long steel fence droppers per a log. To be installed as per suppliers specifications./\KS20_010-Ecologs  \unit\20 \ 900"/>
        <s v=" \  / \  /  \ Install Erosion control logs (2 m long x 300 mm Dimeter ). Rate to allow supply of erosion control log and 2 No. 1000 mm long steel fence droppers per a log. To be installed as per suppliers specifications./\LS16_014-Ecologs  \unit\9 \ 900"/>
        <s v=" \  / \  /  \ Install Erosion control logs (2 m long x 300 mm Dimeter ). Rate to allow supply of erosion control log and 2 No. 1000 mm long steel fence droppers per a log. To be installed as per suppliers specifications./\KS19_004-Infilling of Drains  \unit\25 \ 900" u="1"/>
        <s v=" \  / \  /  \ Install Erosion control logs (2 m long x 300 mm Dimeter ). Rate to allow supply of erosion control log and 2 No. 1000 mm long steel fence droppers per a log. To be installed as per suppliers specifications./\KS16_005-Deactivate Drain  \unit\102 \ 900" u="1"/>
        <s v=" \  / \  /  \ Install Erosion control logs (2 m long x 300 mm Dimeter ). Rate to allow supply of erosion control log and 2 No. 1000 mm long steel fence droppers per a log. To be installed as per suppliers specifications./\KS19_001-Infilling of Drains  \unit\20 \ 900" u="1"/>
        <s v=" \  / \  /  \ Install Erosion control logs (2 m long x 300 mm Dimeter ). Rate to allow supply of erosion control log and 2 No. 1000 mm long steel fence droppers per a log. To be installed as per suppliers specifications./\KS20_010-Infilling of Drains  \unit\20 \ 900" u="1"/>
        <s v=" \  / \  /  \ Install Erosion control logs (2 m long x 300 mm Dimeter ). Rate to allow supply of erosion control log and 2 No. 1000 mm long steel fence droppers per a log. To be installed as per suppliers specifications./\KS19_003-Headcut  \unit\8 \ 900" u="1"/>
        <s v=" \  / \  /  \ Install Erosion control logs (2 m long x 300 mm Dimeter ). Rate to allow supply of erosion control log and 2 No. 1000 mm long steel fence droppers per a log. To be installed as per suppliers specifications./\KS16_003-Infilling of Drains  \unit\79 \ 900" u="1"/>
        <s v=" \  / \  /  \ Install Erosion control logs (2 m long x 300 mm Dimeter ). Rate to allow supply of erosion control log and 2 No. 1000 mm long steel fence droppers per a log. To be installed as per suppliers specifications./\KS19_005-Infilling of Drains  \unit\26 \ 900" u="1"/>
      </sharedItems>
    </cacheField>
    <cacheField name="Geo-cells" numFmtId="0">
      <sharedItems count="3" longText="1">
        <s v=" "/>
        <s v="SABS1200 GA \ CONCRETE (SMALL WORKS) / \ SCHEDULED FORMWORK ITEMS /  \ 100 mm deep Kaytech Multi-cell® or equivalent formwork product . Rate to include supply and installation according to suppliers specifications./\KS18-014-Concrete Filled Geo-Cell Berm. Drawing NBC-GTW-CL-0001 \m²\90.3840508391961 \ 50" u="1"/>
        <s v="SABS1200 GA \ CONCRETE (SMALL WORKS) / \ SCHEDULED FORMWORK ITEMS /  \ 100 mm deep Kaytech Multi-cell® or equivalent formwork product . Rate to include supply and installation according to suppliers specifications./\KS15_001-Fish Bowl  \m²\630 \ 50" u="1"/>
      </sharedItems>
    </cacheField>
    <cacheField name="Fence" numFmtId="0">
      <sharedItems count="1">
        <s v=" "/>
      </sharedItems>
    </cacheField>
    <cacheField name="1.5 mm HDPE Liner" numFmtId="0">
      <sharedItems count="1">
        <s v=" "/>
      </sharedItems>
    </cacheField>
    <cacheField name="2 mm HDPE Liner" numFmtId="0">
      <sharedItems count="1">
        <s v=" "/>
      </sharedItems>
    </cacheField>
    <cacheField name="Envirobent" numFmtId="0">
      <sharedItems count="1">
        <s v=" "/>
      </sharedItems>
    </cacheField>
    <cacheField name="MacMat Liner" numFmtId="0">
      <sharedItems count="1">
        <s v=" "/>
      </sharedItems>
    </cacheField>
    <cacheField name="Reshaping " numFmtId="0">
      <sharedItems count="1">
        <s v=" "/>
      </sharedItems>
    </cacheField>
    <cacheField name="Scarifying surface" numFmtId="0">
      <sharedItems count="1">
        <s v=" "/>
      </sharedItems>
    </cacheField>
    <cacheField name="Sediment Fences2" numFmtId="0">
      <sharedItems count="1">
        <s v=" "/>
      </sharedItems>
    </cacheField>
    <cacheField name="600 diam pipe" numFmtId="0">
      <sharedItems count="2" longText="1">
        <s v=" "/>
        <s v="SABS1200 LE \ STORMWATER DRAINAGE / 8.2\ SCHEDULED ITEMS / 8.2.1 \ Supply and lay concrete pipe culverts. 600 mm Diameter Spigot and Socket SC Class 75D pre-cast concrete pipes on Class C bedding. SABS 677 approved pipes to be used. /\LS16_019-Pipe Culvert. Drawing NBC-GTW-CL-0069 \m\15 \ 1000"/>
      </sharedItems>
    </cacheField>
    <cacheField name="Wetland soil backfill2" numFmtId="0">
      <sharedItems count="3" longText="1">
        <s v=" "/>
        <s v="SABS1200 DA \EARTHWORKS (SMALL WORKS)/8.3\SCHEDULED ITEMS/8.3.4\Import Suitable Wetland Earth Backfill Material  from Designated Borrow Pit. Rate to allow for loading from stockpile or borrow source, transport within 5 km free haul distance, stockpiling (if required), placing, spreading  and compacting material in layers, as specified by the engineer./\ks11-003-Backfilling Dam to Create Wetland  \m³\11500 \ 50"/>
        <s v="SABS1200 DA \EARTHWORKS (SMALL WORKS)/8.3\SCHEDULED ITEMS/8.3.4\Import Suitable Wetland Earth Backfill Material  from Designated Borrow Pit. Rate to allow for loading from stockpile or borrow source, transport within 5 km free haul distance, stockpiling (if required), placing, spreading  and compacting material in layers, as specified by the engineer./\ks11-005-Backfilling Dam to Create Wetland  \m³\5200 \ 50"/>
      </sharedItems>
    </cacheField>
    <cacheField name="Brickwork - 230 mm thick" numFmtId="0">
      <sharedItems count="5" longText="1">
        <s v=" "/>
        <s v="SABS1200 LE \ STORMWATER DRAINAGE / 8.2\ SCHEDULED ITEMS / 8.2.9 \ a) Brickwork. Rate to allow for supply of minimum strength 7 Mpa bricks for 230 mm thick wall and laying of bricks with type 2 motar._x000a_ (double skin) wall, supply and mixing of type 2 mortar, and laying of bricks as per intervention drawing.  /\ks11-001-Off-take structure  \m²\4.632 \ 750"/>
        <s v="SABS1200 LE \ STORMWATER DRAINAGE / 8.2\ SCHEDULED ITEMS / 8.2.9 \ a) Brickwork. Rate to allow for supply of minimum strength 7 Mpa bricks for 230 mm thick wall and laying of bricks with type 2 motar._x000a_ (double skin) wall, supply and mixing of type 2 mortar, and laying of bricks as per intervention drawing.  /\KS12_001-Pipe Culvert. Drawing NBC-GTW-CL-0069 \m²\6 \ 750"/>
        <s v="SABS1200 LE \ STORMWATER DRAINAGE / 8.2\ SCHEDULED ITEMS / 8.2.9 \ a) Brickwork. Rate to allow for supply of minimum strength 7 Mpa brick for 230 mm thick_x000a_ (double skin) wall, supply and mixing of type 2 mortar, and laying of bricks as per intervention drawing.  /\KS12_001-Pipe Culvert. Drawing NBC-GTW-CL-0069 \m²\6 \ 250" u="1"/>
        <s v="SABS1200 LE \ STORMWATER DRAINAGE / 8.2\ SCHEDULED ITEMS / 8.2.9 \ a) Brickwork. Rate to allow for supply of minimum strength 7 Mpa brick for 230 mm thick_x000a_ (double skin) wall, supply and mixing of type 2 mortar, and laying of bricks as per intervention drawing.  /\ks11-001-Off-take structure  \m²\4.632 \ 250" u="1"/>
      </sharedItems>
    </cacheField>
    <cacheField name="250 mm Diameter uPVC pipe" numFmtId="0">
      <sharedItems count="2" longText="1">
        <s v=" "/>
        <s v="SABS1200 L \ MEDIUM-PRESSURE PIPELINES / 8.2\ SCHEDULED ITEMS / 8.2.1 \ Supply, Lay, and Bed Pipes Complete with Couplings. Rate to allow for jointing and testing.. 250mm uPVC class 6 laid on C-class type bedding. SABS 966 approved pipe to be used./\ks11-001-Off-take structure  \m\265 \ 500"/>
      </sharedItems>
    </cacheField>
    <cacheField name="Manholes 1000 mm diameter pre-cast" numFmtId="0">
      <sharedItems count="2">
        <s v=" "/>
        <s v="SABS1200 L \ MEDIUM-PRESSURE PIPELINES / 8.2\ SCHEDULED ITEMS / 8.2.13 \ Valve and hydrant chambers,etc. 1000 mm Diameter Pre-cast concrete manholes at  depths of 1.5 m with pre-cast lid cover/\ks11-001-Off-take structure  \No.\4 \ 7500"/>
      </sharedItems>
    </cacheField>
    <cacheField name="Vegetation clearing" numFmtId="0">
      <sharedItems count="3">
        <s v=" "/>
        <s v="SABS1200 DB \ EARTHWORKS (PIPE TRENCHES) / 8.3\ SCHEDULED ITEMS / 8.3.1 \ Site Clearance and Removal of Topsoil. a) Clear vegetation and trees to a girth of 1 m/\ks11-001-Off-take structure  \m\265 \ 100"/>
        <s v="SABS1200 DB \ EARTHWORKS (PIPE TRENCHES) / 8.3\ SCHEDULED ITEMS / 8.3.1 \ Site Clearance and Removal of Topsoil. a) Clear vegetation and trees to a girth of 1 m/\KS12_001-Pipe Culvert. Drawing NBC-GTW-CL-0069 \m\11 \ 100"/>
      </sharedItems>
    </cacheField>
    <cacheField name="Top soil removal" numFmtId="0">
      <sharedItems count="3">
        <s v=" "/>
        <s v="SABS1200 DB \ EARTHWORKS (PIPE TRENCHES) / 8.3\ SCHEDULED ITEMS / 8.3.1 \ Site Clearance and Removal of Topsoil. c) Remove top soil/\ks11-001-Off-take structure \m²\185.5 \ 12"/>
        <s v="SABS1200 DB \ EARTHWORKS (PIPE TRENCHES) / 8.3\ SCHEDULED ITEMS / 8.3.1 \ Site Clearance and Removal of Topsoil. c) Remove top soil/\KS12_001-Pipe Culvert \m²\22 \ 12"/>
      </sharedItems>
    </cacheField>
    <cacheField name="Excavation of trench" numFmtId="0">
      <sharedItems count="3">
        <s v=" "/>
        <s v="SABS1200 DB \ EARTHWORKS (PIPE TRENCHES) / 8.3\ SCHEDULED ITEMS / 8.3.2 \ Excavation. Excavate in all materials for trenches, backfill, compact and dispose of surplus material/\ks11-001-Off-take structure  \m\265 \ 50"/>
        <s v="SABS1200 DB \ EARTHWORKS (PIPE TRENCHES) / 8.3\ SCHEDULED ITEMS / 8.3.2 \ Excavation. Excavate in all materials for trenches, backfill, compact and dispose of surplus material/\KS12_001-Pipe Culvert. Drawing NBC-GTW-CL-0069 \m\27 \ 50"/>
      </sharedItems>
    </cacheField>
    <cacheField name="Make up deficiency in backfill material" numFmtId="0">
      <sharedItems count="3">
        <s v=" "/>
        <s v="SABS1200 DB \ EARTHWORKS (PIPE TRENCHES) / 8.3\ SCHEDULED ITEMS / 8.3.3.1 \ Make up deficiency in backfill material (Provisional). a) From other necessary excavations on site./\ks11-001-Off-take structure  \m³\5 \ 300"/>
        <s v="SABS1200 DB \ EARTHWORKS (PIPE TRENCHES) / 8.3\ SCHEDULED ITEMS / 8.3.3.1 \ Make up deficiency in backfill material (Provisional). a) From other necessary excavations on site./\KS12_001-Pipe Culvert. Drawing NBC-GTW-CL-0069 \m³\4.5 \ 300"/>
      </sharedItems>
    </cacheField>
    <cacheField name="Clear and Grub" numFmtId="0">
      <sharedItems count="2">
        <s v=" "/>
        <s v="SABS1200 C \ SITE CLEARANCE / 8.2\ SCHEDULED ITEMS / 8.2.1 \ Clear and Grub the area designated by the engineer. /\Pan8_003-Removal of Dam Wall  \m²\1700 \ 10"/>
      </sharedItems>
    </cacheField>
    <cacheField name="Remove and large trees and trees stumps " numFmtId="0">
      <sharedItems count="2">
        <s v=" "/>
        <s v="SABS1200 C \ SITE CLEARANCE / 8.2\ SCHEDULED ITEMS / 8.2.2 \ Remove and large trees and trees stumps of girth over 1m and up to 2m. /\Pan8_003-Removal of Dam Wall  \No.\5 \ 1500"/>
      </sharedItems>
    </cacheField>
    <cacheField name="Create new temporary access road" numFmtId="0">
      <sharedItems count="1">
        <s v=" "/>
      </sharedItems>
    </cacheField>
    <cacheField name="Upgrade existing access road" numFmtId="0">
      <sharedItems count="1">
        <s v=" "/>
      </sharedItems>
    </cacheField>
    <cacheField name="Maintain existing access road" numFmtId="0">
      <sharedItems count="2" longText="1">
        <s v=" "/>
        <s v=" \ MAINTAIN TEMPORARY ACCESS ROAD / \  /  \ Rate to allow for the maintaining of temporary access road for the duration of the implementation of the Wetland Implementation Cluster as per this section of the BoQ.. /\Road 1 - Cluster 1-Maintain Road \m\6440.9 \ 5"/>
      </sharedItems>
    </cacheField>
    <cacheField name="250 mm Diam. Rsv Gate Valve" numFmtId="0">
      <sharedItems count="2" longText="1">
        <s v=" "/>
        <s v="SABS1200 L \ MEDIUM-PRESSURE PIPELINES / 8.2\ SCHEDULED ITEMS /  \ Supply, install, joint, incl cut pipes where necessary, test, flanged valve with non rising spindle and hand wheel.. 250 mm diam. RSV gate valve/\ks11-001-Off-take structure  \No.\1 \ 12500"/>
      </sharedItems>
    </cacheField>
    <cacheField name="Bends uPVC Class 6 socketed" numFmtId="0">
      <sharedItems count="2">
        <s v=" "/>
        <s v="SABS1200 L \ MEDIUM-PRESSURE PIPELINES / 8.2\ SCHEDULED ITEMS /  \ Bends uPVC class 6 socketed. . 250mm diameter 45 deg./\ks11-001-Off-take structure  \No.\2 \ 3000"/>
      </sharedItems>
    </cacheField>
    <cacheField name="Cast Iron Flange Adaptors" numFmtId="0">
      <sharedItems count="2">
        <s v=" "/>
        <s v="SABS1200 L \ MEDIUM-PRESSURE PIPELINES / 8.2\ SCHEDULED ITEMS /  \ Cast Iron Flange Adaptors.. 250 mm diameter./\ks11-001-Off-take structure  \No.\2 \ 1800"/>
      </sharedItems>
    </cacheField>
    <cacheField name="38mm Fiberglass Grating" numFmtId="0">
      <sharedItems count="2">
        <s v=" "/>
        <s v=" \  / \  /  \ Rate for the supply and installation of a 38 mm fibreglass grating with openings not greater than 50 mm x 50 mm.. /\ks11-001-Off-take structure  \m²\0.5 \ 3000"/>
      </sharedItems>
    </cacheField>
    <cacheField name="250 mm Steel pipe with removable stop end" numFmtId="0">
      <sharedItems count="3" longText="1">
        <s v=" "/>
        <s v=" \  / \  /  \ Rate to allow for the supply and installation of a 2.5 meter long, 250 mm diameter steel pipe with removable stop-end. Rate to include paddle flanges, flange adaptor, stop end,  seals, nuts, and bolts.. /\ks11-002a-Concrete Drop Inlet on Dam Wall  \No.\1 \ 0"/>
        <s v=" \  / \  /  \ Rate to allow for the supply and installation of a 2.5 meter long, 250 mm diameter steel pipe with removable stop-end. Rate to include paddle flanges, flange adaptor, stop end,  seals, nuts, and bolts.. /\ks11-004a-Concrete Drop Inlet on Dam Wall  \No.\1 \ 0"/>
      </sharedItems>
    </cacheField>
    <cacheField name="??????" numFmtId="0">
      <sharedItems count="1">
        <s v=" "/>
      </sharedItems>
    </cacheField>
    <cacheField name="???????" numFmtId="0">
      <sharedItems count="1">
        <s v=" "/>
      </sharedItems>
    </cacheField>
    <cacheField name="????????" numFmtId="0">
      <sharedItems count="1">
        <s v=" "/>
      </sharedItems>
    </cacheField>
    <cacheField name="?????????" numFmtId="0">
      <sharedItems count="1">
        <s v=" "/>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Keaton Parker" refreshedDate="43507.662675231484" createdVersion="5" refreshedVersion="5" minRefreshableVersion="3" recordCount="140">
  <cacheSource type="worksheet">
    <worksheetSource ref="A3:JW143" sheet="DATA"/>
  </cacheSource>
  <cacheFields count="283">
    <cacheField name="HGM Unit" numFmtId="0">
      <sharedItems/>
    </cacheField>
    <cacheField name="INTERVENTION DESCRIPTION" numFmtId="0">
      <sharedItems/>
    </cacheField>
    <cacheField name="INTERVENTION TYPE" numFmtId="0">
      <sharedItems/>
    </cacheField>
    <cacheField name="INTERVENTION NUMBER" numFmtId="0">
      <sharedItems/>
    </cacheField>
    <cacheField name="Cluster Number" numFmtId="0">
      <sharedItems containsMixedTypes="1" containsNumber="1" containsInteger="1" minValue="1" maxValue="6" count="10">
        <s v="2A"/>
        <n v="6"/>
        <s v="5A"/>
        <s v="3B"/>
        <s v="2B"/>
        <n v="1"/>
        <s v="3A"/>
        <s v="3C"/>
        <s v="4A"/>
        <s v="4B"/>
      </sharedItems>
    </cacheField>
    <cacheField name="LONGITUDE " numFmtId="0">
      <sharedItems containsString="0" containsBlank="1" containsNumber="1" minValue="29.940713611" maxValue="31.003015277778001"/>
    </cacheField>
    <cacheField name="LATITUDE" numFmtId="0">
      <sharedItems containsString="0" containsBlank="1" containsNumber="1" minValue="-25.834729721999999" maxValue="-25.793607776999998"/>
    </cacheField>
    <cacheField name="LONGITUDE 2" numFmtId="0">
      <sharedItems containsBlank="1"/>
    </cacheField>
    <cacheField name="LATITUDE2" numFmtId="0">
      <sharedItems containsBlank="1"/>
    </cacheField>
    <cacheField name="Complete/Estimate" numFmtId="0">
      <sharedItems containsBlank="1"/>
    </cacheField>
    <cacheField name="Design Complete" numFmtId="0">
      <sharedItems containsBlank="1" containsMixedTypes="1" containsNumber="1" containsInteger="1" minValue="0" maxValue="0"/>
    </cacheField>
    <cacheField name="BoQ Completed" numFmtId="0">
      <sharedItems containsBlank="1"/>
    </cacheField>
    <cacheField name="BOQ Checked Date" numFmtId="166">
      <sharedItems containsDate="1" containsBlank="1" containsMixedTypes="1" minDate="1899-12-30T00:00:00" maxDate="2017-06-01T00:00:00"/>
    </cacheField>
    <cacheField name="Drawing Completed" numFmtId="0">
      <sharedItems containsBlank="1"/>
    </cacheField>
    <cacheField name="Drawing Checked" numFmtId="0">
      <sharedItems containsDate="1" containsBlank="1" containsMixedTypes="1" minDate="1899-12-30T00:00:00" maxDate="2017-02-07T00:00:00"/>
    </cacheField>
    <cacheField name="Drawing Number" numFmtId="0">
      <sharedItems containsBlank="1"/>
    </cacheField>
    <cacheField name="Checked_16062018" numFmtId="0">
      <sharedItems containsBlank="1"/>
    </cacheField>
    <cacheField name="Rev No." numFmtId="49">
      <sharedItems containsBlank="1"/>
    </cacheField>
    <cacheField name="Last Rev Date" numFmtId="14">
      <sharedItems containsNonDate="0" containsDate="1" containsString="0" containsBlank="1" minDate="2018-06-16T00:00:00" maxDate="2018-12-08T00:00:00"/>
    </cacheField>
    <cacheField name="Implementation Phase" numFmtId="166">
      <sharedItems containsBlank="1"/>
    </cacheField>
    <cacheField name="Implementation Year" numFmtId="0">
      <sharedItems containsBlank="1"/>
    </cacheField>
    <cacheField name="a) Excavation (Remove Top Soil)" numFmtId="1">
      <sharedItems containsString="0" containsBlank="1" containsNumber="1" minValue="0" maxValue="6032.3099999999995"/>
    </cacheField>
    <cacheField name="b) Excavation (non-restricted)" numFmtId="1">
      <sharedItems containsString="0" containsBlank="1" containsNumber="1" minValue="0" maxValue="2651.3666666666668"/>
    </cacheField>
    <cacheField name="ci)Excavation (Extra-over intermediate)" numFmtId="1">
      <sharedItems containsString="0" containsBlank="1" containsNumber="1" minValue="0" maxValue="32.435749999999999"/>
    </cacheField>
    <cacheField name="cii)Excavation (Extra-over Hard Rock)" numFmtId="1">
      <sharedItems containsString="0" containsBlank="1" containsNumber="1" containsInteger="1" minValue="0" maxValue="0"/>
    </cacheField>
    <cacheField name="ciii) Excavation (Bolders-B)" numFmtId="1">
      <sharedItems containsString="0" containsBlank="1" containsNumber="1" containsInteger="1" minValue="0" maxValue="0"/>
    </cacheField>
    <cacheField name="a) Excavation " numFmtId="1">
      <sharedItems containsString="0" containsBlank="1" containsNumber="1" minValue="0" maxValue="1098"/>
    </cacheField>
    <cacheField name="bi)Excavation (Extra-over intermediate)" numFmtId="1">
      <sharedItems containsString="0" containsBlank="1" containsNumber="1" minValue="0" maxValue="39.476520000000001"/>
    </cacheField>
    <cacheField name="bii)Excavation (Extra-over Hard Rock)" numFmtId="1">
      <sharedItems containsString="0" containsBlank="1" containsNumber="1" minValue="0" maxValue="14.235863999999999"/>
    </cacheField>
    <cacheField name="Topsoiling (m2)" numFmtId="1">
      <sharedItems containsString="0" containsBlank="1" containsNumber="1" minValue="0" maxValue="6700"/>
    </cacheField>
    <cacheField name="Revegetation (m2)" numFmtId="1">
      <sharedItems containsString="0" containsBlank="1" containsNumber="1" minValue="0" maxValue="38200"/>
    </cacheField>
    <cacheField name="Freehaul" numFmtId="1">
      <sharedItems containsString="0" containsBlank="1" containsNumber="1" minValue="0" maxValue="848.23699999999997"/>
    </cacheField>
    <cacheField name="Overhaul" numFmtId="1">
      <sharedItems containsString="0" containsBlank="1" containsNumber="1" minValue="0" maxValue="4105.6856479999997"/>
    </cacheField>
    <cacheField name="CONCRETE (m³)" numFmtId="0">
      <sharedItems containsString="0" containsBlank="1" containsNumber="1" minValue="0" maxValue="94.94319999999999"/>
    </cacheField>
    <cacheField name="Blinding Layer (m²)" numFmtId="0">
      <sharedItems containsString="0" containsBlank="1" containsNumber="1" minValue="0" maxValue="101.63999999999999"/>
    </cacheField>
    <cacheField name="Steel bars (High Tensile)" numFmtId="0">
      <sharedItems containsString="0" containsBlank="1" containsNumber="1" containsInteger="1" minValue="0" maxValue="98"/>
    </cacheField>
    <cacheField name="Steel bars (mild Tensile)" numFmtId="0">
      <sharedItems containsString="0" containsBlank="1" containsNumber="1" containsInteger="1" minValue="0" maxValue="0"/>
    </cacheField>
    <cacheField name=" Mesh Code 1" numFmtId="0">
      <sharedItems containsBlank="1" containsMixedTypes="1" containsNumber="1" containsInteger="1" minValue="0" maxValue="0"/>
    </cacheField>
    <cacheField name="Mesh Ref 1 (m²)" numFmtId="0">
      <sharedItems containsString="0" containsBlank="1" containsNumber="1" minValue="0" maxValue="89.69919999999999"/>
    </cacheField>
    <cacheField name=" Mesh Code 2" numFmtId="0">
      <sharedItems containsBlank="1" containsMixedTypes="1" containsNumber="1" containsInteger="1" minValue="0" maxValue="0"/>
    </cacheField>
    <cacheField name="Mesh Ref 2 (m²)" numFmtId="0">
      <sharedItems containsString="0" containsBlank="1" containsNumber="1" minValue="0" maxValue="82.174399999999991"/>
    </cacheField>
    <cacheField name="Rough - Horizontal (85°-90°)" numFmtId="0">
      <sharedItems containsString="0" containsBlank="1" containsNumber="1" containsInteger="1" minValue="0" maxValue="0"/>
    </cacheField>
    <cacheField name="Rough - Sloping (&gt;10°&lt;85°)" numFmtId="0">
      <sharedItems containsString="0" containsBlank="1" containsNumber="1" minValue="0" maxValue="124.76995008701984"/>
    </cacheField>
    <cacheField name="Rough - Battered (&lt;10°)" numFmtId="0">
      <sharedItems containsString="0" containsBlank="1" containsNumber="1" containsInteger="1" minValue="0" maxValue="0"/>
    </cacheField>
    <cacheField name="Rough - Vertical (0°)" numFmtId="0">
      <sharedItems containsString="0" containsBlank="1" containsNumber="1" minValue="0" maxValue="47"/>
    </cacheField>
    <cacheField name="Smooth - Horizontal (85°-90°)" numFmtId="0">
      <sharedItems containsString="0" containsBlank="1" containsNumber="1" containsInteger="1" minValue="0" maxValue="0"/>
    </cacheField>
    <cacheField name="Smooth - Sloping (&gt;10°&lt;85°)" numFmtId="0">
      <sharedItems containsString="0" containsBlank="1" containsNumber="1" containsInteger="1" minValue="0" maxValue="0"/>
    </cacheField>
    <cacheField name="Smooth - Battered (&lt;10°)" numFmtId="0">
      <sharedItems containsString="0" containsBlank="1" containsNumber="1" containsInteger="1" minValue="0" maxValue="0"/>
    </cacheField>
    <cacheField name="Smooth - Vertical (0°)" numFmtId="0">
      <sharedItems containsString="0" containsBlank="1" containsNumber="1" containsInteger="1" minValue="0" maxValue="0"/>
    </cacheField>
    <cacheField name="Narrow Widths (up to 300 mm)" numFmtId="0">
      <sharedItems containsString="0" containsBlank="1" containsNumber="1" containsInteger="1" minValue="0" maxValue="0"/>
    </cacheField>
    <cacheField name="Box Out Holes (Up to 0.35 m Diameter and 0.5 m deep)" numFmtId="0">
      <sharedItems containsString="0" containsBlank="1" containsNumber="1" containsInteger="1" minValue="0" maxValue="16"/>
    </cacheField>
    <cacheField name="a) Wood floated Finish" numFmtId="0">
      <sharedItems containsString="0" containsBlank="1" containsNumber="1" minValue="0" maxValue="15"/>
    </cacheField>
    <cacheField name="b) Steel-floated Finish" numFmtId="0">
      <sharedItems containsString="0" containsBlank="1" containsNumber="1" containsInteger="1" minValue="0" maxValue="0"/>
    </cacheField>
    <cacheField name="Concrete complete with Formwork (m3)" numFmtId="0">
      <sharedItems containsString="0" containsBlank="1" containsNumber="1" minValue="0" maxValue="21.3"/>
    </cacheField>
    <cacheField name="M200 BLOCKS (unit)" numFmtId="0">
      <sharedItems containsString="0" containsBlank="1" containsNumber="1" containsInteger="1" minValue="0" maxValue="0"/>
    </cacheField>
    <cacheField name="Earthen material" numFmtId="0">
      <sharedItems containsString="0" containsBlank="1" containsNumber="1" minValue="0" maxValue="24200"/>
    </cacheField>
    <cacheField name="Granular Fill Material" numFmtId="0">
      <sharedItems containsString="0" containsBlank="1" containsNumber="1" minValue="0" maxValue="3.0000000000000004"/>
    </cacheField>
    <cacheField name="a) Cavities filled with approved excavated material or rock" numFmtId="0">
      <sharedItems containsString="0" containsBlank="1" containsNumber="1" containsInteger="1" minValue="0" maxValue="0"/>
    </cacheField>
    <cacheField name="b) Cavities filled with grade 15 concrete (provisional)" numFmtId="0">
      <sharedItems containsString="0" containsBlank="1" containsNumber="1" containsInteger="1" minValue="0" maxValue="1"/>
    </cacheField>
    <cacheField name="1 m x 1 m x 1 m Galvanised Gabions" numFmtId="0">
      <sharedItems containsString="0" containsBlank="1" containsNumber="1" containsInteger="1" minValue="0" maxValue="0"/>
    </cacheField>
    <cacheField name="2 m x 1 m x 1 m Galvanised  Gabions" numFmtId="0">
      <sharedItems containsString="0" containsBlank="1" containsNumber="1" containsInteger="1" minValue="0" maxValue="8"/>
    </cacheField>
    <cacheField name="3 m x 1 m x 1 m Galvanised Gabions" numFmtId="0">
      <sharedItems containsString="0" containsBlank="1" containsNumber="1" containsInteger="1" minValue="0" maxValue="15"/>
    </cacheField>
    <cacheField name="4 m x 1 m x 1 m Galvanised Gabions" numFmtId="0">
      <sharedItems containsString="0" containsBlank="1" containsNumber="1" containsInteger="1" minValue="0" maxValue="0"/>
    </cacheField>
    <cacheField name="2 m x 0.5 m x 0.5 m Galvanised Gabions" numFmtId="0">
      <sharedItems containsString="0" containsBlank="1" containsNumber="1" containsInteger="1" minValue="0" maxValue="0"/>
    </cacheField>
    <cacheField name="2 m x 1 m x 0.3 m Galvanised Reno Mattress" numFmtId="0">
      <sharedItems containsString="0" containsBlank="1" containsNumber="1" containsInteger="1" minValue="0" maxValue="0"/>
    </cacheField>
    <cacheField name="3 m x 1 m x 0.3 m Galvanised Reno Mattress" numFmtId="0">
      <sharedItems containsString="0" containsBlank="1" containsNumber="1" minValue="0" maxValue="10.8"/>
    </cacheField>
    <cacheField name="6 m x 2 m x 0.3 m Galvanised Reno Mattress" numFmtId="0">
      <sharedItems containsString="0" containsBlank="1" containsNumber="1" containsInteger="1" minValue="0" maxValue="0"/>
    </cacheField>
    <cacheField name="1 m x 1 m x 1 m PVC coated Gabions" numFmtId="0">
      <sharedItems containsString="0" containsBlank="1" containsNumber="1" containsInteger="1" minValue="0" maxValue="0"/>
    </cacheField>
    <cacheField name="2 m x 1 m x 1 m PVC coated Gabions" numFmtId="0">
      <sharedItems containsString="0" containsBlank="1" containsNumber="1" containsInteger="1" minValue="0" maxValue="0"/>
    </cacheField>
    <cacheField name="3 m x 1 m x 1 m PVC coated Gabions" numFmtId="0">
      <sharedItems containsString="0" containsBlank="1" containsNumber="1" containsInteger="1" minValue="0" maxValue="0"/>
    </cacheField>
    <cacheField name="4 m x 1 m x 1 m PVC coated Gabions" numFmtId="0">
      <sharedItems containsString="0" containsBlank="1" containsNumber="1" containsInteger="1" minValue="0" maxValue="0"/>
    </cacheField>
    <cacheField name="2 m x 0.5 m x 0.5 m PVC coated Gabions" numFmtId="0">
      <sharedItems containsString="0" containsBlank="1" containsNumber="1" containsInteger="1" minValue="0" maxValue="0"/>
    </cacheField>
    <cacheField name="2 m x 1 m x 0.3 m PVC coated Reno Mattress" numFmtId="0">
      <sharedItems containsString="0" containsBlank="1" containsNumber="1" containsInteger="1" minValue="0" maxValue="0"/>
    </cacheField>
    <cacheField name="3 m x 1 m x 0.3 m PVC coated Reno Mattress" numFmtId="0">
      <sharedItems containsString="0" containsBlank="1" containsNumber="1" containsInteger="1" minValue="0" maxValue="0"/>
    </cacheField>
    <cacheField name="6 m x 2 m x 0.3 m PVC coated Reno Mattress" numFmtId="0">
      <sharedItems containsString="0" containsBlank="1" containsNumber="1" containsInteger="1" minValue="0" maxValue="0"/>
    </cacheField>
    <cacheField name="Extra-over 8.2.2 for packing selected stone for exposed surfaces" numFmtId="0">
      <sharedItems containsString="0" containsBlank="1" containsNumber="1" containsInteger="1" minValue="0" maxValue="0"/>
    </cacheField>
    <cacheField name="Needle punched Non-woven Geotextile" numFmtId="0">
      <sharedItems containsString="0" containsBlank="1" containsNumber="1" minValue="0" maxValue="87"/>
    </cacheField>
    <cacheField name="Stone Pitching - Light" numFmtId="0">
      <sharedItems containsString="0" containsBlank="1" containsNumber="1" containsInteger="1" minValue="0" maxValue="0"/>
    </cacheField>
    <cacheField name="Stone Pitching - Medium" numFmtId="0">
      <sharedItems containsString="0" containsBlank="1" containsNumber="1" containsInteger="1" minValue="0" maxValue="0"/>
    </cacheField>
    <cacheField name="Grouted Pitching - Light" numFmtId="0">
      <sharedItems containsString="0" containsBlank="1" containsNumber="1" containsInteger="1" minValue="0" maxValue="50"/>
    </cacheField>
    <cacheField name="Grouted Pitching - Medium" numFmtId="0">
      <sharedItems containsString="0" containsBlank="1" containsNumber="1" containsInteger="1" minValue="0" maxValue="0"/>
    </cacheField>
    <cacheField name="Weepholes in grouted stone pitching" numFmtId="0">
      <sharedItems containsString="0" containsBlank="1" containsNumber="1" containsInteger="1" minValue="0" maxValue="0"/>
    </cacheField>
    <cacheField name="ROCKPACK (m3)" numFmtId="0">
      <sharedItems containsString="0" containsBlank="1" containsNumber="1" containsInteger="1" minValue="0" maxValue="24"/>
    </cacheField>
    <cacheField name="ECO-LOGS (unit)" numFmtId="0">
      <sharedItems containsString="0" containsBlank="1" containsNumber="1" containsInteger="1" minValue="0" maxValue="102"/>
    </cacheField>
    <cacheField name="Geo-cells (m²)" numFmtId="0">
      <sharedItems containsString="0" containsBlank="1" containsNumber="1" containsInteger="1" minValue="0" maxValue="0"/>
    </cacheField>
    <cacheField name="Barb Wire Fence (m)" numFmtId="0">
      <sharedItems containsString="0" containsBlank="1" containsNumber="1" containsInteger="1" minValue="0" maxValue="0"/>
    </cacheField>
    <cacheField name="1.5mm HDPE Liner (m2)" numFmtId="0">
      <sharedItems containsString="0" containsBlank="1" containsNumber="1" containsInteger="1" minValue="0" maxValue="0"/>
    </cacheField>
    <cacheField name="2mm HDPE Liner (m2)" numFmtId="0">
      <sharedItems containsString="0" containsBlank="1" containsNumber="1" containsInteger="1" minValue="0" maxValue="0"/>
    </cacheField>
    <cacheField name="Bentonite (Envirobent) (m3)" numFmtId="0">
      <sharedItems containsString="0" containsBlank="1" containsNumber="1" containsInteger="1" minValue="0" maxValue="0"/>
    </cacheField>
    <cacheField name="MacMat Liner (m2)" numFmtId="0">
      <sharedItems containsString="0" containsBlank="1" containsNumber="1" containsInteger="1" minValue="0" maxValue="0"/>
    </cacheField>
    <cacheField name="Reshaping (ha)" numFmtId="0">
      <sharedItems containsString="0" containsBlank="1" containsNumber="1" containsInteger="1" minValue="0" maxValue="0"/>
    </cacheField>
    <cacheField name="Scarifying Earthworks (ha)" numFmtId="0">
      <sharedItems containsString="0" containsBlank="1" containsNumber="1" containsInteger="1" minValue="0" maxValue="0"/>
    </cacheField>
    <cacheField name="Sediment Fences" numFmtId="0">
      <sharedItems containsString="0" containsBlank="1" containsNumber="1" containsInteger="1" minValue="0" maxValue="0"/>
    </cacheField>
    <cacheField name="600 mm Pipe (m)" numFmtId="0">
      <sharedItems containsString="0" containsBlank="1" containsNumber="1" containsInteger="1" minValue="0" maxValue="15"/>
    </cacheField>
    <cacheField name="Wetland Soil Backfill" numFmtId="0">
      <sharedItems containsString="0" containsBlank="1" containsNumber="1" containsInteger="1" minValue="0" maxValue="11500"/>
    </cacheField>
    <cacheField name="Brickwork - 230 mm thick (m²)" numFmtId="0">
      <sharedItems containsString="0" containsBlank="1" containsNumber="1" minValue="0" maxValue="6"/>
    </cacheField>
    <cacheField name="250 mm Diameter uPVC pipe (m)" numFmtId="0">
      <sharedItems containsString="0" containsBlank="1" containsNumber="1" containsInteger="1" minValue="0" maxValue="265"/>
    </cacheField>
    <cacheField name="Manholes 1000 mm diameter pre-cast (No.)" numFmtId="0">
      <sharedItems containsString="0" containsBlank="1" containsNumber="1" containsInteger="1" minValue="0" maxValue="4"/>
    </cacheField>
    <cacheField name="Vegetation clearing (m)" numFmtId="0">
      <sharedItems containsString="0" containsBlank="1" containsNumber="1" containsInteger="1" minValue="0" maxValue="265"/>
    </cacheField>
    <cacheField name="Top soil removal (m²)" numFmtId="0">
      <sharedItems containsString="0" containsBlank="1" containsNumber="1" minValue="0" maxValue="185.5"/>
    </cacheField>
    <cacheField name="Excavation of trench (m)" numFmtId="0">
      <sharedItems containsString="0" containsBlank="1" containsNumber="1" containsInteger="1" minValue="0" maxValue="265"/>
    </cacheField>
    <cacheField name="Make up deficiency in backfill material (m³)" numFmtId="0">
      <sharedItems containsString="0" containsBlank="1" containsNumber="1" minValue="0" maxValue="5"/>
    </cacheField>
    <cacheField name="Clear and Grub (m²)" numFmtId="0">
      <sharedItems containsString="0" containsBlank="1" containsNumber="1" containsInteger="1" minValue="0" maxValue="1700"/>
    </cacheField>
    <cacheField name="Remove and large trees and trees stumps  (No.)" numFmtId="0">
      <sharedItems containsString="0" containsBlank="1" containsNumber="1" containsInteger="1" minValue="0" maxValue="5"/>
    </cacheField>
    <cacheField name="Create new temporary access road (m)" numFmtId="0">
      <sharedItems containsString="0" containsBlank="1" containsNumber="1" containsInteger="1" minValue="0" maxValue="0"/>
    </cacheField>
    <cacheField name="Upgrade existing access road (m)" numFmtId="0">
      <sharedItems containsString="0" containsBlank="1" containsNumber="1" containsInteger="1" minValue="0" maxValue="0"/>
    </cacheField>
    <cacheField name="Maintain existing access road (m)" numFmtId="0">
      <sharedItems containsString="0" containsBlank="1" containsNumber="1" containsInteger="1" minValue="0" maxValue="0"/>
    </cacheField>
    <cacheField name="250 mm Diam. Rsv Gate Valve (No.)" numFmtId="0">
      <sharedItems containsString="0" containsBlank="1" containsNumber="1" containsInteger="1" minValue="1" maxValue="1"/>
    </cacheField>
    <cacheField name="Bends uPVC Class 6 socketed (No.)" numFmtId="0">
      <sharedItems containsString="0" containsBlank="1" containsNumber="1" containsInteger="1" minValue="2" maxValue="2"/>
    </cacheField>
    <cacheField name="Cast Iron Flange Adaptors (No.)" numFmtId="0">
      <sharedItems containsString="0" containsBlank="1" containsNumber="1" containsInteger="1" minValue="2" maxValue="2"/>
    </cacheField>
    <cacheField name="38mm Fiberglass Grating (m²)" numFmtId="0">
      <sharedItems containsString="0" containsBlank="1" containsNumber="1" minValue="0.5" maxValue="0.5"/>
    </cacheField>
    <cacheField name="250 mm Steel pipe with removable stop end (No.)" numFmtId="0">
      <sharedItems containsString="0" containsBlank="1" containsNumber="1" containsInteger="1" minValue="1" maxValue="1"/>
    </cacheField>
    <cacheField name="?????? (*)" numFmtId="0">
      <sharedItems containsNonDate="0" containsString="0" containsBlank="1"/>
    </cacheField>
    <cacheField name="??????? (*)" numFmtId="0">
      <sharedItems containsNonDate="0" containsString="0" containsBlank="1"/>
    </cacheField>
    <cacheField name="???????? (*)" numFmtId="0">
      <sharedItems containsNonDate="0" containsString="0" containsBlank="1"/>
    </cacheField>
    <cacheField name="????????? (*)" numFmtId="0">
      <sharedItems containsNonDate="0" containsString="0" containsBlank="1"/>
    </cacheField>
    <cacheField name="a) Excavation (Remove Top Soil)2" numFmtId="164">
      <sharedItems containsSemiMixedTypes="0" containsString="0" containsNumber="1" minValue="0" maxValue="30161.549999999996"/>
    </cacheField>
    <cacheField name="b) Excavation (non-restricted)2" numFmtId="164">
      <sharedItems containsSemiMixedTypes="0" containsString="0" containsNumber="1" minValue="0" maxValue="132568.33333333334"/>
    </cacheField>
    <cacheField name="ci)Excavation (Extra-over intermediate)2" numFmtId="164">
      <sharedItems containsSemiMixedTypes="0" containsString="0" containsNumber="1" minValue="0" maxValue="2432.6812500000001"/>
    </cacheField>
    <cacheField name="cii)Excavation (Extra-over Hard Rock)2" numFmtId="164">
      <sharedItems containsSemiMixedTypes="0" containsString="0" containsNumber="1" containsInteger="1" minValue="0" maxValue="0"/>
    </cacheField>
    <cacheField name="ciii) Excavation (Bolders-B)2" numFmtId="164">
      <sharedItems containsSemiMixedTypes="0" containsString="0" containsNumber="1" containsInteger="1" minValue="0" maxValue="0"/>
    </cacheField>
    <cacheField name="a) Excavation 2" numFmtId="164">
      <sharedItems containsSemiMixedTypes="0" containsString="0" containsNumber="1" minValue="0" maxValue="93330"/>
    </cacheField>
    <cacheField name="bi)Excavation (Extra-over intermediate)2" numFmtId="164">
      <sharedItems containsSemiMixedTypes="0" containsString="0" containsNumber="1" minValue="0" maxValue="4934.5650000000005"/>
    </cacheField>
    <cacheField name="bii)Excavation (Extra-over Hard Rock)2" numFmtId="164">
      <sharedItems containsSemiMixedTypes="0" containsString="0" containsNumber="1" minValue="0" maxValue="7117.9319999999998"/>
    </cacheField>
    <cacheField name="Cost of Top Soiling" numFmtId="164">
      <sharedItems containsSemiMixedTypes="0" containsString="0" containsNumber="1" minValue="0" maxValue="33500"/>
    </cacheField>
    <cacheField name="Cost of Re-Vegetation" numFmtId="164">
      <sharedItems containsSemiMixedTypes="0" containsString="0" containsNumber="1" minValue="0" maxValue="382000"/>
    </cacheField>
    <cacheField name="Cost of Overhaul" numFmtId="164">
      <sharedItems containsSemiMixedTypes="0" containsString="0" containsNumber="1" minValue="0" maxValue="24634.113888"/>
    </cacheField>
    <cacheField name="Cost of Concrete" numFmtId="164">
      <sharedItems containsSemiMixedTypes="0" containsString="0" containsNumber="1" minValue="0" maxValue="189886.4"/>
    </cacheField>
    <cacheField name="BLINDING LAYER (m2)" numFmtId="164">
      <sharedItems containsSemiMixedTypes="0" containsString="0" containsNumber="1" minValue="0" maxValue="30491.999999999996"/>
    </cacheField>
    <cacheField name="High Tensile" numFmtId="164">
      <sharedItems containsSemiMixedTypes="0" containsString="0" containsNumber="1" containsInteger="1" minValue="0" maxValue="1764"/>
    </cacheField>
    <cacheField name="Mild Tensile" numFmtId="164">
      <sharedItems containsSemiMixedTypes="0" containsString="0" containsNumber="1" containsInteger="1" minValue="0" maxValue="0"/>
    </cacheField>
    <cacheField name="Welded Mesh" numFmtId="164">
      <sharedItems containsSemiMixedTypes="0" containsString="0" containsNumber="1" minValue="0" maxValue="3437.4719999999998"/>
    </cacheField>
    <cacheField name="Cost of Formwork" numFmtId="164">
      <sharedItems containsSemiMixedTypes="0" containsString="0" containsNumber="1" minValue="0" maxValue="112130.4675565629"/>
    </cacheField>
    <cacheField name="Cost of Unformed Surface Finishes" numFmtId="164">
      <sharedItems containsSemiMixedTypes="0" containsString="0" containsNumber="1" minValue="0" maxValue="450"/>
    </cacheField>
    <cacheField name="Cost of Concrete complete w Formwork" numFmtId="164">
      <sharedItems containsSemiMixedTypes="0" containsString="0" containsNumber="1" containsInteger="1" minValue="0" maxValue="69225"/>
    </cacheField>
    <cacheField name="Cost of M200 Blocks" numFmtId="164">
      <sharedItems containsSemiMixedTypes="0" containsString="0" containsNumber="1" containsInteger="1" minValue="0" maxValue="0"/>
    </cacheField>
    <cacheField name="Earthen material2" numFmtId="164">
      <sharedItems containsSemiMixedTypes="0" containsString="0" containsNumber="1" minValue="0" maxValue="2904000"/>
    </cacheField>
    <cacheField name="Granular Fill Material2" numFmtId="164">
      <sharedItems containsSemiMixedTypes="0" containsString="0" containsNumber="1" minValue="0" maxValue="900.00000000000011"/>
    </cacheField>
    <cacheField name="Cost of Gabions" numFmtId="164">
      <sharedItems containsSemiMixedTypes="0" containsString="0" containsNumber="1" containsInteger="1" minValue="0" maxValue="46975"/>
    </cacheField>
    <cacheField name="Cost of Pitching" numFmtId="164">
      <sharedItems containsSemiMixedTypes="0" containsString="0" containsNumber="1" containsInteger="1" minValue="0" maxValue="37500"/>
    </cacheField>
    <cacheField name="Cost of Geotextile" numFmtId="164">
      <sharedItems containsSemiMixedTypes="0" containsString="0" containsNumber="1" minValue="0" maxValue="2436"/>
    </cacheField>
    <cacheField name="Cost of Rockpack" numFmtId="164">
      <sharedItems containsSemiMixedTypes="0" containsString="0" containsNumber="1" containsInteger="1" minValue="0" maxValue="12000"/>
    </cacheField>
    <cacheField name="Cost of Eco-logs" numFmtId="164">
      <sharedItems containsSemiMixedTypes="0" containsString="0" containsNumber="1" containsInteger="1" minValue="0" maxValue="91800"/>
    </cacheField>
    <cacheField name="Cost of Geo-cells" numFmtId="164">
      <sharedItems containsSemiMixedTypes="0" containsString="0" containsNumber="1" containsInteger="1" minValue="0" maxValue="0"/>
    </cacheField>
    <cacheField name="Cost of Barb Wire Fencing ( R)" numFmtId="164">
      <sharedItems containsSemiMixedTypes="0" containsString="0" containsNumber="1" containsInteger="1" minValue="0" maxValue="0"/>
    </cacheField>
    <cacheField name="Cost of HDPE Liner" numFmtId="164">
      <sharedItems containsSemiMixedTypes="0" containsString="0" containsNumber="1" containsInteger="1" minValue="0" maxValue="0"/>
    </cacheField>
    <cacheField name="Envirobent (or equiv.)" numFmtId="164">
      <sharedItems containsSemiMixedTypes="0" containsString="0" containsNumber="1" containsInteger="1" minValue="0" maxValue="0"/>
    </cacheField>
    <cacheField name="Cost of MacMat Liner ( R)" numFmtId="164">
      <sharedItems containsSemiMixedTypes="0" containsString="0" containsNumber="1" containsInteger="1" minValue="0" maxValue="0"/>
    </cacheField>
    <cacheField name="Cost of Reshaping (R )" numFmtId="164">
      <sharedItems containsSemiMixedTypes="0" containsString="0" containsNumber="1" containsInteger="1" minValue="0" maxValue="0"/>
    </cacheField>
    <cacheField name="Scarifying Cost of earthworks (R )" numFmtId="164">
      <sharedItems containsSemiMixedTypes="0" containsString="0" containsNumber="1" containsInteger="1" minValue="0" maxValue="0"/>
    </cacheField>
    <cacheField name="Cost of Sediment Fences (R )" numFmtId="164">
      <sharedItems containsSemiMixedTypes="0" containsString="0" containsNumber="1" containsInteger="1" minValue="0" maxValue="0"/>
    </cacheField>
    <cacheField name="600 mm Diam Pipe Cost" numFmtId="164">
      <sharedItems containsSemiMixedTypes="0" containsString="0" containsNumber="1" containsInteger="1" minValue="0" maxValue="15000"/>
    </cacheField>
    <cacheField name="Cost of Wetland soil backfill" numFmtId="164">
      <sharedItems containsSemiMixedTypes="0" containsString="0" containsNumber="1" containsInteger="1" minValue="0" maxValue="575000"/>
    </cacheField>
    <cacheField name="Cost of Brickwork - 230 mm thick" numFmtId="164">
      <sharedItems containsSemiMixedTypes="0" containsString="0" containsNumber="1" minValue="0" maxValue="4500"/>
    </cacheField>
    <cacheField name="Cost of 250 mm Diameter uPVC pipe" numFmtId="164">
      <sharedItems containsSemiMixedTypes="0" containsString="0" containsNumber="1" containsInteger="1" minValue="0" maxValue="132500"/>
    </cacheField>
    <cacheField name="Cost of Manholes 1000 mm diameter pre-cast" numFmtId="164">
      <sharedItems containsSemiMixedTypes="0" containsString="0" containsNumber="1" containsInteger="1" minValue="0" maxValue="30000"/>
    </cacheField>
    <cacheField name="Cost of Vegetation clearing" numFmtId="164">
      <sharedItems containsSemiMixedTypes="0" containsString="0" containsNumber="1" containsInteger="1" minValue="0" maxValue="26500"/>
    </cacheField>
    <cacheField name="Cost of Top soil removal" numFmtId="164">
      <sharedItems containsSemiMixedTypes="0" containsString="0" containsNumber="1" containsInteger="1" minValue="0" maxValue="2226"/>
    </cacheField>
    <cacheField name="Cost of Excavation of trench" numFmtId="164">
      <sharedItems containsSemiMixedTypes="0" containsString="0" containsNumber="1" containsInteger="1" minValue="0" maxValue="13250"/>
    </cacheField>
    <cacheField name="Cost of Make up deficiency in backfill material" numFmtId="164">
      <sharedItems containsSemiMixedTypes="0" containsString="0" containsNumber="1" containsInteger="1" minValue="0" maxValue="1500"/>
    </cacheField>
    <cacheField name="Cost of Clear and Grub" numFmtId="164">
      <sharedItems containsSemiMixedTypes="0" containsString="0" containsNumber="1" containsInteger="1" minValue="0" maxValue="17000"/>
    </cacheField>
    <cacheField name="Cost of Remove and large trees and trees stumps " numFmtId="164">
      <sharedItems containsSemiMixedTypes="0" containsString="0" containsNumber="1" containsInteger="1" minValue="0" maxValue="7500"/>
    </cacheField>
    <cacheField name="Cost of Create new temporary access road" numFmtId="164">
      <sharedItems containsSemiMixedTypes="0" containsString="0" containsNumber="1" containsInteger="1" minValue="0" maxValue="0"/>
    </cacheField>
    <cacheField name="Cost of Upgrade existing access road" numFmtId="164">
      <sharedItems containsSemiMixedTypes="0" containsString="0" containsNumber="1" containsInteger="1" minValue="0" maxValue="0"/>
    </cacheField>
    <cacheField name="Cost of Maintain existing access road" numFmtId="164">
      <sharedItems containsSemiMixedTypes="0" containsString="0" containsNumber="1" containsInteger="1" minValue="0" maxValue="0"/>
    </cacheField>
    <cacheField name="Cost of 250 mm Diam. Rsv Gate Valve" numFmtId="164">
      <sharedItems containsSemiMixedTypes="0" containsString="0" containsNumber="1" containsInteger="1" minValue="0" maxValue="12500"/>
    </cacheField>
    <cacheField name="Cost of Bends uPVC Class 6 socketed" numFmtId="164">
      <sharedItems containsSemiMixedTypes="0" containsString="0" containsNumber="1" containsInteger="1" minValue="0" maxValue="6000"/>
    </cacheField>
    <cacheField name="Cost of Cast Iron Flange Adaptors" numFmtId="164">
      <sharedItems containsSemiMixedTypes="0" containsString="0" containsNumber="1" containsInteger="1" minValue="0" maxValue="3600"/>
    </cacheField>
    <cacheField name="Cost of 38mm Fiberglass Grating" numFmtId="164">
      <sharedItems containsSemiMixedTypes="0" containsString="0" containsNumber="1" containsInteger="1" minValue="0" maxValue="1500"/>
    </cacheField>
    <cacheField name="Cost of 250 mm Steel pipe with removable stop end" numFmtId="164">
      <sharedItems containsSemiMixedTypes="0" containsString="0" containsNumber="1" containsInteger="1" minValue="0" maxValue="0"/>
    </cacheField>
    <cacheField name="Cost of ??????" numFmtId="164">
      <sharedItems containsSemiMixedTypes="0" containsString="0" containsNumber="1" containsInteger="1" minValue="0" maxValue="0"/>
    </cacheField>
    <cacheField name="Cost of ???????" numFmtId="164">
      <sharedItems containsSemiMixedTypes="0" containsString="0" containsNumber="1" containsInteger="1" minValue="0" maxValue="0"/>
    </cacheField>
    <cacheField name="Cost of ????????" numFmtId="164">
      <sharedItems containsSemiMixedTypes="0" containsString="0" containsNumber="1" containsInteger="1" minValue="0" maxValue="0"/>
    </cacheField>
    <cacheField name="Cost of ?????????" numFmtId="164">
      <sharedItems containsSemiMixedTypes="0" containsString="0" containsNumber="1" containsInteger="1" minValue="0" maxValue="0"/>
    </cacheField>
    <cacheField name="Cost Summary " numFmtId="164">
      <sharedItems containsSemiMixedTypes="0" containsString="0" containsNumber="1" minValue="903.90583018850941" maxValue="3653000"/>
    </cacheField>
    <cacheField name="Year 1 Est. Cost" numFmtId="164">
      <sharedItems containsMixedTypes="1" containsNumber="1" minValue="958.14017999982002" maxValue="920981"/>
    </cacheField>
    <cacheField name="Year 2 Est. Cost" numFmtId="164">
      <sharedItems/>
    </cacheField>
    <cacheField name="Year 3 Est. Cost" numFmtId="164">
      <sharedItems containsMixedTypes="1" containsNumber="1" minValue="3768.7206977255655" maxValue="687962.04621920013"/>
    </cacheField>
    <cacheField name="Year 4 Est. Cost" numFmtId="164">
      <sharedItems/>
    </cacheField>
    <cacheField name="Year 5 Est. Cost" numFmtId="164">
      <sharedItems/>
    </cacheField>
    <cacheField name="Year 6 Est. Cost" numFmtId="164">
      <sharedItems/>
    </cacheField>
    <cacheField name="Year 7 Est. Cost" numFmtId="164">
      <sharedItems/>
    </cacheField>
    <cacheField name="Year 8 Est. Cost" numFmtId="164">
      <sharedItems containsMixedTypes="1" containsNumber="1" minValue="72356.074231849736" maxValue="5822327.0162611669"/>
    </cacheField>
    <cacheField name="Year 9 Est. Cost" numFmtId="164">
      <sharedItems/>
    </cacheField>
    <cacheField name="Year 10 Est. Cost" numFmtId="164">
      <sharedItems/>
    </cacheField>
    <cacheField name="Year 11 Est. Cost" numFmtId="164">
      <sharedItems/>
    </cacheField>
    <cacheField name="Year 12 Est. Cost" numFmtId="164">
      <sharedItems/>
    </cacheField>
    <cacheField name="Year 13 Est. Cost" numFmtId="164">
      <sharedItems/>
    </cacheField>
    <cacheField name="Year 14 Est. Cost" numFmtId="164">
      <sharedItems/>
    </cacheField>
    <cacheField name="Year 15 Est. Cost" numFmtId="164">
      <sharedItems/>
    </cacheField>
    <cacheField name="a) Excavation (Remove Top Soil)3" numFmtId="0">
      <sharedItems count="101" longText="1">
        <s v=" "/>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DS12_001-Excavation of Dam Wall  \m²\1251.40232690631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DS12_002-Backfilling Dam  \m²\995.487318191585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DS12_003-Excavation of Dam Wall  \m²\621.569611479008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1-002a-Concrete Drop Inlet on Dam Wall  \m²\31.8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1-002c-Dam wall excavation. Drawing NBC-GTW-CL-0067 \m²\1870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1-004a-Concrete Drop Inlet on Dam Wall  \m²\31.8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1-004c-Dam wall excavation. Drawing NBC-GTW-CL-0068 \m²\1200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2_002-Concrete Drop Inlet. Drawing NBC-GTW-CL-0002 \m²\30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2_003-Removal of Berm and Dam Wall  \m²\1876.14315788985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2_004-Concrete Drop Inlet. Drawing NBC-GTW-CL-0003 \m²\21.76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2_005-Concrete Drop Inlet. Drawing NBC-GTW-CL-0004 \m²\21.92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2_006-Concrete Drop Inlet. Drawing NBC-GTW-CL-0005 \m²\21.44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2_007-Concrete Drop Inlet. Drawing NBC-GTW-CL-0006 \m²\21.92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2_008-Concrete Drop Inlet. Drawing NBC-GTW-CL-0007 \m²\21.44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2_009-Concrete Drop Inlet. Drawing NBC-GTW-CL-0008 \m²\21.44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2_010-Removal of Dam Wall  \m²\619.185479905302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3_001-Infilling of Drains  \m²\1148.93998599451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3_002-Infilling of Drains  \m²\85.816653826392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3_003-Concrete Drop Inlet. Drawing NBC-GTW-CL-0009 \m²\23.2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3_009-Infilling of Drains  \m²\78.5716708603933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3_010-Removal of Berm  \m²\1868.09496857721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3_014-Infilling of Drains  \m²\278.716598321288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3_016-Infilling of Drains  \m²\332.18699875976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5_003-Removal of Dam Wall  \m²\619.289401121074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5-002-Backfill Main Channel  \m²\3846.97837810187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6_001-Earthen berm  \m²\494.873340531892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6_002-Excavate Dam Wall  \m²\400.2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6_004-Earthen berm  \m²\494.089808285138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8-021-Backfill Main Channel  \m²\3294.95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9_002-Concrete Drop Inlet. Drawing NBC-GTW-CL-0026 \m²\20.96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9_006-Removal of Dam Wall  \m²\3134.04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9_007-Infilling of Drains  \m²\191.419859738212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20_001-Concrete Drop Inlet. Drawing NBC-GTW-CL-0027 \m²\23.52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20_009_b-Concrete Check Wall. Drawing NBC-GTW-CL-0035 \m²\60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20_009_c-Removal of Earthen Berm. Drawing NBC-GTW-CL-0035 \m²\69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21_001-10° sloped Grouted Pitching (Light). Drawing NBC-GTW-CL-0038 \m²\38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21_003-Concrete Drop Inlet. Drawing NBC-GTW-CL-0039 \m²\22.24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21_005-Concrete Drop Inlet. Drawing NBC-GTW-CL-0040 \m²\22,24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21-010-Backfilling Main Channel. Drawing No Drawing \m²\2320,5501703847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21-002-Earthworks  \m²\340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21-004-Infilling of drain  \m²\112,305322126996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21-008-Infilling of drain  \m²\110,103362133363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LS08_001-Removal of Berm  \m²\148.532778078669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LS12_001-Removal of dam wall  \m²\2917.70393453744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LS12_002-Removal of Berm  \m²\133.158114034667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LS16_015-Earthworks (Reinforce Dam Wall)  \m²\567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LS16_021-Backfill Main Channel and reshaping  \m²\6032.31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Pan09_001-Removal of Dam Wall  \m²\977.744753861606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Pan14_004-Infilling of Drains  \m²\380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Pan14_005-Infilling of Drains  \m²\461.040922287129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Pan14_006-Earthen Berms  \m²\190.755332217041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Pan14_007-Infilling of Drains  \m²\168.280230740355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Pan14_008-Infilling of Drains  \m²\108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Pan14_009-Infilling of Drains  \m²\139.612870262106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Pan14_011-Infilling of Drains  \m²\4365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Pan14-001-Reinstate Pan Edge  \m²\367.230725070567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Pan14-002-Remove Berm  \m²\198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Pan14-003-Remove berm and backfill drain  \m²\2365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Pan8_002-Infilling of Drains  \m²\320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Pan8_004-Removal of Berm  \m²\34.9811660377019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8_001-Concrete Drop Inlet. Drawing NBC-GTW-CL-0019 \m²\23.84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20_007-Concrete Drop Inlet. Drawing NBC-GTW-CL-0033 \m²\23.04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20_002-Concrete Drop Inlet. Drawing NBC-GTW-CL-0028 \m²\24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6_001-Infilling of Drains  \m²\494.873340531892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8_002-Concrete Drop Inlet. Drawing NBC-GTW-CL-0020 \m²\17.52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20_009_c-Earthen Berm. Drawing NBC-GTW-CL-0035 \m²\69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21_001-10° sloped Grouted Pitching (Light). Drawing NBC-GTW-CL-0038 \m²\32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20_003-Concrete Buttress Weir. Drawing NBC-GTW-CL-0029 \m²\26.68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21-004-Earthworks  \m²\112.305322126996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21_006-Concrete Drop Inlet. Drawing NBC-GTW-CL-0041 \m²\21.6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21_007-Concrete Drop Inlet. Drawing NBC-GTW-CL-0042 \m²\21.6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5_001-Fish Bowl  \m²\504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3_004-Concrete Drop Inlet. Drawing NBC-GTW-CL-0010 \m²\22.4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21-002-Earthworks  \m²\340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3_012-Concrete Drop Inlet. Drawing NBC-GTW-CL-0016 \m²\23.2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20_008-Concrete Drop Inlet. Drawing NBC-GTW-CL-0034 \m²\23.2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6_004-Infilling of Drains  \m²\494.089808285138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20_009_b-Concrete Overflow Wall. Drawing NBC-GTW-CL-0035 \m²\50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21-008-Infilling of Drain  \m²\110.103362133363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8-014-Concrete Filled Geo-Cell Berm. Drawing NBC-GTW-CL-0001 \m²\31.75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3_005-Concrete Drop Inlet. Drawing NBC-GTW-CL-0011 \m²\21.76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3_006-Concrete Drop Inlet. Drawing NBC-GTW-CL-0012 \m²\21.76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21_005-Concrete Drop Inlet. Drawing NBC-GTW-CL-0040 \m²\21.76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20_009_a-Concrete Buttress Weir. Drawing NBC-GTW-CL-0035 \m²\25.88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3_011-Concrete Drop Inlet. Drawing NBC-GTW-CL-0015 \m²\22.88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8_020-Concrete Drop Inlet associated with Road Culvert  \m²\23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21_009-Concrete Drop Inlet. Drawing NBC-GTW-CL-0043 \m²\21.92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21_010-Concrete Drop Inlet. Drawing NBC-GTW-CL-0044 \m²\21.92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3_013-Concrete Drop Inlet. Drawing NBC-GTW-CL-0017 \m²\22.56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3_015-Concrete Drop Inlet. Drawing NBC-GTW-CL-0018 \m²\22.56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8_015-Concrete Drop Inlet. Drawing NBC-GTW-CL-0021 \m²\23.68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3_007-Concrete Drop Inlet. Drawing NBC-GTW-CL-0013 \m²\22.24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3_008-Concrete Drop Inlet. Drawing NBC-GTW-CL-0014 \m²\22.24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8_019-Concrete Drop Inlet. Drawing NBC-GTW-CL-0025 \m²\22.24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8_016-Concrete Drop Inlet. Drawing NBC-GTW-CL-0022 \m²\23.36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8_017-Concrete Drop Inlet. Drawing NBC-GTW-CL-0023 \m²\23.36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8_018-Concrete Drop Inlet. Drawing NBC-GTW-CL-0024 \m²\23.36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20_004-Concrete Drop Inlet. Drawing NBC-GTW-CL-0030 \m²\23.36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20_005-Concrete Drop Inlet. Drawing NBC-GTW-CL-0031 \m²\23.36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20_006-Concrete Drop Inlet. Drawing NBC-GTW-CL-0032 \m²\23.36 \ 5" u="1"/>
      </sharedItems>
    </cacheField>
    <cacheField name="b) Excavation (non-restricted)3" numFmtId="0">
      <sharedItems count="40">
        <s v=" "/>
        <s v="SABS1200 DA \EARTHWORKS (SMALL WORKS)/8.3\SCHEDULED ITEMS/8.3.1b\Excavate in all materials and use for embankments or backfill or dispose, as ordered by the engineer. /\DS12_001-Excavation of Dam Wall  \m³\1419.11 \ 50"/>
        <s v="SABS1200 DA \EARTHWORKS (SMALL WORKS)/8.3\SCHEDULED ITEMS/8.3.1b\Excavate in all materials and use for embankments or backfill or dispose, as ordered by the engineer. /\DS12_002-Backfilling Dam  \m³\1723.444675 \ 50"/>
        <s v="SABS1200 DA \EARTHWORKS (SMALL WORKS)/8.3\SCHEDULED ITEMS/8.3.1b\Excavate in all materials and use for embankments or backfill or dispose, as ordered by the engineer. /\DS12_003-Excavation of Dam Wall  \m³\659.314 \ 50"/>
        <s v="SABS1200 DA \EARTHWORKS (SMALL WORKS)/8.3\SCHEDULED ITEMS/8.3.1b\Excavate in all materials and use for embankments or backfill or dispose, as ordered by the engineer. /\ks11-002c-Dam wall excavation. Drawing NBC-GTW-CL-0067 \m³\2651.36666666667 \ 50"/>
        <s v="SABS1200 DA \EARTHWORKS (SMALL WORKS)/8.3\SCHEDULED ITEMS/8.3.1b\Excavate in all materials and use for embankments or backfill or dispose, as ordered by the engineer. /\ks11-004c-Dam wall excavation. Drawing NBC-GTW-CL-0068 \m³\665.25 \ 50"/>
        <s v="SABS1200 DA \EARTHWORKS (SMALL WORKS)/8.3\SCHEDULED ITEMS/8.3.1b\Excavate in all materials and use for embankments or backfill or dispose, as ordered by the engineer. /\KS12_003-Removal of Berm and Dam Wall  \m³\801.25656625 \ 50"/>
        <s v="SABS1200 DA \EARTHWORKS (SMALL WORKS)/8.3\SCHEDULED ITEMS/8.3.1b\Excavate in all materials and use for embankments or backfill or dispose, as ordered by the engineer. /\KS12_010-Removal of Dam Wall  \m³\211.894375 \ 50"/>
        <s v="SABS1200 DA \EARTHWORKS (SMALL WORKS)/8.3\SCHEDULED ITEMS/8.3.1b\Excavate in all materials and use for embankments or backfill or dispose, as ordered by the engineer. /\KS13_010-Removal of Berm  \m³\336.92505 \ 50"/>
        <s v="SABS1200 DA \EARTHWORKS (SMALL WORKS)/8.3\SCHEDULED ITEMS/8.3.1b\Excavate in all materials and use for embankments or backfill or dispose, as ordered by the engineer. /\KS13_016-Infilling of Drains  \m³\111.91475 \ 50"/>
        <s v="SABS1200 DA \EARTHWORKS (SMALL WORKS)/8.3\SCHEDULED ITEMS/8.3.1b\Excavate in all materials and use for embankments or backfill or dispose, as ordered by the engineer. /\KS15_003-Removal of Dam Wall  \m³\185.54375 \ 50"/>
        <s v="SABS1200 DA \EARTHWORKS (SMALL WORKS)/8.3\SCHEDULED ITEMS/8.3.1b\Excavate in all materials and use for embankments or backfill or dispose, as ordered by the engineer. /\KS16_002-Excavate Dam Wall  \m³\89.7 \ 50"/>
        <s v="SABS1200 DA \EARTHWORKS (SMALL WORKS)/8.3\SCHEDULED ITEMS/8.3.1b\Excavate in all materials and use for embankments or backfill or dispose, as ordered by the engineer. /\KS19_006-Removal of Dam Wall  \m³\1385.03125 \ 50"/>
        <s v="SABS1200 DA \EARTHWORKS (SMALL WORKS)/8.3\SCHEDULED ITEMS/8.3.1b\Excavate in all materials and use for embankments or backfill or dispose, as ordered by the engineer. /\LS08_001-Removal of Berm  \m³\43.75 \ 50"/>
        <s v="SABS1200 DA \EARTHWORKS (SMALL WORKS)/8.3\SCHEDULED ITEMS/8.3.1b\Excavate in all materials and use for embankments or backfill or dispose, as ordered by the engineer. /\LS12_001-Removal of dam wall  \m³\1696.474 \ 50"/>
        <s v="SABS1200 DA \EARTHWORKS (SMALL WORKS)/8.3\SCHEDULED ITEMS/8.3.1b\Excavate in all materials and use for embankments or backfill or dispose, as ordered by the engineer. /\LS12_002-Removal of Berm  \m³\27.17 \ 50"/>
        <s v="SABS1200 DA \EARTHWORKS (SMALL WORKS)/8.3\SCHEDULED ITEMS/8.3.1b\Excavate in all materials and use for embankments or backfill or dispose, as ordered by the engineer. /\LS16_012-Removal of Road  \m³\161.55 \ 50"/>
        <s v="SABS1200 DA \EARTHWORKS (SMALL WORKS)/8.3\SCHEDULED ITEMS/8.3.1b\Excavate in all materials and use for embankments or backfill or dispose, as ordered by the engineer. /\LS16_020-Removal of Road  \m³\744.2325 \ 50"/>
        <s v="SABS1200 DA \EARTHWORKS (SMALL WORKS)/8.3\SCHEDULED ITEMS/8.3.1b\Excavate in all materials and use for embankments or backfill or dispose, as ordered by the engineer. /\Pan09_001-Removal of Dam Wall  \m³\188 \ 50"/>
        <s v="SABS1200 DA \EARTHWORKS (SMALL WORKS)/8.3\SCHEDULED ITEMS/8.3.1b\Excavate in all materials and use for embankments or backfill or dispose, as ordered by the engineer. /\Pan14_008-Infilling of Drains  \m³\73.44 \ 50"/>
        <s v="SABS1200 DA \EARTHWORKS (SMALL WORKS)/8.3\SCHEDULED ITEMS/8.3.1b\Excavate in all materials and use for embankments or backfill or dispose, as ordered by the engineer. /\Pan14-003-Remove berm and backfill drain  \m³\435.82 \ 50"/>
        <s v="SABS1200 DA \EARTHWORKS (SMALL WORKS)/8.3\SCHEDULED ITEMS/8.3.1b\Excavate in all materials and use for embankments or backfill or dispose, as ordered by the engineer. /\KS13_016-Infilling of Drains  \m³\111.91475 \ 30" u="1"/>
        <s v="SABS1200 DA \EARTHWORKS (SMALL WORKS)/8.3\SCHEDULED ITEMS/8.3.1b\Excavate in all materials and use for embankments or backfill or dispose, as ordered by the engineer. /\Pan14_008-Infilling of Drains  \m³\73.44 \ 30" u="1"/>
        <s v="SABS1200 DA \EARTHWORKS (SMALL WORKS)/8.3\SCHEDULED ITEMS/8.3.1b\Excavate in all materials and use for embankments or backfill or dispose, as ordered by the engineer. /\DS12_003-Excavation of Dam Wall  \m³\659.314 \ 30" u="1"/>
        <s v="SABS1200 DA \EARTHWORKS (SMALL WORKS)/8.3\SCHEDULED ITEMS/8.3.1b\Excavate in all materials and use for embankments or backfill or dispose, as ordered by the engineer. /\KS19_006-Removal of Dam Wall  \m³\1385.03125 \ 30" u="1"/>
        <s v="SABS1200 DA \EARTHWORKS (SMALL WORKS)/8.3\SCHEDULED ITEMS/8.3.1b\Excavate in all materials and use for embankments or backfill or dispose, as ordered by the engineer. /\LS08_001-Removal of Berm  \m³\43.75 \ 30" u="1"/>
        <s v="SABS1200 DA \EARTHWORKS (SMALL WORKS)/8.3\SCHEDULED ITEMS/8.3.1b\Excavate in all materials and use for embankments or backfill or dispose, as ordered by the engineer. /\KS13_010-Removal of Berm  \m³\336.92505 \ 30" u="1"/>
        <s v="SABS1200 DA \EARTHWORKS (SMALL WORKS)/8.3\SCHEDULED ITEMS/8.3.1b\Excavate in all materials and use for embankments or backfill or dispose, as ordered by the engineer. /\KS16_002-Excavate Dam Wall  \m³\89.7 \ 30" u="1"/>
        <s v="SABS1200 DA \EARTHWORKS (SMALL WORKS)/8.3\SCHEDULED ITEMS/8.3.1b\Excavate in all materials and use for embankments or backfill or dispose, as ordered by the engineer. /\LS16_020-Removal of Road  \m³\744.2325 \ 30" u="1"/>
        <s v="SABS1200 DA \EARTHWORKS (SMALL WORKS)/8.3\SCHEDULED ITEMS/8.3.1b\Excavate in all materials and use for embankments or backfill or dispose, as ordered by the engineer. /\DS12_001-Excavation of Dam Wall  \m³\1419.11 \ 30" u="1"/>
        <s v="SABS1200 DA \EARTHWORKS (SMALL WORKS)/8.3\SCHEDULED ITEMS/8.3.1b\Excavate in all materials and use for embankments or backfill or dispose, as ordered by the engineer. /\ks11-004c-Dam wall excavation. Drawing NBC-GTW-CL-0068 \m³\665.25 \ 30" u="1"/>
        <s v="SABS1200 DA \EARTHWORKS (SMALL WORKS)/8.3\SCHEDULED ITEMS/8.3.1b\Excavate in all materials and use for embankments or backfill or dispose, as ordered by the engineer. /\KS12_003-Removal of Berm and Dam Wall  \m³\801.25656625 \ 30" u="1"/>
        <s v="SABS1200 DA \EARTHWORKS (SMALL WORKS)/8.3\SCHEDULED ITEMS/8.3.1b\Excavate in all materials and use for embankments or backfill or dispose, as ordered by the engineer. /\LS12_001-Removal of dam wall  \m³\1696.474 \ 30" u="1"/>
        <s v="SABS1200 DA \EARTHWORKS (SMALL WORKS)/8.3\SCHEDULED ITEMS/8.3.1b\Excavate in all materials and use for embankments or backfill or dispose, as ordered by the engineer. /\ks11-002c-Dam wall excavation. Drawing NBC-GTW-CL-0067 \m³\2651.36666666667 \ 30" u="1"/>
        <s v="SABS1200 DA \EARTHWORKS (SMALL WORKS)/8.3\SCHEDULED ITEMS/8.3.1b\Excavate in all materials and use for embankments or backfill or dispose, as ordered by the engineer. /\DS12_002-Backfilling Dam  \m³\1723.444675 \ 30" u="1"/>
        <s v="SABS1200 DA \EARTHWORKS (SMALL WORKS)/8.3\SCHEDULED ITEMS/8.3.1b\Excavate in all materials and use for embankments or backfill or dispose, as ordered by the engineer. /\LS16_012-Removal of Road  \m³\161.55 \ 30" u="1"/>
        <s v="SABS1200 DA \EARTHWORKS (SMALL WORKS)/8.3\SCHEDULED ITEMS/8.3.1b\Excavate in all materials and use for embankments or backfill or dispose, as ordered by the engineer. /\KS12_010-Removal of Dam Wall  \m³\211.894375 \ 30" u="1"/>
        <s v="SABS1200 DA \EARTHWORKS (SMALL WORKS)/8.3\SCHEDULED ITEMS/8.3.1b\Excavate in all materials and use for embankments or backfill or dispose, as ordered by the engineer. /\Pan14-003-Remove berm and backfill drain  \m³\435.82 \ 30" u="1"/>
        <s v="SABS1200 DA \EARTHWORKS (SMALL WORKS)/8.3\SCHEDULED ITEMS/8.3.1b\Excavate in all materials and use for embankments or backfill or dispose, as ordered by the engineer. /\LS12_002-Removal of Berm  \m³\27.17 \ 30" u="1"/>
        <s v="SABS1200 DA \EARTHWORKS (SMALL WORKS)/8.3\SCHEDULED ITEMS/8.3.1b\Excavate in all materials and use for embankments or backfill or dispose, as ordered by the engineer. /\KS15_003-Removal of Dam Wall  \m³\185.54375 \ 30" u="1"/>
      </sharedItems>
    </cacheField>
    <cacheField name="ci)Excavation (Extra-over intermediate)3" numFmtId="0">
      <sharedItems count="2">
        <s v=" "/>
        <s v="SABS1200 DA \EARTHWORKS (SMALL WORKS)/8.3\SCHEDULED ITEMS/8.3.1c 1\Extra-over for intermediate excavation. (Provisional Quantities)/\Pan8_003-Removal of Dam Wall  \m³\32.43575 \ 75"/>
      </sharedItems>
    </cacheField>
    <cacheField name="cii)Excavation (Extra-over Hard Rock)3" numFmtId="0">
      <sharedItems count="1">
        <s v=" "/>
      </sharedItems>
    </cacheField>
    <cacheField name="ciii) Excavation (Bolders-B)3" numFmtId="0">
      <sharedItems count="1">
        <s v=" "/>
      </sharedItems>
    </cacheField>
    <cacheField name="a) Excavation 3" numFmtId="0">
      <sharedItems count="225" longText="1">
        <s v="SABS1200 DA \EARTHWORKS (SMALL WORKS)/8.3\SCHEDULED ITEMS/8.3.2a\Excavate for restricted foundations, footings and trenches  in all materials and use for embankments or backfill or dispose. /\DS12_004-Removal of earthen material  \m³\523.01728 \ 85"/>
        <s v=" "/>
        <s v="SABS1200 DA \EARTHWORKS (SMALL WORKS)/8.3\SCHEDULED ITEMS/8.3.2a\Excavate for restricted foundations, footings and trenches  in all materials and use for embankments or backfill or dispose. /\ks11-001-Off-take structure  \m³\4 \ 85"/>
        <s v="SABS1200 DA \EARTHWORKS (SMALL WORKS)/8.3\SCHEDULED ITEMS/8.3.2a\Excavate for restricted foundations, footings and trenches  in all materials and use for embankments or backfill or dispose. /\ks11-002a-Concrete Drop Inlet on Dam Wall  \m³\394.7652 \ 85"/>
        <s v="SABS1200 DA \EARTHWORKS (SMALL WORKS)/8.3\SCHEDULED ITEMS/8.3.2a\Excavate for restricted foundations, footings and trenches  in all materials and use for embankments or backfill or dispose. /\ks11-002b-Concrete Splash Through Structure. Drawing NBC-GTW-CL-0067 \m³\210 \ 85"/>
        <s v="SABS1200 DA \EARTHWORKS (SMALL WORKS)/8.3\SCHEDULED ITEMS/8.3.2a\Excavate for restricted foundations, footings and trenches  in all materials and use for embankments or backfill or dispose. /\ks11-004a-Concrete Drop Inlet on Dam Wall  \m³\355.8966 \ 85"/>
        <s v="SABS1200 DA \EARTHWORKS (SMALL WORKS)/8.3\SCHEDULED ITEMS/8.3.2a\Excavate for restricted foundations, footings and trenches  in all materials and use for embankments or backfill or dispose. /\ks11-004b-Concrete Splash Through Structure. Drawing NBC-GTW-CL-0068 \m³\210 \ 85"/>
        <s v="SABS1200 DA \EARTHWORKS (SMALL WORKS)/8.3\SCHEDULED ITEMS/8.3.2a\Excavate for restricted foundations, footings and trenches  in all materials and use for embankments or backfill or dispose. /\KS12_001-Pipe Culvert. Drawing NBC-GTW-CL-0069 \m³\2 \ 85"/>
        <s v="SABS1200 DA \EARTHWORKS (SMALL WORKS)/8.3\SCHEDULED ITEMS/8.3.2a\Excavate for restricted foundations, footings and trenches  in all materials and use for embankments or backfill or dispose. /\KS12_002-Concrete Drop Inlet. Drawing NBC-GTW-CL-0002 \m³\37 \ 85"/>
        <s v="SABS1200 DA \EARTHWORKS (SMALL WORKS)/8.3\SCHEDULED ITEMS/8.3.2a\Excavate for restricted foundations, footings and trenches  in all materials and use for embankments or backfill or dispose. /\KS12_004-Concrete Drop Inlet. Drawing NBC-GTW-CL-0003 \m³\36.6111 \ 85"/>
        <s v="SABS1200 DA \EARTHWORKS (SMALL WORKS)/8.3\SCHEDULED ITEMS/8.3.2a\Excavate for restricted foundations, footings and trenches  in all materials and use for embankments or backfill or dispose. /\KS12_005-Concrete Drop Inlet. Drawing NBC-GTW-CL-0004 \m³\36.4286202 \ 85"/>
        <s v="SABS1200 DA \EARTHWORKS (SMALL WORKS)/8.3\SCHEDULED ITEMS/8.3.2a\Excavate for restricted foundations, footings and trenches  in all materials and use for embankments or backfill or dispose. /\KS12_006-Concrete Drop Inlet. Drawing NBC-GTW-CL-0005 \m³\31.948975 \ 85"/>
        <s v="SABS1200 DA \EARTHWORKS (SMALL WORKS)/8.3\SCHEDULED ITEMS/8.3.2a\Excavate for restricted foundations, footings and trenches  in all materials and use for embankments or backfill or dispose. /\KS12_007-Concrete Drop Inlet. Drawing NBC-GTW-CL-0006 \m³\47.313325 \ 85"/>
        <s v="SABS1200 DA \EARTHWORKS (SMALL WORKS)/8.3\SCHEDULED ITEMS/8.3.2a\Excavate for restricted foundations, footings and trenches  in all materials and use for embankments or backfill or dispose. /\KS12_008-Concrete Drop Inlet. Drawing NBC-GTW-CL-0007 \m³\33.21409 \ 85"/>
        <s v="SABS1200 DA \EARTHWORKS (SMALL WORKS)/8.3\SCHEDULED ITEMS/8.3.2a\Excavate for restricted foundations, footings and trenches  in all materials and use for embankments or backfill or dispose. /\KS12_009-Concrete Drop Inlet. Drawing NBC-GTW-CL-0008 \m³\21.46164 \ 85"/>
        <s v="SABS1200 DA \EARTHWORKS (SMALL WORKS)/8.3\SCHEDULED ITEMS/8.3.2a\Excavate for restricted foundations, footings and trenches  in all materials and use for embankments or backfill or dispose. /\KS13_003-Concrete Drop Inlet. Drawing NBC-GTW-CL-0009 \m³\44.0325 \ 85"/>
        <s v="SABS1200 DA \EARTHWORKS (SMALL WORKS)/8.3\SCHEDULED ITEMS/8.3.2a\Excavate for restricted foundations, footings and trenches  in all materials and use for embankments or backfill or dispose. /\KS13_004-Concrete Check Wall. Drawing NBC-GTW-CL-0010 \m³\5.322 \ 85"/>
        <s v="SABS1200 DA \EARTHWORKS (SMALL WORKS)/8.3\SCHEDULED ITEMS/8.3.2a\Excavate for restricted foundations, footings and trenches  in all materials and use for embankments or backfill or dispose. /\KS13_005-Concrete Check Wall. Drawing NBC-GTW-CL-0011 \m³\7.482 \ 85"/>
        <s v="SABS1200 DA \EARTHWORKS (SMALL WORKS)/8.3\SCHEDULED ITEMS/8.3.2a\Excavate for restricted foundations, footings and trenches  in all materials and use for embankments or backfill or dispose. /\KS13_006-Concrete Check Wall. Drawing NBC-GTW-CL-0012 \m³\7.4025 \ 85"/>
        <s v="SABS1200 DA \EARTHWORKS (SMALL WORKS)/8.3\SCHEDULED ITEMS/8.3.2a\Excavate for restricted foundations, footings and trenches  in all materials and use for embankments or backfill or dispose. /\KS13_007-Concrete Check Wall. Drawing NBC-GTW-CL-0013 \m³\5.8575 \ 85"/>
        <s v="SABS1200 DA \EARTHWORKS (SMALL WORKS)/8.3\SCHEDULED ITEMS/8.3.2a\Excavate for restricted foundations, footings and trenches  in all materials and use for embankments or backfill or dispose. /\KS13_008-Concrete Check Wall. Drawing NBC-GTW-CL-0014 \m³\7.515 \ 85"/>
        <s v="SABS1200 DA \EARTHWORKS (SMALL WORKS)/8.3\SCHEDULED ITEMS/8.3.2a\Excavate for restricted foundations, footings and trenches  in all materials and use for embankments or backfill or dispose. /\KS13_011-Concrete Check Wall. Drawing NBC-GTW-CL-0015 \m³\6.696 \ 85"/>
        <s v="SABS1200 DA \EARTHWORKS (SMALL WORKS)/8.3\SCHEDULED ITEMS/8.3.2a\Excavate for restricted foundations, footings and trenches  in all materials and use for embankments or backfill or dispose. /\KS13_012-Concrete Check Wall. Drawing NBC-GTW-CL-0016 \m³\6.012 \ 85"/>
        <s v="SABS1200 DA \EARTHWORKS (SMALL WORKS)/8.3\SCHEDULED ITEMS/8.3.2a\Excavate for restricted foundations, footings and trenches  in all materials and use for embankments or backfill or dispose. /\KS13_013-Concrete Check Wall. Drawing NBC-GTW-CL-0017 \m³\5.166 \ 85"/>
        <s v="SABS1200 DA \EARTHWORKS (SMALL WORKS)/8.3\SCHEDULED ITEMS/8.3.2a\Excavate for restricted foundations, footings and trenches  in all materials and use for embankments or backfill or dispose. /\KS13_015-Concrete Check Wall. Drawing NBC-GTW-CL-0018 \m³\5.361 \ 85"/>
        <s v="SABS1200 DA \EARTHWORKS (SMALL WORKS)/8.3\SCHEDULED ITEMS/8.3.2a\Excavate for restricted foundations, footings and trenches  in all materials and use for embankments or backfill or dispose. /\KS13_017-Backfilling Main Channel  \m³\633.5898924573 \ 85"/>
        <s v="SABS1200 DA \EARTHWORKS (SMALL WORKS)/8.3\SCHEDULED ITEMS/8.3.2a\Excavate for restricted foundations, footings and trenches  in all materials and use for embankments or backfill or dispose. /\KS15_001-Concrete Check Wall  \m³\6.264 \ 85"/>
        <s v="SABS1200 DA \EARTHWORKS (SMALL WORKS)/8.3\SCHEDULED ITEMS/8.3.2a\Excavate for restricted foundations, footings and trenches  in all materials and use for embankments or backfill or dispose. /\KS15-002-Backfill Main Channel  \m³\980 \ 85"/>
        <s v="SABS1200 DA \EARTHWORKS (SMALL WORKS)/8,3\SCHEDULED ITEMS/8.3.2a\Excavate for restricted foundations, footings and trenches  in all materials and use for embankments or backfill or dispose. /\KS16_003-Ecologs  \m³\14,22 \ 85"/>
        <s v="SABS1200 DA \EARTHWORKS (SMALL WORKS)/8,3\SCHEDULED ITEMS/8.3.2a\Excavate for restricted foundations, footings and trenches  in all materials and use for embankments or backfill or dispose. /\KS16_005-Ecologs  \m³\18,36 \ 85"/>
        <s v="SABS1200 DA \EARTHWORKS (SMALL WORKS)/8.3\SCHEDULED ITEMS/8.3.2a\Excavate for restricted foundations, footings and trenches  in all materials and use for embankments or backfill or dispose. /\KS18_001-Concrete Check Wall. Drawing NBC-GTW-CL-0019 \m³\12 \ 85"/>
        <s v="SABS1200 DA \EARTHWORKS (SMALL WORKS)/8.3\SCHEDULED ITEMS/8.3.2a\Excavate for restricted foundations, footings and trenches  in all materials and use for embankments or backfill or dispose. /\KS18_002A-Concrete Check Wall. Drawing NBC-GTW-CL-0020 \m³\8 \ 85"/>
        <s v="SABS1200 DA \EARTHWORKS (SMALL WORKS)/8.3\SCHEDULED ITEMS/8.3.2a\Excavate for restricted foundations, footings and trenches  in all materials and use for embankments or backfill or dispose. /\KS18_002B-Concrete Check Wall  \m³\6 \ 85"/>
        <s v="SABS1200 DA \EARTHWORKS (SMALL WORKS)/8,3\SCHEDULED ITEMS/8.3.2a\Excavate for restricted foundations, footings and trenches  in all materials and use for embankments or backfill or dispose. /\KS18_003-Concrete Check Wall. Drawing NBC-GTW-CL-0045 \m³\5,7 \ 85"/>
        <s v="SABS1200 DA \EARTHWORKS (SMALL WORKS)/8,3\SCHEDULED ITEMS/8.3.2a\Excavate for restricted foundations, footings and trenches  in all materials and use for embankments or backfill or dispose. /\KS18_004-Concrete Check Wall. Drawing NBC-GTW-CL-0045 \m³\5,355 \ 85"/>
        <s v="SABS1200 DA \EARTHWORKS (SMALL WORKS)/8,3\SCHEDULED ITEMS/8.3.2a\Excavate for restricted foundations, footings and trenches  in all materials and use for embankments or backfill or dispose. /\KS18_005-Concrete Check Wall. Drawing NBC-GTW-CL-0045 \m³\6,93 \ 85"/>
        <s v="SABS1200 DA \EARTHWORKS (SMALL WORKS)/8,3\SCHEDULED ITEMS/8.3.2a\Excavate for restricted foundations, footings and trenches  in all materials and use for embankments or backfill or dispose. /\KS18_006-Concrete Check Wall. Drawing NBC-GTW-CL-0045 \m³\6,615 \ 85"/>
        <s v="SABS1200 DA \EARTHWORKS (SMALL WORKS)/8,3\SCHEDULED ITEMS/8.3.2a\Excavate for restricted foundations, footings and trenches  in all materials and use for embankments or backfill or dispose. /\KS18_007-Concrete Check Wall. Drawing NBC-GTW-CL-0045 \m³\5,04 \ 85"/>
        <s v="SABS1200 DA \EARTHWORKS (SMALL WORKS)/8,3\SCHEDULED ITEMS/8.3.2a\Excavate for restricted foundations, footings and trenches  in all materials and use for embankments or backfill or dispose. /\KS18_008-Concrete Check Wall. Drawing NBC-GTW-CL-0045 \m³\5,76 \ 85"/>
        <s v="SABS1200 DA \EARTHWORKS (SMALL WORKS)/8,3\SCHEDULED ITEMS/8.3.2a\Excavate for restricted foundations, footings and trenches  in all materials and use for embankments or backfill or dispose. /\KS18_009-Concrete Check Wall. Drawing NBC-GTW-CL-0045 \m³\5,775 \ 85"/>
        <s v="SABS1200 DA \EARTHWORKS (SMALL WORKS)/8,3\SCHEDULED ITEMS/8.3.2a\Excavate for restricted foundations, footings and trenches  in all materials and use for embankments or backfill or dispose. /\KS18_010-Concrete Check Wall. Drawing NBC-GTW-CL-0045 \m³\6,93 \ 85"/>
        <s v="SABS1200 DA \EARTHWORKS (SMALL WORKS)/8,3\SCHEDULED ITEMS/8.3.2a\Excavate for restricted foundations, footings and trenches  in all materials and use for embankments or backfill or dispose. /\KS18_011-Concrete Check Wall. Drawing NBC-GTW-CL-0045 \m³\6 \ 85"/>
        <s v="SABS1200 DA \EARTHWORKS (SMALL WORKS)/8,3\SCHEDULED ITEMS/8.3.2a\Excavate for restricted foundations, footings and trenches  in all materials and use for embankments or backfill or dispose. /\KS18_012-Concrete Check Wall. Drawing NBC-GTW-CL-0045 \m³\6,6 \ 85"/>
        <s v="SABS1200 DA \EARTHWORKS (SMALL WORKS)/8,3\SCHEDULED ITEMS/8.3.2a\Excavate for restricted foundations, footings and trenches  in all materials and use for embankments or backfill or dispose. /\KS18_013-Concrete Check Wall. Drawing NBC-GTW-CL-0045 \m³\6 \ 85"/>
        <s v="SABS1200 DA \EARTHWORKS (SMALL WORKS)/8.3\SCHEDULED ITEMS/8.3.2a\Excavate for restricted foundations, footings and trenches  in all materials and use for embankments or backfill or dispose. /\KS18_015-Concrete Check Wall. Drawing NBC-GTW-CL-0021 \m³\7.74 \ 85"/>
        <s v="SABS1200 DA \EARTHWORKS (SMALL WORKS)/8.3\SCHEDULED ITEMS/8.3.2a\Excavate for restricted foundations, footings and trenches  in all materials and use for embankments or backfill or dispose. /\KS18_016-Concrete Check Wall. Drawing NBC-GTW-CL-0022 \m³\6.804 \ 85"/>
        <s v="SABS1200 DA \EARTHWORKS (SMALL WORKS)/8.3\SCHEDULED ITEMS/8.3.2a\Excavate for restricted foundations, footings and trenches  in all materials and use for embankments or backfill or dispose. /\KS18_017-Concrete Check Wall. Drawing NBC-GTW-CL-0023 \m³\5.94 \ 85"/>
        <s v="SABS1200 DA \EARTHWORKS (SMALL WORKS)/8.3\SCHEDULED ITEMS/8.3.2a\Excavate for restricted foundations, footings and trenches  in all materials and use for embankments or backfill or dispose. /\KS18_018-Concrete Check Wall. Drawing NBC-GTW-CL-0024 \m³\4.998 \ 85"/>
        <s v="SABS1200 DA \EARTHWORKS (SMALL WORKS)/8.3\SCHEDULED ITEMS/8.3.2a\Excavate for restricted foundations, footings and trenches  in all materials and use for embankments or backfill or dispose. /\KS18_019-Concrete Check Wall. Drawing NBC-GTW-CL-0025 \m³\6.624 \ 85"/>
        <s v="SABS1200 DA \EARTHWORKS (SMALL WORKS)/8.3\SCHEDULED ITEMS/8.3.2a\Excavate for restricted foundations, footings and trenches  in all materials and use for embankments or backfill or dispose. /\KS18_020-Concrete Check Wall  \m³\6.7575 \ 85"/>
        <s v="SABS1200 DA \EARTHWORKS (SMALL WORKS)/8,3\SCHEDULED ITEMS/8.3.2a\Excavate for restricted foundations, footings and trenches  in all materials and use for embankments or backfill or dispose. /\KS18_014-Concrete Check Wall. Drawing NBC-GTW-CL-0001 \m³\6,66 \ 85"/>
        <s v="SABS1200 DA \EARTHWORKS (SMALL WORKS)/8.3\SCHEDULED ITEMS/8.3.2a\Excavate for restricted foundations, footings and trenches  in all materials and use for embankments or backfill or dispose. /\KS18-021-Backfill Main Channel  \m³\1098 \ 85"/>
        <s v="SABS1200 DA \EARTHWORKS (SMALL WORKS)/8,3\SCHEDULED ITEMS/8.3.2a\Excavate for restricted foundations, footings and trenches  in all materials and use for embankments or backfill or dispose. /\KS19_001-Ecologs  \m³\5 \ 85"/>
        <s v="SABS1200 DA \EARTHWORKS (SMALL WORKS)/8.3\SCHEDULED ITEMS/8.3.2a\Excavate for restricted foundations, footings and trenches  in all materials and use for embankments or backfill or dispose. /\KS19_002-Concrete Drop Inlet. Drawing NBC-GTW-CL-0026 \m³\38.760038 \ 85"/>
        <s v="SABS1200 DA \EARTHWORKS (SMALL WORKS)/8,3\SCHEDULED ITEMS/8.3.2a\Excavate for restricted foundations, footings and trenches  in all materials and use for embankments or backfill or dispose. /\KS19_003-Ecologs  \m³\5,316 \ 85"/>
        <s v="SABS1200 DA \EARTHWORKS (SMALL WORKS)/8,3\SCHEDULED ITEMS/8.3.2a\Excavate for restricted foundations, footings and trenches  in all materials and use for embankments or backfill or dispose. /\KS19_004-Ecologs  \m³\4,5 \ 85"/>
        <s v="SABS1200 DA \EARTHWORKS (SMALL WORKS)/8,3\SCHEDULED ITEMS/8.3.2a\Excavate for restricted foundations, footings and trenches  in all materials and use for embankments or backfill or dispose. /\KS19_005-Ecologs  \m³\4,68 \ 85"/>
        <s v="SABS1200 DA \EARTHWORKS (SMALL WORKS)/8.3\SCHEDULED ITEMS/8.3.2a\Excavate for restricted foundations, footings and trenches  in all materials and use for embankments or backfill or dispose. /\KS20_001-Concrete Drop Inlet. Drawing NBC-GTW-CL-0027 \m³\51.93327 \ 85"/>
        <s v="SABS1200 DA \EARTHWORKS (SMALL WORKS)/8.3\SCHEDULED ITEMS/8.3.2a\Excavate for restricted foundations, footings and trenches  in all materials and use for embankments or backfill or dispose. /\KS20_002-Concrete Check Wall. Drawing NBC-GTW-CL-0028 \m³\6.453 \ 85"/>
        <s v="SABS1200 DA \EARTHWORKS (SMALL WORKS)/8.3\SCHEDULED ITEMS/8.3.2a\Excavate for restricted foundations, footings and trenches  in all materials and use for embankments or backfill or dispose. /\KS20_003-Concrete Check Wall. Drawing NBC-GTW-CL-0029 \m³\9.855 \ 85"/>
        <s v="SABS1200 DA \EARTHWORKS (SMALL WORKS)/8.3\SCHEDULED ITEMS/8.3.2a\Excavate for restricted foundations, footings and trenches  in all materials and use for embankments or backfill or dispose. /\KS20_004-Concrete Check Wall. Drawing NBC-GTW-CL-0030 \m³\9.405 \ 85"/>
        <s v="SABS1200 DA \EARTHWORKS (SMALL WORKS)/8.3\SCHEDULED ITEMS/8.3.2a\Excavate for restricted foundations, footings and trenches  in all materials and use for embankments or backfill or dispose. /\KS20_005-Concrete Check Wall. Drawing NBC-GTW-CL-0031 \m³\10.032 \ 85"/>
        <s v="SABS1200 DA \EARTHWORKS (SMALL WORKS)/8,3\SCHEDULED ITEMS/8.3.2a\Excavate for restricted foundations, footings and trenches  in all materials and use for embankments or backfill or dispose. /\KS20_006-Concrete Check Wall. Drawing NBC-GTW-CL-0032 \m³\10,035 \ 85"/>
        <s v="SABS1200 DA \EARTHWORKS (SMALL WORKS)/8.3\SCHEDULED ITEMS/8.3.2a\Excavate for restricted foundations, footings and trenches  in all materials and use for embankments or backfill or dispose. /\KS20_007-Concrete Check Wall. Drawing NBC-GTW-CL-0033 \m³\8.289 \ 85"/>
        <s v="SABS1200 DA \EARTHWORKS (SMALL WORKS)/8.3\SCHEDULED ITEMS/8.3.2a\Excavate for restricted foundations, footings and trenches  in all materials and use for embankments or backfill or dispose. /\KS20_008-Concrete Check Wall. Drawing NBC-GTW-CL-0034 \m³\10.8 \ 85"/>
        <s v="SABS1200 DA \EARTHWORKS (SMALL WORKS)/8.3\SCHEDULED ITEMS/8.3.2a\Excavate for restricted foundations, footings and trenches  in all materials and use for embankments or backfill or dispose. /\KS20_009_a-Concrete Check Wall. Drawing NBC-GTW-CL-0035 \m³\27 \ 85"/>
        <s v="SABS1200 DA \EARTHWORKS (SMALL WORKS)/8.3\SCHEDULED ITEMS/8.3.2a\Excavate for restricted foundations, footings and trenches  in all materials and use for embankments or backfill or dispose. /\KS20_009_b-Concrete Check Wall. Drawing NBC-GTW-CL-0035 \m³\16 \ 85"/>
        <s v="SABS1200 DA \EARTHWORKS (SMALL WORKS)/8.3\SCHEDULED ITEMS/8.3.2a\Excavate for restricted foundations, footings and trenches  in all materials and use for embankments or backfill or dispose. /\KS20_010-Ecologs  \m³\3.6 \ 85"/>
        <s v="SABS1200 DA \EARTHWORKS (SMALL WORKS)/8.3\SCHEDULED ITEMS/8.3.2a\Excavate for restricted foundations, footings and trenches  in all materials and use for embankments or backfill or dispose. /\KS20_011-Backfilling Main Channel  \m³\950 \ 85"/>
        <s v="SABS1200 DA \EARTHWORKS (SMALL WORKS)/8.3\SCHEDULED ITEMS/8.3.2a\Excavate for restricted foundations, footings and trenches  in all materials and use for embankments or backfill or dispose. /\KS21_001-10° sloped Grouted Pitching (Light). Drawing NBC-GTW-CL-0038 \m³\20 \ 85"/>
        <s v="SABS1200 DA \EARTHWORKS (SMALL WORKS)/8.3\SCHEDULED ITEMS/8.3.2a\Excavate for restricted foundations, footings and trenches  in all materials and use for embankments or backfill or dispose. /\KS21_003-Concrete Drop Inlet. Drawing NBC-GTW-CL-0039 \m³\25.78775 \ 85"/>
        <s v="SABS1200 DA \EARTHWORKS (SMALL WORKS)/8,3\SCHEDULED ITEMS/8.3.2a\Excavate for restricted foundations, footings and trenches  in all materials and use for embankments or backfill or dispose. /\KS21_005-Concrete Drop Inlet. Drawing NBC-GTW-CL-0040 \m³\25,78775 \ 85"/>
        <s v="SABS1200 DA \EARTHWORKS (SMALL WORKS)/8,3\SCHEDULED ITEMS/8.3.2a\Excavate for restricted foundations, footings and trenches  in all materials and use for embankments or backfill or dispose. /\KS21_006-Concrete Check Wall. Drawing NBC-GTW-CL-0041 \m³\7,98 \ 85"/>
        <s v="SABS1200 DA \EARTHWORKS (SMALL WORKS)/8,3\SCHEDULED ITEMS/8.3.2a\Excavate for restricted foundations, footings and trenches  in all materials and use for embankments or backfill or dispose. /\KS21_007-Concrete Check Wall. Drawing NBC-GTW-CL-0042 \m³\7,98 \ 85"/>
        <s v="SABS1200 DA \EARTHWORKS (SMALL WORKS)/8,3\SCHEDULED ITEMS/8.3.2a\Excavate for restricted foundations, footings and trenches  in all materials and use for embankments or backfill or dispose. /\KS21_009-Concrete Check Wall. Drawing NBC-GTW-CL-0043 \m³\7,98 \ 85"/>
        <s v="SABS1200 DA \EARTHWORKS (SMALL WORKS)/8,3\SCHEDULED ITEMS/8.3.2a\Excavate for restricted foundations, footings and trenches  in all materials and use for embankments or backfill or dispose. /\KS21-002-Earthworks  \m³\191,4 \ 85"/>
        <s v="SABS1200 DA \EARTHWORKS (SMALL WORKS)/8.3\SCHEDULED ITEMS/8.3.2a\Excavate for restricted foundations, footings and trenches  in all materials and use for embankments or backfill or dispose. /\LS16_001-Concrete Cut-Off Walls  \m³\5.04 \ 85"/>
        <s v="SABS1200 DA \EARTHWORKS (SMALL WORKS)/8.3\SCHEDULED ITEMS/8.3.2a\Excavate for restricted foundations, footings and trenches  in all materials and use for embankments or backfill or dispose. /\LS16_002-Concrete Cut-Off Walls  \m³\4.8 \ 85"/>
        <s v="SABS1200 DA \EARTHWORKS (SMALL WORKS)/8.3\SCHEDULED ITEMS/8.3.2a\Excavate for restricted foundations, footings and trenches  in all materials and use for embankments or backfill or dispose. /\LS16_003-Concrete Cut-Off Walls  \m³\2.1 \ 85"/>
        <s v="SABS1200 DA \EARTHWORKS (SMALL WORKS)/8.3\SCHEDULED ITEMS/8.3.2a\Excavate for restricted foundations, footings and trenches  in all materials and use for embankments or backfill or dispose. /\LS16_004-Concrete Cut-Off Walls  \m³\2.4 \ 85"/>
        <s v="SABS1200 DA \EARTHWORKS (SMALL WORKS)/8.3\SCHEDULED ITEMS/8.3.2a\Excavate for restricted foundations, footings and trenches  in all materials and use for embankments or backfill or dispose. /\LS16_005-Concrete Cut-Off Walls  \m³\3.6 \ 85"/>
        <s v="SABS1200 DA \EARTHWORKS (SMALL WORKS)/8.3\SCHEDULED ITEMS/8.3.2a\Excavate for restricted foundations, footings and trenches  in all materials and use for embankments or backfill or dispose. /\LS16_006-Concrete Cut-Off Walls  \m³\6.48 \ 85"/>
        <s v="SABS1200 DA \EARTHWORKS (SMALL WORKS)/8.3\SCHEDULED ITEMS/8.3.2a\Excavate for restricted foundations, footings and trenches  in all materials and use for embankments or backfill or dispose. /\LS16_007-Concrete Cut-Off Walls  \m³\5.94 \ 85"/>
        <s v="SABS1200 DA \EARTHWORKS (SMALL WORKS)/8.3\SCHEDULED ITEMS/8.3.2a\Excavate for restricted foundations, footings and trenches  in all materials and use for embankments or backfill or dispose. /\LS16_008-Concrete Cut-Off Walls  \m³\4.1325 \ 85"/>
        <s v="SABS1200 DA \EARTHWORKS (SMALL WORKS)/8.3\SCHEDULED ITEMS/8.3.2a\Excavate for restricted foundations, footings and trenches  in all materials and use for embankments or backfill or dispose. /\LS16_009-Concrete Cut-Off Walls  \m³\4.35 \ 85"/>
        <s v="SABS1200 DA \EARTHWORKS (SMALL WORKS)/8.3\SCHEDULED ITEMS/8.3.2a\Excavate for restricted foundations, footings and trenches  in all materials and use for embankments or backfill or dispose. /\LS16_010-Concrete Cut-Off Walls  \m³\5.1 \ 85"/>
        <s v="SABS1200 DA \EARTHWORKS (SMALL WORKS)/8.3\SCHEDULED ITEMS/8.3.2a\Excavate for restricted foundations, footings and trenches  in all materials and use for embankments or backfill or dispose. /\LS16_011-Concrete Cut-Off Walls  \m³\3.3 \ 85"/>
        <s v="SABS1200 DA \EARTHWORKS (SMALL WORKS)/8.3\SCHEDULED ITEMS/8.3.2a\Excavate for restricted foundations, footings and trenches  in all materials and use for embankments or backfill or dispose. /\LS16_013-Gabion energy breaker  \m³\13.68 \ 85"/>
        <s v="SABS1200 DA \EARTHWORKS (SMALL WORKS)/8.3\SCHEDULED ITEMS/8.3.2a\Excavate for restricted foundations, footings and trenches  in all materials and use for embankments or backfill or dispose. /\LS16_014-Ecologs  \m³\1.62 \ 85"/>
        <s v="SABS1200 DA \EARTHWORKS (SMALL WORKS)/8.3\SCHEDULED ITEMS/8.3.2a\Excavate for restricted foundations, footings and trenches  in all materials and use for embankments or backfill or dispose. /\LS16_016-Gabion energy breaker  \m³\20 \ 85"/>
        <s v="SABS1200 DA \EARTHWORKS (SMALL WORKS)/8.3\SCHEDULED ITEMS/8.3.2a\Excavate for restricted foundations, footings and trenches  in all materials and use for embankments or backfill or dispose. /\LS16_017-Gabion energy breaker  \m³\25 \ 85"/>
        <s v="SABS1200 DA \EARTHWORKS (SMALL WORKS)/8.3\SCHEDULED ITEMS/8.3.2a\Excavate for restricted foundations, footings and trenches  in all materials and use for embankments or backfill or dispose. /\LS16_018-Gabion energy breaker  \m³\22.08 \ 85"/>
        <s v="SABS1200 DA \EARTHWORKS (SMALL WORKS)/8.3\SCHEDULED ITEMS/8.3.2a\Excavate for restricted foundations, footings and trenches  in all materials and use for embankments or backfill or dispose. /\LS16_019-Gabion energy breaker  \m³\24.48 \ 85"/>
        <s v="SABS1200 DA \EARTHWORKS (SMALL WORKS)/8.3\SCHEDULED ITEMS/8.3.2a\Excavate for restricted foundations, footings and trenches  in all materials and use for embankments or backfill or dispose. /\LS16_021-Backfill Main Channel and reshaping  \m³\500 \ 85"/>
        <s v="SABS1200 DA \EARTHWORKS (SMALL WORKS)/8.3\SCHEDULED ITEMS/8.3.2a\Excavate for restricted foundations, footings and trenches  in all materials and use for embankments or backfill or dispose. /\Pan14_007-Infilling of Drains  \m³\18.6 \ 85"/>
        <s v="SABS1200 DA \EARTHWORKS (SMALL WORKS)/8.3\SCHEDULED ITEMS/8.3.2a\Excavate for restricted foundations, footings and trenches  in all materials and use for embankments or backfill or dispose. /\Pan14_008-Infilling of Drains  \m³\48.6 \ 85"/>
        <s v="SABS1200 DA \EARTHWORKS (SMALL WORKS)/8.3\SCHEDULED ITEMS/8.3.2a\Excavate for restricted foundations, footings and trenches  in all materials and use for embankments or backfill or dispose. /\Pan14_011-Infilling of Drains  \m³\582 \ 85"/>
        <s v="SABS1200 DA \EARTHWORKS (SMALL WORKS)/8.3\SCHEDULED ITEMS/8.3.2a\Excavate for restricted foundations, footings and trenches  in all materials and use for embankments or backfill or dispose. /\Pan14-002-Remove Berm  \m³\49.41 \ 85"/>
        <s v="SABS1200 DA \EARTHWORKS (SMALL WORKS)/8.3\SCHEDULED ITEMS/8.3.2a\Excavate for restricted foundations, footings and trenches  in all materials and use for embankments or backfill or dispose. /\Pan8_001-Foreign Materials  \m³\18.9 \ 85"/>
        <s v="SABS1200 DA \EARTHWORKS (SMALL WORKS)/8.3\SCHEDULED ITEMS/8.3.2a\Excavate for restricted foundations, footings and trenches  in all materials and use for embankments or backfill or dispose. /\Pan8_002-Infilling of Drains  \m³\64 \ 85"/>
        <s v="SABS1200 DA \EARTHWORKS (SMALL WORKS)/8.3\SCHEDULED ITEMS/8.3.2a\Excavate for restricted foundations, footings and trenches  in all materials and use for embankments or backfill or dispose. /\Pan8_003-Removal of Dam Wall  \m³\324.3575 \ 85"/>
        <s v="SABS1200 DA \EARTHWORKS (SMALL WORKS)/8.3\SCHEDULED ITEMS/8.3.2a\Excavate for restricted foundations, footings and trenches  in all materials and use for embankments or backfill or dispose. /\Pan8_004-Removal of Berm  \m³\5.4 \ 85"/>
        <s v="SABS1200 DA \EARTHWORKS (SMALL WORKS)/8.3\SCHEDULED ITEMS/8.3.2a\Excavate for restricted foundations, footings and trenches  in all materials and use for embankments or backfill or dispose. /\KS18_008-Concrete Cut-Off Walls. Drawing NBC-GTW-CL-0045 \m³\5.76 \ 85" u="1"/>
        <s v="SABS1200 DA \EARTHWORKS (SMALL WORKS)/8.3\SCHEDULED ITEMS/8.3.2a\Excavate for restricted foundations, footings and trenches  in all materials and use for embankments or backfill or dispose. /\LS16_010-Concrete Cut-Off Walls  \m³\5.1 \ 50" u="1"/>
        <s v="SABS1200 DA \EARTHWORKS (SMALL WORKS)/8.3\SCHEDULED ITEMS/8.3.2a\Excavate for restricted foundations, footings and trenches  in all materials and use for embankments or backfill or dispose. /\KS18_020-Concrete Drop Inlet associated with Road Culvert  \m³\38.02413 \ 50" u="1"/>
        <s v="SABS1200 DA \EARTHWORKS (SMALL WORKS)/8.3\SCHEDULED ITEMS/8.3.2a\Excavate for restricted foundations, footings and trenches  in all materials and use for embankments or backfill or dispose. /\KS18-014-Concrete Filled Geo-Cell Berm. Drawing NBC-GTW-CL-0001 \m³\23.9803125 \ 50" u="1"/>
        <s v="SABS1200 DA \EARTHWORKS (SMALL WORKS)/8.3\SCHEDULED ITEMS/8.3.2a\Excavate for restricted foundations, footings and trenches  in all materials and use for embankments or backfill or dispose. /\KS19_005-Infilling of Drains  \m³\4.68 \ 50" u="1"/>
        <s v="SABS1200 DA \EARTHWORKS (SMALL WORKS)/8.3\SCHEDULED ITEMS/8.3.2a\Excavate for restricted foundations, footings and trenches  in all materials and use for embankments or backfill or dispose. /\ks11-004a-Concrete Drop Inlet on Dam Wall  \m³\355.8966 \ 50" u="1"/>
        <s v="SABS1200 DA \EARTHWORKS (SMALL WORKS)/8.3\SCHEDULED ITEMS/8.3.2a\Excavate for restricted foundations, footings and trenches  in all materials and use for embankments or backfill or dispose. /\KS19_003-Headcut  \m³\5.316 \ 50" u="1"/>
        <s v="SABS1200 DA \EARTHWORKS (SMALL WORKS)/8.3\SCHEDULED ITEMS/8.3.2a\Excavate for restricted foundations, footings and trenches  in all materials and use for embankments or backfill or dispose. /\KS20_010-Infilling of Drains  \m³\3.6 \ 50" u="1"/>
        <s v="SABS1200 DA \EARTHWORKS (SMALL WORKS)/8.3\SCHEDULED ITEMS/8.3.2a\Excavate for restricted foundations, footings and trenches  in all materials and use for embankments or backfill or dispose. /\KS21_005-Concrete Drop Inlet. Drawing NBC-GTW-CL-0040 \m³\35.7722215 \ 85" u="1"/>
        <s v="SABS1200 DA \EARTHWORKS (SMALL WORKS)/8.3\SCHEDULED ITEMS/8.3.2a\Excavate for restricted foundations, footings and trenches  in all materials and use for embankments or backfill or dispose. /\LS16_013-Gabion energy breaker  \m³\13.68 \ 50" u="1"/>
        <s v="SABS1200 DA \EARTHWORKS (SMALL WORKS)/8.3\SCHEDULED ITEMS/8.3.2a\Excavate for restricted foundations, footings and trenches  in all materials and use for embankments or backfill or dispose. /\KS18_004-Concrete Cut-Off Walls. Drawing NBC-GTW-CL-0045 \m³\5.355 \ 85" u="1"/>
        <s v="SABS1200 DA \EARTHWORKS (SMALL WORKS)/8.3\SCHEDULED ITEMS/8.3.2a\Excavate for restricted foundations, footings and trenches  in all materials and use for embankments or backfill or dispose. /\KS20_003-Concrete Buttress Weir. Drawing NBC-GTW-CL-0029 \m³\82.9571958 \ 50" u="1"/>
        <s v="SABS1200 DA \EARTHWORKS (SMALL WORKS)/8.3\SCHEDULED ITEMS/8.3.2a\Excavate for restricted foundations, footings and trenches  in all materials and use for embankments or backfill or dispose. /\KS18_004-Concrete Cut-Off Walls. Drawing NBC-GTW-CL-0045 \m³\5.355 \ 50" u="1"/>
        <s v="SABS1200 DA \EARTHWORKS (SMALL WORKS)/8.3\SCHEDULED ITEMS/8.3.2a\Excavate for restricted foundations, footings and trenches  in all materials and use for embankments or backfill or dispose. /\LS16_008-Concrete Cut-Off Walls  \m³\4.1325 \ 50" u="1"/>
        <s v="SABS1200 DA \EARTHWORKS (SMALL WORKS)/8.3\SCHEDULED ITEMS/8.3.2a\Excavate for restricted foundations, footings and trenches  in all materials and use for embankments or backfill or dispose. /\KS21_006-Concrete Drop Inlet. Drawing NBC-GTW-CL-0041 \m³\31.9418025 \ 85" u="1"/>
        <s v="SABS1200 DA \EARTHWORKS (SMALL WORKS)/8.3\SCHEDULED ITEMS/8.3.2a\Excavate for restricted foundations, footings and trenches  in all materials and use for embankments or backfill or dispose. /\ks11-001-Off-take structure  \m³\4 \ 50" u="1"/>
        <s v="SABS1200 DA \EARTHWORKS (SMALL WORKS)/8.3\SCHEDULED ITEMS/8.3.2a\Excavate for restricted foundations, footings and trenches  in all materials and use for embankments or backfill or dispose. /\KS21_009-Concrete Drop Inlet. Drawing NBC-GTW-CL-0043 \m³\40.198585 \ 85" u="1"/>
        <s v="SABS1200 DA \EARTHWORKS (SMALL WORKS)/8.3\SCHEDULED ITEMS/8.3.2a\Excavate for restricted foundations, footings and trenches  in all materials and use for embankments or backfill or dispose. /\ks11-002b-Concrete Splash Through Structure. Drawing NBC-GTW-CL-0067 \m³\210 \ 50" u="1"/>
        <s v="SABS1200 DA \EARTHWORKS (SMALL WORKS)/8.3\SCHEDULED ITEMS/8.3.2a\Excavate for restricted foundations, footings and trenches  in all materials and use for embankments or backfill or dispose. /\ks11-004b-Concrete Splash Through Structure. Drawing NBC-GTW-CL-0068 \m³\210 \ 50" u="1"/>
        <s v="SABS1200 DA \EARTHWORKS (SMALL WORKS)/8.3\SCHEDULED ITEMS/8.3.2a\Excavate for restricted foundations, footings and trenches  in all materials and use for embankments or backfill or dispose. /\KS18_015-Concrete Drop Inlet. Drawing NBC-GTW-CL-0021 \m³\57.16188 \ 50" u="1"/>
        <s v="SABS1200 DA \EARTHWORKS (SMALL WORKS)/8.3\SCHEDULED ITEMS/8.3.2a\Excavate for restricted foundations, footings and trenches  in all materials and use for embankments or backfill or dispose. /\KS20_004-Concrete Drop Inlet. Drawing NBC-GTW-CL-0030 \m³\42.774586 \ 50" u="1"/>
        <s v="SABS1200 DA \EARTHWORKS (SMALL WORKS)/8.3\SCHEDULED ITEMS/8.3.2a\Excavate for restricted foundations, footings and trenches  in all materials and use for embankments or backfill or dispose. /\KS18_005-Concrete Cut-Off Walls. Drawing NBC-GTW-CL-0045 \m³\6.93 \ 50" u="1"/>
        <s v="SABS1200 DA \EARTHWORKS (SMALL WORKS)/8.3\SCHEDULED ITEMS/8.3.2a\Excavate for restricted foundations, footings and trenches  in all materials and use for embankments or backfill or dispose. /\KS18_010-Concrete Cut-Off Walls. Drawing NBC-GTW-CL-0045 \m³\6.93 \ 50" u="1"/>
        <s v="SABS1200 DA \EARTHWORKS (SMALL WORKS)/8.3\SCHEDULED ITEMS/8.3.2a\Excavate for restricted foundations, footings and trenches  in all materials and use for embankments or backfill or dispose. /\KS13_008-Concrete Drop Inlet. Drawing NBC-GTW-CL-0014 \m³\40.93968 \ 50" u="1"/>
        <s v="SABS1200 DA \EARTHWORKS (SMALL WORKS)/8.3\SCHEDULED ITEMS/8.3.2a\Excavate for restricted foundations, footings and trenches  in all materials and use for embankments or backfill or dispose. /\KS19_005-Infilling of Drains  \m³\4.68 \ 85" u="1"/>
        <s v="SABS1200 DA \EARTHWORKS (SMALL WORKS)/8.3\SCHEDULED ITEMS/8.3.2a\Excavate for restricted foundations, footings and trenches  in all materials and use for embankments or backfill or dispose. /\LS16_005-Concrete Cut-Off Walls  \m³\3.6 \ 50" u="1"/>
        <s v="SABS1200 DA \EARTHWORKS (SMALL WORKS)/8.3\SCHEDULED ITEMS/8.3.2a\Excavate for restricted foundations, footings and trenches  in all materials and use for embankments or backfill or dispose. /\KS13_011-Concrete Drop Inlet. Drawing NBC-GTW-CL-0015 \m³\38.8 \ 50" u="1"/>
        <s v="SABS1200 DA \EARTHWORKS (SMALL WORKS)/8.3\SCHEDULED ITEMS/8.3.2a\Excavate for restricted foundations, footings and trenches  in all materials and use for embankments or backfill or dispose. /\Pan8_004-Removal of Berm  \m³\5.4 \ 50" u="1"/>
        <s v="SABS1200 DA \EARTHWORKS (SMALL WORKS)/8.3\SCHEDULED ITEMS/8.3.2a\Excavate for restricted foundations, footings and trenches  in all materials and use for embankments or backfill or dispose. /\KS18_017-Concrete Drop Inlet. Drawing NBC-GTW-CL-0023 \m³\43.59664 \ 50" u="1"/>
        <s v="SABS1200 DA \EARTHWORKS (SMALL WORKS)/8.3\SCHEDULED ITEMS/8.3.2a\Excavate for restricted foundations, footings and trenches  in all materials and use for embankments or backfill or dispose. /\KS12_008-Concrete Drop Inlet. Drawing NBC-GTW-CL-0007 \m³\33.21409 \ 50" u="1"/>
        <s v="SABS1200 DA \EARTHWORKS (SMALL WORKS)/8.3\SCHEDULED ITEMS/8.3.2a\Excavate for restricted foundations, footings and trenches  in all materials and use for embankments or backfill or dispose. /\Pan14_011-Infilling of Drains  \m³\582 \ 50" u="1"/>
        <s v="SABS1200 DA \EARTHWORKS (SMALL WORKS)/8.3\SCHEDULED ITEMS/8.3.2a\Excavate for restricted foundations, footings and trenches  in all materials and use for embankments or backfill or dispose. /\LS16_018-Gabion energy breaker  \m³\22.08 \ 50" u="1"/>
        <s v="SABS1200 DA \EARTHWORKS (SMALL WORKS)/8.3\SCHEDULED ITEMS/8.3.2a\Excavate for restricted foundations, footings and trenches  in all materials and use for embankments or backfill or dispose. /\KS18_003-Concrete Cut-Off Walls. Drawing NBC-GTW-CL-0045 \m³\5.7 \ 85" u="1"/>
        <s v="SABS1200 DA \EARTHWORKS (SMALL WORKS)/8.3\SCHEDULED ITEMS/8.3.2a\Excavate for restricted foundations, footings and trenches  in all materials and use for embankments or backfill or dispose. /\KS13_012-Concrete Drop Inlet. Drawing NBC-GTW-CL-0016 \m³\29.930225 \ 50" u="1"/>
        <s v="SABS1200 DA \EARTHWORKS (SMALL WORKS)/8.3\SCHEDULED ITEMS/8.3.2a\Excavate for restricted foundations, footings and trenches  in all materials and use for embankments or backfill or dispose. /\KS18_011-Concrete Cut-Off Walls. Drawing NBC-GTW-CL-0045 \m³\6 \ 85" u="1"/>
        <s v="SABS1200 DA \EARTHWORKS (SMALL WORKS)/8.3\SCHEDULED ITEMS/8.3.2a\Excavate for restricted foundations, footings and trenches  in all materials and use for embankments or backfill or dispose. /\KS18_013-Concrete Cut-Off Walls. Drawing NBC-GTW-CL-0045 \m³\6 \ 85" u="1"/>
        <s v="SABS1200 DA \EARTHWORKS (SMALL WORKS)/8.3\SCHEDULED ITEMS/8.3.2a\Excavate for restricted foundations, footings and trenches  in all materials and use for embankments or backfill or dispose. /\KS18_012-Concrete Cut-Off Walls. Drawing NBC-GTW-CL-0045 \m³\6.6 \ 85" u="1"/>
        <s v="SABS1200 DA \EARTHWORKS (SMALL WORKS)/8.3\SCHEDULED ITEMS/8.3.2a\Excavate for restricted foundations, footings and trenches  in all materials and use for embankments or backfill or dispose. /\KS21_003-Concrete Drop Inlet. Drawing NBC-GTW-CL-0039 \m³\25.78775 \ 50" u="1"/>
        <s v="SABS1200 DA \EARTHWORKS (SMALL WORKS)/8.3\SCHEDULED ITEMS/8.3.2a\Excavate for restricted foundations, footings and trenches  in all materials and use for embankments or backfill or dispose. /\KS12_009-Concrete Drop Inlet. Drawing NBC-GTW-CL-0008 \m³\21.46164 \ 50" u="1"/>
        <s v="SABS1200 DA \EARTHWORKS (SMALL WORKS)/8.3\SCHEDULED ITEMS/8.3.2a\Excavate for restricted foundations, footings and trenches  in all materials and use for embankments or backfill or dispose. /\KS21_005-Concrete Drop Inlet. Drawing NBC-GTW-CL-0040 \m³\35.7722215 \ 50" u="1"/>
        <s v="SABS1200 DA \EARTHWORKS (SMALL WORKS)/8.3\SCHEDULED ITEMS/8.3.2a\Excavate for restricted foundations, footings and trenches  in all materials and use for embankments or backfill or dispose. /\KS19_004-Infilling of Drains  \m³\4.5 \ 85" u="1"/>
        <s v="SABS1200 DA \EARTHWORKS (SMALL WORKS)/8.3\SCHEDULED ITEMS/8.3.2a\Excavate for restricted foundations, footings and trenches  in all materials and use for embankments or backfill or dispose. /\LS16_006-Concrete Cut-Off Walls  \m³\6.48 \ 50" u="1"/>
        <s v="SABS1200 DA \EARTHWORKS (SMALL WORKS)/8.3\SCHEDULED ITEMS/8.3.2a\Excavate for restricted foundations, footings and trenches  in all materials and use for embankments or backfill or dispose. /\KS12_005-Concrete Drop Inlet. Drawing NBC-GTW-CL-0004 \m³\36.4286202 \ 50" u="1"/>
        <s v="SABS1200 DA \EARTHWORKS (SMALL WORKS)/8.3\SCHEDULED ITEMS/8.3.2a\Excavate for restricted foundations, footings and trenches  in all materials and use for embankments or backfill or dispose. /\KS20_007-Concrete Drop Inlet. Drawing NBC-GTW-CL-0033 \m³\56.185603 \ 50" u="1"/>
        <s v="SABS1200 DA \EARTHWORKS (SMALL WORKS)/8.3\SCHEDULED ITEMS/8.3.2a\Excavate for restricted foundations, footings and trenches  in all materials and use for embankments or backfill or dispose. /\KS18_001-Concrete Drop Inlet. Drawing NBC-GTW-CL-0019 \m³\61.486052 \ 50" u="1"/>
        <s v="SABS1200 DA \EARTHWORKS (SMALL WORKS)/8.3\SCHEDULED ITEMS/8.3.2a\Excavate for restricted foundations, footings and trenches  in all materials and use for embankments or backfill or dispose. /\KS19_004-Infilling of Drains  \m³\4.5 \ 50" u="1"/>
        <s v="SABS1200 DA \EARTHWORKS (SMALL WORKS)/8.3\SCHEDULED ITEMS/8.3.2a\Excavate for restricted foundations, footings and trenches  in all materials and use for embankments or backfill or dispose. /\KS21_006-Concrete Drop Inlet. Drawing NBC-GTW-CL-0041 \m³\31.9418025 \ 50" u="1"/>
        <s v="SABS1200 DA \EARTHWORKS (SMALL WORKS)/8.3\SCHEDULED ITEMS/8.3.2a\Excavate for restricted foundations, footings and trenches  in all materials and use for embankments or backfill or dispose. /\Pan8_003-Removal of Dam Wall  \m³\324.3575 \ 50" u="1"/>
        <s v="SABS1200 DA \EARTHWORKS (SMALL WORKS)/8.3\SCHEDULED ITEMS/8.3.2a\Excavate for restricted foundations, footings and trenches  in all materials and use for embankments or backfill or dispose. /\KS15_001-Fish Bowl  \m³\215.621 \ 50" u="1"/>
        <s v="SABS1200 DA \EARTHWORKS (SMALL WORKS)/8.3\SCHEDULED ITEMS/8.3.2a\Excavate for restricted foundations, footings and trenches  in all materials and use for embankments or backfill or dispose. /\KS18_007-Concrete Cut-Off Walls. Drawing NBC-GTW-CL-0045 \m³\5.04 \ 85" u="1"/>
        <s v="SABS1200 DA \EARTHWORKS (SMALL WORKS)/8.3\SCHEDULED ITEMS/8.3.2a\Excavate for restricted foundations, footings and trenches  in all materials and use for embankments or backfill or dispose. /\KS18_003-Concrete Cut-Off Walls. Drawing NBC-GTW-CL-0045 \m³\5.7 \ 50" u="1"/>
        <s v="SABS1200 DA \EARTHWORKS (SMALL WORKS)/8.3\SCHEDULED ITEMS/8.3.2a\Excavate for restricted foundations, footings and trenches  in all materials and use for embankments or backfill or dispose. /\KS20_006-Concrete Check Wall. Drawing NBC-GTW-CL-0032 \m³\10.035 \ 85" u="1"/>
        <s v="SABS1200 DA \EARTHWORKS (SMALL WORKS)/8.3\SCHEDULED ITEMS/8.3.2a\Excavate for restricted foundations, footings and trenches  in all materials and use for embankments or backfill or dispose. /\LS16_007-Concrete Cut-Off Walls  \m³\5.94 \ 50" u="1"/>
        <s v="SABS1200 DA \EARTHWORKS (SMALL WORKS)/8.3\SCHEDULED ITEMS/8.3.2a\Excavate for restricted foundations, footings and trenches  in all materials and use for embankments or backfill or dispose. /\KS13_013-Concrete Drop Inlet. Drawing NBC-GTW-CL-0017 \m³\37.8822 \ 50" u="1"/>
        <s v="SABS1200 DA \EARTHWORKS (SMALL WORKS)/8.3\SCHEDULED ITEMS/8.3.2a\Excavate for restricted foundations, footings and trenches  in all materials and use for embankments or backfill or dispose. /\KS20_009_a-Concrete Buttress Weir. Drawing NBC-GTW-CL-0035 \m³\132.757199 \ 50" u="1"/>
        <s v="SABS1200 DA \EARTHWORKS (SMALL WORKS)/8.3\SCHEDULED ITEMS/8.3.2a\Excavate for restricted foundations, footings and trenches  in all materials and use for embankments or backfill or dispose. /\LS16_016-Gabion energy breaker  \m³\20 \ 50" u="1"/>
        <s v="SABS1200 DA \EARTHWORKS (SMALL WORKS)/8.3\SCHEDULED ITEMS/8.3.2a\Excavate for restricted foundations, footings and trenches  in all materials and use for embankments or backfill or dispose. /\KS18_012-Concrete Cut-Off Walls. Drawing NBC-GTW-CL-0045 \m³\6.6 \ 50" u="1"/>
        <s v="SABS1200 DA \EARTHWORKS (SMALL WORKS)/8.3\SCHEDULED ITEMS/8.3.2a\Excavate for restricted foundations, footings and trenches  in all materials and use for embankments or backfill or dispose. /\LS16_002-Concrete Cut-Off Walls  \m³\4.8 \ 50" u="1"/>
        <s v="SABS1200 DA \EARTHWORKS (SMALL WORKS)/8.3\SCHEDULED ITEMS/8.3.2a\Excavate for restricted foundations, footings and trenches  in all materials and use for embankments or backfill or dispose. /\KS18_008-Concrete Cut-Off Walls. Drawing NBC-GTW-CL-0045 \m³\5.76 \ 50" u="1"/>
        <s v="SABS1200 DA \EARTHWORKS (SMALL WORKS)/8.3\SCHEDULED ITEMS/8.3.2a\Excavate for restricted foundations, footings and trenches  in all materials and use for embankments or backfill or dispose. /\DS12_004-Removal of earthen material  \m³\523.01728 \ 50" u="1"/>
        <s v="SABS1200 DA \EARTHWORKS (SMALL WORKS)/8.3\SCHEDULED ITEMS/8.3.2a\Excavate for restricted foundations, footings and trenches  in all materials and use for embankments or backfill or dispose. /\KS21_009-Concrete Drop Inlet. Drawing NBC-GTW-CL-0043 \m³\40.198585 \ 50" u="1"/>
        <s v="SABS1200 DA \EARTHWORKS (SMALL WORKS)/8.3\SCHEDULED ITEMS/8.3.2a\Excavate for restricted foundations, footings and trenches  in all materials and use for embankments or backfill or dispose. /\KS18_002-Concrete Drop Inlet. Drawing NBC-GTW-CL-0020 \m³\32.274065 \ 50" u="1"/>
        <s v="SABS1200 DA \EARTHWORKS (SMALL WORKS)/8.3\SCHEDULED ITEMS/8.3.2a\Excavate for restricted foundations, footings and trenches  in all materials and use for embankments or backfill or dispose. /\KS18_006-Concrete Cut-Off Walls. Drawing NBC-GTW-CL-0045 \m³\6.615 \ 85" u="1"/>
        <s v="SABS1200 DA \EARTHWORKS (SMALL WORKS)/8.3\SCHEDULED ITEMS/8.3.2a\Excavate for restricted foundations, footings and trenches  in all materials and use for embankments or backfill or dispose. /\KS18_006-Concrete Cut-Off Walls. Drawing NBC-GTW-CL-0045 \m³\6.615 \ 50" u="1"/>
        <s v="SABS1200 DA \EARTHWORKS (SMALL WORKS)/8.3\SCHEDULED ITEMS/8.3.2a\Excavate for restricted foundations, footings and trenches  in all materials and use for embankments or backfill or dispose. /\KS20_009_b-Concrete Overflow Wall. Drawing NBC-GTW-CL-0035 \m³\30.7675 \ 50" u="1"/>
        <s v="SABS1200 DA \EARTHWORKS (SMALL WORKS)/8.3\SCHEDULED ITEMS/8.3.2a\Excavate for restricted foundations, footings and trenches  in all materials and use for embankments or backfill or dispose. /\Pan14-002-Remove Berm  \m³\49.41 \ 50" u="1"/>
        <s v="SABS1200 DA \EARTHWORKS (SMALL WORKS)/8.3\SCHEDULED ITEMS/8.3.2a\Excavate for restricted foundations, footings and trenches  in all materials and use for embankments or backfill or dispose. /\LS16_003-Concrete Cut-Off Walls  \m³\2.1 \ 50" u="1"/>
        <s v="SABS1200 DA \EARTHWORKS (SMALL WORKS)/8.3\SCHEDULED ITEMS/8.3.2a\Excavate for restricted foundations, footings and trenches  in all materials and use for embankments or backfill or dispose. /\KS16_003-Infilling of Drains  \m³\14.22 \ 85" u="1"/>
        <s v="SABS1200 DA \EARTHWORKS (SMALL WORKS)/8.3\SCHEDULED ITEMS/8.3.2a\Excavate for restricted foundations, footings and trenches  in all materials and use for embankments or backfill or dispose. /\KS20_008-Concrete Drop Inlet. Drawing NBC-GTW-CL-0034 \m³\54.33924 \ 50" u="1"/>
        <s v="SABS1200 DA \EARTHWORKS (SMALL WORKS)/8.3\SCHEDULED ITEMS/8.3.2a\Excavate for restricted foundations, footings and trenches  in all materials and use for embankments or backfill or dispose. /\Pan09_001-Removal of Dam Wall  \m³\188.47125 \ 50" u="1"/>
        <s v="SABS1200 DA \EARTHWORKS (SMALL WORKS)/8.3\SCHEDULED ITEMS/8.3.2a\Excavate for restricted foundations, footings and trenches  in all materials and use for embankments or backfill or dispose. /\KS19_002-Concrete Drop Inlet. Drawing NBC-GTW-CL-0026 \m³\38.760038 \ 50" u="1"/>
        <s v="SABS1200 DA \EARTHWORKS (SMALL WORKS)/8.3\SCHEDULED ITEMS/8.3.2a\Excavate for restricted foundations, footings and trenches  in all materials and use for embankments or backfill or dispose. /\LS16_014-Ecologs  \m³\1.62 \ 50" u="1"/>
        <s v="SABS1200 DA \EARTHWORKS (SMALL WORKS)/8.3\SCHEDULED ITEMS/8.3.2a\Excavate for restricted foundations, footings and trenches  in all materials and use for embankments or backfill or dispose. /\KS20_002-Concrete Drop Inlet. Drawing NBC-GTW-CL-0028 \m³\60.04969 \ 50" u="1"/>
        <s v="SABS1200 DA \EARTHWORKS (SMALL WORKS)/8.3\SCHEDULED ITEMS/8.3.2a\Excavate for restricted foundations, footings and trenches  in all materials and use for embankments or backfill or dispose. /\ks11-002a-Concrete Drop Inlet on Dam Wall  \m³\394.7652 \ 50" u="1"/>
        <s v="SABS1200 DA \EARTHWORKS (SMALL WORKS)/8.3\SCHEDULED ITEMS/8.3.2a\Excavate for restricted foundations, footings and trenches  in all materials and use for embankments or backfill or dispose. /\KS12_002-Concrete Drop Inlet. Drawing NBC-GTW-CL-0002 \m³\37 \ 50" u="1"/>
        <s v="SABS1200 DA \EARTHWORKS (SMALL WORKS)/8.3\SCHEDULED ITEMS/8.3.2a\Excavate for restricted foundations, footings and trenches  in all materials and use for embankments or backfill or dispose. /\Pan8_002-Infilling of Drains  \m³\64 \ 50" u="1"/>
        <s v="SABS1200 DA \EARTHWORKS (SMALL WORKS)/8.3\SCHEDULED ITEMS/8.3.2a\Excavate for restricted foundations, footings and trenches  in all materials and use for embankments or backfill or dispose. /\Pan14_007-Infilling of Drains  \m³\18.6 \ 50" u="1"/>
        <s v="SABS1200 DA \EARTHWORKS (SMALL WORKS)/8.3\SCHEDULED ITEMS/8.3.2a\Excavate for restricted foundations, footings and trenches  in all materials and use for embankments or backfill or dispose. /\KS12_004-Concrete Drop Inlet. Drawing NBC-GTW-CL-0003 \m³\36.6111 \ 50" u="1"/>
        <s v="SABS1200 DA \EARTHWORKS (SMALL WORKS)/8.3\SCHEDULED ITEMS/8.3.2a\Excavate for restricted foundations, footings and trenches  in all materials and use for embankments or backfill or dispose. /\KS13_005-Concrete Drop Inlet. Drawing NBC-GTW-CL-0011 \m³\40.88154 \ 50" u="1"/>
        <s v="SABS1200 DA \EARTHWORKS (SMALL WORKS)/8.3\SCHEDULED ITEMS/8.3.2a\Excavate for restricted foundations, footings and trenches  in all materials and use for embankments or backfill or dispose. /\KS13_006-Concrete Drop Inlet. Drawing NBC-GTW-CL-0012 \m³\40.88154 \ 50" u="1"/>
        <s v="SABS1200 DA \EARTHWORKS (SMALL WORKS)/8.3\SCHEDULED ITEMS/8.3.2a\Excavate for restricted foundations, footings and trenches  in all materials and use for embankments or backfill or dispose. /\KS18_018-Concrete Drop Inlet. Drawing NBC-GTW-CL-0024 \m³\52.32581 \ 50" u="1"/>
        <s v="SABS1200 DA \EARTHWORKS (SMALL WORKS)/8.3\SCHEDULED ITEMS/8.3.2a\Excavate for restricted foundations, footings and trenches  in all materials and use for embankments or backfill or dispose. /\KS12_007-Concrete Drop Inlet. Drawing NBC-GTW-CL-0006 \m³\47.313325 \ 50" u="1"/>
        <s v="SABS1200 DA \EARTHWORKS (SMALL WORKS)/8.3\SCHEDULED ITEMS/8.3.2a\Excavate for restricted foundations, footings and trenches  in all materials and use for embankments or backfill or dispose. /\KS21_010-Concrete Drop Inlet. Drawing NBC-GTW-CL-0044 \m³\37.9104055 \ 85" u="1"/>
        <s v="SABS1200 DA \EARTHWORKS (SMALL WORKS)/8.3\SCHEDULED ITEMS/8.3.2a\Excavate for restricted foundations, footings and trenches  in all materials and use for embankments or backfill or dispose. /\LS16_019-Gabion energy breaker  \m³\24.48 \ 50" u="1"/>
        <s v="SABS1200 DA \EARTHWORKS (SMALL WORKS)/8.3\SCHEDULED ITEMS/8.3.2a\Excavate for restricted foundations, footings and trenches  in all materials and use for embankments or backfill or dispose. /\KS18_016-Concrete Drop Inlet. Drawing NBC-GTW-CL-0022 \m³\46.41016 \ 50" u="1"/>
        <s v="SABS1200 DA \EARTHWORKS (SMALL WORKS)/8.3\SCHEDULED ITEMS/8.3.2a\Excavate for restricted foundations, footings and trenches  in all materials and use for embankments or backfill or dispose. /\LS16_017-Gabion energy breaker  \m³\25 \ 50" u="1"/>
        <s v="SABS1200 DA \EARTHWORKS (SMALL WORKS)/8.3\SCHEDULED ITEMS/8.3.2a\Excavate for restricted foundations, footings and trenches  in all materials and use for embankments or backfill or dispose. /\KS12_001-Pipe Culvert. Drawing NBC-GTW-CL-0069 \m³\2 \ 50" u="1"/>
        <s v="SABS1200 DA \EARTHWORKS (SMALL WORKS)/8.3\SCHEDULED ITEMS/8.3.2a\Excavate for restricted foundations, footings and trenches  in all materials and use for embankments or backfill or dispose. /\KS19_003-Headcut  \m³\5.316 \ 85" u="1"/>
        <s v="SABS1200 DA \EARTHWORKS (SMALL WORKS)/8.3\SCHEDULED ITEMS/8.3.2a\Excavate for restricted foundations, footings and trenches  in all materials and use for embankments or backfill or dispose. /\KS20_001-Concrete Drop Inlet. Drawing NBC-GTW-CL-0027 \m³\51.93327 \ 50" u="1"/>
        <s v="SABS1200 DA \EARTHWORKS (SMALL WORKS)/8.3\SCHEDULED ITEMS/8.3.2a\Excavate for restricted foundations, footings and trenches  in all materials and use for embankments or backfill or dispose. /\LS16_011-Concrete Cut-Off Walls  \m³\3.3 \ 50" u="1"/>
        <s v="SABS1200 DA \EARTHWORKS (SMALL WORKS)/8.3\SCHEDULED ITEMS/8.3.2a\Excavate for restricted foundations, footings and trenches  in all materials and use for embankments or backfill or dispose. /\Pan8_001-Foreign Materials  \m³\18.9 \ 50" u="1"/>
        <s v="SABS1200 DA \EARTHWORKS (SMALL WORKS)/8.3\SCHEDULED ITEMS/8.3.2a\Excavate for restricted foundations, footings and trenches  in all materials and use for embankments or backfill or dispose. /\KS18_019-Concrete Drop Inlet. Drawing NBC-GTW-CL-0025 \m³\36.11444 \ 50" u="1"/>
        <s v="SABS1200 DA \EARTHWORKS (SMALL WORKS)/8.3\SCHEDULED ITEMS/8.3.2a\Excavate for restricted foundations, footings and trenches  in all materials and use for embankments or backfill or dispose. /\KS21-002-Earthworks  \m³\191.4 \ 85" u="1"/>
        <s v="SABS1200 DA \EARTHWORKS (SMALL WORKS)/8.3\SCHEDULED ITEMS/8.3.2a\Excavate for restricted foundations, footings and trenches  in all materials and use for embankments or backfill or dispose. /\KS21_007-Concrete Drop Inlet. Drawing NBC-GTW-CL-0042 \m³\31.14898 \ 85" u="1"/>
        <s v="SABS1200 DA \EARTHWORKS (SMALL WORKS)/8.3\SCHEDULED ITEMS/8.3.2a\Excavate for restricted foundations, footings and trenches  in all materials and use for embankments or backfill or dispose. /\KS18_007-Concrete Cut-Off Walls. Drawing NBC-GTW-CL-0045 \m³\5.04 \ 50" u="1"/>
        <s v="SABS1200 DA \EARTHWORKS (SMALL WORKS)/8.3\SCHEDULED ITEMS/8.3.2a\Excavate for restricted foundations, footings and trenches  in all materials and use for embankments or backfill or dispose. /\KS16_003-Infilling of Drains  \m³\14.22 \ 50" u="1"/>
        <s v="SABS1200 DA \EARTHWORKS (SMALL WORKS)/8.3\SCHEDULED ITEMS/8.3.2a\Excavate for restricted foundations, footings and trenches  in all materials and use for embankments or backfill or dispose. /\KS21_007-Concrete Drop Inlet. Drawing NBC-GTW-CL-0042 \m³\31.14898 \ 50" u="1"/>
        <s v="SABS1200 DA \EARTHWORKS (SMALL WORKS)/8.3\SCHEDULED ITEMS/8.3.2a\Excavate for restricted foundations, footings and trenches  in all materials and use for embankments or backfill or dispose. /\KS13_004-Concrete Drop Inlet. Drawing NBC-GTW-CL-0010 \m³\32.319 \ 50" u="1"/>
        <s v="SABS1200 DA \EARTHWORKS (SMALL WORKS)/8.3\SCHEDULED ITEMS/8.3.2a\Excavate for restricted foundations, footings and trenches  in all materials and use for embankments or backfill or dispose. /\KS20_005-Concrete Drop Inlet. Drawing NBC-GTW-CL-0031 \m³\69.658655 \ 50" u="1"/>
        <s v="SABS1200 DA \EARTHWORKS (SMALL WORKS)/8.3\SCHEDULED ITEMS/8.3.2a\Excavate for restricted foundations, footings and trenches  in all materials and use for embankments or backfill or dispose. /\KS18_011-Concrete Cut-Off Walls. Drawing NBC-GTW-CL-0045 \m³\6 \ 50" u="1"/>
        <s v="SABS1200 DA \EARTHWORKS (SMALL WORKS)/8.3\SCHEDULED ITEMS/8.3.2a\Excavate for restricted foundations, footings and trenches  in all materials and use for embankments or backfill or dispose. /\KS18_013-Concrete Cut-Off Walls. Drawing NBC-GTW-CL-0045 \m³\6 \ 50" u="1"/>
        <s v="SABS1200 DA \EARTHWORKS (SMALL WORKS)/8.3\SCHEDULED ITEMS/8.3.2a\Excavate for restricted foundations, footings and trenches  in all materials and use for embankments or backfill or dispose. /\KS13_003-Concrete Drop Inlet. Drawing NBC-GTW-CL-0009 \m³\44.0325 \ 50" u="1"/>
        <s v="SABS1200 DA \EARTHWORKS (SMALL WORKS)/8.3\SCHEDULED ITEMS/8.3.2a\Excavate for restricted foundations, footings and trenches  in all materials and use for embankments or backfill or dispose. /\KS16_005-Deactivate Drain  \m³\18.36 \ 85" u="1"/>
        <s v="SABS1200 DA \EARTHWORKS (SMALL WORKS)/8.3\SCHEDULED ITEMS/8.3.2a\Excavate for restricted foundations, footings and trenches  in all materials and use for embankments or backfill or dispose. /\KS19_001-Infilling of Drains  \m³\5 \ 85" u="1"/>
        <s v="SABS1200 DA \EARTHWORKS (SMALL WORKS)/8.3\SCHEDULED ITEMS/8.3.2a\Excavate for restricted foundations, footings and trenches  in all materials and use for embankments or backfill or dispose. /\KS18_005-Concrete Cut-Off Walls. Drawing NBC-GTW-CL-0045 \m³\6.93 \ 85" u="1"/>
        <s v="SABS1200 DA \EARTHWORKS (SMALL WORKS)/8.3\SCHEDULED ITEMS/8.3.2a\Excavate for restricted foundations, footings and trenches  in all materials and use for embankments or backfill or dispose. /\KS18_010-Concrete Cut-Off Walls. Drawing NBC-GTW-CL-0045 \m³\6.93 \ 85" u="1"/>
        <s v="SABS1200 DA \EARTHWORKS (SMALL WORKS)/8.3\SCHEDULED ITEMS/8.3.2a\Excavate for restricted foundations, footings and trenches  in all materials and use for embankments or backfill or dispose. /\KS21_010-Concrete Drop Inlet. Drawing NBC-GTW-CL-0044 \m³\37.9104055 \ 50" u="1"/>
        <s v="SABS1200 DA \EARTHWORKS (SMALL WORKS)/8.3\SCHEDULED ITEMS/8.3.2a\Excavate for restricted foundations, footings and trenches  in all materials and use for embankments or backfill or dispose. /\KS13_015-Concrete Drop Inlet. Drawing NBC-GTW-CL-0018 \m³\45.89906 \ 50" u="1"/>
        <s v="SABS1200 DA \EARTHWORKS (SMALL WORKS)/8.3\SCHEDULED ITEMS/8.3.2a\Excavate for restricted foundations, footings and trenches  in all materials and use for embankments or backfill or dispose. /\KS16_005-Deactivate Drain  \m³\18.36 \ 50" u="1"/>
        <s v="SABS1200 DA \EARTHWORKS (SMALL WORKS)/8.3\SCHEDULED ITEMS/8.3.2a\Excavate for restricted foundations, footings and trenches  in all materials and use for embankments or backfill or dispose. /\LS16_001-Concrete Cut-Off Walls  \m³\5.04 \ 50" u="1"/>
        <s v="SABS1200 DA \EARTHWORKS (SMALL WORKS)/8.3\SCHEDULED ITEMS/8.3.2a\Excavate for restricted foundations, footings and trenches  in all materials and use for embankments or backfill or dispose. /\Pan14_008-Infilling of Drains  \m³\48.6 \ 50" u="1"/>
        <s v="SABS1200 DA \EARTHWORKS (SMALL WORKS)/8.3\SCHEDULED ITEMS/8.3.2a\Excavate for restricted foundations, footings and trenches  in all materials and use for embankments or backfill or dispose. /\KS18_009-Concrete Cut-Off Walls. Drawing NBC-GTW-CL-0045 \m³\5.775 \ 85" u="1"/>
        <s v="SABS1200 DA \EARTHWORKS (SMALL WORKS)/8.3\SCHEDULED ITEMS/8.3.2a\Excavate for restricted foundations, footings and trenches  in all materials and use for embankments or backfill or dispose. /\KS18_009-Concrete Cut-Off Walls. Drawing NBC-GTW-CL-0045 \m³\5.775 \ 50" u="1"/>
        <s v="SABS1200 DA \EARTHWORKS (SMALL WORKS)/8.3\SCHEDULED ITEMS/8.3.2a\Excavate for restricted foundations, footings and trenches  in all materials and use for embankments or backfill or dispose. /\KS18-014-Concrete Check Wall. Drawing NBC-GTW-CL-0001 \m³\6.66 \ 85" u="1"/>
        <s v="SABS1200 DA \EARTHWORKS (SMALL WORKS)/8.3\SCHEDULED ITEMS/8.3.2a\Excavate for restricted foundations, footings and trenches  in all materials and use for embankments or backfill or dispose. /\Pan14-003-Remove berm and backfill drain  \m³\950 \ 50" u="1"/>
        <s v="SABS1200 DA \EARTHWORKS (SMALL WORKS)/8.3\SCHEDULED ITEMS/8.3.2a\Excavate for restricted foundations, footings and trenches  in all materials and use for embankments or backfill or dispose. /\KS19_001-Infilling of Drains  \m³\5 \ 50" u="1"/>
        <s v="SABS1200 DA \EARTHWORKS (SMALL WORKS)/8.3\SCHEDULED ITEMS/8.3.2a\Excavate for restricted foundations, footings and trenches  in all materials and use for embankments or backfill or dispose. /\KS21-002-Earthworks  \m³\191.4 \ 50" u="1"/>
        <s v="SABS1200 DA \EARTHWORKS (SMALL WORKS)/8.3\SCHEDULED ITEMS/8.3.2a\Excavate for restricted foundations, footings and trenches  in all materials and use for embankments or backfill or dispose. /\KS13_007-Concrete Drop Inlet. Drawing NBC-GTW-CL-0013 \m³\35.99056 \ 50" u="1"/>
        <s v="SABS1200 DA \EARTHWORKS (SMALL WORKS)/8.3\SCHEDULED ITEMS/8.3.2a\Excavate for restricted foundations, footings and trenches  in all materials and use for embankments or backfill or dispose. /\LS16_009-Concrete Cut-Off Walls  \m³\4.35 \ 50" u="1"/>
        <s v="SABS1200 DA \EARTHWORKS (SMALL WORKS)/8.3\SCHEDULED ITEMS/8.3.2a\Excavate for restricted foundations, footings and trenches  in all materials and use for embankments or backfill or dispose. /\KS20_006-Concrete Drop Inlet. Drawing NBC-GTW-CL-0032 \m³\55.598465 \ 50" u="1"/>
        <s v="SABS1200 DA \EARTHWORKS (SMALL WORKS)/8.3\SCHEDULED ITEMS/8.3.2a\Excavate for restricted foundations, footings and trenches  in all materials and use for embankments or backfill or dispose. /\KS21_001-10° sloped Grouted Pitching (Light). Drawing NBC-GTW-CL-0038 \m³\15 \ 50" u="1"/>
        <s v="SABS1200 DA \EARTHWORKS (SMALL WORKS)/8.3\SCHEDULED ITEMS/8.3.2a\Excavate for restricted foundations, footings and trenches  in all materials and use for embankments or backfill or dispose. /\KS12_006-Concrete Drop Inlet. Drawing NBC-GTW-CL-0005 \m³\31.948975 \ 50" u="1"/>
        <s v="SABS1200 DA \EARTHWORKS (SMALL WORKS)/8.3\SCHEDULED ITEMS/8.3.2a\Excavate for restricted foundations, footings and trenches  in all materials and use for embankments or backfill or dispose. /\LS16_004-Concrete Cut-Off Walls  \m³\2.4 \ 50" u="1"/>
      </sharedItems>
    </cacheField>
    <cacheField name="bi)Excavation (Extra-over intermediate)3" numFmtId="0">
      <sharedItems count="56">
        <s v=" "/>
        <s v="SABS1200 DA \EARTHWORKS (SMALL WORKS)/8.3\SCHEDULED ITEMS/8.3.2b 1\Extra-over for intermediate excavation. (Provisional Quantities)/\ks11-002a-Concrete Drop Inlet on Dam Wall  \m³\39.47652 \ 125"/>
        <s v="SABS1200 DA \EARTHWORKS (SMALL WORKS)/8.3\SCHEDULED ITEMS/8.3.2b 1\Extra-over for intermediate excavation. (Provisional Quantities)/\ks11-004a-Concrete Drop Inlet on Dam Wall  \m³\26.46966 \ 125"/>
        <s v="SABS1200 DA \EARTHWORKS (SMALL WORKS)/8.3\SCHEDULED ITEMS/8.3.2b 1\Extra-over for intermediate excavation. (Provisional Quantities)/\KS13_003-Concrete Drop Inlet. Drawing NBC-GTW-CL-0009 \m³\4.40325 \ 125"/>
        <s v="SABS1200 DA \EARTHWORKS (SMALL WORKS)/8.3\SCHEDULED ITEMS/8.3.2b 1\Extra-over for intermediate excavation. (Provisional Quantities)/\KS19_002-Concrete Drop Inlet. Drawing NBC-GTW-CL-0026 \m³\3.8760038 \ 125"/>
        <s v="SABS1200 DA \EARTHWORKS (SMALL WORKS)/8.3\SCHEDULED ITEMS/8.3.2b 1\Extra-over for intermediate excavation. (Provisional Quantities)/\KS20_001-Concrete Drop Inlet. Drawing NBC-GTW-CL-0027 \m³\5.193327 \ 125"/>
        <s v="SABS1200 DA \EARTHWORKS (SMALL WORKS)/8.3\SCHEDULED ITEMS/8.3.2b 1\Extra-over for intermediate excavation. (Provisional Quantities)/\KS21_003-Concrete Drop Inlet. Drawing NBC-GTW-CL-0039 \m³\2.578775 \ 125"/>
        <s v="SABS1200 DA \EARTHWORKS (SMALL WORKS)/8,3\SCHEDULED ITEMS/8.3.2b 1\Extra-over for intermediate excavation. (Provisional Quantities)/\KS21_005-Concrete Drop Inlet. Drawing NBC-GTW-CL-0040 \m³\2,578775 \ 125"/>
        <s v="SABS1200 DA \EARTHWORKS (SMALL WORKS)/8.3\SCHEDULED ITEMS/8.3.2b 1\Extra-over for intermediate excavation. (Provisional Quantities)/\KS21_006-Concrete Drop Inlet. Drawing NBC-GTW-CL-0041 \m³\3.19418025 \ 125" u="1"/>
        <s v="SABS1200 DA \EARTHWORKS (SMALL WORKS)/8.3\SCHEDULED ITEMS/8.3.2b 1\Extra-over for intermediate excavation. (Provisional Quantities)/\KS21_010-Concrete Drop Inlet. Drawing NBC-GTW-CL-0044 \m³\3.79104055 \ 75" u="1"/>
        <s v="SABS1200 DA \EARTHWORKS (SMALL WORKS)/8.3\SCHEDULED ITEMS/8.3.2b 1\Extra-over for intermediate excavation. (Provisional Quantities)/\KS18_017-Concrete Drop Inlet. Drawing NBC-GTW-CL-0023 \m³\4.359664 \ 75" u="1"/>
        <s v="SABS1200 DA \EARTHWORKS (SMALL WORKS)/8.3\SCHEDULED ITEMS/8.3.2b 1\Extra-over for intermediate excavation. (Provisional Quantities)/\KS13_012-Concrete Drop Inlet. Drawing NBC-GTW-CL-0016 \m³\2.9930225 \ 75" u="1"/>
        <s v="SABS1200 DA \EARTHWORKS (SMALL WORKS)/8.3\SCHEDULED ITEMS/8.3.2b 1\Extra-over for intermediate excavation. (Provisional Quantities)/\KS21_009-Concrete Drop Inlet. Drawing NBC-GTW-CL-0043 \m³\4.0198585 \ 75" u="1"/>
        <s v="SABS1200 DA \EARTHWORKS (SMALL WORKS)/8.3\SCHEDULED ITEMS/8.3.2b 1\Extra-over for intermediate excavation. (Provisional Quantities)/\KS21_006-Concrete Drop Inlet. Drawing NBC-GTW-CL-0041 \m³\3.19418025 \ 75" u="1"/>
        <s v="SABS1200 DA \EARTHWORKS (SMALL WORKS)/8.3\SCHEDULED ITEMS/8.3.2b 1\Extra-over for intermediate excavation. (Provisional Quantities)/\KS18_001-Concrete Drop Inlet. Drawing NBC-GTW-CL-0019 \m³\6.1486052 \ 75" u="1"/>
        <s v="SABS1200 DA \EARTHWORKS (SMALL WORKS)/8.3\SCHEDULED ITEMS/8.3.2b 1\Extra-over for intermediate excavation. (Provisional Quantities)/\KS21_010-Concrete Drop Inlet. Drawing NBC-GTW-CL-0044 \m³\3.79104055 \ 125" u="1"/>
        <s v="SABS1200 DA \EARTHWORKS (SMALL WORKS)/8.3\SCHEDULED ITEMS/8.3.2b 1\Extra-over for intermediate excavation. (Provisional Quantities)/\KS21_007-Concrete Drop Inlet. Drawing NBC-GTW-CL-0042 \m³\3.114898 \ 125" u="1"/>
        <s v="SABS1200 DA \EARTHWORKS (SMALL WORKS)/8.3\SCHEDULED ITEMS/8.3.2b 1\Extra-over for intermediate excavation. (Provisional Quantities)/\KS12_008-Concrete Drop Inlet. Drawing NBC-GTW-CL-0007 \m³\3.321409 \ 75" u="1"/>
        <s v="SABS1200 DA \EARTHWORKS (SMALL WORKS)/8.3\SCHEDULED ITEMS/8.3.2b 1\Extra-over for intermediate excavation. (Provisional Quantities)/\KS20_003-Concrete Buttress Weir. Drawing NBC-GTW-CL-0029 \m³\8.29571958 \ 75" u="1"/>
        <s v="SABS1200 DA \EARTHWORKS (SMALL WORKS)/8.3\SCHEDULED ITEMS/8.3.2b 1\Extra-over for intermediate excavation. (Provisional Quantities)/\KS20_002-Concrete Drop Inlet. Drawing NBC-GTW-CL-0028 \m³\1.580255 \ 75" u="1"/>
        <s v="SABS1200 DA \EARTHWORKS (SMALL WORKS)/8.3\SCHEDULED ITEMS/8.3.2b 1\Extra-over for intermediate excavation. (Provisional Quantities)/\KS18_002-Concrete Drop Inlet. Drawing NBC-GTW-CL-0020 \m³\3.2274065 \ 75" u="1"/>
        <s v="SABS1200 DA \EARTHWORKS (SMALL WORKS)/8.3\SCHEDULED ITEMS/8.3.2b 1\Extra-over for intermediate excavation. (Provisional Quantities)/\KS20_001-Concrete Drop Inlet. Drawing NBC-GTW-CL-0027 \m³\5.193327 \ 75" u="1"/>
        <s v="SABS1200 DA \EARTHWORKS (SMALL WORKS)/8.3\SCHEDULED ITEMS/8.3.2b 1\Extra-over for intermediate excavation. (Provisional Quantities)/\KS20_004-Concrete Drop Inlet. Drawing NBC-GTW-CL-0030 \m³\4.2774586 \ 75" u="1"/>
        <s v="SABS1200 DA \EARTHWORKS (SMALL WORKS)/8.3\SCHEDULED ITEMS/8.3.2b 1\Extra-over for intermediate excavation. (Provisional Quantities)/\KS12_007-Concrete Drop Inlet. Drawing NBC-GTW-CL-0006 \m³\4.7313325 \ 75" u="1"/>
        <s v="SABS1200 DA \EARTHWORKS (SMALL WORKS)/8.3\SCHEDULED ITEMS/8.3.2b 1\Extra-over for intermediate excavation. (Provisional Quantities)/\KS12_006-Concrete Drop Inlet. Drawing NBC-GTW-CL-0005 \m³\3.1948975 \ 75" u="1"/>
        <s v="SABS1200 DA \EARTHWORKS (SMALL WORKS)/8.3\SCHEDULED ITEMS/8.3.2b 1\Extra-over for intermediate excavation. (Provisional Quantities)/\KS20_005-Concrete Drop Inlet. Drawing NBC-GTW-CL-0031 \m³\6.9658655 \ 75" u="1"/>
        <s v="SABS1200 DA \EARTHWORKS (SMALL WORKS)/8.3\SCHEDULED ITEMS/8.3.2b 1\Extra-over for intermediate excavation. (Provisional Quantities)/\KS18_015-Concrete Drop Inlet. Drawing NBC-GTW-CL-0021 \m³\5.716188 \ 75" u="1"/>
        <s v="SABS1200 DA \EARTHWORKS (SMALL WORKS)/8.3\SCHEDULED ITEMS/8.3.2b 1\Extra-over for intermediate excavation. (Provisional Quantities)/\KS20_008-Concrete Drop Inlet. Drawing NBC-GTW-CL-0034 \m³\5.433924 \ 75" u="1"/>
        <s v="SABS1200 DA \EARTHWORKS (SMALL WORKS)/8.3\SCHEDULED ITEMS/8.3.2b 1\Extra-over for intermediate excavation. (Provisional Quantities)/\KS21_007-Concrete Drop Inlet. Drawing NBC-GTW-CL-0042 \m³\3.114898 \ 75" u="1"/>
        <s v="SABS1200 DA \EARTHWORKS (SMALL WORKS)/8.3\SCHEDULED ITEMS/8.3.2b 1\Extra-over for intermediate excavation. (Provisional Quantities)/\KS13_003-Concrete Drop Inlet. Drawing NBC-GTW-CL-0009 \m³\4.40325 \ 75" u="1"/>
        <s v="SABS1200 DA \EARTHWORKS (SMALL WORKS)/8.3\SCHEDULED ITEMS/8.3.2b 1\Extra-over for intermediate excavation. (Provisional Quantities)/\KS19_002-Concrete Drop Inlet. Drawing NBC-GTW-CL-0026 \m³\3.8760038 \ 75" u="1"/>
        <s v="SABS1200 DA \EARTHWORKS (SMALL WORKS)/8.3\SCHEDULED ITEMS/8.3.2b 1\Extra-over for intermediate excavation. (Provisional Quantities)/\ks11-002a-Concrete Drop Inlet on Dam Wall  \m³\39.47652 \ 75" u="1"/>
        <s v="SABS1200 DA \EARTHWORKS (SMALL WORKS)/8.3\SCHEDULED ITEMS/8.3.2b 1\Extra-over for intermediate excavation. (Provisional Quantities)/\KS21_005-Concrete Drop Inlet. Drawing NBC-GTW-CL-0040 \m³\3.57722215 \ 125" u="1"/>
        <s v="SABS1200 DA \EARTHWORKS (SMALL WORKS)/8.3\SCHEDULED ITEMS/8.3.2b 1\Extra-over for intermediate excavation. (Provisional Quantities)/\KS13_007-Concrete Drop Inlet. Drawing NBC-GTW-CL-0013 \m³\3.599056 \ 75" u="1"/>
        <s v="SABS1200 DA \EARTHWORKS (SMALL WORKS)/8.3\SCHEDULED ITEMS/8.3.2b 1\Extra-over for intermediate excavation. (Provisional Quantities)/\KS12_005-Concrete Drop Inlet. Drawing NBC-GTW-CL-0004 \m³\3.64286202 \ 75" u="1"/>
        <s v="SABS1200 DA \EARTHWORKS (SMALL WORKS)/8.3\SCHEDULED ITEMS/8.3.2b 1\Extra-over for intermediate excavation. (Provisional Quantities)/\KS20_009_a-Concrete Buttress Weir. Drawing NBC-GTW-CL-0035 \m³\13.2757199 \ 75" u="1"/>
        <s v="SABS1200 DA \EARTHWORKS (SMALL WORKS)/8.3\SCHEDULED ITEMS/8.3.2b 1\Extra-over for intermediate excavation. (Provisional Quantities)/\KS18_016-Concrete Drop Inlet. Drawing NBC-GTW-CL-0022 \m³\4.641016 \ 75" u="1"/>
        <s v="SABS1200 DA \EARTHWORKS (SMALL WORKS)/8.3\SCHEDULED ITEMS/8.3.2b 1\Extra-over for intermediate excavation. (Provisional Quantities)/\KS21_003-Concrete Drop Inlet. Drawing NBC-GTW-CL-0039 \m³\2.578775 \ 75" u="1"/>
        <s v="SABS1200 DA \EARTHWORKS (SMALL WORKS)/8.3\SCHEDULED ITEMS/8.3.2b 1\Extra-over for intermediate excavation. (Provisional Quantities)/\KS21_005-Concrete Drop Inlet. Drawing NBC-GTW-CL-0040 \m³\3.57722215 \ 75" u="1"/>
        <s v="SABS1200 DA \EARTHWORKS (SMALL WORKS)/8.3\SCHEDULED ITEMS/8.3.2b 1\Extra-over for intermediate excavation. (Provisional Quantities)/\KS12_004-Concrete Drop Inlet. Drawing NBC-GTW-CL-0003 \m³\3.66111 \ 75" u="1"/>
        <s v="SABS1200 DA \EARTHWORKS (SMALL WORKS)/8.3\SCHEDULED ITEMS/8.3.2b 1\Extra-over for intermediate excavation. (Provisional Quantities)/\KS21_009-Concrete Drop Inlet. Drawing NBC-GTW-CL-0043 \m³\4.0198585 \ 125" u="1"/>
        <s v="SABS1200 DA \EARTHWORKS (SMALL WORKS)/8.3\SCHEDULED ITEMS/8.3.2b 1\Extra-over for intermediate excavation. (Provisional Quantities)/\KS18_019-Concrete Drop Inlet. Drawing NBC-GTW-CL-0025 \m³\3.611444 \ 75" u="1"/>
        <s v="SABS1200 DA \EARTHWORKS (SMALL WORKS)/8.3\SCHEDULED ITEMS/8.3.2b 1\Extra-over for intermediate excavation. (Provisional Quantities)/\KS20_007-Concrete Drop Inlet. Drawing NBC-GTW-CL-0033 \m³\5.6185603 \ 75" u="1"/>
        <s v="SABS1200 DA \EARTHWORKS (SMALL WORKS)/8.3\SCHEDULED ITEMS/8.3.2b 1\Extra-over for intermediate excavation. (Provisional Quantities)/\KS20_006-Concrete Drop Inlet. Drawing NBC-GTW-CL-0032 \m³\5.5598465 \ 75" u="1"/>
        <s v="SABS1200 DA \EARTHWORKS (SMALL WORKS)/8.3\SCHEDULED ITEMS/8.3.2b 1\Extra-over for intermediate excavation. (Provisional Quantities)/\KS13_008-Concrete Drop Inlet. Drawing NBC-GTW-CL-0014 \m³\4.093968 \ 75" u="1"/>
        <s v="SABS1200 DA \EARTHWORKS (SMALL WORKS)/8.3\SCHEDULED ITEMS/8.3.2b 1\Extra-over for intermediate excavation. (Provisional Quantities)/\KS12_002-Concrete Drop Inlet. Drawing NBC-GTW-CL-0002 \m³\3.7 \ 75" u="1"/>
        <s v="SABS1200 DA \EARTHWORKS (SMALL WORKS)/8.3\SCHEDULED ITEMS/8.3.2b 1\Extra-over for intermediate excavation. (Provisional Quantities)/\KS18_018-Concrete Drop Inlet. Drawing NBC-GTW-CL-0024 \m³\5.232581 \ 75" u="1"/>
        <s v="SABS1200 DA \EARTHWORKS (SMALL WORKS)/8.3\SCHEDULED ITEMS/8.3.2b 1\Extra-over for intermediate excavation. (Provisional Quantities)/\KS12_009-Concrete Drop Inlet. Drawing NBC-GTW-CL-0008 \m³\2.146164 \ 75" u="1"/>
        <s v="SABS1200 DA \EARTHWORKS (SMALL WORKS)/8.3\SCHEDULED ITEMS/8.3.2b 1\Extra-over for intermediate excavation. (Provisional Quantities)/\KS13_011-Concrete Drop Inlet. Drawing NBC-GTW-CL-0015 \m³\1 \ 75" u="1"/>
        <s v="SABS1200 DA \EARTHWORKS (SMALL WORKS)/8.3\SCHEDULED ITEMS/8.3.2b 1\Extra-over for intermediate excavation. (Provisional Quantities)/\KS18_020-Concrete Drop Inlet associated with Road Culvert  \m³\1.000635 \ 75" u="1"/>
        <s v="SABS1200 DA \EARTHWORKS (SMALL WORKS)/8.3\SCHEDULED ITEMS/8.3.2b 1\Extra-over for intermediate excavation. (Provisional Quantities)/\KS13_013-Concrete Drop Inlet. Drawing NBC-GTW-CL-0017 \m³\3.78822 \ 75" u="1"/>
        <s v="SABS1200 DA \EARTHWORKS (SMALL WORKS)/8.3\SCHEDULED ITEMS/8.3.2b 1\Extra-over for intermediate excavation. (Provisional Quantities)/\KS13_005-Concrete Drop Inlet. Drawing NBC-GTW-CL-0011 \m³\4.088154 \ 75" u="1"/>
        <s v="SABS1200 DA \EARTHWORKS (SMALL WORKS)/8.3\SCHEDULED ITEMS/8.3.2b 1\Extra-over for intermediate excavation. (Provisional Quantities)/\KS13_006-Concrete Drop Inlet. Drawing NBC-GTW-CL-0012 \m³\4.088154 \ 75" u="1"/>
        <s v="SABS1200 DA \EARTHWORKS (SMALL WORKS)/8.3\SCHEDULED ITEMS/8.3.2b 1\Extra-over for intermediate excavation. (Provisional Quantities)/\ks11-004a-Concrete Drop Inlet on Dam Wall  \m³\26.46966 \ 75" u="1"/>
        <s v="SABS1200 DA \EARTHWORKS (SMALL WORKS)/8.3\SCHEDULED ITEMS/8.3.2b 1\Extra-over for intermediate excavation. (Provisional Quantities)/\KS13_015-Concrete Drop Inlet. Drawing NBC-GTW-CL-0018 \m³\4.589906 \ 75" u="1"/>
        <s v="SABS1200 DA \EARTHWORKS (SMALL WORKS)/8.3\SCHEDULED ITEMS/8.3.2b 1\Extra-over for intermediate excavation. (Provisional Quantities)/\KS13_004-Concrete Drop Inlet. Drawing NBC-GTW-CL-0010 \m³\3.2319 \ 75" u="1"/>
      </sharedItems>
    </cacheField>
    <cacheField name="bii)Excavation (Extra-over Hard Rock)3" numFmtId="0">
      <sharedItems count="55">
        <s v=" "/>
        <s v="SABS1200 DA \EARTHWORKS (SMALL WORKS)/8.3\SCHEDULED ITEMS/8.3.2b 2\Extra-over for hard rock. (Provisional Quantities)/\ks11-002a-Concrete Drop Inlet on Dam Wall  \m³\10.9657 \ 500"/>
        <s v="SABS1200 DA \EARTHWORKS (SMALL WORKS)/8.3\SCHEDULED ITEMS/8.3.2b 2\Extra-over for hard rock. (Provisional Quantities)/\ks11-004a-Concrete Drop Inlet on Dam Wall  \m³\14.235864 \ 500"/>
        <s v="SABS1200 DA \EARTHWORKS (SMALL WORKS)/8.3\SCHEDULED ITEMS/8.3.2b 2\Extra-over for hard rock. (Provisional Quantities)/\KS12_002-Concrete Drop Inlet. Drawing NBC-GTW-CL-0002 \m³\5.55 \ 500"/>
        <s v="SABS1200 DA \EARTHWORKS (SMALL WORKS)/8.3\SCHEDULED ITEMS/8.3.2b 2\Extra-over for hard rock. (Provisional Quantities)/\KS12_004-Concrete Drop Inlet. Drawing NBC-GTW-CL-0003 \m³\5.491665 \ 500"/>
        <s v="SABS1200 DA \EARTHWORKS (SMALL WORKS)/8.3\SCHEDULED ITEMS/8.3.2b 2\Extra-over for hard rock. (Provisional Quantities)/\KS12_005-Concrete Drop Inlet. Drawing NBC-GTW-CL-0004 \m³\5.46429303 \ 500"/>
        <s v="SABS1200 DA \EARTHWORKS (SMALL WORKS)/8.3\SCHEDULED ITEMS/8.3.2b 2\Extra-over for hard rock. (Provisional Quantities)/\KS12_006-Concrete Drop Inlet. Drawing NBC-GTW-CL-0005 \m³\4.79234625 \ 500"/>
        <s v="SABS1200 DA \EARTHWORKS (SMALL WORKS)/8.3\SCHEDULED ITEMS/8.3.2b 2\Extra-over for hard rock. (Provisional Quantities)/\KS12_007-Concrete Drop Inlet. Drawing NBC-GTW-CL-0006 \m³\7.09699875 \ 500"/>
        <s v="SABS1200 DA \EARTHWORKS (SMALL WORKS)/8.3\SCHEDULED ITEMS/8.3.2b 2\Extra-over for hard rock. (Provisional Quantities)/\KS12_008-Concrete Drop Inlet. Drawing NBC-GTW-CL-0007 \m³\4.9821135 \ 500"/>
        <s v="SABS1200 DA \EARTHWORKS (SMALL WORKS)/8.3\SCHEDULED ITEMS/8.3.2b 2\Extra-over for hard rock. (Provisional Quantities)/\KS12_009-Concrete Drop Inlet. Drawing NBC-GTW-CL-0008 \m³\3.219246 \ 500"/>
        <s v="SABS1200 DA \EARTHWORKS (SMALL WORKS)/8.3\SCHEDULED ITEMS/8.3.2b 2\Extra-over for hard rock. (Provisional Quantities)/\KS13_003-Concrete Drop Inlet. Drawing NBC-GTW-CL-0009 \m³\2.201625 \ 500"/>
        <s v="SABS1200 DA \EARTHWORKS (SMALL WORKS)/8.3\SCHEDULED ITEMS/8.3.2b 2\Extra-over for hard rock. (Provisional Quantities)/\KS19_002-Concrete Drop Inlet. Drawing NBC-GTW-CL-0026 \m³\1.9380019 \ 500"/>
        <s v="SABS1200 DA \EARTHWORKS (SMALL WORKS)/8.3\SCHEDULED ITEMS/8.3.2b 2\Extra-over for hard rock. (Provisional Quantities)/\KS20_001-Concrete Drop Inlet. Drawing NBC-GTW-CL-0027 \m³\2.5966635 \ 500"/>
        <s v="SABS1200 DA \EARTHWORKS (SMALL WORKS)/8.3\SCHEDULED ITEMS/8.3.2b 2\Extra-over for hard rock. (Provisional Quantities)/\KS21_001-10° sloped Grouted Pitching (Light). Drawing NBC-GTW-CL-0038 \m³\1 \ 500"/>
        <s v="SABS1200 DA \EARTHWORKS (SMALL WORKS)/8.3\SCHEDULED ITEMS/8.3.2b 2\Extra-over for hard rock. (Provisional Quantities)/\KS21_003-Concrete Drop Inlet. Drawing NBC-GTW-CL-0039 \m³\1.2893875 \ 500"/>
        <s v="SABS1200 DA \EARTHWORKS (SMALL WORKS)/8,3\SCHEDULED ITEMS/8.3.2b 2\Extra-over for hard rock. (Provisional Quantities)/\KS21_005-Concrete Drop Inlet. Drawing NBC-GTW-CL-0040 \m³\1,2893875 \ 500"/>
        <s v="SABS1200 DA \EARTHWORKS (SMALL WORKS)/8.3\SCHEDULED ITEMS/8.3.2b 2\Extra-over for hard rock. (Provisional Quantities)/\KS13_008-Concrete Drop Inlet. Drawing NBC-GTW-CL-0014 \m³\2.046984 \ 500" u="1"/>
        <s v="SABS1200 DA \EARTHWORKS (SMALL WORKS)/8.3\SCHEDULED ITEMS/8.3.2b 2\Extra-over for hard rock. (Provisional Quantities)/\KS13_011-Concrete Drop Inlet. Drawing NBC-GTW-CL-0015 \m³\1.94 \ 500" u="1"/>
        <s v="SABS1200 DA \EARTHWORKS (SMALL WORKS)/8.3\SCHEDULED ITEMS/8.3.2b 2\Extra-over for hard rock. (Provisional Quantities)/\KS20_007-Concrete Drop Inlet. Drawing NBC-GTW-CL-0033 \m³\2.80928015 \ 500" u="1"/>
        <s v="SABS1200 DA \EARTHWORKS (SMALL WORKS)/8.3\SCHEDULED ITEMS/8.3.2b 2\Extra-over for hard rock. (Provisional Quantities)/\KS12_004-Concrete Drop Inlet. Drawing NBC-GTW-CL-0003 \m³\1.830555 \ 500" u="1"/>
        <s v="SABS1200 DA \EARTHWORKS (SMALL WORKS)/8.3\SCHEDULED ITEMS/8.3.2b 2\Extra-over for hard rock. (Provisional Quantities)/\KS12_009-Concrete Drop Inlet. Drawing NBC-GTW-CL-0008 \m³\1.073082 \ 500" u="1"/>
        <s v="SABS1200 DA \EARTHWORKS (SMALL WORKS)/8.3\SCHEDULED ITEMS/8.3.2b 2\Extra-over for hard rock. (Provisional Quantities)/\KS18_019-Concrete Drop Inlet. Drawing NBC-GTW-CL-0025 \m³\1.805722 \ 500" u="1"/>
        <s v="SABS1200 DA \EARTHWORKS (SMALL WORKS)/8.3\SCHEDULED ITEMS/8.3.2b 2\Extra-over for hard rock. (Provisional Quantities)/\KS13_005-Concrete Drop Inlet. Drawing NBC-GTW-CL-0011 \m³\2.044077 \ 500" u="1"/>
        <s v="SABS1200 DA \EARTHWORKS (SMALL WORKS)/8.3\SCHEDULED ITEMS/8.3.2b 2\Extra-over for hard rock. (Provisional Quantities)/\KS13_006-Concrete Drop Inlet. Drawing NBC-GTW-CL-0012 \m³\2.044077 \ 500" u="1"/>
        <s v="SABS1200 DA \EARTHWORKS (SMALL WORKS)/8.3\SCHEDULED ITEMS/8.3.2b 2\Extra-over for hard rock. (Provisional Quantities)/\KS18_001-Concrete Drop Inlet. Drawing NBC-GTW-CL-0019 \m³\3.0743026 \ 500" u="1"/>
        <s v="SABS1200 DA \EARTHWORKS (SMALL WORKS)/8.3\SCHEDULED ITEMS/8.3.2b 2\Extra-over for hard rock. (Provisional Quantities)/\KS21_009-Concrete Drop Inlet. Drawing NBC-GTW-CL-0043 \m³\2.00992925 \ 500" u="1"/>
        <s v="SABS1200 DA \EARTHWORKS (SMALL WORKS)/8.3\SCHEDULED ITEMS/8.3.2b 2\Extra-over for hard rock. (Provisional Quantities)/\KS18_018-Concrete Drop Inlet. Drawing NBC-GTW-CL-0024 \m³\2.6162905 \ 500" u="1"/>
        <s v="SABS1200 DA \EARTHWORKS (SMALL WORKS)/8.3\SCHEDULED ITEMS/8.3.2b 2\Extra-over for hard rock. (Provisional Quantities)/\KS20_003-Concrete Buttress Weir. Drawing NBC-GTW-CL-0029 \m³\4.14785979 \ 500" u="1"/>
        <s v="SABS1200 DA \EARTHWORKS (SMALL WORKS)/8.3\SCHEDULED ITEMS/8.3.2b 2\Extra-over for hard rock. (Provisional Quantities)/\KS13_015-Concrete Drop Inlet. Drawing NBC-GTW-CL-0018 \m³\2.294953 \ 500" u="1"/>
        <s v="SABS1200 DA \EARTHWORKS (SMALL WORKS)/8.3\SCHEDULED ITEMS/8.3.2b 2\Extra-over for hard rock. (Provisional Quantities)/\KS12_005-Concrete Drop Inlet. Drawing NBC-GTW-CL-0004 \m³\1.82143101 \ 500" u="1"/>
        <s v="SABS1200 DA \EARTHWORKS (SMALL WORKS)/8.3\SCHEDULED ITEMS/8.3.2b 2\Extra-over for hard rock. (Provisional Quantities)/\KS13_013-Concrete Drop Inlet. Drawing NBC-GTW-CL-0017 \m³\1.89411 \ 500" u="1"/>
        <s v="SABS1200 DA \EARTHWORKS (SMALL WORKS)/8.3\SCHEDULED ITEMS/8.3.2b 2\Extra-over for hard rock. (Provisional Quantities)/\KS21_005-Concrete Drop Inlet. Drawing NBC-GTW-CL-0040 \m³\1.788611075 \ 500" u="1"/>
        <s v="SABS1200 DA \EARTHWORKS (SMALL WORKS)/8.3\SCHEDULED ITEMS/8.3.2b 2\Extra-over for hard rock. (Provisional Quantities)/\KS20_009_b-Concrete Overflow Wall. Drawing NBC-GTW-CL-0035 \m³\1.538375 \ 500" u="1"/>
        <s v="SABS1200 DA \EARTHWORKS (SMALL WORKS)/8.3\SCHEDULED ITEMS/8.3.2b 2\Extra-over for hard rock. (Provisional Quantities)/\KS12_002-Concrete Drop Inlet. Drawing NBC-GTW-CL-0002 \m³\1.85 \ 500" u="1"/>
        <s v="SABS1200 DA \EARTHWORKS (SMALL WORKS)/8.3\SCHEDULED ITEMS/8.3.2b 2\Extra-over for hard rock. (Provisional Quantities)/\KS21_001-10° sloped Grouted Pitching (Light). Drawing NBC-GTW-CL-0038 \m³\0.75 \ 500" u="1"/>
        <s v="SABS1200 DA \EARTHWORKS (SMALL WORKS)/8.3\SCHEDULED ITEMS/8.3.2b 2\Extra-over for hard rock. (Provisional Quantities)/\KS21_010-Concrete Drop Inlet. Drawing NBC-GTW-CL-0044 \m³\1.895520275 \ 500" u="1"/>
        <s v="SABS1200 DA \EARTHWORKS (SMALL WORKS)/8.3\SCHEDULED ITEMS/8.3.2b 2\Extra-over for hard rock. (Provisional Quantities)/\KS20_008-Concrete Drop Inlet. Drawing NBC-GTW-CL-0034 \m³\2.716962 \ 500" u="1"/>
        <s v="SABS1200 DA \EARTHWORKS (SMALL WORKS)/8.3\SCHEDULED ITEMS/8.3.2b 2\Extra-over for hard rock. (Provisional Quantities)/\KS18_002-Concrete Drop Inlet. Drawing NBC-GTW-CL-0020 \m³\1.61370325 \ 500" u="1"/>
        <s v="SABS1200 DA \EARTHWORKS (SMALL WORKS)/8.3\SCHEDULED ITEMS/8.3.2b 2\Extra-over for hard rock. (Provisional Quantities)/\KS20_006-Concrete Drop Inlet. Drawing NBC-GTW-CL-0032 \m³\2.77992325 \ 500" u="1"/>
        <s v="SABS1200 DA \EARTHWORKS (SMALL WORKS)/8.3\SCHEDULED ITEMS/8.3.2b 2\Extra-over for hard rock. (Provisional Quantities)/\KS20_002-Concrete Drop Inlet. Drawing NBC-GTW-CL-0028 \m³\3.0024845 \ 500" u="1"/>
        <s v="SABS1200 DA \EARTHWORKS (SMALL WORKS)/8.3\SCHEDULED ITEMS/8.3.2b 2\Extra-over for hard rock. (Provisional Quantities)/\KS21_006-Concrete Drop Inlet. Drawing NBC-GTW-CL-0041 \m³\1.597090125 \ 500" u="1"/>
        <s v="SABS1200 DA \EARTHWORKS (SMALL WORKS)/8.3\SCHEDULED ITEMS/8.3.2b 2\Extra-over for hard rock. (Provisional Quantities)/\KS20_004-Concrete Drop Inlet. Drawing NBC-GTW-CL-0030 \m³\2.1387293 \ 500" u="1"/>
        <s v="SABS1200 DA \EARTHWORKS (SMALL WORKS)/8.3\SCHEDULED ITEMS/8.3.2b 2\Extra-over for hard rock. (Provisional Quantities)/\KS13_007-Concrete Drop Inlet. Drawing NBC-GTW-CL-0013 \m³\1.799528 \ 500" u="1"/>
        <s v="SABS1200 DA \EARTHWORKS (SMALL WORKS)/8.3\SCHEDULED ITEMS/8.3.2b 2\Extra-over for hard rock. (Provisional Quantities)/\KS12_006-Concrete Drop Inlet. Drawing NBC-GTW-CL-0005 \m³\1.59744875 \ 500" u="1"/>
        <s v="SABS1200 DA \EARTHWORKS (SMALL WORKS)/8.3\SCHEDULED ITEMS/8.3.2b 2\Extra-over for hard rock. (Provisional Quantities)/\KS21_007-Concrete Drop Inlet. Drawing NBC-GTW-CL-0042 \m³\1.557449 \ 500" u="1"/>
        <s v="SABS1200 DA \EARTHWORKS (SMALL WORKS)/8.3\SCHEDULED ITEMS/8.3.2b 2\Extra-over for hard rock. (Provisional Quantities)/\KS13_004-Concrete Drop Inlet. Drawing NBC-GTW-CL-0010 \m³\1.61595 \ 500" u="1"/>
        <s v="SABS1200 DA \EARTHWORKS (SMALL WORKS)/8.3\SCHEDULED ITEMS/8.3.2b 2\Extra-over for hard rock. (Provisional Quantities)/\KS18_016-Concrete Drop Inlet. Drawing NBC-GTW-CL-0022 \m³\2.320508 \ 500" u="1"/>
        <s v="SABS1200 DA \EARTHWORKS (SMALL WORKS)/8.3\SCHEDULED ITEMS/8.3.2b 2\Extra-over for hard rock. (Provisional Quantities)/\KS18_015-Concrete Drop Inlet. Drawing NBC-GTW-CL-0021 \m³\2.858094 \ 500" u="1"/>
        <s v="SABS1200 DA \EARTHWORKS (SMALL WORKS)/8.3\SCHEDULED ITEMS/8.3.2b 2\Extra-over for hard rock. (Provisional Quantities)/\KS12_008-Concrete Drop Inlet. Drawing NBC-GTW-CL-0007 \m³\1.6607045 \ 500" u="1"/>
        <s v="SABS1200 DA \EARTHWORKS (SMALL WORKS)/8.3\SCHEDULED ITEMS/8.3.2b 2\Extra-over for hard rock. (Provisional Quantities)/\KS12_007-Concrete Drop Inlet. Drawing NBC-GTW-CL-0006 \m³\2.36566625 \ 500" u="1"/>
        <s v="SABS1200 DA \EARTHWORKS (SMALL WORKS)/8.3\SCHEDULED ITEMS/8.3.2b 2\Extra-over for hard rock. (Provisional Quantities)/\KS18_020-Concrete Drop Inlet associated with Road Culvert  \m³\1.9012065 \ 500" u="1"/>
        <s v="SABS1200 DA \EARTHWORKS (SMALL WORKS)/8.3\SCHEDULED ITEMS/8.3.2b 2\Extra-over for hard rock. (Provisional Quantities)/\KS13_012-Concrete Drop Inlet. Drawing NBC-GTW-CL-0016 \m³\1.49651125 \ 500" u="1"/>
        <s v="SABS1200 DA \EARTHWORKS (SMALL WORKS)/8.3\SCHEDULED ITEMS/8.3.2b 2\Extra-over for hard rock. (Provisional Quantities)/\KS18_017-Concrete Drop Inlet. Drawing NBC-GTW-CL-0023 \m³\2.179832 \ 500" u="1"/>
        <s v="SABS1200 DA \EARTHWORKS (SMALL WORKS)/8.3\SCHEDULED ITEMS/8.3.2b 2\Extra-over for hard rock. (Provisional Quantities)/\KS20_005-Concrete Drop Inlet. Drawing NBC-GTW-CL-0031 \m³\3.48293275 \ 500" u="1"/>
        <s v="SABS1200 DA \EARTHWORKS (SMALL WORKS)/8.3\SCHEDULED ITEMS/8.3.2b 2\Extra-over for hard rock. (Provisional Quantities)/\KS20_009_a-Concrete Buttress Weir. Drawing NBC-GTW-CL-0035 \m³\6.63785995 \ 500" u="1"/>
      </sharedItems>
    </cacheField>
    <cacheField name="Top Soiling" numFmtId="0">
      <sharedItems count="103" longText="1">
        <s v=" "/>
        <s v="SABS1200 DA \EARTHWORKS (SMALL WORKS)/8.3\SCHEDULED ITEMS/8.3.6\Top Soiling. Rate to allow for excavations from stockpiled top soil  and vegetation, transport, placement and spreading to a nominal depth of 150 mm./\DS12_001-Excavation of Dam Wall  \m²\1251.40232690631 \ 5"/>
        <s v="SABS1200 DA \EARTHWORKS (SMALL WORKS)/8.3\SCHEDULED ITEMS/8.3.6\Top Soiling. Rate to allow for excavations from stockpiled top soil  and vegetation, transport, placement and spreading to a nominal depth of 150 mm./\DS12_002-Backfilling Dam  \m²\995.487318191585 \ 5"/>
        <s v="SABS1200 DA \EARTHWORKS (SMALL WORKS)/8.3\SCHEDULED ITEMS/8.3.6\Top Soiling. Rate to allow for excavations from stockpiled top soil  and vegetation, transport, placement and spreading to a nominal depth of 150 mm./\DS12_003-Excavation of Dam Wall  \m²\621.569611479008 \ 5"/>
        <s v="SABS1200 DA \EARTHWORKS (SMALL WORKS)/8.3\SCHEDULED ITEMS/8.3.6\Top Soiling. Rate to allow for excavations from stockpiled top soil  and vegetation, transport, placement and spreading to a nominal depth of 150 mm./\ks11-002a-Concrete Drop Inlet on Dam Wall  \m²\31.8 \ 5"/>
        <s v="SABS1200 DA \EARTHWORKS (SMALL WORKS)/8.3\SCHEDULED ITEMS/8.3.6\Top Soiling. Rate to allow for excavations from stockpiled top soil  and vegetation, transport, placement and spreading to a nominal depth of 150 mm./\ks11-002c-Dam wall excavation. Drawing NBC-GTW-CL-0067 \m²\1870 \ 5"/>
        <s v="SABS1200 DA \EARTHWORKS (SMALL WORKS)/8.3\SCHEDULED ITEMS/8.3.6\Top Soiling. Rate to allow for excavations from stockpiled top soil  and vegetation, transport, placement and spreading to a nominal depth of 150 mm./\ks11-004a-Concrete Drop Inlet on Dam Wall  \m²\31.8 \ 5"/>
        <s v="SABS1200 DA \EARTHWORKS (SMALL WORKS)/8.3\SCHEDULED ITEMS/8.3.6\Top Soiling. Rate to allow for excavations from stockpiled top soil  and vegetation, transport, placement and spreading to a nominal depth of 150 mm./\ks11-004c-Dam wall excavation. Drawing NBC-GTW-CL-0068 \m²\1200 \ 5"/>
        <s v="SABS1200 DA \EARTHWORKS (SMALL WORKS)/8.3\SCHEDULED ITEMS/8.3.6\Top Soiling. Rate to allow for excavations from stockpiled top soil  and vegetation, transport, placement and spreading to a nominal depth of 150 mm./\KS12_002-Concrete Drop Inlet. Drawing NBC-GTW-CL-0002 \m²\30 \ 5"/>
        <s v="SABS1200 DA \EARTHWORKS (SMALL WORKS)/8.3\SCHEDULED ITEMS/8.3.6\Top Soiling. Rate to allow for excavations from stockpiled top soil  and vegetation, transport, placement and spreading to a nominal depth of 150 mm./\KS12_003-Removal of Berm and Dam Wall  \m²\1876.14315788985 \ 5"/>
        <s v="SABS1200 DA \EARTHWORKS (SMALL WORKS)/8.3\SCHEDULED ITEMS/8.3.6\Top Soiling. Rate to allow for excavations from stockpiled top soil  and vegetation, transport, placement and spreading to a nominal depth of 150 mm./\KS12_004-Concrete Drop Inlet. Drawing NBC-GTW-CL-0003 \m²\21.76 \ 5"/>
        <s v="SABS1200 DA \EARTHWORKS (SMALL WORKS)/8.3\SCHEDULED ITEMS/8.3.6\Top Soiling. Rate to allow for excavations from stockpiled top soil  and vegetation, transport, placement and spreading to a nominal depth of 150 mm./\KS12_005-Concrete Drop Inlet. Drawing NBC-GTW-CL-0004 \m²\21.92 \ 5"/>
        <s v="SABS1200 DA \EARTHWORKS (SMALL WORKS)/8.3\SCHEDULED ITEMS/8.3.6\Top Soiling. Rate to allow for excavations from stockpiled top soil  and vegetation, transport, placement and spreading to a nominal depth of 150 mm./\KS12_006-Concrete Drop Inlet. Drawing NBC-GTW-CL-0005 \m²\21.44 \ 5"/>
        <s v="SABS1200 DA \EARTHWORKS (SMALL WORKS)/8.3\SCHEDULED ITEMS/8.3.6\Top Soiling. Rate to allow for excavations from stockpiled top soil  and vegetation, transport, placement and spreading to a nominal depth of 150 mm./\KS12_007-Concrete Drop Inlet. Drawing NBC-GTW-CL-0006 \m²\21.92 \ 5"/>
        <s v="SABS1200 DA \EARTHWORKS (SMALL WORKS)/8.3\SCHEDULED ITEMS/8.3.6\Top Soiling. Rate to allow for excavations from stockpiled top soil  and vegetation, transport, placement and spreading to a nominal depth of 150 mm./\KS12_008-Concrete Drop Inlet. Drawing NBC-GTW-CL-0007 \m²\21.44 \ 5"/>
        <s v="SABS1200 DA \EARTHWORKS (SMALL WORKS)/8.3\SCHEDULED ITEMS/8.3.6\Top Soiling. Rate to allow for excavations from stockpiled top soil  and vegetation, transport, placement and spreading to a nominal depth of 150 mm./\KS12_009-Concrete Drop Inlet. Drawing NBC-GTW-CL-0008 \m²\21.44 \ 5"/>
        <s v="SABS1200 DA \EARTHWORKS (SMALL WORKS)/8.3\SCHEDULED ITEMS/8.3.6\Top Soiling. Rate to allow for excavations from stockpiled top soil  and vegetation, transport, placement and spreading to a nominal depth of 150 mm./\KS12_010-Removal of Dam Wall  \m²\619.185479905302 \ 5"/>
        <s v="SABS1200 DA \EARTHWORKS (SMALL WORKS)/8.3\SCHEDULED ITEMS/8.3.6\Top Soiling. Rate to allow for excavations from stockpiled top soil  and vegetation, transport, placement and spreading to a nominal depth of 150 mm./\KS13_001-Infilling of Drains  \m²\1148.93998599451 \ 5"/>
        <s v="SABS1200 DA \EARTHWORKS (SMALL WORKS)/8.3\SCHEDULED ITEMS/8.3.6\Top Soiling. Rate to allow for excavations from stockpiled top soil  and vegetation, transport, placement and spreading to a nominal depth of 150 mm./\KS13_002-Infilling of Drains  \m²\85.816653826392 \ 5"/>
        <s v="SABS1200 DA \EARTHWORKS (SMALL WORKS)/8.3\SCHEDULED ITEMS/8.3.6\Top Soiling. Rate to allow for excavations from stockpiled top soil  and vegetation, transport, placement and spreading to a nominal depth of 150 mm./\KS13_003-Concrete Drop Inlet. Drawing NBC-GTW-CL-0009 \m²\23.2 \ 5"/>
        <s v="SABS1200 DA \EARTHWORKS (SMALL WORKS)/8.3\SCHEDULED ITEMS/8.3.6\Top Soiling. Rate to allow for excavations from stockpiled top soil  and vegetation, transport, placement and spreading to a nominal depth of 150 mm./\KS13_009-Infilling of Drains  \m²\78.5716708603933 \ 5"/>
        <s v="SABS1200 DA \EARTHWORKS (SMALL WORKS)/8.3\SCHEDULED ITEMS/8.3.6\Top Soiling. Rate to allow for excavations from stockpiled top soil  and vegetation, transport, placement and spreading to a nominal depth of 150 mm./\KS13_010-Removal of Berm  \m²\1020.985 \ 5"/>
        <s v="SABS1200 DA \EARTHWORKS (SMALL WORKS)/8.3\SCHEDULED ITEMS/8.3.6\Top Soiling. Rate to allow for excavations from stockpiled top soil  and vegetation, transport, placement and spreading to a nominal depth of 150 mm./\KS13_014-Infilling of Drains  \m²\278.716598321288 \ 5"/>
        <s v="SABS1200 DA \EARTHWORKS (SMALL WORKS)/8.3\SCHEDULED ITEMS/8.3.6\Top Soiling. Rate to allow for excavations from stockpiled top soil  and vegetation, transport, placement and spreading to a nominal depth of 150 mm./\KS13_016-Infilling of Drains  \m²\332.18699875976 \ 5"/>
        <s v="SABS1200 DA \EARTHWORKS (SMALL WORKS)/8.3\SCHEDULED ITEMS/8.3.6\Top Soiling. Rate to allow for excavations from stockpiled top soil  and vegetation, transport, placement and spreading to a nominal depth of 150 mm./\KS13_017-Backfilling Main Channel  \m²\4680 \ 5"/>
        <s v="SABS1200 DA \EARTHWORKS (SMALL WORKS)/8.3\SCHEDULED ITEMS/8.3.6\Top Soiling. Rate to allow for excavations from stockpiled top soil  and vegetation, transport, placement and spreading to a nominal depth of 150 mm./\KS15_003-Removal of Dam Wall  \m²\619.289401121074 \ 5"/>
        <s v="SABS1200 DA \EARTHWORKS (SMALL WORKS)/8.3\SCHEDULED ITEMS/8.3.6\Top Soiling. Rate to allow for excavations from stockpiled top soil  and vegetation, transport, placement and spreading to a nominal depth of 150 mm./\KS15-002-Backfill Main Channel  \m²\3846.97837810187 \ 5"/>
        <s v="SABS1200 DA \EARTHWORKS (SMALL WORKS)/8.3\SCHEDULED ITEMS/8.3.6\Top Soiling. Rate to allow for excavations from stockpiled top soil  and vegetation, transport, placement and spreading to a nominal depth of 150 mm./\KS16_001-Earthen berm  \m²\494.873340531892 \ 5"/>
        <s v="SABS1200 DA \EARTHWORKS (SMALL WORKS)/8.3\SCHEDULED ITEMS/8.3.6\Top Soiling. Rate to allow for excavations from stockpiled top soil  and vegetation, transport, placement and spreading to a nominal depth of 150 mm./\KS16_002-Excavate Dam Wall  \m²\283.947757718744 \ 5"/>
        <s v="SABS1200 DA \EARTHWORKS (SMALL WORKS)/8.3\SCHEDULED ITEMS/8.3.6\Top Soiling. Rate to allow for excavations from stockpiled top soil  and vegetation, transport, placement and spreading to a nominal depth of 150 mm./\KS16_004-Earthen berm  \m²\480 \ 5"/>
        <s v="SABS1200 DA \EARTHWORKS (SMALL WORKS)/8.3\SCHEDULED ITEMS/8.3.6\Top Soiling. Rate to allow for excavations from stockpiled top soil  and vegetation, transport, placement and spreading to a nominal depth of 150 mm./\KS18-021-Backfill Main Channel  \m²\3294.95 \ 5"/>
        <s v="SABS1200 DA \EARTHWORKS (SMALL WORKS)/8.3\SCHEDULED ITEMS/8.3.6\Top Soiling. Rate to allow for excavations from stockpiled top soil  and vegetation, transport, placement and spreading to a nominal depth of 150 mm./\KS19_002-Concrete Drop Inlet. Drawing NBC-GTW-CL-0026 \m²\20.96 \ 5"/>
        <s v="SABS1200 DA \EARTHWORKS (SMALL WORKS)/8.3\SCHEDULED ITEMS/8.3.6\Top Soiling. Rate to allow for excavations from stockpiled top soil  and vegetation, transport, placement and spreading to a nominal depth of 150 mm./\KS19_006-Removal of Dam Wall  \m²\3134.04 \ 5"/>
        <s v="SABS1200 DA \EARTHWORKS (SMALL WORKS)/8.3\SCHEDULED ITEMS/8.3.6\Top Soiling. Rate to allow for excavations from stockpiled top soil  and vegetation, transport, placement and spreading to a nominal depth of 150 mm./\KS19_007-Infilling of Drains  \m²\179.7515 \ 5"/>
        <s v="SABS1200 DA \EARTHWORKS (SMALL WORKS)/8.3\SCHEDULED ITEMS/8.3.6\Top Soiling. Rate to allow for excavations from stockpiled top soil  and vegetation, transport, placement and spreading to a nominal depth of 150 mm./\KS20_001-Concrete Drop Inlet. Drawing NBC-GTW-CL-0027 \m²\23.52 \ 5"/>
        <s v="SABS1200 DA \EARTHWORKS (SMALL WORKS)/8.3\SCHEDULED ITEMS/8.3.6\Top Soiling. Rate to allow for excavations from stockpiled top soil  and vegetation, transport, placement and spreading to a nominal depth of 150 mm./\KS20_009_b-Concrete Check Wall. Drawing NBC-GTW-CL-0035 \m²\60 \ 5"/>
        <s v="SABS1200 DA \EARTHWORKS (SMALL WORKS)/8,3\SCHEDULED ITEMS/8.3.6\Top Soiling. Rate to allow for excavations from stockpiled top soil  and vegetation, transport, placement and spreading to a nominal depth of 150 mm./\KS20_009_c-Removal of Earthen Berm. Drawing NBC-GTW-CL-0035 \m²\69 \ 5"/>
        <s v="SABS1200 DA \EARTHWORKS (SMALL WORKS)/8.3\SCHEDULED ITEMS/8.3.6\Top Soiling. Rate to allow for excavations from stockpiled top soil  and vegetation, transport, placement and spreading to a nominal depth of 150 mm./\KS20_011-Backfilling Main Channel  \m²\6700 \ 5"/>
        <s v="SABS1200 DA \EARTHWORKS (SMALL WORKS)/8.3\SCHEDULED ITEMS/8.3.6\Top Soiling. Rate to allow for excavations from stockpiled top soil  and vegetation, transport, placement and spreading to a nominal depth of 150 mm./\KS21_003-Concrete Drop Inlet. Drawing NBC-GTW-CL-0039 \m²\22.24 \ 5"/>
        <s v="SABS1200 DA \EARTHWORKS (SMALL WORKS)/8,3\SCHEDULED ITEMS/8.3.6\Top Soiling. Rate to allow for excavations from stockpiled top soil  and vegetation, transport, placement and spreading to a nominal depth of 150 mm./\KS21_005-Concrete Drop Inlet. Drawing NBC-GTW-CL-0040 \m²\22,24 \ 5"/>
        <s v="SABS1200 DA \EARTHWORKS (SMALL WORKS)/8,3\SCHEDULED ITEMS/8.3.6\Top Soiling. Rate to allow for excavations from stockpiled top soil  and vegetation, transport, placement and spreading to a nominal depth of 150 mm./\KS21-010-Backfilling Main Channel. Drawing No Drawing \m²\2320,5501703847 \ 5"/>
        <s v="SABS1200 DA \EARTHWORKS (SMALL WORKS)/8,3\SCHEDULED ITEMS/8.3.6\Top Soiling. Rate to allow for excavations from stockpiled top soil  and vegetation, transport, placement and spreading to a nominal depth of 150 mm./\KS21-002-Earthworks  \m²\850 \ 5"/>
        <s v="SABS1200 DA \EARTHWORKS (SMALL WORKS)/8,3\SCHEDULED ITEMS/8.3.6\Top Soiling. Rate to allow for excavations from stockpiled top soil  and vegetation, transport, placement and spreading to a nominal depth of 150 mm./\KS21-004-Infilling of drain  \m²\111 \ 5"/>
        <s v="SABS1200 DA \EARTHWORKS (SMALL WORKS)/8,3\SCHEDULED ITEMS/8.3.6\Top Soiling. Rate to allow for excavations from stockpiled top soil  and vegetation, transport, placement and spreading to a nominal depth of 150 mm./\KS21-008-Infilling of drain  \m²\129,2 \ 5"/>
        <s v="SABS1200 DA \EARTHWORKS (SMALL WORKS)/8.3\SCHEDULED ITEMS/8.3.6\Top Soiling. Rate to allow for excavations from stockpiled top soil  and vegetation, transport, placement and spreading to a nominal depth of 150 mm./\LS08_001-Removal of Berm  \m²\148.532778078669 \ 5"/>
        <s v="SABS1200 DA \EARTHWORKS (SMALL WORKS)/8.3\SCHEDULED ITEMS/8.3.6\Top Soiling. Rate to allow for excavations from stockpiled top soil  and vegetation, transport, placement and spreading to a nominal depth of 150 mm./\LS12_001-Removal of dam wall  \m²\2917.70393453744 \ 5"/>
        <s v="SABS1200 DA \EARTHWORKS (SMALL WORKS)/8.3\SCHEDULED ITEMS/8.3.6\Top Soiling. Rate to allow for excavations from stockpiled top soil  and vegetation, transport, placement and spreading to a nominal depth of 150 mm./\LS12_002-Removal of Berm  \m²\76 \ 5"/>
        <s v="SABS1200 DA \EARTHWORKS (SMALL WORKS)/8.3\SCHEDULED ITEMS/8.3.6\Top Soiling. Rate to allow for excavations from stockpiled top soil  and vegetation, transport, placement and spreading to a nominal depth of 150 mm./\LS16_012-Removal of Road  \m²\360 \ 5"/>
        <s v="SABS1200 DA \EARTHWORKS (SMALL WORKS)/8.3\SCHEDULED ITEMS/8.3.6\Top Soiling. Rate to allow for excavations from stockpiled top soil  and vegetation, transport, placement and spreading to a nominal depth of 150 mm./\LS16_015-Earthworks (Reinforce Dam Wall)  \m²\567 \ 5"/>
        <s v="SABS1200 DA \EARTHWORKS (SMALL WORKS)/8.3\SCHEDULED ITEMS/8.3.6\Top Soiling. Rate to allow for excavations from stockpiled top soil  and vegetation, transport, placement and spreading to a nominal depth of 150 mm./\LS16_020-Removal of Road  \m²\1782 \ 5"/>
        <s v="SABS1200 DA \EARTHWORKS (SMALL WORKS)/8.3\SCHEDULED ITEMS/8.3.6\Top Soiling. Rate to allow for excavations from stockpiled top soil  and vegetation, transport, placement and spreading to a nominal depth of 150 mm./\LS16_021-Backfill Main Channel and reshaping  \m²\6032.31 \ 5"/>
        <s v="SABS1200 DA \EARTHWORKS (SMALL WORKS)/8.3\SCHEDULED ITEMS/8.3.6\Top Soiling. Rate to allow for excavations from stockpiled top soil  and vegetation, transport, placement and spreading to a nominal depth of 150 mm./\Pan09_001-Removal of Dam Wall  \m²\594 \ 5"/>
        <s v="SABS1200 DA \EARTHWORKS (SMALL WORKS)/8.3\SCHEDULED ITEMS/8.3.6\Top Soiling. Rate to allow for excavations from stockpiled top soil  and vegetation, transport, placement and spreading to a nominal depth of 150 mm./\Pan14_004-Infilling of Drains  \m²\180 \ 5"/>
        <s v="SABS1200 DA \EARTHWORKS (SMALL WORKS)/8.3\SCHEDULED ITEMS/8.3.6\Top Soiling. Rate to allow for excavations from stockpiled top soil  and vegetation, transport, placement and spreading to a nominal depth of 150 mm./\Pan14_005-Infilling of Drains  \m²\450 \ 5"/>
        <s v="SABS1200 DA \EARTHWORKS (SMALL WORKS)/8.3\SCHEDULED ITEMS/8.3.6\Top Soiling. Rate to allow for excavations from stockpiled top soil  and vegetation, transport, placement and spreading to a nominal depth of 150 mm./\Pan14_006-Earthen Berms  \m²\190.755332217041 \ 5"/>
        <s v="SABS1200 DA \EARTHWORKS (SMALL WORKS)/8.3\SCHEDULED ITEMS/8.3.6\Top Soiling. Rate to allow for excavations from stockpiled top soil  and vegetation, transport, placement and spreading to a nominal depth of 150 mm./\Pan14_007-Infilling of Drains  \m²\76 \ 5"/>
        <s v="SABS1200 DA \EARTHWORKS (SMALL WORKS)/8.3\SCHEDULED ITEMS/8.3.6\Top Soiling. Rate to allow for excavations from stockpiled top soil  and vegetation, transport, placement and spreading to a nominal depth of 150 mm./\Pan14_008-Infilling of Drains  \m²\108 \ 5"/>
        <s v="SABS1200 DA \EARTHWORKS (SMALL WORKS)/8.3\SCHEDULED ITEMS/8.3.6\Top Soiling. Rate to allow for excavations from stockpiled top soil  and vegetation, transport, placement and spreading to a nominal depth of 150 mm./\Pan14_009-Infilling of Drains  \m²\78.4 \ 5"/>
        <s v="SABS1200 DA \EARTHWORKS (SMALL WORKS)/8.3\SCHEDULED ITEMS/8.3.6\Top Soiling. Rate to allow for excavations from stockpiled top soil  and vegetation, transport, placement and spreading to a nominal depth of 150 mm./\Pan14_011-Infilling of Drains  \m²\4365 \ 5"/>
        <s v="SABS1200 DA \EARTHWORKS (SMALL WORKS)/8.3\SCHEDULED ITEMS/8.3.6\Top Soiling. Rate to allow for excavations from stockpiled top soil  and vegetation, transport, placement and spreading to a nominal depth of 150 mm./\Pan14-001-Reinstate Pan Edge  \m²\360 \ 5"/>
        <s v="SABS1200 DA \EARTHWORKS (SMALL WORKS)/8.3\SCHEDULED ITEMS/8.3.6\Top Soiling. Rate to allow for excavations from stockpiled top soil  and vegetation, transport, placement and spreading to a nominal depth of 150 mm./\Pan14-002-Remove Berm  \m²\198 \ 5"/>
        <s v="SABS1200 DA \EARTHWORKS (SMALL WORKS)/8.3\SCHEDULED ITEMS/8.3.6\Top Soiling. Rate to allow for excavations from stockpiled top soil  and vegetation, transport, placement and spreading to a nominal depth of 150 mm./\Pan14-003-Remove berm and backfill drain  \m²\2365 \ 5"/>
        <s v="SABS1200 DA \EARTHWORKS (SMALL WORKS)/8.3\SCHEDULED ITEMS/8.3.6\Top Soiling. Rate to allow for excavations from stockpiled top soil  and vegetation, transport, placement and spreading to a nominal depth of 150 mm./\Pan8_001-Foreign Materials  \m²\54 \ 5"/>
        <s v="SABS1200 DA \EARTHWORKS (SMALL WORKS)/8.3\SCHEDULED ITEMS/8.3.6\Top Soiling. Rate to allow for excavations from stockpiled top soil  and vegetation, transport, placement and spreading to a nominal depth of 150 mm./\Pan8_002-Infilling of Drains  \m²\320 \ 5"/>
        <s v="SABS1200 DA \EARTHWORKS (SMALL WORKS)/8.3\SCHEDULED ITEMS/8.3.6\Top Soiling. Rate to allow for excavations from stockpiled top soil  and vegetation, transport, placement and spreading to a nominal depth of 150 mm./\Pan8_004-Removal of Berm  \m²\18 \ 5"/>
        <s v="SABS1200 DA \EARTHWORKS (SMALL WORKS)/8.3\SCHEDULED ITEMS/8.3.6\Top Soiling. Rate to allow for excavations from stockpiled top soil  and vegetation, transport, placement and spreading to a nominal depth of 150 mm./\KS20_009_a-Concrete Buttress Weir. Drawing NBC-GTW-CL-0035 \m²\25.88 \ 5" u="1"/>
        <s v="SABS1200 DA \EARTHWORKS (SMALL WORKS)/8.3\SCHEDULED ITEMS/8.3.6\Top Soiling. Rate to allow for excavations from stockpiled top soil  and vegetation, transport, placement and spreading to a nominal depth of 150 mm./\KS20_002-Concrete Drop Inlet. Drawing NBC-GTW-CL-0028 \m²\24.48 \ 5" u="1"/>
        <s v="SABS1200 DA \EARTHWORKS (SMALL WORKS)/8.3\SCHEDULED ITEMS/8.3.6\Top Soiling. Rate to allow for excavations from stockpiled top soil  and vegetation, transport, placement and spreading to a nominal depth of 150 mm./\KS21_009-Concrete Drop Inlet. Drawing NBC-GTW-CL-0043 \m²\21.92 \ 5" u="1"/>
        <s v="SABS1200 DA \EARTHWORKS (SMALL WORKS)/8.3\SCHEDULED ITEMS/8.3.6\Top Soiling. Rate to allow for excavations from stockpiled top soil  and vegetation, transport, placement and spreading to a nominal depth of 150 mm./\KS21_010-Concrete Drop Inlet. Drawing NBC-GTW-CL-0044 \m²\21.92 \ 5" u="1"/>
        <s v="SABS1200 DA \EARTHWORKS (SMALL WORKS)/8.3\SCHEDULED ITEMS/8.3.6\Top Soiling. Rate to allow for excavations from stockpiled top soil  and vegetation, transport, placement and spreading to a nominal depth of 150 mm./\KS16_001-Infilling of Drains  \m²\494.873340531892 \ 5" u="1"/>
        <s v="SABS1200 DA \EARTHWORKS (SMALL WORKS)/8.3\SCHEDULED ITEMS/8.3.6\Top Soiling. Rate to allow for excavations from stockpiled top soil  and vegetation, transport, placement and spreading to a nominal depth of 150 mm./\KS18_015-Concrete Drop Inlet. Drawing NBC-GTW-CL-0021 \m²\23.68 \ 5" u="1"/>
        <s v="SABS1200 DA \EARTHWORKS (SMALL WORKS)/8.3\SCHEDULED ITEMS/8.3.6\Top Soiling. Rate to allow for excavations from stockpiled top soil  and vegetation, transport, placement and spreading to a nominal depth of 150 mm./\KS13_011-Concrete Drop Inlet. Drawing NBC-GTW-CL-0015 \m²\22.88 \ 5" u="1"/>
        <s v="SABS1200 DA \EARTHWORKS (SMALL WORKS)/8.3\SCHEDULED ITEMS/8.3.6\Top Soiling. Rate to allow for excavations from stockpiled top soil  and vegetation, transport, placement and spreading to a nominal depth of 150 mm./\KS20_007-Concrete Drop Inlet. Drawing NBC-GTW-CL-0033 \m²\23.04 \ 5" u="1"/>
        <s v="SABS1200 DA \EARTHWORKS (SMALL WORKS)/8.3\SCHEDULED ITEMS/8.3.6\Top Soiling. Rate to allow for excavations from stockpiled top soil  and vegetation, transport, placement and spreading to a nominal depth of 150 mm./\KS13_007-Concrete Drop Inlet. Drawing NBC-GTW-CL-0013 \m²\22.24 \ 5" u="1"/>
        <s v="SABS1200 DA \EARTHWORKS (SMALL WORKS)/8.3\SCHEDULED ITEMS/8.3.6\Top Soiling. Rate to allow for excavations from stockpiled top soil  and vegetation, transport, placement and spreading to a nominal depth of 150 mm./\KS13_008-Concrete Drop Inlet. Drawing NBC-GTW-CL-0014 \m²\22.24 \ 5" u="1"/>
        <s v="SABS1200 DA \EARTHWORKS (SMALL WORKS)/8.3\SCHEDULED ITEMS/8.3.6\Top Soiling. Rate to allow for excavations from stockpiled top soil  and vegetation, transport, placement and spreading to a nominal depth of 150 mm./\KS18_019-Concrete Drop Inlet. Drawing NBC-GTW-CL-0025 \m²\22.24 \ 5" u="1"/>
        <s v="SABS1200 DA \EARTHWORKS (SMALL WORKS)/8.3\SCHEDULED ITEMS/8.3.6\Top Soiling. Rate to allow for excavations from stockpiled top soil  and vegetation, transport, placement and spreading to a nominal depth of 150 mm./\KS18_001-Concrete Drop Inlet. Drawing NBC-GTW-CL-0019 \m²\23.84 \ 5" u="1"/>
        <s v="SABS1200 DA \EARTHWORKS (SMALL WORKS)/8.3\SCHEDULED ITEMS/8.3.6\Top Soiling. Rate to allow for excavations from stockpiled top soil  and vegetation, transport, placement and spreading to a nominal depth of 150 mm./\KS18-014-Concrete Filled Geo-Cell Berm. Drawing NBC-GTW-CL-0001 \m²\31.75 \ 5" u="1"/>
        <s v="SABS1200 DA \EARTHWORKS (SMALL WORKS)/8.3\SCHEDULED ITEMS/8.3.6\Top Soiling. Rate to allow for excavations from stockpiled top soil  and vegetation, transport, placement and spreading to a nominal depth of 150 mm./\KS18_020-Concrete Drop Inlet associated with Road Culvert  \m²\22.384 \ 5" u="1"/>
        <s v="SABS1200 DA \EARTHWORKS (SMALL WORKS)/8.3\SCHEDULED ITEMS/8.3.6\Top Soiling. Rate to allow for excavations from stockpiled top soil  and vegetation, transport, placement and spreading to a nominal depth of 150 mm./\KS20_009_b-Concrete Overflow Wall. Drawing NBC-GTW-CL-0035 \m²\50 \ 5" u="1"/>
        <s v="SABS1200 DA \EARTHWORKS (SMALL WORKS)/8.3\SCHEDULED ITEMS/8.3.6\Top Soiling. Rate to allow for excavations from stockpiled top soil  and vegetation, transport, placement and spreading to a nominal depth of 150 mm./\KS18_002-Concrete Drop Inlet. Drawing NBC-GTW-CL-0020 \m²\17.52 \ 5" u="1"/>
        <s v="SABS1200 DA \EARTHWORKS (SMALL WORKS)/8.3\SCHEDULED ITEMS/8.3.6\Top Soiling. Rate to allow for excavations from stockpiled top soil  and vegetation, transport, placement and spreading to a nominal depth of 150 mm./\KS21-008-Infilling of Drain  \m²\129.2 \ 5" u="1"/>
        <s v="SABS1200 DA \EARTHWORKS (SMALL WORKS)/8.3\SCHEDULED ITEMS/8.3.6\Top Soiling. Rate to allow for excavations from stockpiled top soil  and vegetation, transport, placement and spreading to a nominal depth of 150 mm./\KS13_012-Concrete Drop Inlet. Drawing NBC-GTW-CL-0016 \m²\23.2 \ 5" u="1"/>
        <s v="SABS1200 DA \EARTHWORKS (SMALL WORKS)/8.3\SCHEDULED ITEMS/8.3.6\Top Soiling. Rate to allow for excavations from stockpiled top soil  and vegetation, transport, placement and spreading to a nominal depth of 150 mm./\KS20_008-Concrete Drop Inlet. Drawing NBC-GTW-CL-0034 \m²\23.2 \ 5" u="1"/>
        <s v="SABS1200 DA \EARTHWORKS (SMALL WORKS)/8.3\SCHEDULED ITEMS/8.3.6\Top Soiling. Rate to allow for excavations from stockpiled top soil  and vegetation, transport, placement and spreading to a nominal depth of 150 mm./\KS18_016-Concrete Drop Inlet. Drawing NBC-GTW-CL-0022 \m²\23.36 \ 5" u="1"/>
        <s v="SABS1200 DA \EARTHWORKS (SMALL WORKS)/8.3\SCHEDULED ITEMS/8.3.6\Top Soiling. Rate to allow for excavations from stockpiled top soil  and vegetation, transport, placement and spreading to a nominal depth of 150 mm./\KS18_017-Concrete Drop Inlet. Drawing NBC-GTW-CL-0023 \m²\23.36 \ 5" u="1"/>
        <s v="SABS1200 DA \EARTHWORKS (SMALL WORKS)/8.3\SCHEDULED ITEMS/8.3.6\Top Soiling. Rate to allow for excavations from stockpiled top soil  and vegetation, transport, placement and spreading to a nominal depth of 150 mm./\KS18_018-Concrete Drop Inlet. Drawing NBC-GTW-CL-0024 \m²\23.36 \ 5" u="1"/>
        <s v="SABS1200 DA \EARTHWORKS (SMALL WORKS)/8.3\SCHEDULED ITEMS/8.3.6\Top Soiling. Rate to allow for excavations from stockpiled top soil  and vegetation, transport, placement and spreading to a nominal depth of 150 mm./\KS20_004-Concrete Drop Inlet. Drawing NBC-GTW-CL-0030 \m²\23.36 \ 5" u="1"/>
        <s v="SABS1200 DA \EARTHWORKS (SMALL WORKS)/8.3\SCHEDULED ITEMS/8.3.6\Top Soiling. Rate to allow for excavations from stockpiled top soil  and vegetation, transport, placement and spreading to a nominal depth of 150 mm./\KS20_005-Concrete Drop Inlet. Drawing NBC-GTW-CL-0031 \m²\23.36 \ 5" u="1"/>
        <s v="SABS1200 DA \EARTHWORKS (SMALL WORKS)/8.3\SCHEDULED ITEMS/8.3.6\Top Soiling. Rate to allow for excavations from stockpiled top soil  and vegetation, transport, placement and spreading to a nominal depth of 150 mm./\KS20_006-Concrete Drop Inlet. Drawing NBC-GTW-CL-0032 \m²\23.36 \ 5" u="1"/>
        <s v="SABS1200 DA \EARTHWORKS (SMALL WORKS)/8.3\SCHEDULED ITEMS/8.3.6\Top Soiling. Rate to allow for excavations from stockpiled top soil  and vegetation, transport, placement and spreading to a nominal depth of 150 mm./\KS13_004-Concrete Drop Inlet. Drawing NBC-GTW-CL-0010 \m²\22.4 \ 5" u="1"/>
        <s v="SABS1200 DA \EARTHWORKS (SMALL WORKS)/8.3\SCHEDULED ITEMS/8.3.6\Top Soiling. Rate to allow for excavations from stockpiled top soil  and vegetation, transport, placement and spreading to a nominal depth of 150 mm./\KS13_013-Concrete Drop Inlet. Drawing NBC-GTW-CL-0017 \m²\22.56 \ 5" u="1"/>
        <s v="SABS1200 DA \EARTHWORKS (SMALL WORKS)/8.3\SCHEDULED ITEMS/8.3.6\Top Soiling. Rate to allow for excavations from stockpiled top soil  and vegetation, transport, placement and spreading to a nominal depth of 150 mm./\KS13_015-Concrete Drop Inlet. Drawing NBC-GTW-CL-0018 \m²\22.56 \ 5" u="1"/>
        <s v="SABS1200 DA \EARTHWORKS (SMALL WORKS)/8.3\SCHEDULED ITEMS/8.3.6\Top Soiling. Rate to allow for excavations from stockpiled top soil  and vegetation, transport, placement and spreading to a nominal depth of 150 mm./\KS21-002-Earthworks  \m²\850 \ 5" u="1"/>
        <s v="SABS1200 DA \EARTHWORKS (SMALL WORKS)/8.3\SCHEDULED ITEMS/8.3.6\Top Soiling. Rate to allow for excavations from stockpiled top soil  and vegetation, transport, placement and spreading to a nominal depth of 150 mm./\KS21_006-Concrete Drop Inlet. Drawing NBC-GTW-CL-0041 \m²\21.6 \ 5" u="1"/>
        <s v="SABS1200 DA \EARTHWORKS (SMALL WORKS)/8.3\SCHEDULED ITEMS/8.3.6\Top Soiling. Rate to allow for excavations from stockpiled top soil  and vegetation, transport, placement and spreading to a nominal depth of 150 mm./\KS21_007-Concrete Drop Inlet. Drawing NBC-GTW-CL-0042 \m²\21.6 \ 5" u="1"/>
        <s v="SABS1200 DA \EARTHWORKS (SMALL WORKS)/8.3\SCHEDULED ITEMS/8.3.6\Top Soiling. Rate to allow for excavations from stockpiled top soil  and vegetation, transport, placement and spreading to a nominal depth of 150 mm./\KS13_005-Concrete Drop Inlet. Drawing NBC-GTW-CL-0011 \m²\21.76 \ 5" u="1"/>
        <s v="SABS1200 DA \EARTHWORKS (SMALL WORKS)/8.3\SCHEDULED ITEMS/8.3.6\Top Soiling. Rate to allow for excavations from stockpiled top soil  and vegetation, transport, placement and spreading to a nominal depth of 150 mm./\KS13_006-Concrete Drop Inlet. Drawing NBC-GTW-CL-0012 \m²\21.76 \ 5" u="1"/>
        <s v="SABS1200 DA \EARTHWORKS (SMALL WORKS)/8.3\SCHEDULED ITEMS/8.3.6\Top Soiling. Rate to allow for excavations from stockpiled top soil  and vegetation, transport, placement and spreading to a nominal depth of 150 mm./\KS21_005-Concrete Drop Inlet. Drawing NBC-GTW-CL-0040 \m²\21.76 \ 5" u="1"/>
        <s v="SABS1200 DA \EARTHWORKS (SMALL WORKS)/8.3\SCHEDULED ITEMS/8.3.6\Top Soiling. Rate to allow for excavations from stockpiled top soil  and vegetation, transport, placement and spreading to a nominal depth of 150 mm./\KS20_009_c-Earthen Berm. Drawing NBC-GTW-CL-0035 \m²\69 \ 5" u="1"/>
        <s v="SABS1200 DA \EARTHWORKS (SMALL WORKS)/8.3\SCHEDULED ITEMS/8.3.6\Top Soiling. Rate to allow for excavations from stockpiled top soil  and vegetation, transport, placement and spreading to a nominal depth of 150 mm./\KS21-004-Earthworks  \m²\111 \ 5" u="1"/>
        <s v="SABS1200 DA \EARTHWORKS (SMALL WORKS)/8.3\SCHEDULED ITEMS/8.3.6\Top Soiling. Rate to allow for excavations from stockpiled top soil  and vegetation, transport, placement and spreading to a nominal depth of 150 mm./\KS16_004-Infilling of Drains  \m²\480 \ 5" u="1"/>
        <s v="SABS1200 DA \EARTHWORKS (SMALL WORKS)/8.3\SCHEDULED ITEMS/8.3.6\Top Soiling. Rate to allow for excavations from stockpiled top soil  and vegetation, transport, placement and spreading to a nominal depth of 150 mm./\KS20_003-Concrete Buttress Weir. Drawing NBC-GTW-CL-0029 \m²\26.68 \ 5" u="1"/>
      </sharedItems>
    </cacheField>
    <cacheField name="Grassing or other Vegetation Cover" numFmtId="0">
      <sharedItems count="166" longText="1">
        <s v="SABS1200 DA \EARTHWORKS (SMALL WORKS)/8.3\SCHEDULED ITEMS/8.3.7\Grassing or other Vegetation Cover. Rate to allow for the supply of indigenous veld grass seed mix from commercial sources, seeding, raking and maintaining until established./\DS12_004-Removal of earthen material  \m²\626.368 \ 10"/>
        <s v="SABS1200 DA \EARTHWORKS (SMALL WORKS)/8.3\SCHEDULED ITEMS/8.3.7\Grassing or other Vegetation Cover. Rate to allow for the supply of indigenous veld grass seed mix from commercial sources, seeding, raking and maintaining until established./\DS12_001-Excavation of Dam Wall  \m²\1251.4 \ 10"/>
        <s v="SABS1200 DA \EARTHWORKS (SMALL WORKS)/8.3\SCHEDULED ITEMS/8.3.7\Grassing or other Vegetation Cover. Rate to allow for the supply of indigenous veld grass seed mix from commercial sources, seeding, raking and maintaining until established./\DS12_002-Backfilling Dam  \m²\995.487318191585 \ 10"/>
        <s v="SABS1200 DA \EARTHWORKS (SMALL WORKS)/8.3\SCHEDULED ITEMS/8.3.7\Grassing or other Vegetation Cover. Rate to allow for the supply of indigenous veld grass seed mix from commercial sources, seeding, raking and maintaining until established./\DS12_003-Excavation of Dam Wall  \m²\621.57 \ 10"/>
        <s v=" "/>
        <s v="SABS1200 DA \EARTHWORKS (SMALL WORKS)/8.3\SCHEDULED ITEMS/8.3.7\Grassing or other Vegetation Cover. Rate to allow for the supply of indigenous veld grass seed mix from commercial sources, seeding, raking and maintaining until established./\ks11-002a-Concrete Drop Inlet on Dam Wall  \m²\31.8 \ 10"/>
        <s v="SABS1200 DA \EARTHWORKS (SMALL WORKS)/8.3\SCHEDULED ITEMS/8.3.7\Grassing or other Vegetation Cover. Rate to allow for the supply of indigenous veld grass seed mix from commercial sources, seeding, raking and maintaining until established./\ks11-002c-Dam wall excavation. Drawing NBC-GTW-CL-0067 \m²\1870 \ 10"/>
        <s v="SABS1200 DA \EARTHWORKS (SMALL WORKS)/8.3\SCHEDULED ITEMS/8.3.7\Grassing or other Vegetation Cover. Rate to allow for the supply of indigenous veld grass seed mix from commercial sources, seeding, raking and maintaining until established./\ks11-003-Backfilling Dam to Create Wetland  \m²\17400 \ 10"/>
        <s v="SABS1200 DA \EARTHWORKS (SMALL WORKS)/8.3\SCHEDULED ITEMS/8.3.7\Grassing or other Vegetation Cover. Rate to allow for the supply of indigenous veld grass seed mix from commercial sources, seeding, raking and maintaining until established./\ks11-004a-Concrete Drop Inlet on Dam Wall  \m²\31.8 \ 10"/>
        <s v="SABS1200 DA \EARTHWORKS (SMALL WORKS)/8.3\SCHEDULED ITEMS/8.3.7\Grassing or other Vegetation Cover. Rate to allow for the supply of indigenous veld grass seed mix from commercial sources, seeding, raking and maintaining until established./\ks11-004c-Dam wall excavation. Drawing NBC-GTW-CL-0068 \m²\1200 \ 10"/>
        <s v="SABS1200 DA \EARTHWORKS (SMALL WORKS)/8.3\SCHEDULED ITEMS/8.3.7\Grassing or other Vegetation Cover. Rate to allow for the supply of indigenous veld grass seed mix from commercial sources, seeding, raking and maintaining until established./\ks11-005-Backfilling Dam to Create Wetland  \m²\38200 \ 10"/>
        <s v="SABS1200 DA \EARTHWORKS (SMALL WORKS)/8.3\SCHEDULED ITEMS/8.3.7\Grassing or other Vegetation Cover. Rate to allow for the supply of indigenous veld grass seed mix from commercial sources, seeding, raking and maintaining until established./\KS12_002-Concrete Drop Inlet. Drawing NBC-GTW-CL-0002 \m²\30 \ 10"/>
        <s v="SABS1200 DA \EARTHWORKS (SMALL WORKS)/8.3\SCHEDULED ITEMS/8.3.7\Grassing or other Vegetation Cover. Rate to allow for the supply of indigenous veld grass seed mix from commercial sources, seeding, raking and maintaining until established./\KS12_003-Removal of Berm and Dam Wall  \m²\1876.14315788985 \ 10"/>
        <s v="SABS1200 DA \EARTHWORKS (SMALL WORKS)/8.3\SCHEDULED ITEMS/8.3.7\Grassing or other Vegetation Cover. Rate to allow for the supply of indigenous veld grass seed mix from commercial sources, seeding, raking and maintaining until established./\KS12_004-Concrete Drop Inlet. Drawing NBC-GTW-CL-0003 \m²\21.76 \ 10"/>
        <s v="SABS1200 DA \EARTHWORKS (SMALL WORKS)/8.3\SCHEDULED ITEMS/8.3.7\Grassing or other Vegetation Cover. Rate to allow for the supply of indigenous veld grass seed mix from commercial sources, seeding, raking and maintaining until established./\KS12_005-Concrete Drop Inlet. Drawing NBC-GTW-CL-0004 \m²\21.92 \ 10"/>
        <s v="SABS1200 DA \EARTHWORKS (SMALL WORKS)/8.3\SCHEDULED ITEMS/8.3.7\Grassing or other Vegetation Cover. Rate to allow for the supply of indigenous veld grass seed mix from commercial sources, seeding, raking and maintaining until established./\KS12_006-Concrete Drop Inlet. Drawing NBC-GTW-CL-0005 \m²\21.44 \ 10"/>
        <s v="SABS1200 DA \EARTHWORKS (SMALL WORKS)/8.3\SCHEDULED ITEMS/8.3.7\Grassing or other Vegetation Cover. Rate to allow for the supply of indigenous veld grass seed mix from commercial sources, seeding, raking and maintaining until established./\KS12_007-Concrete Drop Inlet. Drawing NBC-GTW-CL-0006 \m²\21.92 \ 10"/>
        <s v="SABS1200 DA \EARTHWORKS (SMALL WORKS)/8.3\SCHEDULED ITEMS/8.3.7\Grassing or other Vegetation Cover. Rate to allow for the supply of indigenous veld grass seed mix from commercial sources, seeding, raking and maintaining until established./\KS12_008-Concrete Drop Inlet. Drawing NBC-GTW-CL-0007 \m²\21.44 \ 10"/>
        <s v="SABS1200 DA \EARTHWORKS (SMALL WORKS)/8.3\SCHEDULED ITEMS/8.3.7\Grassing or other Vegetation Cover. Rate to allow for the supply of indigenous veld grass seed mix from commercial sources, seeding, raking and maintaining until established./\KS12_009-Concrete Drop Inlet. Drawing NBC-GTW-CL-0008 \m²\21.44 \ 10"/>
        <s v="SABS1200 DA \EARTHWORKS (SMALL WORKS)/8.3\SCHEDULED ITEMS/8.3.7\Grassing or other Vegetation Cover. Rate to allow for the supply of indigenous veld grass seed mix from commercial sources, seeding, raking and maintaining until established./\KS12_010-Removal of Dam Wall  \m²\619.185479905302 \ 10"/>
        <s v="SABS1200 DA \EARTHWORKS (SMALL WORKS)/8.3\SCHEDULED ITEMS/8.3.7\Grassing or other Vegetation Cover. Rate to allow for the supply of indigenous veld grass seed mix from commercial sources, seeding, raking and maintaining until established./\KS13_003-Concrete Drop Inlet. Drawing NBC-GTW-CL-0009 \m²\23.2 \ 10"/>
        <s v="SABS1200 DA \EARTHWORKS (SMALL WORKS)/8.3\SCHEDULED ITEMS/8.3.7\Grassing or other Vegetation Cover. Rate to allow for the supply of indigenous veld grass seed mix from commercial sources, seeding, raking and maintaining until established./\KS13_009-Infilling of Drains  \m²\78.5716708603933 \ 10"/>
        <s v="SABS1200 DA \EARTHWORKS (SMALL WORKS)/8.3\SCHEDULED ITEMS/8.3.7\Grassing or other Vegetation Cover. Rate to allow for the supply of indigenous veld grass seed mix from commercial sources, seeding, raking and maintaining until established./\KS13_010-Removal of Berm  \m²\1020.985 \ 10"/>
        <s v="SABS1200 DA \EARTHWORKS (SMALL WORKS)/8.3\SCHEDULED ITEMS/8.3.7\Grassing or other Vegetation Cover. Rate to allow for the supply of indigenous veld grass seed mix from commercial sources, seeding, raking and maintaining until established./\KS13_014-Infilling of Drains  \m²\278.716598321288 \ 10"/>
        <s v="SABS1200 DA \EARTHWORKS (SMALL WORKS)/8.3\SCHEDULED ITEMS/8.3.7\Grassing or other Vegetation Cover. Rate to allow for the supply of indigenous veld grass seed mix from commercial sources, seeding, raking and maintaining until established./\KS13_016-Infilling of Drains  \m²\332.18699875976 \ 10"/>
        <s v="SABS1200 DA \EARTHWORKS (SMALL WORKS)/8.3\SCHEDULED ITEMS/8.3.7\Grassing or other Vegetation Cover. Rate to allow for the supply of indigenous veld grass seed mix from commercial sources, seeding, raking and maintaining until established./\KS13_017-Backfilling Main Channel  \m²\4680 \ 10"/>
        <s v="SABS1200 DA \EARTHWORKS (SMALL WORKS)/8.3\SCHEDULED ITEMS/8.3.7\Grassing or other Vegetation Cover. Rate to allow for the supply of indigenous veld grass seed mix from commercial sources, seeding, raking and maintaining until established./\KS15_003-Removal of Dam Wall  \m²\619.289401121074 \ 10"/>
        <s v="SABS1200 DA \EARTHWORKS (SMALL WORKS)/8.3\SCHEDULED ITEMS/8.3.7\Grassing or other Vegetation Cover. Rate to allow for the supply of indigenous veld grass seed mix from commercial sources, seeding, raking and maintaining until established./\KS15-002-Backfill Main Channel  \m²\3846.97837810187 \ 10"/>
        <s v="SABS1200 DA \EARTHWORKS (SMALL WORKS)/8.3\SCHEDULED ITEMS/8.3.7\Grassing or other Vegetation Cover. Rate to allow for the supply of indigenous veld grass seed mix from commercial sources, seeding, raking and maintaining until established./\KS16_001-Earthen berm  \m²\494.873340531892 \ 10"/>
        <s v="SABS1200 DA \EARTHWORKS (SMALL WORKS)/8.3\SCHEDULED ITEMS/8.3.7\Grassing or other Vegetation Cover. Rate to allow for the supply of indigenous veld grass seed mix from commercial sources, seeding, raking and maintaining until established./\KS16_002-Excavate Dam Wall  \m²\283.947757718744 \ 10"/>
        <s v="SABS1200 DA \EARTHWORKS (SMALL WORKS)/8.3\SCHEDULED ITEMS/8.3.7\Grassing or other Vegetation Cover. Rate to allow for the supply of indigenous veld grass seed mix from commercial sources, seeding, raking and maintaining until established./\KS16_004-Earthen berm  \m²\480 \ 10"/>
        <s v="SABS1200 DA \EARTHWORKS (SMALL WORKS)/8.3\SCHEDULED ITEMS/8.3.7\Grassing or other Vegetation Cover. Rate to allow for the supply of indigenous veld grass seed mix from commercial sources, seeding, raking and maintaining until established./\KS18-021-Backfill Main Channel  \m²\3294.95 \ 10"/>
        <s v="SABS1200 DA \EARTHWORKS (SMALL WORKS)/8.3\SCHEDULED ITEMS/8.3.7\Grassing or other Vegetation Cover. Rate to allow for the supply of indigenous veld grass seed mix from commercial sources, seeding, raking and maintaining until established./\KS19_002-Concrete Drop Inlet. Drawing NBC-GTW-CL-0026 \m²\20.96 \ 10"/>
        <s v="SABS1200 DA \EARTHWORKS (SMALL WORKS)/8.3\SCHEDULED ITEMS/8.3.7\Grassing or other Vegetation Cover. Rate to allow for the supply of indigenous veld grass seed mix from commercial sources, seeding, raking and maintaining until established./\KS19_006-Removal of Dam Wall  \m²\3134.04 \ 10"/>
        <s v="SABS1200 DA \EARTHWORKS (SMALL WORKS)/8.3\SCHEDULED ITEMS/8.3.7\Grassing or other Vegetation Cover. Rate to allow for the supply of indigenous veld grass seed mix from commercial sources, seeding, raking and maintaining until established./\KS19_007-Infilling of Drains  \m²\179.7515 \ 10"/>
        <s v="SABS1200 DA \EARTHWORKS (SMALL WORKS)/8.3\SCHEDULED ITEMS/8.3.7\Grassing or other Vegetation Cover. Rate to allow for the supply of indigenous veld grass seed mix from commercial sources, seeding, raking and maintaining until established./\KS20_001-Concrete Drop Inlet. Drawing NBC-GTW-CL-0027 \m²\23.52 \ 10"/>
        <s v="SABS1200 DA \EARTHWORKS (SMALL WORKS)/8.3\SCHEDULED ITEMS/8.3.7\Grassing or other Vegetation Cover. Rate to allow for the supply of indigenous veld grass seed mix from commercial sources, seeding, raking and maintaining until established./\KS20_009_b-Concrete Check Wall. Drawing NBC-GTW-CL-0035 \m²\60 \ 10"/>
        <s v="SABS1200 DA \EARTHWORKS (SMALL WORKS)/8,3\SCHEDULED ITEMS/8.3.7\Grassing or other Vegetation Cover. Rate to allow for the supply of indigenous veld grass seed mix from commercial sources, seeding, raking and maintaining until established./\KS20_009_c-Removal of Earthen Berm. Drawing NBC-GTW-CL-0035 \m²\69 \ 10"/>
        <s v="SABS1200 DA \EARTHWORKS (SMALL WORKS)/8.3\SCHEDULED ITEMS/8.3.7\Grassing or other Vegetation Cover. Rate to allow for the supply of indigenous veld grass seed mix from commercial sources, seeding, raking and maintaining until established./\KS20_011-Backfilling Main Channel  \m²\6700 \ 10"/>
        <s v="SABS1200 DA \EARTHWORKS (SMALL WORKS)/8.3\SCHEDULED ITEMS/8.3.7\Grassing or other Vegetation Cover. Rate to allow for the supply of indigenous veld grass seed mix from commercial sources, seeding, raking and maintaining until established./\KS21_003-Concrete Drop Inlet. Drawing NBC-GTW-CL-0039 \m²\22.24 \ 10"/>
        <s v="SABS1200 DA \EARTHWORKS (SMALL WORKS)/8,3\SCHEDULED ITEMS/8.3.7\Grassing or other Vegetation Cover. Rate to allow for the supply of indigenous veld grass seed mix from commercial sources, seeding, raking and maintaining until established./\KS21_005-Concrete Drop Inlet. Drawing NBC-GTW-CL-0040 \m²\22,24 \ 10"/>
        <s v="SABS1200 DA \EARTHWORKS (SMALL WORKS)/8,3\SCHEDULED ITEMS/8.3.7\Grassing or other Vegetation Cover. Rate to allow for the supply of indigenous veld grass seed mix from commercial sources, seeding, raking and maintaining until established./\KS21-010-Backfilling Main Channel. Drawing No Drawing \m²\2320,5501703847 \ 10"/>
        <s v="SABS1200 DA \EARTHWORKS (SMALL WORKS)/8,3\SCHEDULED ITEMS/8.3.7\Grassing or other Vegetation Cover. Rate to allow for the supply of indigenous veld grass seed mix from commercial sources, seeding, raking and maintaining until established./\KS21-002-Earthworks  \m²\850 \ 10"/>
        <s v="SABS1200 DA \EARTHWORKS (SMALL WORKS)/8,3\SCHEDULED ITEMS/8.3.7\Grassing or other Vegetation Cover. Rate to allow for the supply of indigenous veld grass seed mix from commercial sources, seeding, raking and maintaining until established./\KS21-004-Infilling of drain  \m²\111 \ 10"/>
        <s v="SABS1200 DA \EARTHWORKS (SMALL WORKS)/8,3\SCHEDULED ITEMS/8.3.7\Grassing or other Vegetation Cover. Rate to allow for the supply of indigenous veld grass seed mix from commercial sources, seeding, raking and maintaining until established./\KS21-008-Infilling of drain  \m²\129,2 \ 10"/>
        <s v="SABS1200 DA \EARTHWORKS (SMALL WORKS)/8.3\SCHEDULED ITEMS/8.3.7\Grassing or other Vegetation Cover. Rate to allow for the supply of indigenous veld grass seed mix from commercial sources, seeding, raking and maintaining until established./\LS08_001-Removal of Berm  \m²\148.532778078669 \ 10"/>
        <s v="SABS1200 DA \EARTHWORKS (SMALL WORKS)/8.3\SCHEDULED ITEMS/8.3.7\Grassing or other Vegetation Cover. Rate to allow for the supply of indigenous veld grass seed mix from commercial sources, seeding, raking and maintaining until established./\LS12_001-Removal of dam wall  \m²\2917.70393453744 \ 10"/>
        <s v="SABS1200 DA \EARTHWORKS (SMALL WORKS)/8.3\SCHEDULED ITEMS/8.3.7\Grassing or other Vegetation Cover. Rate to allow for the supply of indigenous veld grass seed mix from commercial sources, seeding, raking and maintaining until established./\LS12_002-Removal of Berm  \m²\76 \ 10"/>
        <s v="SABS1200 DA \EARTHWORKS (SMALL WORKS)/8.3\SCHEDULED ITEMS/8.3.7\Grassing or other Vegetation Cover. Rate to allow for the supply of indigenous veld grass seed mix from commercial sources, seeding, raking and maintaining until established./\LS16_012-Removal of Road  \m²\360 \ 10"/>
        <s v="SABS1200 DA \EARTHWORKS (SMALL WORKS)/8.3\SCHEDULED ITEMS/8.3.7\Grassing or other Vegetation Cover. Rate to allow for the supply of indigenous veld grass seed mix from commercial sources, seeding, raking and maintaining until established./\LS16_015-Earthworks (Reinforce Dam Wall)  \m²\567 \ 10"/>
        <s v="SABS1200 DA \EARTHWORKS (SMALL WORKS)/8.3\SCHEDULED ITEMS/8.3.7\Grassing or other Vegetation Cover. Rate to allow for the supply of indigenous veld grass seed mix from commercial sources, seeding, raking and maintaining until established./\LS16_020-Removal of Road  \m²\1782 \ 10"/>
        <s v="SABS1200 DA \EARTHWORKS (SMALL WORKS)/8.3\SCHEDULED ITEMS/8.3.7\Grassing or other Vegetation Cover. Rate to allow for the supply of indigenous veld grass seed mix from commercial sources, seeding, raking and maintaining until established./\LS16_021-Backfill Main Channel and reshaping  \m²\6032.31 \ 10"/>
        <s v="SABS1200 DA \EARTHWORKS (SMALL WORKS)/8.3\SCHEDULED ITEMS/8.3.7\Grassing or other Vegetation Cover. Rate to allow for the supply of indigenous veld grass seed mix from commercial sources, seeding, raking and maintaining until established./\Pan09_001-Removal of Dam Wall  \m²\594 \ 10"/>
        <s v="SABS1200 DA \EARTHWORKS (SMALL WORKS)/8.3\SCHEDULED ITEMS/8.3.7\Grassing or other Vegetation Cover. Rate to allow for the supply of indigenous veld grass seed mix from commercial sources, seeding, raking and maintaining until established./\Pan14_004-Infilling of Drains  \m²\180 \ 10"/>
        <s v="SABS1200 DA \EARTHWORKS (SMALL WORKS)/8.3\SCHEDULED ITEMS/8.3.7\Grassing or other Vegetation Cover. Rate to allow for the supply of indigenous veld grass seed mix from commercial sources, seeding, raking and maintaining until established./\Pan14_005-Infilling of Drains  \m²\450 \ 10"/>
        <s v="SABS1200 DA \EARTHWORKS (SMALL WORKS)/8.3\SCHEDULED ITEMS/8.3.7\Grassing or other Vegetation Cover. Rate to allow for the supply of indigenous veld grass seed mix from commercial sources, seeding, raking and maintaining until established./\Pan14_006-Earthen Berms  \m²\190.755332217041 \ 10"/>
        <s v="SABS1200 DA \EARTHWORKS (SMALL WORKS)/8.3\SCHEDULED ITEMS/8.3.7\Grassing or other Vegetation Cover. Rate to allow for the supply of indigenous veld grass seed mix from commercial sources, seeding, raking and maintaining until established./\Pan14_007-Infilling of Drains  \m²\76 \ 10"/>
        <s v="SABS1200 DA \EARTHWORKS (SMALL WORKS)/8.3\SCHEDULED ITEMS/8.3.7\Grassing or other Vegetation Cover. Rate to allow for the supply of indigenous veld grass seed mix from commercial sources, seeding, raking and maintaining until established./\Pan14_008-Infilling of Drains  \m²\108 \ 10"/>
        <s v="SABS1200 DA \EARTHWORKS (SMALL WORKS)/8.3\SCHEDULED ITEMS/8.3.7\Grassing or other Vegetation Cover. Rate to allow for the supply of indigenous veld grass seed mix from commercial sources, seeding, raking and maintaining until established./\Pan14_009-Infilling of Drains  \m²\78.4 \ 10"/>
        <s v="SABS1200 DA \EARTHWORKS (SMALL WORKS)/8.3\SCHEDULED ITEMS/8.3.7\Grassing or other Vegetation Cover. Rate to allow for the supply of indigenous veld grass seed mix from commercial sources, seeding, raking and maintaining until established./\Pan14_010-Infilling of Drains  \m²\3437.5 \ 10"/>
        <s v="SABS1200 DA \EARTHWORKS (SMALL WORKS)/8.3\SCHEDULED ITEMS/8.3.7\Grassing or other Vegetation Cover. Rate to allow for the supply of indigenous veld grass seed mix from commercial sources, seeding, raking and maintaining until established./\Pan14_011-Infilling of Drains  \m²\4365 \ 10"/>
        <s v="SABS1200 DA \EARTHWORKS (SMALL WORKS)/8.3\SCHEDULED ITEMS/8.3.7\Grassing or other Vegetation Cover. Rate to allow for the supply of indigenous veld grass seed mix from commercial sources, seeding, raking and maintaining until established./\Pan14-001-Reinstate Pan Edge  \m²\360 \ 10"/>
        <s v="SABS1200 DA \EARTHWORKS (SMALL WORKS)/8.3\SCHEDULED ITEMS/8.3.7\Grassing or other Vegetation Cover. Rate to allow for the supply of indigenous veld grass seed mix from commercial sources, seeding, raking and maintaining until established./\Pan14-002-Remove Berm  \m²\198 \ 10"/>
        <s v="SABS1200 DA \EARTHWORKS (SMALL WORKS)/8.3\SCHEDULED ITEMS/8.3.7\Grassing or other Vegetation Cover. Rate to allow for the supply of indigenous veld grass seed mix from commercial sources, seeding, raking and maintaining until established./\Pan14-003-Remove berm and backfill drain  \m²\2365 \ 10"/>
        <s v="SABS1200 DA \EARTHWORKS (SMALL WORKS)/8.3\SCHEDULED ITEMS/8.3.7\Grassing or other Vegetation Cover. Rate to allow for the supply of indigenous veld grass seed mix from commercial sources, seeding, raking and maintaining until established./\Pan8_001-Foreign Materials  \m²\54 \ 10"/>
        <s v="SABS1200 DA \EARTHWORKS (SMALL WORKS)/8.3\SCHEDULED ITEMS/8.3.7\Grassing or other Vegetation Cover. Rate to allow for the supply of indigenous veld grass seed mix from commercial sources, seeding, raking and maintaining until established./\Pan8_002-Infilling of Drains  \m²\320 \ 10"/>
        <s v="SABS1200 DA \EARTHWORKS (SMALL WORKS)/8.3\SCHEDULED ITEMS/8.3.7\Grassing or other Vegetation Cover. Rate to allow for the supply of indigenous veld grass seed mix from commercial sources, seeding, raking and maintaining until established./\Pan8_004-Removal of Berm  \m²\18 \ 10"/>
        <s v="SABS1200 DA \EARTHWORKS (SMALL WORKS)/8.3\SCHEDULED ITEMS/8.3.7\Grassing or other Vegetation Cover. Rate to allow for the supply of indigenous veld grass seed mix from commercial sources, seeding, raking and maintaining until established./\KS18_015-Concrete Drop Inlet. Drawing NBC-GTW-CL-0021 \m²\23.68 \ 5" u="1"/>
        <s v="SABS1200 DA \EARTHWORKS (SMALL WORKS)/8.3\SCHEDULED ITEMS/8.3.7\Grassing or other Vegetation Cover. Rate to allow for the supply of indigenous veld grass seed mix from commercial sources, seeding, raking and maintaining until established./\KS21_009-Concrete Drop Inlet. Drawing NBC-GTW-CL-0043 \m²\21.92 \ 10" u="1"/>
        <s v="SABS1200 DA \EARTHWORKS (SMALL WORKS)/8.3\SCHEDULED ITEMS/8.3.7\Grassing or other Vegetation Cover. Rate to allow for the supply of indigenous veld grass seed mix from commercial sources, seeding, raking and maintaining until established./\KS21_010-Concrete Drop Inlet. Drawing NBC-GTW-CL-0044 \m²\21.92 \ 10" u="1"/>
        <s v="SABS1200 DA \EARTHWORKS (SMALL WORKS)/8.3\SCHEDULED ITEMS/8.3.7\Grassing or other Vegetation Cover. Rate to allow for the supply of indigenous veld grass seed mix from commercial sources, seeding, raking and maintaining until established./\Pan14_010-Infilling of Drains  \m²\3437.5 \ 5" u="1"/>
        <s v="SABS1200 DA \EARTHWORKS (SMALL WORKS)/8.3\SCHEDULED ITEMS/8.3.7\Grassing or other Vegetation Cover. Rate to allow for the supply of indigenous veld grass seed mix from commercial sources, seeding, raking and maintaining until established./\KS13_013-Concrete Drop Inlet. Drawing NBC-GTW-CL-0017 \m²\22.56 \ 5" u="1"/>
        <s v="SABS1200 DA \EARTHWORKS (SMALL WORKS)/8.3\SCHEDULED ITEMS/8.3.7\Grassing or other Vegetation Cover. Rate to allow for the supply of indigenous veld grass seed mix from commercial sources, seeding, raking and maintaining until established./\KS13_015-Concrete Drop Inlet. Drawing NBC-GTW-CL-0018 \m²\22.56 \ 5" u="1"/>
        <s v="SABS1200 DA \EARTHWORKS (SMALL WORKS)/8.3\SCHEDULED ITEMS/8.3.7\Grassing or other Vegetation Cover. Rate to allow for the supply of indigenous veld grass seed mix from commercial sources, seeding, raking and maintaining until established./\DS12_002-Backfilling Dam  \m²\995.487318191585 \ 5" u="1"/>
        <s v="SABS1200 DA \EARTHWORKS (SMALL WORKS)/8.3\SCHEDULED ITEMS/8.3.7\Grassing or other Vegetation Cover. Rate to allow for the supply of indigenous veld grass seed mix from commercial sources, seeding, raking and maintaining until established./\KS12_006-Concrete Drop Inlet. Drawing NBC-GTW-CL-0005 \m²\21.44 \ 5" u="1"/>
        <s v="SABS1200 DA \EARTHWORKS (SMALL WORKS)/8.3\SCHEDULED ITEMS/8.3.7\Grassing or other Vegetation Cover. Rate to allow for the supply of indigenous veld grass seed mix from commercial sources, seeding, raking and maintaining until established./\KS12_008-Concrete Drop Inlet. Drawing NBC-GTW-CL-0007 \m²\21.44 \ 5" u="1"/>
        <s v="SABS1200 DA \EARTHWORKS (SMALL WORKS)/8.3\SCHEDULED ITEMS/8.3.7\Grassing or other Vegetation Cover. Rate to allow for the supply of indigenous veld grass seed mix from commercial sources, seeding, raking and maintaining until established./\KS12_009-Concrete Drop Inlet. Drawing NBC-GTW-CL-0008 \m²\21.44 \ 5" u="1"/>
        <s v="SABS1200 DA \EARTHWORKS (SMALL WORKS)/8.3\SCHEDULED ITEMS/8.3.7\Grassing or other Vegetation Cover. Rate to allow for the supply of indigenous veld grass seed mix from commercial sources, seeding, raking and maintaining until established./\KS20_001-Concrete Drop Inlet. Drawing NBC-GTW-CL-0027 \m²\23.52 \ 5" u="1"/>
        <s v="SABS1200 DA \EARTHWORKS (SMALL WORKS)/8.3\SCHEDULED ITEMS/8.3.7\Grassing or other Vegetation Cover. Rate to allow for the supply of indigenous veld grass seed mix from commercial sources, seeding, raking and maintaining until established./\KS21-002-Earthworks  \m²\850 \ 5" u="1"/>
        <s v="SABS1200 DA \EARTHWORKS (SMALL WORKS)/8.3\SCHEDULED ITEMS/8.3.7\Grassing or other Vegetation Cover. Rate to allow for the supply of indigenous veld grass seed mix from commercial sources, seeding, raking and maintaining until established./\KS21-004-Earthworks  \m²\111 \ 10" u="1"/>
        <s v="SABS1200 DA \EARTHWORKS (SMALL WORKS)/8.3\SCHEDULED ITEMS/8.3.7\Grassing or other Vegetation Cover. Rate to allow for the supply of indigenous veld grass seed mix from commercial sources, seeding, raking and maintaining until established./\Pan14-003-Remove berm and backfill drain  \m²\2365 \ 5" u="1"/>
        <s v="SABS1200 DA \EARTHWORKS (SMALL WORKS)/8.3\SCHEDULED ITEMS/8.3.7\Grassing or other Vegetation Cover. Rate to allow for the supply of indigenous veld grass seed mix from commercial sources, seeding, raking and maintaining until established./\Pan14-001-Reinstate Pan Edge  \m²\360 \ 5" u="1"/>
        <s v="SABS1200 DA \EARTHWORKS (SMALL WORKS)/8.3\SCHEDULED ITEMS/8.3.7\Grassing or other Vegetation Cover. Rate to allow for the supply of indigenous veld grass seed mix from commercial sources, seeding, raking and maintaining until established./\KS16_002-Excavate Dam Wall  \m²\283.947757718744 \ 5" u="1"/>
        <s v="SABS1200 DA \EARTHWORKS (SMALL WORKS)/8.3\SCHEDULED ITEMS/8.3.7\Grassing or other Vegetation Cover. Rate to allow for the supply of indigenous veld grass seed mix from commercial sources, seeding, raking and maintaining until established./\KS21_005-Concrete Drop Inlet. Drawing NBC-GTW-CL-0040 \m²\21.76 \ 10" u="1"/>
        <s v="SABS1200 DA \EARTHWORKS (SMALL WORKS)/8.3\SCHEDULED ITEMS/8.3.7\Grassing or other Vegetation Cover. Rate to allow for the supply of indigenous veld grass seed mix from commercial sources, seeding, raking and maintaining until established./\KS20_002-Concrete Drop Inlet. Drawing NBC-GTW-CL-0028 \m²\24.48 \ 5" u="1"/>
        <s v="SABS1200 DA \EARTHWORKS (SMALL WORKS)/8.3\SCHEDULED ITEMS/8.3.7\Grassing or other Vegetation Cover. Rate to allow for the supply of indigenous veld grass seed mix from commercial sources, seeding, raking and maintaining until established./\LS12_001-Removal of dam wall  \m²\2917.70393453744 \ 5" u="1"/>
        <s v="SABS1200 DA \EARTHWORKS (SMALL WORKS)/8.3\SCHEDULED ITEMS/8.3.7\Grassing or other Vegetation Cover. Rate to allow for the supply of indigenous veld grass seed mix from commercial sources, seeding, raking and maintaining until established./\KS18_016-Concrete Drop Inlet. Drawing NBC-GTW-CL-0022 \m²\23.36 \ 5" u="1"/>
        <s v="SABS1200 DA \EARTHWORKS (SMALL WORKS)/8.3\SCHEDULED ITEMS/8.3.7\Grassing or other Vegetation Cover. Rate to allow for the supply of indigenous veld grass seed mix from commercial sources, seeding, raking and maintaining until established./\KS18_017-Concrete Drop Inlet. Drawing NBC-GTW-CL-0023 \m²\23.36 \ 5" u="1"/>
        <s v="SABS1200 DA \EARTHWORKS (SMALL WORKS)/8.3\SCHEDULED ITEMS/8.3.7\Grassing or other Vegetation Cover. Rate to allow for the supply of indigenous veld grass seed mix from commercial sources, seeding, raking and maintaining until established./\KS18_018-Concrete Drop Inlet. Drawing NBC-GTW-CL-0024 \m²\23.36 \ 5" u="1"/>
        <s v="SABS1200 DA \EARTHWORKS (SMALL WORKS)/8.3\SCHEDULED ITEMS/8.3.7\Grassing or other Vegetation Cover. Rate to allow for the supply of indigenous veld grass seed mix from commercial sources, seeding, raking and maintaining until established./\KS20_004-Concrete Drop Inlet. Drawing NBC-GTW-CL-0030 \m²\23.36 \ 5" u="1"/>
        <s v="SABS1200 DA \EARTHWORKS (SMALL WORKS)/8.3\SCHEDULED ITEMS/8.3.7\Grassing or other Vegetation Cover. Rate to allow for the supply of indigenous veld grass seed mix from commercial sources, seeding, raking and maintaining until established./\KS20_005-Concrete Drop Inlet. Drawing NBC-GTW-CL-0031 \m²\23.36 \ 5" u="1"/>
        <s v="SABS1200 DA \EARTHWORKS (SMALL WORKS)/8.3\SCHEDULED ITEMS/8.3.7\Grassing or other Vegetation Cover. Rate to allow for the supply of indigenous veld grass seed mix from commercial sources, seeding, raking and maintaining until established./\KS20_006-Concrete Drop Inlet. Drawing NBC-GTW-CL-0032 \m²\23.36 \ 5" u="1"/>
        <s v="SABS1200 DA \EARTHWORKS (SMALL WORKS)/8.3\SCHEDULED ITEMS/8.3.7\Grassing or other Vegetation Cover. Rate to allow for the supply of indigenous veld grass seed mix from commercial sources, seeding, raking and maintaining until established./\LS12_002-Removal of Berm  \m²\76 \ 5" u="1"/>
        <s v="SABS1200 DA \EARTHWORKS (SMALL WORKS)/8.3\SCHEDULED ITEMS/8.3.7\Grassing or other Vegetation Cover. Rate to allow for the supply of indigenous veld grass seed mix from commercial sources, seeding, raking and maintaining until established./\LS16_020-Removal of Road  \m²\1782 \ 5" u="1"/>
        <s v="SABS1200 DA \EARTHWORKS (SMALL WORKS)/8.3\SCHEDULED ITEMS/8.3.7\Grassing or other Vegetation Cover. Rate to allow for the supply of indigenous veld grass seed mix from commercial sources, seeding, raking and maintaining until established./\KS13_007-Concrete Drop Inlet. Drawing NBC-GTW-CL-0013 \m²\22.24 \ 5" u="1"/>
        <s v="SABS1200 DA \EARTHWORKS (SMALL WORKS)/8.3\SCHEDULED ITEMS/8.3.7\Grassing or other Vegetation Cover. Rate to allow for the supply of indigenous veld grass seed mix from commercial sources, seeding, raking and maintaining until established./\KS13_008-Concrete Drop Inlet. Drawing NBC-GTW-CL-0014 \m²\22.24 \ 5" u="1"/>
        <s v="SABS1200 DA \EARTHWORKS (SMALL WORKS)/8.3\SCHEDULED ITEMS/8.3.7\Grassing or other Vegetation Cover. Rate to allow for the supply of indigenous veld grass seed mix from commercial sources, seeding, raking and maintaining until established./\KS18_019-Concrete Drop Inlet. Drawing NBC-GTW-CL-0025 \m²\22.24 \ 5" u="1"/>
        <s v="SABS1200 DA \EARTHWORKS (SMALL WORKS)/8.3\SCHEDULED ITEMS/8.3.7\Grassing or other Vegetation Cover. Rate to allow for the supply of indigenous veld grass seed mix from commercial sources, seeding, raking and maintaining until established./\KS21_003-Concrete Drop Inlet. Drawing NBC-GTW-CL-0039 \m²\22.24 \ 5" u="1"/>
        <s v="SABS1200 DA \EARTHWORKS (SMALL WORKS)/8.3\SCHEDULED ITEMS/8.3.7\Grassing or other Vegetation Cover. Rate to allow for the supply of indigenous veld grass seed mix from commercial sources, seeding, raking and maintaining until established./\ks11-002a-Concrete Drop Inlet on Dam Wall  \m²\31.8 \ 5" u="1"/>
        <s v="SABS1200 DA \EARTHWORKS (SMALL WORKS)/8.3\SCHEDULED ITEMS/8.3.7\Grassing or other Vegetation Cover. Rate to allow for the supply of indigenous veld grass seed mix from commercial sources, seeding, raking and maintaining until established./\ks11-004a-Concrete Drop Inlet on Dam Wall  \m²\31.8 \ 5" u="1"/>
        <s v="SABS1200 DA \EARTHWORKS (SMALL WORKS)/8.3\SCHEDULED ITEMS/8.3.7\Grassing or other Vegetation Cover. Rate to allow for the supply of indigenous veld grass seed mix from commercial sources, seeding, raking and maintaining until established./\KS20_009_c-Earthen Berm. Drawing NBC-GTW-CL-0035 \m²\69 \ 5" u="1"/>
        <s v="SABS1200 DA \EARTHWORKS (SMALL WORKS)/8.3\SCHEDULED ITEMS/8.3.7\Grassing or other Vegetation Cover. Rate to allow for the supply of indigenous veld grass seed mix from commercial sources, seeding, raking and maintaining until established./\KS21-004-Earthworks  \m²\111 \ 5" u="1"/>
        <s v="SABS1200 DA \EARTHWORKS (SMALL WORKS)/8.3\SCHEDULED ITEMS/8.3.7\Grassing or other Vegetation Cover. Rate to allow for the supply of indigenous veld grass seed mix from commercial sources, seeding, raking and maintaining until established./\KS21-008-Infilling of Drain  \m²\129.2 \ 10" u="1"/>
        <s v="SABS1200 DA \EARTHWORKS (SMALL WORKS)/8.3\SCHEDULED ITEMS/8.3.7\Grassing or other Vegetation Cover. Rate to allow for the supply of indigenous veld grass seed mix from commercial sources, seeding, raking and maintaining until established./\Pan14_004-Infilling of Drains  \m²\180 \ 5" u="1"/>
        <s v="SABS1200 DA \EARTHWORKS (SMALL WORKS)/8.3\SCHEDULED ITEMS/8.3.7\Grassing or other Vegetation Cover. Rate to allow for the supply of indigenous veld grass seed mix from commercial sources, seeding, raking and maintaining until established./\KS15-002-Backfill Main Channel  \m²\3846.97837810187 \ 5" u="1"/>
        <s v="SABS1200 DA \EARTHWORKS (SMALL WORKS)/8.3\SCHEDULED ITEMS/8.3.7\Grassing or other Vegetation Cover. Rate to allow for the supply of indigenous veld grass seed mix from commercial sources, seeding, raking and maintaining until established./\KS19_007-Infilling of Drains  \m²\179.7515 \ 5" u="1"/>
        <s v="SABS1200 DA \EARTHWORKS (SMALL WORKS)/8.3\SCHEDULED ITEMS/8.3.7\Grassing or other Vegetation Cover. Rate to allow for the supply of indigenous veld grass seed mix from commercial sources, seeding, raking and maintaining until established./\KS20_009_a-Concrete Buttress Weir. Drawing NBC-GTW-CL-0035 \m²\25.88 \ 5" u="1"/>
        <s v="SABS1200 DA \EARTHWORKS (SMALL WORKS)/8.3\SCHEDULED ITEMS/8.3.7\Grassing or other Vegetation Cover. Rate to allow for the supply of indigenous veld grass seed mix from commercial sources, seeding, raking and maintaining until established./\KS18_002-Concrete Drop Inlet. Drawing NBC-GTW-CL-0020 \m²\17.52 \ 5" u="1"/>
        <s v="SABS1200 DA \EARTHWORKS (SMALL WORKS)/8.3\SCHEDULED ITEMS/8.3.7\Grassing or other Vegetation Cover. Rate to allow for the supply of indigenous veld grass seed mix from commercial sources, seeding, raking and maintaining until established./\KS20_007-Concrete Drop Inlet. Drawing NBC-GTW-CL-0033 \m²\23.04 \ 5" u="1"/>
        <s v="SABS1200 DA \EARTHWORKS (SMALL WORKS)/8.3\SCHEDULED ITEMS/8.3.7\Grassing or other Vegetation Cover. Rate to allow for the supply of indigenous veld grass seed mix from commercial sources, seeding, raking and maintaining until established./\KS18_020-Concrete Drop Inlet associated with Road Culvert  \m²\22.384 \ 5" u="1"/>
        <s v="SABS1200 DA \EARTHWORKS (SMALL WORKS)/8.3\SCHEDULED ITEMS/8.3.7\Grassing or other Vegetation Cover. Rate to allow for the supply of indigenous veld grass seed mix from commercial sources, seeding, raking and maintaining until established./\KS21_006-Concrete Drop Inlet. Drawing NBC-GTW-CL-0041 \m²\21.6 \ 5" u="1"/>
        <s v="SABS1200 DA \EARTHWORKS (SMALL WORKS)/8.3\SCHEDULED ITEMS/8.3.7\Grassing or other Vegetation Cover. Rate to allow for the supply of indigenous veld grass seed mix from commercial sources, seeding, raking and maintaining until established./\KS21_007-Concrete Drop Inlet. Drawing NBC-GTW-CL-0042 \m²\21.6 \ 5" u="1"/>
        <s v="SABS1200 DA \EARTHWORKS (SMALL WORKS)/8.3\SCHEDULED ITEMS/8.3.7\Grassing or other Vegetation Cover. Rate to allow for the supply of indigenous veld grass seed mix from commercial sources, seeding, raking and maintaining until established./\ks11-003-Backfilling Dam to Create Wetland  \m²\17400 \ 5" u="1"/>
        <s v="SABS1200 DA \EARTHWORKS (SMALL WORKS)/8.3\SCHEDULED ITEMS/8.3.7\Grassing or other Vegetation Cover. Rate to allow for the supply of indigenous veld grass seed mix from commercial sources, seeding, raking and maintaining until established./\KS12_010-Removal of Dam Wall  \m²\619.185479905302 \ 5" u="1"/>
        <s v="SABS1200 DA \EARTHWORKS (SMALL WORKS)/8.3\SCHEDULED ITEMS/8.3.7\Grassing or other Vegetation Cover. Rate to allow for the supply of indigenous veld grass seed mix from commercial sources, seeding, raking and maintaining until established./\Pan14-002-Remove Berm  \m²\198 \ 5" u="1"/>
        <s v="SABS1200 DA \EARTHWORKS (SMALL WORKS)/8.3\SCHEDULED ITEMS/8.3.7\Grassing or other Vegetation Cover. Rate to allow for the supply of indigenous veld grass seed mix from commercial sources, seeding, raking and maintaining until established./\Pan8_002-Infilling of Drains  \m²\320 \ 5" u="1"/>
        <s v="SABS1200 DA \EARTHWORKS (SMALL WORKS)/8.3\SCHEDULED ITEMS/8.3.7\Grassing or other Vegetation Cover. Rate to allow for the supply of indigenous veld grass seed mix from commercial sources, seeding, raking and maintaining until established./\Pan14_005-Infilling of Drains  \m²\450 \ 5" u="1"/>
        <s v="SABS1200 DA \EARTHWORKS (SMALL WORKS)/8.3\SCHEDULED ITEMS/8.3.7\Grassing or other Vegetation Cover. Rate to allow for the supply of indigenous veld grass seed mix from commercial sources, seeding, raking and maintaining until established./\ks18-021-Backfill Main Channel  \m²\3294.95 \ 5" u="1"/>
        <s v="SABS1200 DA \EARTHWORKS (SMALL WORKS)/8.3\SCHEDULED ITEMS/8.3.7\Grassing or other Vegetation Cover. Rate to allow for the supply of indigenous veld grass seed mix from commercial sources, seeding, raking and maintaining until established./\KS19_006-Removal of Dam Wall  \m²\3134.04 \ 5" u="1"/>
        <s v="SABS1200 DA \EARTHWORKS (SMALL WORKS)/8.3\SCHEDULED ITEMS/8.3.7\Grassing or other Vegetation Cover. Rate to allow for the supply of indigenous veld grass seed mix from commercial sources, seeding, raking and maintaining until established./\Pan8_001-Foreign Materials  \m²\54 \ 5" u="1"/>
        <s v="SABS1200 DA \EARTHWORKS (SMALL WORKS)/8.3\SCHEDULED ITEMS/8.3.7\Grassing or other Vegetation Cover. Rate to allow for the supply of indigenous veld grass seed mix from commercial sources, seeding, raking and maintaining until established./\LS08_001-Removal of Berm  \m²\148.532778078669 \ 5" u="1"/>
        <s v="SABS1200 DA \EARTHWORKS (SMALL WORKS)/8.3\SCHEDULED ITEMS/8.3.7\Grassing or other Vegetation Cover. Rate to allow for the supply of indigenous veld grass seed mix from commercial sources, seeding, raking and maintaining until established./\KS21_006-Concrete Drop Inlet. Drawing NBC-GTW-CL-0041 \m²\21.6 \ 10" u="1"/>
        <s v="SABS1200 DA \EARTHWORKS (SMALL WORKS)/8.3\SCHEDULED ITEMS/8.3.7\Grassing or other Vegetation Cover. Rate to allow for the supply of indigenous veld grass seed mix from commercial sources, seeding, raking and maintaining until established./\KS21_007-Concrete Drop Inlet. Drawing NBC-GTW-CL-0042 \m²\21.6 \ 10" u="1"/>
        <s v="SABS1200 DA \EARTHWORKS (SMALL WORKS)/8.3\SCHEDULED ITEMS/8.3.7\Grassing or other Vegetation Cover. Rate to allow for the supply of indigenous veld grass seed mix from commercial sources, seeding, raking and maintaining until established./\KS20_009_b-Concrete Overflow Wall. Drawing NBC-GTW-CL-0035 \m²\50 \ 5" u="1"/>
        <s v="SABS1200 DA \EARTHWORKS (SMALL WORKS)/8.3\SCHEDULED ITEMS/8.3.7\Grassing or other Vegetation Cover. Rate to allow for the supply of indigenous veld grass seed mix from commercial sources, seeding, raking and maintaining until established./\KS12_002-Concrete Drop Inlet. Drawing NBC-GTW-CL-0002 \m²\30 \ 5" u="1"/>
        <s v="SABS1200 DA \EARTHWORKS (SMALL WORKS)/8.3\SCHEDULED ITEMS/8.3.7\Grassing or other Vegetation Cover. Rate to allow for the supply of indigenous veld grass seed mix from commercial sources, seeding, raking and maintaining until established./\Pan14_009-Infilling of Drains  \m²\78.4 \ 5" u="1"/>
        <s v="SABS1200 DA \EARTHWORKS (SMALL WORKS)/8.3\SCHEDULED ITEMS/8.3.7\Grassing or other Vegetation Cover. Rate to allow for the supply of indigenous veld grass seed mix from commercial sources, seeding, raking and maintaining until established./\KS19_002-Concrete Drop Inlet. Drawing NBC-GTW-CL-0026 \m²\20.96 \ 5" u="1"/>
        <s v="SABS1200 DA \EARTHWORKS (SMALL WORKS)/8.3\SCHEDULED ITEMS/8.3.7\Grassing or other Vegetation Cover. Rate to allow for the supply of indigenous veld grass seed mix from commercial sources, seeding, raking and maintaining until established./\KS13_004-Concrete Drop Inlet. Drawing NBC-GTW-CL-0010 \m²\22.4 \ 5" u="1"/>
        <s v="SABS1200 DA \EARTHWORKS (SMALL WORKS)/8.3\SCHEDULED ITEMS/8.3.7\Grassing or other Vegetation Cover. Rate to allow for the supply of indigenous veld grass seed mix from commercial sources, seeding, raking and maintaining until established./\LS16_021-Backfill Main Channel and reshaping  \m²\6032.31 \ 5" u="1"/>
        <s v="SABS1200 DA \EARTHWORKS (SMALL WORKS)/8.3\SCHEDULED ITEMS/8.3.7\Grassing or other Vegetation Cover. Rate to allow for the supply of indigenous veld grass seed mix from commercial sources, seeding, raking and maintaining until established./\ks11-002c-Dam wall excavation. Drawing NBC-GTW-CL-0067 \m²\1870 \ 5" u="1"/>
        <s v="SABS1200 DA \EARTHWORKS (SMALL WORKS)/8.3\SCHEDULED ITEMS/8.3.7\Grassing or other Vegetation Cover. Rate to allow for the supply of indigenous veld grass seed mix from commercial sources, seeding, raking and maintaining until established./\KS12_005-Concrete Drop Inlet. Drawing NBC-GTW-CL-0004 \m²\21.92 \ 5" u="1"/>
        <s v="SABS1200 DA \EARTHWORKS (SMALL WORKS)/8.3\SCHEDULED ITEMS/8.3.7\Grassing or other Vegetation Cover. Rate to allow for the supply of indigenous veld grass seed mix from commercial sources, seeding, raking and maintaining until established./\KS12_007-Concrete Drop Inlet. Drawing NBC-GTW-CL-0006 \m²\21.92 \ 5" u="1"/>
        <s v="SABS1200 DA \EARTHWORKS (SMALL WORKS)/8.3\SCHEDULED ITEMS/8.3.7\Grassing or other Vegetation Cover. Rate to allow for the supply of indigenous veld grass seed mix from commercial sources, seeding, raking and maintaining until established./\KS21_009-Concrete Drop Inlet. Drawing NBC-GTW-CL-0043 \m²\21.92 \ 5" u="1"/>
        <s v="SABS1200 DA \EARTHWORKS (SMALL WORKS)/8.3\SCHEDULED ITEMS/8.3.7\Grassing or other Vegetation Cover. Rate to allow for the supply of indigenous veld grass seed mix from commercial sources, seeding, raking and maintaining until established./\KS21_010-Concrete Drop Inlet. Drawing NBC-GTW-CL-0044 \m²\21.92 \ 5" u="1"/>
        <s v="SABS1200 DA \EARTHWORKS (SMALL WORKS)/8.3\SCHEDULED ITEMS/8.3.7\Grassing or other Vegetation Cover. Rate to allow for the supply of indigenous veld grass seed mix from commercial sources, seeding, raking and maintaining until established./\Pan8_004-Removal of Berm  \m²\18 \ 5" u="1"/>
        <s v="SABS1200 DA \EARTHWORKS (SMALL WORKS)/8.3\SCHEDULED ITEMS/8.3.7\Grassing or other Vegetation Cover. Rate to allow for the supply of indigenous veld grass seed mix from commercial sources, seeding, raking and maintaining until established./\KS20_003-Concrete Buttress Weir. Drawing NBC-GTW-CL-0029 \m²\26.68 \ 5" u="1"/>
        <s v="SABS1200 DA \EARTHWORKS (SMALL WORKS)/8.3\SCHEDULED ITEMS/8.3.7\Grassing or other Vegetation Cover. Rate to allow for the supply of indigenous veld grass seed mix from commercial sources, seeding, raking and maintaining until established./\Pan14_007-Infilling of Drains  \m²\76 \ 5" u="1"/>
        <s v="SABS1200 DA \EARTHWORKS (SMALL WORKS)/8.3\SCHEDULED ITEMS/8.3.7\Grassing or other Vegetation Cover. Rate to allow for the supply of indigenous veld grass seed mix from commercial sources, seeding, raking and maintaining until established./\Pan14_008-Infilling of Drains  \m²\108 \ 5" u="1"/>
        <s v="SABS1200 DA \EARTHWORKS (SMALL WORKS)/8.3\SCHEDULED ITEMS/8.3.7\Grassing or other Vegetation Cover. Rate to allow for the supply of indigenous veld grass seed mix from commercial sources, seeding, raking and maintaining until established./\DS12_001-Excavation of Dam Wall  \m²\1251.4 \ 5" u="1"/>
        <s v="SABS1200 DA \EARTHWORKS (SMALL WORKS)/8.3\SCHEDULED ITEMS/8.3.7\Grassing or other Vegetation Cover. Rate to allow for the supply of indigenous veld grass seed mix from commercial sources, seeding, raking and maintaining until established./\DS12_004-Removal of earthen material  \m²\626.368 \ 5" u="1"/>
        <s v="SABS1200 DA \EARTHWORKS (SMALL WORKS)/8.3\SCHEDULED ITEMS/8.3.7\Grassing or other Vegetation Cover. Rate to allow for the supply of indigenous veld grass seed mix from commercial sources, seeding, raking and maintaining until established./\KS15_003-Removal of Dam Wall  \m²\619.289401121074 \ 5" u="1"/>
        <s v="SABS1200 DA \EARTHWORKS (SMALL WORKS)/8.3\SCHEDULED ITEMS/8.3.7\Grassing or other Vegetation Cover. Rate to allow for the supply of indigenous veld grass seed mix from commercial sources, seeding, raking and maintaining until established./\Pan09_001-Removal of Dam Wall  \m²\594 \ 5" u="1"/>
        <s v="SABS1200 DA \EARTHWORKS (SMALL WORKS)/8.3\SCHEDULED ITEMS/8.3.7\Grassing or other Vegetation Cover. Rate to allow for the supply of indigenous veld grass seed mix from commercial sources, seeding, raking and maintaining until established./\LS16_012-Removal of Road  \m²\360 \ 5" u="1"/>
        <s v="SABS1200 DA \EARTHWORKS (SMALL WORKS)/8.3\SCHEDULED ITEMS/8.3.7\Grassing or other Vegetation Cover. Rate to allow for the supply of indigenous veld grass seed mix from commercial sources, seeding, raking and maintaining until established./\Pan14_011-Infilling of Drains  \m²\4365 \ 5" u="1"/>
        <s v="SABS1200 DA \EARTHWORKS (SMALL WORKS)/8.3\SCHEDULED ITEMS/8.3.7\Grassing or other Vegetation Cover. Rate to allow for the supply of indigenous veld grass seed mix from commercial sources, seeding, raking and maintaining until established./\DS12_003-Excavation of Dam Wall  \m²\621.57 \ 5" u="1"/>
        <s v="SABS1200 DA \EARTHWORKS (SMALL WORKS)/8.3\SCHEDULED ITEMS/8.3.7\Grassing or other Vegetation Cover. Rate to allow for the supply of indigenous veld grass seed mix from commercial sources, seeding, raking and maintaining until established./\LS16_015-Earthworks (Reinforce Dam Wall)  \m²\567 \ 5" u="1"/>
        <s v="SABS1200 DA \EARTHWORKS (SMALL WORKS)/8.3\SCHEDULED ITEMS/8.3.7\Grassing or other Vegetation Cover. Rate to allow for the supply of indigenous veld grass seed mix from commercial sources, seeding, raking and maintaining until established./\KS13_016-Infilling of Drains  \m²\332.18699875976 \ 5" u="1"/>
        <s v="SABS1200 DA \EARTHWORKS (SMALL WORKS)/8.3\SCHEDULED ITEMS/8.3.7\Grassing or other Vegetation Cover. Rate to allow for the supply of indigenous veld grass seed mix from commercial sources, seeding, raking and maintaining until established./\KS13_011-Concrete Drop Inlet. Drawing NBC-GTW-CL-0015 \m²\22.88 \ 5" u="1"/>
        <s v="SABS1200 DA \EARTHWORKS (SMALL WORKS)/8.3\SCHEDULED ITEMS/8.3.7\Grassing or other Vegetation Cover. Rate to allow for the supply of indigenous veld grass seed mix from commercial sources, seeding, raking and maintaining until established./\KS21-002-Earthworks  \m²\850 \ 10" u="1"/>
        <s v="SABS1200 DA \EARTHWORKS (SMALL WORKS)/8.3\SCHEDULED ITEMS/8.3.7\Grassing or other Vegetation Cover. Rate to allow for the supply of indigenous veld grass seed mix from commercial sources, seeding, raking and maintaining until established./\KS12_004-Concrete Drop Inlet. Drawing NBC-GTW-CL-0003 \m²\21.76 \ 5" u="1"/>
        <s v="SABS1200 DA \EARTHWORKS (SMALL WORKS)/8.3\SCHEDULED ITEMS/8.3.7\Grassing or other Vegetation Cover. Rate to allow for the supply of indigenous veld grass seed mix from commercial sources, seeding, raking and maintaining until established./\KS13_005-Concrete Drop Inlet. Drawing NBC-GTW-CL-0011 \m²\21.76 \ 5" u="1"/>
        <s v="SABS1200 DA \EARTHWORKS (SMALL WORKS)/8.3\SCHEDULED ITEMS/8.3.7\Grassing or other Vegetation Cover. Rate to allow for the supply of indigenous veld grass seed mix from commercial sources, seeding, raking and maintaining until established./\KS13_006-Concrete Drop Inlet. Drawing NBC-GTW-CL-0012 \m²\21.76 \ 5" u="1"/>
        <s v="SABS1200 DA \EARTHWORKS (SMALL WORKS)/8.3\SCHEDULED ITEMS/8.3.7\Grassing or other Vegetation Cover. Rate to allow for the supply of indigenous veld grass seed mix from commercial sources, seeding, raking and maintaining until established./\KS21_005-Concrete Drop Inlet. Drawing NBC-GTW-CL-0040 \m²\21.76 \ 5" u="1"/>
        <s v="SABS1200 DA \EARTHWORKS (SMALL WORKS)/8.3\SCHEDULED ITEMS/8.3.7\Grassing or other Vegetation Cover. Rate to allow for the supply of indigenous veld grass seed mix from commercial sources, seeding, raking and maintaining until established./\KS13_003-Concrete Drop Inlet. Drawing NBC-GTW-CL-0009 \m²\23.2 \ 5" u="1"/>
        <s v="SABS1200 DA \EARTHWORKS (SMALL WORKS)/8.3\SCHEDULED ITEMS/8.3.7\Grassing or other Vegetation Cover. Rate to allow for the supply of indigenous veld grass seed mix from commercial sources, seeding, raking and maintaining until established./\KS13_012-Concrete Drop Inlet. Drawing NBC-GTW-CL-0016 \m²\23.2 \ 5" u="1"/>
        <s v="SABS1200 DA \EARTHWORKS (SMALL WORKS)/8.3\SCHEDULED ITEMS/8.3.7\Grassing or other Vegetation Cover. Rate to allow for the supply of indigenous veld grass seed mix from commercial sources, seeding, raking and maintaining until established./\KS20_008-Concrete Drop Inlet. Drawing NBC-GTW-CL-0034 \m²\23.2 \ 5" u="1"/>
        <s v="SABS1200 DA \EARTHWORKS (SMALL WORKS)/8.3\SCHEDULED ITEMS/8.3.7\Grassing or other Vegetation Cover. Rate to allow for the supply of indigenous veld grass seed mix from commercial sources, seeding, raking and maintaining until established./\KS18_001-Concrete Drop Inlet. Drawing NBC-GTW-CL-0019 \m²\23.84 \ 5" u="1"/>
        <s v="SABS1200 DA \EARTHWORKS (SMALL WORKS)/8.3\SCHEDULED ITEMS/8.3.7\Grassing or other Vegetation Cover. Rate to allow for the supply of indigenous veld grass seed mix from commercial sources, seeding, raking and maintaining until established./\Pan14_006-Earthen Berms  \m²\190.755332217041 \ 5" u="1"/>
        <s v="SABS1200 DA \EARTHWORKS (SMALL WORKS)/8.3\SCHEDULED ITEMS/8.3.7\Grassing or other Vegetation Cover. Rate to allow for the supply of indigenous veld grass seed mix from commercial sources, seeding, raking and maintaining until established./\KS21-008-Infilling of Drain  \m²\129.2 \ 5" u="1"/>
        <s v="SABS1200 DA \EARTHWORKS (SMALL WORKS)/8.3\SCHEDULED ITEMS/8.3.7\Grassing or other Vegetation Cover. Rate to allow for the supply of indigenous veld grass seed mix from commercial sources, seeding, raking and maintaining until established./\KS13_014-Infilling of Drains  \m²\278.716598321288 \ 5" u="1"/>
        <s v="SABS1200 DA \EARTHWORKS (SMALL WORKS)/8.3\SCHEDULED ITEMS/8.3.7\Grassing or other Vegetation Cover. Rate to allow for the supply of indigenous veld grass seed mix from commercial sources, seeding, raking and maintaining until established./\KS16_004-Infilling of Drains  \m²\480 \ 5" u="1"/>
        <s v="SABS1200 DA \EARTHWORKS (SMALL WORKS)/8.3\SCHEDULED ITEMS/8.3.7\Grassing or other Vegetation Cover. Rate to allow for the supply of indigenous veld grass seed mix from commercial sources, seeding, raking and maintaining until established./\KS16_001-Infilling of Drains  \m²\494.873340531892 \ 5" u="1"/>
        <s v="SABS1200 DA \EARTHWORKS (SMALL WORKS)/8.3\SCHEDULED ITEMS/8.3.7\Grassing or other Vegetation Cover. Rate to allow for the supply of indigenous veld grass seed mix from commercial sources, seeding, raking and maintaining until established./\ks11-005-Backfilling Dam to Create Wetland  \m²\38200 \ 5" u="1"/>
        <s v="SABS1200 DA \EARTHWORKS (SMALL WORKS)/8.3\SCHEDULED ITEMS/8.3.7\Grassing or other Vegetation Cover. Rate to allow for the supply of indigenous veld grass seed mix from commercial sources, seeding, raking and maintaining until established./\KS20_009_c-Earthen Berm. Drawing NBC-GTW-CL-0035 \m²\69 \ 10" u="1"/>
        <s v="SABS1200 DA \EARTHWORKS (SMALL WORKS)/8.3\SCHEDULED ITEMS/8.3.7\Grassing or other Vegetation Cover. Rate to allow for the supply of indigenous veld grass seed mix from commercial sources, seeding, raking and maintaining until established./\ks11-004c-Dam wall excavation. Drawing NBC-GTW-CL-0068 \m²\1200 \ 5" u="1"/>
        <s v="SABS1200 DA \EARTHWORKS (SMALL WORKS)/8.3\SCHEDULED ITEMS/8.3.7\Grassing or other Vegetation Cover. Rate to allow for the supply of indigenous veld grass seed mix from commercial sources, seeding, raking and maintaining until established./\KS12_003-Removal of Berm and Dam Wall  \m²\1876.14315788985 \ 5" u="1"/>
      </sharedItems>
    </cacheField>
    <cacheField name="a) Limited Overhaul" numFmtId="0">
      <sharedItems count="45">
        <s v="SABS1200 DA \EARTHWORKS (SMALL WORKS)/8,3\SCHEDULED ITEMS/8.3.3a\Limited  overhaul (provisional ). /\DS12_004-Removal of earthen material \m³\523,01728 \ 0"/>
        <s v=" "/>
        <s v="SABS1200 DA \EARTHWORKS (SMALL WORKS)/8,3\SCHEDULED ITEMS/8.3.3a\Limited  overhaul (provisional ). /\KS13_010-Removal of Berm \m³\150 \ 0"/>
        <s v="SABS1200 DA \EARTHWORKS (SMALL WORKS)/8,3\SCHEDULED ITEMS/8.3.3a\Limited  overhaul (provisional ). /\LS08_001-Removal of Berm \m³\21,875 \ 0"/>
        <s v="SABS1200 DA \EARTHWORKS (SMALL WORKS)/8,3\SCHEDULED ITEMS/8.3.3a\Limited  overhaul (provisional ). /\LS12_001-Removal of dam wall \m³\848,237 \ 0"/>
        <s v="SABS1200 DA \EARTHWORKS (SMALL WORKS)/8,3\SCHEDULED ITEMS/8.3.3a\Limited  overhaul (provisional ). /\LS12_002-Removal of Berm \m³\13,585 \ 0"/>
        <s v="SABS1200 DA \EARTHWORKS (SMALL WORKS)/8,3\SCHEDULED ITEMS/8.3.3a\Limited  overhaul (provisional ). /\LS16_012-Removal of Road \m³\80,775 \ 0"/>
        <s v="SABS1200 DA \EARTHWORKS (SMALL WORKS)/8,3\SCHEDULED ITEMS/8.3.3a\Limited  overhaul (provisional ). /\LS16_013-Gabion energy breaker \m³\13,68 \ 0"/>
        <s v="SABS1200 DA \EARTHWORKS (SMALL WORKS)/8,3\SCHEDULED ITEMS/8.3.3a\Limited  overhaul (provisional ). /\LS16_016-Gabion energy breaker \m³\20 \ 0"/>
        <s v="SABS1200 DA \EARTHWORKS (SMALL WORKS)/8,3\SCHEDULED ITEMS/8.3.3a\Limited  overhaul (provisional ). /\LS16_017-Gabion energy breaker \m³\25 \ 0"/>
        <s v="SABS1200 DA \EARTHWORKS (SMALL WORKS)/8,3\SCHEDULED ITEMS/8.3.3a\Limited  overhaul (provisional ). /\LS16_018-Gabion energy breaker \m³\22,08 \ 0"/>
        <s v="SABS1200 DA \EARTHWORKS (SMALL WORKS)/8,3\SCHEDULED ITEMS/8.3.3a\Limited  overhaul (provisional ). /\LS16_019-Gabion energy breaker \m³\24,48 \ 0"/>
        <s v="SABS1200 DA \EARTHWORKS (SMALL WORKS)/8,3\SCHEDULED ITEMS/8.3.3a\Limited  overhaul (provisional ). /\LS16_020-Removal of Road \m³\372,11625 \ 0"/>
        <s v="SABS1200 DA \EARTHWORKS (SMALL WORKS)/8,3\SCHEDULED ITEMS/8.3.3a\Limited  overhaul (provisional ). /\Pan09_001-Removal of Dam Wall \m³\188 \ 0"/>
        <s v="SABS1200 DA \EARTHWORKS (SMALL WORKS)/8.3\SCHEDULED ITEMS/8.3.3a\Limited  overhaul (provisional ). /\LS16_018-Gabion energy breaker \m³\22.08 \ 30" u="1"/>
        <s v="SABS1200 DA \EARTHWORKS (SMALL WORKS)/8.3\SCHEDULED ITEMS/8.3.3a\Limited  overhaul (provisional ). /\KS13_010-Removal of Berm \m³\150 \ 30" u="1"/>
        <s v="SABS1200 DA \EARTHWORKS (SMALL WORKS)/8.3\SCHEDULED ITEMS/8.3.3a\Limited  overhaul (provisional ). /\KS20_008-Concrete Drop Inlet \m³\16.301772 \ 30" u="1"/>
        <s v="SABS1200 DA \EARTHWORKS (SMALL WORKS)/8.3\SCHEDULED ITEMS/8.3.3a\Limited  overhaul (provisional ). /\LS16_017-Gabion energy breaker \m³\25 \ 30" u="1"/>
        <s v="SABS1200 DA \EARTHWORKS (SMALL WORKS)/8.3\SCHEDULED ITEMS/8.3.3a\Limited  overhaul (provisional ). /\LS12_001-Removal of dam wall \m³\848.237 \ 30" u="1"/>
        <s v="SABS1200 DA \EARTHWORKS (SMALL WORKS)/8.3\SCHEDULED ITEMS/8.3.3a\Limited  overhaul (provisional ). /\LS16_013-Gabion energy breaker \m³\13.68 \ 30" u="1"/>
        <s v="SABS1200 DA \EARTHWORKS (SMALL WORKS)/8.3\SCHEDULED ITEMS/8.3.3a\Limited  overhaul (provisional ). /\KS21_009-Concrete Drop Inlet \m³\12.0595755 \ 30" u="1"/>
        <s v="SABS1200 DA \EARTHWORKS (SMALL WORKS)/8.3\SCHEDULED ITEMS/8.3.3a\Limited  overhaul (provisional ). /\LS08_001-Removal of Berm \m³\21.875 \ 30" u="1"/>
        <s v="SABS1200 DA \EARTHWORKS (SMALL WORKS)/8.3\SCHEDULED ITEMS/8.3.3a\Limited  overhaul (provisional ). /\KS20_003-Concrete Buttress Weir \m³\24.88715874 \ 30" u="1"/>
        <s v="SABS1200 DA \EARTHWORKS (SMALL WORKS)/8.3\SCHEDULED ITEMS/8.3.3a\Limited  overhaul (provisional ). /\LS16_020-Removal of Road \m³\372.11625 \ 30" u="1"/>
        <s v="SABS1200 DA \EARTHWORKS (SMALL WORKS)/8.3\SCHEDULED ITEMS/8.3.3a\Limited  overhaul (provisional ). /\DS12_004-Removal of earthen material \m³\523.01728 \ 30" u="1"/>
        <s v="SABS1200 DA \EARTHWORKS (SMALL WORKS)/8.3\SCHEDULED ITEMS/8.3.3a\Limited  overhaul (provisional ). /\KS20_009_b-Concrete Overflow Wall \m³\9.23025 \ 30" u="1"/>
        <s v="SABS1200 DA \EARTHWORKS (SMALL WORKS)/8.3\SCHEDULED ITEMS/8.3.3a\Limited  overhaul (provisional ). /\KS21_005-Concrete Drop Inlet \m³\10.73166645 \ 30" u="1"/>
        <s v="SABS1200 DA \EARTHWORKS (SMALL WORKS)/8.3\SCHEDULED ITEMS/8.3.3a\Limited  overhaul (provisional ). /\KS21_010-Concrete Drop Inlet \m³\11.37312165 \ 30" u="1"/>
        <s v="SABS1200 DA \EARTHWORKS (SMALL WORKS)/8.3\SCHEDULED ITEMS/8.3.3a\Limited  overhaul (provisional ). /\LS12_002-Removal of Berm \m³\13.585 \ 30" u="1"/>
        <s v="SABS1200 DA \EARTHWORKS (SMALL WORKS)/8.3\SCHEDULED ITEMS/8.3.3a\Limited  overhaul (provisional ). /\KS21-002-Earthworks \m³\57.42 \ 30" u="1"/>
        <s v="SABS1200 DA \EARTHWORKS (SMALL WORKS)/8.3\SCHEDULED ITEMS/8.3.3a\Limited  overhaul (provisional ). /\KS21_001-10° sloped Grouted Pitching (Light) \m³\4.5 \ 30" u="1"/>
        <s v="SABS1200 DA \EARTHWORKS (SMALL WORKS)/8.3\SCHEDULED ITEMS/8.3.3a\Limited  overhaul (provisional ). /\Pan09_001-Removal of Dam Wall \m³\188 \ 30" u="1"/>
        <s v="SABS1200 DA \EARTHWORKS (SMALL WORKS)/8.3\SCHEDULED ITEMS/8.3.3a\Limited  overhaul (provisional ). /\KS18_001-Concrete Drop Inlet \m³\18.4458156 \ 30" u="1"/>
        <s v="SABS1200 DA \EARTHWORKS (SMALL WORKS)/8.3\SCHEDULED ITEMS/8.3.3a\Limited  overhaul (provisional ). /\KS20_005-Concrete Drop Inlet \m³\20.8975965 \ 30" u="1"/>
        <s v="SABS1200 DA \EARTHWORKS (SMALL WORKS)/8.3\SCHEDULED ITEMS/8.3.3a\Limited  overhaul (provisional ). /\KS20_001-Concrete Drop Inlet \m³\15.579981 \ 30" u="1"/>
        <s v="SABS1200 DA \EARTHWORKS (SMALL WORKS)/8.3\SCHEDULED ITEMS/8.3.3a\Limited  overhaul (provisional ). /\KS20_007-Concrete Drop Inlet \m³\16.8556809 \ 30" u="1"/>
        <s v="SABS1200 DA \EARTHWORKS (SMALL WORKS)/8.3\SCHEDULED ITEMS/8.3.3a\Limited  overhaul (provisional ). /\KS21_006-Concrete Drop Inlet \m³\9.58254075 \ 30" u="1"/>
        <s v="SABS1200 DA \EARTHWORKS (SMALL WORKS)/8.3\SCHEDULED ITEMS/8.3.3a\Limited  overhaul (provisional ). /\LS16_012-Removal of Road \m³\80.775 \ 30" u="1"/>
        <s v="SABS1200 DA \EARTHWORKS (SMALL WORKS)/8.3\SCHEDULED ITEMS/8.3.3a\Limited  overhaul (provisional ). /\LS16_016-Gabion energy breaker \m³\20 \ 30" u="1"/>
        <s v="SABS1200 DA \EARTHWORKS (SMALL WORKS)/8.3\SCHEDULED ITEMS/8.3.3a\Limited  overhaul (provisional ). /\LS16_019-Gabion energy breaker \m³\24.48 \ 30" u="1"/>
        <s v="SABS1200 DA \EARTHWORKS (SMALL WORKS)/8.3\SCHEDULED ITEMS/8.3.3a\Limited  overhaul (provisional ). /\KS21_003-Concrete Drop Inlet \m³\7.736325 \ 30" u="1"/>
        <s v="SABS1200 DA \EARTHWORKS (SMALL WORKS)/8.3\SCHEDULED ITEMS/8.3.3a\Limited  overhaul (provisional ). /\KS18_002-Concrete Drop Inlet \m³\9.6822195 \ 30" u="1"/>
        <s v="SABS1200 DA \EARTHWORKS (SMALL WORKS)/8.3\SCHEDULED ITEMS/8.3.3a\Limited  overhaul (provisional ). /\KS21_007-Concrete Drop Inlet \m³\9.344694 \ 30" u="1"/>
        <s v="SABS1200 DA \EARTHWORKS (SMALL WORKS)/8.3\SCHEDULED ITEMS/8.3.3a\Limited  overhaul (provisional ). /\KS20_009_a-Concrete Buttress Weir \m³\39.8271597 \ 30" u="1"/>
        <s v="SABS1200 DA \EARTHWORKS (SMALL WORKS)/8.3\SCHEDULED ITEMS/8.3.3a\Limited  overhaul (provisional ). /\KS20_004-Concrete Drop Inlet \m³\12.8323758 \ 30" u="1"/>
      </sharedItems>
    </cacheField>
    <cacheField name="b) Long Overhaul" numFmtId="0">
      <sharedItems count="12">
        <s v="SABS1200 DA \EARTHWORKS (SMALL WORKS)/8.3\SCHEDULED ITEMS/8.3.3b\Long overhaul (provisional). /\DS12_004-Removal of earthen material \m³/km\4105.685648 \ 6"/>
        <s v=" "/>
        <s v="SABS1200 DA \EARTHWORKS (SMALL WORKS)/8.3\SCHEDULED ITEMS/8.3.3b\Long overhaul (provisional). /\KS20_001-Concrete Drop Inlet \m³/km\51.93327 \ 6"/>
        <s v="SABS1200 DA \EARTHWORKS (SMALL WORKS)/8.3\SCHEDULED ITEMS/8.3.3b\Long overhaul (provisional). /\KS20_010-Ecologs \m³/km\3.6 \ 6"/>
        <s v="SABS1200 DA \EARTHWORKS (SMALL WORKS)/8.3\SCHEDULED ITEMS/8.3.3b\Long overhaul (provisional). /\KS21_001-10° sloped Grouted Pitching (Light) \m³/km\20 \ 6"/>
        <s v="SABS1200 DA \EARTHWORKS (SMALL WORKS)/8.3\SCHEDULED ITEMS/8.3.3b\Long overhaul (provisional). /\KS21_003-Concrete Drop Inlet \m³/km\25.78775 \ 6"/>
        <s v="SABS1200 DA \EARTHWORKS (SMALL WORKS)/8,3\SCHEDULED ITEMS/8.3.3b\Long overhaul (provisional). /\KS21_005-Concrete Drop Inlet \m³/km\25,78775 \ 6"/>
        <s v="SABS1200 DA \EARTHWORKS (SMALL WORKS)/8.3\SCHEDULED ITEMS/8.3.3b\Long overhaul (provisional). /\KS21_005-Concrete Drop Inlet \m³/km\35.7722215 \ 6" u="1"/>
        <s v="SABS1200 DA \EARTHWORKS (SMALL WORKS)/8.3\SCHEDULED ITEMS/8.3.3b\Long overhaul (provisional). /\KS21_009-Concrete Drop Inlet \m³/km\40.198585 \ 6" u="1"/>
        <s v="SABS1200 DA \EARTHWORKS (SMALL WORKS)/8.3\SCHEDULED ITEMS/8.3.3b\Long overhaul (provisional). /\KS21_007-Concrete Drop Inlet \m³/km\31.14898 \ 6" u="1"/>
        <s v="SABS1200 DA \EARTHWORKS (SMALL WORKS)/8.3\SCHEDULED ITEMS/8.3.3b\Long overhaul (provisional). /\KS21_010-Concrete Drop Inlet \m³/km\37.9104055 \ 6" u="1"/>
        <s v="SABS1200 DA \EARTHWORKS (SMALL WORKS)/8.3\SCHEDULED ITEMS/8.3.3b\Long overhaul (provisional). /\KS21_006-Concrete Drop Inlet \m³/km\31.9418025 \ 6" u="1"/>
      </sharedItems>
    </cacheField>
    <cacheField name="25MPa/19mm Concrete" numFmtId="0">
      <sharedItems count="116">
        <s v=" "/>
        <s v="SABS1200 GA \CONCRETE (SMALL WORKS)/8.4\SCHEDULED CONCRETE ITEMS/8.4.3\Strength Concrete: 25 Mpa with 19 mm stone. /\ks11-001-Off-take structure  \m³\1.5 \ 2000"/>
        <s v="SABS1200 GA \CONCRETE (SMALL WORKS)/8.4\SCHEDULED CONCRETE ITEMS/8.4.3\Strength Concrete: 25 Mpa with 19 mm stone. /\ks11-002a-Concrete Drop Inlet on Dam Wall  \m³\94.9432 \ 2000"/>
        <s v="SABS1200 GA \CONCRETE (SMALL WORKS)/8.4\SCHEDULED CONCRETE ITEMS/8.4.3\Strength Concrete: 25 Mpa with 19 mm stone. /\ks11-004a-Concrete Drop Inlet on Dam Wall  \m³\94.9432 \ 2000"/>
        <s v="SABS1200 GA \CONCRETE (SMALL WORKS)/8.4\SCHEDULED CONCRETE ITEMS/8.4.3\Strength Concrete: 25 Mpa with 19 mm stone. /\KS12_002-Concrete Drop Inlet. Drawing NBC-GTW-CL-0002 \m³\24 \ 2000"/>
        <s v="SABS1200 GA \CONCRETE (SMALL WORKS)/8.4\SCHEDULED CONCRETE ITEMS/8.4.3\Strength Concrete: 25 Mpa with 19 mm stone. /\KS12_004-Concrete Drop Inlet. Drawing NBC-GTW-CL-0003 \m³\32.178 \ 2000"/>
        <s v="SABS1200 GA \CONCRETE (SMALL WORKS)/8.4\SCHEDULED CONCRETE ITEMS/8.4.3\Strength Concrete: 25 Mpa with 19 mm stone. /\KS12_005-Concrete Drop Inlet. Drawing NBC-GTW-CL-0004 \m³\30.30542048 \ 2000"/>
        <s v="SABS1200 GA \CONCRETE (SMALL WORKS)/8.4\SCHEDULED CONCRETE ITEMS/8.4.3\Strength Concrete: 25 Mpa with 19 mm stone. /\KS12_006-Concrete Drop Inlet. Drawing NBC-GTW-CL-0005 \m³\16.51343 \ 2000"/>
        <s v="SABS1200 GA \CONCRETE (SMALL WORKS)/8.4\SCHEDULED CONCRETE ITEMS/8.4.3\Strength Concrete: 25 Mpa with 19 mm stone. /\KS12_007-Concrete Drop Inlet. Drawing NBC-GTW-CL-0006 \m³\20.1 \ 2000"/>
        <s v="SABS1200 GA \CONCRETE (SMALL WORKS)/8.4\SCHEDULED CONCRETE ITEMS/8.4.3\Strength Concrete: 25 Mpa with 19 mm stone. /\KS12_008-Concrete Drop Inlet. Drawing NBC-GTW-CL-0007 \m³\15.98068 \ 2000"/>
        <s v="SABS1200 GA \CONCRETE (SMALL WORKS)/8.4\SCHEDULED CONCRETE ITEMS/8.4.3\Strength Concrete: 25 Mpa with 19 mm stone. /\KS12_009-Concrete Drop Inlet. Drawing NBC-GTW-CL-0008 \m³\11 \ 2000"/>
        <s v="SABS1200 GA \CONCRETE (SMALL WORKS)/8.4\SCHEDULED CONCRETE ITEMS/8.4.3\Strength Concrete: 25 Mpa with 19 mm stone. /\KS13_003-Concrete Drop Inlet. Drawing NBC-GTW-CL-0009 \m³\27.7266 \ 2000"/>
        <s v="SABS1200 GA \CONCRETE (SMALL WORKS)/8.4\SCHEDULED CONCRETE ITEMS/8.4.3\Strength Concrete: 25 Mpa with 19 mm stone. /\KS13_004-Concrete Check Wall. Drawing NBC-GTW-CL-0010 \m³\5.322 \ 2000"/>
        <s v="SABS1200 GA \CONCRETE (SMALL WORKS)/8.4\SCHEDULED CONCRETE ITEMS/8.4.3\Strength Concrete: 25 Mpa with 19 mm stone. /\KS13_005-Concrete Check Wall. Drawing NBC-GTW-CL-0011 \m³\7.482 \ 2000"/>
        <s v="SABS1200 GA \CONCRETE (SMALL WORKS)/8.4\SCHEDULED CONCRETE ITEMS/8.4.3\Strength Concrete: 25 Mpa with 19 mm stone. /\KS13_006-Concrete Check Wall. Drawing NBC-GTW-CL-0012 \m³\7.4025 \ 2000"/>
        <s v="SABS1200 GA \CONCRETE (SMALL WORKS)/8.4\SCHEDULED CONCRETE ITEMS/8.4.3\Strength Concrete: 25 Mpa with 19 mm stone. /\KS13_007-Concrete Check Wall. Drawing NBC-GTW-CL-0013 \m³\5.8575 \ 2000"/>
        <s v="SABS1200 GA \CONCRETE (SMALL WORKS)/8.4\SCHEDULED CONCRETE ITEMS/8.4.3\Strength Concrete: 25 Mpa with 19 mm stone. /\KS13_008-Concrete Check Wall. Drawing NBC-GTW-CL-0014 \m³\7.515 \ 2000"/>
        <s v="SABS1200 GA \CONCRETE (SMALL WORKS)/8.4\SCHEDULED CONCRETE ITEMS/8.4.3\Strength Concrete: 25 Mpa with 19 mm stone. /\KS13_011-Concrete Check Wall. Drawing NBC-GTW-CL-0015 \m³\6.696 \ 2000"/>
        <s v="SABS1200 GA \CONCRETE (SMALL WORKS)/8.4\SCHEDULED CONCRETE ITEMS/8.4.3\Strength Concrete: 25 Mpa with 19 mm stone. /\KS13_012-Concrete Check Wall. Drawing NBC-GTW-CL-0016 \m³\6.012 \ 2000"/>
        <s v="SABS1200 GA \CONCRETE (SMALL WORKS)/8.4\SCHEDULED CONCRETE ITEMS/8.4.3\Strength Concrete: 25 Mpa with 19 mm stone. /\KS13_013-Concrete Check Wall. Drawing NBC-GTW-CL-0017 \m³\5.166 \ 2000"/>
        <s v="SABS1200 GA \CONCRETE (SMALL WORKS)/8.4\SCHEDULED CONCRETE ITEMS/8.4.3\Strength Concrete: 25 Mpa with 19 mm stone. /\KS13_015-Concrete Check Wall. Drawing NBC-GTW-CL-0018 \m³\5.361 \ 2000"/>
        <s v="SABS1200 GA \CONCRETE (SMALL WORKS)/8.4\SCHEDULED CONCRETE ITEMS/8.4.3\Strength Concrete: 25 Mpa with 19 mm stone. /\KS15_001-Concrete Check Wall  \m³\6.264 \ 2000"/>
        <s v="SABS1200 GA \CONCRETE (SMALL WORKS)/8.4\SCHEDULED CONCRETE ITEMS/8.4.3\Strength Concrete: 25 Mpa with 19 mm stone. /\KS18_001-Concrete Check Wall. Drawing NBC-GTW-CL-0019 \m³\12 \ 2000"/>
        <s v="SABS1200 GA \CONCRETE (SMALL WORKS)/8.4\SCHEDULED CONCRETE ITEMS/8.4.3\Strength Concrete: 25 Mpa with 19 mm stone. /\KS18_002A-Concrete Check Wall. Drawing NBC-GTW-CL-0020 \m³\8 \ 2000"/>
        <s v="SABS1200 GA \CONCRETE (SMALL WORKS)/8.4\SCHEDULED CONCRETE ITEMS/8.4.3\Strength Concrete: 25 Mpa with 19 mm stone. /\KS18_002B-Concrete Check Wall  \m³\6 \ 2000"/>
        <s v="SABS1200 GA \CONCRETE (SMALL WORKS)/8,4\SCHEDULED CONCRETE ITEMS/8.4.3\Strength Concrete: 25 Mpa with 19 mm stone. /\KS18_003-Concrete Check Wall. Drawing NBC-GTW-CL-0045 \m³\5,7 \ 2000"/>
        <s v="SABS1200 GA \CONCRETE (SMALL WORKS)/8,4\SCHEDULED CONCRETE ITEMS/8.4.3\Strength Concrete: 25 Mpa with 19 mm stone. /\KS18_004-Concrete Check Wall. Drawing NBC-GTW-CL-0045 \m³\5,355 \ 2000"/>
        <s v="SABS1200 GA \CONCRETE (SMALL WORKS)/8,4\SCHEDULED CONCRETE ITEMS/8.4.3\Strength Concrete: 25 Mpa with 19 mm stone. /\KS18_005-Concrete Check Wall. Drawing NBC-GTW-CL-0045 \m³\6,93 \ 2000"/>
        <s v="SABS1200 GA \CONCRETE (SMALL WORKS)/8,4\SCHEDULED CONCRETE ITEMS/8.4.3\Strength Concrete: 25 Mpa with 19 mm stone. /\KS18_006-Concrete Check Wall. Drawing NBC-GTW-CL-0045 \m³\6,615 \ 2000"/>
        <s v="SABS1200 GA \CONCRETE (SMALL WORKS)/8,4\SCHEDULED CONCRETE ITEMS/8.4.3\Strength Concrete: 25 Mpa with 19 mm stone. /\KS18_007-Concrete Check Wall. Drawing NBC-GTW-CL-0045 \m³\5,04 \ 2000"/>
        <s v="SABS1200 GA \CONCRETE (SMALL WORKS)/8,4\SCHEDULED CONCRETE ITEMS/8.4.3\Strength Concrete: 25 Mpa with 19 mm stone. /\KS18_008-Concrete Check Wall. Drawing NBC-GTW-CL-0045 \m³\5,76 \ 2000"/>
        <s v="SABS1200 GA \CONCRETE (SMALL WORKS)/8,4\SCHEDULED CONCRETE ITEMS/8.4.3\Strength Concrete: 25 Mpa with 19 mm stone. /\KS18_009-Concrete Check Wall. Drawing NBC-GTW-CL-0045 \m³\5,775 \ 2000"/>
        <s v="SABS1200 GA \CONCRETE (SMALL WORKS)/8,4\SCHEDULED CONCRETE ITEMS/8.4.3\Strength Concrete: 25 Mpa with 19 mm stone. /\KS18_010-Concrete Check Wall. Drawing NBC-GTW-CL-0045 \m³\6,93 \ 2000"/>
        <s v="SABS1200 GA \CONCRETE (SMALL WORKS)/8,4\SCHEDULED CONCRETE ITEMS/8.4.3\Strength Concrete: 25 Mpa with 19 mm stone. /\KS18_011-Concrete Check Wall. Drawing NBC-GTW-CL-0045 \m³\6 \ 2000"/>
        <s v="SABS1200 GA \CONCRETE (SMALL WORKS)/8,4\SCHEDULED CONCRETE ITEMS/8.4.3\Strength Concrete: 25 Mpa with 19 mm stone. /\KS18_012-Concrete Check Wall. Drawing NBC-GTW-CL-0045 \m³\6,6 \ 2000"/>
        <s v="SABS1200 GA \CONCRETE (SMALL WORKS)/8,4\SCHEDULED CONCRETE ITEMS/8.4.3\Strength Concrete: 25 Mpa with 19 mm stone. /\KS18_013-Concrete Check Wall. Drawing NBC-GTW-CL-0045 \m³\6 \ 2000"/>
        <s v="SABS1200 GA \CONCRETE (SMALL WORKS)/8.4\SCHEDULED CONCRETE ITEMS/8.4.3\Strength Concrete: 25 Mpa with 19 mm stone. /\KS18_015-Concrete Check Wall. Drawing NBC-GTW-CL-0021 \m³\7.74 \ 2000"/>
        <s v="SABS1200 GA \CONCRETE (SMALL WORKS)/8.4\SCHEDULED CONCRETE ITEMS/8.4.3\Strength Concrete: 25 Mpa with 19 mm stone. /\KS18_016-Concrete Check Wall. Drawing NBC-GTW-CL-0022 \m³\6.804 \ 2000"/>
        <s v="SABS1200 GA \CONCRETE (SMALL WORKS)/8.4\SCHEDULED CONCRETE ITEMS/8.4.3\Strength Concrete: 25 Mpa with 19 mm stone. /\KS18_017-Concrete Check Wall. Drawing NBC-GTW-CL-0023 \m³\5.94 \ 2000"/>
        <s v="SABS1200 GA \CONCRETE (SMALL WORKS)/8.4\SCHEDULED CONCRETE ITEMS/8.4.3\Strength Concrete: 25 Mpa with 19 mm stone. /\KS18_018-Concrete Check Wall. Drawing NBC-GTW-CL-0024 \m³\4.998 \ 2000"/>
        <s v="SABS1200 GA \CONCRETE (SMALL WORKS)/8.4\SCHEDULED CONCRETE ITEMS/8.4.3\Strength Concrete: 25 Mpa with 19 mm stone. /\KS18_019-Concrete Check Wall. Drawing NBC-GTW-CL-0025 \m³\6.624 \ 2000"/>
        <s v="SABS1200 GA \CONCRETE (SMALL WORKS)/8.4\SCHEDULED CONCRETE ITEMS/8.4.3\Strength Concrete: 25 Mpa with 19 mm stone. /\KS18_020-Concrete Check Wall  \m³\6.7575 \ 2000"/>
        <s v="SABS1200 GA \CONCRETE (SMALL WORKS)/8,4\SCHEDULED CONCRETE ITEMS/8.4.3\Strength Concrete: 25 Mpa with 19 mm stone. /\KS18_014-Concrete Check Wall. Drawing NBC-GTW-CL-0001 \m³\6,66 \ 2000"/>
        <s v="SABS1200 GA \CONCRETE (SMALL WORKS)/8.4\SCHEDULED CONCRETE ITEMS/8.4.3\Strength Concrete: 25 Mpa with 19 mm stone. /\KS19_002-Concrete Drop Inlet. Drawing NBC-GTW-CL-0026 \m³\27.3217512 \ 2000"/>
        <s v="SABS1200 GA \CONCRETE (SMALL WORKS)/8.4\SCHEDULED CONCRETE ITEMS/8.4.3\Strength Concrete: 25 Mpa with 19 mm stone. /\KS20_001-Concrete Drop Inlet. Drawing NBC-GTW-CL-0027 \m³\20.39535 \ 2000"/>
        <s v="SABS1200 GA \CONCRETE (SMALL WORKS)/8.4\SCHEDULED CONCRETE ITEMS/8.4.3\Strength Concrete: 25 Mpa with 19 mm stone. /\KS20_002-Concrete Check Wall. Drawing NBC-GTW-CL-0028 \m³\6.453 \ 2000"/>
        <s v="SABS1200 GA \CONCRETE (SMALL WORKS)/8.4\SCHEDULED CONCRETE ITEMS/8.4.3\Strength Concrete: 25 Mpa with 19 mm stone. /\KS20_003-Concrete Check Wall. Drawing NBC-GTW-CL-0029 \m³\9.855 \ 2000"/>
        <s v="SABS1200 GA \CONCRETE (SMALL WORKS)/8.4\SCHEDULED CONCRETE ITEMS/8.4.3\Strength Concrete: 25 Mpa with 19 mm stone. /\KS20_004-Concrete Check Wall. Drawing NBC-GTW-CL-0030 \m³\9.405 \ 2000"/>
        <s v="SABS1200 GA \CONCRETE (SMALL WORKS)/8.4\SCHEDULED CONCRETE ITEMS/8.4.3\Strength Concrete: 25 Mpa with 19 mm stone. /\KS20_005-Concrete Check Wall. Drawing NBC-GTW-CL-0031 \m³\10.032 \ 2000"/>
        <s v="SABS1200 GA \CONCRETE (SMALL WORKS)/8,4\SCHEDULED CONCRETE ITEMS/8.4.3\Strength Concrete: 25 Mpa with 19 mm stone. /\KS20_006-Concrete Check Wall. Drawing NBC-GTW-CL-0032 \m³\10,035 \ 2000"/>
        <s v="SABS1200 GA \CONCRETE (SMALL WORKS)/8.4\SCHEDULED CONCRETE ITEMS/8.4.3\Strength Concrete: 25 Mpa with 19 mm stone. /\KS20_007-Concrete Check Wall. Drawing NBC-GTW-CL-0033 \m³\8.289 \ 2000"/>
        <s v="SABS1200 GA \CONCRETE (SMALL WORKS)/8.4\SCHEDULED CONCRETE ITEMS/8.4.3\Strength Concrete: 25 Mpa with 19 mm stone. /\KS20_008-Concrete Check Wall. Drawing NBC-GTW-CL-0034 \m³\10.8 \ 2000"/>
        <s v="SABS1200 GA \CONCRETE (SMALL WORKS)/8.4\SCHEDULED CONCRETE ITEMS/8.4.3\Strength Concrete: 25 Mpa with 19 mm stone. /\KS20_009_a-Concrete Check Wall. Drawing NBC-GTW-CL-0035 \m³\29.408 \ 2000"/>
        <s v="SABS1200 GA \CONCRETE (SMALL WORKS)/8.4\SCHEDULED CONCRETE ITEMS/8.4.3\Strength Concrete: 25 Mpa with 19 mm stone. /\KS20_009_b-Concrete Check Wall. Drawing NBC-GTW-CL-0035 \m³\4.032 \ 2000"/>
        <s v="SABS1200 GA \CONCRETE (SMALL WORKS)/8.4\SCHEDULED CONCRETE ITEMS/8.4.3\Strength Concrete: 25 Mpa with 19 mm stone. /\KS21_003-Concrete Drop Inlet. Drawing NBC-GTW-CL-0039 \m³\24.79275 \ 2000"/>
        <s v="SABS1200 GA \CONCRETE (SMALL WORKS)/8,4\SCHEDULED CONCRETE ITEMS/8.4.3\Strength Concrete: 25 Mpa with 19 mm stone. /\KS21_005-Concrete Drop Inlet. Drawing NBC-GTW-CL-0040 \m³\24,79275 \ 2000"/>
        <s v="SABS1200 GA \CONCRETE (SMALL WORKS)/8,4\SCHEDULED CONCRETE ITEMS/8.4.3\Strength Concrete: 25 Mpa with 19 mm stone. /\KS21_006-Concrete Check Wall. Drawing NBC-GTW-CL-0041 \m³\7,98 \ 2000"/>
        <s v="SABS1200 GA \CONCRETE (SMALL WORKS)/8,4\SCHEDULED CONCRETE ITEMS/8.4.3\Strength Concrete: 25 Mpa with 19 mm stone. /\KS21_007-Concrete Check Wall. Drawing NBC-GTW-CL-0042 \m³\7,98 \ 2000"/>
        <s v="SABS1200 GA \CONCRETE (SMALL WORKS)/8,4\SCHEDULED CONCRETE ITEMS/8.4.3\Strength Concrete: 25 Mpa with 19 mm stone. /\KS21_009-Concrete Check Wall. Drawing NBC-GTW-CL-0043 \m³\7,98 \ 2000"/>
        <s v="SABS1200 GA \CONCRETE (SMALL WORKS)/8.4\SCHEDULED CONCRETE ITEMS/8.4.3\Strength Concrete: 25 Mpa with 19 mm stone. /\LS16_001-Concrete Cut-Off Walls  \m³\5.04 \ 2000"/>
        <s v="SABS1200 GA \CONCRETE (SMALL WORKS)/8.4\SCHEDULED CONCRETE ITEMS/8.4.3\Strength Concrete: 25 Mpa with 19 mm stone. /\LS16_002-Concrete Cut-Off Walls  \m³\4.8 \ 2000"/>
        <s v="SABS1200 GA \CONCRETE (SMALL WORKS)/8.4\SCHEDULED CONCRETE ITEMS/8.4.3\Strength Concrete: 25 Mpa with 19 mm stone. /\LS16_003-Concrete Cut-Off Walls  \m³\2.1 \ 2000"/>
        <s v="SABS1200 GA \CONCRETE (SMALL WORKS)/8.4\SCHEDULED CONCRETE ITEMS/8.4.3\Strength Concrete: 25 Mpa with 19 mm stone. /\LS16_004-Concrete Cut-Off Walls  \m³\2.4 \ 2000"/>
        <s v="SABS1200 GA \CONCRETE (SMALL WORKS)/8.4\SCHEDULED CONCRETE ITEMS/8.4.3\Strength Concrete: 25 Mpa with 19 mm stone. /\LS16_005-Concrete Cut-Off Walls  \m³\3.6 \ 2000"/>
        <s v="SABS1200 GA \CONCRETE (SMALL WORKS)/8.4\SCHEDULED CONCRETE ITEMS/8.4.3\Strength Concrete: 25 Mpa with 19 mm stone. /\LS16_006-Concrete Cut-Off Walls  \m³\6.48 \ 2000"/>
        <s v="SABS1200 GA \CONCRETE (SMALL WORKS)/8.4\SCHEDULED CONCRETE ITEMS/8.4.3\Strength Concrete: 25 Mpa with 19 mm stone. /\LS16_007-Concrete Cut-Off Walls  \m³\5.94 \ 2000"/>
        <s v="SABS1200 GA \CONCRETE (SMALL WORKS)/8.4\SCHEDULED CONCRETE ITEMS/8.4.3\Strength Concrete: 25 Mpa with 19 mm stone. /\LS16_008-Concrete Cut-Off Walls  \m³\4.1325 \ 2000"/>
        <s v="SABS1200 GA \CONCRETE (SMALL WORKS)/8.4\SCHEDULED CONCRETE ITEMS/8.4.3\Strength Concrete: 25 Mpa with 19 mm stone. /\LS16_009-Concrete Cut-Off Walls  \m³\4.35 \ 2000"/>
        <s v="SABS1200 GA \CONCRETE (SMALL WORKS)/8.4\SCHEDULED CONCRETE ITEMS/8.4.3\Strength Concrete: 25 Mpa with 19 mm stone. /\LS16_010-Concrete Cut-Off Walls  \m³\5.1 \ 2000"/>
        <s v="SABS1200 GA \CONCRETE (SMALL WORKS)/8.4\SCHEDULED CONCRETE ITEMS/8.4.3\Strength Concrete: 25 Mpa with 19 mm stone. /\LS16_011-Concrete Cut-Off Walls  \m³\3.3 \ 2000"/>
        <s v="SABS1200 GA \CONCRETE (SMALL WORKS)/8.4\SCHEDULED CONCRETE ITEMS/8.4.3\Strength Concrete: 25 Mpa with 19 mm stone. /\KS13_012-Concrete Drop Inlet. Drawing NBC-GTW-CL-0016 \m³\27.4978 \ 2000" u="1"/>
        <s v="SABS1200 GA \CONCRETE (SMALL WORKS)/8.4\SCHEDULED CONCRETE ITEMS/8.4.3\Strength Concrete: 25 Mpa with 19 mm stone. /\KS18_020-Concrete Drop Inlet associated with Road Culvert  \m³\30.97659 \ 2000" u="1"/>
        <s v="SABS1200 GA \CONCRETE (SMALL WORKS)/8.4\SCHEDULED CONCRETE ITEMS/8.4.3\Strength Concrete: 25 Mpa with 19 mm stone. /\KS18_003-Concrete Cut-Off Walls. Drawing NBC-GTW-CL-0045 \m³\5.7 \ 2000" u="1"/>
        <s v="SABS1200 GA \CONCRETE (SMALL WORKS)/8.4\SCHEDULED CONCRETE ITEMS/8.4.3\Strength Concrete: 25 Mpa with 19 mm stone. /\KS21_007-Concrete Drop Inlet. Drawing NBC-GTW-CL-0042 \m³\25.587276 \ 2000" u="1"/>
        <s v="SABS1200 GA \CONCRETE (SMALL WORKS)/8.4\SCHEDULED CONCRETE ITEMS/8.4.3\Strength Concrete: 25 Mpa with 19 mm stone. /\KS13_015-Concrete Drop Inlet. Drawing NBC-GTW-CL-0018 \m³\26.49053 \ 2000" u="1"/>
        <s v="SABS1200 GA \CONCRETE (SMALL WORKS)/8.4\SCHEDULED CONCRETE ITEMS/8.4.3\Strength Concrete: 25 Mpa with 19 mm stone. /\KS20_007-Concrete Drop Inlet. Drawing NBC-GTW-CL-0033 \m³\34.576244 \ 2000" u="1"/>
        <s v="SABS1200 GA \CONCRETE (SMALL WORKS)/8.4\SCHEDULED CONCRETE ITEMS/8.4.3\Strength Concrete: 25 Mpa with 19 mm stone. /\KS18_007-Concrete Cut-Off Walls. Drawing NBC-GTW-CL-0045 \m³\5.04 \ 2000" u="1"/>
        <s v="SABS1200 GA \CONCRETE (SMALL WORKS)/8.4\SCHEDULED CONCRETE ITEMS/8.4.3\Strength Concrete: 25 Mpa with 19 mm stone. /\KS18_015-Concrete Drop Inlet. Drawing NBC-GTW-CL-0021 \m³\38.2205 \ 2000" u="1"/>
        <s v="SABS1200 GA \CONCRETE (SMALL WORKS)/8.4\SCHEDULED CONCRETE ITEMS/8.4.3\Strength Concrete: 25 Mpa with 19 mm stone. /\KS20_006-Concrete Check Wall. Drawing NBC-GTW-CL-0032 \m³\10.035 \ 2000" u="1"/>
        <s v="SABS1200 GA \CONCRETE (SMALL WORKS)/8.4\SCHEDULED CONCRETE ITEMS/8.4.3\Strength Concrete: 25 Mpa with 19 mm stone. /\KS13_008-Concrete Drop Inlet. Drawing NBC-GTW-CL-0014 \m³\33.0207 \ 2000" u="1"/>
        <s v="SABS1200 GA \CONCRETE (SMALL WORKS)/8.4\SCHEDULED CONCRETE ITEMS/8.4.3\Strength Concrete: 25 Mpa with 19 mm stone. /\KS18_001-Concrete Drop Inlet. Drawing NBC-GTW-CL-0019 \m³\59.00696 \ 2000" u="1"/>
        <s v="SABS1200 GA \CONCRETE (SMALL WORKS)/8.4\SCHEDULED CONCRETE ITEMS/8.4.3\Strength Concrete: 25 Mpa with 19 mm stone. /\KS21_006-Concrete Drop Inlet. Drawing NBC-GTW-CL-0041 \m³\27.1821095 \ 2000" u="1"/>
        <s v="SABS1200 GA \CONCRETE (SMALL WORKS)/8.4\SCHEDULED CONCRETE ITEMS/8.4.3\Strength Concrete: 25 Mpa with 19 mm stone. /\KS18_019-Concrete Drop Inlet. Drawing NBC-GTW-CL-0025 \m³\30.1032 \ 2000" u="1"/>
        <s v="SABS1200 GA \CONCRETE (SMALL WORKS)/8.4\SCHEDULED CONCRETE ITEMS/8.4.3\Strength Concrete: 25 Mpa with 19 mm stone. /\KS18_016-Concrete Drop Inlet. Drawing NBC-GTW-CL-0022 \m³\29.8284 \ 2000" u="1"/>
        <s v="SABS1200 GA \CONCRETE (SMALL WORKS)/8.4\SCHEDULED CONCRETE ITEMS/8.4.3\Strength Concrete: 25 Mpa with 19 mm stone. /\KS20_006-Concrete Drop Inlet. Drawing NBC-GTW-CL-0032 \m³\45.5624175 \ 2000" u="1"/>
        <s v="SABS1200 GA \CONCRETE (SMALL WORKS)/8.4\SCHEDULED CONCRETE ITEMS/8.4.3\Strength Concrete: 25 Mpa with 19 mm stone. /\KS15_001-Fish Bowl  \m³\112 \ 2000" u="1"/>
        <s v="SABS1200 GA \CONCRETE (SMALL WORKS)/8.4\SCHEDULED CONCRETE ITEMS/8.4.3\Strength Concrete: 25 Mpa with 19 mm stone. /\KS18_006-Concrete Cut-Off Walls. Drawing NBC-GTW-CL-0045 \m³\6.615 \ 2000" u="1"/>
        <s v="SABS1200 GA \CONCRETE (SMALL WORKS)/8.4\SCHEDULED CONCRETE ITEMS/8.4.3\Strength Concrete: 25 Mpa with 19 mm stone. /\KS21_005-Concrete Drop Inlet. Drawing NBC-GTW-CL-0040 \m³\29.7712955 \ 2000" u="1"/>
        <s v="SABS1200 GA \CONCRETE (SMALL WORKS)/8.4\SCHEDULED CONCRETE ITEMS/8.4.3\Strength Concrete: 25 Mpa with 19 mm stone. /\KS18_002-Concrete Drop Inlet. Drawing NBC-GTW-CL-0020 \m³\38.418 \ 2000" u="1"/>
        <s v="SABS1200 GA \CONCRETE (SMALL WORKS)/8.4\SCHEDULED CONCRETE ITEMS/8.4.3\Strength Concrete: 25 Mpa with 19 mm stone. /\KS18_004-Concrete Cut-Off Walls. Drawing NBC-GTW-CL-0045 \m³\5.355 \ 2000" u="1"/>
        <s v="SABS1200 GA \CONCRETE (SMALL WORKS)/8.4\SCHEDULED CONCRETE ITEMS/8.4.3\Strength Concrete: 25 Mpa with 19 mm stone. /\KS18-014-Concrete Filled Geo-Cell Berm. Drawing NBC-GTW-CL-0001 \m³\9.03840508391961 \ 2000" u="1"/>
        <s v="SABS1200 GA \CONCRETE (SMALL WORKS)/8.4\SCHEDULED CONCRETE ITEMS/8.4.3\Strength Concrete: 25 Mpa with 19 mm stone. /\KS18_009-Concrete Cut-Off Walls. Drawing NBC-GTW-CL-0045 \m³\5.775 \ 2000" u="1"/>
        <s v="SABS1200 GA \CONCRETE (SMALL WORKS)/8.4\SCHEDULED CONCRETE ITEMS/8.4.3\Strength Concrete: 25 Mpa with 19 mm stone. /\KS21_010-Concrete Drop Inlet. Drawing NBC-GTW-CL-0044 \m³\29.6325325 \ 2000" u="1"/>
        <s v="SABS1200 GA \CONCRETE (SMALL WORKS)/8.4\SCHEDULED CONCRETE ITEMS/8.4.3\Strength Concrete: 25 Mpa with 19 mm stone. /\KS18_018-Concrete Drop Inlet. Drawing NBC-GTW-CL-0024 \m³\22.42595 \ 2000" u="1"/>
        <s v="SABS1200 GA \CONCRETE (SMALL WORKS)/8.4\SCHEDULED CONCRETE ITEMS/8.4.3\Strength Concrete: 25 Mpa with 19 mm stone. /\KS20_005-Concrete Drop Inlet. Drawing NBC-GTW-CL-0031 \m³\43.50478 \ 2000" u="1"/>
        <s v="SABS1200 GA \CONCRETE (SMALL WORKS)/8.4\SCHEDULED CONCRETE ITEMS/8.4.3\Strength Concrete: 25 Mpa with 19 mm stone. /\KS20_009_b-Concrete Overflow Wall. Drawing NBC-GTW-CL-0035 \m³\6.1 \ 2000" u="1"/>
        <s v="SABS1200 GA \CONCRETE (SMALL WORKS)/8.4\SCHEDULED CONCRETE ITEMS/8.4.3\Strength Concrete: 25 Mpa with 19 mm stone. /\KS18_012-Concrete Cut-Off Walls. Drawing NBC-GTW-CL-0045 \m³\6.6 \ 2000" u="1"/>
        <s v="SABS1200 GA \CONCRETE (SMALL WORKS)/8.4\SCHEDULED CONCRETE ITEMS/8.4.3\Strength Concrete: 25 Mpa with 19 mm stone. /\KS18_011-Concrete Cut-Off Walls. Drawing NBC-GTW-CL-0045 \m³\6 \ 2000" u="1"/>
        <s v="SABS1200 GA \CONCRETE (SMALL WORKS)/8.4\SCHEDULED CONCRETE ITEMS/8.4.3\Strength Concrete: 25 Mpa with 19 mm stone. /\KS18_013-Concrete Cut-Off Walls. Drawing NBC-GTW-CL-0045 \m³\6 \ 2000" u="1"/>
        <s v="SABS1200 GA \CONCRETE (SMALL WORKS)/8.4\SCHEDULED CONCRETE ITEMS/8.4.3\Strength Concrete: 25 Mpa with 19 mm stone. /\KS18_005-Concrete Cut-Off Walls. Drawing NBC-GTW-CL-0045 \m³\6.93 \ 2000" u="1"/>
        <s v="SABS1200 GA \CONCRETE (SMALL WORKS)/8.4\SCHEDULED CONCRETE ITEMS/8.4.3\Strength Concrete: 25 Mpa with 19 mm stone. /\KS18_010-Concrete Cut-Off Walls. Drawing NBC-GTW-CL-0045 \m³\6.93 \ 2000" u="1"/>
        <s v="SABS1200 GA \CONCRETE (SMALL WORKS)/8.4\SCHEDULED CONCRETE ITEMS/8.4.3\Strength Concrete: 25 Mpa with 19 mm stone. /\KS20_003-Concrete Buttress Weir. Drawing NBC-GTW-CL-0029 \m³\50.2704448 \ 2000" u="1"/>
        <s v="SABS1200 GA \CONCRETE (SMALL WORKS)/8.4\SCHEDULED CONCRETE ITEMS/8.4.3\Strength Concrete: 25 Mpa with 19 mm stone. /\KS13_004-Concrete Drop Inlet. Drawing NBC-GTW-CL-0010 \m³\22.2744 \ 2000" u="1"/>
        <s v="SABS1200 GA \CONCRETE (SMALL WORKS)/8.4\SCHEDULED CONCRETE ITEMS/8.4.3\Strength Concrete: 25 Mpa with 19 mm stone. /\KS20_002-Concrete Drop Inlet. Drawing NBC-GTW-CL-0028 \m³\31.39634 \ 2000" u="1"/>
        <s v="SABS1200 GA \CONCRETE (SMALL WORKS)/8.4\SCHEDULED CONCRETE ITEMS/8.4.3\Strength Concrete: 25 Mpa with 19 mm stone. /\KS13_011-Concrete Drop Inlet. Drawing NBC-GTW-CL-0015 \m³\33.53 \ 2000" u="1"/>
        <s v="SABS1200 GA \CONCRETE (SMALL WORKS)/8.4\SCHEDULED CONCRETE ITEMS/8.4.3\Strength Concrete: 25 Mpa with 19 mm stone. /\KS20_008-Concrete Drop Inlet. Drawing NBC-GTW-CL-0034 \m³\47.24264 \ 2000" u="1"/>
        <s v="SABS1200 GA \CONCRETE (SMALL WORKS)/8.4\SCHEDULED CONCRETE ITEMS/8.4.3\Strength Concrete: 25 Mpa with 19 mm stone. /\KS21_009-Concrete Drop Inlet. Drawing NBC-GTW-CL-0043 \m³\31.18664 \ 2000" u="1"/>
        <s v="SABS1200 GA \CONCRETE (SMALL WORKS)/8.4\SCHEDULED CONCRETE ITEMS/8.4.3\Strength Concrete: 25 Mpa with 19 mm stone. /\KS13_005-Concrete Drop Inlet. Drawing NBC-GTW-CL-0011 \m³\35.97891 \ 2000" u="1"/>
        <s v="SABS1200 GA \CONCRETE (SMALL WORKS)/8.4\SCHEDULED CONCRETE ITEMS/8.4.3\Strength Concrete: 25 Mpa with 19 mm stone. /\KS13_006-Concrete Drop Inlet. Drawing NBC-GTW-CL-0012 \m³\32.9871 \ 2000" u="1"/>
        <s v="SABS1200 GA \CONCRETE (SMALL WORKS)/8.4\SCHEDULED CONCRETE ITEMS/8.4.3\Strength Concrete: 25 Mpa with 19 mm stone. /\KS13_007-Concrete Drop Inlet. Drawing NBC-GTW-CL-0013 \m³\25.3974 \ 2000" u="1"/>
        <s v="SABS1200 GA \CONCRETE (SMALL WORKS)/8.4\SCHEDULED CONCRETE ITEMS/8.4.3\Strength Concrete: 25 Mpa with 19 mm stone. /\KS13_013-Concrete Drop Inlet. Drawing NBC-GTW-CL-0017 \m³\23.5474 \ 2000" u="1"/>
        <s v="SABS1200 GA \CONCRETE (SMALL WORKS)/8.4\SCHEDULED CONCRETE ITEMS/8.4.3\Strength Concrete: 25 Mpa with 19 mm stone. /\KS18_017-Concrete Drop Inlet. Drawing NBC-GTW-CL-0023 \m³\27.5224 \ 2000" u="1"/>
        <s v="SABS1200 GA \CONCRETE (SMALL WORKS)/8.4\SCHEDULED CONCRETE ITEMS/8.4.3\Strength Concrete: 25 Mpa with 19 mm stone. /\KS18-014-Concrete Check Wall. Drawing NBC-GTW-CL-0001 \m³\6.66 \ 2000" u="1"/>
        <s v="SABS1200 GA \CONCRETE (SMALL WORKS)/8.4\SCHEDULED CONCRETE ITEMS/8.4.3\Strength Concrete: 25 Mpa with 19 mm stone. /\KS20_009_a-Concrete Buttress Weir. Drawing NBC-GTW-CL-0035 \m³\64.5 \ 2000" u="1"/>
        <s v="SABS1200 GA \CONCRETE (SMALL WORKS)/8.4\SCHEDULED CONCRETE ITEMS/8.4.3\Strength Concrete: 25 Mpa with 19 mm stone. /\KS20_004-Concrete Drop Inlet. Drawing NBC-GTW-CL-0030 \m³\36.703448 \ 2000" u="1"/>
        <s v="SABS1200 GA \CONCRETE (SMALL WORKS)/8.4\SCHEDULED CONCRETE ITEMS/8.4.3\Strength Concrete: 25 Mpa with 19 mm stone. /\KS18_008-Concrete Cut-Off Walls. Drawing NBC-GTW-CL-0045 \m³\5.76 \ 2000" u="1"/>
      </sharedItems>
    </cacheField>
    <cacheField name="Blinding Layer" numFmtId="0">
      <sharedItems count="48" longText="1">
        <s v=" "/>
        <s v="SABS1200 GA \CONCRETE (SMALL WORKS)/8.4\SCHEDULED CONCRETE ITEMS/8.4.2\Construct Blinding Layer using 15MPa concrete . Rate to allow for blinding to a nominal depth of 75 mm for all bases pertaining to the following structures:/\ks11-002a-Concrete Drop Inlet on Dam Wall  \m²\101.64 \ 300"/>
        <s v="SABS1200 GA \CONCRETE (SMALL WORKS)/8.4\SCHEDULED CONCRETE ITEMS/8.4.2\Construct Blinding Layer using 15MPa concrete . Rate to allow for blinding to a nominal depth of 75 mm for all bases pertaining to the following structures:/\ks11-002b-Concrete Splash Through Structure. Drawing NBC-GTW-CL-0067 \m²\64 \ 300"/>
        <s v="SABS1200 GA \CONCRETE (SMALL WORKS)/8.4\SCHEDULED CONCRETE ITEMS/8.4.2\Construct Blinding Layer using 15MPa concrete . Rate to allow for blinding to a nominal depth of 75 mm for all bases pertaining to the following structures:/\ks11-004a-Concrete Drop Inlet on Dam Wall  \m²\101.64 \ 300"/>
        <s v="SABS1200 GA \CONCRETE (SMALL WORKS)/8.4\SCHEDULED CONCRETE ITEMS/8.4.2\Construct Blinding Layer using 15MPa concrete . Rate to allow for blinding to a nominal depth of 75 mm for all bases pertaining to the following structures:/\ks11-004b-Concrete Splash Through Structure. Drawing NBC-GTW-CL-0068 \m²\64 \ 300"/>
        <s v="SABS1200 GA \CONCRETE (SMALL WORKS)/8.4\SCHEDULED CONCRETE ITEMS/8.4.2\Construct Blinding Layer using 15MPa concrete . Rate to allow for blinding to a nominal depth of 75 mm for all bases pertaining to the following structures:/\KS12_002-Concrete Drop Inlet. Drawing NBC-GTW-CL-0002 \m²\52 \ 300"/>
        <s v="SABS1200 GA \CONCRETE (SMALL WORKS)/8.4\SCHEDULED CONCRETE ITEMS/8.4.2\Construct Blinding Layer using 15MPa concrete . Rate to allow for blinding to a nominal depth of 75 mm for all bases pertaining to the following structures:/\KS12_004-Concrete Drop Inlet. Drawing NBC-GTW-CL-0003 \m²\41.52 \ 300"/>
        <s v="SABS1200 GA \CONCRETE (SMALL WORKS)/8.4\SCHEDULED CONCRETE ITEMS/8.4.2\Construct Blinding Layer using 15MPa concrete . Rate to allow for blinding to a nominal depth of 75 mm for all bases pertaining to the following structures:/\KS12_005-Concrete Drop Inlet. Drawing NBC-GTW-CL-0004 \m²\35.8384 \ 300"/>
        <s v="SABS1200 GA \CONCRETE (SMALL WORKS)/8.4\SCHEDULED CONCRETE ITEMS/8.4.2\Construct Blinding Layer using 15MPa concrete . Rate to allow for blinding to a nominal depth of 75 mm for all bases pertaining to the following structures:/\KS12_006-Concrete Drop Inlet. Drawing NBC-GTW-CL-0005 \m²\30.542 \ 300"/>
        <s v="SABS1200 GA \CONCRETE (SMALL WORKS)/8.4\SCHEDULED CONCRETE ITEMS/8.4.2\Construct Blinding Layer using 15MPa concrete . Rate to allow for blinding to a nominal depth of 75 mm for all bases pertaining to the following structures:/\KS12_007-Concrete Drop Inlet. Drawing NBC-GTW-CL-0006 \m²\33.16 \ 300"/>
        <s v="SABS1200 GA \CONCRETE (SMALL WORKS)/8.4\SCHEDULED CONCRETE ITEMS/8.4.2\Construct Blinding Layer using 15MPa concrete . Rate to allow for blinding to a nominal depth of 75 mm for all bases pertaining to the following structures:/\KS12_008-Concrete Drop Inlet. Drawing NBC-GTW-CL-0007 \m²\28.492 \ 300"/>
        <s v="SABS1200 GA \CONCRETE (SMALL WORKS)/8.4\SCHEDULED CONCRETE ITEMS/8.4.2\Construct Blinding Layer using 15MPa concrete . Rate to allow for blinding to a nominal depth of 75 mm for all bases pertaining to the following structures:/\KS12_009-Concrete Drop Inlet. Drawing NBC-GTW-CL-0008 \m²\23.424 \ 300"/>
        <s v="SABS1200 GA \CONCRETE (SMALL WORKS)/8.4\SCHEDULED CONCRETE ITEMS/8.4.2\Construct Blinding Layer using 15MPa concrete . Rate to allow for blinding to a nominal depth of 75 mm for all bases pertaining to the following structures:/\KS13_003-Concrete Drop Inlet. Drawing NBC-GTW-CL-0009 \m²\43.7 \ 300"/>
        <s v="SABS1200 GA \CONCRETE (SMALL WORKS)/8.4\SCHEDULED CONCRETE ITEMS/8.4.2\Construct Blinding Layer using 15MPa concrete . Rate to allow for blinding to a nominal depth of 75 mm for all bases pertaining to the following structures:/\KS19_002-Concrete Drop Inlet. Drawing NBC-GTW-CL-0026 \m²\38.552 \ 300"/>
        <s v="SABS1200 GA \CONCRETE (SMALL WORKS)/8.4\SCHEDULED CONCRETE ITEMS/8.4.2\Construct Blinding Layer using 15MPa concrete . Rate to allow for blinding to a nominal depth of 75 mm for all bases pertaining to the following structures:/\KS20_001-Concrete Drop Inlet. Drawing NBC-GTW-CL-0027 \m²\37.752 \ 300"/>
        <s v="SABS1200 GA \CONCRETE (SMALL WORKS)/8.4\SCHEDULED CONCRETE ITEMS/8.4.2\Construct Blinding Layer using 15MPa concrete . Rate to allow for blinding to a nominal depth of 75 mm for all bases pertaining to the following structures:/\KS21_003-Concrete Drop Inlet. Drawing NBC-GTW-CL-0039 \m²\52.66 \ 300"/>
        <s v="SABS1200 GA \CONCRETE (SMALL WORKS)/8,4\SCHEDULED CONCRETE ITEMS/8.4.2\Construct Blinding Layer using 15MPa concrete . Rate to allow for blinding to a nominal depth of 75 mm for all bases pertaining to the following structures:/\KS21_005-Concrete Drop Inlet. Drawing NBC-GTW-CL-0040 \m²\52,66 \ 300"/>
        <s v="SABS1200 GA \CONCRETE (SMALL WORKS)/8.4\SCHEDULED CONCRETE ITEMS/8.4.2\Construct Blinding Layer using 15MPa concrete . Rate to allow for blinding to a nominal depth of 75 mm for all bases pertaining to the following structures:/\KS18_002-Concrete Drop Inlet. Drawing NBC-GTW-CL-0020 \m²\44.62 \ 300" u="1"/>
        <s v="SABS1200 GA \CONCRETE (SMALL WORKS)/8.4\SCHEDULED CONCRETE ITEMS/8.4.2\Construct Blinding Layer using 15MPa concrete . Rate to allow for blinding to a nominal depth of 75 mm for all bases pertaining to the following structures:/\KS13_011-Concrete Drop Inlet. Drawing NBC-GTW-CL-0015 \m²\42 \ 300" u="1"/>
        <s v="SABS1200 GA \CONCRETE (SMALL WORKS)/8.4\SCHEDULED CONCRETE ITEMS/8.4.2\Construct Blinding Layer using 15MPa concrete . Rate to allow for blinding to a nominal depth of 75 mm for all bases pertaining to the following structures:/\KS21_010-Concrete Drop Inlet. Drawing NBC-GTW-CL-0044 \m²\38.212 \ 300" u="1"/>
        <s v="SABS1200 GA \CONCRETE (SMALL WORKS)/8.4\SCHEDULED CONCRETE ITEMS/8.4.2\Construct Blinding Layer using 15MPa concrete . Rate to allow for blinding to a nominal depth of 75 mm for all bases pertaining to the following structures:/\KS20_002-Concrete Drop Inlet. Drawing NBC-GTW-CL-0028 \m²\51.08 \ 300" u="1"/>
        <s v="SABS1200 GA \CONCRETE (SMALL WORKS)/8.4\SCHEDULED CONCRETE ITEMS/8.4.2\Construct Blinding Layer using 15MPa concrete . Rate to allow for blinding to a nominal depth of 75 mm for all bases pertaining to the following structures:/\KS13_012-Concrete Drop Inlet. Drawing NBC-GTW-CL-0016 \m²\36.92 \ 300" u="1"/>
        <s v="SABS1200 GA \CONCRETE (SMALL WORKS)/8.4\SCHEDULED CONCRETE ITEMS/8.4.2\Construct Blinding Layer using 15MPa concrete . Rate to allow for blinding to a nominal depth of 75 mm for all bases pertaining to the following structures:/\KS18_018-Concrete Drop Inlet. Drawing NBC-GTW-CL-0024 \m²\33.502 \ 300" u="1"/>
        <s v="SABS1200 GA \CONCRETE (SMALL WORKS)/8.4\SCHEDULED CONCRETE ITEMS/8.4.2\Construct Blinding Layer using 15MPa concrete . Rate to allow for blinding to a nominal depth of 75 mm for all bases pertaining to the following structures:/\KS21_009-Concrete Drop Inlet. Drawing NBC-GTW-CL-0043 \m²\38.584 \ 300" u="1"/>
        <s v="SABS1200 GA \CONCRETE (SMALL WORKS)/8.4\SCHEDULED CONCRETE ITEMS/8.4.2\Construct Blinding Layer using 15MPa concrete . Rate to allow for blinding to a nominal depth of 75 mm for all bases pertaining to the following structures:/\KS20_009_b-Concrete Overflow Wall. Drawing NBC-GTW-CL-0035 \m²\10.65 \ 300" u="1"/>
        <s v="SABS1200 GA \CONCRETE (SMALL WORKS)/8.4\SCHEDULED CONCRETE ITEMS/8.4.2\Construct Blinding Layer using 15MPa concrete . Rate to allow for blinding to a nominal depth of 75 mm for all bases pertaining to the following structures:/\KS18_015-Concrete Drop Inlet. Drawing NBC-GTW-CL-0021 \m²\46.216 \ 300" u="1"/>
        <s v="SABS1200 GA \CONCRETE (SMALL WORKS)/8.4\SCHEDULED CONCRETE ITEMS/8.4.2\Construct Blinding Layer using 15MPa concrete . Rate to allow for blinding to a nominal depth of 75 mm for all bases pertaining to the following structures:/\KS20_008-Concrete Drop Inlet. Drawing NBC-GTW-CL-0034 \m²\65.712 \ 300" u="1"/>
        <s v="SABS1200 GA \CONCRETE (SMALL WORKS)/8.4\SCHEDULED CONCRETE ITEMS/8.4.2\Construct Blinding Layer using 15MPa concrete . Rate to allow for blinding to a nominal depth of 75 mm for all bases pertaining to the following structures:/\KS20_005-Concrete Drop Inlet. Drawing NBC-GTW-CL-0031 \m²\65.95 \ 300" u="1"/>
        <s v="SABS1200 GA \CONCRETE (SMALL WORKS)/8.4\SCHEDULED CONCRETE ITEMS/8.4.2\Construct Blinding Layer using 15MPa concrete . Rate to allow for blinding to a nominal depth of 75 mm for all bases pertaining to the following structures:/\KS20_003-Concrete Buttress Weir. Drawing NBC-GTW-CL-0029 \m²\81.26 \ 300" u="1"/>
        <s v="SABS1200 GA \CONCRETE (SMALL WORKS)/8.4\SCHEDULED CONCRETE ITEMS/8.4.2\Construct Blinding Layer using 15MPa concrete . Rate to allow for blinding to a nominal depth of 75 mm for all bases pertaining to the following structures:/\KS13_004-Concrete Drop Inlet. Drawing NBC-GTW-CL-0010 \m²\38.69 \ 300" u="1"/>
        <s v="SABS1200 GA \CONCRETE (SMALL WORKS)/8.4\SCHEDULED CONCRETE ITEMS/8.4.2\Construct Blinding Layer using 15MPa concrete . Rate to allow for blinding to a nominal depth of 75 mm for all bases pertaining to the following structures:/\KS18_016-Concrete Drop Inlet. Drawing NBC-GTW-CL-0022 \m²\38.236 \ 300" u="1"/>
        <s v="SABS1200 GA \CONCRETE (SMALL WORKS)/8.4\SCHEDULED CONCRETE ITEMS/8.4.2\Construct Blinding Layer using 15MPa concrete . Rate to allow for blinding to a nominal depth of 75 mm for all bases pertaining to the following structures:/\KS20_007-Concrete Drop Inlet. Drawing NBC-GTW-CL-0033 \m²\52.642 \ 300" u="1"/>
        <s v="SABS1200 GA \CONCRETE (SMALL WORKS)/8.4\SCHEDULED CONCRETE ITEMS/8.4.2\Construct Blinding Layer using 15MPa concrete . Rate to allow for blinding to a nominal depth of 75 mm for all bases pertaining to the following structures:/\KS20_004-Concrete Drop Inlet. Drawing NBC-GTW-CL-0030 \m²\54.552 \ 300" u="1"/>
        <s v="SABS1200 GA \CONCRETE (SMALL WORKS)/8.4\SCHEDULED CONCRETE ITEMS/8.4.2\Construct Blinding Layer using 15MPa concrete . Rate to allow for blinding to a nominal depth of 75 mm for all bases pertaining to the following structures:/\KS18_001-Concrete Drop Inlet. Drawing NBC-GTW-CL-0019 \m²\71.536 \ 300" u="1"/>
        <s v="SABS1200 GA \CONCRETE (SMALL WORKS)/8.4\SCHEDULED CONCRETE ITEMS/8.4.2\Construct Blinding Layer using 15MPa concrete . Rate to allow for blinding to a nominal depth of 75 mm for all bases pertaining to the following structures:/\KS20_006-Concrete Drop Inlet. Drawing NBC-GTW-CL-0032 \m²\61.315 \ 300" u="1"/>
        <s v="SABS1200 GA \CONCRETE (SMALL WORKS)/8.4\SCHEDULED CONCRETE ITEMS/8.4.2\Construct Blinding Layer using 15MPa concrete . Rate to allow for blinding to a nominal depth of 75 mm for all bases pertaining to the following structures:/\KS21_005-Concrete Drop Inlet. Drawing NBC-GTW-CL-0040 \m²\45.451 \ 300" u="1"/>
        <s v="SABS1200 GA \CONCRETE (SMALL WORKS)/8.4\SCHEDULED CONCRETE ITEMS/8.4.2\Construct Blinding Layer using 15MPa concrete . Rate to allow for blinding to a nominal depth of 75 mm for all bases pertaining to the following structures:/\KS20_009_a-Concrete Buttress Weir. Drawing NBC-GTW-CL-0035 \m²\81.41 \ 300" u="1"/>
        <s v="SABS1200 GA \CONCRETE (SMALL WORKS)/8.4\SCHEDULED CONCRETE ITEMS/8.4.2\Construct Blinding Layer using 15MPa concrete . Rate to allow for blinding to a nominal depth of 75 mm for all bases pertaining to the following structures:/\KS18_019-Concrete Drop Inlet. Drawing NBC-GTW-CL-0025 \m²\34.736 \ 300" u="1"/>
        <s v="SABS1200 GA \CONCRETE (SMALL WORKS)/8.4\SCHEDULED CONCRETE ITEMS/8.4.2\Construct Blinding Layer using 15MPa concrete . Rate to allow for blinding to a nominal depth of 75 mm for all bases pertaining to the following structures:/\KS13_005-Concrete Drop Inlet. Drawing NBC-GTW-CL-0011 \m²\41.124 \ 300" u="1"/>
        <s v="SABS1200 GA \CONCRETE (SMALL WORKS)/8.4\SCHEDULED CONCRETE ITEMS/8.4.2\Construct Blinding Layer using 15MPa concrete . Rate to allow for blinding to a nominal depth of 75 mm for all bases pertaining to the following structures:/\KS13_006-Concrete Drop Inlet. Drawing NBC-GTW-CL-0012 \m²\41.124 \ 300" u="1"/>
        <s v="SABS1200 GA \CONCRETE (SMALL WORKS)/8.4\SCHEDULED CONCRETE ITEMS/8.4.2\Construct Blinding Layer using 15MPa concrete . Rate to allow for blinding to a nominal depth of 75 mm for all bases pertaining to the following structures:/\KS13_007-Concrete Drop Inlet. Drawing NBC-GTW-CL-0013 \m²\37.12 \ 300" u="1"/>
        <s v="SABS1200 GA \CONCRETE (SMALL WORKS)/8.4\SCHEDULED CONCRETE ITEMS/8.4.2\Construct Blinding Layer using 15MPa concrete . Rate to allow for blinding to a nominal depth of 75 mm for all bases pertaining to the following structures:/\KS13_013-Concrete Drop Inlet. Drawing NBC-GTW-CL-0017 \m²\41.704 \ 300" u="1"/>
        <s v="SABS1200 GA \CONCRETE (SMALL WORKS)/8.4\SCHEDULED CONCRETE ITEMS/8.4.2\Construct Blinding Layer using 15MPa concrete . Rate to allow for blinding to a nominal depth of 75 mm for all bases pertaining to the following structures:/\KS13_015-Concrete Drop Inlet. Drawing NBC-GTW-CL-0018 \m²\41.704 \ 300" u="1"/>
        <s v="SABS1200 GA \CONCRETE (SMALL WORKS)/8.4\SCHEDULED CONCRETE ITEMS/8.4.2\Construct Blinding Layer using 15MPa concrete . Rate to allow for blinding to a nominal depth of 75 mm for all bases pertaining to the following structures:/\KS21_006-Concrete Drop Inlet. Drawing NBC-GTW-CL-0041 \m²\46.002 \ 300" u="1"/>
        <s v="SABS1200 GA \CONCRETE (SMALL WORKS)/8.4\SCHEDULED CONCRETE ITEMS/8.4.2\Construct Blinding Layer using 15MPa concrete . Rate to allow for blinding to a nominal depth of 75 mm for all bases pertaining to the following structures:/\KS13_008-Concrete Drop Inlet. Drawing NBC-GTW-CL-0014 \m²\47.264 \ 300" u="1"/>
        <s v="SABS1200 GA \CONCRETE (SMALL WORKS)/8.4\SCHEDULED CONCRETE ITEMS/8.4.2\Construct Blinding Layer using 15MPa concrete . Rate to allow for blinding to a nominal depth of 75 mm for all bases pertaining to the following structures:/\KS18_017-Concrete Drop Inlet. Drawing NBC-GTW-CL-0023 \m²\37.508 \ 300" u="1"/>
        <s v="SABS1200 GA \CONCRETE (SMALL WORKS)/8.4\SCHEDULED CONCRETE ITEMS/8.4.2\Construct Blinding Layer using 15MPa concrete . Rate to allow for blinding to a nominal depth of 75 mm for all bases pertaining to the following structures:/\KS18_020-Concrete Drop Inlet associated with Road Culvert  \m²\42.822 \ 300" u="1"/>
        <s v="SABS1200 GA \CONCRETE (SMALL WORKS)/8.4\SCHEDULED CONCRETE ITEMS/8.4.2\Construct Blinding Layer using 15MPa concrete . Rate to allow for blinding to a nominal depth of 75 mm for all bases pertaining to the following structures:/\KS21_007-Concrete Drop Inlet. Drawing NBC-GTW-CL-0042 \m²\39.824 \ 300" u="1"/>
      </sharedItems>
    </cacheField>
    <cacheField name="Reinforcement High Tensile bars" numFmtId="0">
      <sharedItems count="6" longText="1">
        <s v=" "/>
        <s v="SABS1200 GA \CONCRETE (SMALL WORKS)/8.3\SCHEDULED REINFORCEMENT ITEMS/8.3.1 \High-Tensile Steel Bars. Rate to include  cutting to length, bending as specified, transport to site and fixing. /\ks11-002b-Concrete Splash Through Structure. Drawing NBC-GTW-CL-0067 \kg\98 \ 18"/>
        <s v="SABS1200 GA \CONCRETE (SMALL WORKS)/8.3\SCHEDULED REINFORCEMENT ITEMS/8.3.1 \High-Tensile Steel Bars. Rate to include  cutting to length, bending as specified, transport to site and fixing. /\ks11-004b-Concrete Splash Through Structure. Drawing NBC-GTW-CL-0068 \kg\98 \ 18"/>
        <s v="SABS1200 GA \CONCRETE (SMALL WORKS)/8.3\SCHEDULED REINFORCEMENT ITEMS/8.3.1 \High-Tensile Steel Bars. Rate to include  cutting to length, bending as specified, transport to site and fixing. /\KS12_002-Concrete Drop Inlet. Drawing NBC-GTW-CL-0002 \kg\30 \ 18"/>
        <s v="SABS1200 GA \CONCRETE (SMALL WORKS)/8.3\SCHEDULED REINFORCEMENT ITEMS/8.3.1 \High-Tensile Steel Bars. Rate to include  cutting to length, bending as specified, transport to site and fixing. /\KS20_009_b-Concrete Overflow Wall. Drawing NBC-GTW-CL-0035 \kg\150 \ 18" u="1"/>
        <s v="SABS1200 GA \CONCRETE (SMALL WORKS)/8.3\SCHEDULED REINFORCEMENT ITEMS/8.3.1 \High-Tensile Steel Bars. Rate to include  cutting to length, bending as specified, transport to site and fixing. /\KS20_009_a-Concrete Buttress Weir. Drawing NBC-GTW-CL-0035 \kg\50 \ 18" u="1"/>
      </sharedItems>
    </cacheField>
    <cacheField name="Reinforcement Mild Tensile bars" numFmtId="0">
      <sharedItems count="2">
        <s v=" "/>
        <s v="SABS1200 GA \CONCRETE (SMALL WORKS)/8.3\SCHEDULED REINFORCEMENT ITEMS/8.3.1\Mild-Tensile Steel Bars. Rate to include  cutting to length, bending as specified, transport to site and fixing. /\KS20_009_a-1. Drawing NBC-GTW-CL-0035 \kg\32 \ 15" u="1"/>
      </sharedItems>
    </cacheField>
    <cacheField name="High tensile Welded Mesh 1" numFmtId="0">
      <sharedItems count="50">
        <s v=" "/>
        <s v="SABS1200 GA \CONCRETE (SMALL WORKS)/8.3\SCHEDULED REINFORCEMENT ITEMS/8.3.2\High-Tensile Welded Mesh-Ref 395 /\ks11-001-Off-take structure  \m²\7.5 \ 20"/>
        <s v="SABS1200 GA \CONCRETE (SMALL WORKS)/8.3\SCHEDULED REINFORCEMENT ITEMS/8.3.2\High-Tensile Welded Mesh-Ref 888 /\ks11-002a-Concrete Drop Inlet on Dam Wall  \m²\89.6992 \ 20"/>
        <s v="SABS1200 GA \CONCRETE (SMALL WORKS)/8.3\SCHEDULED REINFORCEMENT ITEMS/8.3.2\High-Tensile Welded Mesh-Ref 617 /\ks11-002b-Concrete Splash Through Structure. Drawing NBC-GTW-CL-0067 \m²\64 \ 20"/>
        <s v="SABS1200 GA \CONCRETE (SMALL WORKS)/8.3\SCHEDULED REINFORCEMENT ITEMS/8.3.2\High-Tensile Welded Mesh-Ref 888 /\ks11-004a-Concrete Drop Inlet on Dam Wall  \m²\89.6992 \ 20"/>
        <s v="SABS1200 GA \CONCRETE (SMALL WORKS)/8.3\SCHEDULED REINFORCEMENT ITEMS/8.3.2\High-Tensile Welded Mesh-Ref617 /\ks11-004b-Concrete Splash Through Structure. Drawing NBC-GTW-CL-0068 \m²\64 \ 20"/>
        <s v="SABS1200 GA \CONCRETE (SMALL WORKS)/8.3\SCHEDULED REINFORCEMENT ITEMS/8.3.2\High-Tensile Welded Mesh-Mesh 395 /\KS12_001-Pipe Culvert. Drawing NBC-GTW-CL-0069 \m²\3 \ 20"/>
        <s v="SABS1200 GA \CONCRETE (SMALL WORKS)/8.3\SCHEDULED REINFORCEMENT ITEMS/8.3.2\High-Tensile Welded Mesh-Ref 888 /\KS12_002-Concrete Drop Inlet. Drawing NBC-GTW-CL-0002 \m²\23 \ 20"/>
        <s v="SABS1200 GA \CONCRETE (SMALL WORKS)/8.3\SCHEDULED REINFORCEMENT ITEMS/8.3.2\High-Tensile Welded Mesh-Ref 888 /\KS12_004-Concrete Drop Inlet. Drawing NBC-GTW-CL-0003 \m²\22.0008 \ 20"/>
        <s v="SABS1200 GA \CONCRETE (SMALL WORKS)/8.3\SCHEDULED REINFORCEMENT ITEMS/8.3.2\High-Tensile Welded Mesh-Ref 888 /\KS12_005-Concrete Drop Inlet. Drawing NBC-GTW-CL-0004 \m²\17.595592 \ 20"/>
        <s v="SABS1200 GA \CONCRETE (SMALL WORKS)/8.3\SCHEDULED REINFORCEMENT ITEMS/8.3.2\High-Tensile Welded Mesh-Ref 888 /\KS12_006-Concrete Drop Inlet. Drawing NBC-GTW-CL-0005 \m²\15.6462 \ 20"/>
        <s v="SABS1200 GA \CONCRETE (SMALL WORKS)/8.3\SCHEDULED REINFORCEMENT ITEMS/8.3.2\High-Tensile Welded Mesh-Ref 888 /\KS12_007-Concrete Drop Inlet. Drawing NBC-GTW-CL-0006 \m²\16 \ 20"/>
        <s v="SABS1200 GA \CONCRETE (SMALL WORKS)/8.3\SCHEDULED REINFORCEMENT ITEMS/8.3.2\High-Tensile Welded Mesh-Ref 888 /\KS12_008-Concrete Drop Inlet. Drawing NBC-GTW-CL-0007 \m²\12.5 \ 20"/>
        <s v="SABS1200 GA \CONCRETE (SMALL WORKS)/8.3\SCHEDULED REINFORCEMENT ITEMS/8.3.2\High-Tensile Welded Mesh-Ref 888 /\KS12_009-Concrete Drop Inlet. Drawing NBC-GTW-CL-0008 \m²\7.5 \ 20"/>
        <s v="SABS1200 GA \CONCRETE (SMALL WORKS)/8.3\SCHEDULED REINFORCEMENT ITEMS/8.3.2\High-Tensile Welded Mesh-Ref 888 /\KS13_003-Concrete Drop Inlet. Drawing NBC-GTW-CL-0009 \m²\21.55892 \ 20"/>
        <s v="SABS1200 GA \CONCRETE (SMALL WORKS)/8.3\SCHEDULED REINFORCEMENT ITEMS/8.3.2\High-Tensile Welded Mesh-Ref 888 /\KS19_002-Concrete Drop Inlet. Drawing NBC-GTW-CL-0026 \m²\22.33528 \ 20"/>
        <s v="SABS1200 GA \CONCRETE (SMALL WORKS)/8.3\SCHEDULED REINFORCEMENT ITEMS/8.3.2\High-Tensile Welded Mesh-Ref 888 /\KS20_001-Concrete Drop Inlet. Drawing NBC-GTW-CL-0027 \m²\16.46892 \ 20"/>
        <s v="SABS1200 GA \CONCRETE (SMALL WORKS)/8.3\SCHEDULED REINFORCEMENT ITEMS/8.3.2\High-Tensile Welded Mesh-Ref 888 /\KS21_003-Concrete Drop Inlet. Drawing NBC-GTW-CL-0039 \m²\23.8326 \ 20"/>
        <s v="SABS1200 GA \CONCRETE (SMALL WORKS)/8,3\SCHEDULED REINFORCEMENT ITEMS/8.3.2\High-Tensile Welded Mesh-Ref 888 /\KS21_005-Concrete Drop Inlet. Drawing NBC-GTW-CL-0040 \m²\23,8326 \ 20"/>
        <s v="SABS1200 GA \CONCRETE (SMALL WORKS)/8.3\SCHEDULED REINFORCEMENT ITEMS/8.3.2\High-Tensile Welded Mesh-Ref 888 /\KS20_004-Concrete Drop Inlet. Drawing NBC-GTW-CL-0030 \m²\24.62688 \ 20" u="1"/>
        <s v="SABS1200 GA \CONCRETE (SMALL WORKS)/8.3\SCHEDULED REINFORCEMENT ITEMS/8.3.2\High-Tensile Welded Mesh-Ref 888 /\KS20_006-Concrete Drop Inlet. Drawing NBC-GTW-CL-0032 \m²\29.99772 \ 20" u="1"/>
        <s v="SABS1200 GA \CONCRETE (SMALL WORKS)/8.3\SCHEDULED REINFORCEMENT ITEMS/8.3.2\High-Tensile Welded Mesh-Ref 888 /\KS18_016-Concrete Drop Inlet. Drawing NBC-GTW-CL-0022 \m²\17.36952 \ 20" u="1"/>
        <s v="SABS1200 GA \CONCRETE (SMALL WORKS)/8.3\SCHEDULED REINFORCEMENT ITEMS/8.3.2\High-Tensile Welded Mesh-Ref 888 /\KS20_009_a-Concrete Buttress Weir. Drawing NBC-GTW-CL-0035 \m²\49.206832 \ 20" u="1"/>
        <s v="SABS1200 GA \CONCRETE (SMALL WORKS)/8.3\SCHEDULED REINFORCEMENT ITEMS/8.3.2\High-Tensile Welded Mesh-Ref 888 /\KS21_006-Concrete Drop Inlet. Drawing NBC-GTW-CL-0041 \m²\24.78818 \ 20" u="1"/>
        <s v="SABS1200 GA \CONCRETE (SMALL WORKS)/8.3\SCHEDULED REINFORCEMENT ITEMS/8.3.2\High-Tensile Welded Mesh-Ref 888 /\KS13_006-Concrete Drop Inlet. Drawing NBC-GTW-CL-0012 \m²\24.278 \ 20" u="1"/>
        <s v="SABS1200 GA \CONCRETE (SMALL WORKS)/8.3\SCHEDULED REINFORCEMENT ITEMS/8.3.2\High-Tensile Welded Mesh-Ref 888 /\KS20_008-Concrete Drop Inlet. Drawing NBC-GTW-CL-0034 \m²\33.41 \ 20" u="1"/>
        <s v="SABS1200 GA \CONCRETE (SMALL WORKS)/8.3\SCHEDULED REINFORCEMENT ITEMS/8.3.2\High-Tensile Welded Mesh-Ref 888 /\KS18_019-Concrete Drop Inlet. Drawing NBC-GTW-CL-0025 \m²\18.13032 \ 20" u="1"/>
        <s v="SABS1200 GA \CONCRETE (SMALL WORKS)/8.3\SCHEDULED REINFORCEMENT ITEMS/8.3.2\High-Tensile Welded Mesh-Ref 888 /\KS18_020-Concrete Drop Inlet associated with Road Culvert  \m²\19.49628 \ 20" u="1"/>
        <s v="SABS1200 GA \CONCRETE (SMALL WORKS)/8.3\SCHEDULED REINFORCEMENT ITEMS/8.3.2\High-Tensile Welded Mesh-Ref 888 /\KS21_009-Concrete Drop Inlet. Drawing NBC-GTW-CL-0043 \m²\19.8378 \ 20" u="1"/>
        <s v="SABS1200 GA \CONCRETE (SMALL WORKS)/8.3\SCHEDULED REINFORCEMENT ITEMS/8.3.2\High-Tensile Welded Mesh-Ref 888 /\KS18_017-Concrete Drop Inlet. Drawing NBC-GTW-CL-0023 \m²\17.922 \ 20" u="1"/>
        <s v="SABS1200 GA \CONCRETE (SMALL WORKS)/8.3\SCHEDULED REINFORCEMENT ITEMS/8.3.2\High-Tensile Welded Mesh-Ref 888 /\KS13_005-Concrete Drop Inlet. Drawing NBC-GTW-CL-0011 \m²\24.02328 \ 20" u="1"/>
        <s v="SABS1200 GA \CONCRETE (SMALL WORKS)/8.3\SCHEDULED REINFORCEMENT ITEMS/8.3.2\High-Tensile Welded Mesh-Ref 888 /\KS21_005-Concrete Drop Inlet. Drawing NBC-GTW-CL-0040 \m²\24.54506 \ 20" u="1"/>
        <s v="SABS1200 GA \CONCRETE (SMALL WORKS)/8.3\SCHEDULED REINFORCEMENT ITEMS/8.3.2\High-Tensile Welded Mesh-Ref 888 /\KS13_008-Concrete Drop Inlet. Drawing NBC-GTW-CL-0014 \m²\26.08944 \ 20" u="1"/>
        <s v="SABS1200 GA \CONCRETE (SMALL WORKS)/8.3\SCHEDULED REINFORCEMENT ITEMS/8.3.2\High-Tensile Welded Mesh-Ref 888 /\KS13_004-Concrete Drop Inlet. Drawing NBC-GTW-CL-0010 \m²\18.87844 \ 20" u="1"/>
        <s v="SABS1200 GA \CONCRETE (SMALL WORKS)/8.3\SCHEDULED REINFORCEMENT ITEMS/8.3.2\High-Tensile Welded Mesh-Ref 888 /\KS21_010-Concrete Drop Inlet. Drawing NBC-GTW-CL-0044 \m²\19.3479 \ 20" u="1"/>
        <s v="SABS1200 GA \CONCRETE (SMALL WORKS)/8.3\SCHEDULED REINFORCEMENT ITEMS/8.3.2\High-Tensile Welded Mesh-Ref 888 /\KS13_013-Concrete Drop Inlet. Drawing NBC-GTW-CL-0017 \m²\21.48552 \ 20" u="1"/>
        <s v="SABS1200 GA \CONCRETE (SMALL WORKS)/8.3\SCHEDULED REINFORCEMENT ITEMS/8.3.2\High-Tensile Welded Mesh-Ref 888 /\KS13_011-Concrete Drop Inlet. Drawing NBC-GTW-CL-0015 \m²\21.5 \ 20" u="1"/>
        <s v="SABS1200 GA \CONCRETE (SMALL WORKS)/8.3\SCHEDULED REINFORCEMENT ITEMS/8.3.2\High-Tensile Welded Mesh-Ref 888 /\KS13_015-Concrete Drop Inlet. Drawing NBC-GTW-CL-0018 \m²\23.29992 \ 20" u="1"/>
        <s v="SABS1200 GA \CONCRETE (SMALL WORKS)/8.3\SCHEDULED REINFORCEMENT ITEMS/8.3.2\High-Tensile Welded Mesh-Ref 888 /\KS13_012-Concrete Drop Inlet. Drawing NBC-GTW-CL-0016 \m²\16.8548 \ 20" u="1"/>
        <s v="SABS1200 GA \CONCRETE (SMALL WORKS)/8.3\SCHEDULED REINFORCEMENT ITEMS/8.3.2\High-Tensile Welded Mesh-Ref 888 /\KS21_007-Concrete Drop Inlet. Drawing NBC-GTW-CL-0042 \m²\20.68352 \ 20" u="1"/>
        <s v="SABS1200 GA \CONCRETE (SMALL WORKS)/8.3\SCHEDULED REINFORCEMENT ITEMS/8.3.2\High-Tensile Welded Mesh-Ref 888 /\KS13_007-Concrete Drop Inlet. Drawing NBC-GTW-CL-0013 \m²\18.99072 \ 20" u="1"/>
        <s v="SABS1200 GA \CONCRETE (SMALL WORKS)/8.3\SCHEDULED REINFORCEMENT ITEMS/8.3.2\High-Tensile Welded Mesh-Ref 888 /\KS20_002-Concrete Drop Inlet. Drawing NBC-GTW-CL-0028 \m²\25.5606 \ 20" u="1"/>
        <s v="SABS1200 GA \CONCRETE (SMALL WORKS)/8.3\SCHEDULED REINFORCEMENT ITEMS/8.3.2\High-Tensile Welded Mesh-Ref 888 /\KS18_001-Concrete Drop Inlet. Drawing NBC-GTW-CL-0019 \m²\37.21536 \ 20" u="1"/>
        <s v="SABS1200 GA \CONCRETE (SMALL WORKS)/8.3\SCHEDULED REINFORCEMENT ITEMS/8.3.2\High-Tensile Welded Mesh-Ref 888 /\KS20_005-Concrete Drop Inlet. Drawing NBC-GTW-CL-0031 \m²\31.90684 \ 20" u="1"/>
        <s v="SABS1200 GA \CONCRETE (SMALL WORKS)/8.3\SCHEDULED REINFORCEMENT ITEMS/8.3.2\High-Tensile Welded Mesh-Ref 888 /\KS20_003-Concrete Buttress Weir. Drawing NBC-GTW-CL-0029 \m²\41.260352 \ 20" u="1"/>
        <s v="SABS1200 GA \CONCRETE (SMALL WORKS)/8.3\SCHEDULED REINFORCEMENT ITEMS/8.3.2\High-Tensile Welded Mesh-Ref 888 /\KS20_007-Concrete Drop Inlet. Drawing NBC-GTW-CL-0033 \m²\24.11068 \ 20" u="1"/>
        <s v="SABS1200 GA \CONCRETE (SMALL WORKS)/8.3\SCHEDULED REINFORCEMENT ITEMS/8.3.2\High-Tensile Welded Mesh-Ref 888 /\KS18_002-Concrete Drop Inlet. Drawing NBC-GTW-CL-0020 \m²\20.8292 \ 20" u="1"/>
        <s v="SABS1200 GA \CONCRETE (SMALL WORKS)/8.3\SCHEDULED REINFORCEMENT ITEMS/8.3.2\High-Tensile Welded Mesh-Ref 888 /\KS18_018-Concrete Drop Inlet. Drawing NBC-GTW-CL-0024 \m²\15.01908 \ 20" u="1"/>
        <s v="SABS1200 GA \CONCRETE (SMALL WORKS)/8.3\SCHEDULED REINFORCEMENT ITEMS/8.3.2\High-Tensile Welded Mesh-Ref 888 /\KS18_015-Concrete Drop Inlet. Drawing NBC-GTW-CL-0021 \m²\23.7248 \ 20" u="1"/>
        <s v="SABS1200 GA \CONCRETE (SMALL WORKS)/8.3\SCHEDULED REINFORCEMENT ITEMS/8.3.2\High-Tensile Welded Mesh-Ref 617 /\KS20_009_b-Concrete Overflow Wall. Drawing NBC-GTW-CL-0035 \m²\9 \ 20" u="1"/>
      </sharedItems>
    </cacheField>
    <cacheField name="High tensile Welded Mesh 2" numFmtId="0">
      <sharedItems count="46">
        <s v=" "/>
        <s v="SABS1200 GA \CONCRETE (SMALL WORKS)/8.3\SCHEDULED REINFORCEMENT ITEMS/8.3.2\High-Tensile Welded Mesh-Ref 943 /\ks11-002a-Concrete Drop Inlet on Dam Wall  \m²\82.1744 \ 20"/>
        <s v="SABS1200 GA \CONCRETE (SMALL WORKS)/8.3\SCHEDULED REINFORCEMENT ITEMS/8.3.2\High-Tensile Welded Mesh-Ref 943 /\ks11-004a-Concrete Drop Inlet on Dam Wall  \m²\82.1744 \ 20"/>
        <s v="SABS1200 GA \CONCRETE (SMALL WORKS)/8.3\SCHEDULED REINFORCEMENT ITEMS/8.3.2\High-Tensile Welded Mesh-Ref 617 /\KS12_002-Concrete Drop Inlet. Drawing NBC-GTW-CL-0002 \m²\38 \ 20"/>
        <s v="SABS1200 GA \CONCRETE (SMALL WORKS)/8.3\SCHEDULED REINFORCEMENT ITEMS/8.3.2\High-Tensile Welded Mesh-Ref 655 /\KS12_004-Concrete Drop Inlet. Drawing NBC-GTW-CL-0003 \m²\30.0464 \ 20"/>
        <s v="SABS1200 GA \CONCRETE (SMALL WORKS)/8.3\SCHEDULED REINFORCEMENT ITEMS/8.3.2\High-Tensile Welded Mesh-Ref 655 /\KS12_005-Concrete Drop Inlet. Drawing NBC-GTW-CL-0004 \m²\24.34752 \ 20"/>
        <s v="SABS1200 GA \CONCRETE (SMALL WORKS)/8.3\SCHEDULED REINFORCEMENT ITEMS/8.3.2\High-Tensile Welded Mesh-Ref 617 /\KS12_006-Concrete Drop Inlet. Drawing NBC-GTW-CL-0005 \m²\21.4668 \ 20"/>
        <s v="SABS1200 GA \CONCRETE (SMALL WORKS)/8.3\SCHEDULED REINFORCEMENT ITEMS/8.3.2\High-Tensile Welded Mesh-Ref 655 /\KS12_007-Concrete Drop Inlet. Drawing NBC-GTW-CL-0006 \m²\23.4144 \ 20"/>
        <s v="SABS1200 GA \CONCRETE (SMALL WORKS)/8.3\SCHEDULED REINFORCEMENT ITEMS/8.3.2\High-Tensile Welded Mesh-Ref 617 /\KS12_008-Concrete Drop Inlet. Drawing NBC-GTW-CL-0007 \m²\19.4568 \ 20"/>
        <s v="SABS1200 GA \CONCRETE (SMALL WORKS)/8.3\SCHEDULED REINFORCEMENT ITEMS/8.3.2\High-Tensile Welded Mesh-Ref 617 /\KS12_009-Concrete Drop Inlet. Drawing NBC-GTW-CL-0008 \m²\15.1152 \ 20"/>
        <s v="SABS1200 GA \CONCRETE (SMALL WORKS)/8.3\SCHEDULED REINFORCEMENT ITEMS/8.3.2\High-Tensile Welded Mesh-Ref 655 /\KS13_003-Concrete Drop Inlet. Drawing NBC-GTW-CL-0009 \m²\35.5224 \ 20"/>
        <s v="SABS1200 GA \CONCRETE (SMALL WORKS)/8.3\SCHEDULED REINFORCEMENT ITEMS/8.3.2\High-Tensile Welded Mesh-Ref 655 /\KS19_002-Concrete Drop Inlet. Drawing NBC-GTW-CL-0026 \m²\27.8256 \ 20"/>
        <s v="SABS1200 GA \CONCRETE (SMALL WORKS)/8.3\SCHEDULED REINFORCEMENT ITEMS/8.3.2\High-Tensile Welded Mesh-Ref 655 /\KS20_001-Concrete Drop Inlet. Drawing NBC-GTW-CL-0027 \m²\30.6176 \ 20"/>
        <s v="SABS1200 GA \CONCRETE (SMALL WORKS)/8.3\SCHEDULED REINFORCEMENT ITEMS/8.3.2\High-Tensile Welded Mesh-Ref 655 /\KS21_003-Concrete Drop Inlet. Drawing NBC-GTW-CL-0039 \m²\42.5784 \ 20"/>
        <s v="SABS1200 GA \CONCRETE (SMALL WORKS)/8,3\SCHEDULED REINFORCEMENT ITEMS/8.3.2\High-Tensile Welded Mesh-Ref 655 /\KS21_005-Concrete Drop Inlet. Drawing NBC-GTW-CL-0040 \m²\42,5784 \ 20"/>
        <s v="SABS1200 GA \CONCRETE (SMALL WORKS)/8.3\SCHEDULED REINFORCEMENT ITEMS/8.3.2\High-Tensile Welded Mesh-Ref 655 /\KS13_004-Concrete Drop Inlet. Drawing NBC-GTW-CL-0010 \m²\31.2052 \ 20" u="1"/>
        <s v="SABS1200 GA \CONCRETE (SMALL WORKS)/8.3\SCHEDULED REINFORCEMENT ITEMS/8.3.2\High-Tensile Welded Mesh-Ref 772 /\KS20_005-Concrete Drop Inlet. Drawing NBC-GTW-CL-0031 \m²\53.3484 \ 20" u="1"/>
        <s v="SABS1200 GA \CONCRETE (SMALL WORKS)/8.3\SCHEDULED REINFORCEMENT ITEMS/8.3.2\High-Tensile Welded Mesh-Ref 772 /\KS20_006-Concrete Drop Inlet. Drawing NBC-GTW-CL-0032 \m²\48.3894 \ 20" u="1"/>
        <s v="SABS1200 GA \CONCRETE (SMALL WORKS)/8.3\SCHEDULED REINFORCEMENT ITEMS/8.3.2\High-Tensile Welded Mesh-Ref 655 /\KS20_009_a-Concrete Buttress Weir. Drawing NBC-GTW-CL-0035 \m²\63.18832 \ 20" u="1"/>
        <s v="SABS1200 GA \CONCRETE (SMALL WORKS)/8.3\SCHEDULED REINFORCEMENT ITEMS/8.3.2\High-Tensile Welded Mesh-Ref 655 /\KS13_013-Concrete Drop Inlet. Drawing NBC-GTW-CL-0017 \m²\34.1712 \ 20" u="1"/>
        <s v="SABS1200 GA \CONCRETE (SMALL WORKS)/8.3\SCHEDULED REINFORCEMENT ITEMS/8.3.2\High-Tensile Welded Mesh-Ref 655 /\KS13_015-Concrete Drop Inlet. Drawing NBC-GTW-CL-0018 \m²\34.1712 \ 20" u="1"/>
        <s v="SABS1200 GA \CONCRETE (SMALL WORKS)/8.3\SCHEDULED REINFORCEMENT ITEMS/8.3.2\High-Tensile Welded Mesh-Ref 655 /\KS13_011-Concrete Drop Inlet. Drawing NBC-GTW-CL-0015 \m²\33 \ 20" u="1"/>
        <s v="SABS1200 GA \CONCRETE (SMALL WORKS)/8.3\SCHEDULED REINFORCEMENT ITEMS/8.3.2\High-Tensile Welded Mesh-Ref 617 /\KS21_007-Concrete Drop Inlet. Drawing NBC-GTW-CL-0042 \m²\29.0048 \ 20" u="1"/>
        <s v="SABS1200 GA \CONCRETE (SMALL WORKS)/8.3\SCHEDULED REINFORCEMENT ITEMS/8.3.2\High-Tensile Welded Mesh-Ref 772 /\KS18_001-Concrete Drop Inlet. Drawing NBC-GTW-CL-0019 \m²\60.4352 \ 20" u="1"/>
        <s v="SABS1200 GA \CONCRETE (SMALL WORKS)/8.3\SCHEDULED REINFORCEMENT ITEMS/8.3.2\High-Tensile Welded Mesh-Ref 617 /\KS21_006-Concrete Drop Inlet. Drawing NBC-GTW-CL-0041 \m²\35.1436 \ 20" u="1"/>
        <s v="SABS1200 GA \CONCRETE (SMALL WORKS)/8.3\SCHEDULED REINFORCEMENT ITEMS/8.3.2\High-Tensile Welded Mesh-Ref 655 /\KS13_007-Concrete Drop Inlet. Drawing NBC-GTW-CL-0013 \m²\29.0304 \ 20" u="1"/>
        <s v="SABS1200 GA \CONCRETE (SMALL WORKS)/8.3\SCHEDULED REINFORCEMENT ITEMS/8.3.2\High-Tensile Welded Mesh-Ref 655 /\KS21_005-Concrete Drop Inlet. Drawing NBC-GTW-CL-0040 \m²\34.1398 \ 20" u="1"/>
        <s v="SABS1200 GA \CONCRETE (SMALL WORKS)/8.3\SCHEDULED REINFORCEMENT ITEMS/8.3.2\High-Tensile Welded Mesh-Ref 655 /\KS13_008-Concrete Drop Inlet. Drawing NBC-GTW-CL-0014 \m²\38.3616 \ 20" u="1"/>
        <s v="SABS1200 GA \CONCRETE (SMALL WORKS)/8.3\SCHEDULED REINFORCEMENT ITEMS/8.3.2\High-Tensile Welded Mesh-Ref 655 /\KS18_018-Concrete Drop Inlet. Drawing NBC-GTW-CL-0024 \m²\25.8028 \ 20" u="1"/>
        <s v="SABS1200 GA \CONCRETE (SMALL WORKS)/8.3\SCHEDULED REINFORCEMENT ITEMS/8.3.2\High-Tensile Welded Mesh-Ref 772 /\KS18_015-Concrete Drop Inlet. Drawing NBC-GTW-CL-0021 \m²\36.7488 \ 20" u="1"/>
        <s v="SABS1200 GA \CONCRETE (SMALL WORKS)/8.3\SCHEDULED REINFORCEMENT ITEMS/8.3.2\High-Tensile Welded Mesh-Ref 655 /\KS13_005-Concrete Drop Inlet. Drawing NBC-GTW-CL-0011 \m²\31.9992 \ 20" u="1"/>
        <s v="SABS1200 GA \CONCRETE (SMALL WORKS)/8.3\SCHEDULED REINFORCEMENT ITEMS/8.3.2\High-Tensile Welded Mesh-Ref 655 /\KS13_006-Concrete Drop Inlet. Drawing NBC-GTW-CL-0012 \m²\31.9992 \ 20" u="1"/>
        <s v="SABS1200 GA \CONCRETE (SMALL WORKS)/8.3\SCHEDULED REINFORCEMENT ITEMS/8.3.2\High-Tensile Welded Mesh-Ref 655 /\KS18_020-Concrete Drop Inlet associated with Road Culvert  \m²\33.7212 \ 20" u="1"/>
        <s v="SABS1200 GA \CONCRETE (SMALL WORKS)/8.3\SCHEDULED REINFORCEMENT ITEMS/8.3.2\High-Tensile Welded Mesh-Ref 655 /\KS18_017-Concrete Drop Inlet. Drawing NBC-GTW-CL-0023 \m²\29.116 \ 20" u="1"/>
        <s v="SABS1200 GA \CONCRETE (SMALL WORKS)/8.3\SCHEDULED REINFORCEMENT ITEMS/8.3.2\High-Tensile Welded Mesh-Ref 655 /\KS18_002-Concrete Drop Inlet. Drawing NBC-GTW-CL-0020 \m²\36.1224 \ 20" u="1"/>
        <s v="SABS1200 GA \CONCRETE (SMALL WORKS)/8.3\SCHEDULED REINFORCEMENT ITEMS/8.3.2\High-Tensile Welded Mesh-Ref 655 /\KS18_019-Concrete Drop Inlet. Drawing NBC-GTW-CL-0025 \m²\25.7472 \ 20" u="1"/>
        <s v="SABS1200 GA \CONCRETE (SMALL WORKS)/8.3\SCHEDULED REINFORCEMENT ITEMS/8.3.2\High-Tensile Welded Mesh-Ref 655 /\KS21_009-Concrete Drop Inlet. Drawing NBC-GTW-CL-0043 \m²\26.6976 \ 20" u="1"/>
        <s v="SABS1200 GA \CONCRETE (SMALL WORKS)/8.3\SCHEDULED REINFORCEMENT ITEMS/8.3.2\High-Tensile Welded Mesh-Ref 655 /\KS21_010-Concrete Drop Inlet. Drawing NBC-GTW-CL-0044 \m²\26.568 \ 20" u="1"/>
        <s v="SABS1200 GA \CONCRETE (SMALL WORKS)/8.3\SCHEDULED REINFORCEMENT ITEMS/8.3.2\High-Tensile Welded Mesh-Ref 655 /\KS13_012-Concrete Drop Inlet. Drawing NBC-GTW-CL-0016 \m²\28.536 \ 20" u="1"/>
        <s v="SABS1200 GA \CONCRETE (SMALL WORKS)/8.3\SCHEDULED REINFORCEMENT ITEMS/8.3.2\High-Tensile Welded Mesh-Ref 655 /\KS20_007-Concrete Drop Inlet. Drawing NBC-GTW-CL-0033 \m²\40.8628 \ 20" u="1"/>
        <s v="SABS1200 GA \CONCRETE (SMALL WORKS)/8.3\SCHEDULED REINFORCEMENT ITEMS/8.3.2\High-Tensile Welded Mesh-Ref 772 /\KS20_003-Concrete Buttress Weir. Drawing NBC-GTW-CL-0029 \m²\65.02272 \ 20" u="1"/>
        <s v="SABS1200 GA \CONCRETE (SMALL WORKS)/8.3\SCHEDULED REINFORCEMENT ITEMS/8.3.2\High-Tensile Welded Mesh-Ref 772 /\KS20_002-Concrete Drop Inlet. Drawing NBC-GTW-CL-0028 \m²\40.1376 \ 20" u="1"/>
        <s v="SABS1200 GA \CONCRETE (SMALL WORKS)/8.3\SCHEDULED REINFORCEMENT ITEMS/8.3.2\High-Tensile Welded Mesh-Ref 772 /\KS20_008-Concrete Drop Inlet. Drawing NBC-GTW-CL-0034 \m²\52.6336 \ 20" u="1"/>
        <s v="SABS1200 GA \CONCRETE (SMALL WORKS)/8.3\SCHEDULED REINFORCEMENT ITEMS/8.3.2\High-Tensile Welded Mesh-Ref 655 /\KS18_016-Concrete Drop Inlet. Drawing NBC-GTW-CL-0022 \m²\29.5176 \ 20" u="1"/>
        <s v="SABS1200 GA \CONCRETE (SMALL WORKS)/8.3\SCHEDULED REINFORCEMENT ITEMS/8.3.2\High-Tensile Welded Mesh-Ref 772 /\KS20_004-Concrete Drop Inlet. Drawing NBC-GTW-CL-0030 \m²\42.5952 \ 20" u="1"/>
        <s v="SABS1200 GA \CONCRETE (SMALL WORKS)/8.3\SCHEDULED REINFORCEMENT ITEMS/8.3.2\High-Tensile Welded Mesh-Ref 395 /\KS20_009_b-Concrete Overflow Wall. Drawing NBC-GTW-CL-0035 \m²\9 \ 20" u="1"/>
      </sharedItems>
    </cacheField>
    <cacheField name="Rough - Horizontal (85°-90°)2" numFmtId="0">
      <sharedItems count="1">
        <s v=" "/>
      </sharedItems>
    </cacheField>
    <cacheField name="Rough - Sloping (&gt;10°&lt;85°)2" numFmtId="0">
      <sharedItems count="46">
        <s v=" "/>
        <s v="SABS1200 GA \CONCRETE (SMALL WORKS)/8.2\SCHEDULED FORMWORK ITEMS/8.2.1\Rough Formwork - Sloping (&gt;10°&lt;85°). /\ks11-002a-Concrete Drop Inlet on Dam Wall  \m²\124.76995008702 \ 650"/>
        <s v="SABS1200 GA \CONCRETE (SMALL WORKS)/8.2\SCHEDULED FORMWORK ITEMS/8.2.1\Rough Formwork - Sloping (&gt;10°&lt;85°). /\ks11-004a-Concrete Drop Inlet on Dam Wall  \m²\124.76995008702 \ 650"/>
        <s v="SABS1200 GA \CONCRETE (SMALL WORKS)/8.2\SCHEDULED FORMWORK ITEMS/8.2.1\Rough Formwork - Sloping (&gt;10°&lt;85°). /\KS12_002-Concrete Drop Inlet. Drawing NBC-GTW-CL-0002 \m²\14 \ 650"/>
        <s v="SABS1200 GA \CONCRETE (SMALL WORKS)/8.2\SCHEDULED FORMWORK ITEMS/8.2.1\Rough Formwork - Sloping (&gt;10°&lt;85°). /\KS12_004-Concrete Drop Inlet. Drawing NBC-GTW-CL-0003 \m²\58.4070059649952 \ 650"/>
        <s v="SABS1200 GA \CONCRETE (SMALL WORKS)/8.2\SCHEDULED FORMWORK ITEMS/8.2.1\Rough Formwork - Sloping (&gt;10°&lt;85°). /\KS12_005-Concrete Drop Inlet. Drawing NBC-GTW-CL-0004 \m²\58.1500556713744 \ 650"/>
        <s v="SABS1200 GA \CONCRETE (SMALL WORKS)/8.2\SCHEDULED FORMWORK ITEMS/8.2.1\Rough Formwork - Sloping (&gt;10°&lt;85°). /\KS12_006-Concrete Drop Inlet. Drawing NBC-GTW-CL-0005 \m²\30.9852321055478 \ 650"/>
        <s v="SABS1200 GA \CONCRETE (SMALL WORKS)/8.2\SCHEDULED FORMWORK ITEMS/8.2.1\Rough Formwork - Sloping (&gt;10°&lt;85°). /\KS12_007-Concrete Drop Inlet. Drawing NBC-GTW-CL-0006 \m²\38.9264143183359 \ 650"/>
        <s v="SABS1200 GA \CONCRETE (SMALL WORKS)/8.2\SCHEDULED FORMWORK ITEMS/8.2.1\Rough Formwork - Sloping (&gt;10°&lt;85°). /\KS12_008-Concrete Drop Inlet. Drawing NBC-GTW-CL-0007 \m²\30.6856907895328 \ 650"/>
        <s v="SABS1200 GA \CONCRETE (SMALL WORKS)/8.2\SCHEDULED FORMWORK ITEMS/8.2.1\Rough Formwork - Sloping (&gt;10°&lt;85°). /\KS12_009-Concrete Drop Inlet. Drawing NBC-GTW-CL-0008 \m²\23.4752412582958 \ 650"/>
        <s v="SABS1200 GA \CONCRETE (SMALL WORKS)/8.2\SCHEDULED FORMWORK ITEMS/8.2.1\Rough Formwork - Sloping (&gt;10°&lt;85°). /\KS13_003-Concrete Drop Inlet. Drawing NBC-GTW-CL-0009 \m²\49.822834066672 \ 650"/>
        <s v="SABS1200 GA \CONCRETE (SMALL WORKS)/8.2\SCHEDULED FORMWORK ITEMS/8.2.1\Rough Formwork - Sloping (&gt;10°&lt;85°). /\KS19_002-Concrete Drop Inlet. Drawing NBC-GTW-CL-0026 \m²\46.0892027908199 \ 650"/>
        <s v="SABS1200 GA \CONCRETE (SMALL WORKS)/8.2\SCHEDULED FORMWORK ITEMS/8.2.1\Rough Formwork - Sloping (&gt;10°&lt;85°). /\KS20_001-Concrete Drop Inlet. Drawing NBC-GTW-CL-0027 \m²\38.0794658467317 \ 650"/>
        <s v="SABS1200 GA \CONCRETE (SMALL WORKS)/8.2\SCHEDULED FORMWORK ITEMS/8.2.1\Rough Formwork - Sloping (&gt;10°&lt;85°). /\KS21_003-Concrete Drop Inlet. Drawing NBC-GTW-CL-0039 \m²\40.8873193576764 \ 650"/>
        <s v="SABS1200 GA \CONCRETE (SMALL WORKS)/8,2\SCHEDULED FORMWORK ITEMS/8.2.1\Rough Formwork - Sloping (&gt;10°&lt;85°). /\KS21_005-Concrete Drop Inlet. Drawing NBC-GTW-CL-0040 \m²\40,8873193576764 \ 650"/>
        <s v="SABS1200 GA \CONCRETE (SMALL WORKS)/8.2\SCHEDULED FORMWORK ITEMS/8.2.1\Rough Formwork - Sloping (&gt;10°&lt;85°). /\KS20_007-Concrete Drop Inlet. Drawing NBC-GTW-CL-0033 \m²\59.5374174381272 \ 650" u="1"/>
        <s v="SABS1200 GA \CONCRETE (SMALL WORKS)/8.2\SCHEDULED FORMWORK ITEMS/8.2.1\Rough Formwork - Sloping (&gt;10°&lt;85°). /\KS20_003-Concrete Buttress Weir. Drawing NBC-GTW-CL-0029 \m²\61.3910444262817 \ 650" u="1"/>
        <s v="SABS1200 GA \CONCRETE (SMALL WORKS)/8.2\SCHEDULED FORMWORK ITEMS/8.2.1\Rough Formwork - Sloping (&gt;10°&lt;85°). /\KS13_007-Concrete Drop Inlet. Drawing NBC-GTW-CL-0013 \m²\47.2031779853186 \ 650" u="1"/>
        <s v="SABS1200 GA \CONCRETE (SMALL WORKS)/8.2\SCHEDULED FORMWORK ITEMS/8.2.1\Rough Formwork - Sloping (&gt;10°&lt;85°). /\KS20_009_a-Concrete Buttress Weir. Drawing NBC-GTW-CL-0035 \m²\70.1490045214263 \ 650" u="1"/>
        <s v="SABS1200 GA \CONCRETE (SMALL WORKS)/8.2\SCHEDULED FORMWORK ITEMS/8.2.1\Rough Formwork - Sloping (&gt;10°&lt;85°). /\KS20_002-Concrete Drop Inlet. Drawing NBC-GTW-CL-0028 \m²\56.8884402314798 \ 650" u="1"/>
        <s v="SABS1200 GA \CONCRETE (SMALL WORKS)/8.2\SCHEDULED FORMWORK ITEMS/8.2.1\Rough Formwork - Sloping (&gt;10°&lt;85°). /\KS21_006-Concrete Drop Inlet. Drawing NBC-GTW-CL-0041 \m²\45.348677435461 \ 650" u="1"/>
        <s v="SABS1200 GA \CONCRETE (SMALL WORKS)/8.2\SCHEDULED FORMWORK ITEMS/8.2.1\Rough Formwork - Sloping (&gt;10°&lt;85°). /\KS21_010-Concrete Drop Inlet. Drawing NBC-GTW-CL-0044 \m²\55.2431932328765 \ 650" u="1"/>
        <s v="SABS1200 GA \CONCRETE (SMALL WORKS)/8.2\SCHEDULED FORMWORK ITEMS/8.2.1\Rough Formwork - Sloping (&gt;10°&lt;85°). /\KS18_020-Concrete Drop Inlet associated with Road Culvert  \m²\57.6958279475728 \ 650" u="1"/>
        <s v="SABS1200 GA \CONCRETE (SMALL WORKS)/8.2\SCHEDULED FORMWORK ITEMS/8.2.1\Rough Formwork - Sloping (&gt;10°&lt;85°). /\KS13_015-Concrete Drop Inlet. Drawing NBC-GTW-CL-0018 \m²\41.4671810737264 \ 650" u="1"/>
        <s v="SABS1200 GA \CONCRETE (SMALL WORKS)/8.2\SCHEDULED FORMWORK ITEMS/8.2.1\Rough Formwork - Sloping (&gt;10°&lt;85°). /\KS13_011-Concrete Drop Inlet. Drawing NBC-GTW-CL-0015 \m²\60.2 \ 650" u="1"/>
        <s v="SABS1200 GA \CONCRETE (SMALL WORKS)/8.2\SCHEDULED FORMWORK ITEMS/8.2.1\Rough Formwork - Sloping (&gt;10°&lt;85°). /\KS20_004-Concrete Drop Inlet. Drawing NBC-GTW-CL-0030 \m²\63.3332755056505 \ 650" u="1"/>
        <s v="SABS1200 GA \CONCRETE (SMALL WORKS)/8.2\SCHEDULED FORMWORK ITEMS/8.2.1\Rough Formwork - Sloping (&gt;10°&lt;85°). /\KS13_008-Concrete Drop Inlet. Drawing NBC-GTW-CL-0014 \m²\56.6781972496904 \ 650" u="1"/>
        <s v="SABS1200 GA \CONCRETE (SMALL WORKS)/8.2\SCHEDULED FORMWORK ITEMS/8.2.1\Rough Formwork - Sloping (&gt;10°&lt;85°). /\KS18_018-Concrete Drop Inlet. Drawing NBC-GTW-CL-0024 \m²\44.5054266893638 \ 650" u="1"/>
        <s v="SABS1200 GA \CONCRETE (SMALL WORKS)/8.2\SCHEDULED FORMWORK ITEMS/8.2.1\Rough Formwork - Sloping (&gt;10°&lt;85°). /\KS20_009_b-Concrete Overflow Wall. Drawing NBC-GTW-CL-0035 \m²\4.29566479139143 \ 650" u="1"/>
        <s v="SABS1200 GA \CONCRETE (SMALL WORKS)/8.2\SCHEDULED FORMWORK ITEMS/8.2.1\Rough Formwork - Sloping (&gt;10°&lt;85°). /\KS13_013-Concrete Drop Inlet. Drawing NBC-GTW-CL-0017 \m²\41.2942277297212 \ 650" u="1"/>
        <s v="SABS1200 GA \CONCRETE (SMALL WORKS)/8.2\SCHEDULED FORMWORK ITEMS/8.2.1\Rough Formwork - Sloping (&gt;10°&lt;85°). /\KS18_015-Concrete Drop Inlet. Drawing NBC-GTW-CL-0021 \m²\66.929119262221 \ 650" u="1"/>
        <s v="SABS1200 GA \CONCRETE (SMALL WORKS)/8.2\SCHEDULED FORMWORK ITEMS/8.2.1\Rough Formwork - Sloping (&gt;10°&lt;85°). /\KS18_016-Concrete Drop Inlet. Drawing NBC-GTW-CL-0022 \m²\56.3622478801672 \ 650" u="1"/>
        <s v="SABS1200 GA \CONCRETE (SMALL WORKS)/8.2\SCHEDULED FORMWORK ITEMS/8.2.1\Rough Formwork - Sloping (&gt;10°&lt;85°). /\KS13_004-Concrete Drop Inlet. Drawing NBC-GTW-CL-0010 \m²\40.611330282822 \ 650" u="1"/>
        <s v="SABS1200 GA \CONCRETE (SMALL WORKS)/8.2\SCHEDULED FORMWORK ITEMS/8.2.1\Rough Formwork - Sloping (&gt;10°&lt;85°). /\KS20_008-Concrete Drop Inlet. Drawing NBC-GTW-CL-0034 \m²\72.8740665047539 \ 650" u="1"/>
        <s v="SABS1200 GA \CONCRETE (SMALL WORKS)/8.2\SCHEDULED FORMWORK ITEMS/8.2.1\Rough Formwork - Sloping (&gt;10°&lt;85°). /\KS18_017-Concrete Drop Inlet. Drawing NBC-GTW-CL-0023 \m²\52.575645514272 \ 650" u="1"/>
        <s v="SABS1200 GA \CONCRETE (SMALL WORKS)/8.2\SCHEDULED FORMWORK ITEMS/8.2.1\Rough Formwork - Sloping (&gt;10°&lt;85°). /\KS13_012-Concrete Drop Inlet. Drawing NBC-GTW-CL-0016 \m²\52.3209261824991 \ 650" u="1"/>
        <s v="SABS1200 GA \CONCRETE (SMALL WORKS)/8.2\SCHEDULED FORMWORK ITEMS/8.2.1\Rough Formwork - Sloping (&gt;10°&lt;85°). /\KS13_005-Concrete Drop Inlet. Drawing NBC-GTW-CL-0011 \m²\57.7914437861174 \ 650" u="1"/>
        <s v="SABS1200 GA \CONCRETE (SMALL WORKS)/8.2\SCHEDULED FORMWORK ITEMS/8.2.1\Rough Formwork - Sloping (&gt;10°&lt;85°). /\KS21_005-Concrete Drop Inlet. Drawing NBC-GTW-CL-0040 \m²\50.939046755886 \ 650" u="1"/>
        <s v="SABS1200 GA \CONCRETE (SMALL WORKS)/8.2\SCHEDULED FORMWORK ITEMS/8.2.1\Rough Formwork - Sloping (&gt;10°&lt;85°). /\KS20_006-Concrete Drop Inlet. Drawing NBC-GTW-CL-0032 \m²\72.579338047832 \ 650" u="1"/>
        <s v="SABS1200 GA \CONCRETE (SMALL WORKS)/8.2\SCHEDULED FORMWORK ITEMS/8.2.1\Rough Formwork - Sloping (&gt;10°&lt;85°). /\KS21_009-Concrete Drop Inlet. Drawing NBC-GTW-CL-0043 \m²\57.7336849462415 \ 650" u="1"/>
        <s v="SABS1200 GA \CONCRETE (SMALL WORKS)/8.2\SCHEDULED FORMWORK ITEMS/8.2.1\Rough Formwork - Sloping (&gt;10°&lt;85°). /\KS21_007-Concrete Drop Inlet. Drawing NBC-GTW-CL-0042 \m²\46.0461262534551 \ 650" u="1"/>
        <s v="SABS1200 GA \CONCRETE (SMALL WORKS)/8.2\SCHEDULED FORMWORK ITEMS/8.2.1\Rough Formwork - Sloping (&gt;10°&lt;85°). /\KS18_019-Concrete Drop Inlet. Drawing NBC-GTW-CL-0025 \m²\56.7255840503127 \ 650" u="1"/>
        <s v="SABS1200 GA \CONCRETE (SMALL WORKS)/8.2\SCHEDULED FORMWORK ITEMS/8.2.1\Rough Formwork - Sloping (&gt;10°&lt;85°). /\KS20_005-Concrete Drop Inlet. Drawing NBC-GTW-CL-0031 \m²\67.9531453846429 \ 650" u="1"/>
        <s v="SABS1200 GA \CONCRETE (SMALL WORKS)/8.2\SCHEDULED FORMWORK ITEMS/8.2.1\Rough Formwork - Sloping (&gt;10°&lt;85°). /\KS13_006-Concrete Drop Inlet. Drawing NBC-GTW-CL-0012 \m²\58.0575615157111 \ 650" u="1"/>
        <s v="SABS1200 GA \CONCRETE (SMALL WORKS)/8.2\SCHEDULED FORMWORK ITEMS/8.2.1\Rough Formwork - Sloping (&gt;10°&lt;85°). /\KS18_002-Concrete Drop Inlet. Drawing NBC-GTW-CL-0020 \m²\46.8829660474418 \ 650" u="1"/>
        <s v="SABS1200 GA \CONCRETE (SMALL WORKS)/8.2\SCHEDULED FORMWORK ITEMS/8.2.1\Rough Formwork - Sloping (&gt;10°&lt;85°). /\KS18_001-Concrete Drop Inlet. Drawing NBC-GTW-CL-0019 \m²\88.650348334798 \ 650" u="1"/>
      </sharedItems>
    </cacheField>
    <cacheField name="Rough - Battered (&lt;10°)2" numFmtId="0">
      <sharedItems count="1">
        <s v=" "/>
      </sharedItems>
    </cacheField>
    <cacheField name="Rough - Vertical (0°)2" numFmtId="0">
      <sharedItems count="50">
        <s v=" "/>
        <s v="SABS1200 GA \CONCRETE (SMALL WORKS)/8.2\SCHEDULED FORMWORK ITEMS/8.2.1\Rough Formwork - Vertical (0°). /\ks11-001-Off-take structure  \m²\3.068 \ 650"/>
        <s v="SABS1200 GA \CONCRETE (SMALL WORKS)/8.2\SCHEDULED FORMWORK ITEMS/8.2.1\Rough Formwork - Vertical (0°). /\ks11-002a-Concrete Drop Inlet on Dam Wall  \m²\47 \ 650"/>
        <s v="SABS1200 GA \CONCRETE (SMALL WORKS)/8.2\SCHEDULED FORMWORK ITEMS/8.2.1\Rough Formwork - Vertical (0°). /\ks11-002b-Concrete Splash Through Structure. Drawing NBC-GTW-CL-0067 \m²\10.8 \ 650"/>
        <s v="SABS1200 GA \CONCRETE (SMALL WORKS)/8.2\SCHEDULED FORMWORK ITEMS/8.2.1\Rough Formwork - Vertical (0°). /\ks11-004a-Concrete Drop Inlet on Dam Wall  \m²\47 \ 650"/>
        <s v="SABS1200 GA \CONCRETE (SMALL WORKS)/8.2\SCHEDULED FORMWORK ITEMS/8.2.1\Rough Formwork - Vertical (0°). /\ks11-004b-Concrete Splash Through Structure. Drawing NBC-GTW-CL-0068 \m²\10.8 \ 650"/>
        <s v="SABS1200 GA \CONCRETE (SMALL WORKS)/8.2\SCHEDULED FORMWORK ITEMS/8.2.1\Rough Formwork - Vertical (0°). /\KS12_002-Concrete Drop Inlet. Drawing NBC-GTW-CL-0002 \m²\20.3 \ 650"/>
        <s v="SABS1200 GA \CONCRETE (SMALL WORKS)/8.2\SCHEDULED FORMWORK ITEMS/8.2.1\Rough Formwork - Vertical (0°). /\KS12_004-Concrete Drop Inlet. Drawing NBC-GTW-CL-0003 \m²\7.2 \ 650"/>
        <s v="SABS1200 GA \CONCRETE (SMALL WORKS)/8.2\SCHEDULED FORMWORK ITEMS/8.2.1\Rough Formwork - Vertical (0°). /\KS12_005-Concrete Drop Inlet. Drawing NBC-GTW-CL-0004 \m²\5.58 \ 650"/>
        <s v="SABS1200 GA \CONCRETE (SMALL WORKS)/8.2\SCHEDULED FORMWORK ITEMS/8.2.1\Rough Formwork - Vertical (0°). /\KS12_006-Concrete Drop Inlet. Drawing NBC-GTW-CL-0005 \m²\2.25 \ 650"/>
        <s v="SABS1200 GA \CONCRETE (SMALL WORKS)/8.2\SCHEDULED FORMWORK ITEMS/8.2.1\Rough Formwork - Vertical (0°). /\KS12_007-Concrete Drop Inlet. Drawing NBC-GTW-CL-0006 \m²\3.15 \ 650"/>
        <s v="SABS1200 GA \CONCRETE (SMALL WORKS)/8.2\SCHEDULED FORMWORK ITEMS/8.2.1\Rough Formwork - Vertical (0°). /\KS12_008-Concrete Drop Inlet. Drawing NBC-GTW-CL-0007 \m²\2 \ 650"/>
        <s v="SABS1200 GA \CONCRETE (SMALL WORKS)/8.2\SCHEDULED FORMWORK ITEMS/8.2.1\Rough Formwork - Vertical (0°). /\KS12_009-Concrete Drop Inlet. Drawing NBC-GTW-CL-0008 \m²\0.9 \ 650"/>
        <s v="SABS1200 GA \CONCRETE (SMALL WORKS)/8.2\SCHEDULED FORMWORK ITEMS/8.2.1\Rough Formwork - Vertical (0°). /\KS13_003-Concrete Drop Inlet. Drawing NBC-GTW-CL-0009 \m²\16.51 \ 650"/>
        <s v="SABS1200 GA \CONCRETE (SMALL WORKS)/8.2\SCHEDULED FORMWORK ITEMS/8.2.1\Rough Formwork - Vertical (0°). /\KS19_002-Concrete Drop Inlet. Drawing NBC-GTW-CL-0026 \m²\6.42 \ 650"/>
        <s v="SABS1200 GA \CONCRETE (SMALL WORKS)/8.2\SCHEDULED FORMWORK ITEMS/8.2.1\Rough Formwork - Vertical (0°). /\KS20_001-Concrete Drop Inlet. Drawing NBC-GTW-CL-0027 \m²\2.385 \ 650"/>
        <s v="SABS1200 GA \CONCRETE (SMALL WORKS)/8.2\SCHEDULED FORMWORK ITEMS/8.2.1\Rough Formwork - Vertical (0°). /\KS20_009_a-Concrete Check Wall. Drawing NBC-GTW-CL-0035 \m²\11 \ 650"/>
        <s v="SABS1200 GA \CONCRETE (SMALL WORKS)/8.2\SCHEDULED FORMWORK ITEMS/8.2.1\Rough Formwork - Vertical (0°). /\KS21_003-Concrete Drop Inlet. Drawing NBC-GTW-CL-0039 \m²\4.25 \ 650"/>
        <s v="SABS1200 GA \CONCRETE (SMALL WORKS)/8,2\SCHEDULED FORMWORK ITEMS/8.2.1\Rough Formwork - Vertical (0°). /\KS21_005-Concrete Drop Inlet. Drawing NBC-GTW-CL-0040 \m²\4,25 \ 650"/>
        <s v="SABS1200 GA \CONCRETE (SMALL WORKS)/8.2\SCHEDULED FORMWORK ITEMS/8.2.1\Rough Formwork - Vertical (0°). /\KS13_006-Concrete Drop Inlet. Drawing NBC-GTW-CL-0012 \m²\19.2 \ 650" u="1"/>
        <s v="SABS1200 GA \CONCRETE (SMALL WORKS)/8.2\SCHEDULED FORMWORK ITEMS/8.2.1\Rough Formwork - Vertical (0°). /\KS21_006-Concrete Drop Inlet. Drawing NBC-GTW-CL-0041 \m²\17.9256 \ 650" u="1"/>
        <s v="SABS1200 GA \CONCRETE (SMALL WORKS)/8.2\SCHEDULED FORMWORK ITEMS/8.2.1\Rough Formwork - Vertical (0°). /\KS18_016-Concrete Drop Inlet. Drawing NBC-GTW-CL-0022 \m²\18.4 \ 650" u="1"/>
        <s v="SABS1200 GA \CONCRETE (SMALL WORKS)/8.2\SCHEDULED FORMWORK ITEMS/8.2.1\Rough Formwork - Vertical (0°). /\KS21_005-Concrete Drop Inlet. Drawing NBC-GTW-CL-0040 \m²\20.4756 \ 650" u="1"/>
        <s v="SABS1200 GA \CONCRETE (SMALL WORKS)/8.2\SCHEDULED FORMWORK ITEMS/8.2.1\Rough Formwork - Vertical (0°). /\KS18_002-Concrete Drop Inlet. Drawing NBC-GTW-CL-0020 \m²\17.6 \ 650" u="1"/>
        <s v="SABS1200 GA \CONCRETE (SMALL WORKS)/8.2\SCHEDULED FORMWORK ITEMS/8.2.1\Rough Formwork - Vertical (0°). /\KS13_013-Concrete Drop Inlet. Drawing NBC-GTW-CL-0017 \m²\13.04 \ 650" u="1"/>
        <s v="SABS1200 GA \CONCRETE (SMALL WORKS)/8.2\SCHEDULED FORMWORK ITEMS/8.2.1\Rough Formwork - Vertical (0°). /\KS20_006-Concrete Drop Inlet. Drawing NBC-GTW-CL-0032 \m²\28.7426 \ 650" u="1"/>
        <s v="SABS1200 GA \CONCRETE (SMALL WORKS)/8.2\SCHEDULED FORMWORK ITEMS/8.2.1\Rough Formwork - Vertical (0°). /\KS20_009_a-Concrete Buttress Weir. Drawing NBC-GTW-CL-0035 \m²\69.6344577319588 \ 650" u="1"/>
        <s v="SABS1200 GA \CONCRETE (SMALL WORKS)/8.2\SCHEDULED FORMWORK ITEMS/8.2.1\Rough Formwork - Vertical (0°). /\KS20_009_b-Concrete Overflow Wall. Drawing NBC-GTW-CL-0035 \m²\29.036 \ 650" u="1"/>
        <s v="SABS1200 GA \CONCRETE (SMALL WORKS)/8.2\SCHEDULED FORMWORK ITEMS/8.2.1\Rough Formwork - Vertical (0°). /\KS20_004-Concrete Drop Inlet. Drawing NBC-GTW-CL-0030 \m²\19.9134 \ 650" u="1"/>
        <s v="SABS1200 GA \CONCRETE (SMALL WORKS)/8.2\SCHEDULED FORMWORK ITEMS/8.2.1\Rough Formwork - Vertical (0°). /\KS20_003-Concrete Buttress Weir. Drawing NBC-GTW-CL-0029 \m²\50.7771862068966 \ 650" u="1"/>
        <s v="SABS1200 GA \CONCRETE (SMALL WORKS)/8.2\SCHEDULED FORMWORK ITEMS/8.2.1\Rough Formwork - Vertical (0°). /\KS18_018-Concrete Drop Inlet. Drawing NBC-GTW-CL-0024 \m²\13.81 \ 650" u="1"/>
        <s v="SABS1200 GA \CONCRETE (SMALL WORKS)/8.2\SCHEDULED FORMWORK ITEMS/8.2.1\Rough Formwork - Vertical (0°). /\KS20_002-Concrete Drop Inlet. Drawing NBC-GTW-CL-0028 \m²\4.8 \ 650" u="1"/>
        <s v="SABS1200 GA \CONCRETE (SMALL WORKS)/8.2\SCHEDULED FORMWORK ITEMS/8.2.1\Rough Formwork - Vertical (0°). /\KS21_010-Concrete Drop Inlet. Drawing NBC-GTW-CL-0044 \m²\17.0307 \ 650" u="1"/>
        <s v="SABS1200 GA \CONCRETE (SMALL WORKS)/8.2\SCHEDULED FORMWORK ITEMS/8.2.1\Rough Formwork - Vertical (0°). /\KS18_020-Concrete Drop Inlet associated with Road Culvert  \m²\18.465 \ 650" u="1"/>
        <s v="SABS1200 GA \CONCRETE (SMALL WORKS)/8.2\SCHEDULED FORMWORK ITEMS/8.2.1\Rough Formwork - Vertical (0°). /\KS18_015-Concrete Drop Inlet. Drawing NBC-GTW-CL-0021 \m²\23.46 \ 650" u="1"/>
        <s v="SABS1200 GA \CONCRETE (SMALL WORKS)/8.2\SCHEDULED FORMWORK ITEMS/8.2.1\Rough Formwork - Vertical (0°). /\KS21_009-Concrete Drop Inlet. Drawing NBC-GTW-CL-0043 \m²\18.4275 \ 650" u="1"/>
        <s v="SABS1200 GA \CONCRETE (SMALL WORKS)/8.2\SCHEDULED FORMWORK ITEMS/8.2.1\Rough Formwork - Vertical (0°). /\KS13_007-Concrete Drop Inlet. Drawing NBC-GTW-CL-0013 \m²\14.91 \ 650" u="1"/>
        <s v="SABS1200 GA \CONCRETE (SMALL WORKS)/8.2\SCHEDULED FORMWORK ITEMS/8.2.1\Rough Formwork - Vertical (0°). /\KS13_011-Concrete Drop Inlet. Drawing NBC-GTW-CL-0015 \m²\20.2 \ 650" u="1"/>
        <s v="SABS1200 GA \CONCRETE (SMALL WORKS)/8.2\SCHEDULED FORMWORK ITEMS/8.2.1\Rough Formwork - Vertical (0°). /\KS18_017-Concrete Drop Inlet. Drawing NBC-GTW-CL-0023 \m²\17.06 \ 650" u="1"/>
        <s v="SABS1200 GA \CONCRETE (SMALL WORKS)/8.2\SCHEDULED FORMWORK ITEMS/8.2.1\Rough Formwork - Vertical (0°). /\KS13_005-Concrete Drop Inlet. Drawing NBC-GTW-CL-0011 \m²\18.96 \ 650" u="1"/>
        <s v="SABS1200 GA \CONCRETE (SMALL WORKS)/8.2\SCHEDULED FORMWORK ITEMS/8.2.1\Rough Formwork - Vertical (0°). /\KS20_007-Concrete Drop Inlet. Drawing NBC-GTW-CL-0033 \m²\18.3664 \ 650" u="1"/>
        <s v="SABS1200 GA \CONCRETE (SMALL WORKS)/8.2\SCHEDULED FORMWORK ITEMS/8.2.1\Rough Formwork - Vertical (0°). /\KS18_001-Concrete Drop Inlet. Drawing NBC-GTW-CL-0019 \m²\34.38 \ 650" u="1"/>
        <s v="SABS1200 GA \CONCRETE (SMALL WORKS)/8.2\SCHEDULED FORMWORK ITEMS/8.2.1\Rough Formwork - Vertical (0°). /\KS13_004-Concrete Drop Inlet. Drawing NBC-GTW-CL-0010 \m²\12.74 \ 650" u="1"/>
        <s v="SABS1200 GA \CONCRETE (SMALL WORKS)/8.2\SCHEDULED FORMWORK ITEMS/8.2.1\Rough Formwork - Vertical (0°). /\KS13_012-Concrete Drop Inlet. Drawing NBC-GTW-CL-0016 \m²\16.88 \ 650" u="1"/>
        <s v="SABS1200 GA \CONCRETE (SMALL WORKS)/8.2\SCHEDULED FORMWORK ITEMS/8.2.1\Rough Formwork - Vertical (0°). /\KS21_007-Concrete Drop Inlet. Drawing NBC-GTW-CL-0042 \m²\14.7763 \ 650" u="1"/>
        <s v="SABS1200 GA \CONCRETE (SMALL WORKS)/8.2\SCHEDULED FORMWORK ITEMS/8.2.1\Rough Formwork - Vertical (0°). /\KS13_015-Concrete Drop Inlet. Drawing NBC-GTW-CL-0018 \m²\13.34 \ 650" u="1"/>
        <s v="SABS1200 GA \CONCRETE (SMALL WORKS)/8.2\SCHEDULED FORMWORK ITEMS/8.2.1\Rough Formwork - Vertical (0°). /\KS20_008-Concrete Drop Inlet. Drawing NBC-GTW-CL-0034 \m²\32.34 \ 650" u="1"/>
        <s v="SABS1200 GA \CONCRETE (SMALL WORKS)/8.2\SCHEDULED FORMWORK ITEMS/8.2.1\Rough Formwork - Vertical (0°). /\KS20_005-Concrete Drop Inlet. Drawing NBC-GTW-CL-0031 \m²\27.8504 \ 650" u="1"/>
        <s v="SABS1200 GA \CONCRETE (SMALL WORKS)/8.2\SCHEDULED FORMWORK ITEMS/8.2.1\Rough Formwork - Vertical (0°). /\KS18_019-Concrete Drop Inlet. Drawing NBC-GTW-CL-0025 \m²\4.56 \ 650" u="1"/>
        <s v="SABS1200 GA \CONCRETE (SMALL WORKS)/8.2\SCHEDULED FORMWORK ITEMS/8.2.1\Rough Formwork - Vertical (0°). /\KS13_008-Concrete Drop Inlet. Drawing NBC-GTW-CL-0014 \m²\19.39 \ 650" u="1"/>
      </sharedItems>
    </cacheField>
    <cacheField name="Smooth - Horizontal (85°-90°)2" numFmtId="0">
      <sharedItems count="1">
        <s v=" "/>
      </sharedItems>
    </cacheField>
    <cacheField name="Smooth - Sloping (&gt;10°&lt;85°)2" numFmtId="0">
      <sharedItems count="1">
        <s v=" "/>
      </sharedItems>
    </cacheField>
    <cacheField name="Smooth - Battered (&lt;10°)2" numFmtId="0">
      <sharedItems count="1">
        <s v=" "/>
      </sharedItems>
    </cacheField>
    <cacheField name="Smooth - Vertical (0°)2" numFmtId="0">
      <sharedItems count="1">
        <s v=" "/>
      </sharedItems>
    </cacheField>
    <cacheField name="Narrow Widths (up to 300 mm)2" numFmtId="0">
      <sharedItems count="1">
        <s v=" "/>
      </sharedItems>
    </cacheField>
    <cacheField name="Box Out Holes (Up to 0.35 m Diameter and 0.5 m deep)2" numFmtId="0">
      <sharedItems count="37" longText="1">
        <s v=" "/>
        <s v="SABS1200 GA \CONCRETE (SMALL WORKS)/8.2\SCHEDULED FORMWORK ITEMS/8.2.4\Create Weep holes (50 mm Diameter). Rate to allow for the creation of weep holes in the concrete apron slab using 50 mm diameter PVC pipe./\ks11-002a-Concrete Drop Inlet on Dam Wall  \No.\16 \ 30"/>
        <s v="SABS1200 GA \CONCRETE (SMALL WORKS)/8.2\SCHEDULED FORMWORK ITEMS/8.2.4\Create Weep holes (50 mm Diameter). Rate to allow for the creation of weep holes in the concrete apron slab using 50 mm diameter PVC pipe./\ks11-004a-Concrete Drop Inlet on Dam Wall  \No.\16 \ 30"/>
        <s v="SABS1200 GA \CONCRETE (SMALL WORKS)/8.2\SCHEDULED FORMWORK ITEMS/8.2.4\Create Weep holes (50 mm Diameter). Rate to allow for the creation of weep holes in the concrete apron slab using 50 mm diameter PVC pipe./\KS12_004-Concrete Drop Inlet. Drawing NBC-GTW-CL-0003 \No.\7 \ 30"/>
        <s v="SABS1200 GA \CONCRETE (SMALL WORKS)/8.2\SCHEDULED FORMWORK ITEMS/8.2.4\Create Weep holes (50 mm Diameter). Rate to allow for the creation of weep holes in the concrete apron slab using 50 mm diameter PVC pipe./\KS12_005-Concrete Drop Inlet. Drawing NBC-GTW-CL-0004 \No.\6 \ 30"/>
        <s v="SABS1200 GA \CONCRETE (SMALL WORKS)/8.2\SCHEDULED FORMWORK ITEMS/8.2.4\Create Weep holes (50 mm Diameter). Rate to allow for the creation of weep holes in the concrete apron slab using 50 mm diameter PVC pipe./\KS12_006-Concrete Drop Inlet. Drawing NBC-GTW-CL-0005 \No.\5 \ 30"/>
        <s v="SABS1200 GA \CONCRETE (SMALL WORKS)/8.2\SCHEDULED FORMWORK ITEMS/8.2.4\Create Weep holes (50 mm Diameter). Rate to allow for the creation of weep holes in the concrete apron slab using 50 mm diameter PVC pipe./\KS12_007-Concrete Drop Inlet. Drawing NBC-GTW-CL-0006 \No.\5 \ 30"/>
        <s v="SABS1200 GA \CONCRETE (SMALL WORKS)/8.2\SCHEDULED FORMWORK ITEMS/8.2.4\Create Weep holes (50 mm Diameter). Rate to allow for the creation of weep holes in the concrete apron slab using 50 mm diameter PVC pipe./\KS12_008-Concrete Drop Inlet. Drawing NBC-GTW-CL-0007 \No.\4 \ 30"/>
        <s v="SABS1200 GA \CONCRETE (SMALL WORKS)/8.2\SCHEDULED FORMWORK ITEMS/8.2.4\Create Weep holes (50 mm Diameter). Rate to allow for the creation of weep holes in the concrete apron slab using 50 mm diameter PVC pipe./\KS12_009-Concrete Drop Inlet. Drawing NBC-GTW-CL-0008 \No.\3 \ 30"/>
        <s v="SABS1200 GA \CONCRETE (SMALL WORKS)/8.2\SCHEDULED FORMWORK ITEMS/8.2.4\Create Weep holes (50 mm Diameter). Rate to allow for the creation of weep holes in the concrete apron slab using 50 mm diameter PVC pipe./\KS13_003-Concrete Drop Inlet. Drawing NBC-GTW-CL-0009 \No.\8 \ 30"/>
        <s v="SABS1200 GA \CONCRETE (SMALL WORKS)/8.2\SCHEDULED FORMWORK ITEMS/8.2.4\Create Weep holes (50 mm Diameter). Rate to allow for the creation of weep holes in the concrete apron slab using 50 mm diameter PVC pipe./\KS19_002-Concrete Drop Inlet. Drawing NBC-GTW-CL-0026 \No.\6 \ 30"/>
        <s v="SABS1200 GA \CONCRETE (SMALL WORKS)/8.2\SCHEDULED FORMWORK ITEMS/8.2.4\Create Weep holes (50 mm Diameter). Rate to allow for the creation of weep holes in the concrete apron slab using 50 mm diameter PVC pipe./\KS20_001-Concrete Drop Inlet. Drawing NBC-GTW-CL-0027 \No.\7 \ 30"/>
        <s v="SABS1200 GA \CONCRETE (SMALL WORKS)/8.2\SCHEDULED FORMWORK ITEMS/8.2.4\Create Weep holes (50 mm Diameter). Rate to allow for the creation of weep holes in the concrete apron slab using 50 mm diameter PVC pipe./\KS13_004-Concrete Drop Inlet. Drawing NBC-GTW-CL-0010 \No.\7 \ 30" u="1"/>
        <s v="SABS1200 GA \CONCRETE (SMALL WORKS)/8.2\SCHEDULED FORMWORK ITEMS/8.2.4\Create Weep holes (50 mm Diameter). Rate to allow for the creation of weep holes in the concrete apron slab using 50 mm diameter PVC pipe./\KS13_005-Concrete Drop Inlet. Drawing NBC-GTW-CL-0011 \No.\7 \ 30" u="1"/>
        <s v="SABS1200 GA \CONCRETE (SMALL WORKS)/8.2\SCHEDULED FORMWORK ITEMS/8.2.4\Create Weep holes (50 mm Diameter). Rate to allow for the creation of weep holes in the concrete apron slab using 50 mm diameter PVC pipe./\KS13_006-Concrete Drop Inlet. Drawing NBC-GTW-CL-0012 \No.\7 \ 30" u="1"/>
        <s v="SABS1200 GA \CONCRETE (SMALL WORKS)/8.2\SCHEDULED FORMWORK ITEMS/8.2.4\Create Weep holes (50 mm Diameter). Rate to allow for the creation of weep holes in the concrete apron slab using 50 mm diameter PVC pipe./\KS13_007-Concrete Drop Inlet. Drawing NBC-GTW-CL-0013 \No.\7 \ 30" u="1"/>
        <s v="SABS1200 GA \CONCRETE (SMALL WORKS)/8.2\SCHEDULED FORMWORK ITEMS/8.2.4\Create Weep holes (50 mm Diameter). Rate to allow for the creation of weep holes in the concrete apron slab using 50 mm diameter PVC pipe./\KS13_012-Concrete Drop Inlet. Drawing NBC-GTW-CL-0016 \No.\7 \ 30" u="1"/>
        <s v="SABS1200 GA \CONCRETE (SMALL WORKS)/8.2\SCHEDULED FORMWORK ITEMS/8.2.4\Create Weep holes (50 mm Diameter). Rate to allow for the creation of weep holes in the concrete apron slab using 50 mm diameter PVC pipe./\KS18_016-Concrete Drop Inlet. Drawing NBC-GTW-CL-0022 \No.\7 \ 30" u="1"/>
        <s v="SABS1200 GA \CONCRETE (SMALL WORKS)/8.2\SCHEDULED FORMWORK ITEMS/8.2.4\Create Weep holes (50 mm Diameter). Rate to allow for the creation of weep holes in the concrete apron slab using 50 mm diameter PVC pipe./\KS18_017-Concrete Drop Inlet. Drawing NBC-GTW-CL-0023 \No.\7 \ 30" u="1"/>
        <s v="SABS1200 GA \CONCRETE (SMALL WORKS)/8.2\SCHEDULED FORMWORK ITEMS/8.2.4\Create Weep holes (50 mm Diameter). Rate to allow for the creation of weep holes in the concrete apron slab using 50 mm diameter PVC pipe./\KS20_004-Concrete Drop Inlet. Drawing NBC-GTW-CL-0030 \No.\10 \ 30" u="1"/>
        <s v="SABS1200 GA \CONCRETE (SMALL WORKS)/8.2\SCHEDULED FORMWORK ITEMS/8.2.4\Create Weep holes (50 mm Diameter). Rate to allow for the creation of weep holes in the concrete apron slab using 50 mm diameter PVC pipe./\KS20_007-Concrete Drop Inlet. Drawing NBC-GTW-CL-0033 \No.\10 \ 30" u="1"/>
        <s v="SABS1200 GA \CONCRETE (SMALL WORKS)/8.2\SCHEDULED FORMWORK ITEMS/8.2.4\Create Weep holes (50 mm Diameter). Rate to allow for the creation of weep holes in the concrete apron slab using 50 mm diameter PVC pipe./\KS21_007-Concrete Drop Inlet. Drawing NBC-GTW-CL-0042 \No.\10 \ 30" u="1"/>
        <s v="SABS1200 GA \CONCRETE (SMALL WORKS)/8.2\SCHEDULED FORMWORK ITEMS/8.2.4\Create Weep holes (50 mm Diameter). Rate to allow for the creation of weep holes in the concrete apron slab using 50 mm diameter PVC pipe./\KS18_018-Concrete Drop Inlet. Drawing NBC-GTW-CL-0024 \No.\6 \ 30" u="1"/>
        <s v="SABS1200 GA \CONCRETE (SMALL WORKS)/8.2\SCHEDULED FORMWORK ITEMS/8.2.4\Create Weep holes (50 mm Diameter). Rate to allow for the creation of weep holes in the concrete apron slab using 50 mm diameter PVC pipe./\KS18_019-Concrete Drop Inlet. Drawing NBC-GTW-CL-0025 \No.\6 \ 30" u="1"/>
        <s v="SABS1200 GA \CONCRETE (SMALL WORKS)/8.2\SCHEDULED FORMWORK ITEMS/8.2.4\Create Weep holes (50 mm Diameter). Rate to allow for the creation of weep holes in the concrete apron slab using 50 mm diameter PVC pipe./\KS20_005-Concrete Drop Inlet. Drawing NBC-GTW-CL-0031 \No.\13 \ 30" u="1"/>
        <s v="SABS1200 GA \CONCRETE (SMALL WORKS)/8.2\SCHEDULED FORMWORK ITEMS/8.2.4\Create Weep holes (50 mm Diameter). Rate to allow for the creation of weep holes in the concrete apron slab using 50 mm diameter PVC pipe./\KS20_008-Concrete Drop Inlet. Drawing NBC-GTW-CL-0034 \No.\13 \ 30" u="1"/>
        <s v="SABS1200 GA \CONCRETE (SMALL WORKS)/8.2\SCHEDULED FORMWORK ITEMS/8.2.4\Create Weep holes (50 mm Diameter). Rate to allow for the creation of weep holes in the concrete apron slab using 50 mm diameter PVC pipe./\KS18_001-Concrete Drop Inlet. Drawing NBC-GTW-CL-0019 \No.\15 \ 30" u="1"/>
        <s v="SABS1200 GA \CONCRETE (SMALL WORKS)/8.2\SCHEDULED FORMWORK ITEMS/8.2.4\Create Weep holes (50 mm Diameter). Rate to allow for the creation of weep holes in the concrete apron slab using 50 mm diameter PVC pipe./\KS20_003-Concrete Buttress Weir. Drawing NBC-GTW-CL-0029 \No.\16 \ 30" u="1"/>
        <s v="SABS1200 GA \CONCRETE (SMALL WORKS)/8.2\SCHEDULED FORMWORK ITEMS/8.2.4\Create Weep holes (50 mm Diameter). Rate to allow for the creation of weep holes in the concrete apron slab using 50 mm diameter PVC pipe./\KS13_008-Concrete Drop Inlet. Drawing NBC-GTW-CL-0014 \No.\9 \ 30" u="1"/>
        <s v="SABS1200 GA \CONCRETE (SMALL WORKS)/8.2\SCHEDULED FORMWORK ITEMS/8.2.4\Create Weep holes (50 mm Diameter). Rate to allow for the creation of weep holes in the concrete apron slab using 50 mm diameter PVC pipe./\KS18_002-Concrete Drop Inlet. Drawing NBC-GTW-CL-0020 \No.\9 \ 30" u="1"/>
        <s v="SABS1200 GA \CONCRETE (SMALL WORKS)/8.2\SCHEDULED FORMWORK ITEMS/8.2.4\Create Weep holes (50 mm Diameter). Rate to allow for the creation of weep holes in the concrete apron slab using 50 mm diameter PVC pipe./\KS18_015-Concrete Drop Inlet. Drawing NBC-GTW-CL-0021 \No.\9 \ 30" u="1"/>
        <s v="SABS1200 GA \CONCRETE (SMALL WORKS)/8.2\SCHEDULED FORMWORK ITEMS/8.2.4\Create Weep holes (50 mm Diameter). Rate to allow for the creation of weep holes in the concrete apron slab using 50 mm diameter PVC pipe./\KS20_009_a-Concrete Buttress Weir. Drawing NBC-GTW-CL-0035 \No.\15 \ 30" u="1"/>
        <s v="SABS1200 GA \CONCRETE (SMALL WORKS)/8.2\SCHEDULED FORMWORK ITEMS/8.2.4\Create Weep holes (50 mm Diameter). Rate to allow for the creation of weep holes in the concrete apron slab using 50 mm diameter PVC pipe./\KS13_011-Concrete Drop Inlet. Drawing NBC-GTW-CL-0015 \No.\8 \ 30" u="1"/>
        <s v="SABS1200 GA \CONCRETE (SMALL WORKS)/8.2\SCHEDULED FORMWORK ITEMS/8.2.4\Create Weep holes (50 mm Diameter). Rate to allow for the creation of weep holes in the concrete apron slab using 50 mm diameter PVC pipe./\KS13_013-Concrete Drop Inlet. Drawing NBC-GTW-CL-0017 \No.\8 \ 30" u="1"/>
        <s v="SABS1200 GA \CONCRETE (SMALL WORKS)/8.2\SCHEDULED FORMWORK ITEMS/8.2.4\Create Weep holes (50 mm Diameter). Rate to allow for the creation of weep holes in the concrete apron slab using 50 mm diameter PVC pipe./\KS13_015-Concrete Drop Inlet. Drawing NBC-GTW-CL-0018 \No.\8 \ 30" u="1"/>
        <s v="SABS1200 GA \CONCRETE (SMALL WORKS)/8.2\SCHEDULED FORMWORK ITEMS/8.2.4\Create Weep holes (50 mm Diameter). Rate to allow for the creation of weep holes in the concrete apron slab using 50 mm diameter PVC pipe./\KS21_009-Concrete Drop Inlet. Drawing NBC-GTW-CL-0043 \No.\8 \ 30" u="1"/>
        <s v="SABS1200 GA \CONCRETE (SMALL WORKS)/8.2\SCHEDULED FORMWORK ITEMS/8.2.4\Create Weep holes (50 mm Diameter). Rate to allow for the creation of weep holes in the concrete apron slab using 50 mm diameter PVC pipe./\KS21_010-Concrete Drop Inlet. Drawing NBC-GTW-CL-0044 \No.\8 \ 30" u="1"/>
      </sharedItems>
    </cacheField>
    <cacheField name="a) Wood floated Finish2" numFmtId="0">
      <sharedItems count="76">
        <s v=" "/>
        <s v="SABS1200 GA \CONCRETE (SMALL WORKS)/8.4\SCHEDULED CONCRETE ITEMS/8.4.4\a) Wood floated Finish. /\ks11-001-Off-take structure  \m²\4.316 \ 30"/>
        <s v="SABS1200 GA \CONCRETE (SMALL WORKS)/8.4\SCHEDULED CONCRETE ITEMS/8.4.4\a) Wood floated Finish. /\ks11-002a-Concrete Drop Inlet on Dam Wall  \m²\15 \ 30"/>
        <s v="SABS1200 GA \CONCRETE (SMALL WORKS)/8.4\SCHEDULED CONCRETE ITEMS/8.4.4\a) Wood floated Finish. /\ks11-004a-Concrete Drop Inlet on Dam Wall  \m²\15 \ 30"/>
        <s v="SABS1200 GA \CONCRETE (SMALL WORKS)/8.4\SCHEDULED CONCRETE ITEMS/8.4.4\a) Wood floated Finish. /\KS12_001-Pipe Culvert. Drawing NBC-GTW-CL-0069 \m²\3 \ 30"/>
        <s v="SABS1200 GA \CONCRETE (SMALL WORKS)/8.4\SCHEDULED CONCRETE ITEMS/8.4.4\a) Wood floated Finish. /\KS12_004-Concrete Drop Inlet. Drawing NBC-GTW-CL-0003 \m²\7.86 \ 30"/>
        <s v="SABS1200 GA \CONCRETE (SMALL WORKS)/8.4\SCHEDULED CONCRETE ITEMS/8.4.4\a) Wood floated Finish. /\KS12_005-Concrete Drop Inlet. Drawing NBC-GTW-CL-0004 \m²\7.26 \ 30"/>
        <s v="SABS1200 GA \CONCRETE (SMALL WORKS)/8.4\SCHEDULED CONCRETE ITEMS/8.4.4\a) Wood floated Finish. /\KS12_006-Concrete Drop Inlet. Drawing NBC-GTW-CL-0005 \m²\7.08 \ 30"/>
        <s v="SABS1200 GA \CONCRETE (SMALL WORKS)/8.4\SCHEDULED CONCRETE ITEMS/8.4.4\a) Wood floated Finish. /\KS12_007-Concrete Drop Inlet. Drawing NBC-GTW-CL-0006 \m²\7.35 \ 30"/>
        <s v="SABS1200 GA \CONCRETE (SMALL WORKS)/8.4\SCHEDULED CONCRETE ITEMS/8.4.4\a) Wood floated Finish. /\KS12_008-Concrete Drop Inlet. Drawing NBC-GTW-CL-0007 \m²\6.66 \ 30"/>
        <s v="SABS1200 GA \CONCRETE (SMALL WORKS)/8.4\SCHEDULED CONCRETE ITEMS/8.4.4\a) Wood floated Finish. /\KS12_009-Concrete Drop Inlet. Drawing NBC-GTW-CL-0008 \m²\6.36 \ 30"/>
        <s v="SABS1200 GA \CONCRETE (SMALL WORKS)/8.4\SCHEDULED CONCRETE ITEMS/8.4.4\a) Wood floated Finish. /\KS13_003-Concrete Drop Inlet. Drawing NBC-GTW-CL-0009 \m²\8.315 \ 30"/>
        <s v="SABS1200 GA \CONCRETE (SMALL WORKS)/8.4\SCHEDULED CONCRETE ITEMS/8.4.4\a) Wood floated Finish. /\KS13_004-Concrete Check Wall. Drawing NBC-GTW-CL-0010 \m²\3.9 \ 30"/>
        <s v="SABS1200 GA \CONCRETE (SMALL WORKS)/8.4\SCHEDULED CONCRETE ITEMS/8.4.4\a) Wood floated Finish. /\KS13_005-Concrete Check Wall. Drawing NBC-GTW-CL-0011 \m²\3.9 \ 30"/>
        <s v="SABS1200 GA \CONCRETE (SMALL WORKS)/8.4\SCHEDULED CONCRETE ITEMS/8.4.4\a) Wood floated Finish. /\KS13_006-Concrete Check Wall. Drawing NBC-GTW-CL-0012 \m²\4.2 \ 30"/>
        <s v="SABS1200 GA \CONCRETE (SMALL WORKS)/8.4\SCHEDULED CONCRETE ITEMS/8.4.4\a) Wood floated Finish. /\KS13_007-Concrete Check Wall. Drawing NBC-GTW-CL-0013 \m²\4.05 \ 30"/>
        <s v="SABS1200 GA \CONCRETE (SMALL WORKS)/8.4\SCHEDULED CONCRETE ITEMS/8.4.4\a) Wood floated Finish. /\KS13_008-Concrete Check Wall. Drawing NBC-GTW-CL-0014 \m²\3.75 \ 30"/>
        <s v="SABS1200 GA \CONCRETE (SMALL WORKS)/8.4\SCHEDULED CONCRETE ITEMS/8.4.4\a) Wood floated Finish. /\KS13_011-Concrete Check Wall. Drawing NBC-GTW-CL-0015 \m²\4.5 \ 30"/>
        <s v="SABS1200 GA \CONCRETE (SMALL WORKS)/8.4\SCHEDULED CONCRETE ITEMS/8.4.4\a) Wood floated Finish. /\KS13_012-Concrete Check Wall. Drawing NBC-GTW-CL-0016 \m²\3.6 \ 30"/>
        <s v="SABS1200 GA \CONCRETE (SMALL WORKS)/8.4\SCHEDULED CONCRETE ITEMS/8.4.4\a) Wood floated Finish. /\KS13_013-Concrete Check Wall. Drawing NBC-GTW-CL-0017 \m²\3.6 \ 30"/>
        <s v="SABS1200 GA \CONCRETE (SMALL WORKS)/8.4\SCHEDULED CONCRETE ITEMS/8.4.4\a) Wood floated Finish. /\KS13_015-Concrete Check Wall. Drawing NBC-GTW-CL-0018 \m²\3.9 \ 30"/>
        <s v="SABS1200 GA \CONCRETE (SMALL WORKS)/8.4\SCHEDULED CONCRETE ITEMS/8.4.4\a) Wood floated Finish. /\KS18_001-Concrete Check Wall. Drawing NBC-GTW-CL-0019 \m²\5.1 \ 30"/>
        <s v="SABS1200 GA \CONCRETE (SMALL WORKS)/8.4\SCHEDULED CONCRETE ITEMS/8.4.4\a) Wood floated Finish. /\KS18_002A-Concrete Check Wall. Drawing NBC-GTW-CL-0020 \m²\4.2 \ 30"/>
        <s v="SABS1200 GA \CONCRETE (SMALL WORKS)/8.4\SCHEDULED CONCRETE ITEMS/8.4.4\a) Wood floated Finish. /\KS18_002B-Concrete Check Wall  \m²\4.2 \ 30"/>
        <s v="SABS1200 GA \CONCRETE (SMALL WORKS)/8.4\SCHEDULED CONCRETE ITEMS/8.4.4\a) Wood floated Finish. /\KS18_015-Concrete Check Wall. Drawing NBC-GTW-CL-0021 \m²\3.9 \ 30"/>
        <s v="SABS1200 GA \CONCRETE (SMALL WORKS)/8.4\SCHEDULED CONCRETE ITEMS/8.4.4\a) Wood floated Finish. /\KS18_016-Concrete Check Wall. Drawing NBC-GTW-CL-0022 \m²\3.6 \ 30"/>
        <s v="SABS1200 GA \CONCRETE (SMALL WORKS)/8.4\SCHEDULED CONCRETE ITEMS/8.4.4\a) Wood floated Finish. /\KS18_017-Concrete Check Wall. Drawing NBC-GTW-CL-0023 \m²\3.6 \ 30"/>
        <s v="SABS1200 GA \CONCRETE (SMALL WORKS)/8.4\SCHEDULED CONCRETE ITEMS/8.4.4\a) Wood floated Finish. /\KS18_018-Concrete Check Wall. Drawing NBC-GTW-CL-0024 \m²\3.45 \ 30"/>
        <s v="SABS1200 GA \CONCRETE (SMALL WORKS)/8.4\SCHEDULED CONCRETE ITEMS/8.4.4\a) Wood floated Finish. /\KS18_019-Concrete Check Wall. Drawing NBC-GTW-CL-0025 \m²\3.6 \ 30"/>
        <s v="SABS1200 GA \CONCRETE (SMALL WORKS)/8.4\SCHEDULED CONCRETE ITEMS/8.4.4\a) Wood floated Finish. /\KS18_020-Concrete Check Wall  \m²\3.75 \ 30"/>
        <s v="SABS1200 GA \CONCRETE (SMALL WORKS)/8,4\SCHEDULED CONCRETE ITEMS/8.4.4\a) Wood floated Finish. /\KS18_014-Concrete Check Wall. Drawing NBC-GTW-CL-0001 \m²\3,6 \ 30"/>
        <s v="SABS1200 GA \CONCRETE (SMALL WORKS)/8.4\SCHEDULED CONCRETE ITEMS/8.4.4\a) Wood floated Finish. /\KS19_002-Concrete Drop Inlet. Drawing NBC-GTW-CL-0026 \m²\8.004 \ 30"/>
        <s v="SABS1200 GA \CONCRETE (SMALL WORKS)/8.4\SCHEDULED CONCRETE ITEMS/8.4.4\a) Wood floated Finish. /\KS20_001-Concrete Drop Inlet. Drawing NBC-GTW-CL-0027 \m²\7.905 \ 30"/>
        <s v="SABS1200 GA \CONCRETE (SMALL WORKS)/8.4\SCHEDULED CONCRETE ITEMS/8.4.4\a) Wood floated Finish. /\KS20_002-Concrete Check Wall. Drawing NBC-GTW-CL-0028 \m²\3.6 \ 30"/>
        <s v="SABS1200 GA \CONCRETE (SMALL WORKS)/8.4\SCHEDULED CONCRETE ITEMS/8.4.4\a) Wood floated Finish. /\KS20_003-Concrete Check Wall. Drawing NBC-GTW-CL-0029 \m²\3.9 \ 30"/>
        <s v="SABS1200 GA \CONCRETE (SMALL WORKS)/8.4\SCHEDULED CONCRETE ITEMS/8.4.4\a) Wood floated Finish. /\KS20_004-Concrete Check Wall. Drawing NBC-GTW-CL-0030 \m²\4.5 \ 30"/>
        <s v="SABS1200 GA \CONCRETE (SMALL WORKS)/8.4\SCHEDULED CONCRETE ITEMS/8.4.4\a) Wood floated Finish. /\KS20_005-Concrete Check Wall. Drawing NBC-GTW-CL-0031 \m²\4.5 \ 30"/>
        <s v="SABS1200 GA \CONCRETE (SMALL WORKS)/8,4\SCHEDULED CONCRETE ITEMS/8.4.4\a) Wood floated Finish. /\KS20_006-Concrete Check Wall. Drawing NBC-GTW-CL-0032 \m²\4,8 \ 30"/>
        <s v="SABS1200 GA \CONCRETE (SMALL WORKS)/8.4\SCHEDULED CONCRETE ITEMS/8.4.4\a) Wood floated Finish. /\KS20_007-Concrete Check Wall. Drawing NBC-GTW-CL-0033 \m²\4.5 \ 30"/>
        <s v="SABS1200 GA \CONCRETE (SMALL WORKS)/8.4\SCHEDULED CONCRETE ITEMS/8.4.4\a) Wood floated Finish. /\KS20_008-Concrete Check Wall. Drawing NBC-GTW-CL-0034 \m²\4.35 \ 30"/>
        <s v="SABS1200 GA \CONCRETE (SMALL WORKS)/8.4\SCHEDULED CONCRETE ITEMS/8.4.4\a) Wood floated Finish. /\KS20_009_a-Concrete Check Wall. Drawing NBC-GTW-CL-0035 \m²\15 \ 30"/>
        <s v="SABS1200 GA \CONCRETE (SMALL WORKS)/8.4\SCHEDULED CONCRETE ITEMS/8.4.4\a) Wood floated Finish. /\KS20_009_b-Concrete Check Wall. Drawing NBC-GTW-CL-0035 \m²\2 \ 30"/>
        <s v="SABS1200 GA \CONCRETE (SMALL WORKS)/8.4\SCHEDULED CONCRETE ITEMS/8.4.4\a) Wood floated Finish. /\KS21_003-Concrete Drop Inlet. Drawing NBC-GTW-CL-0039 \m²\9.545 \ 30"/>
        <s v="SABS1200 GA \CONCRETE (SMALL WORKS)/8,4\SCHEDULED CONCRETE ITEMS/8.4.4\a) Wood floated Finish. /\KS21_005-Concrete Drop Inlet. Drawing NBC-GTW-CL-0040 \m²\9,545 \ 30"/>
        <s v="SABS1200 GA \CONCRETE (SMALL WORKS)/8.4\SCHEDULED CONCRETE ITEMS/8.4.4\a) Wood floated Finish. /\KS13_011-Concrete Drop Inlet. Drawing NBC-GTW-CL-0015 \m²\8.1 \ 30" u="1"/>
        <s v="SABS1200 GA \CONCRETE (SMALL WORKS)/8.4\SCHEDULED CONCRETE ITEMS/8.4.4\a) Wood floated Finish. /\KS13_004-Concrete Drop Inlet. Drawing NBC-GTW-CL-0010 \m²\7.905 \ 30" u="1"/>
        <s v="SABS1200 GA \CONCRETE (SMALL WORKS)/8.4\SCHEDULED CONCRETE ITEMS/8.4.4\a) Wood floated Finish. /\KS21_009-Concrete Drop Inlet. Drawing NBC-GTW-CL-0043 \m²\6.92 \ 30" u="1"/>
        <s v="SABS1200 GA \CONCRETE (SMALL WORKS)/8.4\SCHEDULED CONCRETE ITEMS/8.4.4\a) Wood floated Finish. /\KS21_010-Concrete Drop Inlet. Drawing NBC-GTW-CL-0044 \m²\6.92 \ 30" u="1"/>
        <s v="SABS1200 GA \CONCRETE (SMALL WORKS)/8.4\SCHEDULED CONCRETE ITEMS/8.4.4\a) Wood floated Finish. /\KS20_006-Concrete Drop Inlet. Drawing NBC-GTW-CL-0032 \m²\9.46 \ 30" u="1"/>
        <s v="SABS1200 GA \CONCRETE (SMALL WORKS)/8.4\SCHEDULED CONCRETE ITEMS/8.4.4\a) Wood floated Finish. /\KS20_006-Concrete Check Wall. Drawing NBC-GTW-CL-0032 \m²\4.8 \ 30" u="1"/>
        <s v="SABS1200 GA \CONCRETE (SMALL WORKS)/8.4\SCHEDULED CONCRETE ITEMS/8.4.4\a) Wood floated Finish. /\KS21_005-Concrete Drop Inlet. Drawing NBC-GTW-CL-0040 \m²\7.66 \ 30" u="1"/>
        <s v="SABS1200 GA \CONCRETE (SMALL WORKS)/8.4\SCHEDULED CONCRETE ITEMS/8.4.4\a) Wood floated Finish. /\KS13_007-Concrete Drop Inlet. Drawing NBC-GTW-CL-0013 \m²\7.69 \ 30" u="1"/>
        <s v="SABS1200 GA \CONCRETE (SMALL WORKS)/8.4\SCHEDULED CONCRETE ITEMS/8.4.4\a) Wood floated Finish. /\KS13_013-Concrete Drop Inlet. Drawing NBC-GTW-CL-0017 \m²\8.34 \ 30" u="1"/>
        <s v="SABS1200 GA \CONCRETE (SMALL WORKS)/8.4\SCHEDULED CONCRETE ITEMS/8.4.4\a) Wood floated Finish. /\KS13_015-Concrete Drop Inlet. Drawing NBC-GTW-CL-0018 \m²\8.34 \ 30" u="1"/>
        <s v="SABS1200 GA \CONCRETE (SMALL WORKS)/8.4\SCHEDULED CONCRETE ITEMS/8.4.4\a) Wood floated Finish. /\KS13_008-Concrete Drop Inlet. Drawing NBC-GTW-CL-0014 \m²\8.61 \ 30" u="1"/>
        <s v="SABS1200 GA \CONCRETE (SMALL WORKS)/8.4\SCHEDULED CONCRETE ITEMS/8.4.4\a) Wood floated Finish. /\KS18_019-Concrete Drop Inlet. Drawing NBC-GTW-CL-0025 \m²\7.24 \ 30" u="1"/>
        <s v="SABS1200 GA \CONCRETE (SMALL WORKS)/8.4\SCHEDULED CONCRETE ITEMS/8.4.4\a) Wood floated Finish. /\KS18_016-Concrete Drop Inlet. Drawing NBC-GTW-CL-0022 \m²\7.9 \ 30" u="1"/>
        <s v="SABS1200 GA \CONCRETE (SMALL WORKS)/8.4\SCHEDULED CONCRETE ITEMS/8.4.4\a) Wood floated Finish. /\KS18_001-Concrete Drop Inlet. Drawing NBC-GTW-CL-0019 \m²\10.95 \ 30" u="1"/>
        <s v="SABS1200 GA \CONCRETE (SMALL WORKS)/8.4\SCHEDULED CONCRETE ITEMS/8.4.4\a) Wood floated Finish. /\KS20_004-Concrete Drop Inlet. Drawing NBC-GTW-CL-0030 \m²\8.96 \ 30" u="1"/>
        <s v="SABS1200 GA \CONCRETE (SMALL WORKS)/8.4\SCHEDULED CONCRETE ITEMS/8.4.4\a) Wood floated Finish. /\KS20_003-Concrete Buttress Weir. Drawing NBC-GTW-CL-0029 \m²\11.5870942263055 \ 30" u="1"/>
        <s v="SABS1200 GA \CONCRETE (SMALL WORKS)/8.4\SCHEDULED CONCRETE ITEMS/8.4.4\a) Wood floated Finish. /\KS21_007-Concrete Drop Inlet. Drawing NBC-GTW-CL-0042 \m²\7.2 \ 30" u="1"/>
        <s v="SABS1200 GA \CONCRETE (SMALL WORKS)/8.4\SCHEDULED CONCRETE ITEMS/8.4.4\a) Wood floated Finish. /\KS18_020-Concrete Drop Inlet associated with Road Culvert  \m²\7.884 \ 30" u="1"/>
        <s v="SABS1200 GA \CONCRETE (SMALL WORKS)/8.4\SCHEDULED CONCRETE ITEMS/8.4.4\a) Wood floated Finish. /\KS18_017-Concrete Drop Inlet. Drawing NBC-GTW-CL-0023 \m²\7.58 \ 30" u="1"/>
        <s v="SABS1200 GA \CONCRETE (SMALL WORKS)/8.4\SCHEDULED CONCRETE ITEMS/8.4.4\a) Wood floated Finish. /\KS13_012-Concrete Drop Inlet. Drawing NBC-GTW-CL-0016 \m²\7.84 \ 30" u="1"/>
        <s v="SABS1200 GA \CONCRETE (SMALL WORKS)/8.4\SCHEDULED CONCRETE ITEMS/8.4.4\a) Wood floated Finish. /\KS13_005-Concrete Drop Inlet. Drawing NBC-GTW-CL-0011 \m²\7.86 \ 30" u="1"/>
        <s v="SABS1200 GA \CONCRETE (SMALL WORKS)/8.4\SCHEDULED CONCRETE ITEMS/8.4.4\a) Wood floated Finish. /\KS13_006-Concrete Drop Inlet. Drawing NBC-GTW-CL-0012 \m²\7.86 \ 30" u="1"/>
        <s v="SABS1200 GA \CONCRETE (SMALL WORKS)/8.4\SCHEDULED CONCRETE ITEMS/8.4.4\a) Wood floated Finish. /\KS18-014-Concrete Check Wall. Drawing NBC-GTW-CL-0001 \m²\3.6 \ 30" u="1"/>
        <s v="SABS1200 GA \CONCRETE (SMALL WORKS)/8.4\SCHEDULED CONCRETE ITEMS/8.4.4\a) Wood floated Finish. /\KS18_002-Concrete Drop Inlet. Drawing NBC-GTW-CL-0020 \m²\14.16 \ 30" u="1"/>
        <s v="SABS1200 GA \CONCRETE (SMALL WORKS)/8.4\SCHEDULED CONCRETE ITEMS/8.4.4\a) Wood floated Finish. /\KS20_005-Concrete Drop Inlet. Drawing NBC-GTW-CL-0031 \m²\9.96 \ 30" u="1"/>
        <s v="SABS1200 GA \CONCRETE (SMALL WORKS)/8.4\SCHEDULED CONCRETE ITEMS/8.4.4\a) Wood floated Finish. /\KS20_002-Concrete Drop Inlet. Drawing NBC-GTW-CL-0028 \m²\10.26 \ 30" u="1"/>
        <s v="SABS1200 GA \CONCRETE (SMALL WORKS)/8.4\SCHEDULED CONCRETE ITEMS/8.4.4\a) Wood floated Finish. /\KS21_006-Concrete Drop Inlet. Drawing NBC-GTW-CL-0041 \m²\7.8 \ 30" u="1"/>
        <s v="SABS1200 GA \CONCRETE (SMALL WORKS)/8.4\SCHEDULED CONCRETE ITEMS/8.4.4\a) Wood floated Finish. /\KS20_008-Concrete Drop Inlet. Drawing NBC-GTW-CL-0034 \m²\9.9 \ 30" u="1"/>
        <s v="SABS1200 GA \CONCRETE (SMALL WORKS)/8.4\SCHEDULED CONCRETE ITEMS/8.4.4\a) Wood floated Finish. /\KS20_007-Concrete Drop Inlet. Drawing NBC-GTW-CL-0033 \m²\8.84 \ 30" u="1"/>
        <s v="SABS1200 GA \CONCRETE (SMALL WORKS)/8.4\SCHEDULED CONCRETE ITEMS/8.4.4\a) Wood floated Finish. /\KS20_009_a-Concrete Buttress Weir. Drawing NBC-GTW-CL-0035 \m²\10.5025983121934 \ 30" u="1"/>
        <s v="SABS1200 GA \CONCRETE (SMALL WORKS)/8.4\SCHEDULED CONCRETE ITEMS/8.4.4\a) Wood floated Finish. /\KS18_018-Concrete Drop Inlet. Drawing NBC-GTW-CL-0024 \m²\7.315 \ 30" u="1"/>
        <s v="SABS1200 GA \CONCRETE (SMALL WORKS)/8.4\SCHEDULED CONCRETE ITEMS/8.4.4\a) Wood floated Finish. /\KS18_015-Concrete Drop Inlet. Drawing NBC-GTW-CL-0021 \m²\8.43 \ 30" u="1"/>
      </sharedItems>
    </cacheField>
    <cacheField name="b) Steel-floated Finish2" numFmtId="0">
      <sharedItems count="1">
        <s v=" "/>
      </sharedItems>
    </cacheField>
    <cacheField name="Concrete 25  Mpa/19mm complete with formwork" numFmtId="0">
      <sharedItems count="4">
        <s v=" "/>
        <s v="SABS1200 GA \CONCRETE (SMALL WORKS)/8.4\SCHEDULED CONCRETE ITEMS/8.4.3\Concrete 25  Mpa with 19mm stone complete with formwork. Rate to include formwork./\LS16_012-Concrete Splash Through Structure. Drawing NBC-GTW-CL-0067 \m³\21.3 \ 3250"/>
        <s v="SABS1200 GA \CONCRETE (SMALL WORKS)/8.4\SCHEDULED CONCRETE ITEMS/8.4.3\Concrete 25  Mpa with 19mm stone complete with formwork. Rate to include formwork./\LS16_016-Concrete Splash Through Structure. Drawing NBC-GTW-CL-0068 \m³\21.3 \ 3250"/>
        <s v="SABS1200 GA \CONCRETE (SMALL WORKS)/8.4\SCHEDULED CONCRETE ITEMS/8.4.3\Concrete 25  Mpa with 19mm stone complete with formwork. Rate to include formwork./\LS16_019-Pipe Culvert. Drawing NBC-GTW-CL-0069 \m³\1 \ 3250"/>
      </sharedItems>
    </cacheField>
    <cacheField name="M200 Blocks" numFmtId="0">
      <sharedItems count="1">
        <s v=" "/>
      </sharedItems>
    </cacheField>
    <cacheField name="Suitable Earthen Backfill Material" numFmtId="0">
      <sharedItems count="107" longText="1">
        <s v=" "/>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1-002a-Concrete Drop Inlet on Dam Wall  \m³\25.2498 \ 120"/>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1-003-Backfilling Dam to Create Wetland  \m³\24200 \ 120"/>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1-004a-Concrete Drop Inlet on Dam Wall  \m³\25.2498 \ 120"/>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1-005-Backfilling Dam to Create Wetland  \m³\12300 \ 120"/>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2_006-Concrete Drop Inlet. Drawing NBC-GTW-CL-0005 \m³\14.729 \ 120"/>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2_007-Concrete Drop Inlet. Drawing NBC-GTW-CL-0006 \m³\25.978 \ 120"/>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2_008-Concrete Drop Inlet. Drawing NBC-GTW-CL-0007 \m³\16.6032 \ 120"/>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2_009-Concrete Drop Inlet. Drawing NBC-GTW-CL-0008 \m³\8.9856 \ 120"/>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3_001-Infilling of Drains  \m³\215 \ 120"/>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3_002-Infilling of Drains  \m³\15 \ 120"/>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3_003-Concrete Drop Inlet. Drawing NBC-GTW-CL-0009 \m³\12.735 \ 120"/>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3_009-Infilling of Drains  \m³\12.5385 \ 120"/>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3_014-Infilling of Drains  \m³\64.84266 \ 120"/>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3_016-Infilling of Drains  \m³\111.91475 \ 120"/>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3_017-Backfilling Main Channel  \m³\2559.3521265 \ 120"/>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5-002-Backfill Main Channel  \m³\3200 \ 120"/>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6_001-Earthen berm  \m³\103.38 \ 120"/>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6_004-Earthen berm  \m³\69.08 \ 120"/>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8-021-Backfill Main Channel  \m³\1879.7535 \ 120"/>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9_002-Concrete Drop Inlet. Drawing NBC-GTW-CL-0026 \m³\10.8096 \ 120"/>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9_007-Infilling of Drains  \m³\38 \ 120"/>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20_001-Concrete Drop Inlet. Drawing NBC-GTW-CL-0027 \m³\32.7276 \ 120"/>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20_011-Backfilling Main Channel  \m³\5730 \ 120"/>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21-010-Backfilling Main Channel. Drawing No Drawing \m³\2347,2 \ 120"/>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LS16_014-Ecologs  \m³\1.27234502470387 \ 120"/>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LS16_015-Earthworks (Reinforce Dam Wall)  \m³\198.45 \ 120"/>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LS16_016-Gabion energy breaker  \m³\2.4 \ 120"/>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LS16_017-Gabion energy breaker  \m³\2.8 \ 120"/>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LS16_021-Backfill Main Channel and reshaping  \m³\3454 \ 120"/>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Pan14_004-Infilling of Drains  \m³\90 \ 120"/>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Pan14_005-Infilling of Drains  \m³\81.9 \ 120"/>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Pan14_006-Earthen Berms  \m³\57.375 \ 120"/>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Pan14_007-Infilling of Drains  \m³\47.88 \ 120"/>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Pan14_008-Infilling of Drains  \m³\18.36 \ 120"/>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Pan14_009-Infilling of Drains  \m³\27.44 \ 120"/>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Pan14_010-Infilling of Drains  \m³\1312.5 \ 120"/>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Pan14_011-Infilling of Drains  \m³\582 \ 120"/>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Pan14-001-Reinstate Pan Edge  \m³\92 \ 120"/>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Pan8_002-Infilling of Drains  \m³\93 \ 120"/>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9_007-Infilling of Drains  \m³\38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8_002-Concrete Drop Inlet. Drawing NBC-GTW-CL-0020 \m³\12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20_001-Concrete Drop Inlet. Drawing NBC-GTW-CL-0027 \m³\32.7276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21-002-Earthworks  \m³\40.342938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3_003-Concrete Drop Inlet. Drawing NBC-GTW-CL-0009 \m³\12.735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20_005-Concrete Drop Inlet. Drawing NBC-GTW-CL-0031 \m³\18.755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20_009_c-Earthen Berm. Drawing NBC-GTW-CL-0035 \m³\23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Pan14_006-Earthen Berms  \m³\57.375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6_005-Deactivate Drain  \m³\14.4199102799772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LS16_015-Earthworks (Reinforce Dam Wall)  \m³\198.45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2_009-Concrete Drop Inlet. Drawing NBC-GTW-CL-0008 \m³\8.9856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6_003-Infilling of Drains  \m³\11.1683618835117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5-002-Backfill Main Channel  \m³\2476.48321243472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LS16_016-Gabion energy breaker  \m³\2.4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1-005-Backfilling Dam to Create Wetland  \m³\12300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3_004-Concrete Drop Inlet. Drawing NBC-GTW-CL-0010 \m³\7.147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20_003-Concrete Buttress Weir. Drawing NBC-GTW-CL-0029 \m³\22.85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Pan14_004-Infilling of Drains  \m³\90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3_016-Infilling of Drains  \m³\111.91475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21-004-Earthworks  \m³\13.875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3_014-Infilling of Drains  \m³\64.84266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2_007-Concrete Drop Inlet. Drawing NBC-GTW-CL-0006 \m³\25.978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8-021-Backfill Main Channel  \m³\1879.7535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3_005-Concrete Drop Inlet. Drawing NBC-GTW-CL-0011 \m³\2.7444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3_006-Concrete Drop Inlet. Drawing NBC-GTW-CL-0012 \m³\2.7444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20_002-Concrete Drop Inlet. Drawing NBC-GTW-CL-0028 \m³\27.81832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LS16_021-Backfill Main Channel and reshaping  \m³\2656.6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8_018-Concrete Drop Inlet. Drawing NBC-GTW-CL-0024 \m³\29.2436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3_015-Concrete Drop Inlet. Drawing NBC-GTW-CL-0018 \m³\21.288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Pan14_011-Infilling of Drains  \m³\582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9_002-Concrete Drop Inlet. Drawing NBC-GTW-CL-0026 \m³\10.8096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20_009_a-Concrete Buttress Weir. Drawing NBC-GTW-CL-0035 \m³\22.6896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2_008-Concrete Drop Inlet. Drawing NBC-GTW-CL-0007 \m³\16.6032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1-002a-Concrete Drop Inlet on Dam Wall  \m³\25.2498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1-004a-Concrete Drop Inlet on Dam Wall  \m³\25.2498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9_003-Headcut  \m³\2.40331837999619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Pan14_007-Infilling of Drains  \m³\47.88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8_016-Concrete Drop Inlet. Drawing NBC-GTW-CL-0022 \m³\11.5948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21-008-Infilling of Drain  \m³\83.9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9_001-Infilling of Drains  \m³\2.82743338823081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20_010-Infilling of Drains  \m³\2.82743338823081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LS16_014-Ecologs  \m³\1.27234502470387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9_004-Infilling of Drains  \m³\3.53429173528852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5_001-Fish Bowl  \m³\12.9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3_002-Infilling of Drains  \m³\15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6_002-Excavate Dam Wall  \m³\16.7658333333333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3_009-Infilling of Drains  \m³\12.5385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Pan14_005-Infilling of Drains  \m³\81.9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1-003-Backfilling Dam to Create Wetland  \m³\24200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Pan14_010-Infilling of Drains  \m³\1312.5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3_007-Concrete Drop Inlet. Drawing NBC-GTW-CL-0013 \m³\6.884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2_006-Concrete Drop Inlet. Drawing NBC-GTW-CL-0005 \m³\14.729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3_013-Concrete Drop Inlet. Drawing NBC-GTW-CL-0017 \m³\12.0852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Pan8_002-Infilling of Drains  \m³\93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9_005-Infilling of Drains  \m³\3.67566340470006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8-014-Concrete Filled Geo-Cell Berm. Drawing NBC-GTW-CL-0001 \m³\35.1075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Pan14_009-Infilling of Drains  \m³\27.44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3_001-Infilling of Drains  \m³\215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LS16_017-Gabion energy breaker  \m³\2.8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8_015-Concrete Drop Inlet. Drawing NBC-GTW-CL-0021 \m³\23.5168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20_007-Concrete Drop Inlet. Drawing NBC-GTW-CL-0033 \m³\14.9706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Pan14_008-Infilling of Drains  \m³\18.36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8_017-Concrete Drop Inlet. Drawing NBC-GTW-CL-0023 \m³\11.0904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3_008-Concrete Drop Inlet. Drawing NBC-GTW-CL-0014 \m³\3.1744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6_004-Infilling of Drains  \m³\103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Pan14-001-Reinstate Pan Edge  \m³\92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6_001-Infilling of Drains  \m³\118 \ 300" u="1"/>
      </sharedItems>
    </cacheField>
    <cacheField name="Select granular material" numFmtId="0">
      <sharedItems count="5" longText="1">
        <s v=" "/>
        <s v="SABS1200 DA \EARTHWORKS (SMALL WORKS)/8.3\SCHEDULED ITEMS/8.3.4\Importing of Suitable Granular Material from Spoil Stockpile or other Borrow Sources on Site. Rate to allow for loading from stockpile or borrow source, transport within 5 km free haul distance, stockpiling (if required), placing, spreading  and compacting material in layers, as specified by the engineer./\LS16_016-Gabion energy breaker  \m³\2 \ 300"/>
        <s v="SABS1200 DA \EARTHWORKS (SMALL WORKS)/8.3\SCHEDULED ITEMS/8.3.4\Importing of Suitable Granular Material from Spoil Stockpile or other Borrow Sources on Site. Rate to allow for loading from stockpile or borrow source, transport within 5 km free haul distance, stockpiling (if required), placing, spreading  and compacting material in layers, as specified by the engineer./\LS16_017-Gabion energy breaker  \m³\0.666666666666667 \ 300"/>
        <s v="SABS1200 DA \EARTHWORKS (SMALL WORKS)/8.3\SCHEDULED ITEMS/8.3.4\Importing of Suitable Granular Material from Spoil Stockpile or other Borrow Sources on Site. Rate to allow for loading from stockpile or borrow source, transport within 5 km free haul distance, stockpiling (if required), placing, spreading  and compacting material in layers, as specified by the engineer./\LS16_018-Gabion energy breaker  \m³\3 \ 300"/>
        <s v="SABS1200 DA \EARTHWORKS (SMALL WORKS)/8.3\SCHEDULED ITEMS/8.3.4\Importing of Suitable Granular Material from Spoil Stockpile or other Borrow Sources on Site. Rate to allow for loading from stockpile or borrow source, transport within 5 km free haul distance, stockpiling (if required), placing, spreading  and compacting material in layers, as specified by the engineer./\LS16_019-Gabion energy breaker  \m³\1.00833333333333 \ 300"/>
      </sharedItems>
    </cacheField>
    <cacheField name="a) Cavities filled with approved excavated material or rock2" numFmtId="0">
      <sharedItems count="1">
        <s v=" "/>
      </sharedItems>
    </cacheField>
    <cacheField name="b) Cavities filled with grade 15 concrete (provisional)2" numFmtId="0">
      <sharedItems count="6">
        <s v=" "/>
        <s v="SABS1200 DK \ GABIONS AND PITCHING / 8.2\ Surface preparation for bedding of gabions / 8.2.1  \ b) Cavities filled with grade 15 concrete (provisional). /\LS16_013-Gabion energy breaker  \m²\1 \ 75"/>
        <s v="SABS1200 DK \ GABIONS AND PITCHING / 8.2\ Surface preparation for bedding of gabions / 8.2.1  \ b) Cavities filled with grade 15 concrete (provisional). /\LS16_016-Gabion energy breaker  \m²\1 \ 75"/>
        <s v="SABS1200 DK \ GABIONS AND PITCHING / 8.2\ Surface preparation for bedding of gabions / 8.2.1  \ b) Cavities filled with grade 15 concrete (provisional). /\LS16_017-Gabion energy breaker  \m²\1 \ 75"/>
        <s v="SABS1200 DK \ GABIONS AND PITCHING / 8.2\ Surface preparation for bedding of gabions / 8.2.1  \ b) Cavities filled with grade 15 concrete (provisional). /\LS16_018-Gabion energy breaker  \m²\1 \ 75"/>
        <s v="SABS1200 DK \ GABIONS AND PITCHING / 8.2\ Surface preparation for bedding of gabions / 8.2.1  \ b) Cavities filled with grade 15 concrete (provisional). /\LS16_019-Gabion energy breaker  \m²\1 \ 75"/>
      </sharedItems>
    </cacheField>
    <cacheField name="1 m x 1 m x 1 m Galvanised Gabions2" numFmtId="0">
      <sharedItems count="1">
        <s v=" "/>
      </sharedItems>
    </cacheField>
    <cacheField name="2 m x 1 m x 1 m Galvanised  Gabions2" numFmtId="0">
      <sharedItems count="3" longText="1">
        <s v=" "/>
        <s v="SABS1200 DK \ GABIONS AND PITCHING / 8.2\ Gabions. Rate to allow for supply of approved gabion hand rock, SABS approved gabion baskets, installation and tying as per suppliers specifications. / 8.2.2 \ 2 m x 1 m x 1 m Galvanised  Gabions. /\LS16_017-Gabion energy breaker  \m³\8 \ 1750"/>
        <s v="SABS1200 DK \ GABIONS AND PITCHING / 8.2\ Gabions. Rate to allow for supply of approved gabion hand rock, SABS approved gabion baskets, installation and tying as per suppliers specifications. / 8.2.2 \ 2 m x 1 m x 1 m Galvanised  Gabions. /\LS16_019-Gabion energy breaker  \m³\4 \ 1750"/>
      </sharedItems>
    </cacheField>
    <cacheField name="3 m x 1 m x 1 m Galvanised Gabions2" numFmtId="0">
      <sharedItems count="6" longText="1">
        <s v=" "/>
        <s v="SABS1200 DK \ GABIONS AND PITCHING / 8.2\ Gabions. Rate to allow for supply of approved gabion hand rock, SABS approved gabion baskets, installation and tying as per suppliers specifications. / 8.2.2 \ 3 m x 1 m x 1 m Galvanised Gabions. /\LS16_013-Gabion energy breaker  \m³\9 \ 1750"/>
        <s v="SABS1200 DK \ GABIONS AND PITCHING / 8.2\ Gabions. Rate to allow for supply of approved gabion hand rock, SABS approved gabion baskets, installation and tying as per suppliers specifications. / 8.2.2 \ 3 m x 1 m x 1 m Galvanised Gabions. /\LS16_016-Gabion energy breaker  \m³\12 \ 1750"/>
        <s v="SABS1200 DK \ GABIONS AND PITCHING / 8.2\ Gabions. Rate to allow for supply of approved gabion hand rock, SABS approved gabion baskets, installation and tying as per suppliers specifications. / 8.2.2 \ 3 m x 1 m x 1 m Galvanised Gabions. /\LS16_017-Gabion energy breaker  \m³\6 \ 1750"/>
        <s v="SABS1200 DK \ GABIONS AND PITCHING / 8.2\ Gabions. Rate to allow for supply of approved gabion hand rock, SABS approved gabion baskets, installation and tying as per suppliers specifications. / 8.2.2 \ 3 m x 1 m x 1 m Galvanised Gabions. /\LS16_018-Gabion energy breaker  \m³\15 \ 1750"/>
        <s v="SABS1200 DK \ GABIONS AND PITCHING / 8.2\ Gabions. Rate to allow for supply of approved gabion hand rock, SABS approved gabion baskets, installation and tying as per suppliers specifications. / 8.2.2 \ 3 m x 1 m x 1 m Galvanised Gabions. /\LS16_019-Gabion energy breaker  \m³\12 \ 1750"/>
      </sharedItems>
    </cacheField>
    <cacheField name="4 m x 1 m x 1 m Galvanised Gabions2" numFmtId="0">
      <sharedItems count="1">
        <s v=" "/>
      </sharedItems>
    </cacheField>
    <cacheField name="2 m x 0.5 m x 0.5 m Galvanised Gabions2" numFmtId="0">
      <sharedItems count="1">
        <s v=" "/>
      </sharedItems>
    </cacheField>
    <cacheField name="2 m x 1 m x 0.3 m Galvanised Reno Mattress2" numFmtId="0">
      <sharedItems count="1">
        <s v=" "/>
      </sharedItems>
    </cacheField>
    <cacheField name="3 m x 1 m x 0.3 m Galvanised Reno Mattress2" numFmtId="0">
      <sharedItems count="6" longText="1">
        <s v=" "/>
        <s v="SABS1200 DK \ GABIONS AND PITCHING / 8.2\ Gabions. Rate to allow for supply of approved gabion hand rock, SABS approved gabion baskets, installation and tying as per suppliers specifications. / 8.2.2 \ 3 m x 1 m x 0.3 m Galvanised Reno Mattress. /\LS16_013-Gabion energy breaker  \m³\4.5 \ 1750"/>
        <s v="SABS1200 DK \ GABIONS AND PITCHING / 8.2\ Gabions. Rate to allow for supply of approved gabion hand rock, SABS approved gabion baskets, installation and tying as per suppliers specifications. / 8.2.2 \ 3 m x 1 m x 0.3 m Galvanised Reno Mattress. /\LS16_016-Gabion energy breaker  \m³\7.2 \ 1750"/>
        <s v="SABS1200 DK \ GABIONS AND PITCHING / 8.2\ Gabions. Rate to allow for supply of approved gabion hand rock, SABS approved gabion baskets, installation and tying as per suppliers specifications. / 8.2.2 \ 3 m x 1 m x 0.3 m Galvanised Reno Mattress. /\LS16_017-Gabion energy breaker  \m³\9 \ 1750"/>
        <s v="SABS1200 DK \ GABIONS AND PITCHING / 8.2\ Gabions. Rate to allow for supply of approved gabion hand rock, SABS approved gabion baskets, installation and tying as per suppliers specifications. / 8.2.2 \ 3 m x 1 m x 0.3 m Galvanised Reno Mattress. /\LS16_018-Gabion energy breaker  \m³\9.9 \ 1750"/>
        <s v="SABS1200 DK \ GABIONS AND PITCHING / 8.2\ Gabions. Rate to allow for supply of approved gabion hand rock, SABS approved gabion baskets, installation and tying as per suppliers specifications. / 8.2.2 \ 3 m x 1 m x 0.3 m Galvanised Reno Mattress. /\LS16_019-Gabion energy breaker  \m³\10.8 \ 1750"/>
      </sharedItems>
    </cacheField>
    <cacheField name="6 m x 2 m x 0.3 m Galvanised Reno Mattress2" numFmtId="0">
      <sharedItems count="1">
        <s v=" "/>
      </sharedItems>
    </cacheField>
    <cacheField name="1 m x 1 m x 1 m PVC coated Gabions2" numFmtId="0">
      <sharedItems count="1">
        <s v=" "/>
      </sharedItems>
    </cacheField>
    <cacheField name="2 m x 1 m x 1 m PVC coated Gabions2" numFmtId="0">
      <sharedItems count="1">
        <s v=" "/>
      </sharedItems>
    </cacheField>
    <cacheField name="3 m x 1 m x 1 m PVC coated Gabions2" numFmtId="0">
      <sharedItems count="1">
        <s v=" "/>
      </sharedItems>
    </cacheField>
    <cacheField name="4 m x 1 m x 1 m PVC coated Gabions2" numFmtId="0">
      <sharedItems count="1">
        <s v=" "/>
      </sharedItems>
    </cacheField>
    <cacheField name="2 m x 0.5 m x 0.5 m PVC coated Gabions2" numFmtId="0">
      <sharedItems count="1">
        <s v=" "/>
      </sharedItems>
    </cacheField>
    <cacheField name="2 m x 1 m x 0.3 m PVC coated Reno Mattress2" numFmtId="0">
      <sharedItems count="1">
        <s v=" "/>
      </sharedItems>
    </cacheField>
    <cacheField name="3 m x 1 m x 0.3 m PVC coated Reno Mattress2" numFmtId="0">
      <sharedItems count="1">
        <s v=" "/>
      </sharedItems>
    </cacheField>
    <cacheField name="6 m x 2 m x 0.3 m PVC coated Reno Mattress2" numFmtId="0">
      <sharedItems count="1">
        <s v=" "/>
      </sharedItems>
    </cacheField>
    <cacheField name="Extra-over 8.2.2 for packing selected stone for exposed surfaces2" numFmtId="0">
      <sharedItems count="1">
        <s v=" "/>
      </sharedItems>
    </cacheField>
    <cacheField name="Needle punched Non-woven Geotextile2" numFmtId="0">
      <sharedItems count="8" longText="1">
        <s v=" "/>
        <s v="SABS1200 DK \ GABIONS AND PITCHING / 8.2\ Geotextile / 8.2.4 \ Needle punched Non-woven Geotextile (BiDim A4 or equivalent product). Rate to allow for supply of SABS approved geofabric such as Bidim a4 or equivalent product and installation between all gabion-soil interfaces.. /\ks11-002b-Concrete Splash Through Structure. Drawing NBC-GTW-CL-0067 \m²\87 \ 28"/>
        <s v="SABS1200 DK \ GABIONS AND PITCHING / 8.2\ Geotextile / 8.2.4 \ Needle punched Non-woven Geotextile (BiDim A4 or equivalent product). Rate to allow for supply of SABS approved geofabric such as Bidim a4 or equivalent product and installation between all gabion-soil interfaces.. /\ks11-004b-Concrete Splash Through Structure. Drawing NBC-GTW-CL-0068 \m²\87 \ 28"/>
        <s v="SABS1200 DK \ GABIONS AND PITCHING / 8.2\ Geotextile / 8.2.4 \ Needle punched Non-woven Geotextile (BiDim A4 or equivalent product). Rate to allow for supply of SABS approved geofabric such as Bidim a4 or equivalent product and installation between all gabion-soil interfaces.. /\LS16_013-Gabion energy breaker  \m²\44.9 \ 28"/>
        <s v="SABS1200 DK \ GABIONS AND PITCHING / 8.2\ Geotextile / 8.2.4 \ Needle punched Non-woven Geotextile (BiDim A4 or equivalent product). Rate to allow for supply of SABS approved geofabric such as Bidim a4 or equivalent product and installation between all gabion-soil interfaces.. /\LS16_016-Gabion energy breaker  \m²\62.9 \ 28"/>
        <s v="SABS1200 DK \ GABIONS AND PITCHING / 8.2\ Geotextile / 8.2.4 \ Needle punched Non-woven Geotextile (BiDim A4 or equivalent product). Rate to allow for supply of SABS approved geofabric such as Bidim a4 or equivalent product and installation between all gabion-soil interfaces.. /\LS16_017-Gabion energy breaker  \m²\74.9 \ 28"/>
        <s v="SABS1200 DK \ GABIONS AND PITCHING / 8.2\ Geotextile / 8.2.4 \ Needle punched Non-woven Geotextile (BiDim A4 or equivalent product). Rate to allow for supply of SABS approved geofabric such as Bidim a4 or equivalent product and installation between all gabion-soil interfaces.. /\LS16_018-Gabion energy breaker  \m²\80.9 \ 28"/>
        <s v="SABS1200 DK \ GABIONS AND PITCHING / 8.2\ Geotextile / 8.2.4 \ Needle punched Non-woven Geotextile (BiDim A4 or equivalent product). Rate to allow for supply of SABS approved geofabric such as Bidim a4 or equivalent product and installation between all gabion-soil interfaces.. /\LS16_019-Gabion energy breaker  \m²\83.9 \ 28"/>
      </sharedItems>
    </cacheField>
    <cacheField name="Stone Pitching - Light2" numFmtId="0">
      <sharedItems count="1">
        <s v=" "/>
      </sharedItems>
    </cacheField>
    <cacheField name="Stone Pitching - Medium2" numFmtId="0">
      <sharedItems count="1">
        <s v=" "/>
      </sharedItems>
    </cacheField>
    <cacheField name="Grouted Pitching - Light2" numFmtId="0">
      <sharedItems count="3">
        <s v=" "/>
        <s v="SABS1200 DK \ GABIONS AND PITCHING / 8.2\ Pitching / 8.2.5 \ Grouted Pitching - Light. /\KS21_001-10° sloped Grouted Pitching (Light). Drawing NBC-GTW-CL-0038 \m²\50 \ 750"/>
        <s v="SABS1200 DK \ GABIONS AND PITCHING / 8.2\ Pitching / 8.2.5 \ Grouted Pitching - Light. /\KS21_001-10° sloped Grouted Pitching (Light). Drawing NBC-GTW-CL-0038 \m²\38.098221281347 \ 750" u="1"/>
      </sharedItems>
    </cacheField>
    <cacheField name="Grouted Pitching - Medium2" numFmtId="0">
      <sharedItems count="1">
        <s v=" "/>
      </sharedItems>
    </cacheField>
    <cacheField name="Weepholes in grouted stone pitching2" numFmtId="0">
      <sharedItems count="1">
        <s v=" "/>
      </sharedItems>
    </cacheField>
    <cacheField name="Rockpack" numFmtId="0">
      <sharedItems count="3">
        <s v=" "/>
        <s v=" \  / \  /  \ . /\ks11-002b-Concrete Splash Through Structure. Drawing NBC-GTW-CL-0067 \m³\24 \ 500"/>
        <s v=" \  / \  /  \ . /\ks11-004b-Concrete Splash Through Structure. Drawing NBC-GTW-CL-0068 \m³\24 \ 500"/>
      </sharedItems>
    </cacheField>
    <cacheField name="Eco-logs" numFmtId="0">
      <sharedItems count="16" longText="1">
        <s v=" "/>
        <s v=" \  / \  /  \ Install Erosion control logs (2 m long x 300 mm Dimeter ). Rate to allow supply of erosion control log and 2 No. 1000 mm long steel fence droppers per a log. To be installed as per suppliers specifications./\KS16_003-Ecologs  \unit\79 \ 900"/>
        <s v=" \  / \  /  \ Install Erosion control logs (2 m long x 300 mm Dimeter ). Rate to allow supply of erosion control log and 2 No. 1000 mm long steel fence droppers per a log. To be installed as per suppliers specifications./\KS16_005-Ecologs  \unit\102 \ 900"/>
        <s v=" \  / \  /  \ Install Erosion control logs (2 m long x 300 mm Dimeter ). Rate to allow supply of erosion control log and 2 No. 1000 mm long steel fence droppers per a log. To be installed as per suppliers specifications./\KS19_001-Ecologs  \unit\20 \ 900"/>
        <s v=" \  / \  /  \ Install Erosion control logs (2 m long x 300 mm Dimeter ). Rate to allow supply of erosion control log and 2 No. 1000 mm long steel fence droppers per a log. To be installed as per suppliers specifications./\KS19_003-Ecologs  \unit\8 \ 900"/>
        <s v=" \  / \  /  \ Install Erosion control logs (2 m long x 300 mm Dimeter ). Rate to allow supply of erosion control log and 2 No. 1000 mm long steel fence droppers per a log. To be installed as per suppliers specifications./\KS19_004-Ecologs  \unit\25 \ 900"/>
        <s v=" \  / \  /  \ Install Erosion control logs (2 m long x 300 mm Dimeter ). Rate to allow supply of erosion control log and 2 No. 1000 mm long steel fence droppers per a log. To be installed as per suppliers specifications./\KS19_005-Ecologs  \unit\26 \ 900"/>
        <s v=" \  / \  /  \ Install Erosion control logs (2 m long x 300 mm Dimeter ). Rate to allow supply of erosion control log and 2 No. 1000 mm long steel fence droppers per a log. To be installed as per suppliers specifications./\KS20_010-Ecologs  \unit\20 \ 900"/>
        <s v=" \  / \  /  \ Install Erosion control logs (2 m long x 300 mm Dimeter ). Rate to allow supply of erosion control log and 2 No. 1000 mm long steel fence droppers per a log. To be installed as per suppliers specifications./\LS16_014-Ecologs  \unit\9 \ 900"/>
        <s v=" \  / \  /  \ Install Erosion control logs (2 m long x 300 mm Dimeter ). Rate to allow supply of erosion control log and 2 No. 1000 mm long steel fence droppers per a log. To be installed as per suppliers specifications./\KS19_004-Infilling of Drains  \unit\25 \ 900" u="1"/>
        <s v=" \  / \  /  \ Install Erosion control logs (2 m long x 300 mm Dimeter ). Rate to allow supply of erosion control log and 2 No. 1000 mm long steel fence droppers per a log. To be installed as per suppliers specifications./\KS16_005-Deactivate Drain  \unit\102 \ 900" u="1"/>
        <s v=" \  / \  /  \ Install Erosion control logs (2 m long x 300 mm Dimeter ). Rate to allow supply of erosion control log and 2 No. 1000 mm long steel fence droppers per a log. To be installed as per suppliers specifications./\KS19_001-Infilling of Drains  \unit\20 \ 900" u="1"/>
        <s v=" \  / \  /  \ Install Erosion control logs (2 m long x 300 mm Dimeter ). Rate to allow supply of erosion control log and 2 No. 1000 mm long steel fence droppers per a log. To be installed as per suppliers specifications./\KS20_010-Infilling of Drains  \unit\20 \ 900" u="1"/>
        <s v=" \  / \  /  \ Install Erosion control logs (2 m long x 300 mm Dimeter ). Rate to allow supply of erosion control log and 2 No. 1000 mm long steel fence droppers per a log. To be installed as per suppliers specifications./\KS19_003-Headcut  \unit\8 \ 900" u="1"/>
        <s v=" \  / \  /  \ Install Erosion control logs (2 m long x 300 mm Dimeter ). Rate to allow supply of erosion control log and 2 No. 1000 mm long steel fence droppers per a log. To be installed as per suppliers specifications./\KS16_003-Infilling of Drains  \unit\79 \ 900" u="1"/>
        <s v=" \  / \  /  \ Install Erosion control logs (2 m long x 300 mm Dimeter ). Rate to allow supply of erosion control log and 2 No. 1000 mm long steel fence droppers per a log. To be installed as per suppliers specifications./\KS19_005-Infilling of Drains  \unit\26 \ 900" u="1"/>
      </sharedItems>
    </cacheField>
    <cacheField name="Geo-cells" numFmtId="0">
      <sharedItems count="3" longText="1">
        <s v=" "/>
        <s v="SABS1200 GA \ CONCRETE (SMALL WORKS) / \ SCHEDULED FORMWORK ITEMS /  \ 100 mm deep Kaytech Multi-cell® or equivalent formwork product . Rate to include supply and installation according to suppliers specifications./\KS18-014-Concrete Filled Geo-Cell Berm. Drawing NBC-GTW-CL-0001 \m²\90.3840508391961 \ 50" u="1"/>
        <s v="SABS1200 GA \ CONCRETE (SMALL WORKS) / \ SCHEDULED FORMWORK ITEMS /  \ 100 mm deep Kaytech Multi-cell® or equivalent formwork product . Rate to include supply and installation according to suppliers specifications./\KS15_001-Fish Bowl  \m²\630 \ 50" u="1"/>
      </sharedItems>
    </cacheField>
    <cacheField name="Fence" numFmtId="0">
      <sharedItems count="1">
        <s v=" "/>
      </sharedItems>
    </cacheField>
    <cacheField name="1.5 mm HDPE Liner" numFmtId="0">
      <sharedItems count="1">
        <s v=" "/>
      </sharedItems>
    </cacheField>
    <cacheField name="2 mm HDPE Liner" numFmtId="0">
      <sharedItems count="1">
        <s v=" "/>
      </sharedItems>
    </cacheField>
    <cacheField name="Envirobent" numFmtId="0">
      <sharedItems count="1">
        <s v=" "/>
      </sharedItems>
    </cacheField>
    <cacheField name="MacMat Liner" numFmtId="0">
      <sharedItems count="1">
        <s v=" "/>
      </sharedItems>
    </cacheField>
    <cacheField name="Reshaping " numFmtId="0">
      <sharedItems count="1">
        <s v=" "/>
      </sharedItems>
    </cacheField>
    <cacheField name="Scarifying surface" numFmtId="0">
      <sharedItems count="1">
        <s v=" "/>
      </sharedItems>
    </cacheField>
    <cacheField name="Sediment Fences2" numFmtId="0">
      <sharedItems count="1">
        <s v=" "/>
      </sharedItems>
    </cacheField>
    <cacheField name="600 diam pipe" numFmtId="0">
      <sharedItems count="2" longText="1">
        <s v=" "/>
        <s v="SABS1200 LE \ STORMWATER DRAINAGE / 8.2\ SCHEDULED ITEMS / 8.2.1 \ Supply and lay concrete pipe culverts. 600 mm Diameter Spigot and Socket SC Class 75D pre-cast concrete pipes on Class C bedding. SABS 677 approved pipes to be used. /\LS16_019-Pipe Culvert. Drawing NBC-GTW-CL-0069 \m\15 \ 1000"/>
      </sharedItems>
    </cacheField>
    <cacheField name="Wetland soil backfill2" numFmtId="0">
      <sharedItems count="3" longText="1">
        <s v=" "/>
        <s v="SABS1200 DA \EARTHWORKS (SMALL WORKS)/8.3\SCHEDULED ITEMS/8.3.4\Import Suitable Wetland Earth Backfill Material  from Designated Borrow Pit. Rate to allow for loading from stockpile or borrow source, transport within 5 km free haul distance, stockpiling (if required), placing, spreading  and compacting material in layers, as specified by the engineer./\ks11-003-Backfilling Dam to Create Wetland  \m³\11500 \ 50"/>
        <s v="SABS1200 DA \EARTHWORKS (SMALL WORKS)/8.3\SCHEDULED ITEMS/8.3.4\Import Suitable Wetland Earth Backfill Material  from Designated Borrow Pit. Rate to allow for loading from stockpile or borrow source, transport within 5 km free haul distance, stockpiling (if required), placing, spreading  and compacting material in layers, as specified by the engineer./\ks11-005-Backfilling Dam to Create Wetland  \m³\5200 \ 50"/>
      </sharedItems>
    </cacheField>
    <cacheField name="Brickwork - 230 mm thick" numFmtId="0">
      <sharedItems count="5" longText="1">
        <s v=" "/>
        <s v="SABS1200 LE \ STORMWATER DRAINAGE / 8.2\ SCHEDULED ITEMS / 8.2.9 \ a) Brickwork. Rate to allow for supply of minimum strength 7 Mpa bricks for 230 mm thick wall and laying of bricks with type 2 motar._x000a_ (double skin) wall, supply and mixing of type 2 mortar, and laying of bricks as per intervention drawing.  /\ks11-001-Off-take structure  \m²\4.632 \ 750"/>
        <s v="SABS1200 LE \ STORMWATER DRAINAGE / 8.2\ SCHEDULED ITEMS / 8.2.9 \ a) Brickwork. Rate to allow for supply of minimum strength 7 Mpa bricks for 230 mm thick wall and laying of bricks with type 2 motar._x000a_ (double skin) wall, supply and mixing of type 2 mortar, and laying of bricks as per intervention drawing.  /\KS12_001-Pipe Culvert. Drawing NBC-GTW-CL-0069 \m²\6 \ 750"/>
        <s v="SABS1200 LE \ STORMWATER DRAINAGE / 8.2\ SCHEDULED ITEMS / 8.2.9 \ a) Brickwork. Rate to allow for supply of minimum strength 7 Mpa brick for 230 mm thick_x000a_ (double skin) wall, supply and mixing of type 2 mortar, and laying of bricks as per intervention drawing.  /\KS12_001-Pipe Culvert. Drawing NBC-GTW-CL-0069 \m²\6 \ 250" u="1"/>
        <s v="SABS1200 LE \ STORMWATER DRAINAGE / 8.2\ SCHEDULED ITEMS / 8.2.9 \ a) Brickwork. Rate to allow for supply of minimum strength 7 Mpa brick for 230 mm thick_x000a_ (double skin) wall, supply and mixing of type 2 mortar, and laying of bricks as per intervention drawing.  /\ks11-001-Off-take structure  \m²\4.632 \ 250" u="1"/>
      </sharedItems>
    </cacheField>
    <cacheField name="250 mm Diameter uPVC pipe" numFmtId="0">
      <sharedItems count="2" longText="1">
        <s v=" "/>
        <s v="SABS1200 L \ MEDIUM-PRESSURE PIPELINES / 8.2\ SCHEDULED ITEMS / 8.2.1 \ Supply, Lay, and Bed Pipes Complete with Couplings. Rate to allow for jointing and testing.. 250mm uPVC class 6 laid on C-class type bedding. SABS 966 approved pipe to be used./\ks11-001-Off-take structure  \m\265 \ 500"/>
      </sharedItems>
    </cacheField>
    <cacheField name="Manholes 1000 mm diameter pre-cast" numFmtId="0">
      <sharedItems count="2">
        <s v=" "/>
        <s v="SABS1200 L \ MEDIUM-PRESSURE PIPELINES / 8.2\ SCHEDULED ITEMS / 8.2.13 \ Valve and hydrant chambers,etc. 1000 mm Diameter Pre-cast concrete manholes at  depths of 1.5 m with pre-cast lid cover/\ks11-001-Off-take structure  \No.\4 \ 7500"/>
      </sharedItems>
    </cacheField>
    <cacheField name="Vegetation clearing" numFmtId="0">
      <sharedItems count="3">
        <s v=" "/>
        <s v="SABS1200 DB \ EARTHWORKS (PIPE TRENCHES) / 8.3\ SCHEDULED ITEMS / 8.3.1 \ Site Clearance and Removal of Topsoil. a) Clear vegetation and trees to a girth of 1 m/\ks11-001-Off-take structure  \m\265 \ 100"/>
        <s v="SABS1200 DB \ EARTHWORKS (PIPE TRENCHES) / 8.3\ SCHEDULED ITEMS / 8.3.1 \ Site Clearance and Removal of Topsoil. a) Clear vegetation and trees to a girth of 1 m/\KS12_001-Pipe Culvert. Drawing NBC-GTW-CL-0069 \m\11 \ 100"/>
      </sharedItems>
    </cacheField>
    <cacheField name="Top soil removal" numFmtId="0">
      <sharedItems count="3">
        <s v=" "/>
        <s v="SABS1200 DB \ EARTHWORKS (PIPE TRENCHES) / 8.3\ SCHEDULED ITEMS / 8.3.1 \ Site Clearance and Removal of Topsoil. c) Remove top soil/\ks11-001-Off-take structure \m²\185.5 \ 12"/>
        <s v="SABS1200 DB \ EARTHWORKS (PIPE TRENCHES) / 8.3\ SCHEDULED ITEMS / 8.3.1 \ Site Clearance and Removal of Topsoil. c) Remove top soil/\KS12_001-Pipe Culvert \m²\22 \ 12"/>
      </sharedItems>
    </cacheField>
    <cacheField name="Excavation of trench" numFmtId="0">
      <sharedItems count="3">
        <s v=" "/>
        <s v="SABS1200 DB \ EARTHWORKS (PIPE TRENCHES) / 8.3\ SCHEDULED ITEMS / 8.3.2 \ Excavation. Excavate in all materials for trenches, backfill, compact and dispose of surplus material/\ks11-001-Off-take structure  \m\265 \ 50"/>
        <s v="SABS1200 DB \ EARTHWORKS (PIPE TRENCHES) / 8.3\ SCHEDULED ITEMS / 8.3.2 \ Excavation. Excavate in all materials for trenches, backfill, compact and dispose of surplus material/\KS12_001-Pipe Culvert. Drawing NBC-GTW-CL-0069 \m\27 \ 50"/>
      </sharedItems>
    </cacheField>
    <cacheField name="Make up deficiency in backfill material" numFmtId="0">
      <sharedItems count="3">
        <s v=" "/>
        <s v="SABS1200 DB \ EARTHWORKS (PIPE TRENCHES) / 8.3\ SCHEDULED ITEMS / 8.3.3.1 \ Make up deficiency in backfill material (Provisional). a) From other necessary excavations on site./\ks11-001-Off-take structure  \m³\5 \ 300"/>
        <s v="SABS1200 DB \ EARTHWORKS (PIPE TRENCHES) / 8.3\ SCHEDULED ITEMS / 8.3.3.1 \ Make up deficiency in backfill material (Provisional). a) From other necessary excavations on site./\KS12_001-Pipe Culvert. Drawing NBC-GTW-CL-0069 \m³\4.5 \ 300"/>
      </sharedItems>
    </cacheField>
    <cacheField name="Clear and Grub" numFmtId="0">
      <sharedItems count="2">
        <s v=" "/>
        <s v="SABS1200 C \ SITE CLEARANCE / 8.2\ SCHEDULED ITEMS / 8.2.1 \ Clear and Grub the area designated by the engineer. /\Pan8_003-Removal of Dam Wall  \m²\1700 \ 10"/>
      </sharedItems>
    </cacheField>
    <cacheField name="Remove and large trees and trees stumps " numFmtId="0">
      <sharedItems count="2">
        <s v=" "/>
        <s v="SABS1200 C \ SITE CLEARANCE / 8.2\ SCHEDULED ITEMS / 8.2.2 \ Remove and large trees and trees stumps of girth over 1m and up to 2m. /\Pan8_003-Removal of Dam Wall  \No.\5 \ 1500"/>
      </sharedItems>
    </cacheField>
    <cacheField name="Create new temporary access road" numFmtId="0">
      <sharedItems count="1">
        <s v=" "/>
      </sharedItems>
    </cacheField>
    <cacheField name="Upgrade existing access road" numFmtId="0">
      <sharedItems count="1">
        <s v=" "/>
      </sharedItems>
    </cacheField>
    <cacheField name="Maintain existing access road" numFmtId="0">
      <sharedItems count="1">
        <s v=" "/>
      </sharedItems>
    </cacheField>
    <cacheField name="250 mm Diam. Rsv Gate Valve" numFmtId="0">
      <sharedItems count="2" longText="1">
        <s v=" "/>
        <s v="SABS1200 L \ MEDIUM-PRESSURE PIPELINES / 8.2\ SCHEDULED ITEMS /  \ Supply, install, joint, incl cut pipes where necessary, test, flanged valve with non rising spindle and hand wheel.. 250 mm diam. RSV gate valve/\ks11-001-Off-take structure  \No.\1 \ 12500"/>
      </sharedItems>
    </cacheField>
    <cacheField name="Bends uPVC Class 6 socketed" numFmtId="0">
      <sharedItems count="2">
        <s v=" "/>
        <s v="SABS1200 L \ MEDIUM-PRESSURE PIPELINES / 8.2\ SCHEDULED ITEMS /  \ Bends uPVC class 6 socketed. . 250mm diameter 45 deg./\ks11-001-Off-take structure  \No.\2 \ 3000"/>
      </sharedItems>
    </cacheField>
    <cacheField name="Cast Iron Flange Adaptors" numFmtId="0">
      <sharedItems count="2">
        <s v=" "/>
        <s v="SABS1200 L \ MEDIUM-PRESSURE PIPELINES / 8.2\ SCHEDULED ITEMS /  \ Cast Iron Flange Adaptors.. 250 mm diameter./\ks11-001-Off-take structure  \No.\2 \ 1800"/>
      </sharedItems>
    </cacheField>
    <cacheField name="38mm Fiberglass Grating" numFmtId="0">
      <sharedItems count="2">
        <s v=" "/>
        <s v=" \  / \  /  \ Rate for the supply and installation of a 38 mm fibreglass grating with openings not greater than 50 mm x 50 mm.. /\ks11-001-Off-take structure  \m²\0.5 \ 3000"/>
      </sharedItems>
    </cacheField>
    <cacheField name="250 mm Steel pipe with removable stop end" numFmtId="0">
      <sharedItems count="3" longText="1">
        <s v=" "/>
        <s v=" \  / \  /  \ Rate to allow for the supply and installation of a 2.5 meter long, 250 mm diameter steel pipe with removable stop-end. Rate to include paddle flanges, flange adaptor, stop end,  seals, nuts, and bolts.. /\ks11-002a-Concrete Drop Inlet on Dam Wall  \No.\1 \ 0"/>
        <s v=" \  / \  /  \ Rate to allow for the supply and installation of a 2.5 meter long, 250 mm diameter steel pipe with removable stop-end. Rate to include paddle flanges, flange adaptor, stop end,  seals, nuts, and bolts.. /\ks11-004a-Concrete Drop Inlet on Dam Wall  \No.\1 \ 0"/>
      </sharedItems>
    </cacheField>
    <cacheField name="??????" numFmtId="0">
      <sharedItems count="1">
        <s v=" "/>
      </sharedItems>
    </cacheField>
    <cacheField name="???????" numFmtId="0">
      <sharedItems count="1">
        <s v=" "/>
      </sharedItems>
    </cacheField>
    <cacheField name="????????" numFmtId="0">
      <sharedItems count="1">
        <s v=" "/>
      </sharedItems>
    </cacheField>
    <cacheField name="?????????" numFmtId="0">
      <sharedItems count="1">
        <s v=" "/>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r:id="rId1" refreshedBy="Keaton Parker" refreshedDate="43507.662675925923" createdVersion="5" refreshedVersion="5" minRefreshableVersion="3" recordCount="129">
  <cacheSource type="worksheet">
    <worksheetSource ref="A3:JC132" sheet="DATA"/>
  </cacheSource>
  <cacheFields count="263">
    <cacheField name="HGM Unit" numFmtId="0">
      <sharedItems/>
    </cacheField>
    <cacheField name="INTERVENTION DESCRIPTION" numFmtId="0">
      <sharedItems/>
    </cacheField>
    <cacheField name="INTERVENTION TYPE" numFmtId="0">
      <sharedItems/>
    </cacheField>
    <cacheField name="INTERVENTION NUMBER" numFmtId="0">
      <sharedItems/>
    </cacheField>
    <cacheField name="Cluster Number" numFmtId="0">
      <sharedItems containsMixedTypes="1" containsNumber="1" containsInteger="1" minValue="1" maxValue="6" count="10">
        <s v="2A"/>
        <n v="6"/>
        <s v="5A"/>
        <s v="3B"/>
        <s v="2B"/>
        <n v="1"/>
        <s v="3A"/>
        <s v="3C"/>
        <s v="4A"/>
        <s v="4B"/>
      </sharedItems>
    </cacheField>
    <cacheField name="LONGITUDE " numFmtId="0">
      <sharedItems containsString="0" containsBlank="1" containsNumber="1" minValue="29.940713611" maxValue="31.003015277778001"/>
    </cacheField>
    <cacheField name="LATITUDE" numFmtId="0">
      <sharedItems containsString="0" containsBlank="1" containsNumber="1" minValue="-25.830849722" maxValue="-25.793607776999998"/>
    </cacheField>
    <cacheField name="LONGITUDE 2" numFmtId="0">
      <sharedItems containsBlank="1"/>
    </cacheField>
    <cacheField name="LATITUDE2" numFmtId="0">
      <sharedItems containsBlank="1"/>
    </cacheField>
    <cacheField name="Complete/Estimate" numFmtId="0">
      <sharedItems containsBlank="1"/>
    </cacheField>
    <cacheField name="Design Complete" numFmtId="0">
      <sharedItems containsBlank="1" containsMixedTypes="1" containsNumber="1" containsInteger="1" minValue="0" maxValue="0"/>
    </cacheField>
    <cacheField name="BoQ Completed" numFmtId="0">
      <sharedItems containsBlank="1"/>
    </cacheField>
    <cacheField name="BOQ Checked Date" numFmtId="166">
      <sharedItems containsDate="1" containsBlank="1" containsMixedTypes="1" minDate="1899-12-30T00:00:00" maxDate="2017-06-01T00:00:00"/>
    </cacheField>
    <cacheField name="Drawing Completed" numFmtId="0">
      <sharedItems containsBlank="1"/>
    </cacheField>
    <cacheField name="Drawing Checked" numFmtId="0">
      <sharedItems containsDate="1" containsBlank="1" containsMixedTypes="1" minDate="1899-12-30T00:00:00" maxDate="2017-02-07T00:00:00"/>
    </cacheField>
    <cacheField name="Drawing Number" numFmtId="0">
      <sharedItems containsBlank="1"/>
    </cacheField>
    <cacheField name="Checked_16062018" numFmtId="0">
      <sharedItems containsBlank="1"/>
    </cacheField>
    <cacheField name="Rev No." numFmtId="49">
      <sharedItems containsBlank="1"/>
    </cacheField>
    <cacheField name="Last Rev Date" numFmtId="14">
      <sharedItems containsNonDate="0" containsDate="1" containsString="0" containsBlank="1" minDate="2018-06-16T00:00:00" maxDate="2018-12-08T00:00:00"/>
    </cacheField>
    <cacheField name="Implementation Phase" numFmtId="166">
      <sharedItems containsBlank="1"/>
    </cacheField>
    <cacheField name="Implementation Year" numFmtId="0">
      <sharedItems containsBlank="1"/>
    </cacheField>
    <cacheField name="a) Excavation (Remove Top Soil)" numFmtId="1">
      <sharedItems containsString="0" containsBlank="1" containsNumber="1" minValue="0" maxValue="6032.3099999999995"/>
    </cacheField>
    <cacheField name="b) Excavation (non-restricted)" numFmtId="1">
      <sharedItems containsString="0" containsBlank="1" containsNumber="1" minValue="0" maxValue="2651.3666666666668"/>
    </cacheField>
    <cacheField name="ci)Excavation (Extra-over intermediate)" numFmtId="1">
      <sharedItems containsString="0" containsBlank="1" containsNumber="1" containsInteger="1" minValue="0" maxValue="0"/>
    </cacheField>
    <cacheField name="cii)Excavation (Extra-over Hard Rock)" numFmtId="1">
      <sharedItems containsString="0" containsBlank="1" containsNumber="1" containsInteger="1" minValue="0" maxValue="0"/>
    </cacheField>
    <cacheField name="ciii) Excavation (Bolders-B)" numFmtId="1">
      <sharedItems containsString="0" containsBlank="1" containsNumber="1" containsInteger="1" minValue="0" maxValue="0"/>
    </cacheField>
    <cacheField name="a) Excavation " numFmtId="1">
      <sharedItems containsString="0" containsBlank="1" containsNumber="1" minValue="0" maxValue="1098"/>
    </cacheField>
    <cacheField name="bi)Excavation (Extra-over intermediate)" numFmtId="1">
      <sharedItems containsString="0" containsBlank="1" containsNumber="1" minValue="0" maxValue="39.476520000000001"/>
    </cacheField>
    <cacheField name="bii)Excavation (Extra-over Hard Rock)" numFmtId="1">
      <sharedItems containsString="0" containsBlank="1" containsNumber="1" minValue="0" maxValue="14.235863999999999"/>
    </cacheField>
    <cacheField name="Topsoiling (m2)" numFmtId="1">
      <sharedItems containsString="0" containsBlank="1" containsNumber="1" minValue="0" maxValue="6700"/>
    </cacheField>
    <cacheField name="Revegetation (m2)" numFmtId="1">
      <sharedItems containsString="0" containsBlank="1" containsNumber="1" minValue="0" maxValue="38200"/>
    </cacheField>
    <cacheField name="Freehaul" numFmtId="1">
      <sharedItems containsString="0" containsBlank="1" containsNumber="1" minValue="0" maxValue="848.23699999999997"/>
    </cacheField>
    <cacheField name="Overhaul" numFmtId="1">
      <sharedItems containsString="0" containsBlank="1" containsNumber="1" minValue="0" maxValue="4105.6856479999997"/>
    </cacheField>
    <cacheField name="CONCRETE (m³)" numFmtId="0">
      <sharedItems containsString="0" containsBlank="1" containsNumber="1" minValue="0" maxValue="94.94319999999999"/>
    </cacheField>
    <cacheField name="Blinding Layer (m²)" numFmtId="0">
      <sharedItems containsString="0" containsBlank="1" containsNumber="1" minValue="0" maxValue="101.63999999999999"/>
    </cacheField>
    <cacheField name="Steel bars (High Tensile)" numFmtId="0">
      <sharedItems containsString="0" containsBlank="1" containsNumber="1" containsInteger="1" minValue="0" maxValue="98"/>
    </cacheField>
    <cacheField name="Steel bars (mild Tensile)" numFmtId="0">
      <sharedItems containsString="0" containsBlank="1" containsNumber="1" containsInteger="1" minValue="0" maxValue="0"/>
    </cacheField>
    <cacheField name=" Mesh Code 1" numFmtId="0">
      <sharedItems containsBlank="1" containsMixedTypes="1" containsNumber="1" containsInteger="1" minValue="0" maxValue="0"/>
    </cacheField>
    <cacheField name="Mesh Ref 1 (m²)" numFmtId="0">
      <sharedItems containsString="0" containsBlank="1" containsNumber="1" minValue="0" maxValue="89.69919999999999"/>
    </cacheField>
    <cacheField name=" Mesh Code 2" numFmtId="0">
      <sharedItems containsBlank="1" containsMixedTypes="1" containsNumber="1" containsInteger="1" minValue="0" maxValue="0"/>
    </cacheField>
    <cacheField name="Mesh Ref 2 (m²)" numFmtId="0">
      <sharedItems containsString="0" containsBlank="1" containsNumber="1" minValue="0" maxValue="82.174399999999991"/>
    </cacheField>
    <cacheField name="Rough - Horizontal (85°-90°)" numFmtId="0">
      <sharedItems containsString="0" containsBlank="1" containsNumber="1" containsInteger="1" minValue="0" maxValue="0"/>
    </cacheField>
    <cacheField name="Rough - Sloping (&gt;10°&lt;85°)" numFmtId="0">
      <sharedItems containsString="0" containsBlank="1" containsNumber="1" minValue="0" maxValue="124.76995008701984"/>
    </cacheField>
    <cacheField name="Rough - Battered (&lt;10°)" numFmtId="0">
      <sharedItems containsString="0" containsBlank="1" containsNumber="1" containsInteger="1" minValue="0" maxValue="0"/>
    </cacheField>
    <cacheField name="Rough - Vertical (0°)" numFmtId="0">
      <sharedItems containsString="0" containsBlank="1" containsNumber="1" minValue="0" maxValue="47"/>
    </cacheField>
    <cacheField name="Smooth - Horizontal (85°-90°)" numFmtId="0">
      <sharedItems containsString="0" containsBlank="1" containsNumber="1" containsInteger="1" minValue="0" maxValue="0"/>
    </cacheField>
    <cacheField name="Smooth - Sloping (&gt;10°&lt;85°)" numFmtId="0">
      <sharedItems containsString="0" containsBlank="1" containsNumber="1" containsInteger="1" minValue="0" maxValue="0"/>
    </cacheField>
    <cacheField name="Smooth - Battered (&lt;10°)" numFmtId="0">
      <sharedItems containsString="0" containsBlank="1" containsNumber="1" containsInteger="1" minValue="0" maxValue="0"/>
    </cacheField>
    <cacheField name="Smooth - Vertical (0°)" numFmtId="0">
      <sharedItems containsString="0" containsBlank="1" containsNumber="1" containsInteger="1" minValue="0" maxValue="0"/>
    </cacheField>
    <cacheField name="Narrow Widths (up to 300 mm)" numFmtId="0">
      <sharedItems containsString="0" containsBlank="1" containsNumber="1" containsInteger="1" minValue="0" maxValue="0"/>
    </cacheField>
    <cacheField name="Box Out Holes (Up to 0.35 m Diameter and 0.5 m deep)" numFmtId="0">
      <sharedItems containsString="0" containsBlank="1" containsNumber="1" containsInteger="1" minValue="0" maxValue="16"/>
    </cacheField>
    <cacheField name="a) Wood floated Finish" numFmtId="0">
      <sharedItems containsString="0" containsBlank="1" containsNumber="1" minValue="0" maxValue="15"/>
    </cacheField>
    <cacheField name="b) Steel-floated Finish" numFmtId="0">
      <sharedItems containsString="0" containsBlank="1" containsNumber="1" containsInteger="1" minValue="0" maxValue="0"/>
    </cacheField>
    <cacheField name="Concrete complete with Formwork (m3)" numFmtId="0">
      <sharedItems containsString="0" containsBlank="1" containsNumber="1" minValue="0" maxValue="21.3"/>
    </cacheField>
    <cacheField name="M200 BLOCKS (unit)" numFmtId="0">
      <sharedItems containsString="0" containsBlank="1" containsNumber="1" containsInteger="1" minValue="0" maxValue="0"/>
    </cacheField>
    <cacheField name="Earthen material" numFmtId="0">
      <sharedItems containsString="0" containsBlank="1" containsNumber="1" minValue="0" maxValue="24200"/>
    </cacheField>
    <cacheField name="Granular Fill Material" numFmtId="0">
      <sharedItems containsString="0" containsBlank="1" containsNumber="1" minValue="0" maxValue="3.0000000000000004"/>
    </cacheField>
    <cacheField name="a) Cavities filled with approved excavated material or rock" numFmtId="0">
      <sharedItems containsString="0" containsBlank="1" containsNumber="1" containsInteger="1" minValue="0" maxValue="0"/>
    </cacheField>
    <cacheField name="b) Cavities filled with grade 15 concrete (provisional)" numFmtId="0">
      <sharedItems containsString="0" containsBlank="1" containsNumber="1" containsInteger="1" minValue="0" maxValue="1"/>
    </cacheField>
    <cacheField name="1 m x 1 m x 1 m Galvanised Gabions" numFmtId="0">
      <sharedItems containsString="0" containsBlank="1" containsNumber="1" containsInteger="1" minValue="0" maxValue="0"/>
    </cacheField>
    <cacheField name="2 m x 1 m x 1 m Galvanised  Gabions" numFmtId="0">
      <sharedItems containsString="0" containsBlank="1" containsNumber="1" containsInteger="1" minValue="0" maxValue="8"/>
    </cacheField>
    <cacheField name="3 m x 1 m x 1 m Galvanised Gabions" numFmtId="0">
      <sharedItems containsString="0" containsBlank="1" containsNumber="1" containsInteger="1" minValue="0" maxValue="15"/>
    </cacheField>
    <cacheField name="4 m x 1 m x 1 m Galvanised Gabions" numFmtId="0">
      <sharedItems containsString="0" containsBlank="1" containsNumber="1" containsInteger="1" minValue="0" maxValue="0"/>
    </cacheField>
    <cacheField name="2 m x 0.5 m x 0.5 m Galvanised Gabions" numFmtId="0">
      <sharedItems containsString="0" containsBlank="1" containsNumber="1" containsInteger="1" minValue="0" maxValue="0"/>
    </cacheField>
    <cacheField name="2 m x 1 m x 0.3 m Galvanised Reno Mattress" numFmtId="0">
      <sharedItems containsString="0" containsBlank="1" containsNumber="1" containsInteger="1" minValue="0" maxValue="0"/>
    </cacheField>
    <cacheField name="3 m x 1 m x 0.3 m Galvanised Reno Mattress" numFmtId="0">
      <sharedItems containsString="0" containsBlank="1" containsNumber="1" minValue="0" maxValue="10.8"/>
    </cacheField>
    <cacheField name="6 m x 2 m x 0.3 m Galvanised Reno Mattress" numFmtId="0">
      <sharedItems containsString="0" containsBlank="1" containsNumber="1" containsInteger="1" minValue="0" maxValue="0"/>
    </cacheField>
    <cacheField name="1 m x 1 m x 1 m PVC coated Gabions" numFmtId="0">
      <sharedItems containsString="0" containsBlank="1" containsNumber="1" containsInteger="1" minValue="0" maxValue="0"/>
    </cacheField>
    <cacheField name="2 m x 1 m x 1 m PVC coated Gabions" numFmtId="0">
      <sharedItems containsString="0" containsBlank="1" containsNumber="1" containsInteger="1" minValue="0" maxValue="0"/>
    </cacheField>
    <cacheField name="3 m x 1 m x 1 m PVC coated Gabions" numFmtId="0">
      <sharedItems containsString="0" containsBlank="1" containsNumber="1" containsInteger="1" minValue="0" maxValue="0"/>
    </cacheField>
    <cacheField name="4 m x 1 m x 1 m PVC coated Gabions" numFmtId="0">
      <sharedItems containsString="0" containsBlank="1" containsNumber="1" containsInteger="1" minValue="0" maxValue="0"/>
    </cacheField>
    <cacheField name="2 m x 0.5 m x 0.5 m PVC coated Gabions" numFmtId="0">
      <sharedItems containsString="0" containsBlank="1" containsNumber="1" containsInteger="1" minValue="0" maxValue="0"/>
    </cacheField>
    <cacheField name="2 m x 1 m x 0.3 m PVC coated Reno Mattress" numFmtId="0">
      <sharedItems containsString="0" containsBlank="1" containsNumber="1" containsInteger="1" minValue="0" maxValue="0"/>
    </cacheField>
    <cacheField name="3 m x 1 m x 0.3 m PVC coated Reno Mattress" numFmtId="0">
      <sharedItems containsString="0" containsBlank="1" containsNumber="1" containsInteger="1" minValue="0" maxValue="0"/>
    </cacheField>
    <cacheField name="6 m x 2 m x 0.3 m PVC coated Reno Mattress" numFmtId="0">
      <sharedItems containsString="0" containsBlank="1" containsNumber="1" containsInteger="1" minValue="0" maxValue="0"/>
    </cacheField>
    <cacheField name="Extra-over 8.2.2 for packing selected stone for exposed surfaces" numFmtId="0">
      <sharedItems containsString="0" containsBlank="1" containsNumber="1" containsInteger="1" minValue="0" maxValue="0"/>
    </cacheField>
    <cacheField name="Needle punched Non-woven Geotextile" numFmtId="0">
      <sharedItems containsString="0" containsBlank="1" containsNumber="1" minValue="0" maxValue="87"/>
    </cacheField>
    <cacheField name="Stone Pitching - Light" numFmtId="0">
      <sharedItems containsString="0" containsBlank="1" containsNumber="1" containsInteger="1" minValue="0" maxValue="0"/>
    </cacheField>
    <cacheField name="Stone Pitching - Medium" numFmtId="0">
      <sharedItems containsString="0" containsBlank="1" containsNumber="1" containsInteger="1" minValue="0" maxValue="0"/>
    </cacheField>
    <cacheField name="Grouted Pitching - Light" numFmtId="0">
      <sharedItems containsString="0" containsBlank="1" containsNumber="1" containsInteger="1" minValue="0" maxValue="50"/>
    </cacheField>
    <cacheField name="Grouted Pitching - Medium" numFmtId="0">
      <sharedItems containsString="0" containsBlank="1" containsNumber="1" containsInteger="1" minValue="0" maxValue="0"/>
    </cacheField>
    <cacheField name="Weepholes in grouted stone pitching" numFmtId="0">
      <sharedItems containsString="0" containsBlank="1" containsNumber="1" containsInteger="1" minValue="0" maxValue="0"/>
    </cacheField>
    <cacheField name="ROCKPACK (m3)" numFmtId="0">
      <sharedItems containsString="0" containsBlank="1" containsNumber="1" containsInteger="1" minValue="0" maxValue="24"/>
    </cacheField>
    <cacheField name="ECO-LOGS (unit)" numFmtId="0">
      <sharedItems containsString="0" containsBlank="1" containsNumber="1" containsInteger="1" minValue="0" maxValue="102"/>
    </cacheField>
    <cacheField name="Geo-cells (m²)" numFmtId="0">
      <sharedItems containsString="0" containsBlank="1" containsNumber="1" containsInteger="1" minValue="0" maxValue="0"/>
    </cacheField>
    <cacheField name="Barb Wire Fence (m)" numFmtId="0">
      <sharedItems containsString="0" containsBlank="1" containsNumber="1" containsInteger="1" minValue="0" maxValue="0"/>
    </cacheField>
    <cacheField name="1.5mm HDPE Liner (m2)" numFmtId="0">
      <sharedItems containsString="0" containsBlank="1" containsNumber="1" containsInteger="1" minValue="0" maxValue="0"/>
    </cacheField>
    <cacheField name="2mm HDPE Liner (m2)" numFmtId="0">
      <sharedItems containsString="0" containsBlank="1" containsNumber="1" containsInteger="1" minValue="0" maxValue="0"/>
    </cacheField>
    <cacheField name="Bentonite (Envirobent) (m3)" numFmtId="0">
      <sharedItems containsString="0" containsBlank="1" containsNumber="1" containsInteger="1" minValue="0" maxValue="0"/>
    </cacheField>
    <cacheField name="MacMat Liner (m2)" numFmtId="0">
      <sharedItems containsString="0" containsBlank="1" containsNumber="1" containsInteger="1" minValue="0" maxValue="0"/>
    </cacheField>
    <cacheField name="Reshaping (ha)" numFmtId="0">
      <sharedItems containsString="0" containsBlank="1" containsNumber="1" containsInteger="1" minValue="0" maxValue="0"/>
    </cacheField>
    <cacheField name="Scarifying Earthworks (ha)" numFmtId="0">
      <sharedItems containsString="0" containsBlank="1" containsNumber="1" containsInteger="1" minValue="0" maxValue="0"/>
    </cacheField>
    <cacheField name="Sediment Fences" numFmtId="0">
      <sharedItems containsString="0" containsBlank="1" containsNumber="1" containsInteger="1" minValue="0" maxValue="0"/>
    </cacheField>
    <cacheField name="600 mm Pipe (m)" numFmtId="0">
      <sharedItems containsString="0" containsBlank="1" containsNumber="1" containsInteger="1" minValue="0" maxValue="15"/>
    </cacheField>
    <cacheField name="Wetland Soil Backfill" numFmtId="0">
      <sharedItems containsString="0" containsBlank="1" containsNumber="1" containsInteger="1" minValue="0" maxValue="11500"/>
    </cacheField>
    <cacheField name="Brickwork - 230 mm thick (m²)" numFmtId="0">
      <sharedItems containsString="0" containsBlank="1" containsNumber="1" minValue="0" maxValue="6"/>
    </cacheField>
    <cacheField name="250 mm Diameter uPVC pipe (m)" numFmtId="0">
      <sharedItems containsString="0" containsBlank="1" containsNumber="1" containsInteger="1" minValue="0" maxValue="265"/>
    </cacheField>
    <cacheField name="Manholes 1000 mm diameter pre-cast (No.)" numFmtId="0">
      <sharedItems containsString="0" containsBlank="1" containsNumber="1" containsInteger="1" minValue="0" maxValue="4"/>
    </cacheField>
    <cacheField name="Vegetation clearing (m)" numFmtId="0">
      <sharedItems containsString="0" containsBlank="1" containsNumber="1" containsInteger="1" minValue="0" maxValue="265"/>
    </cacheField>
    <cacheField name="Top soil removal (m²)" numFmtId="0">
      <sharedItems containsString="0" containsBlank="1" containsNumber="1" minValue="0" maxValue="185.5"/>
    </cacheField>
    <cacheField name="Excavation of trench (m)" numFmtId="0">
      <sharedItems containsString="0" containsBlank="1" containsNumber="1" containsInteger="1" minValue="0" maxValue="265"/>
    </cacheField>
    <cacheField name="Make up deficiency in backfill material (m³)" numFmtId="0">
      <sharedItems containsString="0" containsBlank="1" containsNumber="1" minValue="0" maxValue="5"/>
    </cacheField>
    <cacheField name="Clear and Grub (m²)" numFmtId="0">
      <sharedItems containsString="0" containsBlank="1" containsNumber="1" containsInteger="1" minValue="0" maxValue="0"/>
    </cacheField>
    <cacheField name="Remove and large trees and trees stumps  (No.)" numFmtId="0">
      <sharedItems containsString="0" containsBlank="1" containsNumber="1" containsInteger="1" minValue="0" maxValue="0"/>
    </cacheField>
    <cacheField name="Create new temporary access road (m)" numFmtId="0">
      <sharedItems containsString="0" containsBlank="1" containsNumber="1" containsInteger="1" minValue="0" maxValue="0"/>
    </cacheField>
    <cacheField name="Upgrade existing access road (m)" numFmtId="0">
      <sharedItems containsString="0" containsBlank="1" containsNumber="1" containsInteger="1" minValue="0" maxValue="0"/>
    </cacheField>
    <cacheField name="Maintain existing access road (m)" numFmtId="0">
      <sharedItems containsString="0" containsBlank="1" containsNumber="1" containsInteger="1" minValue="0" maxValue="0"/>
    </cacheField>
    <cacheField name="250 mm Diam. Rsv Gate Valve (No.)" numFmtId="0">
      <sharedItems containsString="0" containsBlank="1" containsNumber="1" containsInteger="1" minValue="1" maxValue="1"/>
    </cacheField>
    <cacheField name="Bends uPVC Class 6 socketed (No.)" numFmtId="0">
      <sharedItems containsString="0" containsBlank="1" containsNumber="1" containsInteger="1" minValue="2" maxValue="2"/>
    </cacheField>
    <cacheField name="Cast Iron Flange Adaptors (No.)" numFmtId="0">
      <sharedItems containsString="0" containsBlank="1" containsNumber="1" containsInteger="1" minValue="2" maxValue="2"/>
    </cacheField>
    <cacheField name="38mm Fiberglass Grating (m²)" numFmtId="0">
      <sharedItems containsString="0" containsBlank="1" containsNumber="1" minValue="0.5" maxValue="0.5"/>
    </cacheField>
    <cacheField name="250 mm Steel pipe with removable stop end (No.)" numFmtId="0">
      <sharedItems containsString="0" containsBlank="1" containsNumber="1" containsInteger="1" minValue="1" maxValue="1"/>
    </cacheField>
    <cacheField name="?????? (*)" numFmtId="0">
      <sharedItems containsNonDate="0" containsString="0" containsBlank="1"/>
    </cacheField>
    <cacheField name="??????? (*)" numFmtId="0">
      <sharedItems containsNonDate="0" containsString="0" containsBlank="1"/>
    </cacheField>
    <cacheField name="???????? (*)" numFmtId="0">
      <sharedItems containsNonDate="0" containsString="0" containsBlank="1"/>
    </cacheField>
    <cacheField name="????????? (*)" numFmtId="0">
      <sharedItems containsNonDate="0" containsString="0" containsBlank="1"/>
    </cacheField>
    <cacheField name="a) Excavation (Remove Top Soil)2" numFmtId="164">
      <sharedItems containsSemiMixedTypes="0" containsString="0" containsNumber="1" minValue="0" maxValue="30161.549999999996"/>
    </cacheField>
    <cacheField name="b) Excavation (non-restricted)2" numFmtId="164">
      <sharedItems containsSemiMixedTypes="0" containsString="0" containsNumber="1" minValue="0" maxValue="132568.33333333334"/>
    </cacheField>
    <cacheField name="ci)Excavation (Extra-over intermediate)2" numFmtId="164">
      <sharedItems containsSemiMixedTypes="0" containsString="0" containsNumber="1" containsInteger="1" minValue="0" maxValue="0"/>
    </cacheField>
    <cacheField name="cii)Excavation (Extra-over Hard Rock)2" numFmtId="164">
      <sharedItems containsSemiMixedTypes="0" containsString="0" containsNumber="1" containsInteger="1" minValue="0" maxValue="0"/>
    </cacheField>
    <cacheField name="ciii) Excavation (Bolders-B)2" numFmtId="164">
      <sharedItems containsSemiMixedTypes="0" containsString="0" containsNumber="1" containsInteger="1" minValue="0" maxValue="0"/>
    </cacheField>
    <cacheField name="a) Excavation 2" numFmtId="164">
      <sharedItems containsSemiMixedTypes="0" containsString="0" containsNumber="1" minValue="0" maxValue="93330"/>
    </cacheField>
    <cacheField name="bi)Excavation (Extra-over intermediate)2" numFmtId="164">
      <sharedItems containsSemiMixedTypes="0" containsString="0" containsNumber="1" minValue="0" maxValue="4934.5650000000005"/>
    </cacheField>
    <cacheField name="bii)Excavation (Extra-over Hard Rock)2" numFmtId="164">
      <sharedItems containsSemiMixedTypes="0" containsString="0" containsNumber="1" minValue="0" maxValue="7117.9319999999998"/>
    </cacheField>
    <cacheField name="Cost of Top Soiling" numFmtId="164">
      <sharedItems containsSemiMixedTypes="0" containsString="0" containsNumber="1" minValue="0" maxValue="33500"/>
    </cacheField>
    <cacheField name="Cost of Re-Vegetation" numFmtId="164">
      <sharedItems containsSemiMixedTypes="0" containsString="0" containsNumber="1" minValue="0" maxValue="382000"/>
    </cacheField>
    <cacheField name="Cost of Overhaul" numFmtId="164">
      <sharedItems containsSemiMixedTypes="0" containsString="0" containsNumber="1" minValue="0" maxValue="24634.113888"/>
    </cacheField>
    <cacheField name="Cost of Concrete" numFmtId="164">
      <sharedItems containsSemiMixedTypes="0" containsString="0" containsNumber="1" minValue="0" maxValue="189886.4"/>
    </cacheField>
    <cacheField name="BLINDING LAYER (m2)" numFmtId="164">
      <sharedItems containsSemiMixedTypes="0" containsString="0" containsNumber="1" minValue="0" maxValue="30491.999999999996"/>
    </cacheField>
    <cacheField name="High Tensile" numFmtId="164">
      <sharedItems containsSemiMixedTypes="0" containsString="0" containsNumber="1" containsInteger="1" minValue="0" maxValue="1764"/>
    </cacheField>
    <cacheField name="Mild Tensile" numFmtId="164">
      <sharedItems containsSemiMixedTypes="0" containsString="0" containsNumber="1" containsInteger="1" minValue="0" maxValue="0"/>
    </cacheField>
    <cacheField name="Welded Mesh" numFmtId="164">
      <sharedItems containsSemiMixedTypes="0" containsString="0" containsNumber="1" minValue="0" maxValue="3437.4719999999998"/>
    </cacheField>
    <cacheField name="Cost of Formwork" numFmtId="164">
      <sharedItems containsSemiMixedTypes="0" containsString="0" containsNumber="1" minValue="0" maxValue="112130.4675565629"/>
    </cacheField>
    <cacheField name="Cost of Unformed Surface Finishes" numFmtId="164">
      <sharedItems containsSemiMixedTypes="0" containsString="0" containsNumber="1" minValue="0" maxValue="450"/>
    </cacheField>
    <cacheField name="Cost of Concrete complete w Formwork" numFmtId="164">
      <sharedItems containsSemiMixedTypes="0" containsString="0" containsNumber="1" containsInteger="1" minValue="0" maxValue="69225"/>
    </cacheField>
    <cacheField name="Cost of M200 Blocks" numFmtId="164">
      <sharedItems containsSemiMixedTypes="0" containsString="0" containsNumber="1" containsInteger="1" minValue="0" maxValue="0"/>
    </cacheField>
    <cacheField name="Earthen material2" numFmtId="164">
      <sharedItems containsSemiMixedTypes="0" containsString="0" containsNumber="1" minValue="0" maxValue="2904000"/>
    </cacheField>
    <cacheField name="Granular Fill Material2" numFmtId="164">
      <sharedItems containsSemiMixedTypes="0" containsString="0" containsNumber="1" minValue="0" maxValue="900.00000000000011"/>
    </cacheField>
    <cacheField name="Cost of Gabions" numFmtId="164">
      <sharedItems containsSemiMixedTypes="0" containsString="0" containsNumber="1" containsInteger="1" minValue="0" maxValue="46975"/>
    </cacheField>
    <cacheField name="Cost of Pitching" numFmtId="164">
      <sharedItems containsSemiMixedTypes="0" containsString="0" containsNumber="1" containsInteger="1" minValue="0" maxValue="37500"/>
    </cacheField>
    <cacheField name="Cost of Geotextile" numFmtId="164">
      <sharedItems containsSemiMixedTypes="0" containsString="0" containsNumber="1" minValue="0" maxValue="2436"/>
    </cacheField>
    <cacheField name="Cost of Rockpack" numFmtId="164">
      <sharedItems containsSemiMixedTypes="0" containsString="0" containsNumber="1" containsInteger="1" minValue="0" maxValue="12000"/>
    </cacheField>
    <cacheField name="Cost of Eco-logs" numFmtId="164">
      <sharedItems containsSemiMixedTypes="0" containsString="0" containsNumber="1" containsInteger="1" minValue="0" maxValue="91800"/>
    </cacheField>
    <cacheField name="Cost of Geo-cells" numFmtId="164">
      <sharedItems containsSemiMixedTypes="0" containsString="0" containsNumber="1" containsInteger="1" minValue="0" maxValue="0"/>
    </cacheField>
    <cacheField name="Cost of Barb Wire Fencing ( R)" numFmtId="164">
      <sharedItems containsSemiMixedTypes="0" containsString="0" containsNumber="1" containsInteger="1" minValue="0" maxValue="0"/>
    </cacheField>
    <cacheField name="Cost of HDPE Liner" numFmtId="164">
      <sharedItems containsSemiMixedTypes="0" containsString="0" containsNumber="1" containsInteger="1" minValue="0" maxValue="0"/>
    </cacheField>
    <cacheField name="Envirobent (or equiv.)" numFmtId="164">
      <sharedItems containsSemiMixedTypes="0" containsString="0" containsNumber="1" containsInteger="1" minValue="0" maxValue="0"/>
    </cacheField>
    <cacheField name="Cost of MacMat Liner ( R)" numFmtId="164">
      <sharedItems containsSemiMixedTypes="0" containsString="0" containsNumber="1" containsInteger="1" minValue="0" maxValue="0"/>
    </cacheField>
    <cacheField name="Cost of Reshaping (R )" numFmtId="164">
      <sharedItems containsSemiMixedTypes="0" containsString="0" containsNumber="1" containsInteger="1" minValue="0" maxValue="0"/>
    </cacheField>
    <cacheField name="Scarifying Cost of earthworks (R )" numFmtId="164">
      <sharedItems containsSemiMixedTypes="0" containsString="0" containsNumber="1" containsInteger="1" minValue="0" maxValue="0"/>
    </cacheField>
    <cacheField name="Cost of Sediment Fences (R )" numFmtId="164">
      <sharedItems containsSemiMixedTypes="0" containsString="0" containsNumber="1" containsInteger="1" minValue="0" maxValue="0"/>
    </cacheField>
    <cacheField name="600 mm Diam Pipe Cost" numFmtId="164">
      <sharedItems containsSemiMixedTypes="0" containsString="0" containsNumber="1" containsInteger="1" minValue="0" maxValue="15000"/>
    </cacheField>
    <cacheField name="Cost of Wetland soil backfill" numFmtId="164">
      <sharedItems containsSemiMixedTypes="0" containsString="0" containsNumber="1" containsInteger="1" minValue="0" maxValue="575000"/>
    </cacheField>
    <cacheField name="Cost of Brickwork - 230 mm thick" numFmtId="164">
      <sharedItems containsSemiMixedTypes="0" containsString="0" containsNumber="1" minValue="0" maxValue="4500"/>
    </cacheField>
    <cacheField name="Cost of 250 mm Diameter uPVC pipe" numFmtId="164">
      <sharedItems containsSemiMixedTypes="0" containsString="0" containsNumber="1" containsInteger="1" minValue="0" maxValue="132500"/>
    </cacheField>
    <cacheField name="Cost of Manholes 1000 mm diameter pre-cast" numFmtId="164">
      <sharedItems containsSemiMixedTypes="0" containsString="0" containsNumber="1" containsInteger="1" minValue="0" maxValue="30000"/>
    </cacheField>
    <cacheField name="Cost of Vegetation clearing" numFmtId="164">
      <sharedItems containsSemiMixedTypes="0" containsString="0" containsNumber="1" containsInteger="1" minValue="0" maxValue="26500"/>
    </cacheField>
    <cacheField name="Cost of Top soil removal" numFmtId="164">
      <sharedItems containsSemiMixedTypes="0" containsString="0" containsNumber="1" containsInteger="1" minValue="0" maxValue="2226"/>
    </cacheField>
    <cacheField name="Cost of Excavation of trench" numFmtId="164">
      <sharedItems containsSemiMixedTypes="0" containsString="0" containsNumber="1" containsInteger="1" minValue="0" maxValue="13250"/>
    </cacheField>
    <cacheField name="Cost of Make up deficiency in backfill material" numFmtId="164">
      <sharedItems containsSemiMixedTypes="0" containsString="0" containsNumber="1" containsInteger="1" minValue="0" maxValue="1500"/>
    </cacheField>
    <cacheField name="Cost of Clear and Grub" numFmtId="164">
      <sharedItems containsSemiMixedTypes="0" containsString="0" containsNumber="1" containsInteger="1" minValue="0" maxValue="0"/>
    </cacheField>
    <cacheField name="Cost of Remove and large trees and trees stumps " numFmtId="164">
      <sharedItems containsSemiMixedTypes="0" containsString="0" containsNumber="1" containsInteger="1" minValue="0" maxValue="0"/>
    </cacheField>
    <cacheField name="Cost of Create new temporary access road" numFmtId="164">
      <sharedItems containsSemiMixedTypes="0" containsString="0" containsNumber="1" containsInteger="1" minValue="0" maxValue="0"/>
    </cacheField>
    <cacheField name="Cost of Upgrade existing access road" numFmtId="164">
      <sharedItems containsSemiMixedTypes="0" containsString="0" containsNumber="1" containsInteger="1" minValue="0" maxValue="0"/>
    </cacheField>
    <cacheField name="Cost of Maintain existing access road" numFmtId="164">
      <sharedItems containsSemiMixedTypes="0" containsString="0" containsNumber="1" containsInteger="1" minValue="0" maxValue="0"/>
    </cacheField>
    <cacheField name="Cost of 250 mm Diam. Rsv Gate Valve" numFmtId="164">
      <sharedItems containsSemiMixedTypes="0" containsString="0" containsNumber="1" containsInteger="1" minValue="0" maxValue="12500"/>
    </cacheField>
    <cacheField name="Cost of Bends uPVC Class 6 socketed" numFmtId="164">
      <sharedItems containsSemiMixedTypes="0" containsString="0" containsNumber="1" containsInteger="1" minValue="0" maxValue="6000"/>
    </cacheField>
    <cacheField name="Cost of Cast Iron Flange Adaptors" numFmtId="164">
      <sharedItems containsSemiMixedTypes="0" containsString="0" containsNumber="1" containsInteger="1" minValue="0" maxValue="3600"/>
    </cacheField>
    <cacheField name="Cost of 38mm Fiberglass Grating" numFmtId="164">
      <sharedItems containsSemiMixedTypes="0" containsString="0" containsNumber="1" containsInteger="1" minValue="0" maxValue="1500"/>
    </cacheField>
    <cacheField name="Cost of 250 mm Steel pipe with removable stop end" numFmtId="164">
      <sharedItems containsSemiMixedTypes="0" containsString="0" containsNumber="1" containsInteger="1" minValue="0" maxValue="0"/>
    </cacheField>
    <cacheField name="Cost of ??????" numFmtId="164">
      <sharedItems containsSemiMixedTypes="0" containsString="0" containsNumber="1" containsInteger="1" minValue="0" maxValue="0"/>
    </cacheField>
    <cacheField name="Cost of ???????" numFmtId="164">
      <sharedItems containsSemiMixedTypes="0" containsString="0" containsNumber="1" containsInteger="1" minValue="0" maxValue="0"/>
    </cacheField>
    <cacheField name="Cost of ????????" numFmtId="164">
      <sharedItems containsSemiMixedTypes="0" containsString="0" containsNumber="1" containsInteger="1" minValue="0" maxValue="0"/>
    </cacheField>
    <cacheField name="Cost of ?????????" numFmtId="164">
      <sharedItems containsSemiMixedTypes="0" containsString="0" containsNumber="1" containsInteger="1" minValue="0" maxValue="0"/>
    </cacheField>
    <cacheField name="Cost Summary " numFmtId="164">
      <sharedItems containsSemiMixedTypes="0" containsString="0" containsNumber="1" minValue="1380" maxValue="3653000"/>
    </cacheField>
    <cacheField name="Year 1 Est. Cost" numFmtId="164">
      <sharedItems containsMixedTypes="1" containsNumber="1" minValue="1462.8000000000002" maxValue="920981"/>
    </cacheField>
    <cacheField name="Year 2 Est. Cost" numFmtId="164">
      <sharedItems/>
    </cacheField>
    <cacheField name="Year 3 Est. Cost" numFmtId="164">
      <sharedItems containsMixedTypes="1" containsNumber="1" minValue="3768.7206977255655" maxValue="687962.04621920013"/>
    </cacheField>
    <cacheField name="Year 4 Est. Cost" numFmtId="164">
      <sharedItems/>
    </cacheField>
    <cacheField name="Year 5 Est. Cost" numFmtId="164">
      <sharedItems/>
    </cacheField>
    <cacheField name="Year 6 Est. Cost" numFmtId="164">
      <sharedItems/>
    </cacheField>
    <cacheField name="Year 7 Est. Cost" numFmtId="164">
      <sharedItems/>
    </cacheField>
    <cacheField name="Year 8 Est. Cost" numFmtId="164">
      <sharedItems containsMixedTypes="1" containsNumber="1" minValue="72356.074231849736" maxValue="5822327.0162611669"/>
    </cacheField>
    <cacheField name="Year 9 Est. Cost" numFmtId="164">
      <sharedItems/>
    </cacheField>
    <cacheField name="Year 10 Est. Cost" numFmtId="164">
      <sharedItems/>
    </cacheField>
    <cacheField name="Year 11 Est. Cost" numFmtId="164">
      <sharedItems/>
    </cacheField>
    <cacheField name="Year 12 Est. Cost" numFmtId="164">
      <sharedItems/>
    </cacheField>
    <cacheField name="Year 13 Est. Cost" numFmtId="164">
      <sharedItems/>
    </cacheField>
    <cacheField name="Year 14 Est. Cost" numFmtId="164">
      <sharedItems/>
    </cacheField>
    <cacheField name="Year 15 Est. Cost" numFmtId="164">
      <sharedItems/>
    </cacheField>
    <cacheField name="a) Excavation (Remove Top Soil)3" numFmtId="0">
      <sharedItems count="359" longText="1">
        <s v=" "/>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DS12_001-Excavation of Dam Wall  \m²\1251.40232690631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DS12_002-Backfilling Dam  \m²\995.487318191585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DS12_003-Excavation of Dam Wall  \m²\621.569611479008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1-002a-Concrete Drop Inlet on Dam Wall  \m²\31.8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1-002c-Dam wall excavation. Drawing NBC-GTW-CL-0067 \m²\1870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1-004a-Concrete Drop Inlet on Dam Wall  \m²\31.8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1-004c-Dam wall excavation. Drawing NBC-GTW-CL-0068 \m²\1200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2_002-Concrete Drop Inlet. Drawing NBC-GTW-CL-0002 \m²\30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2_003-Removal of Berm and Dam Wall  \m²\1876.14315788985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2_004-Concrete Drop Inlet. Drawing NBC-GTW-CL-0003 \m²\21.76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2_005-Concrete Drop Inlet. Drawing NBC-GTW-CL-0004 \m²\21.92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2_006-Concrete Drop Inlet. Drawing NBC-GTW-CL-0005 \m²\21.44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2_007-Concrete Drop Inlet. Drawing NBC-GTW-CL-0006 \m²\21.92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2_008-Concrete Drop Inlet. Drawing NBC-GTW-CL-0007 \m²\21.44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2_009-Concrete Drop Inlet. Drawing NBC-GTW-CL-0008 \m²\21.44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2_010-Removal of Dam Wall  \m²\619.185479905302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3_001-Infilling of Drains  \m²\1148.93998599451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3_002-Infilling of Drains  \m²\85.816653826392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3_003-Concrete Drop Inlet. Drawing NBC-GTW-CL-0009 \m²\23.2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3_009-Infilling of Drains  \m²\78.5716708603933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3_010-Removal of Berm  \m²\1868.09496857721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3_014-Infilling of Drains  \m²\278.716598321288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3_016-Infilling of Drains  \m²\332.18699875976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5_003-Removal of Dam Wall  \m²\619.289401121074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5-002-Backfill Main Channel  \m²\3846.97837810187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6_001-Earthen berm  \m²\494.873340531892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6_002-Excavate Dam Wall  \m²\400.2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6_004-Earthen berm  \m²\494.089808285138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8-021-Backfill Main Channel  \m²\3294.95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9_002-Concrete Drop Inlet. Drawing NBC-GTW-CL-0026 \m²\20.96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9_006-Removal of Dam Wall  \m²\3134.04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9_007-Infilling of Drains  \m²\191.419859738212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20_001-Concrete Drop Inlet. Drawing NBC-GTW-CL-0027 \m²\23.52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20_009_b-Concrete Check Wall. Drawing NBC-GTW-CL-0035 \m²\60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20_009_c-Removal of Earthen Berm. Drawing NBC-GTW-CL-0035 \m²\69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21_001-10° sloped Grouted Pitching (Light). Drawing NBC-GTW-CL-0038 \m²\38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21_003-Concrete Drop Inlet. Drawing NBC-GTW-CL-0039 \m²\22.24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21_005-Concrete Drop Inlet. Drawing NBC-GTW-CL-0040 \m²\22,24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21-010-Backfilling Main Channel. Drawing No Drawing \m²\2320,5501703847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21-002-Earthworks  \m²\340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21-004-Infilling of drain  \m²\112,305322126996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21-008-Infilling of drain  \m²\110,103362133363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LS08_001-Removal of Berm  \m²\148.532778078669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LS12_001-Removal of dam wall  \m²\2917.70393453744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LS12_002-Removal of Berm  \m²\133.158114034667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LS16_015-Earthworks (Reinforce Dam Wall)  \m²\567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LS16_021-Backfill Main Channel and reshaping  \m²\6032.31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Pan09_001-Removal of Dam Wall  \m²\977.744753861606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Pan14_004-Infilling of Drains  \m²\380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Pan14_005-Infilling of Drains  \m²\461.040922287129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Pan14_006-Earthen Berms  \m²\190.755332217041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Pan14_007-Infilling of Drains  \m²\168.280230740355 \ 5"/>
        <s v="" u="1"/>
        <s v="SABS1200 DA  \ Earthworks (Small Works) / 8.3\ SCHEDULED ITEMS / 8.3.1a \ Remove topsoil to nominal depth 150 mm, stockpile and maintain for re-use. The rate shall cover the cost of removing topsoil, together with such vegetation and small roots as occur within the specified depth and of stockpiling on designated sites./\KS13_009-Infilling of Drains  \m²\78.5716708603933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9_002-Concrete Drop Inlet. Refer to drawing NBC-GTW-CL-0026 \m²\20.96 \ 5" u="1"/>
        <s v="SABS1200 C  / Earthworks (Small Works) / 8.2 / 8.2.10 / Remove topsoil to nominal depth 150 mm, stockpile and maintain / KS21-008-Earthworks / 110.103362133363 / m²"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6_001-Infilling of Drains  \m²\494.873340531892 \ 5" u="1"/>
        <s v="SABS1200 C  / Earthworks (Small Works) / 8.2 / 8.2.10 / Remove topsoil to nominal depth 150 mm, stockpile and maintain / KS19_006-Removal of Dam Wall / 3134.04 / m²" u="1"/>
        <s v="SABS1200 DA  \ Earthworks (Small Works) / 8.3\ SCHEDULED ITEMS / 8.3.1a \ Remove topsoil to nominal depth 150 mm, stockpile and maintain for re-use. The rate shall cover the cost of removing topsoil, together with such vegetation and small roots as occur within the specified depth and of stockpiling on designated sites./\LS16_021-Backfill Main Channel \m²\6032.31 \ 5" u="1"/>
        <s v="SABS1200 DA  \ Earthworks (Small Works) / 8.3\ SCHEDULED ITEMS / 8.3.1a \ Remove topsoil to nominal depth 150 mm, stockpile and maintain for re-use. The rate shall cover the cost of removing topsoil, together with such vegetation and small roots as occur within the specified depth and of stockpiling on designated sites./\KS12_010-Removal of Dam Wall  \m²\619.185479905302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2_005-Concrete Drop Inlet. Refer to drawing NBC-GTW-CL-0004 \m²\21.92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2_007-Concrete Drop Inlet. Refer to drawing NBC-GTW-CL-0006 \m²\21.92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21_009-Concrete Drop Inlet. Refer to drawing NBC-GTW-CL-0043 \m²\21.92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21_010-Concrete Drop Inlet. Refer to drawing NBC-GTW-CL-0044 \m²\21.92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20_009_a-Concrete Buttress Weir. Refer to drawing NBC-GTW-CL-0035 \m²\25.88 \ 5" u="1"/>
        <s v="SABS1200 DA  \ Earthworks (Small Works) / 8.3\ SCHEDULED ITEMS / 8.3.1a \ Remove topsoil to nominal depth 150 mm, stockpile and maintain for re-use. The rate shall cover the cost of removing topsoil, together with such vegetation and small roots as occur within the specified depth and of stockpiling on designated sites./\KS16_001-Infilling of Drains  \m²\494.873340531892 \ 5" u="1"/>
        <s v="SABS1200 DA  \ Earthworks (Small Works) / 8.3\ SCHEDULED ITEMS / 8.3.1a \ Remove topsoil to nominal depth 150 mm, stockpile and maintain for re-use. The rate shall cover the cost of removing topsoil, together with such vegetation and small roots as occur within the specified depth and of stockpiling on designated sites./\KS18_002-Concrete Drop Inlet. Refer to drawing T \m²\17.52 \ 5" u="1"/>
        <s v="SABS1200 DA  \ Earthworks (Small Works) / 8.3\ SCHEDULED ITEMS / 8.3.1a \ Remove topsoil to nominal depth 150 mm, stockpile and maintain for re-use. The rate shall cover the cost of removing topsoil, together with such vegetation and small roots as occur within the specified depth and of stockpiling on designated sites./\LS16_015-Earthworks \m²\567 \ 5" u="1"/>
        <s v="SABS1200 DA  \ Earthworks (Small Works) / 8.3\ SCHEDULED ITEMS / 8.3.1a \ Remove topsoil to nominal depth 150 mm, stockpile and maintain for re-use. The rate shall cover the cost of removing topsoil, together with such vegetation and small roots as occur within the specified depth and of stockpiling on designated sites./\KS13_007-Concrete Drop Inlet \m²\22.24 \ 5" u="1"/>
        <s v="SABS1200 DA  \ Earthworks (Small Works) / 8.3\ SCHEDULED ITEMS / 8.3.1a \ Remove topsoil to nominal depth 150 mm, stockpile and maintain for re-use. The rate shall cover the cost of removing topsoil, together with such vegetation and small roots as occur within the specified depth and of stockpiling on designated sites./\KS13_008-Concrete Drop Inlet \m²\22.24 \ 5" u="1"/>
        <s v="SABS1200 DA  \ Earthworks (Small Works) / 8.3\ SCHEDULED ITEMS / 8.3.1a \ Remove topsoil to nominal depth 150 mm, stockpile and maintain for re-use. The rate shall cover the cost of removing topsoil, together with such vegetation and small roots as occur within the specified depth and of stockpiling on designated sites./\KS18_019-Concrete Drop Inlet \m²\22.24 \ 5" u="1"/>
        <s v="SABS1200 DA  \ Earthworks (Small Works) / 8.3\ SCHEDULED ITEMS / 8.3.1a \ Remove topsoil to nominal depth 150 mm, stockpile and maintain for re-use. The rate shall cover the cost of removing topsoil, together with such vegetation and small roots as occur within the specified depth and of stockpiling on designated sites./\KS21_003-Concrete Drop Inlet \m²\22.24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2_004-Concrete Drop Inlet. Refer to drawing NBC-GTW-CL-0003 \m²\21.76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3_005-Concrete Drop Inlet. Refer to drawing NBC-GTW-CL-0011 \m²\21.76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3_006-Concrete Drop Inlet. Refer to drawing NBC-GTW-CL-0012 \m²\21.76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21_005-Concrete Drop Inlet. Refer to drawing NBC-GTW-CL-0040 \m²\21.76 \ 5" u="1"/>
        <s v="SABS1200 C  / Earthworks (Small Works) / 8.2 / 8.2.10 / Remove topsoil to nominal depth 150 mm, stockpile and maintain / KS16_002-Infilling of Drains / 400.2 / m²"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20_003-Concrete Buttress Weir. Refer to drawing NBC-GTW-CL-0029 \m²\26.68 \ 5" u="1"/>
        <s v="SABS1200 DA  \ Earthworks (Small Works) / 8.3\ SCHEDULED ITEMS / 8.3.1a \ Remove topsoil to nominal depth 150 mm, stockpile and maintain for re-use. The rate shall cover the cost of removing topsoil, together with such vegetation and small roots as occur within the specified depth and of stockpiling on designated sites./\KS13_013-Concrete Drop Inlet \m²\22.56 \ 5" u="1"/>
        <s v="SABS1200 DA  \ Earthworks (Small Works) / 8.3\ SCHEDULED ITEMS / 8.3.1a \ Remove topsoil to nominal depth 150 mm, stockpile and maintain for re-use. The rate shall cover the cost of removing topsoil, together with such vegetation and small roots as occur within the specified depth and of stockpiling on designated sites./\KS13_015-Concrete Drop Inlet \m²\22.56 \ 5" u="1"/>
        <s v="SABS1200 C  / Earthworks (Small Works) / 8.2 / 8.2.10 / Remove topsoil to nominal depth 150 mm, stockpile and maintain / Pan14-001-Reinstate Pan Edge / 367.230725070567 / m²" u="1"/>
        <s v="SABS1200 DA  \ Earthworks (Small Works) / 8.3\ SCHEDULED ITEMS / 8.3.1a \ Remove topsoil to nominal depth 150 mm, stockpile and maintain for re-use. The rate shall cover the cost of removing topsoil, together with such vegetation and small roots as occur within the specified depth and of stockpiling on designated sites./\KS18_014-Concrete Filled Geo-Cell Berm. Refer to drawing A \m²\31.75 \ 5" u="1"/>
        <s v="SABS1200 C  / Earthworks (Small Works) / 8.2 / 8.2.10 / Remove topsoil to nominal depth 150 mm, stockpile and maintain / KS20_009_b-Concrete Overflow Wall / 50 / m²"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3_004-Concrete Drop Inlet. Drawing NBC-GTW-CL-0010 \m²\22.4 \ 5" u="1"/>
        <s v="SABS1200 C  / Earthworks (Small Works) / 8.2 / 8.2.10 / Remove topsoil to nominal depth 150 mm, stockpile and maintain / KS13_009-Infilling of Drains / 78.5716708603933 / m²"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3_013-Concrete Drop Inlet. Refer to drawing NBC-GTW-CL-0017 \m²\22.56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3_015-Concrete Drop Inlet. Refer to drawing NBC-GTW-CL-0018 \m²\22.56 \ 5" u="1"/>
        <s v="SABS1200 C  / Earthworks (Small Works) / 8.2 / 8.2.10 / Remove topsoil to nominal depth 150 mm, stockpile and maintain / LS12_002-Removal of Berm / 133.158114034667 / m²" u="1"/>
        <s v="SABS1200 DA  \ Earthworks (Small Works) / 8.3\ SCHEDULED ITEMS / 8.3.1a \ Remove topsoil to nominal depth 150 mm, stockpile and maintain for re-use. The rate shall cover the cost of removing topsoil, together with such vegetation and small roots as occur within the specified depth and of stockpiling on designated sites./\KS13_011-Concrete Drop Inlet \m²\22.88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20_001-Concrete Drop Inlet. Refer to drawing NBC-GTW-CL-0027 \m²\23.52 \ 5" u="1"/>
        <s v="SABS1200 DA  \ Earthworks (Small Works) / 8.3\ SCHEDULED ITEMS / 8.3.1a \ Remove topsoil to nominal depth 150 mm, stockpile and maintain for re-use. The rate shall cover the cost of removing topsoil, together with such vegetation and small roots as occur within the specified depth and of stockpiling on designated sites./\KS13_004-Concrete Drop Inlet. Refer to drawing J \m²\22.4 \ 5" u="1"/>
        <s v="SABS1200 DA  \ Earthworks (Small Works) / 8.3\ SCHEDULED ITEMS / 8.3.1a \ Remove topsoil to nominal depth 150 mm, stockpile and maintain for re-use. The rate shall cover the cost of removing topsoil, together with such vegetation and small roots as occur within the specified depth and of stockpiling on designated sites./\KS15_003-Removal of Dam Wall \m²\619.289401121074 \ 5" u="1"/>
        <s v="SABS1200 C  / Earthworks (Small Works) / 8.2 / 8.2.10 / Remove topsoil to nominal depth 150 mm, stockpile and maintain / KS13_001-Infilling of Drains / 1148.93998599451 / m²" u="1"/>
        <s v="SABS1200 C  / Earthworks (Small Works) / 8.2 / 8.2.10 / Remove topsoil to nominal depth 150 mm, stockpile and maintain / KS12_010-Removal of Dam Wall / 619.185479905302 / m²"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21-004-Earthworks  \m²\112.305322126996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8_016-Concrete Drop Inlet. Refer to drawing NBC-GTW-CL-0022 \m²\23.36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8_017-Concrete Drop Inlet. Refer to drawing NBC-GTW-CL-0023 \m²\23.36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8_018-Concrete Drop Inlet. Refer to drawing NBC-GTW-CL-0024 \m²\23.36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20_002-Concrete Drop Inlet. Refer to drawing NBC-GTW-CL-0028 \m²\23.36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20_004-Concrete Drop Inlet. Refer to drawing NBC-GTW-CL-0030 \m²\23.36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20_005-Concrete Drop Inlet. Refer to drawing NBC-GTW-CL-0031 \m²\23.36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20_006-Concrete Drop Inlet. Refer to drawing NBC-GTW-CL-0032 \m²\23.36 \ 5" u="1"/>
        <s v="SABS1200 DA  \ Earthworks (Small Works) / 8.3\ SCHEDULED ITEMS / 8.3.1a \ Remove topsoil to nominal depth 150 mm, stockpile and maintain for re-use. The rate shall cover the cost of removing topsoil, together with such vegetation and small roots as occur within the specified depth and of stockpiling on designated sites./\Pan14_009-Infilling of Drains  \m²\139.612870262106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6_002-Infilling of Drains  \m²\400.2 \ 5" u="1"/>
        <s v="SABS1200 DA  \ Earthworks (Small Works) / 8.3\ SCHEDULED ITEMS / 8.3.1a \ Remove topsoil to nominal depth 150 mm, stockpile and maintain for re-use. The rate shall cover the cost of removing topsoil, together with such vegetation and small roots as occur within the specified depth and of stockpiling on designated sites./\Pan14-003-Remove berm and backfill drain  \m²\2365 \ 5" u="1"/>
        <s v="SABS1200 DA  \ Earthworks (Small Works) / 8.3\ SCHEDULED ITEMS / 8.3.1a \ Remove topsoil to nominal depth 150 mm, stockpile and maintain for re-use. The rate shall cover the cost of removing topsoil, together with such vegetation and small roots as occur within the specified depth and of stockpiling on designated sites./\KS13_004-Concrete Drop Inlet \m²\22.4 \ 5" u="1"/>
        <s v="SABS1200 C  / Earthworks (Small Works) / 8.2 / 8.2.10 / Remove topsoil to nominal depth 150 mm, stockpile and maintain / KS21-002-Earthworks / 340 / m²" u="1"/>
        <s v="SABS1200 DA  \ Earthworks (Small Works) / 8.3\ SCHEDULED ITEMS / 8.3.1a \ Remove topsoil to nominal depth 150 mm, stockpile and maintain for re-use. The rate shall cover the cost of removing topsoil, together with such vegetation and small roots as occur within the specified depth and of stockpiling on designated sites./\Pan14-002-Remove Berm \m²\198 \ 5" u="1"/>
        <s v="SABS1200 DA  \ Earthworks (Small Works) / 8.3\ SCHEDULED ITEMS / 8.3.1a \ Remove topsoil to nominal depth 150 mm, stockpile and maintain for re-use. The rate shall cover the cost of removing topsoil, together with such vegetation and small roots as occur within the specified depth and of stockpiling on designated sites./\Pan09_001-Removal of Dam Wall  \m²\977.744753861606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Pan8_002-Infilling of Drains  \m²\320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Pan14_011-Infilling of Drains  \m²\4365 \ 5" u="1"/>
        <s v="SABS1200 DA  \ Earthworks (Small Works) / 8.3\ SCHEDULED ITEMS / 8.3.1a \ Remove topsoil to nominal depth 150 mm, stockpile and maintain for re-use. The rate shall cover the cost of removing topsoil, together with such vegetation and small roots as occur within the specified depth and of stockpiling on designated sites./\Pan14-002-Remove Berm  \m²\198 \ 5" u="1"/>
        <s v="SABS1200 DA  \ Earthworks (Small Works) / 8.3\ SCHEDULED ITEMS / 8.3.1a \ Remove topsoil to nominal depth 150 mm, stockpile and maintain for re-use. The rate shall cover the cost of removing topsoil, together with such vegetation and small roots as occur within the specified depth and of stockpiling on designated sites./\KS13_003-Concrete Drop Inlet. Refer to drawing I \m²\23.2 \ 5" u="1"/>
        <s v="SABS1200 DA  \ Earthworks (Small Works) / 8.3\ SCHEDULED ITEMS / 8.3.1a \ Remove topsoil to nominal depth 150 mm, stockpile and maintain for re-use. The rate shall cover the cost of removing topsoil, together with such vegetation and small roots as occur within the specified depth and of stockpiling on designated sites./\KS13_012-Concrete Drop Inlet. Refer to drawing P \m²\23.2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LS16_021-Backfill Main Channel  \m²\6032.31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20_003-Concrete Buttress Weir. Drawing NBC-GTW-CL-0029 \m²\26.68 \ 5" u="1"/>
        <s v="SABS1200 DA  \ Earthworks (Small Works) / 8.3\ SCHEDULED ITEMS / 8.3.1a \ Remove topsoil to nominal depth 150 mm, stockpile and maintain for re-use. The rate shall cover the cost of removing topsoil, together with such vegetation and small roots as occur within the specified depth and of stockpiling on designated sites./\Pan8_002-Infilling of Drains \m²\320 \ 5" u="1"/>
        <s v="SABS1200 DA  \ Earthworks (Small Works) / 8.3\ SCHEDULED ITEMS / 8.3.1a \ Remove topsoil to nominal depth 150 mm, stockpile and maintain for re-use. The rate shall cover the cost of removing topsoil, together with such vegetation and small roots as occur within the specified depth and of stockpiling on designated sites./\Pan14_011-Infilling of Drains  \m²\4365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8_002-Concrete Drop Inlet. Refer to drawing NBC-GTW-CL-0020 \m²\17.52 \ 5" u="1"/>
        <s v="SABS1200 DA  \ Earthworks (Small Works) / 8.3\ SCHEDULED ITEMS / 8.3.1a \ Remove topsoil to nominal depth 150 mm, stockpile and maintain for re-use. The rate shall cover the cost of removing topsoil, together with such vegetation and small roots as occur within the specified depth and of stockpiling on designated sites./\Pan14-001-Reinstate Pan Edge \m²\367.230725070567 \ 5" u="1"/>
        <s v="SABS1200 DA  \ Earthworks (Small Works) / 8.3\ SCHEDULED ITEMS / 8.3.1a \ Remove topsoil to nominal depth 150 mm, stockpile and maintain for re-use. The rate shall cover the cost of removing topsoil, together with such vegetation and small roots as occur within the specified depth and of stockpiling on designated sites./\ks18-021-Backfill Main Channel \m²\3294.95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1-002c-Dam wall excavation. Refer to drawing NBC-GTW-CL-0067 \m²\1870 \ 5" u="1"/>
        <s v="SABS1200 DA  \ Earthworks (Small Works) / 8.3\ SCHEDULED ITEMS / 8.3.1a \ Remove topsoil to nominal depth 150 mm, stockpile and maintain for re-use. The rate shall cover the cost of removing topsoil, together with such vegetation and small roots as occur within the specified depth and of stockpiling on designated sites./\KS20_001-Concrete Drop Inlet \m²\23.52 \ 5" u="1"/>
        <s v="SABS1200 C  / Earthworks (Small Works) / 8.2 / 8.2.10 / Remove topsoil to nominal depth 150 mm, stockpile and maintain / Pan14_005-Infilling of Drains / 461.040922287129 / m²" u="1"/>
        <s v="SABS1200 DA  \ Earthworks (Small Works) / 8.3\ SCHEDULED ITEMS / 8.3.1a \ Remove topsoil to nominal depth 150 mm, stockpile and maintain for re-use. The rate shall cover the cost of removing topsoil, together with such vegetation and small roots as occur within the specified depth and of stockpiling on designated sites./\KS18_002-Concrete Drop Inlet \m²\17.52 \ 5" u="1"/>
        <s v="SABS1200 DA  \ Earthworks (Small Works) / 8.3\ SCHEDULED ITEMS / 8.3.1a \ Remove topsoil to nominal depth 150 mm, stockpile and maintain for re-use. The rate shall cover the cost of removing topsoil, together with such vegetation and small roots as occur within the specified depth and of stockpiling on designated sites./\KS13_016-Infilling of Drains \m²\332.18699875976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Pan14_009-Infilling of Drains  \m²\139.612870262106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3_007-Concrete Drop Inlet. Drawing NBC-GTW-CL-0013 \m²\22.24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3_008-Concrete Drop Inlet. Drawing NBC-GTW-CL-0014 \m²\22.24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8_019-Concrete Drop Inlet. Drawing NBC-GTW-CL-0025 \m²\22.24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3_013-Concrete Drop Inlet. Drawing NBC-GTW-CL-0017 \m²\22.56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3_015-Concrete Drop Inlet. Drawing NBC-GTW-CL-0018 \m²\22.56 \ 5" u="1"/>
        <s v="SABS1200 DA  \ Earthworks (Small Works) / 8.3\ SCHEDULED ITEMS / 8.3.1a \ Remove topsoil to nominal depth 150 mm, stockpile and maintain for re-use. The rate shall cover the cost of removing topsoil, together with such vegetation and small roots as occur within the specified depth and of stockpiling on designated sites./\KS13_014-Earthen Berm  \m²\278.716598321288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8-014-Concrete Filled Geo-Cell Berm. Drawing NBC-GTW-CL-0001 \m²\31.75 \ 5" u="1"/>
        <s v="SABS1200 DA  \ Earthworks (Small Works) / 8.3\ SCHEDULED ITEMS / 8.3.1a \ Remove topsoil to nominal depth 150 mm, stockpile and maintain for re-use. The rate shall cover the cost of removing topsoil, together with such vegetation and small roots as occur within the specified depth and of stockpiling on designated sites./\KS20_007-Concrete Drop Inlet \m²\23.04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3_011-Concrete Drop Inlet. Drawing NBC-GTW-CL-0015 \m²\22.88 \ 5" u="1"/>
        <s v="SABS1200 DA  \ Earthworks (Small Works) / 8.3\ SCHEDULED ITEMS / 8.3.1a \ Remove topsoil to nominal depth 150 mm, stockpile and maintain for re-use. The rate shall cover the cost of removing topsoil, together with such vegetation and small roots as occur within the specified depth and of stockpiling on designated sites./\KS18_001-Concrete Drop Inlet \m²\23.84 \ 5" u="1"/>
        <s v="SABS1200 C  / Earthworks (Small Works) / 8.2 / 8.2.10 / Remove topsoil to nominal depth 150 mm, stockpile and maintain / Pan14_006-Earthen Berms / 190.755332217041 / m²" u="1"/>
        <s v="SABS1200 DA  \ Earthworks (Small Works) / 8.3\ SCHEDULED ITEMS / 8.3.1a \ Remove topsoil to nominal depth 150 mm, stockpile and maintain for re-use. The rate shall cover the cost of removing topsoil, together with such vegetation and small roots as occur within the specified depth and of stockpiling on designated sites./\Pan8_004-Removal of Berm \m²\34.9811660377019 \ 5" u="1"/>
        <s v="SABS1200 DA  \ Earthworks (Small Works) / 8.3\ SCHEDULED ITEMS / 8.3.1a \ Remove topsoil to nominal depth 150 mm, stockpile and maintain for re-use. The rate shall cover the cost of removing topsoil, together with such vegetation and small roots as occur within the specified depth and of stockpiling on designated sites./\KS19_007-Infilling of Drains  \m²\191.419859738212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2_002-Concrete Drop Inlet. Refer to drawing NBC-GTW-CL-0002 \m²\30 \ 5" u="1"/>
        <s v="SABS1200 DA  \ Earthworks (Small Works) / 8.3\ SCHEDULED ITEMS / 8.3.1a \ Remove topsoil to nominal depth 150 mm, stockpile and maintain for re-use. The rate shall cover the cost of removing topsoil, together with such vegetation and small roots as occur within the specified depth and of stockpiling on designated sites./\KS20_009_b-Concrete Overflow Wall. Refer to drawing AJ \m²\50 \ 5" u="1"/>
        <s v="SABS1200 DA  \ Earthworks (Small Works) / 8.3\ SCHEDULED ITEMS / 8.3.1a \ Remove topsoil to nominal depth 150 mm, stockpile and maintain for re-use. The rate shall cover the cost of removing topsoil, together with such vegetation and small roots as occur within the specified depth and of stockpiling on designated sites./\KS18_016-Concrete Drop Inlet \m²\23.36 \ 5" u="1"/>
        <s v="SABS1200 DA  \ Earthworks (Small Works) / 8.3\ SCHEDULED ITEMS / 8.3.1a \ Remove topsoil to nominal depth 150 mm, stockpile and maintain for re-use. The rate shall cover the cost of removing topsoil, together with such vegetation and small roots as occur within the specified depth and of stockpiling on designated sites./\KS18_017-Concrete Drop Inlet \m²\23.36 \ 5" u="1"/>
        <s v="SABS1200 DA  \ Earthworks (Small Works) / 8.3\ SCHEDULED ITEMS / 8.3.1a \ Remove topsoil to nominal depth 150 mm, stockpile and maintain for re-use. The rate shall cover the cost of removing topsoil, together with such vegetation and small roots as occur within the specified depth and of stockpiling on designated sites./\KS18_018-Concrete Drop Inlet \m²\23.36 \ 5" u="1"/>
        <s v="SABS1200 DA  \ Earthworks (Small Works) / 8.3\ SCHEDULED ITEMS / 8.3.1a \ Remove topsoil to nominal depth 150 mm, stockpile and maintain for re-use. The rate shall cover the cost of removing topsoil, together with such vegetation and small roots as occur within the specified depth and of stockpiling on designated sites./\KS20_002-Concrete Drop Inlet \m²\23.36 \ 5" u="1"/>
        <s v="SABS1200 DA  \ Earthworks (Small Works) / 8.3\ SCHEDULED ITEMS / 8.3.1a \ Remove topsoil to nominal depth 150 mm, stockpile and maintain for re-use. The rate shall cover the cost of removing topsoil, together with such vegetation and small roots as occur within the specified depth and of stockpiling on designated sites./\KS20_004-Concrete Drop Inlet \m²\23.36 \ 5" u="1"/>
        <s v="SABS1200 DA  \ Earthworks (Small Works) / 8.3\ SCHEDULED ITEMS / 8.3.1a \ Remove topsoil to nominal depth 150 mm, stockpile and maintain for re-use. The rate shall cover the cost of removing topsoil, together with such vegetation and small roots as occur within the specified depth and of stockpiling on designated sites./\KS20_005-Concrete Drop Inlet \m²\23.36 \ 5" u="1"/>
        <s v="SABS1200 DA  \ Earthworks (Small Works) / 8.3\ SCHEDULED ITEMS / 8.3.1a \ Remove topsoil to nominal depth 150 mm, stockpile and maintain for re-use. The rate shall cover the cost of removing topsoil, together with such vegetation and small roots as occur within the specified depth and of stockpiling on designated sites./\KS20_006-Concrete Drop Inlet \m²\23.36 \ 5" u="1"/>
        <s v="SABS1200 DA  \ Earthworks (Small Works) / 8.3\ SCHEDULED ITEMS / 8.3.1a \ Remove topsoil to nominal depth 150 mm, stockpile and maintain for re-use. The rate shall cover the cost of removing topsoil, together with such vegetation and small roots as occur within the specified depth and of stockpiling on designated sites./\KS16_004-Infilling of Drains  \m²\494.089808285138 \ 5" u="1"/>
        <s v="SABS1200 C  / Earthworks (Small Works) / 8.2 / 8.2.10 / Remove topsoil to nominal depth 150 mm, stockpile and maintain / Pan14_011-Infilling of Drains / 4365 / m²" u="1"/>
        <s v="SABS1200 DA  \ Earthworks (Small Works) / 8.3\ SCHEDULED ITEMS / 8.3.1a \ Remove topsoil to nominal depth 150 mm, stockpile and maintain for re-use. The rate shall cover the cost of removing topsoil, together with such vegetation and small roots as occur within the specified depth and of stockpiling on designated sites./\KS16_001-Infilling of Drains \m²\494.873340531892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21-002-Earthworks  \m²\340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21_001-10° sloped Grouted Pitching (Light). Refer to drawing NBC-GTW-CL-0038 \m²\32 \ 5" u="1"/>
        <s v="SABS1200 DA  \ Earthworks (Small Works) / 8.3\ SCHEDULED ITEMS / 8.3.1a \ Remove topsoil to nominal depth 150 mm, stockpile and maintain for re-use. The rate shall cover the cost of removing topsoil, together with such vegetation and small roots as occur within the specified depth and of stockpiling on designated sites./\KS20_003-Concrete Buttress Weir \m²\26.68 \ 5" u="1"/>
        <s v="SABS1200 DA  \ Earthworks (Small Works) / 8.3\ SCHEDULED ITEMS / 8.3.1a \ Remove topsoil to nominal depth 150 mm, stockpile and maintain for re-use. The rate shall cover the cost of removing topsoil, together with such vegetation and small roots as occur within the specified depth and of stockpiling on designated sites./\KS15_003-Removal of Dam Wall  \m²\619.289401121074 \ 5" u="1"/>
        <s v="SABS1200 DA  \ Earthworks (Small Works) / 8.3\ SCHEDULED ITEMS / 8.3.1a \ Remove topsoil to nominal depth 150 mm, stockpile and maintain for re-use. The rate shall cover the cost of removing topsoil, together with such vegetation and small roots as occur within the specified depth and of stockpiling on designated sites./\KS20_008-Concrete Drop Inlet. Refer to drawing AH \m²\23.2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Pan14_008-Infilling of Drains  \m²\108 \ 5" u="1"/>
        <s v="SABS1200 C  / Earthworks (Small Works) / 8.2 / 8.2.10 / Remove topsoil to nominal depth 150 mm, stockpile and maintain / KS19_007-Infilling of Drains / 191.419859738212 / m²" u="1"/>
        <s v="SABS1200 DA  \ Earthworks (Small Works) / 8.3\ SCHEDULED ITEMS / 8.3.1a \ Remove topsoil to nominal depth 150 mm, stockpile and maintain for re-use. The rate shall cover the cost of removing topsoil, together with such vegetation and small roots as occur within the specified depth and of stockpiling on designated sites./\KS18_015-Concrete Drop Inlet \m²\23.68 \ 5" u="1"/>
        <s v="SABS1200 DA  \ Earthworks (Small Works) / 8.3\ SCHEDULED ITEMS / 8.3.1a \ Remove topsoil to nominal depth 150 mm, stockpile and maintain for re-use. The rate shall cover the cost of removing topsoil, together with such vegetation and small roots as occur within the specified depth and of stockpiling on designated sites./\KS21-008-Infilling of Drain  \m²\110.103362133363 \ 5" u="1"/>
        <s v="SABS1200 DA  \ Earthworks (Small Works) / 8.3\ SCHEDULED ITEMS / 8.3.1a \ Remove topsoil to nominal depth 150 mm, stockpile and maintain for re-use. The rate shall cover the cost of removing topsoil, together with such vegetation and small roots as occur within the specified depth and of stockpiling on designated sites./\KS21_006-Concrete Drop Inlet. Refer to drawing AO \m²\21.6 \ 5" u="1"/>
        <s v="SABS1200 DA  \ Earthworks (Small Works) / 8.3\ SCHEDULED ITEMS / 8.3.1a \ Remove topsoil to nominal depth 150 mm, stockpile and maintain for re-use. The rate shall cover the cost of removing topsoil, together with such vegetation and small roots as occur within the specified depth and of stockpiling on designated sites./\KS21_007-Concrete Drop Inlet. Refer to drawing AP \m²\21.6 \ 5" u="1"/>
        <s v="SABS1200 DA  \ Earthworks (Small Works) / 8.3\ SCHEDULED ITEMS / 8.3.1a \ Remove topsoil to nominal depth 150 mm, stockpile and maintain for re-use. The rate shall cover the cost of removing topsoil, together with such vegetation and small roots as occur within the specified depth and of stockpiling on designated sites./\LS12_002-Removal of Berm  \m²\133.158114034667 \ 5" u="1"/>
        <s v="SABS1200 C  / Earthworks (Small Works) / 8.2 / 8.2.10 / Remove topsoil to nominal depth 150 mm, stockpile and maintain / KS13_010-Removal of Berm / 1868.09496857721 / m²"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20_009_b-Concrete Overflow Wall. Refer to drawing NBC-GTW-CL-0035 \m²\50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20_009_b-Concrete Overflow Wall. Refer to drawing NBC-GTW-CL-0036 \m²\50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1-002c-Dam wall excavation  \m²\1870 \ 5" u="1"/>
        <s v="SABS1200 DA  \ Earthworks (Small Works) / 8.3\ SCHEDULED ITEMS / 8.3.1a \ Remove topsoil to nominal depth 150 mm, stockpile and maintain for re-use. The rate shall cover the cost of removing topsoil, together with such vegetation and small roots as occur within the specified depth and of stockpiling on designated sites./\KS13_003-Concrete Drop Inlet \m²\23.2 \ 5" u="1"/>
        <s v="SABS1200 DA  \ Earthworks (Small Works) / 8.3\ SCHEDULED ITEMS / 8.3.1a \ Remove topsoil to nominal depth 150 mm, stockpile and maintain for re-use. The rate shall cover the cost of removing topsoil, together with such vegetation and small roots as occur within the specified depth and of stockpiling on designated sites./\KS13_012-Concrete Drop Inlet \m²\23.2 \ 5" u="1"/>
        <s v="SABS1200 DA  \ Earthworks (Small Works) / 8.3\ SCHEDULED ITEMS / 8.3.1a \ Remove topsoil to nominal depth 150 mm, stockpile and maintain for re-use. The rate shall cover the cost of removing topsoil, together with such vegetation and small roots as occur within the specified depth and of stockpiling on designated sites./\KS20_008-Concrete Drop Inlet \m²\23.2 \ 5" u="1"/>
        <s v="SABS1200 DA  \ Earthworks (Small Works) / 8.3\ SCHEDULED ITEMS / 8.3.1a \ Remove topsoil to nominal depth 150 mm, stockpile and maintain for re-use. The rate shall cover the cost of removing topsoil, together with such vegetation and small roots as occur within the specified depth and of stockpiling on designated sites./\Pan14_004-Infilling of Drains \m²\380 \ 5" u="1"/>
        <s v="SABS1200 C  / Earthworks (Small Works) / 8.2 / 8.2.10 / Remove topsoil to nominal depth 150 mm, stockpile and maintain / LS12_001-Removal of dam wall / 2917.70393453744 / m²" u="1"/>
        <s v="SABS1200 DA  \ Earthworks (Small Works) / 8.3\ SCHEDULED ITEMS / 8.3.1a \ Remove topsoil to nominal depth 150 mm, stockpile and maintain for re-use. The rate shall cover the cost of removing topsoil, together with such vegetation and small roots as occur within the specified depth and of stockpiling on designated sites./\KS21-002-Earthworks  \m²\340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20_002-Concrete Drop Inlet. Refer to drawing NBC-GTW-CL-0028 \m²\24 \ 5" u="1"/>
        <s v="SABS1200 DA  \ Earthworks (Small Works) / 8.3\ SCHEDULED ITEMS / 8.3.1a \ Remove topsoil to nominal depth 150 mm, stockpile and maintain for re-use. The rate shall cover the cost of removing topsoil, together with such vegetation and small roots as occur within the specified depth and of stockpiling on designated sites./\Pan14-003-Remove berm and backfill drain \m²\2365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20_009_c-Earthen Berm. Refer to drawing  \m²\69 \ 5" u="1"/>
        <s v="SABS1200 DA  \ Earthworks (Small Works) / 8.3\ SCHEDULED ITEMS / 8.3.1a \ Remove topsoil to nominal depth 150 mm, stockpile and maintain for re-use. The rate shall cover the cost of removing topsoil, together with such vegetation and small roots as occur within the specified depth and of stockpiling on designated sites./\KS20_009_c-Earthen Berm. Refer to drawing AK \m²\69 \ 5" u="1"/>
        <s v="SABS1200 DA  \ Earthworks (Small Works) / 8.3\ SCHEDULED ITEMS / 8.3.1a \ Remove topsoil to nominal depth 150 mm, stockpile and maintain for re-use. The rate shall cover the cost of removing topsoil, together with such vegetation and small roots as occur within the specified depth and of stockpiling on designated sites./\KS20_003-Concrete Buttress Weir. Refer to drawing AC \m²\26.68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1-004c-Dam wall excavation  \m²\1200 \ 5" u="1"/>
        <s v="SABS1200 C  / Earthworks (Small Works) / 8.2 / 8.2.10 / Remove topsoil to nominal depth 150 mm, stockpile and maintain / LS16_021-Backfill Main Channel / 6032.31 / m²" u="1"/>
        <s v="SABS1200 C  / Earthworks (Small Works) / 8.2 / 8.2.10 / Remove topsoil to nominal depth 150 mm, stockpile and maintain / LS08_001-Removal of Berm / 148.532778078669 / m²" u="1"/>
        <s v="SABS1200 DA  \ Earthworks (Small Works) / 8.3\ SCHEDULED ITEMS / 8.3.1a \ Remove topsoil to nominal depth 150 mm, stockpile and maintain for re-use. The rate shall cover the cost of removing topsoil, together with such vegetation and small roots as occur within the specified depth and of stockpiling on designated sites./\LS12_001-Removal of dam wall  \m²\2917.70393453744 \ 5" u="1"/>
        <s v="SABS1200 DA  \ Earthworks (Small Works) / 8.3\ SCHEDULED ITEMS / 8.3.1a \ Remove topsoil to nominal depth 150 mm, stockpile and maintain for re-use. The rate shall cover the cost of removing topsoil, together with such vegetation and small roots as occur within the specified depth and of stockpiling on designated sites./\KS13_002-Infilling of Drains  \m²\85.816653826392 \ 5" u="1"/>
        <s v="SABS1200 DA  \ Earthworks (Small Works) / 8.3\ SCHEDULED ITEMS / 8.3.1a \ Remove topsoil to nominal depth 150 mm, stockpile and maintain for re-use. The rate shall cover the cost of removing topsoil, together with such vegetation and small roots as occur within the specified depth and of stockpiling on designated sites./\KS16_004-Infilling of Drains \m²\494.089808285138 \ 5" u="1"/>
        <s v="SABS1200 DA  \ Earthworks (Small Works) / 8.3\ SCHEDULED ITEMS / 8.3.1a \ Remove topsoil to nominal depth 150 mm, stockpile and maintain for re-use. The rate shall cover the cost of removing topsoil, together with such vegetation and small roots as occur within the specified depth and of stockpiling on designated sites./\KS12_003-Removal of Berm and Dam Wall \m²\1876.14315788985 \ 5" u="1"/>
        <s v="SABS1200 DA  \ Earthworks (Small Works) / 8.3\ SCHEDULED ITEMS / 8.3.1a \ Remove topsoil to nominal depth 150 mm, stockpile and maintain for re-use. The rate shall cover the cost of removing topsoil, together with such vegetation and small roots as occur within the specified depth and of stockpiling on designated sites./\Pan14_005-Infilling of Drains \m²\461.040922287129 \ 5" u="1"/>
        <s v="SABS1200 DA  \ Earthworks (Small Works) / 8.3\ SCHEDULED ITEMS / 8.3.1a \ Remove topsoil to nominal depth 150 mm, stockpile and maintain for re-use. The rate shall cover the cost of removing topsoil, together with such vegetation and small roots as occur within the specified depth and of stockpiling on designated sites./\Pan14_007-Infilling of Drains \m²\168.280230740355 \ 5" u="1"/>
        <s v="SABS1200 C  / Earthworks (Small Works) / 8.2 / 8.2.10 / Remove topsoil to nominal depth 150 mm, stockpile and maintain / KS13_014-Earthen Berm / 278.716598321288 / m²" u="1"/>
        <s v="SABS1200 C  / Earthworks (Small Works) / 8.2 / 8.2.10 / Remove topsoil to nominal depth 150 mm, stockpile and maintain / Pan8_004-Removal of Berm / 34.9811660377019 / m²" u="1"/>
        <s v="SABS1200 DA  \ Earthworks (Small Works) / 8.3\ SCHEDULED ITEMS / 8.3.1a \ Remove topsoil to nominal depth 150 mm, stockpile and maintain for re-use. The rate shall cover the cost of removing topsoil, together with such vegetation and small roots as occur within the specified depth and of stockpiling on designated sites./\KS19_002-Concrete Drop Inlet. Refer to drawing Z \m²\20.96 \ 5" u="1"/>
        <s v="SABS1200 DA  \ Earthworks (Small Works) / 8.3\ SCHEDULED ITEMS / 8.3.1a \ Remove topsoil to nominal depth 150 mm, stockpile and maintain for re-use. The rate shall cover the cost of removing topsoil, together with such vegetation and small roots as occur within the specified depth and of stockpiling on designated sites./\Pan14_008-Infilling of Drains  \m²\108 \ 5" u="1"/>
        <s v="SABS1200 DA  \ Earthworks (Small Works) / 8.3\ SCHEDULED ITEMS / 8.3.1a \ Remove topsoil to nominal depth 150 mm, stockpile and maintain for re-use. The rate shall cover the cost of removing topsoil, together with such vegetation and small roots as occur within the specified depth and of stockpiling on designated sites./\LS12_001-Removal of dam wall \m²\2917.70393453744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Pan14-003-Remove berm and backfill drain  \m²\2365 \ 5" u="1"/>
        <s v="'" u="1"/>
        <s v="SABS1200 C  / Earthworks (Small Works) / 8.2 / 8.2.10 / Remove topsoil to nominal depth 150 mm, stockpile and maintain / KS15_003-Removal of Dam Wall / 619.289401121074 / m²"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3_012-Concrete Drop Inlet. Drawing NBC-GTW-CL-0016 \m²\23.2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20_008-Concrete Drop Inlet. Drawing NBC-GTW-CL-0034 \m²\23.2 \ 5" u="1"/>
        <s v="SABS1200 DA  \ Earthworks (Small Works) / 8.3\ SCHEDULED ITEMS / 8.3.1a \ Remove topsoil to nominal depth 150 mm, stockpile and maintain for re-use. The rate shall cover the cost of removing topsoil, together with such vegetation and small roots as occur within the specified depth and of stockpiling on designated sites./\KS12_006-Concrete Drop Inlet. Refer to drawing E \m²\21.44 \ 5" u="1"/>
        <s v="SABS1200 DA  \ Earthworks (Small Works) / 8.3\ SCHEDULED ITEMS / 8.3.1a \ Remove topsoil to nominal depth 150 mm, stockpile and maintain for re-use. The rate shall cover the cost of removing topsoil, together with such vegetation and small roots as occur within the specified depth and of stockpiling on designated sites./\KS12_008-Concrete Drop Inlet. Refer to drawing G \m²\21.44 \ 5" u="1"/>
        <s v="SABS1200 DA  \ Earthworks (Small Works) / 8.3\ SCHEDULED ITEMS / 8.3.1a \ Remove topsoil to nominal depth 150 mm, stockpile and maintain for re-use. The rate shall cover the cost of removing topsoil, together with such vegetation and small roots as occur within the specified depth and of stockpiling on designated sites./\KS12_009-Concrete Drop Inlet. Refer to drawing H \m²\21.44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20_009_a-Concrete Drop Inlet. Refer to drawing NBC-GTW-CL-0035 \m²\25.88 \ 5" u="1"/>
        <s v="SABS1200 C  / Earthworks (Small Works) / 8.2 / 8.2.10 / Remove topsoil to nominal depth 150 mm, stockpile and maintain / Pan14_009-Infilling of Drains / 139.612870262106 / m²" u="1"/>
        <s v="SABS1200 DA  \ Earthworks (Small Works) / 8.3\ SCHEDULED ITEMS / 8.3.1a \ Remove topsoil to nominal depth 150 mm, stockpile and maintain for re-use. The rate shall cover the cost of removing topsoil, together with such vegetation and small roots as occur within the specified depth and of stockpiling on designated sites./\Pan14_005-Infilling of Drains  \m²\461.040922287129 \ 5" u="1"/>
        <s v="SABS1200 DA  \ Earthworks (Small Works) / 8.3\ SCHEDULED ITEMS / 8.3.1a \ Remove topsoil to nominal depth 150 mm, stockpile and maintain for re-use. The rate shall cover the cost of removing topsoil, together with such vegetation and small roots as occur within the specified depth and of stockpiling on designated sites./\ks18-021-Backfill Main Channel  \m²\3294.95 \ 5" u="1"/>
        <s v="SABS1200 DA  \ Earthworks (Small Works) / 8.3\ SCHEDULED ITEMS / 8.3.1a \ Remove topsoil to nominal depth 150 mm, stockpile and maintain for re-use. The rate shall cover the cost of removing topsoil, together with such vegetation and small roots as occur within the specified depth and of stockpiling on designated sites./\KS13_002-Infilling of Drains \m²\85.816653826392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2_006-Concrete Drop Inlet. Refer to drawing NBC-GTW-CL-0005 \m²\21.44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2_008-Concrete Drop Inlet. Refer to drawing NBC-GTW-CL-0007 \m²\21.44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2_009-Concrete Drop Inlet. Refer to drawing NBC-GTW-CL-0008 \m²\21.44 \ 5" u="1"/>
        <s v="SABS1200 DA  \ Earthworks (Small Works) / 8.3\ SCHEDULED ITEMS / 8.3.1a \ Remove topsoil to nominal depth 150 mm, stockpile and maintain for re-use. The rate shall cover the cost of removing topsoil, together with such vegetation and small roots as occur within the specified depth and of stockpiling on designated sites./\KS19_002-Concrete Drop Inlet \m²\20.96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8_002-Concrete Drop Inlet. Drawing NBC-GTW-CL-0020 \m²\17.52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3_011-Concrete Drop Inlet. Refer to drawing NBC-GTW-CL-0015 \m²\22.88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6_004-Infilling of Drains  \m²\494.089808285138 \ 5" u="1"/>
        <s v="SABS1200 DA  \ Earthworks (Small Works) / 8.3\ SCHEDULED ITEMS / 8.3.1a \ Remove topsoil to nominal depth 150 mm, stockpile and maintain for re-use. The rate shall cover the cost of removing topsoil, together with such vegetation and small roots as occur within the specified depth and of stockpiling on designated sites./\KS12_010-Removal of Dam Wall \m²\619.185479905302 \ 5" u="1"/>
        <s v="SABS1200 C  / Earthworks (Small Works) / 8.2 / 8.2.10 / Remove topsoil to nominal depth 150 mm, stockpile and maintain / Pan14_008-Infilling of Drains / 108 / m²" u="1"/>
        <s v="SABS1200 DA  \ Earthworks (Small Works) / 8.3\ SCHEDULED ITEMS / 8.3.1a \ Remove topsoil to nominal depth 150 mm, stockpile and maintain for re-use. The rate shall cover the cost of removing topsoil, together with such vegetation and small roots as occur within the specified depth and of stockpiling on designated sites./\KS13_001-Infilling of Drains  \m²\1148.93998599451 \ 5" u="1"/>
        <s v="SABS1200 DA  \ Earthworks (Small Works) / 8.3\ SCHEDULED ITEMS / 8.3.1a \ Remove topsoil to nominal depth 150 mm, stockpile and maintain for re-use. The rate shall cover the cost of removing topsoil, together with such vegetation and small roots as occur within the specified depth and of stockpiling on designated sites./\KS13_009-Infilling of Drains \m²\78.5716708603933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8_001-Concrete Drop Inlet. Refer to drawing NBC-GTW-CL-0019 \m²\23.84 \ 5" u="1"/>
        <s v="SABS1200 DA  \ Earthworks (Small Works) / 8.3\ SCHEDULED ITEMS / 8.3.1a \ Remove topsoil to nominal depth 150 mm, stockpile and maintain for re-use. The rate shall cover the cost of removing topsoil, together with such vegetation and small roots as occur within the specified depth and of stockpiling on designated sites./\KS13_010-Removal of Berm  \m²\1868.09496857721 \ 5" u="1"/>
        <s v="SABS1200 DA  \ Earthworks (Small Works) / 8.3\ SCHEDULED ITEMS / 8.3.1a \ Remove topsoil to nominal depth 150 mm, stockpile and maintain for re-use. The rate shall cover the cost of removing topsoil, together with such vegetation and small roots as occur within the specified depth and of stockpiling on designated sites./\KS21-002-Earthworks \m²\340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3_007-Concrete Drop Inlet. Refer to drawing NBC-GTW-CL-0013 \m²\22.24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3_008-Concrete Drop Inlet. Refer to drawing NBC-GTW-CL-0014 \m²\22.24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8_019-Concrete Drop Inlet. Refer to drawing NBC-GTW-CL-0025 \m²\22.24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21_003-Concrete Drop Inlet. Refer to drawing NBC-GTW-CL-0039 \m²\22.24 \ 5" u="1"/>
        <s v="SABS1200 C  / Earthworks (Small Works) / 8.2 / 8.2.10 / Remove topsoil to nominal depth 150 mm, stockpile and maintain / KS13_002-Infilling of Drains / 85.816653826392 / m²" u="1"/>
        <s v="SABS1200 DA  \ Earthworks (Small Works) / 8.3\ SCHEDULED ITEMS / 8.3.1a \ Remove topsoil to nominal depth 150 mm, stockpile and maintain for re-use. The rate shall cover the cost of removing topsoil, together with such vegetation and small roots as occur within the specified depth and of stockpiling on designated sites./\KS12_004-Concrete Drop Inlet. Refer to drawing C \m²\21.76 \ 5" u="1"/>
        <s v="SABS1200 DA  \ Earthworks (Small Works) / 8.3\ SCHEDULED ITEMS / 8.3.1a \ Remove topsoil to nominal depth 150 mm, stockpile and maintain for re-use. The rate shall cover the cost of removing topsoil, together with such vegetation and small roots as occur within the specified depth and of stockpiling on designated sites./\KS13_005-Concrete Drop Inlet. Refer to drawing K \m²\21.76 \ 5" u="1"/>
        <s v="SABS1200 DA  \ Earthworks (Small Works) / 8.3\ SCHEDULED ITEMS / 8.3.1a \ Remove topsoil to nominal depth 150 mm, stockpile and maintain for re-use. The rate shall cover the cost of removing topsoil, together with such vegetation and small roots as occur within the specified depth and of stockpiling on designated sites./\KS13_006-Concrete Drop Inlet. Refer to drawing L \m²\21.76 \ 5" u="1"/>
        <s v="SABS1200 DA  \ Earthworks (Small Works) / 8.3\ SCHEDULED ITEMS / 8.3.1a \ Remove topsoil to nominal depth 150 mm, stockpile and maintain for re-use. The rate shall cover the cost of removing topsoil, together with such vegetation and small roots as occur within the specified depth and of stockpiling on designated sites./\KS18_014-Concrete Filled Geo-Cell Berm \m²\31.75 \ 5" u="1"/>
        <s v="SABS1200 DA  \ Earthworks (Small Works) / 8.3\ SCHEDULED ITEMS / 8.3.1a \ Remove topsoil to nominal depth 150 mm, stockpile and maintain for re-use. The rate shall cover the cost of removing topsoil, together with such vegetation and small roots as occur within the specified depth and of stockpiling on designated sites./\KS12_005-Concrete Drop Inlet. Refer to drawing D \m²\21.92 \ 5" u="1"/>
        <s v="SABS1200 DA  \ Earthworks (Small Works) / 8.3\ SCHEDULED ITEMS / 8.3.1a \ Remove topsoil to nominal depth 150 mm, stockpile and maintain for re-use. The rate shall cover the cost of removing topsoil, together with such vegetation and small roots as occur within the specified depth and of stockpiling on designated sites./\KS12_007-Concrete Drop Inlet. Refer to drawing F \m²\21.92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8_015-Concrete Drop Inlet. Refer to drawing NBC-GTW-CL-0021 \m²\23.68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21_006-Concrete Drop Inlet. Drawing NBC-GTW-CL-0041 \m²\21.6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21_007-Concrete Drop Inlet. Drawing NBC-GTW-CL-0042 \m²\21.6 \ 5" u="1"/>
        <s v="SABS1200 C  / Earthworks (Small Works) / 8.2 / 8.2.10 / Remove topsoil to nominal depth 150 mm, stockpile and maintain / Pan09_001-Removal of Dam Wall / 977.744753861606 / m²" u="1"/>
        <s v="SABS1200 DA  \ Earthworks (Small Works) / 8.3\ SCHEDULED ITEMS / 8.3.1a \ Remove topsoil to nominal depth 150 mm, stockpile and maintain for re-use. The rate shall cover the cost of removing topsoil, together with such vegetation and small roots as occur within the specified depth and of stockpiling on designated sites./\KS13_007-Concrete Drop Inlet. Refer to drawing M \m²\22.24 \ 5" u="1"/>
        <s v="SABS1200 DA  \ Earthworks (Small Works) / 8.3\ SCHEDULED ITEMS / 8.3.1a \ Remove topsoil to nominal depth 150 mm, stockpile and maintain for re-use. The rate shall cover the cost of removing topsoil, together with such vegetation and small roots as occur within the specified depth and of stockpiling on designated sites./\KS13_008-Concrete Drop Inlet. Refer to drawing N \m²\22.24 \ 5" u="1"/>
        <s v="SABS1200 DA  \ Earthworks (Small Works) / 8.3\ SCHEDULED ITEMS / 8.3.1a \ Remove topsoil to nominal depth 150 mm, stockpile and maintain for re-use. The rate shall cover the cost of removing topsoil, together with such vegetation and small roots as occur within the specified depth and of stockpiling on designated sites./\KS18_019-Concrete Drop Inlet. Refer to drawing Y \m²\22.24 \ 5" u="1"/>
        <s v="SABS1200 DA  \ Earthworks (Small Works) / 8.3\ SCHEDULED ITEMS / 8.3.1a \ Remove topsoil to nominal depth 150 mm, stockpile and maintain for re-use. The rate shall cover the cost of removing topsoil, together with such vegetation and small roots as occur within the specified depth and of stockpiling on designated sites./\Pan14_004-Infilling of Drains  \m²\380 \ 5" u="1"/>
        <s v="SABS1200 DA  / Earthworks (Small Works) / 8.3 / 8.3.1a / Remove topsoil to nominal depth 150 mm, stockpile and maintain / KS20_009_b-Concrete Overflow Wall / 50 / m²" u="1"/>
        <s v="SABS1200 C  / Earthworks (Small Works) / 8.2 / 8.2.10 / Remove topsoil to nominal depth 150 mm, stockpile and maintain / Pan8_002-Infilling of Drains / 320 / m²"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20_007-Concrete Drop Inlet. Refer to drawing NBC-GTW-CL-0033 \m²\23.04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20_009_b-Concrete Overflow Wall. Drawing NBC-GTW-CL-0035 \m²\50 \ 5" u="1"/>
        <s v="SABS1200 DA  \ Earthworks (Small Works) / 8.3\ SCHEDULED ITEMS / 8.3.1a \ Remove topsoil to nominal depth 150 mm, stockpile and maintain for re-use. The rate shall cover the cost of removing topsoil, together with such vegetation and small roots as occur within the specified depth and of stockpiling on designated sites./\Pan8_002-Infilling of Drains  \m²\320 \ 5" u="1"/>
        <s v="SABS1200 DA  \ Earthworks (Small Works) / 8.3\ SCHEDULED ITEMS / 8.3.1a \ Remove topsoil to nominal depth 150 mm, stockpile and maintain for re-use. The rate shall cover the cost of removing topsoil, together with such vegetation and small roots as occur within the specified depth and of stockpiling on designated sites./\KS21-004-Earthworks  \m²\112.305322126996 \ 5" u="1"/>
        <s v="SABS1200 C  / Earthworks (Small Works) / 8.2 / 8.2.10 / Remove topsoil to nominal depth 150 mm, stockpile and maintain / KS21-004-Earthworks / 112.305322126996 / m²"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Pan8_004-Removal of Berm  \m²\34.9811660377019 \ 5" u="1"/>
        <s v="SABS1200 DA  \ Earthworks (Small Works) / 8.3\ SCHEDULED ITEMS / 8.3.1a \ Remove topsoil to nominal depth 150 mm, stockpile and maintain for re-use. The rate shall cover the cost of removing topsoil, together with such vegetation and small roots as occur within the specified depth and of stockpiling on designated sites./\KS13_016-Infilling of Drains  \m²\332.18699875976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20_009_c-Earthen Berm. Refer to drawing NBC-GTW-CL-0035 \m²\69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20_009_c-Earthen Berm. Refer to drawing NBC-GTW-CL-0037 \m²\69 \ 5" u="1"/>
        <s v="SABS1200 DA  \ Earthworks (Small Works) / 8.3\ SCHEDULED ITEMS / 8.3.1a \ Remove topsoil to nominal depth 150 mm, stockpile and maintain for re-use. The rate shall cover the cost of removing topsoil, together with such vegetation and small roots as occur within the specified depth and of stockpiling on designated sites./\Pan14_007-Infilling of Drains  \m²\168.280230740355 \ 5" u="1"/>
        <s v="SABS1200 DA  \ Earthworks (Small Works) / 8.3\ SCHEDULED ITEMS / 8.3.1a \ Remove topsoil to nominal depth 150 mm, stockpile and maintain for re-use. The rate shall cover the cost of removing topsoil, together with such vegetation and small roots as occur within the specified depth and of stockpiling on designated sites./\KS13_014-Earthen Berm \m²\278.716598321288 \ 5" u="1"/>
        <s v="SABS1200 DA  \ Earthworks (Small Works) / 8.3\ SCHEDULED ITEMS / 8.3.1a \ Remove topsoil to nominal depth 150 mm, stockpile and maintain for re-use. The rate shall cover the cost of removing topsoil, together with such vegetation and small roots as occur within the specified depth and of stockpiling on designated sites./\LS08_001-Removal of Berm  \m²\148.532778078669 \ 5" u="1"/>
        <s v="SABS1200 DA  \ Earthworks (Small Works) / 8.3\ SCHEDULED ITEMS / 8.3.1a \ Remove topsoil to nominal depth 150 mm, stockpile and maintain for re-use. The rate shall cover the cost of removing topsoil, together with such vegetation and small roots as occur within the specified depth and of stockpiling on designated sites./\KS13_013-Concrete Drop Inlet. Refer to drawing Q \m²\22.56 \ 5" u="1"/>
        <s v="SABS1200 DA  \ Earthworks (Small Works) / 8.3\ SCHEDULED ITEMS / 8.3.1a \ Remove topsoil to nominal depth 150 mm, stockpile and maintain for re-use. The rate shall cover the cost of removing topsoil, together with such vegetation and small roots as occur within the specified depth and of stockpiling on designated sites./\KS13_015-Concrete Drop Inlet. Refer to drawing R \m²\22.56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8_020-Concrete Drop Inlet associated with Road Culvert  \m²\23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21_006-Concrete Drop Inlet. Refer to drawing NBC-GTW-CL-0041 \m²\21.6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21_007-Concrete Drop Inlet. Refer to drawing NBC-GTW-CL-0042 \m²\21.6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3_014-Earthen Berm  \m²\278.716598321288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1-004c-Dam wall excavation. Refer to drawing NBC-GTW-CL-0068 \m²\1200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20_009_c-Earthen Berm. Drawing NBC-GTW-CL-0035 \m²\69 \ 5" u="1"/>
        <s v="SABS1200 DA  \ Earthworks (Small Works) / 8.3\ SCHEDULED ITEMS / 8.3.1a \ Remove topsoil to nominal depth 150 mm, stockpile and maintain for re-use. The rate shall cover the cost of removing topsoil, together with such vegetation and small roots as occur within the specified depth and of stockpiling on designated sites./\KS19_007-Infilling of Drains \m²\191.419859738212 \ 5" u="1"/>
        <s v="SABS1200 DA  \ Earthworks (Small Works) / 8.3\ SCHEDULED ITEMS / 8.3.1a \ Remove topsoil to nominal depth 150 mm, stockpile and maintain for re-use. The rate shall cover the cost of removing topsoil, together with such vegetation and small roots as occur within the specified depth and of stockpiling on designated sites./\KS21-008-Earthworks \m²\110.103362133363 \ 5" u="1"/>
        <s v="SABS1200 DA  \ Earthworks (Small Works) / 8.3\ SCHEDULED ITEMS / 8.3.1a \ Remove topsoil to nominal depth 150 mm, stockpile and maintain for re-use. The rate shall cover the cost of removing topsoil, together with such vegetation and small roots as occur within the specified depth and of stockpiling on designated sites./\Pan8_004-Removal of Berm  \m²\34.9811660377019 \ 5" u="1"/>
        <s v="SABS1200 DA  \ Earthworks (Small Works) / 8.3\ SCHEDULED ITEMS / 8.3.1a \ Remove topsoil to nominal depth 150 mm, stockpile and maintain for re-use. The rate shall cover the cost of removing topsoil, together with such vegetation and small roots as occur within the specified depth and of stockpiling on designated sites./\Pan09_001-Removal of Dam Wall \m²\977.744753861606 \ 5" u="1"/>
        <s v="SABS1200 DA  \ Earthworks (Small Works) / 8.3\ SCHEDULED ITEMS / 8.3.1a \ Remove topsoil to nominal depth 150 mm, stockpile and maintain for re-use. The rate shall cover the cost of removing topsoil, together with such vegetation and small roots as occur within the specified depth and of stockpiling on designated sites./\KS20_007-Concrete Drop Inlet. Refer to drawing AG \m²\23.04 \ 5" u="1"/>
        <s v="SABS1200 C  / Earthworks (Small Works) / 8.2 / 8.2.10 / Remove topsoil to nominal depth 150 mm, stockpile and maintain / Pan14-002-Remove Berm / 198 / m²"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20_007-Concrete Drop Inlet. Drawing NBC-GTW-CL-0033 \m²\23.04 \ 5" u="1"/>
        <s v="SABS1200 C  / Earthworks (Small Works) / 8.2 / 8.2.10 / Remove topsoil to nominal depth 150 mm, stockpile and maintain / KS16_004-Infilling of Drains / 494.089808285138 / m²"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8_016-Concrete Drop Inlet. Drawing NBC-GTW-CL-0022 \m²\23.36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8_017-Concrete Drop Inlet. Drawing NBC-GTW-CL-0023 \m²\23.36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8_018-Concrete Drop Inlet. Drawing NBC-GTW-CL-0024 \m²\23.36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20_004-Concrete Drop Inlet. Drawing NBC-GTW-CL-0030 \m²\23.36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20_005-Concrete Drop Inlet. Drawing NBC-GTW-CL-0031 \m²\23.36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20_006-Concrete Drop Inlet. Drawing NBC-GTW-CL-0032 \m²\23.36 \ 5" u="1"/>
        <s v="SABS1200 DA  \ Earthworks (Small Works) / 8.3\ SCHEDULED ITEMS / 8.3.1a \ Remove topsoil to nominal depth 150 mm, stockpile and maintain for re-use. The rate shall cover the cost of removing topsoil, together with such vegetation and small roots as occur within the specified depth and of stockpiling on designated sites./\KS20_002-Concrete Drop Inlet. Refer to drawing AB \m²\23.36 \ 5" u="1"/>
        <s v="SABS1200 DA  \ Earthworks (Small Works) / 8.3\ SCHEDULED ITEMS / 8.3.1a \ Remove topsoil to nominal depth 150 mm, stockpile and maintain for re-use. The rate shall cover the cost of removing topsoil, together with such vegetation and small roots as occur within the specified depth and of stockpiling on designated sites./\KS20_004-Concrete Drop Inlet. Refer to drawing AD \m²\23.36 \ 5" u="1"/>
        <s v="SABS1200 DA  \ Earthworks (Small Works) / 8.3\ SCHEDULED ITEMS / 8.3.1a \ Remove topsoil to nominal depth 150 mm, stockpile and maintain for re-use. The rate shall cover the cost of removing topsoil, together with such vegetation and small roots as occur within the specified depth and of stockpiling on designated sites./\KS20_005-Concrete Drop Inlet. Refer to drawing AE \m²\23.36 \ 5" u="1"/>
        <s v="SABS1200 DA  \ Earthworks (Small Works) / 8.3\ SCHEDULED ITEMS / 8.3.1a \ Remove topsoil to nominal depth 150 mm, stockpile and maintain for re-use. The rate shall cover the cost of removing topsoil, together with such vegetation and small roots as occur within the specified depth and of stockpiling on designated sites./\KS20_006-Concrete Drop Inlet. Refer to drawing AF \m²\23.36 \ 5" u="1"/>
        <s v="SABS1200 DA  \ Earthworks (Small Works) / 8.3\ SCHEDULED ITEMS / 8.3.1a \ Remove topsoil to nominal depth 150 mm, stockpile and maintain for re-use. The rate shall cover the cost of removing topsoil, together with such vegetation and small roots as occur within the specified depth and of stockpiling on designated sites./\KS21_003-Concrete Drop Inlet. Refer to drawing AM \m²\22.24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8_015-Concrete Drop Inlet. Drawing NBC-GTW-CL-0021 \m²\23.68 \ 5" u="1"/>
        <s v="SABS1200 DA  \ Earthworks (Small Works) / 8.3\ SCHEDULED ITEMS / 8.3.1a \ Remove topsoil to nominal depth 150 mm, stockpile and maintain for re-use. The rate shall cover the cost of removing topsoil, together with such vegetation and small roots as occur within the specified depth and of stockpiling on designated sites./\KS20_009_a-Concrete Drop Inlet. Refer to drawing AI \m²\25.88 \ 5" u="1"/>
        <s v="SABS1200 DA  \ Earthworks (Small Works) / 8.3\ SCHEDULED ITEMS / 8.3.1a \ Remove topsoil to nominal depth 150 mm, stockpile and maintain for re-use. The rate shall cover the cost of removing topsoil, together with such vegetation and small roots as occur within the specified depth and of stockpiling on designated sites./\KS12_005-Concrete Drop Inlet \m²\21.92 \ 5" u="1"/>
        <s v="SABS1200 DA  \ Earthworks (Small Works) / 8.3\ SCHEDULED ITEMS / 8.3.1a \ Remove topsoil to nominal depth 150 mm, stockpile and maintain for re-use. The rate shall cover the cost of removing topsoil, together with such vegetation and small roots as occur within the specified depth and of stockpiling on designated sites./\KS12_007-Concrete Drop Inlet \m²\21.92 \ 5" u="1"/>
        <s v="SABS1200 DA  \ Earthworks (Small Works) / 8.3\ SCHEDULED ITEMS / 8.3.1a \ Remove topsoil to nominal depth 150 mm, stockpile and maintain for re-use. The rate shall cover the cost of removing topsoil, together with such vegetation and small roots as occur within the specified depth and of stockpiling on designated sites./\KS21_009-Concrete Drop Inlet \m²\21.92 \ 5" u="1"/>
        <s v="SABS1200 DA  \ Earthworks (Small Works) / 8.3\ SCHEDULED ITEMS / 8.3.1a \ Remove topsoil to nominal depth 150 mm, stockpile and maintain for re-use. The rate shall cover the cost of removing topsoil, together with such vegetation and small roots as occur within the specified depth and of stockpiling on designated sites./\KS21_010-Concrete Drop Inlet \m²\21.92 \ 5" u="1"/>
        <s v="SABS1200 DA  \ Earthworks (Small Works) / 8.3\ SCHEDULED ITEMS / 8.3.1a \ Remove topsoil to nominal depth 150 mm, stockpile and maintain for re-use. The rate shall cover the cost of removing topsoil, together with such vegetation and small roots as occur within the specified depth and of stockpiling on designated sites./\KS16_002-Infilling of Drains \m²\400.2 \ 5" u="1"/>
        <s v="SABS1200 C  / Earthworks (Small Works) / 8.2 / 8.2.10 / Remove topsoil to nominal depth 150 mm, stockpile and maintain / KS18_014-Concrete Filled Geo-Cell Berm / 31.75 / m²"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3_004-Concrete Drop Inlet. Refer to drawing NBC-GTW-CL-0010 \m²\22.4 \ 5" u="1"/>
        <s v="SABS1200 DA  \ Earthworks (Small Works) / 8.3\ SCHEDULED ITEMS / 8.3.1a \ Remove topsoil to nominal depth 150 mm, stockpile and maintain for re-use. The rate shall cover the cost of removing topsoil, together with such vegetation and small roots as occur within the specified depth and of stockpiling on designated sites./\LS12_002-Removal of Berm \m²\133.158114034667 \ 5" u="1"/>
        <s v="SABS1200 DA  \ Earthworks (Small Works) / 8.3\ SCHEDULED ITEMS / 8.3.1a \ Remove topsoil to nominal depth 150 mm, stockpile and maintain for re-use. The rate shall cover the cost of removing topsoil, together with such vegetation and small roots as occur within the specified depth and of stockpiling on designated sites./\Pan14_011-Infilling of Drains \m²\4365 \ 5" u="1"/>
        <s v="SABS1200 DA  \ Earthworks (Small Works) / 8.3\ SCHEDULED ITEMS / 8.3.1a \ Remove topsoil to nominal depth 150 mm, stockpile and maintain for re-use. The rate shall cover the cost of removing topsoil, together with such vegetation and small roots as occur within the specified depth and of stockpiling on designated sites./\Pan14_006-Earthen Berms  \m²\190.755332217041 \ 5" u="1"/>
        <s v="SABS1200 DA  \ Earthworks (Small Works) / 8.3\ SCHEDULED ITEMS / 8.3.1a \ Remove topsoil to nominal depth 150 mm, stockpile and maintain for re-use. The rate shall cover the cost of removing topsoil, together with such vegetation and small roots as occur within the specified depth and of stockpiling on designated sites./\KS13_011-Concrete Drop Inlet. Refer to drawing O \m²\22.88 \ 5" u="1"/>
        <s v="SABS1200 DA  \ Earthworks (Small Works) / 8.3\ SCHEDULED ITEMS / 8.3.1a \ Remove topsoil to nominal depth 150 mm, stockpile and maintain for re-use. The rate shall cover the cost of removing topsoil, together with such vegetation and small roots as occur within the specified depth and of stockpiling on designated sites./\LS16_015-Earthworks  \m²\567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8_001-Concrete Drop Inlet. Drawing NBC-GTW-CL-0019 \m²\23.84 \ 5" u="1"/>
        <s v="SABS1200 DA  \ Earthworks (Small Works) / 8.3\ SCHEDULED ITEMS / 8.3.1a \ Remove topsoil to nominal depth 150 mm, stockpile and maintain for re-use. The rate shall cover the cost of removing topsoil, together with such vegetation and small roots as occur within the specified depth and of stockpiling on designated sites./\KS20_009_a-Concrete Drop Inlet \m²\25.88 \ 5" u="1"/>
        <s v="SABS1200 DA  \ Earthworks (Small Works) / 8.3\ SCHEDULED ITEMS / 8.3.1a \ Remove topsoil to nominal depth 150 mm, stockpile and maintain for re-use. The rate shall cover the cost of removing topsoil, together with such vegetation and small roots as occur within the specified depth and of stockpiling on designated sites./\LS16_021-Backfill Main Channel  \m²\6032.31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8-014-Concrete Filled Geo-Cell Berm. Refer to drawing NBC-GTW-CL-0001 \m²\31.75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8_014-Concrete Filled Geo-Cell Berm. Refer to drawing NBC-GTW-CL-0001 \m²\31.75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20_009_b-Concrete Overflow Wall. Refer to drawing  \m²\50 \ 5" u="1"/>
        <s v="SABS1200 DA  \ Earthworks (Small Works) / 8.3\ SCHEDULED ITEMS / 8.3.1a \ Remove topsoil to nominal depth 150 mm, stockpile and maintain for re-use. The rate shall cover the cost of removing topsoil, together with such vegetation and small roots as occur within the specified depth and of stockpiling on designated sites./\KS21_005-Concrete Drop Inlet. Refer to drawing AN \m²\21.76 \ 5" u="1"/>
        <s v="SABS1200 DA  \ Earthworks (Small Works) / 8.3\ SCHEDULED ITEMS / 8.3.1a \ Remove topsoil to nominal depth 150 mm, stockpile and maintain for re-use. The rate shall cover the cost of removing topsoil, together with such vegetation and small roots as occur within the specified depth and of stockpiling on designated sites./\KS20_001-Concrete Drop Inlet. Refer to drawing AA \m²\23.52 \ 5" u="1"/>
        <s v="SABS1200 C  / Earthworks (Small Works) / 8.2 / 8.2.10 / Remove topsoil to nominal depth 150 mm, stockpile and maintain / Pan14_007-Infilling of Drains / 168.280230740355 / m²" u="1"/>
        <s v="SABS1200 DA  \ Earthworks (Small Works) / 8.3\ SCHEDULED ITEMS / 8.3.1a \ Remove topsoil to nominal depth 150 mm, stockpile and maintain for re-use. The rate shall cover the cost of removing topsoil, together with such vegetation and small roots as occur within the specified depth and of stockpiling on designated sites./\KS12_006-Concrete Drop Inlet \m²\21.44 \ 5" u="1"/>
        <s v="SABS1200 DA  \ Earthworks (Small Works) / 8.3\ SCHEDULED ITEMS / 8.3.1a \ Remove topsoil to nominal depth 150 mm, stockpile and maintain for re-use. The rate shall cover the cost of removing topsoil, together with such vegetation and small roots as occur within the specified depth and of stockpiling on designated sites./\KS12_008-Concrete Drop Inlet \m²\21.44 \ 5" u="1"/>
        <s v="SABS1200 DA  \ Earthworks (Small Works) / 8.3\ SCHEDULED ITEMS / 8.3.1a \ Remove topsoil to nominal depth 150 mm, stockpile and maintain for re-use. The rate shall cover the cost of removing topsoil, together with such vegetation and small roots as occur within the specified depth and of stockpiling on designated sites./\KS12_009-Concrete Drop Inlet \m²\21.44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Pan14-002-Remove Berm  \m²\198 \ 5" u="1"/>
        <s v="SABS1200 DA  \ Earthworks (Small Works) / 8.3\ SCHEDULED ITEMS / 8.3.1a \ Remove topsoil to nominal depth 150 mm, stockpile and maintain for re-use. The rate shall cover the cost of removing topsoil, together with such vegetation and small roots as occur within the specified depth and of stockpiling on designated sites./\KS13_001-Infilling of Drains \m²\1148.93998599451 \ 5" u="1"/>
        <s v="SABS1200 C  / Earthworks (Small Works) / 8.2 / 8.2.10 / Remove topsoil to nominal depth 150 mm, stockpile and maintain / KS16_001-Infilling of Drains / 494.873340531892 / m²" u="1"/>
        <s v="SABS1200 DA  \ Earthworks (Small Works) / 8.3\ SCHEDULED ITEMS / 8.3.1a \ Remove topsoil to nominal depth 150 mm, stockpile and maintain for re-use. The rate shall cover the cost of removing topsoil, together with such vegetation and small roots as occur within the specified depth and of stockpiling on designated sites./\KS18_016-Concrete Drop Inlet. Refer to drawing V \m²\23.36 \ 5" u="1"/>
        <s v="SABS1200 DA  \ Earthworks (Small Works) / 8.3\ SCHEDULED ITEMS / 8.3.1a \ Remove topsoil to nominal depth 150 mm, stockpile and maintain for re-use. The rate shall cover the cost of removing topsoil, together with such vegetation and small roots as occur within the specified depth and of stockpiling on designated sites./\KS18_017-Concrete Drop Inlet. Refer to drawing W \m²\23.36 \ 5" u="1"/>
        <s v="SABS1200 DA  \ Earthworks (Small Works) / 8.3\ SCHEDULED ITEMS / 8.3.1a \ Remove topsoil to nominal depth 150 mm, stockpile and maintain for re-use. The rate shall cover the cost of removing topsoil, together with such vegetation and small roots as occur within the specified depth and of stockpiling on designated sites./\KS18_018-Concrete Drop Inlet. Refer to drawing X \m²\23.36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3_003-Concrete Drop Inlet. Refer to drawing NBC-GTW-CL-0009 \m²\23.2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3_012-Concrete Drop Inlet. Refer to drawing NBC-GTW-CL-0016 \m²\23.2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20_008-Concrete Drop Inlet. Refer to drawing NBC-GTW-CL-0034 \m²\23.2 \ 5" u="1"/>
        <s v="SABS1200 DA  \ Earthworks (Small Works) / 8.3\ SCHEDULED ITEMS / 8.3.1a \ Remove topsoil to nominal depth 150 mm, stockpile and maintain for re-use. The rate shall cover the cost of removing topsoil, together with such vegetation and small roots as occur within the specified depth and of stockpiling on designated sites./\KS21_009-Concrete Drop Inlet. Refer to drawing AQ \m²\21.92 \ 5" u="1"/>
        <s v="SABS1200 DA  \ Earthworks (Small Works) / 8.3\ SCHEDULED ITEMS / 8.3.1a \ Remove topsoil to nominal depth 150 mm, stockpile and maintain for re-use. The rate shall cover the cost of removing topsoil, together with such vegetation and small roots as occur within the specified depth and of stockpiling on designated sites./\KS21_010-Concrete Drop Inlet. Refer to drawing AR \m²\21.92 \ 5" u="1"/>
        <s v="SABS1200 C  / Earthworks (Small Works) / 8.2 / 8.2.10 / Remove topsoil to nominal depth 150 mm, stockpile and maintain / KS12_003-Removal of Berm and Dam Wall / 1876.14315788985 / m²" u="1"/>
        <s v="SABS1200 DA  \ Earthworks (Small Works) / 8.3\ SCHEDULED ITEMS / 8.3.1a \ Remove topsoil to nominal depth 150 mm, stockpile and maintain for re-use. The rate shall cover the cost of removing topsoil, together with such vegetation and small roots as occur within the specified depth and of stockpiling on designated sites./\KS16_002-Infilling of Drains  \m²\400.2 \ 5" u="1"/>
        <s v="SABS1200 DA  \ Earthworks (Small Works) / 8.3\ SCHEDULED ITEMS / 8.3.1a \ Remove topsoil to nominal depth 150 mm, stockpile and maintain for re-use. The rate shall cover the cost of removing topsoil, together with such vegetation and small roots as occur within the specified depth and of stockpiling on designated sites./\KS12_004-Concrete Drop Inlet \m²\21.76 \ 5" u="1"/>
        <s v="SABS1200 DA  \ Earthworks (Small Works) / 8.3\ SCHEDULED ITEMS / 8.3.1a \ Remove topsoil to nominal depth 150 mm, stockpile and maintain for re-use. The rate shall cover the cost of removing topsoil, together with such vegetation and small roots as occur within the specified depth and of stockpiling on designated sites./\KS13_005-Concrete Drop Inlet \m²\21.76 \ 5" u="1"/>
        <s v="SABS1200 DA  \ Earthworks (Small Works) / 8.3\ SCHEDULED ITEMS / 8.3.1a \ Remove topsoil to nominal depth 150 mm, stockpile and maintain for re-use. The rate shall cover the cost of removing topsoil, together with such vegetation and small roots as occur within the specified depth and of stockpiling on designated sites./\KS13_006-Concrete Drop Inlet \m²\21.76 \ 5" u="1"/>
        <s v="SABS1200 DA  \ Earthworks (Small Works) / 8.3\ SCHEDULED ITEMS / 8.3.1a \ Remove topsoil to nominal depth 150 mm, stockpile and maintain for re-use. The rate shall cover the cost of removing topsoil, together with such vegetation and small roots as occur within the specified depth and of stockpiling on designated sites./\KS21_005-Concrete Drop Inlet \m²\21.76 \ 5" u="1"/>
        <s v="SABS1200 DA  \ Earthworks (Small Works) / 8.3\ SCHEDULED ITEMS / 8.3.1a \ Remove topsoil to nominal depth 150 mm, stockpile and maintain for re-use. The rate shall cover the cost of removing topsoil, together with such vegetation and small roots as occur within the specified depth and of stockpiling on designated sites./\KS20_009_c-Earthen Berm \m²\69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3_005-Concrete Drop Inlet. Drawing NBC-GTW-CL-0011 \m²\21.76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3_006-Concrete Drop Inlet. Drawing NBC-GTW-CL-0012 \m²\21.76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21_005-Concrete Drop Inlet. Drawing NBC-GTW-CL-0040 \m²\21.76 \ 5" u="1"/>
        <s v="SABS1200 C  / Earthworks (Small Works) / 8.2 / 8.2.10 / Remove topsoil to nominal depth 150 mm, stockpile and maintain / Pan14_004-Infilling of Drains / 380 / m²"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20_009_a-Concrete Buttress Weir. Drawing NBC-GTW-CL-0035 \m²\25.88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21-008-Infilling of Drain  \m²\110.103362133363 \ 5" u="1"/>
        <s v="SABS1200 DA  \ Earthworks (Small Works) / 8.3\ SCHEDULED ITEMS / 8.3.1a \ Remove topsoil to nominal depth 150 mm, stockpile and maintain for re-use. The rate shall cover the cost of removing topsoil, together with such vegetation and small roots as occur within the specified depth and of stockpiling on designated sites./\KS19_006-Removal of Dam Wall  \m²\3134.04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21_009-Concrete Drop Inlet. Drawing NBC-GTW-CL-0043 \m²\21.92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21_010-Concrete Drop Inlet. Drawing NBC-GTW-CL-0044 \m²\21.92 \ 5" u="1"/>
        <s v="SABS1200 DA  \ Earthworks (Small Works) / 8.3\ SCHEDULED ITEMS / 8.3.1a \ Remove topsoil to nominal depth 150 mm, stockpile and maintain for re-use. The rate shall cover the cost of removing topsoil, together with such vegetation and small roots as occur within the specified depth and of stockpiling on designated sites./\Pan14_009-Infilling of Drains \m²\139.612870262106 \ 5" u="1"/>
        <s v="SABS1200 DA  \ Earthworks (Small Works) / 8.3\ SCHEDULED ITEMS / 8.3.1a \ Remove topsoil to nominal depth 150 mm, stockpile and maintain for re-use. The rate shall cover the cost of removing topsoil, together with such vegetation and small roots as occur within the specified depth and of stockpiling on designated sites./\KS19_006-Removal of Dam Wall \m²\3134.04 \ 5" u="1"/>
        <s v="SABS1200 C  / Earthworks (Small Works) / 8.2 / 8.2.10 / Remove topsoil to nominal depth 150 mm, stockpile and maintain / LS16_015-Earthworks / 567 / m²" u="1"/>
        <s v="SABS1200 DA  \ Earthworks (Small Works) / 8.3\ SCHEDULED ITEMS / 8.3.1a \ Remove topsoil to nominal depth 150 mm, stockpile and maintain for re-use. The rate shall cover the cost of removing topsoil, together with such vegetation and small roots as occur within the specified depth and of stockpiling on designated sites./\KS20_009_b-Concrete Overflow Wall \m²\50 \ 5" u="1"/>
        <s v="SABS1200 DA  / Earthworks (Small Works) / 8.3 / 8.3.1a / Remove topsoil to nominal depth 150 mm, stockpile and maintain / KS19_006-Removal of Dam Wall / 3134.04 / m²" u="1"/>
        <s v="SABS1200 DA  \ Earthworks (Small Works) / 8.3\ SCHEDULED ITEMS / 8.3.1a \ Remove topsoil to nominal depth 150 mm, stockpile and maintain for re-use. The rate shall cover the cost of removing topsoil, together with such vegetation and small roots as occur within the specified depth and of stockpiling on designated sites./\KS18_015-Concrete Drop Inlet. Refer to drawing U \m²\23.68 \ 5" u="1"/>
        <s v="SABS1200 DA  \ Earthworks (Small Works) / 8.3\ SCHEDULED ITEMS / 8.3.1a \ Remove topsoil to nominal depth 150 mm, stockpile and maintain for re-use. The rate shall cover the cost of removing topsoil, together with such vegetation and small roots as occur within the specified depth and of stockpiling on designated sites./\KS18_001-Concrete Drop Inlet. Refer to drawing S \m²\23.84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21_001-10° sloped Grouted Pitching (Light). Drawing NBC-GTW-CL-0038 \m²\32 \ 5" u="1"/>
        <s v="SABS1200 DA  \ Earthworks (Small Works) / 8.3\ SCHEDULED ITEMS / 8.3.1a \ Remove topsoil to nominal depth 150 mm, stockpile and maintain for re-use. The rate shall cover the cost of removing topsoil, together with such vegetation and small roots as occur within the specified depth and of stockpiling on designated sites./\Pan14_006-Earthen Berms \m²\190.755332217041 \ 5" u="1"/>
        <s v="SABS1200 DA  \ Earthworks (Small Works) / 8.3\ SCHEDULED ITEMS / 8.3.1a \ Remove topsoil to nominal depth 150 mm, stockpile and maintain for re-use. The rate shall cover the cost of removing topsoil, together with such vegetation and small roots as occur within the specified depth and of stockpiling on designated sites./\KS13_010-Removal of Berm \m²\1868.09496857721 \ 5" u="1"/>
        <s v="SABS1200 DA  \ Earthworks (Small Works) / 8.3\ SCHEDULED ITEMS / 8.3.1a \ Remove topsoil to nominal depth 150 mm, stockpile and maintain for re-use. The rate shall cover the cost of removing topsoil, together with such vegetation and small roots as occur within the specified depth and of stockpiling on designated sites./\LS08_001-Removal of Berm \m²\148.532778078669 \ 5" u="1"/>
        <s v="SABS1200 DA  \ Earthworks (Small Works) / 8.3\ SCHEDULED ITEMS / 8.3.1a \ Remove topsoil to nominal depth 150 mm, stockpile and maintain for re-use. The rate shall cover the cost of removing topsoil, together with such vegetation and small roots as occur within the specified depth and of stockpiling on designated sites./\KS21_006-Concrete Drop Inlet \m²\21.6 \ 5" u="1"/>
        <s v="SABS1200 DA  \ Earthworks (Small Works) / 8.3\ SCHEDULED ITEMS / 8.3.1a \ Remove topsoil to nominal depth 150 mm, stockpile and maintain for re-use. The rate shall cover the cost of removing topsoil, together with such vegetation and small roots as occur within the specified depth and of stockpiling on designated sites./\KS21_007-Concrete Drop Inlet \m²\21.6 \ 5" u="1"/>
        <s v="SABS1200 C  / Earthworks (Small Works) / 8.2 / 8.2.10 / Remove topsoil to nominal depth 150 mm, stockpile and maintain / Pan14-003-Remove berm and backfill drain / 435.82 / m²" u="1"/>
        <s v="SABS1200 DA  \ Earthworks (Small Works) / 8.3\ SCHEDULED ITEMS / 8.3.1a \ Remove topsoil to nominal depth 150 mm, stockpile and maintain for re-use. The rate shall cover the cost of removing topsoil, together with such vegetation and small roots as occur within the specified depth and of stockpiling on designated sites./\Pan14_008-Infilling of Drains \m²\108 \ 5" u="1"/>
        <s v="SABS1200 DA  / Earthworks (Small Works) / 8.3 / 8.3.1a / Remove topsoil to nominal depth 150 mm, stockpile and maintain / LS16_021-Backfill Main Channel / 6032.31 / m²"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LS16_015-Earthworks  \m²\567 \ 5" u="1"/>
        <s v="SABS1200 DA  \ Earthworks (Small Works) / 8.3\ SCHEDULED ITEMS / 8.3.1a \ Remove topsoil to nominal depth 150 mm, stockpile and maintain for re-use. The rate shall cover the cost of removing topsoil, together with such vegetation and small roots as occur within the specified depth and of stockpiling on designated sites./\Pan14-001-Reinstate Pan Edge  \m²\367.230725070567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20_002-Concrete Drop Inlet. Drawing NBC-GTW-CL-0028 \m²\24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5_001-Fish Bowl  \m²\504 \ 5" u="1"/>
        <s v="SABS1200 C  / Earthworks (Small Works) / 8.2 / 8.2.10 / Remove topsoil to nominal depth 150 mm, stockpile and maintain / KS13_016-Infilling of Drains / 332.18699875976 / m²" u="1"/>
        <s v="SABS1200 DA  \ Earthworks (Small Works) / 8.3\ SCHEDULED ITEMS / 8.3.1a \ Remove topsoil to nominal depth 150 mm, stockpile and maintain for re-use. The rate shall cover the cost of removing topsoil, together with such vegetation and small roots as occur within the specified depth and of stockpiling on designated sites./\KS12_003-Removal of Berm and Dam Wall  \m²\1876.14315788985 \ 5" u="1"/>
        <s v="SABS1200 C  / Earthworks (Small Works) / 8.2 / 8.2.10 / Remove topsoil to nominal depth 150 mm, stockpile and maintain / ks18-021-Backfill Main Channel / 3294.95 / m²" u="1"/>
        <s v="SABS1200 DA  \ Earthworks (Small Works) / 8.3\ SCHEDULED ITEMS / 8.3.1a \ Remove topsoil to nominal depth 150 mm, stockpile and maintain for re-use. The rate shall cover the cost of removing topsoil, together with such vegetation and small roots as occur within the specified depth and of stockpiling on designated sites./\KS21-004-Earthworks \m²\112.305322126996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Pan14-001-Reinstate Pan Edge  \m²\367.230725070567 \ 5" u="1"/>
      </sharedItems>
    </cacheField>
    <cacheField name="b) Excavation (non-restricted)3" numFmtId="0">
      <sharedItems count="273" longText="1">
        <s v=" "/>
        <s v="SABS1200 DA \EARTHWORKS (SMALL WORKS)/8.3\SCHEDULED ITEMS/8.3.1b\Excavate in all materials and use for embankments or backfill or dispose, as ordered by the engineer. /\DS12_001-Excavation of Dam Wall  \m³\1419.11 \ 50"/>
        <s v="SABS1200 DA \EARTHWORKS (SMALL WORKS)/8.3\SCHEDULED ITEMS/8.3.1b\Excavate in all materials and use for embankments or backfill or dispose, as ordered by the engineer. /\DS12_002-Backfilling Dam  \m³\1723.444675 \ 50"/>
        <s v="SABS1200 DA \EARTHWORKS (SMALL WORKS)/8.3\SCHEDULED ITEMS/8.3.1b\Excavate in all materials and use for embankments or backfill or dispose, as ordered by the engineer. /\DS12_003-Excavation of Dam Wall  \m³\659.314 \ 50"/>
        <s v="SABS1200 DA \EARTHWORKS (SMALL WORKS)/8.3\SCHEDULED ITEMS/8.3.1b\Excavate in all materials and use for embankments or backfill or dispose, as ordered by the engineer. /\ks11-002c-Dam wall excavation. Drawing NBC-GTW-CL-0067 \m³\2651.36666666667 \ 50"/>
        <s v="SABS1200 DA \EARTHWORKS (SMALL WORKS)/8.3\SCHEDULED ITEMS/8.3.1b\Excavate in all materials and use for embankments or backfill or dispose, as ordered by the engineer. /\ks11-004c-Dam wall excavation. Drawing NBC-GTW-CL-0068 \m³\665.25 \ 50"/>
        <s v="SABS1200 DA \EARTHWORKS (SMALL WORKS)/8.3\SCHEDULED ITEMS/8.3.1b\Excavate in all materials and use for embankments or backfill or dispose, as ordered by the engineer. /\KS12_003-Removal of Berm and Dam Wall  \m³\801.25656625 \ 50"/>
        <s v="SABS1200 DA \EARTHWORKS (SMALL WORKS)/8.3\SCHEDULED ITEMS/8.3.1b\Excavate in all materials and use for embankments or backfill or dispose, as ordered by the engineer. /\KS12_010-Removal of Dam Wall  \m³\211.894375 \ 50"/>
        <s v="SABS1200 DA \EARTHWORKS (SMALL WORKS)/8.3\SCHEDULED ITEMS/8.3.1b\Excavate in all materials and use for embankments or backfill or dispose, as ordered by the engineer. /\KS13_010-Removal of Berm  \m³\336.92505 \ 50"/>
        <s v="SABS1200 DA \EARTHWORKS (SMALL WORKS)/8.3\SCHEDULED ITEMS/8.3.1b\Excavate in all materials and use for embankments or backfill or dispose, as ordered by the engineer. /\KS13_016-Infilling of Drains  \m³\111.91475 \ 50"/>
        <s v="SABS1200 DA \EARTHWORKS (SMALL WORKS)/8.3\SCHEDULED ITEMS/8.3.1b\Excavate in all materials and use for embankments or backfill or dispose, as ordered by the engineer. /\KS15_003-Removal of Dam Wall  \m³\185.54375 \ 50"/>
        <s v="SABS1200 DA \EARTHWORKS (SMALL WORKS)/8.3\SCHEDULED ITEMS/8.3.1b\Excavate in all materials and use for embankments or backfill or dispose, as ordered by the engineer. /\KS16_002-Excavate Dam Wall  \m³\89.7 \ 50"/>
        <s v="SABS1200 DA \EARTHWORKS (SMALL WORKS)/8.3\SCHEDULED ITEMS/8.3.1b\Excavate in all materials and use for embankments or backfill or dispose, as ordered by the engineer. /\KS19_006-Removal of Dam Wall  \m³\1385.03125 \ 50"/>
        <s v="SABS1200 DA \EARTHWORKS (SMALL WORKS)/8.3\SCHEDULED ITEMS/8.3.1b\Excavate in all materials and use for embankments or backfill or dispose, as ordered by the engineer. /\LS08_001-Removal of Berm  \m³\43.75 \ 50"/>
        <s v="SABS1200 DA \EARTHWORKS (SMALL WORKS)/8.3\SCHEDULED ITEMS/8.3.1b\Excavate in all materials and use for embankments or backfill or dispose, as ordered by the engineer. /\LS12_001-Removal of dam wall  \m³\1696.474 \ 50"/>
        <s v="SABS1200 DA \EARTHWORKS (SMALL WORKS)/8.3\SCHEDULED ITEMS/8.3.1b\Excavate in all materials and use for embankments or backfill or dispose, as ordered by the engineer. /\LS12_002-Removal of Berm  \m³\27.17 \ 50"/>
        <s v="SABS1200 DA \EARTHWORKS (SMALL WORKS)/8.3\SCHEDULED ITEMS/8.3.1b\Excavate in all materials and use for embankments or backfill or dispose, as ordered by the engineer. /\LS16_012-Removal of Road  \m³\161.55 \ 50"/>
        <s v="SABS1200 DA \EARTHWORKS (SMALL WORKS)/8.3\SCHEDULED ITEMS/8.3.1b\Excavate in all materials and use for embankments or backfill or dispose, as ordered by the engineer. /\LS16_020-Removal of Road  \m³\744.2325 \ 50"/>
        <s v="SABS1200 DA \EARTHWORKS (SMALL WORKS)/8.3\SCHEDULED ITEMS/8.3.1b\Excavate in all materials and use for embankments or backfill or dispose, as ordered by the engineer. /\Pan09_001-Removal of Dam Wall  \m³\188 \ 50"/>
        <s v="" u="1"/>
        <s v="SABS1200 DA  \ Earthworks (Small Works) / 8.3\ SCHEDULED ITEMS / 8.3.1b \ Excavate in all materials and use for embankments or backfill or dispose, as ordered by the engineer. /\Pan8_004-Removal of Berm  \m³\5.4 \ 30" u="1"/>
        <s v="SABS1200 DA \EARTHWORKS (SMALL WORKS)/8.3\SCHEDULED ITEMS/8.3.1b\Excavate in all materials and use for embankments or backfill or dispose, as ordered by the engineer. /\KS12_001-Pipe Culvert. Refer to drawing NBC-GTW-CL-0069 \m³\2 \ 30" u="1"/>
        <s v="SABS1200 DA \EARTHWORKS (SMALL WORKS)/8.3\SCHEDULED ITEMS/8.3.1b\Excavate in all materials and use for embankments or backfill or dispose, as ordered by the engineer. /\KS18_009-Concrete Cut-Off Walls. Drawing NBC-GTW-CL-0045 \m³\5.775 \ 30" u="1"/>
        <s v="SABS1200 DA  / Earthworks (Small Works) / 8.3 / 8.3.1b / Excavate in all materials and use for embankments or backfill or dispose, as ordered / DS12_004-Removal of Berms / 523.01728 / m³" u="1"/>
        <s v="SABS1200 DA \EARTHWORKS (SMALL WORKS)/8.3\SCHEDULED ITEMS/8.3.1b\Excavate in all materials and use for embankments or backfill or dispose, as ordered by the engineer. /\ks11-004a-Concrete Drop Inlet on Dam Wall  \m³\355.8966 \ 30" u="1"/>
        <s v="SABS1200 DA \EARTHWORKS (SMALL WORKS)/8.3\SCHEDULED ITEMS/8.3.1b\Excavate in all materials and use for embankments or backfill or dispose, as ordered by the engineer. /\KS13_011-Concrete Drop Inlet. Refer to drawing NBC-GTW-CL-0015 \m³\41.19048 \ 30" u="1"/>
        <s v="SABS1200 DA \EARTHWORKS (SMALL WORKS)/8.3\SCHEDULED ITEMS/8.3.1b\Excavate in all materials and use for embankments or backfill or dispose, as ordered by the engineer. /\KS19_002-Concrete Drop Inlet. Drawing NBC-GTW-CL-0026 \m³\38.760038 \ 30" u="1"/>
        <s v="SABS1200 DA  \ Earthworks (Small Works) / 8.3\ SCHEDULED ITEMS / 8.3.1b \ Excavate in all materials and use for embankments or backfill or dispose, as ordered by the engineer. /\Pan14-003-Remove berm and backfill drain  \m³\435.82 \ 30" u="1"/>
        <s v="SABS1200 DA \EARTHWORKS (SMALL WORKS)/8.3\SCHEDULED ITEMS/8.3.1b\Excavate in all materials and use for embankments or backfill or dispose, as ordered by the engineer. /\KS18_019-Concrete Drop Inlet. Refer to drawing NBC-GTW-CL-0025 \m³\36.11444 \ 30" u="1"/>
        <s v="SABS1200 DA \EARTHWORKS (SMALL WORKS)/8.3\SCHEDULED ITEMS/8.3.1b\Excavate in all materials and use for embankments or backfill or dispose, as ordered by the engineer. /\LS16_001-Concrete Cut-Off Walls  \m³\5.04 \ 30" u="1"/>
        <s v="SABS1200 DA \EARTHWORKS (SMALL WORKS)/8.3\SCHEDULED ITEMS/8.3.1b\Excavate in all materials and use for embankments or backfill or dispose, as ordered by the engineer. /\KS21_001-10° sloped Grouted Pitching (Light). Refer to drawing NBC-GTW-CL-0038 \m³\15 \ 30" u="1"/>
        <s v="SABS1200 DA  \ Earthworks (Small Works) / 8.3\ SCHEDULED ITEMS / 8.3.1b \ Excavate in all materials and use for embankments or backfill or dispose, as ordered by the engineer. /\Pan14_011-Infilling of Drains  \m³\582 \ 30" u="1"/>
        <s v="SABS1200 DA \EARTHWORKS (SMALL WORKS)/8.3\SCHEDULED ITEMS/8.3.1b\Excavate in all materials and use for embankments or backfill or dispose, as ordered by the engineer. /\KS18_009-Concrete Cut-Off Walls. Refer to drawing NBC-GTW-CL-0045 \m³\5.775 \ 30" u="1"/>
        <s v="SABS1200 DA \EARTHWORKS (SMALL WORKS)/8.3\SCHEDULED ITEMS/8.3.1b\Excavate in all materials and use for embankments or backfill or dispose, as ordered by the engineer. /\KS18_008-Concrete Cut-Off Walls. Drawing NBC-GTW-CL-0045 \m³\5.76 \ 30" u="1"/>
        <s v="SABS1200 DA  \ Earthworks (Small Works) / 8.3\ SCHEDULED ITEMS / 8.3.1b \ Excavate in all materials and use for embankments or backfill or dispose, as ordered by the engineer. /\LS16_021-Backfill Main Channel \m³\7.5 \ 30" u="1"/>
        <s v="SABS1200 DA \EARTHWORKS (SMALL WORKS)/8.3\SCHEDULED ITEMS/8.3.1b\Excavate in all materials and use for embankments or backfill or dispose, as ordered by the engineer. /\KS21_005-Concrete Drop Inlet. Refer to drawing NBC-GTW-CL-0040 \m³\35.7722215 \ 30" u="1"/>
        <s v="SABS1200 DA \EARTHWORKS (SMALL WORKS)/8.3\SCHEDULED ITEMS/8.3.1b\Excavate in all materials and use for embankments or backfill or dispose, as ordered by the engineer. /\KS19_001-Infilling of Drains  \m³\2.16 \ 30" u="1"/>
        <s v="SABS1200 DA  \ Earthworks (Small Works) / 8.3\ SCHEDULED ITEMS / 8.3.1b \ Excavate in all materials and use for embankments or backfill or dispose, as ordered by the engineer. /\LS16_021-Backfill Main Channel  \m³\7.5 \ 30" u="1"/>
        <s v="SABS1200 DA \EARTHWORKS (SMALL WORKS)/8.3\SCHEDULED ITEMS/8.3.1b\Excavate in all materials and use for embankments or backfill or dispose, as ordered by the engineer. /\KS12_001-Pipe Culvert. Drawing NBC-GTW-CL-0069 \m³\2 \ 30" u="1"/>
        <s v="SABS1200 DA \EARTHWORKS (SMALL WORKS)/8.3\SCHEDULED ITEMS/8.3.1b\Excavate in all materials and use for embankments or backfill or dispose, as ordered by the engineer. /\KS13_007-Concrete Drop Inlet. Drawing NBC-GTW-CL-0013 \m³\35.99056 \ 30" u="1"/>
        <s v="SABS1200 DA \EARTHWORKS (SMALL WORKS)/8.3\SCHEDULED ITEMS/8.3.1b\Excavate in all materials and use for embankments or backfill or dispose, as ordered by the engineer. /\KS21_010-Concrete Drop Inlet. Refer to drawing NBC-GTW-CL-0044 \m³\37.9104055 \ 30" u="1"/>
        <s v="SABS1200 DA  \ Earthworks (Small Works) / 8.3\ SCHEDULED ITEMS / 8.3.1b \ Excavate in all materials and use for embankments or backfill or dispose, as ordered by the engineer. /\LS12_002-Removal of Berm \m³\27.17 \ 30" u="1"/>
        <s v="SABS1200 DA \EARTHWORKS (SMALL WORKS)/8.3\SCHEDULED ITEMS/8.3.1b\Excavate in all materials and use for embankments or backfill or dispose, as ordered by the engineer. /\LS16_011-Concrete Cut-Off Walls  \m³\3.3 \ 30" u="1"/>
        <s v="SABS1200 DA \EARTHWORKS (SMALL WORKS)/8.3\SCHEDULED ITEMS/8.3.1b\Excavate in all materials and use for embankments or backfill or dispose, as ordered by the engineer. /\KS18_015-Concrete Drop Inlet. Refer to drawing NBC-GTW-CL-0021 \m³\57.16188 \ 30" u="1"/>
        <s v="SABS1200 DA \EARTHWORKS (SMALL WORKS)/8.3\SCHEDULED ITEMS/8.3.1b\Excavate in all materials and use for embankments or backfill or dispose, as ordered by the engineer. /\LS16_009-Concrete Cut-Off Walls  \m³\4.35 \ 30" u="1"/>
        <s v="SABS1200 DA \EARTHWORKS (SMALL WORKS)/8.3\SCHEDULED ITEMS/8.3.1b\Excavate in all materials and use for embankments or backfill or dispose, as ordered by the engineer. /\KS12_004-Concrete Drop Inlet. Drawing NBC-GTW-CL-0003 \m³\36.6111 \ 30" u="1"/>
        <s v="SABS1200 DA \EARTHWORKS (SMALL WORKS)/8.3\SCHEDULED ITEMS/8.3.1b\Excavate in all materials and use for embankments or backfill or dispose, as ordered by the engineer. /\KS16_002-Infilling of Drains  \m³\89.7 \ 30" u="1"/>
        <s v="SABS1200 DA \EARTHWORKS (SMALL WORKS)/8.3\SCHEDULED ITEMS/8.3.1b\Excavate in all materials and use for embankments or backfill or dispose, as ordered by the engineer. /\KS12_005-Concrete Drop Inlet. Drawing NBC-GTW-CL-0004 \m³\36.4286202 \ 30" u="1"/>
        <s v="SABS1200 DA \EARTHWORKS (SMALL WORKS)/8.3\SCHEDULED ITEMS/8.3.1b\Excavate in all materials and use for embankments or backfill or dispose, as ordered by the engineer. /\KS13_016-Infilling of Drains  \m³\111.91475 \ 30" u="1"/>
        <s v="SABS1200 DA \EARTHWORKS (SMALL WORKS)/8.3\SCHEDULED ITEMS/8.3.1b\Excavate in all materials and use for embankments or backfill or dispose, as ordered by the engineer. /\KS20_005-Concrete Drop Inlet. Drawing NBC-GTW-CL-0031 \m³\69.658655 \ 30" u="1"/>
        <s v="SABS1200 DA \EARTHWORKS (SMALL WORKS)/8.3\SCHEDULED ITEMS/8.3.1b\Excavate in all materials and use for embankments or backfill or dispose, as ordered by the engineer. /\KS13_010-Removal of Berm  \m³\336.92505 \ 30" u="1"/>
        <s v="SABS1200 DA \EARTHWORKS (SMALL WORKS)/8.3\SCHEDULED ITEMS/8.3.1b\Excavate in all materials and use for embankments or backfill or dispose, as ordered by the engineer. /\KS21_006-Concrete Drop Inlet. Drawing NBC-GTW-CL-0041 \m³\31.9418025 \ 30" u="1"/>
        <s v="SABS1200 DA \EARTHWORKS (SMALL WORKS)/8.3\SCHEDULED ITEMS/8.3.1b\Excavate in all materials and use for embankments or backfill or dispose, as ordered by the engineer. /\LS16_008-Concrete Cut-Off Walls  \m³\4.1325 \ 30" u="1"/>
        <s v="SABS1200 DA \EARTHWORKS (SMALL WORKS)/8.3\SCHEDULED ITEMS/8.3.1b\Excavate in all materials and use for embankments or backfill or dispose, as ordered by the engineer. /\KS20_006-Concrete Drop Inlet. Refer to drawing NBC-GTW-CL-0032 \m³\55.598465 \ 30" u="1"/>
        <s v="SABS1200 DA  \ Earthworks (Small Works) / 8.3\ SCHEDULED ITEMS / 8.3.1b \ Excavate in all materials and use for embankments or backfill or dispose, as ordered by the engineer. /\LS16_012-Removal of Road \m³\161.55 \ 30" u="1"/>
        <s v="SABS1200 DA \EARTHWORKS (SMALL WORKS)/8.3\SCHEDULED ITEMS/8.3.1b\Excavate in all materials and use for embankments or backfill or dispose, as ordered by the engineer. /\Pan09_001-Removal of Dam Wall  \m³\188.47125 \ 30" u="1"/>
        <s v="SABS1200 DA  / Earthworks (Small Works) / 8.3 / 8.3.1b / Excavate in all materials and use for embankments or backfill or dispose, as ordered / Pan14-002-Remove Berm / 49.41 / m³" u="1"/>
        <s v="SABS1200 DA \EARTHWORKS (SMALL WORKS)/8.3\SCHEDULED ITEMS/8.3.1b\Excavate in all materials and use for embankments or backfill or dispose, as ordered by the engineer. /\KS18_015-Concrete Drop Inlet. Drawing NBC-GTW-CL-0021 \m³\57.16188 \ 30" u="1"/>
        <s v="SABS1200 DA  \ Earthworks (Small Works) / 8.3\ SCHEDULED ITEMS / 8.3.1b \ Excavate in all materials and use for embankments or backfill or dispose, as ordered by the engineer. /\KS16_002-Infilling of Drains \m³\89.7 \ 30" u="1"/>
        <s v="SABS1200 DA \EARTHWORKS (SMALL WORKS)/8.3\SCHEDULED ITEMS/8.3.1b\Excavate in all materials and use for embankments or backfill or dispose, as ordered by the engineer. /\KS13_008-Concrete Drop Inlet. Drawing NBC-GTW-CL-0014 \m³\40.93968 \ 30" u="1"/>
        <s v="SABS1200 DA \EARTHWORKS (SMALL WORKS)/8.3\SCHEDULED ITEMS/8.3.1b\Excavate in all materials and use for embankments or backfill or dispose, as ordered by the engineer. /\KS20_001-Concrete Drop Inlet. Refer to drawing NBC-GTW-CL-0027 \m³\51.93327 \ 30" u="1"/>
        <s v="SABS1200 DA \EARTHWORKS (SMALL WORKS)/8.3\SCHEDULED ITEMS/8.3.1b\Excavate in all materials and use for embankments or backfill or dispose, as ordered by the engineer. /\KS13_012-Concrete Drop Inlet. Refer to drawing NBC-GTW-CL-0016 \m³\29.930225 \ 30" u="1"/>
        <s v="SABS1200 DA  \ Earthworks (Small Works) / 8.3\ SCHEDULED ITEMS / 8.3.1b \ Excavate in all materials and use for embankments or backfill or dispose, as ordered by the engineer. /\LS16_020-Removal of Road  \m³\744.2325 \ 30" u="1"/>
        <s v="SABS1200 DA \EARTHWORKS (SMALL WORKS)/8.3\SCHEDULED ITEMS/8.3.1b\Excavate in all materials and use for embankments or backfill or dispose, as ordered by the engineer. /\KS19_006-Removal of Dam Wall  \m³\1385.03125 \ 30" u="1"/>
        <s v="SABS1200 DA \EARTHWORKS (SMALL WORKS)/8.3\SCHEDULED ITEMS/8.3.1b\Excavate in all materials and use for embankments or backfill or dispose, as ordered by the engineer. /\KS18_012-Concrete Cut-Off Walls. Refer to drawing NBC-GTW-CL-0045 \m³\6.6 \ 30" u="1"/>
        <s v="SABS1200 DA \EARTHWORKS (SMALL WORKS)/8.3\SCHEDULED ITEMS/8.3.1b\Excavate in all materials and use for embankments or backfill or dispose, as ordered by the engineer. /\KS12_008-Concrete Drop Inlet. Drawing NBC-GTW-CL-0007 \m³\33.21409 \ 30" u="1"/>
        <s v="SABS1200 DA \EARTHWORKS (SMALL WORKS)/8.3\SCHEDULED ITEMS/8.3.1b\Excavate in all materials and use for embankments or backfill or dispose, as ordered by the engineer. /\KS18_007-Concrete Cut-Off Walls. Drawing NBC-GTW-CL-0045 \m³\5.04 \ 30" u="1"/>
        <s v="SABS1200 DA \EARTHWORKS (SMALL WORKS)/8.3\SCHEDULED ITEMS/8.3.1b\Excavate in all materials and use for embankments or backfill or dispose, as ordered by the engineer. /\LS16_021-Backfill Main Channel  \m³\7.5 \ 30" u="1"/>
        <s v="SABS1200 DA  \ Earthworks (Small Works) / 8.3\ SCHEDULED ITEMS / 8.3.1b \ Excavate in all materials and use for embankments or backfill or dispose, as ordered by the engineer. /\DS12_004-Removal of Berms  \m³\523.01728 \ 30" u="1"/>
        <s v="SABS1200 DA \EARTHWORKS (SMALL WORKS)/8.3\SCHEDULED ITEMS/8.3.1b\Excavate in all materials and use for embankments or backfill or dispose, as ordered by the engineer. /\KS21_001-10° sloped Grouted Pitching (Light). Drawing NBC-GTW-CL-0038 \m³\15 \ 30" u="1"/>
        <s v="SABS1200 DA \EARTHWORKS (SMALL WORKS)/8.3\SCHEDULED ITEMS/8.3.1b\Excavate in all materials and use for embankments or backfill or dispose, as ordered by the engineer. /\KS18_008-Concrete Cut-Off Walls. Refer to drawing NBC-GTW-CL-0045 \m³\5.76 \ 30" u="1"/>
        <s v="'" u="1"/>
        <s v="SABS1200 DA \EARTHWORKS (SMALL WORKS)/8.3\SCHEDULED ITEMS/8.3.1b\Excavate in all materials and use for embankments or backfill or dispose, as ordered by the engineer. /\KS19_004-Infilling of Drains  \m³\4.5 \ 30" u="1"/>
        <s v="SABS1200 DA  / Earthworks (Small Works) / 8.3 / 8.3.1b / Excavate in all materials and use for embankments or backfill or dispose, as ordered / LS12_002-Removal of Berm / 27.17 / m³" u="1"/>
        <s v="SABS1200 DA \EARTHWORKS (SMALL WORKS)/8.3\SCHEDULED ITEMS/8.3.1b\Excavate in all materials and use for embankments or backfill or dispose, as ordered by the engineer. /\LS16_018-Gabion energy breaker  \m³\22.08 \ 30" u="1"/>
        <s v="SABS1200 DA \EARTHWORKS (SMALL WORKS)/8.3\SCHEDULED ITEMS/8.3.1b\Excavate in all materials and use for embankments or backfill or dispose, as ordered by the engineer. /\KS18_001-Concrete Drop Inlet. Refer to drawing NBC-GTW-CL-0019 \m³\61.486052 \ 30" u="1"/>
        <s v="SABS1200 DA \EARTHWORKS (SMALL WORKS)/8.3\SCHEDULED ITEMS/8.3.1b\Excavate in all materials and use for embankments or backfill or dispose, as ordered by the engineer. /\KS19_002-Concrete Drop Inlet. Refer to drawing NBC-GTW-CL-0026 \m³\38.760038 \ 30" u="1"/>
        <s v="SABS1200 DA \EARTHWORKS (SMALL WORKS)/8.3\SCHEDULED ITEMS/8.3.1b\Excavate in all materials and use for embankments or backfill or dispose, as ordered by the engineer. /\Pan14-002-Remove Berm  \m³\49.41 \ 30" u="1"/>
        <s v="SABS1200 DA \EARTHWORKS (SMALL WORKS)/8.3\SCHEDULED ITEMS/8.3.1b\Excavate in all materials and use for embankments or backfill or dispose, as ordered by the engineer. /\LS16_004-Concrete Cut-Off Walls  \m³\2.4 \ 30" u="1"/>
        <s v="SABS1200 DA \EARTHWORKS (SMALL WORKS)/8.3\SCHEDULED ITEMS/8.3.1b\Excavate in all materials and use for embankments or backfill or dispose, as ordered by the engineer. /\KS12_006-Concrete Drop Inlet. Drawing NBC-GTW-CL-0005 \m³\31.948975 \ 30" u="1"/>
        <s v="SABS1200 DA  \ Earthworks (Small Works) / 8.3\ SCHEDULED ITEMS / 8.3.1b \ Excavate in all materials and use for embankments or backfill or dispose, as ordered by the engineer. /\Pan14_011-Infilling of Drains \m³\582 \ 30" u="1"/>
        <s v="SABS1200 DA  \ Earthworks (Small Works) / 8.3\ SCHEDULED ITEMS / 8.3.1b \ Excavate in all materials and use for embankments or backfill or dispose, as ordered by the engineer. /\KS13_016-Infilling of Drains  \m³\111.91475 \ 30" u="1"/>
        <s v="SABS1200 DA  \ Earthworks (Small Works) / 8.3\ SCHEDULED ITEMS / 8.3.1b \ Excavate in all materials and use for embankments or backfill or dispose, as ordered by the engineer. /\KS12_010-Removal of Dam Wall  \m³\211.894375 \ 30" u="1"/>
        <s v="SABS1200 DA \EARTHWORKS (SMALL WORKS)/8.3\SCHEDULED ITEMS/8.3.1b\Excavate in all materials and use for embankments or backfill or dispose, as ordered by the engineer. /\KS20_009_a-Concrete Buttress Weir. Drawing NBC-GTW-CL-0035 \m³\132.757199 \ 30" u="1"/>
        <s v="SABS1200 DA  \ Earthworks (Small Works) / 8.3\ SCHEDULED ITEMS / 8.3.1b \ Excavate in all materials and use for embankments or backfill or dispose, as ordered by the engineer. /\Pan14_008-Infilling of Drains  \m³\73.44 \ 30" u="1"/>
        <s v="SABS1200 DA  \ Earthworks (Small Works) / 8.3\ SCHEDULED ITEMS / 8.3.1b \ Excavate in all materials and use for embankments or backfill or dispose, as ordered by the engineer. /\Pan14-003-Remove berm and backfill drain \m³\435.82 \ 30" u="1"/>
        <s v="SABS1200 DA \EARTHWORKS (SMALL WORKS)/8.3\SCHEDULED ITEMS/8.3.1b\Excavate in all materials and use for embankments or backfill or dispose, as ordered by the engineer. /\KS20_009_b-Concrete Overflow Wall. Refer to drawing  \m³\30.7675 \ 30" u="1"/>
        <s v="SABS1200 DA \EARTHWORKS (SMALL WORKS)/8.3\SCHEDULED ITEMS/8.3.1b\Excavate in all materials and use for embankments or backfill or dispose, as ordered by the engineer. /\LS16_006-Concrete Cut-Off Walls  \m³\6.48 \ 30" u="1"/>
        <s v="SABS1200 DA \EARTHWORKS (SMALL WORKS)/8.3\SCHEDULED ITEMS/8.3.1b\Excavate in all materials and use for embankments or backfill or dispose, as ordered by the engineer. /\DS12_004-Removal of Berms  \m³\523.01728 \ 30" u="1"/>
        <s v="SABS1200 DA \EARTHWORKS (SMALL WORKS)/8.3\SCHEDULED ITEMS/8.3.1b\Excavate in all materials and use for embankments or backfill or dispose, as ordered by the engineer. /\KS12_005-Concrete Drop Inlet. Refer to drawing NBC-GTW-CL-0004 \m³\36.4286202 \ 30" u="1"/>
        <s v="SABS1200 DA  / Earthworks (Small Works) / 8.3 / 8.3.1b / Excavate in all materials and use for embankments or backfill or dispose, as ordered / LS16_021-Backfill Main Channel / 7.5 / m³" u="1"/>
        <s v="SABS1200 DA \EARTHWORKS (SMALL WORKS)/8.3\SCHEDULED ITEMS/8.3.1b\Excavate in all materials and use for embankments or backfill or dispose, as ordered by the engineer. /\KS13_015-Concrete Drop Inlet. Refer to drawing NBC-GTW-CL-0018 \m³\45.89906 \ 30" u="1"/>
        <s v="SABS1200 DA \EARTHWORKS (SMALL WORKS)/8.3\SCHEDULED ITEMS/8.3.1b\Excavate in all materials and use for embankments or backfill or dispose, as ordered by the engineer. /\KS18_003-Concrete Cut-Off Walls. Refer to drawing NBC-GTW-CL-0045 \m³\5.7 \ 30" u="1"/>
        <s v="SABS1200 DA \EARTHWORKS (SMALL WORKS)/8.3\SCHEDULED ITEMS/8.3.1b\Excavate in all materials and use for embankments or backfill or dispose, as ordered by the engineer. /\ks11-001-Off-take structure  \m³\5.4 \ 30" u="1"/>
        <s v="SABS1200 DA  / Earthworks (Small Works) / 8.3 / 8.3.1b / Excavate in all materials and use for embankments or backfill or dispose, as ordered / Pan14_008-Infilling of Drains / 73.44 / m³" u="1"/>
        <s v="SABS1200 DA  \ Earthworks (Small Works) / 8.3\ SCHEDULED ITEMS / 8.3.1b \ Excavate in all materials and use for embankments or backfill or dispose, as ordered by the engineer. /\Pan8_001-Foreign Materials \m³\18.9 \ 30" u="1"/>
        <s v="SABS1200 DA \EARTHWORKS (SMALL WORKS)/8.3\SCHEDULED ITEMS/8.3.1b\Excavate in all materials and use for embankments or backfill or dispose, as ordered by the engineer. /\KS13_007-Concrete Drop Inlet. Refer to drawing NBC-GTW-CL-0013 \m³\35.99056 \ 30" u="1"/>
        <s v="SABS1200 DA \EARTHWORKS (SMALL WORKS)/8.3\SCHEDULED ITEMS/8.3.1b\Excavate in all materials and use for embankments or backfill or dispose, as ordered by the engineer. /\KS18_006-Concrete Cut-Off Walls. Drawing NBC-GTW-CL-0045 \m³\6.615 \ 30" u="1"/>
        <s v="SABS1200 DA \EARTHWORKS (SMALL WORKS)/8.3\SCHEDULED ITEMS/8.3.1b\Excavate in all materials and use for embankments or backfill or dispose, as ordered by the engineer. /\Pan8_004-Removal of Berm  \m³\5.4 \ 30" u="1"/>
        <s v="SABS1200 DA \EARTHWORKS (SMALL WORKS)/8.3\SCHEDULED ITEMS/8.3.1b\Excavate in all materials and use for embankments or backfill or dispose, as ordered by the engineer. /\KS20_003-Concrete Buttress Weir. Drawing NBC-GTW-CL-0029 \m³\82.9571958 \ 30" u="1"/>
        <s v="SABS1200 DA \EARTHWORKS (SMALL WORKS)/8.3\SCHEDULED ITEMS/8.3.1b\Excavate in all materials and use for embankments or backfill or dispose, as ordered by the engineer. /\KS18-014-Concrete Filled Geo-Cell Berm. Drawing NBC-GTW-CL-0001 \m³\23.9803125 \ 30" u="1"/>
        <s v="SABS1200 DA \EARTHWORKS (SMALL WORKS)/8.3\SCHEDULED ITEMS/8.3.1b\Excavate in all materials and use for embankments or backfill or dispose, as ordered by the engineer. /\KS20_008-Concrete Drop Inlet. Drawing NBC-GTW-CL-0034 \m³\54.33924 \ 30" u="1"/>
        <s v="SABS1200 DA  / Earthworks (Small Works) / 8.3 / 8.3.1b / Excavate in all materials and use for embankments or backfill or dispose, as ordered / KS19_006-Removal of Dam Wall / 523.29 / m³" u="1"/>
        <s v="SABS1200 DA \EARTHWORKS (SMALL WORKS)/8.3\SCHEDULED ITEMS/8.3.1b\Excavate in all materials and use for embankments or backfill or dispose, as ordered by the engineer. /\KS18_003-Concrete Cut-Off Walls. Drawing NBC-GTW-CL-0045 \m³\5.7 \ 30" u="1"/>
        <s v="SABS1200 DA \EARTHWORKS (SMALL WORKS)/8.3\SCHEDULED ITEMS/8.3.1b\Excavate in all materials and use for embankments or backfill or dispose, as ordered by the engineer. /\KS20_009_b-Concrete Overflow Wall. Refer to drawing NBC-GTW-CL-0035 \m³\30.7675 \ 30" u="1"/>
        <s v="SABS1200 DA  \ Earthworks (Small Works) / 8.3\ SCHEDULED ITEMS / 8.3.1b \ Excavate in all materials and use for embankments or backfill or dispose, as ordered by the engineer. /\Pan14-002-Remove Berm \m³\49.41 \ 30" u="1"/>
        <s v="SABS1200 DA  \ Earthworks (Small Works) / 8.3\ SCHEDULED ITEMS / 8.3.1b \ Excavate in all materials and use for embankments or backfill or dispose, as ordered by the engineer. /\DS12_004-Removal of Berms \m³\523.01728 \ 30" u="1"/>
        <s v="SABS1200 DA \EARTHWORKS (SMALL WORKS)/8.3\SCHEDULED ITEMS/8.3.1b\Excavate in all materials and use for embankments or backfill or dispose, as ordered by the engineer. /\LS16_005-Concrete Cut-Off Walls  \m³\3.6 \ 30" u="1"/>
        <s v="SABS1200 DA \EARTHWORKS (SMALL WORKS)/8.3\SCHEDULED ITEMS/8.3.1b\Excavate in all materials and use for embankments or backfill or dispose, as ordered by the engineer. /\KS20_002-Concrete Drop Inlet. Drawing NBC-GTW-CL-0028 \m³\60.04969 \ 30" u="1"/>
        <s v="SABS1200 DA \EARTHWORKS (SMALL WORKS)/8.3\SCHEDULED ITEMS/8.3.1b\Excavate in all materials and use for embankments or backfill or dispose, as ordered by the engineer. /\Pan14_007-Infilling of Drains  \m³\18.6 \ 30" u="1"/>
        <s v="SABS1200 DA \EARTHWORKS (SMALL WORKS)/8.3\SCHEDULED ITEMS/8.3.1b\Excavate in all materials and use for embankments or backfill or dispose, as ordered by the engineer. /\KS19_005-Infilling of Drains  \m³\4.68 \ 30" u="1"/>
        <s v="SABS1200 DA \EARTHWORKS (SMALL WORKS)/8.3\SCHEDULED ITEMS/8.3.1b\Excavate in all materials and use for embankments or backfill or dispose, as ordered by the engineer. /\Pan14_008-Infilling of Drains  \m³\73.44 \ 30" u="1"/>
        <s v="SABS1200 DA \EARTHWORKS (SMALL WORKS)/8.3\SCHEDULED ITEMS/8.3.1b\Excavate in all materials and use for embankments or backfill or dispose, as ordered by the engineer. /\KS21_010-Concrete Drop Inlet. Drawing NBC-GTW-CL-0044 \m³\37.9104055 \ 30" u="1"/>
        <s v="SABS1200 DA \EARTHWORKS (SMALL WORKS)/8.3\SCHEDULED ITEMS/8.3.1b\Excavate in all materials and use for embankments or backfill or dispose, as ordered by the engineer. /\Pan8_003-Removal of Dam Wall  \m³\324.3575 \ 30" u="1"/>
        <s v="SABS1200 DA \EARTHWORKS (SMALL WORKS)/8.3\SCHEDULED ITEMS/8.3.1b\Excavate in all materials and use for embankments or backfill or dispose, as ordered by the engineer. /\KS13_005-Concrete Drop Inlet. Drawing NBC-GTW-CL-0011 \m³\40.88154 \ 30" u="1"/>
        <s v="SABS1200 DA \EARTHWORKS (SMALL WORKS)/8.3\SCHEDULED ITEMS/8.3.1b\Excavate in all materials and use for embankments or backfill or dispose, as ordered by the engineer. /\KS13_006-Concrete Drop Inlet. Drawing NBC-GTW-CL-0012 \m³\40.88154 \ 30" u="1"/>
        <s v="SABS1200 DA \EARTHWORKS (SMALL WORKS)/8.3\SCHEDULED ITEMS/8.3.1b\Excavate in all materials and use for embankments or backfill or dispose, as ordered by the engineer. /\KS18_018-Concrete Drop Inlet. Drawing NBC-GTW-CL-0024 \m³\52.32581 \ 30" u="1"/>
        <s v="SABS1200 DA  \ Earthworks (Small Works) / 8.3\ SCHEDULED ITEMS / 8.3.1b \ Excavate in all materials and use for embankments or backfill or dispose, as ordered by the engineer. /\KS19_006-Removal of Dam Wall \m³\523.29 \ 30" u="1"/>
        <s v="SABS1200 DA \EARTHWORKS (SMALL WORKS)/8.3\SCHEDULED ITEMS/8.3.1b\Excavate in all materials and use for embankments or backfill or dispose, as ordered by the engineer. /\KS18_005-Concrete Cut-Off Walls. Refer to drawing NBC-GTW-CL-0045 \m³\6.93 \ 30" u="1"/>
        <s v="SABS1200 DA \EARTHWORKS (SMALL WORKS)/8.3\SCHEDULED ITEMS/8.3.1b\Excavate in all materials and use for embankments or backfill or dispose, as ordered by the engineer. /\KS18_010-Concrete Cut-Off Walls. Refer to drawing NBC-GTW-CL-0045 \m³\6.93 \ 30" u="1"/>
        <s v="SABS1200 DA  \ Earthworks (Small Works) / 8.3\ SCHEDULED ITEMS / 8.3.1b \ Excavate in all materials and use for embankments or backfill or dispose, as ordered by the engineer. /\KS16_002-Infilling of Drains  \m³\89.7 \ 30" u="1"/>
        <s v="SABS1200 DA \EARTHWORKS (SMALL WORKS)/8.3\SCHEDULED ITEMS/8.3.1b\Excavate in all materials and use for embankments or backfill or dispose, as ordered by the engineer. /\KS13_012-Concrete Drop Inlet. Drawing NBC-GTW-CL-0016 \m³\29.930225 \ 30" u="1"/>
        <s v="SABS1200 DA  / Earthworks (Small Works) / 8.3 / 8.3.1b / Excavate in all materials and use for embankments or backfill or dispose, as ordered / Pan8_003-Removal of Dam Wall / 324.3575 / m³" u="1"/>
        <s v="SABS1200 DA \EARTHWORKS (SMALL WORKS)/8.3\SCHEDULED ITEMS/8.3.1b\Excavate in all materials and use for embankments or backfill or dispose, as ordered by the engineer. /\LS16_014-Ecologs  \m³\1.62 \ 30" u="1"/>
        <s v="SABS1200 DA \EARTHWORKS (SMALL WORKS)/8.3\SCHEDULED ITEMS/8.3.1b\Excavate in all materials and use for embankments or backfill or dispose, as ordered by the engineer. /\Pan14_011-Infilling of Drains  \m³\582 \ 30" u="1"/>
        <s v="SABS1200 DA  \ Earthworks (Small Works) / 8.3\ SCHEDULED ITEMS / 8.3.1b \ Excavate in all materials and use for embankments or backfill or dispose, as ordered by the engineer. /\KS13_010-Removal of Berm  \m³\336.92505 \ 30" u="1"/>
        <s v="SABS1200 DA  / Earthworks (Small Works) / 8.3 / 8.3.1b / Excavate in all materials and use for embankments or backfill or dispose, as ordered / LS12_001-Removal of dam wall / 1696.474 / m³" u="1"/>
        <s v="SABS1200 DA  \ Earthworks (Small Works) / 8.3\ SCHEDULED ITEMS / 8.3.1b \ Excavate in all materials and use for embankments or backfill or dispose, as ordered by the engineer. /\Pan8_003-Removal of Dam Wall  \m³\324.3575 \ 30" u="1"/>
        <s v="SABS1200 DA \EARTHWORKS (SMALL WORKS)/8.3\SCHEDULED ITEMS/8.3.1b\Excavate in all materials and use for embankments or backfill or dispose, as ordered by the engineer. /\KS21-002-Earthworks  \m³\191.4 \ 30" u="1"/>
        <s v="SABS1200 DA  / Earthworks (Small Works) / 8.3 / 8.3.1b / Excavate in all materials and use for embankments or backfill or dispose, as ordered / KS12_003-Removal of Berm and Dam Wall / 801.25656625 / m³" u="1"/>
        <s v="SABS1200 DA \EARTHWORKS (SMALL WORKS)/8.3\SCHEDULED ITEMS/8.3.1b\Excavate in all materials and use for embankments or backfill or dispose, as ordered by the engineer. /\KS13_005-Concrete Drop Inlet. Refer to drawing NBC-GTW-CL-0011 \m³\40.88154 \ 30" u="1"/>
        <s v="SABS1200 DA \EARTHWORKS (SMALL WORKS)/8.3\SCHEDULED ITEMS/8.3.1b\Excavate in all materials and use for embankments or backfill or dispose, as ordered by the engineer. /\KS13_006-Concrete Drop Inlet. Refer to drawing NBC-GTW-CL-0012 \m³\40.88154 \ 30" u="1"/>
        <s v="SABS1200 DA \EARTHWORKS (SMALL WORKS)/8.3\SCHEDULED ITEMS/8.3.1b\Excavate in all materials and use for embankments or backfill or dispose, as ordered by the engineer. /\KS18_017-Concrete Drop Inlet. Refer to drawing NBC-GTW-CL-0023 \m³\43.59664 \ 30" u="1"/>
        <s v="SABS1200 DA \EARTHWORKS (SMALL WORKS)/8.3\SCHEDULED ITEMS/8.3.1b\Excavate in all materials and use for embankments or backfill or dispose, as ordered by the engineer. /\KS15_001-Fish Bowl  \m³\215.621 \ 30" u="1"/>
        <s v="SABS1200 DA \EARTHWORKS (SMALL WORKS)/8.3\SCHEDULED ITEMS/8.3.1b\Excavate in all materials and use for embankments or backfill or dispose, as ordered by the engineer. /\DS12_001-Excavation of Dam Wall  \m³\1419.11 \ 30" u="1"/>
        <s v="SABS1200 DA  / Earthworks (Small Works) / 8.3 / 8.3.1b / Excavate in all materials and use for embankments or backfill or dispose, as ordered / LS16_012-Removal of Road / 161.55 / m³" u="1"/>
        <s v="SABS1200 DA \EARTHWORKS (SMALL WORKS)/8.3\SCHEDULED ITEMS/8.3.1b\Excavate in all materials and use for embankments or backfill or dispose, as ordered by the engineer. /\LS12_001-Removal of dam wall  \m³\1696.474 \ 30" u="1"/>
        <s v="SABS1200 DA \EARTHWORKS (SMALL WORKS)/8.3\SCHEDULED ITEMS/8.3.1b\Excavate in all materials and use for embankments or backfill or dispose, as ordered by the engineer. /\LS16_019-Gabion energy breaker  \m³\24.48 \ 30" u="1"/>
        <s v="SABS1200 DA \EARTHWORKS (SMALL WORKS)/8.3\SCHEDULED ITEMS/8.3.1b\Excavate in all materials and use for embankments or backfill or dispose, as ordered by the engineer. /\KS20_001-Concrete Drop Inlet. Drawing NBC-GTW-CL-0027 \m³\51.93327 \ 30" u="1"/>
        <s v="SABS1200 DA  / Earthworks (Small Works) / 8.3 / 8.3.1b / Excavate in all materials and use for embankments or backfill or dispose, as ordered / Pan14_011-Infilling of Drains / 582 / m³" u="1"/>
        <s v="SABS1200 DA \EARTHWORKS (SMALL WORKS)/8.3\SCHEDULED ITEMS/8.3.1b\Excavate in all materials and use for embankments or backfill or dispose, as ordered by the engineer. /\KS18_016-Concrete Drop Inlet. Refer to drawing NBC-GTW-CL-0022 \m³\46.41016 \ 30" u="1"/>
        <s v="SABS1200 DA  / Earthworks (Small Works) / 8.3 / 8.3.1b / Excavate in all materials and use for embankments or backfill or dispose, as ordered / Pan8_004-Removal of Berm / 5.4 / m³" u="1"/>
        <s v="SABS1200 DA \EARTHWORKS (SMALL WORKS)/8.3\SCHEDULED ITEMS/8.3.1b\Excavate in all materials and use for embankments or backfill or dispose, as ordered by the engineer. /\LS16_002-Concrete Cut-Off Walls  \m³\4.8 \ 30" u="1"/>
        <s v="SABS1200 DA \EARTHWORKS (SMALL WORKS)/8.3\SCHEDULED ITEMS/8.3.1b\Excavate in all materials and use for embankments or backfill or dispose, as ordered by the engineer. /\KS16_003-Infilling of Drains  \m³\14.22 \ 30" u="1"/>
        <s v="SABS1200 DA \EARTHWORKS (SMALL WORKS)/8.3\SCHEDULED ITEMS/8.3.1b\Excavate in all materials and use for embankments or backfill or dispose, as ordered by the engineer. /\DS12_002-Backfilling Dam  \m³\1723.444675 \ 30" u="1"/>
        <s v="SABS1200 DA \EARTHWORKS (SMALL WORKS)/8.3\SCHEDULED ITEMS/8.3.1b\Excavate in all materials and use for embankments or backfill or dispose, as ordered by the engineer. /\KS21_009-Concrete Drop Inlet. Drawing NBC-GTW-CL-0043 \m³\40.198585 \ 30" u="1"/>
        <s v="SABS1200 DA \EARTHWORKS (SMALL WORKS)/8.3\SCHEDULED ITEMS/8.3.1b\Excavate in all materials and use for embankments or backfill or dispose, as ordered by the engineer. /\ks11-002a-Concrete Drop Inlet on Dam Wall  \m³\394.7652 \ 30" u="1"/>
        <s v="SABS1200 DA \EARTHWORKS (SMALL WORKS)/8.3\SCHEDULED ITEMS/8.3.1b\Excavate in all materials and use for embankments or backfill or dispose, as ordered by the engineer. /\KS20_002-Concrete Drop Inlet. Refer to drawing NBC-GTW-CL-0028 \m³\70.75144 \ 30" u="1"/>
        <s v="SABS1200 DA \EARTHWORKS (SMALL WORKS)/8.3\SCHEDULED ITEMS/8.3.1b\Excavate in all materials and use for embankments or backfill or dispose, as ordered by the engineer. /\LS16_017-Gabion energy breaker  \m³\25 \ 30" u="1"/>
        <s v="SABS1200 DA \EARTHWORKS (SMALL WORKS)/8.3\SCHEDULED ITEMS/8.3.1b\Excavate in all materials and use for embankments or backfill or dispose, as ordered by the engineer. /\KS18_011-Concrete Cut-Off Walls. Drawing NBC-GTW-CL-0045 \m³\6 \ 30" u="1"/>
        <s v="SABS1200 DA \EARTHWORKS (SMALL WORKS)/8.3\SCHEDULED ITEMS/8.3.1b\Excavate in all materials and use for embankments or backfill or dispose, as ordered by the engineer. /\KS18_013-Concrete Cut-Off Walls. Drawing NBC-GTW-CL-0045 \m³\6 \ 30" u="1"/>
        <s v="SABS1200 DA \EARTHWORKS (SMALL WORKS)/8.3\SCHEDULED ITEMS/8.3.1b\Excavate in all materials and use for embankments or backfill or dispose, as ordered by the engineer. /\KS21_006-Concrete Drop Inlet. Refer to drawing NBC-GTW-CL-0041 \m³\31.9418025 \ 30" u="1"/>
        <s v="SABS1200 DA \EARTHWORKS (SMALL WORKS)/8.3\SCHEDULED ITEMS/8.3.1b\Excavate in all materials and use for embankments or backfill or dispose, as ordered by the engineer. /\KS20_009_a-Concrete Drop Inlet. Refer to drawing NBC-GTW-CL-0035 \m³\132.757199 \ 30" u="1"/>
        <s v="SABS1200 DA  \ Earthworks (Small Works) / 8.3\ SCHEDULED ITEMS / 8.3.1b \ Excavate in all materials and use for embankments or backfill or dispose, as ordered by the engineer. /\KS19_006-Removal of Dam Wall  \m³\523.29 \ 30" u="1"/>
        <s v="SABS1200 DA \EARTHWORKS (SMALL WORKS)/8.3\SCHEDULED ITEMS/8.3.1b\Excavate in all materials and use for embankments or backfill or dispose, as ordered by the engineer. /\ks11-002b-Concrete Splash Through Structure  \m³\210 \ 30" u="1"/>
        <s v="SABS1200 DA \EARTHWORKS (SMALL WORKS)/8.3\SCHEDULED ITEMS/8.3.1b\Excavate in all materials and use for embankments or backfill or dispose, as ordered by the engineer. /\ks11-004b-Concrete Splash Through Structure  \m³\210 \ 30" u="1"/>
        <s v="SABS1200 DA  / Earthworks (Small Works) / 8.3 / 8.3.1b / Excavate in all materials and use for embankments or backfill or dispose, as ordered / Pan8_001-Foreign Materials / 18.9 / m³" u="1"/>
        <s v="SABS1200 DA \EARTHWORKS (SMALL WORKS)/8.3\SCHEDULED ITEMS/8.3.1b\Excavate in all materials and use for embankments or backfill or dispose, as ordered by the engineer. /\KS12_002-Concrete Box Culvert. Refer to drawing NBC-GTW-CL-0002 \m³\45.04 \ 30" u="1"/>
        <s v="SABS1200 DA \EARTHWORKS (SMALL WORKS)/8.3\SCHEDULED ITEMS/8.3.1b\Excavate in all materials and use for embankments or backfill or dispose, as ordered by the engineer. /\KS12_003-Removal of Berm and Dam Wall  \m³\801.25656625 \ 30" u="1"/>
        <s v="SABS1200 DA \EARTHWORKS (SMALL WORKS)/8.3\SCHEDULED ITEMS/8.3.1b\Excavate in all materials and use for embankments or backfill or dispose, as ordered by the engineer. /\KS13_013-Concrete Drop Inlet. Drawing NBC-GTW-CL-0017 \m³\37.8822 \ 30" u="1"/>
        <s v="SABS1200 DA \EARTHWORKS (SMALL WORKS)/8.3\SCHEDULED ITEMS/8.3.1b\Excavate in all materials and use for embankments or backfill or dispose, as ordered by the engineer. /\KS13_008-Concrete Drop Inlet. Refer to drawing NBC-GTW-CL-0014 \m³\40.93968 \ 30" u="1"/>
        <s v="SABS1200 DA \EARTHWORKS (SMALL WORKS)/8.3\SCHEDULED ITEMS/8.3.1b\Excavate in all materials and use for embankments or backfill or dispose, as ordered by the engineer. /\KS12_009-Concrete Drop Inlet. Refer to drawing NBC-GTW-CL-0008 \m³\21.46164 \ 30" u="1"/>
        <s v="SABS1200 DA \EARTHWORKS (SMALL WORKS)/8.3\SCHEDULED ITEMS/8.3.1b\Excavate in all materials and use for embankments or backfill or dispose, as ordered by the engineer. /\KS13_004-Concrete Drop Inlet. Drawing NBC-GTW-CL-0010 \m³\32.319 \ 30" u="1"/>
        <s v="SABS1200 DA \EARTHWORKS (SMALL WORKS)/8.3\SCHEDULED ITEMS/8.3.1b\Excavate in all materials and use for embankments or backfill or dispose, as ordered by the engineer. /\KS18_007-Concrete Cut-Off Walls. Refer to drawing NBC-GTW-CL-0045 \m³\5.04 \ 30" u="1"/>
        <s v="SABS1200 DA  \ Earthworks (Small Works) / 8.3\ SCHEDULED ITEMS / 8.3.1b \ Excavate in all materials and use for embankments or backfill or dispose, as ordered by the engineer. /\Pan8_004-Removal of Berm \m³\5.4 \ 30" u="1"/>
        <s v="SABS1200 DA  / Earthworks (Small Works) / 8.3 / 8.3.1b / Excavate in all materials and use for embankments or backfill or dispose, as ordered / KS13_010-Removal of Berm / 336.92505 / m³" u="1"/>
        <s v="SABS1200 DA  \ Earthworks (Small Works) / 8.3\ SCHEDULED ITEMS / 8.3.1b \ Excavate in all materials and use for embankments or backfill or dispose, as ordered by the engineer. /\Pan8_001-Foreign Materials  \m³\18.9 \ 30" u="1"/>
        <s v="SABS1200 DA \EARTHWORKS (SMALL WORKS)/8.3\SCHEDULED ITEMS/8.3.1b\Excavate in all materials and use for embankments or backfill or dispose, as ordered by the engineer. /\KS12_007-Concrete Drop Inlet. Drawing NBC-GTW-CL-0006 \m³\47.313325 \ 30" u="1"/>
        <s v="SABS1200 DA \EARTHWORKS (SMALL WORKS)/8.3\SCHEDULED ITEMS/8.3.1b\Excavate in all materials and use for embankments or backfill or dispose, as ordered by the engineer. /\KS13_003-Concrete Drop Inlet. Refer to drawing NBC-GTW-CL-0009 \m³\44.0325 \ 30" u="1"/>
        <s v="SABS1200 DA  \ Earthworks (Small Works) / 8.3\ SCHEDULED ITEMS / 8.3.1b \ Excavate in all materials and use for embankments or backfill or dispose, as ordered by the engineer. /\KS12_003-Removal of Berm and Dam Wall  \m³\801.25656625 \ 30" u="1"/>
        <s v="SABS1200 DA  / Earthworks (Small Works) / 8.3 / 8.3.1b / Excavate in all materials and use for embankments or backfill or dispose, as ordered / Pan14-003-Remove berm and backfill drain / 435.82 / m³" u="1"/>
        <s v="SABS1200 DA \EARTHWORKS (SMALL WORKS)/8.3\SCHEDULED ITEMS/8.3.1b\Excavate in all materials and use for embankments or backfill or dispose, as ordered by the engineer. /\KS18_020-Rehab road culvert  \m³\38.02413 \ 30" u="1"/>
        <s v="SABS1200 DA \EARTHWORKS (SMALL WORKS)/8.3\SCHEDULED ITEMS/8.3.1b\Excavate in all materials and use for embankments or backfill or dispose, as ordered by the engineer. /\KS16_002-Excavate Dam Wall  \m³\89.7 \ 30" u="1"/>
        <s v="SABS1200 DA \EARTHWORKS (SMALL WORKS)/8.3\SCHEDULED ITEMS/8.3.1b\Excavate in all materials and use for embankments or backfill or dispose, as ordered by the engineer. /\KS21_005-Concrete Drop Inlet. Drawing NBC-GTW-CL-0040 \m³\35.7722215 \ 30" u="1"/>
        <s v="SABS1200 DA \EARTHWORKS (SMALL WORKS)/8.3\SCHEDULED ITEMS/8.3.1b\Excavate in all materials and use for embankments or backfill or dispose, as ordered by the engineer. /\KS12_007-Concrete Drop Inlet. Refer to drawing NBC-GTW-CL-0006 \m³\47.313325 \ 30" u="1"/>
        <s v="SABS1200 DA  / Earthworks (Small Works) / 8.3 / 8.3.1b / Excavate in all materials and use for embankments or backfill or dispose, as ordered / KS16_002-Infilling of Drains / 89.7 / m³" u="1"/>
        <s v="SABS1200 DA  / Earthworks (Small Works) / 8.3 / 8.3.1b / Excavate in all materials and use for embankments or backfill or dispose, as ordered / Pan09_001-Removal of Dam Wall / 188.47125 / m³" u="1"/>
        <s v="SABS1200 DA \EARTHWORKS (SMALL WORKS)/8.3\SCHEDULED ITEMS/8.3.1b\Excavate in all materials and use for embankments or backfill or dispose, as ordered by the engineer. /\ks11-002c-Dam wall excavation. Drawing NBC-GTW-CL-0067 \m³\2651.36666666667 \ 30" u="1"/>
        <s v="SABS1200 DA \EARTHWORKS (SMALL WORKS)/8.3\SCHEDULED ITEMS/8.3.1b\Excavate in all materials and use for embankments or backfill or dispose, as ordered by the engineer. /\KS15_003-Removal of Dam Wall  \m³\185.54375 \ 30" u="1"/>
        <s v="SABS1200 DA \EARTHWORKS (SMALL WORKS)/8.3\SCHEDULED ITEMS/8.3.1b\Excavate in all materials and use for embankments or backfill or dispose, as ordered by the engineer. /\KS18_004-Concrete Cut-Off Walls. Drawing NBC-GTW-CL-0045 \m³\5.355 \ 30" u="1"/>
        <s v="SABS1200 DA \EARTHWORKS (SMALL WORKS)/8.3\SCHEDULED ITEMS/8.3.1b\Excavate in all materials and use for embankments or backfill or dispose, as ordered by the engineer. /\KS12_010-Removal of Dam Wall  \m³\211.894375 \ 30" u="1"/>
        <s v="SABS1200 DA \EARTHWORKS (SMALL WORKS)/8.3\SCHEDULED ITEMS/8.3.1b\Excavate in all materials and use for embankments or backfill or dispose, as ordered by the engineer. /\KS21_003-Concrete Drop Inlet. Refer to drawing NBC-GTW-CL-0039 \m³\25.78775 \ 30" u="1"/>
        <s v="SABS1200 DA  \ Earthworks (Small Works) / 8.3\ SCHEDULED ITEMS / 8.3.1b \ Excavate in all materials and use for embankments or backfill or dispose, as ordered by the engineer. /\LS08_001-Removal of Berm  \m³\43.75 \ 30" u="1"/>
        <s v="SABS1200 DA \EARTHWORKS (SMALL WORKS)/8.3\SCHEDULED ITEMS/8.3.1b\Excavate in all materials and use for embankments or backfill or dispose, as ordered by the engineer. /\KS20_004-Concrete Drop Inlet. Refer to drawing NBC-GTW-CL-0030 \m³\42.774586 \ 30" u="1"/>
        <s v="SABS1200 DA \EARTHWORKS (SMALL WORKS)/8.3\SCHEDULED ITEMS/8.3.1b\Excavate in all materials and use for embankments or backfill or dispose, as ordered by the engineer. /\LS16_013-Gabion energy breaker  \m³\13.68 \ 30" u="1"/>
        <s v="SABS1200 DA  \ Earthworks (Small Works) / 8.3\ SCHEDULED ITEMS / 8.3.1b \ Excavate in all materials and use for embankments or backfill or dispose, as ordered by the engineer. /\LS12_001-Removal of dam wall  \m³\1696.474 \ 30" u="1"/>
        <s v="SABS1200 DA  \ Earthworks (Small Works) / 8.3\ SCHEDULED ITEMS / 8.3.1b \ Excavate in all materials and use for embankments or backfill or dispose, as ordered by the engineer. /\LS16_020-Removal of Road \m³\744.2325 \ 30" u="1"/>
        <s v="SABS1200 DA  \ Earthworks (Small Works) / 8.3\ SCHEDULED ITEMS / 8.3.1b \ Excavate in all materials and use for embankments or backfill or dispose, as ordered by the engineer. /\Pan8_003-Removal of Dam Wall \m³\324.3575 \ 30" u="1"/>
        <s v="SABS1200 DA  \ Earthworks (Small Works) / 8.3\ SCHEDULED ITEMS / 8.3.1b \ Excavate in all materials and use for embankments or backfill or dispose, as ordered by the engineer. /\Pan14_008-Infilling of Drains \m³\73.44 \ 30" u="1"/>
        <s v="SABS1200 DA \EARTHWORKS (SMALL WORKS)/8.3\SCHEDULED ITEMS/8.3.1b\Excavate in all materials and use for embankments or backfill or dispose, as ordered by the engineer. /\KS12_002-Concrete Drop Inlet. Refer to drawing NBC-GTW-CL-0002 \m³\37 \ 30" u="1"/>
        <s v="SABS1200 DA \EARTHWORKS (SMALL WORKS)/8.3\SCHEDULED ITEMS/8.3.1b\Excavate in all materials and use for embankments or backfill or dispose, as ordered by the engineer. /\KS18_017-Concrete Drop Inlet. Drawing NBC-GTW-CL-0023 \m³\43.59664 \ 30" u="1"/>
        <s v="SABS1200 DA \EARTHWORKS (SMALL WORKS)/8.3\SCHEDULED ITEMS/8.3.1b\Excavate in all materials and use for embankments or backfill or dispose, as ordered by the engineer. /\KS18-014-Concrete Filled Geo-Cell Berm. Refer to drawing NBC-GTW-CL-0001 \m³\23.9803125 \ 30" u="1"/>
        <s v="SABS1200 DA \EARTHWORKS (SMALL WORKS)/8.3\SCHEDULED ITEMS/8.3.1b\Excavate in all materials and use for embankments or backfill or dispose, as ordered by the engineer. /\KS13_011-Concrete Drop Inlet. Drawing NBC-GTW-CL-0015 \m³\38.8 \ 30" u="1"/>
        <s v="SABS1200 DA \EARTHWORKS (SMALL WORKS)/8.3\SCHEDULED ITEMS/8.3.1b\Excavate in all materials and use for embankments or backfill or dispose, as ordered by the engineer. /\KS13_003-Concrete Drop Inlet. Drawing NBC-GTW-CL-0009 \m³\44.0325 \ 30" u="1"/>
        <s v="SABS1200 DA \EARTHWORKS (SMALL WORKS)/8.3\SCHEDULED ITEMS/8.3.1b\Excavate in all materials and use for embankments or backfill or dispose, as ordered by the engineer. /\KS12_008-Concrete Drop Inlet. Refer to drawing NBC-GTW-CL-0007 \m³\33.21409 \ 30" u="1"/>
        <s v="SABS1200 DA \EARTHWORKS (SMALL WORKS)/8.3\SCHEDULED ITEMS/8.3.1b\Excavate in all materials and use for embankments or backfill or dispose, as ordered by the engineer. /\LS16_020-Removal of Road  \m³\744.2325 \ 30" u="1"/>
        <s v="SABS1200 DA  \ Earthworks (Small Works) / 8.3\ SCHEDULED ITEMS / 8.3.1b \ Excavate in all materials and use for embankments or backfill or dispose, as ordered by the engineer. /\KS13_016-Infilling of Drains \m³\111.91475 \ 30" u="1"/>
        <s v="SABS1200 DA  \ Earthworks (Small Works) / 8.3\ SCHEDULED ITEMS / 8.3.1b \ Excavate in all materials and use for embankments or backfill or dispose, as ordered by the engineer. /\KS12_003-Removal of Berm and Dam Wall \m³\801.25656625 \ 30" u="1"/>
        <s v="SABS1200 DA \EARTHWORKS (SMALL WORKS)/8.3\SCHEDULED ITEMS/8.3.1b\Excavate in all materials and use for embankments or backfill or dispose, as ordered by the engineer. /\KS20_006-Concrete Drop Inlet. Refer to drawing NBC-GTW-CL-0032 \m³\71.558085 \ 30" u="1"/>
        <s v="SABS1200 DA \EARTHWORKS (SMALL WORKS)/8.3\SCHEDULED ITEMS/8.3.1b\Excavate in all materials and use for embankments or backfill or dispose, as ordered by the engineer. /\KS21_003-Concrete Drop Inlet. Drawing NBC-GTW-CL-0039 \m³\25.78775 \ 30" u="1"/>
        <s v="SABS1200 DA \EARTHWORKS (SMALL WORKS)/8.3\SCHEDULED ITEMS/8.3.1b\Excavate in all materials and use for embankments or backfill or dispose, as ordered by the engineer. /\KS12_009-Concrete Drop Inlet. Drawing NBC-GTW-CL-0008 \m³\21.46164 \ 30" u="1"/>
        <s v="SABS1200 DA \EARTHWORKS (SMALL WORKS)/8.3\SCHEDULED ITEMS/8.3.1b\Excavate in all materials and use for embankments or backfill or dispose, as ordered by the engineer. /\LS16_012-Removal of Road  \m³\161.55 \ 30" u="1"/>
        <s v="SABS1200 DA \EARTHWORKS (SMALL WORKS)/8.3\SCHEDULED ITEMS/8.3.1b\Excavate in all materials and use for embankments or backfill or dispose, as ordered by the engineer. /\DS12_004-Removal of earthen material  \m³\523.01728 \ 30" u="1"/>
        <s v="SABS1200 DA  \ Earthworks (Small Works) / 8.3\ SCHEDULED ITEMS / 8.3.1b \ Excavate in all materials and use for embankments or backfill or dispose, as ordered by the engineer. /\LS16_012-Removal of Road  \m³\161.55 \ 30" u="1"/>
        <s v="SABS1200 DA \EARTHWORKS (SMALL WORKS)/8.3\SCHEDULED ITEMS/8.3.1b\Excavate in all materials and use for embankments or backfill or dispose, as ordered by the engineer. /\KS13_013-Concrete Drop Inlet. Refer to drawing NBC-GTW-CL-0017 \m³\37.8822 \ 30" u="1"/>
        <s v="SABS1200 DA \EARTHWORKS (SMALL WORKS)/8.3\SCHEDULED ITEMS/8.3.1b\Excavate in all materials and use for embankments or backfill or dispose, as ordered by the engineer. /\KS12_006-Concrete Drop Inlet. Refer to drawing NBC-GTW-CL-0005 \m³\31.948975 \ 30" u="1"/>
        <s v="SABS1200 DA \EARTHWORKS (SMALL WORKS)/8.3\SCHEDULED ITEMS/8.3.1b\Excavate in all materials and use for embankments or backfill or dispose, as ordered by the engineer. /\KS13_011-Concrete Drop Inlet. Refer to drawing NBC-GTW-CL-0015 \m³\38.8 \ 30" u="1"/>
        <s v="SABS1200 DA \EARTHWORKS (SMALL WORKS)/8.3\SCHEDULED ITEMS/8.3.1b\Excavate in all materials and use for embankments or backfill or dispose, as ordered by the engineer. /\ks11-002b-Concrete Splash Through Structure. Refer to drawing NBC-GTW-CL-0067 \m³\210 \ 30" u="1"/>
        <s v="SABS1200 DA \EARTHWORKS (SMALL WORKS)/8.3\SCHEDULED ITEMS/8.3.1b\Excavate in all materials and use for embankments or backfill or dispose, as ordered by the engineer. /\ks11-004b-Concrete Splash Through Structure. Refer to drawing NBC-GTW-CL-0068 \m³\210 \ 30" u="1"/>
        <s v="SABS1200 DA  / Earthworks (Small Works) / 8.3 / 8.3.1b / Excavate in all materials and use for embankments or backfill or dispose, as ordered / KS12_010-Removal of Dam Wall / 211.894375 / m³" u="1"/>
        <s v="SABS1200 DA \EARTHWORKS (SMALL WORKS)/8.3\SCHEDULED ITEMS/8.3.1b\Excavate in all materials and use for embankments or backfill or dispose, as ordered by the engineer. /\KS13_004-Concrete Drop Inlet. Refer to drawing NBC-GTW-CL-0010 \m³\32.319 \ 30" u="1"/>
        <s v="SABS1200 DA \EARTHWORKS (SMALL WORKS)/8.3\SCHEDULED ITEMS/8.3.1b\Excavate in all materials and use for embankments or backfill or dispose, as ordered by the engineer. /\KS20_006-Concrete Drop Inlet. Drawing NBC-GTW-CL-0032 \m³\55.598465 \ 30" u="1"/>
        <s v="SABS1200 DA \EARTHWORKS (SMALL WORKS)/8.3\SCHEDULED ITEMS/8.3.1b\Excavate in all materials and use for embankments or backfill or dispose, as ordered by the engineer. /\Pan14-003-Remove berm and backfill drain  \m³\435.82 \ 30" u="1"/>
        <s v="SABS1200 DA \EARTHWORKS (SMALL WORKS)/8.3\SCHEDULED ITEMS/8.3.1b\Excavate in all materials and use for embankments or backfill or dispose, as ordered by the engineer. /\KS18_004-Concrete Cut-Off Walls. Refer to drawing NBC-GTW-CL-0045 \m³\5.355 \ 30" u="1"/>
        <s v="SABS1200 DA \EARTHWORKS (SMALL WORKS)/8.3\SCHEDULED ITEMS/8.3.1b\Excavate in all materials and use for embankments or backfill or dispose, as ordered by the engineer. /\KS20_007-Concrete Drop Inlet. Refer to drawing NBC-GTW-CL-0033 \m³\56.185603 \ 30" u="1"/>
        <s v="SABS1200 DA  / Earthworks (Small Works) / 8.3 / 8.3.1b / Excavate in all materials and use for embankments or backfill or dispose, as ordered / KS13_016-Infilling of Drains / 111.91475 / m³" u="1"/>
        <s v="SABS1200 DA  \ Earthworks (Small Works) / 8.3\ SCHEDULED ITEMS / 8.3.1b \ Excavate in all materials and use for embankments or backfill or dispose, as ordered by the engineer. /\KS13_010-Removal of Berm \m³\336.92505 \ 30" u="1"/>
        <s v="SABS1200 DA  \ Earthworks (Small Works) / 8.3\ SCHEDULED ITEMS / 8.3.1b \ Excavate in all materials and use for embankments or backfill or dispose, as ordered by the engineer. /\KS15_003-Removal of Dam Wall \m³\185.54375 \ 30" u="1"/>
        <s v="SABS1200 DA \EARTHWORKS (SMALL WORKS)/8.3\SCHEDULED ITEMS/8.3.1b\Excavate in all materials and use for embankments or backfill or dispose, as ordered by the engineer. /\LS16_010-Concrete Cut-Off Walls  \m³\5.1 \ 30" u="1"/>
        <s v="SABS1200 DA \EARTHWORKS (SMALL WORKS)/8.3\SCHEDULED ITEMS/8.3.1b\Excavate in all materials and use for embankments or backfill or dispose, as ordered by the engineer. /\KS18_002-Concrete Drop Inlet. Refer to drawing NBC-GTW-CL-0020 \m³\32.274065 \ 30" u="1"/>
        <s v="SABS1200 DA \EARTHWORKS (SMALL WORKS)/8.3\SCHEDULED ITEMS/8.3.1b\Excavate in all materials and use for embankments or backfill or dispose, as ordered by the engineer. /\KS12_004-Concrete Drop Inlet. Refer to drawing NBC-GTW-CL-0003 \m³\36.6111 \ 30" u="1"/>
        <s v="SABS1200 DA \Earthworks (Small Works)/8.3\SCHEDULED ITEMS/8.3.1b\Excavate in all materials and use for embankments or backfill or dispose, as ordered by the engineer. /\KS19_006-Removal of Dam Wall  \m³\523.29 \ 30" u="1"/>
        <s v="SABS1200 DA \EARTHWORKS (SMALL WORKS)/8.3\SCHEDULED ITEMS/8.3.1b\Excavate in all materials and use for embankments or backfill or dispose, as ordered by the engineer. /\KS18_020-Concrete Drop Inlet associated with Road Culvert  \m³\38.02413 \ 30" u="1"/>
        <s v="SABS1200 DA \EARTHWORKS (SMALL WORKS)/8.3\SCHEDULED ITEMS/8.3.1b\Excavate in all materials and use for embankments or backfill or dispose, as ordered by the engineer. /\KS19_001-Infilling of Drains  \m³\5 \ 30" u="1"/>
        <s v="SABS1200 DA \EARTHWORKS (SMALL WORKS)/8.3\SCHEDULED ITEMS/8.3.1b\Excavate in all materials and use for embankments or backfill or dispose, as ordered by the engineer. /\KS20_010-Infilling of Drains  \m³\3.6 \ 30" u="1"/>
        <s v="SABS1200 DA \EARTHWORKS (SMALL WORKS)/8.3\SCHEDULED ITEMS/8.3.1b\Excavate in all materials and use for embankments or backfill or dispose, as ordered by the engineer. /\KS20_009_b-Concrete Overflow Wall. Drawing NBC-GTW-CL-0035 \m³\30.7675 \ 30" u="1"/>
        <s v="SABS1200 DA \EARTHWORKS (SMALL WORKS)/8.3\SCHEDULED ITEMS/8.3.1b\Excavate in all materials and use for embankments or backfill or dispose, as ordered by the engineer. /\LS16_007-Concrete Cut-Off Walls  \m³\5.94 \ 30" u="1"/>
        <s v="SABS1200 DA \EARTHWORKS (SMALL WORKS)/8.3\SCHEDULED ITEMS/8.3.1b\Excavate in all materials and use for embankments or backfill or dispose, as ordered by the engineer. /\LS12_002-Removal of Berm  \m³\27.17 \ 30" u="1"/>
        <s v="SABS1200 DA  \ Earthworks (Small Works) / 8.3\ SCHEDULED ITEMS / 8.3.1b \ Excavate in all materials and use for embankments or backfill or dispose, as ordered by the engineer. /\KS12_010-Removal of Dam Wall \m³\211.894375 \ 30" u="1"/>
        <s v="SABS1200 DA  \ Earthworks (Small Works) / 8.3\ SCHEDULED ITEMS / 8.3.1b \ Excavate in all materials and use for embankments or backfill or dispose, as ordered by the engineer. /\KS15_003-Removal of Dam Wall  \m³\185.54375 \ 30" u="1"/>
        <s v="SABS1200 DA \EARTHWORKS (SMALL WORKS)/8.3\SCHEDULED ITEMS/8.3.1b\Excavate in all materials and use for embankments or backfill or dispose, as ordered by the engineer. /\ks11-001-Off-take structure  \m³\4 \ 30" u="1"/>
        <s v="SABS1200 DA \EARTHWORKS (SMALL WORKS)/8.3\SCHEDULED ITEMS/8.3.1b\Excavate in all materials and use for embankments or backfill or dispose, as ordered by the engineer. /\KS19_003-Headcut  \m³\5.316 \ 30" u="1"/>
        <s v="SABS1200 DA \EARTHWORKS (SMALL WORKS)/8.3\SCHEDULED ITEMS/8.3.1b\Excavate in all materials and use for embankments or backfill or dispose, as ordered by the engineer. /\KS21_007-Concrete Drop Inlet. Refer to drawing NBC-GTW-CL-0042 \m³\31.14898 \ 30" u="1"/>
        <s v="SABS1200 DA  \ Earthworks (Small Works) / 8.3\ SCHEDULED ITEMS / 8.3.1b \ Excavate in all materials and use for embankments or backfill or dispose, as ordered by the engineer. /\Pan14-002-Remove Berm  \m³\49.41 \ 30" u="1"/>
        <s v="SABS1200 DA  \ Earthworks (Small Works) / 8.3\ SCHEDULED ITEMS / 8.3.1b \ Excavate in all materials and use for embankments or backfill or dispose, as ordered by the engineer. /\LS08_001-Removal of Berm \m³\43.75 \ 30" u="1"/>
        <s v="SABS1200 DA  / Earthworks (Small Works) / 8.3 / 8.3.1b / Excavate in all materials and use for embankments or backfill or dispose, as ordered / LS16_020-Removal of Road / 744.2325 / m³" u="1"/>
        <s v="SABS1200 DA \EARTHWORKS (SMALL WORKS)/8.3\SCHEDULED ITEMS/8.3.1b\Excavate in all materials and use for embankments or backfill or dispose, as ordered by the engineer. /\KS18_018-Concrete Drop Inlet. Refer to drawing NBC-GTW-CL-0024 \m³\52.32581 \ 30" u="1"/>
        <s v="SABS1200 DA  \ Earthworks (Small Works) / 8.3\ SCHEDULED ITEMS / 8.3.1b \ Excavate in all materials and use for embankments or backfill or dispose, as ordered by the engineer. /\Pan09_001-Removal of Dam Wall \m³\188.47125 \ 30" u="1"/>
        <s v="SABS1200 DA \EARTHWORKS (SMALL WORKS)/8.3\SCHEDULED ITEMS/8.3.1b\Excavate in all materials and use for embankments or backfill or dispose, as ordered by the engineer. /\KS20_004-Concrete Drop Inlet. Drawing NBC-GTW-CL-0030 \m³\42.774586 \ 30" u="1"/>
        <s v="SABS1200 DA \EARTHWORKS (SMALL WORKS)/8.3\SCHEDULED ITEMS/8.3.1b\Excavate in all materials and use for embankments or backfill or dispose, as ordered by the engineer. /\LS16_016-Gabion energy breaker  \m³\20 \ 30" u="1"/>
        <s v="SABS1200 DA \EARTHWORKS (SMALL WORKS)/8.3\SCHEDULED ITEMS/8.3.1b\Excavate in all materials and use for embankments or backfill or dispose, as ordered by the engineer. /\KS20_002-Concrete Drop Inlet. Refer to drawing NBC-GTW-CL-0028 \m³\60.04969 \ 30" u="1"/>
        <s v="SABS1200 DA \EARTHWORKS (SMALL WORKS)/8.3\SCHEDULED ITEMS/8.3.1b\Excavate in all materials and use for embankments or backfill or dispose, as ordered by the engineer. /\KS20_008-Concrete Drop Inlet. Refer to drawing NBC-GTW-CL-0034 \m³\54.33924 \ 30" u="1"/>
        <s v="SABS1200 DA \EARTHWORKS (SMALL WORKS)/8.3\SCHEDULED ITEMS/8.3.1b\Excavate in all materials and use for embankments or backfill or dispose, as ordered by the engineer. /\KS18_012-Concrete Cut-Off Walls. Drawing NBC-GTW-CL-0045 \m³\6.6 \ 30" u="1"/>
        <s v="SABS1200 DA \EARTHWORKS (SMALL WORKS)/8.3\SCHEDULED ITEMS/8.3.1b\Excavate in all materials and use for embankments or backfill or dispose, as ordered by the engineer. /\KS20_005-Concrete Drop Inlet. Refer to drawing NBC-GTW-CL-0031 \m³\69.658655 \ 30" u="1"/>
        <s v="SABS1200 DA \EARTHWORKS (SMALL WORKS)/8.3\SCHEDULED ITEMS/8.3.1b\Excavate in all materials and use for embankments or backfill or dispose, as ordered by the engineer. /\KS18_011-Concrete Cut-Off Walls. Refer to drawing NBC-GTW-CL-0045 \m³\6 \ 30" u="1"/>
        <s v="SABS1200 DA \EARTHWORKS (SMALL WORKS)/8.3\SCHEDULED ITEMS/8.3.1b\Excavate in all materials and use for embankments or backfill or dispose, as ordered by the engineer. /\KS18_013-Concrete Cut-Off Walls. Refer to drawing NBC-GTW-CL-0045 \m³\6 \ 30" u="1"/>
        <s v="SABS1200 DA \EARTHWORKS (SMALL WORKS)/8.3\SCHEDULED ITEMS/8.3.1b\Excavate in all materials and use for embankments or backfill or dispose, as ordered by the engineer. /\KS20_003-Concrete Buttress Weir. Refer to drawing NBC-GTW-CL-0029 \m³\82.9571958 \ 30" u="1"/>
        <s v="SABS1200 DA  / Earthworks (Small Works) / 8.3 / 8.3.1b / Excavate in all materials and use for embankments or backfill or dispose, as ordered / LS08_001-Removal of Berm / 43.75 / m³" u="1"/>
        <s v="SABS1200 DA  \ Earthworks (Small Works) / 8.3\ SCHEDULED ITEMS / 8.3.1b \ Excavate in all materials and use for embankments or backfill or dispose, as ordered by the engineer. /\LS12_001-Removal of dam wall \m³\1696.474 \ 30" u="1"/>
        <s v="SABS1200 DA \EARTHWORKS (SMALL WORKS)/8.3\SCHEDULED ITEMS/8.3.1b\Excavate in all materials and use for embankments or backfill or dispose, as ordered by the engineer. /\ks11-004c-Dam wall excavation. Drawing NBC-GTW-CL-0068 \m³\665.25 \ 30" u="1"/>
        <s v="SABS1200 DA \EARTHWORKS (SMALL WORKS)/8.3\SCHEDULED ITEMS/8.3.1b\Excavate in all materials and use for embankments or backfill or dispose, as ordered by the engineer. /\LS08_001-Removal of Berm  \m³\43.75 \ 30" u="1"/>
        <s v="SABS1200 DA \EARTHWORKS (SMALL WORKS)/8.3\SCHEDULED ITEMS/8.3.1b\Excavate in all materials and use for embankments or backfill or dispose, as ordered by the engineer. /\KS18_016-Concrete Drop Inlet. Drawing NBC-GTW-CL-0022 \m³\46.41016 \ 30" u="1"/>
        <s v="SABS1200 DA \EARTHWORKS (SMALL WORKS)/8.3\SCHEDULED ITEMS/8.3.1b\Excavate in all materials and use for embankments or backfill or dispose, as ordered by the engineer. /\ks11-002b-Concrete Splash Through Structure. Drawing NBC-GTW-CL-0067 \m³\210 \ 30" u="1"/>
        <s v="SABS1200 DA \EARTHWORKS (SMALL WORKS)/8.3\SCHEDULED ITEMS/8.3.1b\Excavate in all materials and use for embankments or backfill or dispose, as ordered by the engineer. /\ks11-004b-Concrete Splash Through Structure. Drawing NBC-GTW-CL-0068 \m³\210 \ 30" u="1"/>
        <s v="SABS1200 DA \EARTHWORKS (SMALL WORKS)/8.3\SCHEDULED ITEMS/8.3.1b\Excavate in all materials and use for embankments or backfill or dispose, as ordered by the engineer. /\KS12_002-Concrete Drop Inlet. Drawing NBC-GTW-CL-0002 \m³\37 \ 30" u="1"/>
        <s v="SABS1200 DA \EARTHWORKS (SMALL WORKS)/8.3\SCHEDULED ITEMS/8.3.1b\Excavate in all materials and use for embankments or backfill or dispose, as ordered by the engineer. /\KS18_005-Concrete Cut-Off Walls. Drawing NBC-GTW-CL-0045 \m³\6.93 \ 30" u="1"/>
        <s v="SABS1200 DA \EARTHWORKS (SMALL WORKS)/8.3\SCHEDULED ITEMS/8.3.1b\Excavate in all materials and use for embankments or backfill or dispose, as ordered by the engineer. /\KS18_010-Concrete Cut-Off Walls. Drawing NBC-GTW-CL-0045 \m³\6.93 \ 30" u="1"/>
        <s v="SABS1200 DA \EARTHWORKS (SMALL WORKS)/8.3\SCHEDULED ITEMS/8.3.1b\Excavate in all materials and use for embankments or backfill or dispose, as ordered by the engineer. /\KS20_007-Concrete Drop Inlet. Drawing NBC-GTW-CL-0033 \m³\56.185603 \ 30" u="1"/>
        <s v="SABS1200 DA \EARTHWORKS (SMALL WORKS)/8.3\SCHEDULED ITEMS/8.3.1b\Excavate in all materials and use for embankments or backfill or dispose, as ordered by the engineer. /\KS18_001-Concrete Drop Inlet. Drawing NBC-GTW-CL-0019 \m³\61.486052 \ 30" u="1"/>
        <s v="SABS1200 DA \EARTHWORKS (SMALL WORKS)/8.3\SCHEDULED ITEMS/8.3.1b\Excavate in all materials and use for embankments or backfill or dispose, as ordered by the engineer. /\Pan8_001-Foreign Materials  \m³\18.9 \ 30" u="1"/>
        <s v="SABS1200 DA \EARTHWORKS (SMALL WORKS)/8.3\SCHEDULED ITEMS/8.3.1b\Excavate in all materials and use for embankments or backfill or dispose, as ordered by the engineer. /\KS21_009-Concrete Drop Inlet. Refer to drawing NBC-GTW-CL-0043 \m³\40.198585 \ 30" u="1"/>
        <s v="SABS1200 DA  / Earthworks (Small Works) / 8.3 / 8.3.1b / Excavate in all materials and use for embankments or backfill or dispose, as ordered / KS15_003-Removal of Dam Wall / 185.54375 / m³" u="1"/>
        <s v="SABS1200 DA \EARTHWORKS (SMALL WORKS)/8.3\SCHEDULED ITEMS/8.3.1b\Excavate in all materials and use for embankments or backfill or dispose, as ordered by the engineer. /\KS18_019-Concrete Drop Inlet. Drawing NBC-GTW-CL-0025 \m³\36.11444 \ 30" u="1"/>
        <s v="SABS1200 DA  \ Earthworks (Small Works) / 8.3\ SCHEDULED ITEMS / 8.3.1b \ Excavate in all materials and use for embankments or backfill or dispose, as ordered by the engineer. /\LS12_002-Removal of Berm  \m³\27.17 \ 30" u="1"/>
        <s v="SABS1200 DA \EARTHWORKS (SMALL WORKS)/8.3\SCHEDULED ITEMS/8.3.1b\Excavate in all materials and use for embankments or backfill or dispose, as ordered by the engineer. /\KS21_007-Concrete Drop Inlet. Drawing NBC-GTW-CL-0042 \m³\31.14898 \ 30" u="1"/>
        <s v="SABS1200 DA \EARTHWORKS (SMALL WORKS)/8.3\SCHEDULED ITEMS/8.3.1b\Excavate in all materials and use for embankments or backfill or dispose, as ordered by the engineer. /\KS18_006-Concrete Cut-Off Walls. Refer to drawing NBC-GTW-CL-0045 \m³\6.615 \ 30" u="1"/>
        <s v="SABS1200 DA \EARTHWORKS (SMALL WORKS)/8.3\SCHEDULED ITEMS/8.3.1b\Excavate in all materials and use for embankments or backfill or dispose, as ordered by the engineer. /\KS16_005-Deactivate Drain  \m³\18.36 \ 30" u="1"/>
        <s v="SABS1200 DA \EARTHWORKS (SMALL WORKS)/8.3\SCHEDULED ITEMS/8.3.1b\Excavate in all materials and use for embankments or backfill or dispose, as ordered by the engineer. /\DS12_003-Excavation of Dam Wall  \m³\659.314 \ 30" u="1"/>
        <s v="SABS1200 DA \EARTHWORKS (SMALL WORKS)/8.3\SCHEDULED ITEMS/8.3.1b\Excavate in all materials and use for embankments or backfill or dispose, as ordered by the engineer. /\KS18_002-Concrete Drop Inlet. Drawing NBC-GTW-CL-0020 \m³\32.274065 \ 30" u="1"/>
        <s v="SABS1200 DA  \ Earthworks (Small Works) / 8.3\ SCHEDULED ITEMS / 8.3.1b \ Excavate in all materials and use for embankments or backfill or dispose, as ordered by the engineer. /\Pan09_001-Removal of Dam Wall  \m³\188.47125 \ 30" u="1"/>
        <s v="SABS1200 DA \EARTHWORKS (SMALL WORKS)/8.3\SCHEDULED ITEMS/8.3.1b\Excavate in all materials and use for embankments or backfill or dispose, as ordered by the engineer. /\KS13_015-Concrete Drop Inlet. Drawing NBC-GTW-CL-0018 \m³\45.89906 \ 30" u="1"/>
        <s v="SABS1200 DA \EARTHWORKS (SMALL WORKS)/8.3\SCHEDULED ITEMS/8.3.1b\Excavate in all materials and use for embankments or backfill or dispose, as ordered by the engineer. /\KS20_009_a-Concrete Buttress Weir. Refer to drawing NBC-GTW-CL-0035 \m³\132.757199 \ 30" u="1"/>
        <s v="SABS1200 DA \EARTHWORKS (SMALL WORKS)/8.3\SCHEDULED ITEMS/8.3.1b\Excavate in all materials and use for embankments or backfill or dispose, as ordered by the engineer. /\LS16_003-Concrete Cut-Off Walls  \m³\2.1 \ 30" u="1"/>
      </sharedItems>
    </cacheField>
    <cacheField name="ci)Excavation (Extra-over intermediate)3" numFmtId="0">
      <sharedItems count="30">
        <s v=" "/>
        <s v="SABS1200 DA \EARTHWORKS (SMALL WORKS)/8.3\SCHEDULED ITEMS/8.3.1c 1\Extra-over for intermediate excavation. (Provisional Quantities)/\LS12_001-Removal of dam wall  \m³\1696.474 \ 75" u="1"/>
        <s v="SABS1200 DA \EARTHWORKS (SMALL WORKS)/8.3\SCHEDULED ITEMS/8.3.1c 1\Extra-over for intermediate excavation. (Provisional Quantities)/\DS12_003-Excavation of Dam Wall  \m³\659.314 \ 75" u="1"/>
        <s v="SABS1200 DA \EARTHWORKS (SMALL WORKS)/8.3\SCHEDULED ITEMS/8.3.1c 1\Extra-over for intermediate excavation. (Provisional Quantities)/\KS13_010-Removal of Berm  \m³\336.92505 \ 75" u="1"/>
        <s v="SABS1200 DA \EARTHWORKS (SMALL WORKS)/8.3\SCHEDULED ITEMS/8.3.1c 1\Extra-over for intermediate excavation. (Provisional Quantities)/\ks11-004c-Dam wall excavation. Refer to drawing NBC-GTW-CL-0068 \m³\665.25 \ 75" u="1"/>
        <s v="SABS1200 DA  / Earthworks (Small Works) / 8.3 / 8.3.1c 1 / Extra-over for intermediate excavation / Pan8_003-Removal of Dam Wall / 32.43575 / m³" u="1"/>
        <s v="SABS1200 DA \EARTHWORKS (SMALL WORKS)/8.3\SCHEDULED ITEMS/8.3.1c 1\Extra-over for intermediate excavation. (Provisional Quantities)/\ks11-002c-Dam wall excavation  \m³\2651.36666666667 \ 75" u="1"/>
        <s v="SABS1200 DA \EARTHWORKS (SMALL WORKS)/8.3\SCHEDULED ITEMS/8.3.1c 1\Extra-over for intermediate excavation. (Provisional Quantities)/\LS08_001-Removal of Berm  \m³\43.75 \ 75" u="1"/>
        <s v="SABS1200 DA \EARTHWORKS (SMALL WORKS)/8.3\SCHEDULED ITEMS/8.3.1c 1\Extra-over for intermediate excavation. (Provisional Quantities)/\KS16_002-Excavate Dam Wall  \m³\89.7 \ 75" u="1"/>
        <s v="SABS1200 DA \EARTHWORKS (SMALL WORKS)/8.3\SCHEDULED ITEMS/8.3.1c 1\Extra-over for intermediate excavation. (Provisional Quantities)/\KS19_006-Removal of Dam Wall  \m³\1385.03125 \ 75" u="1"/>
        <s v="SABS1200 DA \EARTHWORKS (SMALL WORKS)/8.3\SCHEDULED ITEMS/8.3.1c 1\Extra-over for intermediate excavation. (Provisional Quantities)/\KS12_010-Removal of Dam Wall  \m³\211.894375 \ 75" u="1"/>
        <s v="SABS1200 DA \EARTHWORKS (SMALL WORKS)/8.3\SCHEDULED ITEMS/8.3.1c 1\Extra-over for intermediate excavation. (Provisional Quantities)/\ks11-004c-Dam wall excavation. Drawing NBC-GTW-CL-0068 \m³\665.25 \ 75" u="1"/>
        <s v="SABS1200 DA \EARTHWORKS (SMALL WORKS)/8.3\SCHEDULED ITEMS/8.3.1c 1\Extra-over for intermediate excavation. (Provisional Quantities)/\ks11-004c-Dam wall excavation  \m³\665.25 \ 75" u="1"/>
        <s v="SABS1200 DA \EARTHWORKS (SMALL WORKS)/8.3\SCHEDULED ITEMS/8.3.1c 1\Extra-over for intermediate excavation. (Provisional Quantities)/\Pan09_001-Removal of Dam Wall  \m³\188.47125 \ 75" u="1"/>
        <s v="SABS1200 DA \EARTHWORKS (SMALL WORKS)/8.3\SCHEDULED ITEMS/8.3.1c 1\Extra-over for intermediate excavation. (Provisional Quantities)/\KS15_003-Removal of Dam Wall  \m³\185.54375 \ 75" u="1"/>
        <s v="SABS1200 DA \EARTHWORKS (SMALL WORKS)/8.3\SCHEDULED ITEMS/8.3.1c 1\Extra-over for intermediate excavation. (Provisional Quantities)/\LS16_020-Removal of Road  \m³\744.2325 \ 75" u="1"/>
        <s v="SABS1200 DA \EARTHWORKS (SMALL WORKS)/8.3\SCHEDULED ITEMS/8.3.1c 1\Extra-over for intermediate excavation. (Provisional Quantities)/\LS16_021-Backfill Main Channel  \m³\7.5 \ 75" u="1"/>
        <s v="SABS1200 DA \EARTHWORKS (SMALL WORKS)/8.3\SCHEDULED ITEMS/8.3.1c 1\Extra-over for intermediate excavation. (Provisional Quantities)/\LS16_012-Removal of Road  \m³\161.55 \ 75" u="1"/>
        <s v="SABS1200 DA \EARTHWORKS (SMALL WORKS)/8.3\SCHEDULED ITEMS/8.3.1c 1\Extra-over for intermediate excavation. (Provisional Quantities)/\Pan8_003-Removal of Dam Wall  \m³\32.43575 \ 75" u="1"/>
        <s v="SABS1200 DA \EARTHWORKS (SMALL WORKS)/8.3\SCHEDULED ITEMS/8.3.1c 1\Extra-over for intermediate excavation. (Provisional Quantities)/\ks11-002c-Dam wall excavation. Refer to drawing NBC-GTW-CL-0067 \m³\2651.36666666667 \ 75" u="1"/>
        <s v="SABS1200 DA  \ Earthworks (Small Works) / 8.3\ SCHEDULED ITEMS / 8.3.1c 1 \ Extra-over for intermediate excavation. (Provisional Quantities)/\Pan8_003-Removal of Dam Wall  \m³\32.43575 \ 75" u="1"/>
        <s v="SABS1200 DA \EARTHWORKS (SMALL WORKS)/8.3\SCHEDULED ITEMS/8.3.1c 1\Extra-over for intermediate excavation. (Provisional Quantities)/\ks11-002c-Dam wall excavation. Drawing NBC-GTW-CL-0067 \m³\2651.36666666667 \ 75" u="1"/>
        <s v="SABS1200 DA  \ Earthworks (Small Works) / 8.3\ SCHEDULED ITEMS / 8.3.1c 1 \ Extra-over for intermediate excavation. /\Pan8_003-Removal of Dam Wall \m³\32.43575 \ 75" u="1"/>
        <s v="SABS1200 DA \EARTHWORKS (SMALL WORKS)/8.3\SCHEDULED ITEMS/8.3.1c 1\Extra-over for intermediate excavation. (Provisional Quantities)/\DS12_001-Excavation of Dam Wall  \m³\1419.11 \ 75" u="1"/>
        <s v="SABS1200 DA \EARTHWORKS (SMALL WORKS)/8.3\SCHEDULED ITEMS/8.3.1c 1\Extra-over for intermediate excavation. (Provisional Quantities)/\LS12_002-Removal of Berm  \m³\27.17 \ 75" u="1"/>
        <s v="SABS1200 DA \EARTHWORKS (SMALL WORKS)/8.3\SCHEDULED ITEMS/8.3.1c 1\Extra-over for intermediate excavation. (Provisional Quantities)/\KS12_003-Removal of Berm and Dam Wall  \m³\801.25656625 \ 75" u="1"/>
        <s v="SABS1200 DA  \ Earthworks (Small Works) / 8.3\ SCHEDULED ITEMS / 8.3.1c 1 \ Extra-over for intermediate excavation. (Provisional Quantities)/\Pan8_003-Removal of Dam Wall \m³\32.43575 \ 75" u="1"/>
        <s v="SABS1200 DA \EARTHWORKS (SMALL WORKS)/8.3\SCHEDULED ITEMS/8.3.1c 1\Extra-over for intermediate excavation. (Provisional Quantities)/\KS13_016-Infilling of Drains  \m³\111.91475 \ 75" u="1"/>
        <s v="SABS1200 DA \EARTHWORKS (SMALL WORKS)/8.3\SCHEDULED ITEMS/8.3.1c 1\Extra-over for intermediate excavation. (Provisional Quantities)/\DS12_002-Backfilling Dam  \m³\1723.444675 \ 75" u="1"/>
        <s v="'" u="1"/>
      </sharedItems>
    </cacheField>
    <cacheField name="cii)Excavation (Extra-over Hard Rock)3" numFmtId="0">
      <sharedItems count="2">
        <s v=" "/>
        <s v="'" u="1"/>
      </sharedItems>
    </cacheField>
    <cacheField name="ciii) Excavation (Bolders-B)3" numFmtId="0">
      <sharedItems count="2">
        <s v=" "/>
        <s v="'" u="1"/>
      </sharedItems>
    </cacheField>
    <cacheField name="a) Excavation 3" numFmtId="0">
      <sharedItems count="557" longText="1">
        <s v="SABS1200 DA \EARTHWORKS (SMALL WORKS)/8.3\SCHEDULED ITEMS/8.3.2a\Excavate for restricted foundations, footings and trenches  in all materials and use for embankments or backfill or dispose. /\DS12_004-Removal of earthen material  \m³\523.01728 \ 85"/>
        <s v=" "/>
        <s v="SABS1200 DA \EARTHWORKS (SMALL WORKS)/8.3\SCHEDULED ITEMS/8.3.2a\Excavate for restricted foundations, footings and trenches  in all materials and use for embankments or backfill or dispose. /\ks11-001-Off-take structure  \m³\4 \ 85"/>
        <s v="SABS1200 DA \EARTHWORKS (SMALL WORKS)/8.3\SCHEDULED ITEMS/8.3.2a\Excavate for restricted foundations, footings and trenches  in all materials and use for embankments or backfill or dispose. /\ks11-002a-Concrete Drop Inlet on Dam Wall  \m³\394.7652 \ 85"/>
        <s v="SABS1200 DA \EARTHWORKS (SMALL WORKS)/8.3\SCHEDULED ITEMS/8.3.2a\Excavate for restricted foundations, footings and trenches  in all materials and use for embankments or backfill or dispose. /\ks11-002b-Concrete Splash Through Structure. Drawing NBC-GTW-CL-0067 \m³\210 \ 85"/>
        <s v="SABS1200 DA \EARTHWORKS (SMALL WORKS)/8.3\SCHEDULED ITEMS/8.3.2a\Excavate for restricted foundations, footings and trenches  in all materials and use for embankments or backfill or dispose. /\ks11-004a-Concrete Drop Inlet on Dam Wall  \m³\355.8966 \ 85"/>
        <s v="SABS1200 DA \EARTHWORKS (SMALL WORKS)/8.3\SCHEDULED ITEMS/8.3.2a\Excavate for restricted foundations, footings and trenches  in all materials and use for embankments or backfill or dispose. /\ks11-004b-Concrete Splash Through Structure. Drawing NBC-GTW-CL-0068 \m³\210 \ 85"/>
        <s v="SABS1200 DA \EARTHWORKS (SMALL WORKS)/8.3\SCHEDULED ITEMS/8.3.2a\Excavate for restricted foundations, footings and trenches  in all materials and use for embankments or backfill or dispose. /\KS12_001-Pipe Culvert. Drawing NBC-GTW-CL-0069 \m³\2 \ 85"/>
        <s v="SABS1200 DA \EARTHWORKS (SMALL WORKS)/8.3\SCHEDULED ITEMS/8.3.2a\Excavate for restricted foundations, footings and trenches  in all materials and use for embankments or backfill or dispose. /\KS12_002-Concrete Drop Inlet. Drawing NBC-GTW-CL-0002 \m³\37 \ 85"/>
        <s v="SABS1200 DA \EARTHWORKS (SMALL WORKS)/8.3\SCHEDULED ITEMS/8.3.2a\Excavate for restricted foundations, footings and trenches  in all materials and use for embankments or backfill or dispose. /\KS12_004-Concrete Drop Inlet. Drawing NBC-GTW-CL-0003 \m³\36.6111 \ 85"/>
        <s v="SABS1200 DA \EARTHWORKS (SMALL WORKS)/8.3\SCHEDULED ITEMS/8.3.2a\Excavate for restricted foundations, footings and trenches  in all materials and use for embankments or backfill or dispose. /\KS12_005-Concrete Drop Inlet. Drawing NBC-GTW-CL-0004 \m³\36.4286202 \ 85"/>
        <s v="SABS1200 DA \EARTHWORKS (SMALL WORKS)/8.3\SCHEDULED ITEMS/8.3.2a\Excavate for restricted foundations, footings and trenches  in all materials and use for embankments or backfill or dispose. /\KS12_006-Concrete Drop Inlet. Drawing NBC-GTW-CL-0005 \m³\31.948975 \ 85"/>
        <s v="SABS1200 DA \EARTHWORKS (SMALL WORKS)/8.3\SCHEDULED ITEMS/8.3.2a\Excavate for restricted foundations, footings and trenches  in all materials and use for embankments or backfill or dispose. /\KS12_007-Concrete Drop Inlet. Drawing NBC-GTW-CL-0006 \m³\47.313325 \ 85"/>
        <s v="SABS1200 DA \EARTHWORKS (SMALL WORKS)/8.3\SCHEDULED ITEMS/8.3.2a\Excavate for restricted foundations, footings and trenches  in all materials and use for embankments or backfill or dispose. /\KS12_008-Concrete Drop Inlet. Drawing NBC-GTW-CL-0007 \m³\33.21409 \ 85"/>
        <s v="SABS1200 DA \EARTHWORKS (SMALL WORKS)/8.3\SCHEDULED ITEMS/8.3.2a\Excavate for restricted foundations, footings and trenches  in all materials and use for embankments or backfill or dispose. /\KS12_009-Concrete Drop Inlet. Drawing NBC-GTW-CL-0008 \m³\21.46164 \ 85"/>
        <s v="SABS1200 DA \EARTHWORKS (SMALL WORKS)/8.3\SCHEDULED ITEMS/8.3.2a\Excavate for restricted foundations, footings and trenches  in all materials and use for embankments or backfill or dispose. /\KS13_003-Concrete Drop Inlet. Drawing NBC-GTW-CL-0009 \m³\44.0325 \ 85"/>
        <s v="SABS1200 DA \EARTHWORKS (SMALL WORKS)/8.3\SCHEDULED ITEMS/8.3.2a\Excavate for restricted foundations, footings and trenches  in all materials and use for embankments or backfill or dispose. /\KS13_004-Concrete Check Wall. Drawing NBC-GTW-CL-0010 \m³\5.322 \ 85"/>
        <s v="SABS1200 DA \EARTHWORKS (SMALL WORKS)/8.3\SCHEDULED ITEMS/8.3.2a\Excavate for restricted foundations, footings and trenches  in all materials and use for embankments or backfill or dispose. /\KS13_005-Concrete Check Wall. Drawing NBC-GTW-CL-0011 \m³\7.482 \ 85"/>
        <s v="SABS1200 DA \EARTHWORKS (SMALL WORKS)/8.3\SCHEDULED ITEMS/8.3.2a\Excavate for restricted foundations, footings and trenches  in all materials and use for embankments or backfill or dispose. /\KS13_006-Concrete Check Wall. Drawing NBC-GTW-CL-0012 \m³\7.4025 \ 85"/>
        <s v="SABS1200 DA \EARTHWORKS (SMALL WORKS)/8.3\SCHEDULED ITEMS/8.3.2a\Excavate for restricted foundations, footings and trenches  in all materials and use for embankments or backfill or dispose. /\KS13_007-Concrete Check Wall. Drawing NBC-GTW-CL-0013 \m³\5.8575 \ 85"/>
        <s v="SABS1200 DA \EARTHWORKS (SMALL WORKS)/8.3\SCHEDULED ITEMS/8.3.2a\Excavate for restricted foundations, footings and trenches  in all materials and use for embankments or backfill or dispose. /\KS13_008-Concrete Check Wall. Drawing NBC-GTW-CL-0014 \m³\7.515 \ 85"/>
        <s v="SABS1200 DA \EARTHWORKS (SMALL WORKS)/8.3\SCHEDULED ITEMS/8.3.2a\Excavate for restricted foundations, footings and trenches  in all materials and use for embankments or backfill or dispose. /\KS13_011-Concrete Check Wall. Drawing NBC-GTW-CL-0015 \m³\6.696 \ 85"/>
        <s v="SABS1200 DA \EARTHWORKS (SMALL WORKS)/8.3\SCHEDULED ITEMS/8.3.2a\Excavate for restricted foundations, footings and trenches  in all materials and use for embankments or backfill or dispose. /\KS13_012-Concrete Check Wall. Drawing NBC-GTW-CL-0016 \m³\6.012 \ 85"/>
        <s v="SABS1200 DA \EARTHWORKS (SMALL WORKS)/8.3\SCHEDULED ITEMS/8.3.2a\Excavate for restricted foundations, footings and trenches  in all materials and use for embankments or backfill or dispose. /\KS13_013-Concrete Check Wall. Drawing NBC-GTW-CL-0017 \m³\5.166 \ 85"/>
        <s v="SABS1200 DA \EARTHWORKS (SMALL WORKS)/8.3\SCHEDULED ITEMS/8.3.2a\Excavate for restricted foundations, footings and trenches  in all materials and use for embankments or backfill or dispose. /\KS13_015-Concrete Check Wall. Drawing NBC-GTW-CL-0018 \m³\5.361 \ 85"/>
        <s v="SABS1200 DA \EARTHWORKS (SMALL WORKS)/8.3\SCHEDULED ITEMS/8.3.2a\Excavate for restricted foundations, footings and trenches  in all materials and use for embankments or backfill or dispose. /\KS13_017-Backfilling Main Channel  \m³\633.5898924573 \ 85"/>
        <s v="SABS1200 DA \EARTHWORKS (SMALL WORKS)/8.3\SCHEDULED ITEMS/8.3.2a\Excavate for restricted foundations, footings and trenches  in all materials and use for embankments or backfill or dispose. /\KS15_001-Concrete Check Wall  \m³\6.264 \ 85"/>
        <s v="SABS1200 DA \EARTHWORKS (SMALL WORKS)/8.3\SCHEDULED ITEMS/8.3.2a\Excavate for restricted foundations, footings and trenches  in all materials and use for embankments or backfill or dispose. /\KS15-002-Backfill Main Channel  \m³\980 \ 85"/>
        <s v="SABS1200 DA \EARTHWORKS (SMALL WORKS)/8,3\SCHEDULED ITEMS/8.3.2a\Excavate for restricted foundations, footings and trenches  in all materials and use for embankments or backfill or dispose. /\KS16_003-Ecologs  \m³\14,22 \ 85"/>
        <s v="SABS1200 DA \EARTHWORKS (SMALL WORKS)/8,3\SCHEDULED ITEMS/8.3.2a\Excavate for restricted foundations, footings and trenches  in all materials and use for embankments or backfill or dispose. /\KS16_005-Ecologs  \m³\18,36 \ 85"/>
        <s v="SABS1200 DA \EARTHWORKS (SMALL WORKS)/8.3\SCHEDULED ITEMS/8.3.2a\Excavate for restricted foundations, footings and trenches  in all materials and use for embankments or backfill or dispose. /\KS18_001-Concrete Check Wall. Drawing NBC-GTW-CL-0019 \m³\12 \ 85"/>
        <s v="SABS1200 DA \EARTHWORKS (SMALL WORKS)/8.3\SCHEDULED ITEMS/8.3.2a\Excavate for restricted foundations, footings and trenches  in all materials and use for embankments or backfill or dispose. /\KS18_002A-Concrete Check Wall. Drawing NBC-GTW-CL-0020 \m³\8 \ 85"/>
        <s v="SABS1200 DA \EARTHWORKS (SMALL WORKS)/8.3\SCHEDULED ITEMS/8.3.2a\Excavate for restricted foundations, footings and trenches  in all materials and use for embankments or backfill or dispose. /\KS18_002B-Concrete Check Wall  \m³\6 \ 85"/>
        <s v="SABS1200 DA \EARTHWORKS (SMALL WORKS)/8,3\SCHEDULED ITEMS/8.3.2a\Excavate for restricted foundations, footings and trenches  in all materials and use for embankments or backfill or dispose. /\KS18_003-Concrete Check Wall. Drawing NBC-GTW-CL-0045 \m³\5,7 \ 85"/>
        <s v="SABS1200 DA \EARTHWORKS (SMALL WORKS)/8,3\SCHEDULED ITEMS/8.3.2a\Excavate for restricted foundations, footings and trenches  in all materials and use for embankments or backfill or dispose. /\KS18_004-Concrete Check Wall. Drawing NBC-GTW-CL-0045 \m³\5,355 \ 85"/>
        <s v="SABS1200 DA \EARTHWORKS (SMALL WORKS)/8,3\SCHEDULED ITEMS/8.3.2a\Excavate for restricted foundations, footings and trenches  in all materials and use for embankments or backfill or dispose. /\KS18_005-Concrete Check Wall. Drawing NBC-GTW-CL-0045 \m³\6,93 \ 85"/>
        <s v="SABS1200 DA \EARTHWORKS (SMALL WORKS)/8,3\SCHEDULED ITEMS/8.3.2a\Excavate for restricted foundations, footings and trenches  in all materials and use for embankments or backfill or dispose. /\KS18_006-Concrete Check Wall. Drawing NBC-GTW-CL-0045 \m³\6,615 \ 85"/>
        <s v="SABS1200 DA \EARTHWORKS (SMALL WORKS)/8,3\SCHEDULED ITEMS/8.3.2a\Excavate for restricted foundations, footings and trenches  in all materials and use for embankments or backfill or dispose. /\KS18_007-Concrete Check Wall. Drawing NBC-GTW-CL-0045 \m³\5,04 \ 85"/>
        <s v="SABS1200 DA \EARTHWORKS (SMALL WORKS)/8,3\SCHEDULED ITEMS/8.3.2a\Excavate for restricted foundations, footings and trenches  in all materials and use for embankments or backfill or dispose. /\KS18_008-Concrete Check Wall. Drawing NBC-GTW-CL-0045 \m³\5,76 \ 85"/>
        <s v="SABS1200 DA \EARTHWORKS (SMALL WORKS)/8,3\SCHEDULED ITEMS/8.3.2a\Excavate for restricted foundations, footings and trenches  in all materials and use for embankments or backfill or dispose. /\KS18_009-Concrete Check Wall. Drawing NBC-GTW-CL-0045 \m³\5,775 \ 85"/>
        <s v="SABS1200 DA \EARTHWORKS (SMALL WORKS)/8,3\SCHEDULED ITEMS/8.3.2a\Excavate for restricted foundations, footings and trenches  in all materials and use for embankments or backfill or dispose. /\KS18_010-Concrete Check Wall. Drawing NBC-GTW-CL-0045 \m³\6,93 \ 85"/>
        <s v="SABS1200 DA \EARTHWORKS (SMALL WORKS)/8,3\SCHEDULED ITEMS/8.3.2a\Excavate for restricted foundations, footings and trenches  in all materials and use for embankments or backfill or dispose. /\KS18_011-Concrete Check Wall. Drawing NBC-GTW-CL-0045 \m³\6 \ 85"/>
        <s v="SABS1200 DA \EARTHWORKS (SMALL WORKS)/8,3\SCHEDULED ITEMS/8.3.2a\Excavate for restricted foundations, footings and trenches  in all materials and use for embankments or backfill or dispose. /\KS18_012-Concrete Check Wall. Drawing NBC-GTW-CL-0045 \m³\6,6 \ 85"/>
        <s v="SABS1200 DA \EARTHWORKS (SMALL WORKS)/8,3\SCHEDULED ITEMS/8.3.2a\Excavate for restricted foundations, footings and trenches  in all materials and use for embankments or backfill or dispose. /\KS18_013-Concrete Check Wall. Drawing NBC-GTW-CL-0045 \m³\6 \ 85"/>
        <s v="SABS1200 DA \EARTHWORKS (SMALL WORKS)/8.3\SCHEDULED ITEMS/8.3.2a\Excavate for restricted foundations, footings and trenches  in all materials and use for embankments or backfill or dispose. /\KS18_015-Concrete Check Wall. Drawing NBC-GTW-CL-0021 \m³\7.74 \ 85"/>
        <s v="SABS1200 DA \EARTHWORKS (SMALL WORKS)/8.3\SCHEDULED ITEMS/8.3.2a\Excavate for restricted foundations, footings and trenches  in all materials and use for embankments or backfill or dispose. /\KS18_016-Concrete Check Wall. Drawing NBC-GTW-CL-0022 \m³\6.804 \ 85"/>
        <s v="SABS1200 DA \EARTHWORKS (SMALL WORKS)/8.3\SCHEDULED ITEMS/8.3.2a\Excavate for restricted foundations, footings and trenches  in all materials and use for embankments or backfill or dispose. /\KS18_017-Concrete Check Wall. Drawing NBC-GTW-CL-0023 \m³\5.94 \ 85"/>
        <s v="SABS1200 DA \EARTHWORKS (SMALL WORKS)/8.3\SCHEDULED ITEMS/8.3.2a\Excavate for restricted foundations, footings and trenches  in all materials and use for embankments or backfill or dispose. /\KS18_018-Concrete Check Wall. Drawing NBC-GTW-CL-0024 \m³\4.998 \ 85"/>
        <s v="SABS1200 DA \EARTHWORKS (SMALL WORKS)/8.3\SCHEDULED ITEMS/8.3.2a\Excavate for restricted foundations, footings and trenches  in all materials and use for embankments or backfill or dispose. /\KS18_019-Concrete Check Wall. Drawing NBC-GTW-CL-0025 \m³\6.624 \ 85"/>
        <s v="SABS1200 DA \EARTHWORKS (SMALL WORKS)/8.3\SCHEDULED ITEMS/8.3.2a\Excavate for restricted foundations, footings and trenches  in all materials and use for embankments or backfill or dispose. /\KS18_020-Concrete Check Wall  \m³\6.7575 \ 85"/>
        <s v="SABS1200 DA \EARTHWORKS (SMALL WORKS)/8,3\SCHEDULED ITEMS/8.3.2a\Excavate for restricted foundations, footings and trenches  in all materials and use for embankments or backfill or dispose. /\KS18_014-Concrete Check Wall. Drawing NBC-GTW-CL-0001 \m³\6,66 \ 85"/>
        <s v="SABS1200 DA \EARTHWORKS (SMALL WORKS)/8.3\SCHEDULED ITEMS/8.3.2a\Excavate for restricted foundations, footings and trenches  in all materials and use for embankments or backfill or dispose. /\KS18-021-Backfill Main Channel  \m³\1098 \ 85"/>
        <s v="SABS1200 DA \EARTHWORKS (SMALL WORKS)/8,3\SCHEDULED ITEMS/8.3.2a\Excavate for restricted foundations, footings and trenches  in all materials and use for embankments or backfill or dispose. /\KS19_001-Ecologs  \m³\5 \ 85"/>
        <s v="SABS1200 DA \EARTHWORKS (SMALL WORKS)/8.3\SCHEDULED ITEMS/8.3.2a\Excavate for restricted foundations, footings and trenches  in all materials and use for embankments or backfill or dispose. /\KS19_002-Concrete Drop Inlet. Drawing NBC-GTW-CL-0026 \m³\38.760038 \ 85"/>
        <s v="SABS1200 DA \EARTHWORKS (SMALL WORKS)/8,3\SCHEDULED ITEMS/8.3.2a\Excavate for restricted foundations, footings and trenches  in all materials and use for embankments or backfill or dispose. /\KS19_003-Ecologs  \m³\5,316 \ 85"/>
        <s v="SABS1200 DA \EARTHWORKS (SMALL WORKS)/8,3\SCHEDULED ITEMS/8.3.2a\Excavate for restricted foundations, footings and trenches  in all materials and use for embankments or backfill or dispose. /\KS19_004-Ecologs  \m³\4,5 \ 85"/>
        <s v="SABS1200 DA \EARTHWORKS (SMALL WORKS)/8,3\SCHEDULED ITEMS/8.3.2a\Excavate for restricted foundations, footings and trenches  in all materials and use for embankments or backfill or dispose. /\KS19_005-Ecologs  \m³\4,68 \ 85"/>
        <s v="SABS1200 DA \EARTHWORKS (SMALL WORKS)/8.3\SCHEDULED ITEMS/8.3.2a\Excavate for restricted foundations, footings and trenches  in all materials and use for embankments or backfill or dispose. /\KS20_001-Concrete Drop Inlet. Drawing NBC-GTW-CL-0027 \m³\51.93327 \ 85"/>
        <s v="SABS1200 DA \EARTHWORKS (SMALL WORKS)/8.3\SCHEDULED ITEMS/8.3.2a\Excavate for restricted foundations, footings and trenches  in all materials and use for embankments or backfill or dispose. /\KS20_002-Concrete Check Wall. Drawing NBC-GTW-CL-0028 \m³\6.453 \ 85"/>
        <s v="SABS1200 DA \EARTHWORKS (SMALL WORKS)/8.3\SCHEDULED ITEMS/8.3.2a\Excavate for restricted foundations, footings and trenches  in all materials and use for embankments or backfill or dispose. /\KS20_003-Concrete Check Wall. Drawing NBC-GTW-CL-0029 \m³\9.855 \ 85"/>
        <s v="SABS1200 DA \EARTHWORKS (SMALL WORKS)/8.3\SCHEDULED ITEMS/8.3.2a\Excavate for restricted foundations, footings and trenches  in all materials and use for embankments or backfill or dispose. /\KS20_004-Concrete Check Wall. Drawing NBC-GTW-CL-0030 \m³\9.405 \ 85"/>
        <s v="SABS1200 DA \EARTHWORKS (SMALL WORKS)/8.3\SCHEDULED ITEMS/8.3.2a\Excavate for restricted foundations, footings and trenches  in all materials and use for embankments or backfill or dispose. /\KS20_005-Concrete Check Wall. Drawing NBC-GTW-CL-0031 \m³\10.032 \ 85"/>
        <s v="SABS1200 DA \EARTHWORKS (SMALL WORKS)/8,3\SCHEDULED ITEMS/8.3.2a\Excavate for restricted foundations, footings and trenches  in all materials and use for embankments or backfill or dispose. /\KS20_006-Concrete Check Wall. Drawing NBC-GTW-CL-0032 \m³\10,035 \ 85"/>
        <s v="SABS1200 DA \EARTHWORKS (SMALL WORKS)/8.3\SCHEDULED ITEMS/8.3.2a\Excavate for restricted foundations, footings and trenches  in all materials and use for embankments or backfill or dispose. /\KS20_007-Concrete Check Wall. Drawing NBC-GTW-CL-0033 \m³\8.289 \ 85"/>
        <s v="SABS1200 DA \EARTHWORKS (SMALL WORKS)/8.3\SCHEDULED ITEMS/8.3.2a\Excavate for restricted foundations, footings and trenches  in all materials and use for embankments or backfill or dispose. /\KS20_008-Concrete Check Wall. Drawing NBC-GTW-CL-0034 \m³\10.8 \ 85"/>
        <s v="SABS1200 DA \EARTHWORKS (SMALL WORKS)/8.3\SCHEDULED ITEMS/8.3.2a\Excavate for restricted foundations, footings and trenches  in all materials and use for embankments or backfill or dispose. /\KS20_009_a-Concrete Check Wall. Drawing NBC-GTW-CL-0035 \m³\27 \ 85"/>
        <s v="SABS1200 DA \EARTHWORKS (SMALL WORKS)/8.3\SCHEDULED ITEMS/8.3.2a\Excavate for restricted foundations, footings and trenches  in all materials and use for embankments or backfill or dispose. /\KS20_009_b-Concrete Check Wall. Drawing NBC-GTW-CL-0035 \m³\16 \ 85"/>
        <s v="SABS1200 DA \EARTHWORKS (SMALL WORKS)/8.3\SCHEDULED ITEMS/8.3.2a\Excavate for restricted foundations, footings and trenches  in all materials and use for embankments or backfill or dispose. /\KS20_010-Ecologs  \m³\3.6 \ 85"/>
        <s v="SABS1200 DA \EARTHWORKS (SMALL WORKS)/8.3\SCHEDULED ITEMS/8.3.2a\Excavate for restricted foundations, footings and trenches  in all materials and use for embankments or backfill or dispose. /\KS20_011-Backfilling Main Channel  \m³\950 \ 85"/>
        <s v="SABS1200 DA \EARTHWORKS (SMALL WORKS)/8.3\SCHEDULED ITEMS/8.3.2a\Excavate for restricted foundations, footings and trenches  in all materials and use for embankments or backfill or dispose. /\KS21_001-10° sloped Grouted Pitching (Light). Drawing NBC-GTW-CL-0038 \m³\20 \ 85"/>
        <s v="SABS1200 DA \EARTHWORKS (SMALL WORKS)/8.3\SCHEDULED ITEMS/8.3.2a\Excavate for restricted foundations, footings and trenches  in all materials and use for embankments or backfill or dispose. /\KS21_003-Concrete Drop Inlet. Drawing NBC-GTW-CL-0039 \m³\25.78775 \ 85"/>
        <s v="SABS1200 DA \EARTHWORKS (SMALL WORKS)/8,3\SCHEDULED ITEMS/8.3.2a\Excavate for restricted foundations, footings and trenches  in all materials and use for embankments or backfill or dispose. /\KS21_005-Concrete Drop Inlet. Drawing NBC-GTW-CL-0040 \m³\25,78775 \ 85"/>
        <s v="SABS1200 DA \EARTHWORKS (SMALL WORKS)/8,3\SCHEDULED ITEMS/8.3.2a\Excavate for restricted foundations, footings and trenches  in all materials and use for embankments or backfill or dispose. /\KS21_006-Concrete Check Wall. Drawing NBC-GTW-CL-0041 \m³\7,98 \ 85"/>
        <s v="SABS1200 DA \EARTHWORKS (SMALL WORKS)/8,3\SCHEDULED ITEMS/8.3.2a\Excavate for restricted foundations, footings and trenches  in all materials and use for embankments or backfill or dispose. /\KS21_007-Concrete Check Wall. Drawing NBC-GTW-CL-0042 \m³\7,98 \ 85"/>
        <s v="SABS1200 DA \EARTHWORKS (SMALL WORKS)/8,3\SCHEDULED ITEMS/8.3.2a\Excavate for restricted foundations, footings and trenches  in all materials and use for embankments or backfill or dispose. /\KS21_009-Concrete Check Wall. Drawing NBC-GTW-CL-0043 \m³\7,98 \ 85"/>
        <s v="SABS1200 DA \EARTHWORKS (SMALL WORKS)/8,3\SCHEDULED ITEMS/8.3.2a\Excavate for restricted foundations, footings and trenches  in all materials and use for embankments or backfill or dispose. /\KS21-002-Earthworks  \m³\191,4 \ 85"/>
        <s v="SABS1200 DA \EARTHWORKS (SMALL WORKS)/8.3\SCHEDULED ITEMS/8.3.2a\Excavate for restricted foundations, footings and trenches  in all materials and use for embankments or backfill or dispose. /\LS16_001-Concrete Cut-Off Walls  \m³\5.04 \ 85"/>
        <s v="SABS1200 DA \EARTHWORKS (SMALL WORKS)/8.3\SCHEDULED ITEMS/8.3.2a\Excavate for restricted foundations, footings and trenches  in all materials and use for embankments or backfill or dispose. /\LS16_002-Concrete Cut-Off Walls  \m³\4.8 \ 85"/>
        <s v="SABS1200 DA \EARTHWORKS (SMALL WORKS)/8.3\SCHEDULED ITEMS/8.3.2a\Excavate for restricted foundations, footings and trenches  in all materials and use for embankments or backfill or dispose. /\LS16_003-Concrete Cut-Off Walls  \m³\2.1 \ 85"/>
        <s v="SABS1200 DA \EARTHWORKS (SMALL WORKS)/8.3\SCHEDULED ITEMS/8.3.2a\Excavate for restricted foundations, footings and trenches  in all materials and use for embankments or backfill or dispose. /\LS16_004-Concrete Cut-Off Walls  \m³\2.4 \ 85"/>
        <s v="SABS1200 DA \EARTHWORKS (SMALL WORKS)/8.3\SCHEDULED ITEMS/8.3.2a\Excavate for restricted foundations, footings and trenches  in all materials and use for embankments or backfill or dispose. /\LS16_005-Concrete Cut-Off Walls  \m³\3.6 \ 85"/>
        <s v="SABS1200 DA \EARTHWORKS (SMALL WORKS)/8.3\SCHEDULED ITEMS/8.3.2a\Excavate for restricted foundations, footings and trenches  in all materials and use for embankments or backfill or dispose. /\LS16_006-Concrete Cut-Off Walls  \m³\6.48 \ 85"/>
        <s v="SABS1200 DA \EARTHWORKS (SMALL WORKS)/8.3\SCHEDULED ITEMS/8.3.2a\Excavate for restricted foundations, footings and trenches  in all materials and use for embankments or backfill or dispose. /\LS16_007-Concrete Cut-Off Walls  \m³\5.94 \ 85"/>
        <s v="SABS1200 DA \EARTHWORKS (SMALL WORKS)/8.3\SCHEDULED ITEMS/8.3.2a\Excavate for restricted foundations, footings and trenches  in all materials and use for embankments or backfill or dispose. /\LS16_008-Concrete Cut-Off Walls  \m³\4.1325 \ 85"/>
        <s v="SABS1200 DA \EARTHWORKS (SMALL WORKS)/8.3\SCHEDULED ITEMS/8.3.2a\Excavate for restricted foundations, footings and trenches  in all materials and use for embankments or backfill or dispose. /\LS16_009-Concrete Cut-Off Walls  \m³\4.35 \ 85"/>
        <s v="SABS1200 DA \EARTHWORKS (SMALL WORKS)/8.3\SCHEDULED ITEMS/8.3.2a\Excavate for restricted foundations, footings and trenches  in all materials and use for embankments or backfill or dispose. /\LS16_010-Concrete Cut-Off Walls  \m³\5.1 \ 85"/>
        <s v="SABS1200 DA \EARTHWORKS (SMALL WORKS)/8.3\SCHEDULED ITEMS/8.3.2a\Excavate for restricted foundations, footings and trenches  in all materials and use for embankments or backfill or dispose. /\LS16_011-Concrete Cut-Off Walls  \m³\3.3 \ 85"/>
        <s v="SABS1200 DA \EARTHWORKS (SMALL WORKS)/8.3\SCHEDULED ITEMS/8.3.2a\Excavate for restricted foundations, footings and trenches  in all materials and use for embankments or backfill or dispose. /\LS16_013-Gabion energy breaker  \m³\13.68 \ 85"/>
        <s v="SABS1200 DA \EARTHWORKS (SMALL WORKS)/8.3\SCHEDULED ITEMS/8.3.2a\Excavate for restricted foundations, footings and trenches  in all materials and use for embankments or backfill or dispose. /\LS16_014-Ecologs  \m³\1.62 \ 85"/>
        <s v="SABS1200 DA \EARTHWORKS (SMALL WORKS)/8.3\SCHEDULED ITEMS/8.3.2a\Excavate for restricted foundations, footings and trenches  in all materials and use for embankments or backfill or dispose. /\LS16_016-Gabion energy breaker  \m³\20 \ 85"/>
        <s v="SABS1200 DA \EARTHWORKS (SMALL WORKS)/8.3\SCHEDULED ITEMS/8.3.2a\Excavate for restricted foundations, footings and trenches  in all materials and use for embankments or backfill or dispose. /\LS16_017-Gabion energy breaker  \m³\25 \ 85"/>
        <s v="SABS1200 DA \EARTHWORKS (SMALL WORKS)/8.3\SCHEDULED ITEMS/8.3.2a\Excavate for restricted foundations, footings and trenches  in all materials and use for embankments or backfill or dispose. /\LS16_018-Gabion energy breaker  \m³\22.08 \ 85"/>
        <s v="SABS1200 DA \EARTHWORKS (SMALL WORKS)/8.3\SCHEDULED ITEMS/8.3.2a\Excavate for restricted foundations, footings and trenches  in all materials and use for embankments or backfill or dispose. /\LS16_019-Gabion energy breaker  \m³\24.48 \ 85"/>
        <s v="SABS1200 DA \EARTHWORKS (SMALL WORKS)/8.3\SCHEDULED ITEMS/8.3.2a\Excavate for restricted foundations, footings and trenches  in all materials and use for embankments or backfill or dispose. /\LS16_021-Backfill Main Channel and reshaping  \m³\500 \ 85"/>
        <s v="SABS1200 DA \EARTHWORKS (SMALL WORKS)/8.3\SCHEDULED ITEMS/8.3.2a\Excavate for restricted foundations, footings and trenches  in all materials and use for embankments or backfill or dispose. /\Pan14_007-Infilling of Drains  \m³\18.6 \ 85"/>
        <s v="SABS1200 DA \EARTHWORKS (SMALL WORKS)/8.3\SCHEDULED ITEMS/8.3.2a\Excavate for restricted foundations, footings and trenches  in all materials and use for embankments or backfill or dispose. /\KS20_007-Concrete Drop Inlet. Drawing NBC-GTW-CL-0033 \m³\56.185603 \ 50" u="1"/>
        <s v="SABS1200 DA  \ Earthworks (Small Works) / 8.3\ SCHEDULED ITEMS / 8.3.2a \ Excavate for restricted foundations, footings and trenches  in all materials and use for embankments or backfill or dispose. /\KS21_005-Concrete Drop Inlet. Refer to drawing AN \m³\35.7722215 \ 50" u="1"/>
        <s v="SABS1200 DA  \ Earthworks (Small Works) / 8.3\ SCHEDULED ITEMS / 8.3.2a \ Excavate for restricted foundations, footings and trenches  in all materials and use for embankments or backfill or dispose. /\KS21_010-Concrete Drop Inlet. Refer to drawing AR \m³\37.9104055 \ 50" u="1"/>
        <s v="SABS1200 DA \EARTHWORKS (SMALL WORKS)/8.3\SCHEDULED ITEMS/8.3.2a\Excavate for restricted foundations, footings and trenches  in all materials and use for embankments or backfill or dispose. /\KS19_005-Infilling of Drains  \m³\4.68 \ 85" u="1"/>
        <s v="SABS1200 DA  \ Earthworks (Small Works) / 8.3\ SCHEDULED ITEMS / 8.3.2a \ Excavate for restricted foundations, footings and trenches  in all materials and use for embankments or backfill or dispose. /\LS16_019-Gabion energy breaker \m³\24.48 \ 50" u="1"/>
        <s v="SABS1200 DA \EARTHWORKS (SMALL WORKS)/8.3\SCHEDULED ITEMS/8.3.2a\Excavate for restricted foundations, footings and trenches  in all materials and use for embankments or backfill or dispose. /\KS18_020-Concrete Drop Inlet associated with Road Culvert  \m³\38.02413 \ 50" u="1"/>
        <s v="SABS1200 DA \EARTHWORKS (SMALL WORKS)/8.3\SCHEDULED ITEMS/8.3.2a\Excavate for restricted foundations, footings and trenches  in all materials and use for embankments or backfill or dispose. /\LS16_011-Concrete Cut-Off Walls  \m³\3.3 \ 50" u="1"/>
        <s v="SABS1200 DA \EARTHWORKS (SMALL WORKS)/8.3\SCHEDULED ITEMS/8.3.2a\Excavate for restricted foundations, footings and trenches  in all materials and use for embankments or backfill or dispose. /\ks11-004a-Concrete Drop Inlet on Dam Wall  \m³\355.8966 \ 50" u="1"/>
        <s v="SABS1200 DA  \ Earthworks (Small Works) / 8.3\ SCHEDULED ITEMS / 8.3.2a \ Excavate for restricted foundations, footings and trenches  in all materials and use for embankments or backfill or dispose. /\KS21_006-Concrete Drop Inlet \m³\31.9418025 \ 50" u="1"/>
        <s v="SABS1200 DA  / Earthworks (Small Works) / 8.3 / 8.3.2a / Excavate for restricted foundations, footings and trenches  in all materials and use for embankments or backfill or dispose / KS18_007-Concrete Cut-Off Walls / 5.04 / m³" u="1"/>
        <s v="SABS1200 DA  / Earthworks (Small Works) / 8.3 / 8.3.2a / Excavate for restricted foundations, footings and trenches  in all materials and use for embankments or backfill or dispose / LS16_001-Concrete Cut-Off Walls / 5.04 / m³" u="1"/>
        <s v="SABS1200 DA \EARTHWORKS (SMALL WORKS)/8.3\SCHEDULED ITEMS/8.3.2a\Excavate for restricted foundations, footings and trenches  in all materials and use for embankments or backfill or dispose. /\KS13_015-Concrete Drop Inlet. Drawing NBC-GTW-CL-0018 \m³\45.89906 \ 50" u="1"/>
        <s v="SABS1200 DA \EARTHWORKS (SMALL WORKS)/8.3\SCHEDULED ITEMS/8.3.2a\Excavate for restricted foundations, footings and trenches  in all materials and use for embankments or backfill or dispose. /\KS18_001-Concrete Drop Inlet. Drawing NBC-GTW-CL-0019 \m³\61.486052 \ 50" u="1"/>
        <s v="SABS1200 DA \EARTHWORKS (SMALL WORKS)/8.3\SCHEDULED ITEMS/8.3.2a\Excavate for restricted foundations, footings and trenches  in all materials and use for embankments or backfill or dispose. /\ks11-002b-Concrete Splash Through Structure. Refer to drawing NBC-GTW-CL-0067 \m³\210 \ 50" u="1"/>
        <s v="SABS1200 DA \EARTHWORKS (SMALL WORKS)/8.3\SCHEDULED ITEMS/8.3.2a\Excavate for restricted foundations, footings and trenches  in all materials and use for embankments or backfill or dispose. /\ks11-004b-Concrete Splash Through Structure. Refer to drawing NBC-GTW-CL-0068 \m³\210 \ 50" u="1"/>
        <s v="SABS1200 DA \EARTHWORKS (SMALL WORKS)/8.3\SCHEDULED ITEMS/8.3.2a\Excavate for restricted foundations, footings and trenches  in all materials and use for embankments or backfill or dispose. /\KS18_011-Concrete Cut-Off Walls. Drawing NBC-GTW-CL-0045 \m³\6 \ 85" u="1"/>
        <s v="SABS1200 DA \EARTHWORKS (SMALL WORKS)/8.3\SCHEDULED ITEMS/8.3.2a\Excavate for restricted foundations, footings and trenches  in all materials and use for embankments or backfill or dispose. /\KS18_013-Concrete Cut-Off Walls. Drawing NBC-GTW-CL-0045 \m³\6 \ 85" u="1"/>
        <s v="SABS1200 DA  / Earthworks (Small Works) / 8.3 / 8.3.2a / Excavate for restricted foundations, footings and trenches  in all materials and use for embankments or backfill or dispose / KS21_007-Concrete Drop Inlet / 31.14898 / m³" u="1"/>
        <s v="SABS1200 DA \EARTHWORKS (SMALL WORKS)/8.3\SCHEDULED ITEMS/8.3.2a\Excavate for restricted foundations, footings and trenches  in all materials and use for embankments or backfill or dispose. /\KS20_008-Concrete Drop Inlet. Refer to drawing NBC-GTW-CL-0034 \m³\54.33924 \ 50" u="1"/>
        <s v="SABS1200 DA  / Earthworks (Small Works) / 8.3 / 8.3.2a / Excavate for restricted foundations, footings and trenches  in all materials and use for embankments or backfill or dispose / LS16_017-Gabion energy breaker / 25 / m³" u="1"/>
        <s v="SABS1200 DA  \ Earthworks (Small Works) / 8.3\ SCHEDULED ITEMS / 8.3.2a \ Excavate for restricted foundations, footings and trenches  in all materials and use for embankments or backfill or dispose. /\KS18_011-Concrete Cut-Off Walls \m³\6 \ 50" u="1"/>
        <s v="SABS1200 DA  \ Earthworks (Small Works) / 8.3\ SCHEDULED ITEMS / 8.3.2a \ Excavate for restricted foundations, footings and trenches  in all materials and use for embankments or backfill or dispose. /\KS18_013-Concrete Cut-Off Walls \m³\6 \ 50" u="1"/>
        <s v="SABS1200 DA \EARTHWORKS (SMALL WORKS)/8.3\SCHEDULED ITEMS/8.3.2a\Excavate for restricted foundations, footings and trenches  in all materials and use for embankments or backfill or dispose. /\KS19_002-Concrete Drop Inlet. Refer to drawing NBC-GTW-CL-0026 \m³\38.760038 \ 50" u="1"/>
        <s v="SABS1200 DA  \ Earthworks (Small Works) / 8.3\ SCHEDULED ITEMS / 8.3.2a \ Excavate for restricted foundations, footings and trenches  in all materials and use for embankments or backfill or dispose. /\KS12_005-Concrete Drop Inlet \m³\36.4286202 \ 50" u="1"/>
        <s v="SABS1200 DA \EARTHWORKS (SMALL WORKS)/8.3\SCHEDULED ITEMS/8.3.2a\Excavate for restricted foundations, footings and trenches  in all materials and use for embankments or backfill or dispose. /\KS18_004-Concrete Cut-Off Walls. Drawing NBC-GTW-CL-0045 \m³\5.355 \ 50" u="1"/>
        <s v="SABS1200 DA  / Earthworks (Small Works) / 8.3 / 8.3.2a / Excavate for restricted foundations, footings and trenches  in all materials and use for embankments or backfill or dispose / LS16_007-Concrete Cut-Off Walls / 5.94 / m³" u="1"/>
        <s v="SABS1200 DA \EARTHWORKS (SMALL WORKS)/8.3\SCHEDULED ITEMS/8.3.2a\Excavate for restricted foundations, footings and trenches  in all materials and use for embankments or backfill or dispose. /\KS21_005-Concrete Drop Inlet. Refer to drawing NBC-GTW-CL-0040 \m³\35.7722215 \ 50" u="1"/>
        <s v="SABS1200 DA \EARTHWORKS (SMALL WORKS)/8.3\SCHEDULED ITEMS/8.3.2a\Excavate for restricted foundations, footings and trenches  in all materials and use for embankments or backfill or dispose. /\KS21_010-Concrete Drop Inlet. Refer to drawing NBC-GTW-CL-0044 \m³\37.9104055 \ 50" u="1"/>
        <s v="SABS1200 DA \EARTHWORKS (SMALL WORKS)/8.3\SCHEDULED ITEMS/8.3.2a\Excavate for restricted foundations, footings and trenches  in all materials and use for embankments or backfill or dispose. /\LS16_017-Gabion energy breaker  \m³\25 \ 50" u="1"/>
        <s v="SABS1200 DA  / Earthworks (Small Works) / 8.3 / 8.3.2a / Excavate for restricted foundations, footings and trenches  in all materials and use for embankments or backfill or dispose / Pan8_001-Foreign Materials / 12.96 / m³" u="1"/>
        <s v="SABS1200 DA  / Earthworks (Small Works) / 8.3 / 8.3.2a / Excavate for restricted foundations, footings and trenches  in all materials and use for embankments or backfill or dispose / KS20_001-Concrete Drop Inlet / 51.93327 / m³" u="1"/>
        <s v="SABS1200 DA \EARTHWORKS (SMALL WORKS)/8.3\SCHEDULED ITEMS/8.3.2a\Excavate for restricted foundations, footings and trenches  in all materials and use for embankments or backfill or dispose. /\DS12_004-Removal of Berms  \m³\523.01728 \ 50" u="1"/>
        <s v="SABS1200 DA \EARTHWORKS (SMALL WORKS)/8.3\SCHEDULED ITEMS/8.3.2a\Excavate for restricted foundations, footings and trenches  in all materials and use for embankments or backfill or dispose. /\KS20_003-Concrete Buttress Weir. Drawing NBC-GTW-CL-0029 \m³\82.9571958 \ 50" u="1"/>
        <s v="SABS1200 DA  \ Earthworks (Small Works) / 8.3\ SCHEDULED ITEMS / 8.3.2a \ Excavate for restricted foundations, footings and trenches  in all materials and use for embankments or backfill or dispose. /\KS13_015-Concrete Drop Inlet. Refer to drawing R \m³\45.89906 \ 50" u="1"/>
        <s v="SABS1200 DA  / Earthworks (Small Works) / 8.3 / 8.3.2a / Excavate for restricted foundations, footings and trenches  in all materials and use for embankments or backfill or dispose / KS20_009_a-Concrete Drop Inlet / 132.757199 / m³" u="1"/>
        <s v="SABS1200 DA  \ Earthworks (Small Works) / 8.3\ SCHEDULED ITEMS / 8.3.2a \ Excavate for restricted foundations, footings and trenches  in all materials and use for embankments or backfill or dispose. /\LS16_002-Concrete Cut-Off Walls  \m³\4.8 \ 50" u="1"/>
        <s v="SABS1200 DA  / Earthworks (Small Works) / 8.3 / 8.3.2a / Excavate for restricted foundations, footings and trenches  in all materials and use for embankments or backfill or dispose / KS19_002-Concrete Drop Inlet / 38.760038 / m³" u="1"/>
        <s v="SABS1200 DA  \ Earthworks (Small Works) / 8.3\ SCHEDULED ITEMS / 8.3.2a \ Excavate for restricted foundations, footings and trenches  in all materials and use for embankments or backfill or dispose. /\KS13_015-Concrete Drop Inlet \m³\45.89906 \ 50" u="1"/>
        <s v="SABS1200 DA  / Earthworks (Small Works) / 8.3 / 8.3.2a / Excavate for restricted foundations, footings and trenches  in all materials and use for embankments or backfill or dispose / KS20_002-Concrete Drop Inlet / 70.75144 / m³" u="1"/>
        <s v="SABS1200 DA \EARTHWORKS (SMALL WORKS)/8.3\SCHEDULED ITEMS/8.3.2a\Excavate for restricted foundations, footings and trenches  in all materials and use for embankments or backfill or dispose. /\LS16_005-Concrete Cut-Off Walls  \m³\3.6 \ 50" u="1"/>
        <s v="SABS1200 DA  / Earthworks (Small Works) / 8.3 / 8.3.2a / Excavate for restricted foundations, footings and trenches  in all materials and use for embankments or backfill or dispose / KS19_004-Infilling of Drains / 9 / m³" u="1"/>
        <s v="SABS1200 DA \EARTHWORKS (SMALL WORKS)/8.3\SCHEDULED ITEMS/8.3.2a\Excavate for restricted foundations, footings and trenches  in all materials and use for embankments or backfill or dispose. /\KS18_007-Concrete Cut-Off Walls. Drawing NBC-GTW-CL-0045 \m³\5.04 \ 85" u="1"/>
        <s v="SABS1200 DA  \ Earthworks (Small Works) / 8.3\ SCHEDULED ITEMS / 8.3.2a \ Excavate for restricted foundations, footings and trenches  in all materials and use for embankments or backfill or dispose. /\KS20_009_b-Concrete Overflow Wall. Refer to drawing AJ \m³\30.7675 \ 50" u="1"/>
        <s v="SABS1200 DA  / Earthworks (Small Works) / 8.3 / 8.3.2a / Excavate for restricted foundations, footings and trenches  in all materials and use for embankments or backfill or dispose / Pan8_004-Removal of Berm / 10 / m³" u="1"/>
        <s v="SABS1200 DA  / Earthworks (Small Works) / 8.3 / 8.3.2a / Excavate for restricted foundations, footings and trenches  in all materials and use for embankments or backfill or dispose / KS20_005-Concrete Drop Inlet / 69.658655 / m³" u="1"/>
        <s v="SABS1200 DA \EARTHWORKS (SMALL WORKS)/8.3\SCHEDULED ITEMS/8.3.2a\Excavate for restricted foundations, footings and trenches  in all materials and use for embankments or backfill or dispose. /\KS18_005-Concrete Cut-Off Walls. Refer to drawing NBC-GTW-CL-0045 \m³\6.93 \ 50" u="1"/>
        <s v="SABS1200 DA \EARTHWORKS (SMALL WORKS)/8.3\SCHEDULED ITEMS/8.3.2a\Excavate for restricted foundations, footings and trenches  in all materials and use for embankments or backfill or dispose. /\KS18_010-Concrete Cut-Off Walls. Refer to drawing NBC-GTW-CL-0045 \m³\6.93 \ 50" u="1"/>
        <s v="SABS1200 DA  / Earthworks (Small Works) / 8.3 / 8.3.2a / Excavate for restricted foundations, footings and trenches  in all materials and use for embankments or backfill or dispose / KS20_004-Concrete Drop Inlet / 42.774586 / m³" u="1"/>
        <s v="SABS1200 DA \EARTHWORKS (SMALL WORKS)/8.3\SCHEDULED ITEMS/8.3.2a\Excavate for restricted foundations, footings and trenches  in all materials and use for embankments or backfill or dispose. /\KS12_005-Concrete Drop Inlet. Drawing NBC-GTW-CL-0004 \m³\36.4286202 \ 50" u="1"/>
        <s v="SABS1200 DA \EARTHWORKS (SMALL WORKS)/8.3\SCHEDULED ITEMS/8.3.2a\Excavate for restricted foundations, footings and trenches  in all materials and use for embankments or backfill or dispose. /\KS13_008-Concrete Drop Inlet. Refer to drawing NBC-GTW-CL-0014 \m³\40.93968 \ 50" u="1"/>
        <s v="SABS1200 DA  \ Earthworks (Small Works) / 8.3\ SCHEDULED ITEMS / 8.3.2a \ Excavate for restricted foundations, footings and trenches  in all materials and use for embankments or backfill or dispose. /\KS20_006-Concrete Drop Inlet \m³\71.558085 \ 50" u="1"/>
        <s v="SABS1200 DA  \ Earthworks (Small Works) / 8.3\ SCHEDULED ITEMS / 8.3.2a \ Excavate for restricted foundations, footings and trenches  in all materials and use for embankments or backfill or dispose. /\KS20_001-Concrete Drop Inlet. Refer to drawing AA \m³\51.93327 \ 50" u="1"/>
        <s v="SABS1200 DA  / Earthworks (Small Works) / 8.3 / 8.3.2a / Excavate for restricted foundations, footings and trenches  in all materials and use for embankments or backfill or dispose / LS16_009-Concrete Cut-Off Walls / 4.35 / m³" u="1"/>
        <s v="SABS1200 DA  \ Earthworks (Small Works) / 8.3\ SCHEDULED ITEMS / 8.3.2a \ Excavate for restricted foundations, footings and trenches  in all materials and use for embankments or backfill or dispose. /\KS18_014-Concrete Filled Geo-Cell Berm. Refer to drawing A \m³\23.9803125 \ 50" u="1"/>
        <s v="SABS1200 DA  / Earthworks (Small Works) / 8.3 / 8.3.2a / Excavate for restricted foundations, footings and trenches  in all materials and use for embankments or backfill or dispose / KS20_009_b-Concrete Overflow Wall / 30.7675 / m³" u="1"/>
        <s v="SABS1200 DA \EARTHWORKS (SMALL WORKS)/8.3\SCHEDULED ITEMS/8.3.2a\Excavate for restricted foundations, footings and trenches  in all materials and use for embankments or backfill or dispose. /\ks11-002b-Concrete Splash Through Structure. Drawing NBC-GTW-CL-0067 \m³\210 \ 50" u="1"/>
        <s v="SABS1200 DA \EARTHWORKS (SMALL WORKS)/8.3\SCHEDULED ITEMS/8.3.2a\Excavate for restricted foundations, footings and trenches  in all materials and use for embankments or backfill or dispose. /\ks11-004b-Concrete Splash Through Structure. Drawing NBC-GTW-CL-0068 \m³\210 \ 50" u="1"/>
        <s v="SABS1200 DA  \ Earthworks (Small Works) / 8.3\ SCHEDULED ITEMS / 8.3.2a \ Excavate for restricted foundations, footings and trenches  in all materials and use for embankments or backfill or dispose. /\KS13_011-Concrete Drop Inlet \m³\41.19048 \ 50" u="1"/>
        <s v="SABS1200 DA \EARTHWORKS (SMALL WORKS)/8.3\SCHEDULED ITEMS/8.3.2a\Excavate for restricted foundations, footings and trenches  in all materials and use for embankments or backfill or dispose. /\KS18_009-Concrete Cut-Off Walls. Drawing NBC-GTW-CL-0045 \m³\5.775 \ 50" u="1"/>
        <s v="SABS1200 DA  \ Earthworks (Small Works) / 8.3\ SCHEDULED ITEMS / 8.3.2a \ Excavate for restricted foundations, footings and trenches  in all materials and use for embankments or backfill or dispose. /\KS13_008-Concrete Drop Inlet. Refer to drawing N \m³\40.93968 \ 50" u="1"/>
        <s v="SABS1200 DA  \ Earthworks (Small Works) / 8.3\ SCHEDULED ITEMS / 8.3.2a \ Excavate for restricted foundations, footings and trenches  in all materials and use for embankments or backfill or dispose. /\KS19_001-Infilling of Drains \m³\2.16 \ 50" u="1"/>
        <s v="SABS1200 DA  \ Earthworks (Small Works) / 8.3\ SCHEDULED ITEMS / 8.3.2a \ Excavate for restricted foundations, footings and trenches  in all materials and use for embankments or backfill or dispose. /\KS18_017-Concrete Drop Inlet \m³\43.59664 \ 50" u="1"/>
        <s v="SABS1200 DA  \ Earthworks (Small Works) / 8.3\ SCHEDULED ITEMS / 8.3.2a \ Excavate for restricted foundations, footings and trenches  in all materials and use for embankments or backfill or dispose. /\KS18_001-Concrete Drop Inlet. Refer to drawing S \m³\61.486052 \ 50" u="1"/>
        <s v="SABS1200 DA \EARTHWORKS (SMALL WORKS)/8.3\SCHEDULED ITEMS/8.3.2a\Excavate for restricted foundations, footings and trenches  in all materials and use for embankments or backfill or dispose. /\KS18_007-Concrete Cut-Off Walls. Drawing NBC-GTW-CL-0045 \m³\5.04 \ 50" u="1"/>
        <s v="SABS1200 DA  \ Earthworks (Small Works) / 8.3\ SCHEDULED ITEMS / 8.3.2a \ Excavate for restricted foundations, footings and trenches  in all materials and use for embankments or backfill or dispose. /\KS20_009_a-Concrete Drop Inlet. Refer to drawing AI \m³\132.757199 \ 50" u="1"/>
        <s v="SABS1200 DA  \ Earthworks (Small Works) / 8.3\ SCHEDULED ITEMS / 8.3.2a \ Excavate for restricted foundations, footings and trenches  in all materials and use for embankments or backfill or dispose. /\KS20_008-Concrete Drop Inlet. Refer to drawing AH \m³\54.33924 \ 50" u="1"/>
        <s v="SABS1200 DA \EARTHWORKS (SMALL WORKS)/8.3\SCHEDULED ITEMS/8.3.2a\Excavate for restricted foundations, footings and trenches  in all materials and use for embankments or backfill or dispose. /\Pan09_001-Removal of Dam Wall  \m³\188.47125 \ 50" u="1"/>
        <s v="SABS1200 DA  / Earthworks (Small Works) / 8.3 / 8.3.2a / Excavate for restricted foundations, footings and trenches  in all materials and use for embankments or backfill or dispose / KS21_009-Concrete Drop Inlet / 40.198585 / m³" u="1"/>
        <s v="SABS1200 DA  / Earthworks (Small Works) / 8.3 / 8.3.2a / Excavate for restricted foundations, footings and trenches  in all materials and use for embankments or backfill or dispose / KS19_001-Infilling of Drains / 1 / m³" u="1"/>
        <s v="SABS1200 DA  \ Earthworks (Small Works) / 8.3\ SCHEDULED ITEMS / 8.3.2a \ Excavate for restricted foundations, footings and trenches  in all materials and use for embankments or backfill or dispose. /\KS12_004-Concrete Drop Inlet \m³\36.6111 \ 50" u="1"/>
        <s v="SABS1200 DA \EARTHWORKS (SMALL WORKS)/8.3\SCHEDULED ITEMS/8.3.2a\Excavate for restricted foundations, footings and trenches  in all materials and use for embankments or backfill or dispose. /\KS20_004-Concrete Drop Inlet. Refer to drawing NBC-GTW-CL-0030 \m³\42.774586 \ 50" u="1"/>
        <s v="SABS1200 DA \EARTHWORKS (SMALL WORKS)/8.3\SCHEDULED ITEMS/8.3.2a\Excavate for restricted foundations, footings and trenches  in all materials and use for embankments or backfill or dispose. /\KS13_012-Concrete Drop Inlet. Drawing NBC-GTW-CL-0016 \m³\29.930225 \ 50" u="1"/>
        <s v="SABS1200 DA  / Earthworks (Small Works) / 8.3 / 8.3.2a / Excavate for restricted foundations, footings and trenches  in all materials and use for embankments or backfill or dispose / KS18_019-Concrete Drop Inlet / 36.11444 / m³" u="1"/>
        <s v="SABS1200 DA  / Earthworks (Small Works) / 8.3 / 8.3.2a / Excavate for restricted foundations, footings and trenches  in all materials and use for embankments or backfill or dispose / KS13_005-Concrete Drop Inlet / 40.88154 / m³" u="1"/>
        <s v="SABS1200 DA  / Earthworks (Small Works) / 8.3 / 8.3.2a / Excavate for restricted foundations, footings and trenches  in all materials and use for embankments or backfill or dispose / KS13_006-Concrete Drop Inlet / 40.88154 / m³" u="1"/>
        <s v="SABS1200 DA \EARTHWORKS (SMALL WORKS)/8.3\SCHEDULED ITEMS/8.3.2a\Excavate for restricted foundations, footings and trenches  in all materials and use for embankments or backfill or dispose. /\KS13_011-Concrete Drop Inlet. Refer to drawing NBC-GTW-CL-0015 \m³\38.8 \ 50" u="1"/>
        <s v="SABS1200 DA  / Earthworks (Small Works) / 8.3 / 8.3.2a / Excavate for restricted foundations, footings and trenches  in all materials and use for embankments or backfill or dispose / KS13_004-Concrete Drop Inlet / 32.319 / m³" u="1"/>
        <s v="SABS1200 DA  \ Earthworks (Small Works) / 8.3\ SCHEDULED ITEMS / 8.3.2a \ Excavate for restricted foundations, footings and trenches  in all materials and use for embankments or backfill or dispose. /\KS18_006-Concrete Cut-Off Walls. Refer to drawing AS \m³\6.615 \ 50" u="1"/>
        <s v="SABS1200 DA  \ Earthworks (Small Works) / 8.3\ SCHEDULED ITEMS / 8.3.2a \ Excavate for restricted foundations, footings and trenches  in all materials and use for embankments or backfill or dispose. /\KS20_003-Concrete Buttress Weir. Refer to drawing AC \m³\82.9571958 \ 50" u="1"/>
        <s v="SABS1200 DA \EARTHWORKS (SMALL WORKS)/8.3\SCHEDULED ITEMS/8.3.2a\Excavate for restricted foundations, footings and trenches  in all materials and use for embankments or backfill or dispose. /\KS18_006-Concrete Cut-Off Walls. Drawing NBC-GTW-CL-0045 \m³\6.615 \ 50" u="1"/>
        <s v="SABS1200 DA  \ Earthworks (Small Works) / 8.3\ SCHEDULED ITEMS / 8.3.2a \ Excavate for restricted foundations, footings and trenches  in all materials and use for embankments or backfill or dispose. /\KS19_003-Headcut \m³\5.316 \ 50" u="1"/>
        <s v="SABS1200 DA  \ Earthworks (Small Works) / 8.3\ SCHEDULED ITEMS / 8.3.2a \ Excavate for restricted foundations, footings and trenches  in all materials and use for embankments or backfill or dispose. /\KS19_001-Infilling of Drains  \m³\2.16 \ 50" u="1"/>
        <s v="SABS1200 DA  \ Earthworks (Small Works) / 8.3\ SCHEDULED ITEMS / 8.3.2a \ Excavate for restricted foundations, footings and trenches  in all materials and use for embankments or backfill or dispose. /\LS16_011-Concrete Cut-Off Walls \m³\3.3 \ 50" u="1"/>
        <s v="SABS1200 DA \EARTHWORKS (SMALL WORKS)/8.3\SCHEDULED ITEMS/8.3.2a\Excavate for restricted foundations, footings and trenches  in all materials and use for embankments or backfill or dispose. /\KS18_016-Concrete Drop Inlet. Drawing NBC-GTW-CL-0022 \m³\46.41016 \ 50" u="1"/>
        <s v="SABS1200 DA  \ Earthworks (Small Works) / 8.3\ SCHEDULED ITEMS / 8.3.2a \ Excavate for restricted foundations, footings and trenches  in all materials and use for embankments or backfill or dispose. /\KS18_009-Concrete Cut-Off Walls. Refer to drawing AS \m³\5.775 \ 50" u="1"/>
        <s v="SABS1200 DA  \ Earthworks (Small Works) / 8.3\ SCHEDULED ITEMS / 8.3.2a \ Excavate for restricted foundations, footings and trenches  in all materials and use for embankments or backfill or dispose. /\KS18_018-Concrete Drop Inlet \m³\52.32581 \ 50" u="1"/>
        <s v="SABS1200 DA \EARTHWORKS (SMALL WORKS)/8.3\SCHEDULED ITEMS/8.3.2a\Excavate for restricted foundations, footings and trenches  in all materials and use for embankments or backfill or dispose. /\KS13_004-Concrete Drop Inlet. Refer to drawing NBC-GTW-CL-0010 \m³\32.319 \ 50" u="1"/>
        <s v="SABS1200 DA \EARTHWORKS (SMALL WORKS)/8.3\SCHEDULED ITEMS/8.3.2a\Excavate for restricted foundations, footings and trenches  in all materials and use for embankments or backfill or dispose. /\KS21_003-Concrete Drop Inlet. Refer to drawing NBC-GTW-CL-0039 \m³\25.78775 \ 50" u="1"/>
        <s v="SABS1200 DA  \ Earthworks (Small Works) / 8.3\ SCHEDULED ITEMS / 8.3.2a \ Excavate for restricted foundations, footings and trenches  in all materials and use for embankments or backfill or dispose. /\KS13_013-Concrete Drop Inlet. Refer to drawing Q \m³\37.8822 \ 50" u="1"/>
        <s v="SABS1200 DA \EARTHWORKS (SMALL WORKS)/8.3\SCHEDULED ITEMS/8.3.2a\Excavate for restricted foundations, footings and trenches  in all materials and use for embankments or backfill or dispose. /\KS13_003-Concrete Drop Inlet. Refer to drawing NBC-GTW-CL-0009 \m³\44.0325 \ 50" u="1"/>
        <s v="SABS1200 DA  / Earthworks (Small Works) / 8.3 / 8.3.2a / Excavate for restricted foundations, footings and trenches  in all materials and use for embankments or backfill or dispose / KS20_010-Infilling of Drains / 3.6 / m³" u="1"/>
        <s v="SABS1200 DA  \ Earthworks (Small Works) / 8.3\ SCHEDULED ITEMS / 8.3.2a \ Excavate for restricted foundations, footings and trenches  in all materials and use for embankments or backfill or dispose. /\KS18_007-Concrete Cut-Off Walls \m³\5.04 \ 50" u="1"/>
        <s v="SABS1200 DA  \ Earthworks (Small Works) / 8.3\ SCHEDULED ITEMS / 8.3.2a \ Excavate for restricted foundations, footings and trenches  in all materials and use for embankments or backfill or dispose. /\LS16_001-Concrete Cut-Off Walls \m³\5.04 \ 50" u="1"/>
        <s v="SABS1200 DA \EARTHWORKS (SMALL WORKS)/8.3\SCHEDULED ITEMS/8.3.2a\Excavate for restricted foundations, footings and trenches  in all materials and use for embankments or backfill or dispose. /\KS18_012-Concrete Cut-Off Walls. Refer to drawing NBC-GTW-CL-0045 \m³\6.6 \ 50" u="1"/>
        <s v="SABS1200 DA  / Earthworks (Small Works) / 8.3 / 8.3.2a / Excavate for restricted foundations, footings and trenches  in all materials and use for embankments or backfill or dispose / Pan8_003-Removal of Dam Wall / 139.059490625 / m³" u="1"/>
        <s v="SABS1200 DA  \ Earthworks (Small Works) / 8.3\ SCHEDULED ITEMS / 8.3.2a \ Excavate for restricted foundations, footings and trenches  in all materials and use for embankments or backfill or dispose. /\KS12_002-Concrete Box Culvert. Refer to drawing B \m³\45.04 \ 50" u="1"/>
        <s v="SABS1200 DA  \ Earthworks (Small Works) / 8.3\ SCHEDULED ITEMS / 8.3.2a \ Excavate for restricted foundations, footings and trenches  in all materials and use for embankments or backfill or dispose. /\KS18_008-Concrete Cut-Off Walls \m³\5.76 \ 50" u="1"/>
        <s v="SABS1200 DA  \ Earthworks (Small Works) / 8.3\ SCHEDULED ITEMS / 8.3.2a \ Excavate for restricted foundations, footings and trenches  in all materials and use for embankments or backfill or dispose. /\KS12_002-Concrete Box Culvert \m³\45.04 \ 50" u="1"/>
        <s v="SABS1200 DA \EARTHWORKS (SMALL WORKS)/8.3\SCHEDULED ITEMS/8.3.2a\Excavate for restricted foundations, footings and trenches  in all materials and use for embankments or backfill or dispose. /\KS12_007-Concrete Drop Inlet. Drawing NBC-GTW-CL-0006 \m³\47.313325 \ 50" u="1"/>
        <s v="SABS1200 DA  / Earthworks (Small Works) / 8.3 / 8.3.2a / Excavate for restricted foundations, footings and trenches  in all materials and use for embankments or backfill or dispose / KS13_010-Removal of Berm / 336.92505 / m³" u="1"/>
        <s v="SABS1200 DA \EARTHWORKS (SMALL WORKS)/8.3\SCHEDULED ITEMS/8.3.2a\Excavate for restricted foundations, footings and trenches  in all materials and use for embankments or backfill or dispose. /\KS20_009_b-Concrete Overflow Wall. Refer to drawing NBC-GTW-CL-0035 \m³\30.7675 \ 50" u="1"/>
        <s v="SABS1200 DA \EARTHWORKS (SMALL WORKS)/8.3\SCHEDULED ITEMS/8.3.2a\Excavate for restricted foundations, footings and trenches  in all materials and use for embankments or backfill or dispose. /\KS20_009_b-Concrete Overflow Wall. Refer to drawing NBC-GTW-CL-0036 \m³\30.7675 \ 50" u="1"/>
        <s v="SABS1200 DA \EARTHWORKS (SMALL WORKS)/8.3\SCHEDULED ITEMS/8.3.2a\Excavate for restricted foundations, footings and trenches  in all materials and use for embankments or backfill or dispose. /\LS16_013-Gabion energy breaker  \m³\13.68 \ 50" u="1"/>
        <s v="SABS1200 DA  \ Earthworks (Small Works) / 8.3\ SCHEDULED ITEMS / 8.3.2a \ Excavate for restricted foundations, footings and trenches  in all materials and use for embankments or backfill or dispose. /\KS19_005-Infilling of Drains  \m³\4.68 \ 50" u="1"/>
        <s v="SABS1200 DA  \ Earthworks (Small Works) / 8.3\ SCHEDULED ITEMS / 8.3.2a \ Excavate for restricted foundations, footings and trenches  in all materials and use for embankments or backfill or dispose. /\KS20_008-Concrete Drop Inlet \m³\54.33924 \ 50" u="1"/>
        <s v="SABS1200 DA  \ Earthworks (Small Works) / 8.3\ SCHEDULED ITEMS / 8.3.2a \ Excavate for restricted foundations, footings and trenches  in all materials and use for embankments or backfill or dispose. /\KS13_007-Concrete Drop Inlet \m³\35.99056 \ 50" u="1"/>
        <s v="SABS1200 DA  \ Earthworks (Small Works) / 8.3\ SCHEDULED ITEMS / 8.3.2a \ Excavate for restricted foundations, footings and trenches  in all materials and use for embankments or backfill or dispose. /\KS20_003-Concrete Buttress Weir \m³\82.9571958 \ 50" u="1"/>
        <s v="SABS1200 DA  \ Earthworks (Small Works) / 8.3\ SCHEDULED ITEMS / 8.3.2a \ Excavate for restricted foundations, footings and trenches  in all materials and use for embankments or backfill or dispose. /\KS18_009-Concrete Cut-Off Walls \m³\5.775 \ 50" u="1"/>
        <s v="SABS1200 DA  \ Earthworks (Small Works) / 8.3\ SCHEDULED ITEMS / 8.3.2a \ Excavate for restricted foundations, footings and trenches  in all materials and use for embankments or backfill or dispose. /\Pan14-003-Remove berm and backfill drain \m³\950 \ 50" u="1"/>
        <s v="SABS1200 DA  / Earthworks (Small Works) / 8.3 / 8.3.2a / Excavate for restricted foundations, footings and trenches  in all materials and use for embankments or backfill or dispose / KS16_006-Infilling of Drains / 30 / m³" u="1"/>
        <s v="SABS1200 DA  \ Earthworks (Small Works) / 8.3\ SCHEDULED ITEMS / 8.3.2a \ Excavate for restricted foundations, footings and trenches  in all materials and use for embankments or backfill or dispose. /\KS19_005-Infilling of Drains \m³\4.68 \ 50" u="1"/>
        <s v="SABS1200 DA  \ Earthworks (Small Works) / 8.3\ SCHEDULED ITEMS / 8.3.2a \ Excavate for restricted foundations, footings and trenches  in all materials and use for embankments or backfill or dispose. /\LS16_013-Gabion energy breaker \m³\13.68 \ 50" u="1"/>
        <s v="SABS1200 DA  / Earthworks (Small Works) / 8.3 / 8.3.2a / Excavate for restricted foundations, footings and trenches  in all materials and use for embankments or backfill or dispose / KS13_011-Concrete Drop Inlet / 41.19048 / m³" u="1"/>
        <s v="SABS1200 DA \EARTHWORKS (SMALL WORKS)/8.3\SCHEDULED ITEMS/8.3.2a\Excavate for restricted foundations, footings and trenches  in all materials and use for embankments or backfill or dispose. /\KS16_003-Infilling of Drains  \m³\14.22 \ 50" u="1"/>
        <s v="SABS1200 DA  / Earthworks (Small Works) / 8.3 / 8.3.2a / Excavate for restricted foundations, footings and trenches  in all materials and use for embankments or backfill or dispose / KS13_007-Concrete Drop Inlet / 35.99056 / m³" u="1"/>
        <s v="SABS1200 DA \EARTHWORKS (SMALL WORKS)/8.3\SCHEDULED ITEMS/8.3.2a\Excavate for restricted foundations, footings and trenches  in all materials and use for embankments or backfill or dispose. /\KS18_019-Concrete Drop Inlet. Drawing NBC-GTW-CL-0025 \m³\36.11444 \ 50" u="1"/>
        <s v="SABS1200 DA  \ Earthworks (Small Works) / 8.3\ SCHEDULED ITEMS / 8.3.2a \ Excavate for restricted foundations, footings and trenches  in all materials and use for embankments or backfill or dispose. /\KS13_005-Concrete Drop Inlet. Refer to drawing K \m³\40.88154 \ 50" u="1"/>
        <s v="SABS1200 DA  \ Earthworks (Small Works) / 8.3\ SCHEDULED ITEMS / 8.3.2a \ Excavate for restricted foundations, footings and trenches  in all materials and use for embankments or backfill or dispose. /\KS13_006-Concrete Drop Inlet. Refer to drawing L \m³\40.88154 \ 50" u="1"/>
        <s v="SABS1200 DA \EARTHWORKS (SMALL WORKS)/8.3\SCHEDULED ITEMS/8.3.2a\Excavate for restricted foundations, footings and trenches  in all materials and use for embankments or backfill or dispose. /\KS12_008-Concrete Drop Inlet. Refer to drawing NBC-GTW-CL-0007 \m³\33.21409 \ 50" u="1"/>
        <s v="SABS1200 DA \EARTHWORKS (SMALL WORKS)/8.3\SCHEDULED ITEMS/8.3.2a\Excavate for restricted foundations, footings and trenches  in all materials and use for embankments or backfill or dispose. /\KS18_008-Concrete Cut-Off Walls. Drawing NBC-GTW-CL-0045 \m³\5.76 \ 85" u="1"/>
        <s v="SABS1200 DA  / Earthworks (Small Works) / 8.3 / 8.3.2a / Excavate for restricted foundations, footings and trenches  in all materials and use for embankments or backfill or dispose / KS19_005-Infilling of Drains / 11 / m³" u="1"/>
        <s v="SABS1200 DA \EARTHWORKS (SMALL WORKS)/8.3\SCHEDULED ITEMS/8.3.2a\Excavate for restricted foundations, footings and trenches  in all materials and use for embankments or backfill or dispose. /\ks11-001-Off-take structure  \m³\4 \ 50" u="1"/>
        <s v="SABS1200 DA \EARTHWORKS (SMALL WORKS)/8.3\SCHEDULED ITEMS/8.3.2a\Excavate for restricted foundations, footings and trenches  in all materials and use for embankments or backfill or dispose. /\KS21-002-Earthworks  \m³\191.4 \ 85" u="1"/>
        <s v="SABS1200 DA \EARTHWORKS (SMALL WORKS)/8.3\SCHEDULED ITEMS/8.3.2a\Excavate for restricted foundations, footings and trenches  in all materials and use for embankments or backfill or dispose. /\KS21_007-Concrete Drop Inlet. Refer to drawing NBC-GTW-CL-0042 \m³\31.14898 \ 50" u="1"/>
        <s v="SABS1200 DA  \ Earthworks (Small Works) / 8.3\ SCHEDULED ITEMS / 8.3.2a \ Excavate for restricted foundations, footings and trenches  in all materials and use for embankments or backfill or dispose. /\KS12_005-Concrete Drop Inlet. Refer to drawing D \m³\36.4286202 \ 50" u="1"/>
        <s v="SABS1200 DA  / Earthworks (Small Works) / 8.3 / 8.3.2a / Excavate for restricted foundations, footings and trenches  in all materials and use for embankments or backfill or dispose / LS16_003-Concrete Cut-Off Walls / 2.1 / m³" u="1"/>
        <s v="SABS1200 DA  \ Earthworks (Small Works) / 8.3\ SCHEDULED ITEMS / 8.3.2a \ Excavate for restricted foundations, footings and trenches  in all materials and use for embankments or backfill or dispose. /\KS19_002-Concrete Drop Inlet \m³\38.760038 \ 50" u="1"/>
        <s v="SABS1200 DA  / Earthworks (Small Works) / 8.3 / 8.3.2a / Excavate for restricted foundations, footings and trenches  in all materials and use for embankments or backfill or dispose / KS18_008-Concrete Cut-Off Walls / 5.76 / m³" u="1"/>
        <s v="SABS1200 DA \EARTHWORKS (SMALL WORKS)/8.3\SCHEDULED ITEMS/8.3.2a\Excavate for restricted foundations, footings and trenches  in all materials and use for embankments or backfill or dispose. /\KS18_018-Concrete Drop Inlet. Drawing NBC-GTW-CL-0024 \m³\52.32581 \ 50" u="1"/>
        <s v="SABS1200 DA  \ Earthworks (Small Works) / 8.3\ SCHEDULED ITEMS / 8.3.2a \ Excavate for restricted foundations, footings and trenches  in all materials and use for embankments or backfill or dispose. /\KS19_002-Concrete Drop Inlet. Refer to drawing Z \m³\38.760038 \ 50" u="1"/>
        <s v="SABS1200 DA  \ Earthworks (Small Works) / 8.3\ SCHEDULED ITEMS / 8.3.2a \ Excavate for restricted foundations, footings and trenches  in all materials and use for embankments or backfill or dispose. /\KS18_005-Concrete Cut-Off Walls \m³\6.93 \ 50" u="1"/>
        <s v="SABS1200 DA  \ Earthworks (Small Works) / 8.3\ SCHEDULED ITEMS / 8.3.2a \ Excavate for restricted foundations, footings and trenches  in all materials and use for embankments or backfill or dispose. /\KS18_010-Concrete Cut-Off Walls \m³\6.93 \ 50" u="1"/>
        <s v="SABS1200 DA \EARTHWORKS (SMALL WORKS)/8.3\SCHEDULED ITEMS/8.3.2a\Excavate for restricted foundations, footings and trenches  in all materials and use for embankments or backfill or dispose. /\KS20_002-Concrete Drop Inlet. Refer to drawing NBC-GTW-CL-0028 \m³\70.75144 \ 50" u="1"/>
        <s v="SABS1200 DA  \ Earthworks (Small Works) / 8.3\ SCHEDULED ITEMS / 8.3.2a \ Excavate for restricted foundations, footings and trenches  in all materials and use for embankments or backfill or dispose. /\Pan8_002-Infilling of Drains  \m³\64 \ 50" u="1"/>
        <s v="SABS1200 DA  \ Earthworks (Small Works) / 8.3\ SCHEDULED ITEMS / 8.3.2a \ Excavate for restricted foundations, footings and trenches  in all materials and use for embankments or backfill or dispose. /\KS16_003-Infilling of Drains \m³\14.22 \ 50" u="1"/>
        <s v="SABS1200 DA  \ Earthworks (Small Works) / 8.3\ SCHEDULED ITEMS / 8.3.2a \ Excavate for restricted foundations, footings and trenches  in all materials and use for embankments or backfill or dispose. /\KS21_003-Concrete Drop Inlet \m³\25.78775 \ 50" u="1"/>
        <s v="SABS1200 DA  / Earthworks (Small Works) / 8.3 / 8.3.2a / Excavate for restricted foundations, footings and trenches  in all materials and use for embankments or backfill or dispose / KS15_001-Fish Bowl / 215.621 / m³" u="1"/>
        <s v="SABS1200 DA  \ Earthworks (Small Works) / 8.3\ SCHEDULED ITEMS / 8.3.2a \ Excavate for restricted foundations, footings and trenches  in all materials and use for embankments or backfill or dispose. /\LS16_007-Concrete Cut-Off Walls  \m³\5.94 \ 50" u="1"/>
        <s v="SABS1200 DA  \ Earthworks (Small Works) / 8.3\ SCHEDULED ITEMS / 8.3.2a \ Excavate for restricted foundations, footings and trenches  in all materials and use for embankments or backfill or dispose. /\KS12_004-Concrete Drop Inlet. Refer to drawing C \m³\36.6111 \ 50" u="1"/>
        <s v="SABS1200 DA  / Earthworks (Small Works) / 8.3 / 8.3.2a / Excavate for restricted foundations, footings and trenches  in all materials and use for embankments or backfill or dispose / LS16_004-Concrete Cut-Off Walls / 2.4 / m³" u="1"/>
        <s v="SABS1200 DA  / Earthworks (Small Works) / 8.3 / 8.3.2a / Excavate for restricted foundations, footings and trenches  in all materials and use for embankments or backfill or dispose / KS18_017-Concrete Drop Inlet / 43.59664 / m³" u="1"/>
        <s v="SABS1200 DA \EARTHWORKS (SMALL WORKS)/8.3\SCHEDULED ITEMS/8.3.2a\Excavate for restricted foundations, footings and trenches  in all materials and use for embankments or backfill or dispose. /\KS18-014-Concrete Check Wall. Drawing NBC-GTW-CL-0001 \m³\6.66 \ 85" u="1"/>
        <s v="SABS1200 DA \EARTHWORKS (SMALL WORKS)/8.3\SCHEDULED ITEMS/8.3.2a\Excavate for restricted foundations, footings and trenches  in all materials and use for embankments or backfill or dispose. /\ks11-002a-Concrete Drop Inlet on Dam Wall  \m³\394.7652 \ 50" u="1"/>
        <s v="SABS1200 DA \EARTHWORKS (SMALL WORKS)/8.3\SCHEDULED ITEMS/8.3.2a\Excavate for restricted foundations, footings and trenches  in all materials and use for embankments or backfill or dispose. /\KS12_006-Concrete Drop Inlet. Drawing NBC-GTW-CL-0005 \m³\31.948975 \ 50" u="1"/>
        <s v="SABS1200 DA \EARTHWORKS (SMALL WORKS)/8.3\SCHEDULED ITEMS/8.3.2a\Excavate for restricted foundations, footings and trenches  in all materials and use for embankments or backfill or dispose. /\Pan14_007-Infilling of Drains  \m³\18.6 \ 50" u="1"/>
        <s v="SABS1200 DA  \ Earthworks (Small Works) / 8.3\ SCHEDULED ITEMS / 8.3.2a \ Excavate for restricted foundations, footings and trenches  in all materials and use for embankments or backfill or dispose. /\KS21_007-Concrete Drop Inlet. Refer to drawing AP \m³\31.14898 \ 50" u="1"/>
        <s v="SABS1200 DA  \ Earthworks (Small Works) / 8.3\ SCHEDULED ITEMS / 8.3.2a \ Excavate for restricted foundations, footings and trenches  in all materials and use for embankments or backfill or dispose. /\KS18_004-Concrete Cut-Off Walls. Refer to drawing AS \m³\5.355 \ 50" u="1"/>
        <s v="SABS1200 DA  \ Earthworks (Small Works) / 8.3\ SCHEDULED ITEMS / 8.3.2a \ Excavate for restricted foundations, footings and trenches  in all materials and use for embankments or backfill or dispose. /\KS12_008-Concrete Drop Inlet \m³\33.21409 \ 50" u="1"/>
        <s v="SABS1200 DA  / Earthworks (Small Works) / 8.3 / 8.3.2a / Excavate for restricted foundations, footings and trenches  in all materials and use for embankments or backfill or dispose / LS16_011-Concrete Cut-Off Walls / 3.3 / m³" u="1"/>
        <s v="SABS1200 DA \EARTHWORKS (SMALL WORKS)/8.3\SCHEDULED ITEMS/8.3.2a\Excavate for restricted foundations, footings and trenches  in all materials and use for embankments or backfill or dispose. /\KS21_010-Concrete Drop Inlet. Drawing NBC-GTW-CL-0044 \m³\37.9104055 \ 85" u="1"/>
        <s v="SABS1200 DA  / Earthworks (Small Works) / 8.3 / 8.3.2a / Excavate for restricted foundations, footings and trenches  in all materials and use for embankments or backfill or dispose / KS12_009-Concrete Drop Inlet / 21.46164 / m³" u="1"/>
        <s v="SABS1200 DA \EARTHWORKS (SMALL WORKS)/8.3\SCHEDULED ITEMS/8.3.2a\Excavate for restricted foundations, footings and trenches  in all materials and use for embankments or backfill or dispose. /\KS18_004-Concrete Cut-Off Walls. Drawing NBC-GTW-CL-0045 \m³\5.355 \ 85" u="1"/>
        <s v="SABS1200 DA \EARTHWORKS (SMALL WORKS)/8.3\SCHEDULED ITEMS/8.3.2a\Excavate for restricted foundations, footings and trenches  in all materials and use for embankments or backfill or dispose. /\KS18_008-Concrete Cut-Off Walls. Drawing NBC-GTW-CL-0045 \m³\5.76 \ 50" u="1"/>
        <s v="SABS1200 DA \EARTHWORKS (SMALL WORKS)/8.3\SCHEDULED ITEMS/8.3.2a\Excavate for restricted foundations, footings and trenches  in all materials and use for embankments or backfill or dispose. /\KS18_002-Concrete Drop Inlet. Drawing NBC-GTW-CL-0020 \m³\32.274065 \ 50" u="1"/>
        <s v="SABS1200 DA  / Earthworks (Small Works) / 8.3 / 8.3.2a / Excavate for restricted foundations, footings and trenches  in all materials and use for embankments or backfill or dispose / LS16_005-Concrete Cut-Off Walls / 3.6 / m³" u="1"/>
        <s v="SABS1200 DA  / Earthworks (Small Works) / 8.3 / 8.3.2a / Excavate for restricted foundations, footings and trenches  in all materials and use for embankments or backfill or dispose / ks11-004-Excavation / 887 / m³" u="1"/>
        <s v="SABS1200 DA  \ Earthworks (Small Works) / 8.3\ SCHEDULED ITEMS / 8.3.2a \ Excavate for restricted foundations, footings and trenches  in all materials and use for embankments or backfill or dispose. /\KS13_013-Concrete Drop Inlet \m³\37.8822 \ 50" u="1"/>
        <s v="SABS1200 DA  \ Earthworks (Small Works) / 8.3\ SCHEDULED ITEMS / 8.3.2a \ Excavate for restricted foundations, footings and trenches  in all materials and use for embankments or backfill or dispose. /\KS20_007-Concrete Drop Inlet \m³\56.185603 \ 50" u="1"/>
        <s v="SABS1200 DA  \ Earthworks (Small Works) / 8.3\ SCHEDULED ITEMS / 8.3.2a \ Excavate for restricted foundations, footings and trenches  in all materials and use for embankments or backfill or dispose. /\LS16_004-Concrete Cut-Off Walls \m³\2.4 \ 50" u="1"/>
        <s v="SABS1200 DA \EARTHWORKS (SMALL WORKS)/8.3\SCHEDULED ITEMS/8.3.2a\Excavate for restricted foundations, footings and trenches  in all materials and use for embankments or backfill or dispose. /\LS16_009-Concrete Cut-Off Walls  \m³\4.35 \ 50" u="1"/>
        <s v="SABS1200 DA  \ Earthworks (Small Works) / 8.3\ SCHEDULED ITEMS / 8.3.2a \ Excavate for restricted foundations, footings and trenches  in all materials and use for embankments or backfill or dispose. /\KS13_007-Concrete Drop Inlet. Refer to drawing M \m³\35.99056 \ 50" u="1"/>
        <s v="SABS1200 DA \EARTHWORKS (SMALL WORKS)/8.3\SCHEDULED ITEMS/8.3.2a\Excavate for restricted foundations, footings and trenches  in all materials and use for embankments or backfill or dispose. /\KS20_005-Concrete Drop Inlet. Drawing NBC-GTW-CL-0031 \m³\69.658655 \ 50" u="1"/>
        <s v="SABS1200 DA \EARTHWORKS (SMALL WORKS)/8.3\SCHEDULED ITEMS/8.3.2a\Excavate for restricted foundations, footings and trenches  in all materials and use for embankments or backfill or dispose. /\KS12_008-Concrete Drop Inlet. Drawing NBC-GTW-CL-0007 \m³\33.21409 \ 50" u="1"/>
        <s v="SABS1200 DA  / Earthworks (Small Works) / 8.3 / 8.3.2a / Excavate for restricted foundations, footings and trenches  in all materials and use for embankments or backfill or dispose / LS12_002-Removal of Berm / 27.17 / m³" u="1"/>
        <s v="SABS1200 DA  / Earthworks (Small Works) / 8.3 / 8.3.2a / Excavate for restricted foundations, footings and trenches  in all materials and use for embankments or backfill or dispose / KS12_010-Removal of Dam Wall / 216.664861875 / m³" u="1"/>
        <s v="SABS1200 DA \EARTHWORKS (SMALL WORKS)/8.3\SCHEDULED ITEMS/8.3.2a\Excavate for restricted foundations, footings and trenches  in all materials and use for embankments or backfill or dispose. /\KS12_002-Concrete Drop Inlet. Refer to drawing NBC-GTW-CL-0002 \m³\37 \ 50" u="1"/>
        <s v="SABS1200 DA  / Earthworks (Small Works) / 8.3 / 8.3.2a / Excavate for restricted foundations, footings and trenches  in all materials and use for embankments or backfill or dispose / LS16_014-Ecologs / 1.62 / m³" u="1"/>
        <s v="SABS1200 DA \EARTHWORKS (SMALL WORKS)/8.3\SCHEDULED ITEMS/8.3.2a\Excavate for restricted foundations, footings and trenches  in all materials and use for embankments or backfill or dispose. /\KS20_009_a-Concrete Drop Inlet. Refer to drawing NBC-GTW-CL-0035 \m³\132.757199 \ 50" u="1"/>
        <s v="SABS1200 DA  \ Earthworks (Small Works) / 8.3\ SCHEDULED ITEMS / 8.3.2a \ Excavate for restricted foundations, footings and trenches  in all materials and use for embankments or backfill or dispose. /\KS13_008-Concrete Drop Inlet \m³\40.93968 \ 50" u="1"/>
        <s v="SABS1200 DA \EARTHWORKS (SMALL WORKS)/8.3\SCHEDULED ITEMS/8.3.2a\Excavate for restricted foundations, footings and trenches  in all materials and use for embankments or backfill or dispose. /\KS18_011-Concrete Cut-Off Walls. Drawing NBC-GTW-CL-0045 \m³\6 \ 50" u="1"/>
        <s v="SABS1200 DA \EARTHWORKS (SMALL WORKS)/8.3\SCHEDULED ITEMS/8.3.2a\Excavate for restricted foundations, footings and trenches  in all materials and use for embankments or backfill or dispose. /\KS18_013-Concrete Cut-Off Walls. Drawing NBC-GTW-CL-0045 \m³\6 \ 50" u="1"/>
        <s v="SABS1200 DA  \ Earthworks (Small Works) / 8.3\ SCHEDULED ITEMS / 8.3.2a \ Excavate for restricted foundations, footings and trenches  in all materials and use for embankments or backfill or dispose. /\LS16_007-Concrete Cut-Off Walls \m³\5.94 \ 50" u="1"/>
        <s v="SABS1200 DA  \ Earthworks (Small Works) / 8.3\ SCHEDULED ITEMS / 8.3.2a \ Excavate for restricted foundations, footings and trenches  in all materials and use for embankments or backfill or dispose. /\KS20_002-Concrete Drop Inlet \m³\70.75144 \ 50" u="1"/>
        <s v="SABS1200 DA \EARTHWORKS (SMALL WORKS)/8.3\SCHEDULED ITEMS/8.3.2a\Excavate for restricted foundations, footings and trenches  in all materials and use for embankments or backfill or dispose. /\KS21_006-Concrete Drop Inlet. Refer to drawing NBC-GTW-CL-0041 \m³\31.9418025 \ 50" u="1"/>
        <s v="SABS1200 DA  / Earthworks (Small Works) / 8.3 / 8.3.2a / Excavate for restricted foundations, footings and trenches  in all materials and use for embankments or backfill or dispose / KS20_003-Concrete Buttress Weir / 82.9571958 / m³" u="1"/>
        <s v="SABS1200 DA  / Earthworks (Small Works) / 8.3 / 8.3.2a / Excavate for restricted foundations, footings and trenches  in all materials and use for embankments or backfill or dispose / LS16_002-Concrete Cut-Off Walls / 4.8 / m³" u="1"/>
        <s v="SABS1200 DA \EARTHWORKS (SMALL WORKS)/8.3\SCHEDULED ITEMS/8.3.2a\Excavate for restricted foundations, footings and trenches  in all materials and use for embankments or backfill or dispose. /\KS19_003-Headcut  \m³\5.316 \ 85" u="1"/>
        <s v="SABS1200 DA  / Earthworks (Small Works) / 8.3 / 8.3.2a / Excavate for restricted foundations, footings and trenches  in all materials and use for embankments or backfill or dispose / LS16_010-Concrete Cut-Off Walls / 5.1 / m³" u="1"/>
        <s v="SABS1200 DA  / Earthworks (Small Works) / 8.3 / 8.3.2a / Excavate for restricted foundations, footings and trenches  in all materials and use for embankments or backfill or dispose / KS13_012-Concrete Drop Inlet / 29.930225 / m³" u="1"/>
        <s v="SABS1200 DA \EARTHWORKS (SMALL WORKS)/8.3\SCHEDULED ITEMS/8.3.2a\Excavate for restricted foundations, footings and trenches  in all materials and use for embankments or backfill or dispose. /\KS20_007-Concrete Drop Inlet. Refer to drawing NBC-GTW-CL-0033 \m³\56.185603 \ 50" u="1"/>
        <s v="SABS1200 DA  / Earthworks (Small Works) / 8.3 / 8.3.2a / Excavate for restricted foundations, footings and trenches  in all materials and use for embankments or backfill or dispose / KS12_005-Concrete Drop Inlet / 36.4286202 / m³" u="1"/>
        <s v="SABS1200 DA \EARTHWORKS (SMALL WORKS)/8.3\SCHEDULED ITEMS/8.3.2a\Excavate for restricted foundations, footings and trenches  in all materials and use for embankments or backfill or dispose. /\KS21_009-Concrete Drop Inlet. Drawing NBC-GTW-CL-0043 \m³\40.198585 \ 50" u="1"/>
        <s v="SABS1200 DA  / Earthworks (Small Works) / 8.3 / 8.3.2a / Excavate for restricted foundations, footings and trenches  in all materials and use for embankments or backfill or dispose / KS18_002-Concrete Drop Inlet / 32.274065 / m³" u="1"/>
        <s v="SABS1200 DA  \ Earthworks (Small Works) / 8.3\ SCHEDULED ITEMS / 8.3.2a \ Excavate for restricted foundations, footings and trenches  in all materials and use for embankments or backfill or dispose. /\Pan8_002-Infilling of Drains \m³\64 \ 50" u="1"/>
        <s v="SABS1200 DA  \ Earthworks (Small Works) / 8.3\ SCHEDULED ITEMS / 8.3.2a \ Excavate for restricted foundations, footings and trenches  in all materials and use for embankments or backfill or dispose. /\KS21_001-10° sloped Grouted Pitching (Light). Refer to drawing AL \m³\15 \ 50" u="1"/>
        <s v="SABS1200 DA \EARTHWORKS (SMALL WORKS)/8.3\SCHEDULED ITEMS/8.3.2a\Excavate for restricted foundations, footings and trenches  in all materials and use for embankments or backfill or dispose. /\KS20_004-Concrete Drop Inlet. Drawing NBC-GTW-CL-0030 \m³\42.774586 \ 50" u="1"/>
        <s v="SABS1200 DA \EARTHWORKS (SMALL WORKS)/8.3\SCHEDULED ITEMS/8.3.2a\Excavate for restricted foundations, footings and trenches  in all materials and use for embankments or backfill or dispose. /\KS18_005-Concrete Cut-Off Walls. Drawing NBC-GTW-CL-0045 \m³\6.93 \ 85" u="1"/>
        <s v="SABS1200 DA \EARTHWORKS (SMALL WORKS)/8.3\SCHEDULED ITEMS/8.3.2a\Excavate for restricted foundations, footings and trenches  in all materials and use for embankments or backfill or dispose. /\KS18_010-Concrete Cut-Off Walls. Drawing NBC-GTW-CL-0045 \m³\6.93 \ 85" u="1"/>
        <s v="SABS1200 DA \EARTHWORKS (SMALL WORKS)/8.3\SCHEDULED ITEMS/8.3.2a\Excavate for restricted foundations, footings and trenches  in all materials and use for embankments or backfill or dispose. /\LS16_014-Ecologs  \m³\1.62 \ 50" u="1"/>
        <s v="SABS1200 DA  \ Earthworks (Small Works) / 8.3\ SCHEDULED ITEMS / 8.3.2a \ Excavate for restricted foundations, footings and trenches  in all materials and use for embankments or backfill or dispose. /\KS20_001-Concrete Drop Inlet \m³\51.93327 \ 50" u="1"/>
        <s v="SABS1200 DA \EARTHWORKS (SMALL WORKS)/8.3\SCHEDULED ITEMS/8.3.2a\Excavate for restricted foundations, footings and trenches  in all materials and use for embankments or backfill or dispose. /\KS20_006-Concrete Drop Inlet. Drawing NBC-GTW-CL-0032 \m³\55.598465 \ 50" u="1"/>
        <s v="SABS1200 DA \EARTHWORKS (SMALL WORKS)/8.3\SCHEDULED ITEMS/8.3.2a\Excavate for restricted foundations, footings and trenches  in all materials and use for embankments or backfill or dispose. /\KS20_009_b-Concrete Overflow Wall. Drawing NBC-GTW-CL-0035 \m³\30.7675 \ 50" u="1"/>
        <s v="SABS1200 DA  / Earthworks (Small Works) / 8.3 / 8.3.2a / Excavate for restricted foundations, footings and trenches  in all materials and use for embankments or backfill or dispose / KS18_003-Concrete Cut-Off Walls / 5.7 / m³" u="1"/>
        <s v="SABS1200 DA \EARTHWORKS (SMALL WORKS)/8.3\SCHEDULED ITEMS/8.3.2a\Excavate for restricted foundations, footings and trenches  in all materials and use for embankments or backfill or dispose. /\LS16_002-Concrete Cut-Off Walls  \m³\4.8 \ 50" u="1"/>
        <s v="SABS1200 DA  / Earthworks (Small Works) / 8.3 / 8.3.2a / Excavate for restricted foundations, footings and trenches  in all materials and use for embankments or backfill or dispose / KS18_004-Concrete Cut-Off Walls / 5.355 / m³" u="1"/>
        <s v="SABS1200 DA  \ Earthworks (Small Works) / 8.3\ SCHEDULED ITEMS / 8.3.2a \ Excavate for restricted foundations, footings and trenches  in all materials and use for embankments or backfill or dispose. /\KS13_011-Concrete Drop Inlet. Refer to drawing O \m³\41.19048 \ 50" u="1"/>
        <s v="SABS1200 DA  / Earthworks (Small Works) / 8.3 / 8.3.2a / Excavate for restricted foundations, footings and trenches  in all materials and use for embankments or backfill or dispose / Pan09_001-Removal of Dam Wall / 188.47125 / m³" u="1"/>
        <s v="SABS1200 DA \EARTHWORKS (SMALL WORKS)/8.3\SCHEDULED ITEMS/8.3.2a\Excavate for restricted foundations, footings and trenches  in all materials and use for embankments or backfill or dispose. /\KS20_001-Concrete Drop Inlet. Drawing NBC-GTW-CL-0027 \m³\51.93327 \ 50" u="1"/>
        <s v="SABS1200 DA \EARTHWORKS (SMALL WORKS)/8.3\SCHEDULED ITEMS/8.3.2a\Excavate for restricted foundations, footings and trenches  in all materials and use for embankments or backfill or dispose. /\KS20_005-Concrete Drop Inlet. Refer to drawing NBC-GTW-CL-0031 \m³\69.658655 \ 50" u="1"/>
        <s v="SABS1200 DA \EARTHWORKS (SMALL WORKS)/8.3\SCHEDULED ITEMS/8.3.2a\Excavate for restricted foundations, footings and trenches  in all materials and use for embankments or backfill or dispose. /\KS19_004-Infilling of Drains  \m³\4.5 \ 50" u="1"/>
        <s v="SABS1200 DA  \ Earthworks (Small Works) / 8.3\ SCHEDULED ITEMS / 8.3.2a \ Excavate for restricted foundations, footings and trenches  in all materials and use for embankments or backfill or dispose. /\KS13_012-Concrete Drop Inlet \m³\29.930225 \ 50" u="1"/>
        <s v="SABS1200 DA  \ Earthworks (Small Works) / 8.3\ SCHEDULED ITEMS / 8.3.2a \ Excavate for restricted foundations, footings and trenches  in all materials and use for embankments or backfill or dispose. /\KS21_009-Concrete Drop Inlet \m³\40.198585 \ 50" u="1"/>
        <s v="SABS1200 DA  / Earthworks (Small Works) / 8.3 / 8.3.2a / Excavate for restricted foundations, footings and trenches  in all materials and use for embankments or backfill or dispose / LS16_018-Gabion energy breaker / 22.08 / m³" u="1"/>
        <s v="SABS1200 DA \EARTHWORKS (SMALL WORKS)/8.3\SCHEDULED ITEMS/8.3.2a\Excavate for restricted foundations, footings and trenches  in all materials and use for embankments or backfill or dispose. /\KS18_009-Concrete Cut-Off Walls. Drawing NBC-GTW-CL-0045 \m³\5.775 \ 85" u="1"/>
        <s v="SABS1200 DA \EARTHWORKS (SMALL WORKS)/8.3\SCHEDULED ITEMS/8.3.2a\Excavate for restricted foundations, footings and trenches  in all materials and use for embankments or backfill or dispose. /\KS12_004-Concrete Drop Inlet. Drawing NBC-GTW-CL-0003 \m³\36.6111 \ 50" u="1"/>
        <s v="SABS1200 DA \EARTHWORKS (SMALL WORKS)/8.3\SCHEDULED ITEMS/8.3.2a\Excavate for restricted foundations, footings and trenches  in all materials and use for embankments or backfill or dispose. /\LS16_010-Concrete Cut-Off Walls  \m³\5.1 \ 50" u="1"/>
        <s v="SABS1200 DA  / Earthworks (Small Works) / 8.3 / 8.3.2a / Excavate for restricted foundations, footings and trenches  in all materials and use for embankments or backfill or dispose / KS18_012-Concrete Cut-Off Walls / 6.6 / m³" u="1"/>
        <s v="SABS1200 DA  \ Earthworks (Small Works) / 8.3\ SCHEDULED ITEMS / 8.3.2a \ Excavate for restricted foundations, footings and trenches  in all materials and use for embankments or backfill or dispose. /\KS21_007-Concrete Drop Inlet \m³\31.14898 \ 50" u="1"/>
        <s v="SABS1200 DA  / Earthworks (Small Works) / 8.3 / 8.3.2a / Excavate for restricted foundations, footings and trenches  in all materials and use for embankments or backfill or dispose / KS18_001-Concrete Drop Inlet / 61.486052 / m³" u="1"/>
        <s v="SABS1200 DA \EARTHWORKS (SMALL WORKS)/8.3\SCHEDULED ITEMS/8.3.2a\Excavate for restricted foundations, footings and trenches  in all materials and use for embankments or backfill or dispose. /\LS16_019-Gabion energy breaker  \m³\24.48 \ 50" u="1"/>
        <s v="SABS1200 DA \EARTHWORKS (SMALL WORKS)/8.3\SCHEDULED ITEMS/8.3.2a\Excavate for restricted foundations, footings and trenches  in all materials and use for embankments or backfill or dispose. /\KS12_004-Concrete Drop Inlet. Refer to drawing NBC-GTW-CL-0003 \m³\36.6111 \ 50" u="1"/>
        <s v="SABS1200 DA \EARTHWORKS (SMALL WORKS)/8.3\SCHEDULED ITEMS/8.3.2a\Excavate for restricted foundations, footings and trenches  in all materials and use for embankments or backfill or dispose. /\KS19_003-Headcut  \m³\5.316 \ 50" u="1"/>
        <s v="SABS1200 DA  \ Earthworks (Small Works) / 8.3\ SCHEDULED ITEMS / 8.3.2a \ Excavate for restricted foundations, footings and trenches  in all materials and use for embankments or backfill or dispose. /\KS13_005-Concrete Drop Inlet \m³\40.88154 \ 50" u="1"/>
        <s v="SABS1200 DA  \ Earthworks (Small Works) / 8.3\ SCHEDULED ITEMS / 8.3.2a \ Excavate for restricted foundations, footings and trenches  in all materials and use for embankments or backfill or dispose. /\KS13_006-Concrete Drop Inlet \m³\40.88154 \ 50" u="1"/>
        <s v="SABS1200 DA \EARTHWORKS (SMALL WORKS)/8.3\SCHEDULED ITEMS/8.3.2a\Excavate for restricted foundations, footings and trenches  in all materials and use for embankments or backfill or dispose. /\KS20_003-Concrete Buttress Weir. Refer to drawing NBC-GTW-CL-0029 \m³\82.9571958 \ 50" u="1"/>
        <s v="SABS1200 DA \EARTHWORKS (SMALL WORKS)/8.3\SCHEDULED ITEMS/8.3.2a\Excavate for restricted foundations, footings and trenches  in all materials and use for embankments or backfill or dispose. /\KS20_009_a-Concrete Buttress Weir. Refer to drawing NBC-GTW-CL-0035 \m³\132.757199 \ 50" u="1"/>
        <s v="SABS1200 DA \EARTHWORKS (SMALL WORKS)/8.3\SCHEDULED ITEMS/8.3.2a\Excavate for restricted foundations, footings and trenches  in all materials and use for embankments or backfill or dispose. /\KS12_009-Concrete Drop Inlet. Refer to drawing NBC-GTW-CL-0008 \m³\21.46164 \ 50" u="1"/>
        <s v="SABS1200 DA \EARTHWORKS (SMALL WORKS)/8.3\SCHEDULED ITEMS/8.3.2a\Excavate for restricted foundations, footings and trenches  in all materials and use for embankments or backfill or dispose. /\KS18_015-Concrete Drop Inlet. Drawing NBC-GTW-CL-0021 \m³\57.16188 \ 50" u="1"/>
        <s v="SABS1200 DA \EARTHWORKS (SMALL WORKS)/8.3\SCHEDULED ITEMS/8.3.2a\Excavate for restricted foundations, footings and trenches  in all materials and use for embankments or backfill or dispose. /\KS18_005-Concrete Cut-Off Walls. Drawing NBC-GTW-CL-0045 \m³\6.93 \ 50" u="1"/>
        <s v="SABS1200 DA \EARTHWORKS (SMALL WORKS)/8.3\SCHEDULED ITEMS/8.3.2a\Excavate for restricted foundations, footings and trenches  in all materials and use for embankments or backfill or dispose. /\KS18_010-Concrete Cut-Off Walls. Drawing NBC-GTW-CL-0045 \m³\6.93 \ 50" u="1"/>
        <s v="SABS1200 DA  \ Earthworks (Small Works) / 8.3\ SCHEDULED ITEMS / 8.3.2a \ Excavate for restricted foundations, footings and trenches  in all materials and use for embankments or backfill or dispose. /\LS16_017-Gabion energy breaker \m³\25 \ 50" u="1"/>
        <s v="SABS1200 DA  \ Earthworks (Small Works) / 8.3\ SCHEDULED ITEMS / 8.3.2a \ Excavate for restricted foundations, footings and trenches  in all materials and use for embankments or backfill or dispose. /\KS13_012-Concrete Drop Inlet. Refer to drawing P \m³\29.930225 \ 50" u="1"/>
        <s v="SABS1200 DA  \ Earthworks (Small Works) / 8.3\ SCHEDULED ITEMS / 8.3.2a \ Excavate for restricted foundations, footings and trenches  in all materials and use for embankments or backfill or dispose. /\KS13_003-Concrete Drop Inlet. Refer to drawing I \m³\44.0325 \ 50" u="1"/>
        <s v="SABS1200 DA \EARTHWORKS (SMALL WORKS)/8.3\SCHEDULED ITEMS/8.3.2a\Excavate for restricted foundations, footings and trenches  in all materials and use for embankments or backfill or dispose. /\KS12_009-Concrete Drop Inlet. Drawing NBC-GTW-CL-0008 \m³\21.46164 \ 50" u="1"/>
        <s v="SABS1200 DA \EARTHWORKS (SMALL WORKS)/8.3\SCHEDULED ITEMS/8.3.2a\Excavate for restricted foundations, footings and trenches  in all materials and use for embankments or backfill or dispose. /\KS18_018-Concrete Drop Inlet. Refer to drawing NBC-GTW-CL-0024 \m³\52.32581 \ 50" u="1"/>
        <s v="SABS1200 DA  / Earthworks (Small Works) / 8.3 / 8.3.2a / Excavate for restricted foundations, footings and trenches  in all materials and use for embankments or backfill or dispose / LS08_001-Removal of Berm / 43.75 / m³" u="1"/>
        <s v="SABS1200 DA  \ Earthworks (Small Works) / 8.3\ SCHEDULED ITEMS / 8.3.2a \ Excavate for restricted foundations, footings and trenches  in all materials and use for embankments or backfill or dispose. /\KS20_007-Concrete Drop Inlet. Refer to drawing AG \m³\56.185603 \ 50" u="1"/>
        <s v="SABS1200 DA  \ Earthworks (Small Works) / 8.3\ SCHEDULED ITEMS / 8.3.2a \ Excavate for restricted foundations, footings and trenches  in all materials and use for embankments or backfill or dispose. /\KS18_016-Concrete Drop Inlet. Refer to drawing V \m³\46.41016 \ 50" u="1"/>
        <s v="SABS1200 DA  \ Earthworks (Small Works) / 8.3\ SCHEDULED ITEMS / 8.3.2a \ Excavate for restricted foundations, footings and trenches  in all materials and use for embankments or backfill or dispose. /\LS16_008-Concrete Cut-Off Walls  \m³\4.1325 \ 50" u="1"/>
        <s v="SABS1200 DA  / Earthworks (Small Works) / 8.3 / 8.3.2a / Excavate for restricted foundations, footings and trenches  in all materials and use for embankments or backfill or dispose / KS21_006-Concrete Drop Inlet / 31.9418025 / m³" u="1"/>
        <s v="SABS1200 DA  / Earthworks (Small Works) / 8.3 / 8.3.2a / Excavate for restricted foundations, footings and trenches  in all materials and use for embankments or backfill or dispose / KS12_002-Concrete Box Culvert / 45.04 / m³" u="1"/>
        <s v="SABS1200 DA \EARTHWORKS (SMALL WORKS)/8.3\SCHEDULED ITEMS/8.3.2a\Excavate for restricted foundations, footings and trenches  in all materials and use for embankments or backfill or dispose. /\KS12_006-Concrete Drop Inlet. Refer to drawing NBC-GTW-CL-0005 \m³\31.948975 \ 50" u="1"/>
        <s v="SABS1200 DA  / Earthworks (Small Works) / 8.3 / 8.3.2a / Excavate for restricted foundations, footings and trenches  in all materials and use for embankments or backfill or dispose / LS16_013-Gabion energy breaker / 13.68 / m³" u="1"/>
        <s v="SABS1200 DA \EARTHWORKS (SMALL WORKS)/8.3\SCHEDULED ITEMS/8.3.2a\Excavate for restricted foundations, footings and trenches  in all materials and use for embankments or backfill or dispose. /\KS19_001-Infilling of Drains  \m³\2.16 \ 50" u="1"/>
        <s v="SABS1200 DA  / Earthworks (Small Works) / 8.3 / 8.3.2a / Excavate for restricted foundations, footings and trenches  in all materials and use for embankments or backfill or dispose / KS18_018-Concrete Drop Inlet / 52.32581 / m³" u="1"/>
        <s v="SABS1200 DA  / Earthworks (Small Works) / 8.3 / 8.3.2a / Excavate for restricted foundations, footings and trenches  in all materials and use for embankments or backfill or dispose / DS12_004-Removal of Berms / 523.01728 / m³" u="1"/>
        <s v="SABS1200 DA  \ Earthworks (Small Works) / 8.3\ SCHEDULED ITEMS / 8.3.2a \ Excavate for restricted foundations, footings and trenches  in all materials and use for embankments or backfill or dispose. /\KS18_015-Concrete Drop Inlet \m³\57.16188 \ 50" u="1"/>
        <s v="SABS1200 DA \EARTHWORKS (SMALL WORKS)/8.3\SCHEDULED ITEMS/8.3.2a\Excavate for restricted foundations, footings and trenches  in all materials and use for embankments or backfill or dispose. /\KS21_005-Concrete Drop Inlet. Drawing NBC-GTW-CL-0040 \m³\35.7722215 \ 50" u="1"/>
        <s v="SABS1200 DA \EARTHWORKS (SMALL WORKS)/8.3\SCHEDULED ITEMS/8.3.2a\Excavate for restricted foundations, footings and trenches  in all materials and use for embankments or backfill or dispose. /\LS16_001-Concrete Cut-Off Walls  \m³\5.04 \ 50" u="1"/>
        <s v="SABS1200 DA \EARTHWORKS (SMALL WORKS)/8.3\SCHEDULED ITEMS/8.3.2a\Excavate for restricted foundations, footings and trenches  in all materials and use for embankments or backfill or dispose. /\KS18_006-Concrete Cut-Off Walls. Drawing NBC-GTW-CL-0045 \m³\6.615 \ 85" u="1"/>
        <s v="SABS1200 DA  / Earthworks (Small Works) / 8.3 / 8.3.2a / Excavate for restricted foundations, footings and trenches  in all materials and use for embankments or backfill or dispose / KS19_001-Infilling of Drains / 2.16 / m³" u="1"/>
        <s v="SABS1200 DA  \ Earthworks (Small Works) / 8.3\ SCHEDULED ITEMS / 8.3.2a \ Excavate for restricted foundations, footings and trenches  in all materials and use for embankments or backfill or dispose. /\KS12_009-Concrete Drop Inlet \m³\21.46164 \ 50" u="1"/>
        <s v="SABS1200 DA  / Earthworks (Small Works) / 8.3 / 8.3.2a / Excavate for restricted foundations, footings and trenches  in all materials and use for embankments or backfill or dispose / KS18_014-Concrete Filled Geo-Cell Berm / 23.9803125 / m³" u="1"/>
        <s v="SABS1200 DA \EARTHWORKS (SMALL WORKS)/8.3\SCHEDULED ITEMS/8.3.2a\Excavate for restricted foundations, footings and trenches  in all materials and use for embankments or backfill or dispose. /\Pan14-003-Remove berm and backfill drain  \m³\950 \ 50" u="1"/>
        <s v="SABS1200 DA  / Earthworks (Small Works) / 8.3 / 8.3.2a / Excavate for restricted foundations, footings and trenches  in all materials and use for embankments or backfill or dispose / LS16_019-Gabion energy breaker / 24.48 / m³" u="1"/>
        <s v="SABS1200 DA \EARTHWORKS (SMALL WORKS)/8.3\SCHEDULED ITEMS/8.3.2a\Excavate for restricted foundations, footings and trenches  in all materials and use for embankments or backfill or dispose. /\KS13_003-Concrete Drop Inlet. Drawing NBC-GTW-CL-0009 \m³\44.0325 \ 50" u="1"/>
        <s v="SABS1200 DA  \ Earthworks (Small Works) / 8.3\ SCHEDULED ITEMS / 8.3.2a \ Excavate for restricted foundations, footings and trenches  in all materials and use for embankments or backfill or dispose. /\KS20_010-Infilling of Drains  \m³\3.6 \ 50" u="1"/>
        <s v="SABS1200 DA  / Earthworks (Small Works) / 8.3 / 8.3.2a / Excavate for restricted foundations, footings and trenches  in all materials and use for embankments or backfill or dispose / KS21_003-Concrete Drop Inlet / 25.78775 / m³" u="1"/>
        <s v="SABS1200 DA \EARTHWORKS (SMALL WORKS)/8.3\SCHEDULED ITEMS/8.3.2a\Excavate for restricted foundations, footings and trenches  in all materials and use for embankments or backfill or dispose. /\KS18_015-Concrete Drop Inlet. Refer to drawing NBC-GTW-CL-0021 \m³\57.16188 \ 50" u="1"/>
        <s v="SABS1200 DA  / Earthworks (Small Works) / 8.3 / 8.3.2a / Excavate for restricted foundations, footings and trenches  in all materials and use for embankments or backfill or dispose / LS16_008-Concrete Cut-Off Walls / 4.1325 / m³" u="1"/>
        <s v="SABS1200 DA \EARTHWORKS (SMALL WORKS)/8.3\SCHEDULED ITEMS/8.3.2a\Excavate for restricted foundations, footings and trenches  in all materials and use for embankments or backfill or dispose. /\KS21_006-Concrete Drop Inlet. Drawing NBC-GTW-CL-0041 \m³\31.9418025 \ 50" u="1"/>
        <s v="SABS1200 DA \EARTHWORKS (SMALL WORKS)/8.3\SCHEDULED ITEMS/8.3.2a\Excavate for restricted foundations, footings and trenches  in all materials and use for embankments or backfill or dispose. /\KS19_005-Infilling of Drains  \m³\4.68 \ 50" u="1"/>
        <s v="SABS1200 DA  \ Earthworks (Small Works) / 8.3\ SCHEDULED ITEMS / 8.3.2a \ Excavate for restricted foundations, footings and trenches  in all materials and use for embankments or backfill or dispose. /\KS21-002-Earthworks \m³\191.4 \ 50" u="1"/>
        <s v="SABS1200 DA  / Earthworks (Small Works) / 8.3 / 8.3.2a / Excavate for restricted foundations, footings and trenches  in all materials and use for embankments or backfill or dispose / KS12_007-Concrete Drop Inlet / 47.313325 / m³" u="1"/>
        <s v="SABS1200 DA \EARTHWORKS (SMALL WORKS)/8.3\SCHEDULED ITEMS/8.3.2a\Excavate for restricted foundations, footings and trenches  in all materials and use for embankments or backfill or dispose. /\KS21_007-Concrete Drop Inlet. Drawing NBC-GTW-CL-0042 \m³\31.14898 \ 50" u="1"/>
        <s v="SABS1200 DA  \ Earthworks (Small Works) / 8.3\ SCHEDULED ITEMS / 8.3.2a \ Excavate for restricted foundations, footings and trenches  in all materials and use for embankments or backfill or dispose. /\LS16_018-Gabion energy breaker \m³\22.08 \ 50" u="1"/>
        <s v="SABS1200 DA \EARTHWORKS (SMALL WORKS)/8.3\SCHEDULED ITEMS/8.3.2a\Excavate for restricted foundations, footings and trenches  in all materials and use for embankments or backfill or dispose. /\KS12_001-Pipe Culvert. Refer to drawing NBC-GTW-CL-0069 \m³\2 \ 50" u="1"/>
        <s v="SABS1200 DA  / Earthworks (Small Works) / 8.3 / 8.3.2a / Excavate for restricted foundations, footings and trenches  in all materials and use for embankments or backfill or dispose / KS20_006-Concrete Drop Inlet / 71.558085 / m³" u="1"/>
        <s v="SABS1200 DA \EARTHWORKS (SMALL WORKS)/8.3\SCHEDULED ITEMS/8.3.2a\Excavate for restricted foundations, footings and trenches  in all materials and use for embankments or backfill or dispose. /\KS18-014-Concrete Filled Geo-Cell Berm. Drawing NBC-GTW-CL-0001 \m³\23.9803125 \ 50" u="1"/>
        <s v="SABS1200 DA \EARTHWORKS (SMALL WORKS)/8.3\SCHEDULED ITEMS/8.3.2a\Excavate for restricted foundations, footings and trenches  in all materials and use for embankments or backfill or dispose. /\KS19_001-Infilling of Drains  \m³\5 \ 50" u="1"/>
        <s v="SABS1200 DA  \ Earthworks (Small Works) / 8.3\ SCHEDULED ITEMS / 8.3.2a \ Excavate for restricted foundations, footings and trenches  in all materials and use for embankments or backfill or dispose. /\LS16_016-Gabion energy breaker \m³\20 \ 50" u="1"/>
        <s v="SABS1200 DA \EARTHWORKS (SMALL WORKS)/8.3\SCHEDULED ITEMS/8.3.2a\Excavate for restricted foundations, footings and trenches  in all materials and use for embankments or backfill or dispose. /\KS20_009_b-Concrete Overflow Wall. Refer to drawing  \m³\30.7675 \ 50" u="1"/>
        <s v="SABS1200 DA \EARTHWORKS (SMALL WORKS)/8.3\SCHEDULED ITEMS/8.3.2a\Excavate for restricted foundations, footings and trenches  in all materials and use for embankments or backfill or dispose. /\KS13_008-Concrete Drop Inlet. Drawing NBC-GTW-CL-0014 \m³\40.93968 \ 50" u="1"/>
        <s v="SABS1200 DA  \ Earthworks (Small Works) / 8.3\ SCHEDULED ITEMS / 8.3.2a \ Excavate for restricted foundations, footings and trenches  in all materials and use for embankments or backfill or dispose. /\KS18_012-Concrete Cut-Off Walls \m³\6.6 \ 50" u="1"/>
        <s v="SABS1200 DA \EARTHWORKS (SMALL WORKS)/8.3\SCHEDULED ITEMS/8.3.2a\Excavate for restricted foundations, footings and trenches  in all materials and use for embankments or backfill or dispose. /\KS20_001-Concrete Drop Inlet. Refer to drawing NBC-GTW-CL-0027 \m³\51.93327 \ 50" u="1"/>
        <s v="SABS1200 DA \EARTHWORKS (SMALL WORKS)/8.3\SCHEDULED ITEMS/8.3.2a\Excavate for restricted foundations, footings and trenches  in all materials and use for embankments or backfill or dispose. /\Pan8_002-Infilling of Drains  \m³\64 \ 50" u="1"/>
        <s v="SABS1200 DA  / Earthworks (Small Works) / 8.3 / 8.3.2a / Excavate for restricted foundations, footings and trenches  in all materials and use for embankments or backfill or dispose / ks11-002-Excavation / 4384 / m³" u="1"/>
        <s v="'" u="1"/>
        <s v="SABS1200 DA  \ Earthworks (Small Works) / 8.3\ SCHEDULED ITEMS / 8.3.2a \ Excavate for restricted foundations, footings and trenches  in all materials and use for embankments or backfill or dispose. /\KS16_005-Infilling of Drains \m³\18.36 \ 50" u="1"/>
        <s v="SABS1200 DA  / Earthworks (Small Works) / 8.3 / 8.3.2a / Excavate for restricted foundations, footings and trenches  in all materials and use for embankments or backfill or dispose / LS16_012-Removal of Road / 115 / m³" u="1"/>
        <s v="SABS1200 DA  \ Earthworks (Small Works) / 8.3\ SCHEDULED ITEMS / 8.3.2a \ Excavate for restricted foundations, footings and trenches  in all materials and use for embankments or backfill or dispose. /\KS20_002-Concrete Drop Inlet. Refer to drawing AB \m³\70.75144 \ 50" u="1"/>
        <s v="SABS1200 DA  \ Earthworks (Small Works) / 8.3\ SCHEDULED ITEMS / 8.3.2a \ Excavate for restricted foundations, footings and trenches  in all materials and use for embankments or backfill or dispose. /\KS21_005-Concrete Drop Inlet \m³\35.7722215 \ 50" u="1"/>
        <s v="SABS1200 DA  / Earthworks (Small Works) / 8.3 / 8.3.2a / Excavate for restricted foundations, footings and trenches  in all materials and use for embankments or backfill or dispose / LS16_006-Concrete Cut-Off Walls / 6.48 / m³" u="1"/>
        <s v="SABS1200 DA  / Earthworks (Small Works) / 8.3 / 8.3.2a / Excavate for restricted foundations, footings and trenches  in all materials and use for embankments or backfill or dispose / KS18_011-Concrete Cut-Off Walls / 6 / m³" u="1"/>
        <s v="SABS1200 DA  / Earthworks (Small Works) / 8.3 / 8.3.2a / Excavate for restricted foundations, footings and trenches  in all materials and use for embankments or backfill or dispose / KS18_013-Concrete Cut-Off Walls / 6 / m³" u="1"/>
        <s v="SABS1200 DA  \ Earthworks (Small Works) / 8.3\ SCHEDULED ITEMS / 8.3.2a \ Excavate for restricted foundations, footings and trenches  in all materials and use for embankments or backfill or dispose. /\LS16_014-Ecologs  \m³\1.62 \ 50" u="1"/>
        <s v="SABS1200 DA  / Earthworks (Small Works) / 8.3 / 8.3.2a / Excavate for restricted foundations, footings and trenches  in all materials and use for embankments or backfill or dispose / ks11-001-Off-take structure / 340 / m³" u="1"/>
        <s v="SABS1200 DA \EARTHWORKS (SMALL WORKS)/8.3\SCHEDULED ITEMS/8.3.2a\Excavate for restricted foundations, footings and trenches  in all materials and use for embankments or backfill or dispose. /\KS21_001-10° sloped Grouted Pitching (Light). Drawing NBC-GTW-CL-0038 \m³\15 \ 50" u="1"/>
        <s v="SABS1200 DA \EARTHWORKS (SMALL WORKS)/8.3\SCHEDULED ITEMS/8.3.2a\Excavate for restricted foundations, footings and trenches  in all materials and use for embankments or backfill or dispose. /\KS12_002-Concrete Drop Inlet. Drawing NBC-GTW-CL-0002 \m³\37 \ 50" u="1"/>
        <s v="SABS1200 DA \EARTHWORKS (SMALL WORKS)/8.3\SCHEDULED ITEMS/8.3.2a\Excavate for restricted foundations, footings and trenches  in all materials and use for embankments or backfill or dispose. /\KS18_001-Concrete Drop Inlet. Refer to drawing NBC-GTW-CL-0019 \m³\61.486052 \ 50" u="1"/>
        <s v="SABS1200 DA  \ Earthworks (Small Works) / 8.3\ SCHEDULED ITEMS / 8.3.2a \ Excavate for restricted foundations, footings and trenches  in all materials and use for embankments or backfill or dispose. /\KS13_004-Concrete Drop Inlet \m³\32.319 \ 50" u="1"/>
        <s v="SABS1200 DA  \ Earthworks (Small Works) / 8.3\ SCHEDULED ITEMS / 8.3.2a \ Excavate for restricted foundations, footings and trenches  in all materials and use for embankments or backfill or dispose. /\KS20_005-Concrete Drop Inlet \m³\69.658655 \ 50" u="1"/>
        <s v="SABS1200 DA \EARTHWORKS (SMALL WORKS)/8.3\SCHEDULED ITEMS/8.3.2a\Excavate for restricted foundations, footings and trenches  in all materials and use for embankments or backfill or dispose. /\KS19_002-Concrete Drop Inlet. Drawing NBC-GTW-CL-0026 \m³\38.760038 \ 50" u="1"/>
        <s v="SABS1200 DA \EARTHWORKS (SMALL WORKS)/8.3\SCHEDULED ITEMS/8.3.2a\Excavate for restricted foundations, footings and trenches  in all materials and use for embankments or backfill or dispose. /\KS16_005-Infilling of Drains  \m³\18.36 \ 50" u="1"/>
        <s v="SABS1200 DA \EARTHWORKS (SMALL WORKS)/8.3\SCHEDULED ITEMS/8.3.2a\Excavate for restricted foundations, footings and trenches  in all materials and use for embankments or backfill or dispose. /\KS20_008-Concrete Drop Inlet. Drawing NBC-GTW-CL-0034 \m³\54.33924 \ 50" u="1"/>
        <s v="SABS1200 DA  \ Earthworks (Small Works) / 8.3\ SCHEDULED ITEMS / 8.3.2a \ Excavate for restricted foundations, footings and trenches  in all materials and use for embankments or backfill or dispose. /\LS16_005-Concrete Cut-Off Walls \m³\3.6 \ 50" u="1"/>
        <s v="SABS1200 DA  \ Earthworks (Small Works) / 8.3\ SCHEDULED ITEMS / 8.3.2a \ Excavate for restricted foundations, footings and trenches  in all materials and use for embankments or backfill or dispose. /\KS19_004-Infilling of Drains  \m³\4.5 \ 50" u="1"/>
        <s v="SABS1200 DA \EARTHWORKS (SMALL WORKS)/8.3\SCHEDULED ITEMS/8.3.2a\Excavate for restricted foundations, footings and trenches  in all materials and use for embankments or backfill or dispose. /\KS16_003-Infilling of Drains  \m³\14.22 \ 85" u="1"/>
        <s v="SABS1200 DA  \ Earthworks (Small Works) / 8.3\ SCHEDULED ITEMS / 8.3.2a \ Excavate for restricted foundations, footings and trenches  in all materials and use for embankments or backfill or dispose. /\KS16_005-Infilling of Drains  \m³\18.36 \ 50" u="1"/>
        <s v="SABS1200 DA \EARTHWORKS (SMALL WORKS)/8.3\SCHEDULED ITEMS/8.3.2a\Excavate for restricted foundations, footings and trenches  in all materials and use for embankments or backfill or dispose. /\LS16_008-Concrete Cut-Off Walls  \m³\4.1325 \ 50" u="1"/>
        <s v="SABS1200 DA  \ Earthworks (Small Works) / 8.3\ SCHEDULED ITEMS / 8.3.2a \ Excavate for restricted foundations, footings and trenches  in all materials and use for embankments or backfill or dispose. /\LS16_018-Gabion energy breaker  \m³\22.08 \ 50" u="1"/>
        <s v="SABS1200 DA  \ Earthworks (Small Works) / 8.3\ SCHEDULED ITEMS / 8.3.2a \ Excavate for restricted foundations, footings and trenches  in all materials and use for embankments or backfill or dispose. /\KS20_006-Concrete Drop Inlet. Refer to drawing AF \m³\71.558085 \ 50" u="1"/>
        <s v="SABS1200 DA \EARTHWORKS (SMALL WORKS)/8.3\SCHEDULED ITEMS/8.3.2a\Excavate for restricted foundations, footings and trenches  in all materials and use for embankments or backfill or dispose. /\KS20_002-Concrete Drop Inlet. Drawing NBC-GTW-CL-0028 \m³\60.04969 \ 50" u="1"/>
        <s v="SABS1200 DA  \ Earthworks (Small Works) / 8.3\ SCHEDULED ITEMS / 8.3.2a \ Excavate for restricted foundations, footings and trenches  in all materials and use for embankments or backfill or dispose. /\KS18_019-Concrete Drop Inlet. Refer to drawing Y \m³\36.11444 \ 50" u="1"/>
        <s v="SABS1200 DA \EARTHWORKS (SMALL WORKS)/8.3\SCHEDULED ITEMS/8.3.2a\Excavate for restricted foundations, footings and trenches  in all materials and use for embankments or backfill or dispose. /\KS18-014-Concrete Filled Geo-Cell Berm. Refer to drawing NBC-GTW-CL-0001 \m³\23.9803125 \ 50" u="1"/>
        <s v="SABS1200 DA \EARTHWORKS (SMALL WORKS)/8.3\SCHEDULED ITEMS/8.3.2a\Excavate for restricted foundations, footings and trenches  in all materials and use for embankments or backfill or dispose. /\KS18_014-Concrete Filled Geo-Cell Berm. Refer to drawing NBC-GTW-CL-0001 \m³\23.9803125 \ 50" u="1"/>
        <s v="SABS1200 DA  / Earthworks (Small Works) / 8.3 / 8.3.2a / Excavate for restricted foundations, footings and trenches  in all materials and use for embankments or backfill or dispose / KS12_006-Concrete Drop Inlet / 31.948975 / m³" u="1"/>
        <s v="SABS1200 DA  \ Earthworks (Small Works) / 8.3\ SCHEDULED ITEMS / 8.3.2a \ Excavate for restricted foundations, footings and trenches  in all materials and use for embankments or backfill or dispose. /\LS16_008-Concrete Cut-Off Walls \m³\4.1325 \ 50" u="1"/>
        <s v="SABS1200 DA  \ Earthworks (Small Works) / 8.3\ SCHEDULED ITEMS / 8.3.2a \ Excavate for restricted foundations, footings and trenches  in all materials and use for embankments or backfill or dispose. /\KS12_007-Concrete Drop Inlet. Refer to drawing F \m³\47.313325 \ 50" u="1"/>
        <s v="SABS1200 DA \EARTHWORKS (SMALL WORKS)/8.3\SCHEDULED ITEMS/8.3.2a\Excavate for restricted foundations, footings and trenches  in all materials and use for embankments or backfill or dispose. /\KS13_005-Concrete Drop Inlet. Drawing NBC-GTW-CL-0011 \m³\40.88154 \ 50" u="1"/>
        <s v="SABS1200 DA \EARTHWORKS (SMALL WORKS)/8.3\SCHEDULED ITEMS/8.3.2a\Excavate for restricted foundations, footings and trenches  in all materials and use for embankments or backfill or dispose. /\KS13_006-Concrete Drop Inlet. Drawing NBC-GTW-CL-0012 \m³\40.88154 \ 50" u="1"/>
        <s v="SABS1200 DA  / Earthworks (Small Works) / 8.3 / 8.3.2a / Excavate for restricted foundations, footings and trenches  in all materials and use for embankments or backfill or dispose / KS21-002-Earthworks / 191.4 / m³" u="1"/>
        <s v="SABS1200 DA  / Earthworks (Small Works) / 8.3 / 8.3.2a / Excavate for restricted foundations, footings and trenches  in all materials and use for embankments or backfill or dispose / LS16_014-Ecologs / 1.5 / m³" u="1"/>
        <s v="SABS1200 DA  / Earthworks (Small Works) / 8.3 / 8.3.2a / Excavate for restricted foundations, footings and trenches  in all materials and use for embankments or backfill or dispose / KS12_004-Concrete Drop Inlet / 36.6111 / m³" u="1"/>
        <s v="SABS1200 DA  / Earthworks (Small Works) / 8.3 / 8.3.2a / Excavate for restricted foundations, footings and trenches  in all materials and use for embankments or backfill or dispose / KS20_010-Infilling of Drains / 6 / m³" u="1"/>
        <s v="SABS1200 DA  \ Earthworks (Small Works) / 8.3\ SCHEDULED ITEMS / 8.3.2a \ Excavate for restricted foundations, footings and trenches  in all materials and use for embankments or backfill or dispose. /\KS18_004-Concrete Cut-Off Walls \m³\5.355 \ 50" u="1"/>
        <s v="SABS1200 DA  / Earthworks (Small Works) / 8.3 / 8.3.2a / Excavate for restricted foundations, footings and trenches  in all materials and use for embankments or backfill or dispose / Pan14-003-Remove berm and backfill drain / 950 / m³" u="1"/>
        <s v="SABS1200 DA \EARTHWORKS (SMALL WORKS)/8.3\SCHEDULED ITEMS/8.3.2a\Excavate for restricted foundations, footings and trenches  in all materials and use for embankments or backfill or dispose. /\KS16_005-Deactivate Drain  \m³\18.36 \ 50" u="1"/>
        <s v="SABS1200 DA  \ Earthworks (Small Works) / 8.3\ SCHEDULED ITEMS / 8.3.2a \ Excavate for restricted foundations, footings and trenches  in all materials and use for embankments or backfill or dispose. /\KS18_018-Concrete Drop Inlet. Refer to drawing X \m³\52.32581 \ 50" u="1"/>
        <s v="SABS1200 DA  \ Earthworks (Small Works) / 8.3\ SCHEDULED ITEMS / 8.3.2a \ Excavate for restricted foundations, footings and trenches  in all materials and use for embankments or backfill or dispose. /\KS21_009-Concrete Drop Inlet. Refer to drawing AQ \m³\40.198585 \ 50" u="1"/>
        <s v="SABS1200 DA  \ Earthworks (Small Works) / 8.3\ SCHEDULED ITEMS / 8.3.2a \ Excavate for restricted foundations, footings and trenches  in all materials and use for embankments or backfill or dispose. /\KS18_014-Concrete Filled Geo-Cell Berm \m³\23.9803125 \ 50" u="1"/>
        <s v="SABS1200 DA  \ Earthworks (Small Works) / 8.3\ SCHEDULED ITEMS / 8.3.2a \ Excavate for restricted foundations, footings and trenches  in all materials and use for embankments or backfill or dispose. /\LS16_003-Concrete Cut-Off Walls  \m³\2.1 \ 50" u="1"/>
        <s v="SABS1200 DA  \ Earthworks (Small Works) / 8.3\ SCHEDULED ITEMS / 8.3.2a \ Excavate for restricted foundations, footings and trenches  in all materials and use for embankments or backfill or dispose. /\KS13_003-Concrete Drop Inlet \m³\44.0325 \ 50" u="1"/>
        <s v="SABS1200 DA \EARTHWORKS (SMALL WORKS)/8.3\SCHEDULED ITEMS/8.3.2a\Excavate for restricted foundations, footings and trenches  in all materials and use for embankments or backfill or dispose. /\KS13_007-Concrete Drop Inlet. Drawing NBC-GTW-CL-0013 \m³\35.99056 \ 50" u="1"/>
        <s v="SABS1200 DA  / Earthworks (Small Works) / 8.3 / 8.3.2a / Excavate for restricted foundations, footings and trenches  in all materials and use for embankments or backfill or dispose / KS19_004-Infilling of Drains / 4.5 / m³" u="1"/>
        <s v="SABS1200 DA  \ Earthworks (Small Works) / 8.3\ SCHEDULED ITEMS / 8.3.2a \ Excavate for restricted foundations, footings and trenches  in all materials and use for embankments or backfill or dispose. /\LS16_010-Concrete Cut-Off Walls  \m³\5.1 \ 50" u="1"/>
        <s v="SABS1200 DA  / Earthworks (Small Works) / 8.3 / 8.3.2a / Excavate for restricted foundations, footings and trenches  in all materials and use for embankments or backfill or dispose / KS13_008-Concrete Drop Inlet / 40.93968 / m³" u="1"/>
        <s v="SABS1200 DA  \ Earthworks (Small Works) / 8.3\ SCHEDULED ITEMS / 8.3.2a \ Excavate for restricted foundations, footings and trenches  in all materials and use for embankments or backfill or dispose. /\KS21_006-Concrete Drop Inlet. Refer to drawing AO \m³\31.9418025 \ 50" u="1"/>
        <s v="SABS1200 DA  \ Earthworks (Small Works) / 8.3\ SCHEDULED ITEMS / 8.3.2a \ Excavate for restricted foundations, footings and trenches  in all materials and use for embankments or backfill or dispose. /\KS18_008-Concrete Cut-Off Walls. Refer to drawing AS \m³\5.76 \ 50" u="1"/>
        <s v="SABS1200 DA  \ Earthworks (Small Works) / 8.3\ SCHEDULED ITEMS / 8.3.2a \ Excavate for restricted foundations, footings and trenches  in all materials and use for embankments or backfill or dispose. /\KS18_002-Concrete Drop Inlet \m³\32.274065 \ 50" u="1"/>
        <s v="SABS1200 DA  / Earthworks (Small Works) / 8.3 / 8.3.2a / Excavate for restricted foundations, footings and trenches  in all materials and use for embankments or backfill or dispose / KS18_009-Concrete Cut-Off Walls / 5.775 / m³" u="1"/>
        <s v="SABS1200 DA  / Earthworks (Small Works) / 8.3 / 8.3.2a / Excavate for restricted foundations, footings and trenches  in all materials and use for embankments or backfill or dispose / KS13_015-Concrete Drop Inlet / 45.89906 / m³" u="1"/>
        <s v="SABS1200 DA \EARTHWORKS (SMALL WORKS)/8.3\SCHEDULED ITEMS/8.3.2a\Excavate for restricted foundations, footings and trenches  in all materials and use for embankments or backfill or dispose. /\KS13_005-Concrete Drop Inlet. Refer to drawing NBC-GTW-CL-0011 \m³\40.88154 \ 50" u="1"/>
        <s v="SABS1200 DA \EARTHWORKS (SMALL WORKS)/8.3\SCHEDULED ITEMS/8.3.2a\Excavate for restricted foundations, footings and trenches  in all materials and use for embankments or backfill or dispose. /\KS13_006-Concrete Drop Inlet. Refer to drawing NBC-GTW-CL-0012 \m³\40.88154 \ 50" u="1"/>
        <s v="SABS1200 DA  \ Earthworks (Small Works) / 8.3\ SCHEDULED ITEMS / 8.3.2a \ Excavate for restricted foundations, footings and trenches  in all materials and use for embankments or backfill or dispose. /\KS18_017-Concrete Drop Inlet. Refer to drawing W \m³\43.59664 \ 50" u="1"/>
        <s v="SABS1200 DA  \ Earthworks (Small Works) / 8.3\ SCHEDULED ITEMS / 8.3.2a \ Excavate for restricted foundations, footings and trenches  in all materials and use for embankments or backfill or dispose. /\KS18_003-Concrete Cut-Off Walls \m³\5.7 \ 50" u="1"/>
        <s v="SABS1200 DA  \ Earthworks (Small Works) / 8.3\ SCHEDULED ITEMS / 8.3.2a \ Excavate for restricted foundations, footings and trenches  in all materials and use for embankments or backfill or dispose. /\LS16_009-Concrete Cut-Off Walls \m³\4.35 \ 50" u="1"/>
        <s v="SABS1200 DA  / Earthworks (Small Works) / 8.3 / 8.3.2a / Excavate for restricted foundations, footings and trenches  in all materials and use for embankments or backfill or dispose / KS21-002-Earthworks / 192 / m³" u="1"/>
        <s v="SABS1200 DA \EARTHWORKS (SMALL WORKS)/8.3\SCHEDULED ITEMS/8.3.2a\Excavate for restricted foundations, footings and trenches  in all materials and use for embankments or backfill or dispose. /\LS16_003-Concrete Cut-Off Walls  \m³\2.1 \ 50" u="1"/>
        <s v="SABS1200 DA  / Earthworks (Small Works) / 8.3 / 8.3.2a / Excavate for restricted foundations, footings and trenches  in all materials and use for embankments or backfill or dispose / KS13_013-Concrete Drop Inlet / 37.8822 / m³" u="1"/>
        <s v="SABS1200 DA  / Earthworks (Small Works) / 8.3 / 8.3.2a / Excavate for restricted foundations, footings and trenches  in all materials and use for embankments or backfill or dispose / KS18_020-Rehab road culvert / 38.02413 / m³" u="1"/>
        <s v="SABS1200 DA \EARTHWORKS (SMALL WORKS)/8.3\SCHEDULED ITEMS/8.3.2a\Excavate for restricted foundations, footings and trenches  in all materials and use for embankments or backfill or dispose. /\KS19_001-Infilling of Drains  \m³\5 \ 85" u="1"/>
        <s v="SABS1200 DA  \ Earthworks (Small Works) / 8.3\ SCHEDULED ITEMS / 8.3.2a \ Excavate for restricted foundations, footings and trenches  in all materials and use for embankments or backfill or dispose. /\KS18_005-Concrete Cut-Off Walls. Refer to drawing AS \m³\6.93 \ 50" u="1"/>
        <s v="SABS1200 DA  \ Earthworks (Small Works) / 8.3\ SCHEDULED ITEMS / 8.3.2a \ Excavate for restricted foundations, footings and trenches  in all materials and use for embankments or backfill or dispose. /\KS18_010-Concrete Cut-Off Walls. Refer to drawing AS \m³\6.93 \ 50" u="1"/>
        <s v="SABS1200 DA  \ Earthworks (Small Works) / 8.3\ SCHEDULED ITEMS / 8.3.2a \ Excavate for restricted foundations, footings and trenches  in all materials and use for embankments or backfill or dispose. /\KS12_006-Concrete Drop Inlet \m³\31.948975 \ 50" u="1"/>
        <s v="SABS1200 DA  \ Earthworks (Small Works) / 8.3\ SCHEDULED ITEMS / 8.3.2a \ Excavate for restricted foundations, footings and trenches  in all materials and use for embankments or backfill or dispose. /\KS18_003-Concrete Cut-Off Walls. Refer to drawing AS \m³\5.7 \ 50" u="1"/>
        <s v="SABS1200 DA  \ Earthworks (Small Works) / 8.3\ SCHEDULED ITEMS / 8.3.2a \ Excavate for restricted foundations, footings and trenches  in all materials and use for embankments or backfill or dispose. /\KS19_003-Headcut  \m³\5.316 \ 50" u="1"/>
        <s v="SABS1200 DA  / Earthworks (Small Works) / 8.3 / 8.3.2a / Excavate for restricted foundations, footings and trenches  in all materials and use for embankments or backfill or dispose / KS12_003-Removal of Berm and Dam Wall / 347.6206825 / m³" u="1"/>
        <s v="SABS1200 DA \EARTHWORKS (SMALL WORKS)/8.3\SCHEDULED ITEMS/8.3.2a\Excavate for restricted foundations, footings and trenches  in all materials and use for embankments or backfill or dispose. /\ks11-001-Off-take structure  \m³\5.4 \ 50" u="1"/>
        <s v="SABS1200 DA  / Earthworks (Small Works) / 8.3 / 8.3.2a / Excavate for restricted foundations, footings and trenches  in all materials and use for embankments or backfill or dispose / KS15_003-Removal of Dam Wall / 283.0113 / m³" u="1"/>
        <s v="SABS1200 DA  \ Earthworks (Small Works) / 8.3\ SCHEDULED ITEMS / 8.3.2a \ Excavate for restricted foundations, footings and trenches  in all materials and use for embankments or backfill or dispose. /\KS18_019-Concrete Drop Inlet \m³\36.11444 \ 50" u="1"/>
        <s v="SABS1200 DA \EARTHWORKS (SMALL WORKS)/8.3\SCHEDULED ITEMS/8.3.2a\Excavate for restricted foundations, footings and trenches  in all materials and use for embankments or backfill or dispose. /\KS13_015-Concrete Drop Inlet. Refer to drawing NBC-GTW-CL-0018 \m³\45.89906 \ 50" u="1"/>
        <s v="SABS1200 DA  \ Earthworks (Small Works) / 8.3\ SCHEDULED ITEMS / 8.3.2a \ Excavate for restricted foundations, footings and trenches  in all materials and use for embankments or backfill or dispose. /\Pan14-003-Remove berm and backfill drain  \m³\950 \ 50" u="1"/>
        <s v="SABS1200 DA  \ Earthworks (Small Works) / 8.3\ SCHEDULED ITEMS / 8.3.2a \ Excavate for restricted foundations, footings and trenches  in all materials and use for embankments or backfill or dispose. /\LS16_001-Concrete Cut-Off Walls  \m³\5.04 \ 50" u="1"/>
        <s v="SABS1200 DA  / Earthworks (Small Works) / 8.3 / 8.3.2a / Excavate for restricted foundations, footings and trenches  in all materials and use for embankments or backfill or dispose / Pan8_002-Infilling of Drains / 64 / m³" u="1"/>
        <s v="SABS1200 DA \EARTHWORKS (SMALL WORKS)/8.3\SCHEDULED ITEMS/8.3.2a\Excavate for restricted foundations, footings and trenches  in all materials and use for embankments or backfill or dispose. /\KS20_002-Concrete Drop Inlet. Refer to drawing NBC-GTW-CL-0028 \m³\60.04969 \ 50" u="1"/>
        <s v="SABS1200 DA \EARTHWORKS (SMALL WORKS)/8.3\SCHEDULED ITEMS/8.3.2a\Excavate for restricted foundations, footings and trenches  in all materials and use for embankments or backfill or dispose. /\KS12_001-Pipe Culvert. Drawing NBC-GTW-CL-0069 \m³\2 \ 50" u="1"/>
        <s v="SABS1200 DA  \ Earthworks (Small Works) / 8.3\ SCHEDULED ITEMS / 8.3.2a \ Excavate for restricted foundations, footings and trenches  in all materials and use for embankments or backfill or dispose. /\KS20_009_a-Concrete Drop Inlet \m³\132.757199 \ 50" u="1"/>
        <s v="SABS1200 DA  \ Earthworks (Small Works) / 8.3\ SCHEDULED ITEMS / 8.3.2a \ Excavate for restricted foundations, footings and trenches  in all materials and use for embankments or backfill or dispose. /\KS12_006-Concrete Drop Inlet. Refer to drawing E \m³\31.948975 \ 50" u="1"/>
        <s v="SABS1200 DA  \ Earthworks (Small Works) / 8.3\ SCHEDULED ITEMS / 8.3.2a \ Excavate for restricted foundations, footings and trenches  in all materials and use for embankments or backfill or dispose. /\KS18_006-Concrete Cut-Off Walls \m³\6.615 \ 50" u="1"/>
        <s v="SABS1200 DA \EARTHWORKS (SMALL WORKS)/8.3\SCHEDULED ITEMS/8.3.2a\Excavate for restricted foundations, footings and trenches  in all materials and use for embankments or backfill or dispose. /\KS21_009-Concrete Drop Inlet. Drawing NBC-GTW-CL-0043 \m³\40.198585 \ 85" u="1"/>
        <s v="SABS1200 DA \EARTHWORKS (SMALL WORKS)/8.3\SCHEDULED ITEMS/8.3.2a\Excavate for restricted foundations, footings and trenches  in all materials and use for embankments or backfill or dispose. /\KS21_003-Concrete Drop Inlet. Drawing NBC-GTW-CL-0039 \m³\25.78775 \ 50" u="1"/>
        <s v="SABS1200 DA \EARTHWORKS (SMALL WORKS)/8.3\SCHEDULED ITEMS/8.3.2a\Excavate for restricted foundations, footings and trenches  in all materials and use for embankments or backfill or dispose. /\KS20_009_a-Concrete Buttress Weir. Drawing NBC-GTW-CL-0035 \m³\132.757199 \ 50" u="1"/>
        <s v="SABS1200 DA \EARTHWORKS (SMALL WORKS)/8.3\SCHEDULED ITEMS/8.3.2a\Excavate for restricted foundations, footings and trenches  in all materials and use for embankments or backfill or dispose. /\KS18_016-Concrete Drop Inlet. Refer to drawing NBC-GTW-CL-0022 \m³\46.41016 \ 50" u="1"/>
        <s v="SABS1200 DA  \ Earthworks (Small Works) / 8.3\ SCHEDULED ITEMS / 8.3.2a \ Excavate for restricted foundations, footings and trenches  in all materials and use for embankments or backfill or dispose. /\LS16_011-Concrete Cut-Off Walls  \m³\3.3 \ 50" u="1"/>
        <s v="SABS1200 DA  / Earthworks (Small Works) / 8.3 / 8.3.2a / Excavate for restricted foundations, footings and trenches  in all materials and use for embankments or backfill or dispose / LS12_001-Removal of dam wall / 1700 / m³" u="1"/>
        <s v="SABS1200 DA  \ Earthworks (Small Works) / 8.3\ SCHEDULED ITEMS / 8.3.2a \ Excavate for restricted foundations, footings and trenches  in all materials and use for embankments or backfill or dispose. /\LS16_016-Gabion energy breaker  \m³\20 \ 50" u="1"/>
        <s v="SABS1200 DA \EARTHWORKS (SMALL WORKS)/8.3\SCHEDULED ITEMS/8.3.2a\Excavate for restricted foundations, footings and trenches  in all materials and use for embankments or backfill or dispose. /\KS18_020-Rehab road culvert  \m³\38.02413 \ 50" u="1"/>
        <s v="SABS1200 DA  \ Earthworks (Small Works) / 8.3\ SCHEDULED ITEMS / 8.3.2a \ Excavate for restricted foundations, footings and trenches  in all materials and use for embankments or backfill or dispose. /\KS12_008-Concrete Drop Inlet. Refer to drawing G \m³\33.21409 \ 50" u="1"/>
        <s v="SABS1200 DA \EARTHWORKS (SMALL WORKS)/8.3\SCHEDULED ITEMS/8.3.2a\Excavate for restricted foundations, footings and trenches  in all materials and use for embankments or backfill or dispose. /\LS16_007-Concrete Cut-Off Walls  \m³\5.94 \ 50" u="1"/>
        <s v="SABS1200 DA  / Earthworks (Small Works) / 8.3 / 8.3.2a / Excavate for restricted foundations, footings and trenches  in all materials and use for embankments or backfill or dispose / KS16_003-Infilling of Drains / 24 / m³" u="1"/>
        <s v="SABS1200 DA  \ Earthworks (Small Works) / 8.3\ SCHEDULED ITEMS / 8.3.2a \ Excavate for restricted foundations, footings and trenches  in all materials and use for embankments or backfill or dispose. /\KS20_009_b-Concrete Overflow Wall \m³\30.7675 \ 50" u="1"/>
        <s v="SABS1200 DA \EARTHWORKS (SMALL WORKS)/8.3\SCHEDULED ITEMS/8.3.2a\Excavate for restricted foundations, footings and trenches  in all materials and use for embankments or backfill or dispose. /\KS18_011-Concrete Cut-Off Walls. Refer to drawing NBC-GTW-CL-0045 \m³\6 \ 50" u="1"/>
        <s v="SABS1200 DA \EARTHWORKS (SMALL WORKS)/8.3\SCHEDULED ITEMS/8.3.2a\Excavate for restricted foundations, footings and trenches  in all materials and use for embankments or backfill or dispose. /\KS18_013-Concrete Cut-Off Walls. Refer to drawing NBC-GTW-CL-0045 \m³\6 \ 50" u="1"/>
        <s v="SABS1200 DA  \ Earthworks (Small Works) / 8.3\ SCHEDULED ITEMS / 8.3.2a \ Excavate for restricted foundations, footings and trenches  in all materials and use for embankments or backfill or dispose. /\KS21_010-Concrete Drop Inlet \m³\37.9104055 \ 50" u="1"/>
        <s v="SABS1200 DA \EARTHWORKS (SMALL WORKS)/8.3\SCHEDULED ITEMS/8.3.2a\Excavate for restricted foundations, footings and trenches  in all materials and use for embankments or backfill or dispose. /\LS16_004-Concrete Cut-Off Walls  \m³\2.4 \ 50" u="1"/>
        <s v="SABS1200 DA \EARTHWORKS (SMALL WORKS)/8.3\SCHEDULED ITEMS/8.3.2a\Excavate for restricted foundations, footings and trenches  in all materials and use for embankments or backfill or dispose. /\KS13_011-Concrete Drop Inlet. Drawing NBC-GTW-CL-0015 \m³\38.8 \ 50" u="1"/>
        <s v="SABS1200 DA  \ Earthworks (Small Works) / 8.3\ SCHEDULED ITEMS / 8.3.2a \ Excavate for restricted foundations, footings and trenches  in all materials and use for embankments or backfill or dispose. /\LS16_017-Gabion energy breaker  \m³\25 \ 50" u="1"/>
        <s v="SABS1200 DA  \ Earthworks (Small Works) / 8.3\ SCHEDULED ITEMS / 8.3.2a \ Excavate for restricted foundations, footings and trenches  in all materials and use for embankments or backfill or dispose. /\KS18_002-Concrete Drop Inlet. Refer to drawing T \m³\32.274065 \ 50" u="1"/>
        <s v="SABS1200 DA \EARTHWORKS (SMALL WORKS)/8.3\SCHEDULED ITEMS/8.3.2a\Excavate for restricted foundations, footings and trenches  in all materials and use for embankments or backfill or dispose. /\KS18_019-Concrete Drop Inlet. Refer to drawing NBC-GTW-CL-0025 \m³\36.11444 \ 50" u="1"/>
        <s v="SABS1200 DA  \ Earthworks (Small Works) / 8.3\ SCHEDULED ITEMS / 8.3.2a \ Excavate for restricted foundations, footings and trenches  in all materials and use for embankments or backfill or dispose. /\KS13_004-Concrete Drop Inlet. Refer to drawing J \m³\32.319 \ 50" u="1"/>
        <s v="SABS1200 DA \EARTHWORKS (SMALL WORKS)/8.3\SCHEDULED ITEMS/8.3.2a\Excavate for restricted foundations, footings and trenches  in all materials and use for embankments or backfill or dispose. /\KS16_005-Deactivate Drain  \m³\18.36 \ 85" u="1"/>
        <s v="SABS1200 DA \EARTHWORKS (SMALL WORKS)/8.3\SCHEDULED ITEMS/8.3.2a\Excavate for restricted foundations, footings and trenches  in all materials and use for embankments or backfill or dispose. /\KS18_017-Concrete Drop Inlet. Drawing NBC-GTW-CL-0023 \m³\43.59664 \ 50" u="1"/>
        <s v="SABS1200 DA \EARTHWORKS (SMALL WORKS)/8.3\SCHEDULED ITEMS/8.3.2a\Excavate for restricted foundations, footings and trenches  in all materials and use for embankments or backfill or dispose. /\KS21_007-Concrete Drop Inlet. Drawing NBC-GTW-CL-0042 \m³\31.14898 \ 85" u="1"/>
        <s v="SABS1200 DA \EARTHWORKS (SMALL WORKS)/8.3\SCHEDULED ITEMS/8.3.2a\Excavate for restricted foundations, footings and trenches  in all materials and use for embankments or backfill or dispose. /\LS16_018-Gabion energy breaker  \m³\22.08 \ 50" u="1"/>
        <s v="SABS1200 DA \EARTHWORKS (SMALL WORKS)/8.3\SCHEDULED ITEMS/8.3.2a\Excavate for restricted foundations, footings and trenches  in all materials and use for embankments or backfill or dispose. /\KS13_011-Concrete Drop Inlet. Refer to drawing NBC-GTW-CL-0015 \m³\41.19048 \ 50" u="1"/>
        <s v="SABS1200 DA \EARTHWORKS (SMALL WORKS)/8.3\SCHEDULED ITEMS/8.3.2a\Excavate for restricted foundations, footings and trenches  in all materials and use for embankments or backfill or dispose. /\KS13_007-Concrete Drop Inlet. Refer to drawing NBC-GTW-CL-0013 \m³\35.99056 \ 50" u="1"/>
        <s v="SABS1200 DA \EARTHWORKS (SMALL WORKS)/8.3\SCHEDULED ITEMS/8.3.2a\Excavate for restricted foundations, footings and trenches  in all materials and use for embankments or backfill or dispose. /\KS18_017-Concrete Drop Inlet. Refer to drawing NBC-GTW-CL-0023 \m³\43.59664 \ 50" u="1"/>
        <s v="SABS1200 DA \EARTHWORKS (SMALL WORKS)/8.3\SCHEDULED ITEMS/8.3.2a\Excavate for restricted foundations, footings and trenches  in all materials and use for embankments or backfill or dispose. /\KS13_013-Concrete Drop Inlet. Refer to drawing NBC-GTW-CL-0017 \m³\37.8822 \ 50" u="1"/>
        <s v="SABS1200 DA  / Earthworks (Small Works) / 8.3 / 8.3.2a / Excavate for restricted foundations, footings and trenches  in all materials and use for embankments or backfill or dispose / KS18_014-Concrete Filled Geo-Cell Berm / 32 / m³" u="1"/>
        <s v="SABS1200 DA  \ Earthworks (Small Works) / 8.3\ SCHEDULED ITEMS / 8.3.2a \ Excavate for restricted foundations, footings and trenches  in all materials and use for embankments or backfill or dispose. /\KS21_003-Concrete Drop Inlet. Refer to drawing AM \m³\25.78775 \ 50" u="1"/>
        <s v="SABS1200 DA \EARTHWORKS (SMALL WORKS)/8.3\SCHEDULED ITEMS/8.3.2a\Excavate for restricted foundations, footings and trenches  in all materials and use for embankments or backfill or dispose. /\KS13_012-Concrete Drop Inlet. Refer to drawing NBC-GTW-CL-0016 \m³\29.930225 \ 50" u="1"/>
        <s v="SABS1200 DA  \ Earthworks (Small Works) / 8.3\ SCHEDULED ITEMS / 8.3.2a \ Excavate for restricted foundations, footings and trenches  in all materials and use for embankments or backfill or dispose. /\LS16_002-Concrete Cut-Off Walls \m³\4.8 \ 50" u="1"/>
        <s v="SABS1200 DA \EARTHWORKS (SMALL WORKS)/8.3\SCHEDULED ITEMS/8.3.2a\Excavate for restricted foundations, footings and trenches  in all materials and use for embankments or backfill or dispose. /\KS18_002-Concrete Drop Inlet. Refer to drawing NBC-GTW-CL-0020 \m³\32.274065 \ 50" u="1"/>
        <s v="SABS1200 DA  \ Earthworks (Small Works) / 8.3\ SCHEDULED ITEMS / 8.3.2a \ Excavate for restricted foundations, footings and trenches  in all materials and use for embankments or backfill or dispose. /\KS18_011-Concrete Cut-Off Walls. Refer to drawing AS \m³\6 \ 50" u="1"/>
        <s v="SABS1200 DA  \ Earthworks (Small Works) / 8.3\ SCHEDULED ITEMS / 8.3.2a \ Excavate for restricted foundations, footings and trenches  in all materials and use for embankments or backfill or dispose. /\KS18_013-Concrete Cut-Off Walls. Refer to drawing AS \m³\6 \ 50" u="1"/>
        <s v="SABS1200 DA  \ Earthworks (Small Works) / 8.3\ SCHEDULED ITEMS / 8.3.2a \ Excavate for restricted foundations, footings and trenches  in all materials and use for embankments or backfill or dispose. /\LS16_004-Concrete Cut-Off Walls  \m³\2.4 \ 50" u="1"/>
        <s v="SABS1200 DA \EARTHWORKS (SMALL WORKS)/8.3\SCHEDULED ITEMS/8.3.2a\Excavate for restricted foundations, footings and trenches  in all materials and use for embankments or backfill or dispose. /\KS21_001-10° sloped Grouted Pitching (Light). Refer to drawing NBC-GTW-CL-0038 \m³\15 \ 50" u="1"/>
        <s v="SABS1200 DA  / Earthworks (Small Works) / 8.3 / 8.3.2a / Excavate for restricted foundations, footings and trenches  in all materials and use for embankments or backfill or dispose / KS18_015-Concrete Drop Inlet / 57.16188 / m³" u="1"/>
        <s v="SABS1200 DA \EARTHWORKS (SMALL WORKS)/8.3\SCHEDULED ITEMS/8.3.2a\Excavate for restricted foundations, footings and trenches  in all materials and use for embankments or backfill or dispose. /\LS16_016-Gabion energy breaker  \m³\20 \ 50" u="1"/>
        <s v="SABS1200 DA \EARTHWORKS (SMALL WORKS)/8.3\SCHEDULED ITEMS/8.3.2a\Excavate for restricted foundations, footings and trenches  in all materials and use for embankments or backfill or dispose. /\KS12_007-Concrete Drop Inlet. Refer to drawing NBC-GTW-CL-0006 \m³\47.313325 \ 50" u="1"/>
        <s v="SABS1200 DA \EARTHWORKS (SMALL WORKS)/8.3\SCHEDULED ITEMS/8.3.2a\Excavate for restricted foundations, footings and trenches  in all materials and use for embankments or backfill or dispose. /\ks11-002b-Concrete Splash Through Structure  \m³\210 \ 50" u="1"/>
        <s v="SABS1200 DA \EARTHWORKS (SMALL WORKS)/8.3\SCHEDULED ITEMS/8.3.2a\Excavate for restricted foundations, footings and trenches  in all materials and use for embankments or backfill or dispose. /\ks11-004b-Concrete Splash Through Structure  \m³\210 \ 50" u="1"/>
        <s v="SABS1200 DA \EARTHWORKS (SMALL WORKS)/8.3\SCHEDULED ITEMS/8.3.2a\Excavate for restricted foundations, footings and trenches  in all materials and use for embankments or backfill or dispose. /\KS20_006-Concrete Drop Inlet. Refer to drawing NBC-GTW-CL-0032 \m³\71.558085 \ 50" u="1"/>
        <s v="SABS1200 DA \EARTHWORKS (SMALL WORKS)/8.3\SCHEDULED ITEMS/8.3.2a\Excavate for restricted foundations, footings and trenches  in all materials and use for embankments or backfill or dispose. /\KS13_004-Concrete Drop Inlet. Drawing NBC-GTW-CL-0010 \m³\32.319 \ 50" u="1"/>
        <s v="SABS1200 DA  / Earthworks (Small Works) / 8.3 / 8.3.2a / Excavate for restricted foundations, footings and trenches  in all materials and use for embankments or backfill or dispose / KS20_007-Concrete Drop Inlet / 56.185603 / m³" u="1"/>
        <s v="SABS1200 DA  \ Earthworks (Small Works) / 8.3\ SCHEDULED ITEMS / 8.3.2a \ Excavate for restricted foundations, footings and trenches  in all materials and use for embankments or backfill or dispose. /\LS16_019-Gabion energy breaker  \m³\24.48 \ 50" u="1"/>
        <s v="SABS1200 DA  / Earthworks (Small Works) / 8.3 / 8.3.2a / Excavate for restricted foundations, footings and trenches  in all materials and use for embankments or backfill or dispose / KS19_005-Infilling of Drains / 4.68 / m³" u="1"/>
        <s v="SABS1200 DA \EARTHWORKS (SMALL WORKS)/8.3\SCHEDULED ITEMS/8.3.2a\Excavate for restricted foundations, footings and trenches  in all materials and use for embankments or backfill or dispose. /\KS12_005-Concrete Drop Inlet. Refer to drawing NBC-GTW-CL-0004 \m³\36.4286202 \ 50" u="1"/>
        <s v="SABS1200 DA  \ Earthworks (Small Works) / 8.3\ SCHEDULED ITEMS / 8.3.2a \ Excavate for restricted foundations, footings and trenches  in all materials and use for embankments or backfill or dispose. /\KS18_012-Concrete Cut-Off Walls. Refer to drawing AS \m³\6.6 \ 50" u="1"/>
        <s v="SABS1200 DA \EARTHWORKS (SMALL WORKS)/8.3\SCHEDULED ITEMS/8.3.2a\Excavate for restricted foundations, footings and trenches  in all materials and use for embankments or backfill or dispose. /\KS18_007-Concrete Cut-Off Walls. Refer to drawing NBC-GTW-CL-0045 \m³\5.04 \ 50" u="1"/>
        <s v="SABS1200 DA  \ Earthworks (Small Works) / 8.3\ SCHEDULED ITEMS / 8.3.2a \ Excavate for restricted foundations, footings and trenches  in all materials and use for embankments or backfill or dispose. /\KS12_007-Concrete Drop Inlet \m³\47.313325 \ 50" u="1"/>
        <s v="SABS1200 DA \EARTHWORKS (SMALL WORKS)/8.3\SCHEDULED ITEMS/8.3.2a\Excavate for restricted foundations, footings and trenches  in all materials and use for embankments or backfill or dispose. /\KS21_005-Concrete Drop Inlet. Drawing NBC-GTW-CL-0040 \m³\35.7722215 \ 85" u="1"/>
        <s v="SABS1200 DA  \ Earthworks (Small Works) / 8.3\ SCHEDULED ITEMS / 8.3.2a \ Excavate for restricted foundations, footings and trenches  in all materials and use for embankments or backfill or dispose. /\LS16_006-Concrete Cut-Off Walls  \m³\6.48 \ 50" u="1"/>
        <s v="SABS1200 DA \EARTHWORKS (SMALL WORKS)/8.3\SCHEDULED ITEMS/8.3.2a\Excavate for restricted foundations, footings and trenches  in all materials and use for embankments or backfill or dispose. /\KS20_006-Concrete Check Wall. Drawing NBC-GTW-CL-0032 \m³\10.035 \ 85" u="1"/>
        <s v="SABS1200 DA  / Earthworks (Small Works) / 8.3 / 8.3.2a / Excavate for restricted foundations, footings and trenches  in all materials and use for embankments or backfill or dispose / KS21_005-Concrete Drop Inlet / 35.7722215 / m³" u="1"/>
        <s v="SABS1200 DA  / Earthworks (Small Works) / 8.3 / 8.3.2a / Excavate for restricted foundations, footings and trenches  in all materials and use for embankments or backfill or dispose / KS21_010-Concrete Drop Inlet / 37.9104055 / m³" u="1"/>
        <s v="SABS1200 DA  / Earthworks (Small Works) / 8.3 / 8.3.2a / Excavate for restricted foundations, footings and trenches  in all materials and use for embankments or backfill or dispose / LS16_016-Gabion energy breaker / 20 / m³" u="1"/>
        <s v="SABS1200 DA  / Earthworks (Small Works) / 8.3 / 8.3.2a / Excavate for restricted foundations, footings and trenches  in all materials and use for embankments or backfill or dispose / LS16_020-Removal of Road / 750 / m³" u="1"/>
        <s v="SABS1200 DA  / Earthworks (Small Works) / 8.3 / 8.3.2a / Excavate for restricted foundations, footings and trenches  in all materials and use for embankments or backfill or dispose / KS12_001-Pipe Culvert / 40 / m³" u="1"/>
        <s v="SABS1200 DA  \ Earthworks (Small Works) / 8.3\ SCHEDULED ITEMS / 8.3.2a \ Excavate for restricted foundations, footings and trenches  in all materials and use for embankments or backfill or dispose. /\KS18_007-Concrete Cut-Off Walls. Refer to drawing AS \m³\5.04 \ 50" u="1"/>
        <s v="SABS1200 DA \EARTHWORKS (SMALL WORKS)/8.3\SCHEDULED ITEMS/8.3.2a\Excavate for restricted foundations, footings and trenches  in all materials and use for embankments or backfill or dispose. /\DS12_004-Removal of earthen material  \m³\523.01728 \ 50" u="1"/>
        <s v="SABS1200 DA \EARTHWORKS (SMALL WORKS)/8.3\SCHEDULED ITEMS/8.3.2a\Excavate for restricted foundations, footings and trenches  in all materials and use for embankments or backfill or dispose. /\KS12_002-Concrete Box Culvert. Refer to drawing NBC-GTW-CL-0002 \m³\45.04 \ 50" u="1"/>
        <s v="SABS1200 DA \EARTHWORKS (SMALL WORKS)/8.3\SCHEDULED ITEMS/8.3.2a\Excavate for restricted foundations, footings and trenches  in all materials and use for embankments or backfill or dispose. /\KS21_006-Concrete Drop Inlet. Drawing NBC-GTW-CL-0041 \m³\31.9418025 \ 85" u="1"/>
        <s v="SABS1200 DA  \ Earthworks (Small Works) / 8.3\ SCHEDULED ITEMS / 8.3.2a \ Excavate for restricted foundations, footings and trenches  in all materials and use for embankments or backfill or dispose. /\KS19_004-Infilling of Drains \m³\4.5 \ 50" u="1"/>
        <s v="SABS1200 DA  \ Earthworks (Small Works) / 8.3\ SCHEDULED ITEMS / 8.3.2a \ Excavate for restricted foundations, footings and trenches  in all materials and use for embankments or backfill or dispose. /\KS20_005-Concrete Drop Inlet. Refer to drawing AE \m³\69.658655 \ 50" u="1"/>
        <s v="SABS1200 DA  / Earthworks (Small Works) / 8.3 / 8.3.2a / Excavate for restricted foundations, footings and trenches  in all materials and use for embankments or backfill or dispose / KS16_005-Infilling of Drains / 18.36 / m³" u="1"/>
        <s v="SABS1200 DA \EARTHWORKS (SMALL WORKS)/8.3\SCHEDULED ITEMS/8.3.2a\Excavate for restricted foundations, footings and trenches  in all materials and use for embankments or backfill or dispose. /\KS13_013-Concrete Drop Inlet. Drawing NBC-GTW-CL-0017 \m³\37.8822 \ 50" u="1"/>
        <s v="SABS1200 DA \EARTHWORKS (SMALL WORKS)/8.3\SCHEDULED ITEMS/8.3.2a\Excavate for restricted foundations, footings and trenches  in all materials and use for embankments or backfill or dispose. /\KS20_006-Concrete Drop Inlet. Refer to drawing NBC-GTW-CL-0032 \m³\55.598465 \ 50" u="1"/>
        <s v="SABS1200 DA  \ Earthworks (Small Works) / 8.3\ SCHEDULED ITEMS / 8.3.2a \ Excavate for restricted foundations, footings and trenches  in all materials and use for embankments or backfill or dispose. /\LS16_009-Concrete Cut-Off Walls  \m³\4.35 \ 50" u="1"/>
        <s v="SABS1200 DA  \ Earthworks (Small Works) / 8.3\ SCHEDULED ITEMS / 8.3.2a \ Excavate for restricted foundations, footings and trenches  in all materials and use for embankments or backfill or dispose. /\KS21-002-Earthworks  \m³\191.4 \ 50" u="1"/>
        <s v="SABS1200 DA \EARTHWORKS (SMALL WORKS)/8.3\SCHEDULED ITEMS/8.3.2a\Excavate for restricted foundations, footings and trenches  in all materials and use for embankments or backfill or dispose. /\KS18_006-Concrete Cut-Off Walls. Refer to drawing NBC-GTW-CL-0045 \m³\6.615 \ 50" u="1"/>
        <s v="SABS1200 DA  \ Earthworks (Small Works) / 8.3\ SCHEDULED ITEMS / 8.3.2a \ Excavate for restricted foundations, footings and trenches  in all materials and use for embankments or backfill or dispose. /\KS20_004-Concrete Drop Inlet. Refer to drawing AD \m³\42.774586 \ 50" u="1"/>
        <s v="SABS1200 DA \EARTHWORKS (SMALL WORKS)/8.3\SCHEDULED ITEMS/8.3.2a\Excavate for restricted foundations, footings and trenches  in all materials and use for embankments or backfill or dispose. /\KS18_008-Concrete Cut-Off Walls. Refer to drawing NBC-GTW-CL-0045 \m³\5.76 \ 50" u="1"/>
        <s v="SABS1200 DA  / Earthworks (Small Works) / 8.3 / 8.3.2a / Excavate for restricted foundations, footings and trenches  in all materials and use for embankments or backfill or dispose / KS18_016-Concrete Drop Inlet / 46.41016 / m³" u="1"/>
        <s v="SABS1200 DA  / Earthworks (Small Works) / 8.3 / 8.3.2a / Excavate for restricted foundations, footings and trenches  in all materials and use for embankments or backfill or dispose / KS20_008-Concrete Drop Inlet / 54.33924 / m³" u="1"/>
        <s v="SABS1200 DA  / Earthworks (Small Works) / 8.3 / 8.3.2a / Excavate for restricted foundations, footings and trenches  in all materials and use for embankments or backfill or dispose / KS13_003-Concrete Drop Inlet / 44.0325 / m³" u="1"/>
        <s v="SABS1200 DA  / Earthworks (Small Works) / 8.3 / 8.3.2a / Excavate for restricted foundations, footings and trenches  in all materials and use for embankments or backfill or dispose / KS18_006-Concrete Cut-Off Walls / 6.615 / m³" u="1"/>
        <s v="SABS1200 DA \EARTHWORKS (SMALL WORKS)/8.3\SCHEDULED ITEMS/8.3.2a\Excavate for restricted foundations, footings and trenches  in all materials and use for embankments or backfill or dispose. /\KS21-002-Earthworks  \m³\191.4 \ 50" u="1"/>
        <s v="SABS1200 DA  / Earthworks (Small Works) / 8.3 / 8.3.2a / Excavate for restricted foundations, footings and trenches  in all materials and use for embankments or backfill or dispose / KS16_003-Infilling of Drains / 14.22 / m³" u="1"/>
        <s v="SABS1200 DA  \ Earthworks (Small Works) / 8.3\ SCHEDULED ITEMS / 8.3.2a \ Excavate for restricted foundations, footings and trenches  in all materials and use for embankments or backfill or dispose. /\KS20_010-Infilling of Drains \m³\3.6 \ 50" u="1"/>
        <s v="SABS1200 DA  \ Earthworks (Small Works) / 8.3\ SCHEDULED ITEMS / 8.3.2a \ Excavate for restricted foundations, footings and trenches  in all materials and use for embankments or backfill or dispose. /\LS16_014-Ecologs \m³\1.62 \ 50" u="1"/>
        <s v="SABS1200 DA  \ Earthworks (Small Works) / 8.3\ SCHEDULED ITEMS / 8.3.2a \ Excavate for restricted foundations, footings and trenches  in all materials and use for embankments or backfill or dispose. /\LS16_010-Concrete Cut-Off Walls \m³\5.1 \ 50" u="1"/>
        <s v="SABS1200 DA \EARTHWORKS (SMALL WORKS)/8.3\SCHEDULED ITEMS/8.3.2a\Excavate for restricted foundations, footings and trenches  in all materials and use for embankments or backfill or dispose. /\KS21_009-Concrete Drop Inlet. Refer to drawing NBC-GTW-CL-0043 \m³\40.198585 \ 50" u="1"/>
        <s v="SABS1200 DA \EARTHWORKS (SMALL WORKS)/8.3\SCHEDULED ITEMS/8.3.2a\Excavate for restricted foundations, footings and trenches  in all materials and use for embankments or backfill or dispose. /\KS19_004-Infilling of Drains  \m³\4.5 \ 85" u="1"/>
        <s v="SABS1200 DA  \ Earthworks (Small Works) / 8.3\ SCHEDULED ITEMS / 8.3.2a \ Excavate for restricted foundations, footings and trenches  in all materials and use for embankments or backfill or dispose. /\KS20_004-Concrete Drop Inlet \m³\42.774586 \ 50" u="1"/>
        <s v="SABS1200 DA \EARTHWORKS (SMALL WORKS)/8.3\SCHEDULED ITEMS/8.3.2a\Excavate for restricted foundations, footings and trenches  in all materials and use for embankments or backfill or dispose. /\KS20_010-Infilling of Drains  \m³\3.6 \ 50" u="1"/>
        <s v="SABS1200 DA \EARTHWORKS (SMALL WORKS)/8.3\SCHEDULED ITEMS/8.3.2a\Excavate for restricted foundations, footings and trenches  in all materials and use for embankments or backfill or dispose. /\LS16_006-Concrete Cut-Off Walls  \m³\6.48 \ 50" u="1"/>
        <s v="SABS1200 DA \EARTHWORKS (SMALL WORKS)/8.3\SCHEDULED ITEMS/8.3.2a\Excavate for restricted foundations, footings and trenches  in all materials and use for embankments or backfill or dispose. /\KS18_012-Concrete Cut-Off Walls. Drawing NBC-GTW-CL-0045 \m³\6.6 \ 50" u="1"/>
        <s v="SABS1200 DA  \ Earthworks (Small Works) / 8.3\ SCHEDULED ITEMS / 8.3.2a \ Excavate for restricted foundations, footings and trenches  in all materials and use for embankments or backfill or dispose. /\KS18_001-Concrete Drop Inlet \m³\61.486052 \ 50" u="1"/>
        <s v="SABS1200 DA  / Earthworks (Small Works) / 8.3 / 8.3.2a / Excavate for restricted foundations, footings and trenches  in all materials and use for embankments or backfill or dispose / KS19_003-Headcut / 5 / m³" u="1"/>
        <s v="SABS1200 DA \EARTHWORKS (SMALL WORKS)/8.3\SCHEDULED ITEMS/8.3.2a\Excavate for restricted foundations, footings and trenches  in all materials and use for embankments or backfill or dispose. /\KS15_001-Fish Bowl  \m³\215.621 \ 50" u="1"/>
        <s v="SABS1200 DA  / Earthworks (Small Works) / 8.3 / 8.3.2a / Excavate for restricted foundations, footings and trenches  in all materials and use for embankments or backfill or dispose / KS18_005-Concrete Cut-Off Walls / 6.93 / m³" u="1"/>
        <s v="SABS1200 DA  / Earthworks (Small Works) / 8.3 / 8.3.2a / Excavate for restricted foundations, footings and trenches  in all materials and use for embankments or backfill or dispose / KS18_010-Concrete Cut-Off Walls / 6.93 / m³" u="1"/>
        <s v="SABS1200 DA \EARTHWORKS (SMALL WORKS)/8.3\SCHEDULED ITEMS/8.3.2a\Excavate for restricted foundations, footings and trenches  in all materials and use for embankments or backfill or dispose. /\KS18_012-Concrete Cut-Off Walls. Drawing NBC-GTW-CL-0045 \m³\6.6 \ 85" u="1"/>
        <s v="SABS1200 DA  / Earthworks (Small Works) / 8.3 / 8.3.2a / Excavate for restricted foundations, footings and trenches  in all materials and use for embankments or backfill or dispose / Pan14-002-Remove Berm / 65 / m³" u="1"/>
        <s v="SABS1200 DA  \ Earthworks (Small Works) / 8.3\ SCHEDULED ITEMS / 8.3.2a \ Excavate for restricted foundations, footings and trenches  in all materials and use for embankments or backfill or dispose. /\LS16_005-Concrete Cut-Off Walls  \m³\3.6 \ 50" u="1"/>
        <s v="SABS1200 DA  \ Earthworks (Small Works) / 8.3\ SCHEDULED ITEMS / 8.3.2a \ Excavate for restricted foundations, footings and trenches  in all materials and use for embankments or backfill or dispose. /\KS18_015-Concrete Drop Inlet. Refer to drawing U \m³\57.16188 \ 50" u="1"/>
        <s v="SABS1200 DA \EARTHWORKS (SMALL WORKS)/8.3\SCHEDULED ITEMS/8.3.2a\Excavate for restricted foundations, footings and trenches  in all materials and use for embankments or backfill or dispose. /\KS18_004-Concrete Cut-Off Walls. Refer to drawing NBC-GTW-CL-0045 \m³\5.355 \ 50" u="1"/>
        <s v="SABS1200 DA \EARTHWORKS (SMALL WORKS)/8.3\SCHEDULED ITEMS/8.3.2a\Excavate for restricted foundations, footings and trenches  in all materials and use for embankments or backfill or dispose. /\KS21_010-Concrete Drop Inlet. Drawing NBC-GTW-CL-0044 \m³\37.9104055 \ 50" u="1"/>
        <s v="SABS1200 DA \EARTHWORKS (SMALL WORKS)/8.3\SCHEDULED ITEMS/8.3.2a\Excavate for restricted foundations, footings and trenches  in all materials and use for embankments or backfill or dispose. /\KS18_003-Concrete Cut-Off Walls. Drawing NBC-GTW-CL-0045 \m³\5.7 \ 50" u="1"/>
        <s v="SABS1200 DA  \ Earthworks (Small Works) / 8.3\ SCHEDULED ITEMS / 8.3.2a \ Excavate for restricted foundations, footings and trenches  in all materials and use for embankments or backfill or dispose. /\KS16_003-Infilling of Drains  \m³\14.22 \ 50" u="1"/>
        <s v="SABS1200 DA  \ Earthworks (Small Works) / 8.3\ SCHEDULED ITEMS / 8.3.2a \ Excavate for restricted foundations, footings and trenches  in all materials and use for embankments or backfill or dispose. /\LS16_006-Concrete Cut-Off Walls \m³\6.48 \ 50" u="1"/>
        <s v="SABS1200 DA  \ Earthworks (Small Works) / 8.3\ SCHEDULED ITEMS / 8.3.2a \ Excavate for restricted foundations, footings and trenches  in all materials and use for embankments or backfill or dispose. /\LS16_003-Concrete Cut-Off Walls \m³\2.1 \ 50" u="1"/>
        <s v="SABS1200 DA  / Earthworks (Small Works) / 8.3 / 8.3.2a / Excavate for restricted foundations, footings and trenches  in all materials and use for embankments or backfill or dispose / KS12_008-Concrete Drop Inlet / 33.21409 / m³" u="1"/>
        <s v="SABS1200 DA  \ Earthworks (Small Works) / 8.3\ SCHEDULED ITEMS / 8.3.2a \ Excavate for restricted foundations, footings and trenches  in all materials and use for embankments or backfill or dispose. /\LS16_013-Gabion energy breaker  \m³\13.68 \ 50" u="1"/>
        <s v="SABS1200 DA \EARTHWORKS (SMALL WORKS)/8.3\SCHEDULED ITEMS/8.3.2a\Excavate for restricted foundations, footings and trenches  in all materials and use for embankments or backfill or dispose. /\KS18_003-Concrete Cut-Off Walls. Refer to drawing NBC-GTW-CL-0045 \m³\5.7 \ 50" u="1"/>
        <s v="SABS1200 DA  \ Earthworks (Small Works) / 8.3\ SCHEDULED ITEMS / 8.3.2a \ Excavate for restricted foundations, footings and trenches  in all materials and use for embankments or backfill or dispose. /\KS18_016-Concrete Drop Inlet \m³\46.41016 \ 50" u="1"/>
        <s v="SABS1200 DA \EARTHWORKS (SMALL WORKS)/8.3\SCHEDULED ITEMS/8.3.2a\Excavate for restricted foundations, footings and trenches  in all materials and use for embankments or backfill or dispose. /\KS18_003-Concrete Cut-Off Walls. Drawing NBC-GTW-CL-0045 \m³\5.7 \ 85" u="1"/>
        <s v="SABS1200 DA  / Earthworks (Small Works) / 8.3 / 8.3.2a / Excavate for restricted foundations, footings and trenches  in all materials and use for embankments or backfill or dispose / KS19_003-Headcut / 5.316 / m³" u="1"/>
        <s v="SABS1200 DA  \ Earthworks (Small Works) / 8.3\ SCHEDULED ITEMS / 8.3.2a \ Excavate for restricted foundations, footings and trenches  in all materials and use for embankments or backfill or dispose. /\KS12_009-Concrete Drop Inlet. Refer to drawing H \m³\21.46164 \ 50" u="1"/>
        <s v="SABS1200 DA \EARTHWORKS (SMALL WORKS)/8.3\SCHEDULED ITEMS/8.3.2a\Excavate for restricted foundations, footings and trenches  in all materials and use for embankments or backfill or dispose. /\KS18_009-Concrete Cut-Off Walls. Refer to drawing NBC-GTW-CL-0045 \m³\5.775 \ 50" u="1"/>
      </sharedItems>
    </cacheField>
    <cacheField name="bi)Excavation (Extra-over intermediate)3" numFmtId="0">
      <sharedItems count="261">
        <s v=" "/>
        <s v="SABS1200 DA \EARTHWORKS (SMALL WORKS)/8.3\SCHEDULED ITEMS/8.3.2b 1\Extra-over for intermediate excavation. (Provisional Quantities)/\ks11-002a-Concrete Drop Inlet on Dam Wall  \m³\39.47652 \ 125"/>
        <s v="SABS1200 DA \EARTHWORKS (SMALL WORKS)/8.3\SCHEDULED ITEMS/8.3.2b 1\Extra-over for intermediate excavation. (Provisional Quantities)/\ks11-004a-Concrete Drop Inlet on Dam Wall  \m³\26.46966 \ 125"/>
        <s v="SABS1200 DA \EARTHWORKS (SMALL WORKS)/8.3\SCHEDULED ITEMS/8.3.2b 1\Extra-over for intermediate excavation. (Provisional Quantities)/\KS13_003-Concrete Drop Inlet. Drawing NBC-GTW-CL-0009 \m³\4.40325 \ 125"/>
        <s v="SABS1200 DA \EARTHWORKS (SMALL WORKS)/8.3\SCHEDULED ITEMS/8.3.2b 1\Extra-over for intermediate excavation. (Provisional Quantities)/\KS19_002-Concrete Drop Inlet. Drawing NBC-GTW-CL-0026 \m³\3.8760038 \ 125"/>
        <s v="SABS1200 DA \EARTHWORKS (SMALL WORKS)/8.3\SCHEDULED ITEMS/8.3.2b 1\Extra-over for intermediate excavation. (Provisional Quantities)/\KS20_001-Concrete Drop Inlet. Drawing NBC-GTW-CL-0027 \m³\5.193327 \ 125"/>
        <s v="SABS1200 DA \EARTHWORKS (SMALL WORKS)/8.3\SCHEDULED ITEMS/8.3.2b 1\Extra-over for intermediate excavation. (Provisional Quantities)/\KS21_003-Concrete Drop Inlet. Drawing NBC-GTW-CL-0039 \m³\2.578775 \ 125"/>
        <s v="SABS1200 DA \EARTHWORKS (SMALL WORKS)/8,3\SCHEDULED ITEMS/8.3.2b 1\Extra-over for intermediate excavation. (Provisional Quantities)/\KS21_005-Concrete Drop Inlet. Drawing NBC-GTW-CL-0040 \m³\2,578775 \ 125"/>
        <s v="SABS1200 DA  / Earthworks (Small Works) / 8.3 / 8.3.2b 1 / Extra-over for intermediate excavation / KS18_001-Concrete Drop Inlet / 1.618054 / m³" u="1"/>
        <s v="SABS1200 DA \EARTHWORKS (SMALL WORKS)/8.3\SCHEDULED ITEMS/8.3.2b 1\Extra-over for intermediate excavation. (Provisional Quantities)/\KS21_006-Concrete Drop Inlet. Drawing NBC-GTW-CL-0041 \m³\3.19418025 \ 125" u="1"/>
        <s v="SABS1200 DA  \ Earthworks (Small Works) / 8.3\ SCHEDULED ITEMS / 8.3.2b 1 \ Extra-over for intermediate excavation. (Provisional Quantities)/\KS18_018-Concrete Drop Inlet. Refer to drawing X \m³\5.232581 \ 75" u="1"/>
        <s v="SABS1200 DA  \ Earthworks (Small Works) / 8.3\ SCHEDULED ITEMS / 8.3.2b 1 \ Extra-over for intermediate excavation. (Provisional Quantities)/\KS21_007-Concrete Drop Inlet. Refer to drawing AP \m³\0.81971 \ 75" u="1"/>
        <s v="SABS1200 DA \EARTHWORKS (SMALL WORKS)/8.3\SCHEDULED ITEMS/8.3.2b 1\Extra-over for intermediate excavation. (Provisional Quantities)/\KS21_010-Concrete Drop Inlet. Drawing NBC-GTW-CL-0044 \m³\3.79104055 \ 75" u="1"/>
        <s v="SABS1200 DA  \ Earthworks (Small Works) / 8.3\ SCHEDULED ITEMS / 8.3.2b 1 \ Extra-over for intermediate excavation. (Provisional Quantities)/\KS13_008-Concrete Drop Inlet. Refer to drawing N \m³\1.07736 \ 75" u="1"/>
        <s v="SABS1200 DA  / Earthworks (Small Works) / 8.3 / 8.3.2b 1 / Extra-over for intermediate excavation / KS21_010-Concrete Drop Inlet / 0.99764225 / m³" u="1"/>
        <s v="SABS1200 DA  / Earthworks (Small Works) / 8.3 / 8.3.2b 1 / Extra-over for intermediate excavation / KS13_008-Concrete Drop Inlet / 1.07736 / m³" u="1"/>
        <s v="SABS1200 DA  \ Earthworks (Small Works) / 8.3\ SCHEDULED ITEMS / 8.3.2b 1 \ Extra-over for intermediate excavation. (Provisional Quantities)/\KS20_007-Concrete Drop Inlet \m³\1.4785685 \ 75" u="1"/>
        <s v="SABS1200 DA  \ Earthworks (Small Works) / 8.3\ SCHEDULED ITEMS / 8.3.2b 1 \ Extra-over for intermediate excavation. (Provisional Quantities)/\KS12_009-Concrete Drop Inlet. Refer to drawing H \m³\2.146164 \ 75" u="1"/>
        <s v="SABS1200 DA  \ Earthworks (Small Works) / 8.3\ SCHEDULED ITEMS / 8.3.2b 1 \ Extra-over for intermediate excavation. (Provisional Quantities)/\KS13_013-Concrete Drop Inlet \m³\0.9969 \ 75" u="1"/>
        <s v="SABS1200 DA \EARTHWORKS (SMALL WORKS)/8.3\SCHEDULED ITEMS/8.3.2b 1\Extra-over for intermediate excavation. (Provisional Quantities)/\KS18_017-Concrete Drop Inlet. Drawing NBC-GTW-CL-0023 \m³\4.359664 \ 75" u="1"/>
        <s v="SABS1200 DA  \ Earthworks (Small Works) / 8.3\ SCHEDULED ITEMS / 8.3.2b 1 \ Extra-over for intermediate excavation. (Provisional Quantities)/\KS20_004-Concrete Drop Inlet. Refer to drawing AD \m³\4.2774586 \ 75" u="1"/>
        <s v="SABS1200 DA \EARTHWORKS (SMALL WORKS)/8.3\SCHEDULED ITEMS/8.3.2b 1\Extra-over for intermediate excavation. (Provisional Quantities)/\KS18_016-Concrete Drop Inlet. Refer to drawing NBC-GTW-CL-0022 \m³\4.641016 \ 75" u="1"/>
        <s v="SABS1200 DA  \ Earthworks (Small Works) / 8.3\ SCHEDULED ITEMS / 8.3.2b 1 \ Extra-over for intermediate excavation. (Provisional Quantities)/\KS13_013-Concrete Drop Inlet. Refer to drawing Q \m³\0.9969 \ 75" u="1"/>
        <s v="SABS1200 DA  / Earthworks (Small Works) / 8.3 / 8.3.2b 1 / Extra-over for intermediate excavation / KS21_009-Concrete Drop Inlet / 1.0578575 / m³" u="1"/>
        <s v="SABS1200 DA \EARTHWORKS (SMALL WORKS)/8.3\SCHEDULED ITEMS/8.3.2b 1\Extra-over for intermediate excavation. (Provisional Quantities)/\KS13_004-Concrete Drop Inlet. Refer to drawing NBC-GTW-CL-0010 \m³\3.2319 \ 75" u="1"/>
        <s v="SABS1200 DA  \ Earthworks (Small Works) / 8.3\ SCHEDULED ITEMS / 8.3.2b 1 \ Extra-over for intermediate excavation. (Provisional Quantities)/\KS13_005-Concrete Drop Inlet \m³\1.07583 \ 75" u="1"/>
        <s v="SABS1200 DA  \ Earthworks (Small Works) / 8.3\ SCHEDULED ITEMS / 8.3.2b 1 \ Extra-over for intermediate excavation. (Provisional Quantities)/\KS13_006-Concrete Drop Inlet \m³\1.07583 \ 75" u="1"/>
        <s v="SABS1200 DA  / Earthworks (Small Works) / 8.3 / 8.3.2b 1 / Extra-over for intermediate excavation / KS13_004-Concrete Drop Inlet / 0.8505 / m³" u="1"/>
        <s v="SABS1200 DA \EARTHWORKS (SMALL WORKS)/8.3\SCHEDULED ITEMS/8.3.2b 1\Extra-over for intermediate excavation. (Provisional Quantities)/\KS13_012-Concrete Drop Inlet. Drawing NBC-GTW-CL-0016 \m³\2.9930225 \ 75" u="1"/>
        <s v="SABS1200 DA \EARTHWORKS (SMALL WORKS)/8.3\SCHEDULED ITEMS/8.3.2b 1\Extra-over for intermediate excavation. (Provisional Quantities)/\KS21_009-Concrete Drop Inlet. Drawing NBC-GTW-CL-0043 \m³\4.0198585 \ 75" u="1"/>
        <s v="SABS1200 DA  \ Earthworks (Small Works) / 8.3\ SCHEDULED ITEMS / 8.3.2b 1 \ Extra-over for intermediate excavation. (Provisional Quantities)/\KS20_009_a-Concrete Drop Inlet \m³\3.4936105 \ 75" u="1"/>
        <s v="SABS1200 DA  \ Earthworks (Small Works) / 8.3\ SCHEDULED ITEMS / 8.3.2b 1 \ Extra-over for intermediate excavation. (Provisional Quantities)/\KS20_009_a-Concrete Drop Inlet. Refer to drawing AI \m³\13.2757199 \ 75" u="1"/>
        <s v="SABS1200 DA  \ Earthworks (Small Works) / 8.3\ SCHEDULED ITEMS / 8.3.2b 1 \ Extra-over for intermediate excavation. (Provisional Quantities)/\KS13_008-Concrete Drop Inlet \m³\1.07736 \ 75" u="1"/>
        <s v="SABS1200 DA \EARTHWORKS (SMALL WORKS)/8.3\SCHEDULED ITEMS/8.3.2b 1\Extra-over for intermediate excavation. (Provisional Quantities)/\KS13_007-Concrete Drop Inlet. Refer to drawing NBC-GTW-CL-0013 \m³\3.599056 \ 75" u="1"/>
        <s v="SABS1200 DA  \ Earthworks (Small Works) / 8.3\ SCHEDULED ITEMS / 8.3.2b 1 \ Extra-over for intermediate excavation. (Provisional Quantities)/\KS12_006-Concrete Drop Inlet. Refer to drawing E \m³\0.8407625 \ 75" u="1"/>
        <s v="SABS1200 DA \EARTHWORKS (SMALL WORKS)/8.3\SCHEDULED ITEMS/8.3.2b 1\Extra-over for intermediate excavation. (Provisional Quantities)/\KS18_015-Concrete Drop Inlet. Refer to drawing NBC-GTW-CL-0021 \m³\5.716188 \ 75" u="1"/>
        <s v="SABS1200 DA \EARTHWORKS (SMALL WORKS)/8.3\SCHEDULED ITEMS/8.3.2b 1\Extra-over for intermediate excavation. (Provisional Quantities)/\KS13_008-Concrete Drop Inlet. Refer to drawing NBC-GTW-CL-0014 \m³\4.093968 \ 75" u="1"/>
        <s v="SABS1200 DA  \ Earthworks (Small Works) / 8.3\ SCHEDULED ITEMS / 8.3.2b 1 \ Extra-over for intermediate excavation. (Provisional Quantities)/\KS21_003-Concrete Drop Inlet. Refer to drawing AM \m³\0.678625 \ 75" u="1"/>
        <s v="SABS1200 DA  \ Earthworks (Small Works) / 8.3\ SCHEDULED ITEMS / 8.3.2b 1 \ Extra-over for intermediate excavation. (Provisional Quantities)/\KS18_001-Concrete Drop Inlet. Refer to drawing S \m³\1.618054 \ 75" u="1"/>
        <s v="SABS1200 DA  \ Earthworks (Small Works) / 8.3\ SCHEDULED ITEMS / 8.3.2b 1 \ Extra-over for intermediate excavation. (Provisional Quantities)/\KS12_007-Concrete Drop Inlet. Refer to drawing F \m³\1.2450875 \ 75" u="1"/>
        <s v="SABS1200 DA  \ Earthworks (Small Works) / 8.3\ SCHEDULED ITEMS / 8.3.2b 1 \ Extra-over for intermediate excavation. (Provisional Quantities)/\KS13_005-Concrete Drop Inlet. Refer to drawing K \m³\4.088154 \ 75" u="1"/>
        <s v="SABS1200 DA  \ Earthworks (Small Works) / 8.3\ SCHEDULED ITEMS / 8.3.2b 1 \ Extra-over for intermediate excavation. (Provisional Quantities)/\KS13_006-Concrete Drop Inlet. Refer to drawing L \m³\4.088154 \ 75" u="1"/>
        <s v="SABS1200 DA  / Earthworks (Small Works) / 8.3 / 8.3.2b 1 / Extra-over for intermediate excavation / KS12_007-Concrete Drop Inlet / 1.2450875 / m³" u="1"/>
        <s v="SABS1200 DA  \ Earthworks (Small Works) / 8.3\ SCHEDULED ITEMS / 8.3.2b 1 \ Extra-over for intermediate excavation. (Provisional Quantities)/\KS12_004-Concrete Drop Inlet. Refer to drawing C \m³\3.66111 \ 75" u="1"/>
        <s v="SABS1200 DA \EARTHWORKS (SMALL WORKS)/8.3\SCHEDULED ITEMS/8.3.2b 1\Extra-over for intermediate excavation. (Provisional Quantities)/\KS13_011-Concrete Drop Inlet. Refer to drawing NBC-GTW-CL-0015 \m³\4.119048 \ 75" u="1"/>
        <s v="SABS1200 DA  \ Earthworks (Small Works) / 8.3\ SCHEDULED ITEMS / 8.3.2b 1 \ Extra-over for intermediate excavation. (Provisional Quantities)/\KS20_007-Concrete Drop Inlet. Refer to drawing AG \m³\5.6185603 \ 75" u="1"/>
        <s v="SABS1200 DA  \ Earthworks (Small Works) / 8.3\ SCHEDULED ITEMS / 8.3.2b 1 \ Extra-over for intermediate excavation. (Provisional Quantities)/\KS13_004-Concrete Drop Inlet \m³\0.8505 \ 75" u="1"/>
        <s v="SABS1200 DA  \ Earthworks (Small Works) / 8.3\ SCHEDULED ITEMS / 8.3.2b 1 \ Extra-over for intermediate excavation. (Provisional Quantities)/\KS13_007-Concrete Drop Inlet \m³\0.94712 \ 75" u="1"/>
        <s v="SABS1200 DA  / Earthworks (Small Works) / 8.3 / 8.3.2b 1 / Extra-over for intermediate excavation / KS13_007-Concrete Drop Inlet / 0.94712 / m³" u="1"/>
        <s v="SABS1200 DA  / Earthworks (Small Works) / 8.3 / 8.3.2b 1 / Extra-over for intermediate excavation / KS21_007-Concrete Drop Inlet / 0.81971 / m³" u="1"/>
        <s v="SABS1200 DA \EARTHWORKS (SMALL WORKS)/8.3\SCHEDULED ITEMS/8.3.2b 1\Extra-over for intermediate excavation. (Provisional Quantities)/\KS20_001-Concrete Drop Inlet. Refer to drawing NBC-GTW-CL-0027 \m³\5.193327 \ 75" u="1"/>
        <s v="SABS1200 DA \EARTHWORKS (SMALL WORKS)/8.3\SCHEDULED ITEMS/8.3.2b 1\Extra-over for intermediate excavation. (Provisional Quantities)/\KS13_012-Concrete Drop Inlet. Refer to drawing NBC-GTW-CL-0016 \m³\2.9930225 \ 75" u="1"/>
        <s v="SABS1200 DA \EARTHWORKS (SMALL WORKS)/8.3\SCHEDULED ITEMS/8.3.2b 1\Extra-over for intermediate excavation. (Provisional Quantities)/\KS12_004-Concrete Drop Inlet. Refer to drawing NBC-GTW-CL-0003 \m³\3.66111 \ 75" u="1"/>
        <s v="SABS1200 DA \EARTHWORKS (SMALL WORKS)/8.3\SCHEDULED ITEMS/8.3.2b 1\Extra-over for intermediate excavation. (Provisional Quantities)/\KS21_006-Concrete Drop Inlet. Refer to drawing NBC-GTW-CL-0041 \m³\3.19418025 \ 75" u="1"/>
        <s v="SABS1200 DA \EARTHWORKS (SMALL WORKS)/8.3\SCHEDULED ITEMS/8.3.2b 1\Extra-over for intermediate excavation. (Provisional Quantities)/\KS21_006-Concrete Drop Inlet. Drawing NBC-GTW-CL-0041 \m³\3.19418025 \ 75" u="1"/>
        <s v="SABS1200 DA \EARTHWORKS (SMALL WORKS)/8.3\SCHEDULED ITEMS/8.3.2b 1\Extra-over for intermediate excavation. (Provisional Quantities)/\KS18_001-Concrete Drop Inlet. Drawing NBC-GTW-CL-0019 \m³\6.1486052 \ 75" u="1"/>
        <s v="SABS1200 DA  \ Earthworks (Small Works) / 8.3\ SCHEDULED ITEMS / 8.3.2b 1 \ Extra-over for intermediate excavation. (Provisional Quantities)/\KS12_004-Concrete Drop Inlet \m³\0.96345 \ 75" u="1"/>
        <s v="SABS1200 DA  \ Earthworks (Small Works) / 8.3\ SCHEDULED ITEMS / 8.3.2b 1 \ Extra-over for intermediate excavation. (Provisional Quantities)/\KS19_002-Concrete Drop Inlet. Refer to drawing Z \m³\3.8760038 \ 75" u="1"/>
        <s v="SABS1200 DA  / Earthworks (Small Works) / 8.3 / 8.3.2b 1 / Extra-over for intermediate excavation / KS18_018-Concrete Drop Inlet / 1.376995 / m³" u="1"/>
        <s v="SABS1200 DA \EARTHWORKS (SMALL WORKS)/8.3\SCHEDULED ITEMS/8.3.2b 1\Extra-over for intermediate excavation. (Provisional Quantities)/\KS21_010-Concrete Drop Inlet. Drawing NBC-GTW-CL-0044 \m³\3.79104055 \ 125" u="1"/>
        <s v="SABS1200 DA  / Earthworks (Small Works) / 8.3 / 8.3.2b 1 / Extra-over for intermediate excavation / KS20_009_a-Concrete Drop Inlet / 3.4936105 / m³" u="1"/>
        <s v="SABS1200 DA  \ Earthworks (Small Works) / 8.3\ SCHEDULED ITEMS / 8.3.2b 1 \ Extra-over for intermediate excavation. (Provisional Quantities)/\KS13_012-Concrete Drop Inlet. Refer to drawing P \m³\2.9930225 \ 75" u="1"/>
        <s v="SABS1200 DA  / Earthworks (Small Works) / 8.3 / 8.3.2b 1 / Extra-over for intermediate excavation / KS20_001-Concrete Drop Inlet / 1.366665 / m³" u="1"/>
        <s v="SABS1200 DA  \ Earthworks (Small Works) / 8.3\ SCHEDULED ITEMS / 8.3.2b 1 \ Extra-over for intermediate excavation. (Provisional Quantities)/\KS13_015-Concrete Drop Inlet. Refer to drawing R \m³\4.589906 \ 75" u="1"/>
        <s v="SABS1200 DA  \ Earthworks (Small Works) / 8.3\ SCHEDULED ITEMS / 8.3.2b 1 \ Extra-over for intermediate excavation. (Provisional Quantities)/\KS21_005-Concrete Drop Inlet. Refer to drawing AN \m³\0.94137425 \ 75" u="1"/>
        <s v="SABS1200 DA \EARTHWORKS (SMALL WORKS)/8.3\SCHEDULED ITEMS/8.3.2b 1\Extra-over for intermediate excavation. (Provisional Quantities)/\KS12_007-Concrete Drop Inlet. Refer to drawing NBC-GTW-CL-0006 \m³\4.7313325 \ 75" u="1"/>
        <s v="SABS1200 DA  \ Earthworks (Small Works) / 8.3\ SCHEDULED ITEMS / 8.3.2b 1 \ Extra-over for intermediate excavation. (Provisional Quantities)/\KS20_003-Concrete Buttress Weir \m³\2.1830841 \ 75" u="1"/>
        <s v="'" u="1"/>
        <s v="SABS1200 DA  \ Earthworks (Small Works) / 8.3\ SCHEDULED ITEMS / 8.3.2b 1 \ Extra-over for intermediate excavation. (Provisional Quantities)/\KS18_018-Concrete Drop Inlet \m³\1.376995 \ 75" u="1"/>
        <s v="SABS1200 DA  \ Earthworks (Small Works) / 8.3\ SCHEDULED ITEMS / 8.3.2b 1 \ Extra-over for intermediate excavation. (Provisional Quantities)/\KS20_005-Concrete Drop Inlet \m³\1.8331225 \ 75" u="1"/>
        <s v="SABS1200 DA  \ Earthworks (Small Works) / 8.3\ SCHEDULED ITEMS / 8.3.2b 1 \ Extra-over for intermediate excavation. (Provisional Quantities)/\KS18_018-Concrete Drop Inlet. Refer to drawing X \m³\1.376995 \ 75" u="1"/>
        <s v="SABS1200 DA  / Earthworks (Small Works) / 8.3 / 8.3.2b 1 / Extra-over for intermediate excavation / KS18_002-Concrete Drop Inlet / 0.8493175 / m³" u="1"/>
        <s v="SABS1200 DA \EARTHWORKS (SMALL WORKS)/8.3\SCHEDULED ITEMS/8.3.2b 1\Extra-over for intermediate excavation. (Provisional Quantities)/\KS18_017-Concrete Drop Inlet. Refer to drawing NBC-GTW-CL-0023 \m³\4.359664 \ 75" u="1"/>
        <s v="SABS1200 DA  \ Earthworks (Small Works) / 8.3\ SCHEDULED ITEMS / 8.3.2b 1 \ Extra-over for intermediate excavation. (Provisional Quantities)/\KS21_010-Concrete Drop Inlet \m³\0.99764225 \ 75" u="1"/>
        <s v="SABS1200 DA  / Earthworks (Small Works) / 8.3 / 8.3.2b 1 / Extra-over for intermediate excavation / KS21_006-Concrete Drop Inlet / 0.84057375 / m³" u="1"/>
        <s v="SABS1200 DA \EARTHWORKS (SMALL WORKS)/8.3\SCHEDULED ITEMS/8.3.2b 1\Extra-over for intermediate excavation. (Provisional Quantities)/\KS12_009-Concrete Drop Inlet. Refer to drawing NBC-GTW-CL-0008 \m³\2.146164 \ 75" u="1"/>
        <s v="SABS1200 DA \EARTHWORKS (SMALL WORKS)/8.3\SCHEDULED ITEMS/8.3.2b 1\Extra-over for intermediate excavation. (Provisional Quantities)/\KS21_007-Concrete Drop Inlet. Drawing NBC-GTW-CL-0042 \m³\3.114898 \ 125" u="1"/>
        <s v="SABS1200 DA  \ Earthworks (Small Works) / 8.3\ SCHEDULED ITEMS / 8.3.2b 1 \ Extra-over for intermediate excavation. (Provisional Quantities)/\KS20_005-Concrete Drop Inlet. Refer to drawing AE \m³\1.8331225 \ 75" u="1"/>
        <s v="SABS1200 DA  \ Earthworks (Small Works) / 8.3\ SCHEDULED ITEMS / 8.3.2b 1 \ Extra-over for intermediate excavation. (Provisional Quantities)/\KS18_015-Concrete Drop Inlet. Refer to drawing U \m³\5.716188 \ 75" u="1"/>
        <s v="SABS1200 DA  \ Earthworks (Small Works) / 8.3\ SCHEDULED ITEMS / 8.3.2b 1 \ Extra-over for intermediate excavation. (Provisional Quantities)/\KS20_002-Concrete Drop Inlet. Refer to drawing AB \m³\1.86188 \ 75" u="1"/>
        <s v="SABS1200 DA  / Earthworks (Small Works) / 8.3 / 8.3.2b 1 / Extra-over for intermediate excavation / KS21_003-Concrete Drop Inlet / 0.678625 / m³" u="1"/>
        <s v="SABS1200 DA  / Earthworks (Small Works) / 8.3 / 8.3.2b 1 / Extra-over for intermediate excavation / KS12_005-Concrete Drop Inlet / 0.9586479 / m³" u="1"/>
        <s v="SABS1200 DA  \ Earthworks (Small Works) / 8.3\ SCHEDULED ITEMS / 8.3.2b 1 \ Extra-over for intermediate excavation. (Provisional Quantities)/\KS21_010-Concrete Drop Inlet. Refer to drawing AR \m³\3.79104055 \ 75" u="1"/>
        <s v="SABS1200 DA  \ Earthworks (Small Works) / 8.3\ SCHEDULED ITEMS / 8.3.2b 1 \ Extra-over for intermediate excavation. (Provisional Quantities)/\KS13_005-Concrete Drop Inlet. Refer to drawing K \m³\1.07583 \ 75" u="1"/>
        <s v="SABS1200 DA  \ Earthworks (Small Works) / 8.3\ SCHEDULED ITEMS / 8.3.2b 1 \ Extra-over for intermediate excavation. (Provisional Quantities)/\KS13_006-Concrete Drop Inlet. Refer to drawing L \m³\1.07583 \ 75" u="1"/>
        <s v="SABS1200 DA \EARTHWORKS (SMALL WORKS)/8.3\SCHEDULED ITEMS/8.3.2b 1\Extra-over for intermediate excavation. (Provisional Quantities)/\KS12_008-Concrete Drop Inlet. Drawing NBC-GTW-CL-0007 \m³\3.321409 \ 75" u="1"/>
        <s v="SABS1200 DA  / Earthworks (Small Works) / 8.3 / 8.3.2b 1 / Extra-over for intermediate excavation / KS18_019-Concrete Drop Inlet / 0.95038 / m³" u="1"/>
        <s v="SABS1200 DA  \ Earthworks (Small Works) / 8.3\ SCHEDULED ITEMS / 8.3.2b 1 \ Extra-over for intermediate excavation. (Provisional Quantities)/\KS20_008-Concrete Drop Inlet. Refer to drawing AH \m³\5.433924 \ 75" u="1"/>
        <s v="SABS1200 DA  \ Earthworks (Small Works) / 8.3\ SCHEDULED ITEMS / 8.3.2b 1 \ Extra-over for intermediate excavation. (Provisional Quantities)/\KS13_007-Concrete Drop Inlet. Refer to drawing M \m³\0.94712 \ 75" u="1"/>
        <s v="SABS1200 DA  \ Earthworks (Small Works) / 8.3\ SCHEDULED ITEMS / 8.3.2b 1 \ Extra-over for intermediate excavation. (Provisional Quantities)/\KS20_003-Concrete Buttress Weir. Refer to drawing AC \m³\8.29571958 \ 75" u="1"/>
        <s v="SABS1200 DA  / Earthworks (Small Works) / 8.3 / 8.3.2b 1 / Extra-over for intermediate excavation / KS18_017-Concrete Drop Inlet / 1.14728 / m³" u="1"/>
        <s v="SABS1200 DA  \ Earthworks (Small Works) / 8.3\ SCHEDULED ITEMS / 8.3.2b 1 \ Extra-over for intermediate excavation. (Provisional Quantities)/\KS12_009-Concrete Drop Inlet. Refer to drawing H \m³\0.56478 \ 75" u="1"/>
        <s v="SABS1200 DA  / Earthworks (Small Works) / 8.3 / 8.3.2b 1 / Extra-over for intermediate excavation / KS13_012-Concrete Drop Inlet / 1.61785 / m³" u="1"/>
        <s v="SABS1200 DA  \ Earthworks (Small Works) / 8.3\ SCHEDULED ITEMS / 8.3.2b 1 \ Extra-over for intermediate excavation. (Provisional Quantities)/\KS13_004-Concrete Drop Inlet. Refer to drawing J \m³\0.8505 \ 75" u="1"/>
        <s v="SABS1200 DA \EARTHWORKS (SMALL WORKS)/8.3\SCHEDULED ITEMS/8.3.2b 1\Extra-over for intermediate excavation. (Provisional Quantities)/\KS20_009_a-Concrete Buttress Weir. Refer to drawing NBC-GTW-CL-0035 \m³\13.2757199 \ 75" u="1"/>
        <s v="SABS1200 DA \EARTHWORKS (SMALL WORKS)/8.3\SCHEDULED ITEMS/8.3.2b 1\Extra-over for intermediate excavation. (Provisional Quantities)/\KS18_019-Concrete Drop Inlet. Refer to drawing NBC-GTW-CL-0025 \m³\3.611444 \ 75" u="1"/>
        <s v="SABS1200 DA  \ Earthworks (Small Works) / 8.3\ SCHEDULED ITEMS / 8.3.2b 1 \ Extra-over for intermediate excavation. (Provisional Quantities)/\KS20_005-Concrete Drop Inlet. Refer to drawing AE \m³\6.9658655 \ 75" u="1"/>
        <s v="SABS1200 DA \EARTHWORKS (SMALL WORKS)/8.3\SCHEDULED ITEMS/8.3.2b 1\Extra-over for intermediate excavation. (Provisional Quantities)/\KS20_003-Concrete Buttress Weir. Refer to drawing NBC-GTW-CL-0029 \m³\8.29571958 \ 75" u="1"/>
        <s v="SABS1200 DA  \ Earthworks (Small Works) / 8.3\ SCHEDULED ITEMS / 8.3.2b 1 \ Extra-over for intermediate excavation. (Provisional Quantities)/\KS20_004-Concrete Drop Inlet \m³\1.125647 \ 75" u="1"/>
        <s v="SABS1200 DA \EARTHWORKS (SMALL WORKS)/8.3\SCHEDULED ITEMS/8.3.2b 1\Extra-over for intermediate excavation. (Provisional Quantities)/\KS18_001-Concrete Drop Inlet. Refer to drawing NBC-GTW-CL-0019 \m³\6.1486052 \ 75" u="1"/>
        <s v="SABS1200 DA \EARTHWORKS (SMALL WORKS)/8.3\SCHEDULED ITEMS/8.3.2b 1\Extra-over for intermediate excavation. (Provisional Quantities)/\KS20_003-Concrete Buttress Weir. Drawing NBC-GTW-CL-0029 \m³\8.29571958 \ 75" u="1"/>
        <s v="SABS1200 DA \EARTHWORKS (SMALL WORKS)/8.3\SCHEDULED ITEMS/8.3.2b 1\Extra-over for intermediate excavation. (Provisional Quantities)/\KS20_006-Concrete Drop Inlet. Refer to drawing NBC-GTW-CL-0032 \m³\7.1558085 \ 75" u="1"/>
        <s v="SABS1200 DA  \ Earthworks (Small Works) / 8.3\ SCHEDULED ITEMS / 8.3.2b 1 \ Extra-over for intermediate excavation. (Provisional Quantities)/\KS20_006-Concrete Drop Inlet. Refer to drawing AF \m³\1.8831075 \ 75" u="1"/>
        <s v="SABS1200 DA \EARTHWORKS (SMALL WORKS)/8.3\SCHEDULED ITEMS/8.3.2b 1\Extra-over for intermediate excavation. (Provisional Quantities)/\KS20_002-Concrete Drop Inlet. Drawing NBC-GTW-CL-0028 \m³\1.580255 \ 75" u="1"/>
        <s v="SABS1200 DA  \ Earthworks (Small Works) / 8.3\ SCHEDULED ITEMS / 8.3.2b 1 \ Extra-over for intermediate excavation. (Provisional Quantities)/\KS18_015-Concrete Drop Inlet \m³\1.50426 \ 75" u="1"/>
        <s v="SABS1200 DA  \ Earthworks (Small Works) / 8.3\ SCHEDULED ITEMS / 8.3.2b 1 \ Extra-over for intermediate excavation. (Provisional Quantities)/\KS18_017-Concrete Drop Inlet. Refer to drawing W \m³\4.359664 \ 75" u="1"/>
        <s v="SABS1200 DA \EARTHWORKS (SMALL WORKS)/8.3\SCHEDULED ITEMS/8.3.2b 1\Extra-over for intermediate excavation. (Provisional Quantities)/\KS18_002-Concrete Drop Inlet. Drawing NBC-GTW-CL-0020 \m³\3.2274065 \ 75" u="1"/>
        <s v="SABS1200 DA \EARTHWORKS (SMALL WORKS)/8.3\SCHEDULED ITEMS/8.3.2b 1\Extra-over for intermediate excavation. (Provisional Quantities)/\KS20_002-Concrete Drop Inlet. Refer to drawing NBC-GTW-CL-0028 \m³\7.075144 \ 75" u="1"/>
        <s v="SABS1200 DA \EARTHWORKS (SMALL WORKS)/8.3\SCHEDULED ITEMS/8.3.2b 1\Extra-over for intermediate excavation. (Provisional Quantities)/\KS20_001-Concrete Drop Inlet. Drawing NBC-GTW-CL-0027 \m³\5.193327 \ 75" u="1"/>
        <s v="SABS1200 DA \EARTHWORKS (SMALL WORKS)/8.3\SCHEDULED ITEMS/8.3.2b 1\Extra-over for intermediate excavation. (Provisional Quantities)/\KS13_013-Concrete Drop Inlet. Refer to drawing NBC-GTW-CL-0017 \m³\3.78822 \ 75" u="1"/>
        <s v="SABS1200 DA  \ Earthworks (Small Works) / 8.3\ SCHEDULED ITEMS / 8.3.2b 1 \ Extra-over for intermediate excavation. (Provisional Quantities)/\KS12_007-Concrete Drop Inlet \m³\1.2450875 \ 75" u="1"/>
        <s v="SABS1200 DA  \ Earthworks (Small Works) / 8.3\ SCHEDULED ITEMS / 8.3.2b 1 \ Extra-over for intermediate excavation. (Provisional Quantities)/\KS18_016-Concrete Drop Inlet \m³\1.22132 \ 75" u="1"/>
        <s v="SABS1200 DA  / Earthworks (Small Works) / 8.3 / 8.3.2b 1 / Extra-over for intermediate excavation / KS20_006-Concrete Drop Inlet / 1.8831075 / m³" u="1"/>
        <s v="SABS1200 DA  \ Earthworks (Small Works) / 8.3\ SCHEDULED ITEMS / 8.3.2b 1 \ Extra-over for intermediate excavation. (Provisional Quantities)/\KS18_002-Concrete Drop Inlet. Refer to drawing T \m³\0.8493175 \ 75" u="1"/>
        <s v="SABS1200 DA \EARTHWORKS (SMALL WORKS)/8.3\SCHEDULED ITEMS/8.3.2b 1\Extra-over for intermediate excavation. (Provisional Quantities)/\KS20_008-Concrete Drop Inlet. Refer to drawing NBC-GTW-CL-0034 \m³\5.433924 \ 75" u="1"/>
        <s v="SABS1200 DA  / Earthworks (Small Works) / 8.3 / 8.3.2b 1 / Extra-over for intermediate excavation / KS13_005-Concrete Drop Inlet / 1.07583 / m³" u="1"/>
        <s v="SABS1200 DA  / Earthworks (Small Works) / 8.3 / 8.3.2b 1 / Extra-over for intermediate excavation / KS13_006-Concrete Drop Inlet / 1.07583 / m³" u="1"/>
        <s v="SABS1200 DA  / Earthworks (Small Works) / 8.3 / 8.3.2b 1 / Extra-over for intermediate excavation / KS19_002-Concrete Drop Inlet / 1.020001 / m³" u="1"/>
        <s v="SABS1200 DA \EARTHWORKS (SMALL WORKS)/8.3\SCHEDULED ITEMS/8.3.2b 1\Extra-over for intermediate excavation. (Provisional Quantities)/\KS13_005-Concrete Drop Inlet. Refer to drawing NBC-GTW-CL-0011 \m³\4.088154 \ 75" u="1"/>
        <s v="SABS1200 DA \EARTHWORKS (SMALL WORKS)/8.3\SCHEDULED ITEMS/8.3.2b 1\Extra-over for intermediate excavation. (Provisional Quantities)/\KS13_006-Concrete Drop Inlet. Refer to drawing NBC-GTW-CL-0012 \m³\4.088154 \ 75" u="1"/>
        <s v="SABS1200 DA \EARTHWORKS (SMALL WORKS)/8.3\SCHEDULED ITEMS/8.3.2b 1\Extra-over for intermediate excavation. (Provisional Quantities)/\KS18_018-Concrete Drop Inlet. Refer to drawing NBC-GTW-CL-0024 \m³\5.232581 \ 75" u="1"/>
        <s v="SABS1200 DA  / Earthworks (Small Works) / 8.3 / 8.3.2b 1 / Extra-over for intermediate excavation / KS20_003-Concrete Buttress Weir / 2.1830841 / m³" u="1"/>
        <s v="SABS1200 DA  \ Earthworks (Small Works) / 8.3\ SCHEDULED ITEMS / 8.3.2b 1 \ Extra-over for intermediate excavation. (Provisional Quantities)/\KS18_017-Concrete Drop Inlet. Refer to drawing W \m³\1.14728 \ 75" u="1"/>
        <s v="SABS1200 DA  / Earthworks (Small Works) / 8.3 / 8.3.2b 1 / Extra-over for intermediate excavation / KS13_015-Concrete Drop Inlet / 1.20787 / m³" u="1"/>
        <s v="SABS1200 DA \EARTHWORKS (SMALL WORKS)/8.3\SCHEDULED ITEMS/8.3.2b 1\Extra-over for intermediate excavation. (Provisional Quantities)/\KS20_004-Concrete Drop Inlet. Drawing NBC-GTW-CL-0030 \m³\4.2774586 \ 75" u="1"/>
        <s v="SABS1200 DA  \ Earthworks (Small Works) / 8.3\ SCHEDULED ITEMS / 8.3.2b 1 \ Extra-over for intermediate excavation. (Provisional Quantities)/\KS18_002-Concrete Drop Inlet \m³\0.8493175 \ 75" u="1"/>
        <s v="SABS1200 DA  \ Earthworks (Small Works) / 8.3\ SCHEDULED ITEMS / 8.3.2b 1 \ Extra-over for intermediate excavation. (Provisional Quantities)/\KS12_009-Concrete Drop Inlet \m³\0.56478 \ 75" u="1"/>
        <s v="SABS1200 DA \EARTHWORKS (SMALL WORKS)/8.3\SCHEDULED ITEMS/8.3.2b 1\Extra-over for intermediate excavation. (Provisional Quantities)/\KS20_002-Concrete Drop Inlet. Refer to drawing NBC-GTW-CL-0028 \m³\1.580255 \ 75" u="1"/>
        <s v="SABS1200 DA \EARTHWORKS (SMALL WORKS)/8.3\SCHEDULED ITEMS/8.3.2b 1\Extra-over for intermediate excavation. (Provisional Quantities)/\KS12_007-Concrete Drop Inlet. Drawing NBC-GTW-CL-0006 \m³\4.7313325 \ 75" u="1"/>
        <s v="SABS1200 DA  \ Earthworks (Small Works) / 8.3\ SCHEDULED ITEMS / 8.3.2b 1 \ Extra-over for intermediate excavation. (Provisional Quantities)/\KS13_007-Concrete Drop Inlet. Refer to drawing M \m³\3.599056 \ 75" u="1"/>
        <s v="SABS1200 DA  \ Earthworks (Small Works) / 8.3\ SCHEDULED ITEMS / 8.3.2b 1 \ Extra-over for intermediate excavation. (Provisional Quantities)/\KS18_001-Concrete Drop Inlet. Refer to drawing S \m³\6.1486052 \ 75" u="1"/>
        <s v="SABS1200 DA \EARTHWORKS (SMALL WORKS)/8.3\SCHEDULED ITEMS/8.3.2b 1\Extra-over for intermediate excavation. (Provisional Quantities)/\KS12_006-Concrete Drop Inlet. Drawing NBC-GTW-CL-0005 \m³\3.1948975 \ 75" u="1"/>
        <s v="SABS1200 DA \EARTHWORKS (SMALL WORKS)/8.3\SCHEDULED ITEMS/8.3.2b 1\Extra-over for intermediate excavation. (Provisional Quantities)/\KS20_005-Concrete Drop Inlet. Drawing NBC-GTW-CL-0031 \m³\6.9658655 \ 75" u="1"/>
        <s v="SABS1200 DA  \ Earthworks (Small Works) / 8.3\ SCHEDULED ITEMS / 8.3.2b 1 \ Extra-over for intermediate excavation. (Provisional Quantities)/\KS21_007-Concrete Drop Inlet \m³\0.81971 \ 75" u="1"/>
        <s v="SABS1200 DA  \ Earthworks (Small Works) / 8.3\ SCHEDULED ITEMS / 8.3.2b 1 \ Extra-over for intermediate excavation. (Provisional Quantities)/\KS12_008-Concrete Drop Inlet. Refer to drawing G \m³\0.874055 \ 75" u="1"/>
        <s v="SABS1200 DA \EARTHWORKS (SMALL WORKS)/8.3\SCHEDULED ITEMS/8.3.2b 1\Extra-over for intermediate excavation. (Provisional Quantities)/\KS18_015-Concrete Drop Inlet. Drawing NBC-GTW-CL-0021 \m³\5.716188 \ 75" u="1"/>
        <s v="SABS1200 DA \EARTHWORKS (SMALL WORKS)/8.3\SCHEDULED ITEMS/8.3.2b 1\Extra-over for intermediate excavation. (Provisional Quantities)/\KS21_003-Concrete Drop Inlet. Refer to drawing NBC-GTW-CL-0039 \m³\2.578775 \ 75" u="1"/>
        <s v="SABS1200 DA \EARTHWORKS (SMALL WORKS)/8.3\SCHEDULED ITEMS/8.3.2b 1\Extra-over for intermediate excavation. (Provisional Quantities)/\KS20_008-Concrete Drop Inlet. Drawing NBC-GTW-CL-0034 \m³\5.433924 \ 75" u="1"/>
        <s v="SABS1200 DA  \ Earthworks (Small Works) / 8.3\ SCHEDULED ITEMS / 8.3.2b 1 \ Extra-over for intermediate excavation. (Provisional Quantities)/\KS18_016-Concrete Drop Inlet. Refer to drawing V \m³\4.641016 \ 75" u="1"/>
        <s v="SABS1200 DA  \ Earthworks (Small Works) / 8.3\ SCHEDULED ITEMS / 8.3.2b 1 \ Extra-over for intermediate excavation. (Provisional Quantities)/\KS20_009_a-Concrete Drop Inlet. Refer to drawing AI \m³\3.4936105 \ 75" u="1"/>
        <s v="SABS1200 DA \EARTHWORKS (SMALL WORKS)/8.3\SCHEDULED ITEMS/8.3.2b 1\Extra-over for intermediate excavation. (Provisional Quantities)/\KS21_007-Concrete Drop Inlet. Drawing NBC-GTW-CL-0042 \m³\3.114898 \ 75" u="1"/>
        <s v="SABS1200 DA  \ Earthworks (Small Works) / 8.3\ SCHEDULED ITEMS / 8.3.2b 1 \ Extra-over for intermediate excavation. (Provisional Quantities)/\KS21_009-Concrete Drop Inlet \m³\1.0578575 \ 75" u="1"/>
        <s v="SABS1200 DA  \ Earthworks (Small Works) / 8.3\ SCHEDULED ITEMS / 8.3.2b 1 \ Extra-over for intermediate excavation. (Provisional Quantities)/\KS20_008-Concrete Drop Inlet. Refer to drawing AH \m³\1.42998 \ 75" u="1"/>
        <s v="SABS1200 DA  \ Earthworks (Small Works) / 8.3\ SCHEDULED ITEMS / 8.3.2b 1 \ Extra-over for intermediate excavation. (Provisional Quantities)/\KS13_011-Concrete Drop Inlet. Refer to drawing O \m³\1.08396 \ 75" u="1"/>
        <s v="SABS1200 DA  / Earthworks (Small Works) / 8.3 / 8.3.2b 1 / Extra-over for intermediate excavation / KS13_003-Concrete Drop Inlet / 1.15875 / m³" u="1"/>
        <s v="SABS1200 DA \EARTHWORKS (SMALL WORKS)/8.3\SCHEDULED ITEMS/8.3.2b 1\Extra-over for intermediate excavation. (Provisional Quantities)/\KS13_003-Concrete Drop Inlet. Drawing NBC-GTW-CL-0009 \m³\4.40325 \ 75" u="1"/>
        <s v="SABS1200 DA \EARTHWORKS (SMALL WORKS)/8.3\SCHEDULED ITEMS/8.3.2b 1\Extra-over for intermediate excavation. (Provisional Quantities)/\KS20_004-Concrete Drop Inlet. Refer to drawing NBC-GTW-CL-0030 \m³\4.2774586 \ 75" u="1"/>
        <s v="SABS1200 DA  \ Earthworks (Small Works) / 8.3\ SCHEDULED ITEMS / 8.3.2b 1 \ Extra-over for intermediate excavation. (Provisional Quantities)/\KS21_007-Concrete Drop Inlet. Refer to drawing AP \m³\3.114898 \ 75" u="1"/>
        <s v="SABS1200 DA  \ Earthworks (Small Works) / 8.3\ SCHEDULED ITEMS / 8.3.2b 1 \ Extra-over for intermediate excavation. (Provisional Quantities)/\KS12_005-Concrete Drop Inlet \m³\0.9586479 \ 75" u="1"/>
        <s v="SABS1200 DA  \ Earthworks (Small Works) / 8.3\ SCHEDULED ITEMS / 8.3.2b 1 \ Extra-over for intermediate excavation. (Provisional Quantities)/\KS13_012-Concrete Drop Inlet. Refer to drawing P \m³\1.61785 \ 75" u="1"/>
        <s v="SABS1200 DA \EARTHWORKS (SMALL WORKS)/8.3\SCHEDULED ITEMS/8.3.2b 1\Extra-over for intermediate excavation. (Provisional Quantities)/\KS13_003-Concrete Drop Inlet. Refer to drawing NBC-GTW-CL-0009 \m³\4.40325 \ 75" u="1"/>
        <s v="SABS1200 DA  \ Earthworks (Small Works) / 8.3\ SCHEDULED ITEMS / 8.3.2b 1 \ Extra-over for intermediate excavation. (Provisional Quantities)/\KS20_001-Concrete Drop Inlet. Refer to drawing AA \m³\5.193327 \ 75" u="1"/>
        <s v="SABS1200 DA \EARTHWORKS (SMALL WORKS)/8.3\SCHEDULED ITEMS/8.3.2b 1\Extra-over for intermediate excavation. (Provisional Quantities)/\KS21_007-Concrete Drop Inlet. Refer to drawing NBC-GTW-CL-0042 \m³\3.114898 \ 75" u="1"/>
        <s v="SABS1200 DA \EARTHWORKS (SMALL WORKS)/8.3\SCHEDULED ITEMS/8.3.2b 1\Extra-over for intermediate excavation. (Provisional Quantities)/\KS21_005-Concrete Drop Inlet. Refer to drawing NBC-GTW-CL-0040 \m³\3.57722215 \ 75" u="1"/>
        <s v="SABS1200 DA \EARTHWORKS (SMALL WORKS)/8.3\SCHEDULED ITEMS/8.3.2b 1\Extra-over for intermediate excavation. (Provisional Quantities)/\KS20_007-Concrete Drop Inlet. Refer to drawing NBC-GTW-CL-0033 \m³\5.6185603 \ 75" u="1"/>
        <s v="SABS1200 DA \EARTHWORKS (SMALL WORKS)/8.3\SCHEDULED ITEMS/8.3.2b 1\Extra-over for intermediate excavation. (Provisional Quantities)/\KS19_002-Concrete Drop Inlet. Drawing NBC-GTW-CL-0026 \m³\3.8760038 \ 75" u="1"/>
        <s v="SABS1200 DA \EARTHWORKS (SMALL WORKS)/8.3\SCHEDULED ITEMS/8.3.2b 1\Extra-over for intermediate excavation. (Provisional Quantities)/\ks11-002a-Concrete Drop Inlet on Dam Wall  \m³\39.47652 \ 75" u="1"/>
        <s v="SABS1200 DA \EARTHWORKS (SMALL WORKS)/8.3\SCHEDULED ITEMS/8.3.2b 1\Extra-over for intermediate excavation. (Provisional Quantities)/\KS21_005-Concrete Drop Inlet. Drawing NBC-GTW-CL-0040 \m³\3.57722215 \ 125" u="1"/>
        <s v="SABS1200 DA  \ Earthworks (Small Works) / 8.3\ SCHEDULED ITEMS / 8.3.2b 1 \ Extra-over for intermediate excavation. (Provisional Quantities)/\KS18_019-Concrete Drop Inlet \m³\0.95038 \ 75" u="1"/>
        <s v="SABS1200 DA  \ Earthworks (Small Works) / 8.3\ SCHEDULED ITEMS / 8.3.2b 1 \ Extra-over for intermediate excavation. (Provisional Quantities)/\KS12_008-Concrete Drop Inlet \m³\0.874055 \ 75" u="1"/>
        <s v="SABS1200 DA  / Earthworks (Small Works) / 8.3 / 8.3.2b 1 / Extra-over for intermediate excavation / KS18_020-Rehab road culvert / 1.000635 / m³" u="1"/>
        <s v="SABS1200 DA  \ Earthworks (Small Works) / 8.3\ SCHEDULED ITEMS / 8.3.2b 1 \ Extra-over for intermediate excavation. (Provisional Quantities)/\KS20_004-Concrete Drop Inlet. Refer to drawing AD \m³\1.125647 \ 75" u="1"/>
        <s v="SABS1200 DA \EARTHWORKS (SMALL WORKS)/8.3\SCHEDULED ITEMS/8.3.2b 1\Extra-over for intermediate excavation. (Provisional Quantities)/\KS19_002-Concrete Drop Inlet. Refer to drawing NBC-GTW-CL-0026 \m³\3.8760038 \ 75" u="1"/>
        <s v="SABS1200 DA \EARTHWORKS (SMALL WORKS)/8.3\SCHEDULED ITEMS/8.3.2b 1\Extra-over for intermediate excavation. (Provisional Quantities)/\KS13_007-Concrete Drop Inlet. Drawing NBC-GTW-CL-0013 \m³\3.599056 \ 75" u="1"/>
        <s v="SABS1200 DA \EARTHWORKS (SMALL WORKS)/8.3\SCHEDULED ITEMS/8.3.2b 1\Extra-over for intermediate excavation. (Provisional Quantities)/\KS12_005-Concrete Drop Inlet. Drawing NBC-GTW-CL-0004 \m³\3.64286202 \ 75" u="1"/>
        <s v="SABS1200 DA \EARTHWORKS (SMALL WORKS)/8.3\SCHEDULED ITEMS/8.3.2b 1\Extra-over for intermediate excavation. (Provisional Quantities)/\KS20_009_a-Concrete Buttress Weir. Drawing NBC-GTW-CL-0035 \m³\13.2757199 \ 75" u="1"/>
        <s v="SABS1200 DA  \ Earthworks (Small Works) / 8.3\ SCHEDULED ITEMS / 8.3.2b 1 \ Extra-over for intermediate excavation. (Provisional Quantities)/\KS19_002-Concrete Drop Inlet. Refer to drawing Z \m³\1.020001 \ 75" u="1"/>
        <s v="SABS1200 DA  \ Earthworks (Small Works) / 8.3\ SCHEDULED ITEMS / 8.3.2b 1 \ Extra-over for intermediate excavation. (Provisional Quantities)/\KS20_006-Concrete Drop Inlet \m³\1.8831075 \ 75" u="1"/>
        <s v="SABS1200 DA \EARTHWORKS (SMALL WORKS)/8.3\SCHEDULED ITEMS/8.3.2b 1\Extra-over for intermediate excavation. (Provisional Quantities)/\KS12_008-Concrete Drop Inlet. Refer to drawing NBC-GTW-CL-0007 \m³\3.321409 \ 75" u="1"/>
        <s v="SABS1200 DA \EARTHWORKS (SMALL WORKS)/8.3\SCHEDULED ITEMS/8.3.2b 1\Extra-over for intermediate excavation. (Provisional Quantities)/\KS18_016-Concrete Drop Inlet. Drawing NBC-GTW-CL-0022 \m³\4.641016 \ 75" u="1"/>
        <s v="SABS1200 DA  \ Earthworks (Small Works) / 8.3\ SCHEDULED ITEMS / 8.3.2b 1 \ Extra-over for intermediate excavation. (Provisional Quantities)/\KS21_003-Concrete Drop Inlet. Refer to drawing AM \m³\2.578775 \ 75" u="1"/>
        <s v="SABS1200 DA  / Earthworks (Small Works) / 8.3 / 8.3.2b 1 / Extra-over for intermediate excavation / KS20_004-Concrete Drop Inlet / 1.125647 / m³" u="1"/>
        <s v="SABS1200 DA  \ Earthworks (Small Works) / 8.3\ SCHEDULED ITEMS / 8.3.2b 1 \ Extra-over for intermediate excavation. (Provisional Quantities)/\KS13_013-Concrete Drop Inlet. Refer to drawing Q \m³\3.78822 \ 75" u="1"/>
        <s v="SABS1200 DA  \ Earthworks (Small Works) / 8.3\ SCHEDULED ITEMS / 8.3.2b 1 \ Extra-over for intermediate excavation. (Provisional Quantities)/\KS18_019-Concrete Drop Inlet. Refer to drawing Y \m³\0.95038 \ 75" u="1"/>
        <s v="SABS1200 DA  \ Earthworks (Small Works) / 8.3\ SCHEDULED ITEMS / 8.3.2b 1 \ Extra-over for intermediate excavation. (Provisional Quantities)/\KS21_006-Concrete Drop Inlet. Refer to drawing AO \m³\0.84057375 \ 75" u="1"/>
        <s v="SABS1200 DA \EARTHWORKS (SMALL WORKS)/8.3\SCHEDULED ITEMS/8.3.2b 1\Extra-over for intermediate excavation. (Provisional Quantities)/\KS20_006-Concrete Drop Inlet. Refer to drawing NBC-GTW-CL-0032 \m³\1.4631175 \ 75" u="1"/>
        <s v="SABS1200 DA \EARTHWORKS (SMALL WORKS)/8.3\SCHEDULED ITEMS/8.3.2b 1\Extra-over for intermediate excavation. (Provisional Quantities)/\KS20_006-Concrete Drop Inlet. Drawing NBC-GTW-CL-0032 \m³\1.4631175 \ 75" u="1"/>
        <s v="SABS1200 DA \EARTHWORKS (SMALL WORKS)/8.3\SCHEDULED ITEMS/8.3.2b 1\Extra-over for intermediate excavation. (Provisional Quantities)/\KS12_006-Concrete Drop Inlet. Refer to drawing NBC-GTW-CL-0005 \m³\3.1948975 \ 75" u="1"/>
        <s v="SABS1200 DA  \ Earthworks (Small Works) / 8.3\ SCHEDULED ITEMS / 8.3.2b 1 \ Extra-over for intermediate excavation. (Provisional Quantities)/\KS20_007-Concrete Drop Inlet. Refer to drawing AG \m³\1.4785685 \ 75" u="1"/>
        <s v="SABS1200 DA \EARTHWORKS (SMALL WORKS)/8.3\SCHEDULED ITEMS/8.3.2b 1\Extra-over for intermediate excavation. (Provisional Quantities)/\KS21_003-Concrete Drop Inlet. Drawing NBC-GTW-CL-0039 \m³\2.578775 \ 75" u="1"/>
        <s v="SABS1200 DA  \ Earthworks (Small Works) / 8.3\ SCHEDULED ITEMS / 8.3.2b 1 \ Extra-over for intermediate excavation. (Provisional Quantities)/\KS21_005-Concrete Drop Inlet \m³\0.94137425 \ 75" u="1"/>
        <s v="SABS1200 DA  / Earthworks (Small Works) / 8.3 / 8.3.2b 1 / Extra-over for intermediate excavation / KS12_008-Concrete Drop Inlet / 0.874055 / m³" u="1"/>
        <s v="SABS1200 DA  \ Earthworks (Small Works) / 8.3\ SCHEDULED ITEMS / 8.3.2b 1 \ Extra-over for intermediate excavation. (Provisional Quantities)/\KS13_011-Concrete Drop Inlet. Refer to drawing O \m³\4.119048 \ 75" u="1"/>
        <s v="SABS1200 DA \EARTHWORKS (SMALL WORKS)/8.3\SCHEDULED ITEMS/8.3.2b 1\Extra-over for intermediate excavation. (Provisional Quantities)/\KS21_005-Concrete Drop Inlet. Drawing NBC-GTW-CL-0040 \m³\3.57722215 \ 75" u="1"/>
        <s v="SABS1200 DA  \ Earthworks (Small Works) / 8.3\ SCHEDULED ITEMS / 8.3.2b 1 \ Extra-over for intermediate excavation. (Provisional Quantities)/\KS18_017-Concrete Drop Inlet \m³\1.14728 \ 75" u="1"/>
        <s v="SABS1200 DA \EARTHWORKS (SMALL WORKS)/8.3\SCHEDULED ITEMS/8.3.2b 1\Extra-over for intermediate excavation. (Provisional Quantities)/\KS12_004-Concrete Drop Inlet. Drawing NBC-GTW-CL-0003 \m³\3.66111 \ 75" u="1"/>
        <s v="SABS1200 DA  \ Earthworks (Small Works) / 8.3\ SCHEDULED ITEMS / 8.3.2b 1 \ Extra-over for intermediate excavation. (Provisional Quantities)/\KS13_015-Concrete Drop Inlet \m³\1.20787 \ 75" u="1"/>
        <s v="SABS1200 DA  \ Earthworks (Small Works) / 8.3\ SCHEDULED ITEMS / 8.3.2b 1 \ Extra-over for intermediate excavation. (Provisional Quantities)/\KS12_006-Concrete Drop Inlet \m³\0.8407625 \ 75" u="1"/>
        <s v="SABS1200 DA  \ Earthworks (Small Works) / 8.3\ SCHEDULED ITEMS / 8.3.2b 1 \ Extra-over for intermediate excavation. (Provisional Quantities)/\KS12_005-Concrete Drop Inlet. Refer to drawing D \m³\0.9586479 \ 75" u="1"/>
        <s v="SABS1200 DA \EARTHWORKS (SMALL WORKS)/8.3\SCHEDULED ITEMS/8.3.2b 1\Extra-over for intermediate excavation. (Provisional Quantities)/\KS21_009-Concrete Drop Inlet. Drawing NBC-GTW-CL-0043 \m³\4.0198585 \ 125" u="1"/>
        <s v="SABS1200 DA  / Earthworks (Small Works) / 8.3 / 8.3.2b 1 / Extra-over for intermediate excavation / KS20_007-Concrete Drop Inlet / 1.4785685 / m³" u="1"/>
        <s v="SABS1200 DA  \ Earthworks (Small Works) / 8.3\ SCHEDULED ITEMS / 8.3.2b 1 \ Extra-over for intermediate excavation. (Provisional Quantities)/\KS18_019-Concrete Drop Inlet. Refer to drawing Y \m³\3.611444 \ 75" u="1"/>
        <s v="SABS1200 DA  \ Earthworks (Small Works) / 8.3\ SCHEDULED ITEMS / 8.3.2b 1 \ Extra-over for intermediate excavation. (Provisional Quantities)/\KS21_010-Concrete Drop Inlet. Refer to drawing AR \m³\0.99764225 \ 75" u="1"/>
        <s v="SABS1200 DA \EARTHWORKS (SMALL WORKS)/8.3\SCHEDULED ITEMS/8.3.2b 1\Extra-over for intermediate excavation. (Provisional Quantities)/\KS18_019-Concrete Drop Inlet. Drawing NBC-GTW-CL-0025 \m³\3.611444 \ 75" u="1"/>
        <s v="SABS1200 DA \EARTHWORKS (SMALL WORKS)/8.3\SCHEDULED ITEMS/8.3.2b 1\Extra-over for intermediate excavation. (Provisional Quantities)/\KS20_007-Concrete Drop Inlet. Drawing NBC-GTW-CL-0033 \m³\5.6185603 \ 75" u="1"/>
        <s v="SABS1200 DA  \ Earthworks (Small Works) / 8.3\ SCHEDULED ITEMS / 8.3.2b 1 \ Extra-over for intermediate excavation. (Provisional Quantities)/\KS21_009-Concrete Drop Inlet. Refer to drawing AQ \m³\4.0198585 \ 75" u="1"/>
        <s v="SABS1200 DA  \ Earthworks (Small Works) / 8.3\ SCHEDULED ITEMS / 8.3.2b 1 \ Extra-over for intermediate excavation. (Provisional Quantities)/\KS20_003-Concrete Buttress Weir. Refer to drawing AC \m³\2.1830841 \ 75" u="1"/>
        <s v="SABS1200 DA \EARTHWORKS (SMALL WORKS)/8.3\SCHEDULED ITEMS/8.3.2b 1\Extra-over for intermediate excavation. (Provisional Quantities)/\KS21_010-Concrete Drop Inlet. Refer to drawing NBC-GTW-CL-0044 \m³\3.79104055 \ 75" u="1"/>
        <s v="SABS1200 DA  \ Earthworks (Small Works) / 8.3\ SCHEDULED ITEMS / 8.3.2b 1 \ Extra-over for intermediate excavation. (Provisional Quantities)/\KS20_002-Concrete Drop Inlet. Refer to drawing AB \m³\7.075144 \ 75" u="1"/>
        <s v="SABS1200 DA  \ Earthworks (Small Works) / 8.3\ SCHEDULED ITEMS / 8.3.2b 1 \ Extra-over for intermediate excavation. (Provisional Quantities)/\KS13_004-Concrete Drop Inlet. Refer to drawing J \m³\3.2319 \ 75" u="1"/>
        <s v="SABS1200 DA \EARTHWORKS (SMALL WORKS)/8.3\SCHEDULED ITEMS/8.3.2b 1\Extra-over for intermediate excavation. (Provisional Quantities)/\KS12_002-Concrete Drop Inlet. Drawing NBC-GTW-CL-0002 \m³\2 \ 75" u="1"/>
        <s v="SABS1200 DA  \ Earthworks (Small Works) / 8.3\ SCHEDULED ITEMS / 8.3.2b 1 \ Extra-over for intermediate excavation. (Provisional Quantities)/\KS21_005-Concrete Drop Inlet. Refer to drawing AN \m³\3.57722215 \ 75" u="1"/>
        <s v="SABS1200 DA \EARTHWORKS (SMALL WORKS)/8.3\SCHEDULED ITEMS/8.3.2b 1\Extra-over for intermediate excavation. (Provisional Quantities)/\KS20_006-Concrete Drop Inlet. Drawing NBC-GTW-CL-0032 \m³\5.5598465 \ 75" u="1"/>
        <s v="SABS1200 DA  \ Earthworks (Small Works) / 8.3\ SCHEDULED ITEMS / 8.3.2b 1 \ Extra-over for intermediate excavation. (Provisional Quantities)/\KS20_008-Concrete Drop Inlet \m³\1.42998 \ 75" u="1"/>
        <s v="SABS1200 DA  \ Earthworks (Small Works) / 8.3\ SCHEDULED ITEMS / 8.3.2b 1 \ Extra-over for intermediate excavation. (Provisional Quantities)/\KS12_004-Concrete Drop Inlet. Refer to drawing C \m³\0.96345 \ 75" u="1"/>
        <s v="SABS1200 DA  \ Earthworks (Small Works) / 8.3\ SCHEDULED ITEMS / 8.3.2b 1 \ Extra-over for intermediate excavation. (Provisional Quantities)/\KS18_002-Concrete Drop Inlet. Refer to drawing T \m³\3.2274065 \ 75" u="1"/>
        <s v="SABS1200 DA  / Earthworks (Small Works) / 8.3 / 8.3.2b 1 / Extra-over for intermediate excavation / KS18_016-Concrete Drop Inlet / 1.22132 / m³" u="1"/>
        <s v="SABS1200 DA \EARTHWORKS (SMALL WORKS)/8.3\SCHEDULED ITEMS/8.3.2b 1\Extra-over for intermediate excavation. (Provisional Quantities)/\KS13_011-Concrete Drop Inlet. Refer to drawing NBC-GTW-CL-0015 \m³\1 \ 75" u="1"/>
        <s v="SABS1200 DA \EARTHWORKS (SMALL WORKS)/8.3\SCHEDULED ITEMS/8.3.2b 1\Extra-over for intermediate excavation. (Provisional Quantities)/\KS13_008-Concrete Drop Inlet. Drawing NBC-GTW-CL-0014 \m³\4.093968 \ 75" u="1"/>
        <s v="SABS1200 DA  \ Earthworks (Small Works) / 8.3\ SCHEDULED ITEMS / 8.3.2b 1 \ Extra-over for intermediate excavation. (Provisional Quantities)/\KS12_008-Concrete Drop Inlet. Refer to drawing G \m³\3.321409 \ 75" u="1"/>
        <s v="SABS1200 DA  / Earthworks (Small Works) / 8.3 / 8.3.2b 1 / Extra-over for intermediate excavation / KS20_008-Concrete Drop Inlet / 1.42998 / m³" u="1"/>
        <s v="SABS1200 DA \EARTHWORKS (SMALL WORKS)/8.3\SCHEDULED ITEMS/8.3.2b 1\Extra-over for intermediate excavation. (Provisional Quantities)/\KS18_020-Rehab road culvert  \m³\1.000635 \ 75" u="1"/>
        <s v="SABS1200 DA  \ Earthworks (Small Works) / 8.3\ SCHEDULED ITEMS / 8.3.2b 1 \ Extra-over for intermediate excavation. (Provisional Quantities)/\KS19_002-Concrete Drop Inlet \m³\1.020001 \ 75" u="1"/>
        <s v="SABS1200 DA  \ Earthworks (Small Works) / 8.3\ SCHEDULED ITEMS / 8.3.2b 1 \ Extra-over for intermediate excavation. (Provisional Quantities)/\KS21_006-Concrete Drop Inlet \m³\0.84057375 \ 75" u="1"/>
        <s v="SABS1200 DA \EARTHWORKS (SMALL WORKS)/8.3\SCHEDULED ITEMS/8.3.2b 1\Extra-over for intermediate excavation. (Provisional Quantities)/\KS12_002-Concrete Drop Inlet. Refer to drawing NBC-GTW-CL-0002 \m³\2 \ 75" u="1"/>
        <s v="SABS1200 DA \EARTHWORKS (SMALL WORKS)/8.3\SCHEDULED ITEMS/8.3.2b 1\Extra-over for intermediate excavation. (Provisional Quantities)/\KS13_015-Concrete Drop Inlet. Refer to drawing NBC-GTW-CL-0018 \m³\4.589906 \ 75" u="1"/>
        <s v="SABS1200 DA  \ Earthworks (Small Works) / 8.3\ SCHEDULED ITEMS / 8.3.2b 1 \ Extra-over for intermediate excavation. (Provisional Quantities)/\KS18_001-Concrete Drop Inlet \m³\1.618054 \ 75" u="1"/>
        <s v="SABS1200 DA \EARTHWORKS (SMALL WORKS)/8.3\SCHEDULED ITEMS/8.3.2b 1\Extra-over for intermediate excavation. (Provisional Quantities)/\KS18_002-Concrete Drop Inlet. Refer to drawing NBC-GTW-CL-0020 \m³\3.2274065 \ 75" u="1"/>
        <s v="SABS1200 DA  / Earthworks (Small Works) / 8.3 / 8.3.2b 1 / Extra-over for intermediate excavation / KS12_009-Concrete Drop Inlet / 0.56478 / m³" u="1"/>
        <s v="SABS1200 DA  / Earthworks (Small Works) / 8.3 / 8.3.2b 1 / Extra-over for intermediate excavation / KS12_004-Concrete Drop Inlet / 0.96345 / m³" u="1"/>
        <s v="SABS1200 DA  \ Earthworks (Small Works) / 8.3\ SCHEDULED ITEMS / 8.3.2b 1 \ Extra-over for intermediate excavation. (Provisional Quantities)/\KS21_003-Concrete Drop Inlet \m³\0.678625 \ 75" u="1"/>
        <s v="SABS1200 DA  \ Earthworks (Small Works) / 8.3\ SCHEDULED ITEMS / 8.3.2b 1 \ Extra-over for intermediate excavation. (Provisional Quantities)/\KS13_003-Concrete Drop Inlet. Refer to drawing I \m³\4.40325 \ 75" u="1"/>
        <s v="SABS1200 DA \EARTHWORKS (SMALL WORKS)/8.3\SCHEDULED ITEMS/8.3.2b 1\Extra-over for intermediate excavation. (Provisional Quantities)/\KS12_002-Concrete Drop Inlet. Drawing NBC-GTW-CL-0002 \m³\3.7 \ 75" u="1"/>
        <s v="SABS1200 DA  \ Earthworks (Small Works) / 8.3\ SCHEDULED ITEMS / 8.3.2b 1 \ Extra-over for intermediate excavation. (Provisional Quantities)/\KS13_003-Concrete Drop Inlet. Refer to drawing I \m³\1.15875 \ 75" u="1"/>
        <s v="SABS1200 DA  \ Earthworks (Small Works) / 8.3\ SCHEDULED ITEMS / 8.3.2b 1 \ Extra-over for intermediate excavation. (Provisional Quantities)/\KS13_008-Concrete Drop Inlet. Refer to drawing N \m³\4.093968 \ 75" u="1"/>
        <s v="SABS1200 DA \EARTHWORKS (SMALL WORKS)/8.3\SCHEDULED ITEMS/8.3.2b 1\Extra-over for intermediate excavation. (Provisional Quantities)/\KS20_005-Concrete Drop Inlet. Refer to drawing NBC-GTW-CL-0031 \m³\6.9658655 \ 75" u="1"/>
        <s v="SABS1200 DA  / Earthworks (Small Works) / 8.3 / 8.3.2b 1 / Extra-over for intermediate excavation / KS12_006-Concrete Drop Inlet / 0.8407625 / m³" u="1"/>
        <s v="SABS1200 DA \EARTHWORKS (SMALL WORKS)/8.3\SCHEDULED ITEMS/8.3.2b 1\Extra-over for intermediate excavation. (Provisional Quantities)/\KS18_018-Concrete Drop Inlet. Drawing NBC-GTW-CL-0024 \m³\5.232581 \ 75" u="1"/>
        <s v="SABS1200 DA  / Earthworks (Small Works) / 8.3 / 8.3.2b 1 / Extra-over for intermediate excavation / KS20_005-Concrete Drop Inlet / 1.8331225 / m³" u="1"/>
        <s v="SABS1200 DA  / Earthworks (Small Works) / 8.3 / 8.3.2b 1 / Extra-over for intermediate excavation / KS13_011-Concrete Drop Inlet / 1.08396 / m³" u="1"/>
        <s v="SABS1200 DA \EARTHWORKS (SMALL WORKS)/8.3\SCHEDULED ITEMS/8.3.2b 1\Extra-over for intermediate excavation. (Provisional Quantities)/\KS12_009-Concrete Drop Inlet. Drawing NBC-GTW-CL-0008 \m³\2.146164 \ 75" u="1"/>
        <s v="SABS1200 DA  / Earthworks (Small Works) / 8.3 / 8.3.2b 1 / Extra-over for intermediate excavation / KS18_015-Concrete Drop Inlet / 1.50426 / m³" u="1"/>
        <s v="SABS1200 DA  / Earthworks (Small Works) / 8.3 / 8.3.2b 1 / Extra-over for intermediate excavation / KS21_005-Concrete Drop Inlet / 0.94137425 / m³" u="1"/>
        <s v="SABS1200 DA  \ Earthworks (Small Works) / 8.3\ SCHEDULED ITEMS / 8.3.2b 1 \ Extra-over for intermediate excavation. (Provisional Quantities)/\KS20_002-Concrete Drop Inlet \m³\1.86188 \ 75" u="1"/>
        <s v="SABS1200 DA \EARTHWORKS (SMALL WORKS)/8.3\SCHEDULED ITEMS/8.3.2b 1\Extra-over for intermediate excavation. (Provisional Quantities)/\KS20_009_a-Concrete Drop Inlet. Refer to drawing NBC-GTW-CL-0035 \m³\13.2757199 \ 75" u="1"/>
        <s v="SABS1200 DA  \ Earthworks (Small Works) / 8.3\ SCHEDULED ITEMS / 8.3.2b 1 \ Extra-over for intermediate excavation. (Provisional Quantities)/\KS13_011-Concrete Drop Inlet \m³\1.08396 \ 75" u="1"/>
        <s v="SABS1200 DA \EARTHWORKS (SMALL WORKS)/8.3\SCHEDULED ITEMS/8.3.2b 1\Extra-over for intermediate excavation. (Provisional Quantities)/\KS13_011-Concrete Drop Inlet. Drawing NBC-GTW-CL-0015 \m³\1 \ 75" u="1"/>
        <s v="SABS1200 DA \EARTHWORKS (SMALL WORKS)/8.3\SCHEDULED ITEMS/8.3.2b 1\Extra-over for intermediate excavation. (Provisional Quantities)/\KS18_020-Concrete Drop Inlet associated with Road Culvert  \m³\1.000635 \ 75" u="1"/>
        <s v="SABS1200 DA  \ Earthworks (Small Works) / 8.3\ SCHEDULED ITEMS / 8.3.2b 1 \ Extra-over for intermediate excavation. (Provisional Quantities)/\KS18_015-Concrete Drop Inlet. Refer to drawing U \m³\1.50426 \ 75" u="1"/>
        <s v="SABS1200 DA  / Earthworks (Small Works) / 8.3 / 8.3.2b 1 / Extra-over for intermediate excavation / KS13_013-Concrete Drop Inlet / 0.9969 / m³" u="1"/>
        <s v="SABS1200 DA  \ Earthworks (Small Works) / 8.3\ SCHEDULED ITEMS / 8.3.2b 1 \ Extra-over for intermediate excavation. (Provisional Quantities)/\KS20_006-Concrete Drop Inlet. Refer to drawing AF \m³\7.1558085 \ 75" u="1"/>
        <s v="SABS1200 DA \EARTHWORKS (SMALL WORKS)/8.3\SCHEDULED ITEMS/8.3.2b 1\Extra-over for intermediate excavation. (Provisional Quantities)/\KS13_013-Concrete Drop Inlet. Drawing NBC-GTW-CL-0017 \m³\3.78822 \ 75" u="1"/>
        <s v="SABS1200 DA  \ Earthworks (Small Works) / 8.3\ SCHEDULED ITEMS / 8.3.2b 1 \ Extra-over for intermediate excavation. (Provisional Quantities)/\KS20_001-Concrete Drop Inlet. Refer to drawing AA \m³\1.366665 \ 75" u="1"/>
        <s v="SABS1200 DA \EARTHWORKS (SMALL WORKS)/8.3\SCHEDULED ITEMS/8.3.2b 1\Extra-over for intermediate excavation. (Provisional Quantities)/\KS12_005-Concrete Drop Inlet. Refer to drawing NBC-GTW-CL-0004 \m³\3.64286202 \ 75" u="1"/>
        <s v="SABS1200 DA  \ Earthworks (Small Works) / 8.3\ SCHEDULED ITEMS / 8.3.2b 1 \ Extra-over for intermediate excavation. (Provisional Quantities)/\KS13_015-Concrete Drop Inlet. Refer to drawing R \m³\1.20787 \ 75" u="1"/>
        <s v="SABS1200 DA \EARTHWORKS (SMALL WORKS)/8.3\SCHEDULED ITEMS/8.3.2b 1\Extra-over for intermediate excavation. (Provisional Quantities)/\KS13_005-Concrete Drop Inlet. Drawing NBC-GTW-CL-0011 \m³\4.088154 \ 75" u="1"/>
        <s v="SABS1200 DA \EARTHWORKS (SMALL WORKS)/8.3\SCHEDULED ITEMS/8.3.2b 1\Extra-over for intermediate excavation. (Provisional Quantities)/\KS13_006-Concrete Drop Inlet. Drawing NBC-GTW-CL-0012 \m³\4.088154 \ 75" u="1"/>
        <s v="SABS1200 DA  \ Earthworks (Small Works) / 8.3\ SCHEDULED ITEMS / 8.3.2b 1 \ Extra-over for intermediate excavation. (Provisional Quantities)/\KS21_009-Concrete Drop Inlet. Refer to drawing AQ \m³\1.0578575 \ 75" u="1"/>
        <s v="SABS1200 DA \EARTHWORKS (SMALL WORKS)/8.3\SCHEDULED ITEMS/8.3.2b 1\Extra-over for intermediate excavation. (Provisional Quantities)/\KS21_009-Concrete Drop Inlet. Refer to drawing NBC-GTW-CL-0043 \m³\4.0198585 \ 75" u="1"/>
        <s v="SABS1200 DA  \ Earthworks (Small Works) / 8.3\ SCHEDULED ITEMS / 8.3.2b 1 \ Extra-over for intermediate excavation. (Provisional Quantities)/\KS13_003-Concrete Drop Inlet \m³\1.15875 \ 75" u="1"/>
        <s v="SABS1200 DA  \ Earthworks (Small Works) / 8.3\ SCHEDULED ITEMS / 8.3.2b 1 \ Extra-over for intermediate excavation. (Provisional Quantities)/\KS12_007-Concrete Drop Inlet. Refer to drawing F \m³\4.7313325 \ 75" u="1"/>
        <s v="SABS1200 DA  \ Earthworks (Small Works) / 8.3\ SCHEDULED ITEMS / 8.3.2b 1 \ Extra-over for intermediate excavation. (Provisional Quantities)/\KS20_001-Concrete Drop Inlet \m³\1.366665 \ 75" u="1"/>
        <s v="SABS1200 DA  \ Earthworks (Small Works) / 8.3\ SCHEDULED ITEMS / 8.3.2b 1 \ Extra-over for intermediate excavation. (Provisional Quantities)/\KS12_005-Concrete Drop Inlet. Refer to drawing D \m³\3.64286202 \ 75" u="1"/>
        <s v="SABS1200 DA \EARTHWORKS (SMALL WORKS)/8.3\SCHEDULED ITEMS/8.3.2b 1\Extra-over for intermediate excavation. (Provisional Quantities)/\ks11-004a-Concrete Drop Inlet on Dam Wall  \m³\26.46966 \ 75" u="1"/>
        <s v="SABS1200 DA  \ Earthworks (Small Works) / 8.3\ SCHEDULED ITEMS / 8.3.2b 1 \ Extra-over for intermediate excavation. (Provisional Quantities)/\KS18_016-Concrete Drop Inlet. Refer to drawing V \m³\1.22132 \ 75" u="1"/>
        <s v="SABS1200 DA \EARTHWORKS (SMALL WORKS)/8.3\SCHEDULED ITEMS/8.3.2b 1\Extra-over for intermediate excavation. (Provisional Quantities)/\KS13_015-Concrete Drop Inlet. Drawing NBC-GTW-CL-0018 \m³\4.589906 \ 75" u="1"/>
        <s v="SABS1200 DA  \ Earthworks (Small Works) / 8.3\ SCHEDULED ITEMS / 8.3.2b 1 \ Extra-over for intermediate excavation. (Provisional Quantities)/\KS21_006-Concrete Drop Inlet. Refer to drawing AO \m³\3.19418025 \ 75" u="1"/>
        <s v="SABS1200 DA  / Earthworks (Small Works) / 8.3 / 8.3.2b 1 / Extra-over for intermediate excavation / KS20_002-Concrete Drop Inlet / 1.86188 / m³" u="1"/>
        <s v="SABS1200 DA \EARTHWORKS (SMALL WORKS)/8.3\SCHEDULED ITEMS/8.3.2b 1\Extra-over for intermediate excavation. (Provisional Quantities)/\KS13_004-Concrete Drop Inlet. Drawing NBC-GTW-CL-0010 \m³\3.2319 \ 75" u="1"/>
        <s v="SABS1200 DA  \ Earthworks (Small Works) / 8.3\ SCHEDULED ITEMS / 8.3.2b 1 \ Extra-over for intermediate excavation. (Provisional Quantities)/\KS12_006-Concrete Drop Inlet. Refer to drawing E \m³\3.1948975 \ 75" u="1"/>
        <s v="SABS1200 DA  \ Earthworks (Small Works) / 8.3\ SCHEDULED ITEMS / 8.3.2b 1 \ Extra-over for intermediate excavation. (Provisional Quantities)/\KS13_012-Concrete Drop Inlet \m³\1.61785 \ 75" u="1"/>
      </sharedItems>
    </cacheField>
    <cacheField name="bii)Excavation (Extra-over Hard Rock)3" numFmtId="0">
      <sharedItems count="261">
        <s v=" "/>
        <s v="SABS1200 DA \EARTHWORKS (SMALL WORKS)/8.3\SCHEDULED ITEMS/8.3.2b 2\Extra-over for hard rock. (Provisional Quantities)/\ks11-002a-Concrete Drop Inlet on Dam Wall  \m³\10.9657 \ 500"/>
        <s v="SABS1200 DA \EARTHWORKS (SMALL WORKS)/8.3\SCHEDULED ITEMS/8.3.2b 2\Extra-over for hard rock. (Provisional Quantities)/\ks11-004a-Concrete Drop Inlet on Dam Wall  \m³\14.235864 \ 500"/>
        <s v="SABS1200 DA \EARTHWORKS (SMALL WORKS)/8.3\SCHEDULED ITEMS/8.3.2b 2\Extra-over for hard rock. (Provisional Quantities)/\KS12_002-Concrete Drop Inlet. Drawing NBC-GTW-CL-0002 \m³\5.55 \ 500"/>
        <s v="SABS1200 DA \EARTHWORKS (SMALL WORKS)/8.3\SCHEDULED ITEMS/8.3.2b 2\Extra-over for hard rock. (Provisional Quantities)/\KS12_004-Concrete Drop Inlet. Drawing NBC-GTW-CL-0003 \m³\5.491665 \ 500"/>
        <s v="SABS1200 DA \EARTHWORKS (SMALL WORKS)/8.3\SCHEDULED ITEMS/8.3.2b 2\Extra-over for hard rock. (Provisional Quantities)/\KS12_005-Concrete Drop Inlet. Drawing NBC-GTW-CL-0004 \m³\5.46429303 \ 500"/>
        <s v="SABS1200 DA \EARTHWORKS (SMALL WORKS)/8.3\SCHEDULED ITEMS/8.3.2b 2\Extra-over for hard rock. (Provisional Quantities)/\KS12_006-Concrete Drop Inlet. Drawing NBC-GTW-CL-0005 \m³\4.79234625 \ 500"/>
        <s v="SABS1200 DA \EARTHWORKS (SMALL WORKS)/8.3\SCHEDULED ITEMS/8.3.2b 2\Extra-over for hard rock. (Provisional Quantities)/\KS12_007-Concrete Drop Inlet. Drawing NBC-GTW-CL-0006 \m³\7.09699875 \ 500"/>
        <s v="SABS1200 DA \EARTHWORKS (SMALL WORKS)/8.3\SCHEDULED ITEMS/8.3.2b 2\Extra-over for hard rock. (Provisional Quantities)/\KS12_008-Concrete Drop Inlet. Drawing NBC-GTW-CL-0007 \m³\4.9821135 \ 500"/>
        <s v="SABS1200 DA \EARTHWORKS (SMALL WORKS)/8.3\SCHEDULED ITEMS/8.3.2b 2\Extra-over for hard rock. (Provisional Quantities)/\KS12_009-Concrete Drop Inlet. Drawing NBC-GTW-CL-0008 \m³\3.219246 \ 500"/>
        <s v="SABS1200 DA \EARTHWORKS (SMALL WORKS)/8.3\SCHEDULED ITEMS/8.3.2b 2\Extra-over for hard rock. (Provisional Quantities)/\KS13_003-Concrete Drop Inlet. Drawing NBC-GTW-CL-0009 \m³\2.201625 \ 500"/>
        <s v="SABS1200 DA \EARTHWORKS (SMALL WORKS)/8.3\SCHEDULED ITEMS/8.3.2b 2\Extra-over for hard rock. (Provisional Quantities)/\KS19_002-Concrete Drop Inlet. Drawing NBC-GTW-CL-0026 \m³\1.9380019 \ 500"/>
        <s v="SABS1200 DA \EARTHWORKS (SMALL WORKS)/8.3\SCHEDULED ITEMS/8.3.2b 2\Extra-over for hard rock. (Provisional Quantities)/\KS20_001-Concrete Drop Inlet. Drawing NBC-GTW-CL-0027 \m³\2.5966635 \ 500"/>
        <s v="SABS1200 DA \EARTHWORKS (SMALL WORKS)/8.3\SCHEDULED ITEMS/8.3.2b 2\Extra-over for hard rock. (Provisional Quantities)/\KS21_001-10° sloped Grouted Pitching (Light). Drawing NBC-GTW-CL-0038 \m³\1 \ 500"/>
        <s v="SABS1200 DA \EARTHWORKS (SMALL WORKS)/8.3\SCHEDULED ITEMS/8.3.2b 2\Extra-over for hard rock. (Provisional Quantities)/\KS21_003-Concrete Drop Inlet. Drawing NBC-GTW-CL-0039 \m³\1.2893875 \ 500"/>
        <s v="SABS1200 DA \EARTHWORKS (SMALL WORKS)/8,3\SCHEDULED ITEMS/8.3.2b 2\Extra-over for hard rock. (Provisional Quantities)/\KS21_005-Concrete Drop Inlet. Drawing NBC-GTW-CL-0040 \m³\1,2893875 \ 500"/>
        <s v="SABS1200 DA  \ Earthworks (Small Works) / 8.3\ SCHEDULED ITEMS / 8.3.2b 2 \ Extra-over for hard rock. (Provisional Quantities)/\KS20_008-Concrete Drop Inlet. Refer to drawing AH \m³\1.42998 \ 500" u="1"/>
        <s v="SABS1200 DA \EARTHWORKS (SMALL WORKS)/8.3\SCHEDULED ITEMS/8.3.2b 2\Extra-over for hard rock. (Provisional Quantities)/\KS12_007-Concrete Drop Inlet. Drawing NBC-GTW-CL-0006 \m³\1.2450875 \ 500" u="1"/>
        <s v="SABS1200 DA  / Earthworks (Small Works) / 8.3 / 8.3.2b 2 / Extra-over for hard rock / KS18_018-Concrete Drop Inlet / 1.376995 / m³" u="1"/>
        <s v="SABS1200 DA  / Earthworks (Small Works) / 8.3 / 8.3.2b 2 / Extra-over for hard rock / KS18_015-Concrete Drop Inlet / 1.50426 / m³" u="1"/>
        <s v="SABS1200 DA \EARTHWORKS (SMALL WORKS)/8.3\SCHEDULED ITEMS/8.3.2b 2\Extra-over for hard rock. (Provisional Quantities)/\KS18_001-Concrete Drop Inlet. Drawing NBC-GTW-CL-0019 \m³\1.618054 \ 500" u="1"/>
        <s v="SABS1200 DA  \ Earthworks (Small Works) / 8.3\ SCHEDULED ITEMS / 8.3.2b 2 \ Extra-over for hard rock. (Provisional Quantities)/\KS13_013-Concrete Drop Inlet. Refer to drawing Q \m³\0.9969 \ 500" u="1"/>
        <s v="SABS1200 DA  \ Earthworks (Small Works) / 8.3\ SCHEDULED ITEMS / 8.3.2b 2 \ Extra-over for hard rock. (Provisional Quantities)/\KS21_007-Concrete Drop Inlet \m³\0.81971 \ 500" u="1"/>
        <s v="SABS1200 DA \EARTHWORKS (SMALL WORKS)/8.3\SCHEDULED ITEMS/8.3.2b 2\Extra-over for hard rock. (Provisional Quantities)/\KS21_003-Concrete Drop Inlet. Drawing NBC-GTW-CL-0039 \m³\0.678625 \ 500" u="1"/>
        <s v="SABS1200 DA \EARTHWORKS (SMALL WORKS)/8.3\SCHEDULED ITEMS/8.3.2b 2\Extra-over for hard rock. (Provisional Quantities)/\KS18_001-Concrete Drop Inlet. Refer to drawing NBC-GTW-CL-0019 \m³\1.618054 \ 500" u="1"/>
        <s v="SABS1200 DA \EARTHWORKS (SMALL WORKS)/8.3\SCHEDULED ITEMS/8.3.2b 2\Extra-over for hard rock. (Provisional Quantities)/\KS20_005-Concrete Drop Inlet. Refer to drawing NBC-GTW-CL-0031 \m³\1.8331225 \ 500" u="1"/>
        <s v="SABS1200 DA \EARTHWORKS (SMALL WORKS)/8.3\SCHEDULED ITEMS/8.3.2b 2\Extra-over for hard rock. (Provisional Quantities)/\KS12_004-Concrete Drop Inlet. Refer to drawing NBC-GTW-CL-0003 \m³\0.96345 \ 500" u="1"/>
        <s v="SABS1200 DA \EARTHWORKS (SMALL WORKS)/8.3\SCHEDULED ITEMS/8.3.2b 2\Extra-over for hard rock. (Provisional Quantities)/\KS21_007-Concrete Drop Inlet. Refer to drawing NBC-GTW-CL-0042 \m³\0.81971 \ 500" u="1"/>
        <s v="SABS1200 DA  \ Earthworks (Small Works) / 8.3\ SCHEDULED ITEMS / 8.3.2b 2 \ Extra-over for hard rock. (Provisional Quantities)/\KS20_006-Concrete Drop Inlet. Refer to drawing AF \m³\1.8831075 \ 500" u="1"/>
        <s v="SABS1200 DA  \ Earthworks (Small Works) / 8.3\ SCHEDULED ITEMS / 8.3.2b 2 \ Extra-over for hard rock. (Provisional Quantities)/\KS21_009-Concrete Drop Inlet. Refer to drawing AQ \m³\1.0578575 \ 500" u="1"/>
        <s v="SABS1200 DA \EARTHWORKS (SMALL WORKS)/8.3\SCHEDULED ITEMS/8.3.2b 2\Extra-over for hard rock. (Provisional Quantities)/\KS12_006-Concrete Drop Inlet. Refer to drawing NBC-GTW-CL-0005 \m³\0.8407625 \ 500" u="1"/>
        <s v="SABS1200 DA \EARTHWORKS (SMALL WORKS)/8.3\SCHEDULED ITEMS/8.3.2b 2\Extra-over for hard rock. (Provisional Quantities)/\KS13_008-Concrete Drop Inlet. Drawing NBC-GTW-CL-0014 \m³\2.046984 \ 500" u="1"/>
        <s v="SABS1200 DA \EARTHWORKS (SMALL WORKS)/8.3\SCHEDULED ITEMS/8.3.2b 2\Extra-over for hard rock. (Provisional Quantities)/\KS12_006-Concrete Drop Inlet. Drawing NBC-GTW-CL-0005 \m³\0.8407625 \ 500" u="1"/>
        <s v="SABS1200 DA  \ Earthworks (Small Works) / 8.3\ SCHEDULED ITEMS / 8.3.2b 2 \ Extra-over for hard rock. (Provisional Quantities)/\KS13_004-Concrete Drop Inlet. Refer to drawing J \m³\0.8505 \ 500" u="1"/>
        <s v="SABS1200 DA \EARTHWORKS (SMALL WORKS)/8.3\SCHEDULED ITEMS/8.3.2b 2\Extra-over for hard rock. (Provisional Quantities)/\KS13_011-Concrete Drop Inlet. Refer to drawing NBC-GTW-CL-0015 \m³\1 \ 500" u="1"/>
        <s v="SABS1200 DA \EARTHWORKS (SMALL WORKS)/8.3\SCHEDULED ITEMS/8.3.2b 2\Extra-over for hard rock. (Provisional Quantities)/\KS13_011-Concrete Drop Inlet. Drawing NBC-GTW-CL-0015 \m³\1.94 \ 500" u="1"/>
        <s v="SABS1200 DA \EARTHWORKS (SMALL WORKS)/8.3\SCHEDULED ITEMS/8.3.2b 2\Extra-over for hard rock. (Provisional Quantities)/\KS13_015-Concrete Drop Inlet. Drawing NBC-GTW-CL-0018 \m³\1.20787 \ 500" u="1"/>
        <s v="SABS1200 DA  \ Earthworks (Small Works) / 8.3\ SCHEDULED ITEMS / 8.3.2b 2 \ Extra-over for hard rock. (Provisional Quantities)/\KS20_002-Concrete Drop Inlet. Refer to drawing AB \m³\1.86188 \ 500" u="1"/>
        <s v="SABS1200 DA \EARTHWORKS (SMALL WORKS)/8.3\SCHEDULED ITEMS/8.3.2b 2\Extra-over for hard rock. (Provisional Quantities)/\KS20_007-Concrete Drop Inlet. Refer to drawing NBC-GTW-CL-0033 \m³\1.4785685 \ 500" u="1"/>
        <s v="SABS1200 DA  / Earthworks (Small Works) / 8.3 / 8.3.2b 2 / Extra-over for hard rock / KS13_008-Concrete Drop Inlet / 1.07736 / m³" u="1"/>
        <s v="SABS1200 DA \EARTHWORKS (SMALL WORKS)/8.3\SCHEDULED ITEMS/8.3.2b 2\Extra-over for hard rock. (Provisional Quantities)/\KS18_015-Concrete Drop Inlet. Refer to drawing NBC-GTW-CL-0021 \m³\1.50426 \ 500" u="1"/>
        <s v="SABS1200 DA \EARTHWORKS (SMALL WORKS)/8.3\SCHEDULED ITEMS/8.3.2b 2\Extra-over for hard rock. (Provisional Quantities)/\KS13_012-Concrete Drop Inlet. Drawing NBC-GTW-CL-0016 \m³\0.808925 \ 500" u="1"/>
        <s v="SABS1200 DA \EARTHWORKS (SMALL WORKS)/8.3\SCHEDULED ITEMS/8.3.2b 2\Extra-over for hard rock. (Provisional Quantities)/\KS20_009_a-Concrete Drop Inlet. Refer to drawing NBC-GTW-CL-0035 \m³\3.4936105 \ 500" u="1"/>
        <s v="SABS1200 DA  \ Earthworks (Small Works) / 8.3\ SCHEDULED ITEMS / 8.3.2b 2 \ Extra-over for hard rock. (Provisional Quantities)/\KS19_002-Concrete Drop Inlet \m³\1.020001 \ 500" u="1"/>
        <s v="SABS1200 DA  \ Earthworks (Small Works) / 8.3\ SCHEDULED ITEMS / 8.3.2b 2 \ Extra-over for hard rock. (Provisional Quantities)/\KS18_002-Concrete Drop Inlet \m³\0.8493175 \ 500" u="1"/>
        <s v="SABS1200 DA \EARTHWORKS (SMALL WORKS)/8.3\SCHEDULED ITEMS/8.3.2b 2\Extra-over for hard rock. (Provisional Quantities)/\KS21_009-Concrete Drop Inlet. Drawing NBC-GTW-CL-0043 \m³\1.0578575 \ 500" u="1"/>
        <s v="SABS1200 DA  \ Earthworks (Small Works) / 8.3\ SCHEDULED ITEMS / 8.3.2b 2 \ Extra-over for hard rock. (Provisional Quantities)/\KS12_007-Concrete Drop Inlet. Refer to drawing F \m³\1.2450875 \ 500" u="1"/>
        <s v="SABS1200 DA  / Earthworks (Small Works) / 8.3 / 8.3.2b 2 / Extra-over for hard rock / KS13_005-Concrete Drop Inlet / 1.07583 / m³" u="1"/>
        <s v="SABS1200 DA  / Earthworks (Small Works) / 8.3 / 8.3.2b 2 / Extra-over for hard rock / KS13_006-Concrete Drop Inlet / 1.07583 / m³" u="1"/>
        <s v="SABS1200 DA  \ Earthworks (Small Works) / 8.3\ SCHEDULED ITEMS / 8.3.2b 2 \ Extra-over for hard rock. (Provisional Quantities)/\KS21_007-Concrete Drop Inlet. Refer to drawing AP \m³\0.81971 \ 500" u="1"/>
        <s v="SABS1200 DA  / Earthworks (Small Works) / 8.3 / 8.3.2b 2 / Extra-over for hard rock / KS21_009-Concrete Drop Inlet / 1.0578575 / m³" u="1"/>
        <s v="SABS1200 DA  \ Earthworks (Small Works) / 8.3\ SCHEDULED ITEMS / 8.3.2b 2 \ Extra-over for hard rock. (Provisional Quantities)/\KS13_008-Concrete Drop Inlet \m³\1.07736 \ 500" u="1"/>
        <s v="SABS1200 DA \EARTHWORKS (SMALL WORKS)/8.3\SCHEDULED ITEMS/8.3.2b 2\Extra-over for hard rock. (Provisional Quantities)/\KS20_007-Concrete Drop Inlet. Drawing NBC-GTW-CL-0033 \m³\2.80928015 \ 500" u="1"/>
        <s v="SABS1200 DA \EARTHWORKS (SMALL WORKS)/8.3\SCHEDULED ITEMS/8.3.2b 2\Extra-over for hard rock. (Provisional Quantities)/\KS21_010-Concrete Drop Inlet. Refer to drawing NBC-GTW-CL-0044 \m³\0.99764225 \ 500" u="1"/>
        <s v="SABS1200 DA  \ Earthworks (Small Works) / 8.3\ SCHEDULED ITEMS / 8.3.2b 2 \ Extra-over for hard rock. (Provisional Quantities)/\KS20_007-Concrete Drop Inlet. Refer to drawing AG \m³\1.4785685 \ 500" u="1"/>
        <s v="SABS1200 DA \EARTHWORKS (SMALL WORKS)/8.3\SCHEDULED ITEMS/8.3.2b 2\Extra-over for hard rock. (Provisional Quantities)/\KS13_013-Concrete Drop Inlet. Refer to drawing NBC-GTW-CL-0017 \m³\0.9969 \ 500" u="1"/>
        <s v="SABS1200 DA  \ Earthworks (Small Works) / 8.3\ SCHEDULED ITEMS / 8.3.2b 2 \ Extra-over for hard rock. (Provisional Quantities)/\KS20_009_a-Concrete Drop Inlet. Refer to drawing AI \m³\3.4936105 \ 500" u="1"/>
        <s v="SABS1200 DA  \ Earthworks (Small Works) / 8.3\ SCHEDULED ITEMS / 8.3.2b 2 \ Extra-over for hard rock. (Provisional Quantities)/\KS21_010-Concrete Drop Inlet. Refer to drawing AR \m³\0.99764225 \ 500" u="1"/>
        <s v="SABS1200 DA \EARTHWORKS (SMALL WORKS)/8.3\SCHEDULED ITEMS/8.3.2b 2\Extra-over for hard rock. (Provisional Quantities)/\KS20_002-Concrete Drop Inlet. Drawing NBC-GTW-CL-0028 \m³\1.580255 \ 500" u="1"/>
        <s v="SABS1200 DA \EARTHWORKS (SMALL WORKS)/8.3\SCHEDULED ITEMS/8.3.2b 2\Extra-over for hard rock. (Provisional Quantities)/\KS13_008-Concrete Drop Inlet. Refer to drawing NBC-GTW-CL-0014 \m³\1.07736 \ 500" u="1"/>
        <s v="SABS1200 DA  \ Earthworks (Small Works) / 8.3\ SCHEDULED ITEMS / 8.3.2b 2 \ Extra-over for hard rock. (Provisional Quantities)/\KS13_011-Concrete Drop Inlet \m³\1.08396 \ 500" u="1"/>
        <s v="SABS1200 DA \EARTHWORKS (SMALL WORKS)/8.3\SCHEDULED ITEMS/8.3.2b 2\Extra-over for hard rock. (Provisional Quantities)/\KS13_005-Concrete Drop Inlet. Drawing NBC-GTW-CL-0011 \m³\1.07583 \ 500" u="1"/>
        <s v="SABS1200 DA \EARTHWORKS (SMALL WORKS)/8.3\SCHEDULED ITEMS/8.3.2b 2\Extra-over for hard rock. (Provisional Quantities)/\KS13_006-Concrete Drop Inlet. Drawing NBC-GTW-CL-0012 \m³\1.07583 \ 500" u="1"/>
        <s v="SABS1200 DA  \ Earthworks (Small Works) / 8.3\ SCHEDULED ITEMS / 8.3.2b 2 \ Extra-over for hard rock. (Provisional Quantities)/\KS13_008-Concrete Drop Inlet. Refer to drawing N \m³\1.07736 \ 500" u="1"/>
        <s v="SABS1200 DA  \ Earthworks (Small Works) / 8.3\ SCHEDULED ITEMS / 8.3.2b 2 \ Extra-over for hard rock. (Provisional Quantities)/\KS13_005-Concrete Drop Inlet. Refer to drawing K \m³\1.07583 \ 500" u="1"/>
        <s v="SABS1200 DA  \ Earthworks (Small Works) / 8.3\ SCHEDULED ITEMS / 8.3.2b 2 \ Extra-over for hard rock. (Provisional Quantities)/\KS13_006-Concrete Drop Inlet. Refer to drawing L \m³\1.07583 \ 500" u="1"/>
        <s v="'" u="1"/>
        <s v="SABS1200 DA \EARTHWORKS (SMALL WORKS)/8.3\SCHEDULED ITEMS/8.3.2b 2\Extra-over for hard rock. (Provisional Quantities)/\KS12_008-Concrete Drop Inlet. Refer to drawing NBC-GTW-CL-0007 \m³\0.874055 \ 500" u="1"/>
        <s v="SABS1200 DA \EARTHWORKS (SMALL WORKS)/8.3\SCHEDULED ITEMS/8.3.2b 2\Extra-over for hard rock. (Provisional Quantities)/\KS20_005-Concrete Drop Inlet. Drawing NBC-GTW-CL-0031 \m³\1.8331225 \ 500" u="1"/>
        <s v="SABS1200 DA  \ Earthworks (Small Works) / 8.3\ SCHEDULED ITEMS / 8.3.2b 2 \ Extra-over for hard rock. (Provisional Quantities)/\KS12_005-Concrete Drop Inlet \m³\0.9586479 \ 500" u="1"/>
        <s v="SABS1200 DA  / Earthworks (Small Works) / 8.3 / 8.3.2b 2 / Extra-over for hard rock / KS18_001-Concrete Drop Inlet / 1.618054 / m³" u="1"/>
        <s v="SABS1200 DA  \ Earthworks (Small Works) / 8.3\ SCHEDULED ITEMS / 8.3.2b 2 \ Extra-over for hard rock. (Provisional Quantities)/\KS18_016-Concrete Drop Inlet. Refer to drawing V \m³\1.22132 \ 500" u="1"/>
        <s v="SABS1200 DA \EARTHWORKS (SMALL WORKS)/8.3\SCHEDULED ITEMS/8.3.2b 2\Extra-over for hard rock. (Provisional Quantities)/\KS12_004-Concrete Drop Inlet. Drawing NBC-GTW-CL-0003 \m³\1.830555 \ 500" u="1"/>
        <s v="SABS1200 DA  \ Earthworks (Small Works) / 8.3\ SCHEDULED ITEMS / 8.3.2b 2 \ Extra-over for hard rock. (Provisional Quantities)/\KS12_006-Concrete Drop Inlet. Refer to drawing E \m³\0.8407625 \ 500" u="1"/>
        <s v="SABS1200 DA  \ Earthworks (Small Works) / 8.3\ SCHEDULED ITEMS / 8.3.2b 2 \ Extra-over for hard rock. (Provisional Quantities)/\KS21_003-Concrete Drop Inlet. Refer to drawing AM \m³\0.678625 \ 500" u="1"/>
        <s v="SABS1200 DA \EARTHWORKS (SMALL WORKS)/8.3\SCHEDULED ITEMS/8.3.2b 2\Extra-over for hard rock. (Provisional Quantities)/\KS18_020-Concrete Drop Inlet associated with Road Culvert  \m³\1.000635 \ 500" u="1"/>
        <s v="SABS1200 DA  / Earthworks (Small Works) / 8.3 / 8.3.2b 2 / Extra-over for hard rock / KS20_006-Concrete Drop Inlet / 1.8831075 / m³" u="1"/>
        <s v="SABS1200 DA \EARTHWORKS (SMALL WORKS)/8.3\SCHEDULED ITEMS/8.3.2b 2\Extra-over for hard rock. (Provisional Quantities)/\KS18_002-Concrete Drop Inlet. Drawing NBC-GTW-CL-0020 \m³\0.8493175 \ 500" u="1"/>
        <s v="SABS1200 DA \EARTHWORKS (SMALL WORKS)/8.3\SCHEDULED ITEMS/8.3.2b 2\Extra-over for hard rock. (Provisional Quantities)/\KS20_006-Concrete Drop Inlet. Drawing NBC-GTW-CL-0032 \m³\1.4631175 \ 500" u="1"/>
        <s v="SABS1200 DA  \ Earthworks (Small Works) / 8.3\ SCHEDULED ITEMS / 8.3.2b 2 \ Extra-over for hard rock. (Provisional Quantities)/\KS13_011-Concrete Drop Inlet. Refer to drawing O \m³\1.08396 \ 500" u="1"/>
        <s v="SABS1200 DA  \ Earthworks (Small Works) / 8.3\ SCHEDULED ITEMS / 8.3.2b 2 \ Extra-over for hard rock. (Provisional Quantities)/\KS20_001-Concrete Drop Inlet. Refer to drawing AA \m³\1.366665 \ 500" u="1"/>
        <s v="SABS1200 DA  / Earthworks (Small Works) / 8.3 / 8.3.2b 2 / Extra-over for hard rock / KS18_020-Rehab road culvert / 1.000635 / m³" u="1"/>
        <s v="SABS1200 DA  \ Earthworks (Small Works) / 8.3\ SCHEDULED ITEMS / 8.3.2b 2 \ Extra-over for hard rock. (Provisional Quantities)/\KS18_019-Concrete Drop Inlet \m³\0.95038 \ 500" u="1"/>
        <s v="SABS1200 DA  \ Earthworks (Small Works) / 8.3\ SCHEDULED ITEMS / 8.3.2b 2 \ Extra-over for hard rock. (Provisional Quantities)/\KS13_013-Concrete Drop Inlet \m³\0.9969 \ 500" u="1"/>
        <s v="SABS1200 DA \EARTHWORKS (SMALL WORKS)/8.3\SCHEDULED ITEMS/8.3.2b 2\Extra-over for hard rock. (Provisional Quantities)/\KS18_020-Rehab road culvert  \m³\1.000635 \ 500" u="1"/>
        <s v="SABS1200 DA  \ Earthworks (Small Works) / 8.3\ SCHEDULED ITEMS / 8.3.2b 2 \ Extra-over for hard rock. (Provisional Quantities)/\KS20_002-Concrete Drop Inlet \m³\1.86188 \ 500" u="1"/>
        <s v="SABS1200 DA  / Earthworks (Small Works) / 8.3 / 8.3.2b 2 / Extra-over for hard rock / KS12_004-Concrete Drop Inlet / 0.96345 / m³" u="1"/>
        <s v="SABS1200 DA  \ Earthworks (Small Works) / 8.3\ SCHEDULED ITEMS / 8.3.2b 2 \ Extra-over for hard rock. (Provisional Quantities)/\KS20_001-Concrete Drop Inlet \m³\1.366665 \ 500" u="1"/>
        <s v="SABS1200 DA  \ Earthworks (Small Works) / 8.3\ SCHEDULED ITEMS / 8.3.2b 2 \ Extra-over for hard rock. (Provisional Quantities)/\KS19_002-Concrete Drop Inlet. Refer to drawing Z \m³\1.020001 \ 500" u="1"/>
        <s v="SABS1200 DA \EARTHWORKS (SMALL WORKS)/8.3\SCHEDULED ITEMS/8.3.2b 2\Extra-over for hard rock. (Provisional Quantities)/\KS21_003-Concrete Drop Inlet. Refer to drawing NBC-GTW-CL-0039 \m³\0.678625 \ 500" u="1"/>
        <s v="SABS1200 DA \EARTHWORKS (SMALL WORKS)/8.3\SCHEDULED ITEMS/8.3.2b 2\Extra-over for hard rock. (Provisional Quantities)/\KS12_009-Concrete Drop Inlet. Drawing NBC-GTW-CL-0008 \m³\0.56478 \ 500" u="1"/>
        <s v="SABS1200 DA \EARTHWORKS (SMALL WORKS)/8.3\SCHEDULED ITEMS/8.3.2b 2\Extra-over for hard rock. (Provisional Quantities)/\KS12_009-Concrete Drop Inlet. Drawing NBC-GTW-CL-0008 \m³\1.073082 \ 500" u="1"/>
        <s v="SABS1200 DA \EARTHWORKS (SMALL WORKS)/8.3\SCHEDULED ITEMS/8.3.2b 2\Extra-over for hard rock. (Provisional Quantities)/\KS13_011-Concrete Drop Inlet. Refer to drawing NBC-GTW-CL-0015 \m³\1.08396 \ 500" u="1"/>
        <s v="SABS1200 DA  / Earthworks (Small Works) / 8.3 / 8.3.2b 2 / Extra-over for hard rock / KS13_013-Concrete Drop Inlet / 0.9969 / m³" u="1"/>
        <s v="SABS1200 DA \EARTHWORKS (SMALL WORKS)/8.3\SCHEDULED ITEMS/8.3.2b 2\Extra-over for hard rock. (Provisional Quantities)/\KS20_001-Concrete Drop Inlet. Refer to drawing NBC-GTW-CL-0027 \m³\1.366665 \ 500" u="1"/>
        <s v="SABS1200 DA \EARTHWORKS (SMALL WORKS)/8.3\SCHEDULED ITEMS/8.3.2b 2\Extra-over for hard rock. (Provisional Quantities)/\KS12_005-Concrete Drop Inlet. Drawing NBC-GTW-CL-0004 \m³\0.9586479 \ 500" u="1"/>
        <s v="SABS1200 DA  \ Earthworks (Small Works) / 8.3\ SCHEDULED ITEMS / 8.3.2b 2 \ Extra-over for hard rock. (Provisional Quantities)/\KS20_003-Concrete Buttress Weir. Refer to drawing AC \m³\2.1830841 \ 500" u="1"/>
        <s v="SABS1200 DA \EARTHWORKS (SMALL WORKS)/8.3\SCHEDULED ITEMS/8.3.2b 2\Extra-over for hard rock. (Provisional Quantities)/\KS13_003-Concrete Drop Inlet. Refer to drawing NBC-GTW-CL-0009 \m³\1.15875 \ 500" u="1"/>
        <s v="SABS1200 DA  / Earthworks (Small Works) / 8.3 / 8.3.2b 2 / Extra-over for hard rock / KS13_015-Concrete Drop Inlet / 1.20787 / m³" u="1"/>
        <s v="SABS1200 DA  / Earthworks (Small Works) / 8.3 / 8.3.2b 2 / Extra-over for hard rock / KS21_010-Concrete Drop Inlet / 0.99764225 / m³" u="1"/>
        <s v="SABS1200 DA \EARTHWORKS (SMALL WORKS)/8.3\SCHEDULED ITEMS/8.3.2b 2\Extra-over for hard rock. (Provisional Quantities)/\KS12_004-Concrete Drop Inlet. Drawing NBC-GTW-CL-0003 \m³\0.96345 \ 500" u="1"/>
        <s v="SABS1200 DA \EARTHWORKS (SMALL WORKS)/8.3\SCHEDULED ITEMS/8.3.2b 2\Extra-over for hard rock. (Provisional Quantities)/\KS18_019-Concrete Drop Inlet. Drawing NBC-GTW-CL-0025 \m³\1.805722 \ 500" u="1"/>
        <s v="SABS1200 DA \EARTHWORKS (SMALL WORKS)/8.3\SCHEDULED ITEMS/8.3.2b 2\Extra-over for hard rock. (Provisional Quantities)/\ks11-004a-Concrete Drop Inlet on Dam Wall  \m³\6.9657 \ 500" u="1"/>
        <s v="SABS1200 DA \EARTHWORKS (SMALL WORKS)/8.3\SCHEDULED ITEMS/8.3.2b 2\Extra-over for hard rock. (Provisional Quantities)/\KS13_005-Concrete Drop Inlet. Drawing NBC-GTW-CL-0011 \m³\2.044077 \ 500" u="1"/>
        <s v="SABS1200 DA \EARTHWORKS (SMALL WORKS)/8.3\SCHEDULED ITEMS/8.3.2b 2\Extra-over for hard rock. (Provisional Quantities)/\KS13_006-Concrete Drop Inlet. Drawing NBC-GTW-CL-0012 \m³\2.044077 \ 500" u="1"/>
        <s v="SABS1200 DA  \ Earthworks (Small Works) / 8.3\ SCHEDULED ITEMS / 8.3.2b 2 \ Extra-over for hard rock. (Provisional Quantities)/\KS12_006-Concrete Drop Inlet \m³\0.8407625 \ 500" u="1"/>
        <s v="SABS1200 DA  \ Earthworks (Small Works) / 8.3\ SCHEDULED ITEMS / 8.3.2b 2 \ Extra-over for hard rock. (Provisional Quantities)/\KS21_005-Concrete Drop Inlet. Refer to drawing AN \m³\0.94137425 \ 500" u="1"/>
        <s v="SABS1200 DA \EARTHWORKS (SMALL WORKS)/8.3\SCHEDULED ITEMS/8.3.2b 2\Extra-over for hard rock. (Provisional Quantities)/\KS18_017-Concrete Drop Inlet. Refer to drawing NBC-GTW-CL-0023 \m³\1.14728 \ 500" u="1"/>
        <s v="SABS1200 DA \EARTHWORKS (SMALL WORKS)/8.3\SCHEDULED ITEMS/8.3.2b 2\Extra-over for hard rock. (Provisional Quantities)/\KS18_001-Concrete Drop Inlet. Drawing NBC-GTW-CL-0019 \m³\3.0743026 \ 500" u="1"/>
        <s v="SABS1200 DA  \ Earthworks (Small Works) / 8.3\ SCHEDULED ITEMS / 8.3.2b 2 \ Extra-over for hard rock. (Provisional Quantities)/\KS21_005-Concrete Drop Inlet \m³\0.94137425 \ 500" u="1"/>
        <s v="SABS1200 DA \EARTHWORKS (SMALL WORKS)/8.3\SCHEDULED ITEMS/8.3.2b 2\Extra-over for hard rock. (Provisional Quantities)/\KS12_009-Concrete Drop Inlet. Refer to drawing NBC-GTW-CL-0008 \m³\0.56478 \ 500" u="1"/>
        <s v="SABS1200 DA \EARTHWORKS (SMALL WORKS)/8.3\SCHEDULED ITEMS/8.3.2b 2\Extra-over for hard rock. (Provisional Quantities)/\KS21_009-Concrete Drop Inlet. Drawing NBC-GTW-CL-0043 \m³\2.00992925 \ 500" u="1"/>
        <s v="SABS1200 DA \EARTHWORKS (SMALL WORKS)/8.3\SCHEDULED ITEMS/8.3.2b 2\Extra-over for hard rock. (Provisional Quantities)/\KS21_005-Concrete Drop Inlet. Drawing NBC-GTW-CL-0040 \m³\0.94137425 \ 500" u="1"/>
        <s v="SABS1200 DA \EARTHWORKS (SMALL WORKS)/8.3\SCHEDULED ITEMS/8.3.2b 2\Extra-over for hard rock. (Provisional Quantities)/\KS18_018-Concrete Drop Inlet. Drawing NBC-GTW-CL-0024 \m³\2.6162905 \ 500" u="1"/>
        <s v="SABS1200 DA \EARTHWORKS (SMALL WORKS)/8.3\SCHEDULED ITEMS/8.3.2b 2\Extra-over for hard rock. (Provisional Quantities)/\KS20_003-Concrete Buttress Weir. Drawing NBC-GTW-CL-0029 \m³\4.14785979 \ 500" u="1"/>
        <s v="SABS1200 DA  / Earthworks (Small Works) / 8.3 / 8.3.2b 2 / Extra-over for hard rock / KS18_016-Concrete Drop Inlet / 1.22132 / m³" u="1"/>
        <s v="SABS1200 DA \EARTHWORKS (SMALL WORKS)/8.3\SCHEDULED ITEMS/8.3.2b 2\Extra-over for hard rock. (Provisional Quantities)/\KS13_015-Concrete Drop Inlet. Drawing NBC-GTW-CL-0018 \m³\2.294953 \ 500" u="1"/>
        <s v="SABS1200 DA \EARTHWORKS (SMALL WORKS)/8.3\SCHEDULED ITEMS/8.3.2b 2\Extra-over for hard rock. (Provisional Quantities)/\KS12_005-Concrete Drop Inlet. Drawing NBC-GTW-CL-0004 \m³\1.82143101 \ 500" u="1"/>
        <s v="SABS1200 DA  \ Earthworks (Small Works) / 8.3\ SCHEDULED ITEMS / 8.3.2b 2 \ Extra-over for hard rock. (Provisional Quantities)/\KS20_004-Concrete Drop Inlet \m³\1.125647 \ 500" u="1"/>
        <s v="SABS1200 DA  \ Earthworks (Small Works) / 8.3\ SCHEDULED ITEMS / 8.3.2b 2 \ Extra-over for hard rock. (Provisional Quantities)/\KS20_009_a-Concrete Drop Inlet \m³\3.4936105 \ 500" u="1"/>
        <s v="SABS1200 DA  \ Earthworks (Small Works) / 8.3\ SCHEDULED ITEMS / 8.3.2b 2 \ Extra-over for hard rock. (Provisional Quantities)/\KS12_009-Concrete Drop Inlet. Refer to drawing H \m³\0.56478 \ 500" u="1"/>
        <s v="SABS1200 DA  / Earthworks (Small Works) / 8.3 / 8.3.2b 2 / Extra-over for hard rock / KS20_008-Concrete Drop Inlet / 1.42998 / m³" u="1"/>
        <s v="SABS1200 DA \EARTHWORKS (SMALL WORKS)/8.3\SCHEDULED ITEMS/8.3.2b 2\Extra-over for hard rock. (Provisional Quantities)/\KS20_003-Concrete Buttress Weir. Refer to drawing NBC-GTW-CL-0029 \m³\2.1830841 \ 500" u="1"/>
        <s v="SABS1200 DA  \ Earthworks (Small Works) / 8.3\ SCHEDULED ITEMS / 8.3.2b 2 \ Extra-over for hard rock. (Provisional Quantities)/\KS20_004-Concrete Drop Inlet. Refer to drawing AD \m³\1.125647 \ 500" u="1"/>
        <s v="SABS1200 DA  / Earthworks (Small Works) / 8.3 / 8.3.2b 2 / Extra-over for hard rock / KS19_002-Concrete Drop Inlet / 1.020001 / m³" u="1"/>
        <s v="SABS1200 DA  / Earthworks (Small Works) / 8.3 / 8.3.2b 2 / Extra-over for hard rock / KS12_006-Concrete Drop Inlet / 0.8407625 / m³" u="1"/>
        <s v="SABS1200 DA  \ Earthworks (Small Works) / 8.3\ SCHEDULED ITEMS / 8.3.2b 2 \ Extra-over for hard rock. (Provisional Quantities)/\KS21_006-Concrete Drop Inlet \m³\0.84057375 \ 500" u="1"/>
        <s v="SABS1200 DA \EARTHWORKS (SMALL WORKS)/8.3\SCHEDULED ITEMS/8.3.2b 2\Extra-over for hard rock. (Provisional Quantities)/\KS13_015-Concrete Drop Inlet. Refer to drawing NBC-GTW-CL-0018 \m³\1.20787 \ 500" u="1"/>
        <s v="SABS1200 DA \EARTHWORKS (SMALL WORKS)/8.3\SCHEDULED ITEMS/8.3.2b 2\Extra-over for hard rock. (Provisional Quantities)/\KS13_013-Concrete Drop Inlet. Drawing NBC-GTW-CL-0017 \m³\1.89411 \ 500" u="1"/>
        <s v="SABS1200 DA \EARTHWORKS (SMALL WORKS)/8.3\SCHEDULED ITEMS/8.3.2b 2\Extra-over for hard rock. (Provisional Quantities)/\KS12_002-Concrete Drop Inlet. Refer to drawing NBC-GTW-CL-0002 \m³\2 \ 500" u="1"/>
        <s v="SABS1200 DA \EARTHWORKS (SMALL WORKS)/8.3\SCHEDULED ITEMS/8.3.2b 2\Extra-over for hard rock. (Provisional Quantities)/\KS20_009_a-Concrete Buttress Weir. Drawing NBC-GTW-CL-0035 \m³\3.4936105 \ 500" u="1"/>
        <s v="SABS1200 DA \EARTHWORKS (SMALL WORKS)/8.3\SCHEDULED ITEMS/8.3.2b 2\Extra-over for hard rock. (Provisional Quantities)/\KS21_005-Concrete Drop Inlet. Drawing NBC-GTW-CL-0040 \m³\1.788611075 \ 500" u="1"/>
        <s v="SABS1200 DA \EARTHWORKS (SMALL WORKS)/8.3\SCHEDULED ITEMS/8.3.2b 2\Extra-over for hard rock. (Provisional Quantities)/\KS13_007-Concrete Drop Inlet. Refer to drawing NBC-GTW-CL-0013 \m³\0.94712 \ 500" u="1"/>
        <s v="SABS1200 DA  \ Earthworks (Small Works) / 8.3\ SCHEDULED ITEMS / 8.3.2b 2 \ Extra-over for hard rock. (Provisional Quantities)/\KS13_004-Concrete Drop Inlet \m³\0.8505 \ 500" u="1"/>
        <s v="SABS1200 DA \EARTHWORKS (SMALL WORKS)/8.3\SCHEDULED ITEMS/8.3.2b 2\Extra-over for hard rock. (Provisional Quantities)/\KS18_019-Concrete Drop Inlet. Drawing NBC-GTW-CL-0025 \m³\0.95038 \ 500" u="1"/>
        <s v="SABS1200 DA \EARTHWORKS (SMALL WORKS)/8.3\SCHEDULED ITEMS/8.3.2b 2\Extra-over for hard rock. (Provisional Quantities)/\KS13_007-Concrete Drop Inlet. Drawing NBC-GTW-CL-0013 \m³\0.94712 \ 500" u="1"/>
        <s v="SABS1200 DA  / Earthworks (Small Works) / 8.3 / 8.3.2b 2 / Extra-over for hard rock / KS18_019-Concrete Drop Inlet / 0.95038 / m³" u="1"/>
        <s v="SABS1200 DA  \ Earthworks (Small Works) / 8.3\ SCHEDULED ITEMS / 8.3.2b 2 \ Extra-over for hard rock. (Provisional Quantities)/\KS12_004-Concrete Drop Inlet. Refer to drawing C \m³\0.96345 \ 500" u="1"/>
        <s v="SABS1200 DA \EARTHWORKS (SMALL WORKS)/8.3\SCHEDULED ITEMS/8.3.2b 2\Extra-over for hard rock. (Provisional Quantities)/\KS21_005-Concrete Drop Inlet. Refer to drawing NBC-GTW-CL-0040 \m³\0.94137425 \ 500" u="1"/>
        <s v="SABS1200 DA  / Earthworks (Small Works) / 8.3 / 8.3.2b 2 / Extra-over for hard rock / KS12_007-Concrete Drop Inlet / 1.2450875 / m³" u="1"/>
        <s v="SABS1200 DA \EARTHWORKS (SMALL WORKS)/8.3\SCHEDULED ITEMS/8.3.2b 2\Extra-over for hard rock. (Provisional Quantities)/\KS20_009_b-Concrete Overflow Wall. Drawing NBC-GTW-CL-0035 \m³\1.538375 \ 500" u="1"/>
        <s v="SABS1200 DA \EARTHWORKS (SMALL WORKS)/8.3\SCHEDULED ITEMS/8.3.2b 2\Extra-over for hard rock. (Provisional Quantities)/\KS13_003-Concrete Drop Inlet. Drawing NBC-GTW-CL-0009 \m³\1.15875 \ 500" u="1"/>
        <s v="SABS1200 DA  \ Earthworks (Small Works) / 8.3\ SCHEDULED ITEMS / 8.3.2b 2 \ Extra-over for hard rock. (Provisional Quantities)/\KS21_010-Concrete Drop Inlet \m³\0.99764225 \ 500" u="1"/>
        <s v="SABS1200 DA \EARTHWORKS (SMALL WORKS)/8.3\SCHEDULED ITEMS/8.3.2b 2\Extra-over for hard rock. (Provisional Quantities)/\KS19_002-Concrete Drop Inlet. Refer to drawing NBC-GTW-CL-0026 \m³\1.020001 \ 500" u="1"/>
        <s v="SABS1200 DA \EARTHWORKS (SMALL WORKS)/8.3\SCHEDULED ITEMS/8.3.2b 2\Extra-over for hard rock. (Provisional Quantities)/\KS12_002-Concrete Drop Inlet. Drawing NBC-GTW-CL-0002 \m³\1.85 \ 500" u="1"/>
        <s v="SABS1200 DA  / Earthworks (Small Works) / 8.3 / 8.3.2b 2 / Extra-over for hard rock / KS13_007-Concrete Drop Inlet / 0.94712 / m³" u="1"/>
        <s v="SABS1200 DA  / Earthworks (Small Works) / 8.3 / 8.3.2b 2 / Extra-over for hard rock / KS12_005-Concrete Drop Inlet / 0.9586479 / m³" u="1"/>
        <s v="SABS1200 DA \EARTHWORKS (SMALL WORKS)/8.3\SCHEDULED ITEMS/8.3.2b 2\Extra-over for hard rock. (Provisional Quantities)/\KS13_004-Concrete Drop Inlet. Drawing NBC-GTW-CL-0010 \m³\0.8505 \ 500" u="1"/>
        <s v="SABS1200 DA  \ Earthworks (Small Works) / 8.3\ SCHEDULED ITEMS / 8.3.2b 2 \ Extra-over for hard rock. (Provisional Quantities)/\KS13_012-Concrete Drop Inlet. Refer to drawing P \m³\0.808925 \ 500" u="1"/>
        <s v="SABS1200 DA  / Earthworks (Small Works) / 8.3 / 8.3.2b 2 / Extra-over for hard rock / KS20_009_a-Concrete Drop Inlet / 3.4936105 / m³" u="1"/>
        <s v="SABS1200 DA \EARTHWORKS (SMALL WORKS)/8.3\SCHEDULED ITEMS/8.3.2b 2\Extra-over for hard rock. (Provisional Quantities)/\KS21_001-10° sloped Grouted Pitching (Light). Drawing NBC-GTW-CL-0038 \m³\0.75 \ 500" u="1"/>
        <s v="SABS1200 DA  \ Earthworks (Small Works) / 8.3\ SCHEDULED ITEMS / 8.3.2b 2 \ Extra-over for hard rock. (Provisional Quantities)/\KS18_018-Concrete Drop Inlet \m³\1.376995 \ 500" u="1"/>
        <s v="SABS1200 DA \EARTHWORKS (SMALL WORKS)/8.3\SCHEDULED ITEMS/8.3.2b 2\Extra-over for hard rock. (Provisional Quantities)/\KS21_010-Concrete Drop Inlet. Drawing NBC-GTW-CL-0044 \m³\1.895520275 \ 500" u="1"/>
        <s v="SABS1200 DA  \ Earthworks (Small Works) / 8.3\ SCHEDULED ITEMS / 8.3.2b 2 \ Extra-over for hard rock. (Provisional Quantities)/\KS13_007-Concrete Drop Inlet \m³\0.94712 \ 500" u="1"/>
        <s v="SABS1200 DA \EARTHWORKS (SMALL WORKS)/8.3\SCHEDULED ITEMS/8.3.2b 2\Extra-over for hard rock. (Provisional Quantities)/\KS20_008-Concrete Drop Inlet. Drawing NBC-GTW-CL-0034 \m³\2.716962 \ 500" u="1"/>
        <s v="SABS1200 DA \EARTHWORKS (SMALL WORKS)/8.3\SCHEDULED ITEMS/8.3.2b 2\Extra-over for hard rock. (Provisional Quantities)/\KS20_004-Concrete Drop Inlet. Drawing NBC-GTW-CL-0030 \m³\1.125647 \ 500" u="1"/>
        <s v="SABS1200 DA \EARTHWORKS (SMALL WORKS)/8.3\SCHEDULED ITEMS/8.3.2b 2\Extra-over for hard rock. (Provisional Quantities)/\KS18_002-Concrete Drop Inlet. Drawing NBC-GTW-CL-0020 \m³\1.61370325 \ 500" u="1"/>
        <s v="SABS1200 DA \EARTHWORKS (SMALL WORKS)/8.3\SCHEDULED ITEMS/8.3.2b 2\Extra-over for hard rock. (Provisional Quantities)/\KS20_006-Concrete Drop Inlet. Drawing NBC-GTW-CL-0032 \m³\2.77992325 \ 500" u="1"/>
        <s v="SABS1200 DA  / Earthworks (Small Works) / 8.3 / 8.3.2b 2 / Extra-over for hard rock / KS21_005-Concrete Drop Inlet / 0.94137425 / m³" u="1"/>
        <s v="SABS1200 DA  / Earthworks (Small Works) / 8.3 / 8.3.2b 2 / Extra-over for hard rock / KS13_004-Concrete Drop Inlet / 0.8505 / m³" u="1"/>
        <s v="SABS1200 DA  \ Earthworks (Small Works) / 8.3\ SCHEDULED ITEMS / 8.3.2b 2 \ Extra-over for hard rock. (Provisional Quantities)/\KS21_009-Concrete Drop Inlet \m³\1.0578575 \ 500" u="1"/>
        <s v="SABS1200 DA  \ Earthworks (Small Works) / 8.3\ SCHEDULED ITEMS / 8.3.2b 2 \ Extra-over for hard rock. (Provisional Quantities)/\KS12_004-Concrete Drop Inlet \m³\0.96345 \ 500" u="1"/>
        <s v="SABS1200 DA \EARTHWORKS (SMALL WORKS)/8.3\SCHEDULED ITEMS/8.3.2b 2\Extra-over for hard rock. (Provisional Quantities)/\KS20_002-Concrete Drop Inlet. Drawing NBC-GTW-CL-0028 \m³\3.0024845 \ 500" u="1"/>
        <s v="SABS1200 DA  / Earthworks (Small Works) / 8.3 / 8.3.2b 2 / Extra-over for hard rock / KS20_007-Concrete Drop Inlet / 1.4785685 / m³" u="1"/>
        <s v="SABS1200 DA  / Earthworks (Small Works) / 8.3 / 8.3.2b 2 / Extra-over for hard rock / KS13_011-Concrete Drop Inlet / 1.08396 / m³" u="1"/>
        <s v="SABS1200 DA  / Earthworks (Small Works) / 8.3 / 8.3.2b 2 / Extra-over for hard rock / KS18_002-Concrete Drop Inlet / 0.8493175 / m³" u="1"/>
        <s v="SABS1200 DA  \ Earthworks (Small Works) / 8.3\ SCHEDULED ITEMS / 8.3.2b 2 \ Extra-over for hard rock. (Provisional Quantities)/\KS13_005-Concrete Drop Inlet \m³\1.07583 \ 500" u="1"/>
        <s v="SABS1200 DA  \ Earthworks (Small Works) / 8.3\ SCHEDULED ITEMS / 8.3.2b 2 \ Extra-over for hard rock. (Provisional Quantities)/\KS13_006-Concrete Drop Inlet \m³\1.07583 \ 500" u="1"/>
        <s v="SABS1200 DA  \ Earthworks (Small Works) / 8.3\ SCHEDULED ITEMS / 8.3.2b 2 \ Extra-over for hard rock. (Provisional Quantities)/\KS20_005-Concrete Drop Inlet. Refer to drawing AE \m³\1.8331225 \ 500" u="1"/>
        <s v="SABS1200 DA  \ Earthworks (Small Works) / 8.3\ SCHEDULED ITEMS / 8.3.2b 2 \ Extra-over for hard rock. (Provisional Quantities)/\KS18_002-Concrete Drop Inlet. Refer to drawing T \m³\0.8493175 \ 500" u="1"/>
        <s v="SABS1200 DA \EARTHWORKS (SMALL WORKS)/8.3\SCHEDULED ITEMS/8.3.2b 2\Extra-over for hard rock. (Provisional Quantities)/\KS21_006-Concrete Drop Inlet. Drawing NBC-GTW-CL-0041 \m³\1.597090125 \ 500" u="1"/>
        <s v="SABS1200 DA  / Earthworks (Small Works) / 8.3 / 8.3.2b 2 / Extra-over for hard rock / KS21_007-Concrete Drop Inlet / 0.81971 / m³" u="1"/>
        <s v="SABS1200 DA  \ Earthworks (Small Works) / 8.3\ SCHEDULED ITEMS / 8.3.2b 2 \ Extra-over for hard rock. (Provisional Quantities)/\KS12_009-Concrete Drop Inlet \m³\0.56478 \ 500" u="1"/>
        <s v="SABS1200 DA \EARTHWORKS (SMALL WORKS)/8.3\SCHEDULED ITEMS/8.3.2b 2\Extra-over for hard rock. (Provisional Quantities)/\KS20_004-Concrete Drop Inlet. Refer to drawing NBC-GTW-CL-0030 \m³\1.125647 \ 500" u="1"/>
        <s v="SABS1200 DA  \ Earthworks (Small Works) / 8.3\ SCHEDULED ITEMS / 8.3.2b 2 \ Extra-over for hard rock. (Provisional Quantities)/\KS12_008-Concrete Drop Inlet \m³\0.874055 \ 500" u="1"/>
        <s v="SABS1200 DA \EARTHWORKS (SMALL WORKS)/8.3\SCHEDULED ITEMS/8.3.2b 2\Extra-over for hard rock. (Provisional Quantities)/\KS13_011-Concrete Drop Inlet. Drawing NBC-GTW-CL-0015 \m³\1 \ 500" u="1"/>
        <s v="SABS1200 DA \EARTHWORKS (SMALL WORKS)/8.3\SCHEDULED ITEMS/8.3.2b 2\Extra-over for hard rock. (Provisional Quantities)/\KS21_007-Concrete Drop Inlet. Drawing NBC-GTW-CL-0042 \m³\0.81971 \ 500" u="1"/>
        <s v="SABS1200 DA  \ Earthworks (Small Works) / 8.3\ SCHEDULED ITEMS / 8.3.2b 2 \ Extra-over for hard rock. (Provisional Quantities)/\KS18_017-Concrete Drop Inlet. Refer to drawing W \m³\1.14728 \ 500" u="1"/>
        <s v="SABS1200 DA \EARTHWORKS (SMALL WORKS)/8.3\SCHEDULED ITEMS/8.3.2b 2\Extra-over for hard rock. (Provisional Quantities)/\KS12_002-Concrete Drop Inlet. Drawing NBC-GTW-CL-0002 \m³\2 \ 500" u="1"/>
        <s v="SABS1200 DA  \ Earthworks (Small Works) / 8.3\ SCHEDULED ITEMS / 8.3.2b 2 \ Extra-over for hard rock. (Provisional Quantities)/\KS18_015-Concrete Drop Inlet \m³\1.50426 \ 500" u="1"/>
        <s v="SABS1200 DA \EARTHWORKS (SMALL WORKS)/8.3\SCHEDULED ITEMS/8.3.2b 2\Extra-over for hard rock. (Provisional Quantities)/\KS18_016-Concrete Drop Inlet. Refer to drawing NBC-GTW-CL-0022 \m³\1.22132 \ 500" u="1"/>
        <s v="SABS1200 DA \EARTHWORKS (SMALL WORKS)/8.3\SCHEDULED ITEMS/8.3.2b 2\Extra-over for hard rock. (Provisional Quantities)/\KS13_008-Concrete Drop Inlet. Drawing NBC-GTW-CL-0014 \m³\1.07736 \ 500" u="1"/>
        <s v="SABS1200 DA  \ Earthworks (Small Works) / 8.3\ SCHEDULED ITEMS / 8.3.2b 2 \ Extra-over for hard rock. (Provisional Quantities)/\KS18_015-Concrete Drop Inlet. Refer to drawing U \m³\1.50426 \ 500" u="1"/>
        <s v="SABS1200 DA  \ Earthworks (Small Works) / 8.3\ SCHEDULED ITEMS / 8.3.2b 2 \ Extra-over for hard rock. (Provisional Quantities)/\KS12_007-Concrete Drop Inlet \m³\1.2450875 \ 500" u="1"/>
        <s v="SABS1200 DA  \ Earthworks (Small Works) / 8.3\ SCHEDULED ITEMS / 8.3.2b 2 \ Extra-over for hard rock. (Provisional Quantities)/\KS13_015-Concrete Drop Inlet \m³\1.20787 \ 500" u="1"/>
        <s v="SABS1200 DA \EARTHWORKS (SMALL WORKS)/8.3\SCHEDULED ITEMS/8.3.2b 2\Extra-over for hard rock. (Provisional Quantities)/\KS18_016-Concrete Drop Inlet. Drawing NBC-GTW-CL-0022 \m³\1.22132 \ 500" u="1"/>
        <s v="SABS1200 DA  \ Earthworks (Small Works) / 8.3\ SCHEDULED ITEMS / 8.3.2b 2 \ Extra-over for hard rock. (Provisional Quantities)/\KS13_003-Concrete Drop Inlet \m³\1.15875 \ 500" u="1"/>
        <s v="SABS1200 DA  \ Earthworks (Small Works) / 8.3\ SCHEDULED ITEMS / 8.3.2b 2 \ Extra-over for hard rock. (Provisional Quantities)/\KS20_003-Concrete Buttress Weir \m³\2.1830841 \ 500" u="1"/>
        <s v="SABS1200 DA  / Earthworks (Small Works) / 8.3 / 8.3.2b 2 / Extra-over for hard rock / KS20_003-Concrete Buttress Weir / 2.1830841 / m³" u="1"/>
        <s v="SABS1200 DA  \ Earthworks (Small Works) / 8.3\ SCHEDULED ITEMS / 8.3.2b 2 \ Extra-over for hard rock. (Provisional Quantities)/\KS20_008-Concrete Drop Inlet \m³\1.42998 \ 500" u="1"/>
        <s v="SABS1200 DA  \ Earthworks (Small Works) / 8.3\ SCHEDULED ITEMS / 8.3.2b 2 \ Extra-over for hard rock. (Provisional Quantities)/\KS20_006-Concrete Drop Inlet \m³\1.8831075 \ 500" u="1"/>
        <s v="SABS1200 DA  / Earthworks (Small Works) / 8.3 / 8.3.2b 2 / Extra-over for hard rock / KS20_002-Concrete Drop Inlet / 1.86188 / m³" u="1"/>
        <s v="SABS1200 DA \EARTHWORKS (SMALL WORKS)/8.3\SCHEDULED ITEMS/8.3.2b 2\Extra-over for hard rock. (Provisional Quantities)/\KS20_009_a-Concrete Buttress Weir. Refer to drawing NBC-GTW-CL-0035 \m³\3.4936105 \ 500" u="1"/>
        <s v="SABS1200 DA \EARTHWORKS (SMALL WORKS)/8.3\SCHEDULED ITEMS/8.3.2b 2\Extra-over for hard rock. (Provisional Quantities)/\KS20_004-Concrete Drop Inlet. Drawing NBC-GTW-CL-0030 \m³\2.1387293 \ 500" u="1"/>
        <s v="SABS1200 DA  \ Earthworks (Small Works) / 8.3\ SCHEDULED ITEMS / 8.3.2b 2 \ Extra-over for hard rock. (Provisional Quantities)/\KS18_001-Concrete Drop Inlet \m³\1.618054 \ 500" u="1"/>
        <s v="SABS1200 DA  \ Earthworks (Small Works) / 8.3\ SCHEDULED ITEMS / 8.3.2b 2 \ Extra-over for hard rock. (Provisional Quantities)/\KS18_019-Concrete Drop Inlet. Refer to drawing Y \m³\0.95038 \ 500" u="1"/>
        <s v="SABS1200 DA \EARTHWORKS (SMALL WORKS)/8.3\SCHEDULED ITEMS/8.3.2b 2\Extra-over for hard rock. (Provisional Quantities)/\KS13_007-Concrete Drop Inlet. Drawing NBC-GTW-CL-0013 \m³\1.799528 \ 500" u="1"/>
        <s v="SABS1200 DA  \ Earthworks (Small Works) / 8.3\ SCHEDULED ITEMS / 8.3.2b 2 \ Extra-over for hard rock. (Provisional Quantities)/\KS13_007-Concrete Drop Inlet. Refer to drawing M \m³\0.94712 \ 500" u="1"/>
        <s v="SABS1200 DA \EARTHWORKS (SMALL WORKS)/8.3\SCHEDULED ITEMS/8.3.2b 2\Extra-over for hard rock. (Provisional Quantities)/\KS21_006-Concrete Drop Inlet. Refer to drawing NBC-GTW-CL-0041 \m³\0.84057375 \ 500" u="1"/>
        <s v="SABS1200 DA  \ Earthworks (Small Works) / 8.3\ SCHEDULED ITEMS / 8.3.2b 2 \ Extra-over for hard rock. (Provisional Quantities)/\KS12_005-Concrete Drop Inlet. Refer to drawing D \m³\0.9586479 \ 500" u="1"/>
        <s v="SABS1200 DA  / Earthworks (Small Works) / 8.3 / 8.3.2b 2 / Extra-over for hard rock / KS20_004-Concrete Drop Inlet / 1.125647 / m³" u="1"/>
        <s v="SABS1200 DA \EARTHWORKS (SMALL WORKS)/8.3\SCHEDULED ITEMS/8.3.2b 2\Extra-over for hard rock. (Provisional Quantities)/\KS21_010-Concrete Drop Inlet. Drawing NBC-GTW-CL-0044 \m³\0.99764225 \ 500" u="1"/>
        <s v="SABS1200 DA \EARTHWORKS (SMALL WORKS)/8.3\SCHEDULED ITEMS/8.3.2b 2\Extra-over for hard rock. (Provisional Quantities)/\KS12_006-Concrete Drop Inlet. Drawing NBC-GTW-CL-0005 \m³\1.59744875 \ 500" u="1"/>
        <s v="SABS1200 DA \EARTHWORKS (SMALL WORKS)/8.3\SCHEDULED ITEMS/8.3.2b 2\Extra-over for hard rock. (Provisional Quantities)/\KS20_008-Concrete Drop Inlet. Drawing NBC-GTW-CL-0034 \m³\1.42998 \ 500" u="1"/>
        <s v="SABS1200 DA  / Earthworks (Small Works) / 8.3 / 8.3.2b 2 / Extra-over for hard rock / KS12_009-Concrete Drop Inlet / 0.56478 / m³" u="1"/>
        <s v="SABS1200 DA \EARTHWORKS (SMALL WORKS)/8.3\SCHEDULED ITEMS/8.3.2b 2\Extra-over for hard rock. (Provisional Quantities)/\KS21_006-Concrete Drop Inlet. Drawing NBC-GTW-CL-0041 \m³\0.84057375 \ 500" u="1"/>
        <s v="SABS1200 DA \EARTHWORKS (SMALL WORKS)/8.3\SCHEDULED ITEMS/8.3.2b 2\Extra-over for hard rock. (Provisional Quantities)/\KS20_008-Concrete Drop Inlet. Refer to drawing NBC-GTW-CL-0034 \m³\1.42998 \ 500" u="1"/>
        <s v="SABS1200 DA \EARTHWORKS (SMALL WORKS)/8.3\SCHEDULED ITEMS/8.3.2b 2\Extra-over for hard rock. (Provisional Quantities)/\KS21_007-Concrete Drop Inlet. Drawing NBC-GTW-CL-0042 \m³\1.557449 \ 500" u="1"/>
        <s v="SABS1200 DA \EARTHWORKS (SMALL WORKS)/8.3\SCHEDULED ITEMS/8.3.2b 2\Extra-over for hard rock. (Provisional Quantities)/\KS19_002-Concrete Drop Inlet. Drawing NBC-GTW-CL-0026 \m³\1.020001 \ 500" u="1"/>
        <s v="SABS1200 DA  \ Earthworks (Small Works) / 8.3\ SCHEDULED ITEMS / 8.3.2b 2 \ Extra-over for hard rock. (Provisional Quantities)/\KS21_003-Concrete Drop Inlet \m³\0.678625 \ 500" u="1"/>
        <s v="SABS1200 DA \EARTHWORKS (SMALL WORKS)/8.3\SCHEDULED ITEMS/8.3.2b 2\Extra-over for hard rock. (Provisional Quantities)/\KS13_004-Concrete Drop Inlet. Drawing NBC-GTW-CL-0010 \m³\1.61595 \ 500" u="1"/>
        <s v="SABS1200 DA  \ Earthworks (Small Works) / 8.3\ SCHEDULED ITEMS / 8.3.2b 2 \ Extra-over for hard rock. (Provisional Quantities)/\KS13_003-Concrete Drop Inlet. Refer to drawing I \m³\1.15875 \ 500" u="1"/>
        <s v="SABS1200 DA \EARTHWORKS (SMALL WORKS)/8.3\SCHEDULED ITEMS/8.3.2b 2\Extra-over for hard rock. (Provisional Quantities)/\KS12_008-Concrete Drop Inlet. Drawing NBC-GTW-CL-0007 \m³\0.874055 \ 500" u="1"/>
        <s v="SABS1200 DA \EARTHWORKS (SMALL WORKS)/8.3\SCHEDULED ITEMS/8.3.2b 2\Extra-over for hard rock. (Provisional Quantities)/\KS18_016-Concrete Drop Inlet. Drawing NBC-GTW-CL-0022 \m³\2.320508 \ 500" u="1"/>
        <s v="SABS1200 DA  \ Earthworks (Small Works) / 8.3\ SCHEDULED ITEMS / 8.3.2b 2 \ Extra-over for hard rock. (Provisional Quantities)/\KS18_017-Concrete Drop Inlet \m³\1.14728 \ 500" u="1"/>
        <s v="SABS1200 DA \EARTHWORKS (SMALL WORKS)/8.3\SCHEDULED ITEMS/8.3.2b 2\Extra-over for hard rock. (Provisional Quantities)/\KS18_018-Concrete Drop Inlet. Drawing NBC-GTW-CL-0024 \m³\1.376995 \ 500" u="1"/>
        <s v="SABS1200 DA  \ Earthworks (Small Works) / 8.3\ SCHEDULED ITEMS / 8.3.2b 2 \ Extra-over for hard rock. (Provisional Quantities)/\KS18_016-Concrete Drop Inlet \m³\1.22132 \ 500" u="1"/>
        <s v="SABS1200 DA \EARTHWORKS (SMALL WORKS)/8.3\SCHEDULED ITEMS/8.3.2b 2\Extra-over for hard rock. (Provisional Quantities)/\KS13_012-Concrete Drop Inlet. Refer to drawing NBC-GTW-CL-0016 \m³\0.808925 \ 500" u="1"/>
        <s v="SABS1200 DA  \ Earthworks (Small Works) / 8.3\ SCHEDULED ITEMS / 8.3.2b 2 \ Extra-over for hard rock. (Provisional Quantities)/\KS20_005-Concrete Drop Inlet \m³\1.8331225 \ 500" u="1"/>
        <s v="SABS1200 DA  / Earthworks (Small Works) / 8.3 / 8.3.2b 2 / Extra-over for hard rock / KS20_001-Concrete Drop Inlet / 1.366665 / m³" u="1"/>
        <s v="SABS1200 DA \EARTHWORKS (SMALL WORKS)/8.3\SCHEDULED ITEMS/8.3.2b 2\Extra-over for hard rock. (Provisional Quantities)/\KS18_015-Concrete Drop Inlet. Drawing NBC-GTW-CL-0021 \m³\2.858094 \ 500" u="1"/>
        <s v="SABS1200 DA \EARTHWORKS (SMALL WORKS)/8.3\SCHEDULED ITEMS/8.3.2b 2\Extra-over for hard rock. (Provisional Quantities)/\KS20_007-Concrete Drop Inlet. Drawing NBC-GTW-CL-0033 \m³\1.4785685 \ 500" u="1"/>
        <s v="SABS1200 DA \EARTHWORKS (SMALL WORKS)/8.3\SCHEDULED ITEMS/8.3.2b 2\Extra-over for hard rock. (Provisional Quantities)/\KS12_005-Concrete Drop Inlet. Refer to drawing NBC-GTW-CL-0004 \m³\0.9586479 \ 500" u="1"/>
        <s v="SABS1200 DA  / Earthworks (Small Works) / 8.3 / 8.3.2b 2 / Extra-over for hard rock / KS18_017-Concrete Drop Inlet / 1.14728 / m³" u="1"/>
        <s v="SABS1200 DA \EARTHWORKS (SMALL WORKS)/8.3\SCHEDULED ITEMS/8.3.2b 2\Extra-over for hard rock. (Provisional Quantities)/\KS18_018-Concrete Drop Inlet. Refer to drawing NBC-GTW-CL-0024 \m³\1.376995 \ 500" u="1"/>
        <s v="SABS1200 DA  / Earthworks (Small Works) / 8.3 / 8.3.2b 2 / Extra-over for hard rock / KS12_008-Concrete Drop Inlet / 0.874055 / m³" u="1"/>
        <s v="SABS1200 DA  / Earthworks (Small Works) / 8.3 / 8.3.2b 2 / Extra-over for hard rock / KS13_012-Concrete Drop Inlet / 0.808925 / m³" u="1"/>
        <s v="SABS1200 DA  \ Earthworks (Small Works) / 8.3\ SCHEDULED ITEMS / 8.3.2b 2 \ Extra-over for hard rock. (Provisional Quantities)/\KS20_007-Concrete Drop Inlet \m³\1.4785685 \ 500" u="1"/>
        <s v="SABS1200 DA \EARTHWORKS (SMALL WORKS)/8.3\SCHEDULED ITEMS/8.3.2b 2\Extra-over for hard rock. (Provisional Quantities)/\KS20_001-Concrete Drop Inlet. Drawing NBC-GTW-CL-0027 \m³\1.366665 \ 500" u="1"/>
        <s v="SABS1200 DA \EARTHWORKS (SMALL WORKS)/8.3\SCHEDULED ITEMS/8.3.2b 2\Extra-over for hard rock. (Provisional Quantities)/\KS20_006-Concrete Drop Inlet. Refer to drawing NBC-GTW-CL-0032 \m³\1.8831075 \ 500" u="1"/>
        <s v="SABS1200 DA \EARTHWORKS (SMALL WORKS)/8.3\SCHEDULED ITEMS/8.3.2b 2\Extra-over for hard rock. (Provisional Quantities)/\KS18_002-Concrete Drop Inlet. Refer to drawing NBC-GTW-CL-0020 \m³\0.8493175 \ 500" u="1"/>
        <s v="SABS1200 DA \EARTHWORKS (SMALL WORKS)/8.3\SCHEDULED ITEMS/8.3.2b 2\Extra-over for hard rock. (Provisional Quantities)/\KS20_006-Concrete Drop Inlet. Refer to drawing NBC-GTW-CL-0032 \m³\1.4631175 \ 500" u="1"/>
        <s v="SABS1200 DA \EARTHWORKS (SMALL WORKS)/8.3\SCHEDULED ITEMS/8.3.2b 2\Extra-over for hard rock. (Provisional Quantities)/\KS12_008-Concrete Drop Inlet. Drawing NBC-GTW-CL-0007 \m³\1.6607045 \ 500" u="1"/>
        <s v="SABS1200 DA \EARTHWORKS (SMALL WORKS)/8.3\SCHEDULED ITEMS/8.3.2b 2\Extra-over for hard rock. (Provisional Quantities)/\KS20_002-Concrete Drop Inlet. Refer to drawing NBC-GTW-CL-0028 \m³\1.580255 \ 500" u="1"/>
        <s v="SABS1200 DA \EARTHWORKS (SMALL WORKS)/8.3\SCHEDULED ITEMS/8.3.2b 2\Extra-over for hard rock. (Provisional Quantities)/\KS21_009-Concrete Drop Inlet. Refer to drawing NBC-GTW-CL-0043 \m³\1.0578575 \ 500" u="1"/>
        <s v="SABS1200 DA \EARTHWORKS (SMALL WORKS)/8.3\SCHEDULED ITEMS/8.3.2b 2\Extra-over for hard rock. (Provisional Quantities)/\KS13_005-Concrete Drop Inlet. Refer to drawing NBC-GTW-CL-0011 \m³\1.07583 \ 500" u="1"/>
        <s v="SABS1200 DA \EARTHWORKS (SMALL WORKS)/8.3\SCHEDULED ITEMS/8.3.2b 2\Extra-over for hard rock. (Provisional Quantities)/\KS13_006-Concrete Drop Inlet. Refer to drawing NBC-GTW-CL-0012 \m³\1.07583 \ 500" u="1"/>
        <s v="SABS1200 DA  \ Earthworks (Small Works) / 8.3\ SCHEDULED ITEMS / 8.3.2b 2 \ Extra-over for hard rock. (Provisional Quantities)/\KS18_001-Concrete Drop Inlet. Refer to drawing S \m³\1.618054 \ 500" u="1"/>
        <s v="SABS1200 DA \EARTHWORKS (SMALL WORKS)/8.3\SCHEDULED ITEMS/8.3.2b 2\Extra-over for hard rock. (Provisional Quantities)/\KS18_017-Concrete Drop Inlet. Drawing NBC-GTW-CL-0023 \m³\1.14728 \ 500" u="1"/>
        <s v="SABS1200 DA  \ Earthworks (Small Works) / 8.3\ SCHEDULED ITEMS / 8.3.2b 2 \ Extra-over for hard rock. (Provisional Quantities)/\KS12_008-Concrete Drop Inlet. Refer to drawing G \m³\0.874055 \ 500" u="1"/>
        <s v="SABS1200 DA  \ Earthworks (Small Works) / 8.3\ SCHEDULED ITEMS / 8.3.2b 2 \ Extra-over for hard rock. (Provisional Quantities)/\KS13_012-Concrete Drop Inlet \m³\0.808925 \ 500" u="1"/>
        <s v="SABS1200 DA \EARTHWORKS (SMALL WORKS)/8.3\SCHEDULED ITEMS/8.3.2b 2\Extra-over for hard rock. (Provisional Quantities)/\KS12_007-Concrete Drop Inlet. Refer to drawing NBC-GTW-CL-0006 \m³\1.2450875 \ 500" u="1"/>
        <s v="SABS1200 DA \EARTHWORKS (SMALL WORKS)/8.3\SCHEDULED ITEMS/8.3.2b 2\Extra-over for hard rock. (Provisional Quantities)/\KS13_004-Concrete Drop Inlet. Refer to drawing NBC-GTW-CL-0010 \m³\0.8505 \ 500" u="1"/>
        <s v="SABS1200 DA \EARTHWORKS (SMALL WORKS)/8.3\SCHEDULED ITEMS/8.3.2b 2\Extra-over for hard rock. (Provisional Quantities)/\KS18_015-Concrete Drop Inlet. Drawing NBC-GTW-CL-0021 \m³\1.50426 \ 500" u="1"/>
        <s v="SABS1200 DA  / Earthworks (Small Works) / 8.3 / 8.3.2b 2 / Extra-over for hard rock / KS13_003-Concrete Drop Inlet / 1.15875 / m³" u="1"/>
        <s v="SABS1200 DA  / Earthworks (Small Works) / 8.3 / 8.3.2b 2 / Extra-over for hard rock / KS21_003-Concrete Drop Inlet / 0.678625 / m³" u="1"/>
        <s v="SABS1200 DA  / Earthworks (Small Works) / 8.3 / 8.3.2b 2 / Extra-over for hard rock / KS20_005-Concrete Drop Inlet / 1.8331225 / m³" u="1"/>
        <s v="SABS1200 DA \EARTHWORKS (SMALL WORKS)/8.3\SCHEDULED ITEMS/8.3.2b 2\Extra-over for hard rock. (Provisional Quantities)/\KS12_007-Concrete Drop Inlet. Drawing NBC-GTW-CL-0006 \m³\2.36566625 \ 500" u="1"/>
        <s v="SABS1200 DA \EARTHWORKS (SMALL WORKS)/8.3\SCHEDULED ITEMS/8.3.2b 2\Extra-over for hard rock. (Provisional Quantities)/\KS18_020-Concrete Drop Inlet associated with Road Culvert  \m³\1.9012065 \ 500" u="1"/>
        <s v="SABS1200 DA \EARTHWORKS (SMALL WORKS)/8.3\SCHEDULED ITEMS/8.3.2b 2\Extra-over for hard rock. (Provisional Quantities)/\KS13_012-Concrete Drop Inlet. Drawing NBC-GTW-CL-0016 \m³\1.49651125 \ 500" u="1"/>
        <s v="SABS1200 DA \EARTHWORKS (SMALL WORKS)/8.3\SCHEDULED ITEMS/8.3.2b 2\Extra-over for hard rock. (Provisional Quantities)/\KS20_002-Concrete Drop Inlet. Refer to drawing NBC-GTW-CL-0028 \m³\1.86188 \ 500" u="1"/>
        <s v="SABS1200 DA \EARTHWORKS (SMALL WORKS)/8.3\SCHEDULED ITEMS/8.3.2b 2\Extra-over for hard rock. (Provisional Quantities)/\KS20_003-Concrete Buttress Weir. Drawing NBC-GTW-CL-0029 \m³\2.1830841 \ 500" u="1"/>
        <s v="SABS1200 DA \EARTHWORKS (SMALL WORKS)/8.3\SCHEDULED ITEMS/8.3.2b 2\Extra-over for hard rock. (Provisional Quantities)/\KS18_019-Concrete Drop Inlet. Refer to drawing NBC-GTW-CL-0025 \m³\0.95038 \ 500" u="1"/>
        <s v="SABS1200 DA  / Earthworks (Small Works) / 8.3 / 8.3.2b 2 / Extra-over for hard rock / KS21_006-Concrete Drop Inlet / 0.84057375 / m³" u="1"/>
        <s v="SABS1200 DA \EARTHWORKS (SMALL WORKS)/8.3\SCHEDULED ITEMS/8.3.2b 2\Extra-over for hard rock. (Provisional Quantities)/\KS18_017-Concrete Drop Inlet. Drawing NBC-GTW-CL-0023 \m³\2.179832 \ 500" u="1"/>
        <s v="SABS1200 DA \EARTHWORKS (SMALL WORKS)/8.3\SCHEDULED ITEMS/8.3.2b 2\Extra-over for hard rock. (Provisional Quantities)/\KS13_013-Concrete Drop Inlet. Drawing NBC-GTW-CL-0017 \m³\0.9969 \ 500" u="1"/>
        <s v="SABS1200 DA \EARTHWORKS (SMALL WORKS)/8.3\SCHEDULED ITEMS/8.3.2b 2\Extra-over for hard rock. (Provisional Quantities)/\KS20_005-Concrete Drop Inlet. Drawing NBC-GTW-CL-0031 \m³\3.48293275 \ 500" u="1"/>
        <s v="SABS1200 DA  \ Earthworks (Small Works) / 8.3\ SCHEDULED ITEMS / 8.3.2b 2 \ Extra-over for hard rock. (Provisional Quantities)/\KS21_006-Concrete Drop Inlet. Refer to drawing AO \m³\0.84057375 \ 500" u="1"/>
        <s v="SABS1200 DA  \ Earthworks (Small Works) / 8.3\ SCHEDULED ITEMS / 8.3.2b 2 \ Extra-over for hard rock. (Provisional Quantities)/\KS13_015-Concrete Drop Inlet. Refer to drawing R \m³\1.20787 \ 500" u="1"/>
        <s v="SABS1200 DA  \ Earthworks (Small Works) / 8.3\ SCHEDULED ITEMS / 8.3.2b 2 \ Extra-over for hard rock. (Provisional Quantities)/\KS18_018-Concrete Drop Inlet. Refer to drawing X \m³\1.376995 \ 500" u="1"/>
        <s v="SABS1200 DA \EARTHWORKS (SMALL WORKS)/8.3\SCHEDULED ITEMS/8.3.2b 2\Extra-over for hard rock. (Provisional Quantities)/\KS20_009_a-Concrete Buttress Weir. Drawing NBC-GTW-CL-0035 \m³\6.63785995 \ 500" u="1"/>
      </sharedItems>
    </cacheField>
    <cacheField name="Top Soiling" numFmtId="0">
      <sharedItems count="491" longText="1">
        <s v=" "/>
        <s v="SABS1200 DA \EARTHWORKS (SMALL WORKS)/8.3\SCHEDULED ITEMS/8.3.6\Top Soiling. Rate to allow for excavations from stockpiled top soil  and vegetation, transport, placement and spreading to a nominal depth of 150 mm./\DS12_001-Excavation of Dam Wall  \m²\1251.40232690631 \ 5"/>
        <s v="SABS1200 DA \EARTHWORKS (SMALL WORKS)/8.3\SCHEDULED ITEMS/8.3.6\Top Soiling. Rate to allow for excavations from stockpiled top soil  and vegetation, transport, placement and spreading to a nominal depth of 150 mm./\DS12_002-Backfilling Dam  \m²\995.487318191585 \ 5"/>
        <s v="SABS1200 DA \EARTHWORKS (SMALL WORKS)/8.3\SCHEDULED ITEMS/8.3.6\Top Soiling. Rate to allow for excavations from stockpiled top soil  and vegetation, transport, placement and spreading to a nominal depth of 150 mm./\DS12_003-Excavation of Dam Wall  \m²\621.569611479008 \ 5"/>
        <s v="SABS1200 DA \EARTHWORKS (SMALL WORKS)/8.3\SCHEDULED ITEMS/8.3.6\Top Soiling. Rate to allow for excavations from stockpiled top soil  and vegetation, transport, placement and spreading to a nominal depth of 150 mm./\ks11-002a-Concrete Drop Inlet on Dam Wall  \m²\31.8 \ 5"/>
        <s v="SABS1200 DA \EARTHWORKS (SMALL WORKS)/8.3\SCHEDULED ITEMS/8.3.6\Top Soiling. Rate to allow for excavations from stockpiled top soil  and vegetation, transport, placement and spreading to a nominal depth of 150 mm./\ks11-002c-Dam wall excavation. Drawing NBC-GTW-CL-0067 \m²\1870 \ 5"/>
        <s v="SABS1200 DA \EARTHWORKS (SMALL WORKS)/8.3\SCHEDULED ITEMS/8.3.6\Top Soiling. Rate to allow for excavations from stockpiled top soil  and vegetation, transport, placement and spreading to a nominal depth of 150 mm./\ks11-004a-Concrete Drop Inlet on Dam Wall  \m²\31.8 \ 5"/>
        <s v="SABS1200 DA \EARTHWORKS (SMALL WORKS)/8.3\SCHEDULED ITEMS/8.3.6\Top Soiling. Rate to allow for excavations from stockpiled top soil  and vegetation, transport, placement and spreading to a nominal depth of 150 mm./\ks11-004c-Dam wall excavation. Drawing NBC-GTW-CL-0068 \m²\1200 \ 5"/>
        <s v="SABS1200 DA \EARTHWORKS (SMALL WORKS)/8.3\SCHEDULED ITEMS/8.3.6\Top Soiling. Rate to allow for excavations from stockpiled top soil  and vegetation, transport, placement and spreading to a nominal depth of 150 mm./\KS12_002-Concrete Drop Inlet. Drawing NBC-GTW-CL-0002 \m²\30 \ 5"/>
        <s v="SABS1200 DA \EARTHWORKS (SMALL WORKS)/8.3\SCHEDULED ITEMS/8.3.6\Top Soiling. Rate to allow for excavations from stockpiled top soil  and vegetation, transport, placement and spreading to a nominal depth of 150 mm./\KS12_003-Removal of Berm and Dam Wall  \m²\1876.14315788985 \ 5"/>
        <s v="SABS1200 DA \EARTHWORKS (SMALL WORKS)/8.3\SCHEDULED ITEMS/8.3.6\Top Soiling. Rate to allow for excavations from stockpiled top soil  and vegetation, transport, placement and spreading to a nominal depth of 150 mm./\KS12_004-Concrete Drop Inlet. Drawing NBC-GTW-CL-0003 \m²\21.76 \ 5"/>
        <s v="SABS1200 DA \EARTHWORKS (SMALL WORKS)/8.3\SCHEDULED ITEMS/8.3.6\Top Soiling. Rate to allow for excavations from stockpiled top soil  and vegetation, transport, placement and spreading to a nominal depth of 150 mm./\KS12_005-Concrete Drop Inlet. Drawing NBC-GTW-CL-0004 \m²\21.92 \ 5"/>
        <s v="SABS1200 DA \EARTHWORKS (SMALL WORKS)/8.3\SCHEDULED ITEMS/8.3.6\Top Soiling. Rate to allow for excavations from stockpiled top soil  and vegetation, transport, placement and spreading to a nominal depth of 150 mm./\KS12_006-Concrete Drop Inlet. Drawing NBC-GTW-CL-0005 \m²\21.44 \ 5"/>
        <s v="SABS1200 DA \EARTHWORKS (SMALL WORKS)/8.3\SCHEDULED ITEMS/8.3.6\Top Soiling. Rate to allow for excavations from stockpiled top soil  and vegetation, transport, placement and spreading to a nominal depth of 150 mm./\KS12_007-Concrete Drop Inlet. Drawing NBC-GTW-CL-0006 \m²\21.92 \ 5"/>
        <s v="SABS1200 DA \EARTHWORKS (SMALL WORKS)/8.3\SCHEDULED ITEMS/8.3.6\Top Soiling. Rate to allow for excavations from stockpiled top soil  and vegetation, transport, placement and spreading to a nominal depth of 150 mm./\KS12_008-Concrete Drop Inlet. Drawing NBC-GTW-CL-0007 \m²\21.44 \ 5"/>
        <s v="SABS1200 DA \EARTHWORKS (SMALL WORKS)/8.3\SCHEDULED ITEMS/8.3.6\Top Soiling. Rate to allow for excavations from stockpiled top soil  and vegetation, transport, placement and spreading to a nominal depth of 150 mm./\KS12_009-Concrete Drop Inlet. Drawing NBC-GTW-CL-0008 \m²\21.44 \ 5"/>
        <s v="SABS1200 DA \EARTHWORKS (SMALL WORKS)/8.3\SCHEDULED ITEMS/8.3.6\Top Soiling. Rate to allow for excavations from stockpiled top soil  and vegetation, transport, placement and spreading to a nominal depth of 150 mm./\KS12_010-Removal of Dam Wall  \m²\619.185479905302 \ 5"/>
        <s v="SABS1200 DA \EARTHWORKS (SMALL WORKS)/8.3\SCHEDULED ITEMS/8.3.6\Top Soiling. Rate to allow for excavations from stockpiled top soil  and vegetation, transport, placement and spreading to a nominal depth of 150 mm./\KS13_001-Infilling of Drains  \m²\1148.93998599451 \ 5"/>
        <s v="SABS1200 DA \EARTHWORKS (SMALL WORKS)/8.3\SCHEDULED ITEMS/8.3.6\Top Soiling. Rate to allow for excavations from stockpiled top soil  and vegetation, transport, placement and spreading to a nominal depth of 150 mm./\KS13_002-Infilling of Drains  \m²\85.816653826392 \ 5"/>
        <s v="SABS1200 DA \EARTHWORKS (SMALL WORKS)/8.3\SCHEDULED ITEMS/8.3.6\Top Soiling. Rate to allow for excavations from stockpiled top soil  and vegetation, transport, placement and spreading to a nominal depth of 150 mm./\KS13_003-Concrete Drop Inlet. Drawing NBC-GTW-CL-0009 \m²\23.2 \ 5"/>
        <s v="SABS1200 DA \EARTHWORKS (SMALL WORKS)/8.3\SCHEDULED ITEMS/8.3.6\Top Soiling. Rate to allow for excavations from stockpiled top soil  and vegetation, transport, placement and spreading to a nominal depth of 150 mm./\KS13_009-Infilling of Drains  \m²\78.5716708603933 \ 5"/>
        <s v="SABS1200 DA \EARTHWORKS (SMALL WORKS)/8.3\SCHEDULED ITEMS/8.3.6\Top Soiling. Rate to allow for excavations from stockpiled top soil  and vegetation, transport, placement and spreading to a nominal depth of 150 mm./\KS13_010-Removal of Berm  \m²\1020.985 \ 5"/>
        <s v="SABS1200 DA \EARTHWORKS (SMALL WORKS)/8.3\SCHEDULED ITEMS/8.3.6\Top Soiling. Rate to allow for excavations from stockpiled top soil  and vegetation, transport, placement and spreading to a nominal depth of 150 mm./\KS13_014-Infilling of Drains  \m²\278.716598321288 \ 5"/>
        <s v="SABS1200 DA \EARTHWORKS (SMALL WORKS)/8.3\SCHEDULED ITEMS/8.3.6\Top Soiling. Rate to allow for excavations from stockpiled top soil  and vegetation, transport, placement and spreading to a nominal depth of 150 mm./\KS13_016-Infilling of Drains  \m²\332.18699875976 \ 5"/>
        <s v="SABS1200 DA \EARTHWORKS (SMALL WORKS)/8.3\SCHEDULED ITEMS/8.3.6\Top Soiling. Rate to allow for excavations from stockpiled top soil  and vegetation, transport, placement and spreading to a nominal depth of 150 mm./\KS13_017-Backfilling Main Channel  \m²\4680 \ 5"/>
        <s v="SABS1200 DA \EARTHWORKS (SMALL WORKS)/8.3\SCHEDULED ITEMS/8.3.6\Top Soiling. Rate to allow for excavations from stockpiled top soil  and vegetation, transport, placement and spreading to a nominal depth of 150 mm./\KS15_003-Removal of Dam Wall  \m²\619.289401121074 \ 5"/>
        <s v="SABS1200 DA \EARTHWORKS (SMALL WORKS)/8.3\SCHEDULED ITEMS/8.3.6\Top Soiling. Rate to allow for excavations from stockpiled top soil  and vegetation, transport, placement and spreading to a nominal depth of 150 mm./\KS15-002-Backfill Main Channel  \m²\3846.97837810187 \ 5"/>
        <s v="SABS1200 DA \EARTHWORKS (SMALL WORKS)/8.3\SCHEDULED ITEMS/8.3.6\Top Soiling. Rate to allow for excavations from stockpiled top soil  and vegetation, transport, placement and spreading to a nominal depth of 150 mm./\KS16_001-Earthen berm  \m²\494.873340531892 \ 5"/>
        <s v="SABS1200 DA \EARTHWORKS (SMALL WORKS)/8.3\SCHEDULED ITEMS/8.3.6\Top Soiling. Rate to allow for excavations from stockpiled top soil  and vegetation, transport, placement and spreading to a nominal depth of 150 mm./\KS16_002-Excavate Dam Wall  \m²\283.947757718744 \ 5"/>
        <s v="SABS1200 DA \EARTHWORKS (SMALL WORKS)/8.3\SCHEDULED ITEMS/8.3.6\Top Soiling. Rate to allow for excavations from stockpiled top soil  and vegetation, transport, placement and spreading to a nominal depth of 150 mm./\KS16_004-Earthen berm  \m²\480 \ 5"/>
        <s v="SABS1200 DA \EARTHWORKS (SMALL WORKS)/8.3\SCHEDULED ITEMS/8.3.6\Top Soiling. Rate to allow for excavations from stockpiled top soil  and vegetation, transport, placement and spreading to a nominal depth of 150 mm./\KS18-021-Backfill Main Channel  \m²\3294.95 \ 5"/>
        <s v="SABS1200 DA \EARTHWORKS (SMALL WORKS)/8.3\SCHEDULED ITEMS/8.3.6\Top Soiling. Rate to allow for excavations from stockpiled top soil  and vegetation, transport, placement and spreading to a nominal depth of 150 mm./\KS19_002-Concrete Drop Inlet. Drawing NBC-GTW-CL-0026 \m²\20.96 \ 5"/>
        <s v="SABS1200 DA \EARTHWORKS (SMALL WORKS)/8.3\SCHEDULED ITEMS/8.3.6\Top Soiling. Rate to allow for excavations from stockpiled top soil  and vegetation, transport, placement and spreading to a nominal depth of 150 mm./\KS19_006-Removal of Dam Wall  \m²\3134.04 \ 5"/>
        <s v="SABS1200 DA \EARTHWORKS (SMALL WORKS)/8.3\SCHEDULED ITEMS/8.3.6\Top Soiling. Rate to allow for excavations from stockpiled top soil  and vegetation, transport, placement and spreading to a nominal depth of 150 mm./\KS19_007-Infilling of Drains  \m²\179.7515 \ 5"/>
        <s v="SABS1200 DA \EARTHWORKS (SMALL WORKS)/8.3\SCHEDULED ITEMS/8.3.6\Top Soiling. Rate to allow for excavations from stockpiled top soil  and vegetation, transport, placement and spreading to a nominal depth of 150 mm./\KS20_001-Concrete Drop Inlet. Drawing NBC-GTW-CL-0027 \m²\23.52 \ 5"/>
        <s v="SABS1200 DA \EARTHWORKS (SMALL WORKS)/8.3\SCHEDULED ITEMS/8.3.6\Top Soiling. Rate to allow for excavations from stockpiled top soil  and vegetation, transport, placement and spreading to a nominal depth of 150 mm./\KS20_009_b-Concrete Check Wall. Drawing NBC-GTW-CL-0035 \m²\60 \ 5"/>
        <s v="SABS1200 DA \EARTHWORKS (SMALL WORKS)/8,3\SCHEDULED ITEMS/8.3.6\Top Soiling. Rate to allow for excavations from stockpiled top soil  and vegetation, transport, placement and spreading to a nominal depth of 150 mm./\KS20_009_c-Removal of Earthen Berm. Drawing NBC-GTW-CL-0035 \m²\69 \ 5"/>
        <s v="SABS1200 DA \EARTHWORKS (SMALL WORKS)/8.3\SCHEDULED ITEMS/8.3.6\Top Soiling. Rate to allow for excavations from stockpiled top soil  and vegetation, transport, placement and spreading to a nominal depth of 150 mm./\KS20_011-Backfilling Main Channel  \m²\6700 \ 5"/>
        <s v="SABS1200 DA \EARTHWORKS (SMALL WORKS)/8.3\SCHEDULED ITEMS/8.3.6\Top Soiling. Rate to allow for excavations from stockpiled top soil  and vegetation, transport, placement and spreading to a nominal depth of 150 mm./\KS21_003-Concrete Drop Inlet. Drawing NBC-GTW-CL-0039 \m²\22.24 \ 5"/>
        <s v="SABS1200 DA \EARTHWORKS (SMALL WORKS)/8,3\SCHEDULED ITEMS/8.3.6\Top Soiling. Rate to allow for excavations from stockpiled top soil  and vegetation, transport, placement and spreading to a nominal depth of 150 mm./\KS21_005-Concrete Drop Inlet. Drawing NBC-GTW-CL-0040 \m²\22,24 \ 5"/>
        <s v="SABS1200 DA \EARTHWORKS (SMALL WORKS)/8,3\SCHEDULED ITEMS/8.3.6\Top Soiling. Rate to allow for excavations from stockpiled top soil  and vegetation, transport, placement and spreading to a nominal depth of 150 mm./\KS21-010-Backfilling Main Channel. Drawing No Drawing \m²\2320,5501703847 \ 5"/>
        <s v="SABS1200 DA \EARTHWORKS (SMALL WORKS)/8,3\SCHEDULED ITEMS/8.3.6\Top Soiling. Rate to allow for excavations from stockpiled top soil  and vegetation, transport, placement and spreading to a nominal depth of 150 mm./\KS21-002-Earthworks  \m²\850 \ 5"/>
        <s v="SABS1200 DA \EARTHWORKS (SMALL WORKS)/8,3\SCHEDULED ITEMS/8.3.6\Top Soiling. Rate to allow for excavations from stockpiled top soil  and vegetation, transport, placement and spreading to a nominal depth of 150 mm./\KS21-004-Infilling of drain  \m²\111 \ 5"/>
        <s v="SABS1200 DA \EARTHWORKS (SMALL WORKS)/8,3\SCHEDULED ITEMS/8.3.6\Top Soiling. Rate to allow for excavations from stockpiled top soil  and vegetation, transport, placement and spreading to a nominal depth of 150 mm./\KS21-008-Infilling of drain  \m²\129,2 \ 5"/>
        <s v="SABS1200 DA \EARTHWORKS (SMALL WORKS)/8.3\SCHEDULED ITEMS/8.3.6\Top Soiling. Rate to allow for excavations from stockpiled top soil  and vegetation, transport, placement and spreading to a nominal depth of 150 mm./\LS08_001-Removal of Berm  \m²\148.532778078669 \ 5"/>
        <s v="SABS1200 DA \EARTHWORKS (SMALL WORKS)/8.3\SCHEDULED ITEMS/8.3.6\Top Soiling. Rate to allow for excavations from stockpiled top soil  and vegetation, transport, placement and spreading to a nominal depth of 150 mm./\LS12_001-Removal of dam wall  \m²\2917.70393453744 \ 5"/>
        <s v="SABS1200 DA \EARTHWORKS (SMALL WORKS)/8.3\SCHEDULED ITEMS/8.3.6\Top Soiling. Rate to allow for excavations from stockpiled top soil  and vegetation, transport, placement and spreading to a nominal depth of 150 mm./\LS12_002-Removal of Berm  \m²\76 \ 5"/>
        <s v="SABS1200 DA \EARTHWORKS (SMALL WORKS)/8.3\SCHEDULED ITEMS/8.3.6\Top Soiling. Rate to allow for excavations from stockpiled top soil  and vegetation, transport, placement and spreading to a nominal depth of 150 mm./\LS16_012-Removal of Road  \m²\360 \ 5"/>
        <s v="SABS1200 DA \EARTHWORKS (SMALL WORKS)/8.3\SCHEDULED ITEMS/8.3.6\Top Soiling. Rate to allow for excavations from stockpiled top soil  and vegetation, transport, placement and spreading to a nominal depth of 150 mm./\LS16_015-Earthworks (Reinforce Dam Wall)  \m²\567 \ 5"/>
        <s v="SABS1200 DA \EARTHWORKS (SMALL WORKS)/8.3\SCHEDULED ITEMS/8.3.6\Top Soiling. Rate to allow for excavations from stockpiled top soil  and vegetation, transport, placement and spreading to a nominal depth of 150 mm./\LS16_020-Removal of Road  \m²\1782 \ 5"/>
        <s v="SABS1200 DA \EARTHWORKS (SMALL WORKS)/8.3\SCHEDULED ITEMS/8.3.6\Top Soiling. Rate to allow for excavations from stockpiled top soil  and vegetation, transport, placement and spreading to a nominal depth of 150 mm./\LS16_021-Backfill Main Channel and reshaping  \m²\6032.31 \ 5"/>
        <s v="SABS1200 DA \EARTHWORKS (SMALL WORKS)/8.3\SCHEDULED ITEMS/8.3.6\Top Soiling. Rate to allow for excavations from stockpiled top soil  and vegetation, transport, placement and spreading to a nominal depth of 150 mm./\Pan09_001-Removal of Dam Wall  \m²\594 \ 5"/>
        <s v="SABS1200 DA \EARTHWORKS (SMALL WORKS)/8.3\SCHEDULED ITEMS/8.3.6\Top Soiling. Rate to allow for excavations from stockpiled top soil  and vegetation, transport, placement and spreading to a nominal depth of 150 mm./\Pan14_004-Infilling of Drains  \m²\180 \ 5"/>
        <s v="SABS1200 DA \EARTHWORKS (SMALL WORKS)/8.3\SCHEDULED ITEMS/8.3.6\Top Soiling. Rate to allow for excavations from stockpiled top soil  and vegetation, transport, placement and spreading to a nominal depth of 150 mm./\Pan14_005-Infilling of Drains  \m²\450 \ 5"/>
        <s v="SABS1200 DA \EARTHWORKS (SMALL WORKS)/8.3\SCHEDULED ITEMS/8.3.6\Top Soiling. Rate to allow for excavations from stockpiled top soil  and vegetation, transport, placement and spreading to a nominal depth of 150 mm./\Pan14_006-Earthen Berms  \m²\190.755332217041 \ 5"/>
        <s v="SABS1200 DA \EARTHWORKS (SMALL WORKS)/8.3\SCHEDULED ITEMS/8.3.6\Top Soiling. Rate to allow for excavations from stockpiled top soil  and vegetation, transport, placement and spreading to a nominal depth of 150 mm./\Pan14_007-Infilling of Drains  \m²\76 \ 5"/>
        <s v="SABS1200 DA  / Earthworks (Small Works) / 8.3 / 8.3.6 / Top Soiling / Pan8_004-Removal of Berm / 18 / m²" u="1"/>
        <s v="SABS1200 DA  \ Earthworks (Small Works) / 8.3\ SCHEDULED ITEMS / 8.3.6 \ Top Soiling. /\KS13_010-Removal of Berm  \m²\1020.985 \ 5" u="1"/>
        <s v="SABS1200 DA  \ Earthworks (Small Works) / 8.3\ SCHEDULED ITEMS / 8.3.6 \ Top Soiling. /\KS20_009_a-Concrete Drop Inlet. Refer to drawing AI \m²\25.88 \ 5" u="1"/>
        <s v="SABS1200 DA  / Earthworks (Small Works) / 8.3 / 8.3.6 / Top Soiling / KS18_016-Concrete Drop Inlet / 23.36 / m²" u="1"/>
        <s v="SABS1200 DA  / Earthworks (Small Works) / 8.3 / 8.3.6 / Top Soiling / KS18_017-Concrete Drop Inlet / 23.36 / m²" u="1"/>
        <s v="SABS1200 DA  / Earthworks (Small Works) / 8.3 / 8.3.6 / Top Soiling / KS18_018-Concrete Drop Inlet / 23.36 / m²" u="1"/>
        <s v="SABS1200 DA  / Earthworks (Small Works) / 8.3 / 8.3.6 / Top Soiling / KS20_002-Concrete Drop Inlet / 23.36 / m²" u="1"/>
        <s v="SABS1200 DA  / Earthworks (Small Works) / 8.3 / 8.3.6 / Top Soiling / KS20_004-Concrete Drop Inlet / 23.36 / m²" u="1"/>
        <s v="SABS1200 DA  / Earthworks (Small Works) / 8.3 / 8.3.6 / Top Soiling / KS20_005-Concrete Drop Inlet / 23.36 / m²" u="1"/>
        <s v="SABS1200 DA  / Earthworks (Small Works) / 8.3 / 8.3.6 / Top Soiling / KS20_006-Concrete Drop Inlet / 23.36 / m²" u="1"/>
        <s v="SABS1200 DA  / Earthworks (Small Works) / 8.3 / 8.3.6 / Top Soiling / KS13_002-Infilling of Drains / 85.816653826392 / m²" u="1"/>
        <s v="SABS1200 DA  \ Earthworks (Small Works) / 8.3\ SCHEDULED ITEMS / 8.3.6 \ Top Soiling. /\LS12_001-Removal of dam wall  \m²\2917.70393453744 \ 5" u="1"/>
        <s v="SABS1200 DA  \ Earthworks (Small Works) / 8.3\ SCHEDULED ITEMS / 8.3.6 \ Top Soiling. /\KS12_005-Concrete Drop Inlet \m²\21.92 \ 5" u="1"/>
        <s v="SABS1200 DA  \ Earthworks (Small Works) / 8.3\ SCHEDULED ITEMS / 8.3.6 \ Top Soiling. /\KS12_007-Concrete Drop Inlet \m²\21.92 \ 5" u="1"/>
        <s v="SABS1200 DA  \ Earthworks (Small Works) / 8.3\ SCHEDULED ITEMS / 8.3.6 \ Top Soiling. /\KS21_009-Concrete Drop Inlet \m²\21.92 \ 5" u="1"/>
        <s v="SABS1200 DA  \ Earthworks (Small Works) / 8.3\ SCHEDULED ITEMS / 8.3.6 \ Top Soiling. /\KS21_010-Concrete Drop Inlet \m²\21.92 \ 5" u="1"/>
        <s v="SABS1200 DA  \ Earthworks (Small Works) / 8.3\ SCHEDULED ITEMS / 8.3.6 \ Top Soiling. /\LS16_012-Removal of Road  \m²\360 \ 5" u="1"/>
        <s v="SABS1200 DA \EARTHWORKS (SMALL WORKS)/8.3\SCHEDULED ITEMS/8.3.6\Top Soiling. /\KS21_006-Concrete Drop Inlet. Drawing NBC-GTW-CL-0041 \m²\21.6 \ 5" u="1"/>
        <s v="SABS1200 DA \EARTHWORKS (SMALL WORKS)/8.3\SCHEDULED ITEMS/8.3.6\Top Soiling. /\KS21_007-Concrete Drop Inlet. Drawing NBC-GTW-CL-0042 \m²\21.6 \ 5" u="1"/>
        <s v="SABS1200 DA  \ Earthworks (Small Works) / 8.3\ SCHEDULED ITEMS / 8.3.6 \ Top Soiling. /\KS13_007-Concrete Drop Inlet. Refer to drawing M \m²\22.24 \ 5" u="1"/>
        <s v="SABS1200 DA  \ Earthworks (Small Works) / 8.3\ SCHEDULED ITEMS / 8.3.6 \ Top Soiling. /\KS13_008-Concrete Drop Inlet. Refer to drawing N \m²\22.24 \ 5" u="1"/>
        <s v="SABS1200 DA  \ Earthworks (Small Works) / 8.3\ SCHEDULED ITEMS / 8.3.6 \ Top Soiling. /\KS18_019-Concrete Drop Inlet. Refer to drawing Y \m²\22.24 \ 5" u="1"/>
        <s v="SABS1200 DA  \ Earthworks (Small Works) / 8.3\ SCHEDULED ITEMS / 8.3.6 \ Top Soiling. /\KS21-002-Earthworks  \m²\850 \ 5" u="1"/>
        <s v="SABS1200 DA \EARTHWORKS (SMALL WORKS)/8.3\SCHEDULED ITEMS/8.3.6\Top Soiling. /\KS18_002-Concrete Drop Inlet. Drawing NBC-GTW-CL-0020 \m²\17.52 \ 5" u="1"/>
        <s v="SABS1200 DA \EARTHWORKS (SMALL WORKS)/8.3\SCHEDULED ITEMS/8.3.6\Top Soiling. /\KS20_009_a-Concrete Drop Inlet. Refer to drawing NBC-GTW-CL-0035 \m²\25.88 \ 5" u="1"/>
        <s v="SABS1200 DA  \ Earthworks (Small Works) / 8.3\ SCHEDULED ITEMS / 8.3.6 \ Top Soiling. /\KS13_001-Infilling of Drains \m²\1148.93998599451 \ 5" u="1"/>
        <s v="SABS1200 DA \EARTHWORKS (SMALL WORKS)/8.3\SCHEDULED ITEMS/8.3.6\Top Soiling. /\KS21-002-Earthworks  \m²\850 \ 5" u="1"/>
        <s v="SABS1200 DA  \ Earthworks (Small Works) / 8.3\ SCHEDULED ITEMS / 8.3.6 \ Top Soiling. /\KS13_011-Concrete Drop Inlet. Refer to drawing O \m²\22.88 \ 5" u="1"/>
        <s v="SABS1200 DA  / Earthworks (Small Works) / 8.3 / 8.3.6 / Top Soiling / KS20_007-Concrete Drop Inlet / 23.04 / m²" u="1"/>
        <s v="SABS1200 DA \EARTHWORKS (SMALL WORKS)/8.3\SCHEDULED ITEMS/8.3.6\Top Soiling. /\KS12_010-Removal of Dam Wall  \m²\619.185479905302 \ 5" u="1"/>
        <s v="SABS1200 DA  / Earthworks (Small Works) / 8.3 / 8.3.6 / Top Soiling / KS13_003-Concrete Drop Inlet / 23.2 / m²" u="1"/>
        <s v="SABS1200 DA  / Earthworks (Small Works) / 8.3 / 8.3.6 / Top Soiling / KS13_012-Concrete Drop Inlet / 23.2 / m²" u="1"/>
        <s v="SABS1200 DA  / Earthworks (Small Works) / 8.3 / 8.3.6 / Top Soiling / KS20_008-Concrete Drop Inlet / 23.2 / m²" u="1"/>
        <s v="SABS1200 DA  \ Earthworks (Small Works) / 8.3\ SCHEDULED ITEMS / 8.3.6 \ Top Soiling. /\LS16_012-Removal of Road \m²\360 \ 5" u="1"/>
        <s v="SABS1200 DA  \ Earthworks (Small Works) / 8.3\ SCHEDULED ITEMS / 8.3.6 \ Top Soiling. /\KS20_009_c-Earthen Berm. Refer to drawing AK \m²\69 \ 5" u="1"/>
        <s v="SABS1200 DA \EARTHWORKS (SMALL WORKS)/8.3\SCHEDULED ITEMS/8.3.6\Top Soiling. /\LS12_002-Removal of Berm  \m²\76 \ 5" u="1"/>
        <s v="SABS1200 DA  / Earthworks (Small Works) / 8.3 / 8.3.6 / Top Soiling / ks18-021-Backfill Main Channel / 3294.95 / m²" u="1"/>
        <s v="SABS1200 DA  \ Earthworks (Small Works) / 8.3\ SCHEDULED ITEMS / 8.3.6 \ Top Soiling. /\KS13_016-Infilling of Drains \m²\332.18699875976 \ 5" u="1"/>
        <s v="SABS1200 DA  \ Earthworks (Small Works) / 8.3\ SCHEDULED ITEMS / 8.3.6 \ Top Soiling. /\ks18-021-Backfill Main Channel \m²\3294.95 \ 5" u="1"/>
        <s v="SABS1200 DA  \ Earthworks (Small Works) / 8.3\ SCHEDULED ITEMS / 8.3.6 \ Top Soiling. /\KS20_001-Concrete Drop Inlet \m²\23.52 \ 5" u="1"/>
        <s v="SABS1200 DA \EARTHWORKS (SMALL WORKS)/8.3\SCHEDULED ITEMS/8.3.6\Top Soiling. /\KS13_009-Infilling of Drains  \m²\78.5716708603933 \ 5" u="1"/>
        <s v="SABS1200 DA  / Earthworks (Small Works) / 8.3 / 8.3.6 / Top Soiling / KS13_016-Infilling of Drains / 332.18699875976 / m²" u="1"/>
        <s v="SABS1200 DA  \ Earthworks (Small Works) / 8.3\ SCHEDULED ITEMS / 8.3.6 \ Top Soiling. /\KS19_002-Concrete Drop Inlet. Refer to drawing Z \m²\20.96 \ 5" u="1"/>
        <s v="SABS1200 DA \EARTHWORKS (SMALL WORKS)/8.3\SCHEDULED ITEMS/8.3.6\Top Soiling. /\KS18_016-Concrete Drop Inlet. Drawing NBC-GTW-CL-0022 \m²\23.36 \ 5" u="1"/>
        <s v="SABS1200 DA \EARTHWORKS (SMALL WORKS)/8.3\SCHEDULED ITEMS/8.3.6\Top Soiling. /\KS18_017-Concrete Drop Inlet. Drawing NBC-GTW-CL-0023 \m²\23.36 \ 5" u="1"/>
        <s v="SABS1200 DA \EARTHWORKS (SMALL WORKS)/8.3\SCHEDULED ITEMS/8.3.6\Top Soiling. /\KS18_018-Concrete Drop Inlet. Drawing NBC-GTW-CL-0024 \m²\23.36 \ 5" u="1"/>
        <s v="SABS1200 DA \EARTHWORKS (SMALL WORKS)/8.3\SCHEDULED ITEMS/8.3.6\Top Soiling. /\KS20_004-Concrete Drop Inlet. Drawing NBC-GTW-CL-0030 \m²\23.36 \ 5" u="1"/>
        <s v="SABS1200 DA \EARTHWORKS (SMALL WORKS)/8.3\SCHEDULED ITEMS/8.3.6\Top Soiling. /\KS20_005-Concrete Drop Inlet. Drawing NBC-GTW-CL-0031 \m²\23.36 \ 5" u="1"/>
        <s v="SABS1200 DA \EARTHWORKS (SMALL WORKS)/8.3\SCHEDULED ITEMS/8.3.6\Top Soiling. /\KS20_006-Concrete Drop Inlet. Drawing NBC-GTW-CL-0032 \m²\23.36 \ 5" u="1"/>
        <s v="SABS1200 DA \EARTHWORKS (SMALL WORKS)/8.3\SCHEDULED ITEMS/8.3.6\Top Soiling. /\KS20_001-Concrete Drop Inlet. Drawing NBC-GTW-CL-0027 \m²\23.52 \ 5" u="1"/>
        <s v="SABS1200 DA \EARTHWORKS (SMALL WORKS)/8.3\SCHEDULED ITEMS/8.3.6\Top Soiling. /\ks11-002a-Concrete Drop Inlet on Dam Wall  \m²\31.8 \ 5" u="1"/>
        <s v="SABS1200 DA \EARTHWORKS (SMALL WORKS)/8.3\SCHEDULED ITEMS/8.3.6\Top Soiling. /\ks11-004a-Concrete Drop Inlet on Dam Wall  \m²\31.8 \ 5" u="1"/>
        <s v="SABS1200 DA  \ Earthworks (Small Works) / 8.3\ SCHEDULED ITEMS / 8.3.6 \ Top Soiling. /\KS13_010-Removal of Berm \m²\1020.985 \ 5" u="1"/>
        <s v="SABS1200 DA \EARTHWORKS (SMALL WORKS)/8.3\SCHEDULED ITEMS/8.3.6\Top Soiling. /\KS15-002-Backfill Main Channel  \m²\3846.97837810187 \ 5" u="1"/>
        <s v="SABS1200 DA \EARTHWORKS (SMALL WORKS)/8.3\SCHEDULED ITEMS/8.3.6\Top Soiling. /\KS18_016-Concrete Drop Inlet. Refer to drawing NBC-GTW-CL-0022 \m²\23.36 \ 5" u="1"/>
        <s v="SABS1200 DA \EARTHWORKS (SMALL WORKS)/8.3\SCHEDULED ITEMS/8.3.6\Top Soiling. /\KS18_017-Concrete Drop Inlet. Refer to drawing NBC-GTW-CL-0023 \m²\23.36 \ 5" u="1"/>
        <s v="SABS1200 DA \EARTHWORKS (SMALL WORKS)/8.3\SCHEDULED ITEMS/8.3.6\Top Soiling. /\KS18_018-Concrete Drop Inlet. Refer to drawing NBC-GTW-CL-0024 \m²\23.36 \ 5" u="1"/>
        <s v="SABS1200 DA \EARTHWORKS (SMALL WORKS)/8.3\SCHEDULED ITEMS/8.3.6\Top Soiling. /\KS20_002-Concrete Drop Inlet. Refer to drawing NBC-GTW-CL-0028 \m²\23.36 \ 5" u="1"/>
        <s v="SABS1200 DA \EARTHWORKS (SMALL WORKS)/8.3\SCHEDULED ITEMS/8.3.6\Top Soiling. /\KS20_004-Concrete Drop Inlet. Refer to drawing NBC-GTW-CL-0030 \m²\23.36 \ 5" u="1"/>
        <s v="SABS1200 DA \EARTHWORKS (SMALL WORKS)/8.3\SCHEDULED ITEMS/8.3.6\Top Soiling. /\KS20_005-Concrete Drop Inlet. Refer to drawing NBC-GTW-CL-0031 \m²\23.36 \ 5" u="1"/>
        <s v="SABS1200 DA \EARTHWORKS (SMALL WORKS)/8.3\SCHEDULED ITEMS/8.3.6\Top Soiling. /\KS20_006-Concrete Drop Inlet. Refer to drawing NBC-GTW-CL-0032 \m²\23.36 \ 5" u="1"/>
        <s v="SABS1200 DA  \ Earthworks (Small Works) / 8.3\ SCHEDULED ITEMS / 8.3.6 \ Top Soiling. /\KS15_003-Removal of Dam Wall  \m²\619.289401121074 \ 5" u="1"/>
        <s v="SABS1200 DA  \ Earthworks (Small Works) / 8.3\ SCHEDULED ITEMS / 8.3.6 \ Top Soiling. /\Pan14_004-Infilling of Drains \m²\180 \ 5" u="1"/>
        <s v="SABS1200 DA  \ Earthworks (Small Works) / 8.3\ SCHEDULED ITEMS / 8.3.6 \ Top Soiling. /\Pan8_002-Infilling of Drains \m²\320 \ 5" u="1"/>
        <s v="SABS1200 DA \EARTHWORKS (SMALL WORKS)/8.3\SCHEDULED ITEMS/8.3.6\Top Soiling. /\KS12_006-Concrete Drop Inlet. Drawing NBC-GTW-CL-0005 \m²\21.44 \ 5" u="1"/>
        <s v="SABS1200 DA \EARTHWORKS (SMALL WORKS)/8.3\SCHEDULED ITEMS/8.3.6\Top Soiling. /\KS12_008-Concrete Drop Inlet. Drawing NBC-GTW-CL-0007 \m²\21.44 \ 5" u="1"/>
        <s v="SABS1200 DA \EARTHWORKS (SMALL WORKS)/8.3\SCHEDULED ITEMS/8.3.6\Top Soiling. /\KS12_009-Concrete Drop Inlet. Drawing NBC-GTW-CL-0008 \m²\21.44 \ 5" u="1"/>
        <s v="SABS1200 DA  \ Earthworks (Small Works) / 8.3\ SCHEDULED ITEMS / 8.3.6 \ Top Soiling. /\Pan14_011-Infilling of Drains \m²\4365 \ 5" u="1"/>
        <s v="SABS1200 DA \EARTHWORKS (SMALL WORKS)/8.3\SCHEDULED ITEMS/8.3.6\Top Soiling. Rate to allow for excavations from stockpiled top soil  and vegetation, transport, placement and spreading to a nominal depth of 150 mm./\KS21_009-Concrete Drop Inlet. Drawing NBC-GTW-CL-0043 \m²\21.92 \ 5" u="1"/>
        <s v="SABS1200 DA \EARTHWORKS (SMALL WORKS)/8.3\SCHEDULED ITEMS/8.3.6\Top Soiling. Rate to allow for excavations from stockpiled top soil  and vegetation, transport, placement and spreading to a nominal depth of 150 mm./\KS21_010-Concrete Drop Inlet. Drawing NBC-GTW-CL-0044 \m²\21.92 \ 5" u="1"/>
        <s v="SABS1200 DA \EARTHWORKS (SMALL WORKS)/8.3\SCHEDULED ITEMS/8.3.6\Top Soiling. /\DS12_003-Excavation of Dam Wall  \m²\621.569611479008 \ 5" u="1"/>
        <s v="SABS1200 DA  / Earthworks (Small Works) / 8.3 / 8.3.6 / Top Soiling / KS21-004-Earthworks / 111 / m²" u="1"/>
        <s v="SABS1200 DA  \ Earthworks (Small Works) / 8.3\ SCHEDULED ITEMS / 8.3.6 \ Top Soiling. /\LS16_021-Backfill Main Channel  \m²\6032.31 \ 5" u="1"/>
        <s v="SABS1200 DA  \ Earthworks (Small Works) / 8.3\ SCHEDULED ITEMS / 8.3.6 \ Top Soiling. /\Pan14_005-Infilling of Drains  \m²\450 \ 5" u="1"/>
        <s v="SABS1200 DA  \ Earthworks (Small Works) / 8.3\ SCHEDULED ITEMS / 8.3.6 \ Top Soiling. /\LS16_021-Backfill Main Channel \m²\6032.31 \ 5" u="1"/>
        <s v="SABS1200 DA  \ Earthworks (Small Works) / 8.3\ SCHEDULED ITEMS / 8.3.6 \ Top Soiling. /\KS19_006-Removal of Dam Wall \m²\3134.04 \ 5" u="1"/>
        <s v="SABS1200 DA  \ Earthworks (Small Works) / 8.3\ SCHEDULED ITEMS / 8.3.6 \ Top Soiling. /\KS18_002-Concrete Drop Inlet \m²\17.52 \ 5" u="1"/>
        <s v="SABS1200 DA \EARTHWORKS (SMALL WORKS)/8.3\SCHEDULED ITEMS/8.3.6\Top Soiling. /\LS16_012-Removal of Road  \m²\360 \ 5" u="1"/>
        <s v="SABS1200 DA  \ Earthworks (Small Works) / 8.3\ SCHEDULED ITEMS / 8.3.6 \ Top Soiling. /\KS21-004-Earthworks  \m²\111 \ 5" u="1"/>
        <s v="SABS1200 DA  \ Earthworks (Small Works) / 8.3\ SCHEDULED ITEMS / 8.3.6 \ Top Soiling. /\KS13_009-Infilling of Drains \m²\78.5716708603933 \ 5" u="1"/>
        <s v="SABS1200 DA  \ Earthworks (Small Works) / 8.3\ SCHEDULED ITEMS / 8.3.6 \ Top Soiling. /\KS20_009_b-Concrete Overflow Wall \m²\50 \ 5" u="1"/>
        <s v="SABS1200 DA  \ Earthworks (Small Works) / 8.3\ SCHEDULED ITEMS / 8.3.6 \ Top Soiling. /\LS08_001-Removal of Berm  \m²\148.532778078669 \ 5" u="1"/>
        <s v="SABS1200 DA  \ Earthworks (Small Works) / 8.3\ SCHEDULED ITEMS / 8.3.6 \ Top Soiling. /\KS20_007-Concrete Drop Inlet. Refer to drawing AG \m²\23.04 \ 5" u="1"/>
        <s v="SABS1200 DA \EARTHWORKS (SMALL WORKS)/8.3\SCHEDULED ITEMS/8.3.6\Top Soiling. /\Pan14_009-Infilling of Drains  \m²\78.4 \ 5" u="1"/>
        <s v="SABS1200 DA \EARTHWORKS (SMALL WORKS)/8.3\SCHEDULED ITEMS/8.3.6\Top Soiling. /\KS15_003-Removal of Dam Wall  \m²\619.289401121074 \ 5" u="1"/>
        <s v="SABS1200 DA \EARTHWORKS (SMALL WORKS)/8.3\SCHEDULED ITEMS/8.3.6\Top Soiling. Rate to allow for excavations from stockpiled top soil  and vegetation, transport, placement and spreading to a nominal depth of 150 mm./\KS20_009_a-Concrete Buttress Weir. Drawing NBC-GTW-CL-0035 \m²\25.88 \ 5" u="1"/>
        <s v="SABS1200 DA  \ Earthworks (Small Works) / 8.3\ SCHEDULED ITEMS / 8.3.6 \ Top Soiling. /\Pan14_008-Infilling of Drains  \m²\108 \ 5" u="1"/>
        <s v="SABS1200 DA  / Earthworks (Small Works) / 8.3 / 8.3.6 / Top Soiling / Pan14_011-Infilling of Drains / 4365 / m²" u="1"/>
        <s v="SABS1200 DA \EARTHWORKS (SMALL WORKS)/8.3\SCHEDULED ITEMS/8.3.6\Top Soiling. /\DS12_002-Backfilling Dam  \m²\995.487318191585 \ 5" u="1"/>
        <s v="SABS1200 DA  \ Earthworks (Small Works) / 8.3\ SCHEDULED ITEMS / 8.3.6 \ Top Soiling. /\Pan14_004-Infilling of Drains  \m²\180 \ 5" u="1"/>
        <s v="SABS1200 DA  / Earthworks (Small Works) / 8.3 / 8.3.6 / Top Soiling / KS16_001-Infilling of Drains / 494.873340531892 / m²" u="1"/>
        <s v="SABS1200 DA  \ Earthworks (Small Works) / 8.3\ SCHEDULED ITEMS / 8.3.6 \ Top Soiling. /\KS18_002-Concrete Drop Inlet. Refer to drawing T \m²\17.52 \ 5" u="1"/>
        <s v="SABS1200 DA \EARTHWORKS (SMALL WORKS)/8.3\SCHEDULED ITEMS/8.3.6\Top Soiling. /\KS13_010-Removal of Berm  \m²\1020.985 \ 5" u="1"/>
        <s v="SABS1200 DA  \ Earthworks (Small Works) / 8.3\ SCHEDULED ITEMS / 8.3.6 \ Top Soiling. /\KS16_004-Infilling of Drains  \m²\480 \ 5" u="1"/>
        <s v="SABS1200 DA \EARTHWORKS (SMALL WORKS)/8.3\SCHEDULED ITEMS/8.3.6\Top Soiling. /\KS18_020-Rehab road culvert  \m²\22.384 \ 5" u="1"/>
        <s v="SABS1200 DA  \ Earthworks (Small Works) / 8.3\ SCHEDULED ITEMS / 8.3.6 \ Top Soiling. /\Pan14-001-Reinstate Pan Edge  \m²\360 \ 5" u="1"/>
        <s v="SABS1200 DA \EARTHWORKS (SMALL WORKS)/8.3\SCHEDULED ITEMS/8.3.6\Top Soiling. /\KS16_002-Excavate Dam Wall  \m²\283.947757718744 \ 5" u="1"/>
        <s v="SABS1200 DA  \ Earthworks (Small Works) / 8.3\ SCHEDULED ITEMS / 8.3.6 \ Top Soiling. /\KS13_002-Infilling of Drains  \m²\85.816653826392 \ 5" u="1"/>
        <s v="SABS1200 DA \EARTHWORKS (SMALL WORKS)/8.3\SCHEDULED ITEMS/8.3.6\Top Soiling. /\KS12_006-Concrete Drop Inlet. Refer to drawing NBC-GTW-CL-0005 \m²\21.44 \ 5" u="1"/>
        <s v="SABS1200 DA \EARTHWORKS (SMALL WORKS)/8.3\SCHEDULED ITEMS/8.3.6\Top Soiling. /\KS12_008-Concrete Drop Inlet. Refer to drawing NBC-GTW-CL-0007 \m²\21.44 \ 5" u="1"/>
        <s v="SABS1200 DA \EARTHWORKS (SMALL WORKS)/8.3\SCHEDULED ITEMS/8.3.6\Top Soiling. /\KS12_009-Concrete Drop Inlet. Refer to drawing NBC-GTW-CL-0008 \m²\21.44 \ 5" u="1"/>
        <s v="SABS1200 DA \EARTHWORKS (SMALL WORKS)/8.3\SCHEDULED ITEMS/8.3.6\Top Soiling. Rate to allow for excavations from stockpiled top soil  and vegetation, transport, placement and spreading to a nominal depth of 150 mm./\KS18_002-Concrete Drop Inlet. Drawing NBC-GTW-CL-0020 \m²\17.52 \ 5" u="1"/>
        <s v="SABS1200 DA  / Earthworks (Small Works) / 8.3 / 8.3.6 / Top Soiling / KS18_002-Concrete Drop Inlet / 17.52 / m²" u="1"/>
        <s v="SABS1200 DA \EARTHWORKS (SMALL WORKS)/8.3\SCHEDULED ITEMS/8.3.6\Top Soiling. /\KS20_009_c-Earthen Berm. Refer to drawing NBC-GTW-CL-0035 \m²\69 \ 5" u="1"/>
        <s v="SABS1200 DA \EARTHWORKS (SMALL WORKS)/8.3\SCHEDULED ITEMS/8.3.6\Top Soiling. /\KS20_009_c-Earthen Berm. Refer to drawing NBC-GTW-CL-0037 \m²\69 \ 5" u="1"/>
        <s v="SABS1200 DA  \ Earthworks (Small Works) / 8.3\ SCHEDULED ITEMS / 8.3.6 \ Top Soiling. /\Pan09_001-Removal of Dam Wall \m²\594 \ 5" u="1"/>
        <s v="SABS1200 DA \EARTHWORKS (SMALL WORKS)/8.3\SCHEDULED ITEMS/8.3.6\Top Soiling. Rate to allow for excavations from stockpiled top soil  and vegetation, transport, placement and spreading to a nominal depth of 150 mm./\KS20_009_b-Concrete Overflow Wall. Drawing NBC-GTW-CL-0035 \m²\50 \ 5" u="1"/>
        <s v="SABS1200 DA  \ Earthworks (Small Works) / 8.3\ SCHEDULED ITEMS / 8.3.6 \ Top Soiling. /\KS16_002-Infilling of Drains  \m²\283.947757718744 \ 5" u="1"/>
        <s v="SABS1200 DA  \ Earthworks (Small Works) / 8.3\ SCHEDULED ITEMS / 8.3.6 \ Top Soiling. /\LS16_015-Earthworks  \m²\567 \ 5" u="1"/>
        <s v="SABS1200 DA \EARTHWORKS (SMALL WORKS)/8.3\SCHEDULED ITEMS/8.3.6\Top Soiling. /\Pan14_005-Infilling of Drains  \m²\450 \ 5" u="1"/>
        <s v="SABS1200 DA \EARTHWORKS (SMALL WORKS)/8.3\SCHEDULED ITEMS/8.3.6\Top Soiling. /\KS20_002-Concrete Drop Inlet. Refer to drawing NBC-GTW-CL-0028 \m²\24.48 \ 5" u="1"/>
        <s v="SABS1200 DA  \ Earthworks (Small Works) / 8.3\ SCHEDULED ITEMS / 8.3.6 \ Top Soiling. /\Pan14-001-Reinstate Pan Edge \m²\360 \ 5" u="1"/>
        <s v="SABS1200 DA  / Earthworks (Small Works) / 8.3 / 8.3.6 / Top Soiling / KS20_009_c-Earthen Berm / 69 / m²" u="1"/>
        <s v="SABS1200 DA  / Earthworks (Small Works) / 8.3 / 8.3.6 / Top Soiling / Pan14_004-Infilling of Drains / 180 / m²" u="1"/>
        <s v="SABS1200 DA \EARTHWORKS (SMALL WORKS)/8.3\SCHEDULED ITEMS/8.3.6\Top Soiling. /\Pan14_007-Infilling of Drains  \m²\76 \ 5" u="1"/>
        <s v="SABS1200 DA  \ Earthworks (Small Works) / 8.3\ SCHEDULED ITEMS / 8.3.6 \ Top Soiling. /\Pan14_005-Infilling of Drains \m²\450 \ 5" u="1"/>
        <s v="SABS1200 DA  \ Earthworks (Small Works) / 8.3\ SCHEDULED ITEMS / 8.3.6 \ Top Soiling. /\KS16_002-Infilling of Drains \m²\283.947757718744 \ 5" u="1"/>
        <s v="SABS1200 DA  / Earthworks (Small Works) / 8.3 / 8.3.6 / Top Soiling / LS16_020-Removal of Road / 1782 / m²" u="1"/>
        <s v="SABS1200 DA  / Earthworks (Small Works) / 8.3 / 8.3.6 / Top Soiling / KS13_009-Infilling of Drains / 78.5716708603933 / m²" u="1"/>
        <s v="SABS1200 DA \EARTHWORKS (SMALL WORKS)/8.3\SCHEDULED ITEMS/8.3.6\Top Soiling. /\KS20_009_b-Concrete Overflow Wall. Refer to drawing NBC-GTW-CL-0035 \m²\50 \ 5" u="1"/>
        <s v="SABS1200 DA \EARTHWORKS (SMALL WORKS)/8.3\SCHEDULED ITEMS/8.3.6\Top Soiling. /\KS20_009_b-Concrete Overflow Wall. Refer to drawing NBC-GTW-CL-0036 \m²\50 \ 5" u="1"/>
        <s v="SABS1200 DA  \ Earthworks (Small Works) / 8.3\ SCHEDULED ITEMS / 8.3.6 \ Top Soiling. /\KS13_014-Earthen Berm  \m²\278.716598321288 \ 5" u="1"/>
        <s v="SABS1200 DA  \ Earthworks (Small Works) / 8.3\ SCHEDULED ITEMS / 8.3.6 \ Top Soiling. /\Pan8_002-Infilling of Drains  \m²\320 \ 5" u="1"/>
        <s v="SABS1200 DA  \ Earthworks (Small Works) / 8.3\ SCHEDULED ITEMS / 8.3.6 \ Top Soiling. /\Pan14_008-Infilling of Drains \m²\108 \ 5" u="1"/>
        <s v="SABS1200 DA  \ Earthworks (Small Works) / 8.3\ SCHEDULED ITEMS / 8.3.6 \ Top Soiling. /\KS21-002-Earthworks \m²\850 \ 5" u="1"/>
        <s v="SABS1200 DA  \ Earthworks (Small Works) / 8.3\ SCHEDULED ITEMS / 8.3.6 \ Top Soiling. /\KS12_006-Concrete Drop Inlet \m²\21.44 \ 5" u="1"/>
        <s v="SABS1200 DA  \ Earthworks (Small Works) / 8.3\ SCHEDULED ITEMS / 8.3.6 \ Top Soiling. /\KS12_008-Concrete Drop Inlet \m²\21.44 \ 5" u="1"/>
        <s v="SABS1200 DA  \ Earthworks (Small Works) / 8.3\ SCHEDULED ITEMS / 8.3.6 \ Top Soiling. /\KS12_009-Concrete Drop Inlet \m²\21.44 \ 5" u="1"/>
        <s v="SABS1200 DA \EARTHWORKS (SMALL WORKS)/8.3\SCHEDULED ITEMS/8.3.6\Top Soiling. /\KS19_007-Infilling of Drains  \m²\179.7515 \ 5" u="1"/>
        <s v="SABS1200 DA  \ Earthworks (Small Works) / 8.3\ SCHEDULED ITEMS / 8.3.6 \ Top Soiling. /\KS20_002-Concrete Drop Inlet. Refer to drawing AB \m²\23.36 \ 5" u="1"/>
        <s v="SABS1200 DA  \ Earthworks (Small Works) / 8.3\ SCHEDULED ITEMS / 8.3.6 \ Top Soiling. /\KS20_004-Concrete Drop Inlet. Refer to drawing AD \m²\23.36 \ 5" u="1"/>
        <s v="SABS1200 DA  \ Earthworks (Small Works) / 8.3\ SCHEDULED ITEMS / 8.3.6 \ Top Soiling. /\KS20_005-Concrete Drop Inlet. Refer to drawing AE \m²\23.36 \ 5" u="1"/>
        <s v="SABS1200 DA  \ Earthworks (Small Works) / 8.3\ SCHEDULED ITEMS / 8.3.6 \ Top Soiling. /\KS20_006-Concrete Drop Inlet. Refer to drawing AF \m²\23.36 \ 5" u="1"/>
        <s v="SABS1200 DA  \ Earthworks (Small Works) / 8.3\ SCHEDULED ITEMS / 8.3.6 \ Top Soiling. /\KS21_003-Concrete Drop Inlet. Refer to drawing AM \m²\22.24 \ 5" u="1"/>
        <s v="SABS1200 DA \EARTHWORKS (SMALL WORKS)/8.3\SCHEDULED ITEMS/8.3.6\Top Soiling. /\KS21-004-Earthworks  \m²\111 \ 5" u="1"/>
        <s v="SABS1200 DA  \ Earthworks (Small Works) / 8.3\ SCHEDULED ITEMS / 8.3.6 \ Top Soiling. /\KS18_016-Concrete Drop Inlet. Refer to drawing V \m²\23.36 \ 5" u="1"/>
        <s v="SABS1200 DA  \ Earthworks (Small Works) / 8.3\ SCHEDULED ITEMS / 8.3.6 \ Top Soiling. /\KS18_017-Concrete Drop Inlet. Refer to drawing W \m²\23.36 \ 5" u="1"/>
        <s v="SABS1200 DA  \ Earthworks (Small Works) / 8.3\ SCHEDULED ITEMS / 8.3.6 \ Top Soiling. /\KS18_018-Concrete Drop Inlet. Refer to drawing X \m²\23.36 \ 5" u="1"/>
        <s v="SABS1200 DA \EARTHWORKS (SMALL WORKS)/8.3\SCHEDULED ITEMS/8.3.6\Top Soiling. /\KS13_014-Infilling of Drains  \m²\278.716598321288 \ 5" u="1"/>
        <s v="SABS1200 DA  \ Earthworks (Small Works) / 8.3\ SCHEDULED ITEMS / 8.3.6 \ Top Soiling. /\KS13_007-Concrete Drop Inlet \m²\22.24 \ 5" u="1"/>
        <s v="SABS1200 DA  \ Earthworks (Small Works) / 8.3\ SCHEDULED ITEMS / 8.3.6 \ Top Soiling. /\KS13_008-Concrete Drop Inlet \m²\22.24 \ 5" u="1"/>
        <s v="SABS1200 DA  \ Earthworks (Small Works) / 8.3\ SCHEDULED ITEMS / 8.3.6 \ Top Soiling. /\KS18_019-Concrete Drop Inlet \m²\22.24 \ 5" u="1"/>
        <s v="SABS1200 DA  \ Earthworks (Small Works) / 8.3\ SCHEDULED ITEMS / 8.3.6 \ Top Soiling. /\KS21_003-Concrete Drop Inlet \m²\22.24 \ 5" u="1"/>
        <s v="SABS1200 DA  \ Earthworks (Small Works) / 8.3\ SCHEDULED ITEMS / 8.3.6 \ Top Soiling. /\Pan14_007-Infilling of Drains \m²\76 \ 5" u="1"/>
        <s v="SABS1200 DA  / Earthworks (Small Works) / 8.3 / 8.3.6 / Top Soiling / KS13_001-Infilling of Drains / 1148.93998599451 / m²" u="1"/>
        <s v="SABS1200 DA \EARTHWORKS (SMALL WORKS)/8.3\SCHEDULED ITEMS/8.3.6\Top Soiling. /\ks11-004c-Dam wall excavation. Refer to drawing NBC-GTW-CL-0068 \m²\1200 \ 5" u="1"/>
        <s v="SABS1200 DA \EARTHWORKS (SMALL WORKS)/8.3\SCHEDULED ITEMS/8.3.6\Top Soiling. /\KS13_014-Earthen Berm  \m²\278.716598321288 \ 5" u="1"/>
        <s v="SABS1200 DA  \ Earthworks (Small Works) / 8.3\ SCHEDULED ITEMS / 8.3.6 \ Top Soiling. /\Pan8_001-Foreign Materials \m²\54 \ 5" u="1"/>
        <s v="SABS1200 DA  \ Earthworks (Small Works) / 8.3\ SCHEDULED ITEMS / 8.3.6 \ Top Soiling. /\KS20_007-Concrete Drop Inlet \m²\23.04 \ 5" u="1"/>
        <s v="SABS1200 DA  \ Earthworks (Small Works) / 8.3\ SCHEDULED ITEMS / 8.3.6 \ Top Soiling. /\KS12_006-Concrete Drop Inlet. Refer to drawing E \m²\21.44 \ 5" u="1"/>
        <s v="SABS1200 DA  \ Earthworks (Small Works) / 8.3\ SCHEDULED ITEMS / 8.3.6 \ Top Soiling. /\KS12_008-Concrete Drop Inlet. Refer to drawing G \m²\21.44 \ 5" u="1"/>
        <s v="SABS1200 DA  \ Earthworks (Small Works) / 8.3\ SCHEDULED ITEMS / 8.3.6 \ Top Soiling. /\KS12_009-Concrete Drop Inlet. Refer to drawing H \m²\21.44 \ 5" u="1"/>
        <s v="SABS1200 DA  / Earthworks (Small Works) / 8.3 / 8.3.6 / Top Soiling / LS16_012-Removal of Road / 360 / m²" u="1"/>
        <s v="SABS1200 DA \EARTHWORKS (SMALL WORKS)/8.3\SCHEDULED ITEMS/8.3.6\Top Soiling. /\ks11-002c-Dam wall excavation. Drawing NBC-GTW-CL-0067 \m²\1870 \ 5" u="1"/>
        <s v="SABS1200 DA  / Earthworks (Small Works) / 8.3 / 8.3.6 / Top Soiling / Pan14_005-Infilling of Drains / 450 / m²" u="1"/>
        <s v="SABS1200 DA \EARTHWORKS (SMALL WORKS)/8.3\SCHEDULED ITEMS/8.3.6\Top Soiling. /\KS13_013-Concrete Drop Inlet. Refer to drawing NBC-GTW-CL-0017 \m²\22.56 \ 5" u="1"/>
        <s v="SABS1200 DA \EARTHWORKS (SMALL WORKS)/8.3\SCHEDULED ITEMS/8.3.6\Top Soiling. /\KS13_015-Concrete Drop Inlet. Refer to drawing NBC-GTW-CL-0018 \m²\22.56 \ 5" u="1"/>
        <s v="SABS1200 DA \EARTHWORKS (SMALL WORKS)/8.3\SCHEDULED ITEMS/8.3.6\Top Soiling. /\KS18_015-Concrete Drop Inlet. Drawing NBC-GTW-CL-0021 \m²\23.68 \ 5" u="1"/>
        <s v="SABS1200 DA \EARTHWORKS (SMALL WORKS)/8.3\SCHEDULED ITEMS/8.3.6\Top Soiling. /\KS20_001-Concrete Drop Inlet. Refer to drawing NBC-GTW-CL-0027 \m²\23.52 \ 5" u="1"/>
        <s v="SABS1200 DA \EARTHWORKS (SMALL WORKS)/8.3\SCHEDULED ITEMS/8.3.6\Top Soiling. /\KS18_001-Concrete Drop Inlet. Drawing NBC-GTW-CL-0019 \m²\23.84 \ 5" u="1"/>
        <s v="SABS1200 DA  \ Earthworks (Small Works) / 8.3\ SCHEDULED ITEMS / 8.3.6 \ Top Soiling. /\KS18_001-Concrete Drop Inlet \m²\23.84 \ 5" u="1"/>
        <s v="SABS1200 DA \EARTHWORKS (SMALL WORKS)/8.3\SCHEDULED ITEMS/8.3.6\Top Soiling. /\KS18-014-Concrete Filled Geo-Cell Berm. Refer to drawing NBC-GTW-CL-0001 \m²\31.75 \ 5" u="1"/>
        <s v="SABS1200 DA \EARTHWORKS (SMALL WORKS)/8.3\SCHEDULED ITEMS/8.3.6\Top Soiling. /\KS18_014-Concrete Filled Geo-Cell Berm. Refer to drawing NBC-GTW-CL-0001 \m²\31.75 \ 5" u="1"/>
        <s v="SABS1200 DA  \ Earthworks (Small Works) / 8.3\ SCHEDULED ITEMS / 8.3.6 \ Top Soiling. /\KS16_004-Infilling of Drains \m²\480 \ 5" u="1"/>
        <s v="SABS1200 DA \EARTHWORKS (SMALL WORKS)/8.3\SCHEDULED ITEMS/8.3.6\Top Soiling. /\KS12_004-Concrete Drop Inlet. Drawing NBC-GTW-CL-0003 \m²\21.76 \ 5" u="1"/>
        <s v="SABS1200 DA \EARTHWORKS (SMALL WORKS)/8.3\SCHEDULED ITEMS/8.3.6\Top Soiling. /\KS13_005-Concrete Drop Inlet. Drawing NBC-GTW-CL-0011 \m²\21.76 \ 5" u="1"/>
        <s v="SABS1200 DA \EARTHWORKS (SMALL WORKS)/8.3\SCHEDULED ITEMS/8.3.6\Top Soiling. /\KS13_006-Concrete Drop Inlet. Drawing NBC-GTW-CL-0012 \m²\21.76 \ 5" u="1"/>
        <s v="SABS1200 DA \EARTHWORKS (SMALL WORKS)/8.3\SCHEDULED ITEMS/8.3.6\Top Soiling. /\KS21_005-Concrete Drop Inlet. Drawing NBC-GTW-CL-0040 \m²\21.76 \ 5" u="1"/>
        <s v="SABS1200 DA \EARTHWORKS (SMALL WORKS)/8.3\SCHEDULED ITEMS/8.3.6\Top Soiling. /\KS12_005-Concrete Drop Inlet. Drawing NBC-GTW-CL-0004 \m²\21.92 \ 5" u="1"/>
        <s v="SABS1200 DA \EARTHWORKS (SMALL WORKS)/8.3\SCHEDULED ITEMS/8.3.6\Top Soiling. /\KS12_007-Concrete Drop Inlet. Drawing NBC-GTW-CL-0006 \m²\21.92 \ 5" u="1"/>
        <s v="SABS1200 DA \EARTHWORKS (SMALL WORKS)/8.3\SCHEDULED ITEMS/8.3.6\Top Soiling. /\KS21_009-Concrete Drop Inlet. Drawing NBC-GTW-CL-0043 \m²\21.92 \ 5" u="1"/>
        <s v="SABS1200 DA \EARTHWORKS (SMALL WORKS)/8.3\SCHEDULED ITEMS/8.3.6\Top Soiling. /\KS21_010-Concrete Drop Inlet. Drawing NBC-GTW-CL-0044 \m²\21.92 \ 5" u="1"/>
        <s v="SABS1200 DA  / Earthworks (Small Works) / 8.3 / 8.3.6 / Top Soiling / Pan14_007-Infilling of Drains / 76 / m²" u="1"/>
        <s v="SABS1200 DA \EARTHWORKS (SMALL WORKS)/8.3\SCHEDULED ITEMS/8.3.6\Top Soiling. Rate to allow for excavations from stockpiled top soil  and vegetation, transport, placement and spreading to a nominal depth of 150 mm./\KS13_007-Concrete Drop Inlet. Drawing NBC-GTW-CL-0013 \m²\22.24 \ 5" u="1"/>
        <s v="SABS1200 DA \EARTHWORKS (SMALL WORKS)/8.3\SCHEDULED ITEMS/8.3.6\Top Soiling. Rate to allow for excavations from stockpiled top soil  and vegetation, transport, placement and spreading to a nominal depth of 150 mm./\KS13_008-Concrete Drop Inlet. Drawing NBC-GTW-CL-0014 \m²\22.24 \ 5" u="1"/>
        <s v="SABS1200 DA \EARTHWORKS (SMALL WORKS)/8.3\SCHEDULED ITEMS/8.3.6\Top Soiling. Rate to allow for excavations from stockpiled top soil  and vegetation, transport, placement and spreading to a nominal depth of 150 mm./\KS18_019-Concrete Drop Inlet. Drawing NBC-GTW-CL-0025 \m²\22.24 \ 5" u="1"/>
        <s v="SABS1200 DA  \ Earthworks (Small Works) / 8.3\ SCHEDULED ITEMS / 8.3.6 \ Top Soiling. /\KS13_016-Infilling of Drains  \m²\332.18699875976 \ 5" u="1"/>
        <s v="SABS1200 DA \EARTHWORKS (SMALL WORKS)/8.3\SCHEDULED ITEMS/8.3.6\Top Soiling. Rate to allow for excavations from stockpiled top soil  and vegetation, transport, placement and spreading to a nominal depth of 150 mm./\KS16_001-Infilling of Drains  \m²\494.873340531892 \ 5" u="1"/>
        <s v="SABS1200 DA \EARTHWORKS (SMALL WORKS)/8.3\SCHEDULED ITEMS/8.3.6\Top Soiling. Rate to allow for excavations from stockpiled top soil  and vegetation, transport, placement and spreading to a nominal depth of 150 mm./\KS20_007-Concrete Drop Inlet. Drawing NBC-GTW-CL-0033 \m²\23.04 \ 5" u="1"/>
        <s v="SABS1200 DA \EARTHWORKS (SMALL WORKS)/8.3\SCHEDULED ITEMS/8.3.6\Top Soiling. /\KS18_002-Concrete Drop Inlet. Refer to drawing NBC-GTW-CL-0020 \m²\17.52 \ 5" u="1"/>
        <s v="SABS1200 DA \EARTHWORKS (SMALL WORKS)/8.3\SCHEDULED ITEMS/8.3.6\Top Soiling. /\KS13_004-Concrete Drop Inlet. Drawing NBC-GTW-CL-0010 \m²\22.4 \ 5" u="1"/>
        <s v="SABS1200 DA  \ Earthworks (Small Works) / 8.3\ SCHEDULED ITEMS / 8.3.6 \ Top Soiling. /\Pan14_006-Earthen Berms  \m²\190.755332217041 \ 5" u="1"/>
        <s v="SABS1200 DA \EARTHWORKS (SMALL WORKS)/8.3\SCHEDULED ITEMS/8.3.6\Top Soiling. /\KS13_002-Infilling of Drains  \m²\85.816653826392 \ 5" u="1"/>
        <s v="SABS1200 DA  \ Earthworks (Small Works) / 8.3\ SCHEDULED ITEMS / 8.3.6 \ Top Soiling. /\KS19_007-Infilling of Drains \m²\179.7515 \ 5" u="1"/>
        <s v="SABS1200 DA  \ Earthworks (Small Works) / 8.3\ SCHEDULED ITEMS / 8.3.6 \ Top Soiling. /\KS18_014-Concrete Filled Geo-Cell Berm \m²\31.75 \ 5" u="1"/>
        <s v="SABS1200 DA \EARTHWORKS (SMALL WORKS)/8.3\SCHEDULED ITEMS/8.3.6\Top Soiling. /\ks18-021-Backfill Main Channel  \m²\3294.95 \ 5" u="1"/>
        <s v="SABS1200 DA \EARTHWORKS (SMALL WORKS)/8.3\SCHEDULED ITEMS/8.3.6\Top Soiling. Rate to allow for excavations from stockpiled top soil  and vegetation, transport, placement and spreading to a nominal depth of 150 mm./\KS18_001-Concrete Drop Inlet. Drawing NBC-GTW-CL-0019 \m²\23.84 \ 5" u="1"/>
        <s v="SABS1200 DA  \ Earthworks (Small Works) / 8.3\ SCHEDULED ITEMS / 8.3.6 \ Top Soiling. /\KS21_006-Concrete Drop Inlet \m²\21.6 \ 5" u="1"/>
        <s v="SABS1200 DA  \ Earthworks (Small Works) / 8.3\ SCHEDULED ITEMS / 8.3.6 \ Top Soiling. /\KS21_007-Concrete Drop Inlet \m²\21.6 \ 5" u="1"/>
        <s v="SABS1200 DA  \ Earthworks (Small Works) / 8.3\ SCHEDULED ITEMS / 8.3.6 \ Top Soiling. /\Pan14-003-Remove berm and backfill drain \m²\2365 \ 5" u="1"/>
        <s v="SABS1200 DA \EARTHWORKS (SMALL WORKS)/8.3\SCHEDULED ITEMS/8.3.6\Top Soiling. /\Pan14_004-Infilling of Drains  \m²\180 \ 5" u="1"/>
        <s v="SABS1200 DA  / Earthworks (Small Works) / 8.3 / 8.3.6 / Top Soiling / KS15-002-Backfill Main Channel / 3846.97837810187 / m²" u="1"/>
        <s v="SABS1200 DA  \ Earthworks (Small Works) / 8.3\ SCHEDULED ITEMS / 8.3.6 \ Top Soiling. /\ks18-021-Backfill Main Channel  \m²\3294.95 \ 5" u="1"/>
        <s v="SABS1200 DA \EARTHWORKS (SMALL WORKS)/8.3\SCHEDULED ITEMS/8.3.6\Top Soiling. /\Pan8_002-Infilling of Drains  \m²\320 \ 5" u="1"/>
        <s v="SABS1200 DA  / Earthworks (Small Works) / 8.3 / 8.3.6 / Top Soiling / Pan14-002-Remove Berm / 198 / m²" u="1"/>
        <s v="SABS1200 DA  \ Earthworks (Small Works) / 8.3\ SCHEDULED ITEMS / 8.3.6 \ Top Soiling. /\KS13_009-Infilling of Drains  \m²\78.5716708603933 \ 5" u="1"/>
        <s v="SABS1200 DA \EARTHWORKS (SMALL WORKS)/8.3\SCHEDULED ITEMS/8.3.6\Top Soiling. /\Pan14_011-Infilling of Drains  \m²\4365 \ 5" u="1"/>
        <s v="SABS1200 DA  \ Earthworks (Small Works) / 8.3\ SCHEDULED ITEMS / 8.3.6 \ Top Soiling. /\KS13_004-Concrete Drop Inlet \m²\22.4 \ 5" u="1"/>
        <s v="SABS1200 DA \EARTHWORKS (SMALL WORKS)/8.3\SCHEDULED ITEMS/8.3.6\Top Soiling. /\LS16_021-Backfill Main Channel and reshaping  \m²\6032.31 \ 5" u="1"/>
        <s v="SABS1200 DA  \ Earthworks (Small Works) / 8.3\ SCHEDULED ITEMS / 8.3.6 \ Top Soiling. /\KS15-002-Backfill Main Channel  \m²\3846.97837810187 \ 5" u="1"/>
        <s v="SABS1200 DA \EARTHWORKS (SMALL WORKS)/8.3\SCHEDULED ITEMS/8.3.6\Top Soiling. /\Pan8_001-Foreign Materials  \m²\54 \ 5" u="1"/>
        <s v="SABS1200 DA  / Earthworks (Small Works) / 8.3 / 8.3.6 / Top Soiling / Pan8_001-Foreign Materials / 54 / m²" u="1"/>
        <s v="SABS1200 DA  / Earthworks (Small Works) / 8.3 / 8.3.6 / Top Soiling / Pan09_001-Removal of Dam Wall / 594 / m²" u="1"/>
        <s v="SABS1200 DA \EARTHWORKS (SMALL WORKS)/8.3\SCHEDULED ITEMS/8.3.6\Top Soiling. /\KS18_015-Concrete Drop Inlet. Refer to drawing NBC-GTW-CL-0021 \m²\23.68 \ 5" u="1"/>
        <s v="SABS1200 DA  \ Earthworks (Small Works) / 8.3\ SCHEDULED ITEMS / 8.3.6 \ Top Soiling. /\KS13_003-Concrete Drop Inlet \m²\23.2 \ 5" u="1"/>
        <s v="SABS1200 DA  \ Earthworks (Small Works) / 8.3\ SCHEDULED ITEMS / 8.3.6 \ Top Soiling. /\KS13_012-Concrete Drop Inlet \m²\23.2 \ 5" u="1"/>
        <s v="SABS1200 DA  \ Earthworks (Small Works) / 8.3\ SCHEDULED ITEMS / 8.3.6 \ Top Soiling. /\KS20_008-Concrete Drop Inlet \m²\23.2 \ 5" u="1"/>
        <s v="SABS1200 DA \EARTHWORKS (SMALL WORKS)/8.3\SCHEDULED ITEMS/8.3.6\Top Soiling. /\KS13_007-Concrete Drop Inlet. Drawing NBC-GTW-CL-0013 \m²\22.24 \ 5" u="1"/>
        <s v="SABS1200 DA \EARTHWORKS (SMALL WORKS)/8.3\SCHEDULED ITEMS/8.3.6\Top Soiling. /\KS13_008-Concrete Drop Inlet. Drawing NBC-GTW-CL-0014 \m²\22.24 \ 5" u="1"/>
        <s v="SABS1200 DA \EARTHWORKS (SMALL WORKS)/8.3\SCHEDULED ITEMS/8.3.6\Top Soiling. /\KS18_019-Concrete Drop Inlet. Drawing NBC-GTW-CL-0025 \m²\22.24 \ 5" u="1"/>
        <s v="SABS1200 DA \EARTHWORKS (SMALL WORKS)/8.3\SCHEDULED ITEMS/8.3.6\Top Soiling. /\KS21_003-Concrete Drop Inlet. Drawing NBC-GTW-CL-0039 \m²\22.24 \ 5" u="1"/>
        <s v="SABS1200 DA \EARTHWORKS (SMALL WORKS)/8.3\SCHEDULED ITEMS/8.3.6\Top Soiling. /\Pan14-001-Reinstate Pan Edge  \m²\360 \ 5" u="1"/>
        <s v="SABS1200 DA  \ Earthworks (Small Works) / 8.3\ SCHEDULED ITEMS / 8.3.6 \ Top Soiling. /\Pan8_004-Removal of Berm  \m²\18 \ 5" u="1"/>
        <s v="SABS1200 DA \EARTHWORKS (SMALL WORKS)/8.3\SCHEDULED ITEMS/8.3.6\Top Soiling. /\Pan14_008-Infilling of Drains  \m²\108 \ 5" u="1"/>
        <s v="SABS1200 DA \EARTHWORKS (SMALL WORKS)/8.3\SCHEDULED ITEMS/8.3.6\Top Soiling. /\KS13_001-Infilling of Drains  \m²\1148.93998599451 \ 5" u="1"/>
        <s v="SABS1200 DA \EARTHWORKS (SMALL WORKS)/8.3\SCHEDULED ITEMS/8.3.6\Top Soiling. Rate to allow for excavations from stockpiled top soil  and vegetation, transport, placement and spreading to a nominal depth of 150 mm./\KS18-014-Concrete Filled Geo-Cell Berm. Drawing NBC-GTW-CL-0001 \m²\31.75 \ 5" u="1"/>
        <s v="SABS1200 DA \EARTHWORKS (SMALL WORKS)/8.3\SCHEDULED ITEMS/8.3.6\Top Soiling. Rate to allow for excavations from stockpiled top soil  and vegetation, transport, placement and spreading to a nominal depth of 150 mm./\KS21_006-Concrete Drop Inlet. Drawing NBC-GTW-CL-0041 \m²\21.6 \ 5" u="1"/>
        <s v="SABS1200 DA \EARTHWORKS (SMALL WORKS)/8.3\SCHEDULED ITEMS/8.3.6\Top Soiling. Rate to allow for excavations from stockpiled top soil  and vegetation, transport, placement and spreading to a nominal depth of 150 mm./\KS21_007-Concrete Drop Inlet. Drawing NBC-GTW-CL-0042 \m²\21.6 \ 5" u="1"/>
        <s v="SABS1200 DA  \ Earthworks (Small Works) / 8.3\ SCHEDULED ITEMS / 8.3.6 \ Top Soiling. /\KS20_009_c-Earthen Berm \m²\69 \ 5" u="1"/>
        <s v="SABS1200 DA  / Earthworks (Small Works) / 8.3 / 8.3.6 / Top Soiling / KS12_010-Removal of Dam Wall / 619.185479905302 / m²" u="1"/>
        <s v="SABS1200 DA \EARTHWORKS (SMALL WORKS)/8.3\SCHEDULED ITEMS/8.3.6\Top Soiling. /\KS16_004-Infilling of Drains  \m²\480 \ 5" u="1"/>
        <s v="SABS1200 DA \EARTHWORKS (SMALL WORKS)/8.3\SCHEDULED ITEMS/8.3.6\Top Soiling. /\ks11-004c-Dam wall excavation  \m²\1200 \ 5" u="1"/>
        <s v="SABS1200 DA  \ Earthworks (Small Works) / 8.3\ SCHEDULED ITEMS / 8.3.6 \ Top Soiling. /\KS19_002-Concrete Drop Inlet \m²\20.96 \ 5" u="1"/>
        <s v="SABS1200 DA \EARTHWORKS (SMALL WORKS)/8.3\SCHEDULED ITEMS/8.3.6\Top Soiling. Rate to allow for excavations from stockpiled top soil  and vegetation, transport, placement and spreading to a nominal depth of 150 mm./\KS21-008-Infilling of Drain  \m²\129.2 \ 5" u="1"/>
        <s v="SABS1200 DA  \ Earthworks (Small Works) / 8.3\ SCHEDULED ITEMS / 8.3.6 \ Top Soiling. /\KS21_005-Concrete Drop Inlet. Refer to drawing AN \m²\21.76 \ 5" u="1"/>
        <s v="SABS1200 DA \EARTHWORKS (SMALL WORKS)/8.3\SCHEDULED ITEMS/8.3.6\Top Soiling. /\KS13_003-Concrete Drop Inlet. Refer to drawing NBC-GTW-CL-0009 \m²\23.2 \ 5" u="1"/>
        <s v="SABS1200 DA \EARTHWORKS (SMALL WORKS)/8.3\SCHEDULED ITEMS/8.3.6\Top Soiling. /\KS13_012-Concrete Drop Inlet. Refer to drawing NBC-GTW-CL-0016 \m²\23.2 \ 5" u="1"/>
        <s v="SABS1200 DA \EARTHWORKS (SMALL WORKS)/8.3\SCHEDULED ITEMS/8.3.6\Top Soiling. /\KS20_008-Concrete Drop Inlet. Refer to drawing NBC-GTW-CL-0034 \m²\23.2 \ 5" u="1"/>
        <s v="SABS1200 DA  \ Earthworks (Small Works) / 8.3\ SCHEDULED ITEMS / 8.3.6 \ Top Soiling. /\KS20_009_a-Concrete Drop Inlet \m²\25.88 \ 5" u="1"/>
        <s v="SABS1200 DA  \ Earthworks (Small Works) / 8.3\ SCHEDULED ITEMS / 8.3.6 \ Top Soiling. /\KS13_001-Infilling of Drains  \m²\1148.93998599451 \ 5" u="1"/>
        <s v="SABS1200 DA  / Earthworks (Small Works) / 8.3 / 8.3.6 / Top Soiling / KS21-008-Earthworks / 129.2 / m²" u="1"/>
        <s v="SABS1200 DA \EARTHWORKS (SMALL WORKS)/8.3\SCHEDULED ITEMS/8.3.6\Top Soiling. Rate to allow for excavations from stockpiled top soil  and vegetation, transport, placement and spreading to a nominal depth of 150 mm./\KS13_004-Concrete Drop Inlet. Drawing NBC-GTW-CL-0010 \m²\22.4 \ 5" u="1"/>
        <s v="SABS1200 DA  / Earthworks (Small Works) / 8.3 / 8.3.6 / Top Soiling / Pan8_002-Infilling of Drains / 320 / m²" u="1"/>
        <s v="SABS1200 DA  \ Earthworks (Small Works) / 8.3\ SCHEDULED ITEMS / 8.3.6 \ Top Soiling. /\KS13_002-Infilling of Drains \m²\85.816653826392 \ 5" u="1"/>
        <s v="SABS1200 DA \EARTHWORKS (SMALL WORKS)/8.3\SCHEDULED ITEMS/8.3.6\Top Soiling. /\KS20_009_a-Concrete Buttress Weir. Drawing NBC-GTW-CL-0035 \m²\25.88 \ 5" u="1"/>
        <s v="SABS1200 DA \EARTHWORKS (SMALL WORKS)/8.3\SCHEDULED ITEMS/8.3.6\Top Soiling. /\Pan8_004-Removal of Berm  \m²\18 \ 5" u="1"/>
        <s v="SABS1200 DA  \ Earthworks (Small Works) / 8.3\ SCHEDULED ITEMS / 8.3.6 \ Top Soiling. /\KS20_001-Concrete Drop Inlet. Refer to drawing AA \m²\23.52 \ 5" u="1"/>
        <s v="SABS1200 DA  \ Earthworks (Small Works) / 8.3\ SCHEDULED ITEMS / 8.3.6 \ Top Soiling. /\KS12_004-Concrete Drop Inlet \m²\21.76 \ 5" u="1"/>
        <s v="SABS1200 DA  \ Earthworks (Small Works) / 8.3\ SCHEDULED ITEMS / 8.3.6 \ Top Soiling. /\KS13_005-Concrete Drop Inlet \m²\21.76 \ 5" u="1"/>
        <s v="SABS1200 DA  \ Earthworks (Small Works) / 8.3\ SCHEDULED ITEMS / 8.3.6 \ Top Soiling. /\KS13_006-Concrete Drop Inlet \m²\21.76 \ 5" u="1"/>
        <s v="SABS1200 DA  \ Earthworks (Small Works) / 8.3\ SCHEDULED ITEMS / 8.3.6 \ Top Soiling. /\KS21_005-Concrete Drop Inlet \m²\21.76 \ 5" u="1"/>
        <s v="SABS1200 DA \EARTHWORKS (SMALL WORKS)/8.3\SCHEDULED ITEMS/8.3.6\Top Soiling. /\LS16_020-Removal of Road  \m²\1782 \ 5" u="1"/>
        <s v="SABS1200 DA \EARTHWORKS (SMALL WORKS)/8.3\SCHEDULED ITEMS/8.3.6\Top Soiling. Rate to allow for excavations from stockpiled top soil  and vegetation, transport, placement and spreading to a nominal depth of 150 mm./\KS13_012-Concrete Drop Inlet. Drawing NBC-GTW-CL-0016 \m²\23.2 \ 5" u="1"/>
        <s v="SABS1200 DA \EARTHWORKS (SMALL WORKS)/8.3\SCHEDULED ITEMS/8.3.6\Top Soiling. Rate to allow for excavations from stockpiled top soil  and vegetation, transport, placement and spreading to a nominal depth of 150 mm./\KS20_008-Concrete Drop Inlet. Drawing NBC-GTW-CL-0034 \m²\23.2 \ 5" u="1"/>
        <s v="SABS1200 DA  \ Earthworks (Small Works) / 8.3\ SCHEDULED ITEMS / 8.3.6 \ Top Soiling. /\KS20_009_b-Concrete Overflow Wall. Refer to drawing AJ \m²\50 \ 5" u="1"/>
        <s v="SABS1200 DA  \ Earthworks (Small Works) / 8.3\ SCHEDULED ITEMS / 8.3.6 \ Top Soiling. /\KS13_013-Concrete Drop Inlet. Refer to drawing Q \m²\22.56 \ 5" u="1"/>
        <s v="SABS1200 DA  \ Earthworks (Small Works) / 8.3\ SCHEDULED ITEMS / 8.3.6 \ Top Soiling. /\KS13_015-Concrete Drop Inlet. Refer to drawing R \m²\22.56 \ 5" u="1"/>
        <s v="SABS1200 DA  / Earthworks (Small Works) / 8.3 / 8.3.6 / Top Soiling / KS19_006-Removal of Dam Wall / 3134.04 / m²" u="1"/>
        <s v="SABS1200 DA  \ Earthworks (Small Works) / 8.3\ SCHEDULED ITEMS / 8.3.6 \ Top Soiling. /\KS18_014-Concrete Filled Geo-Cell Berm. Refer to drawing A \m²\31.75 \ 5" u="1"/>
        <s v="SABS1200 DA  \ Earthworks (Small Works) / 8.3\ SCHEDULED ITEMS / 8.3.6 \ Top Soiling. /\KS13_013-Concrete Drop Inlet \m²\22.56 \ 5" u="1"/>
        <s v="SABS1200 DA  \ Earthworks (Small Works) / 8.3\ SCHEDULED ITEMS / 8.3.6 \ Top Soiling. /\KS13_015-Concrete Drop Inlet \m²\22.56 \ 5" u="1"/>
        <s v="'" u="1"/>
        <s v="SABS1200 DA  \ Earthworks (Small Works) / 8.3\ SCHEDULED ITEMS / 8.3.6 \ Top Soiling. /\KS20_003-Concrete Buttress Weir. Refer to drawing AC \m²\26.68 \ 5" u="1"/>
        <s v="SABS1200 DA  / Earthworks (Small Works) / 8.3 / 8.3.6 / Top Soiling / KS16_002-Infilling of Drains / 283.947757718744 / m²" u="1"/>
        <s v="SABS1200 DA \EARTHWORKS (SMALL WORKS)/8.3\SCHEDULED ITEMS/8.3.6\Top Soiling. /\KS16_002-Infilling of Drains  \m²\283.947757718744 \ 5" u="1"/>
        <s v="SABS1200 DA  \ Earthworks (Small Works) / 8.3\ SCHEDULED ITEMS / 8.3.6 \ Top Soiling. /\KS19_007-Infilling of Drains  \m²\179.7515 \ 5" u="1"/>
        <s v="SABS1200 DA \EARTHWORKS (SMALL WORKS)/8.3\SCHEDULED ITEMS/8.3.6\Top Soiling. /\KS12_004-Concrete Drop Inlet. Refer to drawing NBC-GTW-CL-0003 \m²\21.76 \ 5" u="1"/>
        <s v="SABS1200 DA \EARTHWORKS (SMALL WORKS)/8.3\SCHEDULED ITEMS/8.3.6\Top Soiling. /\KS13_005-Concrete Drop Inlet. Refer to drawing NBC-GTW-CL-0011 \m²\21.76 \ 5" u="1"/>
        <s v="SABS1200 DA \EARTHWORKS (SMALL WORKS)/8.3\SCHEDULED ITEMS/8.3.6\Top Soiling. /\KS13_006-Concrete Drop Inlet. Refer to drawing NBC-GTW-CL-0012 \m²\21.76 \ 5" u="1"/>
        <s v="SABS1200 DA \EARTHWORKS (SMALL WORKS)/8.3\SCHEDULED ITEMS/8.3.6\Top Soiling. /\KS21_005-Concrete Drop Inlet. Refer to drawing NBC-GTW-CL-0040 \m²\21.76 \ 5" u="1"/>
        <s v="SABS1200 DA \EARTHWORKS (SMALL WORKS)/8.3\SCHEDULED ITEMS/8.3.6\Top Soiling. /\KS16_001-Infilling of Drains  \m²\494.873340531892 \ 5" u="1"/>
        <s v="SABS1200 DA \EARTHWORKS (SMALL WORKS)/8.3\SCHEDULED ITEMS/8.3.6\Top Soiling. Rate to allow for excavations from stockpiled top soil  and vegetation, transport, placement and spreading to a nominal depth of 150 mm./\KS20_009_c-Earthen Berm. Drawing NBC-GTW-CL-0035 \m²\69 \ 5" u="1"/>
        <s v="SABS1200 DA  \ Earthworks (Small Works) / 8.3\ SCHEDULED ITEMS / 8.3.6 \ Top Soiling. /\LS08_001-Removal of Berm \m²\148.532778078669 \ 5" u="1"/>
        <s v="SABS1200 DA  \ Earthworks (Small Works) / 8.3\ SCHEDULED ITEMS / 8.3.6 \ Top Soiling. /\KS18_016-Concrete Drop Inlet \m²\23.36 \ 5" u="1"/>
        <s v="SABS1200 DA  \ Earthworks (Small Works) / 8.3\ SCHEDULED ITEMS / 8.3.6 \ Top Soiling. /\KS18_017-Concrete Drop Inlet \m²\23.36 \ 5" u="1"/>
        <s v="SABS1200 DA  \ Earthworks (Small Works) / 8.3\ SCHEDULED ITEMS / 8.3.6 \ Top Soiling. /\KS18_018-Concrete Drop Inlet \m²\23.36 \ 5" u="1"/>
        <s v="SABS1200 DA  \ Earthworks (Small Works) / 8.3\ SCHEDULED ITEMS / 8.3.6 \ Top Soiling. /\KS20_002-Concrete Drop Inlet \m²\23.36 \ 5" u="1"/>
        <s v="SABS1200 DA  \ Earthworks (Small Works) / 8.3\ SCHEDULED ITEMS / 8.3.6 \ Top Soiling. /\KS20_004-Concrete Drop Inlet \m²\23.36 \ 5" u="1"/>
        <s v="SABS1200 DA  \ Earthworks (Small Works) / 8.3\ SCHEDULED ITEMS / 8.3.6 \ Top Soiling. /\KS20_005-Concrete Drop Inlet \m²\23.36 \ 5" u="1"/>
        <s v="SABS1200 DA  \ Earthworks (Small Works) / 8.3\ SCHEDULED ITEMS / 8.3.6 \ Top Soiling. /\KS20_006-Concrete Drop Inlet \m²\23.36 \ 5" u="1"/>
        <s v="SABS1200 DA  \ Earthworks (Small Works) / 8.3\ SCHEDULED ITEMS / 8.3.6 \ Top Soiling. /\Pan8_004-Removal of Berm \m²\18 \ 5" u="1"/>
        <s v="SABS1200 DA \EARTHWORKS (SMALL WORKS)/8.3\SCHEDULED ITEMS/8.3.6\Top Soiling. /\KS12_002-Concrete Drop Inlet. Drawing NBC-GTW-CL-0002 \m²\30 \ 5" u="1"/>
        <s v="SABS1200 DA  \ Earthworks (Small Works) / 8.3\ SCHEDULED ITEMS / 8.3.6 \ Top Soiling. /\LS12_002-Removal of Berm  \m²\76 \ 5" u="1"/>
        <s v="SABS1200 DA \EARTHWORKS (SMALL WORKS)/8.3\SCHEDULED ITEMS/8.3.6\Top Soiling. /\KS20_009_b-Concrete Overflow Wall. Refer to drawing  \m²\50 \ 5" u="1"/>
        <s v="SABS1200 DA \EARTHWORKS (SMALL WORKS)/8.3\SCHEDULED ITEMS/8.3.6\Top Soiling. Rate to allow for excavations from stockpiled top soil  and vegetation, transport, placement and spreading to a nominal depth of 150 mm./\KS21-004-Earthworks  \m²\111 \ 5" u="1"/>
        <s v="SABS1200 DA \EARTHWORKS (SMALL WORKS)/8.3\SCHEDULED ITEMS/8.3.6\Top Soiling. /\KS19_006-Removal of Dam Wall  \m²\3134.04 \ 5" u="1"/>
        <s v="SABS1200 DA \EARTHWORKS (SMALL WORKS)/8.3\SCHEDULED ITEMS/8.3.6\Top Soiling. /\KS12_002-Concrete Drop Inlet. Refer to drawing NBC-GTW-CL-0002 \m²\30 \ 5" u="1"/>
        <s v="SABS1200 DA \EARTHWORKS (SMALL WORKS)/8.3\SCHEDULED ITEMS/8.3.6\Top Soiling. Rate to allow for excavations from stockpiled top soil  and vegetation, transport, placement and spreading to a nominal depth of 150 mm./\KS13_005-Concrete Drop Inlet. Drawing NBC-GTW-CL-0011 \m²\21.76 \ 5" u="1"/>
        <s v="SABS1200 DA \EARTHWORKS (SMALL WORKS)/8.3\SCHEDULED ITEMS/8.3.6\Top Soiling. Rate to allow for excavations from stockpiled top soil  and vegetation, transport, placement and spreading to a nominal depth of 150 mm./\KS13_006-Concrete Drop Inlet. Drawing NBC-GTW-CL-0012 \m²\21.76 \ 5" u="1"/>
        <s v="SABS1200 DA \EARTHWORKS (SMALL WORKS)/8.3\SCHEDULED ITEMS/8.3.6\Top Soiling. Rate to allow for excavations from stockpiled top soil  and vegetation, transport, placement and spreading to a nominal depth of 150 mm./\KS21_005-Concrete Drop Inlet. Drawing NBC-GTW-CL-0040 \m²\21.76 \ 5" u="1"/>
        <s v="SABS1200 DA \EARTHWORKS (SMALL WORKS)/8.3\SCHEDULED ITEMS/8.3.6\Top Soiling. /\Pan14-002-Remove Berm  \m²\198 \ 5" u="1"/>
        <s v="SABS1200 DA  \ Earthworks (Small Works) / 8.3\ SCHEDULED ITEMS / 8.3.6 \ Top Soiling. /\LS16_020-Removal of Road \m²\1782 \ 5" u="1"/>
        <s v="SABS1200 DA  \ Earthworks (Small Works) / 8.3\ SCHEDULED ITEMS / 8.3.6 \ Top Soiling. /\KS13_014-Earthen Berm \m²\278.716598321288 \ 5" u="1"/>
        <s v="SABS1200 DA \EARTHWORKS (SMALL WORKS)/8.3\SCHEDULED ITEMS/8.3.6\Top Soiling. Rate to allow for excavations from stockpiled top soil  and vegetation, transport, placement and spreading to a nominal depth of 150 mm./\KS13_013-Concrete Drop Inlet. Drawing NBC-GTW-CL-0017 \m²\22.56 \ 5" u="1"/>
        <s v="SABS1200 DA \EARTHWORKS (SMALL WORKS)/8.3\SCHEDULED ITEMS/8.3.6\Top Soiling. Rate to allow for excavations from stockpiled top soil  and vegetation, transport, placement and spreading to a nominal depth of 150 mm./\KS13_015-Concrete Drop Inlet. Drawing NBC-GTW-CL-0018 \m²\22.56 \ 5" u="1"/>
        <s v="SABS1200 DA  \ Earthworks (Small Works) / 8.3\ SCHEDULED ITEMS / 8.3.6 \ Top Soiling. /\Pan09_001-Removal of Dam Wall  \m²\594 \ 5" u="1"/>
        <s v="SABS1200 DA  / Earthworks (Small Works) / 8.3 / 8.3.6 / Top Soiling / KS15_003-Removal of Dam Wall / 619.289401121074 / m²" u="1"/>
        <s v="SABS1200 DA \EARTHWORKS (SMALL WORKS)/8.3\SCHEDULED ITEMS/8.3.6\Top Soiling. /\Pan14_006-Earthen Berms  \m²\190.755332217041 \ 5" u="1"/>
        <s v="SABS1200 DA  \ Earthworks (Small Works) / 8.3\ SCHEDULED ITEMS / 8.3.6 \ Top Soiling. /\KS13_003-Concrete Drop Inlet. Refer to drawing I \m²\23.2 \ 5" u="1"/>
        <s v="SABS1200 DA  \ Earthworks (Small Works) / 8.3\ SCHEDULED ITEMS / 8.3.6 \ Top Soiling. /\KS13_012-Concrete Drop Inlet. Refer to drawing P \m²\23.2 \ 5" u="1"/>
        <s v="SABS1200 DA  \ Earthworks (Small Works) / 8.3\ SCHEDULED ITEMS / 8.3.6 \ Top Soiling. /\KS16_001-Infilling of Drains  \m²\494.873340531892 \ 5" u="1"/>
        <s v="SABS1200 DA  / Earthworks (Small Works) / 8.3 / 8.3.6 / Top Soiling / Pan14_009-Infilling of Drains / 78.4 / m²" u="1"/>
        <s v="SABS1200 DA  \ Earthworks (Small Works) / 8.3\ SCHEDULED ITEMS / 8.3.6 \ Top Soiling. /\KS19_006-Removal of Dam Wall  \m²\3134.04 \ 5" u="1"/>
        <s v="SABS1200 DA  \ Earthworks (Small Works) / 8.3\ SCHEDULED ITEMS / 8.3.6 \ Top Soiling. /\KS12_010-Removal of Dam Wall \m²\619.185479905302 \ 5" u="1"/>
        <s v="SABS1200 DA \EARTHWORKS (SMALL WORKS)/8.3\SCHEDULED ITEMS/8.3.6\Top Soiling. Rate to allow for excavations from stockpiled top soil  and vegetation, transport, placement and spreading to a nominal depth of 150 mm./\KS18_016-Concrete Drop Inlet. Drawing NBC-GTW-CL-0022 \m²\23.36 \ 5" u="1"/>
        <s v="SABS1200 DA \EARTHWORKS (SMALL WORKS)/8.3\SCHEDULED ITEMS/8.3.6\Top Soiling. Rate to allow for excavations from stockpiled top soil  and vegetation, transport, placement and spreading to a nominal depth of 150 mm./\KS18_017-Concrete Drop Inlet. Drawing NBC-GTW-CL-0023 \m²\23.36 \ 5" u="1"/>
        <s v="SABS1200 DA \EARTHWORKS (SMALL WORKS)/8.3\SCHEDULED ITEMS/8.3.6\Top Soiling. Rate to allow for excavations from stockpiled top soil  and vegetation, transport, placement and spreading to a nominal depth of 150 mm./\KS18_018-Concrete Drop Inlet. Drawing NBC-GTW-CL-0024 \m²\23.36 \ 5" u="1"/>
        <s v="SABS1200 DA \EARTHWORKS (SMALL WORKS)/8.3\SCHEDULED ITEMS/8.3.6\Top Soiling. Rate to allow for excavations from stockpiled top soil  and vegetation, transport, placement and spreading to a nominal depth of 150 mm./\KS20_004-Concrete Drop Inlet. Drawing NBC-GTW-CL-0030 \m²\23.36 \ 5" u="1"/>
        <s v="SABS1200 DA \EARTHWORKS (SMALL WORKS)/8.3\SCHEDULED ITEMS/8.3.6\Top Soiling. Rate to allow for excavations from stockpiled top soil  and vegetation, transport, placement and spreading to a nominal depth of 150 mm./\KS20_005-Concrete Drop Inlet. Drawing NBC-GTW-CL-0031 \m²\23.36 \ 5" u="1"/>
        <s v="SABS1200 DA \EARTHWORKS (SMALL WORKS)/8.3\SCHEDULED ITEMS/8.3.6\Top Soiling. Rate to allow for excavations from stockpiled top soil  and vegetation, transport, placement and spreading to a nominal depth of 150 mm./\KS20_006-Concrete Drop Inlet. Drawing NBC-GTW-CL-0032 \m²\23.36 \ 5" u="1"/>
        <s v="SABS1200 DA \EARTHWORKS (SMALL WORKS)/8.3\SCHEDULED ITEMS/8.3.6\Top Soiling. /\KS20_009_a-Concrete Buttress Weir. Refer to drawing NBC-GTW-CL-0035 \m²\25.88 \ 5" u="1"/>
        <s v="SABS1200 DA  / Earthworks (Small Works) / 8.3 / 8.3.6 / Top Soiling / KS19_007-Infilling of Drains / 179.7515 / m²" u="1"/>
        <s v="SABS1200 DA \EARTHWORKS (SMALL WORKS)/8.3\SCHEDULED ITEMS/8.3.6\Top Soiling. /\KS20_003-Concrete Buttress Weir. Refer to drawing NBC-GTW-CL-0029 \m²\26.68 \ 5" u="1"/>
        <s v="SABS1200 DA \EARTHWORKS (SMALL WORKS)/8.3\SCHEDULED ITEMS/8.3.6\Top Soiling. /\ks11-002c-Dam wall excavation. Refer to drawing NBC-GTW-CL-0067 \m²\1870 \ 5" u="1"/>
        <s v="SABS1200 DA  / Earthworks (Small Works) / 8.3 / 8.3.6 / Top Soiling / KS13_010-Removal of Berm / 1020.985 / m²" u="1"/>
        <s v="SABS1200 DA  \ Earthworks (Small Works) / 8.3\ SCHEDULED ITEMS / 8.3.6 \ Top Soiling. /\Pan14-002-Remove Berm \m²\198 \ 5" u="1"/>
        <s v="SABS1200 DA \EARTHWORKS (SMALL WORKS)/8.3\SCHEDULED ITEMS/8.3.6\Top Soiling. /\LS08_001-Removal of Berm  \m²\148.532778078669 \ 5" u="1"/>
        <s v="SABS1200 DA  \ Earthworks (Small Works) / 8.3\ SCHEDULED ITEMS / 8.3.6 \ Top Soiling. /\Pan14_007-Infilling of Drains  \m²\76 \ 5" u="1"/>
        <s v="SABS1200 DA  / Earthworks (Small Works) / 8.3 / 8.3.6 / Top Soiling / LS16_015-Earthworks / 567 / m²" u="1"/>
        <s v="SABS1200 DA \EARTHWORKS (SMALL WORKS)/8.3\SCHEDULED ITEMS/8.3.6\Top Soiling. /\KS13_011-Concrete Drop Inlet. Refer to drawing NBC-GTW-CL-0015 \m²\22.88 \ 5" u="1"/>
        <s v="SABS1200 DA \EARTHWORKS (SMALL WORKS)/8.3\SCHEDULED ITEMS/8.3.6\Top Soiling. /\KS20_002-Concrete Drop Inlet. Drawing NBC-GTW-CL-0028 \m²\24.48 \ 5" u="1"/>
        <s v="SABS1200 DA  \ Earthworks (Small Works) / 8.3\ SCHEDULED ITEMS / 8.3.6 \ Top Soiling. /\KS21-004-Earthworks \m²\111 \ 5" u="1"/>
        <s v="SABS1200 DA  \ Earthworks (Small Works) / 8.3\ SCHEDULED ITEMS / 8.3.6 \ Top Soiling. /\KS20_008-Concrete Drop Inlet. Refer to drawing AH \m²\23.2 \ 5" u="1"/>
        <s v="SABS1200 DA \EARTHWORKS (SMALL WORKS)/8.3\SCHEDULED ITEMS/8.3.6\Top Soiling. /\KS18_001-Concrete Drop Inlet. Refer to drawing NBC-GTW-CL-0019 \m²\23.84 \ 5" u="1"/>
        <s v="SABS1200 DA  / Earthworks (Small Works) / 8.3 / 8.3.6 / Top Soiling / LS08_001-Removal of Berm / 148.532778078669 / m²" u="1"/>
        <s v="SABS1200 DA \EARTHWORKS (SMALL WORKS)/8.3\SCHEDULED ITEMS/8.3.6\Top Soiling. /\Pan09_001-Removal of Dam Wall  \m²\594 \ 5" u="1"/>
        <s v="SABS1200 DA \EARTHWORKS (SMALL WORKS)/8.3\SCHEDULED ITEMS/8.3.6\Top Soiling. /\KS20_009_b-Concrete Overflow Wall. Drawing NBC-GTW-CL-0035 \m²\50 \ 5" u="1"/>
        <s v="SABS1200 DA \EARTHWORKS (SMALL WORKS)/8.3\SCHEDULED ITEMS/8.3.6\Top Soiling. /\KS13_013-Concrete Drop Inlet. Drawing NBC-GTW-CL-0017 \m²\22.56 \ 5" u="1"/>
        <s v="SABS1200 DA \EARTHWORKS (SMALL WORKS)/8.3\SCHEDULED ITEMS/8.3.6\Top Soiling. /\KS13_015-Concrete Drop Inlet. Drawing NBC-GTW-CL-0018 \m²\22.56 \ 5" u="1"/>
        <s v="SABS1200 DA  / Earthworks (Small Works) / 8.3 / 8.3.6 / Top Soiling / KS19_002-Concrete Drop Inlet / 20.96 / m²" u="1"/>
        <s v="SABS1200 DA \EARTHWORKS (SMALL WORKS)/8.3\SCHEDULED ITEMS/8.3.6\Top Soiling. /\KS20_007-Concrete Drop Inlet. Refer to drawing NBC-GTW-CL-0033 \m²\23.04 \ 5" u="1"/>
        <s v="SABS1200 DA \EARTHWORKS (SMALL WORKS)/8.3\SCHEDULED ITEMS/8.3.6\Top Soiling. /\KS18-014-Concrete Filled Geo-Cell Berm. Drawing NBC-GTW-CL-0001 \m²\31.75 \ 5" u="1"/>
        <s v="SABS1200 DA  \ Earthworks (Small Works) / 8.3\ SCHEDULED ITEMS / 8.3.6 \ Top Soiling. /\LS16_020-Removal of Road  \m²\1782 \ 5" u="1"/>
        <s v="SABS1200 DA  \ Earthworks (Small Works) / 8.3\ SCHEDULED ITEMS / 8.3.6 \ Top Soiling. /\KS20_003-Concrete Buttress Weir \m²\26.68 \ 5" u="1"/>
        <s v="SABS1200 DA  \ Earthworks (Small Works) / 8.3\ SCHEDULED ITEMS / 8.3.6 \ Top Soiling. /\LS12_002-Removal of Berm \m²\76 \ 5" u="1"/>
        <s v="SABS1200 DA \EARTHWORKS (SMALL WORKS)/8.3\SCHEDULED ITEMS/8.3.6\Top Soiling. /\KS13_004-Concrete Drop Inlet. Refer to drawing NBC-GTW-CL-0010 \m²\22.4 \ 5" u="1"/>
        <s v="SABS1200 DA  \ Earthworks (Small Works) / 8.3\ SCHEDULED ITEMS / 8.3.6 \ Top Soiling. /\Pan14_009-Infilling of Drains  \m²\78.4 \ 5" u="1"/>
        <s v="SABS1200 DA  / Earthworks (Small Works) / 8.3 / 8.3.6 / Top Soiling / KS18_020-Rehab road culvert / 22.384 / m²" u="1"/>
        <s v="SABS1200 DA  \ Earthworks (Small Works) / 8.3\ SCHEDULED ITEMS / 8.3.6 \ Top Soiling. /\KS21_009-Concrete Drop Inlet. Refer to drawing AQ \m²\21.92 \ 5" u="1"/>
        <s v="SABS1200 DA  \ Earthworks (Small Works) / 8.3\ SCHEDULED ITEMS / 8.3.6 \ Top Soiling. /\KS21_010-Concrete Drop Inlet. Refer to drawing AR \m²\21.92 \ 5" u="1"/>
        <s v="SABS1200 DA  \ Earthworks (Small Works) / 8.3\ SCHEDULED ITEMS / 8.3.6 \ Top Soiling. /\LS12_001-Removal of dam wall \m²\2917.70393453744 \ 5" u="1"/>
        <s v="SABS1200 DA \EARTHWORKS (SMALL WORKS)/8.3\SCHEDULED ITEMS/8.3.6\Top Soiling. /\KS13_003-Concrete Drop Inlet. Drawing NBC-GTW-CL-0009 \m²\23.2 \ 5" u="1"/>
        <s v="SABS1200 DA \EARTHWORKS (SMALL WORKS)/8.3\SCHEDULED ITEMS/8.3.6\Top Soiling. /\KS13_012-Concrete Drop Inlet. Drawing NBC-GTW-CL-0016 \m²\23.2 \ 5" u="1"/>
        <s v="SABS1200 DA \EARTHWORKS (SMALL WORKS)/8.3\SCHEDULED ITEMS/8.3.6\Top Soiling. /\KS20_008-Concrete Drop Inlet. Drawing NBC-GTW-CL-0034 \m²\23.2 \ 5" u="1"/>
        <s v="SABS1200 DA  / Earthworks (Small Works) / 8.3 / 8.3.6 / Top Soiling / KS12_005-Concrete Drop Inlet / 21.92 / m²" u="1"/>
        <s v="SABS1200 DA  / Earthworks (Small Works) / 8.3 / 8.3.6 / Top Soiling / KS12_007-Concrete Drop Inlet / 21.92 / m²" u="1"/>
        <s v="SABS1200 DA  / Earthworks (Small Works) / 8.3 / 8.3.6 / Top Soiling / KS21_009-Concrete Drop Inlet / 21.92 / m²" u="1"/>
        <s v="SABS1200 DA  / Earthworks (Small Works) / 8.3 / 8.3.6 / Top Soiling / KS21_010-Concrete Drop Inlet / 21.92 / m²" u="1"/>
        <s v="SABS1200 DA  \ Earthworks (Small Works) / 8.3\ SCHEDULED ITEMS / 8.3.6 \ Top Soiling. /\KS21-008-Infilling of Drain  \m²\129.2 \ 5" u="1"/>
        <s v="SABS1200 DA  / Earthworks (Small Works) / 8.3 / 8.3.6 / Top Soiling / Pan14-001-Reinstate Pan Edge / 360 / m²" u="1"/>
        <s v="SABS1200 DA  / Earthworks (Small Works) / 8.3 / 8.3.6 / Top Soiling / Pan14_006-Earthen Berms / 190.755332217041 / m²" u="1"/>
        <s v="SABS1200 DA  \ Earthworks (Small Works) / 8.3\ SCHEDULED ITEMS / 8.3.6 \ Top Soiling. /\Pan14_006-Earthen Berms \m²\190.755332217041 \ 5" u="1"/>
        <s v="SABS1200 DA  \ Earthworks (Small Works) / 8.3\ SCHEDULED ITEMS / 8.3.6 \ Top Soiling. /\KS18_015-Concrete Drop Inlet. Refer to drawing U \m²\23.68 \ 5" u="1"/>
        <s v="SABS1200 DA  \ Earthworks (Small Works) / 8.3\ SCHEDULED ITEMS / 8.3.6 \ Top Soiling. /\Pan8_001-Foreign Materials  \m²\54 \ 5" u="1"/>
        <s v="SABS1200 DA  \ Earthworks (Small Works) / 8.3\ SCHEDULED ITEMS / 8.3.6 \ Top Soiling. /\KS18_001-Concrete Drop Inlet. Refer to drawing S \m²\23.84 \ 5" u="1"/>
        <s v="SABS1200 DA  \ Earthworks (Small Works) / 8.3\ SCHEDULED ITEMS / 8.3.6 \ Top Soiling. /\KS21-008-Earthworks \m²\129.2 \ 5" u="1"/>
        <s v="SABS1200 DA \EARTHWORKS (SMALL WORKS)/8.3\SCHEDULED ITEMS/8.3.6\Top Soiling. /\KS21-008-Infilling of Drain  \m²\129.2 \ 5" u="1"/>
        <s v="SABS1200 DA  / Earthworks (Small Works) / 8.3 / 8.3.6 / Top Soiling / KS20_009_a-Concrete Drop Inlet / 25.88 / m²" u="1"/>
        <s v="SABS1200 DA \EARTHWORKS (SMALL WORKS)/8.3\SCHEDULED ITEMS/8.3.6\Top Soiling. Rate to allow for excavations from stockpiled top soil  and vegetation, transport, placement and spreading to a nominal depth of 150 mm./\KS16_004-Infilling of Drains  \m²\480 \ 5" u="1"/>
        <s v="SABS1200 DA \EARTHWORKS (SMALL WORKS)/8.3\SCHEDULED ITEMS/8.3.6\Top Soiling. /\Pan14-003-Remove berm and backfill drain  \m²\2365 \ 5" u="1"/>
        <s v="SABS1200 DA \EARTHWORKS (SMALL WORKS)/8.3\SCHEDULED ITEMS/8.3.6\Top Soiling. /\KS19_002-Concrete Drop Inlet. Refer to drawing NBC-GTW-CL-0026 \m²\20.96 \ 5" u="1"/>
        <s v="SABS1200 DA \EARTHWORKS (SMALL WORKS)/8.3\SCHEDULED ITEMS/8.3.6\Top Soiling. Rate to allow for excavations from stockpiled top soil  and vegetation, transport, placement and spreading to a nominal depth of 150 mm./\KS20_003-Concrete Buttress Weir. Drawing NBC-GTW-CL-0029 \m²\26.68 \ 5" u="1"/>
        <s v="SABS1200 DA  \ Earthworks (Small Works) / 8.3\ SCHEDULED ITEMS / 8.3.6 \ Top Soiling. /\KS15-002-Backfill Main Channel \m²\3846.97837810187 \ 5" u="1"/>
        <s v="SABS1200 DA \EARTHWORKS (SMALL WORKS)/8.3\SCHEDULED ITEMS/8.3.6\Top Soiling. /\KS12_005-Concrete Drop Inlet. Refer to drawing NBC-GTW-CL-0004 \m²\21.92 \ 5" u="1"/>
        <s v="SABS1200 DA \EARTHWORKS (SMALL WORKS)/8.3\SCHEDULED ITEMS/8.3.6\Top Soiling. /\KS12_007-Concrete Drop Inlet. Refer to drawing NBC-GTW-CL-0006 \m²\21.92 \ 5" u="1"/>
        <s v="SABS1200 DA \EARTHWORKS (SMALL WORKS)/8.3\SCHEDULED ITEMS/8.3.6\Top Soiling. /\KS21_009-Concrete Drop Inlet. Refer to drawing NBC-GTW-CL-0043 \m²\21.92 \ 5" u="1"/>
        <s v="SABS1200 DA \EARTHWORKS (SMALL WORKS)/8.3\SCHEDULED ITEMS/8.3.6\Top Soiling. /\KS21_010-Concrete Drop Inlet. Refer to drawing NBC-GTW-CL-0044 \m²\21.92 \ 5" u="1"/>
        <s v="SABS1200 DA  \ Earthworks (Small Works) / 8.3\ SCHEDULED ITEMS / 8.3.6 \ Top Soiling. /\KS12_010-Removal of Dam Wall  \m²\619.185479905302 \ 5" u="1"/>
        <s v="SABS1200 DA  \ Earthworks (Small Works) / 8.3\ SCHEDULED ITEMS / 8.3.6 \ Top Soiling. /\KS12_004-Concrete Drop Inlet. Refer to drawing C \m²\21.76 \ 5" u="1"/>
        <s v="SABS1200 DA  \ Earthworks (Small Works) / 8.3\ SCHEDULED ITEMS / 8.3.6 \ Top Soiling. /\KS13_005-Concrete Drop Inlet. Refer to drawing K \m²\21.76 \ 5" u="1"/>
        <s v="SABS1200 DA  \ Earthworks (Small Works) / 8.3\ SCHEDULED ITEMS / 8.3.6 \ Top Soiling. /\KS13_006-Concrete Drop Inlet. Refer to drawing L \m²\21.76 \ 5" u="1"/>
        <s v="SABS1200 DA  / Earthworks (Small Works) / 8.3 / 8.3.6 / Top Soiling / KS12_004-Concrete Drop Inlet / 21.76 / m²" u="1"/>
        <s v="SABS1200 DA  / Earthworks (Small Works) / 8.3 / 8.3.6 / Top Soiling / KS13_005-Concrete Drop Inlet / 21.76 / m²" u="1"/>
        <s v="SABS1200 DA  / Earthworks (Small Works) / 8.3 / 8.3.6 / Top Soiling / KS13_006-Concrete Drop Inlet / 21.76 / m²" u="1"/>
        <s v="SABS1200 DA  / Earthworks (Small Works) / 8.3 / 8.3.6 / Top Soiling / KS21_005-Concrete Drop Inlet / 21.76 / m²" u="1"/>
        <s v="SABS1200 DA  \ Earthworks (Small Works) / 8.3\ SCHEDULED ITEMS / 8.3.6 \ Top Soiling. /\KS13_011-Concrete Drop Inlet \m²\22.88 \ 5" u="1"/>
        <s v="SABS1200 DA  \ Earthworks (Small Works) / 8.3\ SCHEDULED ITEMS / 8.3.6 \ Top Soiling. /\KS12_005-Concrete Drop Inlet. Refer to drawing D \m²\21.92 \ 5" u="1"/>
        <s v="SABS1200 DA  \ Earthworks (Small Works) / 8.3\ SCHEDULED ITEMS / 8.3.6 \ Top Soiling. /\KS12_007-Concrete Drop Inlet. Refer to drawing F \m²\21.92 \ 5" u="1"/>
        <s v="SABS1200 DA \EARTHWORKS (SMALL WORKS)/8.3\SCHEDULED ITEMS/8.3.6\Top Soiling. /\KS20_009_c-Earthen Berm. Drawing NBC-GTW-CL-0035 \m²\69 \ 5" u="1"/>
        <s v="SABS1200 DA \EARTHWORKS (SMALL WORKS)/8.3\SCHEDULED ITEMS/8.3.6\Top Soiling. /\KS13_016-Infilling of Drains  \m²\332.18699875976 \ 5" u="1"/>
        <s v="SABS1200 DA  \ Earthworks (Small Works) / 8.3\ SCHEDULED ITEMS / 8.3.6 \ Top Soiling. /\LS16_015-Earthworks \m²\567 \ 5" u="1"/>
        <s v="SABS1200 DA \EARTHWORKS (SMALL WORKS)/8.3\SCHEDULED ITEMS/8.3.6\Top Soiling. /\KS20_007-Concrete Drop Inlet. Drawing NBC-GTW-CL-0033 \m²\23.04 \ 5" u="1"/>
        <s v="SABS1200 DA  \ Earthworks (Small Works) / 8.3\ SCHEDULED ITEMS / 8.3.6 \ Top Soiling. /\KS18_015-Concrete Drop Inlet \m²\23.68 \ 5" u="1"/>
        <s v="SABS1200 DA  / Earthworks (Small Works) / 8.3 / 8.3.6 / Top Soiling / Pan14_008-Infilling of Drains / 108 / m²" u="1"/>
        <s v="SABS1200 DA  / Earthworks (Small Works) / 8.3 / 8.3.6 / Top Soiling / KS12_006-Concrete Drop Inlet / 21.44 / m²" u="1"/>
        <s v="SABS1200 DA  / Earthworks (Small Works) / 8.3 / 8.3.6 / Top Soiling / KS12_008-Concrete Drop Inlet / 21.44 / m²" u="1"/>
        <s v="SABS1200 DA  / Earthworks (Small Works) / 8.3 / 8.3.6 / Top Soiling / KS12_009-Concrete Drop Inlet / 21.44 / m²" u="1"/>
        <s v="SABS1200 DA \EARTHWORKS (SMALL WORKS)/8.3\SCHEDULED ITEMS/8.3.6\Top Soiling. /\DS12_001-Excavation of Dam Wall  \m²\1251.40232690631 \ 5" u="1"/>
        <s v="SABS1200 DA  / Earthworks (Small Works) / 8.3 / 8.3.6 / Top Soiling / KS21_006-Concrete Drop Inlet / 21.6 / m²" u="1"/>
        <s v="SABS1200 DA  / Earthworks (Small Works) / 8.3 / 8.3.6 / Top Soiling / KS21_007-Concrete Drop Inlet / 21.6 / m²" u="1"/>
        <s v="SABS1200 DA  \ Earthworks (Small Works) / 8.3\ SCHEDULED ITEMS / 8.3.6 \ Top Soiling. /\Pan14_011-Infilling of Drains  \m²\4365 \ 5" u="1"/>
        <s v="SABS1200 DA \EARTHWORKS (SMALL WORKS)/8.3\SCHEDULED ITEMS/8.3.6\Top Soiling. /\ks11-004c-Dam wall excavation. Drawing NBC-GTW-CL-0068 \m²\1200 \ 5" u="1"/>
        <s v="SABS1200 DA  / Earthworks (Small Works) / 8.3 / 8.3.6 / Top Soiling / KS13_011-Concrete Drop Inlet / 22.88 / m²" u="1"/>
        <s v="SABS1200 DA \EARTHWORKS (SMALL WORKS)/8.3\SCHEDULED ITEMS/8.3.6\Top Soiling. Rate to allow for excavations from stockpiled top soil  and vegetation, transport, placement and spreading to a nominal depth of 150 mm./\KS21-002-Earthworks  \m²\850 \ 5" u="1"/>
        <s v="SABS1200 DA \EARTHWORKS (SMALL WORKS)/8.3\SCHEDULED ITEMS/8.3.6\Top Soiling. Rate to allow for excavations from stockpiled top soil  and vegetation, transport, placement and spreading to a nominal depth of 150 mm./\KS13_011-Concrete Drop Inlet. Drawing NBC-GTW-CL-0015 \m²\22.88 \ 5" u="1"/>
        <s v="SABS1200 DA  \ Earthworks (Small Works) / 8.3\ SCHEDULED ITEMS / 8.3.6 \ Top Soiling. /\Pan14-003-Remove berm and backfill drain  \m²\2365 \ 5" u="1"/>
        <s v="SABS1200 DA  / Earthworks (Small Works) / 8.3 / 8.3.6 / Top Soiling / KS16_004-Infilling of Drains / 480 / m²" u="1"/>
        <s v="SABS1200 DA  \ Earthworks (Small Works) / 8.3\ SCHEDULED ITEMS / 8.3.6 \ Top Soiling. /\KS16_001-Infilling of Drains \m²\494.873340531892 \ 5" u="1"/>
        <s v="SABS1200 DA  \ Earthworks (Small Works) / 8.3\ SCHEDULED ITEMS / 8.3.6 \ Top Soiling. /\KS13_004-Concrete Drop Inlet. Refer to drawing J \m²\22.4 \ 5" u="1"/>
        <s v="SABS1200 DA \EARTHWORKS (SMALL WORKS)/8.3\SCHEDULED ITEMS/8.3.6\Top Soiling. /\KS20_009_c-Earthen Berm. Refer to drawing  \m²\69 \ 5" u="1"/>
        <s v="SABS1200 DA  / Earthworks (Small Works) / 8.3 / 8.3.6 / Top Soiling / KS13_013-Concrete Drop Inlet / 22.56 / m²" u="1"/>
        <s v="SABS1200 DA  / Earthworks (Small Works) / 8.3 / 8.3.6 / Top Soiling / KS13_015-Concrete Drop Inlet / 22.56 / m²" u="1"/>
        <s v="SABS1200 DA \EARTHWORKS (SMALL WORKS)/8.3\SCHEDULED ITEMS/8.3.6\Top Soiling. Rate to allow for excavations from stockpiled top soil  and vegetation, transport, placement and spreading to a nominal depth of 150 mm./\KS18_015-Concrete Drop Inlet. Drawing NBC-GTW-CL-0021 \m²\23.68 \ 5" u="1"/>
        <s v="SABS1200 DA \EARTHWORKS (SMALL WORKS)/8.3\SCHEDULED ITEMS/8.3.6\Top Soiling. /\KS12_003-Removal of Berm and Dam Wall  \m²\1876.14315788985 \ 5" u="1"/>
        <s v="SABS1200 DA  / Earthworks (Small Works) / 8.3 / 8.3.6 / Top Soiling / KS18_001-Concrete Drop Inlet / 23.84 / m²" u="1"/>
        <s v="SABS1200 DA  / Earthworks (Small Works) / 8.3 / 8.3.6 / Top Soiling / KS12_003-Removal of Berm and Dam Wall / 1876.14315788985 / m²" u="1"/>
        <s v="SABS1200 DA  / Earthworks (Small Works) / 8.3 / 8.3.6 / Top Soiling / Pan14-003-Remove berm and backfill drain / 2365 / m²" u="1"/>
        <s v="SABS1200 DA  \ Earthworks (Small Works) / 8.3\ SCHEDULED ITEMS / 8.3.6 \ Top Soiling. /\KS12_003-Removal of Berm and Dam Wall  \m²\1876.14315788985 \ 5" u="1"/>
        <s v="SABS1200 DA \EARTHWORKS (SMALL WORKS)/8.3\SCHEDULED ITEMS/8.3.6\Top Soiling. /\LS16_021-Backfill Main Channel  \m²\6032.31 \ 5" u="1"/>
        <s v="SABS1200 DA \EARTHWORKS (SMALL WORKS)/8.3\SCHEDULED ITEMS/8.3.6\Top Soiling. /\KS18_020-Concrete Drop Inlet associated with Road Culvert  \m²\22.384 \ 5" u="1"/>
        <s v="SABS1200 DA \EARTHWORKS (SMALL WORKS)/8.3\SCHEDULED ITEMS/8.3.6\Top Soiling. Rate to allow for excavations from stockpiled top soil  and vegetation, transport, placement and spreading to a nominal depth of 150 mm./\KS20_002-Concrete Drop Inlet. Drawing NBC-GTW-CL-0028 \m²\24.48 \ 5" u="1"/>
        <s v="SABS1200 DA  \ Earthworks (Small Works) / 8.3\ SCHEDULED ITEMS / 8.3.6 \ Top Soiling. /\KS21_006-Concrete Drop Inlet. Refer to drawing AO \m²\21.6 \ 5" u="1"/>
        <s v="SABS1200 DA  \ Earthworks (Small Works) / 8.3\ SCHEDULED ITEMS / 8.3.6 \ Top Soiling. /\KS21_007-Concrete Drop Inlet. Refer to drawing AP \m²\21.6 \ 5" u="1"/>
        <s v="SABS1200 DA \EARTHWORKS (SMALL WORKS)/8.3\SCHEDULED ITEMS/8.3.6\Top Soiling. /\KS20_003-Concrete Buttress Weir. Drawing NBC-GTW-CL-0029 \m²\26.68 \ 5" u="1"/>
        <s v="SABS1200 DA  / Earthworks (Small Works) / 8.3 / 8.3.6 / Top Soiling / LS12_002-Removal of Berm / 76 / m²" u="1"/>
        <s v="SABS1200 DA \EARTHWORKS (SMALL WORKS)/8.3\SCHEDULED ITEMS/8.3.6\Top Soiling. /\LS12_001-Removal of dam wall  \m²\2917.70393453744 \ 5" u="1"/>
        <s v="SABS1200 DA  / Earthworks (Small Works) / 8.3 / 8.3.6 / Top Soiling / KS13_007-Concrete Drop Inlet / 22.24 / m²" u="1"/>
        <s v="SABS1200 DA  / Earthworks (Small Works) / 8.3 / 8.3.6 / Top Soiling / KS13_008-Concrete Drop Inlet / 22.24 / m²" u="1"/>
        <s v="SABS1200 DA  / Earthworks (Small Works) / 8.3 / 8.3.6 / Top Soiling / KS18_019-Concrete Drop Inlet / 22.24 / m²" u="1"/>
        <s v="SABS1200 DA  / Earthworks (Small Works) / 8.3 / 8.3.6 / Top Soiling / KS21_003-Concrete Drop Inlet / 22.24 / m²" u="1"/>
        <s v="SABS1200 DA  \ Earthworks (Small Works) / 8.3\ SCHEDULED ITEMS / 8.3.6 \ Top Soiling. /\Pan14_009-Infilling of Drains \m²\78.4 \ 5" u="1"/>
        <s v="SABS1200 DA  / Earthworks (Small Works) / 8.3 / 8.3.6 / Top Soiling / KS13_004-Concrete Drop Inlet / 22.4 / m²" u="1"/>
        <s v="SABS1200 DA  / Earthworks (Small Works) / 8.3 / 8.3.6 / Top Soiling / KS21-002-Earthworks / 850 / m²" u="1"/>
        <s v="SABS1200 DA  / Earthworks (Small Works) / 8.3 / 8.3.6 / Top Soiling / KS20_009_b-Concrete Overflow Wall / 50 / m²" u="1"/>
        <s v="SABS1200 DA \EARTHWORKS (SMALL WORKS)/8.3\SCHEDULED ITEMS/8.3.6\Top Soiling. /\KS13_007-Concrete Drop Inlet. Refer to drawing NBC-GTW-CL-0013 \m²\22.24 \ 5" u="1"/>
        <s v="SABS1200 DA \EARTHWORKS (SMALL WORKS)/8.3\SCHEDULED ITEMS/8.3.6\Top Soiling. /\KS13_008-Concrete Drop Inlet. Refer to drawing NBC-GTW-CL-0014 \m²\22.24 \ 5" u="1"/>
        <s v="SABS1200 DA \EARTHWORKS (SMALL WORKS)/8.3\SCHEDULED ITEMS/8.3.6\Top Soiling. /\KS18_019-Concrete Drop Inlet. Refer to drawing NBC-GTW-CL-0025 \m²\22.24 \ 5" u="1"/>
        <s v="SABS1200 DA \EARTHWORKS (SMALL WORKS)/8.3\SCHEDULED ITEMS/8.3.6\Top Soiling. /\KS21_003-Concrete Drop Inlet. Refer to drawing NBC-GTW-CL-0039 \m²\22.24 \ 5" u="1"/>
        <s v="SABS1200 DA  / Earthworks (Small Works) / 8.3 / 8.3.6 / Top Soiling / KS20_001-Concrete Drop Inlet / 23.52 / m²" u="1"/>
        <s v="SABS1200 DA  \ Earthworks (Small Works) / 8.3\ SCHEDULED ITEMS / 8.3.6 \ Top Soiling. /\Pan14-002-Remove Berm  \m²\198 \ 5" u="1"/>
        <s v="SABS1200 DA  / Earthworks (Small Works) / 8.3 / 8.3.6 / Top Soiling / KS18_015-Concrete Drop Inlet / 23.68 / m²" u="1"/>
        <s v="SABS1200 DA  / Earthworks (Small Works) / 8.3 / 8.3.6 / Top Soiling / LS12_001-Removal of dam wall / 9000 / m²" u="1"/>
        <s v="SABS1200 DA \EARTHWORKS (SMALL WORKS)/8.3\SCHEDULED ITEMS/8.3.6\Top Soiling. /\KS13_011-Concrete Drop Inlet. Drawing NBC-GTW-CL-0015 \m²\22.88 \ 5" u="1"/>
        <s v="SABS1200 DA \EARTHWORKS (SMALL WORKS)/8.3\SCHEDULED ITEMS/8.3.6\Top Soiling. /\LS16_015-Earthworks (Reinforce Dam Wall)  \m²\567 \ 5" u="1"/>
        <s v="SABS1200 DA  / Earthworks (Small Works) / 8.3 / 8.3.6 / Top Soiling / LS16_021-Backfill Main Channel / 6032.31 / m²" u="1"/>
        <s v="SABS1200 DA  / Earthworks (Small Works) / 8.3 / 8.3.6 / Top Soiling / KS20_003-Concrete Buttress Weir / 26.68 / m²" u="1"/>
        <s v="SABS1200 DA  \ Earthworks (Small Works) / 8.3\ SCHEDULED ITEMS / 8.3.6 \ Top Soiling. /\KS15_003-Removal of Dam Wall \m²\619.289401121074 \ 5" u="1"/>
        <s v="SABS1200 DA  / Earthworks (Small Works) / 8.3 / 8.3.6 / Top Soiling / KS13_014-Earthen Berm / 278.716598321288 / m²" u="1"/>
        <s v="SABS1200 DA \EARTHWORKS (SMALL WORKS)/8.3\SCHEDULED ITEMS/8.3.6\Top Soiling. /\KS21_006-Concrete Drop Inlet. Refer to drawing NBC-GTW-CL-0041 \m²\21.6 \ 5" u="1"/>
        <s v="SABS1200 DA \EARTHWORKS (SMALL WORKS)/8.3\SCHEDULED ITEMS/8.3.6\Top Soiling. /\KS21_007-Concrete Drop Inlet. Refer to drawing NBC-GTW-CL-0042 \m²\21.6 \ 5" u="1"/>
        <s v="SABS1200 DA \EARTHWORKS (SMALL WORKS)/8.3\SCHEDULED ITEMS/8.3.6\Top Soiling. /\LS16_015-Earthworks  \m²\567 \ 5" u="1"/>
        <s v="SABS1200 DA \EARTHWORKS (SMALL WORKS)/8.3\SCHEDULED ITEMS/8.3.6\Top Soiling. /\ks11-002c-Dam wall excavation  \m²\1870 \ 5" u="1"/>
        <s v="SABS1200 DA \EARTHWORKS (SMALL WORKS)/8.3\SCHEDULED ITEMS/8.3.6\Top Soiling. /\KS19_002-Concrete Drop Inlet. Drawing NBC-GTW-CL-0026 \m²\20.96 \ 5" u="1"/>
        <s v="SABS1200 DA  \ Earthworks (Small Works) / 8.3\ SCHEDULED ITEMS / 8.3.6 \ Top Soiling. /\KS12_003-Removal of Berm and Dam Wall \m²\1876.14315788985 \ 5" u="1"/>
        <s v="SABS1200 DA \EARTHWORKS (SMALL WORKS)/8.3\SCHEDULED ITEMS/8.3.6\Top Soiling. Rate to allow for excavations from stockpiled top soil  and vegetation, transport, placement and spreading to a nominal depth of 150 mm./\KS18_020-Concrete Drop Inlet associated with Road Culvert  \m²\22.384 \ 5" u="1"/>
      </sharedItems>
    </cacheField>
    <cacheField name="Grassing or other Vegetation Cover" numFmtId="0">
      <sharedItems count="537" longText="1">
        <s v="SABS1200 DA \EARTHWORKS (SMALL WORKS)/8.3\SCHEDULED ITEMS/8.3.7\Grassing or other Vegetation Cover. Rate to allow for the supply of indigenous veld grass seed mix from commercial sources, seeding, raking and maintaining until established./\DS12_004-Removal of earthen material  \m²\626.368 \ 10"/>
        <s v="SABS1200 DA \EARTHWORKS (SMALL WORKS)/8.3\SCHEDULED ITEMS/8.3.7\Grassing or other Vegetation Cover. Rate to allow for the supply of indigenous veld grass seed mix from commercial sources, seeding, raking and maintaining until established./\DS12_001-Excavation of Dam Wall  \m²\1251.4 \ 10"/>
        <s v="SABS1200 DA \EARTHWORKS (SMALL WORKS)/8.3\SCHEDULED ITEMS/8.3.7\Grassing or other Vegetation Cover. Rate to allow for the supply of indigenous veld grass seed mix from commercial sources, seeding, raking and maintaining until established./\DS12_002-Backfilling Dam  \m²\995.487318191585 \ 10"/>
        <s v="SABS1200 DA \EARTHWORKS (SMALL WORKS)/8.3\SCHEDULED ITEMS/8.3.7\Grassing or other Vegetation Cover. Rate to allow for the supply of indigenous veld grass seed mix from commercial sources, seeding, raking and maintaining until established./\DS12_003-Excavation of Dam Wall  \m²\621.57 \ 10"/>
        <s v=" "/>
        <s v="SABS1200 DA \EARTHWORKS (SMALL WORKS)/8.3\SCHEDULED ITEMS/8.3.7\Grassing or other Vegetation Cover. Rate to allow for the supply of indigenous veld grass seed mix from commercial sources, seeding, raking and maintaining until established./\ks11-002a-Concrete Drop Inlet on Dam Wall  \m²\31.8 \ 10"/>
        <s v="SABS1200 DA \EARTHWORKS (SMALL WORKS)/8.3\SCHEDULED ITEMS/8.3.7\Grassing or other Vegetation Cover. Rate to allow for the supply of indigenous veld grass seed mix from commercial sources, seeding, raking and maintaining until established./\ks11-002c-Dam wall excavation. Drawing NBC-GTW-CL-0067 \m²\1870 \ 10"/>
        <s v="SABS1200 DA \EARTHWORKS (SMALL WORKS)/8.3\SCHEDULED ITEMS/8.3.7\Grassing or other Vegetation Cover. Rate to allow for the supply of indigenous veld grass seed mix from commercial sources, seeding, raking and maintaining until established./\ks11-003-Backfilling Dam to Create Wetland  \m²\17400 \ 10"/>
        <s v="SABS1200 DA \EARTHWORKS (SMALL WORKS)/8.3\SCHEDULED ITEMS/8.3.7\Grassing or other Vegetation Cover. Rate to allow for the supply of indigenous veld grass seed mix from commercial sources, seeding, raking and maintaining until established./\ks11-004a-Concrete Drop Inlet on Dam Wall  \m²\31.8 \ 10"/>
        <s v="SABS1200 DA \EARTHWORKS (SMALL WORKS)/8.3\SCHEDULED ITEMS/8.3.7\Grassing or other Vegetation Cover. Rate to allow for the supply of indigenous veld grass seed mix from commercial sources, seeding, raking and maintaining until established./\ks11-004c-Dam wall excavation. Drawing NBC-GTW-CL-0068 \m²\1200 \ 10"/>
        <s v="SABS1200 DA \EARTHWORKS (SMALL WORKS)/8.3\SCHEDULED ITEMS/8.3.7\Grassing or other Vegetation Cover. Rate to allow for the supply of indigenous veld grass seed mix from commercial sources, seeding, raking and maintaining until established./\ks11-005-Backfilling Dam to Create Wetland  \m²\38200 \ 10"/>
        <s v="SABS1200 DA \EARTHWORKS (SMALL WORKS)/8.3\SCHEDULED ITEMS/8.3.7\Grassing or other Vegetation Cover. Rate to allow for the supply of indigenous veld grass seed mix from commercial sources, seeding, raking and maintaining until established./\KS12_002-Concrete Drop Inlet. Drawing NBC-GTW-CL-0002 \m²\30 \ 10"/>
        <s v="SABS1200 DA \EARTHWORKS (SMALL WORKS)/8.3\SCHEDULED ITEMS/8.3.7\Grassing or other Vegetation Cover. Rate to allow for the supply of indigenous veld grass seed mix from commercial sources, seeding, raking and maintaining until established./\KS12_003-Removal of Berm and Dam Wall  \m²\1876.14315788985 \ 10"/>
        <s v="SABS1200 DA \EARTHWORKS (SMALL WORKS)/8.3\SCHEDULED ITEMS/8.3.7\Grassing or other Vegetation Cover. Rate to allow for the supply of indigenous veld grass seed mix from commercial sources, seeding, raking and maintaining until established./\KS12_004-Concrete Drop Inlet. Drawing NBC-GTW-CL-0003 \m²\21.76 \ 10"/>
        <s v="SABS1200 DA \EARTHWORKS (SMALL WORKS)/8.3\SCHEDULED ITEMS/8.3.7\Grassing or other Vegetation Cover. Rate to allow for the supply of indigenous veld grass seed mix from commercial sources, seeding, raking and maintaining until established./\KS12_005-Concrete Drop Inlet. Drawing NBC-GTW-CL-0004 \m²\21.92 \ 10"/>
        <s v="SABS1200 DA \EARTHWORKS (SMALL WORKS)/8.3\SCHEDULED ITEMS/8.3.7\Grassing or other Vegetation Cover. Rate to allow for the supply of indigenous veld grass seed mix from commercial sources, seeding, raking and maintaining until established./\KS12_006-Concrete Drop Inlet. Drawing NBC-GTW-CL-0005 \m²\21.44 \ 10"/>
        <s v="SABS1200 DA \EARTHWORKS (SMALL WORKS)/8.3\SCHEDULED ITEMS/8.3.7\Grassing or other Vegetation Cover. Rate to allow for the supply of indigenous veld grass seed mix from commercial sources, seeding, raking and maintaining until established./\KS12_007-Concrete Drop Inlet. Drawing NBC-GTW-CL-0006 \m²\21.92 \ 10"/>
        <s v="SABS1200 DA \EARTHWORKS (SMALL WORKS)/8.3\SCHEDULED ITEMS/8.3.7\Grassing or other Vegetation Cover. Rate to allow for the supply of indigenous veld grass seed mix from commercial sources, seeding, raking and maintaining until established./\KS12_008-Concrete Drop Inlet. Drawing NBC-GTW-CL-0007 \m²\21.44 \ 10"/>
        <s v="SABS1200 DA \EARTHWORKS (SMALL WORKS)/8.3\SCHEDULED ITEMS/8.3.7\Grassing or other Vegetation Cover. Rate to allow for the supply of indigenous veld grass seed mix from commercial sources, seeding, raking and maintaining until established./\KS12_009-Concrete Drop Inlet. Drawing NBC-GTW-CL-0008 \m²\21.44 \ 10"/>
        <s v="SABS1200 DA \EARTHWORKS (SMALL WORKS)/8.3\SCHEDULED ITEMS/8.3.7\Grassing or other Vegetation Cover. Rate to allow for the supply of indigenous veld grass seed mix from commercial sources, seeding, raking and maintaining until established./\KS12_010-Removal of Dam Wall  \m²\619.185479905302 \ 10"/>
        <s v="SABS1200 DA \EARTHWORKS (SMALL WORKS)/8.3\SCHEDULED ITEMS/8.3.7\Grassing or other Vegetation Cover. Rate to allow for the supply of indigenous veld grass seed mix from commercial sources, seeding, raking and maintaining until established./\KS13_003-Concrete Drop Inlet. Drawing NBC-GTW-CL-0009 \m²\23.2 \ 10"/>
        <s v="SABS1200 DA \EARTHWORKS (SMALL WORKS)/8.3\SCHEDULED ITEMS/8.3.7\Grassing or other Vegetation Cover. Rate to allow for the supply of indigenous veld grass seed mix from commercial sources, seeding, raking and maintaining until established./\KS13_009-Infilling of Drains  \m²\78.5716708603933 \ 10"/>
        <s v="SABS1200 DA \EARTHWORKS (SMALL WORKS)/8.3\SCHEDULED ITEMS/8.3.7\Grassing or other Vegetation Cover. Rate to allow for the supply of indigenous veld grass seed mix from commercial sources, seeding, raking and maintaining until established./\KS13_010-Removal of Berm  \m²\1020.985 \ 10"/>
        <s v="SABS1200 DA \EARTHWORKS (SMALL WORKS)/8.3\SCHEDULED ITEMS/8.3.7\Grassing or other Vegetation Cover. Rate to allow for the supply of indigenous veld grass seed mix from commercial sources, seeding, raking and maintaining until established./\KS13_014-Infilling of Drains  \m²\278.716598321288 \ 10"/>
        <s v="SABS1200 DA \EARTHWORKS (SMALL WORKS)/8.3\SCHEDULED ITEMS/8.3.7\Grassing or other Vegetation Cover. Rate to allow for the supply of indigenous veld grass seed mix from commercial sources, seeding, raking and maintaining until established./\KS13_016-Infilling of Drains  \m²\332.18699875976 \ 10"/>
        <s v="SABS1200 DA \EARTHWORKS (SMALL WORKS)/8.3\SCHEDULED ITEMS/8.3.7\Grassing or other Vegetation Cover. Rate to allow for the supply of indigenous veld grass seed mix from commercial sources, seeding, raking and maintaining until established./\KS13_017-Backfilling Main Channel  \m²\4680 \ 10"/>
        <s v="SABS1200 DA \EARTHWORKS (SMALL WORKS)/8.3\SCHEDULED ITEMS/8.3.7\Grassing or other Vegetation Cover. Rate to allow for the supply of indigenous veld grass seed mix from commercial sources, seeding, raking and maintaining until established./\KS15_003-Removal of Dam Wall  \m²\619.289401121074 \ 10"/>
        <s v="SABS1200 DA \EARTHWORKS (SMALL WORKS)/8.3\SCHEDULED ITEMS/8.3.7\Grassing or other Vegetation Cover. Rate to allow for the supply of indigenous veld grass seed mix from commercial sources, seeding, raking and maintaining until established./\KS15-002-Backfill Main Channel  \m²\3846.97837810187 \ 10"/>
        <s v="SABS1200 DA \EARTHWORKS (SMALL WORKS)/8.3\SCHEDULED ITEMS/8.3.7\Grassing or other Vegetation Cover. Rate to allow for the supply of indigenous veld grass seed mix from commercial sources, seeding, raking and maintaining until established./\KS16_001-Earthen berm  \m²\494.873340531892 \ 10"/>
        <s v="SABS1200 DA \EARTHWORKS (SMALL WORKS)/8.3\SCHEDULED ITEMS/8.3.7\Grassing or other Vegetation Cover. Rate to allow for the supply of indigenous veld grass seed mix from commercial sources, seeding, raking and maintaining until established./\KS16_002-Excavate Dam Wall  \m²\283.947757718744 \ 10"/>
        <s v="SABS1200 DA \EARTHWORKS (SMALL WORKS)/8.3\SCHEDULED ITEMS/8.3.7\Grassing or other Vegetation Cover. Rate to allow for the supply of indigenous veld grass seed mix from commercial sources, seeding, raking and maintaining until established./\KS16_004-Earthen berm  \m²\480 \ 10"/>
        <s v="SABS1200 DA \EARTHWORKS (SMALL WORKS)/8.3\SCHEDULED ITEMS/8.3.7\Grassing or other Vegetation Cover. Rate to allow for the supply of indigenous veld grass seed mix from commercial sources, seeding, raking and maintaining until established./\KS18-021-Backfill Main Channel  \m²\3294.95 \ 10"/>
        <s v="SABS1200 DA \EARTHWORKS (SMALL WORKS)/8.3\SCHEDULED ITEMS/8.3.7\Grassing or other Vegetation Cover. Rate to allow for the supply of indigenous veld grass seed mix from commercial sources, seeding, raking and maintaining until established./\KS19_002-Concrete Drop Inlet. Drawing NBC-GTW-CL-0026 \m²\20.96 \ 10"/>
        <s v="SABS1200 DA \EARTHWORKS (SMALL WORKS)/8.3\SCHEDULED ITEMS/8.3.7\Grassing or other Vegetation Cover. Rate to allow for the supply of indigenous veld grass seed mix from commercial sources, seeding, raking and maintaining until established./\KS19_006-Removal of Dam Wall  \m²\3134.04 \ 10"/>
        <s v="SABS1200 DA \EARTHWORKS (SMALL WORKS)/8.3\SCHEDULED ITEMS/8.3.7\Grassing or other Vegetation Cover. Rate to allow for the supply of indigenous veld grass seed mix from commercial sources, seeding, raking and maintaining until established./\KS19_007-Infilling of Drains  \m²\179.7515 \ 10"/>
        <s v="SABS1200 DA \EARTHWORKS (SMALL WORKS)/8.3\SCHEDULED ITEMS/8.3.7\Grassing or other Vegetation Cover. Rate to allow for the supply of indigenous veld grass seed mix from commercial sources, seeding, raking and maintaining until established./\KS20_001-Concrete Drop Inlet. Drawing NBC-GTW-CL-0027 \m²\23.52 \ 10"/>
        <s v="SABS1200 DA \EARTHWORKS (SMALL WORKS)/8.3\SCHEDULED ITEMS/8.3.7\Grassing or other Vegetation Cover. Rate to allow for the supply of indigenous veld grass seed mix from commercial sources, seeding, raking and maintaining until established./\KS20_009_b-Concrete Check Wall. Drawing NBC-GTW-CL-0035 \m²\60 \ 10"/>
        <s v="SABS1200 DA \EARTHWORKS (SMALL WORKS)/8,3\SCHEDULED ITEMS/8.3.7\Grassing or other Vegetation Cover. Rate to allow for the supply of indigenous veld grass seed mix from commercial sources, seeding, raking and maintaining until established./\KS20_009_c-Removal of Earthen Berm. Drawing NBC-GTW-CL-0035 \m²\69 \ 10"/>
        <s v="SABS1200 DA \EARTHWORKS (SMALL WORKS)/8.3\SCHEDULED ITEMS/8.3.7\Grassing or other Vegetation Cover. Rate to allow for the supply of indigenous veld grass seed mix from commercial sources, seeding, raking and maintaining until established./\KS20_011-Backfilling Main Channel  \m²\6700 \ 10"/>
        <s v="SABS1200 DA \EARTHWORKS (SMALL WORKS)/8.3\SCHEDULED ITEMS/8.3.7\Grassing or other Vegetation Cover. Rate to allow for the supply of indigenous veld grass seed mix from commercial sources, seeding, raking and maintaining until established./\KS21_003-Concrete Drop Inlet. Drawing NBC-GTW-CL-0039 \m²\22.24 \ 10"/>
        <s v="SABS1200 DA \EARTHWORKS (SMALL WORKS)/8,3\SCHEDULED ITEMS/8.3.7\Grassing or other Vegetation Cover. Rate to allow for the supply of indigenous veld grass seed mix from commercial sources, seeding, raking and maintaining until established./\KS21_005-Concrete Drop Inlet. Drawing NBC-GTW-CL-0040 \m²\22,24 \ 10"/>
        <s v="SABS1200 DA \EARTHWORKS (SMALL WORKS)/8,3\SCHEDULED ITEMS/8.3.7\Grassing or other Vegetation Cover. Rate to allow for the supply of indigenous veld grass seed mix from commercial sources, seeding, raking and maintaining until established./\KS21-010-Backfilling Main Channel. Drawing No Drawing \m²\2320,5501703847 \ 10"/>
        <s v="SABS1200 DA \EARTHWORKS (SMALL WORKS)/8,3\SCHEDULED ITEMS/8.3.7\Grassing or other Vegetation Cover. Rate to allow for the supply of indigenous veld grass seed mix from commercial sources, seeding, raking and maintaining until established./\KS21-002-Earthworks  \m²\850 \ 10"/>
        <s v="SABS1200 DA \EARTHWORKS (SMALL WORKS)/8,3\SCHEDULED ITEMS/8.3.7\Grassing or other Vegetation Cover. Rate to allow for the supply of indigenous veld grass seed mix from commercial sources, seeding, raking and maintaining until established./\KS21-004-Infilling of drain  \m²\111 \ 10"/>
        <s v="SABS1200 DA \EARTHWORKS (SMALL WORKS)/8,3\SCHEDULED ITEMS/8.3.7\Grassing or other Vegetation Cover. Rate to allow for the supply of indigenous veld grass seed mix from commercial sources, seeding, raking and maintaining until established./\KS21-008-Infilling of drain  \m²\129,2 \ 10"/>
        <s v="SABS1200 DA \EARTHWORKS (SMALL WORKS)/8.3\SCHEDULED ITEMS/8.3.7\Grassing or other Vegetation Cover. Rate to allow for the supply of indigenous veld grass seed mix from commercial sources, seeding, raking and maintaining until established./\LS08_001-Removal of Berm  \m²\148.532778078669 \ 10"/>
        <s v="SABS1200 DA \EARTHWORKS (SMALL WORKS)/8.3\SCHEDULED ITEMS/8.3.7\Grassing or other Vegetation Cover. Rate to allow for the supply of indigenous veld grass seed mix from commercial sources, seeding, raking and maintaining until established./\LS12_001-Removal of dam wall  \m²\2917.70393453744 \ 10"/>
        <s v="SABS1200 DA \EARTHWORKS (SMALL WORKS)/8.3\SCHEDULED ITEMS/8.3.7\Grassing or other Vegetation Cover. Rate to allow for the supply of indigenous veld grass seed mix from commercial sources, seeding, raking and maintaining until established./\LS12_002-Removal of Berm  \m²\76 \ 10"/>
        <s v="SABS1200 DA \EARTHWORKS (SMALL WORKS)/8.3\SCHEDULED ITEMS/8.3.7\Grassing or other Vegetation Cover. Rate to allow for the supply of indigenous veld grass seed mix from commercial sources, seeding, raking and maintaining until established./\LS16_012-Removal of Road  \m²\360 \ 10"/>
        <s v="SABS1200 DA \EARTHWORKS (SMALL WORKS)/8.3\SCHEDULED ITEMS/8.3.7\Grassing or other Vegetation Cover. Rate to allow for the supply of indigenous veld grass seed mix from commercial sources, seeding, raking and maintaining until established./\LS16_015-Earthworks (Reinforce Dam Wall)  \m²\567 \ 10"/>
        <s v="SABS1200 DA \EARTHWORKS (SMALL WORKS)/8.3\SCHEDULED ITEMS/8.3.7\Grassing or other Vegetation Cover. Rate to allow for the supply of indigenous veld grass seed mix from commercial sources, seeding, raking and maintaining until established./\LS16_020-Removal of Road  \m²\1782 \ 10"/>
        <s v="SABS1200 DA \EARTHWORKS (SMALL WORKS)/8.3\SCHEDULED ITEMS/8.3.7\Grassing or other Vegetation Cover. Rate to allow for the supply of indigenous veld grass seed mix from commercial sources, seeding, raking and maintaining until established./\LS16_021-Backfill Main Channel and reshaping  \m²\6032.31 \ 10"/>
        <s v="SABS1200 DA \EARTHWORKS (SMALL WORKS)/8.3\SCHEDULED ITEMS/8.3.7\Grassing or other Vegetation Cover. Rate to allow for the supply of indigenous veld grass seed mix from commercial sources, seeding, raking and maintaining until established./\Pan09_001-Removal of Dam Wall  \m²\594 \ 10"/>
        <s v="SABS1200 DA \EARTHWORKS (SMALL WORKS)/8.3\SCHEDULED ITEMS/8.3.7\Grassing or other Vegetation Cover. Rate to allow for the supply of indigenous veld grass seed mix from commercial sources, seeding, raking and maintaining until established./\Pan14_004-Infilling of Drains  \m²\180 \ 10"/>
        <s v="SABS1200 DA \EARTHWORKS (SMALL WORKS)/8.3\SCHEDULED ITEMS/8.3.7\Grassing or other Vegetation Cover. Rate to allow for the supply of indigenous veld grass seed mix from commercial sources, seeding, raking and maintaining until established./\Pan14_005-Infilling of Drains  \m²\450 \ 10"/>
        <s v="SABS1200 DA \EARTHWORKS (SMALL WORKS)/8.3\SCHEDULED ITEMS/8.3.7\Grassing or other Vegetation Cover. Rate to allow for the supply of indigenous veld grass seed mix from commercial sources, seeding, raking and maintaining until established./\Pan14_006-Earthen Berms  \m²\190.755332217041 \ 10"/>
        <s v="SABS1200 DA \EARTHWORKS (SMALL WORKS)/8.3\SCHEDULED ITEMS/8.3.7\Grassing or other Vegetation Cover. Rate to allow for the supply of indigenous veld grass seed mix from commercial sources, seeding, raking and maintaining until established./\Pan14_007-Infilling of Drains  \m²\76 \ 10"/>
        <s v="SABS1200 DA \EARTHWORKS (SMALL WORKS)/8.3\SCHEDULED ITEMS/8.3.7\Grassing or other Vegetation Cover. Rate to allow for the supply of indigenous veld grass seed mix from commercial sources, seeding, raking and maintaining until established./\ks11-005-Backfilling Dam to Create Wetland  \m²\38200 \ 5" u="1"/>
        <s v="SABS1200 DA \EARTHWORKS (SMALL WORKS)/8.3\SCHEDULED ITEMS/8.3.7\Grassing or other Vegetation Cover. /\Pan14_011-Infilling of Drains  \m²\4365 \ 5" u="1"/>
        <s v="SABS1200 DA  / Earthworks (Small Works) / 8.3 / 8.3.7 / Grassing or other Vegetation Cover / Pan14-002-Remove Berm / 198 / m²" u="1"/>
        <s v="SABS1200 DA  / Earthworks (Small Works) / 8.3 / 8.3.7 / Grassing or other Vegetation Cover / LS12_002-Removal of Berm / 76 / m²" u="1"/>
        <s v="SABS1200 DA \EARTHWORKS (SMALL WORKS)/8.3\SCHEDULED ITEMS/8.3.7\Grassing or other Vegetation Cover. /\KS18_002-Concrete Drop Inlet. Refer to drawing NBC-GTW-CL-0020 \m²\17.52 \ 5" u="1"/>
        <s v="SABS1200 DA  \ Earthworks (Small Works) / 8.3\ SCHEDULED ITEMS / 8.3.7 \ Grassing or other Vegetation Cover. /\KS20_003-Concrete Buttress Weir \m²\26.68 \ 5" u="1"/>
        <s v="SABS1200 DA  / Earthworks (Small Works) / 8.3 / 8.3.7 / Grassing or other Vegetation Cover / Pan8_001-Foreign Materials / 54 / m²" u="1"/>
        <s v="SABS1200 DA \EARTHWORKS (SMALL WORKS)/8.3\SCHEDULED ITEMS/8.3.7\Grassing or other Vegetation Cover. Rate to allow for the supply of indigenous veld grass seed mix from commercial sources, seeding, raking and maintaining until established./\KS13_007-Concrete Drop Inlet. Drawing NBC-GTW-CL-0013 \m²\22.24 \ 5" u="1"/>
        <s v="SABS1200 DA \EARTHWORKS (SMALL WORKS)/8.3\SCHEDULED ITEMS/8.3.7\Grassing or other Vegetation Cover. Rate to allow for the supply of indigenous veld grass seed mix from commercial sources, seeding, raking and maintaining until established./\KS13_008-Concrete Drop Inlet. Drawing NBC-GTW-CL-0014 \m²\22.24 \ 5" u="1"/>
        <s v="SABS1200 DA \EARTHWORKS (SMALL WORKS)/8.3\SCHEDULED ITEMS/8.3.7\Grassing or other Vegetation Cover. Rate to allow for the supply of indigenous veld grass seed mix from commercial sources, seeding, raking and maintaining until established./\KS18_019-Concrete Drop Inlet. Drawing NBC-GTW-CL-0025 \m²\22.24 \ 5" u="1"/>
        <s v="SABS1200 DA \EARTHWORKS (SMALL WORKS)/8.3\SCHEDULED ITEMS/8.3.7\Grassing or other Vegetation Cover. Rate to allow for the supply of indigenous veld grass seed mix from commercial sources, seeding, raking and maintaining until established./\KS21_003-Concrete Drop Inlet. Drawing NBC-GTW-CL-0039 \m²\22.24 \ 5" u="1"/>
        <s v="SABS1200 DA  / Earthworks (Small Works) / 8.3 / 8.3.7 / Grassing or other Vegetation Cover / KS13_007-Concrete Drop Inlet / 22.24 / m²" u="1"/>
        <s v="SABS1200 DA  / Earthworks (Small Works) / 8.3 / 8.3.7 / Grassing or other Vegetation Cover / KS13_008-Concrete Drop Inlet / 22.24 / m²" u="1"/>
        <s v="SABS1200 DA  / Earthworks (Small Works) / 8.3 / 8.3.7 / Grassing or other Vegetation Cover / KS18_019-Concrete Drop Inlet / 22.24 / m²" u="1"/>
        <s v="SABS1200 DA  / Earthworks (Small Works) / 8.3 / 8.3.7 / Grassing or other Vegetation Cover / KS21_003-Concrete Drop Inlet / 22.24 / m²" u="1"/>
        <s v="SABS1200 DA  \ Earthworks (Small Works) / 8.3\ SCHEDULED ITEMS / 8.3.7 \ Grassing or other Vegetation Cover. /\KS13_003-Concrete Drop Inlet \m²\23.2 \ 5" u="1"/>
        <s v="SABS1200 DA  \ Earthworks (Small Works) / 8.3\ SCHEDULED ITEMS / 8.3.7 \ Grassing or other Vegetation Cover. /\KS13_012-Concrete Drop Inlet \m²\23.2 \ 5" u="1"/>
        <s v="SABS1200 DA  \ Earthworks (Small Works) / 8.3\ SCHEDULED ITEMS / 8.3.7 \ Grassing or other Vegetation Cover. /\KS20_008-Concrete Drop Inlet \m²\23.2 \ 5" u="1"/>
        <s v="SABS1200 DA  \ Earthworks (Small Works) / 8.3\ SCHEDULED ITEMS / 8.3.7 \ Grassing or other Vegetation Cover. /\DS12_004-Removal of Berms \m²\626.368 \ 5" u="1"/>
        <s v="SABS1200 DA  / Earthworks (Small Works) / 8.3 / 8.3.7 / Grassing or other Vegetation Cover / KS20_009_b-Concrete Overflow Wall / 50 / m²" u="1"/>
        <s v="SABS1200 DA  \ Earthworks (Small Works) / 8.3\ SCHEDULED ITEMS / 8.3.7 \ Grassing or other Vegetation Cover. /\KS20_009_a-Concrete Drop Inlet. Refer to drawing AI \m²\25.88 \ 5" u="1"/>
        <s v="SABS1200 DA  / Earthworks (Small Works) / 8.3 / 8.3.7 / Grassing or other Vegetation Cover / KS21-002-Earthworks / 850 / m²" u="1"/>
        <s v="SABS1200 DA \EARTHWORKS (SMALL WORKS)/8.3\SCHEDULED ITEMS/8.3.7\Grassing or other Vegetation Cover. Rate to allow for the supply of indigenous veld grass seed mix from commercial sources, seeding, raking and maintaining until established./\KS12_005-Concrete Drop Inlet. Refer to drawing NBC-GTW-CL-0004 \m²\21.92 \ 5" u="1"/>
        <s v="SABS1200 DA \EARTHWORKS (SMALL WORKS)/8.3\SCHEDULED ITEMS/8.3.7\Grassing or other Vegetation Cover. Rate to allow for the supply of indigenous veld grass seed mix from commercial sources, seeding, raking and maintaining until established./\KS12_007-Concrete Drop Inlet. Refer to drawing NBC-GTW-CL-0006 \m²\21.92 \ 5" u="1"/>
        <s v="SABS1200 DA \EARTHWORKS (SMALL WORKS)/8.3\SCHEDULED ITEMS/8.3.7\Grassing or other Vegetation Cover. Rate to allow for the supply of indigenous veld grass seed mix from commercial sources, seeding, raking and maintaining until established./\KS21_009-Concrete Drop Inlet. Refer to drawing NBC-GTW-CL-0043 \m²\21.92 \ 5" u="1"/>
        <s v="SABS1200 DA \EARTHWORKS (SMALL WORKS)/8.3\SCHEDULED ITEMS/8.3.7\Grassing or other Vegetation Cover. Rate to allow for the supply of indigenous veld grass seed mix from commercial sources, seeding, raking and maintaining until established./\KS21_010-Concrete Drop Inlet. Refer to drawing NBC-GTW-CL-0044 \m²\21.92 \ 5" u="1"/>
        <s v="SABS1200 DA  \ Earthworks (Small Works) / 8.3\ SCHEDULED ITEMS / 8.3.7 \ Grassing or other Vegetation Cover. /\Pan14-002-Remove Berm  \m²\198 \ 5" u="1"/>
        <s v="SABS1200 DA  / Earthworks (Small Works) / 8.3 / 8.3.7 / Grassing or other Vegetation Cover / KS20_001-Concrete Drop Inlet / 23.52 / m²" u="1"/>
        <s v="SABS1200 DA  / Earthworks (Small Works) / 8.3 / 8.3.7 / Grassing or other Vegetation Cover / ks11-003-Earthworks / 17400 / m²" u="1"/>
        <s v="SABS1200 DA \EARTHWORKS (SMALL WORKS)/8.3\SCHEDULED ITEMS/8.3.7\Grassing or other Vegetation Cover. Rate to allow for the supply of indigenous veld grass seed mix from commercial sources, seeding, raking and maintaining until established./\LS16_021-Backfill Main Channel and reshaping  \m²\6032.31 \ 5" u="1"/>
        <s v="SABS1200 DA \EARTHWORKS (SMALL WORKS)/8.3\SCHEDULED ITEMS/8.3.7\Grassing or other Vegetation Cover. Rate to allow for the supply of indigenous veld grass seed mix from commercial sources, seeding, raking and maintaining until established./\KS21_006-Concrete Drop Inlet. Drawing NBC-GTW-CL-0041 \m²\21.6 \ 5" u="1"/>
        <s v="SABS1200 DA \EARTHWORKS (SMALL WORKS)/8.3\SCHEDULED ITEMS/8.3.7\Grassing or other Vegetation Cover. Rate to allow for the supply of indigenous veld grass seed mix from commercial sources, seeding, raking and maintaining until established./\KS21_007-Concrete Drop Inlet. Drawing NBC-GTW-CL-0042 \m²\21.6 \ 5" u="1"/>
        <s v="SABS1200 DA \EARTHWORKS (SMALL WORKS)/8.3\SCHEDULED ITEMS/8.3.7\Grassing or other Vegetation Cover. /\Pan14-001-Reinstate Pan Edge  \m²\360 \ 5" u="1"/>
        <s v="SABS1200 DA  \ Earthworks (Small Works) / 8.3\ SCHEDULED ITEMS / 8.3.7 \ Grassing or other Vegetation Cover. /\KS19_007-Infilling of Drains \m²\179.7515 \ 5" u="1"/>
        <s v="SABS1200 DA  / Earthworks (Small Works) / 8.3 / 8.3.7 / Grassing or other Vegetation Cover / KS18_015-Concrete Drop Inlet / 23.68 / m²" u="1"/>
        <s v="SABS1200 DA \EARTHWORKS (SMALL WORKS)/8.3\SCHEDULED ITEMS/8.3.7\Grassing or other Vegetation Cover. Rate to allow for the supply of indigenous veld grass seed mix from commercial sources, seeding, raking and maintaining until established./\KS20_001-Concrete Drop Inlet. Refer to drawing NBC-GTW-CL-0027 \m²\23.52 \ 5" u="1"/>
        <s v="SABS1200 DA  \ Earthworks (Small Works) / 8.3\ SCHEDULED ITEMS / 8.3.7 \ Grassing or other Vegetation Cover. /\Pan8_004-Removal of Berm  \m²\18 \ 5" u="1"/>
        <s v="SABS1200 DA  \ Earthworks (Small Works) / 8.3\ SCHEDULED ITEMS / 8.3.7 \ Grassing or other Vegetation Cover. /\Pan14_007-Infilling of Drains \m²\76 \ 5" u="1"/>
        <s v="SABS1200 DA \EARTHWORKS (SMALL WORKS)/8.3\SCHEDULED ITEMS/8.3.7\Grassing or other Vegetation Cover. /\Pan14_008-Infilling of Drains  \m²\108 \ 5" u="1"/>
        <s v="SABS1200 DA  \ Earthworks (Small Works) / 8.3\ SCHEDULED ITEMS / 8.3.7 \ Grassing or other Vegetation Cover. /\KS15_003-Removal of Dam Wall \m²\619.289401121074 \ 5" u="1"/>
        <s v="SABS1200 DA \EARTHWORKS (SMALL WORKS)/8.3\SCHEDULED ITEMS/8.3.7\Grassing or other Vegetation Cover. Rate to allow for the supply of indigenous veld grass seed mix from commercial sources, seeding, raking and maintaining until established./\KS20_009_a-Concrete Buttress Weir. Refer to drawing NBC-GTW-CL-0035 \m²\25.88 \ 5" u="1"/>
        <s v="SABS1200 DA  \ Earthworks (Small Works) / 8.3\ SCHEDULED ITEMS / 8.3.7 \ Grassing or other Vegetation Cover. /\KS12_003-Removal of Berm and Dam Wall \m²\1876.14315788985 \ 5" u="1"/>
        <s v="SABS1200 DA \EARTHWORKS (SMALL WORKS)/8.3\SCHEDULED ITEMS/8.3.7\Grassing or other Vegetation Cover. Rate to allow for the supply of indigenous veld grass seed mix from commercial sources, seeding, raking and maintaining until established./\LS12_001-Removal of dam wall  \m²\2917.70393453744 \ 5" u="1"/>
        <s v="SABS1200 DA  \ Earthworks (Small Works) / 8.3\ SCHEDULED ITEMS / 8.3.7 \ Grassing or other Vegetation Cover. /\Pan14_009-Infilling of Drains \m²\78.4 \ 5" u="1"/>
        <s v="SABS1200 DA  \ Earthworks (Small Works) / 8.3\ SCHEDULED ITEMS / 8.3.7 \ Grassing or other Vegetation Cover. /\KS20_002-Concrete Drop Inlet. Refer to drawing AB \m²\23.36 \ 5" u="1"/>
        <s v="SABS1200 DA  \ Earthworks (Small Works) / 8.3\ SCHEDULED ITEMS / 8.3.7 \ Grassing or other Vegetation Cover. /\KS20_004-Concrete Drop Inlet. Refer to drawing AD \m²\23.36 \ 5" u="1"/>
        <s v="SABS1200 DA  \ Earthworks (Small Works) / 8.3\ SCHEDULED ITEMS / 8.3.7 \ Grassing or other Vegetation Cover. /\KS20_005-Concrete Drop Inlet. Refer to drawing AE \m²\23.36 \ 5" u="1"/>
        <s v="SABS1200 DA  \ Earthworks (Small Works) / 8.3\ SCHEDULED ITEMS / 8.3.7 \ Grassing or other Vegetation Cover. /\KS20_006-Concrete Drop Inlet. Refer to drawing AF \m²\23.36 \ 5" u="1"/>
        <s v="SABS1200 DA \EARTHWORKS (SMALL WORKS)/8.3\SCHEDULED ITEMS/8.3.7\Grassing or other Vegetation Cover. /\ks11-002c-Dam wall excavation  \m²\1870 \ 5" u="1"/>
        <s v="SABS1200 DA \EARTHWORKS (SMALL WORKS)/8.3\SCHEDULED ITEMS/8.3.7\Grassing or other Vegetation Cover. /\Pan8_001-Foreign Materials  \m²\54 \ 5" u="1"/>
        <s v="SABS1200 DA \EARTHWORKS (SMALL WORKS)/8.3\SCHEDULED ITEMS/8.3.7\Grassing or other Vegetation Cover. Rate to allow for the supply of indigenous veld grass seed mix from commercial sources, seeding, raking and maintaining until established./\KS18_002-Concrete Drop Inlet. Refer to drawing NBC-GTW-CL-0020 \m²\17.52 \ 5" u="1"/>
        <s v="SABS1200 DA  / Earthworks (Small Works) / 8.3 / 8.3.7 / Grassing or other Vegetation Cover / Pan09_001-Removal of Dam Wall / 594 / m²" u="1"/>
        <s v="SABS1200 DA \EARTHWORKS (SMALL WORKS)/8.3\SCHEDULED ITEMS/8.3.7\Grassing or other Vegetation Cover. Rate to allow for the supply of indigenous veld grass seed mix from commercial sources, seeding, raking and maintaining until established./\LS16_012-Removal of Road  \m²\360 \ 5" u="1"/>
        <s v="SABS1200 DA  \ Earthworks (Small Works) / 8.3\ SCHEDULED ITEMS / 8.3.7 \ Grassing or other Vegetation Cover. /\KS20_009_c-Earthen Berm \m²\69 \ 5" u="1"/>
        <s v="SABS1200 DA \EARTHWORKS (SMALL WORKS)/8.3\SCHEDULED ITEMS/8.3.7\Grassing or other Vegetation Cover. Rate to allow for the supply of indigenous veld grass seed mix from commercial sources, seeding, raking and maintaining until established./\KS21-002-Earthworks  \m²\850 \ 5" u="1"/>
        <s v="SABS1200 DA  / Earthworks (Small Works) / 8.3 / 8.3.7 / Grassing or other Vegetation Cover / KS12_010-Removal of Dam Wall / 619.185479905302 / m²" u="1"/>
        <s v="SABS1200 DA \EARTHWORKS (SMALL WORKS)/8.3\SCHEDULED ITEMS/8.3.7\Grassing or other Vegetation Cover. /\KS13_002-Infilling of Drains  \m²\85.816653826392 \ 5" u="1"/>
        <s v="SABS1200 DA  / Earthworks (Small Works) / 8.3 / 8.3.7 / Grassing or other Vegetation Cover / KS13_004-Concrete Drop Inlet / 22.4 / m²" u="1"/>
        <s v="SABS1200 DA \EARTHWORKS (SMALL WORKS)/8.3\SCHEDULED ITEMS/8.3.7\Grassing or other Vegetation Cover. /\KS16_004-Infilling of Drains  \m²\480 \ 5" u="1"/>
        <s v="SABS1200 DA \EARTHWORKS (SMALL WORKS)/8.3\SCHEDULED ITEMS/8.3.7\Grassing or other Vegetation Cover. /\ks11-004c-Dam wall excavation  \m²\1200 \ 5" u="1"/>
        <s v="SABS1200 DA  \ Earthworks (Small Works) / 8.3\ SCHEDULED ITEMS / 8.3.7 \ Grassing or other Vegetation Cover. /\KS13_001-Infilling of Drains  \m²\1148.93998599451 \ 5" u="1"/>
        <s v="SABS1200 DA  / Earthworks (Small Works) / 8.3 / 8.3.7 / Grassing or other Vegetation Cover / Pan8_004-Removal of Berm / 18 / m²" u="1"/>
        <s v="SABS1200 DA  / Earthworks (Small Works) / 8.3 / 8.3.7 / Grassing or other Vegetation Cover / KS18_016-Concrete Drop Inlet / 23.36 / m²" u="1"/>
        <s v="SABS1200 DA  / Earthworks (Small Works) / 8.3 / 8.3.7 / Grassing or other Vegetation Cover / KS18_017-Concrete Drop Inlet / 23.36 / m²" u="1"/>
        <s v="SABS1200 DA  / Earthworks (Small Works) / 8.3 / 8.3.7 / Grassing or other Vegetation Cover / KS18_018-Concrete Drop Inlet / 23.36 / m²" u="1"/>
        <s v="SABS1200 DA  / Earthworks (Small Works) / 8.3 / 8.3.7 / Grassing or other Vegetation Cover / KS20_002-Concrete Drop Inlet / 23.36 / m²" u="1"/>
        <s v="SABS1200 DA  / Earthworks (Small Works) / 8.3 / 8.3.7 / Grassing or other Vegetation Cover / KS20_004-Concrete Drop Inlet / 23.36 / m²" u="1"/>
        <s v="SABS1200 DA  / Earthworks (Small Works) / 8.3 / 8.3.7 / Grassing or other Vegetation Cover / KS20_005-Concrete Drop Inlet / 23.36 / m²" u="1"/>
        <s v="SABS1200 DA  / Earthworks (Small Works) / 8.3 / 8.3.7 / Grassing or other Vegetation Cover / KS20_006-Concrete Drop Inlet / 23.36 / m²" u="1"/>
        <s v="SABS1200 DA  / Earthworks (Small Works) / 8.3 / 8.3.7 / Grassing or other Vegetation Cover / LS12_001-Removal of dam wall / 9000 / m²" u="1"/>
        <s v="SABS1200 DA  / Earthworks (Small Works) / 8.3 / 8.3.7 / Grassing or other Vegetation Cover / KS13_002-Infilling of Drains / 85.816653826392 / m²" u="1"/>
        <s v="SABS1200 DA  \ Earthworks (Small Works) / 8.3\ SCHEDULED ITEMS / 8.3.7 \ Grassing or other Vegetation Cover. /\KS13_002-Infilling of Drains \m²\85.816653826392 \ 5" u="1"/>
        <s v="SABS1200 DA \EARTHWORKS (SMALL WORKS)/8.3\SCHEDULED ITEMS/8.3.7\Grassing or other Vegetation Cover. Rate to allow for the supply of indigenous veld grass seed mix from commercial sources, seeding, raking and maintaining until established./\DS12_001-Excavation of Dam Wall  \m²\1251.4 \ 5" u="1"/>
        <s v="SABS1200 DA  \ Earthworks (Small Works) / 8.3\ SCHEDULED ITEMS / 8.3.7 \ Grassing or other Vegetation Cover. /\LS12_001-Removal of dam wall  \m²\2917.70393453744 \ 5" u="1"/>
        <s v="SABS1200 DA  / Earthworks (Small Works) / 8.3 / 8.3.7 / Grassing or other Vegetation Cover / KS21-008-Earthworks / 129.2 / m²" u="1"/>
        <s v="SABS1200 DA \EARTHWORKS (SMALL WORKS)/8.3\SCHEDULED ITEMS/8.3.7\Grassing or other Vegetation Cover. Rate to allow for the supply of indigenous veld grass seed mix from commercial sources, seeding, raking and maintaining until established./\KS18_016-Concrete Drop Inlet. Drawing NBC-GTW-CL-0022 \m²\23.36 \ 5" u="1"/>
        <s v="SABS1200 DA \EARTHWORKS (SMALL WORKS)/8.3\SCHEDULED ITEMS/8.3.7\Grassing or other Vegetation Cover. Rate to allow for the supply of indigenous veld grass seed mix from commercial sources, seeding, raking and maintaining until established./\KS18_017-Concrete Drop Inlet. Drawing NBC-GTW-CL-0023 \m²\23.36 \ 5" u="1"/>
        <s v="SABS1200 DA \EARTHWORKS (SMALL WORKS)/8.3\SCHEDULED ITEMS/8.3.7\Grassing or other Vegetation Cover. Rate to allow for the supply of indigenous veld grass seed mix from commercial sources, seeding, raking and maintaining until established./\KS18_018-Concrete Drop Inlet. Drawing NBC-GTW-CL-0024 \m²\23.36 \ 5" u="1"/>
        <s v="SABS1200 DA \EARTHWORKS (SMALL WORKS)/8.3\SCHEDULED ITEMS/8.3.7\Grassing or other Vegetation Cover. Rate to allow for the supply of indigenous veld grass seed mix from commercial sources, seeding, raking and maintaining until established./\KS20_004-Concrete Drop Inlet. Drawing NBC-GTW-CL-0030 \m²\23.36 \ 5" u="1"/>
        <s v="SABS1200 DA \EARTHWORKS (SMALL WORKS)/8.3\SCHEDULED ITEMS/8.3.7\Grassing or other Vegetation Cover. Rate to allow for the supply of indigenous veld grass seed mix from commercial sources, seeding, raking and maintaining until established./\KS20_005-Concrete Drop Inlet. Drawing NBC-GTW-CL-0031 \m²\23.36 \ 5" u="1"/>
        <s v="SABS1200 DA \EARTHWORKS (SMALL WORKS)/8.3\SCHEDULED ITEMS/8.3.7\Grassing or other Vegetation Cover. Rate to allow for the supply of indigenous veld grass seed mix from commercial sources, seeding, raking and maintaining until established./\KS20_006-Concrete Drop Inlet. Drawing NBC-GTW-CL-0032 \m²\23.36 \ 5" u="1"/>
        <s v="SABS1200 DA \EARTHWORKS (SMALL WORKS)/8.3\SCHEDULED ITEMS/8.3.7\Grassing or other Vegetation Cover. Rate to allow for the supply of indigenous veld grass seed mix from commercial sources, seeding, raking and maintaining until established./\KS12_006-Concrete Drop Inlet. Refer to drawing NBC-GTW-CL-0005 \m²\21.44 \ 5" u="1"/>
        <s v="SABS1200 DA \EARTHWORKS (SMALL WORKS)/8.3\SCHEDULED ITEMS/8.3.7\Grassing or other Vegetation Cover. Rate to allow for the supply of indigenous veld grass seed mix from commercial sources, seeding, raking and maintaining until established./\KS12_008-Concrete Drop Inlet. Refer to drawing NBC-GTW-CL-0007 \m²\21.44 \ 5" u="1"/>
        <s v="SABS1200 DA \EARTHWORKS (SMALL WORKS)/8.3\SCHEDULED ITEMS/8.3.7\Grassing or other Vegetation Cover. Rate to allow for the supply of indigenous veld grass seed mix from commercial sources, seeding, raking and maintaining until established./\KS12_009-Concrete Drop Inlet. Refer to drawing NBC-GTW-CL-0008 \m²\21.44 \ 5" u="1"/>
        <s v="SABS1200 DA \EARTHWORKS (SMALL WORKS)/8.3\SCHEDULED ITEMS/8.3.7\Grassing or other Vegetation Cover. Rate to allow for the supply of indigenous veld grass seed mix from commercial sources, seeding, raking and maintaining until established./\KS15_003-Removal of Dam Wall  \m²\619.289401121074 \ 5" u="1"/>
        <s v="SABS1200 DA \EARTHWORKS (SMALL WORKS)/8.3\SCHEDULED ITEMS/8.3.7\Grassing or other Vegetation Cover. /\Pan14-003-Remove berm and backfill drain  \m²\2365 \ 5" u="1"/>
        <s v="SABS1200 DA \EARTHWORKS (SMALL WORKS)/8.3\SCHEDULED ITEMS/8.3.7\Grassing or other Vegetation Cover. /\LS16_015-Earthworks  \m²\567 \ 5" u="1"/>
        <s v="SABS1200 DA \EARTHWORKS (SMALL WORKS)/8.3\SCHEDULED ITEMS/8.3.7\Grassing or other Vegetation Cover. Rate to allow for the supply of indigenous veld grass seed mix from commercial sources, seeding, raking and maintaining until established./\KS13_007-Concrete Drop Inlet. Refer to drawing NBC-GTW-CL-0013 \m²\22.24 \ 5" u="1"/>
        <s v="SABS1200 DA \EARTHWORKS (SMALL WORKS)/8.3\SCHEDULED ITEMS/8.3.7\Grassing or other Vegetation Cover. Rate to allow for the supply of indigenous veld grass seed mix from commercial sources, seeding, raking and maintaining until established./\KS13_008-Concrete Drop Inlet. Refer to drawing NBC-GTW-CL-0014 \m²\22.24 \ 5" u="1"/>
        <s v="SABS1200 DA \EARTHWORKS (SMALL WORKS)/8.3\SCHEDULED ITEMS/8.3.7\Grassing or other Vegetation Cover. Rate to allow for the supply of indigenous veld grass seed mix from commercial sources, seeding, raking and maintaining until established./\KS18_019-Concrete Drop Inlet. Refer to drawing NBC-GTW-CL-0025 \m²\22.24 \ 5" u="1"/>
        <s v="SABS1200 DA \EARTHWORKS (SMALL WORKS)/8.3\SCHEDULED ITEMS/8.3.7\Grassing or other Vegetation Cover. Rate to allow for the supply of indigenous veld grass seed mix from commercial sources, seeding, raking and maintaining until established./\KS21_003-Concrete Drop Inlet. Refer to drawing NBC-GTW-CL-0039 \m²\22.24 \ 5" u="1"/>
        <s v="SABS1200 DA  \ Earthworks (Small Works) / 8.3\ SCHEDULED ITEMS / 8.3.7 \ Grassing or other Vegetation Cover. /\ks18-021-Backfill Main Channel \m²\3294.95 \ 5" u="1"/>
        <s v="SABS1200 DA \EARTHWORKS (SMALL WORKS)/8.3\SCHEDULED ITEMS/8.3.7\Grassing or other Vegetation Cover. Rate to allow for the supply of indigenous veld grass seed mix from commercial sources, seeding, raking and maintaining until established./\ks11-002c-Dam wall excavation. Refer to drawing NBC-GTW-CL-0067 \m²\1870 \ 5" u="1"/>
        <s v="SABS1200 DA \EARTHWORKS (SMALL WORKS)/8.3\SCHEDULED ITEMS/8.3.7\Grassing or other Vegetation Cover. /\KS20_009_a-Concrete Drop Inlet. Refer to drawing NBC-GTW-CL-0035 \m²\25.88 \ 5" u="1"/>
        <s v="SABS1200 DA  \ Earthworks (Small Works) / 8.3\ SCHEDULED ITEMS / 8.3.7 \ Grassing or other Vegetation Cover. /\KS13_007-Concrete Drop Inlet. Refer to drawing M \m²\22.24 \ 5" u="1"/>
        <s v="SABS1200 DA  \ Earthworks (Small Works) / 8.3\ SCHEDULED ITEMS / 8.3.7 \ Grassing or other Vegetation Cover. /\KS13_008-Concrete Drop Inlet. Refer to drawing N \m²\22.24 \ 5" u="1"/>
        <s v="SABS1200 DA  \ Earthworks (Small Works) / 8.3\ SCHEDULED ITEMS / 8.3.7 \ Grassing or other Vegetation Cover. /\KS18_019-Concrete Drop Inlet. Refer to drawing Y \m²\22.24 \ 5" u="1"/>
        <s v="SABS1200 DA \EARTHWORKS (SMALL WORKS)/8.3\SCHEDULED ITEMS/8.3.7\Grassing or other Vegetation Cover. Rate to allow for the supply of indigenous veld grass seed mix from commercial sources, seeding, raking and maintaining until established./\KS20_007-Concrete Drop Inlet. Refer to drawing NBC-GTW-CL-0033 \m²\23.04 \ 5" u="1"/>
        <s v="SABS1200 DA  / Earthworks (Small Works) / 8.3 / 8.3.7 / Grassing or other Vegetation Cover / Pan14_006-Earthen Berms / 190.755332217041 / m²" u="1"/>
        <s v="SABS1200 DA \EARTHWORKS (SMALL WORKS)/8.3\SCHEDULED ITEMS/8.3.7\Grassing or other Vegetation Cover. Rate to allow for the supply of indigenous veld grass seed mix from commercial sources, seeding, raking and maintaining until established./\Pan14_005-Infilling of Drains  \m²\450 \ 5" u="1"/>
        <s v="SABS1200 DA  \ Earthworks (Small Works) / 8.3\ SCHEDULED ITEMS / 8.3.7 \ Grassing or other Vegetation Cover. /\KS13_013-Concrete Drop Inlet. Refer to drawing Q \m²\22.56 \ 5" u="1"/>
        <s v="SABS1200 DA  \ Earthworks (Small Works) / 8.3\ SCHEDULED ITEMS / 8.3.7 \ Grassing or other Vegetation Cover. /\KS13_015-Concrete Drop Inlet. Refer to drawing R \m²\22.56 \ 5" u="1"/>
        <s v="SABS1200 DA  \ Earthworks (Small Works) / 8.3\ SCHEDULED ITEMS / 8.3.7 \ Grassing or other Vegetation Cover. /\LS16_012-Removal of Road  \m²\360 \ 5" u="1"/>
        <s v="SABS1200 DA  \ Earthworks (Small Works) / 8.3\ SCHEDULED ITEMS / 8.3.7 \ Grassing or other Vegetation Cover. /\KS19_002-Concrete Drop Inlet \m²\20.96 \ 5" u="1"/>
        <s v="SABS1200 DA  \ Earthworks (Small Works) / 8.3\ SCHEDULED ITEMS / 8.3.7 \ Grassing or other Vegetation Cover. /\KS13_001-Infilling of Drains \m²\1148.93998599451 \ 5" u="1"/>
        <s v="SABS1200 DA  \ Earthworks (Small Works) / 8.3\ SCHEDULED ITEMS / 8.3.7 \ Grassing or other Vegetation Cover. /\KS13_010-Removal of Berm  \m²\1020.985 \ 5" u="1"/>
        <s v="SABS1200 DA  \ Earthworks (Small Works) / 8.3\ SCHEDULED ITEMS / 8.3.7 \ Grassing or other Vegetation Cover. /\KS13_011-Concrete Drop Inlet. Refer to drawing O \m²\22.88 \ 5" u="1"/>
        <s v="SABS1200 DA  \ Earthworks (Small Works) / 8.3\ SCHEDULED ITEMS / 8.3.7 \ Grassing or other Vegetation Cover. /\KS16_004-Infilling of Drains \m²\480 \ 5" u="1"/>
        <s v="SABS1200 DA  \ Earthworks (Small Works) / 8.3\ SCHEDULED ITEMS / 8.3.7 \ Grassing or other Vegetation Cover. /\KS21-002-Earthworks  \m²\850 \ 5" u="1"/>
        <s v="SABS1200 DA \EARTHWORKS (SMALL WORKS)/8.3\SCHEDULED ITEMS/8.3.7\Grassing or other Vegetation Cover. Rate to allow for the supply of indigenous veld grass seed mix from commercial sources, seeding, raking and maintaining until established./\KS18_001-Concrete Drop Inlet. Refer to drawing NBC-GTW-CL-0019 \m²\23.84 \ 5" u="1"/>
        <s v="SABS1200 DA \EARTHWORKS (SMALL WORKS)/8.3\SCHEDULED ITEMS/8.3.7\Grassing or other Vegetation Cover. /\KS13_007-Concrete Drop Inlet. Refer to drawing NBC-GTW-CL-0013 \m²\22.24 \ 5" u="1"/>
        <s v="SABS1200 DA \EARTHWORKS (SMALL WORKS)/8.3\SCHEDULED ITEMS/8.3.7\Grassing or other Vegetation Cover. /\KS13_008-Concrete Drop Inlet. Refer to drawing NBC-GTW-CL-0014 \m²\22.24 \ 5" u="1"/>
        <s v="SABS1200 DA \EARTHWORKS (SMALL WORKS)/8.3\SCHEDULED ITEMS/8.3.7\Grassing or other Vegetation Cover. /\KS18_019-Concrete Drop Inlet. Refer to drawing NBC-GTW-CL-0025 \m²\22.24 \ 5" u="1"/>
        <s v="SABS1200 DA \EARTHWORKS (SMALL WORKS)/8.3\SCHEDULED ITEMS/8.3.7\Grassing or other Vegetation Cover. /\KS21_003-Concrete Drop Inlet. Refer to drawing NBC-GTW-CL-0039 \m²\22.24 \ 5" u="1"/>
        <s v="SABS1200 DA  / Earthworks (Small Works) / 8.3 / 8.3.7 / Grassing or other Vegetation Cover / KS19_006-Removal of Dam Wall / 3134.04 / m²" u="1"/>
        <s v="SABS1200 DA \EARTHWORKS (SMALL WORKS)/8.3\SCHEDULED ITEMS/8.3.7\Grassing or other Vegetation Cover. Rate to allow for the supply of indigenous veld grass seed mix from commercial sources, seeding, raking and maintaining until established./\KS21-004-Earthworks  \m²\111 \ 5" u="1"/>
        <s v="SABS1200 DA \EARTHWORKS (SMALL WORKS)/8.3\SCHEDULED ITEMS/8.3.7\Grassing or other Vegetation Cover. /\KS18_015-Concrete Drop Inlet. Refer to drawing NBC-GTW-CL-0021 \m²\23.68 \ 5" u="1"/>
        <s v="SABS1200 DA \EARTHWORKS (SMALL WORKS)/8.3\SCHEDULED ITEMS/8.3.7\Grassing or other Vegetation Cover. Rate to allow for the supply of indigenous veld grass seed mix from commercial sources, seeding, raking and maintaining until established./\ks11-004c-Dam wall excavation. Refer to drawing NBC-GTW-CL-0068 \m²\1200 \ 5" u="1"/>
        <s v="SABS1200 DA \EARTHWORKS (SMALL WORKS)/8.3\SCHEDULED ITEMS/8.3.7\Grassing or other Vegetation Cover. Rate to allow for the supply of indigenous veld grass seed mix from commercial sources, seeding, raking and maintaining until established./\LS08_001-Removal of Berm  \m²\148.532778078669 \ 5" u="1"/>
        <s v="SABS1200 DA  \ Earthworks (Small Works) / 8.3\ SCHEDULED ITEMS / 8.3.7 \ Grassing or other Vegetation Cover. /\KS20_009_c-Earthen Berm. Refer to drawing AK \m²\69 \ 5" u="1"/>
        <s v="SABS1200 DA \EARTHWORKS (SMALL WORKS)/8.3\SCHEDULED ITEMS/8.3.7\Grassing or other Vegetation Cover. /\KS13_016-Infilling of Drains  \m²\332.18699875976 \ 5" u="1"/>
        <s v="SABS1200 DA  / Earthworks (Small Works) / 8.3 / 8.3.7 / Grassing or other Vegetation Cover / KS20_007-Concrete Drop Inlet / 23.04 / m²" u="1"/>
        <s v="SABS1200 DA  \ Earthworks (Small Works) / 8.3\ SCHEDULED ITEMS / 8.3.7 \ Grassing or other Vegetation Cover. /\LS16_012-Removal of Road \m²\360 \ 5" u="1"/>
        <s v="SABS1200 DA \EARTHWORKS (SMALL WORKS)/8.3\SCHEDULED ITEMS/8.3.7\Grassing or other Vegetation Cover. /\Pan8_004-Removal of Berm  \m²\18 \ 5" u="1"/>
        <s v="SABS1200 DA  \ Earthworks (Small Works) / 8.3\ SCHEDULED ITEMS / 8.3.7 \ Grassing or other Vegetation Cover. /\KS13_016-Infilling of Drains \m²\332.18699875976 \ 5" u="1"/>
        <s v="SABS1200 DA  / Earthworks (Small Works) / 8.3 / 8.3.7 / Grassing or other Vegetation Cover / KS16_002-Infilling of Drains / 283.947757718744 / m²" u="1"/>
        <s v="SABS1200 DA  \ Earthworks (Small Works) / 8.3\ SCHEDULED ITEMS / 8.3.7 \ Grassing or other Vegetation Cover. /\KS12_004-Concrete Drop Inlet \m²\21.76 \ 5" u="1"/>
        <s v="SABS1200 DA  \ Earthworks (Small Works) / 8.3\ SCHEDULED ITEMS / 8.3.7 \ Grassing or other Vegetation Cover. /\KS13_005-Concrete Drop Inlet \m²\21.76 \ 5" u="1"/>
        <s v="SABS1200 DA  \ Earthworks (Small Works) / 8.3\ SCHEDULED ITEMS / 8.3.7 \ Grassing or other Vegetation Cover. /\KS13_006-Concrete Drop Inlet \m²\21.76 \ 5" u="1"/>
        <s v="SABS1200 DA  \ Earthworks (Small Works) / 8.3\ SCHEDULED ITEMS / 8.3.7 \ Grassing or other Vegetation Cover. /\KS21_005-Concrete Drop Inlet \m²\21.76 \ 5" u="1"/>
        <s v="SABS1200 DA  \ Earthworks (Small Works) / 8.3\ SCHEDULED ITEMS / 8.3.7 \ Grassing or other Vegetation Cover. /\KS12_005-Concrete Drop Inlet \m²\21.92 \ 5" u="1"/>
        <s v="SABS1200 DA  \ Earthworks (Small Works) / 8.3\ SCHEDULED ITEMS / 8.3.7 \ Grassing or other Vegetation Cover. /\KS12_007-Concrete Drop Inlet \m²\21.92 \ 5" u="1"/>
        <s v="SABS1200 DA  \ Earthworks (Small Works) / 8.3\ SCHEDULED ITEMS / 8.3.7 \ Grassing or other Vegetation Cover. /\KS21_009-Concrete Drop Inlet \m²\21.92 \ 5" u="1"/>
        <s v="SABS1200 DA  \ Earthworks (Small Works) / 8.3\ SCHEDULED ITEMS / 8.3.7 \ Grassing or other Vegetation Cover. /\KS21_010-Concrete Drop Inlet \m²\21.92 \ 5" u="1"/>
        <s v="SABS1200 DA \EARTHWORKS (SMALL WORKS)/8.3\SCHEDULED ITEMS/8.3.7\Grassing or other Vegetation Cover. Rate to allow for the supply of indigenous veld grass seed mix from commercial sources, seeding, raking and maintaining until established./\Pan14_004-Infilling of Drains  \m²\180 \ 5" u="1"/>
        <s v="SABS1200 DA  \ Earthworks (Small Works) / 8.3\ SCHEDULED ITEMS / 8.3.7 \ Grassing or other Vegetation Cover. /\LS08_001-Removal of Berm \m²\148.532778078669 \ 5" u="1"/>
        <s v="SABS1200 DA  \ Earthworks (Small Works) / 8.3\ SCHEDULED ITEMS / 8.3.7 \ Grassing or other Vegetation Cover. /\KS20_009_b-Concrete Overflow Wall. Refer to drawing AJ \m²\50 \ 5" u="1"/>
        <s v="SABS1200 DA \EARTHWORKS (SMALL WORKS)/8.3\SCHEDULED ITEMS/8.3.7\Grassing or other Vegetation Cover. /\LS16_020-Removal of Road  \m²\1782 \ 5" u="1"/>
        <s v="SABS1200 DA \EARTHWORKS (SMALL WORKS)/8.3\SCHEDULED ITEMS/8.3.7\Grassing or other Vegetation Cover. Rate to allow for the supply of indigenous veld grass seed mix from commercial sources, seeding, raking and maintaining until established./\KS16_004-Infilling of Drains  \m²\480 \ 5" u="1"/>
        <s v="SABS1200 DA \EARTHWORKS (SMALL WORKS)/8.3\SCHEDULED ITEMS/8.3.7\Grassing or other Vegetation Cover. Rate to allow for the supply of indigenous veld grass seed mix from commercial sources, seeding, raking and maintaining until established./\KS13_014-Infilling of Drains  \m²\278.716598321288 \ 5" u="1"/>
        <s v="SABS1200 DA \EARTHWORKS (SMALL WORKS)/8.3\SCHEDULED ITEMS/8.3.7\Grassing or other Vegetation Cover. /\KS21_006-Concrete Drop Inlet. Refer to drawing NBC-GTW-CL-0041 \m²\21.6 \ 5" u="1"/>
        <s v="SABS1200 DA \EARTHWORKS (SMALL WORKS)/8.3\SCHEDULED ITEMS/8.3.7\Grassing or other Vegetation Cover. /\KS21_007-Concrete Drop Inlet. Refer to drawing NBC-GTW-CL-0042 \m²\21.6 \ 5" u="1"/>
        <s v="SABS1200 DA \EARTHWORKS (SMALL WORKS)/8.3\SCHEDULED ITEMS/8.3.7\Grassing or other Vegetation Cover. Rate to allow for the supply of indigenous veld grass seed mix from commercial sources, seeding, raking and maintaining until established./\KS12_006-Concrete Drop Inlet. Drawing NBC-GTW-CL-0005 \m²\21.44 \ 5" u="1"/>
        <s v="SABS1200 DA \EARTHWORKS (SMALL WORKS)/8.3\SCHEDULED ITEMS/8.3.7\Grassing or other Vegetation Cover. Rate to allow for the supply of indigenous veld grass seed mix from commercial sources, seeding, raking and maintaining until established./\KS12_008-Concrete Drop Inlet. Drawing NBC-GTW-CL-0007 \m²\21.44 \ 5" u="1"/>
        <s v="SABS1200 DA \EARTHWORKS (SMALL WORKS)/8.3\SCHEDULED ITEMS/8.3.7\Grassing or other Vegetation Cover. Rate to allow for the supply of indigenous veld grass seed mix from commercial sources, seeding, raking and maintaining until established./\KS12_009-Concrete Drop Inlet. Drawing NBC-GTW-CL-0008 \m²\21.44 \ 5" u="1"/>
        <s v="SABS1200 DA  \ Earthworks (Small Works) / 8.3\ SCHEDULED ITEMS / 8.3.7 \ Grassing or other Vegetation Cover. /\Pan8_004-Removal of Berm \m²\18 \ 5" u="1"/>
        <s v="SABS1200 DA \EARTHWORKS (SMALL WORKS)/8.3\SCHEDULED ITEMS/8.3.7\Grassing or other Vegetation Cover. /\KS12_010-Removal of Dam Wall  \m²\619.185479905302 \ 5" u="1"/>
        <s v="SABS1200 DA  \ Earthworks (Small Works) / 8.3\ SCHEDULED ITEMS / 8.3.7 \ Grassing or other Vegetation Cover. /\KS19_002-Concrete Drop Inlet. Refer to drawing Z \m²\20.96 \ 5" u="1"/>
        <s v="SABS1200 DA  / Earthworks (Small Works) / 8.3 / 8.3.7 / Grassing or other Vegetation Cover / KS13_016-Infilling of Drains / 332.18699875976 / m²" u="1"/>
        <s v="SABS1200 DA \EARTHWORKS (SMALL WORKS)/8.3\SCHEDULED ITEMS/8.3.7\Grassing or other Vegetation Cover. /\KS21-002-Earthworks  \m²\850 \ 5" u="1"/>
        <s v="SABS1200 DA \EARTHWORKS (SMALL WORKS)/8.3\SCHEDULED ITEMS/8.3.7\Grassing or other Vegetation Cover. Rate to allow for the supply of indigenous veld grass seed mix from commercial sources, seeding, raking and maintaining until established./\KS19_002-Concrete Drop Inlet. Refer to drawing NBC-GTW-CL-0026 \m²\20.96 \ 5" u="1"/>
        <s v="SABS1200 DA \EARTHWORKS (SMALL WORKS)/8.3\SCHEDULED ITEMS/8.3.7\Grassing or other Vegetation Cover. Rate to allow for the supply of indigenous veld grass seed mix from commercial sources, seeding, raking and maintaining until established./\KS20_009_c-Earthen Berm. Drawing NBC-GTW-CL-0035 \m²\69 \ 5" u="1"/>
        <s v="SABS1200 DA  \ Earthworks (Small Works) / 8.3\ SCHEDULED ITEMS / 8.3.7 \ Grassing or other Vegetation Cover. /\KS13_013-Concrete Drop Inlet \m²\22.56 \ 5" u="1"/>
        <s v="SABS1200 DA  \ Earthworks (Small Works) / 8.3\ SCHEDULED ITEMS / 8.3.7 \ Grassing or other Vegetation Cover. /\KS13_015-Concrete Drop Inlet \m²\22.56 \ 5" u="1"/>
        <s v="SABS1200 DA  \ Earthworks (Small Works) / 8.3\ SCHEDULED ITEMS / 8.3.7 \ Grassing or other Vegetation Cover. /\LS16_021-Backfill Main Channel \m²\6032.31 \ 5" u="1"/>
        <s v="SABS1200 DA \EARTHWORKS (SMALL WORKS)/8.3\SCHEDULED ITEMS/8.3.7\Grassing or other Vegetation Cover. Rate to allow for the supply of indigenous veld grass seed mix from commercial sources, seeding, raking and maintaining until established./\KS21-002-Earthworks  \m²\850 \ 10" u="1"/>
        <s v="SABS1200 DA  \ Earthworks (Small Works) / 8.3\ SCHEDULED ITEMS / 8.3.7 \ Grassing or other Vegetation Cover. /\LS12_002-Removal of Berm  \m²\76 \ 5" u="1"/>
        <s v="SABS1200 DA \EARTHWORKS (SMALL WORKS)/8.3\SCHEDULED ITEMS/8.3.7\Grassing or other Vegetation Cover. /\KS20_009_b-Concrete Overflow Wall. Refer to drawing  \m²\50 \ 5" u="1"/>
        <s v="SABS1200 DA \EARTHWORKS (SMALL WORKS)/8.3\SCHEDULED ITEMS/8.3.7\Grassing or other Vegetation Cover. Rate to allow for the supply of indigenous veld grass seed mix from commercial sources, seeding, raking and maintaining until established./\KS20_002-Concrete Drop Inlet. Drawing NBC-GTW-CL-0028 \m²\24.48 \ 5" u="1"/>
        <s v="SABS1200 DA \EARTHWORKS (SMALL WORKS)/8.3\SCHEDULED ITEMS/8.3.7\Grassing or other Vegetation Cover. Rate to allow for the supply of indigenous veld grass seed mix from commercial sources, seeding, raking and maintaining until established./\KS12_004-Concrete Drop Inlet. Refer to drawing NBC-GTW-CL-0003 \m²\21.76 \ 5" u="1"/>
        <s v="SABS1200 DA \EARTHWORKS (SMALL WORKS)/8.3\SCHEDULED ITEMS/8.3.7\Grassing or other Vegetation Cover. Rate to allow for the supply of indigenous veld grass seed mix from commercial sources, seeding, raking and maintaining until established./\KS13_005-Concrete Drop Inlet. Refer to drawing NBC-GTW-CL-0011 \m²\21.76 \ 5" u="1"/>
        <s v="SABS1200 DA \EARTHWORKS (SMALL WORKS)/8.3\SCHEDULED ITEMS/8.3.7\Grassing or other Vegetation Cover. Rate to allow for the supply of indigenous veld grass seed mix from commercial sources, seeding, raking and maintaining until established./\KS13_006-Concrete Drop Inlet. Refer to drawing NBC-GTW-CL-0012 \m²\21.76 \ 5" u="1"/>
        <s v="SABS1200 DA \EARTHWORKS (SMALL WORKS)/8.3\SCHEDULED ITEMS/8.3.7\Grassing or other Vegetation Cover. Rate to allow for the supply of indigenous veld grass seed mix from commercial sources, seeding, raking and maintaining until established./\KS21_005-Concrete Drop Inlet. Refer to drawing NBC-GTW-CL-0040 \m²\21.76 \ 5" u="1"/>
        <s v="SABS1200 DA  \ Earthworks (Small Works) / 8.3\ SCHEDULED ITEMS / 8.3.7 \ Grassing or other Vegetation Cover. /\KS13_010-Removal of Berm \m²\1020.985 \ 5" u="1"/>
        <s v="SABS1200 DA  \ Earthworks (Small Works) / 8.3\ SCHEDULED ITEMS / 8.3.7 \ Grassing or other Vegetation Cover. /\KS15_003-Removal of Dam Wall  \m²\619.289401121074 \ 5" u="1"/>
        <s v="SABS1200 DA \EARTHWORKS (SMALL WORKS)/8.3\SCHEDULED ITEMS/8.3.7\Grassing or other Vegetation Cover. /\Pan14_010-Infilling of Drains  \m²\3437.5 \ 5" u="1"/>
        <s v="SABS1200 DA  \ Earthworks (Small Works) / 8.3\ SCHEDULED ITEMS / 8.3.7 \ Grassing or other Vegetation Cover. /\ks18-021-Backfill Main Channel  \m²\3294.95 \ 5" u="1"/>
        <s v="SABS1200 DA \EARTHWORKS (SMALL WORKS)/8.3\SCHEDULED ITEMS/8.3.7\Grassing or other Vegetation Cover. Rate to allow for the supply of indigenous veld grass seed mix from commercial sources, seeding, raking and maintaining until established./\KS13_013-Concrete Drop Inlet. Refer to drawing NBC-GTW-CL-0017 \m²\22.56 \ 5" u="1"/>
        <s v="SABS1200 DA \EARTHWORKS (SMALL WORKS)/8.3\SCHEDULED ITEMS/8.3.7\Grassing or other Vegetation Cover. Rate to allow for the supply of indigenous veld grass seed mix from commercial sources, seeding, raking and maintaining until established./\KS13_015-Concrete Drop Inlet. Refer to drawing NBC-GTW-CL-0018 \m²\22.56 \ 5" u="1"/>
        <s v="SABS1200 DA  \ Earthworks (Small Works) / 8.3\ SCHEDULED ITEMS / 8.3.7 \ Grassing or other Vegetation Cover. /\Pan14_004-Infilling of Drains \m²\180 \ 5" u="1"/>
        <s v="SABS1200 DA  / Earthworks (Small Works) / 8.3 / 8.3.7 / Grassing or other Vegetation Cover / KS13_003-Concrete Drop Inlet / 23.2 / m²" u="1"/>
        <s v="SABS1200 DA  / Earthworks (Small Works) / 8.3 / 8.3.7 / Grassing or other Vegetation Cover / KS13_012-Concrete Drop Inlet / 23.2 / m²" u="1"/>
        <s v="SABS1200 DA  / Earthworks (Small Works) / 8.3 / 8.3.7 / Grassing or other Vegetation Cover / KS20_008-Concrete Drop Inlet / 23.2 / m²" u="1"/>
        <s v="SABS1200 DA \EARTHWORKS (SMALL WORKS)/8.3\SCHEDULED ITEMS/8.3.7\Grassing or other Vegetation Cover. /\KS13_003-Concrete Drop Inlet. Refer to drawing NBC-GTW-CL-0009 \m²\23.2 \ 5" u="1"/>
        <s v="SABS1200 DA \EARTHWORKS (SMALL WORKS)/8.3\SCHEDULED ITEMS/8.3.7\Grassing or other Vegetation Cover. /\KS13_012-Concrete Drop Inlet. Refer to drawing NBC-GTW-CL-0016 \m²\23.2 \ 5" u="1"/>
        <s v="SABS1200 DA \EARTHWORKS (SMALL WORKS)/8.3\SCHEDULED ITEMS/8.3.7\Grassing or other Vegetation Cover. /\KS20_008-Concrete Drop Inlet. Refer to drawing NBC-GTW-CL-0034 \m²\23.2 \ 5" u="1"/>
        <s v="SABS1200 DA \EARTHWORKS (SMALL WORKS)/8.3\SCHEDULED ITEMS/8.3.7\Grassing or other Vegetation Cover. /\LS12_002-Removal of Berm  \m²\76 \ 5" u="1"/>
        <s v="SABS1200 DA \EARTHWORKS (SMALL WORKS)/8.3\SCHEDULED ITEMS/8.3.7\Grassing or other Vegetation Cover. Rate to allow for the supply of indigenous veld grass seed mix from commercial sources, seeding, raking and maintaining until established./\KS18_016-Concrete Drop Inlet. Refer to drawing NBC-GTW-CL-0022 \m²\23.36 \ 5" u="1"/>
        <s v="SABS1200 DA \EARTHWORKS (SMALL WORKS)/8.3\SCHEDULED ITEMS/8.3.7\Grassing or other Vegetation Cover. Rate to allow for the supply of indigenous veld grass seed mix from commercial sources, seeding, raking and maintaining until established./\KS18_017-Concrete Drop Inlet. Refer to drawing NBC-GTW-CL-0023 \m²\23.36 \ 5" u="1"/>
        <s v="SABS1200 DA \EARTHWORKS (SMALL WORKS)/8.3\SCHEDULED ITEMS/8.3.7\Grassing or other Vegetation Cover. Rate to allow for the supply of indigenous veld grass seed mix from commercial sources, seeding, raking and maintaining until established./\KS18_018-Concrete Drop Inlet. Refer to drawing NBC-GTW-CL-0024 \m²\23.36 \ 5" u="1"/>
        <s v="SABS1200 DA \EARTHWORKS (SMALL WORKS)/8.3\SCHEDULED ITEMS/8.3.7\Grassing or other Vegetation Cover. Rate to allow for the supply of indigenous veld grass seed mix from commercial sources, seeding, raking and maintaining until established./\KS20_004-Concrete Drop Inlet. Refer to drawing NBC-GTW-CL-0030 \m²\23.36 \ 5" u="1"/>
        <s v="SABS1200 DA \EARTHWORKS (SMALL WORKS)/8.3\SCHEDULED ITEMS/8.3.7\Grassing or other Vegetation Cover. Rate to allow for the supply of indigenous veld grass seed mix from commercial sources, seeding, raking and maintaining until established./\KS20_005-Concrete Drop Inlet. Refer to drawing NBC-GTW-CL-0031 \m²\23.36 \ 5" u="1"/>
        <s v="SABS1200 DA \EARTHWORKS (SMALL WORKS)/8.3\SCHEDULED ITEMS/8.3.7\Grassing or other Vegetation Cover. Rate to allow for the supply of indigenous veld grass seed mix from commercial sources, seeding, raking and maintaining until established./\KS20_006-Concrete Drop Inlet. Refer to drawing NBC-GTW-CL-0032 \m²\23.36 \ 5" u="1"/>
        <s v="SABS1200 DA \EARTHWORKS (SMALL WORKS)/8.3\SCHEDULED ITEMS/8.3.7\Grassing or other Vegetation Cover. /\KS19_006-Removal of Dam Wall  \m²\3134.04 \ 5" u="1"/>
        <s v="SABS1200 DA \EARTHWORKS (SMALL WORKS)/8.3\SCHEDULED ITEMS/8.3.7\Grassing or other Vegetation Cover. Rate to allow for the supply of indigenous veld grass seed mix from commercial sources, seeding, raking and maintaining until established./\KS20_009_b-Concrete Overflow Wall. Drawing NBC-GTW-CL-0035 \m²\50 \ 5" u="1"/>
        <s v="SABS1200 DA  / Earthworks (Small Works) / 8.3 / 8.3.7 / Grassing or other Vegetation Cover / LS16_021-Backfill Main Channel / 6032.31 / m²" u="1"/>
        <s v="SABS1200 DA \EARTHWORKS (SMALL WORKS)/8.3\SCHEDULED ITEMS/8.3.7\Grassing or other Vegetation Cover. /\LS12_001-Removal of dam wall  \m²\2917.70393453744 \ 5" u="1"/>
        <s v="SABS1200 DA  \ Earthworks (Small Works) / 8.3\ SCHEDULED ITEMS / 8.3.7 \ Grassing or other Vegetation Cover. /\KS18_016-Concrete Drop Inlet \m²\23.36 \ 5" u="1"/>
        <s v="SABS1200 DA  \ Earthworks (Small Works) / 8.3\ SCHEDULED ITEMS / 8.3.7 \ Grassing or other Vegetation Cover. /\KS18_017-Concrete Drop Inlet \m²\23.36 \ 5" u="1"/>
        <s v="SABS1200 DA  \ Earthworks (Small Works) / 8.3\ SCHEDULED ITEMS / 8.3.7 \ Grassing or other Vegetation Cover. /\KS18_018-Concrete Drop Inlet \m²\23.36 \ 5" u="1"/>
        <s v="SABS1200 DA  \ Earthworks (Small Works) / 8.3\ SCHEDULED ITEMS / 8.3.7 \ Grassing or other Vegetation Cover. /\KS20_002-Concrete Drop Inlet \m²\23.36 \ 5" u="1"/>
        <s v="SABS1200 DA  \ Earthworks (Small Works) / 8.3\ SCHEDULED ITEMS / 8.3.7 \ Grassing or other Vegetation Cover. /\KS20_004-Concrete Drop Inlet \m²\23.36 \ 5" u="1"/>
        <s v="SABS1200 DA  \ Earthworks (Small Works) / 8.3\ SCHEDULED ITEMS / 8.3.7 \ Grassing or other Vegetation Cover. /\KS20_005-Concrete Drop Inlet \m²\23.36 \ 5" u="1"/>
        <s v="SABS1200 DA  \ Earthworks (Small Works) / 8.3\ SCHEDULED ITEMS / 8.3.7 \ Grassing or other Vegetation Cover. /\KS20_006-Concrete Drop Inlet \m²\23.36 \ 5" u="1"/>
        <s v="SABS1200 DA  \ Earthworks (Small Works) / 8.3\ SCHEDULED ITEMS / 8.3.7 \ Grassing or other Vegetation Cover. /\KS20_001-Concrete Drop Inlet \m²\23.52 \ 5" u="1"/>
        <s v="SABS1200 DA  \ Earthworks (Small Works) / 8.3\ SCHEDULED ITEMS / 8.3.7 \ Grassing or other Vegetation Cover. /\Pan14_010-Infilling of Drains  \m²\3437.5 \ 5" u="1"/>
        <s v="SABS1200 DA  \ Earthworks (Small Works) / 8.3\ SCHEDULED ITEMS / 8.3.7 \ Grassing or other Vegetation Cover. /\KS20_001-Concrete Drop Inlet. Refer to drawing AA \m²\23.52 \ 5" u="1"/>
        <s v="SABS1200 DA  \ Earthworks (Small Works) / 8.3\ SCHEDULED ITEMS / 8.3.7 \ Grassing or other Vegetation Cover. /\KS12_003-Removal of Berm and Dam Wall  \m²\1876.14315788985 \ 5" u="1"/>
        <s v="SABS1200 DA  / Earthworks (Small Works) / 8.3 / 8.3.7 / Grassing or other Vegetation Cover / KS21-004-Earthworks / 111 / m²" u="1"/>
        <s v="SABS1200 DA \EARTHWORKS (SMALL WORKS)/8.3\SCHEDULED ITEMS/8.3.7\Grassing or other Vegetation Cover. /\KS15-002-Backfill Main Channel  \m²\3846.97837810187 \ 5" u="1"/>
        <s v="SABS1200 DA  \ Earthworks (Small Works) / 8.3\ SCHEDULED ITEMS / 8.3.7 \ Grassing or other Vegetation Cover. /\LS16_020-Removal of Road \m²\1782 \ 5" u="1"/>
        <s v="SABS1200 DA \EARTHWORKS (SMALL WORKS)/8.3\SCHEDULED ITEMS/8.3.7\Grassing or other Vegetation Cover. Rate to allow for the supply of indigenous veld grass seed mix from commercial sources, seeding, raking and maintaining until established./\ks11-004c-Dam wall excavation. Drawing NBC-GTW-CL-0068 \m²\1200 \ 5" u="1"/>
        <s v="SABS1200 DA  / Earthworks (Small Works) / 8.3 / 8.3.7 / Grassing or other Vegetation Cover / KS15_003-Removal of Dam Wall / 619.289401121074 / m²" u="1"/>
        <s v="SABS1200 DA  \ Earthworks (Small Works) / 8.3\ SCHEDULED ITEMS / 8.3.7 \ Grassing or other Vegetation Cover. /\Pan14_011-Infilling of Drains \m²\4365 \ 5" u="1"/>
        <s v="SABS1200 DA \EARTHWORKS (SMALL WORKS)/8.3\SCHEDULED ITEMS/8.3.7\Grassing or other Vegetation Cover. Rate to allow for the supply of indigenous veld grass seed mix from commercial sources, seeding, raking and maintaining until established./\KS21-004-Earthworks  \m²\111 \ 10" u="1"/>
        <s v="SABS1200 DA  \ Earthworks (Small Works) / 8.3\ SCHEDULED ITEMS / 8.3.7 \ Grassing or other Vegetation Cover. /\KS16_001-Infilling of Drains  \m²\494.873340531892 \ 5" u="1"/>
        <s v="SABS1200 DA \EARTHWORKS (SMALL WORKS)/8.3\SCHEDULED ITEMS/8.3.7\Grassing or other Vegetation Cover. Rate to allow for the supply of indigenous veld grass seed mix from commercial sources, seeding, raking and maintaining until established./\KS20_003-Concrete Buttress Weir. Refer to drawing NBC-GTW-CL-0029 \m²\26.68 \ 5" u="1"/>
        <s v="SABS1200 DA  \ Earthworks (Small Works) / 8.3\ SCHEDULED ITEMS / 8.3.7 \ Grassing or other Vegetation Cover. /\KS13_009-Infilling of Drains \m²\78.5716708603933 \ 5" u="1"/>
        <s v="SABS1200 DA \EARTHWORKS (SMALL WORKS)/8.3\SCHEDULED ITEMS/8.3.7\Grassing or other Vegetation Cover. Rate to allow for the supply of indigenous veld grass seed mix from commercial sources, seeding, raking and maintaining until established./\KS13_013-Concrete Drop Inlet. Drawing NBC-GTW-CL-0017 \m²\22.56 \ 5" u="1"/>
        <s v="SABS1200 DA \EARTHWORKS (SMALL WORKS)/8.3\SCHEDULED ITEMS/8.3.7\Grassing or other Vegetation Cover. Rate to allow for the supply of indigenous veld grass seed mix from commercial sources, seeding, raking and maintaining until established./\KS13_015-Concrete Drop Inlet. Drawing NBC-GTW-CL-0018 \m²\22.56 \ 5" u="1"/>
        <s v="SABS1200 DA \EARTHWORKS (SMALL WORKS)/8.3\SCHEDULED ITEMS/8.3.7\Grassing or other Vegetation Cover. Rate to allow for the supply of indigenous veld grass seed mix from commercial sources, seeding, raking and maintaining until established./\DS12_003-Excavation of Dam Wall  \m²\621.57 \ 5" u="1"/>
        <s v="SABS1200 DA \EARTHWORKS (SMALL WORKS)/8.3\SCHEDULED ITEMS/8.3.7\Grassing or other Vegetation Cover. Rate to allow for the supply of indigenous veld grass seed mix from commercial sources, seeding, raking and maintaining until established./\KS20_001-Concrete Drop Inlet. Drawing NBC-GTW-CL-0027 \m²\23.52 \ 5" u="1"/>
        <s v="SABS1200 DA  \ Earthworks (Small Works) / 8.3\ SCHEDULED ITEMS / 8.3.7 \ Grassing or other Vegetation Cover. /\KS21-004-Earthworks  \m²\111 \ 5" u="1"/>
        <s v="SABS1200 DA  \ Earthworks (Small Works) / 8.3\ SCHEDULED ITEMS / 8.3.7 \ Grassing or other Vegetation Cover. /\LS08_001-Removal of Berm  \m²\148.532778078669 \ 5" u="1"/>
        <s v="SABS1200 DA  \ Earthworks (Small Works) / 8.3\ SCHEDULED ITEMS / 8.3.7 \ Grassing or other Vegetation Cover. /\KS12_010-Removal of Dam Wall \m²\619.185479905302 \ 5" u="1"/>
        <s v="SABS1200 DA  / Earthworks (Small Works) / 8.3 / 8.3.7 / Grassing or other Vegetation Cover / Pan14-001-Reinstate Pan Edge / 360 / m²" u="1"/>
        <s v="SABS1200 DA \EARTHWORKS (SMALL WORKS)/8.3\SCHEDULED ITEMS/8.3.7\Grassing or other Vegetation Cover. Rate to allow for the supply of indigenous veld grass seed mix from commercial sources, seeding, raking and maintaining until established./\KS20_009_b-Concrete Overflow Wall. Refer to drawing NBC-GTW-CL-0035 \m²\50 \ 5" u="1"/>
        <s v="SABS1200 DA  / Earthworks (Small Works) / 8.3 / 8.3.7 / Grassing or other Vegetation Cover / Pan14_009-Infilling of Drains / 78.4 / m²" u="1"/>
        <s v="SABS1200 DA \EARTHWORKS (SMALL WORKS)/8.3\SCHEDULED ITEMS/8.3.7\Grassing or other Vegetation Cover. /\ks11-002a-Concrete Drop Inlet on Dam Wall  \m²\31.8 \ 5" u="1"/>
        <s v="SABS1200 DA \EARTHWORKS (SMALL WORKS)/8.3\SCHEDULED ITEMS/8.3.7\Grassing or other Vegetation Cover. /\ks11-004a-Concrete Drop Inlet on Dam Wall  \m²\31.8 \ 5" u="1"/>
        <s v="SABS1200 DA  \ Earthworks (Small Works) / 8.3\ SCHEDULED ITEMS / 8.3.7 \ Grassing or other Vegetation Cover. /\Pan14_005-Infilling of Drains  \m²\450 \ 5" u="1"/>
        <s v="SABS1200 DA \EARTHWORKS (SMALL WORKS)/8.3\SCHEDULED ITEMS/8.3.7\Grassing or other Vegetation Cover. Rate to allow for the supply of indigenous veld grass seed mix from commercial sources, seeding, raking and maintaining until established./\KS16_002-Excavate Dam Wall  \m²\283.947757718744 \ 5" u="1"/>
        <s v="SABS1200 DA \EARTHWORKS (SMALL WORKS)/8.3\SCHEDULED ITEMS/8.3.7\Grassing or other Vegetation Cover. /\Pan14_009-Infilling of Drains  \m²\78.4 \ 5" u="1"/>
        <s v="SABS1200 DA \EARTHWORKS (SMALL WORKS)/8.3\SCHEDULED ITEMS/8.3.7\Grassing or other Vegetation Cover. /\KS12_004-Concrete Drop Inlet. Refer to drawing NBC-GTW-CL-0003 \m²\21.76 \ 5" u="1"/>
        <s v="SABS1200 DA \EARTHWORKS (SMALL WORKS)/8.3\SCHEDULED ITEMS/8.3.7\Grassing or other Vegetation Cover. /\KS13_005-Concrete Drop Inlet. Refer to drawing NBC-GTW-CL-0011 \m²\21.76 \ 5" u="1"/>
        <s v="SABS1200 DA \EARTHWORKS (SMALL WORKS)/8.3\SCHEDULED ITEMS/8.3.7\Grassing or other Vegetation Cover. /\KS13_006-Concrete Drop Inlet. Refer to drawing NBC-GTW-CL-0012 \m²\21.76 \ 5" u="1"/>
        <s v="SABS1200 DA \EARTHWORKS (SMALL WORKS)/8.3\SCHEDULED ITEMS/8.3.7\Grassing or other Vegetation Cover. /\KS21_005-Concrete Drop Inlet. Refer to drawing NBC-GTW-CL-0040 \m²\21.76 \ 5" u="1"/>
        <s v="SABS1200 DA \EARTHWORKS (SMALL WORKS)/8.3\SCHEDULED ITEMS/8.3.7\Grassing or other Vegetation Cover. /\DS12_004-Removal of Berms  \m²\626.368 \ 5" u="1"/>
        <s v="SABS1200 DA \EARTHWORKS (SMALL WORKS)/8.3\SCHEDULED ITEMS/8.3.7\Grassing or other Vegetation Cover. Rate to allow for the supply of indigenous veld grass seed mix from commercial sources, seeding, raking and maintaining until established./\KS21_006-Concrete Drop Inlet. Drawing NBC-GTW-CL-0041 \m²\21.6 \ 10" u="1"/>
        <s v="SABS1200 DA \EARTHWORKS (SMALL WORKS)/8.3\SCHEDULED ITEMS/8.3.7\Grassing or other Vegetation Cover. Rate to allow for the supply of indigenous veld grass seed mix from commercial sources, seeding, raking and maintaining until established./\KS21_007-Concrete Drop Inlet. Drawing NBC-GTW-CL-0042 \m²\21.6 \ 10" u="1"/>
        <s v="SABS1200 DA  \ Earthworks (Small Works) / 8.3\ SCHEDULED ITEMS / 8.3.7 \ Grassing or other Vegetation Cover. /\Pan09_001-Removal of Dam Wall  \m²\594 \ 5" u="1"/>
        <s v="SABS1200 DA \EARTHWORKS (SMALL WORKS)/8.3\SCHEDULED ITEMS/8.3.7\Grassing or other Vegetation Cover. /\KS20_003-Concrete Buttress Weir. Refer to drawing NBC-GTW-CL-0029 \m²\26.68 \ 5" u="1"/>
        <s v="SABS1200 DA \EARTHWORKS (SMALL WORKS)/8.3\SCHEDULED ITEMS/8.3.7\Grassing or other Vegetation Cover. Rate to allow for the supply of indigenous veld grass seed mix from commercial sources, seeding, raking and maintaining until established./\KS13_016-Infilling of Drains  \m²\332.18699875976 \ 5" u="1"/>
        <s v="SABS1200 DA \EARTHWORKS (SMALL WORKS)/8.3\SCHEDULED ITEMS/8.3.7\Grassing or other Vegetation Cover. Rate to allow for the supply of indigenous veld grass seed mix from commercial sources, seeding, raking and maintaining until established./\KS13_011-Concrete Drop Inlet. Refer to drawing NBC-GTW-CL-0015 \m²\22.88 \ 5" u="1"/>
        <s v="SABS1200 DA  \ Earthworks (Small Works) / 8.3\ SCHEDULED ITEMS / 8.3.7 \ Grassing or other Vegetation Cover. /\KS18_002-Concrete Drop Inlet \m²\17.52 \ 5" u="1"/>
        <s v="SABS1200 DA \EARTHWORKS (SMALL WORKS)/8.3\SCHEDULED ITEMS/8.3.7\Grassing or other Vegetation Cover. Rate to allow for the supply of indigenous veld grass seed mix from commercial sources, seeding, raking and maintaining until established./\KS18_015-Concrete Drop Inlet. Refer to drawing NBC-GTW-CL-0021 \m²\23.68 \ 5" u="1"/>
        <s v="SABS1200 DA  \ Earthworks (Small Works) / 8.3\ SCHEDULED ITEMS / 8.3.7 \ Grassing or other Vegetation Cover. /\KS13_003-Concrete Drop Inlet. Refer to drawing I \m²\23.2 \ 5" u="1"/>
        <s v="SABS1200 DA  \ Earthworks (Small Works) / 8.3\ SCHEDULED ITEMS / 8.3.7 \ Grassing or other Vegetation Cover. /\KS13_012-Concrete Drop Inlet. Refer to drawing P \m²\23.2 \ 5" u="1"/>
        <s v="SABS1200 DA \EARTHWORKS (SMALL WORKS)/8.3\SCHEDULED ITEMS/8.3.7\Grassing or other Vegetation Cover. Rate to allow for the supply of indigenous veld grass seed mix from commercial sources, seeding, raking and maintaining until established./\DS12_004-Removal of earthen material  \m²\626.368 \ 5" u="1"/>
        <s v="SABS1200 DA  \ Earthworks (Small Works) / 8.3\ SCHEDULED ITEMS / 8.3.7 \ Grassing or other Vegetation Cover. /\KS20_009_b-Concrete Overflow Wall \m²\50 \ 5" u="1"/>
        <s v="SABS1200 DA  \ Earthworks (Small Works) / 8.3\ SCHEDULED ITEMS / 8.3.7 \ Grassing or other Vegetation Cover. /\KS19_006-Removal of Dam Wall  \m²\3134.04 \ 5" u="1"/>
        <s v="SABS1200 DA \EARTHWORKS (SMALL WORKS)/8.3\SCHEDULED ITEMS/8.3.7\Grassing or other Vegetation Cover. Rate to allow for the supply of indigenous veld grass seed mix from commercial sources, seeding, raking and maintaining until established./\KS20_002-Concrete Drop Inlet. Refer to drawing NBC-GTW-CL-0028 \m²\24.48 \ 5" u="1"/>
        <s v="SABS1200 DA \EARTHWORKS (SMALL WORKS)/8.3\SCHEDULED ITEMS/8.3.7\Grassing or other Vegetation Cover. /\KS13_001-Infilling of Drains  \m²\1148.93998599451 \ 5" u="1"/>
        <s v="SABS1200 DA \EARTHWORKS (SMALL WORKS)/8.3\SCHEDULED ITEMS/8.3.7\Grassing or other Vegetation Cover. Rate to allow for the supply of indigenous veld grass seed mix from commercial sources, seeding, raking and maintaining until established./\KS18_002-Concrete Drop Inlet. Drawing NBC-GTW-CL-0020 \m²\17.52 \ 5" u="1"/>
        <s v="SABS1200 DA \EARTHWORKS (SMALL WORKS)/8.3\SCHEDULED ITEMS/8.3.7\Grassing or other Vegetation Cover. Rate to allow for the supply of indigenous veld grass seed mix from commercial sources, seeding, raking and maintaining until established./\KS18_020-Concrete Drop Inlet associated with Road Culvert  \m²\22.384 \ 5" u="1"/>
        <s v="SABS1200 DA \EARTHWORKS (SMALL WORKS)/8.3\SCHEDULED ITEMS/8.3.7\Grassing or other Vegetation Cover. /\LS16_012-Removal of Road  \m²\360 \ 5" u="1"/>
        <s v="SABS1200 DA  / Earthworks (Small Works) / 8.3 / 8.3.7 / Grassing or other Vegetation Cover / Pan14_011-Infilling of Drains / 4365 / m²" u="1"/>
        <s v="SABS1200 DA \EARTHWORKS (SMALL WORKS)/8.3\SCHEDULED ITEMS/8.3.7\Grassing or other Vegetation Cover. Rate to allow for the supply of indigenous veld grass seed mix from commercial sources, seeding, raking and maintaining until established./\Pan14_006-Earthen Berms  \m²\190.755332217041 \ 5" u="1"/>
        <s v="SABS1200 DA \EARTHWORKS (SMALL WORKS)/8.3\SCHEDULED ITEMS/8.3.7\Grassing or other Vegetation Cover. /\KS18_016-Concrete Drop Inlet. Refer to drawing NBC-GTW-CL-0022 \m²\23.36 \ 5" u="1"/>
        <s v="SABS1200 DA \EARTHWORKS (SMALL WORKS)/8.3\SCHEDULED ITEMS/8.3.7\Grassing or other Vegetation Cover. /\KS18_017-Concrete Drop Inlet. Refer to drawing NBC-GTW-CL-0023 \m²\23.36 \ 5" u="1"/>
        <s v="SABS1200 DA \EARTHWORKS (SMALL WORKS)/8.3\SCHEDULED ITEMS/8.3.7\Grassing or other Vegetation Cover. /\KS18_018-Concrete Drop Inlet. Refer to drawing NBC-GTW-CL-0024 \m²\23.36 \ 5" u="1"/>
        <s v="SABS1200 DA \EARTHWORKS (SMALL WORKS)/8.3\SCHEDULED ITEMS/8.3.7\Grassing or other Vegetation Cover. /\KS20_002-Concrete Drop Inlet. Refer to drawing NBC-GTW-CL-0028 \m²\23.36 \ 5" u="1"/>
        <s v="SABS1200 DA \EARTHWORKS (SMALL WORKS)/8.3\SCHEDULED ITEMS/8.3.7\Grassing or other Vegetation Cover. /\KS20_004-Concrete Drop Inlet. Refer to drawing NBC-GTW-CL-0030 \m²\23.36 \ 5" u="1"/>
        <s v="SABS1200 DA \EARTHWORKS (SMALL WORKS)/8.3\SCHEDULED ITEMS/8.3.7\Grassing or other Vegetation Cover. /\KS20_005-Concrete Drop Inlet. Refer to drawing NBC-GTW-CL-0031 \m²\23.36 \ 5" u="1"/>
        <s v="SABS1200 DA \EARTHWORKS (SMALL WORKS)/8.3\SCHEDULED ITEMS/8.3.7\Grassing or other Vegetation Cover. /\KS20_006-Concrete Drop Inlet. Refer to drawing NBC-GTW-CL-0032 \m²\23.36 \ 5" u="1"/>
        <s v="SABS1200 DA  \ Earthworks (Small Works) / 8.3\ SCHEDULED ITEMS / 8.3.7 \ Grassing or other Vegetation Cover. /\KS18_002-Concrete Drop Inlet. Refer to drawing T \m²\17.52 \ 5" u="1"/>
        <s v="SABS1200 DA  / Earthworks (Small Works) / 8.3 / 8.3.7 / Grassing or other Vegetation Cover / KS16_001-Infilling of Drains / 494.873340531892 / m²" u="1"/>
        <s v="SABS1200 DA \EARTHWORKS (SMALL WORKS)/8.3\SCHEDULED ITEMS/8.3.7\Grassing or other Vegetation Cover. /\KS13_010-Removal of Berm  \m²\1020.985 \ 5" u="1"/>
        <s v="SABS1200 DA  \ Earthworks (Small Works) / 8.3\ SCHEDULED ITEMS / 8.3.7 \ Grassing or other Vegetation Cover. /\KS16_004-Infilling of Drains  \m²\480 \ 5" u="1"/>
        <s v="SABS1200 DA  \ Earthworks (Small Works) / 8.3\ SCHEDULED ITEMS / 8.3.7 \ Grassing or other Vegetation Cover. /\Pan14-001-Reinstate Pan Edge  \m²\360 \ 5" u="1"/>
        <s v="SABS1200 DA \EARTHWORKS (SMALL WORKS)/8.3\SCHEDULED ITEMS/8.3.7\Grassing or other Vegetation Cover. /\KS16_002-Excavate Dam Wall  \m²\283.947757718744 \ 5" u="1"/>
        <s v="SABS1200 DA \EARTHWORKS (SMALL WORKS)/8.3\SCHEDULED ITEMS/8.3.7\Grassing or other Vegetation Cover. /\KS18_020-Rehab road culvert  \m²\22.384 \ 5" u="1"/>
        <s v="SABS1200 DA  \ Earthworks (Small Works) / 8.3\ SCHEDULED ITEMS / 8.3.7 \ Grassing or other Vegetation Cover. /\Pan14-002-Remove Berm \m²\198 \ 5" u="1"/>
        <s v="SABS1200 DA  \ Earthworks (Small Works) / 8.3\ SCHEDULED ITEMS / 8.3.7 \ Grassing or other Vegetation Cover. /\KS13_002-Infilling of Drains  \m²\85.816653826392 \ 5" u="1"/>
        <s v="SABS1200 DA \EARTHWORKS (SMALL WORKS)/8.3\SCHEDULED ITEMS/8.3.7\Grassing or other Vegetation Cover. Rate to allow for the supply of indigenous veld grass seed mix from commercial sources, seeding, raking and maintaining until established./\ks18-021-Backfill Main Channel  \m²\3294.95 \ 5" u="1"/>
        <s v="SABS1200 DA \EARTHWORKS (SMALL WORKS)/8.3\SCHEDULED ITEMS/8.3.7\Grassing or other Vegetation Cover. /\LS08_001-Removal of Berm  \m²\148.532778078669 \ 5" u="1"/>
        <s v="SABS1200 DA \EARTHWORKS (SMALL WORKS)/8.3\SCHEDULED ITEMS/8.3.7\Grassing or other Vegetation Cover. Rate to allow for the supply of indigenous veld grass seed mix from commercial sources, seeding, raking and maintaining until established./\KS15-002-Backfill Main Channel  \m²\3846.97837810187 \ 5" u="1"/>
        <s v="SABS1200 DA  \ Earthworks (Small Works) / 8.3\ SCHEDULED ITEMS / 8.3.7 \ Grassing or other Vegetation Cover. /\Pan14_008-Infilling of Drains  \m²\108 \ 5" u="1"/>
        <s v="SABS1200 DA  \ Earthworks (Small Works) / 8.3\ SCHEDULED ITEMS / 8.3.7 \ Grassing or other Vegetation Cover. /\KS20_008-Concrete Drop Inlet. Refer to drawing AH \m²\23.2 \ 5" u="1"/>
        <s v="SABS1200 DA  \ Earthworks (Small Works) / 8.3\ SCHEDULED ITEMS / 8.3.7 \ Grassing or other Vegetation Cover. /\Pan14_007-Infilling of Drains  \m²\76 \ 5" u="1"/>
        <s v="SABS1200 DA \EARTHWORKS (SMALL WORKS)/8.3\SCHEDULED ITEMS/8.3.7\Grassing or other Vegetation Cover. /\KS13_009-Infilling of Drains  \m²\78.5716708603933 \ 5" u="1"/>
        <s v="SABS1200 DA  \ Earthworks (Small Works) / 8.3\ SCHEDULED ITEMS / 8.3.7 \ Grassing or other Vegetation Cover. /\KS21-004-Earthworks \m²\111 \ 5" u="1"/>
        <s v="SABS1200 DA  / Earthworks (Small Works) / 8.3 / 8.3.7 / Grassing or other Vegetation Cover / LS16_015-Earthworks / 567 / m²" u="1"/>
        <s v="SABS1200 DA \EARTHWORKS (SMALL WORKS)/8.3\SCHEDULED ITEMS/8.3.7\Grassing or other Vegetation Cover. Rate to allow for the supply of indigenous veld grass seed mix from commercial sources, seeding, raking and maintaining until established./\KS18_015-Concrete Drop Inlet. Drawing NBC-GTW-CL-0021 \m²\23.68 \ 5" u="1"/>
        <s v="SABS1200 DA  \ Earthworks (Small Works) / 8.3\ SCHEDULED ITEMS / 8.3.7 \ Grassing or other Vegetation Cover. /\LS16_021-Backfill Main Channel  \m²\6032.31 \ 5" u="1"/>
        <s v="SABS1200 DA  \ Earthworks (Small Works) / 8.3\ SCHEDULED ITEMS / 8.3.7 \ Grassing or other Vegetation Cover. /\KS13_014-Earthen Berm \m²\278.716598321288 \ 5" u="1"/>
        <s v="SABS1200 DA  \ Earthworks (Small Works) / 8.3\ SCHEDULED ITEMS / 8.3.7 \ Grassing or other Vegetation Cover. /\Pan14_004-Infilling of Drains  \m²\180 \ 5" u="1"/>
        <s v="SABS1200 DA  \ Earthworks (Small Works) / 8.3\ SCHEDULED ITEMS / 8.3.7 \ Grassing or other Vegetation Cover. /\KS16_002-Infilling of Drains  \m²\283.947757718744 \ 5" u="1"/>
        <s v="'" u="1"/>
        <s v="SABS1200 DA  / Earthworks (Small Works) / 8.3 / 8.3.7 / Grassing or other Vegetation Cover / LS08_001-Removal of Berm / 148.532778078669 / m²" u="1"/>
        <s v="SABS1200 DA  \ Earthworks (Small Works) / 8.3\ SCHEDULED ITEMS / 8.3.7 \ Grassing or other Vegetation Cover. /\Pan09_001-Removal of Dam Wall \m²\594 \ 5" u="1"/>
        <s v="SABS1200 DA  / Earthworks (Small Works) / 8.3 / 8.3.7 / Grassing or other Vegetation Cover / KS18_002-Concrete Drop Inlet / 17.52 / m²" u="1"/>
        <s v="SABS1200 DA \EARTHWORKS (SMALL WORKS)/8.3\SCHEDULED ITEMS/8.3.7\Grassing or other Vegetation Cover. /\Pan09_001-Removal of Dam Wall  \m²\594 \ 5" u="1"/>
        <s v="SABS1200 DA  \ Earthworks (Small Works) / 8.3\ SCHEDULED ITEMS / 8.3.7 \ Grassing or other Vegetation Cover. /\LS16_015-Earthworks  \m²\567 \ 5" u="1"/>
        <s v="SABS1200 DA \EARTHWORKS (SMALL WORKS)/8.3\SCHEDULED ITEMS/8.3.7\Grassing or other Vegetation Cover. /\Pan14_005-Infilling of Drains  \m²\450 \ 5" u="1"/>
        <s v="SABS1200 DA  / Earthworks (Small Works) / 8.3 / 8.3.7 / Grassing or other Vegetation Cover / KS19_002-Concrete Drop Inlet / 20.96 / m²" u="1"/>
        <s v="SABS1200 DA \EARTHWORKS (SMALL WORKS)/8.3\SCHEDULED ITEMS/8.3.7\Grassing or other Vegetation Cover. /\KS16_002-Infilling of Drains  \m²\283.947757718744 \ 5" u="1"/>
        <s v="SABS1200 DA  / Earthworks (Small Works) / 8.3 / 8.3.7 / Grassing or other Vegetation Cover / KS13_010-Removal of Berm / 1020.985 / m²" u="1"/>
        <s v="SABS1200 DA  \ Earthworks (Small Works) / 8.3\ SCHEDULED ITEMS / 8.3.7 \ Grassing or other Vegetation Cover. /\KS21_005-Concrete Drop Inlet. Refer to drawing AN \m²\21.76 \ 5" u="1"/>
        <s v="SABS1200 DA  \ Earthworks (Small Works) / 8.3\ SCHEDULED ITEMS / 8.3.7 \ Grassing or other Vegetation Cover. /\LS16_020-Removal of Road  \m²\1782 \ 5" u="1"/>
        <s v="SABS1200 DA \EARTHWORKS (SMALL WORKS)/8.3\SCHEDULED ITEMS/8.3.7\Grassing or other Vegetation Cover. Rate to allow for the supply of indigenous veld grass seed mix from commercial sources, seeding, raking and maintaining until established./\KS13_003-Concrete Drop Inlet. Drawing NBC-GTW-CL-0009 \m²\23.2 \ 5" u="1"/>
        <s v="SABS1200 DA \EARTHWORKS (SMALL WORKS)/8.3\SCHEDULED ITEMS/8.3.7\Grassing or other Vegetation Cover. Rate to allow for the supply of indigenous veld grass seed mix from commercial sources, seeding, raking and maintaining until established./\KS13_012-Concrete Drop Inlet. Drawing NBC-GTW-CL-0016 \m²\23.2 \ 5" u="1"/>
        <s v="SABS1200 DA \EARTHWORKS (SMALL WORKS)/8.3\SCHEDULED ITEMS/8.3.7\Grassing or other Vegetation Cover. Rate to allow for the supply of indigenous veld grass seed mix from commercial sources, seeding, raking and maintaining until established./\KS20_008-Concrete Drop Inlet. Drawing NBC-GTW-CL-0034 \m²\23.2 \ 5" u="1"/>
        <s v="SABS1200 DA  / Earthworks (Small Works) / 8.3 / 8.3.7 / Grassing or other Vegetation Cover / KS20_009_c-Earthen Berm / 69 / m²" u="1"/>
        <s v="SABS1200 DA  / Earthworks (Small Works) / 8.3 / 8.3.7 / Grassing or other Vegetation Cover / Pan14_007-Infilling of Drains / 76 / m²" u="1"/>
        <s v="SABS1200 DA \EARTHWORKS (SMALL WORKS)/8.3\SCHEDULED ITEMS/8.3.7\Grassing or other Vegetation Cover. /\KS20_009_c-Earthen Berm. Refer to drawing  \m²\69 \ 5" u="1"/>
        <s v="SABS1200 DA  / Earthworks (Small Works) / 8.3 / 8.3.7 / Grassing or other Vegetation Cover / DS12_004-Removal of Berms / 626.368 / m²" u="1"/>
        <s v="SABS1200 DA \EARTHWORKS (SMALL WORKS)/8.3\SCHEDULED ITEMS/8.3.7\Grassing or other Vegetation Cover. /\Pan14_007-Infilling of Drains  \m²\76 \ 5" u="1"/>
        <s v="SABS1200 DA  \ Earthworks (Small Works) / 8.3\ SCHEDULED ITEMS / 8.3.7 \ Grassing or other Vegetation Cover. /\KS16_002-Infilling of Drains \m²\283.947757718744 \ 5" u="1"/>
        <s v="SABS1200 DA  \ Earthworks (Small Works) / 8.3\ SCHEDULED ITEMS / 8.3.7 \ Grassing or other Vegetation Cover. /\Pan14_005-Infilling of Drains \m²\450 \ 5" u="1"/>
        <s v="SABS1200 DA  \ Earthworks (Small Works) / 8.3\ SCHEDULED ITEMS / 8.3.7 \ Grassing or other Vegetation Cover. /\LS12_002-Removal of Berm \m²\76 \ 5" u="1"/>
        <s v="SABS1200 DA \EARTHWORKS (SMALL WORKS)/8.3\SCHEDULED ITEMS/8.3.7\Grassing or other Vegetation Cover. /\KS20_009_b-Concrete Overflow Wall. Refer to drawing NBC-GTW-CL-0036 \m²\50 \ 5" u="1"/>
        <s v="SABS1200 DA \EARTHWORKS (SMALL WORKS)/8.3\SCHEDULED ITEMS/8.3.7\Grassing or other Vegetation Cover. Rate to allow for the supply of indigenous veld grass seed mix from commercial sources, seeding, raking and maintaining until established./\KS12_002-Concrete Drop Inlet. Refer to drawing NBC-GTW-CL-0002 \m²\30 \ 5" u="1"/>
        <s v="SABS1200 DA  / Earthworks (Small Works) / 8.3 / 8.3.7 / Grassing or other Vegetation Cover / LS16_020-Removal of Road / 1782 / m²" u="1"/>
        <s v="SABS1200 DA  / Earthworks (Small Works) / 8.3 / 8.3.7 / Grassing or other Vegetation Cover / KS13_009-Infilling of Drains / 78.5716708603933 / m²" u="1"/>
        <s v="SABS1200 DA  \ Earthworks (Small Works) / 8.3\ SCHEDULED ITEMS / 8.3.7 \ Grassing or other Vegetation Cover. /\Pan14_009-Infilling of Drains  \m²\78.4 \ 5" u="1"/>
        <s v="SABS1200 DA  \ Earthworks (Small Works) / 8.3\ SCHEDULED ITEMS / 8.3.7 \ Grassing or other Vegetation Cover. /\Pan8_002-Infilling of Drains  \m²\320 \ 5" u="1"/>
        <s v="SABS1200 DA  \ Earthworks (Small Works) / 8.3\ SCHEDULED ITEMS / 8.3.7 \ Grassing or other Vegetation Cover. /\Pan14_008-Infilling of Drains \m²\108 \ 5" u="1"/>
        <s v="SABS1200 DA  \ Earthworks (Small Works) / 8.3\ SCHEDULED ITEMS / 8.3.7 \ Grassing or other Vegetation Cover. /\KS19_007-Infilling of Drains  \m²\179.7515 \ 5" u="1"/>
        <s v="SABS1200 DA \EARTHWORKS (SMALL WORKS)/8.3\SCHEDULED ITEMS/8.3.7\Grassing or other Vegetation Cover. Rate to allow for the supply of indigenous veld grass seed mix from commercial sources, seeding, raking and maintaining until established./\KS19_007-Infilling of Drains  \m²\179.7515 \ 5" u="1"/>
        <s v="SABS1200 DA  / Earthworks (Small Works) / 8.3 / 8.3.7 / Grassing or other Vegetation Cover / KS18_020-Rehab road culvert / 22.384 / m²" u="1"/>
        <s v="SABS1200 DA \EARTHWORKS (SMALL WORKS)/8.3\SCHEDULED ITEMS/8.3.7\Grassing or other Vegetation Cover. Rate to allow for the supply of indigenous veld grass seed mix from commercial sources, seeding, raking and maintaining until established./\KS12_004-Concrete Drop Inlet. Drawing NBC-GTW-CL-0003 \m²\21.76 \ 5" u="1"/>
        <s v="SABS1200 DA \EARTHWORKS (SMALL WORKS)/8.3\SCHEDULED ITEMS/8.3.7\Grassing or other Vegetation Cover. Rate to allow for the supply of indigenous veld grass seed mix from commercial sources, seeding, raking and maintaining until established./\KS13_005-Concrete Drop Inlet. Drawing NBC-GTW-CL-0011 \m²\21.76 \ 5" u="1"/>
        <s v="SABS1200 DA \EARTHWORKS (SMALL WORKS)/8.3\SCHEDULED ITEMS/8.3.7\Grassing or other Vegetation Cover. Rate to allow for the supply of indigenous veld grass seed mix from commercial sources, seeding, raking and maintaining until established./\KS13_006-Concrete Drop Inlet. Drawing NBC-GTW-CL-0012 \m²\21.76 \ 5" u="1"/>
        <s v="SABS1200 DA \EARTHWORKS (SMALL WORKS)/8.3\SCHEDULED ITEMS/8.3.7\Grassing or other Vegetation Cover. Rate to allow for the supply of indigenous veld grass seed mix from commercial sources, seeding, raking and maintaining until established./\KS21_005-Concrete Drop Inlet. Drawing NBC-GTW-CL-0040 \m²\21.76 \ 5" u="1"/>
        <s v="SABS1200 DA  \ Earthworks (Small Works) / 8.3\ SCHEDULED ITEMS / 8.3.7 \ Grassing or other Vegetation Cover. /\LS12_001-Removal of dam wall \m²\2917.70393453744 \ 5" u="1"/>
        <s v="SABS1200 DA  \ Earthworks (Small Works) / 8.3\ SCHEDULED ITEMS / 8.3.7 \ Grassing or other Vegetation Cover. /\KS21-002-Earthworks \m²\850 \ 5" u="1"/>
        <s v="SABS1200 DA  \ Earthworks (Small Works) / 8.3\ SCHEDULED ITEMS / 8.3.7 \ Grassing or other Vegetation Cover. /\KS18_016-Concrete Drop Inlet. Refer to drawing V \m²\23.36 \ 5" u="1"/>
        <s v="SABS1200 DA  \ Earthworks (Small Works) / 8.3\ SCHEDULED ITEMS / 8.3.7 \ Grassing or other Vegetation Cover. /\KS18_017-Concrete Drop Inlet. Refer to drawing W \m²\23.36 \ 5" u="1"/>
        <s v="SABS1200 DA  \ Earthworks (Small Works) / 8.3\ SCHEDULED ITEMS / 8.3.7 \ Grassing or other Vegetation Cover. /\KS18_018-Concrete Drop Inlet. Refer to drawing X \m²\23.36 \ 5" u="1"/>
        <s v="SABS1200 DA \EARTHWORKS (SMALL WORKS)/8.3\SCHEDULED ITEMS/8.3.7\Grassing or other Vegetation Cover. /\KS19_007-Infilling of Drains  \m²\179.7515 \ 5" u="1"/>
        <s v="SABS1200 DA \EARTHWORKS (SMALL WORKS)/8.3\SCHEDULED ITEMS/8.3.7\Grassing or other Vegetation Cover. Rate to allow for the supply of indigenous veld grass seed mix from commercial sources, seeding, raking and maintaining until established./\LS12_002-Removal of Berm  \m²\76 \ 5" u="1"/>
        <s v="SABS1200 DA  \ Earthworks (Small Works) / 8.3\ SCHEDULED ITEMS / 8.3.7 \ Grassing or other Vegetation Cover. /\KS18_015-Concrete Drop Inlet. Refer to drawing U \m²\23.68 \ 5" u="1"/>
        <s v="SABS1200 DA \EARTHWORKS (SMALL WORKS)/8.3\SCHEDULED ITEMS/8.3.7\Grassing or other Vegetation Cover. Rate to allow for the supply of indigenous veld grass seed mix from commercial sources, seeding, raking and maintaining until established./\ks11-002a-Concrete Drop Inlet on Dam Wall  \m²\31.8 \ 5" u="1"/>
        <s v="SABS1200 DA \EARTHWORKS (SMALL WORKS)/8.3\SCHEDULED ITEMS/8.3.7\Grassing or other Vegetation Cover. Rate to allow for the supply of indigenous veld grass seed mix from commercial sources, seeding, raking and maintaining until established./\ks11-004a-Concrete Drop Inlet on Dam Wall  \m²\31.8 \ 5" u="1"/>
        <s v="SABS1200 DA  / Earthworks (Small Works) / 8.3 / 8.3.7 / Grassing or other Vegetation Cover / KS12_005-Concrete Drop Inlet / 21.92 / m²" u="1"/>
        <s v="SABS1200 DA  / Earthworks (Small Works) / 8.3 / 8.3.7 / Grassing or other Vegetation Cover / KS12_007-Concrete Drop Inlet / 21.92 / m²" u="1"/>
        <s v="SABS1200 DA  / Earthworks (Small Works) / 8.3 / 8.3.7 / Grassing or other Vegetation Cover / KS21_009-Concrete Drop Inlet / 21.92 / m²" u="1"/>
        <s v="SABS1200 DA  / Earthworks (Small Works) / 8.3 / 8.3.7 / Grassing or other Vegetation Cover / KS21_010-Concrete Drop Inlet / 21.92 / m²" u="1"/>
        <s v="SABS1200 DA  / Earthworks (Small Works) / 8.3 / 8.3.7 / Grassing or other Vegetation Cover / Pan14_004-Infilling of Drains / 180 / m²" u="1"/>
        <s v="SABS1200 DA  / Earthworks (Small Works) / 8.3 / 8.3.7 / Grassing or other Vegetation Cover / KS16_004-Infilling of Drains / 480 / m²" u="1"/>
        <s v="SABS1200 DA  \ Earthworks (Small Works) / 8.3\ SCHEDULED ITEMS / 8.3.7 \ Grassing or other Vegetation Cover. /\KS20_003-Concrete Buttress Weir. Refer to drawing AC \m²\26.68 \ 5" u="1"/>
        <s v="SABS1200 DA  / Earthworks (Small Works) / 8.3 / 8.3.7 / Grassing or other Vegetation Cover / KS20_003-Concrete Buttress Weir / 26.68 / m²" u="1"/>
        <s v="SABS1200 DA \EARTHWORKS (SMALL WORKS)/8.3\SCHEDULED ITEMS/8.3.7\Grassing or other Vegetation Cover. Rate to allow for the supply of indigenous veld grass seed mix from commercial sources, seeding, raking and maintaining until established./\KS12_002-Concrete Drop Inlet. Drawing NBC-GTW-CL-0002 \m²\30 \ 5" u="1"/>
        <s v="SABS1200 DA \EARTHWORKS (SMALL WORKS)/8.3\SCHEDULED ITEMS/8.3.7\Grassing or other Vegetation Cover. Rate to allow for the supply of indigenous veld grass seed mix from commercial sources, seeding, raking and maintaining until established./\KS20_009_c-Earthen Berm. Drawing NBC-GTW-CL-0035 \m²\69 \ 10" u="1"/>
        <s v="SABS1200 DA  \ Earthworks (Small Works) / 8.3\ SCHEDULED ITEMS / 8.3.7 \ Grassing or other Vegetation Cover. /\KS18_001-Concrete Drop Inlet. Refer to drawing S \m²\23.84 \ 5" u="1"/>
        <s v="SABS1200 DA  / Earthworks (Small Works) / 8.3 / 8.3.7 / Grassing or other Vegetation Cover / KS13_014-Earthen Berm / 278.716598321288 / m²" u="1"/>
        <s v="SABS1200 DA \EARTHWORKS (SMALL WORKS)/8.3\SCHEDULED ITEMS/8.3.7\Grassing or other Vegetation Cover. /\KS12_006-Concrete Drop Inlet. Refer to drawing NBC-GTW-CL-0005 \m²\21.44 \ 5" u="1"/>
        <s v="SABS1200 DA \EARTHWORKS (SMALL WORKS)/8.3\SCHEDULED ITEMS/8.3.7\Grassing or other Vegetation Cover. /\KS12_008-Concrete Drop Inlet. Refer to drawing NBC-GTW-CL-0007 \m²\21.44 \ 5" u="1"/>
        <s v="SABS1200 DA \EARTHWORKS (SMALL WORKS)/8.3\SCHEDULED ITEMS/8.3.7\Grassing or other Vegetation Cover. /\KS12_009-Concrete Drop Inlet. Refer to drawing NBC-GTW-CL-0008 \m²\21.44 \ 5" u="1"/>
        <s v="SABS1200 DA  \ Earthworks (Small Works) / 8.3\ SCHEDULED ITEMS / 8.3.7 \ Grassing or other Vegetation Cover. /\Pan8_001-Foreign Materials  \m²\54 \ 5" u="1"/>
        <s v="SABS1200 DA  \ Earthworks (Small Works) / 8.3\ SCHEDULED ITEMS / 8.3.7 \ Grassing or other Vegetation Cover. /\Pan14_010-Infilling of Drains \m²\3437.5 \ 5" u="1"/>
        <s v="SABS1200 DA \EARTHWORKS (SMALL WORKS)/8.3\SCHEDULED ITEMS/8.3.7\Grassing or other Vegetation Cover. /\KS13_011-Concrete Drop Inlet. Refer to drawing NBC-GTW-CL-0015 \m²\22.88 \ 5" u="1"/>
        <s v="SABS1200 DA  \ Earthworks (Small Works) / 8.3\ SCHEDULED ITEMS / 8.3.7 \ Grassing or other Vegetation Cover. /\KS19_006-Removal of Dam Wall \m²\3134.04 \ 5" u="1"/>
        <s v="SABS1200 DA  \ Earthworks (Small Works) / 8.3\ SCHEDULED ITEMS / 8.3.7 \ Grassing or other Vegetation Cover. /\KS21-008-Earthworks \m²\129.2 \ 5" u="1"/>
        <s v="SABS1200 DA \EARTHWORKS (SMALL WORKS)/8.3\SCHEDULED ITEMS/8.3.7\Grassing or other Vegetation Cover. /\KS21-008-Infilling of Drain  \m²\129.2 \ 5" u="1"/>
        <s v="SABS1200 DA \EARTHWORKS (SMALL WORKS)/8.3\SCHEDULED ITEMS/8.3.7\Grassing or other Vegetation Cover. Rate to allow for the supply of indigenous veld grass seed mix from commercial sources, seeding, raking and maintaining until established./\Pan09_001-Removal of Dam Wall  \m²\594 \ 5" u="1"/>
        <s v="SABS1200 DA \EARTHWORKS (SMALL WORKS)/8.3\SCHEDULED ITEMS/8.3.7\Grassing or other Vegetation Cover. /\KS18_001-Concrete Drop Inlet. Refer to drawing NBC-GTW-CL-0019 \m²\23.84 \ 5" u="1"/>
        <s v="SABS1200 DA  / Earthworks (Small Works) / 8.3 / 8.3.7 / Grassing or other Vegetation Cover / KS20_009_a-Concrete Drop Inlet / 25.88 / m²" u="1"/>
        <s v="SABS1200 DA  \ Earthworks (Small Works) / 8.3\ SCHEDULED ITEMS / 8.3.7 \ Grassing or other Vegetation Cover. /\Pan8_002-Infilling of Drains \m²\320 \ 5" u="1"/>
        <s v="SABS1200 DA  \ Earthworks (Small Works) / 8.3\ SCHEDULED ITEMS / 8.3.7 \ Grassing or other Vegetation Cover. /\KS12_006-Concrete Drop Inlet \m²\21.44 \ 5" u="1"/>
        <s v="SABS1200 DA  \ Earthworks (Small Works) / 8.3\ SCHEDULED ITEMS / 8.3.7 \ Grassing or other Vegetation Cover. /\KS12_008-Concrete Drop Inlet \m²\21.44 \ 5" u="1"/>
        <s v="SABS1200 DA  \ Earthworks (Small Works) / 8.3\ SCHEDULED ITEMS / 8.3.7 \ Grassing or other Vegetation Cover. /\KS12_009-Concrete Drop Inlet \m²\21.44 \ 5" u="1"/>
        <s v="SABS1200 DA  / Earthworks (Small Works) / 8.3 / 8.3.7 / Grassing or other Vegetation Cover / KS13_001-Infilling of Drains / 1148.93998599451 / m²" u="1"/>
        <s v="SABS1200 DA \EARTHWORKS (SMALL WORKS)/8.3\SCHEDULED ITEMS/8.3.7\Grassing or other Vegetation Cover. Rate to allow for the supply of indigenous veld grass seed mix from commercial sources, seeding, raking and maintaining until established./\KS16_001-Infilling of Drains  \m²\494.873340531892 \ 5" u="1"/>
        <s v="SABS1200 DA \EARTHWORKS (SMALL WORKS)/8.3\SCHEDULED ITEMS/8.3.7\Grassing or other Vegetation Cover. Rate to allow for the supply of indigenous veld grass seed mix from commercial sources, seeding, raking and maintaining until established./\KS19_006-Removal of Dam Wall  \m²\3134.04 \ 5" u="1"/>
        <s v="SABS1200 DA \EARTHWORKS (SMALL WORKS)/8.3\SCHEDULED ITEMS/8.3.7\Grassing or other Vegetation Cover. Rate to allow for the supply of indigenous veld grass seed mix from commercial sources, seeding, raking and maintaining until established./\KS21-008-Infilling of Drain  \m²\129.2 \ 10" u="1"/>
        <s v="SABS1200 DA  \ Earthworks (Small Works) / 8.3\ SCHEDULED ITEMS / 8.3.7 \ Grassing or other Vegetation Cover. /\KS20_009_a-Concrete Drop Inlet \m²\25.88 \ 5" u="1"/>
        <s v="SABS1200 DA  \ Earthworks (Small Works) / 8.3\ SCHEDULED ITEMS / 8.3.7 \ Grassing or other Vegetation Cover. /\KS15-002-Backfill Main Channel \m²\3846.97837810187 \ 5" u="1"/>
        <s v="SABS1200 DA \EARTHWORKS (SMALL WORKS)/8.3\SCHEDULED ITEMS/8.3.7\Grassing or other Vegetation Cover. /\KS13_014-Earthen Berm  \m²\278.716598321288 \ 5" u="1"/>
        <s v="SABS1200 DA  \ Earthworks (Small Works) / 8.3\ SCHEDULED ITEMS / 8.3.7 \ Grassing or other Vegetation Cover. /\KS12_006-Concrete Drop Inlet. Refer to drawing E \m²\21.44 \ 5" u="1"/>
        <s v="SABS1200 DA  \ Earthworks (Small Works) / 8.3\ SCHEDULED ITEMS / 8.3.7 \ Grassing or other Vegetation Cover. /\KS12_008-Concrete Drop Inlet. Refer to drawing G \m²\21.44 \ 5" u="1"/>
        <s v="SABS1200 DA  \ Earthworks (Small Works) / 8.3\ SCHEDULED ITEMS / 8.3.7 \ Grassing or other Vegetation Cover. /\KS12_009-Concrete Drop Inlet. Refer to drawing H \m²\21.44 \ 5" u="1"/>
        <s v="SABS1200 DA  \ Earthworks (Small Works) / 8.3\ SCHEDULED ITEMS / 8.3.7 \ Grassing or other Vegetation Cover. /\KS20_007-Concrete Drop Inlet. Refer to drawing AG \m²\23.04 \ 5" u="1"/>
        <s v="SABS1200 DA  \ Earthworks (Small Works) / 8.3\ SCHEDULED ITEMS / 8.3.7 \ Grassing or other Vegetation Cover. /\Pan8_001-Foreign Materials \m²\54 \ 5" u="1"/>
        <s v="SABS1200 DA  \ Earthworks (Small Works) / 8.3\ SCHEDULED ITEMS / 8.3.7 \ Grassing or other Vegetation Cover. /\KS21-008-Infilling of Drain  \m²\129.2 \ 5" u="1"/>
        <s v="SABS1200 DA \EARTHWORKS (SMALL WORKS)/8.3\SCHEDULED ITEMS/8.3.7\Grassing or other Vegetation Cover. Rate to allow for the supply of indigenous veld grass seed mix from commercial sources, seeding, raking and maintaining until established./\KS20_009_a-Concrete Buttress Weir. Drawing NBC-GTW-CL-0035 \m²\25.88 \ 5" u="1"/>
        <s v="SABS1200 DA \EARTHWORKS (SMALL WORKS)/8.3\SCHEDULED ITEMS/8.3.7\Grassing or other Vegetation Cover. Rate to allow for the supply of indigenous veld grass seed mix from commercial sources, seeding, raking and maintaining until established./\KS21_005-Concrete Drop Inlet. Drawing NBC-GTW-CL-0040 \m²\21.76 \ 10" u="1"/>
        <s v="SABS1200 DA  \ Earthworks (Small Works) / 8.3\ SCHEDULED ITEMS / 8.3.7 \ Grassing or other Vegetation Cover. /\KS12_004-Concrete Drop Inlet. Refer to drawing C \m²\21.76 \ 5" u="1"/>
        <s v="SABS1200 DA  \ Earthworks (Small Works) / 8.3\ SCHEDULED ITEMS / 8.3.7 \ Grassing or other Vegetation Cover. /\KS13_005-Concrete Drop Inlet. Refer to drawing K \m²\21.76 \ 5" u="1"/>
        <s v="SABS1200 DA  \ Earthworks (Small Works) / 8.3\ SCHEDULED ITEMS / 8.3.7 \ Grassing or other Vegetation Cover. /\KS13_006-Concrete Drop Inlet. Refer to drawing L \m²\21.76 \ 5" u="1"/>
        <s v="SABS1200 DA \EARTHWORKS (SMALL WORKS)/8.3\SCHEDULED ITEMS/8.3.7\Grassing or other Vegetation Cover. /\KS21-004-Earthworks  \m²\111 \ 5" u="1"/>
        <s v="SABS1200 DA \EARTHWORKS (SMALL WORKS)/8.3\SCHEDULED ITEMS/8.3.7\Grassing or other Vegetation Cover. /\KS20_007-Concrete Drop Inlet. Refer to drawing NBC-GTW-CL-0033 \m²\23.04 \ 5" u="1"/>
        <s v="SABS1200 DA  \ Earthworks (Small Works) / 8.3\ SCHEDULED ITEMS / 8.3.7 \ Grassing or other Vegetation Cover. /\KS12_010-Removal of Dam Wall  \m²\619.185479905302 \ 5" u="1"/>
        <s v="SABS1200 DA \EARTHWORKS (SMALL WORKS)/8.3\SCHEDULED ITEMS/8.3.7\Grassing or other Vegetation Cover. Rate to allow for the supply of indigenous veld grass seed mix from commercial sources, seeding, raking and maintaining until established./\KS20_003-Concrete Buttress Weir. Drawing NBC-GTW-CL-0029 \m²\26.68 \ 5" u="1"/>
        <s v="SABS1200 DA  \ Earthworks (Small Works) / 8.3\ SCHEDULED ITEMS / 8.3.7 \ Grassing or other Vegetation Cover. /\KS13_014-Earthen Berm  \m²\278.716598321288 \ 5" u="1"/>
        <s v="SABS1200 DA \EARTHWORKS (SMALL WORKS)/8.3\SCHEDULED ITEMS/8.3.7\Grassing or other Vegetation Cover. Rate to allow for the supply of indigenous veld grass seed mix from commercial sources, seeding, raking and maintaining until established./\KS21_006-Concrete Drop Inlet. Refer to drawing NBC-GTW-CL-0041 \m²\21.6 \ 5" u="1"/>
        <s v="SABS1200 DA \EARTHWORKS (SMALL WORKS)/8.3\SCHEDULED ITEMS/8.3.7\Grassing or other Vegetation Cover. Rate to allow for the supply of indigenous veld grass seed mix from commercial sources, seeding, raking and maintaining until established./\KS21_007-Concrete Drop Inlet. Refer to drawing NBC-GTW-CL-0042 \m²\21.6 \ 5" u="1"/>
        <s v="SABS1200 DA  \ Earthworks (Small Works) / 8.3\ SCHEDULED ITEMS / 8.3.7 \ Grassing or other Vegetation Cover. /\KS12_005-Concrete Drop Inlet. Refer to drawing D \m²\21.92 \ 5" u="1"/>
        <s v="SABS1200 DA  \ Earthworks (Small Works) / 8.3\ SCHEDULED ITEMS / 8.3.7 \ Grassing or other Vegetation Cover. /\KS12_007-Concrete Drop Inlet. Refer to drawing F \m²\21.92 \ 5" u="1"/>
        <s v="SABS1200 DA \EARTHWORKS (SMALL WORKS)/8.3\SCHEDULED ITEMS/8.3.7\Grassing or other Vegetation Cover. Rate to allow for the supply of indigenous veld grass seed mix from commercial sources, seeding, raking and maintaining until established./\KS13_004-Concrete Drop Inlet. Refer to drawing NBC-GTW-CL-0010 \m²\22.4 \ 5" u="1"/>
        <s v="SABS1200 DA \EARTHWORKS (SMALL WORKS)/8.3\SCHEDULED ITEMS/8.3.7\Grassing or other Vegetation Cover. Rate to allow for the supply of indigenous veld grass seed mix from commercial sources, seeding, raking and maintaining until established./\ks11-002c-Dam wall excavation. Drawing NBC-GTW-CL-0067 \m²\1870 \ 5" u="1"/>
        <s v="SABS1200 DA  \ Earthworks (Small Works) / 8.3\ SCHEDULED ITEMS / 8.3.7 \ Grassing or other Vegetation Cover. /\KS13_007-Concrete Drop Inlet \m²\22.24 \ 5" u="1"/>
        <s v="SABS1200 DA  \ Earthworks (Small Works) / 8.3\ SCHEDULED ITEMS / 8.3.7 \ Grassing or other Vegetation Cover. /\KS13_008-Concrete Drop Inlet \m²\22.24 \ 5" u="1"/>
        <s v="SABS1200 DA  \ Earthworks (Small Works) / 8.3\ SCHEDULED ITEMS / 8.3.7 \ Grassing or other Vegetation Cover. /\KS18_019-Concrete Drop Inlet \m²\22.24 \ 5" u="1"/>
        <s v="SABS1200 DA  \ Earthworks (Small Works) / 8.3\ SCHEDULED ITEMS / 8.3.7 \ Grassing or other Vegetation Cover. /\KS21_003-Concrete Drop Inlet \m²\22.24 \ 5" u="1"/>
        <s v="SABS1200 DA  / Earthworks (Small Works) / 8.3 / 8.3.7 / Grassing or other Vegetation Cover / KS12_004-Concrete Drop Inlet / 21.76 / m²" u="1"/>
        <s v="SABS1200 DA  / Earthworks (Small Works) / 8.3 / 8.3.7 / Grassing or other Vegetation Cover / KS13_005-Concrete Drop Inlet / 21.76 / m²" u="1"/>
        <s v="SABS1200 DA  / Earthworks (Small Works) / 8.3 / 8.3.7 / Grassing or other Vegetation Cover / KS13_006-Concrete Drop Inlet / 21.76 / m²" u="1"/>
        <s v="SABS1200 DA  / Earthworks (Small Works) / 8.3 / 8.3.7 / Grassing or other Vegetation Cover / KS21_005-Concrete Drop Inlet / 21.76 / m²" u="1"/>
        <s v="SABS1200 DA \EARTHWORKS (SMALL WORKS)/8.3\SCHEDULED ITEMS/8.3.7\Grassing or other Vegetation Cover. Rate to allow for the supply of indigenous veld grass seed mix from commercial sources, seeding, raking and maintaining until established./\KS13_003-Concrete Drop Inlet. Refer to drawing NBC-GTW-CL-0009 \m²\23.2 \ 5" u="1"/>
        <s v="SABS1200 DA \EARTHWORKS (SMALL WORKS)/8.3\SCHEDULED ITEMS/8.3.7\Grassing or other Vegetation Cover. Rate to allow for the supply of indigenous veld grass seed mix from commercial sources, seeding, raking and maintaining until established./\KS13_012-Concrete Drop Inlet. Refer to drawing NBC-GTW-CL-0016 \m²\23.2 \ 5" u="1"/>
        <s v="SABS1200 DA \EARTHWORKS (SMALL WORKS)/8.3\SCHEDULED ITEMS/8.3.7\Grassing or other Vegetation Cover. Rate to allow for the supply of indigenous veld grass seed mix from commercial sources, seeding, raking and maintaining until established./\KS20_008-Concrete Drop Inlet. Refer to drawing NBC-GTW-CL-0034 \m²\23.2 \ 5" u="1"/>
        <s v="SABS1200 DA \EARTHWORKS (SMALL WORKS)/8.3\SCHEDULED ITEMS/8.3.7\Grassing or other Vegetation Cover. Rate to allow for the supply of indigenous veld grass seed mix from commercial sources, seeding, raking and maintaining until established./\Pan14_007-Infilling of Drains  \m²\76 \ 5" u="1"/>
        <s v="SABS1200 DA \EARTHWORKS (SMALL WORKS)/8.3\SCHEDULED ITEMS/8.3.7\Grassing or other Vegetation Cover. Rate to allow for the supply of indigenous veld grass seed mix from commercial sources, seeding, raking and maintaining until established./\KS13_011-Concrete Drop Inlet. Drawing NBC-GTW-CL-0015 \m²\22.88 \ 5" u="1"/>
        <s v="SABS1200 DA \EARTHWORKS (SMALL WORKS)/8.3\SCHEDULED ITEMS/8.3.7\Grassing or other Vegetation Cover. /\Pan14_006-Earthen Berms  \m²\190.755332217041 \ 5" u="1"/>
        <s v="SABS1200 DA \EARTHWORKS (SMALL WORKS)/8.3\SCHEDULED ITEMS/8.3.7\Grassing or other Vegetation Cover. Rate to allow for the supply of indigenous veld grass seed mix from commercial sources, seeding, raking and maintaining until established./\KS18_001-Concrete Drop Inlet. Drawing NBC-GTW-CL-0019 \m²\23.84 \ 5" u="1"/>
        <s v="SABS1200 DA \EARTHWORKS (SMALL WORKS)/8.3\SCHEDULED ITEMS/8.3.7\Grassing or other Vegetation Cover. Rate to allow for the supply of indigenous veld grass seed mix from commercial sources, seeding, raking and maintaining until established./\KS20_009_c-Earthen Berm. Refer to drawing NBC-GTW-CL-0035 \m²\69 \ 5" u="1"/>
        <s v="SABS1200 DA  / Earthworks (Small Works) / 8.3 / 8.3.7 / Grassing or other Vegetation Cover / LS16_012-Removal of Road / 360 / m²" u="1"/>
        <s v="SABS1200 DA  \ Earthworks (Small Works) / 8.3\ SCHEDULED ITEMS / 8.3.7 \ Grassing or other Vegetation Cover. /\LS16_015-Earthworks \m²\567 \ 5" u="1"/>
        <s v="SABS1200 DA  \ Earthworks (Small Works) / 8.3\ SCHEDULED ITEMS / 8.3.7 \ Grassing or other Vegetation Cover. /\Pan14_006-Earthen Berms \m²\190.755332217041 \ 5" u="1"/>
        <s v="SABS1200 DA \EARTHWORKS (SMALL WORKS)/8.3\SCHEDULED ITEMS/8.3.7\Grassing or other Vegetation Cover. /\KS13_004-Concrete Drop Inlet. Refer to drawing NBC-GTW-CL-0010 \m²\22.4 \ 5" u="1"/>
        <s v="SABS1200 DA \EARTHWORKS (SMALL WORKS)/8.3\SCHEDULED ITEMS/8.3.7\Grassing or other Vegetation Cover. Rate to allow for the supply of indigenous veld grass seed mix from commercial sources, seeding, raking and maintaining until established./\KS20_007-Concrete Drop Inlet. Drawing NBC-GTW-CL-0033 \m²\23.04 \ 5" u="1"/>
        <s v="SABS1200 DA \EARTHWORKS (SMALL WORKS)/8.3\SCHEDULED ITEMS/8.3.7\Grassing or other Vegetation Cover. Rate to allow for the supply of indigenous veld grass seed mix from commercial sources, seeding, raking and maintaining until established./\LS16_020-Removal of Road  \m²\1782 \ 5" u="1"/>
        <s v="SABS1200 DA  \ Earthworks (Small Works) / 8.3\ SCHEDULED ITEMS / 8.3.7 \ Grassing or other Vegetation Cover. /\KS20_007-Concrete Drop Inlet \m²\23.04 \ 5" u="1"/>
        <s v="SABS1200 DA  \ Earthworks (Small Works) / 8.3\ SCHEDULED ITEMS / 8.3.7 \ Grassing or other Vegetation Cover. /\KS21_009-Concrete Drop Inlet. Refer to drawing AQ \m²\21.92 \ 5" u="1"/>
        <s v="SABS1200 DA  \ Earthworks (Small Works) / 8.3\ SCHEDULED ITEMS / 8.3.7 \ Grassing or other Vegetation Cover. /\KS21_010-Concrete Drop Inlet. Refer to drawing AR \m²\21.92 \ 5" u="1"/>
        <s v="SABS1200 DA \EARTHWORKS (SMALL WORKS)/8.3\SCHEDULED ITEMS/8.3.7\Grassing or other Vegetation Cover. Rate to allow for the supply of indigenous veld grass seed mix from commercial sources, seeding, raking and maintaining until established./\KS13_004-Concrete Drop Inlet. Drawing NBC-GTW-CL-0010 \m²\22.4 \ 5" u="1"/>
        <s v="SABS1200 DA  \ Earthworks (Small Works) / 8.3\ SCHEDULED ITEMS / 8.3.7 \ Grassing or other Vegetation Cover. /\KS13_011-Concrete Drop Inlet \m²\22.88 \ 5" u="1"/>
        <s v="SABS1200 DA  / Earthworks (Small Works) / 8.3 / 8.3.7 / Grassing or other Vegetation Cover / ks15-002-Backfill Main Channel / 1949.72382186667 / m²" u="1"/>
        <s v="SABS1200 DA \EARTHWORKS (SMALL WORKS)/8.3\SCHEDULED ITEMS/8.3.7\Grassing or other Vegetation Cover. /\ks11-003-Backfilling Dam to Create Wetland  \m²\17400 \ 5" u="1"/>
        <s v="SABS1200 DA \EARTHWORKS (SMALL WORKS)/8.3\SCHEDULED ITEMS/8.3.7\Grassing or other Vegetation Cover. /\ks11-005-Backfilling Dam to Create Wetland  \m²\38200 \ 5" u="1"/>
        <s v="SABS1200 DA  \ Earthworks (Small Works) / 8.3\ SCHEDULED ITEMS / 8.3.7 \ Grassing or other Vegetation Cover. /\Pan14_011-Infilling of Drains  \m²\4365 \ 5" u="1"/>
        <s v="SABS1200 DA  / Earthworks (Small Works) / 8.3 / 8.3.7 / Grassing or other Vegetation Cover / KS19_007-Infilling of Drains / 179.7515 / m²" u="1"/>
        <s v="SABS1200 DA  / Earthworks (Small Works) / 8.3 / 8.3.7 / Grassing or other Vegetation Cover / KS12_006-Concrete Drop Inlet / 21.44 / m²" u="1"/>
        <s v="SABS1200 DA  / Earthworks (Small Works) / 8.3 / 8.3.7 / Grassing or other Vegetation Cover / KS12_008-Concrete Drop Inlet / 21.44 / m²" u="1"/>
        <s v="SABS1200 DA  / Earthworks (Small Works) / 8.3 / 8.3.7 / Grassing or other Vegetation Cover / KS12_009-Concrete Drop Inlet / 21.44 / m²" u="1"/>
        <s v="SABS1200 DA \EARTHWORKS (SMALL WORKS)/8.3\SCHEDULED ITEMS/8.3.7\Grassing or other Vegetation Cover. Rate to allow for the supply of indigenous veld grass seed mix from commercial sources, seeding, raking and maintaining until established./\KS21-008-Infilling of Drain  \m²\129.2 \ 5" u="1"/>
        <s v="SABS1200 DA  \ Earthworks (Small Works) / 8.3\ SCHEDULED ITEMS / 8.3.7 \ Grassing or other Vegetation Cover. /\KS13_016-Infilling of Drains  \m²\332.18699875976 \ 5" u="1"/>
        <s v="SABS1200 DA  / Earthworks (Small Works) / 8.3 / 8.3.7 / Grassing or other Vegetation Cover / Pan14_005-Infilling of Drains / 450 / m²" u="1"/>
        <s v="SABS1200 DA  \ Earthworks (Small Works) / 8.3\ SCHEDULED ITEMS / 8.3.7 \ Grassing or other Vegetation Cover. /\KS18_015-Concrete Drop Inlet \m²\23.68 \ 5" u="1"/>
        <s v="SABS1200 DA  \ Earthworks (Small Works) / 8.3\ SCHEDULED ITEMS / 8.3.7 \ Grassing or other Vegetation Cover. /\KS18_001-Concrete Drop Inlet \m²\23.84 \ 5" u="1"/>
        <s v="SABS1200 DA \EARTHWORKS (SMALL WORKS)/8.3\SCHEDULED ITEMS/8.3.7\Grassing or other Vegetation Cover. Rate to allow for the supply of indigenous veld grass seed mix from commercial sources, seeding, raking and maintaining until established./\DS12_002-Backfilling Dam  \m²\995.487318191585 \ 5" u="1"/>
        <s v="SABS1200 DA  / Earthworks (Small Works) / 8.3 / 8.3.7 / Grassing or other Vegetation Cover / KS13_011-Concrete Drop Inlet / 22.88 / m²" u="1"/>
        <s v="SABS1200 DA \EARTHWORKS (SMALL WORKS)/8.3\SCHEDULED ITEMS/8.3.7\Grassing or other Vegetation Cover. Rate to allow for the supply of indigenous veld grass seed mix from commercial sources, seeding, raking and maintaining until established./\KS19_002-Concrete Drop Inlet. Drawing NBC-GTW-CL-0026 \m²\20.96 \ 5" u="1"/>
        <s v="SABS1200 DA \EARTHWORKS (SMALL WORKS)/8.3\SCHEDULED ITEMS/8.3.7\Grassing or other Vegetation Cover. Rate to allow for the supply of indigenous veld grass seed mix from commercial sources, seeding, raking and maintaining until established./\KS12_005-Concrete Drop Inlet. Drawing NBC-GTW-CL-0004 \m²\21.92 \ 5" u="1"/>
        <s v="SABS1200 DA \EARTHWORKS (SMALL WORKS)/8.3\SCHEDULED ITEMS/8.3.7\Grassing or other Vegetation Cover. Rate to allow for the supply of indigenous veld grass seed mix from commercial sources, seeding, raking and maintaining until established./\KS12_007-Concrete Drop Inlet. Drawing NBC-GTW-CL-0006 \m²\21.92 \ 5" u="1"/>
        <s v="SABS1200 DA \EARTHWORKS (SMALL WORKS)/8.3\SCHEDULED ITEMS/8.3.7\Grassing or other Vegetation Cover. Rate to allow for the supply of indigenous veld grass seed mix from commercial sources, seeding, raking and maintaining until established./\KS21_009-Concrete Drop Inlet. Drawing NBC-GTW-CL-0043 \m²\21.92 \ 5" u="1"/>
        <s v="SABS1200 DA \EARTHWORKS (SMALL WORKS)/8.3\SCHEDULED ITEMS/8.3.7\Grassing or other Vegetation Cover. Rate to allow for the supply of indigenous veld grass seed mix from commercial sources, seeding, raking and maintaining until established./\KS21_010-Concrete Drop Inlet. Drawing NBC-GTW-CL-0044 \m²\21.92 \ 5" u="1"/>
        <s v="SABS1200 DA \EARTHWORKS (SMALL WORKS)/8.3\SCHEDULED ITEMS/8.3.7\Grassing or other Vegetation Cover. Rate to allow for the supply of indigenous veld grass seed mix from commercial sources, seeding, raking and maintaining until established./\KS12_010-Removal of Dam Wall  \m²\619.185479905302 \ 5" u="1"/>
        <s v="SABS1200 DA  / Earthworks (Small Works) / 8.3 / 8.3.7 / Grassing or other Vegetation Cover / ks18-021-Backfill Main Channel / 3294.95 / m²" u="1"/>
        <s v="SABS1200 DA  \ Earthworks (Small Works) / 8.3\ SCHEDULED ITEMS / 8.3.7 \ Grassing or other Vegetation Cover. /\DS12_004-Removal of Berms  \m²\626.368 \ 5" u="1"/>
        <s v="SABS1200 DA \EARTHWORKS (SMALL WORKS)/8.3\SCHEDULED ITEMS/8.3.7\Grassing or other Vegetation Cover. /\KS16_001-Infilling of Drains  \m²\494.873340531892 \ 5" u="1"/>
        <s v="SABS1200 DA  / Earthworks (Small Works) / 8.3 / 8.3.7 / Grassing or other Vegetation Cover / Pan8_002-Infilling of Drains / 320 / m²" u="1"/>
        <s v="SABS1200 DA  \ Earthworks (Small Works) / 8.3\ SCHEDULED ITEMS / 8.3.7 \ Grassing or other Vegetation Cover. /\Pan14-003-Remove berm and backfill drain  \m²\2365 \ 5" u="1"/>
        <s v="SABS1200 DA \EARTHWORKS (SMALL WORKS)/8.3\SCHEDULED ITEMS/8.3.7\Grassing or other Vegetation Cover. /\KS19_002-Concrete Drop Inlet. Refer to drawing NBC-GTW-CL-0026 \m²\20.96 \ 5" u="1"/>
        <s v="SABS1200 DA \EARTHWORKS (SMALL WORKS)/8.3\SCHEDULED ITEMS/8.3.7\Grassing or other Vegetation Cover. Rate to allow for the supply of indigenous veld grass seed mix from commercial sources, seeding, raking and maintaining until established./\ks11-003-Backfilling Dam to Create Wetland  \m²\17400 \ 5" u="1"/>
        <s v="SABS1200 DA  / Earthworks (Small Works) / 8.3 / 8.3.7 / Grassing or other Vegetation Cover / Pan14_008-Infilling of Drains / 108 / m²" u="1"/>
        <s v="SABS1200 DA \EARTHWORKS (SMALL WORKS)/8.3\SCHEDULED ITEMS/8.3.7\Grassing or other Vegetation Cover. /\KS12_005-Concrete Drop Inlet. Refer to drawing NBC-GTW-CL-0004 \m²\21.92 \ 5" u="1"/>
        <s v="SABS1200 DA \EARTHWORKS (SMALL WORKS)/8.3\SCHEDULED ITEMS/8.3.7\Grassing or other Vegetation Cover. /\KS12_007-Concrete Drop Inlet. Refer to drawing NBC-GTW-CL-0006 \m²\21.92 \ 5" u="1"/>
        <s v="SABS1200 DA \EARTHWORKS (SMALL WORKS)/8.3\SCHEDULED ITEMS/8.3.7\Grassing or other Vegetation Cover. /\KS21_009-Concrete Drop Inlet. Refer to drawing NBC-GTW-CL-0043 \m²\21.92 \ 5" u="1"/>
        <s v="SABS1200 DA \EARTHWORKS (SMALL WORKS)/8.3\SCHEDULED ITEMS/8.3.7\Grassing or other Vegetation Cover. /\KS21_010-Concrete Drop Inlet. Refer to drawing NBC-GTW-CL-0044 \m²\21.92 \ 5" u="1"/>
        <s v="SABS1200 DA  \ Earthworks (Small Works) / 8.3\ SCHEDULED ITEMS / 8.3.7 \ Grassing or other Vegetation Cover. /\Pan14_006-Earthen Berms  \m²\190.755332217041 \ 5" u="1"/>
        <s v="SABS1200 DA  \ Earthworks (Small Works) / 8.3\ SCHEDULED ITEMS / 8.3.7 \ Grassing or other Vegetation Cover. /\KS16_001-Infilling of Drains \m²\494.873340531892 \ 5" u="1"/>
        <s v="SABS1200 DA \EARTHWORKS (SMALL WORKS)/8.3\SCHEDULED ITEMS/8.3.7\Grassing or other Vegetation Cover. /\Pan14-002-Remove Berm  \m²\198 \ 5" u="1"/>
        <s v="SABS1200 DA  / Earthworks (Small Works) / 8.3 / 8.3.7 / Grassing or other Vegetation Cover / KS21_006-Concrete Drop Inlet / 21.6 / m²" u="1"/>
        <s v="SABS1200 DA  / Earthworks (Small Works) / 8.3 / 8.3.7 / Grassing or other Vegetation Cover / KS21_007-Concrete Drop Inlet / 21.6 / m²" u="1"/>
        <s v="SABS1200 DA \EARTHWORKS (SMALL WORKS)/8.3\SCHEDULED ITEMS/8.3.7\Grassing or other Vegetation Cover. /\KS20_009_c-Earthen Berm. Refer to drawing NBC-GTW-CL-0037 \m²\69 \ 5" u="1"/>
        <s v="SABS1200 DA  / Earthworks (Small Works) / 8.3 / 8.3.7 / Grassing or other Vegetation Cover / Pan14_010-Infilling of Drains / 3437.5 / m²" u="1"/>
        <s v="SABS1200 DA \EARTHWORKS (SMALL WORKS)/8.3\SCHEDULED ITEMS/8.3.7\Grassing or other Vegetation Cover. /\KS15_003-Removal of Dam Wall  \m²\619.289401121074 \ 5" u="1"/>
        <s v="SABS1200 DA  / Earthworks (Small Works) / 8.3 / 8.3.7 / Grassing or other Vegetation Cover / KS12_003-Removal of Berm and Dam Wall / 1876.14315788985 / m²" u="1"/>
        <s v="SABS1200 DA \EARTHWORKS (SMALL WORKS)/8.3\SCHEDULED ITEMS/8.3.7\Grassing or other Vegetation Cover. /\KS12_003-Removal of Berm and Dam Wall  \m²\1876.14315788985 \ 5" u="1"/>
        <s v="SABS1200 DA \EARTHWORKS (SMALL WORKS)/8.3\SCHEDULED ITEMS/8.3.7\Grassing or other Vegetation Cover. /\ks18-021-Backfill Main Channel  \m²\3294.95 \ 5" u="1"/>
        <s v="SABS1200 DA  \ Earthworks (Small Works) / 8.3\ SCHEDULED ITEMS / 8.3.7 \ Grassing or other Vegetation Cover. /\KS21_006-Concrete Drop Inlet \m²\21.6 \ 5" u="1"/>
        <s v="SABS1200 DA  \ Earthworks (Small Works) / 8.3\ SCHEDULED ITEMS / 8.3.7 \ Grassing or other Vegetation Cover. /\KS21_007-Concrete Drop Inlet \m²\21.6 \ 5" u="1"/>
        <s v="SABS1200 DA  \ Earthworks (Small Works) / 8.3\ SCHEDULED ITEMS / 8.3.7 \ Grassing or other Vegetation Cover. /\Pan14-001-Reinstate Pan Edge \m²\360 \ 5" u="1"/>
        <s v="SABS1200 DA \EARTHWORKS (SMALL WORKS)/8.3\SCHEDULED ITEMS/8.3.7\Grassing or other Vegetation Cover. /\KS13_013-Concrete Drop Inlet. Refer to drawing NBC-GTW-CL-0017 \m²\22.56 \ 5" u="1"/>
        <s v="SABS1200 DA \EARTHWORKS (SMALL WORKS)/8.3\SCHEDULED ITEMS/8.3.7\Grassing or other Vegetation Cover. /\KS13_015-Concrete Drop Inlet. Refer to drawing NBC-GTW-CL-0018 \m²\22.56 \ 5" u="1"/>
        <s v="SABS1200 DA  / Earthworks (Small Works) / 8.3 / 8.3.7 / Grassing or other Vegetation Cover / KS13_013-Concrete Drop Inlet / 22.56 / m²" u="1"/>
        <s v="SABS1200 DA  / Earthworks (Small Works) / 8.3 / 8.3.7 / Grassing or other Vegetation Cover / KS13_015-Concrete Drop Inlet / 22.56 / m²" u="1"/>
        <s v="SABS1200 DA \EARTHWORKS (SMALL WORKS)/8.3\SCHEDULED ITEMS/8.3.7\Grassing or other Vegetation Cover. /\KS20_001-Concrete Drop Inlet. Refer to drawing NBC-GTW-CL-0027 \m²\23.52 \ 5" u="1"/>
        <s v="SABS1200 DA  \ Earthworks (Small Works) / 8.3\ SCHEDULED ITEMS / 8.3.7 \ Grassing or other Vegetation Cover. /\KS21_003-Concrete Drop Inlet. Refer to drawing AM \m²\22.24 \ 5" u="1"/>
        <s v="SABS1200 DA  / Earthworks (Small Works) / 8.3 / 8.3.7 / Grassing or other Vegetation Cover / KS18_001-Concrete Drop Inlet / 23.84 / m²" u="1"/>
        <s v="SABS1200 DA  / Earthworks (Small Works) / 8.3 / 8.3.7 / Grassing or other Vegetation Cover / Pan14-003-Remove berm and backfill drain / 2365 / m²" u="1"/>
        <s v="SABS1200 DA \EARTHWORKS (SMALL WORKS)/8.3\SCHEDULED ITEMS/8.3.7\Grassing or other Vegetation Cover. Rate to allow for the supply of indigenous veld grass seed mix from commercial sources, seeding, raking and maintaining until established./\KS21_009-Concrete Drop Inlet. Drawing NBC-GTW-CL-0043 \m²\21.92 \ 10" u="1"/>
        <s v="SABS1200 DA \EARTHWORKS (SMALL WORKS)/8.3\SCHEDULED ITEMS/8.3.7\Grassing or other Vegetation Cover. Rate to allow for the supply of indigenous veld grass seed mix from commercial sources, seeding, raking and maintaining until established./\KS21_010-Concrete Drop Inlet. Drawing NBC-GTW-CL-0044 \m²\21.92 \ 10" u="1"/>
        <s v="SABS1200 DA \EARTHWORKS (SMALL WORKS)/8.3\SCHEDULED ITEMS/8.3.7\Grassing or other Vegetation Cover. /\LS16_021-Backfill Main Channel  \m²\6032.31 \ 5" u="1"/>
        <s v="SABS1200 DA  \ Earthworks (Small Works) / 8.3\ SCHEDULED ITEMS / 8.3.7 \ Grassing or other Vegetation Cover. /\Pan14-003-Remove berm and backfill drain \m²\2365 \ 5" u="1"/>
        <s v="SABS1200 DA  \ Earthworks (Small Works) / 8.3\ SCHEDULED ITEMS / 8.3.7 \ Grassing or other Vegetation Cover. /\KS13_009-Infilling of Drains  \m²\78.5716708603933 \ 5" u="1"/>
        <s v="SABS1200 DA  / Earthworks (Small Works) / 8.3 / 8.3.7 / Grassing or other Vegetation Cover / ks11-005-Earthworks / 38200 / m²" u="1"/>
        <s v="SABS1200 DA  \ Earthworks (Small Works) / 8.3\ SCHEDULED ITEMS / 8.3.7 \ Grassing or other Vegetation Cover. /\KS21_006-Concrete Drop Inlet. Refer to drawing AO \m²\21.6 \ 5" u="1"/>
        <s v="SABS1200 DA  \ Earthworks (Small Works) / 8.3\ SCHEDULED ITEMS / 8.3.7 \ Grassing or other Vegetation Cover. /\KS21_007-Concrete Drop Inlet. Refer to drawing AP \m²\21.6 \ 5" u="1"/>
        <s v="SABS1200 DA \EARTHWORKS (SMALL WORKS)/8.3\SCHEDULED ITEMS/8.3.7\Grassing or other Vegetation Cover. Rate to allow for the supply of indigenous veld grass seed mix from commercial sources, seeding, raking and maintaining until established./\LS16_015-Earthworks (Reinforce Dam Wall)  \m²\567 \ 5" u="1"/>
        <s v="SABS1200 DA  / Earthworks (Small Works) / 8.3 / 8.3.7 / Grassing or other Vegetation Cover / KS15-002-Backfill Main Channel / 3846.97837810187 / m²" u="1"/>
        <s v="SABS1200 DA  \ Earthworks (Small Works) / 8.3\ SCHEDULED ITEMS / 8.3.7 \ Grassing or other Vegetation Cover. /\KS13_004-Concrete Drop Inlet. Refer to drawing J \m²\22.4 \ 5" u="1"/>
        <s v="SABS1200 DA \EARTHWORKS (SMALL WORKS)/8.3\SCHEDULED ITEMS/8.3.7\Grassing or other Vegetation Cover. /\Pan14_004-Infilling of Drains  \m²\180 \ 5" u="1"/>
        <s v="SABS1200 DA  \ Earthworks (Small Works) / 8.3\ SCHEDULED ITEMS / 8.3.7 \ Grassing or other Vegetation Cover. /\KS15-002-Backfill Main Channel  \m²\3846.97837810187 \ 5" u="1"/>
        <s v="SABS1200 DA  \ Earthworks (Small Works) / 8.3\ SCHEDULED ITEMS / 8.3.7 \ Grassing or other Vegetation Cover. /\KS13_004-Concrete Drop Inlet \m²\22.4 \ 5" u="1"/>
        <s v="SABS1200 DA \EARTHWORKS (SMALL WORKS)/8.3\SCHEDULED ITEMS/8.3.7\Grassing or other Vegetation Cover. /\Pan8_002-Infilling of Drains  \m²\320 \ 5" u="1"/>
        <s v="SABS1200 DA \EARTHWORKS (SMALL WORKS)/8.3\SCHEDULED ITEMS/8.3.7\Grassing or other Vegetation Cover. Rate to allow for the supply of indigenous veld grass seed mix from commercial sources, seeding, raking and maintaining until established./\KS12_003-Removal of Berm and Dam Wall  \m²\1876.14315788985 \ 5" u="1"/>
      </sharedItems>
    </cacheField>
    <cacheField name="a) Limited Overhaul" numFmtId="0">
      <sharedItems count="109">
        <s v="SABS1200 DA \EARTHWORKS (SMALL WORKS)/8,3\SCHEDULED ITEMS/8.3.3a\Limited  overhaul (provisional ). /\DS12_004-Removal of earthen material \m³\523,01728 \ 0"/>
        <s v=" "/>
        <s v="SABS1200 DA \EARTHWORKS (SMALL WORKS)/8,3\SCHEDULED ITEMS/8.3.3a\Limited  overhaul (provisional ). /\KS13_010-Removal of Berm \m³\150 \ 0"/>
        <s v="SABS1200 DA \EARTHWORKS (SMALL WORKS)/8,3\SCHEDULED ITEMS/8.3.3a\Limited  overhaul (provisional ). /\LS08_001-Removal of Berm \m³\21,875 \ 0"/>
        <s v="SABS1200 DA \EARTHWORKS (SMALL WORKS)/8,3\SCHEDULED ITEMS/8.3.3a\Limited  overhaul (provisional ). /\LS12_001-Removal of dam wall \m³\848,237 \ 0"/>
        <s v="SABS1200 DA \EARTHWORKS (SMALL WORKS)/8,3\SCHEDULED ITEMS/8.3.3a\Limited  overhaul (provisional ). /\LS12_002-Removal of Berm \m³\13,585 \ 0"/>
        <s v="SABS1200 DA \EARTHWORKS (SMALL WORKS)/8,3\SCHEDULED ITEMS/8.3.3a\Limited  overhaul (provisional ). /\LS16_012-Removal of Road \m³\80,775 \ 0"/>
        <s v="SABS1200 DA \EARTHWORKS (SMALL WORKS)/8,3\SCHEDULED ITEMS/8.3.3a\Limited  overhaul (provisional ). /\LS16_013-Gabion energy breaker \m³\13,68 \ 0"/>
        <s v="SABS1200 DA \EARTHWORKS (SMALL WORKS)/8,3\SCHEDULED ITEMS/8.3.3a\Limited  overhaul (provisional ). /\LS16_016-Gabion energy breaker \m³\20 \ 0"/>
        <s v="SABS1200 DA \EARTHWORKS (SMALL WORKS)/8,3\SCHEDULED ITEMS/8.3.3a\Limited  overhaul (provisional ). /\LS16_017-Gabion energy breaker \m³\25 \ 0"/>
        <s v="SABS1200 DA \EARTHWORKS (SMALL WORKS)/8,3\SCHEDULED ITEMS/8.3.3a\Limited  overhaul (provisional ). /\LS16_018-Gabion energy breaker \m³\22,08 \ 0"/>
        <s v="SABS1200 DA \EARTHWORKS (SMALL WORKS)/8,3\SCHEDULED ITEMS/8.3.3a\Limited  overhaul (provisional ). /\LS16_019-Gabion energy breaker \m³\24,48 \ 0"/>
        <s v="SABS1200 DA \EARTHWORKS (SMALL WORKS)/8,3\SCHEDULED ITEMS/8.3.3a\Limited  overhaul (provisional ). /\LS16_020-Removal of Road \m³\372,11625 \ 0"/>
        <s v="SABS1200 DA \EARTHWORKS (SMALL WORKS)/8,3\SCHEDULED ITEMS/8.3.3a\Limited  overhaul (provisional ). /\Pan09_001-Removal of Dam Wall \m³\188 \ 0"/>
        <s v="SABS1200 DA \EARTHWORKS (SMALL WORKS)/8.3\SCHEDULED ITEMS/8.3.3a\Limited  overhaul (provisional ). /\KS20_002-Concrete Drop Inlet \m³\21.225432 \ 30" u="1"/>
        <s v="SABS1200 DA \EARTHWORKS (SMALL WORKS)/8.3\SCHEDULED ITEMS/8.3.3a\Limited  overhaul (provisional ). /\KS21_009-Concrete Drop Inlet \m³\12.0595755 \ 30" u="1"/>
        <s v="SABS1200 DA  \ Earthworks (Small Works) / 8.3\ SCHEDULED ITEMS / 8.3.3a \ Limited  overhaul (provisional ). /\KS20_001-Concrete Drop Inlet \m³\15.579981 \ 10" u="1"/>
        <s v="SABS1200 DA \EARTHWORKS (SMALL WORKS)/8.3\SCHEDULED ITEMS/8.3.3a\Limited  overhaul (provisional ). /\KS18_002-Concrete Drop Inlet \m³\9.6822195 \ 30" u="1"/>
        <s v="SABS1200 DA  \ Earthworks (Small Works) / 8.3\ SCHEDULED ITEMS / 8.3.3a \ Limited  overhaul (provisional ). /\KS21_009-Concrete Drop Inlet \m³\12.0595755 \ 30" u="1"/>
        <s v="SABS1200 DA  \ Earthworks (Small Works) / 8.3\ SCHEDULED ITEMS / 8.3.3a \ Limited  overhaul (provisional ). /\KS21_005-Concrete Drop Inlet \m³\10.73166645 \ 30" u="1"/>
        <s v="SABS1200 DA  \ Earthworks (Small Works) / 8.3\ SCHEDULED ITEMS / 8.3.3a \ Limited  overhaul (provisional ). /\KS21_009-Concrete Drop Inlet \m³\12.0595755 \ 10" u="1"/>
        <s v="SABS1200 DA \EARTHWORKS (SMALL WORKS)/8.3\SCHEDULED ITEMS/8.3.3a\Limited  overhaul (provisional ). /\LS16_017-Gabion energy breaker \m³\25 \ 30" u="1"/>
        <s v="SABS1200 DA  \ Earthworks (Small Works) / 8.3\ SCHEDULED ITEMS / 8.3.3a \ Limited  overhaul (provisional ). /\KS21_010-Concrete Drop Inlet \m³\11.37312165 \ 30" u="1"/>
        <s v="SABS1200 DA  \ Earthworks (Small Works) / 8.3\ SCHEDULED ITEMS / 8.3.3a \ Limited  overhaul (provisional ). /\KS21_001-10° sloped Grouted Pitching (Light) \m³\4.5 \ 30" u="1"/>
        <s v="SABS1200 DA  \ Earthworks (Small Works) / 8.3\ SCHEDULED ITEMS / 8.3.3a \ Limited  overhaul (provisional ). /\KS20_006-Concrete Drop Inlet \m³\21.4674255 \ 30" u="1"/>
        <s v="SABS1200 DA \EARTHWORKS (SMALL WORKS)/8.3\SCHEDULED ITEMS/8.3.3a\Limited  overhaul (provisional ). /\KS21_001-10° sloped Grouted Pitching (Light) \m³\4.5 \ 30" u="1"/>
        <s v="SABS1200 DA  \ Earthworks (Small Works) / 8.3\ SCHEDULED ITEMS / 8.3.3a \ Limited  overhaul (provisional ). /\KS20_006-Concrete Drop Inlet \m³\21.4674255 \ 10" u="1"/>
        <s v="SABS1200 DA  \ Earthworks (Small Works) / 8.3\ SCHEDULED ITEMS / 8.3.3a \ Limited  overhaul (provisional ). /\KS20_005-Concrete Drop Inlet \m³\20.8975965 \ 30" u="1"/>
        <s v="SABS1200 DA \EARTHWORKS (SMALL WORKS)/8.3\SCHEDULED ITEMS/8.3.3a\Limited  overhaul (provisional ). /\KS20_009_b-Concrete Overflow Wall \m³\9.23025 \ 30" u="1"/>
        <s v="SABS1200 DA  \ Earthworks (Small Works) / 8.3\ SCHEDULED ITEMS / 8.3.3a \ Limited  overhaul (provisional ). /\KS20_005-Concrete Drop Inlet \m³\20.8975965 \ 10" u="1"/>
        <s v="SABS1200 DA \EARTHWORKS (SMALL WORKS)/8.3\SCHEDULED ITEMS/8.3.3a\Limited  overhaul (provisional ). /\KS18_001-Concrete Drop Inlet \m³\18.4458156 \ 30" u="1"/>
        <s v="SABS1200 DA \EARTHWORKS (SMALL WORKS)/8.3\SCHEDULED ITEMS/8.3.3a\Limited  overhaul (provisional ). /\KS20_009_a-Concrete Drop Inlet \m³\39.8271597 \ 30" u="1"/>
        <s v="'" u="1"/>
        <s v="SABS1200 DA  \ Earthworks (Small Works) / 8.3\ SCHEDULED ITEMS / 8.3.3a \ Limited  overhaul (provisional ). /\KS21_003-Concrete Drop Inlet \m³\7.736325 \ 10" u="1"/>
        <s v="SABS1200 DA  \ Earthworks (Small Works) / 8.3\ SCHEDULED ITEMS / 8.3.3a \ Limited  overhaul (provisional ). /\KS21_003-Concrete Drop Inlet \m³\7.736325 \ 30" u="1"/>
        <s v="SABS1200 DA \EARTHWORKS (SMALL WORKS)/8.3\SCHEDULED ITEMS/8.3.3a\Limited  overhaul (provisional ). /\LS12_002-Removal of Berm \m³\13.585 \ 30" u="1"/>
        <s v="SABS1200 DA \EARTHWORKS (SMALL WORKS)/8.3\SCHEDULED ITEMS/8.3.3a\Limited  overhaul (provisional ). /\Pan09_001-Removal of Dam Wall \m³\188 \ 30" u="1"/>
        <s v="SABS1200 DA  \ Earthworks (Small Works) / 8.3\ SCHEDULED ITEMS / 8.3.3a \ Limited  overhaul (provisional ). /\KS20_008-Concrete Drop Inlet \m³\16.301772 \ 10" u="1"/>
        <s v="SABS1200 DA \EARTHWORKS (SMALL WORKS)/8.3\SCHEDULED ITEMS/8.3.3a\Limited  overhaul (provisional ). /\KS20_001-Concrete Drop Inlet \m³\15.579981 \ 30" u="1"/>
        <s v="SABS1200 DA  \ Earthworks (Small Works) / 8.3\ SCHEDULED ITEMS / 8.3.3a \ Limited  overhaul (provisional ). /\KS21_006-Concrete Drop Inlet \m³\9.58254075 \ 30" u="1"/>
        <s v="SABS1200 DA  \ Earthworks (Small Works) / 8.3\ SCHEDULED ITEMS / 8.3.3a \ Limited  overhaul (provisional ). /\LS16_012-Removal of Road \m³\80.775 \ 30" u="1"/>
        <s v="SABS1200 DA \EARTHWORKS (SMALL WORKS)/8.3\SCHEDULED ITEMS/8.3.3a\Limited  overhaul (provisional ). /\LS16_018-Gabion energy breaker \m³\22.08 \ 30" u="1"/>
        <s v="SABS1200 DA  \ Earthworks (Small Works) / 8.3\ SCHEDULED ITEMS / 8.3.3a \ Limited  overhaul (provisional ). /\KS21_006-Concrete Drop Inlet \m³\9.58254075 \ 10" u="1"/>
        <s v="SABS1200 DA  \ Earthworks (Small Works) / 8.3\ SCHEDULED ITEMS / 8.3.3a \ Limited  overhaul (provisional ). /\KS20_002-Concrete Drop Inlet \m³\21.225432 \ 30" u="1"/>
        <s v="SABS1200 DA \EARTHWORKS (SMALL WORKS)/8.3\SCHEDULED ITEMS/8.3.3a\Limited  overhaul (provisional ). /\LS16_019-Gabion energy breaker \m³\24.48 \ 30" u="1"/>
        <s v="SABS1200 DA  \ Earthworks (Small Works) / 8.3\ SCHEDULED ITEMS / 8.3.3a \ Limited  overhaul (provisional ). /\KS18_002-Concrete Drop Inlet \m³\9.6822195 \ 10" u="1"/>
        <s v="SABS1200 DA  \ Earthworks (Small Works) / 8.3\ SCHEDULED ITEMS / 8.3.3a \ Limited  overhaul (provisional ). /\KS20_001-Concrete Drop Inlet \m³\15.579981 \ 30" u="1"/>
        <s v="SABS1200 DA  \ Earthworks (Small Works) / 8.3\ SCHEDULED ITEMS / 8.3.3a \ Limited  overhaul (provisional ). /\LS16_018-Gabion energy breaker \m³\22.08 \ 30" u="1"/>
        <s v="SABS1200 DA \EARTHWORKS (SMALL WORKS)/8.3\SCHEDULED ITEMS/8.3.3a\Limited  overhaul (provisional ). /\KS20_005-Concrete Drop Inlet \m³\20.8975965 \ 30" u="1"/>
        <s v="SABS1200 DA \EARTHWORKS (SMALL WORKS)/8.3\SCHEDULED ITEMS/8.3.3a\Limited  overhaul (provisional ). /\KS20_004-Concrete Drop Inlet \m³\12.8323758 \ 30" u="1"/>
        <s v="SABS1200 DA  \ Earthworks (Small Works) / 8.3\ SCHEDULED ITEMS / 8.3.3a \ Limited  overhaul (provisional ). /\LS16_013-Gabion energy breaker \m³\13.68 \ 30" u="1"/>
        <s v="SABS1200 DA  \ Earthworks (Small Works) / 8.3\ SCHEDULED ITEMS / 8.3.3a \ Limited  overhaul (provisional ). /\KS20_009_a-Concrete Drop Inlet \m³\39.8271597 \ 10" u="1"/>
        <s v="SABS1200 DA  \ Earthworks (Small Works) / 8.3\ SCHEDULED ITEMS / 8.3.3a \ Limited  overhaul (provisional ). /\KS20_009_a-Concrete Drop Inlet \m³\39.8271597 \ 30" u="1"/>
        <s v="SABS1200 DA \EARTHWORKS (SMALL WORKS)/8.3\SCHEDULED ITEMS/8.3.3a\Limited  overhaul (provisional ). /\KS20_007-Concrete Drop Inlet \m³\16.8556809 \ 30" u="1"/>
        <s v="SABS1200 DA  \ Earthworks (Small Works) / 8.3\ SCHEDULED ITEMS / 8.3.3a \ Limited  overhaul (provisional ). /\KS20_004-Concrete Drop Inlet \m³\12.8323758 \ 30" u="1"/>
        <s v="SABS1200 DA  \ Earthworks (Small Works) / 8.3\ SCHEDULED ITEMS / 8.3.3a \ Limited  overhaul (provisional ). /\LS16_019-Gabion energy breaker \m³\24.48 \ 30" u="1"/>
        <s v="SABS1200 DA  \ Earthworks (Small Works) / 8.3\ SCHEDULED ITEMS / 8.3.3a \ Limited  overhaul (provisional ). /\KS20_004-Concrete Drop Inlet \m³\12.8323758 \ 10" u="1"/>
        <s v="SABS1200 DA \EARTHWORKS (SMALL WORKS)/8.3\SCHEDULED ITEMS/8.3.3a\Limited  overhaul (provisional ). /\KS20_003-Concrete Buttress Weir \m³\24.88715874 \ 30" u="1"/>
        <s v="SABS1200 DA \EARTHWORKS (SMALL WORKS)/8.3\SCHEDULED ITEMS/8.3.3a\Limited  overhaul (provisional ). /\KS21_003-Concrete Drop Inlet \m³\7.736325 \ 30" u="1"/>
        <s v="SABS1200 DA  \ Earthworks (Small Works) / 8.3\ SCHEDULED ITEMS / 8.3.3a \ Limited  overhaul (provisional ). /\KS21-002-Earthworks \m³\57.42 \ 30" u="1"/>
        <s v="SABS1200 DA  \ Earthworks (Small Works) / 8.3\ SCHEDULED ITEMS / 8.3.3a \ Limited  overhaul (provisional ). /\LS12_002-Removal of Berm \m³\13.585 \ 30" u="1"/>
        <s v="SABS1200 DA \EARTHWORKS (SMALL WORKS)/8.3\SCHEDULED ITEMS/8.3.3a\Limited  overhaul (provisional ). /\DS12_004-Removal of earthen material \m³\523.01728 \ 30" u="1"/>
        <s v="SABS1200 DA  \ Earthworks (Small Works) / 8.3\ SCHEDULED ITEMS / 8.3.3a \ Limited  overhaul (provisional ). /\LS12_001-Removal of dam wall \m³\848.237 \ 30" u="1"/>
        <s v="SABS1200 DA  \ Earthworks (Small Works) / 8.3\ SCHEDULED ITEMS / 8.3.3a \ Limited  overhaul (provisional ). /\KS20_007-Concrete Drop Inlet \m³\16.8556809 \ 30" u="1"/>
        <s v="SABS1200 DA  \ Earthworks (Small Works) / 8.3\ SCHEDULED ITEMS / 8.3.3a \ Limited  overhaul (provisional ). /\LS16_012-Removal of Road \m³\80.775 \ 10" u="1"/>
        <s v="SABS1200 DA \EARTHWORKS (SMALL WORKS)/8.3\SCHEDULED ITEMS/8.3.3a\Limited  overhaul (provisional ). /\KS21_007-Concrete Drop Inlet \m³\9.344694 \ 30" u="1"/>
        <s v="SABS1200 DA  \ Earthworks (Small Works) / 8.3\ SCHEDULED ITEMS / 8.3.3a \ Limited  overhaul (provisional ). /\KS20_007-Concrete Drop Inlet \m³\16.8556809 \ 10" u="1"/>
        <s v="SABS1200 DA  \ Earthworks (Small Works) / 8.3\ SCHEDULED ITEMS / 8.3.3a \ Limited  overhaul (provisional ). /\KS18_001-Concrete Drop Inlet \m³\18.4458156 \ 30" u="1"/>
        <s v="SABS1200 DA  \ Earthworks (Small Works) / 8.3\ SCHEDULED ITEMS / 8.3.3a \ Limited  overhaul (provisional ). /\KS18_001-Concrete Drop Inlet \m³\18.4458156 \ 10" u="1"/>
        <s v="SABS1200 DA \EARTHWORKS (SMALL WORKS)/8.3\SCHEDULED ITEMS/8.3.3a\Limited  overhaul (provisional ). /\KS21_006-Concrete Drop Inlet \m³\9.58254075 \ 30" u="1"/>
        <s v="SABS1200 DA  \ Earthworks (Small Works) / 8.3\ SCHEDULED ITEMS / 8.3.3a \ Limited  overhaul (provisional ). /\KS20_008-Concrete Drop Inlet \m³\16.301772 \ 30" u="1"/>
        <s v="SABS1200 DA \EARTHWORKS (SMALL WORKS)/8.3\SCHEDULED ITEMS/8.3.3a\Limited  overhaul (provisional ). /\LS08_001-Removal of Berm \m³\21.875 \ 30" u="1"/>
        <s v="SABS1200 DA \EARTHWORKS (SMALL WORKS)/8.3\SCHEDULED ITEMS/8.3.3a\Limited  overhaul (provisional ). /\LS16_016-Gabion energy breaker \m³\20 \ 30" u="1"/>
        <s v="SABS1200 DA  \ Earthworks (Small Works) / 8.3\ SCHEDULED ITEMS / 8.3.3a \ Limited  overhaul (provisional ). /\KS21_005-Concrete Drop Inlet \m³\10.73166645 \ 10" u="1"/>
        <s v="SABS1200 DA  \ Earthworks (Small Works) / 8.3\ SCHEDULED ITEMS / 8.3.3a \ Limited  overhaul (provisional ). /\LS16_018-Gabion energy breaker \m³\22.08 \ 10" u="1"/>
        <s v="SABS1200 DA \EARTHWORKS (SMALL WORKS)/8.3\SCHEDULED ITEMS/8.3.3a\Limited  overhaul (provisional ). /\KS21_005-Concrete Drop Inlet \m³\10.73166645 \ 30" u="1"/>
        <s v="SABS1200 DA  \ Earthworks (Small Works) / 8.3\ SCHEDULED ITEMS / 8.3.3a \ Limited  overhaul (provisional ). /\LS16_020-Removal of Road \m³\372.11625 \ 10" u="1"/>
        <s v="SABS1200 DA  \ Earthworks (Small Works) / 8.3\ SCHEDULED ITEMS / 8.3.3a \ Limited  overhaul (provisional ). /\LS08_001-Removal of Berm \m³\21.875 \ 30" u="1"/>
        <s v="SABS1200 DA  \ Earthworks (Small Works) / 8.3\ SCHEDULED ITEMS / 8.3.3a \ Limited  overhaul (provisional ). /\LS16_013-Gabion energy breaker \m³\13.68 \ 10" u="1"/>
        <s v="SABS1200 DA  \ Earthworks (Small Works) / 8.3\ SCHEDULED ITEMS / 8.3.3a \ Limited  overhaul (provisional ). /\KS18_002-Concrete Drop Inlet \m³\9.6822195 \ 30" u="1"/>
        <s v="SABS1200 DA  \ Earthworks (Small Works) / 8.3\ SCHEDULED ITEMS / 8.3.3a \ Limited  overhaul (provisional ). /\KS21-002-Earthworks \m³\57.42 \ 10" u="1"/>
        <s v="SABS1200 DA  \ Earthworks (Small Works) / 8.3\ SCHEDULED ITEMS / 8.3.3a \ Limited  overhaul (provisional ). /\KS21_010-Concrete Drop Inlet \m³\11.37312165 \ 10" u="1"/>
        <s v="SABS1200 DA  \ Earthworks (Small Works) / 8.3\ SCHEDULED ITEMS / 8.3.3a \ Limited  overhaul (provisional ). /\KS21_007-Concrete Drop Inlet \m³\9.344694 \ 10" u="1"/>
        <s v="SABS1200 DA  \ Earthworks (Small Works) / 8.3\ SCHEDULED ITEMS / 8.3.3a \ Limited  overhaul (provisional ). /\KS21_007-Concrete Drop Inlet \m³\9.344694 \ 30" u="1"/>
        <s v="SABS1200 DA  \ Earthworks (Small Works) / 8.3\ SCHEDULED ITEMS / 8.3.3a \ Limited  overhaul (provisional ). /\LS16_019-Gabion energy breaker \m³\24.48 \ 10" u="1"/>
        <s v="SABS1200 DA \EARTHWORKS (SMALL WORKS)/8.3\SCHEDULED ITEMS/8.3.3a\Limited  overhaul (provisional ). /\KS20_006-Concrete Drop Inlet \m³\21.4674255 \ 30" u="1"/>
        <s v="SABS1200 DA  \ Earthworks (Small Works) / 8.3\ SCHEDULED ITEMS / 8.3.3a \ Limited  overhaul (provisional ). /\LS12_002-Removal of Berm \m³\13.585 \ 10" u="1"/>
        <s v="SABS1200 DA \EARTHWORKS (SMALL WORKS)/8.3\SCHEDULED ITEMS/8.3.3a\Limited  overhaul (provisional ). /\KS13_010-Removal of Berm \m³\150 \ 30" u="1"/>
        <s v="SABS1200 DA \EARTHWORKS (SMALL WORKS)/8.3\SCHEDULED ITEMS/8.3.3a\Limited  overhaul (provisional ). /\DS12_004-Removal of Berms \m³\523.01728 \ 30" u="1"/>
        <s v="SABS1200 DA \EARTHWORKS (SMALL WORKS)/8.3\SCHEDULED ITEMS/8.3.3a\Limited  overhaul (provisional ). /\KS21_010-Concrete Drop Inlet \m³\11.37312165 \ 30" u="1"/>
        <s v="SABS1200 DA \EARTHWORKS (SMALL WORKS)/8.3\SCHEDULED ITEMS/8.3.3a\Limited  overhaul (provisional ). /\LS12_001-Removal of dam wall \m³\848.237 \ 30" u="1"/>
        <s v="SABS1200 DA  \ Earthworks (Small Works) / 8.3\ SCHEDULED ITEMS / 8.3.3a \ Limited  overhaul (provisional ). /\LS12_001-Removal of dam wall \m³\848.237 \ 10" u="1"/>
        <s v="SABS1200 DA \EARTHWORKS (SMALL WORKS)/8.3\SCHEDULED ITEMS/8.3.3a\Limited  overhaul (provisional ). /\LS16_013-Gabion energy breaker \m³\13.68 \ 30" u="1"/>
        <s v="SABS1200 DA  \ Earthworks (Small Works) / 8.3\ SCHEDULED ITEMS / 8.3.3a \ Limited  overhaul (provisional ). /\LS16_020-Removal of Road \m³\372.11625 \ 30" u="1"/>
        <s v="SABS1200 DA  \ Earthworks (Small Works) / 8.3\ SCHEDULED ITEMS / 8.3.3a \ Limited  overhaul (provisional ). /\KS20_003-Concrete Buttress Weir \m³\24.88715874 \ 30" u="1"/>
        <s v="SABS1200 DA  \ Earthworks (Small Works) / 8.3\ SCHEDULED ITEMS / 8.3.3a \ Limited  overhaul (provisional ). /\LS16_017-Gabion energy breaker \m³\25 \ 10" u="1"/>
        <s v="SABS1200 DA  \ Earthworks (Small Works) / 8.3\ SCHEDULED ITEMS / 8.3.3a \ Limited  overhaul (provisional ). /\LS16_016-Gabion energy breaker \m³\20 \ 10" u="1"/>
        <s v="SABS1200 DA  \ Earthworks (Small Works) / 8.3\ SCHEDULED ITEMS / 8.3.3a \ Limited  overhaul (provisional ). /\LS16_017-Gabion energy breaker \m³\25 \ 30" u="1"/>
        <s v="SABS1200 DA \EARTHWORKS (SMALL WORKS)/8.3\SCHEDULED ITEMS/8.3.3a\Limited  overhaul (provisional ). /\KS20_009_a-Concrete Buttress Weir \m³\39.8271597 \ 30" u="1"/>
        <s v="SABS1200 DA  \ Earthworks (Small Works) / 8.3\ SCHEDULED ITEMS / 8.3.3a \ Limited  overhaul (provisional ). /\LS16_016-Gabion energy breaker \m³\20 \ 30" u="1"/>
        <s v="SABS1200 DA  \ Earthworks (Small Works) / 8.3\ SCHEDULED ITEMS / 8.3.3a \ Limited  overhaul (provisional ). /\KS20_009_b-Concrete Overflow Wall \m³\9.23025 \ 10" u="1"/>
        <s v="SABS1200 DA \EARTHWORKS (SMALL WORKS)/8.3\SCHEDULED ITEMS/8.3.3a\Limited  overhaul (provisional ). /\LS16_012-Removal of Road \m³\80.775 \ 30" u="1"/>
        <s v="SABS1200 DA  \ Earthworks (Small Works) / 8.3\ SCHEDULED ITEMS / 8.3.3a \ Limited  overhaul (provisional ). /\KS20_009_b-Concrete Overflow Wall \m³\9.23025 \ 30" u="1"/>
        <s v="SABS1200 DA  \ Earthworks (Small Works) / 8.3\ SCHEDULED ITEMS / 8.3.3a \ Limited  overhaul (provisional ). /\KS20_003-Concrete Buttress Weir \m³\24.88715874 \ 10" u="1"/>
        <s v="SABS1200 DA \EARTHWORKS (SMALL WORKS)/8.3\SCHEDULED ITEMS/8.3.3a\Limited  overhaul (provisional ). /\KS20_008-Concrete Drop Inlet \m³\16.301772 \ 30" u="1"/>
        <s v="SABS1200 DA \EARTHWORKS (SMALL WORKS)/8.3\SCHEDULED ITEMS/8.3.3a\Limited  overhaul (provisional ). /\KS21-002-Earthworks \m³\57.42 \ 30" u="1"/>
        <s v="SABS1200 DA  \ Earthworks (Small Works) / 8.3\ SCHEDULED ITEMS / 8.3.3a \ Limited  overhaul (provisional ). /\LS08_001-Removal of Berm \m³\21.875 \ 10" u="1"/>
        <s v="SABS1200 DA \EARTHWORKS (SMALL WORKS)/8.3\SCHEDULED ITEMS/8.3.3a\Limited  overhaul (provisional ). /\LS16_020-Removal of Road \m³\372.11625 \ 30" u="1"/>
        <s v="SABS1200 DA  \ Earthworks (Small Works) / 8.3\ SCHEDULED ITEMS / 8.3.3a \ Limited  overhaul (provisional ). /\KS20_002-Concrete Drop Inlet \m³\21.225432 \ 10" u="1"/>
      </sharedItems>
    </cacheField>
    <cacheField name="b) Long Overhaul" numFmtId="0">
      <sharedItems count="14">
        <s v="SABS1200 DA \EARTHWORKS (SMALL WORKS)/8.3\SCHEDULED ITEMS/8.3.3b\Long overhaul (provisional). /\DS12_004-Removal of earthen material \m³/km\4105.685648 \ 6"/>
        <s v=" "/>
        <s v="SABS1200 DA \EARTHWORKS (SMALL WORKS)/8.3\SCHEDULED ITEMS/8.3.3b\Long overhaul (provisional). /\KS20_001-Concrete Drop Inlet \m³/km\51.93327 \ 6"/>
        <s v="SABS1200 DA \EARTHWORKS (SMALL WORKS)/8.3\SCHEDULED ITEMS/8.3.3b\Long overhaul (provisional). /\KS20_010-Ecologs \m³/km\3.6 \ 6"/>
        <s v="SABS1200 DA \EARTHWORKS (SMALL WORKS)/8.3\SCHEDULED ITEMS/8.3.3b\Long overhaul (provisional). /\KS21_001-10° sloped Grouted Pitching (Light) \m³/km\20 \ 6"/>
        <s v="SABS1200 DA \EARTHWORKS (SMALL WORKS)/8.3\SCHEDULED ITEMS/8.3.3b\Long overhaul (provisional). /\KS21_003-Concrete Drop Inlet \m³/km\25.78775 \ 6"/>
        <s v="SABS1200 DA \EARTHWORKS (SMALL WORKS)/8,3\SCHEDULED ITEMS/8.3.3b\Long overhaul (provisional). /\KS21_005-Concrete Drop Inlet \m³/km\25,78775 \ 6"/>
        <s v="SABS1200 DA \EARTHWORKS (SMALL WORKS)/8.3\SCHEDULED ITEMS/8.3.3b\Long overhaul (provisional). /\DS12_004-Removal of Berms \m³/km\4105.685648 \ 6" u="1"/>
        <s v="SABS1200 DA \EARTHWORKS (SMALL WORKS)/8.3\SCHEDULED ITEMS/8.3.3b\Long overhaul (provisional). /\KS21_010-Concrete Drop Inlet \m³/km\37.9104055 \ 6" u="1"/>
        <s v="SABS1200 DA \EARTHWORKS (SMALL WORKS)/8.3\SCHEDULED ITEMS/8.3.3b\Long overhaul (provisional). /\KS21_005-Concrete Drop Inlet \m³/km\35.7722215 \ 6" u="1"/>
        <s v="SABS1200 DA \EARTHWORKS (SMALL WORKS)/8.3\SCHEDULED ITEMS/8.3.3b\Long overhaul (provisional). /\KS21_006-Concrete Drop Inlet \m³/km\31.9418025 \ 6" u="1"/>
        <s v="SABS1200 DA \EARTHWORKS (SMALL WORKS)/8.3\SCHEDULED ITEMS/8.3.3b\Long overhaul (provisional). /\KS21_009-Concrete Drop Inlet \m³/km\40.198585 \ 6" u="1"/>
        <s v="SABS1200 DA \EARTHWORKS (SMALL WORKS)/8.3\SCHEDULED ITEMS/8.3.3b\Long overhaul (provisional). /\KS21_007-Concrete Drop Inlet \m³/km\31.14898 \ 6" u="1"/>
        <s v="'" u="1"/>
      </sharedItems>
    </cacheField>
    <cacheField name="25MPa/19mm Concrete" numFmtId="0">
      <sharedItems count="434">
        <s v=" "/>
        <s v="SABS1200 GA \CONCRETE (SMALL WORKS)/8.4\SCHEDULED CONCRETE ITEMS/8.4.3\Strength Concrete: 25 Mpa with 19 mm stone. /\ks11-001-Off-take structure  \m³\1.5 \ 2000"/>
        <s v="SABS1200 GA \CONCRETE (SMALL WORKS)/8.4\SCHEDULED CONCRETE ITEMS/8.4.3\Strength Concrete: 25 Mpa with 19 mm stone. /\ks11-002a-Concrete Drop Inlet on Dam Wall  \m³\94.9432 \ 2000"/>
        <s v="SABS1200 GA \CONCRETE (SMALL WORKS)/8.4\SCHEDULED CONCRETE ITEMS/8.4.3\Strength Concrete: 25 Mpa with 19 mm stone. /\ks11-004a-Concrete Drop Inlet on Dam Wall  \m³\94.9432 \ 2000"/>
        <s v="SABS1200 GA \CONCRETE (SMALL WORKS)/8.4\SCHEDULED CONCRETE ITEMS/8.4.3\Strength Concrete: 25 Mpa with 19 mm stone. /\KS12_002-Concrete Drop Inlet. Drawing NBC-GTW-CL-0002 \m³\24 \ 2000"/>
        <s v="SABS1200 GA \CONCRETE (SMALL WORKS)/8.4\SCHEDULED CONCRETE ITEMS/8.4.3\Strength Concrete: 25 Mpa with 19 mm stone. /\KS12_004-Concrete Drop Inlet. Drawing NBC-GTW-CL-0003 \m³\32.178 \ 2000"/>
        <s v="SABS1200 GA \CONCRETE (SMALL WORKS)/8.4\SCHEDULED CONCRETE ITEMS/8.4.3\Strength Concrete: 25 Mpa with 19 mm stone. /\KS12_005-Concrete Drop Inlet. Drawing NBC-GTW-CL-0004 \m³\30.30542048 \ 2000"/>
        <s v="SABS1200 GA \CONCRETE (SMALL WORKS)/8.4\SCHEDULED CONCRETE ITEMS/8.4.3\Strength Concrete: 25 Mpa with 19 mm stone. /\KS12_006-Concrete Drop Inlet. Drawing NBC-GTW-CL-0005 \m³\16.51343 \ 2000"/>
        <s v="SABS1200 GA \CONCRETE (SMALL WORKS)/8.4\SCHEDULED CONCRETE ITEMS/8.4.3\Strength Concrete: 25 Mpa with 19 mm stone. /\KS12_007-Concrete Drop Inlet. Drawing NBC-GTW-CL-0006 \m³\20.1 \ 2000"/>
        <s v="SABS1200 GA \CONCRETE (SMALL WORKS)/8.4\SCHEDULED CONCRETE ITEMS/8.4.3\Strength Concrete: 25 Mpa with 19 mm stone. /\KS12_008-Concrete Drop Inlet. Drawing NBC-GTW-CL-0007 \m³\15.98068 \ 2000"/>
        <s v="SABS1200 GA \CONCRETE (SMALL WORKS)/8.4\SCHEDULED CONCRETE ITEMS/8.4.3\Strength Concrete: 25 Mpa with 19 mm stone. /\KS12_009-Concrete Drop Inlet. Drawing NBC-GTW-CL-0008 \m³\11 \ 2000"/>
        <s v="SABS1200 GA \CONCRETE (SMALL WORKS)/8.4\SCHEDULED CONCRETE ITEMS/8.4.3\Strength Concrete: 25 Mpa with 19 mm stone. /\KS13_003-Concrete Drop Inlet. Drawing NBC-GTW-CL-0009 \m³\27.7266 \ 2000"/>
        <s v="SABS1200 GA \CONCRETE (SMALL WORKS)/8.4\SCHEDULED CONCRETE ITEMS/8.4.3\Strength Concrete: 25 Mpa with 19 mm stone. /\KS13_004-Concrete Check Wall. Drawing NBC-GTW-CL-0010 \m³\5.322 \ 2000"/>
        <s v="SABS1200 GA \CONCRETE (SMALL WORKS)/8.4\SCHEDULED CONCRETE ITEMS/8.4.3\Strength Concrete: 25 Mpa with 19 mm stone. /\KS13_005-Concrete Check Wall. Drawing NBC-GTW-CL-0011 \m³\7.482 \ 2000"/>
        <s v="SABS1200 GA \CONCRETE (SMALL WORKS)/8.4\SCHEDULED CONCRETE ITEMS/8.4.3\Strength Concrete: 25 Mpa with 19 mm stone. /\KS13_006-Concrete Check Wall. Drawing NBC-GTW-CL-0012 \m³\7.4025 \ 2000"/>
        <s v="SABS1200 GA \CONCRETE (SMALL WORKS)/8.4\SCHEDULED CONCRETE ITEMS/8.4.3\Strength Concrete: 25 Mpa with 19 mm stone. /\KS13_007-Concrete Check Wall. Drawing NBC-GTW-CL-0013 \m³\5.8575 \ 2000"/>
        <s v="SABS1200 GA \CONCRETE (SMALL WORKS)/8.4\SCHEDULED CONCRETE ITEMS/8.4.3\Strength Concrete: 25 Mpa with 19 mm stone. /\KS13_008-Concrete Check Wall. Drawing NBC-GTW-CL-0014 \m³\7.515 \ 2000"/>
        <s v="SABS1200 GA \CONCRETE (SMALL WORKS)/8.4\SCHEDULED CONCRETE ITEMS/8.4.3\Strength Concrete: 25 Mpa with 19 mm stone. /\KS13_011-Concrete Check Wall. Drawing NBC-GTW-CL-0015 \m³\6.696 \ 2000"/>
        <s v="SABS1200 GA \CONCRETE (SMALL WORKS)/8.4\SCHEDULED CONCRETE ITEMS/8.4.3\Strength Concrete: 25 Mpa with 19 mm stone. /\KS13_012-Concrete Check Wall. Drawing NBC-GTW-CL-0016 \m³\6.012 \ 2000"/>
        <s v="SABS1200 GA \CONCRETE (SMALL WORKS)/8.4\SCHEDULED CONCRETE ITEMS/8.4.3\Strength Concrete: 25 Mpa with 19 mm stone. /\KS13_013-Concrete Check Wall. Drawing NBC-GTW-CL-0017 \m³\5.166 \ 2000"/>
        <s v="SABS1200 GA \CONCRETE (SMALL WORKS)/8.4\SCHEDULED CONCRETE ITEMS/8.4.3\Strength Concrete: 25 Mpa with 19 mm stone. /\KS13_015-Concrete Check Wall. Drawing NBC-GTW-CL-0018 \m³\5.361 \ 2000"/>
        <s v="SABS1200 GA \CONCRETE (SMALL WORKS)/8.4\SCHEDULED CONCRETE ITEMS/8.4.3\Strength Concrete: 25 Mpa with 19 mm stone. /\KS15_001-Concrete Check Wall  \m³\6.264 \ 2000"/>
        <s v="SABS1200 GA \CONCRETE (SMALL WORKS)/8.4\SCHEDULED CONCRETE ITEMS/8.4.3\Strength Concrete: 25 Mpa with 19 mm stone. /\KS18_001-Concrete Check Wall. Drawing NBC-GTW-CL-0019 \m³\12 \ 2000"/>
        <s v="SABS1200 GA \CONCRETE (SMALL WORKS)/8.4\SCHEDULED CONCRETE ITEMS/8.4.3\Strength Concrete: 25 Mpa with 19 mm stone. /\KS18_002A-Concrete Check Wall. Drawing NBC-GTW-CL-0020 \m³\8 \ 2000"/>
        <s v="SABS1200 GA \CONCRETE (SMALL WORKS)/8.4\SCHEDULED CONCRETE ITEMS/8.4.3\Strength Concrete: 25 Mpa with 19 mm stone. /\KS18_002B-Concrete Check Wall  \m³\6 \ 2000"/>
        <s v="SABS1200 GA \CONCRETE (SMALL WORKS)/8,4\SCHEDULED CONCRETE ITEMS/8.4.3\Strength Concrete: 25 Mpa with 19 mm stone. /\KS18_003-Concrete Check Wall. Drawing NBC-GTW-CL-0045 \m³\5,7 \ 2000"/>
        <s v="SABS1200 GA \CONCRETE (SMALL WORKS)/8,4\SCHEDULED CONCRETE ITEMS/8.4.3\Strength Concrete: 25 Mpa with 19 mm stone. /\KS18_004-Concrete Check Wall. Drawing NBC-GTW-CL-0045 \m³\5,355 \ 2000"/>
        <s v="SABS1200 GA \CONCRETE (SMALL WORKS)/8,4\SCHEDULED CONCRETE ITEMS/8.4.3\Strength Concrete: 25 Mpa with 19 mm stone. /\KS18_005-Concrete Check Wall. Drawing NBC-GTW-CL-0045 \m³\6,93 \ 2000"/>
        <s v="SABS1200 GA \CONCRETE (SMALL WORKS)/8,4\SCHEDULED CONCRETE ITEMS/8.4.3\Strength Concrete: 25 Mpa with 19 mm stone. /\KS18_006-Concrete Check Wall. Drawing NBC-GTW-CL-0045 \m³\6,615 \ 2000"/>
        <s v="SABS1200 GA \CONCRETE (SMALL WORKS)/8,4\SCHEDULED CONCRETE ITEMS/8.4.3\Strength Concrete: 25 Mpa with 19 mm stone. /\KS18_007-Concrete Check Wall. Drawing NBC-GTW-CL-0045 \m³\5,04 \ 2000"/>
        <s v="SABS1200 GA \CONCRETE (SMALL WORKS)/8,4\SCHEDULED CONCRETE ITEMS/8.4.3\Strength Concrete: 25 Mpa with 19 mm stone. /\KS18_008-Concrete Check Wall. Drawing NBC-GTW-CL-0045 \m³\5,76 \ 2000"/>
        <s v="SABS1200 GA \CONCRETE (SMALL WORKS)/8,4\SCHEDULED CONCRETE ITEMS/8.4.3\Strength Concrete: 25 Mpa with 19 mm stone. /\KS18_009-Concrete Check Wall. Drawing NBC-GTW-CL-0045 \m³\5,775 \ 2000"/>
        <s v="SABS1200 GA \CONCRETE (SMALL WORKS)/8,4\SCHEDULED CONCRETE ITEMS/8.4.3\Strength Concrete: 25 Mpa with 19 mm stone. /\KS18_010-Concrete Check Wall. Drawing NBC-GTW-CL-0045 \m³\6,93 \ 2000"/>
        <s v="SABS1200 GA \CONCRETE (SMALL WORKS)/8,4\SCHEDULED CONCRETE ITEMS/8.4.3\Strength Concrete: 25 Mpa with 19 mm stone. /\KS18_011-Concrete Check Wall. Drawing NBC-GTW-CL-0045 \m³\6 \ 2000"/>
        <s v="SABS1200 GA \CONCRETE (SMALL WORKS)/8,4\SCHEDULED CONCRETE ITEMS/8.4.3\Strength Concrete: 25 Mpa with 19 mm stone. /\KS18_012-Concrete Check Wall. Drawing NBC-GTW-CL-0045 \m³\6,6 \ 2000"/>
        <s v="SABS1200 GA \CONCRETE (SMALL WORKS)/8,4\SCHEDULED CONCRETE ITEMS/8.4.3\Strength Concrete: 25 Mpa with 19 mm stone. /\KS18_013-Concrete Check Wall. Drawing NBC-GTW-CL-0045 \m³\6 \ 2000"/>
        <s v="SABS1200 GA \CONCRETE (SMALL WORKS)/8.4\SCHEDULED CONCRETE ITEMS/8.4.3\Strength Concrete: 25 Mpa with 19 mm stone. /\KS18_015-Concrete Check Wall. Drawing NBC-GTW-CL-0021 \m³\7.74 \ 2000"/>
        <s v="SABS1200 GA \CONCRETE (SMALL WORKS)/8.4\SCHEDULED CONCRETE ITEMS/8.4.3\Strength Concrete: 25 Mpa with 19 mm stone. /\KS18_016-Concrete Check Wall. Drawing NBC-GTW-CL-0022 \m³\6.804 \ 2000"/>
        <s v="SABS1200 GA \CONCRETE (SMALL WORKS)/8.4\SCHEDULED CONCRETE ITEMS/8.4.3\Strength Concrete: 25 Mpa with 19 mm stone. /\KS18_017-Concrete Check Wall. Drawing NBC-GTW-CL-0023 \m³\5.94 \ 2000"/>
        <s v="SABS1200 GA \CONCRETE (SMALL WORKS)/8.4\SCHEDULED CONCRETE ITEMS/8.4.3\Strength Concrete: 25 Mpa with 19 mm stone. /\KS18_018-Concrete Check Wall. Drawing NBC-GTW-CL-0024 \m³\4.998 \ 2000"/>
        <s v="SABS1200 GA \CONCRETE (SMALL WORKS)/8.4\SCHEDULED CONCRETE ITEMS/8.4.3\Strength Concrete: 25 Mpa with 19 mm stone. /\KS18_019-Concrete Check Wall. Drawing NBC-GTW-CL-0025 \m³\6.624 \ 2000"/>
        <s v="SABS1200 GA \CONCRETE (SMALL WORKS)/8.4\SCHEDULED CONCRETE ITEMS/8.4.3\Strength Concrete: 25 Mpa with 19 mm stone. /\KS18_020-Concrete Check Wall  \m³\6.7575 \ 2000"/>
        <s v="SABS1200 GA \CONCRETE (SMALL WORKS)/8,4\SCHEDULED CONCRETE ITEMS/8.4.3\Strength Concrete: 25 Mpa with 19 mm stone. /\KS18_014-Concrete Check Wall. Drawing NBC-GTW-CL-0001 \m³\6,66 \ 2000"/>
        <s v="SABS1200 GA \CONCRETE (SMALL WORKS)/8.4\SCHEDULED CONCRETE ITEMS/8.4.3\Strength Concrete: 25 Mpa with 19 mm stone. /\KS19_002-Concrete Drop Inlet. Drawing NBC-GTW-CL-0026 \m³\27.3217512 \ 2000"/>
        <s v="SABS1200 GA \CONCRETE (SMALL WORKS)/8.4\SCHEDULED CONCRETE ITEMS/8.4.3\Strength Concrete: 25 Mpa with 19 mm stone. /\KS20_001-Concrete Drop Inlet. Drawing NBC-GTW-CL-0027 \m³\20.39535 \ 2000"/>
        <s v="SABS1200 GA \CONCRETE (SMALL WORKS)/8.4\SCHEDULED CONCRETE ITEMS/8.4.3\Strength Concrete: 25 Mpa with 19 mm stone. /\KS20_002-Concrete Check Wall. Drawing NBC-GTW-CL-0028 \m³\6.453 \ 2000"/>
        <s v="SABS1200 GA \CONCRETE (SMALL WORKS)/8.4\SCHEDULED CONCRETE ITEMS/8.4.3\Strength Concrete: 25 Mpa with 19 mm stone. /\KS20_003-Concrete Check Wall. Drawing NBC-GTW-CL-0029 \m³\9.855 \ 2000"/>
        <s v="SABS1200 GA \CONCRETE (SMALL WORKS)/8.4\SCHEDULED CONCRETE ITEMS/8.4.3\Strength Concrete: 25 Mpa with 19 mm stone. /\KS20_004-Concrete Check Wall. Drawing NBC-GTW-CL-0030 \m³\9.405 \ 2000"/>
        <s v="SABS1200 GA \CONCRETE (SMALL WORKS)/8.4\SCHEDULED CONCRETE ITEMS/8.4.3\Strength Concrete: 25 Mpa with 19 mm stone. /\KS20_005-Concrete Check Wall. Drawing NBC-GTW-CL-0031 \m³\10.032 \ 2000"/>
        <s v="SABS1200 GA \CONCRETE (SMALL WORKS)/8,4\SCHEDULED CONCRETE ITEMS/8.4.3\Strength Concrete: 25 Mpa with 19 mm stone. /\KS20_006-Concrete Check Wall. Drawing NBC-GTW-CL-0032 \m³\10,035 \ 2000"/>
        <s v="SABS1200 GA \CONCRETE (SMALL WORKS)/8.4\SCHEDULED CONCRETE ITEMS/8.4.3\Strength Concrete: 25 Mpa with 19 mm stone. /\KS20_007-Concrete Check Wall. Drawing NBC-GTW-CL-0033 \m³\8.289 \ 2000"/>
        <s v="SABS1200 GA \CONCRETE (SMALL WORKS)/8.4\SCHEDULED CONCRETE ITEMS/8.4.3\Strength Concrete: 25 Mpa with 19 mm stone. /\KS20_008-Concrete Check Wall. Drawing NBC-GTW-CL-0034 \m³\10.8 \ 2000"/>
        <s v="SABS1200 GA \CONCRETE (SMALL WORKS)/8.4\SCHEDULED CONCRETE ITEMS/8.4.3\Strength Concrete: 25 Mpa with 19 mm stone. /\KS20_009_a-Concrete Check Wall. Drawing NBC-GTW-CL-0035 \m³\29.408 \ 2000"/>
        <s v="SABS1200 GA \CONCRETE (SMALL WORKS)/8.4\SCHEDULED CONCRETE ITEMS/8.4.3\Strength Concrete: 25 Mpa with 19 mm stone. /\KS20_009_b-Concrete Check Wall. Drawing NBC-GTW-CL-0035 \m³\4.032 \ 2000"/>
        <s v="SABS1200 GA \CONCRETE (SMALL WORKS)/8.4\SCHEDULED CONCRETE ITEMS/8.4.3\Strength Concrete: 25 Mpa with 19 mm stone. /\KS21_003-Concrete Drop Inlet. Drawing NBC-GTW-CL-0039 \m³\24.79275 \ 2000"/>
        <s v="SABS1200 GA \CONCRETE (SMALL WORKS)/8,4\SCHEDULED CONCRETE ITEMS/8.4.3\Strength Concrete: 25 Mpa with 19 mm stone. /\KS21_005-Concrete Drop Inlet. Drawing NBC-GTW-CL-0040 \m³\24,79275 \ 2000"/>
        <s v="SABS1200 GA \CONCRETE (SMALL WORKS)/8,4\SCHEDULED CONCRETE ITEMS/8.4.3\Strength Concrete: 25 Mpa with 19 mm stone. /\KS21_006-Concrete Check Wall. Drawing NBC-GTW-CL-0041 \m³\7,98 \ 2000"/>
        <s v="SABS1200 GA \CONCRETE (SMALL WORKS)/8,4\SCHEDULED CONCRETE ITEMS/8.4.3\Strength Concrete: 25 Mpa with 19 mm stone. /\KS21_007-Concrete Check Wall. Drawing NBC-GTW-CL-0042 \m³\7,98 \ 2000"/>
        <s v="SABS1200 GA \CONCRETE (SMALL WORKS)/8,4\SCHEDULED CONCRETE ITEMS/8.4.3\Strength Concrete: 25 Mpa with 19 mm stone. /\KS21_009-Concrete Check Wall. Drawing NBC-GTW-CL-0043 \m³\7,98 \ 2000"/>
        <s v="SABS1200 GA \CONCRETE (SMALL WORKS)/8.4\SCHEDULED CONCRETE ITEMS/8.4.3\Strength Concrete: 25 Mpa with 19 mm stone. /\LS16_001-Concrete Cut-Off Walls  \m³\5.04 \ 2000"/>
        <s v="SABS1200 GA \CONCRETE (SMALL WORKS)/8.4\SCHEDULED CONCRETE ITEMS/8.4.3\Strength Concrete: 25 Mpa with 19 mm stone. /\LS16_002-Concrete Cut-Off Walls  \m³\4.8 \ 2000"/>
        <s v="SABS1200 GA \CONCRETE (SMALL WORKS)/8.4\SCHEDULED CONCRETE ITEMS/8.4.3\Strength Concrete: 25 Mpa with 19 mm stone. /\LS16_003-Concrete Cut-Off Walls  \m³\2.1 \ 2000"/>
        <s v="SABS1200 GA \CONCRETE (SMALL WORKS)/8.4\SCHEDULED CONCRETE ITEMS/8.4.3\Strength Concrete: 25 Mpa with 19 mm stone. /\LS16_004-Concrete Cut-Off Walls  \m³\2.4 \ 2000"/>
        <s v="SABS1200 GA \CONCRETE (SMALL WORKS)/8.4\SCHEDULED CONCRETE ITEMS/8.4.3\Strength Concrete: 25 Mpa with 19 mm stone. /\LS16_005-Concrete Cut-Off Walls  \m³\3.6 \ 2000"/>
        <s v="SABS1200 GA \CONCRETE (SMALL WORKS)/8.4\SCHEDULED CONCRETE ITEMS/8.4.3\Strength Concrete: 25 Mpa with 19 mm stone. /\LS16_006-Concrete Cut-Off Walls  \m³\6.48 \ 2000"/>
        <s v="SABS1200 GA \CONCRETE (SMALL WORKS)/8.4\SCHEDULED CONCRETE ITEMS/8.4.3\Strength Concrete: 25 Mpa with 19 mm stone. /\LS16_007-Concrete Cut-Off Walls  \m³\5.94 \ 2000"/>
        <s v="SABS1200 GA \CONCRETE (SMALL WORKS)/8.4\SCHEDULED CONCRETE ITEMS/8.4.3\Strength Concrete: 25 Mpa with 19 mm stone. /\LS16_008-Concrete Cut-Off Walls  \m³\4.1325 \ 2000"/>
        <s v="SABS1200 GA \CONCRETE (SMALL WORKS)/8.4\SCHEDULED CONCRETE ITEMS/8.4.3\Strength Concrete: 25 Mpa with 19 mm stone. /\LS16_009-Concrete Cut-Off Walls  \m³\4.35 \ 2000"/>
        <s v="SABS1200 GA \CONCRETE (SMALL WORKS)/8.4\SCHEDULED CONCRETE ITEMS/8.4.3\Strength Concrete: 25 Mpa with 19 mm stone. /\LS16_010-Concrete Cut-Off Walls  \m³\5.1 \ 2000"/>
        <s v="SABS1200 GA \CONCRETE (SMALL WORKS)/8.4\SCHEDULED CONCRETE ITEMS/8.4.3\Strength Concrete: 25 Mpa with 19 mm stone. /\LS16_011-Concrete Cut-Off Walls  \m³\3.3 \ 2000"/>
        <s v="" u="1"/>
        <s v="SABS1200 GA \CONCRETE (SMALL WORKS)/8.4\SCHEDULED CONCRETE ITEMS/8.4.3\Strength Concrete: 25 Mpa with 19 mm stone. /\KS21_010-Concrete Drop Inlet. Drawing NBC-GTW-CL-0044 \m³\29.6325325 \ 2000" u="1"/>
        <s v="SABS1200 GA \CONCRETE (SMALL WORKS)/8.4\SCHEDULED CONCRETE ITEMS/8.4.3\Strength Concrete: 25 Mpa with 19 mm stone. /\KS20_007-Concrete Drop Inlet. Drawing NBC-GTW-CL-0033 \m³\34.576244 \ 2000" u="1"/>
        <s v="SABS1200 GA \Concrete (Small Works)/8.4\SCHEDULED CONCRETE ITEMS/8.4.3\Strength Concrete: 25 MPa/19 mm. /\LS16_008-Concrete Cut-Off Walls  \m³\4.1325 \ 2000" u="1"/>
        <s v="SABS1200 GA \Concrete (Small Works)/8.4\SCHEDULED CONCRETE ITEMS/8.4.3\Strength Concrete: 25 MPa/19 mm. /\LS16_006-Concrete Cut-Off Walls  \m³\6.48 \ 2000" u="1"/>
        <s v="SABS1200 GA \CONCRETE (SMALL WORKS)/8.4\SCHEDULED CONCRETE ITEMS/8.4.3\Strength Concrete: 25 Mpa with 19 mm stone. /\KS18_006-Concrete Cut-Off Walls. Refer to drawing NBC-GTW-CL-0045 \m³\6.615 \ 2000" u="1"/>
        <s v="SABS1200 GA  \ Concrete (Small Works) / 8.4\ SCHEDULED CONCRETE ITEMS / 8.4.3 \ Strength Concrete: 25 MPa/19 mm. /\KS13_003-Concrete Drop Inlet \m³\27.7266 \ 2000" u="1"/>
        <s v="SABS1200 GA  / Concrete (Small Works) / 8.4 / 8.4.3 / Strength Concrete, Grade / LS16_005-Concrete Cut-Off Walls / 3.6 / m³" u="1"/>
        <s v="SABS1200 GA \Concrete (Small Works)/8.4\SCHEDULED CONCRETE ITEMS/8.4.3\Strength Concrete: 25 MPa/19 mm. /\KS13_006-Concrete Drop Inlet. Refer to drawing NBC-GTW-CL-0012 \m³\32.9871 \ 2000" u="1"/>
        <s v="SABS1200 GA  \ Concrete (Small Works) / 8.4\ SCHEDULED CONCRETE ITEMS / 8.4.3 \ Strength Concrete: 25 MPa/19 mm. /\KS18_014-Concrete Filled Geo-Cell Berm \m³\9.03840508391961 \ 2000" u="1"/>
        <s v="SABS1200 GA \CONCRETE (SMALL WORKS)/8.4\SCHEDULED CONCRETE ITEMS/8.4.3\Strength Concrete: 25 Mpa with 19 mm stone. /\KS20_001-Concrete Drop Inlet. Refer to drawing NBC-GTW-CL-0027 \m³\20.39535 \ 2000" u="1"/>
        <s v="SABS1200 GA  \ Concrete (Small Works) / 8.4\ SCHEDULED CONCRETE ITEMS / 8.4.3 \ Strength Concrete: 25 MPa/19 mm. /\KS18_017-Concrete Drop Inlet \m³\27.5224 \ 2000" u="1"/>
        <s v="SABS1200 GA \Concrete (Small Works)/8.4\SCHEDULED CONCRETE ITEMS/8.4.3\Strength Concrete: 25 MPa/19 mm. /\LS16_003-Concrete Cut-Off Walls  \m³\2.1 \ 2000" u="1"/>
        <s v="SABS1200 GA \Concrete (Small Works)/8.4\SCHEDULED CONCRETE ITEMS/8.4.3\Strength Concrete: 25 MPa/19 mm. /\LS16_010-Concrete Cut-Off Walls  \m³\5.1 \ 2000" u="1"/>
        <s v="SABS1200 GA  \ Concrete (Small Works) / 8.4\ SCHEDULED CONCRETE ITEMS / 8.4.3 \ Strength Concrete: 25 MPa/19 mm. /\KS20_003-Concrete Buttress Weir \m³\50.2704448 \ 2000" u="1"/>
        <s v="SABS1200 GA  / Concrete (Small Works) / 8.4 / 8.4.3 / Strength Concrete, Grade / KS20_008-Concrete Drop Inlet / 47.24264 / m³" u="1"/>
        <s v="SABS1200 GA \Concrete (Small Works)/8.4\SCHEDULED CONCRETE ITEMS/8.4.3\Strength Concrete: 25 MPa/19 mm. /\LS16_009-Concrete Cut-Off Walls  \m³\4.35 \ 2000" u="1"/>
        <s v="SABS1200 GA \Concrete (Small Works)/8.4\SCHEDULED CONCRETE ITEMS/8.4.3\Strength Concrete: 25 MPa/19 mm. /\KS19_002-Concrete Drop Inlet. Refer to drawing NBC-GTW-CL-0026 \m³\27.3217512 \ 2000" u="1"/>
        <s v="SABS1200 GA  \ Concrete (Small Works) / 8.4\ SCHEDULED CONCRETE ITEMS / 8.4.3 \ Strength Concrete: 25 MPa/19 mm. /\LS16_003-Concrete Cut-Off Walls  \m³\2.1 \ 2000" u="1"/>
        <s v="SABS1200 GA  \ Concrete (Small Works) / 8.4\ SCHEDULED CONCRETE ITEMS / 8.4.3 \ Strength Concrete: 25 MPa/19 mm. /\LS16_010-Concrete Cut-Off Walls  \m³\5.1 \ 2000" u="1"/>
        <s v="SABS1200 GA \CONCRETE (SMALL WORKS)/8.4\SCHEDULED CONCRETE ITEMS/8.4.3\Strength Concrete: 25 Mpa with 19 mm stone. /\KS18_004-Concrete Cut-Off Walls. Refer to drawing NBC-GTW-CL-0045 \m³\5.355 \ 2000" u="1"/>
        <s v="SABS1200 GA \CONCRETE (SMALL WORKS)/8.4\SCHEDULED CONCRETE ITEMS/8.4.3\Strength Concrete: 25 Mpa with 19 mm stone. /\KS12_006-Concrete Drop Inlet. Refer to drawing NBC-GTW-CL-0005 \m³\16.51343 \ 2000" u="1"/>
        <s v="SABS1200 GA  \ Concrete (Small Works) / 8.4\ SCHEDULED CONCRETE ITEMS / 8.4.3 \ Strength Concrete: 25 MPa/19 mm. /\LS16_011-Concrete Cut-Off Walls  \m³\3.3 \ 2000" u="1"/>
        <s v="SABS1200 GA  \ Concrete (Small Works) / 8.4\ SCHEDULED CONCRETE ITEMS / 8.4.3 \ Strength Concrete: 25 MPa/19 mm. /\LS16_004-Concrete Cut-Off Walls  \m³\2.4 \ 2000" u="1"/>
        <s v="SABS1200 GA  / Concrete (Small Works) / 8.4 / 8.4.3 / Strength Concrete, Grade / KS13_003-Concrete Drop Inlet / 27.7266 / m³" u="1"/>
        <s v="SABS1200 GA  \ Concrete (Small Works) / 8.4\ SCHEDULED CONCRETE ITEMS / 8.4.3 \ Strength Concrete: 25 MPa/19 mm. /\LS16_005-Concrete Cut-Off Walls  \m³\3.6 \ 2000" u="1"/>
        <s v="SABS1200 GA  \ Concrete (Small Works) / 8.4\ SCHEDULED CONCRETE ITEMS / 8.4.3 \ Strength Concrete: 25 MPa/19 mm. /\LS16_002-Concrete Cut-Off Walls  \m³\4.8 \ 2000" u="1"/>
        <s v="SABS1200 GA \CONCRETE (SMALL WORKS)/8.4\SCHEDULED CONCRETE ITEMS/8.4.3\Strength Concrete: 25 Mpa with 19 mm stone. /\KS18_009-Concrete Cut-Off Walls. Refer to drawing NBC-GTW-CL-0045 \m³\5.775 \ 2000" u="1"/>
        <s v="SABS1200 GA \CONCRETE (SMALL WORKS)/8.4\SCHEDULED CONCRETE ITEMS/8.4.3\Strength Concrete: 25 Mpa with 19 mm stone. /\KS21_003-Concrete Drop Inlet. Refer to drawing NBC-GTW-CL-0039 \m³\24.79275 \ 2000" u="1"/>
        <s v="SABS1200 GA \CONCRETE (SMALL WORKS)/8.4\SCHEDULED CONCRETE ITEMS/8.4.3\Strength Concrete: 25 Mpa with 19 mm stone. /\KS13_011-Concrete Drop Inlet. Refer to drawing NBC-GTW-CL-0015 \m³\37.8 \ 2000" u="1"/>
        <s v="SABS1200 GA  / Concrete (Small Works) / 8.4 / 8.4.3 / Strength Concrete, Grade / KS18_020-Rehab road culvert / 30.97659 / m³" u="1"/>
        <s v="SABS1200 GA \CONCRETE (SMALL WORKS)/8.4\SCHEDULED CONCRETE ITEMS/8.4.3\Strength Concrete: 25 Mpa with 19 mm stone. /\KS20_009_a-Concrete Buttress Weir. Refer to drawing NBC-GTW-CL-0035 \m³\64.5 \ 2000" u="1"/>
        <s v="SABS1200 GA  / Concrete (Small Works) / 8.4 / 8.4.3 / Strength Concrete, Grade / KS13_007-Concrete Drop Inlet / 25.3974 / m³" u="1"/>
        <s v="SABS1200 GA \CONCRETE (SMALL WORKS)/8.4\SCHEDULED CONCRETE ITEMS/8.4.3\Strength Concrete: 25 Mpa with 19 mm stone. /\KS18_018-Concrete Drop Inlet. Refer to drawing NBC-GTW-CL-0024 \m³\22.42595 \ 2000" u="1"/>
        <s v="SABS1200 GA  / Concrete (Small Works) / 8.4 / 8.4.3 / Strength Concrete, Grade / KS20_005-Concrete Drop Inlet / 43.50478 / m³" u="1"/>
        <s v="SABS1200 GA  / Concrete (Small Works) / 8.4 / 8.4.3 / Strength Concrete, Grade / LS16_008-Concrete Cut-Off Walls / 4.1325 / m³" u="1"/>
        <s v="SABS1200 GA \CONCRETE (SMALL WORKS)/8.4\SCHEDULED CONCRETE ITEMS/8.4.3\Strength Concrete: 25 Mpa with 19 mm stone. /\KS13_005-Concrete Drop Inlet. Refer to drawing NBC-GTW-CL-0011 \m³\35.97891 \ 2000" u="1"/>
        <s v="SABS1200 GA \CONCRETE (SMALL WORKS)/8.4\SCHEDULED CONCRETE ITEMS/8.4.3\Strength Concrete: 25 Mpa with 19 mm stone. /\KS20_009_b-Concrete Overflow Wall. Refer to drawing  \m³\6.1 \ 2000" u="1"/>
        <s v="SABS1200 GA \CONCRETE (SMALL WORKS)/8.4\SCHEDULED CONCRETE ITEMS/8.4.3\Strength Concrete: 25 Mpa with 19 mm stone. /\KS18_015-Concrete Drop Inlet. Refer to drawing NBC-GTW-CL-0021 \m³\38.2205 \ 2000" u="1"/>
        <s v="SABS1200 GA \Concrete (Small Works)/8.4\SCHEDULED CONCRETE ITEMS/8.4.3\Strength Concrete: 25 MPa/19 mm. /\KS13_003-Concrete Drop Inlet. Refer to drawing NBC-GTW-CL-0009 \m³\27.7266 \ 2000" u="1"/>
        <s v="SABS1200 GA  \ Concrete (Small Works) / 8.4\ SCHEDULED CONCRETE ITEMS / 8.4.3 \ Strength Concrete: 25 MPa/19 mm. /\KS18_006-Concrete Cut-Off Walls. Refer to drawing AS \m³\6.615 \ 2000" u="1"/>
        <s v="SABS1200 GA \Concrete (Small Works)/8.4\SCHEDULED CONCRETE ITEMS/8.4.3\Strength Concrete: 25 MPa/19 mm. /\KS20_003-Concrete Buttress Weir. Refer to drawing NBC-GTW-CL-0029 \m³\50.2704448 \ 2000" u="1"/>
        <s v="SABS1200 GA  \ Concrete (Small Works) / 8.4\ SCHEDULED CONCRETE ITEMS / 8.4.3 \ Strength Concrete: 25 MPa/19 mm. /\KS20_009_a-Concrete Drop Inlet. Refer to drawing AI \m³\61.557674 \ 2000" u="1"/>
        <s v="SABS1200 GA \Concrete (Small Works)/8.4\SCHEDULED CONCRETE ITEMS/8.4.3\Strength Concrete: 25 MPa/19 mm. /\KS13_007-Concrete Drop Inlet. Refer to drawing NBC-GTW-CL-0013 \m³\25.3974 \ 2000" u="1"/>
        <s v="SABS1200 GA \Concrete (Small Works)/8.4\SCHEDULED CONCRETE ITEMS/8.4.3\Strength Concrete: 25 MPa/19 mm. /\KS13_013-Concrete Drop Inlet. Refer to drawing NBC-GTW-CL-0017 \m³\23.5474 \ 2000" u="1"/>
        <s v="SABS1200 GA  \ Concrete (Small Works) / 8.4\ SCHEDULED CONCRETE ITEMS / 8.4.3 \ Strength Concrete: 25 MPa/19 mm. /\KS21_010-Concrete Drop Inlet \m³\29.6325325 \ 2000" u="1"/>
        <s v="SABS1200 GA  \ Concrete (Small Works) / 8.4\ SCHEDULED CONCRETE ITEMS / 8.4.3 \ Strength Concrete: 25 MPa/19 mm. /\LS16_008-Concrete Cut-Off Walls  \m³\4.1325 \ 2000" u="1"/>
        <s v="SABS1200 GA \CONCRETE (SMALL WORKS)/8.4\SCHEDULED CONCRETE ITEMS/8.4.3\Strength Concrete: 25 Mpa with 19 mm stone. /\KS13_008-Concrete Drop Inlet. Refer to drawing NBC-GTW-CL-0014 \m³\33.0207 \ 2000" u="1"/>
        <s v="SABS1200 GA \CONCRETE (SMALL WORKS)/8.4\SCHEDULED CONCRETE ITEMS/8.4.3\Strength Concrete: 25 Mpa with 19 mm stone. /\KS18_020-Rehab road culvert  \m³\30.97659 \ 2000" u="1"/>
        <s v="SABS1200 GA  \ Concrete (Small Works) / 8.4\ SCHEDULED CONCRETE ITEMS / 8.4.3 \ Strength Concrete: 25 MPa/19 mm. /\KS13_005-Concrete Drop Inlet \m³\35.97891 \ 2000" u="1"/>
        <s v="SABS1200 GA \CONCRETE (SMALL WORKS)/8.4\SCHEDULED CONCRETE ITEMS/8.4.3\Strength Concrete: 25 Mpa with 19 mm stone. /\KS20_002-Concrete Drop Inlet. Refer to drawing NBC-GTW-CL-0028 \m³\29.5809 \ 2000" u="1"/>
        <s v="SABS1200 GA  \ Concrete (Small Works) / 8.4\ SCHEDULED CONCRETE ITEMS / 8.4.3 \ Strength Concrete: 25 MPa/19 mm. /\KS20_001-Concrete Drop Inlet. Refer to drawing AA \m³\20.39535 \ 2000" u="1"/>
        <s v="SABS1200 GA  \ Concrete (Small Works) / 8.4\ SCHEDULED CONCRETE ITEMS / 8.4.3 \ Strength Concrete: 25 MPa/19 mm. /\KS13_006-Concrete Drop Inlet. Refer to drawing L \m³\32.9871 \ 2000" u="1"/>
        <s v="SABS1200 GA \CONCRETE (SMALL WORKS)/8.4\SCHEDULED CONCRETE ITEMS/8.4.3\Strength Concrete: 25 Mpa with 19 mm stone. /\KS12_002-Concrete Drop Inlet. Refer to drawing NBC-GTW-CL-0002 \m³\24 \ 2000" u="1"/>
        <s v="SABS1200 GA  / Concrete (Small Works) / 8.4 / 8.4.3 / Strength Concrete, Grade / KS20_004-Concrete Drop Inlet / 36.703448 / m³" u="1"/>
        <s v="SABS1200 GA  / Concrete (Small Works) / 8.4 / 8.4.3 / Strength Concrete, Grade / KS13_008-Concrete Drop Inlet / 33.0207 / m³" u="1"/>
        <s v="SABS1200 GA  \ Concrete (Small Works) / 8.4\ SCHEDULED CONCRETE ITEMS / 8.4.3 \ Strength Concrete: 25 MPa/19 mm. /\KS18_014-Concrete Filled Geo-Cell Berm. Refer to drawing A \m³\9.03840508391961 \ 2000" u="1"/>
        <s v="SABS1200 GA \CONCRETE (SMALL WORKS)/8.4\SCHEDULED CONCRETE ITEMS/8.4.3\Strength Concrete: 25 Mpa with 19 mm stone. /\KS12_009-Concrete Drop Inlet. Refer to drawing NBC-GTW-CL-0008 \m³\11 \ 2000" u="1"/>
        <s v="SABS1200 GA \Concrete (Small Works)/8.4\SCHEDULED CONCRETE ITEMS/8.4.3\Strength Concrete: 25 MPa/19 mm. /\LS16_011-Concrete Cut-Off Walls  \m³\3.3 \ 2000" u="1"/>
        <s v="SABS1200 GA  \ Concrete (Small Works) / 8.4\ SCHEDULED CONCRETE ITEMS / 8.4.3 \ Strength Concrete: 25 MPa/19 mm. /\KS21_005-Concrete Drop Inlet \m³\29.7712955 \ 2000" u="1"/>
        <s v="SABS1200 GA  \ Concrete (Small Works) / 8.4\ SCHEDULED CONCRETE ITEMS / 8.4.3 \ Strength Concrete: 25 MPa/19 mm. /\KS12_005-Concrete Drop Inlet \m³\30.30542048 \ 2000" u="1"/>
        <s v="SABS1200 GA  \ Concrete (Small Works) / 8.4\ SCHEDULED CONCRETE ITEMS / 8.4.3 \ Strength Concrete: 25 MPa/19 mm. /\KS20_007-Concrete Drop Inlet. Refer to drawing AG \m³\34.576244 \ 2000" u="1"/>
        <s v="SABS1200 GA  / Concrete (Small Works) / 8.4 / 8.4.3 / Strength Concrete, Grade / KS21_009-Concrete Drop Inlet / 31.18664 / m³" u="1"/>
        <s v="SABS1200 GA  \ Concrete (Small Works) / 8.4\ SCHEDULED CONCRETE ITEMS / 8.4.3 \ Strength Concrete: 25 MPa/19 mm. /\KS18_019-Concrete Drop Inlet. Refer to drawing Y \m³\30.1032 \ 2000" u="1"/>
        <s v="SABS1200 GA  \ Concrete (Small Works) / 8.4\ SCHEDULED CONCRETE ITEMS / 8.4.3 \ Strength Concrete: 25 MPa/19 mm. /\KS18_004-Concrete Cut-Off Walls. Refer to drawing AS \m³\5.355 \ 2000" u="1"/>
        <s v="SABS1200 GA \Concrete (Small Works)/8.4\SCHEDULED CONCRETE ITEMS/8.4.3\Strength Concrete: 25 MPa/19 mm. /\KS18_008-Concrete Cut-Off Walls. Refer to drawing NBC-GTW-CL-0045 \m³\5.76 \ 2000" u="1"/>
        <s v="SABS1200 GA  \ Concrete (Small Works) / 8.4\ SCHEDULED CONCRETE ITEMS / 8.4.3 \ Strength Concrete: 25 MPa/19 mm. /\KS20_004-Concrete Drop Inlet. Refer to drawing AD \m³\36.703448 \ 2000" u="1"/>
        <s v="SABS1200 GA \Concrete (Small Works)/8.4\SCHEDULED CONCRETE ITEMS/8.4.3\Strength Concrete: 25 MPa/19 mm. /\KS18_016-Concrete Drop Inlet. Refer to drawing NBC-GTW-CL-0022 \m³\29.8284 \ 2000" u="1"/>
        <s v="SABS1200 GA \CONCRETE (SMALL WORKS)/8.4\SCHEDULED CONCRETE ITEMS/8.4.3\Strength Concrete: 25 Mpa with 19 mm stone. /\KS19_002-Concrete Drop Inlet. Refer to drawing NBC-GTW-CL-0026 \m³\27.3217512 \ 2000" u="1"/>
        <s v="SABS1200 GA \CONCRETE (SMALL WORKS)/8.4\SCHEDULED CONCRETE ITEMS/8.4.3\Strength Concrete: 25 Mpa with 19 mm stone. /\KS18-014-Concrete Filled Geo-Cell Berm. Refer to drawing NBC-GTW-CL-0001 \m³\9.03840508391961 \ 2000" u="1"/>
        <s v="SABS1200 GA \CONCRETE (SMALL WORKS)/8.4\SCHEDULED CONCRETE ITEMS/8.4.3\Strength Concrete: 25 Mpa with 19 mm stone. /\KS18_014-Concrete Filled Geo-Cell Berm. Refer to drawing NBC-GTW-CL-0001 \m³\9.03840508391961 \ 2000" u="1"/>
        <s v="SABS1200 GA \CONCRETE (SMALL WORKS)/8.4\SCHEDULED CONCRETE ITEMS/8.4.3\Strength Concrete: 25 Mpa with 19 mm stone. /\KS21_005-Concrete Drop Inlet. Drawing NBC-GTW-CL-0040 \m³\29.7712955 \ 2000" u="1"/>
        <s v="SABS1200 GA  / Concrete (Small Works) / 8.4 / 8.4.3 / Strength Concrete, Grade / KS12_009-Concrete Drop Inlet / 11.59698 / m³" u="1"/>
        <s v="SABS1200 GA \CONCRETE (SMALL WORKS)/8.4\SCHEDULED CONCRETE ITEMS/8.4.3\Strength Concrete: 25 Mpa with 19 mm stone. /\KS20_003-Concrete Buttress Weir. Refer to drawing NBC-GTW-CL-0029 \m³\50.2704448 \ 2000" u="1"/>
        <s v="SABS1200 GA \CONCRETE (SMALL WORKS)/8.4\SCHEDULED CONCRETE ITEMS/8.4.3\Strength Concrete: 25 Mpa with 19 mm stone. /\KS13_015-Concrete Drop Inlet. Drawing NBC-GTW-CL-0018 \m³\26.49053 \ 2000" u="1"/>
        <s v="SABS1200 GA \CONCRETE (SMALL WORKS)/8.4\SCHEDULED CONCRETE ITEMS/8.4.3\Strength Concrete: 25 Mpa with 19 mm stone. /\KS13_006-Concrete Drop Inlet. Refer to drawing NBC-GTW-CL-0012 \m³\32.9871 \ 2000" u="1"/>
        <s v="SABS1200 GA  / Concrete (Small Works) / 8.4 / 8.4.3 / Strength Concrete, Grade / KS18_001-Concrete Drop Inlet / 59.00696 / m³" u="1"/>
        <s v="SABS1200 GA  \ Concrete (Small Works) / 8.4\ SCHEDULED CONCRETE ITEMS / 8.4.3 \ Strength Concrete: 25 MPa/19 mm. /\KS20_006-Concrete Drop Inlet \m³\45.5624175 \ 2000" u="1"/>
        <s v="SABS1200 GA  \ Concrete (Small Works) / 8.4\ SCHEDULED CONCRETE ITEMS / 8.4.3 \ Strength Concrete: 25 MPa/19 mm. /\KS12_006-Concrete Drop Inlet \m³\16.51343 \ 2000" u="1"/>
        <s v="SABS1200 GA  / Concrete (Small Works) / 8.4 / 8.4.3 / Strength Concrete, Grade / LS16_009-Concrete Cut-Off Walls / 4.35 / m³" u="1"/>
        <s v="SABS1200 GA  \ Concrete (Small Works) / 8.4\ SCHEDULED CONCRETE ITEMS / 8.4.3 \ Strength Concrete: 25 MPa/19 mm. /\KS13_015-Concrete Drop Inlet \m³\26.49053 \ 2000" u="1"/>
        <s v="SABS1200 GA \CONCRETE (SMALL WORKS)/8.4\SCHEDULED CONCRETE ITEMS/8.4.3\Strength Concrete: 25 Mpa with 19 mm stone. /\KS18_003-Concrete Cut-Off Walls. Drawing NBC-GTW-CL-0045 \m³\5.7 \ 2000" u="1"/>
        <s v="SABS1200 GA  \ Concrete (Small Works) / 8.4\ SCHEDULED CONCRETE ITEMS / 8.4.3 \ Strength Concrete: 25 MPa/19 mm. /\KS18_009-Concrete Cut-Off Walls. Refer to drawing AS \m³\5.775 \ 2000" u="1"/>
        <s v="SABS1200 GA  \ Concrete (Small Works) / 8.4\ SCHEDULED CONCRETE ITEMS / 8.4.3 \ Strength Concrete: 25 MPa/19 mm. /\KS21_003-Concrete Drop Inlet. Refer to drawing AM \m³\24.79275 \ 2000" u="1"/>
        <s v="SABS1200 GA \CONCRETE (SMALL WORKS)/8.4\SCHEDULED CONCRETE ITEMS/8.4.3\Strength Concrete: 25 Mpa with 19 mm stone. /\KS12_007-Concrete Drop Inlet. Refer to drawing NBC-GTW-CL-0006 \m³\20.1 \ 2000" u="1"/>
        <s v="SABS1200 GA  / Concrete (Small Works) / 8.4 / 8.4.3 / Strength Concrete, Grade / KS20_007-Concrete Drop Inlet / 34.576244 / m³" u="1"/>
        <s v="SABS1200 GA \Concrete (Small Works)/8.4\SCHEDULED CONCRETE ITEMS/8.4.3\Strength Concrete: 25 MPa/19 mm. /\KS18_005-Concrete Cut-Off Walls. Refer to drawing NBC-GTW-CL-0045 \m³\6.93 \ 2000" u="1"/>
        <s v="SABS1200 GA \Concrete (Small Works)/8.4\SCHEDULED CONCRETE ITEMS/8.4.3\Strength Concrete: 25 MPa/19 mm. /\KS18_010-Concrete Cut-Off Walls. Refer to drawing NBC-GTW-CL-0045 \m³\6.93 \ 2000" u="1"/>
        <s v="SABS1200 GA  \ Concrete (Small Works) / 8.4\ SCHEDULED CONCRETE ITEMS / 8.4.3 \ Strength Concrete: 25 MPa/19 mm. /\LS16_002-Concrete Cut-Off Walls \m³\4.8 \ 2000" u="1"/>
        <s v="SABS1200 GA \CONCRETE (SMALL WORKS)/8.4\SCHEDULED CONCRETE ITEMS/8.4.3\Strength Concrete: 25 Mpa with 19 mm stone. /\KS18_012-Concrete Cut-Off Walls. Drawing NBC-GTW-CL-0045 \m³\6.6 \ 2000" u="1"/>
        <s v="SABS1200 GA  / Concrete (Small Works) / 8.4 / 8.4.3 / Strength Concrete, Grade / KS18_011-Concrete Cut-Off Walls / 6 / m³" u="1"/>
        <s v="SABS1200 GA  / Concrete (Small Works) / 8.4 / 8.4.3 / Strength Concrete, Grade / KS18_013-Concrete Cut-Off Walls / 6 / m³" u="1"/>
        <s v="SABS1200 GA \Concrete (Small Works)/8.4\SCHEDULED CONCRETE ITEMS/8.4.3\Strength Concrete: 25 MPa/19 mm. /\LS16_004-Concrete Cut-Off Walls  \m³\2.4 \ 2000" u="1"/>
        <s v="SABS1200 GA  \ Concrete (Small Works) / 8.4\ SCHEDULED CONCRETE ITEMS / 8.4.3 \ Strength Concrete: 25 MPa/19 mm. /\LS16_001-Concrete Cut-Off Walls  \m³\5.04 \ 2000" u="1"/>
        <s v="SABS1200 GA  \ Concrete (Small Works) / 8.4\ SCHEDULED CONCRETE ITEMS / 8.4.3 \ Strength Concrete: 25 MPa/19 mm. /\KS21_006-Concrete Drop Inlet \m³\27.1821095 \ 2000" u="1"/>
        <s v="SABS1200 GA  \ Concrete (Small Works) / 8.4\ SCHEDULED CONCRETE ITEMS / 8.4.3 \ Strength Concrete: 25 MPa/19 mm. /\LS16_004-Concrete Cut-Off Walls \m³\2.4 \ 2000" u="1"/>
        <s v="SABS1200 GA  \ Concrete (Small Works) / 8.4\ SCHEDULED CONCRETE ITEMS / 8.4.3 \ Strength Concrete: 25 MPa/19 mm. /\KS20_008-Concrete Drop Inlet \m³\47.24264 \ 2000" u="1"/>
        <s v="SABS1200 GA  \ Concrete (Small Works) / 8.4\ SCHEDULED CONCRETE ITEMS / 8.4.3 \ Strength Concrete: 25 MPa/19 mm. /\KS21_009-Concrete Drop Inlet \m³\31.18664 \ 2000" u="1"/>
        <s v="SABS1200 GA  \ Concrete (Small Works) / 8.4\ SCHEDULED CONCRETE ITEMS / 8.4.3 \ Strength Concrete: 25 MPa/19 mm. /\LS16_007-Concrete Cut-Off Walls  \m³\5.94 \ 2000" u="1"/>
        <s v="SABS1200 GA \CONCRETE (SMALL WORKS)/8.4\SCHEDULED CONCRETE ITEMS/8.4.3\Strength Concrete: 25 Mpa with 19 mm stone. /\KS18_005-Concrete Cut-Off Walls. Refer to drawing NBC-GTW-CL-0045 \m³\6.93 \ 2000" u="1"/>
        <s v="SABS1200 GA \CONCRETE (SMALL WORKS)/8.4\SCHEDULED CONCRETE ITEMS/8.4.3\Strength Concrete: 25 Mpa with 19 mm stone. /\KS18_010-Concrete Cut-Off Walls. Refer to drawing NBC-GTW-CL-0045 \m³\6.93 \ 2000" u="1"/>
        <s v="SABS1200 GA  \ Concrete (Small Works) / 8.4\ SCHEDULED CONCRETE ITEMS / 8.4.3 \ Strength Concrete: 25 MPa/19 mm. /\KS18_017-Concrete Drop Inlet. Refer to drawing W \m³\27.5224 \ 2000" u="1"/>
        <s v="SABS1200 GA \Concrete (Small Works)/8.4\SCHEDULED CONCRETE ITEMS/8.4.3\Strength Concrete: 25 MPa/19 mm. /\KS13_012-Concrete Drop Inlet. Refer to drawing NBC-GTW-CL-0016 \m³\27.4978 \ 2000" u="1"/>
        <s v="SABS1200 GA  \ Concrete (Small Works) / 8.4\ SCHEDULED CONCRETE ITEMS / 8.4.3 \ Strength Concrete: 25 MPa/19 mm. /\KS13_004-Concrete Drop Inlet. Refer to drawing J \m³\22.2744 \ 2000" u="1"/>
        <s v="SABS1200 GA  / Concrete (Small Works) / 8.4 / 8.4.3 / Strength Concrete, Grade / KS20_009_a-Concrete Drop Inlet / 61.557674 / m³" u="1"/>
        <s v="SABS1200 GA  \ Concrete (Small Works) / 8.4\ SCHEDULED CONCRETE ITEMS / 8.4.3 \ Strength Concrete: 25 MPa/19 mm. /\KS13_007-Concrete Drop Inlet. Refer to drawing M \m³\25.3974 \ 2000" u="1"/>
        <s v="SABS1200 GA  \ Concrete (Small Works) / 8.4\ SCHEDULED CONCRETE ITEMS / 8.4.3 \ Strength Concrete: 25 MPa/19 mm. /\KS13_013-Concrete Drop Inlet. Refer to drawing Q \m³\23.5474 \ 2000" u="1"/>
        <s v="SABS1200 GA  \ Concrete (Small Works) / 8.4\ SCHEDULED CONCRETE ITEMS / 8.4.3 \ Strength Concrete: 25 MPa/19 mm. /\KS18_016-Concrete Drop Inlet. Refer to drawing V \m³\29.8284 \ 2000" u="1"/>
        <s v="SABS1200 GA \CONCRETE (SMALL WORKS)/8.4\SCHEDULED CONCRETE ITEMS/8.4.3\Strength Concrete: 25 Mpa with 19 mm stone. /\KS20_004-Concrete Drop Inlet. Drawing NBC-GTW-CL-0030 \m³\36.703448 \ 2000" u="1"/>
        <s v="SABS1200 GA \Concrete (Small Works)/8.4\SCHEDULED CONCRETE ITEMS/8.4.3\Strength Concrete: 25 MPa/19 mm. /\KS12_005-Concrete Drop Inlet. Refer to drawing NBC-GTW-CL-0004 \m³\30.30542048 \ 2000" u="1"/>
        <s v="SABS1200 GA  \ Concrete (Small Works) / 8.4\ SCHEDULED CONCRETE ITEMS / 8.4.3 \ Strength Concrete: 25 MPa/19 mm. /\KS18_006-Concrete Cut-Off Walls \m³\6.615 \ 2000" u="1"/>
        <s v="SABS1200 GA  \ Concrete (Small Works) / 8.4\ SCHEDULED CONCRETE ITEMS / 8.4.3 \ Strength Concrete: 25 MPa/19 mm. /\KS13_006-Concrete Drop Inlet \m³\32.9871 \ 2000" u="1"/>
        <s v="SABS1200 GA  \ Concrete (Small Works) / 8.4\ SCHEDULED CONCRETE ITEMS / 8.4.3 \ Strength Concrete: 25 MPa/19 mm. /\KS12_007-Concrete Drop Inlet \m³\21.17025 \ 2000" u="1"/>
        <s v="SABS1200 GA  \ Concrete (Small Works) / 8.4\ SCHEDULED CONCRETE ITEMS / 8.4.3 \ Strength Concrete: 25 MPa/19 mm. /\KS20_001-Concrete Drop Inlet \m³\20.39535 \ 2000" u="1"/>
        <s v="SABS1200 GA  \ Concrete (Small Works) / 8.4\ SCHEDULED CONCRETE ITEMS / 8.4.3 \ Strength Concrete: 25 MPa/19 mm. /\LS16_009-Concrete Cut-Off Walls  \m³\4.35 \ 2000" u="1"/>
        <s v="SABS1200 GA  \ Concrete (Small Works) / 8.4\ SCHEDULED CONCRETE ITEMS / 8.4.3 \ Strength Concrete: 25 MPa/19 mm. /\KS13_007-Concrete Drop Inlet \m³\25.3974 \ 2000" u="1"/>
        <s v="SABS1200 GA  \ Concrete (Small Works) / 8.4\ SCHEDULED CONCRETE ITEMS / 8.4.3 \ Strength Concrete: 25 MPa/19 mm. /\KS13_013-Concrete Drop Inlet \m³\23.5474 \ 2000" u="1"/>
        <s v="SABS1200 GA  \ Concrete (Small Works) / 8.4\ SCHEDULED CONCRETE ITEMS / 8.4.3 \ Strength Concrete: 25 MPa/19 mm. /\KS18_004-Concrete Cut-Off Walls \m³\5.355 \ 2000" u="1"/>
        <s v="SABS1200 GA  / Concrete (Small Works) / 8.4 / 8.4.3 / Strength Concrete, Grade / KS19_002-Concrete Drop Inlet / 27.3217512 / m³" u="1"/>
        <s v="SABS1200 GA  \ Concrete (Small Works) / 8.4\ SCHEDULED CONCRETE ITEMS / 8.4.3 \ Strength Concrete: 25 MPa/19 mm. /\KS18_008-Concrete Cut-Off Walls \m³\5.76 \ 2000" u="1"/>
        <s v="SABS1200 GA  \ Concrete (Small Works) / 8.4\ SCHEDULED CONCRETE ITEMS / 8.4.3 \ Strength Concrete: 25 MPa/19 mm. /\KS18_009-Concrete Cut-Off Walls \m³\5.775 \ 2000" u="1"/>
        <s v="SABS1200 GA  \ Concrete (Small Works) / 8.4\ SCHEDULED CONCRETE ITEMS / 8.4.3 \ Strength Concrete: 25 MPa/19 mm. /\KS21_003-Concrete Drop Inlet \m³\24.79275 \ 2000" u="1"/>
        <s v="SABS1200 GA  \ Concrete (Small Works) / 8.4\ SCHEDULED CONCRETE ITEMS / 8.4.3 \ Strength Concrete: 25 MPa/19 mm. /\KS13_012-Concrete Drop Inlet \m³\27.4978 \ 2000" u="1"/>
        <s v="SABS1200 GA  \ Concrete (Small Works) / 8.4\ SCHEDULED CONCRETE ITEMS / 8.4.3 \ Strength Concrete: 25 MPa/19 mm. /\KS18_018-Concrete Drop Inlet \m³\22.42595 \ 2000" u="1"/>
        <s v="SABS1200 GA  \ Concrete (Small Works) / 8.4\ SCHEDULED CONCRETE ITEMS / 8.4.3 \ Strength Concrete: 25 MPa/19 mm. /\KS18_015-Concrete Drop Inlet. Refer to drawing U \m³\38.2205 \ 2000" u="1"/>
        <s v="SABS1200 GA  \ Concrete (Small Works) / 8.4\ SCHEDULED CONCRETE ITEMS / 8.4.3 \ Strength Concrete: 25 MPa/19 mm. /\KS12_004-Concrete Drop Inlet. Refer to drawing C \m³\32.178 \ 2000" u="1"/>
        <s v="SABS1200 GA  \ Concrete (Small Works) / 8.4\ SCHEDULED CONCRETE ITEMS / 8.4.3 \ Strength Concrete: 25 MPa/19 mm. /\KS18_019-Concrete Drop Inlet \m³\30.1032 \ 2000" u="1"/>
        <s v="SABS1200 GA \CONCRETE (SMALL WORKS)/8.4\SCHEDULED CONCRETE ITEMS/8.4.3\Strength Concrete: 25 Mpa with 19 mm stone. /\KS18_002-Concrete Drop Inlet. Drawing NBC-GTW-CL-0020 \m³\38.418 \ 2000" u="1"/>
        <s v="SABS1200 GA \CONCRETE (SMALL WORKS)/8.4\SCHEDULED CONCRETE ITEMS/8.4.3\Strength Concrete: 25 Mpa with 19 mm stone. /\KS21_010-Concrete Drop Inlet. Refer to drawing NBC-GTW-CL-0044 \m³\29.6325325 \ 2000" u="1"/>
        <s v="SABS1200 GA  \ Concrete (Small Works) / 8.4\ SCHEDULED CONCRETE ITEMS / 8.4.3 \ Strength Concrete: 25 MPa/19 mm. /\LS16_009-Concrete Cut-Off Walls \m³\4.35 \ 2000" u="1"/>
        <s v="SABS1200 GA \CONCRETE (SMALL WORKS)/8.4\SCHEDULED CONCRETE ITEMS/8.4.3\Strength Concrete: 25 Mpa with 19 mm stone. /\KS21_005-Concrete Drop Inlet. Refer to drawing NBC-GTW-CL-0040 \m³\29.7712955 \ 2000" u="1"/>
        <s v="SABS1200 GA \CONCRETE (SMALL WORKS)/8.4\SCHEDULED CONCRETE ITEMS/8.4.3\Strength Concrete: 25 Mpa with 19 mm stone. /\KS21_007-Concrete Drop Inlet. Refer to drawing NBC-GTW-CL-0042 \m³\25.587276 \ 2000" u="1"/>
        <s v="SABS1200 GA \CONCRETE (SMALL WORKS)/8.4\SCHEDULED CONCRETE ITEMS/8.4.3\Strength Concrete: 25 Mpa with 19 mm stone. /\KS20_006-Concrete Drop Inlet. Refer to drawing NBC-GTW-CL-0032 \m³\45.5624175 \ 2000" u="1"/>
        <s v="SABS1200 GA  \ Concrete (Small Works) / 8.4\ SCHEDULED CONCRETE ITEMS / 8.4.3 \ Strength Concrete: 25 MPa/19 mm. /\KS18_007-Concrete Cut-Off Walls. Refer to drawing AS \m³\5.04 \ 2000" u="1"/>
        <s v="SABS1200 GA \CONCRETE (SMALL WORKS)/8.4\SCHEDULED CONCRETE ITEMS/8.4.3\Strength Concrete: 25 Mpa with 19 mm stone. /\KS21_006-Concrete Drop Inlet. Refer to drawing NBC-GTW-CL-0041 \m³\27.1821095 \ 2000" u="1"/>
        <s v="SABS1200 GA \CONCRETE (SMALL WORKS)/8.4\SCHEDULED CONCRETE ITEMS/8.4.3\Strength Concrete: 25 Mpa with 19 mm stone. /\KS12_008-Concrete Drop Inlet. Refer to drawing NBC-GTW-CL-0007 \m³\15.98068 \ 2000" u="1"/>
        <s v="SABS1200 GA  \ Concrete (Small Works) / 8.4\ SCHEDULED CONCRETE ITEMS / 8.4.3 \ Strength Concrete: 25 MPa/19 mm. /\KS18_012-Concrete Cut-Off Walls. Refer to drawing AS \m³\6.6 \ 2000" u="1"/>
        <s v="SABS1200 GA  \ Concrete (Small Works) / 8.4\ SCHEDULED CONCRETE ITEMS / 8.4.3 \ Strength Concrete: 25 MPa/19 mm. /\KS18_001-Concrete Drop Inlet \m³\59.00696 \ 2000" u="1"/>
        <s v="SABS1200 GA \CONCRETE (SMALL WORKS)/8.4\SCHEDULED CONCRETE ITEMS/8.4.3\Strength Concrete: 25 Mpa with 19 mm stone. /\KS20_009_a-Concrete Buttress Weir. Drawing NBC-GTW-CL-0035 \m³\64.5 \ 2000" u="1"/>
        <s v="SABS1200 GA  \ Concrete (Small Works) / 8.4\ SCHEDULED CONCRETE ITEMS / 8.4.3 \ Strength Concrete: 25 MPa/19 mm. /\KS13_003-Concrete Drop Inlet. Refer to drawing I \m³\27.7266 \ 2000" u="1"/>
        <s v="SABS1200 GA \CONCRETE (SMALL WORKS)/8.4\SCHEDULED CONCRETE ITEMS/8.4.3\Strength Concrete: 25 Mpa with 19 mm stone. /\KS20_002-Concrete Drop Inlet. Drawing NBC-GTW-CL-0028 \m³\31.39634 \ 2000" u="1"/>
        <s v="SABS1200 GA \CONCRETE (SMALL WORKS)/8.4\SCHEDULED CONCRETE ITEMS/8.4.3\Strength Concrete: 25 Mpa with 19 mm stone. /\KS20_006-Concrete Drop Inlet. Drawing NBC-GTW-CL-0032 \m³\45.5624175 \ 2000" u="1"/>
        <s v="SABS1200 GA \CONCRETE (SMALL WORKS)/8.4\SCHEDULED CONCRETE ITEMS/8.4.3\Strength Concrete: 25 Mpa with 19 mm stone. /\KS20_008-Concrete Drop Inlet. Refer to drawing NBC-GTW-CL-0034 \m³\47.24264 \ 2000" u="1"/>
        <s v="SABS1200 GA \CONCRETE (SMALL WORKS)/8.4\SCHEDULED CONCRETE ITEMS/8.4.3\Strength Concrete: 25 Mpa with 19 mm stone. /\KS21_009-Concrete Drop Inlet. Refer to drawing NBC-GTW-CL-0043 \m³\31.18664 \ 2000" u="1"/>
        <s v="SABS1200 GA \CONCRETE (SMALL WORKS)/8.4\SCHEDULED CONCRETE ITEMS/8.4.3\Strength Concrete: 25 Mpa with 19 mm stone. /\KS20_009_b-Concrete Overflow Wall. Refer to drawing NBC-GTW-CL-0036 \m³\6.906 \ 2000" u="1"/>
        <s v="SABS1200 GA \CONCRETE (SMALL WORKS)/8.4\SCHEDULED CONCRETE ITEMS/8.4.3\Strength Concrete: 25 Mpa with 19 mm stone. /\KS20_008-Concrete Drop Inlet. Drawing NBC-GTW-CL-0034 \m³\47.24264 \ 2000" u="1"/>
        <s v="SABS1200 GA \CONCRETE (SMALL WORKS)/8.4\SCHEDULED CONCRETE ITEMS/8.4.3\Strength Concrete: 25 Mpa with 19 mm stone. /\KS21_009-Concrete Drop Inlet. Drawing NBC-GTW-CL-0043 \m³\31.18664 \ 2000" u="1"/>
        <s v="SABS1200 GA \CONCRETE (SMALL WORKS)/8.4\SCHEDULED CONCRETE ITEMS/8.4.3\Strength Concrete: 25 Mpa with 19 mm stone. /\KS18_001-Concrete Drop Inlet. Refer to drawing NBC-GTW-CL-0019 \m³\59.00696 \ 2000" u="1"/>
        <s v="SABS1200 GA \Concrete (Small Works)/8.4\SCHEDULED CONCRETE ITEMS/8.4.3\Strength Concrete: 25 MPa/19 mm. /\KS18_006-Concrete Cut-Off Walls. Refer to drawing NBC-GTW-CL-0045 \m³\6.615 \ 2000" u="1"/>
        <s v="SABS1200 GA  \ Concrete (Small Works) / 8.4\ SCHEDULED CONCRETE ITEMS / 8.4.3 \ Strength Concrete: 25 MPa/19 mm. /\KS18_011-Concrete Cut-Off Walls. Refer to drawing AS \m³\6 \ 2000" u="1"/>
        <s v="SABS1200 GA  \ Concrete (Small Works) / 8.4\ SCHEDULED CONCRETE ITEMS / 8.4.3 \ Strength Concrete: 25 MPa/19 mm. /\KS18_013-Concrete Cut-Off Walls. Refer to drawing AS \m³\6 \ 2000" u="1"/>
        <s v="SABS1200 GA  \ Concrete (Small Works) / 8.4\ SCHEDULED CONCRETE ITEMS / 8.4.3 \ Strength Concrete: 25 MPa/19 mm. /\KS18_003-Concrete Cut-Off Walls. Refer to drawing AS \m³\5.7 \ 2000" u="1"/>
        <s v="SABS1200 GA  / Concrete (Small Works) / 8.4 / 8.4.3 / Strength Concrete, Grade / KS18_016-Concrete Drop Inlet / 29.8284 / m³" u="1"/>
        <s v="SABS1200 GA  \ Concrete (Small Works) / 8.4\ SCHEDULED CONCRETE ITEMS / 8.4.3 \ Strength Concrete: 25 MPa/19 mm. /\KS13_008-Concrete Drop Inlet. Refer to drawing N \m³\33.0207 \ 2000" u="1"/>
        <s v="SABS1200 GA  / Concrete (Small Works) / 8.4 / 8.4.3 / Strength Concrete, Grade / LS16_002-Concrete Cut-Off Walls / 4.8 / m³" u="1"/>
        <s v="SABS1200 GA  / Concrete (Small Works) / 8.4 / 8.4.3 / Strength Concrete, Grade / KS18_007-Concrete Cut-Off Walls / 5.04 / m³" u="1"/>
        <s v="SABS1200 GA  / Concrete (Small Works) / 8.4 / 8.4.3 / Strength Concrete, Grade / LS16_001-Concrete Cut-Off Walls / 5.04 / m³" u="1"/>
        <s v="SABS1200 GA \Concrete (Small Works)/8.4\SCHEDULED CONCRETE ITEMS/8.4.3\Strength Concrete: 25 MPa/19 mm. /\LS16_005-Concrete Cut-Off Walls  \m³\3.6 \ 2000" u="1"/>
        <s v="SABS1200 GA  / Concrete (Small Works) / 8.4 / 8.4.3 / Strength Concrete, Grade / KS20_009_b-Concrete Overflow Wall / 6.906 / m³" u="1"/>
        <s v="SABS1200 GA  / Concrete (Small Works) / 8.4 / 8.4.3 / Strength Concrete, Grade / KS21_005-Concrete Drop Inlet / 29.7712955 / m³" u="1"/>
        <s v="SABS1200 GA  \ Concrete (Small Works) / 8.4\ SCHEDULED CONCRETE ITEMS / 8.4.3 \ Strength Concrete: 25 MPa/19 mm. /\LS16_008-Concrete Cut-Off Walls \m³\4.1325 \ 2000" u="1"/>
        <s v="SABS1200 GA  / Concrete (Small Works) / 8.4 / 8.4.3 / Strength Concrete, Grade / LS16_010-Concrete Cut-Off Walls / 5.1 / m³" u="1"/>
        <s v="SABS1200 GA  \ Concrete (Small Works) / 8.4\ SCHEDULED CONCRETE ITEMS / 8.4.3 \ Strength Concrete: 25 MPa/19 mm. /\LS16_006-Concrete Cut-Off Walls  \m³\6.48 \ 2000" u="1"/>
        <s v="SABS1200 GA \Concrete (Small Works)/8.4\SCHEDULED CONCRETE ITEMS/8.4.3\Strength Concrete: 25 MPa/19 mm. /\KS12_007-Concrete Drop Inlet. Refer to drawing NBC-GTW-CL-0006 \m³\21.17025 \ 2000" u="1"/>
        <s v="SABS1200 GA  \ Concrete (Small Works) / 8.4\ SCHEDULED CONCRETE ITEMS / 8.4.3 \ Strength Concrete: 25 MPa/19 mm. /\KS12_008-Concrete Drop Inlet \m³\15.98068 \ 2000" u="1"/>
        <s v="SABS1200 GA  \ Concrete (Small Works) / 8.4\ SCHEDULED CONCRETE ITEMS / 8.4.3 \ Strength Concrete: 25 MPa/19 mm. /\KS20_005-Concrete Drop Inlet \m³\43.50478 \ 2000" u="1"/>
        <s v="SABS1200 GA  \ Concrete (Small Works) / 8.4\ SCHEDULED CONCRETE ITEMS / 8.4.3 \ Strength Concrete: 25 MPa/19 mm. /\KS12_009-Concrete Drop Inlet \m³\11.59698 \ 2000" u="1"/>
        <s v="SABS1200 GA  \ Concrete (Small Works) / 8.4\ SCHEDULED CONCRETE ITEMS / 8.4.3 \ Strength Concrete: 25 MPa/19 mm. /\KS20_002-Concrete Drop Inlet. Refer to drawing AB \m³\29.5809 \ 2000" u="1"/>
        <s v="SABS1200 GA  \ Concrete (Small Works) / 8.4\ SCHEDULED CONCRETE ITEMS / 8.4.3 \ Strength Concrete: 25 MPa/19 mm. /\KS12_007-Concrete Drop Inlet. Refer to drawing F \m³\21.17025 \ 2000" u="1"/>
        <s v="SABS1200 GA  \ Concrete (Small Works) / 8.4\ SCHEDULED CONCRETE ITEMS / 8.4.3 \ Strength Concrete: 25 MPa/19 mm. /\KS13_012-Concrete Drop Inlet. Refer to drawing P \m³\27.4978 \ 2000" u="1"/>
        <s v="SABS1200 GA  / Concrete (Small Works) / 8.4 / 8.4.3 / Strength Concrete, Grade / KS13_012-Concrete Drop Inlet / 27.4978 / m³" u="1"/>
        <s v="SABS1200 GA \Concrete (Small Works)/8.4\SCHEDULED CONCRETE ITEMS/8.4.3\Strength Concrete: 25 MPa/19 mm. /\KS20_009_a-Concrete Drop Inlet. Refer to drawing NBC-GTW-CL-0035 \m³\61.557674 \ 2000" u="1"/>
        <s v="SABS1200 GA \CONCRETE (SMALL WORKS)/8.4\SCHEDULED CONCRETE ITEMS/8.4.3\Strength Concrete: 25 Mpa with 19 mm stone. /\KS20_006-Concrete Check Wall. Drawing NBC-GTW-CL-0032 \m³\10.035 \ 2000" u="1"/>
        <s v="SABS1200 GA \Concrete (Small Works)/8.4\SCHEDULED CONCRETE ITEMS/8.4.3\Strength Concrete: 25 MPa/19 mm. /\KS20_001-Concrete Drop Inlet. Refer to drawing NBC-GTW-CL-0027 \m³\20.39535 \ 2000" u="1"/>
        <s v="SABS1200 GA  \ Concrete (Small Works) / 8.4\ SCHEDULED CONCRETE ITEMS / 8.4.3 \ Strength Concrete: 25 MPa/19 mm. /\KS12_006-Concrete Drop Inlet. Refer to drawing E \m³\16.51343 \ 2000" u="1"/>
        <s v="SABS1200 GA  / Concrete (Small Works) / 8.4 / 8.4.3 / Strength Concrete, Grade / KS18_017-Concrete Drop Inlet / 27.5224 / m³" u="1"/>
        <s v="SABS1200 GA  \ Concrete (Small Works) / 8.4\ SCHEDULED CONCRETE ITEMS / 8.4.3 \ Strength Concrete: 25 MPa/19 mm. /\KS20_007-Concrete Drop Inlet \m³\34.576244 \ 2000" u="1"/>
        <s v="SABS1200 GA \CONCRETE (SMALL WORKS)/8.4\SCHEDULED CONCRETE ITEMS/8.4.3\Strength Concrete: 25 Mpa with 19 mm stone. /\KS18_005-Concrete Cut-Off Walls. Drawing NBC-GTW-CL-0045 \m³\6.93 \ 2000" u="1"/>
        <s v="SABS1200 GA \CONCRETE (SMALL WORKS)/8.4\SCHEDULED CONCRETE ITEMS/8.4.3\Strength Concrete: 25 Mpa with 19 mm stone. /\KS18_010-Concrete Cut-Off Walls. Drawing NBC-GTW-CL-0045 \m³\6.93 \ 2000" u="1"/>
        <s v="SABS1200 GA  / Concrete (Small Works) / 8.4 / 8.4.3 / Strength Concrete, Grade / KS12_007-Concrete Drop Inlet / 21.17025 / m³" u="1"/>
        <s v="SABS1200 GA  / Concrete (Small Works) / 8.4 / 8.4.3 / Strength Concrete, Grade / KS18_019-Concrete Drop Inlet / 30.1032 / m³" u="1"/>
        <s v="SABS1200 GA  / Concrete (Small Works) / 8.4 / 8.4.3 / Strength Concrete, Grade / KS20_002-Concrete Drop Inlet / 29.5809 / m³" u="1"/>
        <s v="SABS1200 GA \CONCRETE (SMALL WORKS)/8.4\SCHEDULED CONCRETE ITEMS/8.4.3\Strength Concrete: 25 Mpa with 19 mm stone. /\KS18_006-Concrete Cut-Off Walls. Drawing NBC-GTW-CL-0045 \m³\6.615 \ 2000" u="1"/>
        <s v="SABS1200 GA \CONCRETE (SMALL WORKS)/8.4\SCHEDULED CONCRETE ITEMS/8.4.3\Strength Concrete: 25 Mpa with 19 mm stone. /\KS18_016-Concrete Drop Inlet. Drawing NBC-GTW-CL-0022 \m³\29.8284 \ 2000" u="1"/>
        <s v="SABS1200 GA  \ Concrete (Small Works) / 8.4\ SCHEDULED CONCRETE ITEMS / 8.4.3 \ Strength Concrete: 25 MPa/19 mm. /\KS13_015-Concrete Drop Inlet. Refer to drawing R \m³\26.49053 \ 2000" u="1"/>
        <s v="SABS1200 GA \Concrete (Small Works)/8.4\SCHEDULED CONCRETE ITEMS/8.4.3\Strength Concrete: 25 MPa/19 mm. /\KS21_010-Concrete Drop Inlet. Refer to drawing NBC-GTW-CL-0044 \m³\29.6325325 \ 2000" u="1"/>
        <s v="SABS1200 GA \CONCRETE (SMALL WORKS)/8.4\SCHEDULED CONCRETE ITEMS/8.4.3\Strength Concrete: 25 Mpa with 19 mm stone. /\KS21_006-Concrete Drop Inlet. Drawing NBC-GTW-CL-0041 \m³\27.1821095 \ 2000" u="1"/>
        <s v="SABS1200 GA \Concrete (Small Works)/8.4\SCHEDULED CONCRETE ITEMS/8.4.3\Strength Concrete: 25 MPa/19 mm. /\KS12_008-Concrete Drop Inlet. Refer to drawing NBC-GTW-CL-0007 \m³\15.98068 \ 2000" u="1"/>
        <s v="SABS1200 GA \CONCRETE (SMALL WORKS)/8.4\SCHEDULED CONCRETE ITEMS/8.4.3\Strength Concrete: 25 Mpa with 19 mm stone. /\KS13_006-Concrete Drop Inlet. Drawing NBC-GTW-CL-0012 \m³\32.9871 \ 2000" u="1"/>
        <s v="SABS1200 GA  / Concrete (Small Works) / 8.4 / 8.4.3 / Strength Concrete, Grade / KS21_010-Concrete Drop Inlet / 29.6325325 / m³" u="1"/>
        <s v="SABS1200 GA \CONCRETE (SMALL WORKS)/8.4\SCHEDULED CONCRETE ITEMS/8.4.3\Strength Concrete: 25 Mpa with 19 mm stone. /\KS18_004-Concrete Cut-Off Walls. Drawing NBC-GTW-CL-0045 \m³\5.355 \ 2000" u="1"/>
        <s v="SABS1200 GA \Concrete (Small Works)/8.4\SCHEDULED CONCRETE ITEMS/8.4.3\Strength Concrete: 25 MPa/19 mm. /\KS21_005-Concrete Drop Inlet. Refer to drawing NBC-GTW-CL-0040 \m³\29.7712955 \ 2000" u="1"/>
        <s v="SABS1200 GA  / Concrete (Small Works) / 8.4 / 8.4.3 / Strength Concrete, Grade / KS18_002-Concrete Drop Inlet / 38.418 / m³" u="1"/>
        <s v="SABS1200 GA \CONCRETE (SMALL WORKS)/8.4\SCHEDULED CONCRETE ITEMS/8.4.3\Strength Concrete: 25 Mpa with 19 mm stone. /\KS13_007-Concrete Drop Inlet. Drawing NBC-GTW-CL-0013 \m³\25.3974 \ 2000" u="1"/>
        <s v="SABS1200 GA \CONCRETE (SMALL WORKS)/8.4\SCHEDULED CONCRETE ITEMS/8.4.3\Strength Concrete: 25 Mpa with 19 mm stone. /\KS13_013-Concrete Drop Inlet. Drawing NBC-GTW-CL-0017 \m³\23.5474 \ 2000" u="1"/>
        <s v="SABS1200 GA \Concrete (Small Works)/8.4\SCHEDULED CONCRETE ITEMS/8.4.3\Strength Concrete: 25 MPa/19 mm. /\LS16_007-Concrete Cut-Off Walls  \m³\5.94 \ 2000" u="1"/>
        <s v="SABS1200 GA \Concrete (Small Works)/8.4\SCHEDULED CONCRETE ITEMS/8.4.3\Strength Concrete: 25 MPa/19 mm. /\KS18_004-Concrete Cut-Off Walls. Refer to drawing NBC-GTW-CL-0045 \m³\5.355 \ 2000" u="1"/>
        <s v="SABS1200 GA \CONCRETE (SMALL WORKS)/8.4\SCHEDULED CONCRETE ITEMS/8.4.3\Strength Concrete: 25 Mpa with 19 mm stone. /\KS18_009-Concrete Cut-Off Walls. Drawing NBC-GTW-CL-0045 \m³\5.775 \ 2000" u="1"/>
        <s v="SABS1200 GA \Concrete (Small Works)/8.4\SCHEDULED CONCRETE ITEMS/8.4.3\Strength Concrete: 25 MPa/19 mm. /\KS20_006-Concrete Drop Inlet. Refer to drawing NBC-GTW-CL-0032 \m³\45.5624175 \ 2000" u="1"/>
        <s v="SABS1200 GA \CONCRETE (SMALL WORKS)/8.4\SCHEDULED CONCRETE ITEMS/8.4.3\Strength Concrete: 25 Mpa with 19 mm stone. /\KS18_008-Concrete Cut-Off Walls. Drawing NBC-GTW-CL-0045 \m³\5.76 \ 2000" u="1"/>
        <s v="SABS1200 GA \Concrete (Small Works)/8.4\SCHEDULED CONCRETE ITEMS/8.4.3\Strength Concrete: 25 MPa/19 mm. /\KS21_007-Concrete Drop Inlet. Refer to drawing NBC-GTW-CL-0042 \m³\25.587276 \ 2000" u="1"/>
        <s v="SABS1200 GA \Concrete (Small Works)/8.4\SCHEDULED CONCRETE ITEMS/8.4.3\Strength Concrete: 25 MPa/19 mm. /\KS12_006-Concrete Drop Inlet. Refer to drawing NBC-GTW-CL-0005 \m³\16.51343 \ 2000" u="1"/>
        <s v="SABS1200 GA  / Concrete (Small Works) / 8.4 / 8.4.3 / Strength Concrete, Grade / KS20_006-Concrete Drop Inlet / 45.5624175 / m³" u="1"/>
        <s v="SABS1200 GA \CONCRETE (SMALL WORKS)/8.4\SCHEDULED CONCRETE ITEMS/8.4.3\Strength Concrete: 25 Mpa with 19 mm stone. /\KS18-014-Concrete Filled Geo-Cell Berm. Drawing NBC-GTW-CL-0001 \m³\9.03840508391961 \ 2000" u="1"/>
        <s v="SABS1200 GA \CONCRETE (SMALL WORKS)/8.4\SCHEDULED CONCRETE ITEMS/8.4.3\Strength Concrete: 25 Mpa with 19 mm stone. /\KS18_018-Concrete Drop Inlet. Drawing NBC-GTW-CL-0024 \m³\22.42595 \ 2000" u="1"/>
        <s v="SABS1200 GA \Concrete (Small Works)/8.4\SCHEDULED CONCRETE ITEMS/8.4.3\Strength Concrete: 25 MPa/19 mm. /\KS21_006-Concrete Drop Inlet. Refer to drawing NBC-GTW-CL-0041 \m³\27.1821095 \ 2000" u="1"/>
        <s v="SABS1200 GA \CONCRETE (SMALL WORKS)/8.4\SCHEDULED CONCRETE ITEMS/8.4.3\Strength Concrete: 25 Mpa with 19 mm stone. /\KS13_012-Concrete Drop Inlet. Drawing NBC-GTW-CL-0016 \m³\27.4978 \ 2000" u="1"/>
        <s v="SABS1200 GA \Concrete (Small Works)/8.4\SCHEDULED CONCRETE ITEMS/8.4.3\Strength Concrete: 25 MPa/19 mm. /\KS20_005-Concrete Drop Inlet. Refer to drawing NBC-GTW-CL-0031 \m³\43.50478 \ 2000" u="1"/>
        <s v="SABS1200 GA  \ Concrete (Small Works) / 8.4\ SCHEDULED CONCRETE ITEMS / 8.4.3 \ Strength Concrete: 25 MPa/19 mm. /\KS20_004-Concrete Drop Inlet \m³\36.703448 \ 2000" u="1"/>
        <s v="SABS1200 GA \Concrete (Small Works)/8.4\SCHEDULED CONCRETE ITEMS/8.4.3\Strength Concrete: 25 MPa/19 mm. /\LS16_002-Concrete Cut-Off Walls  \m³\4.8 \ 2000" u="1"/>
        <s v="SABS1200 GA  / Concrete (Small Works) / 8.4 / 8.4.3 / Strength Concrete, Grade / KS13_015-Concrete Drop Inlet / 26.49053 / m³" u="1"/>
        <s v="SABS1200 GA \Concrete (Small Works)/8.4\SCHEDULED CONCRETE ITEMS/8.4.3\Strength Concrete: 25 MPa/19 mm. /\KS13_015-Concrete Drop Inlet. Refer to drawing NBC-GTW-CL-0018 \m³\26.49053 \ 2000" u="1"/>
        <s v="SABS1200 GA \CONCRETE (SMALL WORKS)/8.4\SCHEDULED CONCRETE ITEMS/8.4.3\Strength Concrete: 25 Mpa with 19 mm stone. /\KS12_005-Concrete Drop Inlet. Refer to drawing NBC-GTW-CL-0004 \m³\30.30542048 \ 2000" u="1"/>
        <s v="SABS1200 GA  \ Concrete (Small Works) / 8.4\ SCHEDULED CONCRETE ITEMS / 8.4.3 \ Strength Concrete: 25 MPa/19 mm. /\LS16_003-Concrete Cut-Off Walls \m³\2.1 \ 2000" u="1"/>
        <s v="SABS1200 GA  \ Concrete (Small Works) / 8.4\ SCHEDULED CONCRETE ITEMS / 8.4.3 \ Strength Concrete: 25 MPa/19 mm. /\LS16_010-Concrete Cut-Off Walls \m³\5.1 \ 2000" u="1"/>
        <s v="SABS1200 GA \CONCRETE (SMALL WORKS)/8.4\SCHEDULED CONCRETE ITEMS/8.4.3\Strength Concrete: 25 Mpa with 19 mm stone. /\KS13_004-Concrete Drop Inlet. Drawing NBC-GTW-CL-0010 \m³\22.2744 \ 2000" u="1"/>
        <s v="SABS1200 GA \Concrete (Small Works)/8.4\SCHEDULED CONCRETE ITEMS/8.4.3\Strength Concrete: 25 MPa/19 mm. /\KS20_007-Concrete Drop Inlet. Refer to drawing NBC-GTW-CL-0033 \m³\34.576244 \ 2000" u="1"/>
        <s v="SABS1200 GA \Concrete (Small Works)/8.4\SCHEDULED CONCRETE ITEMS/8.4.3\Strength Concrete: 25 MPa/19 mm. /\KS20_008-Concrete Drop Inlet. Refer to drawing NBC-GTW-CL-0034 \m³\47.24264 \ 2000" u="1"/>
        <s v="SABS1200 GA \Concrete (Small Works)/8.4\SCHEDULED CONCRETE ITEMS/8.4.3\Strength Concrete: 25 MPa/19 mm. /\KS21_009-Concrete Drop Inlet. Refer to drawing NBC-GTW-CL-0043 \m³\31.18664 \ 2000" u="1"/>
        <s v="SABS1200 GA  / Concrete (Small Works) / 8.4 / 8.4.3 / Strength Concrete, Grade / KS20_003-Concrete Buttress Weir / 50.2704448 / m³" u="1"/>
        <s v="SABS1200 GA \CONCRETE (SMALL WORKS)/8.4\SCHEDULED CONCRETE ITEMS/8.4.3\Strength Concrete: 25 Mpa with 19 mm stone. /\KS18_019-Concrete Drop Inlet. Drawing NBC-GTW-CL-0025 \m³\30.1032 \ 2000" u="1"/>
        <s v="SABS1200 GA  / Concrete (Small Works) / 8.4 / 8.4.3 / Strength Concrete, Grade / KS13_006-Concrete Drop Inlet / 32.9871 / m³" u="1"/>
        <s v="SABS1200 GA \CONCRETE (SMALL WORKS)/8.4\SCHEDULED CONCRETE ITEMS/8.4.3\Strength Concrete: 25 Mpa with 19 mm stone. /\KS21_007-Concrete Drop Inlet. Drawing NBC-GTW-CL-0042 \m³\25.587276 \ 2000" u="1"/>
        <s v="SABS1200 GA  \ Concrete (Small Works) / 8.4\ SCHEDULED CONCRETE ITEMS / 8.4.3 \ Strength Concrete: 25 MPa/19 mm. /\KS18_016-Concrete Drop Inlet \m³\29.8284 \ 2000" u="1"/>
        <s v="SABS1200 GA  \ Concrete (Small Works) / 8.4\ SCHEDULED CONCRETE ITEMS / 8.4.3 \ Strength Concrete: 25 MPa/19 mm. /\KS20_003-Concrete Buttress Weir. Refer to drawing AC \m³\50.2704448 \ 2000" u="1"/>
        <s v="SABS1200 GA \Concrete (Small Works)/8.4\SCHEDULED CONCRETE ITEMS/8.4.3\Strength Concrete: 25 MPa/19 mm. /\KS20_004-Concrete Drop Inlet. Refer to drawing NBC-GTW-CL-0030 \m³\36.703448 \ 2000" u="1"/>
        <s v="SABS1200 GA \CONCRETE (SMALL WORKS)/8.4\SCHEDULED CONCRETE ITEMS/8.4.3\Strength Concrete: 25 Mpa with 19 mm stone. /\KS20_009_b-Concrete Overflow Wall. Refer to drawing NBC-GTW-CL-0035 \m³\6.1 \ 2000" u="1"/>
        <s v="SABS1200 GA \Concrete (Small Works)/8.4\SCHEDULED CONCRETE ITEMS/8.4.3\Strength Concrete: 25 MPa/19 mm. /\KS18_009-Concrete Cut-Off Walls. Refer to drawing NBC-GTW-CL-0045 \m³\5.775 \ 2000" u="1"/>
        <s v="SABS1200 GA \Concrete (Small Works)/8.4\SCHEDULED CONCRETE ITEMS/8.4.3\Strength Concrete: 25 MPa/19 mm. /\KS21_003-Concrete Drop Inlet. Refer to drawing NBC-GTW-CL-0039 \m³\24.79275 \ 2000" u="1"/>
        <s v="SABS1200 GA  / Concrete (Small Works) / 8.4 / 8.4.3 / Strength Concrete, Grade / KS18_014-Concrete Filled Geo-Cell Berm / 9.03840508391961 / m³" u="1"/>
        <s v="SABS1200 GA \CONCRETE (SMALL WORKS)/8.4\SCHEDULED CONCRETE ITEMS/8.4.3\Strength Concrete: 25 Mpa with 19 mm stone. /\KS15_001-Fish Bowl  \m³\112 \ 2000" u="1"/>
        <s v="SABS1200 GA \CONCRETE (SMALL WORKS)/8.4\SCHEDULED CONCRETE ITEMS/8.4.3\Strength Concrete: 25 Mpa with 19 mm stone. /\KS20_009_a-Concrete Drop Inlet. Refer to drawing NBC-GTW-CL-0035 \m³\61.557674 \ 2000" u="1"/>
        <s v="SABS1200 GA \CONCRETE (SMALL WORKS)/8.4\SCHEDULED CONCRETE ITEMS/8.4.3\Strength Concrete: 25 Mpa with 19 mm stone. /\KS12_007-Concrete Drop Inlet. Refer to drawing NBC-GTW-CL-0006 \m³\21.17025 \ 2000" u="1"/>
        <s v="SABS1200 GA \Concrete (Small Works)/8.4\SCHEDULED CONCRETE ITEMS/8.4.3\Strength Concrete: 25 MPa/19 mm. /\KS12_009-Concrete Drop Inlet. Refer to drawing NBC-GTW-CL-0008 \m³\11.59698 \ 2000" u="1"/>
        <s v="SABS1200 GA  \ Concrete (Small Works) / 8.4\ SCHEDULED CONCRETE ITEMS / 8.4.3 \ Strength Concrete: 25 MPa/19 mm. /\KS13_004-Concrete Drop Inlet \m³\22.2744 \ 2000" u="1"/>
        <s v="SABS1200 GA  \ Concrete (Small Works) / 8.4\ SCHEDULED CONCRETE ITEMS / 8.4.3 \ Strength Concrete: 25 MPa/19 mm. /\KS13_005-Concrete Drop Inlet. Refer to drawing K \m³\35.97891 \ 2000" u="1"/>
        <s v="SABS1200 GA \CONCRETE (SMALL WORKS)/8.4\SCHEDULED CONCRETE ITEMS/8.4.3\Strength Concrete: 25 Mpa with 19 mm stone. /\KS18_017-Concrete Drop Inlet. Drawing NBC-GTW-CL-0023 \m³\27.5224 \ 2000" u="1"/>
        <s v="SABS1200 GA  \ Concrete (Small Works) / 8.4\ SCHEDULED CONCRETE ITEMS / 8.4.3 \ Strength Concrete: 25 MPa/19 mm. /\LS16_006-Concrete Cut-Off Walls \m³\6.48 \ 2000" u="1"/>
        <s v="SABS1200 GA  \ Concrete (Small Works) / 8.4\ SCHEDULED CONCRETE ITEMS / 8.4.3 \ Strength Concrete: 25 MPa/19 mm. /\KS21_007-Concrete Drop Inlet \m³\25.587276 \ 2000" u="1"/>
        <s v="SABS1200 GA  \ Concrete (Small Works) / 8.4\ SCHEDULED CONCRETE ITEMS / 8.4.3 \ Strength Concrete: 25 MPa/19 mm. /\KS12_008-Concrete Drop Inlet. Refer to drawing G \m³\15.98068 \ 2000" u="1"/>
        <s v="SABS1200 GA  \ Concrete (Small Works) / 8.4\ SCHEDULED CONCRETE ITEMS / 8.4.3 \ Strength Concrete: 25 MPa/19 mm. /\KS18_008-Concrete Cut-Off Walls. Refer to drawing AS \m³\5.76 \ 2000" u="1"/>
        <s v="SABS1200 GA  \ Concrete (Small Works) / 8.4\ SCHEDULED CONCRETE ITEMS / 8.4.3 \ Strength Concrete: 25 MPa/19 mm. /\KS18_007-Concrete Cut-Off Walls \m³\5.04 \ 2000" u="1"/>
        <s v="SABS1200 GA  \ Concrete (Small Works) / 8.4\ SCHEDULED CONCRETE ITEMS / 8.4.3 \ Strength Concrete: 25 MPa/19 mm. /\LS16_001-Concrete Cut-Off Walls \m³\5.04 \ 2000" u="1"/>
        <s v="SABS1200 GA  \ Concrete (Small Works) / 8.4\ SCHEDULED CONCRETE ITEMS / 8.4.3 \ Strength Concrete: 25 MPa/19 mm. /\KS18_015-Concrete Drop Inlet \m³\38.2205 \ 2000" u="1"/>
        <s v="SABS1200 GA  / Concrete (Small Works) / 8.4 / 8.4.3 / Strength Concrete, Grade / KS18_004-Concrete Cut-Off Walls / 5.355 / m³" u="1"/>
        <s v="SABS1200 GA \Concrete (Small Works)/8.4\SCHEDULED CONCRETE ITEMS/8.4.3\Strength Concrete: 25 MPa/19 mm. /\KS13_011-Concrete Drop Inlet. Refer to drawing NBC-GTW-CL-0015 \m³\37.8 \ 2000" u="1"/>
        <s v="SABS1200 GA \CONCRETE (SMALL WORKS)/8.4\SCHEDULED CONCRETE ITEMS/8.4.3\Strength Concrete: 25 Mpa with 19 mm stone. /\KS20_007-Concrete Drop Inlet. Refer to drawing NBC-GTW-CL-0033 \m³\34.576244 \ 2000" u="1"/>
        <s v="SABS1200 GA  \ Concrete (Small Works) / 8.4\ SCHEDULED CONCRETE ITEMS / 8.4.3 \ Strength Concrete: 25 MPa/19 mm. /\KS13_008-Concrete Drop Inlet \m³\33.0207 \ 2000" u="1"/>
        <s v="SABS1200 GA  / Concrete (Small Works) / 8.4 / 8.4.3 / Strength Concrete, Grade / KS18_003-Concrete Cut-Off Walls / 5.7 / m³" u="1"/>
        <s v="SABS1200 GA  \ Concrete (Small Works) / 8.4\ SCHEDULED CONCRETE ITEMS / 8.4.3 \ Strength Concrete: 25 MPa/19 mm. /\KS20_002-Concrete Drop Inlet \m³\29.5809 \ 2000" u="1"/>
        <s v="SABS1200 GA  / Concrete (Small Works) / 8.4 / 8.4.3 / Strength Concrete, Grade / KS12_006-Concrete Drop Inlet / 16.51343 / m³" u="1"/>
        <s v="SABS1200 GA \CONCRETE (SMALL WORKS)/8.4\SCHEDULED CONCRETE ITEMS/8.4.3\Strength Concrete: 25 Mpa with 19 mm stone. /\KS20_004-Concrete Drop Inlet. Refer to drawing NBC-GTW-CL-0030 \m³\36.703448 \ 2000" u="1"/>
        <s v="SABS1200 GA \Concrete (Small Works)/8.4\SCHEDULED CONCRETE ITEMS/8.4.3\Strength Concrete: 25 MPa/19 mm. /\KS20_009_b-Concrete Overflow Wall. Refer to drawing NBC-GTW-CL-0036 \m³\6.906 \ 2000" u="1"/>
        <s v="SABS1200 GA \CONCRETE (SMALL WORKS)/8.4\SCHEDULED CONCRETE ITEMS/8.4.3\Strength Concrete: 25 Mpa with 19 mm stone. /\ks11-001-Off-take structure  \m³\0.4 \ 2000" u="1"/>
        <s v="SABS1200 GA  / Concrete (Small Works) / 8.4 / 8.4.3 / Strength Concrete, Grade / KS21_003-Concrete Drop Inlet / 24.79275 / m³" u="1"/>
        <s v="SABS1200 GA \CONCRETE (SMALL WORKS)/8.4\SCHEDULED CONCRETE ITEMS/8.4.3\Strength Concrete: 25 Mpa with 19 mm stone. /\KS13_015-Concrete Drop Inlet. Refer to drawing NBC-GTW-CL-0018 \m³\26.49053 \ 2000" u="1"/>
        <s v="SABS1200 GA  \ Concrete (Small Works) / 8.4\ SCHEDULED CONCRETE ITEMS / 8.4.3 \ Strength Concrete: 25 MPa/19 mm. /\KS18_005-Concrete Cut-Off Walls. Refer to drawing AS \m³\6.93 \ 2000" u="1"/>
        <s v="SABS1200 GA  \ Concrete (Small Works) / 8.4\ SCHEDULED CONCRETE ITEMS / 8.4.3 \ Strength Concrete: 25 MPa/19 mm. /\KS18_010-Concrete Cut-Off Walls. Refer to drawing AS \m³\6.93 \ 2000" u="1"/>
        <s v="SABS1200 GA \Concrete (Small Works)/8.4\SCHEDULED CONCRETE ITEMS/8.4.3\Strength Concrete: 25 MPa/19 mm. /\KS18_001-Concrete Drop Inlet. Refer to drawing NBC-GTW-CL-0019 \m³\59.00696 \ 2000" u="1"/>
        <s v="SABS1200 GA \CONCRETE (SMALL WORKS)/8.4\SCHEDULED CONCRETE ITEMS/8.4.3\Strength Concrete: 25 Mpa with 19 mm stone. /\KS18_007-Concrete Cut-Off Walls. Drawing NBC-GTW-CL-0045 \m³\5.04 \ 2000" u="1"/>
        <s v="SABS1200 GA  / Concrete (Small Works) / 8.4 / 8.4.3 / Strength Concrete, Grade / KS13_013-Concrete Drop Inlet / 23.5474 / m³" u="1"/>
        <s v="SABS1200 GA \CONCRETE (SMALL WORKS)/8.4\SCHEDULED CONCRETE ITEMS/8.4.3\Strength Concrete: 25 Mpa with 19 mm stone. /\KS18_015-Concrete Drop Inlet. Drawing NBC-GTW-CL-0021 \m³\38.2205 \ 2000" u="1"/>
        <s v="SABS1200 GA \CONCRETE (SMALL WORKS)/8.4\SCHEDULED CONCRETE ITEMS/8.4.3\Strength Concrete: 25 Mpa with 19 mm stone. /\KS13_008-Concrete Drop Inlet. Drawing NBC-GTW-CL-0014 \m³\33.0207 \ 2000" u="1"/>
        <s v="SABS1200 GA \Concrete (Small Works)/8.4\SCHEDULED CONCRETE ITEMS/8.4.3\Strength Concrete: 25 MPa/19 mm. /\KS18_018-Concrete Drop Inlet. Refer to drawing NBC-GTW-CL-0024 \m³\22.42595 \ 2000" u="1"/>
        <s v="SABS1200 GA  / Concrete (Small Works) / 8.4 / 8.4.3 / Strength Concrete, Grade / KS18_006-Concrete Cut-Off Walls / 6.615 / m³" u="1"/>
        <s v="SABS1200 GA  \ Concrete (Small Works) / 8.4\ SCHEDULED CONCRETE ITEMS / 8.4.3 \ Strength Concrete: 25 MPa/19 mm. /\KS20_009_b-Concrete Overflow Wall \m³\6.906 \ 2000" u="1"/>
        <s v="SABS1200 GA \CONCRETE (SMALL WORKS)/8.4\SCHEDULED CONCRETE ITEMS/8.4.3\Strength Concrete: 25 Mpa with 19 mm stone. /\KS18_001-Concrete Drop Inlet. Drawing NBC-GTW-CL-0019 \m³\59.00696 \ 2000" u="1"/>
        <s v="SABS1200 GA  \ Concrete (Small Works) / 8.4\ SCHEDULED CONCRETE ITEMS / 8.4.3 \ Strength Concrete: 25 MPa/19 mm. /\KS18_018-Concrete Drop Inlet. Refer to drawing X \m³\22.42595 \ 2000" u="1"/>
        <s v="SABS1200 GA  / Concrete (Small Works) / 8.4 / 8.4.3 / Strength Concrete, Grade / KS18_008-Concrete Cut-Off Walls / 5.76 / m³" u="1"/>
        <s v="SABS1200 GA  / Concrete (Small Works) / 8.4 / 8.4.3 / Strength Concrete, Grade / KS20_001-Concrete Drop Inlet / 20.39535 / m³" u="1"/>
        <s v="SABS1200 GA  \ Concrete (Small Works) / 8.4\ SCHEDULED CONCRETE ITEMS / 8.4.3 \ Strength Concrete: 25 MPa/19 mm. /\KS13_011-Concrete Drop Inlet. Refer to drawing O \m³\37.8 \ 2000" u="1"/>
        <s v="SABS1200 GA \CONCRETE (SMALL WORKS)/8.4\SCHEDULED CONCRETE ITEMS/8.4.3\Strength Concrete: 25 Mpa with 19 mm stone. /\KS20_009_a-Concrete Drop Inlet. Refer to drawing NBC-GTW-CL-0035 \m³\64.5 \ 2000" u="1"/>
        <s v="SABS1200 GA \CONCRETE (SMALL WORKS)/8.4\SCHEDULED CONCRETE ITEMS/8.4.3\Strength Concrete: 25 Mpa with 19 mm stone. /\KS20_003-Concrete Buttress Weir. Drawing NBC-GTW-CL-0029 \m³\50.2704448 \ 2000" u="1"/>
        <s v="SABS1200 GA \CONCRETE (SMALL WORKS)/8.4\SCHEDULED CONCRETE ITEMS/8.4.3\Strength Concrete: 25 Mpa with 19 mm stone. /\KS18_007-Concrete Cut-Off Walls. Refer to drawing NBC-GTW-CL-0045 \m³\5.04 \ 2000" u="1"/>
        <s v="SABS1200 GA  \ Concrete (Small Works) / 8.4\ SCHEDULED CONCRETE ITEMS / 8.4.3 \ Strength Concrete: 25 MPa/19 mm. /\KS18_001-Concrete Drop Inlet. Refer to drawing S \m³\59.00696 \ 2000" u="1"/>
        <s v="SABS1200 GA \CONCRETE (SMALL WORKS)/8.4\SCHEDULED CONCRETE ITEMS/8.4.3\Strength Concrete: 25 Mpa with 19 mm stone. /\KS18_012-Concrete Cut-Off Walls. Refer to drawing NBC-GTW-CL-0045 \m³\6.6 \ 2000" u="1"/>
        <s v="SABS1200 GA  / Concrete (Small Works) / 8.4 / 8.4.3 / Strength Concrete, Grade / KS18_015-Concrete Drop Inlet / 38.2205 / m³" u="1"/>
        <s v="SABS1200 GA  / Concrete (Small Works) / 8.4 / 8.4.3 / Strength Concrete, Grade / LS16_003-Concrete Cut-Off Walls / 2.1 / m³" u="1"/>
        <s v="SABS1200 GA  / Concrete (Small Works) / 8.4 / 8.4.3 / Strength Concrete, Grade / LS16_007-Concrete Cut-Off Walls / 5.94 / m³" u="1"/>
        <s v="SABS1200 GA  \ Concrete (Small Works) / 8.4\ SCHEDULED CONCRETE ITEMS / 8.4.3 \ Strength Concrete: 25 MPa/19 mm. /\KS13_011-Concrete Drop Inlet \m³\37.8 \ 2000" u="1"/>
        <s v="SABS1200 GA \CONCRETE (SMALL WORKS)/8.4\SCHEDULED CONCRETE ITEMS/8.4.3\Strength Concrete: 25 Mpa with 19 mm stone. /\KS18_011-Concrete Cut-Off Walls. Refer to drawing NBC-GTW-CL-0045 \m³\6 \ 2000" u="1"/>
        <s v="SABS1200 GA \CONCRETE (SMALL WORKS)/8.4\SCHEDULED CONCRETE ITEMS/8.4.3\Strength Concrete: 25 Mpa with 19 mm stone. /\KS18_013-Concrete Cut-Off Walls. Refer to drawing NBC-GTW-CL-0045 \m³\6 \ 2000" u="1"/>
        <s v="SABS1200 GA \CONCRETE (SMALL WORKS)/8.4\SCHEDULED CONCRETE ITEMS/8.4.3\Strength Concrete: 25 Mpa with 19 mm stone. /\KS18_003-Concrete Cut-Off Walls. Refer to drawing NBC-GTW-CL-0045 \m³\5.7 \ 2000" u="1"/>
        <s v="SABS1200 GA  \ Concrete (Small Works) / 8.4\ SCHEDULED CONCRETE ITEMS / 8.4.3 \ Strength Concrete: 25 MPa/19 mm. /\KS18_011-Concrete Cut-Off Walls \m³\6 \ 2000" u="1"/>
        <s v="SABS1200 GA  \ Concrete (Small Works) / 8.4\ SCHEDULED CONCRETE ITEMS / 8.4.3 \ Strength Concrete: 25 MPa/19 mm. /\KS18_013-Concrete Cut-Off Walls \m³\6 \ 2000" u="1"/>
        <s v="SABS1200 GA  \ Concrete (Small Works) / 8.4\ SCHEDULED CONCRETE ITEMS / 8.4.3 \ Strength Concrete: 25 MPa/19 mm. /\KS19_002-Concrete Drop Inlet \m³\27.3217512 \ 2000" u="1"/>
        <s v="SABS1200 GA  \ Concrete (Small Works) / 8.4\ SCHEDULED CONCRETE ITEMS / 8.4.3 \ Strength Concrete: 25 MPa/19 mm. /\KS12_009-Concrete Drop Inlet. Refer to drawing H \m³\11.59698 \ 2000" u="1"/>
        <s v="SABS1200 GA \CONCRETE (SMALL WORKS)/8.4\SCHEDULED CONCRETE ITEMS/8.4.3\Strength Concrete: 25 Mpa with 19 mm stone. /\KS18_017-Concrete Drop Inlet. Refer to drawing NBC-GTW-CL-0023 \m³\27.5224 \ 2000" u="1"/>
        <s v="SABS1200 GA \CONCRETE (SMALL WORKS)/8.4\SCHEDULED CONCRETE ITEMS/8.4.3\Strength Concrete: 25 Mpa with 19 mm stone. /\KS18_019-Concrete Drop Inlet. Refer to drawing NBC-GTW-CL-0025 \m³\30.1032 \ 2000" u="1"/>
        <s v="SABS1200 GA  \ Concrete (Small Works) / 8.4\ SCHEDULED CONCRETE ITEMS / 8.4.3 \ Strength Concrete: 25 MPa/19 mm. /\KS20_009_a-Concrete Drop Inlet \m³\61.557674 \ 2000" u="1"/>
        <s v="SABS1200 GA  \ Concrete (Small Works) / 8.4\ SCHEDULED CONCRETE ITEMS / 8.4.3 \ Strength Concrete: 25 MPa/19 mm. /\KS21_010-Concrete Drop Inlet. Refer to drawing AR \m³\29.6325325 \ 2000" u="1"/>
        <s v="SABS1200 GA \Concrete (Small Works)/8.4\SCHEDULED CONCRETE ITEMS/8.4.3\Strength Concrete: 25 MPa/19 mm. /\KS13_005-Concrete Drop Inlet. Refer to drawing NBC-GTW-CL-0011 \m³\35.97891 \ 2000" u="1"/>
        <s v="SABS1200 GA \CONCRETE (SMALL WORKS)/8.4\SCHEDULED CONCRETE ITEMS/8.4.3\Strength Concrete: 25 Mpa with 19 mm stone. /\KS18_002-Concrete Drop Inlet. Refer to drawing NBC-GTW-CL-0020 \m³\38.418 \ 2000" u="1"/>
        <s v="SABS1200 GA \CONCRETE (SMALL WORKS)/8.4\SCHEDULED CONCRETE ITEMS/8.4.3\Strength Concrete: 25 Mpa with 19 mm stone. /\KS12_004-Concrete Drop Inlet. Refer to drawing NBC-GTW-CL-0003 \m³\32.178 \ 2000" u="1"/>
        <s v="SABS1200 GA  \ Concrete (Small Works) / 8.4\ SCHEDULED CONCRETE ITEMS / 8.4.3 \ Strength Concrete: 25 MPa/19 mm. /\KS21_005-Concrete Drop Inlet. Refer to drawing AN \m³\29.7712955 \ 2000" u="1"/>
        <s v="SABS1200 GA  \ Concrete (Small Works) / 8.4\ SCHEDULED CONCRETE ITEMS / 8.4.3 \ Strength Concrete: 25 MPa/19 mm. /\KS20_006-Concrete Drop Inlet. Refer to drawing AF \m³\45.5624175 \ 2000" u="1"/>
        <s v="SABS1200 GA  \ Concrete (Small Works) / 8.4\ SCHEDULED CONCRETE ITEMS / 8.4.3 \ Strength Concrete: 25 MPa/19 mm. /\KS21_007-Concrete Drop Inlet. Refer to drawing AP \m³\25.587276 \ 2000" u="1"/>
        <s v="SABS1200 GA  \ Concrete (Small Works) / 8.4\ SCHEDULED CONCRETE ITEMS / 8.4.3 \ Strength Concrete: 25 MPa/19 mm. /\KS21_006-Concrete Drop Inlet. Refer to drawing AO \m³\27.1821095 \ 2000" u="1"/>
        <s v="SABS1200 GA \CONCRETE (SMALL WORKS)/8.4\SCHEDULED CONCRETE ITEMS/8.4.3\Strength Concrete: 25 Mpa with 19 mm stone. /\KS13_004-Concrete Drop Inlet. Refer to drawing NBC-GTW-CL-0010 \m³\22.2744 \ 2000" u="1"/>
        <s v="SABS1200 GA \Concrete (Small Works)/8.4\SCHEDULED CONCRETE ITEMS/8.4.3\Strength Concrete: 25 MPa/19 mm. /\KS18_007-Concrete Cut-Off Walls. Refer to drawing NBC-GTW-CL-0045 \m³\5.04 \ 2000" u="1"/>
        <s v="SABS1200 GA  / Concrete (Small Works) / 8.4 / 8.4.3 / Strength Concrete, Grade / KS18_018-Concrete Drop Inlet / 22.42595 / m³" u="1"/>
        <s v="SABS1200 GA  \ Concrete (Small Works) / 8.4\ SCHEDULED CONCRETE ITEMS / 8.4.3 \ Strength Concrete: 25 MPa/19 mm. /\KS20_005-Concrete Drop Inlet. Refer to drawing AE \m³\43.50478 \ 2000" u="1"/>
        <s v="SABS1200 GA  \ Concrete (Small Works) / 8.4\ SCHEDULED CONCRETE ITEMS / 8.4.3 \ Strength Concrete: 25 MPa/19 mm. /\KS19_002-Concrete Drop Inlet. Refer to drawing Z \m³\27.3217512 \ 2000" u="1"/>
        <s v="SABS1200 GA \Concrete (Small Works)/8.4\SCHEDULED CONCRETE ITEMS/8.4.3\Strength Concrete: 25 MPa/19 mm. /\KS18_012-Concrete Cut-Off Walls. Refer to drawing NBC-GTW-CL-0045 \m³\6.6 \ 2000" u="1"/>
        <s v="SABS1200 GA  \ Concrete (Small Works) / 8.4\ SCHEDULED CONCRETE ITEMS / 8.4.3 \ Strength Concrete: 25 MPa/19 mm. /\KS20_009_b-Concrete Overflow Wall. Refer to drawing AJ \m³\6.906 \ 2000" u="1"/>
        <s v="SABS1200 GA  \ Concrete (Small Works) / 8.4\ SCHEDULED CONCRETE ITEMS / 8.4.3 \ Strength Concrete: 25 MPa/19 mm. /\KS20_008-Concrete Drop Inlet. Refer to drawing AH \m³\47.24264 \ 2000" u="1"/>
        <s v="SABS1200 GA  \ Concrete (Small Works) / 8.4\ SCHEDULED CONCRETE ITEMS / 8.4.3 \ Strength Concrete: 25 MPa/19 mm. /\KS21_009-Concrete Drop Inlet. Refer to drawing AQ \m³\31.18664 \ 2000" u="1"/>
        <s v="SABS1200 GA  / Concrete (Small Works) / 8.4 / 8.4.3 / Strength Concrete, Grade / KS18_009-Concrete Cut-Off Walls / 5.775 / m³" u="1"/>
        <s v="SABS1200 GA \Concrete (Small Works)/8.4\SCHEDULED CONCRETE ITEMS/8.4.3\Strength Concrete: 25 MPa/19 mm. /\KS18_015-Concrete Drop Inlet. Refer to drawing NBC-GTW-CL-0021 \m³\38.2205 \ 2000" u="1"/>
        <s v="SABS1200 GA  / Concrete (Small Works) / 8.4 / 8.4.3 / Strength Concrete, Grade / KS12_005-Concrete Drop Inlet / 30.30542048 / m³" u="1"/>
        <s v="SABS1200 GA \CONCRETE (SMALL WORKS)/8.4\SCHEDULED CONCRETE ITEMS/8.4.3\Strength Concrete: 25 Mpa with 19 mm stone. /\KS18-014-Concrete Check Wall. Drawing NBC-GTW-CL-0001 \m³\6.66 \ 2000" u="1"/>
        <s v="SABS1200 GA  / Concrete (Small Works) / 8.4 / 8.4.3 / Strength Concrete, Grade / KS12_004-Concrete Drop Inlet / 32.178 / m³" u="1"/>
        <s v="SABS1200 GA \CONCRETE (SMALL WORKS)/8.4\SCHEDULED CONCRETE ITEMS/8.4.3\Strength Concrete: 25 Mpa with 19 mm stone. /\KS13_003-Concrete Drop Inlet. Refer to drawing NBC-GTW-CL-0009 \m³\27.7266 \ 2000" u="1"/>
        <s v="SABS1200 GA \CONCRETE (SMALL WORKS)/8.4\SCHEDULED CONCRETE ITEMS/8.4.3\Strength Concrete: 25 Mpa with 19 mm stone. /\KS13_007-Concrete Drop Inlet. Refer to drawing NBC-GTW-CL-0013 \m³\25.3974 \ 2000" u="1"/>
        <s v="SABS1200 GA \CONCRETE (SMALL WORKS)/8.4\SCHEDULED CONCRETE ITEMS/8.4.3\Strength Concrete: 25 Mpa with 19 mm stone. /\KS13_013-Concrete Drop Inlet. Refer to drawing NBC-GTW-CL-0017 \m³\23.5474 \ 2000" u="1"/>
        <s v="SABS1200 GA  / Concrete (Small Works) / 8.4 / 8.4.3 / Strength Concrete, Grade / LS16_004-Concrete Cut-Off Walls / 2.4 / m³" u="1"/>
        <s v="SABS1200 GA  \ Concrete (Small Works) / 8.4\ SCHEDULED CONCRETE ITEMS / 8.4.3 \ Strength Concrete: 25 MPa/19 mm. /\KS18_012-Concrete Cut-Off Walls \m³\6.6 \ 2000" u="1"/>
        <s v="SABS1200 GA  \ Concrete (Small Works) / 8.4\ SCHEDULED CONCRETE ITEMS / 8.4.3 \ Strength Concrete: 25 MPa/19 mm. /\LS16_005-Concrete Cut-Off Walls \m³\3.6 \ 2000" u="1"/>
        <s v="SABS1200 GA  / Concrete (Small Works) / 8.4 / 8.4.3 / Strength Concrete, Grade / KS21_007-Concrete Drop Inlet / 25.587276 / m³" u="1"/>
        <s v="SABS1200 GA \CONCRETE (SMALL WORKS)/8.4\SCHEDULED CONCRETE ITEMS/8.4.3\Strength Concrete: 25 Mpa with 19 mm stone. /\KS18_008-Concrete Cut-Off Walls. Refer to drawing NBC-GTW-CL-0045 \m³\5.76 \ 2000" u="1"/>
        <s v="SABS1200 GA \CONCRETE (SMALL WORKS)/8.4\SCHEDULED CONCRETE ITEMS/8.4.3\Strength Concrete: 25 Mpa with 19 mm stone. /\KS18_016-Concrete Drop Inlet. Refer to drawing NBC-GTW-CL-0022 \m³\29.8284 \ 2000" u="1"/>
        <s v="SABS1200 GA  / Concrete (Small Works) / 8.4 / 8.4.3 / Strength Concrete, Grade / KS13_004-Concrete Drop Inlet / 22.2744 / m³" u="1"/>
        <s v="SABS1200 GA  \ Concrete (Small Works) / 8.4\ SCHEDULED CONCRETE ITEMS / 8.4.3 \ Strength Concrete: 25 MPa/19 mm. /\KS18_002-Concrete Drop Inlet \m³\38.418 \ 2000" u="1"/>
        <s v="SABS1200 GA \CONCRETE (SMALL WORKS)/8.4\SCHEDULED CONCRETE ITEMS/8.4.3\Strength Concrete: 25 Mpa with 19 mm stone. /\KS13_012-Concrete Drop Inlet. Refer to drawing NBC-GTW-CL-0016 \m³\27.4978 \ 2000" u="1"/>
        <s v="SABS1200 GA  \ Concrete (Small Works) / 8.4\ SCHEDULED CONCRETE ITEMS / 8.4.3 \ Strength Concrete: 25 MPa/19 mm. /\KS18_005-Concrete Cut-Off Walls \m³\6.93 \ 2000" u="1"/>
        <s v="SABS1200 GA  \ Concrete (Small Works) / 8.4\ SCHEDULED CONCRETE ITEMS / 8.4.3 \ Strength Concrete: 25 MPa/19 mm. /\KS18_010-Concrete Cut-Off Walls \m³\6.93 \ 2000" u="1"/>
        <s v="SABS1200 GA  \ Concrete (Small Works) / 8.4\ SCHEDULED CONCRETE ITEMS / 8.4.3 \ Strength Concrete: 25 MPa/19 mm. /\LS16_007-Concrete Cut-Off Walls \m³\5.94 \ 2000" u="1"/>
        <s v="SABS1200 GA \Concrete (Small Works)/8.4\SCHEDULED CONCRETE ITEMS/8.4.3\Strength Concrete: 25 MPa/19 mm. /\KS18_003-Concrete Cut-Off Walls. Refer to drawing NBC-GTW-CL-0045 \m³\5.7 \ 2000" u="1"/>
        <s v="SABS1200 GA \Concrete (Small Works)/8.4\SCHEDULED CONCRETE ITEMS/8.4.3\Strength Concrete: 25 MPa/19 mm. /\KS18_011-Concrete Cut-Off Walls. Refer to drawing NBC-GTW-CL-0045 \m³\6 \ 2000" u="1"/>
        <s v="SABS1200 GA \Concrete (Small Works)/8.4\SCHEDULED CONCRETE ITEMS/8.4.3\Strength Concrete: 25 MPa/19 mm. /\KS18_013-Concrete Cut-Off Walls. Refer to drawing NBC-GTW-CL-0045 \m³\6 \ 2000" u="1"/>
        <s v="SABS1200 GA  / Concrete (Small Works) / 8.4 / 8.4.3 / Strength Concrete, Grade / KS18_012-Concrete Cut-Off Walls / 6.6 / m³" u="1"/>
        <s v="SABS1200 GA \Concrete (Small Works)/8.4\SCHEDULED CONCRETE ITEMS/8.4.3\Strength Concrete: 25 MPa/19 mm. /\KS13_008-Concrete Drop Inlet. Refer to drawing NBC-GTW-CL-0014 \m³\33.0207 \ 2000" u="1"/>
        <s v="SABS1200 GA  / Concrete (Small Works) / 8.4 / 8.4.3 / Strength Concrete, Grade / LS16_006-Concrete Cut-Off Walls / 6.48 / m³" u="1"/>
        <s v="SABS1200 GA  \ Concrete (Small Works) / 8.4\ SCHEDULED CONCRETE ITEMS / 8.4.3 \ Strength Concrete: 25 MPa/19 mm. /\KS12_004-Concrete Drop Inlet \m³\32.178 \ 2000" u="1"/>
        <s v="SABS1200 GA \CONCRETE (SMALL WORKS)/8.4\SCHEDULED CONCRETE ITEMS/8.4.3\Strength Concrete: 25 Mpa with 19 mm stone. /\KS20_002-Concrete Drop Inlet. Refer to drawing NBC-GTW-CL-0028 \m³\31.39634 \ 2000" u="1"/>
        <s v="SABS1200 GA \Concrete (Small Works)/8.4\SCHEDULED CONCRETE ITEMS/8.4.3\Strength Concrete: 25 MPa/19 mm. /\KS18_017-Concrete Drop Inlet. Refer to drawing NBC-GTW-CL-0023 \m³\27.5224 \ 2000" u="1"/>
        <s v="SABS1200 GA \Concrete (Small Works)/8.4\SCHEDULED CONCRETE ITEMS/8.4.3\Strength Concrete: 25 MPa/19 mm. /\KS18_019-Concrete Drop Inlet. Refer to drawing NBC-GTW-CL-0025 \m³\30.1032 \ 2000" u="1"/>
        <s v="SABS1200 GA \CONCRETE (SMALL WORKS)/8.4\SCHEDULED CONCRETE ITEMS/8.4.3\Strength Concrete: 25 Mpa with 19 mm stone. /\KS20_005-Concrete Drop Inlet. Refer to drawing NBC-GTW-CL-0031 \m³\43.50478 \ 2000" u="1"/>
        <s v="SABS1200 GA  \ Concrete (Small Works) / 8.4\ SCHEDULED CONCRETE ITEMS / 8.4.3 \ Strength Concrete: 25 MPa/19 mm. /\KS18_002-Concrete Drop Inlet. Refer to drawing T \m³\38.418 \ 2000" u="1"/>
        <s v="SABS1200 GA  / Concrete (Small Works) / 8.4 / 8.4.3 / Strength Concrete, Grade / KS13_005-Concrete Drop Inlet / 35.97891 / m³" u="1"/>
        <s v="SABS1200 GA \CONCRETE (SMALL WORKS)/8.4\SCHEDULED CONCRETE ITEMS/8.4.3\Strength Concrete: 25 Mpa with 19 mm stone. /\KS12_009-Concrete Drop Inlet. Refer to drawing NBC-GTW-CL-0008 \m³\11.59698 \ 2000" u="1"/>
        <s v="SABS1200 GA \Concrete (Small Works)/8.4\SCHEDULED CONCRETE ITEMS/8.4.3\Strength Concrete: 25 MPa/19 mm. /\KS20_002-Concrete Drop Inlet. Refer to drawing NBC-GTW-CL-0028 \m³\29.5809 \ 2000" u="1"/>
        <s v="SABS1200 GA \Concrete (Small Works)/8.4\SCHEDULED CONCRETE ITEMS/8.4.3\Strength Concrete: 25 MPa/19 mm. /\KS18_002-Concrete Drop Inlet. Refer to drawing NBC-GTW-CL-0020 \m³\38.418 \ 2000" u="1"/>
        <s v="SABS1200 GA \CONCRETE (SMALL WORKS)/8.4\SCHEDULED CONCRETE ITEMS/8.4.3\Strength Concrete: 25 Mpa with 19 mm stone. /\KS20_005-Concrete Drop Inlet. Drawing NBC-GTW-CL-0031 \m³\43.50478 \ 2000" u="1"/>
        <s v="SABS1200 GA  \ Concrete (Small Works) / 8.4\ SCHEDULED CONCRETE ITEMS / 8.4.3 \ Strength Concrete: 25 MPa/19 mm. /\KS12_005-Concrete Drop Inlet. Refer to drawing D \m³\30.30542048 \ 2000" u="1"/>
        <s v="SABS1200 GA \Concrete (Small Works)/8.4\SCHEDULED CONCRETE ITEMS/8.4.3\Strength Concrete: 25 MPa/19 mm. /\KS12_004-Concrete Drop Inlet. Refer to drawing NBC-GTW-CL-0003 \m³\32.178 \ 2000" u="1"/>
        <s v="SABS1200 GA \CONCRETE (SMALL WORKS)/8.4\SCHEDULED CONCRETE ITEMS/8.4.3\Strength Concrete: 25 Mpa with 19 mm stone. /\KS13_011-Concrete Drop Inlet. Refer to drawing NBC-GTW-CL-0015 \m³\33.53 \ 2000" u="1"/>
        <s v="SABS1200 GA \CONCRETE (SMALL WORKS)/8.4\SCHEDULED CONCRETE ITEMS/8.4.3\Strength Concrete: 25 Mpa with 19 mm stone. /\KS18_011-Concrete Cut-Off Walls. Drawing NBC-GTW-CL-0045 \m³\6 \ 2000" u="1"/>
        <s v="SABS1200 GA \CONCRETE (SMALL WORKS)/8.4\SCHEDULED CONCRETE ITEMS/8.4.3\Strength Concrete: 25 Mpa with 19 mm stone. /\KS18_013-Concrete Cut-Off Walls. Drawing NBC-GTW-CL-0045 \m³\6 \ 2000" u="1"/>
        <s v="SABS1200 GA  / Concrete (Small Works) / 8.4 / 8.4.3 / Strength Concrete, Grade / KS18_005-Concrete Cut-Off Walls / 6.93 / m³" u="1"/>
        <s v="SABS1200 GA  / Concrete (Small Works) / 8.4 / 8.4.3 / Strength Concrete, Grade / KS18_010-Concrete Cut-Off Walls / 6.93 / m³" u="1"/>
        <s v="SABS1200 GA \Concrete (Small Works)/8.4\SCHEDULED CONCRETE ITEMS/8.4.3\Strength Concrete: 25 MPa/19 mm. /\LS16_001-Concrete Cut-Off Walls  \m³\5.04 \ 2000" u="1"/>
        <s v="SABS1200 GA \CONCRETE (SMALL WORKS)/8.4\SCHEDULED CONCRETE ITEMS/8.4.3\Strength Concrete: 25 Mpa with 19 mm stone. /\KS20_009_b-Concrete Overflow Wall. Drawing NBC-GTW-CL-0035 \m³\6.1 \ 2000" u="1"/>
        <s v="SABS1200 GA  / Concrete (Small Works) / 8.4 / 8.4.3 / Strength Concrete, Grade / KS21_006-Concrete Drop Inlet / 27.1821095 / m³" u="1"/>
        <s v="SABS1200 GA \Concrete (Small Works)/8.4\SCHEDULED CONCRETE ITEMS/8.4.3\Strength Concrete: 25 MPa/19 mm. /\KS13_004-Concrete Drop Inlet. Refer to drawing NBC-GTW-CL-0010 \m³\22.2744 \ 2000" u="1"/>
        <s v="SABS1200 GA  / Concrete (Small Works) / 8.4 / 8.4.3 / Strength Concrete, Grade / LS16_011-Concrete Cut-Off Walls / 3.3 / m³" u="1"/>
        <s v="SABS1200 GA  / Concrete (Small Works) / 8.4 / 8.4.3 / Strength Concrete, Grade / KS12_008-Concrete Drop Inlet / 15.98068 / m³" u="1"/>
        <s v="SABS1200 GA \CONCRETE (SMALL WORKS)/8.4\SCHEDULED CONCRETE ITEMS/8.4.3\Strength Concrete: 25 Mpa with 19 mm stone. /\KS13_005-Concrete Drop Inlet. Drawing NBC-GTW-CL-0011 \m³\35.97891 \ 2000" u="1"/>
        <s v="SABS1200 GA  / Concrete (Small Works) / 8.4 / 8.4.3 / Strength Concrete, Grade / KS13_011-Concrete Drop Inlet / 37.8 / m³" u="1"/>
        <s v="SABS1200 GA \CONCRETE (SMALL WORKS)/8.4\SCHEDULED CONCRETE ITEMS/8.4.3\Strength Concrete: 25 Mpa with 19 mm stone. /\KS13_011-Concrete Drop Inlet. Drawing NBC-GTW-CL-0015 \m³\33.53 \ 2000" u="1"/>
        <s v="SABS1200 GA  \ Concrete (Small Works) / 8.4\ SCHEDULED CONCRETE ITEMS / 8.4.3 \ Strength Concrete: 25 MPa/19 mm. /\KS18_003-Concrete Cut-Off Walls \m³\5.7 \ 2000" u="1"/>
        <s v="SABS1200 GA \CONCRETE (SMALL WORKS)/8.4\SCHEDULED CONCRETE ITEMS/8.4.3\Strength Concrete: 25 Mpa with 19 mm stone. /\KS18_020-Concrete Drop Inlet associated with Road Culvert  \m³\30.97659 \ 2000" u="1"/>
        <s v="SABS1200 GA \Concrete (Small Works)/8.4\SCHEDULED CONCRETE ITEMS/8.4.3\Strength Concrete: 25 MPa/19 mm. /\KS18_014-Concrete Filled Geo-Cell Berm. Refer to drawing NBC-GTW-CL-0001 \m³\9.03840508391961 \ 2000" u="1"/>
        <s v="SABS1200 GA  \ Concrete (Small Works) / 8.4\ SCHEDULED CONCRETE ITEMS / 8.4.3 \ Strength Concrete: 25 MPa/19 mm. /\LS16_011-Concrete Cut-Off Walls \m³\3.3 \ 2000" u="1"/>
      </sharedItems>
    </cacheField>
    <cacheField name="Blinding Layer" numFmtId="0">
      <sharedItems count="262" longText="1">
        <s v=" "/>
        <s v="SABS1200 GA \CONCRETE (SMALL WORKS)/8.4\SCHEDULED CONCRETE ITEMS/8.4.2\Construct Blinding Layer using 15MPa concrete . Rate to allow for blinding to a nominal depth of 75 mm for all bases pertaining to the following structures:/\ks11-002a-Concrete Drop Inlet on Dam Wall  \m²\101.64 \ 300"/>
        <s v="SABS1200 GA \CONCRETE (SMALL WORKS)/8.4\SCHEDULED CONCRETE ITEMS/8.4.2\Construct Blinding Layer using 15MPa concrete . Rate to allow for blinding to a nominal depth of 75 mm for all bases pertaining to the following structures:/\ks11-002b-Concrete Splash Through Structure. Drawing NBC-GTW-CL-0067 \m²\64 \ 300"/>
        <s v="SABS1200 GA \CONCRETE (SMALL WORKS)/8.4\SCHEDULED CONCRETE ITEMS/8.4.2\Construct Blinding Layer using 15MPa concrete . Rate to allow for blinding to a nominal depth of 75 mm for all bases pertaining to the following structures:/\ks11-004a-Concrete Drop Inlet on Dam Wall  \m²\101.64 \ 300"/>
        <s v="SABS1200 GA \CONCRETE (SMALL WORKS)/8.4\SCHEDULED CONCRETE ITEMS/8.4.2\Construct Blinding Layer using 15MPa concrete . Rate to allow for blinding to a nominal depth of 75 mm for all bases pertaining to the following structures:/\ks11-004b-Concrete Splash Through Structure. Drawing NBC-GTW-CL-0068 \m²\64 \ 300"/>
        <s v="SABS1200 GA \CONCRETE (SMALL WORKS)/8.4\SCHEDULED CONCRETE ITEMS/8.4.2\Construct Blinding Layer using 15MPa concrete . Rate to allow for blinding to a nominal depth of 75 mm for all bases pertaining to the following structures:/\KS12_002-Concrete Drop Inlet. Drawing NBC-GTW-CL-0002 \m²\52 \ 300"/>
        <s v="SABS1200 GA \CONCRETE (SMALL WORKS)/8.4\SCHEDULED CONCRETE ITEMS/8.4.2\Construct Blinding Layer using 15MPa concrete . Rate to allow for blinding to a nominal depth of 75 mm for all bases pertaining to the following structures:/\KS12_004-Concrete Drop Inlet. Drawing NBC-GTW-CL-0003 \m²\41.52 \ 300"/>
        <s v="SABS1200 GA \CONCRETE (SMALL WORKS)/8.4\SCHEDULED CONCRETE ITEMS/8.4.2\Construct Blinding Layer using 15MPa concrete . Rate to allow for blinding to a nominal depth of 75 mm for all bases pertaining to the following structures:/\KS12_005-Concrete Drop Inlet. Drawing NBC-GTW-CL-0004 \m²\35.8384 \ 300"/>
        <s v="SABS1200 GA \CONCRETE (SMALL WORKS)/8.4\SCHEDULED CONCRETE ITEMS/8.4.2\Construct Blinding Layer using 15MPa concrete . Rate to allow for blinding to a nominal depth of 75 mm for all bases pertaining to the following structures:/\KS12_006-Concrete Drop Inlet. Drawing NBC-GTW-CL-0005 \m²\30.542 \ 300"/>
        <s v="SABS1200 GA \CONCRETE (SMALL WORKS)/8.4\SCHEDULED CONCRETE ITEMS/8.4.2\Construct Blinding Layer using 15MPa concrete . Rate to allow for blinding to a nominal depth of 75 mm for all bases pertaining to the following structures:/\KS12_007-Concrete Drop Inlet. Drawing NBC-GTW-CL-0006 \m²\33.16 \ 300"/>
        <s v="SABS1200 GA \CONCRETE (SMALL WORKS)/8.4\SCHEDULED CONCRETE ITEMS/8.4.2\Construct Blinding Layer using 15MPa concrete . Rate to allow for blinding to a nominal depth of 75 mm for all bases pertaining to the following structures:/\KS12_008-Concrete Drop Inlet. Drawing NBC-GTW-CL-0007 \m²\28.492 \ 300"/>
        <s v="SABS1200 GA \CONCRETE (SMALL WORKS)/8.4\SCHEDULED CONCRETE ITEMS/8.4.2\Construct Blinding Layer using 15MPa concrete . Rate to allow for blinding to a nominal depth of 75 mm for all bases pertaining to the following structures:/\KS12_009-Concrete Drop Inlet. Drawing NBC-GTW-CL-0008 \m²\23.424 \ 300"/>
        <s v="SABS1200 GA \CONCRETE (SMALL WORKS)/8.4\SCHEDULED CONCRETE ITEMS/8.4.2\Construct Blinding Layer using 15MPa concrete . Rate to allow for blinding to a nominal depth of 75 mm for all bases pertaining to the following structures:/\KS13_003-Concrete Drop Inlet. Drawing NBC-GTW-CL-0009 \m²\43.7 \ 300"/>
        <s v="SABS1200 GA \CONCRETE (SMALL WORKS)/8.4\SCHEDULED CONCRETE ITEMS/8.4.2\Construct Blinding Layer using 15MPa concrete . Rate to allow for blinding to a nominal depth of 75 mm for all bases pertaining to the following structures:/\KS19_002-Concrete Drop Inlet. Drawing NBC-GTW-CL-0026 \m²\38.552 \ 300"/>
        <s v="SABS1200 GA \CONCRETE (SMALL WORKS)/8.4\SCHEDULED CONCRETE ITEMS/8.4.2\Construct Blinding Layer using 15MPa concrete . Rate to allow for blinding to a nominal depth of 75 mm for all bases pertaining to the following structures:/\KS20_001-Concrete Drop Inlet. Drawing NBC-GTW-CL-0027 \m²\37.752 \ 300"/>
        <s v="SABS1200 GA \CONCRETE (SMALL WORKS)/8.4\SCHEDULED CONCRETE ITEMS/8.4.2\Construct Blinding Layer using 15MPa concrete . Rate to allow for blinding to a nominal depth of 75 mm for all bases pertaining to the following structures:/\KS21_003-Concrete Drop Inlet. Drawing NBC-GTW-CL-0039 \m²\52.66 \ 300"/>
        <s v="SABS1200 GA \CONCRETE (SMALL WORKS)/8,4\SCHEDULED CONCRETE ITEMS/8.4.2\Construct Blinding Layer using 15MPa concrete . Rate to allow for blinding to a nominal depth of 75 mm for all bases pertaining to the following structures:/\KS21_005-Concrete Drop Inlet. Drawing NBC-GTW-CL-0040 \m²\52,66 \ 300"/>
        <s v="" u="1"/>
        <s v="SABS1200 GA \CONCRETE (SMALL WORKS)/8.4\SCHEDULED CONCRETE ITEMS/8.4.2\Blinding Layer in 15MPa concrete . Rate to allow for blinding ot a nominal depth of 50 mm for all bases pertaining to the following structures:/\KS12_009-Concrete Drop Inlet. Refer to drawing NBC-GTW-CL-0008 \m²\23.424 \ 300" u="1"/>
        <s v="SABS1200 GA \CONCRETE (SMALL WORKS)/8.4\SCHEDULED CONCRETE ITEMS/8.4.2\Blinding Layer in 15MPa concrete . Rate to allow for blinding to a nominal depth of 75 mm for all bases pertaining to the following structures:/\KS12_009-Concrete Drop Inlet. Refer to drawing NBC-GTW-CL-0008 \m²\23.424 \ 300" u="1"/>
        <s v="SABS1200 GA  / Concrete (Small Works) / 8.4 / 8.4.2 / Blinding Layer in 15MPa concrete / KS12_007-Concrete Drop Inlet / 33.16 / m³" u="1"/>
        <s v="SABS1200 GA \CONCRETE (SMALL WORKS)/8.4\SCHEDULED CONCRETE ITEMS/8.4.2\Construct Blinding Layer using 15MPa concrete . Rate to allow for blinding to a nominal depth of 75 mm for all bases pertaining to the following structures:/\KS18_002-Concrete Drop Inlet. Drawing NBC-GTW-CL-0020 \m²\44.62 \ 300" u="1"/>
        <s v="SABS1200 GA \CONCRETE (SMALL WORKS)/8.4\SCHEDULED CONCRETE ITEMS/8.4.2\Blinding Layer in 15MPa concrete . Rate to allow for blinding ot a nominal depth of 50 mm for all bases pertaining to the following structures:/\KS12_007-Concrete Drop Inlet. Refer to drawing NBC-GTW-CL-0006 \m²\33.16 \ 300" u="1"/>
        <s v="SABS1200 GA \CONCRETE (SMALL WORKS)/8.4\SCHEDULED CONCRETE ITEMS/8.4.2\Blinding Layer in 15MPa concrete . Rate to allow for blinding to a nominal depth of 75 mm for all bases pertaining to the following structures:/\KS12_007-Concrete Drop Inlet. Refer to drawing NBC-GTW-CL-0006 \m²\33.16 \ 300" u="1"/>
        <s v="SABS1200 GA \CONCRETE (SMALL WORKS)/8.4\SCHEDULED CONCRETE ITEMS/8.4.2\Construct Blinding Layer using 15MPa concrete . Rate to allow for blinding to a nominal depth of 75 mm for all bases pertaining to the following structures:/\KS21_006-Concrete Drop Inlet. Drawing NBC-GTW-CL-0041 \m²\46.002 \ 300" u="1"/>
        <s v="SABS1200 GA  / Concrete (Small Works) / 8.4 / 8.4.2 / Blinding Layer in 15MPa concrete / KS20_001-Concrete Drop Inlet / 37.752 / m³" u="1"/>
        <s v="SABS1200 GA  \ Concrete (Small Works) / 8.4\ SCHEDULED CONCRETE ITEMS / 8.4.2 \ Blinding Layer in 15MPa concrete . Rate to allow for blinding ot a nominal depth of 50 mm for all bases pertaining to the following structures:/\KS12_005-Concrete Drop Inlet \m²\35.8384 \ 300" u="1"/>
        <s v="SABS1200 GA  / Concrete (Small Works) / 8.4 / 8.4.2 / Blinding Layer in 15MPa concrete / KS20_002-Concrete Drop Inlet / 47.708 / m³" u="1"/>
        <s v="SABS1200 GA  \ Concrete (Small Works) / 8.4\ SCHEDULED CONCRETE ITEMS / 8.4.2 \ Blinding Layer in 15MPa concrete . Rate to allow for blinding ot a nominal depth of 50 mm for all bases pertaining to the following structures:/\KS13_011-Concrete Drop Inlet. Refer to drawing O \m²\51.552 \ 300" u="1"/>
        <s v="SABS1200 GA  \ Concrete (Small Works) / 8.4\ SCHEDULED CONCRETE ITEMS / 8.4.2 \ Blinding Layer in 15MPa concrete . Rate to allow for blinding ot a nominal depth of 50 mm for all bases pertaining to the following structures:/\KS19_002-Concrete Drop Inlet. Refer to drawing Z \m²\38.552 \ 300" u="1"/>
        <s v="SABS1200 GA  \ Concrete (Small Works) / 8.4\ SCHEDULED CONCRETE ITEMS / 8.4.2 \ Blinding Layer in 15MPa concrete . Rate to allow for blinding ot a nominal depth of 50 mm for all bases pertaining to the following structures:/\KS21_010-Concrete Drop Inlet \m²\38.212 \ 300" u="1"/>
        <s v="SABS1200 GA  / Concrete (Small Works) / 8.4 / 8.4.2 / Blinding Layer in 15MPa concrete / KS20_003-Concrete Buttress Weir / 81.26 / m³" u="1"/>
        <s v="SABS1200 GA  \ Concrete (Small Works) / 8.4\ SCHEDULED CONCRETE ITEMS / 8.4.2 \ Blinding Layer in 15MPa concrete . Rate to allow for blinding ot a nominal depth of 50 mm for all bases pertaining to the following structures:/\KS18_016-Concrete Drop Inlet. Refer to drawing V \m²\38.236 \ 300" u="1"/>
        <s v="SABS1200 GA  \ Concrete (Small Works) / 8.4\ SCHEDULED CONCRETE ITEMS / 8.4.2 \ Blinding Layer in 15MPa concrete . Rate to allow for blinding ot a nominal depth of 50 mm for all bases pertaining to the following structures:/\KS20_009_a-Concrete Drop Inlet. Refer to drawing AI \m²\81.41 \ 300" u="1"/>
        <s v="SABS1200 GA \CONCRETE (SMALL WORKS)/8.4\SCHEDULED CONCRETE ITEMS/8.4.2\Construct Blinding Layer using 15MPa concrete . Rate to allow for blinding to a nominal depth of 75 mm for all bases pertaining to the following structures:/\KS13_004-Concrete Drop Inlet. Drawing NBC-GTW-CL-0010 \m²\38.69 \ 300" u="1"/>
        <s v="SABS1200 GA  \ Concrete (Small Works) / 8.4\ SCHEDULED CONCRETE ITEMS / 8.4.2 \ Blinding Layer in 15MPa concrete . Rate to allow for blinding ot a nominal depth of 50 mm for all bases pertaining to the following structures:/\KS20_009_b-Concrete Overflow Wall. Refer to drawing AJ \m²\10.65 \ 300" u="1"/>
        <s v="SABS1200 GA  / Concrete (Small Works) / 8.4 / 8.4.2 / Blinding Layer in 15MPa concrete / KS12_005-Concrete Drop Inlet / 35.8384 / m³" u="1"/>
        <s v="SABS1200 GA  / Concrete (Small Works) / 8.4 / 8.4.2 / Blinding Layer in 15MPa concrete / KS18_018-Concrete Drop Inlet / 33.502 / m³" u="1"/>
        <s v="SABS1200 GA  \ Concrete (Small Works) / 8.4\ SCHEDULED CONCRETE ITEMS / 8.4.2 \ Blinding Layer in 15MPa concrete . Rate to allow for blinding ot a nominal depth of 50 mm for all bases pertaining to the following structures:/\KS12_006-Concrete Drop Inlet. Refer to drawing E \m²\30.542 \ 300" u="1"/>
        <s v="SABS1200 GA \CONCRETE (SMALL WORKS)/8.4\SCHEDULED CONCRETE ITEMS/8.4.2\Construct Blinding Layer using 15MPa concrete . Rate to allow for blinding to a nominal depth of 75 mm for all bases pertaining to the following structures:/\KS13_012-Concrete Drop Inlet. Drawing NBC-GTW-CL-0016 \m²\36.92 \ 300" u="1"/>
        <s v="SABS1200 GA  / Concrete (Small Works) / 8.4 / 8.4.2 / Blinding Layer in 15MPa concrete / KS21_006-Concrete Drop Inlet / 46.002 / m³" u="1"/>
        <s v="SABS1200 GA  \ Concrete (Small Works) / 8.4\ SCHEDULED CONCRETE ITEMS / 8.4.2 \ Blinding Layer in 15MPa concrete . Rate to allow for blinding ot a nominal depth of 50 mm for all bases pertaining to the following structures:/\KS12_008-Concrete Drop Inlet \m²\28.492 \ 300" u="1"/>
        <s v="SABS1200 GA  \ Concrete (Small Works) / 8.4\ SCHEDULED CONCRETE ITEMS / 8.4.2 \ Blinding Layer in 15MPa concrete . Rate to allow for blinding ot a nominal depth of 50 mm for all bases pertaining to the following structures:/\KS13_003-Concrete Drop Inlet \m²\43.7 \ 300" u="1"/>
        <s v="SABS1200 GA  / Concrete (Small Works) / 8.4 / 8.4.2 / Blinding Layer in 15MPa concrete / KS12_009-Concrete Drop Inlet / 23.424 / m³" u="1"/>
        <s v="SABS1200 GA  \ Concrete (Small Works) / 8.4\ SCHEDULED CONCRETE ITEMS / 8.4.2 \ Blinding Layer in 15MPa concrete . Rate to allow for blinding ot a nominal depth of 50 mm for all bases pertaining to the following structures:/\KS13_007-Concrete Drop Inlet \m²\37.12 \ 300" u="1"/>
        <s v="SABS1200 GA  / Concrete (Small Works) / 8.4 / 8.4.2 / Blinding Layer in 15MPa concrete / KS21_005-Concrete Drop Inlet / 45.451 / m³" u="1"/>
        <s v="SABS1200 GA  \ Concrete (Small Works) / 8.4\ SCHEDULED CONCRETE ITEMS / 8.4.2 \ Blinding Layer in 15MPa concrete . Rate to allow for blinding ot a nominal depth of 50 mm for all bases pertaining to the following structures:/\KS20_005-Concrete Drop Inlet. Refer to drawing AE \m²\65.95 \ 300" u="1"/>
        <s v="SABS1200 GA \CONCRETE (SMALL WORKS)/8.4\SCHEDULED CONCRETE ITEMS/8.4.2\Construct Blinding Layer using 15MPa concrete . Rate to allow for blinding to a nominal depth of 75 mm for all bases pertaining to the following structures:/\KS20_005-Concrete Drop Inlet. Drawing NBC-GTW-CL-0031 \m²\65.95 \ 300" u="1"/>
        <s v="SABS1200 GA  / Concrete (Small Works) / 8.4 / 8.4.2 / Blinding Layer in 15MPa concrete / KS13_012-Concrete Drop Inlet / 36.92 / m³" u="1"/>
        <s v="SABS1200 GA \CONCRETE (SMALL WORKS)/8.4\SCHEDULED CONCRETE ITEMS/8.4.2\Construct Blinding Layer using 15MPa concrete . Rate to allow for blinding to a nominal depth of 75 mm for all bases pertaining to the following structures:/\KS20_006-Concrete Drop Inlet. Drawing NBC-GTW-CL-0032 \m²\61.315 \ 300" u="1"/>
        <s v="SABS1200 GA  \ Concrete (Small Works) / 8.4\ SCHEDULED CONCRETE ITEMS / 8.4.2 \ Blinding Layer in 15MPa concrete . Rate to allow for blinding ot a nominal depth of 50 mm for all bases pertaining to the following structures:/\KS13_013-Concrete Drop Inlet. Refer to drawing Q \m²\41.704 \ 300" u="1"/>
        <s v="SABS1200 GA  \ Concrete (Small Works) / 8.4\ SCHEDULED CONCRETE ITEMS / 8.4.2 \ Blinding Layer in 15MPa concrete . Rate to allow for blinding ot a nominal depth of 50 mm for all bases pertaining to the following structures:/\KS13_015-Concrete Drop Inlet. Refer to drawing R \m²\41.704 \ 300" u="1"/>
        <s v="SABS1200 GA \CONCRETE (SMALL WORKS)/8.4\SCHEDULED CONCRETE ITEMS/8.4.2\Construct Blinding Layer using 15MPa concrete . Rate to allow for blinding to a nominal depth of 75 mm for all bases pertaining to the following structures:/\KS13_008-Concrete Drop Inlet. Drawing NBC-GTW-CL-0014 \m²\47.264 \ 300" u="1"/>
        <s v="SABS1200 GA  \ Concrete (Small Works) / 8.4\ SCHEDULED CONCRETE ITEMS / 8.4.2 \ Blinding Layer in 15MPa concrete . Rate to allow for blinding ot a nominal depth of 50 mm for all bases pertaining to the following structures:/\KS21_009-Concrete Drop Inlet. Refer to drawing AQ \m²\38.584 \ 300" u="1"/>
        <s v="SABS1200 GA \CONCRETE (SMALL WORKS)/8.4\SCHEDULED CONCRETE ITEMS/8.4.2\Blinding Layer in 15MPa concrete . Rate to allow for blinding to a nominal depth of 75 mm for all bases pertaining to the following structures:/\KS20_002-Concrete Drop Inlet. Refer to drawing NBC-GTW-CL-0028 \m²\51.08 \ 300" u="1"/>
        <s v="SABS1200 GA  / Concrete (Small Works) / 8.4 / 8.4.2 / Blinding Layer in 15MPa concrete / KS13_003-Concrete Drop Inlet / 43.7 / m³" u="1"/>
        <s v="SABS1200 GA  / Concrete (Small Works) / 8.4 / 8.4.2 / Blinding Layer in 15MPa concrete / KS12_006-Concrete Drop Inlet / 30.542 / m³" u="1"/>
        <s v="SABS1200 GA  \ Concrete (Small Works) / 8.4\ SCHEDULED CONCRETE ITEMS / 8.4.2 \ Blinding Layer in 15MPa concrete . Rate to allow for blinding ot a nominal depth of 50 mm for all bases pertaining to the following structures:/\KS18_001-Concrete Drop Inlet. Refer to drawing S \m²\71.536 \ 300" u="1"/>
        <s v="SABS1200 GA \CONCRETE (SMALL WORKS)/8.4\SCHEDULED CONCRETE ITEMS/8.4.2\Blinding Layer in 15MPa concrete . Rate to allow for blinding ot a nominal depth of 50 mm for all bases pertaining to the following structures:/\KS18_001-Concrete Drop Inlet. Refer to drawing NBC-GTW-CL-0019 \m²\71.536 \ 300" u="1"/>
        <s v="SABS1200 GA \CONCRETE (SMALL WORKS)/8.4\SCHEDULED CONCRETE ITEMS/8.4.2\Blinding Layer in 15MPa concrete . Rate to allow for blinding to a nominal depth of 75 mm for all bases pertaining to the following structures:/\KS18_001-Concrete Drop Inlet. Refer to drawing NBC-GTW-CL-0019 \m²\71.536 \ 300" u="1"/>
        <s v="SABS1200 GA \CONCRETE (SMALL WORKS)/8.4\SCHEDULED CONCRETE ITEMS/8.4.2\Blinding Layer in 15MPa concrete . Rate to allow for blinding ot a nominal depth of 50 mm for all bases pertaining to the following structures:/\KS20_008-Concrete Drop Inlet. Refer to drawing NBC-GTW-CL-0034 \m²\65.712 \ 300" u="1"/>
        <s v="SABS1200 GA \CONCRETE (SMALL WORKS)/8.4\SCHEDULED CONCRETE ITEMS/8.4.2\Blinding Layer in 15MPa concrete . Rate to allow for blinding to a nominal depth of 75 mm for all bases pertaining to the following structures:/\KS20_008-Concrete Drop Inlet. Refer to drawing NBC-GTW-CL-0034 \m²\65.712 \ 300" u="1"/>
        <s v="SABS1200 GA \CONCRETE (SMALL WORKS)/8.4\SCHEDULED CONCRETE ITEMS/8.4.2\Blinding Layer in 15MPa concrete . Rate to allow for blinding ot a nominal depth of 50 mm for all bases pertaining to the following structures:/\ks11-002a-Concrete Drop Inlet on Dam Wall  \m²\101.64 \ 300" u="1"/>
        <s v="SABS1200 GA \CONCRETE (SMALL WORKS)/8.4\SCHEDULED CONCRETE ITEMS/8.4.2\Blinding Layer in 15MPa concrete . Rate to allow for blinding ot a nominal depth of 50 mm for all bases pertaining to the following structures:/\ks11-004a-Concrete Drop Inlet on Dam Wall  \m²\101.64 \ 300" u="1"/>
        <s v="SABS1200 GA \CONCRETE (SMALL WORKS)/8.4\SCHEDULED CONCRETE ITEMS/8.4.2\Blinding Layer in 15MPa concrete . Rate to allow for blinding to a nominal depth of 75 mm for all bases pertaining to the following structures:/\ks11-002a-Concrete Drop Inlet on Dam Wall  \m²\101.64 \ 300" u="1"/>
        <s v="SABS1200 GA \CONCRETE (SMALL WORKS)/8.4\SCHEDULED CONCRETE ITEMS/8.4.2\Blinding Layer in 15MPa concrete . Rate to allow for blinding to a nominal depth of 75 mm for all bases pertaining to the following structures:/\ks11-004a-Concrete Drop Inlet on Dam Wall  \m²\101.64 \ 300" u="1"/>
        <s v="SABS1200 GA  \ Concrete (Small Works) / 8.4\ SCHEDULED CONCRETE ITEMS / 8.4.2 \ Blinding Layer in 15MPa concrete . Rate to allow for blinding ot a nominal depth of 50 mm for all bases pertaining to the following structures:/\KS21_010-Concrete Drop Inlet. Refer to drawing AR \m²\38.212 \ 300" u="1"/>
        <s v="SABS1200 GA  / Concrete (Small Works) / 8.4 / 8.4.2 / Blinding Layer in 15MPa concrete / KS13_011-Concrete Drop Inlet / 51.552 / m³" u="1"/>
        <s v="SABS1200 GA  / Concrete (Small Works) / 8.4 / 8.4.2 / Blinding Layer in 15MPa concrete / KS19_002-Concrete Drop Inlet / 38.552 / m³" u="1"/>
        <s v="SABS1200 GA  / Concrete (Small Works) / 8.4 / 8.4.2 / Blinding Layer in 15MPa concrete / KS20_004-Concrete Drop Inlet / 54.552 / m³" u="1"/>
        <s v="SABS1200 GA \CONCRETE (SMALL WORKS)/8.4\SCHEDULED CONCRETE ITEMS/8.4.2\Blinding Layer in 15MPa concrete . Rate to allow for blinding ot a nominal depth of 50 mm for all bases pertaining to the following structures:/\KS20_001-Concrete Drop Inlet. Refer to drawing NBC-GTW-CL-0027 \m²\37.752 \ 300" u="1"/>
        <s v="SABS1200 GA \CONCRETE (SMALL WORKS)/8.4\SCHEDULED CONCRETE ITEMS/8.4.2\Blinding Layer in 15MPa concrete . Rate to allow for blinding to a nominal depth of 75 mm for all bases pertaining to the following structures:/\KS20_001-Concrete Drop Inlet. Refer to drawing NBC-GTW-CL-0027 \m²\37.752 \ 300" u="1"/>
        <s v="SABS1200 GA \CONCRETE (SMALL WORKS)/8.4\SCHEDULED CONCRETE ITEMS/8.4.2\Blinding Layer in 15MPa concrete . Rate to allow for blinding ot a nominal depth of 50 mm for all bases pertaining to the following structures:/\KS20_002-Concrete Drop Inlet. Refer to drawing NBC-GTW-CL-0028 \m²\47.708 \ 300" u="1"/>
        <s v="SABS1200 GA  \ Concrete (Small Works) / 8.4\ SCHEDULED CONCRETE ITEMS / 8.4.2 \ Blinding Layer in 15MPa concrete . Rate to allow for blinding ot a nominal depth of 50 mm for all bases pertaining to the following structures:/\KS13_005-Concrete Drop Inlet \m²\41.124 \ 300" u="1"/>
        <s v="SABS1200 GA  \ Concrete (Small Works) / 8.4\ SCHEDULED CONCRETE ITEMS / 8.4.2 \ Blinding Layer in 15MPa concrete . Rate to allow for blinding ot a nominal depth of 50 mm for all bases pertaining to the following structures:/\KS13_006-Concrete Drop Inlet \m²\41.124 \ 300" u="1"/>
        <s v="SABS1200 GA  / Concrete (Small Works) / 8.4 / 8.4.2 / Blinding Layer in 15MPa concrete / KS18_017-Concrete Drop Inlet / 37.508 / m³" u="1"/>
        <s v="SABS1200 GA  \ Concrete (Small Works) / 8.4\ SCHEDULED CONCRETE ITEMS / 8.4.2 \ Blinding Layer in 15MPa concrete . Rate to allow for blinding ot a nominal depth of 50 mm for all bases pertaining to the following structures:/\KS18_015-Concrete Drop Inlet. Refer to drawing U \m²\46.216 \ 300" u="1"/>
        <s v="SABS1200 GA \CONCRETE (SMALL WORKS)/8.4\SCHEDULED CONCRETE ITEMS/8.4.2\Blinding Layer in 15MPa concrete . Rate to allow for blinding ot a nominal depth of 50 mm for all bases pertaining to the following structures:/\KS18_002-Concrete Drop Inlet. Refer to drawing NBC-GTW-CL-0020 \m²\44.62 \ 300" u="1"/>
        <s v="SABS1200 GA \CONCRETE (SMALL WORKS)/8.4\SCHEDULED CONCRETE ITEMS/8.4.2\Blinding Layer in 15MPa concrete . Rate to allow for blinding to a nominal depth of 75 mm for all bases pertaining to the following structures:/\KS18_002-Concrete Drop Inlet. Refer to drawing NBC-GTW-CL-0020 \m²\44.62 \ 300" u="1"/>
        <s v="SABS1200 GA \CONCRETE (SMALL WORKS)/8.4\SCHEDULED CONCRETE ITEMS/8.4.2\Blinding Layer in 15MPa concrete . Rate to allow for blinding ot a nominal depth of 50 mm for all bases pertaining to the following structures:/\KS21_006-Concrete Drop Inlet. Refer to drawing NBC-GTW-CL-0041 \m²\46.002 \ 300" u="1"/>
        <s v="SABS1200 GA \CONCRETE (SMALL WORKS)/8.4\SCHEDULED CONCRETE ITEMS/8.4.2\Blinding Layer in 15MPa concrete . Rate to allow for blinding to a nominal depth of 75 mm for all bases pertaining to the following structures:/\KS21_006-Concrete Drop Inlet. Refer to drawing NBC-GTW-CL-0041 \m²\46.002 \ 300" u="1"/>
        <s v="SABS1200 GA \CONCRETE (SMALL WORKS)/8.4\SCHEDULED CONCRETE ITEMS/8.4.2\Construct Blinding Layer using 15MPa concrete . Rate to allow for blinding to a nominal depth of 75 mm for all bases pertaining to the following structures:/\KS20_007-Concrete Drop Inlet. Drawing NBC-GTW-CL-0033 \m²\52.642 \ 300" u="1"/>
        <s v="SABS1200 GA  \ Concrete (Small Works) / 8.4\ SCHEDULED CONCRETE ITEMS / 8.4.2 \ Blinding Layer in 15MPa concrete . Rate to allow for blinding ot a nominal depth of 50 mm for all bases pertaining to the following structures:/\KS20_008-Concrete Drop Inlet \m²\65.712 \ 300" u="1"/>
        <s v="SABS1200 GA  / Concrete (Small Works) / 8.4 / 8.4.2 / Blinding Layer in 15MPa concrete / KS18_002-Concrete Drop Inlet / 44.62 / m³" u="1"/>
        <s v="SABS1200 GA  \ Concrete (Small Works) / 8.4\ SCHEDULED CONCRETE ITEMS / 8.4.2 \ Blinding Layer in 15MPa concrete . Rate to allow for blinding ot a nominal depth of 50 mm for all bases pertaining to the following structures:/\KS13_004-Concrete Drop Inlet. Refer to drawing J \m²\38.69 \ 300" u="1"/>
        <s v="SABS1200 GA \CONCRETE (SMALL WORKS)/8.4\SCHEDULED CONCRETE ITEMS/8.4.2\Blinding Layer in 15MPa concrete . Rate to allow for blinding ot a nominal depth of 50 mm for all bases pertaining to the following structures:/\KS21_003-Concrete Drop Inlet. Refer to drawing NBC-GTW-CL-0039 \m²\52.66 \ 300" u="1"/>
        <s v="SABS1200 GA \CONCRETE (SMALL WORKS)/8.4\SCHEDULED CONCRETE ITEMS/8.4.2\Blinding Layer in 15MPa concrete . Rate to allow for blinding to a nominal depth of 75 mm for all bases pertaining to the following structures:/\KS21_003-Concrete Drop Inlet. Refer to drawing NBC-GTW-CL-0039 \m²\52.66 \ 300" u="1"/>
        <s v="SABS1200 GA \CONCRETE (SMALL WORKS)/8.4\SCHEDULED CONCRETE ITEMS/8.4.2\Blinding Layer in 15MPa concrete . Rate to allow for blinding ot a nominal depth of 50 mm for all bases pertaining to the following structures:/\KS13_004-Concrete Drop Inlet. Refer to drawing NBC-GTW-CL-0010 \m²\38.69 \ 300" u="1"/>
        <s v="SABS1200 GA \CONCRETE (SMALL WORKS)/8.4\SCHEDULED CONCRETE ITEMS/8.4.2\Blinding Layer in 15MPa concrete . Rate to allow for blinding to a nominal depth of 75 mm for all bases pertaining to the following structures:/\KS13_004-Concrete Drop Inlet. Refer to drawing NBC-GTW-CL-0010 \m²\38.69 \ 300" u="1"/>
        <s v="SABS1200 GA  / Concrete (Small Works) / 8.4 / 8.4.2 / Blinding Layer in 15MPa concrete / KS13_013-Concrete Drop Inlet / 41.704 / m³" u="1"/>
        <s v="SABS1200 GA  / Concrete (Small Works) / 8.4 / 8.4.2 / Blinding Layer in 15MPa concrete / KS13_015-Concrete Drop Inlet / 41.704 / m³" u="1"/>
        <s v="SABS1200 GA \CONCRETE (SMALL WORKS)/8.4\SCHEDULED CONCRETE ITEMS/8.4.2\Construct Blinding Layer using 15MPa concrete . Rate to allow for blinding to a nominal depth of 75 mm for all bases pertaining to the following structures:/\KS21_009-Concrete Drop Inlet. Drawing NBC-GTW-CL-0043 \m²\38.584 \ 300" u="1"/>
        <s v="SABS1200 GA  \ Concrete (Small Works) / 8.4\ SCHEDULED CONCRETE ITEMS / 8.4.2 \ Blinding Layer in 15MPa concrete . Rate to allow for blinding ot a nominal depth of 50 mm for all bases pertaining to the following structures:/\KS12_006-Concrete Drop Inlet \m²\30.542 \ 300" u="1"/>
        <s v="SABS1200 GA  / Concrete (Small Works) / 8.4 / 8.4.2 / Blinding Layer in 15MPa concrete / KS13_007-Concrete Drop Inlet / 37.12 / m³" u="1"/>
        <s v="SABS1200 GA  \ Concrete (Small Works) / 8.4\ SCHEDULED CONCRETE ITEMS / 8.4.2 \ Blinding Layer in 15MPa concrete . Rate to allow for blinding ot a nominal depth of 50 mm for all bases pertaining to the following structures:/\KS12_004-Concrete Drop Inlet \m²\41.52 \ 300" u="1"/>
        <s v="SABS1200 GA \CONCRETE (SMALL WORKS)/8.4\SCHEDULED CONCRETE ITEMS/8.4.2\Blinding Layer in 15MPa concrete . Rate to allow for blinding ot a nominal depth of 50 mm for all bases pertaining to the following structures:/\KS20_006-Concrete Drop Inlet. Refer to drawing NBC-GTW-CL-0032 \m²\61.315 \ 300" u="1"/>
        <s v="SABS1200 GA \CONCRETE (SMALL WORKS)/8.4\SCHEDULED CONCRETE ITEMS/8.4.2\Blinding Layer in 15MPa concrete . Rate to allow for blinding to a nominal depth of 75 mm for all bases pertaining to the following structures:/\KS20_006-Concrete Drop Inlet. Refer to drawing NBC-GTW-CL-0032 \m²\61.315 \ 300" u="1"/>
        <s v="SABS1200 GA \CONCRETE (SMALL WORKS)/8.4\SCHEDULED CONCRETE ITEMS/8.4.2\Blinding Layer in 15MPa concrete . Rate to allow for blinding to a nominal depth of 75 mm for all bases pertaining to the following structures:/\KS20_009_a-Concrete Buttress Weir. Refer to drawing NBC-GTW-CL-0035 \m²\81.41 \ 300" u="1"/>
        <s v="SABS1200 GA \CONCRETE (SMALL WORKS)/8.4\SCHEDULED CONCRETE ITEMS/8.4.2\Construct Blinding Layer using 15MPa concrete . Rate to allow for blinding to a nominal depth of 75 mm for all bases pertaining to the following structures:/\KS18_019-Concrete Drop Inlet. Drawing NBC-GTW-CL-0025 \m²\34.736 \ 300" u="1"/>
        <s v="SABS1200 GA \CONCRETE (SMALL WORKS)/8.4\SCHEDULED CONCRETE ITEMS/8.4.2\Blinding Layer in 15MPa concrete . Rate to allow for blinding ot a nominal depth of 50 mm for all bases pertaining to the following structures:/\KS13_008-Concrete Drop Inlet. Refer to drawing NBC-GTW-CL-0014 \m²\47.264 \ 300" u="1"/>
        <s v="SABS1200 GA \CONCRETE (SMALL WORKS)/8.4\SCHEDULED CONCRETE ITEMS/8.4.2\Blinding Layer in 15MPa concrete . Rate to allow for blinding to a nominal depth of 75 mm for all bases pertaining to the following structures:/\KS13_008-Concrete Drop Inlet. Refer to drawing NBC-GTW-CL-0014 \m²\47.264 \ 300" u="1"/>
        <s v="SABS1200 GA \CONCRETE (SMALL WORKS)/8.4\SCHEDULED CONCRETE ITEMS/8.4.2\Construct Blinding Layer using 15MPa concrete . Rate to allow for blinding to a nominal depth of 75 mm for all bases pertaining to the following structures:/\KS21_007-Concrete Drop Inlet. Drawing NBC-GTW-CL-0042 \m²\39.824 \ 300" u="1"/>
        <s v="SABS1200 GA  \ Concrete (Small Works) / 8.4\ SCHEDULED CONCRETE ITEMS / 8.4.2 \ Blinding Layer in 15MPa concrete . Rate to allow for blinding ot a nominal depth of 50 mm for all bases pertaining to the following structures:/\KS12_005-Concrete Drop Inlet. Refer to drawing D \m²\35.8384 \ 300" u="1"/>
        <s v="SABS1200 GA  \ Concrete (Small Works) / 8.4\ SCHEDULED CONCRETE ITEMS / 8.4.2 \ Blinding Layer in 15MPa concrete . Rate to allow for blinding ot a nominal depth of 50 mm for all bases pertaining to the following structures:/\KS20_007-Concrete Drop Inlet \m²\52.642 \ 300" u="1"/>
        <s v="SABS1200 GA  \ Concrete (Small Works) / 8.4\ SCHEDULED CONCRETE ITEMS / 8.4.2 \ Blinding Layer in 15MPa concrete . Rate to allow for blinding ot a nominal depth of 50 mm for all bases pertaining to the following structures:/\KS18_002-Concrete Drop Inlet \m²\44.62 \ 300" u="1"/>
        <s v="SABS1200 GA  \ Concrete (Small Works) / 8.4\ SCHEDULED CONCRETE ITEMS / 8.4.2 \ Blinding Layer in 15MPa concrete . Rate to allow for blinding ot a nominal depth of 50 mm for all bases pertaining to the following structures:/\KS20_002-Concrete Drop Inlet. Refer to drawing AB \m²\47.708 \ 300" u="1"/>
        <s v="SABS1200 GA  \ Concrete (Small Works) / 8.4\ SCHEDULED CONCRETE ITEMS / 8.4.2 \ Blinding Layer in 15MPa concrete . Rate to allow for blinding ot a nominal depth of 50 mm for all bases pertaining to the following structures:/\KS18_017-Concrete Drop Inlet \m²\37.508 \ 300" u="1"/>
        <s v="SABS1200 GA  \ Concrete (Small Works) / 8.4\ SCHEDULED CONCRETE ITEMS / 8.4.2 \ Blinding Layer in 15MPa concrete . Rate to allow for blinding ot a nominal depth of 50 mm for all bases pertaining to the following structures:/\KS12_009-Concrete Drop Inlet \m²\23.424 \ 300" u="1"/>
        <s v="SABS1200 GA  \ Concrete (Small Works) / 8.4\ SCHEDULED CONCRETE ITEMS / 8.4.2 \ Blinding Layer in 15MPa concrete . Rate to allow for blinding ot a nominal depth of 50 mm for all bases pertaining to the following structures:/\KS21_006-Concrete Drop Inlet. Refer to drawing AO \m²\46.002 \ 300" u="1"/>
        <s v="SABS1200 GA \CONCRETE (SMALL WORKS)/8.4\SCHEDULED CONCRETE ITEMS/8.4.2\Blinding Layer in 15MPa concrete . Rate to allow for blinding ot a nominal depth of 50 mm for all bases pertaining to the following structures:/\KS20_009_b-Concrete Overflow Wall. Refer to drawing  \m²\10.65 \ 300" u="1"/>
        <s v="SABS1200 GA  \ Concrete (Small Works) / 8.4\ SCHEDULED CONCRETE ITEMS / 8.4.2 \ Blinding Layer in 15MPa concrete . Rate to allow for blinding ot a nominal depth of 50 mm for all bases pertaining to the following structures:/\KS12_008-Concrete Drop Inlet. Refer to drawing G \m²\28.492 \ 300" u="1"/>
        <s v="SABS1200 GA  \ Concrete (Small Works) / 8.4\ SCHEDULED CONCRETE ITEMS / 8.4.2 \ Blinding Layer in 15MPa concrete . Rate to allow for blinding ot a nominal depth of 50 mm for all bases pertaining to the following structures:/\KS21_003-Concrete Drop Inlet. Refer to drawing AM \m²\52.66 \ 300" u="1"/>
        <s v="SABS1200 GA \CONCRETE (SMALL WORKS)/8.4\SCHEDULED CONCRETE ITEMS/8.4.2\Blinding Layer in 15MPa concrete . Rate to allow for blinding ot a nominal depth of 50 mm for all bases pertaining to the following structures:/\KS20_007-Concrete Drop Inlet. Refer to drawing NBC-GTW-CL-0033 \m²\52.642 \ 300" u="1"/>
        <s v="SABS1200 GA \CONCRETE (SMALL WORKS)/8.4\SCHEDULED CONCRETE ITEMS/8.4.2\Blinding Layer in 15MPa concrete . Rate to allow for blinding to a nominal depth of 75 mm for all bases pertaining to the following structures:/\KS20_007-Concrete Drop Inlet. Refer to drawing NBC-GTW-CL-0033 \m²\52.642 \ 300" u="1"/>
        <s v="SABS1200 GA  \ Concrete (Small Works) / 8.4\ SCHEDULED CONCRETE ITEMS / 8.4.2 \ Blinding Layer in 15MPa concrete . Rate to allow for blinding ot a nominal depth of 50 mm for all bases pertaining to the following structures:/\KS20_006-Concrete Drop Inlet. Refer to drawing AF \m²\61.315 \ 300" u="1"/>
        <s v="SABS1200 GA  / Concrete (Small Works) / 8.4 / 8.4.2 / Blinding Layer in 15MPa concrete / KS20_006-Concrete Drop Inlet / 61.315 / m³" u="1"/>
        <s v="SABS1200 GA \CONCRETE (SMALL WORKS)/8.4\SCHEDULED CONCRETE ITEMS/8.4.2\Blinding Layer in 15MPa concrete . Rate to allow for blinding ot a nominal depth of 50 mm for all bases pertaining to the following structures:/\KS12_004-Concrete Drop Inlet. Refer to drawing NBC-GTW-CL-0003 \m²\41.52 \ 300" u="1"/>
        <s v="SABS1200 GA \CONCRETE (SMALL WORKS)/8.4\SCHEDULED CONCRETE ITEMS/8.4.2\Blinding Layer in 15MPa concrete . Rate to allow for blinding to a nominal depth of 75 mm for all bases pertaining to the following structures:/\KS12_004-Concrete Drop Inlet. Refer to drawing NBC-GTW-CL-0003 \m²\41.52 \ 300" u="1"/>
        <s v="SABS1200 GA \CONCRETE (SMALL WORKS)/8.4\SCHEDULED CONCRETE ITEMS/8.4.2\Blinding Layer in 15MPa concrete . Rate to allow for blinding ot a nominal depth of 50 mm for all bases pertaining to the following structures:/\KS21_007-Concrete Drop Inlet. Refer to drawing NBC-GTW-CL-0042 \m²\39.824 \ 300" u="1"/>
        <s v="SABS1200 GA \CONCRETE (SMALL WORKS)/8.4\SCHEDULED CONCRETE ITEMS/8.4.2\Blinding Layer in 15MPa concrete . Rate to allow for blinding to a nominal depth of 75 mm for all bases pertaining to the following structures:/\KS21_007-Concrete Drop Inlet. Refer to drawing NBC-GTW-CL-0042 \m²\39.824 \ 300" u="1"/>
        <s v="SABS1200 GA \CONCRETE (SMALL WORKS)/8.4\SCHEDULED CONCRETE ITEMS/8.4.2\Construct Blinding Layer using 15MPa concrete . Rate to allow for blinding to a nominal depth of 75 mm for all bases pertaining to the following structures:/\KS20_009_b-Concrete Overflow Wall. Drawing NBC-GTW-CL-0035 \m²\10.65 \ 300" u="1"/>
        <s v="SABS1200 GA  \ Concrete (Small Works) / 8.4\ SCHEDULED CONCRETE ITEMS / 8.4.2 \ Blinding Layer in 15MPa concrete . Rate to allow for blinding ot a nominal depth of 50 mm for all bases pertaining to the following structures:/\KS18_018-Concrete Drop Inlet. Refer to drawing X \m²\33.502 \ 300" u="1"/>
        <s v="SABS1200 GA  / Concrete (Small Works) / 8.4 / 8.4.2 / Blinding Layer in 15MPa concrete / KS13_008-Concrete Drop Inlet / 47.264 / m³" u="1"/>
        <s v="SABS1200 GA  \ Concrete (Small Works) / 8.4\ SCHEDULED CONCRETE ITEMS / 8.4.2 \ Blinding Layer in 15MPa concrete . Rate to allow for blinding ot a nominal depth of 50 mm for all bases pertaining to the following structures:/\KS12_004-Concrete Drop Inlet. Refer to drawing C \m²\41.52 \ 300" u="1"/>
        <s v="SABS1200 GA  / Concrete (Small Works) / 8.4 / 8.4.2 / Blinding Layer in 15MPa concrete / KS18_020-Rehab road culvert / 42.822 / m³" u="1"/>
        <s v="SABS1200 GA \CONCRETE (SMALL WORKS)/8.4\SCHEDULED CONCRETE ITEMS/8.4.2\Construct Blinding Layer using 15MPa concrete . Rate to allow for blinding to a nominal depth of 75 mm for all bases pertaining to the following structures:/\KS13_005-Concrete Drop Inlet. Drawing NBC-GTW-CL-0011 \m²\41.124 \ 300" u="1"/>
        <s v="SABS1200 GA \CONCRETE (SMALL WORKS)/8.4\SCHEDULED CONCRETE ITEMS/8.4.2\Construct Blinding Layer using 15MPa concrete . Rate to allow for blinding to a nominal depth of 75 mm for all bases pertaining to the following structures:/\KS13_006-Concrete Drop Inlet. Drawing NBC-GTW-CL-0012 \m²\41.124 \ 300" u="1"/>
        <s v="SABS1200 GA \CONCRETE (SMALL WORKS)/8.4\SCHEDULED CONCRETE ITEMS/8.4.2\Construct Blinding Layer using 15MPa concrete . Rate to allow for blinding to a nominal depth of 75 mm for all bases pertaining to the following structures:/\KS21_010-Concrete Drop Inlet. Drawing NBC-GTW-CL-0044 \m²\38.212 \ 300" u="1"/>
        <s v="SABS1200 GA  \ Concrete (Small Works) / 8.4\ SCHEDULED CONCRETE ITEMS / 8.4.2 \ Blinding Layer in 15MPa concrete . Rate to allow for blinding ot a nominal depth of 50 mm for all bases pertaining to the following structures:/\KS18_017-Concrete Drop Inlet. Refer to drawing W \m²\37.508 \ 300" u="1"/>
        <s v="SABS1200 GA  \ Concrete (Small Works) / 8.4\ SCHEDULED CONCRETE ITEMS / 8.4.2 \ Blinding Layer in 15MPa concrete . Rate to allow for blinding ot a nominal depth of 50 mm for all bases pertaining to the following structures:/\KS20_002-Concrete Drop Inlet \m²\47.708 \ 300" u="1"/>
        <s v="SABS1200 GA  \ Concrete (Small Works) / 8.4\ SCHEDULED CONCRETE ITEMS / 8.4.2 \ Blinding Layer in 15MPa concrete . Rate to allow for blinding ot a nominal depth of 50 mm for all bases pertaining to the following structures:/\KS20_009_a-Concrete Drop Inlet \m²\81.41 \ 300" u="1"/>
        <s v="SABS1200 GA \CONCRETE (SMALL WORKS)/8.4\SCHEDULED CONCRETE ITEMS/8.4.2\Blinding Layer in 15MPa concrete . Rate to allow for blinding ot a nominal depth of 50 mm for all bases pertaining to the following structures:/\KS13_005-Concrete Drop Inlet. Refer to drawing NBC-GTW-CL-0011 \m²\41.124 \ 300" u="1"/>
        <s v="SABS1200 GA \CONCRETE (SMALL WORKS)/8.4\SCHEDULED CONCRETE ITEMS/8.4.2\Blinding Layer in 15MPa concrete . Rate to allow for blinding ot a nominal depth of 50 mm for all bases pertaining to the following structures:/\KS13_006-Concrete Drop Inlet. Refer to drawing NBC-GTW-CL-0012 \m²\41.124 \ 300" u="1"/>
        <s v="SABS1200 GA \CONCRETE (SMALL WORKS)/8.4\SCHEDULED CONCRETE ITEMS/8.4.2\Blinding Layer in 15MPa concrete . Rate to allow for blinding to a nominal depth of 75 mm for all bases pertaining to the following structures:/\KS13_005-Concrete Drop Inlet. Refer to drawing NBC-GTW-CL-0011 \m²\41.124 \ 300" u="1"/>
        <s v="SABS1200 GA \CONCRETE (SMALL WORKS)/8.4\SCHEDULED CONCRETE ITEMS/8.4.2\Blinding Layer in 15MPa concrete . Rate to allow for blinding to a nominal depth of 75 mm for all bases pertaining to the following structures:/\KS13_006-Concrete Drop Inlet. Refer to drawing NBC-GTW-CL-0012 \m²\41.124 \ 300" u="1"/>
        <s v="SABS1200 GA  \ Concrete (Small Works) / 8.4\ SCHEDULED CONCRETE ITEMS / 8.4.2 \ Blinding Layer in 15MPa concrete . Rate to allow for blinding ot a nominal depth of 50 mm for all bases pertaining to the following structures:/\KS13_012-Concrete Drop Inlet \m²\36.92 \ 300" u="1"/>
        <s v="SABS1200 GA  \ Concrete (Small Works) / 8.4\ SCHEDULED CONCRETE ITEMS / 8.4.2 \ Blinding Layer in 15MPa concrete . Rate to allow for blinding ot a nominal depth of 50 mm for all bases pertaining to the following structures:/\KS18_016-Concrete Drop Inlet \m²\38.236 \ 300" u="1"/>
        <s v="SABS1200 GA \CONCRETE (SMALL WORKS)/8.4\SCHEDULED CONCRETE ITEMS/8.4.2\Blinding Layer in 15MPa concrete . Rate to allow for blinding ot a nominal depth of 50 mm for all bases pertaining to the following structures:/\KS18_018-Concrete Drop Inlet. Refer to drawing NBC-GTW-CL-0024 \m²\33.502 \ 300" u="1"/>
        <s v="SABS1200 GA \CONCRETE (SMALL WORKS)/8.4\SCHEDULED CONCRETE ITEMS/8.4.2\Blinding Layer in 15MPa concrete . Rate to allow for blinding to a nominal depth of 75 mm for all bases pertaining to the following structures:/\KS18_018-Concrete Drop Inlet. Refer to drawing NBC-GTW-CL-0024 \m²\33.502 \ 300" u="1"/>
        <s v="SABS1200 GA \CONCRETE (SMALL WORKS)/8.4\SCHEDULED CONCRETE ITEMS/8.4.2\Blinding Layer in 15MPa concrete . Rate to allow for blinding ot a nominal depth of 50 mm for all bases pertaining to the following structures:/\KS21_005-Concrete Drop Inlet. Refer to drawing NBC-GTW-CL-0040 \m²\45.451 \ 300" u="1"/>
        <s v="SABS1200 GA \CONCRETE (SMALL WORKS)/8.4\SCHEDULED CONCRETE ITEMS/8.4.2\Blinding Layer in 15MPa concrete . Rate to allow for blinding to a nominal depth of 75 mm for all bases pertaining to the following structures:/\KS21_005-Concrete Drop Inlet. Refer to drawing NBC-GTW-CL-0040 \m²\45.451 \ 300" u="1"/>
        <s v="SABS1200 GA \CONCRETE (SMALL WORKS)/8.4\SCHEDULED CONCRETE ITEMS/8.4.2\Construct Blinding Layer using 15MPa concrete . Rate to allow for blinding to a nominal depth of 75 mm for all bases pertaining to the following structures:/\KS13_007-Concrete Drop Inlet. Drawing NBC-GTW-CL-0013 \m²\37.12 \ 300" u="1"/>
        <s v="SABS1200 GA \CONCRETE (SMALL WORKS)/8.4\SCHEDULED CONCRETE ITEMS/8.4.2\Construct Blinding Layer using 15MPa concrete . Rate to allow for blinding to a nominal depth of 75 mm for all bases pertaining to the following structures:/\KS18_018-Concrete Drop Inlet. Drawing NBC-GTW-CL-0024 \m²\33.502 \ 300" u="1"/>
        <s v="SABS1200 GA \CONCRETE (SMALL WORKS)/8.4\SCHEDULED CONCRETE ITEMS/8.4.2\Blinding Layer in 15MPa concrete . Rate to allow for blinding ot a nominal depth of 50 mm for all bases pertaining to the following structures:/\KS12_006-Concrete Drop Inlet. Refer to drawing NBC-GTW-CL-0005 \m²\30.542 \ 300" u="1"/>
        <s v="SABS1200 GA \CONCRETE (SMALL WORKS)/8.4\SCHEDULED CONCRETE ITEMS/8.4.2\Blinding Layer in 15MPa concrete . Rate to allow for blinding to a nominal depth of 75 mm for all bases pertaining to the following structures:/\KS12_006-Concrete Drop Inlet. Refer to drawing NBC-GTW-CL-0005 \m²\30.542 \ 300" u="1"/>
        <s v="SABS1200 GA \CONCRETE (SMALL WORKS)/8.4\SCHEDULED CONCRETE ITEMS/8.4.2\Blinding Layer in 15MPa concrete . Rate to allow for blinding ot a nominal depth of 50 mm for all bases pertaining to the following structures:/\KS13_011-Concrete Drop Inlet. Refer to drawing NBC-GTW-CL-0015 \m²\51.552 \ 300" u="1"/>
        <s v="SABS1200 GA \CONCRETE (SMALL WORKS)/8.4\SCHEDULED CONCRETE ITEMS/8.4.2\Blinding Layer in 15MPa concrete . Rate to allow for blinding ot a nominal depth of 50 mm for all bases pertaining to the following structures:/\KS19_002-Concrete Drop Inlet. Refer to drawing NBC-GTW-CL-0026 \m²\38.552 \ 300" u="1"/>
        <s v="SABS1200 GA \CONCRETE (SMALL WORKS)/8.4\SCHEDULED CONCRETE ITEMS/8.4.2\Blinding Layer in 15MPa concrete . Rate to allow for blinding ot a nominal depth of 50 mm for all bases pertaining to the following structures:/\KS20_004-Concrete Drop Inlet. Refer to drawing NBC-GTW-CL-0030 \m²\54.552 \ 300" u="1"/>
        <s v="SABS1200 GA \CONCRETE (SMALL WORKS)/8.4\SCHEDULED CONCRETE ITEMS/8.4.2\Blinding Layer in 15MPa concrete . Rate to allow for blinding to a nominal depth of 75 mm for all bases pertaining to the following structures:/\KS19_002-Concrete Drop Inlet. Refer to drawing NBC-GTW-CL-0026 \m²\38.552 \ 300" u="1"/>
        <s v="SABS1200 GA \CONCRETE (SMALL WORKS)/8.4\SCHEDULED CONCRETE ITEMS/8.4.2\Blinding Layer in 15MPa concrete . Rate to allow for blinding to a nominal depth of 75 mm for all bases pertaining to the following structures:/\KS20_004-Concrete Drop Inlet. Refer to drawing NBC-GTW-CL-0030 \m²\54.552 \ 300" u="1"/>
        <s v="SABS1200 GA \CONCRETE (SMALL WORKS)/8.4\SCHEDULED CONCRETE ITEMS/8.4.2\Blinding Layer in 15MPa concrete . Rate to allow for blinding ot a nominal depth of 50 mm for all bases pertaining to the following structures:/\KS18_017-Concrete Drop Inlet. Refer to drawing NBC-GTW-CL-0023 \m²\37.508 \ 300" u="1"/>
        <s v="SABS1200 GA \CONCRETE (SMALL WORKS)/8.4\SCHEDULED CONCRETE ITEMS/8.4.2\Blinding Layer in 15MPa concrete . Rate to allow for blinding to a nominal depth of 75 mm for all bases pertaining to the following structures:/\KS18_017-Concrete Drop Inlet. Refer to drawing NBC-GTW-CL-0023 \m²\37.508 \ 300" u="1"/>
        <s v="SABS1200 GA \CONCRETE (SMALL WORKS)/8.4\SCHEDULED CONCRETE ITEMS/8.4.2\Construct Blinding Layer using 15MPa concrete . Rate to allow for blinding to a nominal depth of 75 mm for all bases pertaining to the following structures:/\KS21_005-Concrete Drop Inlet. Drawing NBC-GTW-CL-0040 \m²\45.451 \ 300" u="1"/>
        <s v="SABS1200 GA  \ Concrete (Small Works) / 8.4\ SCHEDULED CONCRETE ITEMS / 8.4.2 \ Blinding Layer in 15MPa concrete . Rate to allow for blinding ot a nominal depth of 50 mm for all bases pertaining to the following structures:/\KS21_007-Concrete Drop Inlet \m²\39.824 \ 300" u="1"/>
        <s v="SABS1200 GA \CONCRETE (SMALL WORKS)/8.4\SCHEDULED CONCRETE ITEMS/8.4.2\Blinding Layer in 15MPa concrete . Rate to allow for blinding ot a nominal depth of 50 mm for all bases pertaining to the following structures:/\KS18_020-Rehab road culvert  \m²\42.822 \ 300" u="1"/>
        <s v="SABS1200 GA  \ Concrete (Small Works) / 8.4\ SCHEDULED CONCRETE ITEMS / 8.4.2 \ Blinding Layer in 15MPa concrete . Rate to allow for blinding ot a nominal depth of 50 mm for all bases pertaining to the following structures:/\KS20_003-Concrete Buttress Weir. Refer to drawing AC \m²\81.26 \ 300" u="1"/>
        <s v="SABS1200 GA \CONCRETE (SMALL WORKS)/8.4\SCHEDULED CONCRETE ITEMS/8.4.2\Blinding Layer in 15MPa concrete . Rate to allow for blinding ot a nominal depth of 50 mm for all bases pertaining to the following structures:/\KS13_013-Concrete Drop Inlet. Refer to drawing NBC-GTW-CL-0017 \m²\41.704 \ 300" u="1"/>
        <s v="SABS1200 GA \CONCRETE (SMALL WORKS)/8.4\SCHEDULED CONCRETE ITEMS/8.4.2\Blinding Layer in 15MPa concrete . Rate to allow for blinding ot a nominal depth of 50 mm for all bases pertaining to the following structures:/\KS13_015-Concrete Drop Inlet. Refer to drawing NBC-GTW-CL-0018 \m²\41.704 \ 300" u="1"/>
        <s v="SABS1200 GA \CONCRETE (SMALL WORKS)/8.4\SCHEDULED CONCRETE ITEMS/8.4.2\Blinding Layer in 15MPa concrete . Rate to allow for blinding to a nominal depth of 75 mm for all bases pertaining to the following structures:/\KS13_013-Concrete Drop Inlet. Refer to drawing NBC-GTW-CL-0017 \m²\41.704 \ 300" u="1"/>
        <s v="SABS1200 GA \CONCRETE (SMALL WORKS)/8.4\SCHEDULED CONCRETE ITEMS/8.4.2\Blinding Layer in 15MPa concrete . Rate to allow for blinding to a nominal depth of 75 mm for all bases pertaining to the following structures:/\KS13_015-Concrete Drop Inlet. Refer to drawing NBC-GTW-CL-0018 \m²\41.704 \ 300" u="1"/>
        <s v="SABS1200 GA \CONCRETE (SMALL WORKS)/8.4\SCHEDULED CONCRETE ITEMS/8.4.2\Construct Blinding Layer using 15MPa concrete . Rate to allow for blinding to a nominal depth of 75 mm for all bases pertaining to the following structures:/\KS20_004-Concrete Drop Inlet. Drawing NBC-GTW-CL-0030 \m²\54.552 \ 300" u="1"/>
        <s v="SABS1200 GA  / Concrete (Small Works) / 8.4 / 8.4.2 / Blinding Layer in 15MPa concrete / KS20_009_a-Concrete Drop Inlet / 81.41 / m³" u="1"/>
        <s v="SABS1200 GA \CONCRETE (SMALL WORKS)/8.4\SCHEDULED CONCRETE ITEMS/8.4.2\Construct Blinding Layer using 15MPa concrete . Rate to allow for blinding to a nominal depth of 75 mm for all bases pertaining to the following structures:/\KS18_017-Concrete Drop Inlet. Drawing NBC-GTW-CL-0023 \m²\37.508 \ 300" u="1"/>
        <s v="SABS1200 GA  \ Concrete (Small Works) / 8.4\ SCHEDULED CONCRETE ITEMS / 8.4.2 \ Blinding Layer in 15MPa concrete . Rate to allow for blinding ot a nominal depth of 50 mm for all bases pertaining to the following structures:/\KS21_006-Concrete Drop Inlet \m²\46.002 \ 300" u="1"/>
        <s v="SABS1200 GA  \ Concrete (Small Works) / 8.4\ SCHEDULED CONCRETE ITEMS / 8.4.2 \ Blinding Layer in 15MPa concrete . Rate to allow for blinding ot a nominal depth of 50 mm for all bases pertaining to the following structures:/\KS20_005-Concrete Drop Inlet \m²\65.95 \ 300" u="1"/>
        <s v="SABS1200 GA  / Concrete (Small Works) / 8.4 / 8.4.2 / Blinding Layer in 15MPa concrete / KS20_007-Concrete Drop Inlet / 52.642 / m³" u="1"/>
        <s v="SABS1200 GA \CONCRETE (SMALL WORKS)/8.4\SCHEDULED CONCRETE ITEMS/8.4.2\Construct Blinding Layer using 15MPa concrete . Rate to allow for blinding to a nominal depth of 75 mm for all bases pertaining to the following structures:/\KS13_013-Concrete Drop Inlet. Drawing NBC-GTW-CL-0017 \m²\41.704 \ 300" u="1"/>
        <s v="SABS1200 GA \CONCRETE (SMALL WORKS)/8.4\SCHEDULED CONCRETE ITEMS/8.4.2\Construct Blinding Layer using 15MPa concrete . Rate to allow for blinding to a nominal depth of 75 mm for all bases pertaining to the following structures:/\KS13_015-Concrete Drop Inlet. Drawing NBC-GTW-CL-0018 \m²\41.704 \ 300" u="1"/>
        <s v="SABS1200 GA \CONCRETE (SMALL WORKS)/8.4\SCHEDULED CONCRETE ITEMS/8.4.2\Blinding Layer in 15MPa concrete . Rate to allow for blinding ot a nominal depth of 50 mm for all bases pertaining to the following structures:/\KS20_003-Concrete Buttress Weir. Refer to drawing NBC-GTW-CL-0029 \m²\81.26 \ 300" u="1"/>
        <s v="SABS1200 GA \CONCRETE (SMALL WORKS)/8.4\SCHEDULED CONCRETE ITEMS/8.4.2\Blinding Layer in 15MPa concrete . Rate to allow for blinding to a nominal depth of 75 mm for all bases pertaining to the following structures:/\KS20_003-Concrete Buttress Weir. Refer to drawing NBC-GTW-CL-0029 \m²\81.26 \ 300" u="1"/>
        <s v="SABS1200 GA  \ Concrete (Small Works) / 8.4\ SCHEDULED CONCRETE ITEMS / 8.4.2 \ Blinding Layer in 15MPa concrete . Rate to allow for blinding ot a nominal depth of 50 mm for all bases pertaining to the following structures:/\KS20_009_b-Concrete Overflow Wall \m²\10.65 \ 300" u="1"/>
        <s v="SABS1200 GA  \ Concrete (Small Works) / 8.4\ SCHEDULED CONCRETE ITEMS / 8.4.2 \ Blinding Layer in 15MPa concrete . Rate to allow for blinding ot a nominal depth of 50 mm for all bases pertaining to the following structures:/\KS12_007-Concrete Drop Inlet \m²\33.16 \ 300" u="1"/>
        <s v="SABS1200 GA  \ Concrete (Small Works) / 8.4\ SCHEDULED CONCRETE ITEMS / 8.4.2 \ Blinding Layer in 15MPa concrete . Rate to allow for blinding ot a nominal depth of 50 mm for all bases pertaining to the following structures:/\KS18_001-Concrete Drop Inlet \m²\71.536 \ 300" u="1"/>
        <s v="SABS1200 GA \CONCRETE (SMALL WORKS)/8.4\SCHEDULED CONCRETE ITEMS/8.4.2\Construct Blinding Layer using 15MPa concrete . Rate to allow for blinding to a nominal depth of 75 mm for all bases pertaining to the following structures:/\KS20_009_a-Concrete Buttress Weir. Drawing NBC-GTW-CL-0035 \m²\81.41 \ 300" u="1"/>
        <s v="SABS1200 GA  \ Concrete (Small Works) / 8.4\ SCHEDULED CONCRETE ITEMS / 8.4.2 \ Blinding Layer in 15MPa concrete . Rate to allow for blinding ot a nominal depth of 50 mm for all bases pertaining to the following structures:/\KS12_007-Concrete Drop Inlet. Refer to drawing F \m²\33.16 \ 300" u="1"/>
        <s v="SABS1200 GA  \ Concrete (Small Works) / 8.4\ SCHEDULED CONCRETE ITEMS / 8.4.2 \ Blinding Layer in 15MPa concrete . Rate to allow for blinding ot a nominal depth of 50 mm for all bases pertaining to the following structures:/\KS21_009-Concrete Drop Inlet \m²\38.584 \ 300" u="1"/>
        <s v="SABS1200 GA \CONCRETE (SMALL WORKS)/8.4\SCHEDULED CONCRETE ITEMS/8.4.2\Blinding Layer in 15MPa concrete . Rate to allow for blinding ot a nominal depth of 50 mm for all bases pertaining to the following structures:/\KS18_015-Concrete Drop Inlet. Refer to drawing NBC-GTW-CL-0021 \m²\46.216 \ 300" u="1"/>
        <s v="SABS1200 GA \CONCRETE (SMALL WORKS)/8.4\SCHEDULED CONCRETE ITEMS/8.4.2\Blinding Layer in 15MPa concrete . Rate to allow for blinding to a nominal depth of 75 mm for all bases pertaining to the following structures:/\KS18_015-Concrete Drop Inlet. Refer to drawing NBC-GTW-CL-0021 \m²\46.216 \ 300" u="1"/>
        <s v="SABS1200 GA \CONCRETE (SMALL WORKS)/8.4\SCHEDULED CONCRETE ITEMS/8.4.2\Construct Blinding Layer using 15MPa concrete . Rate to allow for blinding to a nominal depth of 75 mm for all bases pertaining to the following structures:/\KS18_020-Concrete Drop Inlet associated with Road Culvert  \m²\42.822 \ 300" u="1"/>
        <s v="SABS1200 GA \CONCRETE (SMALL WORKS)/8.4\SCHEDULED CONCRETE ITEMS/8.4.2\Blinding Layer in 15MPa concrete . Rate to allow for blinding ot a nominal depth of 50 mm for all bases pertaining to the following structures:/\KS18_016-Concrete Drop Inlet. Refer to drawing NBC-GTW-CL-0022 \m²\38.236 \ 300" u="1"/>
        <s v="SABS1200 GA \CONCRETE (SMALL WORKS)/8.4\SCHEDULED CONCRETE ITEMS/8.4.2\Blinding Layer in 15MPa concrete . Rate to allow for blinding to a nominal depth of 75 mm for all bases pertaining to the following structures:/\KS18_016-Concrete Drop Inlet. Refer to drawing NBC-GTW-CL-0022 \m²\38.236 \ 300" u="1"/>
        <s v="SABS1200 GA \CONCRETE (SMALL WORKS)/8.4\SCHEDULED CONCRETE ITEMS/8.4.2\Blinding Layer in 15MPa concrete . Rate to allow for blinding ot a nominal depth of 50 mm for all bases pertaining to the following structures:/\ks11-002b-Concrete Splash Through Structure  \m²\64 \ 300" u="1"/>
        <s v="SABS1200 GA \CONCRETE (SMALL WORKS)/8.4\SCHEDULED CONCRETE ITEMS/8.4.2\Blinding Layer in 15MPa concrete . Rate to allow for blinding ot a nominal depth of 50 mm for all bases pertaining to the following structures:/\ks11-004b-Concrete Splash Through Structure  \m²\64 \ 300" u="1"/>
        <s v="SABS1200 GA  / Concrete (Small Works) / 8.4 / 8.4.2 / Blinding Layer in 15MPa concrete / KS21_009-Concrete Drop Inlet / 38.584 / m³" u="1"/>
        <s v="SABS1200 GA \CONCRETE (SMALL WORKS)/8.4\SCHEDULED CONCRETE ITEMS/8.4.2\Blinding Layer in 15MPa concrete . Rate to allow for blinding to a nominal depth of 75 mm for all bases pertaining to the following structures:/\KS13_011-Concrete Drop Inlet. Refer to drawing NBC-GTW-CL-0015 \m²\42 \ 300" u="1"/>
        <s v="SABS1200 GA  / Concrete (Small Works) / 8.4 / 8.4.2 / Blinding Layer in 15MPa concrete / KS21_003-Concrete Drop Inlet / 52.66 / m³" u="1"/>
        <s v="SABS1200 GA \CONCRETE (SMALL WORKS)/8.4\SCHEDULED CONCRETE ITEMS/8.4.2\Blinding Layer in 15MPa concrete . Rate to allow for blinding to a nominal depth of 75 mm for all bases pertaining to the following structures:/\KS12_002-Concrete Drop Inlet. Refer to drawing NBC-GTW-CL-0002 \m²\52 \ 300" u="1"/>
        <s v="SABS1200 GA  \ Concrete (Small Works) / 8.4\ SCHEDULED CONCRETE ITEMS / 8.4.2 \ Blinding Layer in 15MPa concrete . Rate to allow for blinding ot a nominal depth of 50 mm for all bases pertaining to the following structures:/\KS13_011-Concrete Drop Inlet \m²\51.552 \ 300" u="1"/>
        <s v="SABS1200 GA  \ Concrete (Small Works) / 8.4\ SCHEDULED CONCRETE ITEMS / 8.4.2 \ Blinding Layer in 15MPa concrete . Rate to allow for blinding ot a nominal depth of 50 mm for all bases pertaining to the following structures:/\KS19_002-Concrete Drop Inlet \m²\38.552 \ 300" u="1"/>
        <s v="SABS1200 GA  \ Concrete (Small Works) / 8.4\ SCHEDULED CONCRETE ITEMS / 8.4.2 \ Blinding Layer in 15MPa concrete . Rate to allow for blinding ot a nominal depth of 50 mm for all bases pertaining to the following structures:/\KS20_004-Concrete Drop Inlet \m²\54.552 \ 300" u="1"/>
        <s v="SABS1200 GA  / Concrete (Small Works) / 8.4 / 8.4.2 / Blinding Layer in 15MPa concrete / KS18_015-Concrete Drop Inlet / 46.216 / m³" u="1"/>
        <s v="SABS1200 GA \CONCRETE (SMALL WORKS)/8.4\SCHEDULED CONCRETE ITEMS/8.4.2\Blinding Layer in 15MPa concrete . Rate to allow for blinding ot a nominal depth of 50 mm for all bases pertaining to the following structures:/\KS12_008-Concrete Drop Inlet. Refer to drawing NBC-GTW-CL-0007 \m²\28.492 \ 300" u="1"/>
        <s v="SABS1200 GA \CONCRETE (SMALL WORKS)/8.4\SCHEDULED CONCRETE ITEMS/8.4.2\Blinding Layer in 15MPa concrete . Rate to allow for blinding to a nominal depth of 75 mm for all bases pertaining to the following structures:/\KS12_008-Concrete Drop Inlet. Refer to drawing NBC-GTW-CL-0007 \m²\28.492 \ 300" u="1"/>
        <s v="SABS1200 GA  \ Concrete (Small Works) / 8.4\ SCHEDULED CONCRETE ITEMS / 8.4.2 \ Blinding Layer in 15MPa concrete . Rate to allow for blinding ot a nominal depth of 50 mm for all bases pertaining to the following structures:/\KS21_005-Concrete Drop Inlet \m²\45.451 \ 300" u="1"/>
        <s v="SABS1200 GA \CONCRETE (SMALL WORKS)/8.4\SCHEDULED CONCRETE ITEMS/8.4.2\Blinding Layer in 15MPa concrete . Rate to allow for blinding ot a nominal depth of 50 mm for all bases pertaining to the following structures:/\KS20_009_a-Concrete Drop Inlet. Refer to drawing NBC-GTW-CL-0035 \m²\81.41 \ 300" u="1"/>
        <s v="SABS1200 GA  \ Concrete (Small Works) / 8.4\ SCHEDULED CONCRETE ITEMS / 8.4.2 \ Blinding Layer in 15MPa concrete . Rate to allow for blinding ot a nominal depth of 50 mm for all bases pertaining to the following structures:/\KS18_019-Concrete Drop Inlet \m²\34.736 \ 300" u="1"/>
        <s v="SABS1200 GA \CONCRETE (SMALL WORKS)/8.4\SCHEDULED CONCRETE ITEMS/8.4.2\Blinding Layer in 15MPa concrete . Rate to allow for blinding ot a nominal depth of 50 mm for all bases pertaining to the following structures:/\KS20_009_b-Concrete Overflow Wall. Refer to drawing NBC-GTW-CL-0036 \m²\10.65 \ 300" u="1"/>
        <s v="SABS1200 GA \CONCRETE (SMALL WORKS)/8.4\SCHEDULED CONCRETE ITEMS/8.4.2\Blinding Layer in 15MPa concrete . Rate to allow for blinding to a nominal depth of 75 mm for all bases pertaining to the following structures:/\KS20_009_b-Concrete Overflow Wall. Refer to drawing NBC-GTW-CL-0035 \m²\10.65 \ 300" u="1"/>
        <s v="SABS1200 GA  / Concrete (Small Works) / 8.4 / 8.4.2 / Blinding Layer in 15MPa concrete / KS18_019-Concrete Drop Inlet / 34.736 / m³" u="1"/>
        <s v="SABS1200 GA  / Concrete (Small Works) / 8.4 / 8.4.2 / Blinding Layer in 15MPa concrete / KS18_016-Concrete Drop Inlet / 38.236 / m³" u="1"/>
        <s v="SABS1200 GA  / Concrete (Small Works) / 8.4 / 8.4.2 / Blinding Layer in 15MPa concrete / KS21_007-Concrete Drop Inlet / 39.824 / m³" u="1"/>
        <s v="SABS1200 GA \CONCRETE (SMALL WORKS)/8.4\SCHEDULED CONCRETE ITEMS/8.4.2\Construct Blinding Layer using 15MPa concrete . Rate to allow for blinding to a nominal depth of 75 mm for all bases pertaining to the following structures:/\KS20_003-Concrete Buttress Weir. Drawing NBC-GTW-CL-0029 \m²\81.26 \ 300" u="1"/>
        <s v="SABS1200 GA  \ Concrete (Small Works) / 8.4\ SCHEDULED CONCRETE ITEMS / 8.4.2 \ Blinding Layer in 15MPa concrete . Rate to allow for blinding ot a nominal depth of 50 mm for all bases pertaining to the following structures:/\KS13_013-Concrete Drop Inlet \m²\41.704 \ 300" u="1"/>
        <s v="SABS1200 GA  \ Concrete (Small Works) / 8.4\ SCHEDULED CONCRETE ITEMS / 8.4.2 \ Blinding Layer in 15MPa concrete . Rate to allow for blinding ot a nominal depth of 50 mm for all bases pertaining to the following structures:/\KS13_015-Concrete Drop Inlet \m²\41.704 \ 300" u="1"/>
        <s v="SABS1200 GA \CONCRETE (SMALL WORKS)/8.4\SCHEDULED CONCRETE ITEMS/8.4.2\Blinding Layer in 15MPa concrete . Rate to allow for blinding to a nominal depth of 75 mm for all bases pertaining to the following structures:/\ks11-002b-Concrete Splash Through Structure. Refer to drawing NBC-GTW-CL-0067 \m²\64 \ 300" u="1"/>
        <s v="SABS1200 GA \CONCRETE (SMALL WORKS)/8.4\SCHEDULED CONCRETE ITEMS/8.4.2\Blinding Layer in 15MPa concrete . Rate to allow for blinding to a nominal depth of 75 mm for all bases pertaining to the following structures:/\ks11-004b-Concrete Splash Through Structure. Refer to drawing NBC-GTW-CL-0068 \m²\64 \ 300" u="1"/>
        <s v="SABS1200 GA  \ Concrete (Small Works) / 8.4\ SCHEDULED CONCRETE ITEMS / 8.4.2 \ Blinding Layer in 15MPa concrete . Rate to allow for blinding ot a nominal depth of 50 mm for all bases pertaining to the following structures:/\KS18_015-Concrete Drop Inlet \m²\46.216 \ 300" u="1"/>
        <s v="SABS1200 GA  \ Concrete (Small Works) / 8.4\ SCHEDULED CONCRETE ITEMS / 8.4.2 \ Blinding Layer in 15MPa concrete . Rate to allow for blinding ot a nominal depth of 50 mm for all bases pertaining to the following structures:/\KS20_001-Concrete Drop Inlet \m²\37.752 \ 300" u="1"/>
        <s v="SABS1200 GA  \ Concrete (Small Works) / 8.4\ SCHEDULED CONCRETE ITEMS / 8.4.2 \ Blinding Layer in 15MPa concrete . Rate to allow for blinding ot a nominal depth of 50 mm for all bases pertaining to the following structures:/\KS13_008-Concrete Drop Inlet \m²\47.264 \ 300" u="1"/>
        <s v="SABS1200 GA \CONCRETE (SMALL WORKS)/8.4\SCHEDULED CONCRETE ITEMS/8.4.2\Blinding Layer in 15MPa concrete . Rate to allow for blinding to a nominal depth of 75 mm for all bases pertaining to the following structures:/\KS18_020-Concrete Drop Inlet associated with Road Culvert  \m²\42.822 \ 300" u="1"/>
        <s v="SABS1200 GA  \ Concrete (Small Works) / 8.4\ SCHEDULED CONCRETE ITEMS / 8.4.2 \ Blinding Layer in 15MPa concrete . Rate to allow for blinding ot a nominal depth of 50 mm for all bases pertaining to the following structures:/\KS13_005-Concrete Drop Inlet. Refer to drawing K \m²\41.124 \ 300" u="1"/>
        <s v="SABS1200 GA  \ Concrete (Small Works) / 8.4\ SCHEDULED CONCRETE ITEMS / 8.4.2 \ Blinding Layer in 15MPa concrete . Rate to allow for blinding ot a nominal depth of 50 mm for all bases pertaining to the following structures:/\KS13_006-Concrete Drop Inlet. Refer to drawing L \m²\41.124 \ 300" u="1"/>
        <s v="SABS1200 GA  / Concrete (Small Works) / 8.4 / 8.4.2 / Blinding Layer in 15MPa concrete / KS13_004-Concrete Drop Inlet / 38.69 / m³" u="1"/>
        <s v="SABS1200 GA  \ Concrete (Small Works) / 8.4\ SCHEDULED CONCRETE ITEMS / 8.4.2 \ Blinding Layer in 15MPa concrete . Rate to allow for blinding ot a nominal depth of 50 mm for all bases pertaining to the following structures:/\KS18_002-Concrete Drop Inlet. Refer to drawing T \m²\44.62 \ 300" u="1"/>
        <s v="SABS1200 GA \CONCRETE (SMALL WORKS)/8.4\SCHEDULED CONCRETE ITEMS/8.4.2\Blinding Layer in 15MPa concrete . Rate to allow for blinding ot a nominal depth of 50 mm for all bases pertaining to the following structures:/\KS13_012-Concrete Drop Inlet. Refer to drawing NBC-GTW-CL-0016 \m²\36.92 \ 300" u="1"/>
        <s v="SABS1200 GA \CONCRETE (SMALL WORKS)/8.4\SCHEDULED CONCRETE ITEMS/8.4.2\Blinding Layer in 15MPa concrete . Rate to allow for blinding to a nominal depth of 75 mm for all bases pertaining to the following structures:/\KS13_012-Concrete Drop Inlet. Refer to drawing NBC-GTW-CL-0016 \m²\36.92 \ 300" u="1"/>
        <s v="SABS1200 GA \CONCRETE (SMALL WORKS)/8.4\SCHEDULED CONCRETE ITEMS/8.4.2\Construct Blinding Layer using 15MPa concrete . Rate to allow for blinding to a nominal depth of 75 mm for all bases pertaining to the following structures:/\KS18_015-Concrete Drop Inlet. Drawing NBC-GTW-CL-0021 \m²\46.216 \ 300" u="1"/>
        <s v="SABS1200 GA  \ Concrete (Small Works) / 8.4\ SCHEDULED CONCRETE ITEMS / 8.4.2 \ Blinding Layer in 15MPa concrete . Rate to allow for blinding ot a nominal depth of 50 mm for all bases pertaining to the following structures:/\KS18_018-Concrete Drop Inlet \m²\33.502 \ 300" u="1"/>
        <s v="SABS1200 GA  \ Concrete (Small Works) / 8.4\ SCHEDULED CONCRETE ITEMS / 8.4.2 \ Blinding Layer in 15MPa concrete . Rate to allow for blinding ot a nominal depth of 50 mm for all bases pertaining to the following structures:/\KS20_003-Concrete Buttress Weir \m²\81.26 \ 300" u="1"/>
        <s v="SABS1200 GA \CONCRETE (SMALL WORKS)/8.4\SCHEDULED CONCRETE ITEMS/8.4.2\Blinding Layer in 15MPa concrete . Rate to allow for blinding ot a nominal depth of 50 mm for all bases pertaining to the following structures:/\KS20_005-Concrete Drop Inlet. Refer to drawing NBC-GTW-CL-0031 \m²\65.95 \ 300" u="1"/>
        <s v="SABS1200 GA \CONCRETE (SMALL WORKS)/8.4\SCHEDULED CONCRETE ITEMS/8.4.2\Blinding Layer in 15MPa concrete . Rate to allow for blinding to a nominal depth of 75 mm for all bases pertaining to the following structures:/\KS20_005-Concrete Drop Inlet. Refer to drawing NBC-GTW-CL-0031 \m²\65.95 \ 300" u="1"/>
        <s v="SABS1200 GA \CONCRETE (SMALL WORKS)/8.4\SCHEDULED CONCRETE ITEMS/8.4.2\Construct Blinding Layer using 15MPa concrete . Rate to allow for blinding to a nominal depth of 75 mm for all bases pertaining to the following structures:/\KS18_016-Concrete Drop Inlet. Drawing NBC-GTW-CL-0022 \m²\38.236 \ 300" u="1"/>
        <s v="SABS1200 GA  \ Concrete (Small Works) / 8.4\ SCHEDULED CONCRETE ITEMS / 8.4.2 \ Blinding Layer in 15MPa concrete . Rate to allow for blinding ot a nominal depth of 50 mm for all bases pertaining to the following structures:/\KS20_008-Concrete Drop Inlet. Refer to drawing AH \m²\65.712 \ 300" u="1"/>
        <s v="SABS1200 GA  / Concrete (Small Works) / 8.4 / 8.4.2 / Blinding Layer in 15MPa concrete / KS12_004-Concrete Drop Inlet / 41.52 / m³" u="1"/>
        <s v="SABS1200 GA  \ Concrete (Small Works) / 8.4\ SCHEDULED CONCRETE ITEMS / 8.4.2 \ Blinding Layer in 15MPa concrete . Rate to allow for blinding ot a nominal depth of 50 mm for all bases pertaining to the following structures:/\KS21_003-Concrete Drop Inlet \m²\52.66 \ 300" u="1"/>
        <s v="SABS1200 GA \CONCRETE (SMALL WORKS)/8.4\SCHEDULED CONCRETE ITEMS/8.4.2\Blinding Layer in 15MPa concrete . Rate to allow for blinding ot a nominal depth of 50 mm for all bases pertaining to the following structures:/\KS13_003-Concrete Drop Inlet. Refer to drawing NBC-GTW-CL-0009 \m²\43.7 \ 300" u="1"/>
        <s v="SABS1200 GA \CONCRETE (SMALL WORKS)/8.4\SCHEDULED CONCRETE ITEMS/8.4.2\Blinding Layer in 15MPa concrete . Rate to allow for blinding to a nominal depth of 75 mm for all bases pertaining to the following structures:/\KS13_003-Concrete Drop Inlet. Refer to drawing NBC-GTW-CL-0009 \m²\43.7 \ 300" u="1"/>
        <s v="SABS1200 GA  \ Concrete (Small Works) / 8.4\ SCHEDULED CONCRETE ITEMS / 8.4.2 \ Blinding Layer in 15MPa concrete . Rate to allow for blinding ot a nominal depth of 50 mm for all bases pertaining to the following structures:/\KS20_001-Concrete Drop Inlet. Refer to drawing AA \m²\37.752 \ 300" u="1"/>
        <s v="SABS1200 GA  \ Concrete (Small Works) / 8.4\ SCHEDULED CONCRETE ITEMS / 8.4.2 \ Blinding Layer in 15MPa concrete . Rate to allow for blinding ot a nominal depth of 50 mm for all bases pertaining to the following structures:/\KS13_008-Concrete Drop Inlet. Refer to drawing N \m²\47.264 \ 300" u="1"/>
        <s v="SABS1200 GA \CONCRETE (SMALL WORKS)/8.4\SCHEDULED CONCRETE ITEMS/8.4.2\Construct Blinding Layer using 15MPa concrete . Rate to allow for blinding to a nominal depth of 75 mm for all bases pertaining to the following structures:/\KS13_011-Concrete Drop Inlet. Drawing NBC-GTW-CL-0015 \m²\42 \ 300" u="1"/>
        <s v="SABS1200 GA  \ Concrete (Small Works) / 8.4\ SCHEDULED CONCRETE ITEMS / 8.4.2 \ Blinding Layer in 15MPa concrete . Rate to allow for blinding ot a nominal depth of 50 mm for all bases pertaining to the following structures:/\KS20_006-Concrete Drop Inlet \m²\61.315 \ 300" u="1"/>
        <s v="SABS1200 GA  / Concrete (Small Works) / 8.4 / 8.4.2 / Blinding Layer in 15MPa concrete / KS20_005-Concrete Drop Inlet / 65.95 / m³" u="1"/>
        <s v="SABS1200 GA \CONCRETE (SMALL WORKS)/8.4\SCHEDULED CONCRETE ITEMS/8.4.2\Construct Blinding Layer using 15MPa concrete . Rate to allow for blinding to a nominal depth of 75 mm for all bases pertaining to the following structures:/\KS20_002-Concrete Drop Inlet. Drawing NBC-GTW-CL-0028 \m²\51.08 \ 300" u="1"/>
        <s v="SABS1200 GA \CONCRETE (SMALL WORKS)/8.4\SCHEDULED CONCRETE ITEMS/8.4.2\Blinding Layer in 15MPa concrete . Rate to allow for blinding ot a nominal depth of 50 mm for all bases pertaining to the following structures:/\KS21_009-Concrete Drop Inlet. Refer to drawing NBC-GTW-CL-0043 \m²\38.584 \ 300" u="1"/>
        <s v="SABS1200 GA \CONCRETE (SMALL WORKS)/8.4\SCHEDULED CONCRETE ITEMS/8.4.2\Blinding Layer in 15MPa concrete . Rate to allow for blinding to a nominal depth of 75 mm for all bases pertaining to the following structures:/\KS21_009-Concrete Drop Inlet. Refer to drawing NBC-GTW-CL-0043 \m²\38.584 \ 300" u="1"/>
        <s v="SABS1200 GA \CONCRETE (SMALL WORKS)/8.4\SCHEDULED CONCRETE ITEMS/8.4.2\Blinding Layer in 15MPa concrete . Rate to allow for blinding ot a nominal depth of 50 mm for all bases pertaining to the following structures:/\KS12_005-Concrete Drop Inlet. Refer to drawing NBC-GTW-CL-0004 \m²\35.8384 \ 300" u="1"/>
        <s v="SABS1200 GA \CONCRETE (SMALL WORKS)/8.4\SCHEDULED CONCRETE ITEMS/8.4.2\Blinding Layer in 15MPa concrete . Rate to allow for blinding to a nominal depth of 75 mm for all bases pertaining to the following structures:/\KS12_005-Concrete Drop Inlet. Refer to drawing NBC-GTW-CL-0004 \m²\35.8384 \ 300" u="1"/>
        <s v="SABS1200 GA  \ Concrete (Small Works) / 8.4\ SCHEDULED CONCRETE ITEMS / 8.4.2 \ Blinding Layer in 15MPa concrete . Rate to allow for blinding ot a nominal depth of 50 mm for all bases pertaining to the following structures:/\KS12_009-Concrete Drop Inlet. Refer to drawing H \m²\23.424 \ 300" u="1"/>
        <s v="SABS1200 GA \CONCRETE (SMALL WORKS)/8.4\SCHEDULED CONCRETE ITEMS/8.4.2\Blinding Layer in 15MPa concrete . Rate to allow for blinding ot a nominal depth of 50 mm for all bases pertaining to the following structures:/\KS18_019-Concrete Drop Inlet. Refer to drawing NBC-GTW-CL-0025 \m²\34.736 \ 300" u="1"/>
        <s v="SABS1200 GA \CONCRETE (SMALL WORKS)/8.4\SCHEDULED CONCRETE ITEMS/8.4.2\Blinding Layer in 15MPa concrete . Rate to allow for blinding to a nominal depth of 75 mm for all bases pertaining to the following structures:/\KS18_019-Concrete Drop Inlet. Refer to drawing NBC-GTW-CL-0025 \m²\34.736 \ 300" u="1"/>
        <s v="SABS1200 GA  / Concrete (Small Works) / 8.4 / 8.4.2 / Blinding Layer in 15MPa concrete / KS12_008-Concrete Drop Inlet / 28.492 / m³" u="1"/>
        <s v="SABS1200 GA  \ Concrete (Small Works) / 8.4\ SCHEDULED CONCRETE ITEMS / 8.4.2 \ Blinding Layer in 15MPa concrete . Rate to allow for blinding ot a nominal depth of 50 mm for all bases pertaining to the following structures:/\KS13_012-Concrete Drop Inlet. Refer to drawing P \m²\36.92 \ 300" u="1"/>
        <s v="SABS1200 GA  \ Concrete (Small Works) / 8.4\ SCHEDULED CONCRETE ITEMS / 8.4.2 \ Blinding Layer in 15MPa concrete . Rate to allow for blinding ot a nominal depth of 50 mm for all bases pertaining to the following structures:/\KS13_003-Concrete Drop Inlet. Refer to drawing I \m²\43.7 \ 300" u="1"/>
        <s v="SABS1200 GA  \ Concrete (Small Works) / 8.4\ SCHEDULED CONCRETE ITEMS / 8.4.2 \ Blinding Layer in 15MPa concrete . Rate to allow for blinding ot a nominal depth of 50 mm for all bases pertaining to the following structures:/\KS20_007-Concrete Drop Inlet. Refer to drawing AG \m²\52.642 \ 300" u="1"/>
        <s v="SABS1200 GA \CONCRETE (SMALL WORKS)/8.4\SCHEDULED CONCRETE ITEMS/8.4.2\Construct Blinding Layer using 15MPa concrete . Rate to allow for blinding to a nominal depth of 75 mm for all bases pertaining to the following structures:/\KS18_001-Concrete Drop Inlet. Drawing NBC-GTW-CL-0019 \m²\71.536 \ 300" u="1"/>
        <s v="SABS1200 GA  / Concrete (Small Works) / 8.4 / 8.4.2 / Blinding Layer in 15MPa concrete / KS18_001-Concrete Drop Inlet / 71.536 / m³" u="1"/>
        <s v="SABS1200 GA \CONCRETE (SMALL WORKS)/8.4\SCHEDULED CONCRETE ITEMS/8.4.2\Construct Blinding Layer using 15MPa concrete . Rate to allow for blinding to a nominal depth of 75 mm for all bases pertaining to the following structures:/\KS20_008-Concrete Drop Inlet. Drawing NBC-GTW-CL-0034 \m²\65.712 \ 300" u="1"/>
        <s v="SABS1200 GA  \ Concrete (Small Works) / 8.4\ SCHEDULED CONCRETE ITEMS / 8.4.2 \ Blinding Layer in 15MPa concrete . Rate to allow for blinding ot a nominal depth of 50 mm for all bases pertaining to the following structures:/\KS13_007-Concrete Drop Inlet. Refer to drawing M \m²\37.12 \ 300" u="1"/>
        <s v="SABS1200 GA  / Concrete (Small Works) / 8.4 / 8.4.2 / Blinding Layer in 15MPa concrete / KS13_005-Concrete Drop Inlet / 41.124 / m³" u="1"/>
        <s v="SABS1200 GA  / Concrete (Small Works) / 8.4 / 8.4.2 / Blinding Layer in 15MPa concrete / KS13_006-Concrete Drop Inlet / 41.124 / m³" u="1"/>
        <s v="SABS1200 GA  / Concrete (Small Works) / 8.4 / 8.4.2 / Blinding Layer in 15MPa concrete / KS20_008-Concrete Drop Inlet / 65.712 / m³" u="1"/>
        <s v="SABS1200 GA  \ Concrete (Small Works) / 8.4\ SCHEDULED CONCRETE ITEMS / 8.4.2 \ Blinding Layer in 15MPa concrete . Rate to allow for blinding ot a nominal depth of 50 mm for all bases pertaining to the following structures:/\KS21_007-Concrete Drop Inlet. Refer to drawing AP \m²\39.824 \ 300" u="1"/>
        <s v="SABS1200 GA  / Concrete (Small Works) / 8.4 / 8.4.2 / Blinding Layer in 15MPa concrete / KS21_010-Concrete Drop Inlet / 38.212 / m³" u="1"/>
        <s v="SABS1200 GA  \ Concrete (Small Works) / 8.4\ SCHEDULED CONCRETE ITEMS / 8.4.2 \ Blinding Layer in 15MPa concrete . Rate to allow for blinding ot a nominal depth of 50 mm for all bases pertaining to the following structures:/\KS18_019-Concrete Drop Inlet. Refer to drawing Y \m²\34.736 \ 300" u="1"/>
        <s v="SABS1200 GA \CONCRETE (SMALL WORKS)/8.4\SCHEDULED CONCRETE ITEMS/8.4.2\Blinding Layer in 15MPa concrete . Rate to allow for blinding ot a nominal depth of 50 mm for all bases pertaining to the following structures:/\KS21_010-Concrete Drop Inlet. Refer to drawing NBC-GTW-CL-0044 \m²\38.212 \ 300" u="1"/>
        <s v="SABS1200 GA \CONCRETE (SMALL WORKS)/8.4\SCHEDULED CONCRETE ITEMS/8.4.2\Blinding Layer in 15MPa concrete . Rate to allow for blinding to a nominal depth of 75 mm for all bases pertaining to the following structures:/\KS21_010-Concrete Drop Inlet. Refer to drawing NBC-GTW-CL-0044 \m²\38.212 \ 300" u="1"/>
        <s v="SABS1200 GA  \ Concrete (Small Works) / 8.4\ SCHEDULED CONCRETE ITEMS / 8.4.2 \ Blinding Layer in 15MPa concrete . Rate to allow for blinding ot a nominal depth of 50 mm for all bases pertaining to the following structures:/\KS13_004-Concrete Drop Inlet \m²\38.69 \ 300" u="1"/>
        <s v="SABS1200 GA  / Concrete (Small Works) / 8.4 / 8.4.2 / Blinding Layer in 15MPa concrete / KS20_009_b-Concrete Overflow Wall / 10.65 / m³" u="1"/>
        <s v="SABS1200 GA  \ Concrete (Small Works) / 8.4\ SCHEDULED CONCRETE ITEMS / 8.4.2 \ Blinding Layer in 15MPa concrete . Rate to allow for blinding ot a nominal depth of 50 mm for all bases pertaining to the following structures:/\KS21_005-Concrete Drop Inlet. Refer to drawing AN \m²\45.451 \ 300" u="1"/>
        <s v="SABS1200 GA  \ Concrete (Small Works) / 8.4\ SCHEDULED CONCRETE ITEMS / 8.4.2 \ Blinding Layer in 15MPa concrete . Rate to allow for blinding ot a nominal depth of 50 mm for all bases pertaining to the following structures:/\KS20_004-Concrete Drop Inlet. Refer to drawing AD \m²\54.552 \ 300" u="1"/>
        <s v="SABS1200 GA \CONCRETE (SMALL WORKS)/8.4\SCHEDULED CONCRETE ITEMS/8.4.2\Blinding Layer in 15MPa concrete . Rate to allow for blinding ot a nominal depth of 50 mm for all bases pertaining to the following structures:/\KS13_007-Concrete Drop Inlet. Refer to drawing NBC-GTW-CL-0013 \m²\37.12 \ 300" u="1"/>
        <s v="SABS1200 GA \CONCRETE (SMALL WORKS)/8.4\SCHEDULED CONCRETE ITEMS/8.4.2\Blinding Layer in 15MPa concrete . Rate to allow for blinding to a nominal depth of 75 mm for all bases pertaining to the following structures:/\KS13_007-Concrete Drop Inlet. Refer to drawing NBC-GTW-CL-0013 \m²\37.12 \ 300" u="1"/>
      </sharedItems>
    </cacheField>
    <cacheField name="Reinforcement High Tensile bars" numFmtId="0">
      <sharedItems count="27" longText="1">
        <s v=" "/>
        <s v="SABS1200 GA \CONCRETE (SMALL WORKS)/8.3\SCHEDULED REINFORCEMENT ITEMS/8.3.1 \High-Tensile Steel Bars. Rate to include  cutting to length, bending as specified, transport to site and fixing. /\ks11-002b-Concrete Splash Through Structure. Drawing NBC-GTW-CL-0067 \kg\98 \ 18"/>
        <s v="SABS1200 GA \CONCRETE (SMALL WORKS)/8.3\SCHEDULED REINFORCEMENT ITEMS/8.3.1 \High-Tensile Steel Bars. Rate to include  cutting to length, bending as specified, transport to site and fixing. /\ks11-004b-Concrete Splash Through Structure. Drawing NBC-GTW-CL-0068 \kg\98 \ 18"/>
        <s v="SABS1200 GA \CONCRETE (SMALL WORKS)/8.3\SCHEDULED REINFORCEMENT ITEMS/8.3.1 \High-Tensile Steel Bars. Rate to include  cutting to length, bending as specified, transport to site and fixing. /\KS12_002-Concrete Drop Inlet. Drawing NBC-GTW-CL-0002 \kg\30 \ 18"/>
        <s v="" u="1"/>
        <s v="SABS1200 GA \CONCRETE (SMALL WORKS)/8.3\SCHEDULED REINFORCEMENT ITEMS/8.3.1 \High-Tensile Steel Bars. /\KS12_002-Concrete Drop Inlet. Drawing NBC-GTW-CL-0002 \kg\30 \ 18" u="1"/>
        <s v="SABS1200 GA \CONCRETE (SMALL WORKS)/8.3\SCHEDULED REINFORCEMENT ITEMS/8.3.1 \High-Tensile Steel Bars. Rate to include  cutting to length, bending as specified, transport to site and fixing. /\KS20_009_a-Concrete Buttress Weir. Drawing NBC-GTW-CL-0035 \kg\50 \ 18" u="1"/>
        <s v="SABS1200 GA  / Concrete (Small Works) / 8.3 / 8.3.1 / High-Tensile Steel Bars / KS12_002-Concrete Box Culvert / 760 / kg" u="1"/>
        <s v="SABS1200 GA \CONCRETE (SMALL WORKS)/8.3\SCHEDULED REINFORCEMENT ITEMS/8.3.1 \High-Tensile Steel Bars. /\KS12_002-Concrete Box Culvert. Refer to drawing NBC-GTW-CL-0002 \kg\760 \ 18" u="1"/>
        <s v="SABS1200 GA  \ Concrete (Small Works) / 8.3\ SCHEDULED REINFORCEMENT ITEMS / 8.3.1 \ High-Tensile Steel Bars. /\KS20_009_b-Concrete Overflow Wall. Refer to drawing AJ \kg\107.77572 \ 18" u="1"/>
        <s v="SABS1200 GA  \ Concrete (Small Works) / 8.3\ SCHEDULED REINFORCEMENT ITEMS / 8.3.1 \ High-Tensile Steel Bars. /\KS20_009_b-Concrete Overflow Wall \kg\107.77572 \ 18" u="1"/>
        <s v="SABS1200 GA \CONCRETE (SMALL WORKS)/8.3\SCHEDULED REINFORCEMENT ITEMS/8.3.1 \High-Tensile Steel Bars. /\KS20_009_b-Concrete Overflow Wall. Refer to drawing  \kg\150 \ 18" u="1"/>
        <s v="SABS1200 GA \CONCRETE (SMALL WORKS)/8.3\SCHEDULED REINFORCEMENT ITEMS/8.3.1 \High-Tensile Steel Bars. Rate to include  cutting to length, bending as specified, transport to site and fixing. /\KS20_009_b-Concrete Overflow Wall. Drawing NBC-GTW-CL-0035 \kg\150 \ 18" u="1"/>
        <s v="SABS1200 GA \CONCRETE (SMALL WORKS)/8.3\SCHEDULED REINFORCEMENT ITEMS/8.3.1 \High-Tensile Steel Bars. /\KS20_009_a-Concrete Buttress Weir. Drawing NBC-GTW-CL-0035 \kg\50 \ 18" u="1"/>
        <s v="SABS1200 GA \CONCRETE (SMALL WORKS)/8.3\SCHEDULED REINFORCEMENT ITEMS/8.3.1 \High-Tensile Steel Bars. /\KS20_009_b-Concrete Overflow Wall. Drawing NBC-GTW-CL-0035 \kg\150 \ 18" u="1"/>
        <s v="SABS1200 GA \CONCRETE (SMALL WORKS)/8.3\SCHEDULED REINFORCEMENT ITEMS/8.3.1 \High-Tensile Steel Bars. /\ks11-002b-Concrete Splash Through Structure. Refer to drawing NBC-GTW-CL-0067 \kg\98 \ 18" u="1"/>
        <s v="SABS1200 GA \CONCRETE (SMALL WORKS)/8.3\SCHEDULED REINFORCEMENT ITEMS/8.3.1 \High-Tensile Steel Bars. /\ks11-004b-Concrete Splash Through Structure. Refer to drawing NBC-GTW-CL-0068 \kg\98 \ 18" u="1"/>
        <s v="SABS1200 GA  \ Concrete (Small Works) / 8.3\ SCHEDULED REINFORCEMENT ITEMS / 8.3.1 \ High-Tensile Steel Bars. /\KS12_002-Concrete Box Culvert. Refer to drawing B \kg\760 \ 18" u="1"/>
        <s v="SABS1200 GA \CONCRETE (SMALL WORKS)/8.3\SCHEDULED REINFORCEMENT ITEMS/8.3.1 \High-Tensile Steel Bars. /\KS20_009_a-Concrete Buttress Weir. Refer to drawing NBC-GTW-CL-0035 \kg\50 \ 18" u="1"/>
        <s v="SABS1200 GA  / Concrete (Small Works) / 8.3 / 8.3.1 / High-Tensile Steel Bars / ks11-001-Off-take structure / 250 / kg" u="1"/>
        <s v="SABS1200 GA \CONCRETE (SMALL WORKS)/8.3\SCHEDULED REINFORCEMENT ITEMS/8.3.1 \High-Tensile Steel Bars. /\KS20_009_b-Concrete Overflow Wall. Refer to drawing NBC-GTW-CL-0036 \kg\107.77572 \ 18" u="1"/>
        <s v="SABS1200 GA \CONCRETE (SMALL WORKS)/8.3\SCHEDULED REINFORCEMENT ITEMS/8.3.1 \High-Tensile Steel Bars. /\KS20_009_b-Concrete Overflow Wall. Refer to drawing NBC-GTW-CL-0035 \kg\150 \ 18" u="1"/>
        <s v="SABS1200 GA \CONCRETE (SMALL WORKS)/8.3\SCHEDULED REINFORCEMENT ITEMS/8.3.1 \High-Tensile Steel Bars. /\KS12_002-Concrete Drop Inlet. Refer to drawing NBC-GTW-CL-0002 \kg\30 \ 18" u="1"/>
        <s v="SABS1200 GA \CONCRETE (SMALL WORKS)/8.3\SCHEDULED REINFORCEMENT ITEMS/8.3.1 \High-Tensile Steel Bars. /\ks11-002b-Concrete Splash Through Structure. Drawing NBC-GTW-CL-0067 \kg\98 \ 18" u="1"/>
        <s v="SABS1200 GA \CONCRETE (SMALL WORKS)/8.3\SCHEDULED REINFORCEMENT ITEMS/8.3.1 \High-Tensile Steel Bars. /\ks11-004b-Concrete Splash Through Structure. Drawing NBC-GTW-CL-0068 \kg\98 \ 18" u="1"/>
        <s v="SABS1200 GA  / Concrete (Small Works) / 8.3 / 8.3.1 / High-Tensile Steel Bars / KS20_009_b-Concrete Overflow Wall / 107.77572 / kg" u="1"/>
        <s v="SABS1200 GA  \ Concrete (Small Works) / 8.3\ SCHEDULED REINFORCEMENT ITEMS / 8.3.1 \ High-Tensile Steel Bars. /\KS12_002-Concrete Box Culvert \kg\760 \ 18" u="1"/>
      </sharedItems>
    </cacheField>
    <cacheField name="Reinforcement Mild Tensile bars" numFmtId="0">
      <sharedItems count="5">
        <s v=" "/>
        <s v="" u="1"/>
        <s v="SABS1200 GA \CONCRETE (SMALL WORKS)/8.3\SCHEDULED REINFORCEMENT ITEMS/8.3.1\Mild-Tensile Steel Bars. Rate to include  cutting to length, bending as specified, transport to site and fixing. /\KS20_009_a-1. Drawing NBC-GTW-CL-0035 \kg\32 \ 15" u="1"/>
        <s v="SABS1200 GA \CONCRETE (SMALL WORKS)/8.3\SCHEDULED REINFORCEMENT ITEMS/8.3.1\Mild-Tensile Steel Bars. /\KS20_009_a-1. Refer to drawing NBC-GTW-CL-0035 \kg\32 \ 15" u="1"/>
        <s v="SABS1200 GA \CONCRETE (SMALL WORKS)/8.3\SCHEDULED REINFORCEMENT ITEMS/8.3.1\Mild-Tensile Steel Bars. /\KS20_009_a-1. Drawing NBC-GTW-CL-0035 \kg\32 \ 15" u="1"/>
      </sharedItems>
    </cacheField>
    <cacheField name="High tensile Welded Mesh 1" numFmtId="0">
      <sharedItems count="273">
        <s v=" "/>
        <s v="SABS1200 GA \CONCRETE (SMALL WORKS)/8.3\SCHEDULED REINFORCEMENT ITEMS/8.3.2\High-Tensile Welded Mesh-Ref 395 /\ks11-001-Off-take structure  \m²\7.5 \ 20"/>
        <s v="SABS1200 GA \CONCRETE (SMALL WORKS)/8.3\SCHEDULED REINFORCEMENT ITEMS/8.3.2\High-Tensile Welded Mesh-Ref 888 /\ks11-002a-Concrete Drop Inlet on Dam Wall  \m²\89.6992 \ 20"/>
        <s v="SABS1200 GA \CONCRETE (SMALL WORKS)/8.3\SCHEDULED REINFORCEMENT ITEMS/8.3.2\High-Tensile Welded Mesh-Ref 617 /\ks11-002b-Concrete Splash Through Structure. Drawing NBC-GTW-CL-0067 \m²\64 \ 20"/>
        <s v="SABS1200 GA \CONCRETE (SMALL WORKS)/8.3\SCHEDULED REINFORCEMENT ITEMS/8.3.2\High-Tensile Welded Mesh-Ref 888 /\ks11-004a-Concrete Drop Inlet on Dam Wall  \m²\89.6992 \ 20"/>
        <s v="SABS1200 GA \CONCRETE (SMALL WORKS)/8.3\SCHEDULED REINFORCEMENT ITEMS/8.3.2\High-Tensile Welded Mesh-Ref617 /\ks11-004b-Concrete Splash Through Structure. Drawing NBC-GTW-CL-0068 \m²\64 \ 20"/>
        <s v="SABS1200 GA \CONCRETE (SMALL WORKS)/8.3\SCHEDULED REINFORCEMENT ITEMS/8.3.2\High-Tensile Welded Mesh-Mesh 395 /\KS12_001-Pipe Culvert. Drawing NBC-GTW-CL-0069 \m²\3 \ 20"/>
        <s v="SABS1200 GA \CONCRETE (SMALL WORKS)/8.3\SCHEDULED REINFORCEMENT ITEMS/8.3.2\High-Tensile Welded Mesh-Ref 888 /\KS12_002-Concrete Drop Inlet. Drawing NBC-GTW-CL-0002 \m²\23 \ 20"/>
        <s v="SABS1200 GA \CONCRETE (SMALL WORKS)/8.3\SCHEDULED REINFORCEMENT ITEMS/8.3.2\High-Tensile Welded Mesh-Ref 888 /\KS12_004-Concrete Drop Inlet. Drawing NBC-GTW-CL-0003 \m²\22.0008 \ 20"/>
        <s v="SABS1200 GA \CONCRETE (SMALL WORKS)/8.3\SCHEDULED REINFORCEMENT ITEMS/8.3.2\High-Tensile Welded Mesh-Ref 888 /\KS12_005-Concrete Drop Inlet. Drawing NBC-GTW-CL-0004 \m²\17.595592 \ 20"/>
        <s v="SABS1200 GA \CONCRETE (SMALL WORKS)/8.3\SCHEDULED REINFORCEMENT ITEMS/8.3.2\High-Tensile Welded Mesh-Ref 888 /\KS12_006-Concrete Drop Inlet. Drawing NBC-GTW-CL-0005 \m²\15.6462 \ 20"/>
        <s v="SABS1200 GA \CONCRETE (SMALL WORKS)/8.3\SCHEDULED REINFORCEMENT ITEMS/8.3.2\High-Tensile Welded Mesh-Ref 888 /\KS12_007-Concrete Drop Inlet. Drawing NBC-GTW-CL-0006 \m²\16 \ 20"/>
        <s v="SABS1200 GA \CONCRETE (SMALL WORKS)/8.3\SCHEDULED REINFORCEMENT ITEMS/8.3.2\High-Tensile Welded Mesh-Ref 888 /\KS12_008-Concrete Drop Inlet. Drawing NBC-GTW-CL-0007 \m²\12.5 \ 20"/>
        <s v="SABS1200 GA \CONCRETE (SMALL WORKS)/8.3\SCHEDULED REINFORCEMENT ITEMS/8.3.2\High-Tensile Welded Mesh-Ref 888 /\KS12_009-Concrete Drop Inlet. Drawing NBC-GTW-CL-0008 \m²\7.5 \ 20"/>
        <s v="SABS1200 GA \CONCRETE (SMALL WORKS)/8.3\SCHEDULED REINFORCEMENT ITEMS/8.3.2\High-Tensile Welded Mesh-Ref 888 /\KS13_003-Concrete Drop Inlet. Drawing NBC-GTW-CL-0009 \m²\21.55892 \ 20"/>
        <s v="SABS1200 GA \CONCRETE (SMALL WORKS)/8.3\SCHEDULED REINFORCEMENT ITEMS/8.3.2\High-Tensile Welded Mesh-Ref 888 /\KS19_002-Concrete Drop Inlet. Drawing NBC-GTW-CL-0026 \m²\22.33528 \ 20"/>
        <s v="SABS1200 GA \CONCRETE (SMALL WORKS)/8.3\SCHEDULED REINFORCEMENT ITEMS/8.3.2\High-Tensile Welded Mesh-Ref 888 /\KS20_001-Concrete Drop Inlet. Drawing NBC-GTW-CL-0027 \m²\16.46892 \ 20"/>
        <s v="SABS1200 GA \CONCRETE (SMALL WORKS)/8.3\SCHEDULED REINFORCEMENT ITEMS/8.3.2\High-Tensile Welded Mesh-Ref 888 /\KS21_003-Concrete Drop Inlet. Drawing NBC-GTW-CL-0039 \m²\23.8326 \ 20"/>
        <s v="SABS1200 GA \CONCRETE (SMALL WORKS)/8,3\SCHEDULED REINFORCEMENT ITEMS/8.3.2\High-Tensile Welded Mesh-Ref 888 /\KS21_005-Concrete Drop Inlet. Drawing NBC-GTW-CL-0040 \m²\23,8326 \ 20"/>
        <s v="" u="1"/>
        <s v="SABS1200 GA \Concrete (Small Works)/8.3\SCHEDULED REINFORCEMENT ITEMS/8.3.2\High-Tensile Welded Mesh-Ref 888 /\KS18_017-Concrete Drop Inlet \m²\17.922 \ 20" u="1"/>
        <s v="SABS1200 GA \CONCRETE (SMALL WORKS)/8.3\SCHEDULED REINFORCEMENT ITEMS/8.3.2\High-Tensile Welded Mesh-Ref 888 /\KS13_013-Concrete Drop Inlet. Refer to drawing NBC-GTW-CL-0017 \m²\21.48552 \ 20" u="1"/>
        <s v="SABS1200 GA \CONCRETE (SMALL WORKS)/8.3\SCHEDULED REINFORCEMENT ITEMS/8.3.2\High-Tensile Welded Mesh-Ref 888 /\Pan14-002-Concrete Drop Inlet. Refer to drawing NBC-GTW-CL-0013 \m²\18.99072 \ 20" u="1"/>
        <s v="SABS1200 GA \CONCRETE (SMALL WORKS)/8.3\SCHEDULED REINFORCEMENT ITEMS/8.3.2\High-Tensile Welded Mesh-Ref 888 /\KS18_020-Rehab road culvert  \m²\19.49628 \ 20" u="1"/>
        <s v="SABS1200 GA \CONCRETE (SMALL WORKS)/8.3\SCHEDULED REINFORCEMENT ITEMS/8.3.2\High-Tensile Welded Mesh-Ref 888 /\KS12_008-Concrete Drop Inlet. Refer to drawing NBC-GTW-CL-0007 \m²\12.5 \ 20" u="1"/>
        <s v="SABS1200 GA  / Concrete (Small Works) / 8.3 / 8.3.2 / High-Tensile Welded Mesh-Ref 888 / KS13_008-Concrete Drop Inlet / 26.08944 / m²" u="1"/>
        <s v="SABS1200 GA \CONCRETE (SMALL WORKS)/8.3\SCHEDULED REINFORCEMENT ITEMS/8.3.2\High-Tensile Welded Mesh-Ref 888 /\KS13_003-Concrete Drop Inlet. Refer to drawing NBC-GTW-CL-0009 \m²\21.55892 \ 20" u="1"/>
        <s v="SABS1200 GA  / Concrete (Small Works) / 8.3 / 8.3.2 / High-Tensile Welded Mesh-Ref 888 / KS12_006-Concrete Drop Inlet / 15.6462 / m²" u="1"/>
        <s v="SABS1200 GA \Concrete (Small Works)/8.3\SCHEDULED REINFORCEMENT ITEMS/8.3.2\High-Tensile Welded Mesh-Ref 888 /\KS20_008-Concrete Drop Inlet \m²\33.41 \ 20" u="1"/>
        <s v="SABS1200 GA \Concrete (Small Works)/8.3\SCHEDULED REINFORCEMENT ITEMS/8.3.2\High-Tensile Welded Mesh-Ref 888 /\KS12_004-Concrete Drop Inlet \m²\22.0008 \ 20" u="1"/>
        <s v="SABS1200 GA  / Concrete (Small Works) / 8.3 / 8.3.2 / High-Tensile Welded Mesh-Ref 888 / KS13_005-Concrete Drop Inlet / 24.02328 / m²" u="1"/>
        <s v="SABS1200 GA \CONCRETE (SMALL WORKS)/8.3\SCHEDULED REINFORCEMENT ITEMS/8.3.2\High-Tensile Welded Mesh-Ref 888 /\KS13_007-Concrete Drop Inlet. Drawing NBC-GTW-CL-0013 \m²\18.99072 \ 20" u="1"/>
        <s v="SABS1200 GA \CONCRETE (SMALL WORKS)/8.3\SCHEDULED REINFORCEMENT ITEMS/8.3.2\High-Tensile Welded Mesh-Ref 888 /\Road 10-Concrete Drop Inlet. Refer to drawing NBC-GTW-CL-0018 \m²\23.29992 \ 20" u="1"/>
        <s v="SABS1200 GA \Concrete (Small Works)/8.3\SCHEDULED REINFORCEMENT ITEMS/8.3.2\High-Tensile Welded Mesh-Ref 888 /\KS21_005-Concrete Drop Inlet \m²\24.54506 \ 20" u="1"/>
        <s v="SABS1200 GA \CONCRETE (SMALL WORKS)/8.3\SCHEDULED REINFORCEMENT ITEMS/8.3.2\High-Tensile Welded Mesh-Ref 888 /\KS18_019-Concrete Drop Inlet. Drawing NBC-GTW-CL-0025 \m²\18.13032 \ 20" u="1"/>
        <s v="SABS1200 GA \CONCRETE (SMALL WORKS)/8.3\SCHEDULED REINFORCEMENT ITEMS/8.3.2\High-Tensile Welded Mesh-Ref 888 /\-Concrete Drop Inlet. Refer to drawing NBC-GTW-CL-0027 \m²\16.46892 \ 20" u="1"/>
        <s v="SABS1200 GA \CONCRETE (SMALL WORKS)/8.3\SCHEDULED REINFORCEMENT ITEMS/8.3.2\High-Tensile Welded Mesh-Ref 888 /\KS18_015-Concrete Drop Inlet. Drawing NBC-GTW-CL-0021 \m²\23.7248 \ 20" u="1"/>
        <s v="SABS1200 GA  / Concrete (Small Works) / 8.3 / 8.3.2 / High-Tensile Welded Mesh-Ref 888 / KS20_009_a-Concrete Drop Inlet / 49.206832 / m²" u="1"/>
        <s v="SABS1200 GA \Concrete (Small Works)/8.3\SCHEDULED REINFORCEMENT ITEMS/8.3.2\High-Tensile Welded Mesh-Ref 888 /\KS13_008-Concrete Drop Inlet \m²\26.08944 \ 20" u="1"/>
        <s v="SABS1200 GA \CONCRETE (SMALL WORKS)/8.3\SCHEDULED REINFORCEMENT ITEMS/8.3.2\High-Tensile Welded Mesh-Ref 888 /\KS21_007-Concrete Drop Inlet. Refer to drawing NBC-GTW-CL-0042 \m²\20.68352 \ 20" u="1"/>
        <s v="SABS1200 GA  / Concrete (Small Works) / 8.3 / 8.3.2 / High-Tensile Welded Mesh-Ref 888 / KS12_008-Concrete Drop Inlet / 15.1492 / m²" u="1"/>
        <s v="SABS1200 GA \CONCRETE (SMALL WORKS)/8.3\SCHEDULED REINFORCEMENT ITEMS/8.3.2\High-Tensile Welded Mesh-Ref 888 /\Pan14_010-Concrete Drop Inlet. Refer to drawing NBC-GTW-CL-0010 \m²\18.87844 \ 20" u="1"/>
        <s v="SABS1200 GA \Concrete (Small Works)/8.3\SCHEDULED REINFORCEMENT ITEMS/8.3.2\High-Tensile Welded Mesh-Ref 888 /\KS12_007-Concrete Drop Inlet \m²\19.9998 \ 20" u="1"/>
        <s v="SABS1200 GA \Concrete (Small Works)/8.3\SCHEDULED REINFORCEMENT ITEMS/8.3.2\High-Tensile Welded Mesh-Ref 888 /\KS13_006-Concrete Drop Inlet \m²\24.278 \ 20" u="1"/>
        <s v="SABS1200 GA \Concrete (Small Works)/8.3\SCHEDULED REINFORCEMENT ITEMS/8.3.2\High-Tensile Welded Mesh-Ref 888 /\KS21_010-Concrete Drop Inlet \m²\19.3479 \ 20" u="1"/>
        <s v="SABS1200 GA \CONCRETE (SMALL WORKS)/8.3\SCHEDULED REINFORCEMENT ITEMS/8.3.2\High-Tensile Welded Mesh-Ref 888 /\KS20_009_a-Concrete Drop Inlet. Refer to drawing NBC-GTW-CL-0035 \m²\49.206832 \ 20" u="1"/>
        <s v="SABS1200 GA \Concrete (Small Works)/8.3\SCHEDULED REINFORCEMENT ITEMS/8.3.2\High-Tensile Welded Mesh-Ref 888 /\KS20_009_a-Concrete Drop Inlet. Refer to drawing AI \m²\49.206832 \ 20" u="1"/>
        <s v="SABS1200 GA \CONCRETE (SMALL WORKS)/8.3\SCHEDULED REINFORCEMENT ITEMS/8.3.2\High-Tensile Welded Mesh-Ref 888 /\Road 8-Concrete Drop Inlet. Refer to drawing NBC-GTW-CL-0025 \m²\18.13032 \ 20" u="1"/>
        <s v="SABS1200 GA \CONCRETE (SMALL WORKS)/8.3\SCHEDULED REINFORCEMENT ITEMS/8.3.2\High-Tensile Welded Mesh-Ref 888 /\KS13_008-Concrete Drop Inlet. Refer to drawing NBC-GTW-CL-0014 \m²\26.08944 \ 20" u="1"/>
        <s v="SABS1200 GA \CONCRETE (SMALL WORKS)/8.3\SCHEDULED REINFORCEMENT ITEMS/8.3.2\High-Tensile Welded Mesh-Ref 888 /\KS20_009_a-Concrete Buttress Weir. Drawing NBC-GTW-CL-0035 \m²\49.206832 \ 20" u="1"/>
        <s v="SABS1200 GA \CONCRETE (SMALL WORKS)/8.3\SCHEDULED REINFORCEMENT ITEMS/8.3.2\High-Tensile Welded Mesh-Ref 888 /\KS20_008-Concrete Drop Inlet. Drawing NBC-GTW-CL-0034 \m²\33.41 \ 20" u="1"/>
        <s v="SABS1200 GA \CONCRETE (SMALL WORKS)/8.3\SCHEDULED REINFORCEMENT ITEMS/8.3.2\High-Tensile Welded Mesh-Ref 888 /\Pan14_005-Concrete Drop Inlet. Refer to drawing NBC-GTW-CL-0008 \m²\9.6632 \ 20" u="1"/>
        <s v="SABS1200 GA \Concrete (Small Works)/8.3\SCHEDULED REINFORCEMENT ITEMS/8.3.2\High-Tensile Welded Mesh-Ref 888 /\KS20_008-Concrete Drop Inlet. Refer to drawing AH \m²\33.41 \ 20" u="1"/>
        <s v="SABS1200 GA  / Concrete (Small Works) / 8.3 / 8.3.2 / High-Tensile Welded Mesh-Ref 888 / KS13_007-Concrete Drop Inlet / 18.99072 / m²" u="1"/>
        <s v="SABS1200 GA \CONCRETE (SMALL WORKS)/8.3\SCHEDULED REINFORCEMENT ITEMS/8.3.2\High-Tensile Welded Mesh-Ref 888 /\-Concrete Drop Inlet. Refer to drawing NBC-GTW-CL-0042 \m²\20.68352 \ 20" u="1"/>
        <s v="SABS1200 GA \CONCRETE (SMALL WORKS)/8.3\SCHEDULED REINFORCEMENT ITEMS/8.3.2\High-Tensile Welded Mesh-Ref 888 /\KS21_010-Concrete Drop Inlet. Refer to drawing NBC-GTW-CL-0044 \m²\19.3479 \ 20" u="1"/>
        <s v="SABS1200 GA \Concrete (Small Works)/8.3\SCHEDULED REINFORCEMENT ITEMS/8.3.2\High-Tensile Welded Mesh-Ref 888 /\KS12_004-Concrete Drop Inlet. Refer to drawing C \m²\22.0008 \ 20" u="1"/>
        <s v="SABS1200 GA  / Concrete (Small Works) / 8.3 / 8.3.2 / High-Tensile Welded Mesh-Ref 888 / KS13_011-Concrete Drop Inlet / 27.39968 / m²" u="1"/>
        <s v="SABS1200 GA \Concrete (Small Works)/8.3\SCHEDULED REINFORCEMENT ITEMS/8.3.2\High-Tensile Welded Mesh-Ref 888 /\KS13_013-Concrete Drop Inlet. Refer to drawing Q \m²\21.48552 \ 20" u="1"/>
        <s v="SABS1200 GA \CONCRETE (SMALL WORKS)/8.3\SCHEDULED REINFORCEMENT ITEMS/8.3.2\High-Tensile Welded Mesh-Ref 888 /\KS18_019-Concrete Drop Inlet. Refer to drawing NBC-GTW-CL-0025 \m²\18.13032 \ 20" u="1"/>
        <s v="SABS1200 GA \Concrete (Small Works)/8.3\SCHEDULED REINFORCEMENT ITEMS/8.3.2\High-Tensile Welded Mesh-Ref 888 /\KS18_016-Concrete Drop Inlet \m²\17.36952 \ 20" u="1"/>
        <s v="SABS1200 GA  / Concrete (Small Works) / 8.3 / 8.3.2 / High-Tensile Welded Mesh-Ref 888 / KS12_007-Concrete Drop Inlet / 19.9998 / m²" u="1"/>
        <s v="SABS1200 GA  / Concrete (Small Works) / 8.3 / 8.3.2 / High-Tensile Welded Mesh-Ref 888 / KS18_019-Concrete Drop Inlet / 18.13032 / m²" u="1"/>
        <s v="SABS1200 GA \CONCRETE (SMALL WORKS)/8.3\SCHEDULED REINFORCEMENT ITEMS/8.3.2\High-Tensile Welded Mesh-Ref 888 /\KS18_015-Concrete Drop Inlet. Refer to drawing NBC-GTW-CL-0021 \m²\23.7248 \ 20" u="1"/>
        <s v="SABS1200 GA \Concrete (Small Works)/8.3\SCHEDULED REINFORCEMENT ITEMS/8.3.2\High-Tensile Welded Mesh-Ref 888 /\KS18_017-Concrete Drop Inlet. Refer to drawing W \m²\17.922 \ 20" u="1"/>
        <s v="SABS1200 GA \Concrete (Small Works)/8.3\SCHEDULED REINFORCEMENT ITEMS/8.3.2\High-Tensile Welded Mesh-Ref 888 /\KS21_005-Concrete Drop Inlet. Refer to drawing AN \m²\24.54506 \ 20" u="1"/>
        <s v="SABS1200 GA  / Concrete (Small Works) / 8.3 / 8.3.2 / High-Tensile Welded Mesh-Ref 888 / KS12_004-Concrete Drop Inlet / 22.0008 / m²" u="1"/>
        <s v="SABS1200 GA \Concrete (Small Works)/8.3\SCHEDULED REINFORCEMENT ITEMS/8.3.2\High-Tensile Welded Mesh-Ref 888 /\KS20_006-Concrete Drop Inlet. Refer to drawing AF \m²\29.99772 \ 20" u="1"/>
        <s v="SABS1200 GA \CONCRETE (SMALL WORKS)/8.3\SCHEDULED REINFORCEMENT ITEMS/8.3.2\High-Tensile Welded Mesh-Ref 888 /\Road 9-Rehab road culvert  \m²\19.49628 \ 20" u="1"/>
        <s v="SABS1200 GA \Concrete (Small Works)/8.3\SCHEDULED REINFORCEMENT ITEMS/8.3.2\High-Tensile Welded Mesh-Ref 888 /\KS13_013-Concrete Drop Inlet \m²\21.48552 \ 20" u="1"/>
        <s v="SABS1200 GA \CONCRETE (SMALL WORKS)/8.3\SCHEDULED REINFORCEMENT ITEMS/8.3.2\High-Tensile Welded Mesh-Ref 888 /\KS20_006-Concrete Drop Inlet. Refer to drawing NBC-GTW-CL-0032 \m²\29.99772 \ 20" u="1"/>
        <s v="SABS1200 GA  / Concrete (Small Works) / 8.3 / 8.3.2 / High-Tensile Welded Mesh-Ref 888 / KS18_018-Concrete Drop Inlet / 15.01908 / m²" u="1"/>
        <s v="SABS1200 GA \Concrete (Small Works)/8.3\SCHEDULED REINFORCEMENT ITEMS/8.3.2\High-Tensile Welded Mesh-Ref 888 /\KS13_006-Concrete Drop Inlet. Refer to drawing L \m²\24.278 \ 20" u="1"/>
        <s v="SABS1200 GA \CONCRETE (SMALL WORKS)/8.3\SCHEDULED REINFORCEMENT ITEMS/8.3.2\High-Tensile Welded Mesh-Ref 888 /\KS18_002-Concrete Drop Inlet. Refer to drawing NBC-GTW-CL-0020 \m²\20.8292 \ 20" u="1"/>
        <s v="SABS1200 GA \CONCRETE (SMALL WORKS)/8.3\SCHEDULED REINFORCEMENT ITEMS/8.3.2\High-Tensile Welded Mesh-Ref 888 /\KS12_007-Concrete Drop Inlet. Refer to drawing NBC-GTW-CL-0006 \m²\16 \ 20" u="1"/>
        <s v="SABS1200 GA \CONCRETE (SMALL WORKS)/8.3\SCHEDULED REINFORCEMENT ITEMS/8.3.2\High-Tensile Welded Mesh-Ref 888 /\KS12_005-Concrete Drop Inlet. Refer to drawing NBC-GTW-CL-0004 \m²\17.595592 \ 20" u="1"/>
        <s v="SABS1200 GA \CONCRETE (SMALL WORKS)/8.3\SCHEDULED REINFORCEMENT ITEMS/8.3.2\High-Tensile Welded Mesh-Ref 888 /\LS16_020-Concrete Drop Inlet. Refer to drawing NBC-GTW-CL-0004 \m²\17.595592 \ 20" u="1"/>
        <s v="SABS1200 GA \CONCRETE (SMALL WORKS)/8.3\SCHEDULED REINFORCEMENT ITEMS/8.3.2\High-Tensile Welded Mesh-Ref 888 /\KS21_005-Concrete Drop Inlet. Drawing NBC-GTW-CL-0040 \m²\24.54506 \ 20" u="1"/>
        <s v="SABS1200 GA \CONCRETE (SMALL WORKS)/8.3\SCHEDULED REINFORCEMENT ITEMS/8.3.2\High-Tensile Welded Mesh-Ref 888 /\-Concrete Drop Inlet. Refer to drawing NBC-GTW-CL-0026 \m²\22.33528 \ 20" u="1"/>
        <s v="SABS1200 GA \Concrete (Small Works)/8.3\SCHEDULED REINFORCEMENT ITEMS/8.3.2\High-Tensile Welded Mesh-Ref 888 /\KS13_007-Concrete Drop Inlet. Refer to drawing M \m²\18.99072 \ 20" u="1"/>
        <s v="SABS1200 GA \CONCRETE (SMALL WORKS)/8.3\SCHEDULED REINFORCEMENT ITEMS/8.3.2\High-Tensile Welded Mesh-Ref 888 /\-Concrete Drop Inlet. Refer to drawing NBC-GTW-CL-0033 \m²\24.11068 \ 20" u="1"/>
        <s v="SABS1200 GA \CONCRETE (SMALL WORKS)/8.3\SCHEDULED REINFORCEMENT ITEMS/8.3.2\High-Tensile Welded Mesh-Ref 888 /\KS20_006-Concrete Drop Inlet. Drawing NBC-GTW-CL-0032 \m²\29.99772 \ 20" u="1"/>
        <s v="SABS1200 GA \CONCRETE (SMALL WORKS)/8.3\SCHEDULED REINFORCEMENT ITEMS/8.3.2\High-Tensile Welded Mesh-Ref 888 /\Road 8-Concrete Drop Inlet. Refer to drawing NBC-GTW-CL-0024 \m²\15.01908 \ 20" u="1"/>
        <s v="SABS1200 GA \Concrete (Small Works)/8.3\SCHEDULED REINFORCEMENT ITEMS/8.3.2\High-Tensile Welded Mesh-Ref 888 /\KS20_001-Concrete Drop Inlet \m²\16.46892 \ 20" u="1"/>
        <s v="SABS1200 GA  / Concrete (Small Works) / 8.3 / 8.3.2 / High-Tensile Welded Mesh-Ref 888 / KS13_012-Concrete Drop Inlet / 16.8548 / m²" u="1"/>
        <s v="SABS1200 GA  / Concrete (Small Works) / 8.3 / 8.3.2 / High-Tensile Welded Mesh-Ref 888 / KS13_006-Concrete Drop Inlet / 24.278 / m²" u="1"/>
        <s v="SABS1200 GA  / Concrete (Small Works) / 8.3 / 8.3.2 / High-Tensile Welded Mesh-Ref 888 / KS21_010-Concrete Drop Inlet / 19.3479 / m²" u="1"/>
        <s v="SABS1200 GA  / Concrete (Small Works) / 8.3 / 8.3.2 / High-Tensile Welded Mesh-Ref 888 / KS13_015-Concrete Drop Inlet / 23.29992 / m²" u="1"/>
        <s v="SABS1200 GA \CONCRETE (SMALL WORKS)/8.3\SCHEDULED REINFORCEMENT ITEMS/8.3.2\High-Tensile Welded Mesh-Ref 888 /\KS13_012-Concrete Drop Inlet. Refer to drawing NBC-GTW-CL-0016 \m²\16.8548 \ 20" u="1"/>
        <s v="SABS1200 GA \CONCRETE (SMALL WORKS)/8.3\SCHEDULED REINFORCEMENT ITEMS/8.3.2\High-Tensile Welded Mesh-Ref 888 /\Pan8_004-Concrete Drop Inlet. Refer to drawing NBC-GTW-CL-0016 \m²\16.8548 \ 20" u="1"/>
        <s v="SABS1200 GA  / Concrete (Small Works) / 8.3 / 8.3.2 / High-Tensile Welded Mesh-Ref 888 / KS21_007-Concrete Drop Inlet / 20.68352 / m²" u="1"/>
        <s v="SABS1200 GA \Concrete (Small Works)/8.3\SCHEDULED REINFORCEMENT ITEMS/8.3.2\High-Tensile Welded Mesh-Ref 395 /\KS20_009_b-Concrete Overflow Wall \m²\10.2948 \ 20" u="1"/>
        <s v="SABS1200 GA  / Concrete (Small Works) / 8.3 / 8.3.2 / High-Tensile Welded Mesh-Ref 888 / KS21_009-Concrete Drop Inlet / 19.8378 / m²" u="1"/>
        <s v="SABS1200 GA \CONCRETE (SMALL WORKS)/8.3\SCHEDULED REINFORCEMENT ITEMS/8.3.2\High-Tensile Welded Mesh-Ref 888 /\KS13_005-Concrete Drop Inlet. Drawing NBC-GTW-CL-0011 \m²\24.02328 \ 20" u="1"/>
        <s v="SABS1200 GA \Concrete (Small Works)/8.3\SCHEDULED REINFORCEMENT ITEMS/8.3.2\High-Tensile Welded Mesh-Ref 395 /\KS20_009_b-Concrete Overflow Wall. Refer to drawing AJ \m²\10.2948 \ 20" u="1"/>
        <s v="SABS1200 GA \CONCRETE (SMALL WORKS)/8.3\SCHEDULED REINFORCEMENT ITEMS/8.3.2\High-Tensile Welded Mesh-Ref 395 /\KS20_009_b-Concrete Overflow Wall. Refer to drawing NBC-GTW-CL-0036 \m²\10.2948 \ 20" u="1"/>
        <s v="SABS1200 GA \Concrete (Small Works)/8.3\SCHEDULED REINFORCEMENT ITEMS/8.3.2\High-Tensile Welded Mesh-Ref 888 /\KS13_015-Concrete Drop Inlet \m²\23.29992 \ 20" u="1"/>
        <s v="SABS1200 GA \CONCRETE (SMALL WORKS)/8.3\SCHEDULED REINFORCEMENT ITEMS/8.3.2\High-Tensile Welded Mesh-Ref 888 /\KS18_017-Concrete Drop Inlet. Drawing NBC-GTW-CL-0023 \m²\17.922 \ 20" u="1"/>
        <s v="SABS1200 GA \CONCRETE (SMALL WORKS)/8.3\SCHEDULED REINFORCEMENT ITEMS/8.3.2\High-Tensile Welded Mesh-Ref 888 /\Road 2-Concrete Drop Inlet. Refer to drawing NBC-GTW-CL-0019 \m²\37.21536 \ 20" u="1"/>
        <s v="SABS1200 GA \CONCRETE (SMALL WORKS)/8.3\SCHEDULED REINFORCEMENT ITEMS/8.3.2\High-Tensile Welded Mesh-Ref 888 /\Road 20-Concrete Drop Inlet. Refer to drawing NBC-GTW-CL-0020 \m²\20.8292 \ 20" u="1"/>
        <s v="SABS1200 GA  / Concrete (Small Works) / 8.3 / 8.3.2 / High-Tensile Welded Mesh-Ref 888 / KS13_004-Concrete Drop Inlet / 18.87844 / m²" u="1"/>
        <s v="SABS1200 GA \CONCRETE (SMALL WORKS)/8.3\SCHEDULED REINFORCEMENT ITEMS/8.3.2\High-Tensile Welded Mesh-Ref 888 /\KS18_018-Concrete Drop Inlet. Drawing NBC-GTW-CL-0024 \m²\15.01908 \ 20" u="1"/>
        <s v="SABS1200 GA \CONCRETE (SMALL WORKS)/8.3\SCHEDULED REINFORCEMENT ITEMS/8.3.2\High-Tensile Welded Mesh-Ref 888 /\KS18_018-Concrete Drop Inlet. Refer to drawing NBC-GTW-CL-0024 \m²\15.01908 \ 20" u="1"/>
        <s v="SABS1200 GA \Concrete (Small Works)/8.3\SCHEDULED REINFORCEMENT ITEMS/8.3.2\High-Tensile Welded Mesh-Ref 888 /\KS12_006-Concrete Drop Inlet \m²\15.6462 \ 20" u="1"/>
        <s v="SABS1200 GA \Concrete (Small Works)/8.3\SCHEDULED REINFORCEMENT ITEMS/8.3.2\High-Tensile Welded Mesh-Ref 888 /\KS18_016-Concrete Drop Inlet. Refer to drawing V \m²\17.36952 \ 20" u="1"/>
        <s v="SABS1200 GA \Concrete (Small Works)/8.3\SCHEDULED REINFORCEMENT ITEMS/8.3.2\High-Tensile Welded Mesh-Ref 888 /\KS20_005-Concrete Drop Inlet \m²\31.90684 \ 20" u="1"/>
        <s v="SABS1200 GA \CONCRETE (SMALL WORKS)/8.3\SCHEDULED REINFORCEMENT ITEMS/8.3.2\High-Tensile Welded Mesh-Ref 888 /\KS13_004-Concrete Drop Inlet. Drawing NBC-GTW-CL-0010 \m²\18.87844 \ 20" u="1"/>
        <s v="SABS1200 GA \Concrete (Small Works)/8.3\SCHEDULED REINFORCEMENT ITEMS/8.3.2\High-Tensile Welded Mesh-Ref 888 /\KS12_009-Concrete Drop Inlet. Refer to drawing H \m²\9.6632 \ 20" u="1"/>
        <s v="SABS1200 GA  / Concrete (Small Works) / 8.3 / 8.3.2 / High-Tensile Welded Mesh-Ref 888 / KS18_016-Concrete Drop Inlet / 17.36952 / m²" u="1"/>
        <s v="SABS1200 GA \Concrete (Small Works)/8.3\SCHEDULED REINFORCEMENT ITEMS/8.3.2\High-Tensile Welded Mesh-Ref 888 /\KS21_003-Concrete Drop Inlet \m²\23.8326 \ 20" u="1"/>
        <s v="SABS1200 GA \CONCRETE (SMALL WORKS)/8.3\SCHEDULED REINFORCEMENT ITEMS/8.3.2\High-Tensile Welded Mesh-Ref 888 /\KS18_020-Concrete Drop Inlet associated with Road Culvert  \m²\19.49628 \ 20" u="1"/>
        <s v="SABS1200 GA \Concrete (Small Works)/8.3\SCHEDULED REINFORCEMENT ITEMS/8.3.2\High-Tensile Welded Mesh-Ref 888 /\KS18_019-Concrete Drop Inlet. Refer to drawing Y \m²\18.13032 \ 20" u="1"/>
        <s v="SABS1200 GA \CONCRETE (SMALL WORKS)/8.3\SCHEDULED REINFORCEMENT ITEMS/8.3.2\High-Tensile Welded Mesh-Ref 888 /\KS20_009_a-Concrete Buttress Weir. Refer to drawing NBC-GTW-CL-0035 \m²\49.206832 \ 20" u="1"/>
        <s v="SABS1200 GA \Concrete (Small Works)/8.3\SCHEDULED REINFORCEMENT ITEMS/8.3.2\High-Tensile Welded Mesh-Ref 888 /\KS21_007-Concrete Drop Inlet \m²\20.68352 \ 20" u="1"/>
        <s v="SABS1200 GA \CONCRETE (SMALL WORKS)/8.3\SCHEDULED REINFORCEMENT ITEMS/8.3.2\High-Tensile Welded Mesh-Ref 888 /\KS21_003-Concrete Drop Inlet. Refer to drawing NBC-GTW-CL-0039 \m²\23.8326 \ 20" u="1"/>
        <s v="SABS1200 GA \Concrete (Small Works)/8.3\SCHEDULED REINFORCEMENT ITEMS/8.3.2\High-Tensile Welded Mesh-Ref 888 /\KS21_007-Concrete Drop Inlet. Refer to drawing AP \m²\20.68352 \ 20" u="1"/>
        <s v="SABS1200 GA \CONCRETE (SMALL WORKS)/8.3\SCHEDULED REINFORCEMENT ITEMS/8.3.2\High-Tensile Welded Mesh-Ref 888 /\-Concrete Drop Inlet. Refer to drawing NBC-GTW-CL-0031 \m²\31.90684 \ 20" u="1"/>
        <s v="SABS1200 GA \CONCRETE (SMALL WORKS)/8.3\SCHEDULED REINFORCEMENT ITEMS/8.3.2\High-Tensile Welded Mesh-Ref 888 /\KS13_011-Concrete Drop Inlet. Refer to drawing NBC-GTW-CL-0015 \m²\21.5 \ 20" u="1"/>
        <s v="SABS1200 GA \CONCRETE (SMALL WORKS)/8.3\SCHEDULED REINFORCEMENT ITEMS/8.3.2\High-Tensile Welded Mesh-Ref 888 /\-Concrete Buttress Weir. Refer to drawing NBC-GTW-CL-0029 \m²\41.260352 \ 20" u="1"/>
        <s v="SABS1200 GA \CONCRETE (SMALL WORKS)/8.3\SCHEDULED REINFORCEMENT ITEMS/8.3.2\High-Tensile Welded Mesh-Ref 888 /\Road 7-Concrete Drop Inlet. Refer to drawing NBC-GTW-CL-0023 \m²\17.922 \ 20" u="1"/>
        <s v="SABS1200 GA \CONCRETE (SMALL WORKS)/8.3\SCHEDULED REINFORCEMENT ITEMS/8.3.2\High-Tensile Welded Mesh-Ref 888 /\KS13_006-Concrete Drop Inlet. Drawing NBC-GTW-CL-0012 \m²\24.278 \ 20" u="1"/>
        <s v="SABS1200 GA \CONCRETE (SMALL WORKS)/8.3\SCHEDULED REINFORCEMENT ITEMS/8.3.2\High-Tensile Welded Mesh-Ref 888 /\ks11-002b-Concrete Splash Through Structure  \m²\64 \ 20" u="1"/>
        <s v="SABS1200 GA \CONCRETE (SMALL WORKS)/8.3\SCHEDULED REINFORCEMENT ITEMS/8.3.2\High-Tensile Welded Mesh-Ref 888 /\ks11-004b-Concrete Splash Through Structure  \m²\64 \ 20" u="1"/>
        <s v="SABS1200 GA \CONCRETE (SMALL WORKS)/8.3\SCHEDULED REINFORCEMENT ITEMS/8.3.2\High-Tensile Welded Mesh-Ref 888 /\KS12_009-Concrete Drop Inlet. Refer to drawing NBC-GTW-CL-0008 \m²\7.5 \ 20" u="1"/>
        <s v="SABS1200 GA \Concrete (Small Works)/8.3\SCHEDULED REINFORCEMENT ITEMS/8.3.2\High-Tensile Welded Mesh-Ref 888 /\KS20_004-Concrete Drop Inlet \m²\24.62688 \ 20" u="1"/>
        <s v="SABS1200 GA \Concrete (Small Works)/8.3\SCHEDULED REINFORCEMENT ITEMS/8.3.2\High-Tensile Welded Mesh-Ref 888 /\KS18_002-Concrete Drop Inlet \m²\20.8292 \ 20" u="1"/>
        <s v="SABS1200 GA \CONCRETE (SMALL WORKS)/8.3\SCHEDULED REINFORCEMENT ITEMS/8.3.2\High-Tensile Welded Mesh-Ref 888 /\KS19_002-Concrete Drop Inlet. Refer to drawing NBC-GTW-CL-0026 \m²\22.33528 \ 20" u="1"/>
        <s v="SABS1200 GA \CONCRETE (SMALL WORKS)/8.3\SCHEDULED REINFORCEMENT ITEMS/8.3.2\High-Tensile Welded Mesh-Ref 888 /\Pan14_004-Concrete Drop Inlet. Refer to drawing NBC-GTW-CL-0007 \m²\15.1492 \ 20" u="1"/>
        <s v="SABS1200 GA  / Concrete (Small Works) / 8.3 / 8.3.2 / High-Tensile Welded Mesh-Ref 888 / KS20_003-Concrete Buttress Weir / 41.260352 / m²" u="1"/>
        <s v="SABS1200 GA \CONCRETE (SMALL WORKS)/8.3\SCHEDULED REINFORCEMENT ITEMS/8.3.2\High-Tensile Welded Mesh-Ref 888 /\KS20_002-Concrete Drop Inlet. Refer to drawing NBC-GTW-CL-0028 \m²\25.5606 \ 20" u="1"/>
        <s v="SABS1200 GA \CONCRETE (SMALL WORKS)/8.3\SCHEDULED REINFORCEMENT ITEMS/8.3.2\High-Tensile Welded Mesh-Ref 888 /\KS21_005-Concrete Drop Inlet. Refer to drawing NBC-GTW-CL-0040 \m²\24.54506 \ 20" u="1"/>
        <s v="SABS1200 GA  / Concrete (Small Works) / 8.3 / 8.3.2 / High-Tensile Welded Mesh-Ref 888 / KS19_002-Concrete Drop Inlet / 22.33528 / m²" u="1"/>
        <s v="SABS1200 GA \Concrete (Small Works)/8.3\SCHEDULED REINFORCEMENT ITEMS/8.3.2\High-Tensile Welded Mesh-Ref 888 /\KS20_006-Concrete Drop Inlet \m²\29.99772 \ 20" u="1"/>
        <s v="SABS1200 GA \Concrete (Small Works)/8.3\SCHEDULED REINFORCEMENT ITEMS/8.3.2\High-Tensile Welded Mesh-Ref 888 /\KS13_015-Concrete Drop Inlet. Refer to drawing R \m²\23.29992 \ 20" u="1"/>
        <s v="SABS1200 GA \CONCRETE (SMALL WORKS)/8.3\SCHEDULED REINFORCEMENT ITEMS/8.3.2\High-Tensile Welded Mesh-Ref 888 /\KS21_009-Concrete Drop Inlet. Drawing NBC-GTW-CL-0043 \m²\19.8378 \ 20" u="1"/>
        <s v="SABS1200 GA \CONCRETE (SMALL WORKS)/8.3\SCHEDULED REINFORCEMENT ITEMS/8.3.2\High-Tensile Welded Mesh-Ref 888 /\KS12_008-Concrete Drop Inlet. Refer to drawing NBC-GTW-CL-0007 \m²\15.1492 \ 20" u="1"/>
        <s v="SABS1200 GA \CONCRETE (SMALL WORKS)/8.3\SCHEDULED REINFORCEMENT ITEMS/8.3.2\High-Tensile Welded Mesh-Ref 888 /\KS20_007-Concrete Drop Inlet. Refer to drawing NBC-GTW-CL-0033 \m²\24.11068 \ 20" u="1"/>
        <s v="SABS1200 GA \CONCRETE (SMALL WORKS)/8.3\SCHEDULED REINFORCEMENT ITEMS/8.3.2\High-Tensile Welded Mesh-Ref 888 /\KS12_009-Concrete Drop Inlet. Refer to drawing NBC-GTW-CL-0008 \m²\9.6632 \ 20" u="1"/>
        <s v="SABS1200 GA \CONCRETE (SMALL WORKS)/8.3\SCHEDULED REINFORCEMENT ITEMS/8.3.2\High-Tensile Welded Mesh-Ref 888 /\KS13_007-Concrete Drop Inlet. Refer to drawing NBC-GTW-CL-0013 \m²\18.99072 \ 20" u="1"/>
        <s v="SABS1200 GA \Concrete (Small Works)/8.3\SCHEDULED REINFORCEMENT ITEMS/8.3.2\High-Tensile Welded Mesh-Ref 888 /\KS20_002-Concrete Drop Inlet. Refer to drawing AB \m²\22.854 \ 20" u="1"/>
        <s v="SABS1200 GA \CONCRETE (SMALL WORKS)/8.3\SCHEDULED REINFORCEMENT ITEMS/8.3.2\High-Tensile Welded Mesh-Ref 888 /\KS18_016-Concrete Drop Inlet. Refer to drawing NBC-GTW-CL-0022 \m²\17.36952 \ 20" u="1"/>
        <s v="SABS1200 GA \CONCRETE (SMALL WORKS)/8.3\SCHEDULED REINFORCEMENT ITEMS/8.3.2\High-Tensile Welded Mesh-Ref 888 /\KS20_003-Concrete Buttress Weir. Refer to drawing NBC-GTW-CL-0029 \m²\41.260352 \ 20" u="1"/>
        <s v="SABS1200 GA  / Concrete (Small Works) / 8.3 / 8.3.2 / High-Tensile Welded Mesh-Ref 888 / KS13_003-Concrete Drop Inlet / 21.55892 / m²" u="1"/>
        <s v="SABS1200 GA \Concrete (Small Works)/8.3\SCHEDULED REINFORCEMENT ITEMS/8.3.2\High-Tensile Welded Mesh-Ref 888 /\KS21_006-Concrete Drop Inlet \m²\24.78818 \ 20" u="1"/>
        <s v="SABS1200 GA \CONCRETE (SMALL WORKS)/8.3\SCHEDULED REINFORCEMENT ITEMS/8.3.2\High-Tensile Welded Mesh-Ref 888 /\KS13_004-Concrete Drop Inlet. Refer to drawing NBC-GTW-CL-0010 \m²\18.87844 \ 20" u="1"/>
        <s v="SABS1200 GA \Concrete (Small Works)/8.3\SCHEDULED REINFORCEMENT ITEMS/8.3.2\High-Tensile Welded Mesh-Ref 888 /\KS20_007-Concrete Drop Inlet \m²\24.11068 \ 20" u="1"/>
        <s v="SABS1200 GA \Concrete (Small Works)/8.3\SCHEDULED REINFORCEMENT ITEMS/8.3.2\High-Tensile Welded Mesh-Ref 888 /\KS18_002-Concrete Drop Inlet. Refer to drawing T \m²\20.8292 \ 20" u="1"/>
        <s v="SABS1200 GA \Concrete (Small Works)/8.3\SCHEDULED REINFORCEMENT ITEMS/8.3.2\High-Tensile Welded Mesh-Ref 888 /\KS18_001-Concrete Drop Inlet. Refer to drawing S \m²\37.21536 \ 20" u="1"/>
        <s v="SABS1200 GA  / Concrete (Small Works) / 8.3 / 8.3.2 / High-Tensile Welded Mesh-Ref 888 / KS12_009-Concrete Drop Inlet / 9.6632 / m²" u="1"/>
        <s v="SABS1200 GA \CONCRETE (SMALL WORKS)/8.3\SCHEDULED REINFORCEMENT ITEMS/8.3.2\High-Tensile Welded Mesh-Ref 888 /\KS20_004-Concrete Drop Inlet. Refer to drawing NBC-GTW-CL-0030 \m²\24.62688 \ 20" u="1"/>
        <s v="SABS1200 GA  / Concrete (Small Works) / 8.3 / 8.3.2 / High-Tensile Welded Mesh-Ref 888 / KS20_001-Concrete Drop Inlet / 16.46892 / m²" u="1"/>
        <s v="SABS1200 GA \Concrete (Small Works)/8.3\SCHEDULED REINFORCEMENT ITEMS/8.3.2\High-Tensile Welded Mesh-Ref 888 /\KS12_005-Concrete Drop Inlet. Refer to drawing D \m²\17.595592 \ 20" u="1"/>
        <s v="SABS1200 GA \CONCRETE (SMALL WORKS)/8.3\SCHEDULED REINFORCEMENT ITEMS/8.3.2\High-Tensile Welded Mesh-Ref 888 /\KS13_011-Concrete Drop Inlet. Drawing NBC-GTW-CL-0015 \m²\21.5 \ 20" u="1"/>
        <s v="SABS1200 GA \CONCRETE (SMALL WORKS)/8.3\SCHEDULED REINFORCEMENT ITEMS/8.3.2\High-Tensile Welded Mesh-Ref 888 /\-Concrete Drop Inlet. Refer to drawing NBC-GTW-CL-0034 \m²\33.41 \ 20" u="1"/>
        <s v="SABS1200 GA \CONCRETE (SMALL WORKS)/8.3\SCHEDULED REINFORCEMENT ITEMS/8.3.2\High-Tensile Welded Mesh-Ref 888 /\KS13_008-Concrete Drop Inlet. Drawing NBC-GTW-CL-0014 \m²\26.08944 \ 20" u="1"/>
        <s v="SABS1200 GA \Concrete (Small Works)/8.3\SCHEDULED REINFORCEMENT ITEMS/8.3.2\High-Tensile Welded Mesh-Ref 888 /\KS20_003-Concrete Buttress Weir. Refer to drawing AC \m²\41.260352 \ 20" u="1"/>
        <s v="SABS1200 GA \Concrete (Small Works)/8.3\SCHEDULED REINFORCEMENT ITEMS/8.3.2\High-Tensile Welded Mesh-Ref 888 /\KS20_005-Concrete Drop Inlet. Refer to drawing AE \m²\31.90684 \ 20" u="1"/>
        <s v="SABS1200 GA \CONCRETE (SMALL WORKS)/8.3\SCHEDULED REINFORCEMENT ITEMS/8.3.2\High-Tensile Welded Mesh-Ref 888 /\KS20_008-Concrete Drop Inlet. Refer to drawing NBC-GTW-CL-0034 \m²\33.41 \ 20" u="1"/>
        <s v="SABS1200 GA  / Concrete (Small Works) / 8.3 / 8.3.2 / High-Tensile Welded Mesh-Ref 888 / KS12_005-Concrete Drop Inlet / 17.595592 / m²" u="1"/>
        <s v="SABS1200 GA \CONCRETE (SMALL WORKS)/8.3\SCHEDULED REINFORCEMENT ITEMS/8.3.2\High-Tensile Welded Mesh-Ref 888 /\KS13_015-Concrete Drop Inlet. Drawing NBC-GTW-CL-0018 \m²\23.29992 \ 20" u="1"/>
        <s v="SABS1200 GA \CONCRETE (SMALL WORKS)/8.3\SCHEDULED REINFORCEMENT ITEMS/8.3.2\High-Tensile Welded Mesh-Ref 888 /\KS21_007-Concrete Drop Inlet. Drawing NBC-GTW-CL-0042 \m²\20.68352 \ 20" u="1"/>
        <s v="SABS1200 GA \Concrete (Small Works)/8.3\SCHEDULED REINFORCEMENT ITEMS/8.3.2\High-Tensile Welded Mesh-Ref 888 /\KS13_008-Concrete Drop Inlet. Refer to drawing N \m²\26.08944 \ 20" u="1"/>
        <s v="SABS1200 GA \Concrete (Small Works)/8.3\SCHEDULED REINFORCEMENT ITEMS/8.3.2\High-Tensile Welded Mesh-Ref 888 /\KS12_006-Concrete Drop Inlet. Refer to drawing E \m²\15.6462 \ 20" u="1"/>
        <s v="SABS1200 GA \CONCRETE (SMALL WORKS)/8.3\SCHEDULED REINFORCEMENT ITEMS/8.3.2\High-Tensile Welded Mesh-Ref 888 /\KS18_016-Concrete Drop Inlet. Drawing NBC-GTW-CL-0022 \m²\17.36952 \ 20" u="1"/>
        <s v="SABS1200 GA \CONCRETE (SMALL WORKS)/8.3\SCHEDULED REINFORCEMENT ITEMS/8.3.2\High-Tensile Welded Mesh-Ref 888 /\KS13_011-Concrete Drop Inlet. Refer to drawing NBC-GTW-CL-0015 \m²\27.39968 \ 20" u="1"/>
        <s v="SABS1200 GA \CONCRETE (SMALL WORKS)/8.3\SCHEDULED REINFORCEMENT ITEMS/8.3.2\High-Tensile Welded Mesh-Ref 888 /\Pan8_003-Concrete Drop Inlet. Refer to drawing NBC-GTW-CL-0015 \m²\27.39968 \ 20" u="1"/>
        <s v="SABS1200 GA \CONCRETE (SMALL WORKS)/8.3\SCHEDULED REINFORCEMENT ITEMS/8.3.2\High-Tensile Welded Mesh-Ref 888 /\-Concrete Drop Inlet. Refer to drawing NBC-GTW-CL-0044 \m²\19.3479 \ 20" u="1"/>
        <s v="SABS1200 GA \CONCRETE (SMALL WORKS)/8.3\SCHEDULED REINFORCEMENT ITEMS/8.3.2\High-Tensile Welded Mesh-Ref 888 /\KS20_002-Concrete Drop Inlet. Refer to drawing NBC-GTW-CL-0028 \m²\22.854 \ 20" u="1"/>
        <s v="SABS1200 GA \CONCRETE (SMALL WORKS)/8.3\SCHEDULED REINFORCEMENT ITEMS/8.3.2\High-Tensile Welded Mesh-Ref 888 /\Road 1-Concrete Drop Inlet. Refer to drawing NBC-GTW-CL-0017 \m²\21.48552 \ 20" u="1"/>
        <s v="SABS1200 GA \CONCRETE (SMALL WORKS)/8.3\SCHEDULED REINFORCEMENT ITEMS/8.3.2\High-Tensile Welded Mesh-Ref 888 /\LS16_008-Concrete Drop Inlet on Dam Wall  \m²\89.6992 \ 20" u="1"/>
        <s v="SABS1200 GA \CONCRETE (SMALL WORKS)/8.3\SCHEDULED REINFORCEMENT ITEMS/8.3.2\High-Tensile Welded Mesh-Ref 888 /\LS16_012-Concrete Drop Inlet on Dam Wall  \m²\89.6992 \ 20" u="1"/>
        <s v="SABS1200 GA \CONCRETE (SMALL WORKS)/8.3\SCHEDULED REINFORCEMENT ITEMS/8.3.2\High-Tensile Welded Mesh-Ref 617 /\KS20_009_b-Concrete Overflow Wall. Refer to drawing NBC-GTW-CL-0035 \m²\9 \ 20" u="1"/>
        <s v="SABS1200 GA \Concrete (Small Works)/8.3\SCHEDULED REINFORCEMENT ITEMS/8.3.2\High-Tensile Welded Mesh-Ref 888 /\KS18_015-Concrete Drop Inlet. Refer to drawing U \m²\23.7248 \ 20" u="1"/>
        <s v="SABS1200 GA \CONCRETE (SMALL WORKS)/8.3\SCHEDULED REINFORCEMENT ITEMS/8.3.2\High-Tensile Welded Mesh-Ref 617 /\ks11-002b-Concrete Splash Through Structure. Refer to drawing NBC-GTW-CL-0067 \m²\64 \ 20" u="1"/>
        <s v="SABS1200 GA \Concrete (Small Works)/8.3\SCHEDULED REINFORCEMENT ITEMS/8.3.2\High-Tensile Welded Mesh-Ref 888 /\KS13_005-Concrete Drop Inlet \m²\24.02328 \ 20" u="1"/>
        <s v="SABS1200 GA \CONCRETE (SMALL WORKS)/8.3\SCHEDULED REINFORCEMENT ITEMS/8.3.2\High-Tensile Welded Mesh-Ref 888 /\KS12_002-Concrete Drop Inlet. Refer to drawing NBC-GTW-CL-0002 \m²\23 \ 20" u="1"/>
        <s v="SABS1200 GA \Concrete (Small Works)/8.3\SCHEDULED REINFORCEMENT ITEMS/8.3.2\High-Tensile Welded Mesh-Ref 888 /\KS12_009-Concrete Drop Inlet \m²\9.6632 \ 20" u="1"/>
        <s v="SABS1200 GA \CONCRETE (SMALL WORKS)/8.3\SCHEDULED REINFORCEMENT ITEMS/8.3.2\High-Tensile Welded Mesh-Ref 888 /\Pan14_009-Concrete Drop Inlet. Refer to drawing NBC-GTW-CL-0009 \m²\21.55892 \ 20" u="1"/>
        <s v="SABS1200 GA  / Concrete (Small Works) / 8.3 / 8.3.2 / High-Tensile Welded Mesh-Ref 888 / KS13_013-Concrete Drop Inlet / 21.48552 / m²" u="1"/>
        <s v="SABS1200 GA  / Concrete (Small Works) / 8.3 / 8.3.2 / High-Tensile Welded Mesh-Ref 888 / KS20_005-Concrete Drop Inlet / 31.90684 / m²" u="1"/>
        <s v="SABS1200 GA  / Concrete (Small Works) / 8.3 / 8.3.2 / High-Tensile Welded Mesh-Ref 888 / KS21_006-Concrete Drop Inlet / 24.78818 / m²" u="1"/>
        <s v="SABS1200 GA \CONCRETE (SMALL WORKS)/8.3\SCHEDULED REINFORCEMENT ITEMS/8.3.2\High-Tensile Welded Mesh-Ref 888 /\KS18_017-Concrete Drop Inlet. Refer to drawing NBC-GTW-CL-0023 \m²\17.922 \ 20" u="1"/>
        <s v="SABS1200 GA \Concrete (Small Works)/8.3\SCHEDULED REINFORCEMENT ITEMS/8.3.2\High-Tensile Welded Mesh-Ref 888 /\KS13_004-Concrete Drop Inlet. Refer to drawing J \m²\18.87844 \ 20" u="1"/>
        <s v="SABS1200 GA \Concrete (Small Works)/8.3\SCHEDULED REINFORCEMENT ITEMS/8.3.2\High-Tensile Welded Mesh-Ref 888 /\KS20_003-Concrete Buttress Weir \m²\41.260352 \ 20" u="1"/>
        <s v="SABS1200 GA \Concrete (Small Works)/8.3\SCHEDULED REINFORCEMENT ITEMS/8.3.2\High-Tensile Welded Mesh-Ref 888 /\KS13_011-Concrete Drop Inlet. Refer to drawing O \m²\27.39968 \ 20" u="1"/>
        <s v="SABS1200 GA \CONCRETE (SMALL WORKS)/8.3\SCHEDULED REINFORCEMENT ITEMS/8.3.2\High-Tensile Welded Mesh-Ref 888 /\-Concrete Drop Inlet. Refer to drawing NBC-GTW-CL-0035 \m²\49.206832 \ 20" u="1"/>
        <s v="SABS1200 GA \CONCRETE (SMALL WORKS)/8.3\SCHEDULED REINFORCEMENT ITEMS/8.3.2\High-Tensile Welded Mesh-Ref 888 /\-Concrete Drop Inlet. Refer to drawing NBC-GTW-CL-0028 \m²\22.854 \ 20" u="1"/>
        <s v="SABS1200 GA \CONCRETE (SMALL WORKS)/8.3\SCHEDULED REINFORCEMENT ITEMS/8.3.2\High-Tensile Welded Mesh-Ref 888 /\KS12_006-Concrete Drop Inlet. Refer to drawing NBC-GTW-CL-0005 \m²\15.6462 \ 20" u="1"/>
        <s v="SABS1200 GA \CONCRETE (SMALL WORKS)/8.3\SCHEDULED REINFORCEMENT ITEMS/8.3.2\High-Tensile Welded Mesh-Ref 888 /\LS16_021-Concrete Drop Inlet. Refer to drawing NBC-GTW-CL-0005 \m²\15.6462 \ 20" u="1"/>
        <s v="SABS1200 GA \CONCRETE (SMALL WORKS)/8.3\SCHEDULED REINFORCEMENT ITEMS/8.3.2\High-Tensile Welded Mesh-Ref 888 /\KS21_006-Concrete Drop Inlet. Drawing NBC-GTW-CL-0041 \m²\24.78818 \ 20" u="1"/>
        <s v="SABS1200 GA \Concrete (Small Works)/8.3\SCHEDULED REINFORCEMENT ITEMS/8.3.2\High-Tensile Welded Mesh-Ref 888 /\KS12_005-Concrete Drop Inlet \m²\17.595592 \ 20" u="1"/>
        <s v="SABS1200 GA \CONCRETE (SMALL WORKS)/8.3\SCHEDULED REINFORCEMENT ITEMS/8.3.2\High-Tensile Welded Mesh-Ref 888 /\KS21_010-Concrete Drop Inlet. Drawing NBC-GTW-CL-0044 \m²\19.3479 \ 20" u="1"/>
        <s v="SABS1200 GA \CONCRETE (SMALL WORKS)/8.3\SCHEDULED REINFORCEMENT ITEMS/8.3.2\High-Tensile Welded Mesh-Ref 888 /\-Concrete Drop Inlet. Refer to drawing NBC-GTW-CL-0032 \m²\29.99772 \ 20" u="1"/>
        <s v="SABS1200 GA \CONCRETE (SMALL WORKS)/8.3\SCHEDULED REINFORCEMENT ITEMS/8.3.2\High-Tensile Welded Mesh-Ref 888 /\Pan14_011-Concrete Drop Inlet. Refer to drawing NBC-GTW-CL-0011 \m²\24.02328 \ 20" u="1"/>
        <s v="SABS1200 GA \CONCRETE (SMALL WORKS)/8.3\SCHEDULED REINFORCEMENT ITEMS/8.3.2\High-Tensile Welded Mesh-Ref 888 /\KS18_001-Concrete Drop Inlet. Drawing NBC-GTW-CL-0019 \m²\37.21536 \ 20" u="1"/>
        <s v="SABS1200 GA \CONCRETE (SMALL WORKS)/8.3\SCHEDULED REINFORCEMENT ITEMS/8.3.2\High-Tensile Welded Mesh-Ref 888 /\KS13_006-Concrete Drop Inlet. Refer to drawing NBC-GTW-CL-0012 \m²\24.278 \ 20" u="1"/>
        <s v="SABS1200 GA \CONCRETE (SMALL WORKS)/8.3\SCHEDULED REINFORCEMENT ITEMS/8.3.2\High-Tensile Welded Mesh-Ref 888 /\KS20_007-Concrete Drop Inlet. Drawing NBC-GTW-CL-0033 \m²\24.11068 \ 20" u="1"/>
        <s v="SABS1200 GA \CONCRETE (SMALL WORKS)/8.3\SCHEDULED REINFORCEMENT ITEMS/8.3.2\High-Tensile Welded Mesh-Ref 888 /\KS20_001-Concrete Drop Inlet. Refer to drawing NBC-GTW-CL-0027 \m²\16.46892 \ 20" u="1"/>
        <s v="SABS1200 GA \Concrete (Small Works)/8.3\SCHEDULED REINFORCEMENT ITEMS/8.3.2\High-Tensile Welded Mesh-Ref 888 /\KS18_019-Concrete Drop Inlet \m²\18.13032 \ 20" u="1"/>
        <s v="SABS1200 GA \CONCRETE (SMALL WORKS)/8.3\SCHEDULED REINFORCEMENT ITEMS/8.3.2\High-Tensile Welded Mesh-Ref 888 /\KS20_002-Concrete Drop Inlet. Drawing NBC-GTW-CL-0028 \m²\25.5606 \ 20" u="1"/>
        <s v="SABS1200 GA  / Concrete (Small Works) / 8.3 / 8.3.2 / High-Tensile Welded Mesh-Ref 888 / KS20_008-Concrete Drop Inlet / 33.41 / m²" u="1"/>
        <s v="SABS1200 GA \CONCRETE (SMALL WORKS)/8.3\SCHEDULED REINFORCEMENT ITEMS/8.3.2\High-Tensile Welded Mesh-Ref 888 /\KS20_004-Concrete Drop Inlet. Drawing NBC-GTW-CL-0030 \m²\24.62688 \ 20" u="1"/>
        <s v="SABS1200 GA \CONCRETE (SMALL WORKS)/8.3\SCHEDULED REINFORCEMENT ITEMS/8.3.2\High-Tensile Welded Mesh-Ref 888 /\KS13_015-Concrete Drop Inlet. Refer to drawing NBC-GTW-CL-0018 \m²\23.29992 \ 20" u="1"/>
        <s v="SABS1200 GA \Concrete (Small Works)/8.3\SCHEDULED REINFORCEMENT ITEMS/8.3.2\High-Tensile Welded Mesh-Ref 888 /\KS12_008-Concrete Drop Inlet. Refer to drawing G \m²\15.1492 \ 20" u="1"/>
        <s v="SABS1200 GA \Concrete (Small Works)/8.3\SCHEDULED REINFORCEMENT ITEMS/8.3.2\High-Tensile Welded Mesh-Ref 888 /\KS13_003-Concrete Drop Inlet. Refer to drawing I \m²\21.55892 \ 20" u="1"/>
        <s v="SABS1200 GA \Concrete (Small Works)/8.3\SCHEDULED REINFORCEMENT ITEMS/8.3.2\High-Tensile Welded Mesh-Ref 888 /\KS18_018-Concrete Drop Inlet. Refer to drawing X \m²\15.01908 \ 20" u="1"/>
        <s v="SABS1200 GA \Concrete (Small Works)/8.3\SCHEDULED REINFORCEMENT ITEMS/8.3.2\High-Tensile Welded Mesh-Ref 888 /\KS19_002-Concrete Drop Inlet. Refer to drawing Z \m²\22.33528 \ 20" u="1"/>
        <s v="SABS1200 GA \CONCRETE (SMALL WORKS)/8.3\SCHEDULED REINFORCEMENT ITEMS/8.3.2\High-Tensile Welded Mesh-Ref 888 /\-Concrete Drop Inlet. Refer to drawing NBC-GTW-CL-0043 \m²\19.8378 \ 20" u="1"/>
        <s v="SABS1200 GA  / Concrete (Small Works) / 8.3 / 8.3.2 / High-Tensile Welded Mesh-Ref 888 / KS18_001-Concrete Drop Inlet / 37.21536 / m²" u="1"/>
        <s v="SABS1200 GA \CONCRETE (SMALL WORKS)/8.3\SCHEDULED REINFORCEMENT ITEMS/8.3.2\High-Tensile Welded Mesh-Ref 888 /\-Concrete Drop Inlet. Refer to drawing NBC-GTW-CL-0030 \m²\24.62688 \ 20" u="1"/>
        <s v="SABS1200 GA \CONCRETE (SMALL WORKS)/8.3\SCHEDULED REINFORCEMENT ITEMS/8.3.2\High-Tensile Welded Mesh-395 /\ks11-001-Off-take structure  \m²\4 \ 20" u="1"/>
        <s v="SABS1200 GA \CONCRETE (SMALL WORKS)/8.3\SCHEDULED REINFORCEMENT ITEMS/8.3.2\High-Tensile Welded Mesh-395 /\LS16_007-Off-take structure  \m²\4 \ 20" u="1"/>
        <s v="SABS1200 GA \Concrete (Small Works)/8.3\SCHEDULED REINFORCEMENT ITEMS/8.3.2\High-Tensile Welded Mesh-Ref 888 /\KS13_012-Concrete Drop Inlet. Refer to drawing P \m²\16.8548 \ 20" u="1"/>
        <s v="SABS1200 GA \Concrete (Small Works)/8.3\SCHEDULED REINFORCEMENT ITEMS/8.3.2\High-Tensile Welded Mesh-Ref 888 /\KS20_001-Concrete Drop Inlet. Refer to drawing AA \m²\16.46892 \ 20" u="1"/>
        <s v="SABS1200 GA \CONCRETE (SMALL WORKS)/8.3\SCHEDULED REINFORCEMENT ITEMS/8.3.2\High-Tensile Welded Mesh-Ref 888 /\KS18_001-Concrete Drop Inlet. Refer to drawing NBC-GTW-CL-0019 \m²\37.21536 \ 20" u="1"/>
        <s v="SABS1200 GA \CONCRETE (SMALL WORKS)/8.3\SCHEDULED REINFORCEMENT ITEMS/8.3.2\High-Tensile Welded Mesh-Ref 888 /\KS21_009-Concrete Drop Inlet. Refer to drawing NBC-GTW-CL-0043 \m²\19.8378 \ 20" u="1"/>
        <s v="SABS1200 GA \Concrete (Small Works)/8.3\SCHEDULED REINFORCEMENT ITEMS/8.3.2\High-Tensile Welded Mesh-Ref 888 /\KS18_015-Concrete Drop Inlet \m²\23.7248 \ 20" u="1"/>
        <s v="SABS1200 GA \Concrete (Small Works)/8.3\SCHEDULED REINFORCEMENT ITEMS/8.3.2\High-Tensile Welded Mesh-Ref 888 /\KS13_004-Concrete Drop Inlet \m²\18.87844 \ 20" u="1"/>
        <s v="SABS1200 GA  / Concrete (Small Works) / 8.3 / 8.3.2 / High-Tensile Welded Mesh-Ref 888 / KS18_015-Concrete Drop Inlet / 23.7248 / m²" u="1"/>
        <s v="SABS1200 GA \Concrete (Small Works)/8.3\SCHEDULED REINFORCEMENT ITEMS/8.3.2\High-Tensile Welded Mesh-Ref 888 /\KS13_011-Concrete Drop Inlet \m²\27.39968 \ 20" u="1"/>
        <s v="SABS1200 GA \Concrete (Small Works)/8.3\SCHEDULED REINFORCEMENT ITEMS/8.3.2\High-Tensile Welded Mesh-Ref 888 /\KS21_009-Concrete Drop Inlet. Refer to drawing AQ \m²\19.8378 \ 20" u="1"/>
        <s v="SABS1200 GA \Concrete (Small Works)/8.3\SCHEDULED REINFORCEMENT ITEMS/8.3.2\High-Tensile Welded Mesh-Ref 888 /\KS18_018-Concrete Drop Inlet \m²\15.01908 \ 20" u="1"/>
        <s v="SABS1200 GA \CONCRETE (SMALL WORKS)/8.3\SCHEDULED REINFORCEMENT ITEMS/8.3.2\High-Tensile Welded Mesh-Ref 395 /\-Concrete Overflow Wall. Refer to drawing  \m²\24.52 \ 20" u="1"/>
        <s v="SABS1200 GA \CONCRETE (SMALL WORKS)/8.3\SCHEDULED REINFORCEMENT ITEMS/8.3.2\High-Tensile Welded Mesh-Ref 888 /\KS12_004-Concrete Drop Inlet. Refer to drawing NBC-GTW-CL-0003 \m²\22.0008 \ 20" u="1"/>
        <s v="SABS1200 GA \CONCRETE (SMALL WORKS)/8.3\SCHEDULED REINFORCEMENT ITEMS/8.3.2\High-Tensile Welded Mesh-Ref 888 /\LS16_019-Concrete Drop Inlet. Refer to drawing NBC-GTW-CL-0003 \m²\22.0008 \ 20" u="1"/>
        <s v="SABS1200 GA  / Concrete (Small Works) / 8.3 / 8.3.2 / High-Tensile Welded Mesh-Ref 888 / KS20_007-Concrete Drop Inlet / 24.11068 / m²" u="1"/>
        <s v="SABS1200 GA \Concrete (Small Works)/8.3\SCHEDULED REINFORCEMENT ITEMS/8.3.2\High-Tensile Welded Mesh-Ref 888 /\KS13_005-Concrete Drop Inlet. Refer to drawing K \m²\24.02328 \ 20" u="1"/>
        <s v="SABS1200 GA \CONCRETE (SMALL WORKS)/8.3\SCHEDULED REINFORCEMENT ITEMS/8.3.2\High-Tensile Welded Mesh-Ref 888 /\KS13_005-Concrete Drop Inlet. Refer to drawing NBC-GTW-CL-0011 \m²\24.02328 \ 20" u="1"/>
        <s v="SABS1200 GA  / Concrete (Small Works) / 8.3 / 8.3.2 / High-Tensile Welded Mesh-Ref 888 / KS18_017-Concrete Drop Inlet / 17.922 / m²" u="1"/>
        <s v="SABS1200 GA \CONCRETE (SMALL WORKS)/8.3\SCHEDULED REINFORCEMENT ITEMS/8.3.2\High-Tensile Welded Mesh-Ref 888 /\KS18_002-Concrete Drop Inlet. Drawing NBC-GTW-CL-0020 \m²\20.8292 \ 20" u="1"/>
        <s v="SABS1200 GA \CONCRETE (SMALL WORKS)/8.3\SCHEDULED REINFORCEMENT ITEMS/8.3.2\High-Tensile Welded Mesh-Ref 888 /\KS12_007-Concrete Drop Inlet. Refer to drawing NBC-GTW-CL-0006 \m²\19.9998 \ 20" u="1"/>
        <s v="SABS1200 GA  / Concrete (Small Works) / 8.3 / 8.3.2 / High-Tensile Welded Mesh-Ref 888 / KS18_002-Concrete Drop Inlet / 20.8292 / m²" u="1"/>
        <s v="SABS1200 GA  / Concrete (Small Works) / 8.3 / 8.3.2 / High-Tensile Welded Mesh-Ref 395 / KS20_009_b-Concrete Overflow Wall / 10.2948 / m²" u="1"/>
        <s v="SABS1200 GA \Concrete (Small Works)/8.3\SCHEDULED REINFORCEMENT ITEMS/8.3.2\High-Tensile Welded Mesh-Ref 888 /\KS19_002-Concrete Drop Inlet \m²\22.33528 \ 20" u="1"/>
        <s v="SABS1200 GA \CONCRETE (SMALL WORKS)/8.3\SCHEDULED REINFORCEMENT ITEMS/8.3.2\High-Tensile Welded Mesh-Ref 888 /\Pan14-003-Concrete Drop Inlet. Refer to drawing NBC-GTW-CL-0014 \m²\26.08944 \ 20" u="1"/>
        <s v="SABS1200 GA \Concrete (Small Works)/8.3\SCHEDULED REINFORCEMENT ITEMS/8.3.2\High-Tensile Welded Mesh-Ref 888 /\KS12_007-Concrete Drop Inlet. Refer to drawing F \m²\19.9998 \ 20" u="1"/>
        <s v="SABS1200 GA  / Concrete (Small Works) / 8.3 / 8.3.2 / High-Tensile Welded Mesh-Ref 888 / KS20_002-Concrete Drop Inlet / 22.854 / m²" u="1"/>
        <s v="SABS1200 GA \CONCRETE (SMALL WORKS)/8.3\SCHEDULED REINFORCEMENT ITEMS/8.3.2\High-Tensile Welded Mesh-Ref 888 /\Road 5-Concrete Drop Inlet. Refer to drawing NBC-GTW-CL-0021 \m²\23.7248 \ 20" u="1"/>
        <s v="SABS1200 GA \CONCRETE (SMALL WORKS)/8.3\SCHEDULED REINFORCEMENT ITEMS/8.3.2\High-Tensile Welded Mesh-Ref 888 /\-Concrete Drop Inlet. Refer to drawing NBC-GTW-CL-0041 \m²\24.78818 \ 20" u="1"/>
        <s v="SABS1200 GA \CONCRETE (SMALL WORKS)/8.3\SCHEDULED REINFORCEMENT ITEMS/8.3.2\High-Tensile Welded Mesh-Ref 888 /\Pan14-001-Concrete Drop Inlet. Refer to drawing NBC-GTW-CL-0012 \m²\24.278 \ 20" u="1"/>
        <s v="SABS1200 GA  / Concrete (Small Works) / 8.3 / 8.3.2 / High-Tensile Welded Mesh-Ref 888 / KS20_004-Concrete Drop Inlet / 24.62688 / m²" u="1"/>
        <s v="SABS1200 GA \Concrete (Small Works)/8.3\SCHEDULED REINFORCEMENT ITEMS/8.3.2\High-Tensile Welded Mesh-Ref 888 /\KS12_008-Concrete Drop Inlet \m²\15.1492 \ 20" u="1"/>
        <s v="SABS1200 GA \Concrete (Small Works)/8.3\SCHEDULED REINFORCEMENT ITEMS/8.3.2\High-Tensile Welded Mesh-Ref 888 /\KS13_003-Concrete Drop Inlet \m²\21.55892 \ 20" u="1"/>
        <s v="SABS1200 GA \CONCRETE (SMALL WORKS)/8.3\SCHEDULED REINFORCEMENT ITEMS/8.3.2\High-Tensile Welded Mesh-Ref 617 /\KS20_009_b-Concrete Overflow Wall. Drawing NBC-GTW-CL-0035 \m²\9 \ 20" u="1"/>
        <s v="SABS1200 GA \Concrete (Small Works)/8.3\SCHEDULED REINFORCEMENT ITEMS/8.3.2\High-Tensile Welded Mesh-Ref 888 /\KS21_003-Concrete Drop Inlet. Refer to drawing AM \m²\23.8326 \ 20" u="1"/>
        <s v="SABS1200 GA \CONCRETE (SMALL WORKS)/8.3\SCHEDULED REINFORCEMENT ITEMS/8.3.2\High-Tensile Welded Mesh-Ref617 /\ks11-004b-Concrete Splash Through Structure. Refer to drawing NBC-GTW-CL-0068 \m²\64 \ 20" u="1"/>
        <s v="SABS1200 GA \CONCRETE (SMALL WORKS)/8.3\SCHEDULED REINFORCEMENT ITEMS/8.3.2\High-Tensile Welded Mesh-Ref 888 /\KS20_003-Concrete Buttress Weir. Drawing NBC-GTW-CL-0029 \m²\41.260352 \ 20" u="1"/>
        <s v="SABS1200 GA \CONCRETE (SMALL WORKS)/8.3\SCHEDULED REINFORCEMENT ITEMS/8.3.2\High-Tensile Welded Mesh-Ref 888 /\-Concrete Drop Inlet. Refer to drawing NBC-GTW-CL-0039 \m²\23.8326 \ 20" u="1"/>
        <s v="SABS1200 GA \CONCRETE (SMALL WORKS)/8.3\SCHEDULED REINFORCEMENT ITEMS/8.3.2\High-Tensile Welded Mesh-Ref 888 /\Road 6-Concrete Drop Inlet. Refer to drawing NBC-GTW-CL-0022 \m²\17.36952 \ 20" u="1"/>
        <s v="SABS1200 GA  / Concrete (Small Works) / 8.3 / 8.3.2 / High-Tensile Welded Mesh-Ref 888 / KS21_003-Concrete Drop Inlet / 23.8326 / m²" u="1"/>
        <s v="SABS1200 GA \Concrete (Small Works)/8.3\SCHEDULED REINFORCEMENT ITEMS/8.3.2\High-Tensile Welded Mesh-Ref 888 /\KS21_006-Concrete Drop Inlet. Refer to drawing AO \m²\24.78818 \ 20" u="1"/>
        <s v="SABS1200 GA \CONCRETE (SMALL WORKS)/8.3\SCHEDULED REINFORCEMENT ITEMS/8.3.2\High-Tensile Welded Mesh-Mesh 395 /\KS12_001-Pipe Culvert. Refer to drawing NBC-GTW-CL-0069 \m²\3 \ 20" u="1"/>
        <s v="SABS1200 GA \CONCRETE (SMALL WORKS)/8.3\SCHEDULED REINFORCEMENT ITEMS/8.3.2\High-Tensile Welded Mesh-Ref 888 /\KS13_013-Concrete Drop Inlet. Drawing NBC-GTW-CL-0017 \m²\21.48552 \ 20" u="1"/>
        <s v="SABS1200 GA \CONCRETE (SMALL WORKS)/8.3\SCHEDULED REINFORCEMENT ITEMS/8.3.2\High-Tensile Welded Mesh-Ref 888 /\KS20_005-Concrete Drop Inlet. Drawing NBC-GTW-CL-0031 \m²\31.90684 \ 20" u="1"/>
        <s v="SABS1200 GA \Concrete (Small Works)/8.3\SCHEDULED REINFORCEMENT ITEMS/8.3.2\High-Tensile Welded Mesh-Ref 888 /\KS21_010-Concrete Drop Inlet. Refer to drawing AR \m²\19.3479 \ 20" u="1"/>
        <s v="SABS1200 GA \Concrete (Small Works)/8.3\SCHEDULED REINFORCEMENT ITEMS/8.3.2\High-Tensile Welded Mesh-Ref 888 /\KS20_002-Concrete Drop Inlet \m²\22.854 \ 20" u="1"/>
        <s v="SABS1200 GA \CONCRETE (SMALL WORKS)/8.3\SCHEDULED REINFORCEMENT ITEMS/8.3.2\High-Tensile Welded Mesh-Ref 395 /\KS20_009_b-Concrete Overflow Wall. Refer to drawing  \m²\24.52 \ 20" u="1"/>
        <s v="SABS1200 GA \CONCRETE (SMALL WORKS)/8.3\SCHEDULED REINFORCEMENT ITEMS/8.3.2\High-Tensile Welded Mesh-Ref 888 /\LS16_009-Concrete Splash Through Structure  \m²\64 \ 20" u="1"/>
        <s v="SABS1200 GA \CONCRETE (SMALL WORKS)/8.3\SCHEDULED REINFORCEMENT ITEMS/8.3.2\High-Tensile Welded Mesh-Ref 888 /\LS16_013-Concrete Splash Through Structure  \m²\64 \ 20" u="1"/>
        <s v="SABS1200 GA  / Concrete (Small Works) / 8.3 / 8.3.2 / High-Tensile Welded Mesh-Ref 888 / KS21_005-Concrete Drop Inlet / 24.54506 / m²" u="1"/>
        <s v="SABS1200 GA \Concrete (Small Works)/8.3\SCHEDULED REINFORCEMENT ITEMS/8.3.2\High-Tensile Welded Mesh-Ref 888 /\KS20_007-Concrete Drop Inlet. Refer to drawing AG \m²\24.11068 \ 20" u="1"/>
        <s v="SABS1200 GA \CONCRETE (SMALL WORKS)/8.3\SCHEDULED REINFORCEMENT ITEMS/8.3.2\High-Tensile Welded Mesh-Ref 888 /\KS13_012-Concrete Drop Inlet. Drawing NBC-GTW-CL-0016 \m²\16.8548 \ 20" u="1"/>
        <s v="SABS1200 GA \Concrete (Small Works)/8.3\SCHEDULED REINFORCEMENT ITEMS/8.3.2\High-Tensile Welded Mesh-Ref 888 /\KS18_001-Concrete Drop Inlet \m²\37.21536 \ 20" u="1"/>
        <s v="SABS1200 GA \Concrete (Small Works)/8.3\SCHEDULED REINFORCEMENT ITEMS/8.3.2\High-Tensile Welded Mesh-Ref 888 /\KS13_012-Concrete Drop Inlet \m²\16.8548 \ 20" u="1"/>
        <s v="SABS1200 GA \Concrete (Small Works)/8.3\SCHEDULED REINFORCEMENT ITEMS/8.3.2\High-Tensile Welded Mesh-Ref 888 /\KS20_004-Concrete Drop Inlet. Refer to drawing AD \m²\24.62688 \ 20" u="1"/>
        <s v="SABS1200 GA \CONCRETE (SMALL WORKS)/8.3\SCHEDULED REINFORCEMENT ITEMS/8.3.2\High-Tensile Welded Mesh-Ref 888 /\KS21_006-Concrete Drop Inlet. Refer to drawing NBC-GTW-CL-0041 \m²\24.78818 \ 20" u="1"/>
        <s v="SABS1200 GA  / Concrete (Small Works) / 8.3 / 8.3.2 / High-Tensile Welded Mesh-Ref 888 / KS20_006-Concrete Drop Inlet / 29.99772 / m²" u="1"/>
        <s v="SABS1200 GA \CONCRETE (SMALL WORKS)/8.3\SCHEDULED REINFORCEMENT ITEMS/8.3.2\High-Tensile Welded Mesh-Ref 888 /\KS20_005-Concrete Drop Inlet. Refer to drawing NBC-GTW-CL-0031 \m²\31.90684 \ 20" u="1"/>
        <s v="SABS1200 GA \Concrete (Small Works)/8.3\SCHEDULED REINFORCEMENT ITEMS/8.3.2\High-Tensile Welded Mesh-Ref 888 /\KS13_007-Concrete Drop Inlet \m²\18.99072 \ 20" u="1"/>
        <s v="SABS1200 GA \Concrete (Small Works)/8.3\SCHEDULED REINFORCEMENT ITEMS/8.3.2\High-Tensile Welded Mesh-Ref 888 /\KS20_009_a-Concrete Drop Inlet \m²\49.206832 \ 20" u="1"/>
        <s v="SABS1200 GA \Concrete (Small Works)/8.3\SCHEDULED REINFORCEMENT ITEMS/8.3.2\High-Tensile Welded Mesh-Ref 888 /\KS21_009-Concrete Drop Inlet \m²\19.8378 \ 20" u="1"/>
        <s v="SABS1200 GA \CONCRETE (SMALL WORKS)/8.3\SCHEDULED REINFORCEMENT ITEMS/8.3.2\High-Tensile Welded Mesh-Ref 888 /\-Concrete Drop Inlet. Refer to drawing NBC-GTW-CL-0040 \m²\24.54506 \ 20" u="1"/>
        <s v="SABS1200 GA \CONCRETE (SMALL WORKS)/8.3\SCHEDULED REINFORCEMENT ITEMS/8.3.2\High-Tensile Welded Mesh-Ref 888 /\Pan09_001-Concrete Drop Inlet. Refer to drawing NBC-GTW-CL-0006 \m²\19.9998 \ 20" u="1"/>
      </sharedItems>
    </cacheField>
    <cacheField name="High tensile Welded Mesh 2" numFmtId="0">
      <sharedItems count="210">
        <s v=" "/>
        <s v="SABS1200 GA \CONCRETE (SMALL WORKS)/8.3\SCHEDULED REINFORCEMENT ITEMS/8.3.2\High-Tensile Welded Mesh-Ref 943 /\ks11-002a-Concrete Drop Inlet on Dam Wall  \m²\82.1744 \ 20"/>
        <s v="SABS1200 GA \CONCRETE (SMALL WORKS)/8.3\SCHEDULED REINFORCEMENT ITEMS/8.3.2\High-Tensile Welded Mesh-Ref 943 /\ks11-004a-Concrete Drop Inlet on Dam Wall  \m²\82.1744 \ 20"/>
        <s v="SABS1200 GA \CONCRETE (SMALL WORKS)/8.3\SCHEDULED REINFORCEMENT ITEMS/8.3.2\High-Tensile Welded Mesh-Ref 617 /\KS12_002-Concrete Drop Inlet. Drawing NBC-GTW-CL-0002 \m²\38 \ 20"/>
        <s v="SABS1200 GA \CONCRETE (SMALL WORKS)/8.3\SCHEDULED REINFORCEMENT ITEMS/8.3.2\High-Tensile Welded Mesh-Ref 655 /\KS12_004-Concrete Drop Inlet. Drawing NBC-GTW-CL-0003 \m²\30.0464 \ 20"/>
        <s v="SABS1200 GA \CONCRETE (SMALL WORKS)/8.3\SCHEDULED REINFORCEMENT ITEMS/8.3.2\High-Tensile Welded Mesh-Ref 655 /\KS12_005-Concrete Drop Inlet. Drawing NBC-GTW-CL-0004 \m²\24.34752 \ 20"/>
        <s v="SABS1200 GA \CONCRETE (SMALL WORKS)/8.3\SCHEDULED REINFORCEMENT ITEMS/8.3.2\High-Tensile Welded Mesh-Ref 617 /\KS12_006-Concrete Drop Inlet. Drawing NBC-GTW-CL-0005 \m²\21.4668 \ 20"/>
        <s v="SABS1200 GA \CONCRETE (SMALL WORKS)/8.3\SCHEDULED REINFORCEMENT ITEMS/8.3.2\High-Tensile Welded Mesh-Ref 655 /\KS12_007-Concrete Drop Inlet. Drawing NBC-GTW-CL-0006 \m²\23.4144 \ 20"/>
        <s v="SABS1200 GA \CONCRETE (SMALL WORKS)/8.3\SCHEDULED REINFORCEMENT ITEMS/8.3.2\High-Tensile Welded Mesh-Ref 617 /\KS12_008-Concrete Drop Inlet. Drawing NBC-GTW-CL-0007 \m²\19.4568 \ 20"/>
        <s v="SABS1200 GA \CONCRETE (SMALL WORKS)/8.3\SCHEDULED REINFORCEMENT ITEMS/8.3.2\High-Tensile Welded Mesh-Ref 617 /\KS12_009-Concrete Drop Inlet. Drawing NBC-GTW-CL-0008 \m²\15.1152 \ 20"/>
        <s v="SABS1200 GA \CONCRETE (SMALL WORKS)/8.3\SCHEDULED REINFORCEMENT ITEMS/8.3.2\High-Tensile Welded Mesh-Ref 655 /\KS13_003-Concrete Drop Inlet. Drawing NBC-GTW-CL-0009 \m²\35.5224 \ 20"/>
        <s v="SABS1200 GA \CONCRETE (SMALL WORKS)/8.3\SCHEDULED REINFORCEMENT ITEMS/8.3.2\High-Tensile Welded Mesh-Ref 655 /\KS19_002-Concrete Drop Inlet. Drawing NBC-GTW-CL-0026 \m²\27.8256 \ 20"/>
        <s v="SABS1200 GA \CONCRETE (SMALL WORKS)/8.3\SCHEDULED REINFORCEMENT ITEMS/8.3.2\High-Tensile Welded Mesh-Ref 655 /\KS20_001-Concrete Drop Inlet. Drawing NBC-GTW-CL-0027 \m²\30.6176 \ 20"/>
        <s v="SABS1200 GA \CONCRETE (SMALL WORKS)/8.3\SCHEDULED REINFORCEMENT ITEMS/8.3.2\High-Tensile Welded Mesh-Ref 655 /\KS21_003-Concrete Drop Inlet. Drawing NBC-GTW-CL-0039 \m²\42.5784 \ 20"/>
        <s v="SABS1200 GA \CONCRETE (SMALL WORKS)/8,3\SCHEDULED REINFORCEMENT ITEMS/8.3.2\High-Tensile Welded Mesh-Ref 655 /\KS21_005-Concrete Drop Inlet. Drawing NBC-GTW-CL-0040 \m²\42,5784 \ 20"/>
        <s v="" u="1"/>
        <s v="SABS1200 GA \CONCRETE (SMALL WORKS)/8.3\SCHEDULED REINFORCEMENT ITEMS/8.3.2\High-Tensile Welded Mesh-Ref 655 /\KS13_003-Concrete Drop Inlet. Refer to drawing NBC-GTW-CL-0009 \m²\35.5224 \ 20" u="1"/>
        <s v="SABS1200 GA \CONCRETE (SMALL WORKS)/8.3\SCHEDULED REINFORCEMENT ITEMS/8.3.2\High-Tensile Welded Mesh-Ref 655 /\KS20_007-Concrete Drop Inlet. Refer to drawing NBC-GTW-CL-0033 \m²\40.8628 \ 20" u="1"/>
        <s v="SABS1200 GA  / Concrete (Small Works) / 8.3 / 8.3.2 / High-Tensile Welded Mesh-Ref 617 / KS12_008-Concrete Drop Inlet / 19.4568 / m²" u="1"/>
        <s v="SABS1200 GA \CONCRETE (SMALL WORKS)/8.3\SCHEDULED REINFORCEMENT ITEMS/8.3.2\High-Tensile Welded Mesh-Ref 772 /\KS20_002-Concrete Drop Inlet. Refer to drawing NBC-GTW-CL-0028 \m²\40.1376 \ 20" u="1"/>
        <s v="SABS1200 GA \CONCRETE (SMALL WORKS)/8.3\SCHEDULED REINFORCEMENT ITEMS/8.3.2\High-Tensile Welded Mesh-Ref 655 /\KS13_004-Concrete Drop Inlet. Drawing NBC-GTW-CL-0010 \m²\31.2052 \ 20" u="1"/>
        <s v="SABS1200 GA \Concrete (Small Works)/8.3\SCHEDULED REINFORCEMENT ITEMS/8.3.2\High-Tensile Welded Mesh-Ref 655 /\KS18_002-Concrete Drop Inlet. Refer to drawing T \m²\36.1224 \ 20" u="1"/>
        <s v="SABS1200 GA \Concrete (Small Works)/8.3\SCHEDULED REINFORCEMENT ITEMS/8.3.2\High-Tensile Welded Mesh-Ref 772 /\KS20_005-Concrete Drop Inlet \m²\53.3484 \ 20" u="1"/>
        <s v="SABS1200 GA \CONCRETE (SMALL WORKS)/8.3\SCHEDULED REINFORCEMENT ITEMS/8.3.2\High-Tensile Welded Mesh-Ref 655 /\KS13_005-Concrete Drop Inlet. Refer to drawing NBC-GTW-CL-0011 \m²\31.9992 \ 20" u="1"/>
        <s v="SABS1200 GA \CONCRETE (SMALL WORKS)/8.3\SCHEDULED REINFORCEMENT ITEMS/8.3.2\High-Tensile Welded Mesh-Ref 655 /\KS13_006-Concrete Drop Inlet. Refer to drawing NBC-GTW-CL-0012 \m²\31.9992 \ 20" u="1"/>
        <s v="SABS1200 GA  / Concrete (Small Works) / 8.3 / 8.3.2 / High-Tensile Welded Mesh-Ref 617 / KS12_006-Concrete Drop Inlet / 21.4668 / m²" u="1"/>
        <s v="SABS1200 GA \CONCRETE (SMALL WORKS)/8.3\SCHEDULED REINFORCEMENT ITEMS/8.3.2\High-Tensile Welded Mesh-Ref 655 /\KS20_009_a-Concrete Buttress Weir. Refer to drawing NBC-GTW-CL-0035 \m²\63.18832 \ 20" u="1"/>
        <s v="SABS1200 GA  / Concrete (Small Works) / 8.3 / 8.3.2 / High-Tensile Welded Mesh-Ref 772 / KS20_004-Concrete Drop Inlet / 42.5952 / m²" u="1"/>
        <s v="SABS1200 GA \Concrete (Small Works)/8.3\SCHEDULED REINFORCEMENT ITEMS/8.3.2\High-Tensile Welded Mesh-Ref 655 /\KS21_010-Concrete Drop Inlet. Refer to drawing AR \m²\26.568 \ 20" u="1"/>
        <s v="SABS1200 GA \Concrete (Small Works)/8.3\SCHEDULED REINFORCEMENT ITEMS/8.3.2\High-Tensile Welded Mesh-Ref 617 /\KS12_009-Concrete Drop Inlet \m²\15.1152 \ 20" u="1"/>
        <s v="SABS1200 GA \Concrete (Small Works)/8.3\SCHEDULED REINFORCEMENT ITEMS/8.3.2\High-Tensile Welded Mesh-Ref 655 /\KS12_004-Concrete Drop Inlet \m²\30.0464 \ 20" u="1"/>
        <s v="SABS1200 GA \CONCRETE (SMALL WORKS)/8.3\SCHEDULED REINFORCEMENT ITEMS/8.3.2\High-Tensile Welded Mesh-Ref 772 /\KS20_008-Concrete Drop Inlet. Drawing NBC-GTW-CL-0034 \m²\52.6336 \ 20" u="1"/>
        <s v="SABS1200 GA \CONCRETE (SMALL WORKS)/8.3\SCHEDULED REINFORCEMENT ITEMS/8.3.2\High-Tensile Welded Mesh-Ref 655 /\KS21_010-Concrete Drop Inlet. Refer to drawing NBC-GTW-CL-0044 \m²\26.568 \ 20" u="1"/>
        <s v="SABS1200 GA \Concrete (Small Works)/8.3\SCHEDULED REINFORCEMENT ITEMS/8.3.2\High-Tensile Welded Mesh-Ref 655 /\KS13_005-Concrete Drop Inlet \m²\31.9992 \ 20" u="1"/>
        <s v="SABS1200 GA \Concrete (Small Works)/8.3\SCHEDULED REINFORCEMENT ITEMS/8.3.2\High-Tensile Welded Mesh-Ref 655 /\KS13_006-Concrete Drop Inlet \m²\31.9992 \ 20" u="1"/>
        <s v="SABS1200 GA \Concrete (Small Works)/8.3\SCHEDULED REINFORCEMENT ITEMS/8.3.2\High-Tensile Welded Mesh-Ref 655 /\KS18_016-Concrete Drop Inlet \m²\29.5176 \ 20" u="1"/>
        <s v="SABS1200 GA \CONCRETE (SMALL WORKS)/8.3\SCHEDULED REINFORCEMENT ITEMS/8.3.2\High-Tensile Welded Mesh-Ref 655 /\KS13_012-Concrete Drop Inlet. Refer to drawing NBC-GTW-CL-0016 \m²\28.536 \ 20" u="1"/>
        <s v="SABS1200 GA \CONCRETE (SMALL WORKS)/8.3\SCHEDULED REINFORCEMENT ITEMS/8.3.2\High-Tensile Welded Mesh-Ref 617 /\KS12_008-Concrete Drop Inlet. Refer to drawing NBC-GTW-CL-0007 \m²\19.4568 \ 20" u="1"/>
        <s v="SABS1200 GA  / Concrete (Small Works) / 8.3 / 8.3.2 / High-Tensile Welded Mesh-Ref 655 / KS18_016-Concrete Drop Inlet / 29.5176 / m²" u="1"/>
        <s v="SABS1200 GA  / Concrete (Small Works) / 8.3 / 8.3.2 / High-Tensile Welded Mesh-Ref 655 / KS13_011-Concrete Drop Inlet / 42.2912 / m²" u="1"/>
        <s v="SABS1200 GA \CONCRETE (SMALL WORKS)/8.3\SCHEDULED REINFORCEMENT ITEMS/8.3.2\High-Tensile Welded Mesh-Ref 617 /\KS21_007-Concrete Drop Inlet. Drawing NBC-GTW-CL-0042 \m²\29.0048 \ 20" u="1"/>
        <s v="SABS1200 GA \CONCRETE (SMALL WORKS)/8.3\SCHEDULED REINFORCEMENT ITEMS/8.3.2\High-Tensile Welded Mesh-Ref 772 /\KS20_004-Concrete Drop Inlet. Refer to drawing NBC-GTW-CL-0030 \m²\42.5952 \ 20" u="1"/>
        <s v="SABS1200 GA  / Concrete (Small Works) / 8.3 / 8.3.2 / High-Tensile Welded Mesh-Ref 772 / KS20_003-Concrete Buttress Weir / 65.02272 / m²" u="1"/>
        <s v="SABS1200 GA  / Concrete (Small Works) / 8.3 / 8.3.2 / High-Tensile Welded Mesh-Ref 655 / KS18_019-Concrete Drop Inlet / 25.7472 / m²" u="1"/>
        <s v="SABS1200 GA \Concrete (Small Works)/8.3\SCHEDULED REINFORCEMENT ITEMS/8.3.2\High-Tensile Welded Mesh-Ref 655 /\KS21_009-Concrete Drop Inlet \m²\26.6976 \ 20" u="1"/>
        <s v="SABS1200 GA \Concrete (Small Works)/8.3\SCHEDULED REINFORCEMENT ITEMS/8.3.2\High-Tensile Welded Mesh-Ref 772 /\KS20_008-Concrete Drop Inlet. Refer to drawing AH \m²\52.6336 \ 20" u="1"/>
        <s v="SABS1200 GA \CONCRETE (SMALL WORKS)/8.3\SCHEDULED REINFORCEMENT ITEMS/8.3.2\High-Tensile Welded Mesh-Ref 772 /\KS20_005-Concrete Drop Inlet. Refer to drawing NBC-GTW-CL-0031 \m²\53.3484 \ 20" u="1"/>
        <s v="SABS1200 GA  / Concrete (Small Works) / 8.3 / 8.3.2 / High-Tensile Welded Mesh-Ref 772 / KS20_005-Concrete Drop Inlet / 53.3484 / m²" u="1"/>
        <s v="SABS1200 GA \CONCRETE (SMALL WORKS)/8.3\SCHEDULED REINFORCEMENT ITEMS/8.3.2\High-Tensile Welded Mesh-Ref 655 /\KS12_004-Concrete Drop Inlet. Refer to drawing NBC-GTW-CL-0003 \m²\30.0464 \ 20" u="1"/>
        <s v="SABS1200 GA \Concrete (Small Works)/8.3\SCHEDULED REINFORCEMENT ITEMS/8.3.2\High-Tensile Welded Mesh-Ref 655 /\KS20_001-Concrete Drop Inlet \m²\30.6176 \ 20" u="1"/>
        <s v="SABS1200 GA \Concrete (Small Works)/8.3\SCHEDULED REINFORCEMENT ITEMS/8.3.2\High-Tensile Welded Mesh-Ref 617 /\KS21_007-Concrete Drop Inlet. Refer to drawing AP \m²\29.0048 \ 20" u="1"/>
        <s v="SABS1200 GA \Concrete (Small Works)/8.3\SCHEDULED REINFORCEMENT ITEMS/8.3.2\High-Tensile Welded Mesh-Ref 655 /\KS21_003-Concrete Drop Inlet. Refer to drawing AM \m²\42.5784 \ 20" u="1"/>
        <s v="SABS1200 GA \Concrete (Small Works)/8.3\SCHEDULED REINFORCEMENT ITEMS/8.3.2\High-Tensile Welded Mesh-Ref 655 /\KS13_007-Concrete Drop Inlet \m²\29.0304 \ 20" u="1"/>
        <s v="SABS1200 GA \Concrete (Small Works)/8.3\SCHEDULED REINFORCEMENT ITEMS/8.3.2\High-Tensile Welded Mesh-Ref 655 /\KS18_018-Concrete Drop Inlet. Refer to drawing X \m²\25.8028 \ 20" u="1"/>
        <s v="SABS1200 GA  / Concrete (Small Works) / 8.3 / 8.3.2 / High-Tensile Welded Mesh-Ref 655 / KS18_002-Concrete Drop Inlet / 36.1224 / m²" u="1"/>
        <s v="SABS1200 GA \Concrete (Small Works)/8.3\SCHEDULED REINFORCEMENT ITEMS/8.3.2\High-Tensile Welded Mesh-Ref 655 /\KS20_002-Concrete Drop Inlet. Refer to drawing AB \m²\39.156 \ 20" u="1"/>
        <s v="SABS1200 GA \CONCRETE (SMALL WORKS)/8.3\SCHEDULED REINFORCEMENT ITEMS/8.3.2\High-Tensile Welded Mesh-Ref 655 /\KS18_017-Concrete Drop Inlet. Drawing NBC-GTW-CL-0023 \m²\29.116 \ 20" u="1"/>
        <s v="SABS1200 GA \Concrete (Small Works)/8.3\SCHEDULED REINFORCEMENT ITEMS/8.3.2\High-Tensile Welded Mesh-Ref 722 /\KS20_008-Concrete Drop Inlet \m²\52.6336 \ 20" u="1"/>
        <s v="SABS1200 GA \CONCRETE (SMALL WORKS)/8.3\SCHEDULED REINFORCEMENT ITEMS/8.3.2\High-Tensile Welded Mesh-Ref 655 /\KS12_005-Concrete Drop Inlet. Refer to drawing NBC-GTW-CL-0004 \m²\24.34752 \ 20" u="1"/>
        <s v="SABS1200 GA \CONCRETE (SMALL WORKS)/8.3\SCHEDULED REINFORCEMENT ITEMS/8.3.2\High-Tensile Welded Mesh-Ref 655 /\KS13_008-Concrete Drop Inlet. Drawing NBC-GTW-CL-0014 \m²\38.3616 \ 20" u="1"/>
        <s v="SABS1200 GA \CONCRETE (SMALL WORKS)/8.3\SCHEDULED REINFORCEMENT ITEMS/8.3.2\High-Tensile Welded Mesh-Ref 655 /\KS13_011-Concrete Drop Inlet. Refer to drawing NBC-GTW-CL-0015 \m²\42.2912 \ 20" u="1"/>
        <s v="SABS1200 GA \Concrete (Small Works)/8.3\SCHEDULED REINFORCEMENT ITEMS/8.3.2\High-Tensile Welded Mesh-Ref 772 /\KS20_004-Concrete Drop Inlet \m²\42.5952 \ 20" u="1"/>
        <s v="SABS1200 GA \Concrete (Small Works)/8.3\SCHEDULED REINFORCEMENT ITEMS/8.3.2\High-Tensile Welded Mesh-Ref 617 /\KS12_006-Concrete Drop Inlet. Refer to drawing E \m²\21.4668 \ 20" u="1"/>
        <s v="SABS1200 GA \CONCRETE (SMALL WORKS)/8.3\SCHEDULED REINFORCEMENT ITEMS/8.3.2\High-Tensile Welded Mesh-Ref 655 /\KS21_003-Concrete Drop Inlet. Refer to drawing NBC-GTW-CL-0039 \m²\42.5784 \ 20" u="1"/>
        <s v="SABS1200 GA \Concrete (Small Works)/8.3\SCHEDULED REINFORCEMENT ITEMS/8.3.2\High-Tensile Welded Mesh-Ref 722 /\KS18_015-Concrete Drop Inlet \m²\36.7488 \ 20" u="1"/>
        <s v="SABS1200 GA \Concrete (Small Works)/8.3\SCHEDULED REINFORCEMENT ITEMS/8.3.2\High-Tensile Welded Mesh-Ref 655 /\KS18_018-Concrete Drop Inlet \m²\25.8028 \ 20" u="1"/>
        <s v="SABS1200 GA \CONCRETE (SMALL WORKS)/8.3\SCHEDULED REINFORCEMENT ITEMS/8.3.2\High-Tensile Welded Mesh-Ref 655 /\KS12_007-Concrete Drop Inlet. Refer to drawing NBC-GTW-CL-0006 \m²\23.4144 \ 20" u="1"/>
        <s v="SABS1200 GA \Concrete (Small Works)/8.3\SCHEDULED REINFORCEMENT ITEMS/8.3.2\High-Tensile Welded Mesh-Ref 655 /\KS12_007-Concrete Drop Inlet. Refer to drawing F \m²\23.4144 \ 20" u="1"/>
        <s v="SABS1200 GA \CONCRETE (SMALL WORKS)/8.3\SCHEDULED REINFORCEMENT ITEMS/8.3.2\High-Tensile Welded Mesh-Ref 655 /\KS20_009_a-Concrete Buttress Weir. Drawing NBC-GTW-CL-0035 \m²\63.18832 \ 20" u="1"/>
        <s v="SABS1200 GA \Concrete (Small Works)/8.3\SCHEDULED REINFORCEMENT ITEMS/8.3.2\High-Tensile Welded Mesh-Ref 655 /\KS21_003-Concrete Drop Inlet \m²\42.5784 \ 20" u="1"/>
        <s v="SABS1200 GA \CONCRETE (SMALL WORKS)/8.3\SCHEDULED REINFORCEMENT ITEMS/8.3.2\High-Tensile Welded Mesh-Ref 655 /\KS21_009-Concrete Drop Inlet. Refer to drawing NBC-GTW-CL-0043 \m²\26.6976 \ 20" u="1"/>
        <s v="SABS1200 GA \Concrete (Small Works)/8.3\SCHEDULED REINFORCEMENT ITEMS/8.3.2\High-Tensile Welded Mesh-Ref 655 /\KS20_009_a-Concrete Drop Inlet \m²\63.18832 \ 20" u="1"/>
        <s v="SABS1200 GA \CONCRETE (SMALL WORKS)/8.3\SCHEDULED REINFORCEMENT ITEMS/8.3.2\High-Tensile Welded Mesh-Ref 193 /\KS20_009_b-Concrete Overflow Wall. Refer to drawing  \m²\10 \ 20" u="1"/>
        <s v="SABS1200 GA \Concrete (Small Works)/8.3\SCHEDULED REINFORCEMENT ITEMS/8.3.2\High-Tensile Welded Mesh-Ref 655 /\KS12_007-Concrete Drop Inlet \m²\23.4144 \ 20" u="1"/>
        <s v="SABS1200 GA  / Concrete (Small Works) / 8.3 / 8.3.2 / High-Tensile Welded Mesh-Ref 617 / KS12_009-Concrete Drop Inlet / 15.1152 / m²" u="1"/>
        <s v="SABS1200 GA \Concrete (Small Works)/8.3\SCHEDULED REINFORCEMENT ITEMS/8.3.2\High-Tensile Welded Mesh-Ref 772 /\KS20_005-Concrete Drop Inlet. Refer to drawing AE \m²\53.3484 \ 20" u="1"/>
        <s v="SABS1200 GA \Concrete (Small Works)/8.3\SCHEDULED REINFORCEMENT ITEMS/8.3.2\High-Tensile Welded Mesh-Ref 655 /\KS18_019-Concrete Drop Inlet \m²\25.7472 \ 20" u="1"/>
        <s v="SABS1200 GA \CONCRETE (SMALL WORKS)/8.3\SCHEDULED REINFORCEMENT ITEMS/8.3.2\High-Tensile Welded Mesh-Ref 772 /\KS20_008-Concrete Drop Inlet. Refer to drawing NBC-GTW-CL-0034 \m²\52.6336 \ 20" u="1"/>
        <s v="SABS1200 GA \Concrete (Small Works)/8.3\SCHEDULED REINFORCEMENT ITEMS/8.3.2\High-Tensile Welded Mesh-Ref 617 /\KS12_008-Concrete Drop Inlet. Refer to drawing G \m²\19.4568 \ 20" u="1"/>
        <s v="SABS1200 GA  / Concrete (Small Works) / 8.3 / 8.3.2 / High-Tensile Welded Mesh-Ref 655 / KS13_008-Concrete Drop Inlet / 38.3616 / m²" u="1"/>
        <s v="SABS1200 GA \Concrete (Small Works)/8.3\SCHEDULED REINFORCEMENT ITEMS/8.3.2\High-Tensile Welded Mesh-Ref 655 /\KS18_017-Concrete Drop Inlet. Refer to drawing W \m²\29.116 \ 20" u="1"/>
        <s v="SABS1200 GA \Concrete (Small Works)/8.3\SCHEDULED REINFORCEMENT ITEMS/8.3.2\High-Tensile Welded Mesh-Ref 655 /\KS13_008-Concrete Drop Inlet \m²\38.3616 \ 20" u="1"/>
        <s v="SABS1200 GA \Concrete (Small Works)/8.3\SCHEDULED REINFORCEMENT ITEMS/8.3.2\High-Tensile Welded Mesh-Ref 617 /\KS21_006-Concrete Drop Inlet \m²\35.1436 \ 20" u="1"/>
        <s v="SABS1200 GA \Concrete (Small Works)/8.3\SCHEDULED REINFORCEMENT ITEMS/8.3.2\High-Tensile Welded Mesh-Ref 655 /\KS13_005-Concrete Drop Inlet. Refer to drawing K \m²\31.9992 \ 20" u="1"/>
        <s v="SABS1200 GA \Concrete (Small Works)/8.3\SCHEDULED REINFORCEMENT ITEMS/8.3.2\High-Tensile Welded Mesh-Ref 655 /\KS13_006-Concrete Drop Inlet. Refer to drawing L \m²\31.9992 \ 20" u="1"/>
        <s v="SABS1200 GA  / Concrete (Small Works) / 8.3 / 8.3.2 / High-Tensile Welded Mesh-Ref 655 / KS18_017-Concrete Drop Inlet / 29.116 / m²" u="1"/>
        <s v="SABS1200 GA \CONCRETE (SMALL WORKS)/8.3\SCHEDULED REINFORCEMENT ITEMS/8.3.2\High-Tensile Welded Mesh-Ref 655 /\KS13_008-Concrete Drop Inlet. Refer to drawing NBC-GTW-CL-0014 \m²\38.3616 \ 20" u="1"/>
        <s v="SABS1200 GA \Concrete (Small Works)/8.3\SCHEDULED REINFORCEMENT ITEMS/8.3.2\High-Tensile Welded Mesh-Ref 655 /\KS20_007-Concrete Drop Inlet. Refer to drawing AG \m²\40.8628 \ 20" u="1"/>
        <s v="SABS1200 GA \Concrete (Small Works)/8.3\SCHEDULED REINFORCEMENT ITEMS/8.3.2\High-Tensile Welded Mesh-Ref 772 /\KS20_006-Concrete Drop Inlet. Refer to drawing AF \m²\48.3894 \ 20" u="1"/>
        <s v="SABS1200 GA \Concrete (Small Works)/8.3\SCHEDULED REINFORCEMENT ITEMS/8.3.2\High-Tensile Welded Mesh-Ref 655 /\KS13_011-Concrete Drop Inlet \m²\42.2912 \ 20" u="1"/>
        <s v="SABS1200 GA \CONCRETE (SMALL WORKS)/8.3\SCHEDULED REINFORCEMENT ITEMS/8.3.2\High-Tensile Welded Mesh-Ref 655 /\KS20_002-Concrete Drop Inlet. Refer to drawing NBC-GTW-CL-0028 \m²\39.156 \ 20" u="1"/>
        <s v="SABS1200 GA \Concrete (Small Works)/8.3\SCHEDULED REINFORCEMENT ITEMS/8.3.2\High-Tensile Welded Mesh-Ref 772 /\KS20_003-Concrete Buttress Weir. Refer to drawing AC \m²\65.02272 \ 20" u="1"/>
        <s v="SABS1200 GA  / Concrete (Small Works) / 8.3 / 8.3.2 / High-Tensile Welded Mesh-Ref 655 / KS13_005-Concrete Drop Inlet / 31.9992 / m²" u="1"/>
        <s v="SABS1200 GA  / Concrete (Small Works) / 8.3 / 8.3.2 / High-Tensile Welded Mesh-Ref 655 / KS13_006-Concrete Drop Inlet / 31.9992 / m²" u="1"/>
        <s v="SABS1200 GA \Concrete (Small Works)/8.3\SCHEDULED REINFORCEMENT ITEMS/8.3.2\High-Tensile Welded Mesh-Ref 772 /\KS20_004-Concrete Drop Inlet. Refer to drawing AD \m²\42.5952 \ 20" u="1"/>
        <s v="SABS1200 GA \Concrete (Small Works)/8.3\SCHEDULED REINFORCEMENT ITEMS/8.3.2\High-Tensile Welded Mesh-Ref 655 /\KS13_004-Concrete Drop Inlet. Refer to drawing J \m²\31.2052 \ 20" u="1"/>
        <s v="SABS1200 GA \CONCRETE (SMALL WORKS)/8.3\SCHEDULED REINFORCEMENT ITEMS/8.3.2\High-Tensile Welded Mesh-Ref 655 /\KS13_011-Concrete Drop Inlet. Drawing NBC-GTW-CL-0015 \m²\33 \ 20" u="1"/>
        <s v="SABS1200 GA \CONCRETE (SMALL WORKS)/8.3\SCHEDULED REINFORCEMENT ITEMS/8.3.2\High-Tensile Welded Mesh-Ref 772 /\KS18_015-Concrete Drop Inlet. Refer to drawing NBC-GTW-CL-0021 \m²\36.7488 \ 20" u="1"/>
        <s v="SABS1200 GA \CONCRETE (SMALL WORKS)/8.3\SCHEDULED REINFORCEMENT ITEMS/8.3.2\High-Tensile Welded Mesh-Ref 772 /\KS20_005-Concrete Drop Inlet. Drawing NBC-GTW-CL-0031 \m²\53.3484 \ 20" u="1"/>
        <s v="SABS1200 GA  / Concrete (Small Works) / 8.3 / 8.3.2 / High-Tensile Welded Mesh-Ref 655 / KS13_007-Concrete Drop Inlet / 29.0304 / m²" u="1"/>
        <s v="SABS1200 GA \CONCRETE (SMALL WORKS)/8.3\SCHEDULED REINFORCEMENT ITEMS/8.3.2\High-Tensile Welded Mesh-Ref 655 /\KS20_009_a-Concrete Drop Inlet. Refer to drawing NBC-GTW-CL-0035 \m²\63.18832 \ 20" u="1"/>
        <s v="SABS1200 GA \CONCRETE (SMALL WORKS)/8.3\SCHEDULED REINFORCEMENT ITEMS/8.3.2\High-Tensile Welded Mesh-Ref 772 /\KS20_003-Concrete Buttress Weir. Refer to drawing NBC-GTW-CL-0029 \m²\65.02272 \ 20" u="1"/>
        <s v="SABS1200 GA  / Concrete (Small Works) / 8.3 / 8.3.2 / High-Tensile Welded Mesh-Ref 655 / KS21_010-Concrete Drop Inlet / 26.568 / m²" u="1"/>
        <s v="SABS1200 GA  / Concrete (Small Works) / 8.3 / 8.3.2 / High-Tensile Welded Mesh-Ref 655 / KS20_002-Concrete Drop Inlet / 39.156 / m²" u="1"/>
        <s v="SABS1200 GA \Concrete (Small Works)/8.3\SCHEDULED REINFORCEMENT ITEMS/8.3.2\High-Tensile Welded Mesh-Ref 655 /\KS20_001-Concrete Drop Inlet. Refer to drawing AA \m²\30.6176 \ 20" u="1"/>
        <s v="SABS1200 GA \Concrete (Small Works)/8.3\SCHEDULED REINFORCEMENT ITEMS/8.3.2\High-Tensile Welded Mesh-Ref 772 /\KS20_006-Concrete Drop Inlet \m²\48.3894 \ 20" u="1"/>
        <s v="SABS1200 GA \Concrete (Small Works)/8.3\SCHEDULED REINFORCEMENT ITEMS/8.3.2\High-Tensile Welded Mesh-Ref 655 /\KS20_007-Concrete Drop Inlet \m²\40.8628 \ 20" u="1"/>
        <s v="SABS1200 GA \Concrete (Small Works)/8.3\SCHEDULED REINFORCEMENT ITEMS/8.3.2\High-Tensile Welded Mesh-Ref 655 /\KS12_005-Concrete Drop Inlet. Refer to drawing D \m²\24.34752 \ 20" u="1"/>
        <s v="SABS1200 GA \Concrete (Small Works)/8.3\SCHEDULED REINFORCEMENT ITEMS/8.3.2\High-Tensile Welded Mesh-Ref 655 /\KS20_002-Concrete Drop Inlet \m²\39.156 \ 20" u="1"/>
        <s v="SABS1200 GA \Concrete (Small Works)/8.3\SCHEDULED REINFORCEMENT ITEMS/8.3.2\High-Tensile Welded Mesh-Ref 655 /\KS21_009-Concrete Drop Inlet. Refer to drawing AQ \m²\26.6976 \ 20" u="1"/>
        <s v="SABS1200 GA \CONCRETE (SMALL WORKS)/8.3\SCHEDULED REINFORCEMENT ITEMS/8.3.2\High-Tensile Welded Mesh-Ref 655 /\KS13_007-Concrete Drop Inlet. Drawing NBC-GTW-CL-0013 \m²\29.0304 \ 20" u="1"/>
        <s v="SABS1200 GA \Concrete (Small Works)/8.3\SCHEDULED REINFORCEMENT ITEMS/8.3.2\High-Tensile Welded Mesh-Ref 772 /\KS18_015-Concrete Drop Inlet. Refer to drawing U \m²\36.7488 \ 20" u="1"/>
        <s v="SABS1200 GA \Concrete (Small Works)/8.3\SCHEDULED REINFORCEMENT ITEMS/8.3.2\High-Tensile Welded Mesh-Ref 655 /\KS13_013-Concrete Drop Inlet. Refer to drawing Q \m²\34.1712 \ 20" u="1"/>
        <s v="SABS1200 GA \Concrete (Small Works)/8.3\SCHEDULED REINFORCEMENT ITEMS/8.3.2\High-Tensile Welded Mesh-Ref 655 /\KS13_015-Concrete Drop Inlet. Refer to drawing R \m²\34.1712 \ 20" u="1"/>
        <s v="SABS1200 GA \Concrete (Small Works)/8.3\SCHEDULED REINFORCEMENT ITEMS/8.3.2\High-Tensile Welded Mesh-Ref 617 /\KS21_006-Concrete Drop Inlet. Refer to drawing AO \m²\35.1436 \ 20" u="1"/>
        <s v="SABS1200 GA \Concrete (Small Works)/8.3\SCHEDULED REINFORCEMENT ITEMS/8.3.2\High-Tensile Welded Mesh-Ref 655 /\KS21_005-Concrete Drop Inlet. Refer to drawing AN \m²\34.1398 \ 20" u="1"/>
        <s v="SABS1200 GA  / Concrete (Small Works) / 8.3 / 8.3.2 / High-Tensile Welded Mesh-Ref 655 / KS20_001-Concrete Drop Inlet / 30.6176 / m²" u="1"/>
        <s v="SABS1200 GA \CONCRETE (SMALL WORKS)/8.3\SCHEDULED REINFORCEMENT ITEMS/8.3.2\High-Tensile Welded Mesh-Ref 772 /\KS20_002-Concrete Drop Inlet. Drawing NBC-GTW-CL-0028 \m²\40.1376 \ 20" u="1"/>
        <s v="SABS1200 GA \Concrete (Small Works)/8.3\SCHEDULED REINFORCEMENT ITEMS/8.3.2\High-Tensile Welded Mesh-Ref 655 /\KS21_005-Concrete Drop Inlet \m²\34.1398 \ 20" u="1"/>
        <s v="SABS1200 GA  / Concrete (Small Works) / 8.3 / 8.3.2 / High-Tensile Welded Mesh-Ref 722 / KS18_001-Concrete Drop Inlet / 60.4352 / m²" u="1"/>
        <s v="SABS1200 GA \Concrete (Small Works)/8.3\SCHEDULED REINFORCEMENT ITEMS/8.3.2\High-Tensile Welded Mesh-Ref 655 /\KS12_004-Concrete Drop Inlet. Refer to drawing C \m²\30.0464 \ 20" u="1"/>
        <s v="SABS1200 GA \Concrete (Small Works)/8.3\SCHEDULED REINFORCEMENT ITEMS/8.3.2\High-Tensile Welded Mesh-Ref 655 /\KS13_003-Concrete Drop Inlet. Refer to drawing I \m²\35.5224 \ 20" u="1"/>
        <s v="SABS1200 GA \CONCRETE (SMALL WORKS)/8.3\SCHEDULED REINFORCEMENT ITEMS/8.3.2\High-Tensile Welded Mesh-Ref 617 /\KS12_009-Concrete Drop Inlet. Refer to drawing NBC-GTW-CL-0008 \m²\15.1152 \ 20" u="1"/>
        <s v="SABS1200 GA \CONCRETE (SMALL WORKS)/8.3\SCHEDULED REINFORCEMENT ITEMS/8.3.2\High-Tensile Welded Mesh-Ref 655 /\KS13_013-Concrete Drop Inlet. Drawing NBC-GTW-CL-0017 \m²\34.1712 \ 20" u="1"/>
        <s v="SABS1200 GA \CONCRETE (SMALL WORKS)/8.3\SCHEDULED REINFORCEMENT ITEMS/8.3.2\High-Tensile Welded Mesh-Ref 655 /\KS13_015-Concrete Drop Inlet. Drawing NBC-GTW-CL-0018 \m²\34.1712 \ 20" u="1"/>
        <s v="SABS1200 GA \Concrete (Small Works)/8.3\SCHEDULED REINFORCEMENT ITEMS/8.3.2\High-Tensile Welded Mesh-Ref 772 /\KS20_003-Concrete Buttress Weir \m²\65.02272 \ 20" u="1"/>
        <s v="SABS1200 GA \CONCRETE (SMALL WORKS)/8.3\SCHEDULED REINFORCEMENT ITEMS/8.3.2\High-Tensile Welded Mesh-Ref 655 /\KS21_005-Concrete Drop Inlet. Refer to drawing NBC-GTW-CL-0040 \m²\34.1398 \ 20" u="1"/>
        <s v="SABS1200 GA  / Concrete (Small Works) / 8.3 / 8.3.2 / High-Tensile Welded Mesh-Ref 655 / KS12_004-Concrete Drop Inlet / 30.0464 / m²" u="1"/>
        <s v="SABS1200 GA  / Concrete (Small Works) / 8.3 / 8.3.2 / High-Tensile Welded Mesh-Ref 655 / KS20_009_a-Concrete Drop Inlet / 63.18832 / m²" u="1"/>
        <s v="SABS1200 GA \CONCRETE (SMALL WORKS)/8.3\SCHEDULED REINFORCEMENT ITEMS/8.3.2\High-Tensile Welded Mesh-Ref 655 /\KS18_018-Concrete Drop Inlet. Drawing NBC-GTW-CL-0024 \m²\25.8028 \ 20" u="1"/>
        <s v="SABS1200 GA \CONCRETE (SMALL WORKS)/8.3\SCHEDULED REINFORCEMENT ITEMS/8.3.2\High-Tensile Welded Mesh-Ref 655 /\KS19_002-Concrete Drop Inlet. Refer to drawing NBC-GTW-CL-0026 \m²\27.8256 \ 20" u="1"/>
        <s v="SABS1200 GA \Concrete (Small Works)/8.3\SCHEDULED REINFORCEMENT ITEMS/8.3.2\High-Tensile Welded Mesh-Ref 655 /\KS12_005-Concrete Drop Inlet \m²\24.34752 \ 20" u="1"/>
        <s v="SABS1200 GA  / Concrete (Small Works) / 8.3 / 8.3.2 / High-Tensile Welded Mesh-Ref 722 / KS18_015-Concrete Drop Inlet / 36.7488 / m²" u="1"/>
        <s v="SABS1200 GA \Concrete (Small Works)/8.3\SCHEDULED REINFORCEMENT ITEMS/8.3.2\High-Tensile Welded Mesh-Ref 655 /\KS13_007-Concrete Drop Inlet. Refer to drawing M \m²\29.0304 \ 20" u="1"/>
        <s v="SABS1200 GA \CONCRETE (SMALL WORKS)/8.3\SCHEDULED REINFORCEMENT ITEMS/8.3.2\High-Tensile Welded Mesh-Ref 655 /\KS13_012-Concrete Drop Inlet. Drawing NBC-GTW-CL-0016 \m²\28.536 \ 20" u="1"/>
        <s v="SABS1200 GA \Concrete (Small Works)/8.3\SCHEDULED REINFORCEMENT ITEMS/8.3.2\High-Tensile Welded Mesh-Ref 655 /\KS13_013-Concrete Drop Inlet \m²\34.1712 \ 20" u="1"/>
        <s v="SABS1200 GA \Concrete (Small Works)/8.3\SCHEDULED REINFORCEMENT ITEMS/8.3.2\High-Tensile Welded Mesh-Ref 655 /\KS13_015-Concrete Drop Inlet \m²\34.1712 \ 20" u="1"/>
        <s v="SABS1200 GA \CONCRETE (SMALL WORKS)/8.3\SCHEDULED REINFORCEMENT ITEMS/8.3.2\High-Tensile Welded Mesh-Ref 655 /\KS20_007-Concrete Drop Inlet. Drawing NBC-GTW-CL-0033 \m²\40.8628 \ 20" u="1"/>
        <s v="SABS1200 GA \CONCRETE (SMALL WORKS)/8.3\SCHEDULED REINFORCEMENT ITEMS/8.3.2\High-Tensile Welded Mesh-Ref 772 /\KS20_006-Concrete Drop Inlet. Drawing NBC-GTW-CL-0032 \m²\48.3894 \ 20" u="1"/>
        <s v="SABS1200 GA \CONCRETE (SMALL WORKS)/8.3\SCHEDULED REINFORCEMENT ITEMS/8.3.2\High-Tensile Welded Mesh-Ref 772 /\KS20_003-Concrete Buttress Weir. Drawing NBC-GTW-CL-0029 \m²\65.02272 \ 20" u="1"/>
        <s v="SABS1200 GA \Concrete (Small Works)/8.3\SCHEDULED REINFORCEMENT ITEMS/8.3.2\High-Tensile Welded Mesh-Ref 617 /\KS12_008-Concrete Drop Inlet \m²\19.4568 \ 20" u="1"/>
        <s v="SABS1200 GA \CONCRETE (SMALL WORKS)/8.3\SCHEDULED REINFORCEMENT ITEMS/8.3.2\High-Tensile Welded Mesh-Ref 395 /\KS20_009_b-Concrete Overflow Wall. Refer to drawing NBC-GTW-CL-0035 \m²\9 \ 20" u="1"/>
        <s v="SABS1200 GA \Concrete (Small Works)/8.3\SCHEDULED REINFORCEMENT ITEMS/8.3.2\High-Tensile Welded Mesh-Ref 655 /\KS13_012-Concrete Drop Inlet. Refer to drawing P \m²\28.536 \ 20" u="1"/>
        <s v="SABS1200 GA \CONCRETE (SMALL WORKS)/8.3\SCHEDULED REINFORCEMENT ITEMS/8.3.2\High-Tensile Welded Mesh-Ref 772 /\KS20_004-Concrete Drop Inlet. Drawing NBC-GTW-CL-0030 \m²\42.5952 \ 20" u="1"/>
        <s v="SABS1200 GA \CONCRETE (SMALL WORKS)/8.3\SCHEDULED REINFORCEMENT ITEMS/8.3.2\High-Tensile Welded Mesh-Ref 655 /\KS18_017-Concrete Drop Inlet. Refer to drawing NBC-GTW-CL-0023 \m²\29.116 \ 20" u="1"/>
        <s v="SABS1200 GA \CONCRETE (SMALL WORKS)/8.3\SCHEDULED REINFORCEMENT ITEMS/8.3.2\High-Tensile Welded Mesh-Ref 655 /\KS18_019-Concrete Drop Inlet. Refer to drawing NBC-GTW-CL-0025 \m²\25.7472 \ 20" u="1"/>
        <s v="SABS1200 GA \CONCRETE (SMALL WORKS)/8.3\SCHEDULED REINFORCEMENT ITEMS/8.3.2\High-Tensile Welded Mesh-Ref 655 /\KS18_019-Concrete Drop Inlet. Drawing NBC-GTW-CL-0025 \m²\25.7472 \ 20" u="1"/>
        <s v="SABS1200 GA \Concrete (Small Works)/8.3\SCHEDULED REINFORCEMENT ITEMS/8.3.2\High-Tensile Welded Mesh-Ref 655 /\KS13_008-Concrete Drop Inlet. Refer to drawing N \m²\38.3616 \ 20" u="1"/>
        <s v="SABS1200 GA \CONCRETE (SMALL WORKS)/8.3\SCHEDULED REINFORCEMENT ITEMS/8.3.2\High-Tensile Welded Mesh-Ref 617 /\KS21_007-Concrete Drop Inlet. Refer to drawing NBC-GTW-CL-0042 \m²\29.0048 \ 20" u="1"/>
        <s v="SABS1200 GA  / Concrete (Small Works) / 8.3 / 8.3.2 / High-Tensile Welded Mesh-Ref 655 / KS13_004-Concrete Drop Inlet / 31.2052 / m²" u="1"/>
        <s v="SABS1200 GA \Concrete (Small Works)/8.3\SCHEDULED REINFORCEMENT ITEMS/8.3.2\High-Tensile Welded Mesh-Ref 655 /\KS18_002-Concrete Drop Inlet \m²\36.1224 \ 20" u="1"/>
        <s v="SABS1200 GA  / Concrete (Small Works) / 8.3 / 8.3.2 / High-Tensile Welded Mesh-Ref 655 / KS13_013-Concrete Drop Inlet / 34.1712 / m²" u="1"/>
        <s v="SABS1200 GA  / Concrete (Small Works) / 8.3 / 8.3.2 / High-Tensile Welded Mesh-Ref 655 / KS13_015-Concrete Drop Inlet / 34.1712 / m²" u="1"/>
        <s v="SABS1200 GA \CONCRETE (SMALL WORKS)/8.3\SCHEDULED REINFORCEMENT ITEMS/8.3.2\High-Tensile Welded Mesh-Ref 655 /\KS18_002-Concrete Drop Inlet. Drawing NBC-GTW-CL-0020 \m²\36.1224 \ 20" u="1"/>
        <s v="SABS1200 GA \CONCRETE (SMALL WORKS)/8.3\SCHEDULED REINFORCEMENT ITEMS/8.3.2\High-Tensile Welded Mesh-Ref 655 /\KS13_007-Concrete Drop Inlet. Refer to drawing NBC-GTW-CL-0013 \m²\29.0304 \ 20" u="1"/>
        <s v="SABS1200 GA  / Concrete (Small Works) / 8.3 / 8.3.2 / High-Tensile Welded Mesh-Ref 655 / KS21_009-Concrete Drop Inlet / 26.6976 / m²" u="1"/>
        <s v="SABS1200 GA \CONCRETE (SMALL WORKS)/8.3\SCHEDULED REINFORCEMENT ITEMS/8.3.2\High-Tensile Welded Mesh-Ref 655 /\KS18_020-Concrete Drop Inlet associated with Road Culvert  \m²\33.7212 \ 20" u="1"/>
        <s v="SABS1200 GA \Concrete (Small Works)/8.3\SCHEDULED REINFORCEMENT ITEMS/8.3.2\High-Tensile Welded Mesh-Ref 655 /\KS13_011-Concrete Drop Inlet. Refer to drawing O \m²\42.2912 \ 20" u="1"/>
        <s v="SABS1200 GA  / Concrete (Small Works) / 8.3 / 8.3.2 / High-Tensile Welded Mesh-Ref 655 / KS12_007-Concrete Drop Inlet / 23.4144 / m²" u="1"/>
        <s v="SABS1200 GA \CONCRETE (SMALL WORKS)/8.3\SCHEDULED REINFORCEMENT ITEMS/8.3.2\High-Tensile Welded Mesh-Ref 655 /\KS13_005-Concrete Drop Inlet. Drawing NBC-GTW-CL-0011 \m²\31.9992 \ 20" u="1"/>
        <s v="SABS1200 GA \CONCRETE (SMALL WORKS)/8.3\SCHEDULED REINFORCEMENT ITEMS/8.3.2\High-Tensile Welded Mesh-Ref 655 /\KS13_006-Concrete Drop Inlet. Drawing NBC-GTW-CL-0012 \m²\31.9992 \ 20" u="1"/>
        <s v="SABS1200 GA \Concrete (Small Works)/8.3\SCHEDULED REINFORCEMENT ITEMS/8.3.2\High-Tensile Welded Mesh-Ref 655 /\KS13_004-Concrete Drop Inlet \m²\31.2052 \ 20" u="1"/>
        <s v="SABS1200 GA \Concrete (Small Works)/8.3\SCHEDULED REINFORCEMENT ITEMS/8.3.2\High-Tensile Welded Mesh-Ref 617 /\KS21_007-Concrete Drop Inlet \m²\29.0048 \ 20" u="1"/>
        <s v="SABS1200 GA \CONCRETE (SMALL WORKS)/8.3\SCHEDULED REINFORCEMENT ITEMS/8.3.2\High-Tensile Welded Mesh-Ref 655 /\KS18_016-Concrete Drop Inlet. Refer to drawing NBC-GTW-CL-0022 \m²\29.5176 \ 20" u="1"/>
        <s v="SABS1200 GA \Concrete (Small Works)/8.3\SCHEDULED REINFORCEMENT ITEMS/8.3.2\High-Tensile Welded Mesh-Ref 655 /\KS19_002-Concrete Drop Inlet \m²\27.8256 \ 20" u="1"/>
        <s v="SABS1200 GA \CONCRETE (SMALL WORKS)/8.3\SCHEDULED REINFORCEMENT ITEMS/8.3.2\High-Tensile Welded Mesh-Ref 772 /\KS18_001-Concrete Drop Inlet. Drawing NBC-GTW-CL-0019 \m²\60.4352 \ 20" u="1"/>
        <s v="SABS1200 GA \CONCRETE (SMALL WORKS)/8.3\SCHEDULED REINFORCEMENT ITEMS/8.3.2\High-Tensile Welded Mesh-Ref 655 /\KS20_001-Concrete Drop Inlet. Refer to drawing NBC-GTW-CL-0027 \m²\30.6176 \ 20" u="1"/>
        <s v="SABS1200 GA  / Concrete (Small Works) / 8.3 / 8.3.2 / High-Tensile Welded Mesh-Ref 655 / KS13_003-Concrete Drop Inlet / 35.5224 / m²" u="1"/>
        <s v="SABS1200 GA \CONCRETE (SMALL WORKS)/8.3\SCHEDULED REINFORCEMENT ITEMS/8.3.2\High-Tensile Welded Mesh-Ref 772 /\KS18_015-Concrete Drop Inlet. Drawing NBC-GTW-CL-0021 \m²\36.7488 \ 20" u="1"/>
        <s v="SABS1200 GA  / Concrete (Small Works) / 8.3 / 8.3.2 / High-Tensile Welded Mesh-Ref 655 / KS18_018-Concrete Drop Inlet / 25.8028 / m²" u="1"/>
        <s v="SABS1200 GA \CONCRETE (SMALL WORKS)/8.3\SCHEDULED REINFORCEMENT ITEMS/8.3.2\High-Tensile Welded Mesh-Ref 617 /\KS12_006-Concrete Drop Inlet. Refer to drawing NBC-GTW-CL-0005 \m²\21.4668 \ 20" u="1"/>
        <s v="SABS1200 GA \Concrete (Small Works)/8.3\SCHEDULED REINFORCEMENT ITEMS/8.3.2\High-Tensile Welded Mesh-Ref 655 /\KS18_016-Concrete Drop Inlet. Refer to drawing V \m²\29.5176 \ 20" u="1"/>
        <s v="SABS1200 GA \CONCRETE (SMALL WORKS)/8.3\SCHEDULED REINFORCEMENT ITEMS/8.3.2\High-Tensile Welded Mesh-Ref 655 /\KS21_009-Concrete Drop Inlet. Drawing NBC-GTW-CL-0043 \m²\26.6976 \ 20" u="1"/>
        <s v="SABS1200 GA  / Concrete (Small Works) / 8.3 / 8.3.2 / High-Tensile Welded Mesh-Ref 722 / KS20_008-Concrete Drop Inlet / 52.6336 / m²" u="1"/>
        <s v="SABS1200 GA \CONCRETE (SMALL WORKS)/8.3\SCHEDULED REINFORCEMENT ITEMS/8.3.2\High-Tensile Welded Mesh-Ref 655 /\KS13_013-Concrete Drop Inlet. Refer to drawing NBC-GTW-CL-0017 \m²\34.1712 \ 20" u="1"/>
        <s v="SABS1200 GA \CONCRETE (SMALL WORKS)/8.3\SCHEDULED REINFORCEMENT ITEMS/8.3.2\High-Tensile Welded Mesh-Ref 655 /\KS13_015-Concrete Drop Inlet. Refer to drawing NBC-GTW-CL-0018 \m²\34.1712 \ 20" u="1"/>
        <s v="SABS1200 GA  / Concrete (Small Works) / 8.3 / 8.3.2 / High-Tensile Welded Mesh-Ref 617 / KS21_006-Concrete Drop Inlet / 35.1436 / m²" u="1"/>
        <s v="SABS1200 GA \Concrete (Small Works)/8.3\SCHEDULED REINFORCEMENT ITEMS/8.3.2\High-Tensile Welded Mesh-Ref 655 /\KS19_002-Concrete Drop Inlet. Refer to drawing Z \m²\27.8256 \ 20" u="1"/>
        <s v="SABS1200 GA \CONCRETE (SMALL WORKS)/8.3\SCHEDULED REINFORCEMENT ITEMS/8.3.2\High-Tensile Welded Mesh-Ref 617 /\KS21_006-Concrete Drop Inlet. Drawing NBC-GTW-CL-0041 \m²\35.1436 \ 20" u="1"/>
        <s v="SABS1200 GA \CONCRETE (SMALL WORKS)/8.3\SCHEDULED REINFORCEMENT ITEMS/8.3.2\High-Tensile Welded Mesh-Ref 772 /\KS20_006-Concrete Drop Inlet. Refer to drawing NBC-GTW-CL-0032 \m²\48.3894 \ 20" u="1"/>
        <s v="SABS1200 GA \Concrete (Small Works)/8.3\SCHEDULED REINFORCEMENT ITEMS/8.3.2\High-Tensile Welded Mesh-Ref 655 /\KS13_003-Concrete Drop Inlet \m²\35.5224 \ 20" u="1"/>
        <s v="SABS1200 GA \CONCRETE (SMALL WORKS)/8.3\SCHEDULED REINFORCEMENT ITEMS/8.3.2\High-Tensile Welded Mesh-Ref 655 /\KS21_005-Concrete Drop Inlet. Drawing NBC-GTW-CL-0040 \m²\34.1398 \ 20" u="1"/>
        <s v="SABS1200 GA  / Concrete (Small Works) / 8.3 / 8.3.2 / High-Tensile Welded Mesh-Ref 655 / KS21_005-Concrete Drop Inlet / 34.1398 / m²" u="1"/>
        <s v="SABS1200 GA \CONCRETE (SMALL WORKS)/8.3\SCHEDULED REINFORCEMENT ITEMS/8.3.2\High-Tensile Welded Mesh-Ref 617 /\KS21_006-Concrete Drop Inlet. Refer to drawing NBC-GTW-CL-0041 \m²\35.1436 \ 20" u="1"/>
        <s v="SABS1200 GA \Concrete (Small Works)/8.3\SCHEDULED REINFORCEMENT ITEMS/8.3.2\High-Tensile Welded Mesh-Ref 655 /\KS21_010-Concrete Drop Inlet \m²\26.568 \ 20" u="1"/>
        <s v="SABS1200 GA \CONCRETE (SMALL WORKS)/8.3\SCHEDULED REINFORCEMENT ITEMS/8.3.2\High-Tensile Welded Mesh-Ref 655 /\KS13_004-Concrete Drop Inlet. Refer to drawing NBC-GTW-CL-0010 \m²\31.2052 \ 20" u="1"/>
        <s v="SABS1200 GA \CONCRETE (SMALL WORKS)/8.3\SCHEDULED REINFORCEMENT ITEMS/8.3.2\High-Tensile Welded Mesh-Ref 395 /\KS20_009_b-Concrete Overflow Wall. Drawing NBC-GTW-CL-0035 \m²\9 \ 20" u="1"/>
        <s v="SABS1200 GA \CONCRETE (SMALL WORKS)/8.3\SCHEDULED REINFORCEMENT ITEMS/8.3.2\High-Tensile Welded Mesh-Ref 617 /\KS12_002-Concrete Drop Inlet. Refer to drawing NBC-GTW-CL-0002 \m²\38 \ 20" u="1"/>
        <s v="SABS1200 GA \CONCRETE (SMALL WORKS)/8.3\SCHEDULED REINFORCEMENT ITEMS/8.3.2\High-Tensile Welded Mesh-Ref 655 /\KS18_016-Concrete Drop Inlet. Drawing NBC-GTW-CL-0022 \m²\29.5176 \ 20" u="1"/>
        <s v="SABS1200 GA  / Concrete (Small Works) / 8.3 / 8.3.2 / High-Tensile Welded Mesh-Ref 655 / KS20_007-Concrete Drop Inlet / 40.8628 / m²" u="1"/>
        <s v="SABS1200 GA  / Concrete (Small Works) / 8.3 / 8.3.2 / High-Tensile Welded Mesh-Ref 772 / KS20_006-Concrete Drop Inlet / 48.3894 / m²" u="1"/>
        <s v="SABS1200 GA \Concrete (Small Works)/8.3\SCHEDULED REINFORCEMENT ITEMS/8.3.2\High-Tensile Welded Mesh-Ref 655 /\KS13_012-Concrete Drop Inlet \m²\28.536 \ 20" u="1"/>
        <s v="SABS1200 GA \Concrete (Small Works)/8.3\SCHEDULED REINFORCEMENT ITEMS/8.3.2\High-Tensile Welded Mesh-Ref 655 /\KS20_009_a-Concrete Drop Inlet. Refer to drawing AI \m²\63.18832 \ 20" u="1"/>
        <s v="SABS1200 GA \CONCRETE (SMALL WORKS)/8.3\SCHEDULED REINFORCEMENT ITEMS/8.3.2\High-Tensile Welded Mesh-Ref 655 /\KS18_018-Concrete Drop Inlet. Refer to drawing NBC-GTW-CL-0024 \m²\25.8028 \ 20" u="1"/>
        <s v="SABS1200 GA \Concrete (Small Works)/8.3\SCHEDULED REINFORCEMENT ITEMS/8.3.2\High-Tensile Welded Mesh-Ref 772 /\KS18_001-Concrete Drop Inlet. Refer to drawing S \m²\60.4352 \ 20" u="1"/>
        <s v="SABS1200 GA  / Concrete (Small Works) / 8.3 / 8.3.2 / High-Tensile Welded Mesh-Ref 655 / KS12_005-Concrete Drop Inlet / 24.34752 / m²" u="1"/>
        <s v="SABS1200 GA \CONCRETE (SMALL WORKS)/8.3\SCHEDULED REINFORCEMENT ITEMS/8.3.2\High-Tensile Welded Mesh-Ref 655 /\KS18_002-Concrete Drop Inlet. Refer to drawing NBC-GTW-CL-0020 \m²\36.1224 \ 20" u="1"/>
        <s v="SABS1200 GA \Concrete (Small Works)/8.3\SCHEDULED REINFORCEMENT ITEMS/8.3.2\High-Tensile Welded Mesh-Ref 722 /\KS18_001-Concrete Drop Inlet \m²\60.4352 \ 20" u="1"/>
        <s v="SABS1200 GA \CONCRETE (SMALL WORKS)/8.3\SCHEDULED REINFORCEMENT ITEMS/8.3.2\High-Tensile Welded Mesh-Ref 655 /\KS21_010-Concrete Drop Inlet. Drawing NBC-GTW-CL-0044 \m²\26.568 \ 20" u="1"/>
        <s v="SABS1200 GA  / Concrete (Small Works) / 8.3 / 8.3.2 / High-Tensile Welded Mesh-Ref 617 / KS21_007-Concrete Drop Inlet / 29.0048 / m²" u="1"/>
        <s v="SABS1200 GA  / Concrete (Small Works) / 8.3 / 8.3.2 / High-Tensile Welded Mesh-Ref 655 / KS19_002-Concrete Drop Inlet / 27.8256 / m²" u="1"/>
        <s v="SABS1200 GA \Concrete (Small Works)/8.3\SCHEDULED REINFORCEMENT ITEMS/8.3.2\High-Tensile Welded Mesh-Ref 617 /\KS12_009-Concrete Drop Inlet. Refer to drawing H \m²\15.1152 \ 20" u="1"/>
        <s v="SABS1200 GA \Concrete (Small Works)/8.3\SCHEDULED REINFORCEMENT ITEMS/8.3.2\High-Tensile Welded Mesh-Ref 655 /\KS18_019-Concrete Drop Inlet. Refer to drawing Y \m²\25.7472 \ 20" u="1"/>
        <s v="SABS1200 GA \CONCRETE (SMALL WORKS)/8.3\SCHEDULED REINFORCEMENT ITEMS/8.3.2\High-Tensile Welded Mesh-Ref 772 /\KS18_001-Concrete Drop Inlet. Refer to drawing NBC-GTW-CL-0019 \m²\60.4352 \ 20" u="1"/>
        <s v="SABS1200 GA \CONCRETE (SMALL WORKS)/8.3\SCHEDULED REINFORCEMENT ITEMS/8.3.2\High-Tensile Welded Mesh-Ref 655 /\KS13_011-Concrete Drop Inlet. Refer to drawing NBC-GTW-CL-0015 \m²\33 \ 20" u="1"/>
        <s v="SABS1200 GA \Concrete (Small Works)/8.3\SCHEDULED REINFORCEMENT ITEMS/8.3.2\High-Tensile Welded Mesh-Ref 655 /\KS18_017-Concrete Drop Inlet \m²\29.116 \ 20" u="1"/>
        <s v="SABS1200 GA \CONCRETE (SMALL WORKS)/8.3\SCHEDULED REINFORCEMENT ITEMS/8.3.2\High-Tensile Welded Mesh-Ref 655 /\KS18_020-Rehab road culvert  \m²\33.7212 \ 20" u="1"/>
        <s v="SABS1200 GA  / Concrete (Small Works) / 8.3 / 8.3.2 / High-Tensile Welded Mesh-Ref 655 / KS21_003-Concrete Drop Inlet / 42.5784 / m²" u="1"/>
        <s v="SABS1200 GA \Concrete (Small Works)/8.3\SCHEDULED REINFORCEMENT ITEMS/8.3.2\High-Tensile Welded Mesh-Ref 617 /\KS12_006-Concrete Drop Inlet \m²\21.4668 \ 20" u="1"/>
        <s v="SABS1200 GA  / Concrete (Small Works) / 8.3 / 8.3.2 / High-Tensile Welded Mesh-Ref 655 / KS13_012-Concrete Drop Inlet / 28.536 / m²" u="1"/>
      </sharedItems>
    </cacheField>
    <cacheField name="Rough - Horizontal (85°-90°)2" numFmtId="0">
      <sharedItems count="2">
        <s v=" "/>
        <s v="" u="1"/>
      </sharedItems>
    </cacheField>
    <cacheField name="Rough - Sloping (&gt;10°&lt;85°)2" numFmtId="0">
      <sharedItems count="259">
        <s v=" "/>
        <s v="SABS1200 GA \CONCRETE (SMALL WORKS)/8.2\SCHEDULED FORMWORK ITEMS/8.2.1\Rough Formwork - Sloping (&gt;10°&lt;85°). /\ks11-002a-Concrete Drop Inlet on Dam Wall  \m²\124.76995008702 \ 650"/>
        <s v="SABS1200 GA \CONCRETE (SMALL WORKS)/8.2\SCHEDULED FORMWORK ITEMS/8.2.1\Rough Formwork - Sloping (&gt;10°&lt;85°). /\ks11-004a-Concrete Drop Inlet on Dam Wall  \m²\124.76995008702 \ 650"/>
        <s v="SABS1200 GA \CONCRETE (SMALL WORKS)/8.2\SCHEDULED FORMWORK ITEMS/8.2.1\Rough Formwork - Sloping (&gt;10°&lt;85°). /\KS12_002-Concrete Drop Inlet. Drawing NBC-GTW-CL-0002 \m²\14 \ 650"/>
        <s v="SABS1200 GA \CONCRETE (SMALL WORKS)/8.2\SCHEDULED FORMWORK ITEMS/8.2.1\Rough Formwork - Sloping (&gt;10°&lt;85°). /\KS12_004-Concrete Drop Inlet. Drawing NBC-GTW-CL-0003 \m²\58.4070059649952 \ 650"/>
        <s v="SABS1200 GA \CONCRETE (SMALL WORKS)/8.2\SCHEDULED FORMWORK ITEMS/8.2.1\Rough Formwork - Sloping (&gt;10°&lt;85°). /\KS12_005-Concrete Drop Inlet. Drawing NBC-GTW-CL-0004 \m²\58.1500556713744 \ 650"/>
        <s v="SABS1200 GA \CONCRETE (SMALL WORKS)/8.2\SCHEDULED FORMWORK ITEMS/8.2.1\Rough Formwork - Sloping (&gt;10°&lt;85°). /\KS12_006-Concrete Drop Inlet. Drawing NBC-GTW-CL-0005 \m²\30.9852321055478 \ 650"/>
        <s v="SABS1200 GA \CONCRETE (SMALL WORKS)/8.2\SCHEDULED FORMWORK ITEMS/8.2.1\Rough Formwork - Sloping (&gt;10°&lt;85°). /\KS12_007-Concrete Drop Inlet. Drawing NBC-GTW-CL-0006 \m²\38.9264143183359 \ 650"/>
        <s v="SABS1200 GA \CONCRETE (SMALL WORKS)/8.2\SCHEDULED FORMWORK ITEMS/8.2.1\Rough Formwork - Sloping (&gt;10°&lt;85°). /\KS12_008-Concrete Drop Inlet. Drawing NBC-GTW-CL-0007 \m²\30.6856907895328 \ 650"/>
        <s v="SABS1200 GA \CONCRETE (SMALL WORKS)/8.2\SCHEDULED FORMWORK ITEMS/8.2.1\Rough Formwork - Sloping (&gt;10°&lt;85°). /\KS12_009-Concrete Drop Inlet. Drawing NBC-GTW-CL-0008 \m²\23.4752412582958 \ 650"/>
        <s v="SABS1200 GA \CONCRETE (SMALL WORKS)/8.2\SCHEDULED FORMWORK ITEMS/8.2.1\Rough Formwork - Sloping (&gt;10°&lt;85°). /\KS13_003-Concrete Drop Inlet. Drawing NBC-GTW-CL-0009 \m²\49.822834066672 \ 650"/>
        <s v="SABS1200 GA \CONCRETE (SMALL WORKS)/8.2\SCHEDULED FORMWORK ITEMS/8.2.1\Rough Formwork - Sloping (&gt;10°&lt;85°). /\KS19_002-Concrete Drop Inlet. Drawing NBC-GTW-CL-0026 \m²\46.0892027908199 \ 650"/>
        <s v="SABS1200 GA \CONCRETE (SMALL WORKS)/8.2\SCHEDULED FORMWORK ITEMS/8.2.1\Rough Formwork - Sloping (&gt;10°&lt;85°). /\KS20_001-Concrete Drop Inlet. Drawing NBC-GTW-CL-0027 \m²\38.0794658467317 \ 650"/>
        <s v="SABS1200 GA \CONCRETE (SMALL WORKS)/8.2\SCHEDULED FORMWORK ITEMS/8.2.1\Rough Formwork - Sloping (&gt;10°&lt;85°). /\KS21_003-Concrete Drop Inlet. Drawing NBC-GTW-CL-0039 \m²\40.8873193576764 \ 650"/>
        <s v="SABS1200 GA \CONCRETE (SMALL WORKS)/8,2\SCHEDULED FORMWORK ITEMS/8.2.1\Rough Formwork - Sloping (&gt;10°&lt;85°). /\KS21_005-Concrete Drop Inlet. Drawing NBC-GTW-CL-0040 \m²\40,8873193576764 \ 650"/>
        <s v="" u="1"/>
        <s v="SABS1200 GA  / Concrete (Small Works) / 8.2 / 8.2.1 / Rough - Sloping (&gt;10°&lt;85°) / KS20_005-Concrete Drop Inlet / 67.9531453846429 / m²" u="1"/>
        <s v="SABS1200 GA \CONCRETE (SMALL WORKS)/8.2\SCHEDULED FORMWORK ITEMS/8.2.1\Rough - Sloping (&gt;10°&lt;85°). /\KS13_003-Concrete Drop Inlet. Refer to drawing NBC-GTW-CL-0009 \m²\49.822834066672 \ 650" u="1"/>
        <s v="SABS1200 GA  / Concrete (Small Works) / 8.2 / 8.2.1 / Rough - Sloping (&gt;10°&lt;85°) / KS21_010-Concrete Drop Inlet / 55.2431932328765 / m²" u="1"/>
        <s v="SABS1200 GA  / Concrete (Small Works) / 8.2 / 8.2.1 / Rough - Sloping (&gt;10°&lt;85°) / KS20_009_b-Concrete Overflow Wall / 4.29566479139143 / m²" u="1"/>
        <s v="SABS1200 GA \CONCRETE (SMALL WORKS)/8.2\SCHEDULED FORMWORK ITEMS/8.2.1\Rough - Sloping (&gt;10°&lt;85°). /\KS18_016-Concrete Drop Inlet. Drawing NBC-GTW-CL-0022 \m²\56.3622478801672 \ 650" u="1"/>
        <s v="SABS1200 GA  \ Concrete (Small Works) / 8.2\ SCHEDULED FORMWORK ITEMS / 8.2.1 \ Rough - Sloping (&gt;10°&lt;85°). /\KS18_019-Concrete Drop Inlet. Refer to drawing Y \m²\56.7255840503127 \ 650" u="1"/>
        <s v="SABS1200 GA \CONCRETE (SMALL WORKS)/8.2\SCHEDULED FORMWORK ITEMS/8.2.1\Rough - Sloping (&gt;10°&lt;85°). /\KS18_018-Concrete Drop Inlet. Drawing NBC-GTW-CL-0024 \m²\44.5054266893638 \ 650" u="1"/>
        <s v="SABS1200 GA  / Concrete (Small Works) / 8.2 / 8.2.1 / Rough - Sloping (&gt;10°&lt;85°) / KS21_007-Concrete Drop Inlet / 46.0461262534551 / m²" u="1"/>
        <s v="SABS1200 GA  / Concrete (Small Works) / 8.2 / 8.2.1 / Rough - Sloping (&gt;10°&lt;85°) / KS20_006-Concrete Drop Inlet / 72.579338047832 / m²" u="1"/>
        <s v="SABS1200 GA  \ Concrete (Small Works) / 8.2\ SCHEDULED FORMWORK ITEMS / 8.2.1 \ Rough - Sloping (&gt;10°&lt;85°). /\KS18_018-Concrete Drop Inlet \m²\44.5054266893638 \ 650" u="1"/>
        <s v="SABS1200 GA  \ Concrete (Small Works) / 8.2\ SCHEDULED FORMWORK ITEMS / 8.2.1 \ Rough - Sloping (&gt;10°&lt;85°). /\KS13_005-Concrete Drop Inlet. Refer to drawing K \m²\57.7914437861174 \ 650" u="1"/>
        <s v="SABS1200 GA  \ Concrete (Small Works) / 8.2\ SCHEDULED FORMWORK ITEMS / 8.2.1 \ Rough - Sloping (&gt;10°&lt;85°). /\KS21_006-Concrete Drop Inlet \m²\45.348677435461 \ 650" u="1"/>
        <s v="SABS1200 GA  / Concrete (Small Works) / 8.2 / 8.2.1 / Rough - Sloping (&gt;10°&lt;85°) / KS13_008-Concrete Drop Inlet / 56.6781972496904 / m²" u="1"/>
        <e v="#REF!" u="1"/>
        <s v="SABS1200 GA  / Concrete (Small Works) / 8.2 / 8.2.1 / Rough - Sloping (&gt;10°&lt;85°) / KS18_001-Concrete Drop Inlet / 88.650348334798 / m²" u="1"/>
        <s v="SABS1200 GA  \ Concrete (Small Works) / 8.2\ SCHEDULED FORMWORK ITEMS / 8.2.1 \ Rough - Sloping (&gt;10°&lt;85°). /\KS13_007-Concrete Drop Inlet \m²\47.2031779853186 \ 650" u="1"/>
        <s v="SABS1200 GA  \ Concrete (Small Works) / 8.2\ SCHEDULED FORMWORK ITEMS / 8.2.1 \ Rough - Sloping (&gt;10°&lt;85°). /\KS20_008-Concrete Drop Inlet. Refer to drawing AH \m²\72.8740665047539 \ 650" u="1"/>
        <s v="SABS1200 GA  \ Concrete (Small Works) / 8.2\ SCHEDULED FORMWORK ITEMS / 8.2.1 \ Rough - Sloping (&gt;10°&lt;85°). /\KS21_006-Concrete Drop Inlet. Refer to drawing AO \m²\45.348677435461 \ 650" u="1"/>
        <s v="SABS1200 GA \CONCRETE (SMALL WORKS)/8.2\SCHEDULED FORMWORK ITEMS/8.2.1\Rough - Sloping (&gt;10°&lt;85°). /\KS13_005-Concrete Drop Inlet. Drawing NBC-GTW-CL-0011 \m²\57.7914437861174 \ 650" u="1"/>
        <s v="SABS1200 GA  \ Concrete (Small Works) / 8.2\ SCHEDULED FORMWORK ITEMS / 8.2.1 \ Rough - Sloping (&gt;10°&lt;85°). /\KS20_003-Concrete Buttress Weir. Refer to drawing AC \m²\61.3910444262817 \ 650" u="1"/>
        <s v="SABS1200 GA  \ Concrete (Small Works) / 8.2\ SCHEDULED FORMWORK ITEMS / 8.2.1 \ Rough - Sloping (&gt;10°&lt;85°). /\KS13_006-Concrete Drop Inlet \m²\58.0575615157111 \ 650" u="1"/>
        <s v="SABS1200 GA \CONCRETE (SMALL WORKS)/8.2\SCHEDULED FORMWORK ITEMS/8.2.1\Rough - Sloping (&gt;10°&lt;85°). /\KS18_002-Concrete Drop Inlet. Refer to drawing NBC-GTW-CL-0020 \m²\46.8829660474418 \ 650" u="1"/>
        <s v="SABS1200 GA \CONCRETE (SMALL WORKS)/8.2\SCHEDULED FORMWORK ITEMS/8.2.1\Rough Formwork - Sloping (&gt;10°&lt;85°). /\KS18_002-Concrete Drop Inlet. Drawing NBC-GTW-CL-0020 \m²\46.8829660474418 \ 650" u="1"/>
        <s v="SABS1200 GA  \ Concrete (Small Works) / 8.2\ SCHEDULED FORMWORK ITEMS / 8.2.1 \ Rough - Sloping (&gt;10°&lt;85°). /\KS20_004-Concrete Drop Inlet. Refer to drawing AD \m²\63.3332755056505 \ 650" u="1"/>
        <s v="SABS1200 GA  / Concrete (Small Works) / 8.2 / 8.2.1 / Rough - Sloping (&gt;10°&lt;85°) / KS20_002-Concrete Drop Inlet / 52.8639233954343 / m²" u="1"/>
        <s v="SABS1200 GA  \ Concrete (Small Works) / 8.2\ SCHEDULED FORMWORK ITEMS / 8.2.1 \ Rough - Sloping (&gt;10°&lt;85°). /\KS13_015-Concrete Drop Inlet \m²\41.4671810737264 \ 650" u="1"/>
        <s v="SABS1200 GA  \ Concrete (Small Works) / 8.2\ SCHEDULED FORMWORK ITEMS / 8.2.1 \ Rough - Sloping (&gt;10°&lt;85°). /\KS12_007-Concrete Drop Inlet. Refer to drawing F \m²\38.9264143183359 \ 650" u="1"/>
        <s v="SABS1200 GA  \ Concrete (Small Works) / 8.2\ SCHEDULED FORMWORK ITEMS / 8.2.1 \ Rough - Sloping (&gt;10°&lt;85°). /\KS20_009_a-Concrete Drop Inlet \m²\70.1490045214263 \ 650" u="1"/>
        <s v="SABS1200 GA \CONCRETE (SMALL WORKS)/8.2\SCHEDULED FORMWORK ITEMS/8.2.1\Rough - Sloping (&gt;10°&lt;85°). /\KS20_001-Concrete Drop Inlet. Refer to drawing NBC-GTW-CL-0027 \m²\38.0794658467317 \ 650" u="1"/>
        <s v="SABS1200 GA  / Concrete (Small Works) / 8.2 / 8.2.1 / Rough - Sloping (&gt;10°&lt;85°) / KS13_005-Concrete Drop Inlet / 57.7914437861174 / m²" u="1"/>
        <s v="SABS1200 GA \CONCRETE (SMALL WORKS)/8.2\SCHEDULED FORMWORK ITEMS/8.2.1\Rough - Sloping (&gt;10°&lt;85°). /\KS21_006-Concrete Drop Inlet. Drawing NBC-GTW-CL-0041 \m²\45.348677435461 \ 650" u="1"/>
        <s v="SABS1200 GA \CONCRETE (SMALL WORKS)/8.2\SCHEDULED FORMWORK ITEMS/8.2.1\Rough - Sloping (&gt;10°&lt;85°). /\KS21_007-Concrete Drop Inlet. Refer to drawing NBC-GTW-CL-0042 \m²\46.0461262534551 \ 650" u="1"/>
        <s v="SABS1200 GA \CONCRETE (SMALL WORKS)/8.2\SCHEDULED FORMWORK ITEMS/8.2.1\Rough Formwork - Sloping (&gt;10°&lt;85°). /\KS21_007-Concrete Drop Inlet. Drawing NBC-GTW-CL-0042 \m²\46.0461262534551 \ 650" u="1"/>
        <s v="SABS1200 GA \CONCRETE (SMALL WORKS)/8.2\SCHEDULED FORMWORK ITEMS/8.2.1\Rough - Sloping (&gt;10°&lt;85°). /\KS20_009_a-Concrete Drop Inlet. Refer to drawing NBC-GTW-CL-0035 \m²\70.1490045214263 \ 650" u="1"/>
        <s v="SABS1200 GA  / Concrete (Small Works) / 8.2 / 8.2.1 / Rough - Sloping (&gt;10°&lt;85°) / KS18_020-Rehab road culvert / 57.6958279475728 / m²" u="1"/>
        <s v="SABS1200 GA  \ Concrete (Small Works) / 8.2\ SCHEDULED FORMWORK ITEMS / 8.2.1 \ Rough - Sloping (&gt;10°&lt;85°). /\KS20_001-Concrete Drop Inlet \m²\38.0794658467317 \ 650" u="1"/>
        <s v="SABS1200 GA  / Concrete (Small Works) / 8.2 / 8.2.1 / Rough - Sloping (&gt;10°&lt;85°) / KS20_009_a-Concrete Drop Inlet / 70.1490045214263 / m²" u="1"/>
        <s v="SABS1200 GA  / Concrete (Small Works) / 8.2 / 8.2.1 / Rough - Sloping (&gt;10°&lt;85°) / KS21_006-Concrete Drop Inlet / 45.348677435461 / m²" u="1"/>
        <s v="SABS1200 GA  \ Concrete (Small Works) / 8.2\ SCHEDULED FORMWORK ITEMS / 8.2.1 \ Rough - Sloping (&gt;10°&lt;85°). /\KS20_009_a-Concrete Drop Inlet. Refer to drawing AI \m²\70.1490045214263 \ 650" u="1"/>
        <s v="SABS1200 GA  \ Concrete (Small Works) / 8.2\ SCHEDULED FORMWORK ITEMS / 8.2.1 \ Rough - Sloping (&gt;10°&lt;85°). /\KS12_005-Concrete Drop Inlet \m²\58.1500556713744 \ 650" u="1"/>
        <s v="SABS1200 GA \CONCRETE (SMALL WORKS)/8.2\SCHEDULED FORMWORK ITEMS/8.2.1\Rough - Sloping (&gt;10°&lt;85°). /\KS12_005-Concrete Drop Inlet. Drawing NBC-GTW-CL-0004 \m²\58.1500556713744 \ 650" u="1"/>
        <s v="SABS1200 GA \CONCRETE (SMALL WORKS)/8.2\SCHEDULED FORMWORK ITEMS/8.2.1\Rough - Sloping (&gt;10°&lt;85°). /\KS20_009_a-Concrete Buttress Weir. Drawing NBC-GTW-CL-0035 \m²\70.1490045214263 \ 650" u="1"/>
        <s v="SABS1200 GA  / Concrete (Small Works) / 8.2 / 8.2.1 / Rough - Sloping (&gt;10°&lt;85°) / KS20_007-Concrete Drop Inlet / 59.5374174381272 / m²" u="1"/>
        <s v="SABS1200 GA \CONCRETE (SMALL WORKS)/8.2\SCHEDULED FORMWORK ITEMS/8.2.1\Rough - Sloping (&gt;10°&lt;85°). /\KS12_002-Concrete Drop Inlet. Drawing NBC-GTW-CL-0002 \m²\14 \ 650" u="1"/>
        <s v="SABS1200 GA \CONCRETE (SMALL WORKS)/8.2\SCHEDULED FORMWORK ITEMS/8.2.1\Rough - Sloping (&gt;10°&lt;85°). /\KS21_003-Concrete Drop Inlet. Drawing NBC-GTW-CL-0039 \m²\40.8873193576764 \ 650" u="1"/>
        <s v="SABS1200 GA \CONCRETE (SMALL WORKS)/8.2\SCHEDULED FORMWORK ITEMS/8.2.1\Rough - Sloping (&gt;10°&lt;85°). /\KS12_004-Concrete Drop Inlet. Refer to drawing NBC-GTW-CL-0003 \m²\58.4070059649952 \ 650" u="1"/>
        <s v="SABS1200 GA  \ Concrete (Small Works) / 8.2\ SCHEDULED FORMWORK ITEMS / 8.2.1 \ Rough - Sloping (&gt;10°&lt;85°). /\KS12_005-Concrete Drop Inlet. Refer to drawing D \m²\58.1500556713744 \ 650" u="1"/>
        <s v="SABS1200 GA  \ Concrete (Small Works) / 8.2\ SCHEDULED FORMWORK ITEMS / 8.2.1 \ Rough - Sloping (&gt;10°&lt;85°). /\KS21_010-Concrete Drop Inlet. Refer to drawing AR \m²\55.2431932328765 \ 650" u="1"/>
        <s v="SABS1200 GA  \ Concrete (Small Works) / 8.2\ SCHEDULED FORMWORK ITEMS / 8.2.1 \ Rough - Sloping (&gt;10°&lt;85°). /\KS20_006-Concrete Drop Inlet. Refer to drawing AF \m²\72.579338047832 \ 650" u="1"/>
        <s v="SABS1200 GA  \ Concrete (Small Works) / 8.2\ SCHEDULED FORMWORK ITEMS / 8.2.1 \ Rough - Sloping (&gt;10°&lt;85°). /\KS21_005-Concrete Drop Inlet \m²\50.939046755886 \ 650" u="1"/>
        <s v="SABS1200 GA  \ Concrete (Small Works) / 8.2\ SCHEDULED FORMWORK ITEMS / 8.2.1 \ Rough - Sloping (&gt;10°&lt;85°). /\KS20_002-Concrete Drop Inlet \m²\52.8639233954343 \ 650" u="1"/>
        <s v="SABS1200 GA  / Concrete (Small Works) / 8.2 / 8.2.1 / Rough - Sloping (&gt;10°&lt;85°) / KS20_004-Concrete Drop Inlet / 63.3332755056505 / m²" u="1"/>
        <s v="SABS1200 GA  \ Concrete (Small Works) / 8.2\ SCHEDULED FORMWORK ITEMS / 8.2.1 \ Rough - Sloping (&gt;10°&lt;85°). /\KS21_003-Concrete Drop Inlet. Refer to drawing AM \m²\40.8873193576764 \ 650" u="1"/>
        <s v="SABS1200 GA \CONCRETE (SMALL WORKS)/8.2\SCHEDULED FORMWORK ITEMS/8.2.1\Rough - Sloping (&gt;10°&lt;85°). /\KS21_009-Concrete Drop Inlet. Refer to drawing NBC-GTW-CL-0043 \m²\57.7336849462415 \ 650" u="1"/>
        <s v="SABS1200 GA \CONCRETE (SMALL WORKS)/8.2\SCHEDULED FORMWORK ITEMS/8.2.1\Rough Formwork - Sloping (&gt;10°&lt;85°). /\KS21_009-Concrete Drop Inlet. Drawing NBC-GTW-CL-0043 \m²\57.7336849462415 \ 650" u="1"/>
        <s v="SABS1200 GA \CONCRETE (SMALL WORKS)/8.2\SCHEDULED FORMWORK ITEMS/8.2.1\Rough - Sloping (&gt;10°&lt;85°). /\KS12_006-Concrete Drop Inlet. Refer to drawing NBC-GTW-CL-0005 \m²\30.9852321055478 \ 650" u="1"/>
        <s v="SABS1200 GA \CONCRETE (SMALL WORKS)/8.2\SCHEDULED FORMWORK ITEMS/8.2.1\Rough - Sloping (&gt;10°&lt;85°). /\KS20_009_b-Concrete Overflow Wall. Refer to drawing NBC-GTW-CL-0035 \m²\4.29566479139143 \ 650" u="1"/>
        <s v="SABS1200 GA \CONCRETE (SMALL WORKS)/8.2\SCHEDULED FORMWORK ITEMS/8.2.1\Rough - Sloping (&gt;10°&lt;85°). /\KS20_009_b-Concrete Overflow Wall. Refer to drawing NBC-GTW-CL-0036 \m²\4.29566479139143 \ 650" u="1"/>
        <s v="SABS1200 GA \CONCRETE (SMALL WORKS)/8.2\SCHEDULED FORMWORK ITEMS/8.2.1\Rough Formwork - Sloping (&gt;10°&lt;85°). /\KS20_009_b-Concrete Overflow Wall. Drawing NBC-GTW-CL-0035 \m²\4.29566479139143 \ 650" u="1"/>
        <s v="SABS1200 GA \CONCRETE (SMALL WORKS)/8.2\SCHEDULED FORMWORK ITEMS/8.2.1\Rough - Sloping (&gt;10°&lt;85°). /\KS18_015-Concrete Drop Inlet. Drawing NBC-GTW-CL-0021 \m²\66.929119262221 \ 650" u="1"/>
        <s v="SABS1200 GA \CONCRETE (SMALL WORKS)/8.2\SCHEDULED FORMWORK ITEMS/8.2.1\Rough - Sloping (&gt;10°&lt;85°). /\KS20_003-Concrete Buttress Weir. Refer to drawing NBC-GTW-CL-0029 \m²\61.3910444262817 \ 650" u="1"/>
        <s v="SABS1200 GA \CONCRETE (SMALL WORKS)/8.2\SCHEDULED FORMWORK ITEMS/8.2.1\Rough Formwork - Sloping (&gt;10°&lt;85°). /\KS20_003-Concrete Buttress Weir. Drawing NBC-GTW-CL-0029 \m²\61.3910444262817 \ 650" u="1"/>
        <s v="SABS1200 GA  / Concrete (Small Works) / 8.2 / 8.2.1 / Rough - Sloping (&gt;10°&lt;85°) / KS20_003-Concrete Buttress Weir / 61.3910444262817 / m²" u="1"/>
        <s v="SABS1200 GA \CONCRETE (SMALL WORKS)/8.2\SCHEDULED FORMWORK ITEMS/8.2.1\Rough - Sloping (&gt;10°&lt;85°). /\KS20_001-Concrete Drop Inlet. Drawing NBC-GTW-CL-0027 \m²\38.0794658467317 \ 650" u="1"/>
        <s v="SABS1200 GA \CONCRETE (SMALL WORKS)/8.2\SCHEDULED FORMWORK ITEMS/8.2.1\Rough - Sloping (&gt;10°&lt;85°). /\KS13_013-Concrete Drop Inlet. Refer to drawing NBC-GTW-CL-0017 \m²\41.2942277297212 \ 650" u="1"/>
        <s v="SABS1200 GA \CONCRETE (SMALL WORKS)/8.2\SCHEDULED FORMWORK ITEMS/8.2.1\Rough Formwork - Sloping (&gt;10°&lt;85°). /\KS13_013-Concrete Drop Inlet. Drawing NBC-GTW-CL-0017 \m²\41.2942277297212 \ 650" u="1"/>
        <s v="SABS1200 GA \CONCRETE (SMALL WORKS)/8.2\SCHEDULED FORMWORK ITEMS/8.2.1\Rough - Sloping (&gt;10°&lt;85°). /\KS18_002-Concrete Drop Inlet. Drawing NBC-GTW-CL-0020 \m²\46.8829660474418 \ 650" u="1"/>
        <s v="SABS1200 GA  \ Concrete (Small Works) / 8.2\ SCHEDULED FORMWORK ITEMS / 8.2.1 \ Rough - Sloping (&gt;10°&lt;85°). /\KS13_004-Concrete Drop Inlet. Refer to drawing J \m²\40.611330282822 \ 650" u="1"/>
        <s v="SABS1200 GA \CONCRETE (SMALL WORKS)/8.2\SCHEDULED FORMWORK ITEMS/8.2.1\Rough - Sloping (&gt;10°&lt;85°). /\KS13_006-Concrete Drop Inlet. Refer to drawing NBC-GTW-CL-0012 \m²\58.0575615157111 \ 650" u="1"/>
        <s v="SABS1200 GA \CONCRETE (SMALL WORKS)/8.2\SCHEDULED FORMWORK ITEMS/8.2.1\Rough Formwork - Sloping (&gt;10°&lt;85°). /\KS13_006-Concrete Drop Inlet. Drawing NBC-GTW-CL-0012 \m²\58.0575615157111 \ 650" u="1"/>
        <s v="SABS1200 GA \CONCRETE (SMALL WORKS)/8.2\SCHEDULED FORMWORK ITEMS/8.2.1\Rough - Sloping (&gt;10°&lt;85°). /\KS13_005-Concrete Drop Inlet. Refer to drawing NBC-GTW-CL-0011 \m²\57.7914437861174 \ 650" u="1"/>
        <s v="SABS1200 GA \CONCRETE (SMALL WORKS)/8.2\SCHEDULED FORMWORK ITEMS/8.2.1\Rough Formwork - Sloping (&gt;10°&lt;85°). /\KS13_005-Concrete Drop Inlet. Drawing NBC-GTW-CL-0011 \m²\57.7914437861174 \ 650" u="1"/>
        <s v="SABS1200 GA  / Concrete (Small Works) / 8.2 / 8.2.1 / Rough - Sloping (&gt;10°&lt;85°) / KS13_011-Concrete Drop Inlet / 63.0187522247123 / m²" u="1"/>
        <s v="SABS1200 GA \CONCRETE (SMALL WORKS)/8.2\SCHEDULED FORMWORK ITEMS/8.2.1\Rough - Sloping (&gt;10°&lt;85°). /\KS12_006-Concrete Drop Inlet. Drawing NBC-GTW-CL-0005 \m²\30.9852321055478 \ 650" u="1"/>
        <s v="SABS1200 GA \CONCRETE (SMALL WORKS)/8.2\SCHEDULED FORMWORK ITEMS/8.2.1\Rough - Sloping (&gt;10°&lt;85°). /\KS20_008-Concrete Drop Inlet. Drawing NBC-GTW-CL-0034 \m²\72.8740665047539 \ 650" u="1"/>
        <s v="SABS1200 GA  \ Concrete (Small Works) / 8.2\ SCHEDULED FORMWORK ITEMS / 8.2.1 \ Rough - Sloping (&gt;10°&lt;85°). /\KS13_005-Concrete Drop Inlet \m²\57.7914437861174 \ 650" u="1"/>
        <s v="SABS1200 GA \CONCRETE (SMALL WORKS)/8.2\SCHEDULED FORMWORK ITEMS/8.2.1\Rough - Sloping (&gt;10°&lt;85°). /\KS20_002-Concrete Drop Inlet. Refer to drawing NBC-GTW-CL-0028 \m²\52.8639233954343 \ 650" u="1"/>
        <s v="SABS1200 GA  \ Concrete (Small Works) / 8.2\ SCHEDULED FORMWORK ITEMS / 8.2.1 \ Rough - Sloping (&gt;10°&lt;85°). /\KS18_015-Concrete Drop Inlet. Refer to drawing U \m²\66.929119262221 \ 650" u="1"/>
        <s v="SABS1200 GA \CONCRETE (SMALL WORKS)/8.2\SCHEDULED FORMWORK ITEMS/8.2.1\Rough - Sloping (&gt;10°&lt;85°). /\KS12_002-Concrete Drop Inlet. Refer to drawing NBC-GTW-CL-0002 \m²\14 \ 650" u="1"/>
        <s v="SABS1200 GA  \ Concrete (Small Works) / 8.2\ SCHEDULED FORMWORK ITEMS / 8.2.1 \ Rough - Sloping (&gt;10°&lt;85°). /\KS13_008-Concrete Drop Inlet \m²\56.6781972496904 \ 650" u="1"/>
        <s v="SABS1200 GA  \ Concrete (Small Works) / 8.2\ SCHEDULED FORMWORK ITEMS / 8.2.1 \ Rough - Sloping (&gt;10°&lt;85°). /\KS20_005-Concrete Drop Inlet \m²\67.9531453846429 \ 650" u="1"/>
        <s v="SABS1200 GA \CONCRETE (SMALL WORKS)/8.2\SCHEDULED FORMWORK ITEMS/8.2.1\Rough - Sloping (&gt;10°&lt;85°). /\KS21_010-Concrete Drop Inlet. Drawing NBC-GTW-CL-0044 \m²\55.2431932328765 \ 650" u="1"/>
        <s v="SABS1200 GA  \ Concrete (Small Works) / 8.2\ SCHEDULED FORMWORK ITEMS / 8.2.1 \ Rough - Sloping (&gt;10°&lt;85°). /\KS20_009_b-Concrete Overflow Wall. Refer to drawing AJ \m²\4.29566479139143 \ 650" u="1"/>
        <s v="SABS1200 GA  / Concrete (Small Works) / 8.2 / 8.2.1 / Rough - Sloping (&gt;10°&lt;85°) / KS20_001-Concrete Drop Inlet / 38.0794658467317 / m²" u="1"/>
        <s v="SABS1200 GA  / Concrete (Small Works) / 8.2 / 8.2.1 / Rough - Sloping (&gt;10°&lt;85°) / KS18_018-Concrete Drop Inlet / 44.5054266893638 / m²" u="1"/>
        <s v="SABS1200 GA  / Concrete (Small Works) / 8.2 / 8.2.1 / Rough - Sloping (&gt;10°&lt;85°) / KS13_012-Concrete Drop Inlet / 52.3209261824991 / m²" u="1"/>
        <s v="SABS1200 GA  / Concrete (Small Works) / 8.2 / 8.2.1 / Rough - Sloping (&gt;10°&lt;85°) / KS18_016-Concrete Drop Inlet / 56.3622478801672 / m²" u="1"/>
        <s v="SABS1200 GA  / Concrete (Small Works) / 8.2 / 8.2.1 / Rough - Sloping (&gt;10°&lt;85°) / KS18_017-Concrete Drop Inlet / 52.575645514272 / m²" u="1"/>
        <s v="SABS1200 GA \CONCRETE (SMALL WORKS)/8.2\SCHEDULED FORMWORK ITEMS/8.2.1\Rough - Sloping (&gt;10°&lt;85°). /\KS12_005-Concrete Drop Inlet. Refer to drawing NBC-GTW-CL-0004 \m²\58.1500556713744 \ 650" u="1"/>
        <s v="SABS1200 GA \CONCRETE (SMALL WORKS)/8.2\SCHEDULED FORMWORK ITEMS/8.2.1\Rough - Sloping (&gt;10°&lt;85°). /\KS13_012-Concrete Drop Inlet. Drawing NBC-GTW-CL-0016 \m²\52.3209261824991 \ 650" u="1"/>
        <s v="SABS1200 GA  / Concrete (Small Works) / 8.2 / 8.2.1 / Rough - Sloping (&gt;10°&lt;85°) / KS12_004-Concrete Drop Inlet / 58.4070059649952 / m²" u="1"/>
        <s v="SABS1200 GA \CONCRETE (SMALL WORKS)/8.2\SCHEDULED FORMWORK ITEMS/8.2.1\Rough - Sloping (&gt;10°&lt;85°). /\KS18_017-Concrete Drop Inlet. Refer to drawing NBC-GTW-CL-0023 \m²\52.575645514272 \ 650" u="1"/>
        <s v="SABS1200 GA \CONCRETE (SMALL WORKS)/8.2\SCHEDULED FORMWORK ITEMS/8.2.1\Rough Formwork - Sloping (&gt;10°&lt;85°). /\KS18_017-Concrete Drop Inlet. Drawing NBC-GTW-CL-0023 \m²\52.575645514272 \ 650" u="1"/>
        <s v="SABS1200 GA  \ Concrete (Small Works) / 8.2\ SCHEDULED FORMWORK ITEMS / 8.2.1 \ Rough - Sloping (&gt;10°&lt;85°). /\KS20_001-Concrete Drop Inlet. Refer to drawing AA \m²\38.0794658467317 \ 650" u="1"/>
        <s v="SABS1200 GA  \ Concrete (Small Works) / 8.2\ SCHEDULED FORMWORK ITEMS / 8.2.1 \ Rough - Sloping (&gt;10°&lt;85°). /\KS20_004-Concrete Drop Inlet \m²\63.3332755056505 \ 650" u="1"/>
        <s v="SABS1200 GA \CONCRETE (SMALL WORKS)/8.2\SCHEDULED FORMWORK ITEMS/8.2.1\Rough - Sloping (&gt;10°&lt;85°). /\KS20_007-Concrete Drop Inlet. Refer to drawing NBC-GTW-CL-0033 \m²\59.5374174381272 \ 650" u="1"/>
        <s v="SABS1200 GA \CONCRETE (SMALL WORKS)/8.2\SCHEDULED FORMWORK ITEMS/8.2.1\Rough Formwork - Sloping (&gt;10°&lt;85°). /\KS20_007-Concrete Drop Inlet. Drawing NBC-GTW-CL-0033 \m²\59.5374174381272 \ 650" u="1"/>
        <s v="SABS1200 GA  / Concrete (Small Works) / 8.2 / 8.2.1 / Rough - Sloping (&gt;10°&lt;85°) / KS12_007-Concrete Drop Inlet / 38.9264143183359 / m²" u="1"/>
        <s v="SABS1200 GA  \ Concrete (Small Works) / 8.2\ SCHEDULED FORMWORK ITEMS / 8.2.1 \ Rough - Sloping (&gt;10°&lt;85°). /\KS18_002-Concrete Drop Inlet. Refer to drawing T \m²\46.8829660474418 \ 650" u="1"/>
        <s v="SABS1200 GA \CONCRETE (SMALL WORKS)/8.2\SCHEDULED FORMWORK ITEMS/8.2.1\Rough - Sloping (&gt;10°&lt;85°). /\KS18_020-Rehab road culvert  \m²\57.6958279475728 \ 650" u="1"/>
        <s v="SABS1200 GA \CONCRETE (SMALL WORKS)/8.2\SCHEDULED FORMWORK ITEMS/8.2.1\Rough - Sloping (&gt;10°&lt;85°). /\KS13_007-Concrete Drop Inlet. Drawing NBC-GTW-CL-0013 \m²\47.2031779853186 \ 650" u="1"/>
        <s v="SABS1200 GA  \ Concrete (Small Works) / 8.2\ SCHEDULED FORMWORK ITEMS / 8.2.1 \ Rough - Sloping (&gt;10°&lt;85°). /\KS21_009-Concrete Drop Inlet. Refer to drawing AQ \m²\57.7336849462415 \ 650" u="1"/>
        <s v="SABS1200 GA \CONCRETE (SMALL WORKS)/8.2\SCHEDULED FORMWORK ITEMS/8.2.1\Rough - Sloping (&gt;10°&lt;85°). /\KS12_008-Concrete Drop Inlet. Drawing NBC-GTW-CL-0007 \m²\30.6856907895328 \ 650" u="1"/>
        <s v="SABS1200 GA \CONCRETE (SMALL WORKS)/8.2\SCHEDULED FORMWORK ITEMS/8.2.1\Rough - Sloping (&gt;10°&lt;85°). /\KS20_009_a-Concrete Buttress Weir. Refer to drawing NBC-GTW-CL-0035 \m²\70.1490045214263 \ 650" u="1"/>
        <s v="SABS1200 GA \CONCRETE (SMALL WORKS)/8.2\SCHEDULED FORMWORK ITEMS/8.2.1\Rough Formwork - Sloping (&gt;10°&lt;85°). /\KS20_009_a-Concrete Buttress Weir. Drawing NBC-GTW-CL-0035 \m²\70.1490045214263 \ 650" u="1"/>
        <s v="SABS1200 GA  \ Concrete (Small Works) / 8.2\ SCHEDULED FORMWORK ITEMS / 8.2.1 \ Rough - Sloping (&gt;10°&lt;85°). /\KS13_004-Concrete Drop Inlet \m²\40.611330282822 \ 650" u="1"/>
        <s v="SABS1200 GA \CONCRETE (SMALL WORKS)/8.2\SCHEDULED FORMWORK ITEMS/8.2.1\Rough - Sloping (&gt;10°&lt;85°). /\KS20_008-Concrete Drop Inlet. Refer to drawing NBC-GTW-CL-0034 \m²\72.8740665047539 \ 650" u="1"/>
        <s v="SABS1200 GA \CONCRETE (SMALL WORKS)/8.2\SCHEDULED FORMWORK ITEMS/8.2.1\Rough Formwork - Sloping (&gt;10°&lt;85°). /\KS20_008-Concrete Drop Inlet. Drawing NBC-GTW-CL-0034 \m²\72.8740665047539 \ 650" u="1"/>
        <s v="SABS1200 GA \CONCRETE (SMALL WORKS)/8.2\SCHEDULED FORMWORK ITEMS/8.2.1\Rough - Sloping (&gt;10°&lt;85°). /\KS20_005-Concrete Drop Inlet. Drawing NBC-GTW-CL-0031 \m²\67.9531453846429 \ 650" u="1"/>
        <s v="SABS1200 GA \CONCRETE (SMALL WORKS)/8.2\SCHEDULED FORMWORK ITEMS/8.2.1\Rough - Sloping (&gt;10°&lt;85°). /\KS20_009_b-Concrete Overflow Wall. Drawing NBC-GTW-CL-0035 \m²\4.29566479139143 \ 650" u="1"/>
        <s v="SABS1200 GA \CONCRETE (SMALL WORKS)/8.2\SCHEDULED FORMWORK ITEMS/8.2.1\Rough - Sloping (&gt;10°&lt;85°). /\KS13_003-Concrete Drop Inlet. Drawing NBC-GTW-CL-0009 \m²\49.822834066672 \ 650" u="1"/>
        <s v="SABS1200 GA \CONCRETE (SMALL WORKS)/8.2\SCHEDULED FORMWORK ITEMS/8.2.1\Rough - Sloping (&gt;10°&lt;85°). /\KS21_006-Concrete Drop Inlet. Refer to drawing NBC-GTW-CL-0041 \m²\45.348677435461 \ 650" u="1"/>
        <s v="SABS1200 GA \CONCRETE (SMALL WORKS)/8.2\SCHEDULED FORMWORK ITEMS/8.2.1\Rough Formwork - Sloping (&gt;10°&lt;85°). /\KS21_006-Concrete Drop Inlet. Drawing NBC-GTW-CL-0041 \m²\45.348677435461 \ 650" u="1"/>
        <s v="SABS1200 GA \CONCRETE (SMALL WORKS)/8.2\SCHEDULED FORMWORK ITEMS/8.2.1\Rough - Sloping (&gt;10°&lt;85°). /\KS18_016-Concrete Drop Inlet. Refer to drawing NBC-GTW-CL-0022 \m²\56.3622478801672 \ 650" u="1"/>
        <s v="SABS1200 GA \CONCRETE (SMALL WORKS)/8.2\SCHEDULED FORMWORK ITEMS/8.2.1\Rough Formwork - Sloping (&gt;10°&lt;85°). /\KS18_016-Concrete Drop Inlet. Drawing NBC-GTW-CL-0022 \m²\56.3622478801672 \ 650" u="1"/>
        <s v="SABS1200 GA  \ Concrete (Small Works) / 8.2\ SCHEDULED FORMWORK ITEMS / 8.2.1 \ Rough - Sloping (&gt;10°&lt;85°). /\KS12_006-Concrete Drop Inlet. Refer to drawing E \m²\30.9852321055478 \ 650" u="1"/>
        <s v="SABS1200 GA \CONCRETE (SMALL WORKS)/8.2\SCHEDULED FORMWORK ITEMS/8.2.1\Rough - Sloping (&gt;10°&lt;85°). /\KS19_002-Concrete Drop Inlet. Refer to drawing NBC-GTW-CL-0026 \m²\46.0892027908199 \ 650" u="1"/>
        <s v="SABS1200 GA \CONCRETE (SMALL WORKS)/8.2\SCHEDULED FORMWORK ITEMS/8.2.1\Rough - Sloping (&gt;10°&lt;85°). /\KS18_017-Concrete Drop Inlet. Drawing NBC-GTW-CL-0023 \m²\52.575645514272 \ 650" u="1"/>
        <s v="SABS1200 GA  \ Concrete (Small Works) / 8.2\ SCHEDULED FORMWORK ITEMS / 8.2.1 \ Rough - Sloping (&gt;10°&lt;85°). /\KS20_002-Concrete Drop Inlet. Refer to drawing AB \m²\52.8639233954343 \ 650" u="1"/>
        <s v="SABS1200 GA \CONCRETE (SMALL WORKS)/8.2\SCHEDULED FORMWORK ITEMS/8.2.1\Rough - Sloping (&gt;10°&lt;85°). /\KS18_018-Concrete Drop Inlet. Refer to drawing NBC-GTW-CL-0024 \m²\44.5054266893638 \ 650" u="1"/>
        <s v="SABS1200 GA \CONCRETE (SMALL WORKS)/8.2\SCHEDULED FORMWORK ITEMS/8.2.1\Rough Formwork - Sloping (&gt;10°&lt;85°). /\KS18_018-Concrete Drop Inlet. Drawing NBC-GTW-CL-0024 \m²\44.5054266893638 \ 650" u="1"/>
        <s v="SABS1200 GA  / Concrete (Small Works) / 8.2 / 8.2.1 / Rough - Sloping (&gt;10°&lt;85°) / KS13_006-Concrete Drop Inlet / 58.0575615157111 / m²" u="1"/>
        <s v="SABS1200 GA \CONCRETE (SMALL WORKS)/8.2\SCHEDULED FORMWORK ITEMS/8.2.1\Rough - Sloping (&gt;10°&lt;85°). /\KS12_004-Concrete Drop Inlet. Drawing NBC-GTW-CL-0003 \m²\58.4070059649952 \ 650" u="1"/>
        <s v="SABS1200 GA  \ Concrete (Small Works) / 8.2\ SCHEDULED FORMWORK ITEMS / 8.2.1 \ Rough - Sloping (&gt;10°&lt;85°). /\KS20_007-Concrete Drop Inlet. Refer to drawing AG \m²\59.5374174381272 \ 650" u="1"/>
        <s v="SABS1200 GA \CONCRETE (SMALL WORKS)/8.2\SCHEDULED FORMWORK ITEMS/8.2.1\Rough - Sloping (&gt;10°&lt;85°). /\KS13_006-Concrete Drop Inlet. Drawing NBC-GTW-CL-0012 \m²\58.0575615157111 \ 650" u="1"/>
        <s v="SABS1200 GA  \ Concrete (Small Works) / 8.2\ SCHEDULED FORMWORK ITEMS / 8.2.1 \ Rough - Sloping (&gt;10°&lt;85°). /\KS20_008-Concrete Drop Inlet \m²\72.8740665047539 \ 650" u="1"/>
        <s v="SABS1200 GA  \ Concrete (Small Works) / 8.2\ SCHEDULED FORMWORK ITEMS / 8.2.1 \ Rough - Sloping (&gt;10°&lt;85°). /\KS13_008-Concrete Drop Inlet. Refer to drawing N \m²\56.6781972496904 \ 650" u="1"/>
        <s v="SABS1200 GA \CONCRETE (SMALL WORKS)/8.2\SCHEDULED FORMWORK ITEMS/8.2.1\Rough - Sloping (&gt;10°&lt;85°). /\KS18_001-Concrete Drop Inlet. Refer to drawing NBC-GTW-CL-0019 \m²\88.650348334798 \ 650" u="1"/>
        <s v="SABS1200 GA \CONCRETE (SMALL WORKS)/8.2\SCHEDULED FORMWORK ITEMS/8.2.1\Rough Formwork - Sloping (&gt;10°&lt;85°). /\KS18_001-Concrete Drop Inlet. Drawing NBC-GTW-CL-0019 \m²\88.650348334798 \ 650" u="1"/>
        <s v="SABS1200 GA \CONCRETE (SMALL WORKS)/8.2\SCHEDULED FORMWORK ITEMS/8.2.1\Rough - Sloping (&gt;10°&lt;85°). /\KS21_005-Concrete Drop Inlet. Refer to drawing NBC-GTW-CL-0040 \m²\50.939046755886 \ 650" u="1"/>
        <s v="SABS1200 GA \CONCRETE (SMALL WORKS)/8.2\SCHEDULED FORMWORK ITEMS/8.2.1\Rough Formwork - Sloping (&gt;10°&lt;85°). /\KS21_005-Concrete Drop Inlet. Drawing NBC-GTW-CL-0040 \m²\50.939046755886 \ 650" u="1"/>
        <s v="SABS1200 GA \CONCRETE (SMALL WORKS)/8.2\SCHEDULED FORMWORK ITEMS/8.2.1\Rough - Sloping (&gt;10°&lt;85°). /\KS20_004-Concrete Drop Inlet. Refer to drawing NBC-GTW-CL-0030 \m²\63.3332755056505 \ 650" u="1"/>
        <s v="SABS1200 GA \CONCRETE (SMALL WORKS)/8.2\SCHEDULED FORMWORK ITEMS/8.2.1\Rough Formwork - Sloping (&gt;10°&lt;85°). /\KS20_004-Concrete Drop Inlet. Drawing NBC-GTW-CL-0030 \m²\63.3332755056505 \ 650" u="1"/>
        <s v="SABS1200 GA  \ Concrete (Small Works) / 8.2\ SCHEDULED FORMWORK ITEMS / 8.2.1 \ Rough - Sloping (&gt;10°&lt;85°). /\KS20_009_b-Concrete Overflow Wall \m²\4.29566479139143 \ 650" u="1"/>
        <s v="SABS1200 GA  \ Concrete (Small Works) / 8.2\ SCHEDULED FORMWORK ITEMS / 8.2.1 \ Rough - Sloping (&gt;10°&lt;85°). /\KS13_003-Concrete Drop Inlet \m²\49.822834066672 \ 650" u="1"/>
        <s v="SABS1200 GA \CONCRETE (SMALL WORKS)/8.2\SCHEDULED FORMWORK ITEMS/8.2.1\Rough - Sloping (&gt;10°&lt;85°). /\KS12_009-Concrete Drop Inlet. Drawing NBC-GTW-CL-0008 \m²\23.4752412582958 \ 650" u="1"/>
        <s v="SABS1200 GA \CONCRETE (SMALL WORKS)/8.2\SCHEDULED FORMWORK ITEMS/8.2.1\Rough - Sloping (&gt;10°&lt;85°). /\KS13_013-Concrete Drop Inlet. Drawing NBC-GTW-CL-0017 \m²\41.2942277297212 \ 650" u="1"/>
        <s v="SABS1200 GA  \ Concrete (Small Works) / 8.2\ SCHEDULED FORMWORK ITEMS / 8.2.1 \ Rough - Sloping (&gt;10°&lt;85°). /\KS21_003-Concrete Drop Inlet \m²\40.8873193576764 \ 650" u="1"/>
        <s v="SABS1200 GA \CONCRETE (SMALL WORKS)/8.2\SCHEDULED FORMWORK ITEMS/8.2.1\Rough - Sloping (&gt;10°&lt;85°). /\KS20_006-Concrete Drop Inlet. Drawing NBC-GTW-CL-0032 \m²\72.579338047832 \ 650" u="1"/>
        <s v="SABS1200 GA \CONCRETE (SMALL WORKS)/8.2\SCHEDULED FORMWORK ITEMS/8.2.1\Rough - Sloping (&gt;10°&lt;85°). /\KS18_019-Concrete Drop Inlet. Drawing NBC-GTW-CL-0025 \m²\56.7255840503127 \ 650" u="1"/>
        <s v="SABS1200 GA  \ Concrete (Small Works) / 8.2\ SCHEDULED FORMWORK ITEMS / 8.2.1 \ Rough - Sloping (&gt;10°&lt;85°). /\KS21_010-Concrete Drop Inlet \m²\55.2431932328765 \ 650" u="1"/>
        <s v="SABS1200 GA \CONCRETE (SMALL WORKS)/8.2\SCHEDULED FORMWORK ITEMS/8.2.1\Rough - Sloping (&gt;10°&lt;85°). /\ks11-002a-Concrete Drop Inlet on Dam Wall  \m²\124.76995008702 \ 650" u="1"/>
        <s v="SABS1200 GA \CONCRETE (SMALL WORKS)/8.2\SCHEDULED FORMWORK ITEMS/8.2.1\Rough - Sloping (&gt;10°&lt;85°). /\ks11-004a-Concrete Drop Inlet on Dam Wall  \m²\124.76995008702 \ 650" u="1"/>
        <s v="SABS1200 GA \CONCRETE (SMALL WORKS)/8.2\SCHEDULED FORMWORK ITEMS/8.2.1\Rough - Sloping (&gt;10°&lt;85°). /\KS20_007-Concrete Drop Inlet. Drawing NBC-GTW-CL-0033 \m²\59.5374174381272 \ 650" u="1"/>
        <s v="SABS1200 GA \CONCRETE (SMALL WORKS)/8.2\SCHEDULED FORMWORK ITEMS/8.2.1\Rough - Sloping (&gt;10°&lt;85°). /\KS18_015-Concrete Drop Inlet. Refer to drawing NBC-GTW-CL-0021 \m²\66.929119262221 \ 650" u="1"/>
        <s v="SABS1200 GA \CONCRETE (SMALL WORKS)/8.2\SCHEDULED FORMWORK ITEMS/8.2.1\Rough Formwork - Sloping (&gt;10°&lt;85°). /\KS18_015-Concrete Drop Inlet. Drawing NBC-GTW-CL-0021 \m²\66.929119262221 \ 650" u="1"/>
        <s v="SABS1200 GA  \ Concrete (Small Works) / 8.2\ SCHEDULED FORMWORK ITEMS / 8.2.1 \ Rough - Sloping (&gt;10°&lt;85°). /\KS13_013-Concrete Drop Inlet \m²\41.2942277297212 \ 650" u="1"/>
        <s v="SABS1200 GA  / Concrete (Small Works) / 8.2 / 8.2.1 / Rough - Sloping (&gt;10°&lt;85°) / KS13_003-Concrete Drop Inlet / 49.822834066672 / m²" u="1"/>
        <s v="SABS1200 GA  / Concrete (Small Works) / 8.2 / 8.2.1 / Rough - Sloping (&gt;10°&lt;85°) / KS21_009-Concrete Drop Inlet / 57.7336849462415 / m²" u="1"/>
        <s v="SABS1200 GA  \ Concrete (Small Works) / 8.2\ SCHEDULED FORMWORK ITEMS / 8.2.1 \ Rough - Sloping (&gt;10°&lt;85°). /\KS21_009-Concrete Drop Inlet \m²\57.7336849462415 \ 650" u="1"/>
        <s v="SABS1200 GA  \ Concrete (Small Works) / 8.2\ SCHEDULED FORMWORK ITEMS / 8.2.1 \ Rough - Sloping (&gt;10°&lt;85°). /\KS13_012-Concrete Drop Inlet. Refer to drawing P \m²\52.3209261824991 \ 650" u="1"/>
        <s v="SABS1200 GA  \ Concrete (Small Works) / 8.2\ SCHEDULED FORMWORK ITEMS / 8.2.1 \ Rough - Sloping (&gt;10°&lt;85°). /\KS13_012-Concrete Drop Inlet \m²\52.3209261824991 \ 650" u="1"/>
        <s v="SABS1200 GA  \ Concrete (Small Works) / 8.2\ SCHEDULED FORMWORK ITEMS / 8.2.1 \ Rough - Sloping (&gt;10°&lt;85°). /\KS21_005-Concrete Drop Inlet. Refer to drawing AN \m²\50.939046755886 \ 650" u="1"/>
        <s v="SABS1200 GA \CONCRETE (SMALL WORKS)/8.2\SCHEDULED FORMWORK ITEMS/8.2.1\Rough - Sloping (&gt;10°&lt;85°). /\KS20_004-Concrete Drop Inlet. Drawing NBC-GTW-CL-0030 \m²\63.3332755056505 \ 650" u="1"/>
        <s v="SABS1200 GA \CONCRETE (SMALL WORKS)/8.2\SCHEDULED FORMWORK ITEMS/8.2.1\Rough Formwork - Sloping (&gt;10°&lt;85°). /\KS18_020-Concrete Drop Inlet associated with Road Culvert  \m²\57.6958279475728 \ 650" u="1"/>
        <s v="SABS1200 GA  \ Concrete (Small Works) / 8.2\ SCHEDULED FORMWORK ITEMS / 8.2.1 \ Rough - Sloping (&gt;10°&lt;85°). /\KS13_011-Concrete Drop Inlet. Refer to drawing O \m²\63.0187522247123 \ 650" u="1"/>
        <s v="SABS1200 GA \CONCRETE (SMALL WORKS)/8.2\SCHEDULED FORMWORK ITEMS/8.2.1\Rough - Sloping (&gt;10°&lt;85°). /\KS12_007-Concrete Drop Inlet. Drawing NBC-GTW-CL-0006 \m²\38.9264143183359 \ 650" u="1"/>
        <s v="SABS1200 GA  \ Concrete (Small Works) / 8.2\ SCHEDULED FORMWORK ITEMS / 8.2.1 \ Rough - Sloping (&gt;10°&lt;85°). /\KS18_002-Concrete Drop Inlet \m²\46.8829660474418 \ 650" u="1"/>
        <s v="SABS1200 GA  / Concrete (Small Works) / 8.2 / 8.2.1 / Rough - Sloping (&gt;10°&lt;85°) / KS18_002-Concrete Drop Inlet / 46.8829660474418 / m²" u="1"/>
        <s v="SABS1200 GA \CONCRETE (SMALL WORKS)/8.2\SCHEDULED FORMWORK ITEMS/8.2.1\Rough - Sloping (&gt;10°&lt;85°). /\KS20_003-Concrete Buttress Weir. Drawing NBC-GTW-CL-0029 \m²\61.3910444262817 \ 650" u="1"/>
        <s v="SABS1200 GA \CONCRETE (SMALL WORKS)/8.2\SCHEDULED FORMWORK ITEMS/8.2.1\Rough - Sloping (&gt;10°&lt;85°). /\KS13_015-Concrete Drop Inlet. Refer to drawing NBC-GTW-CL-0018 \m²\41.4671810737264 \ 650" u="1"/>
        <s v="SABS1200 GA \CONCRETE (SMALL WORKS)/8.2\SCHEDULED FORMWORK ITEMS/8.2.1\Rough Formwork - Sloping (&gt;10°&lt;85°). /\KS13_015-Concrete Drop Inlet. Drawing NBC-GTW-CL-0018 \m²\41.4671810737264 \ 650" u="1"/>
        <s v="SABS1200 GA  / Concrete (Small Works) / 8.2 / 8.2.1 / Rough - Sloping (&gt;10°&lt;85°) / KS13_015-Concrete Drop Inlet / 41.4671810737264 / m²" u="1"/>
        <s v="SABS1200 GA \CONCRETE (SMALL WORKS)/8.2\SCHEDULED FORMWORK ITEMS/8.2.1\Rough - Sloping (&gt;10°&lt;85°). /\KS20_002-Concrete Drop Inlet. Refer to drawing NBC-GTW-CL-0028 \m²\56.8884402314798 \ 650" u="1"/>
        <s v="SABS1200 GA \CONCRETE (SMALL WORKS)/8.2\SCHEDULED FORMWORK ITEMS/8.2.1\Rough Formwork - Sloping (&gt;10°&lt;85°). /\KS20_002-Concrete Drop Inlet. Drawing NBC-GTW-CL-0028 \m²\56.8884402314798 \ 650" u="1"/>
        <s v="SABS1200 GA \CONCRETE (SMALL WORKS)/8.2\SCHEDULED FORMWORK ITEMS/8.2.1\Rough - Sloping (&gt;10°&lt;85°). /\KS13_004-Concrete Drop Inlet. Refer to drawing NBC-GTW-CL-0010 \m²\40.611330282822 \ 650" u="1"/>
        <s v="SABS1200 GA \CONCRETE (SMALL WORKS)/8.2\SCHEDULED FORMWORK ITEMS/8.2.1\Rough Formwork - Sloping (&gt;10°&lt;85°). /\KS13_004-Concrete Drop Inlet. Drawing NBC-GTW-CL-0010 \m²\40.611330282822 \ 650" u="1"/>
        <s v="SABS1200 GA \CONCRETE (SMALL WORKS)/8.2\SCHEDULED FORMWORK ITEMS/8.2.1\Rough - Sloping (&gt;10°&lt;85°). /\KS13_008-Concrete Drop Inlet. Refer to drawing NBC-GTW-CL-0014 \m²\56.6781972496904 \ 650" u="1"/>
        <s v="SABS1200 GA \CONCRETE (SMALL WORKS)/8.2\SCHEDULED FORMWORK ITEMS/8.2.1\Rough Formwork - Sloping (&gt;10°&lt;85°). /\KS13_008-Concrete Drop Inlet. Drawing NBC-GTW-CL-0014 \m²\56.6781972496904 \ 650" u="1"/>
        <s v="SABS1200 GA  / Concrete (Small Works) / 8.2 / 8.2.1 / Rough - Sloping (&gt;10°&lt;85°) / KS21_003-Concrete Drop Inlet / 40.8873193576764 / m²" u="1"/>
        <s v="SABS1200 GA  / Concrete (Small Works) / 8.2 / 8.2.1 / Rough - Sloping (&gt;10°&lt;85°) / KS13_013-Concrete Drop Inlet / 41.2942277297212 / m²" u="1"/>
        <s v="SABS1200 GA \CONCRETE (SMALL WORKS)/8.2\SCHEDULED FORMWORK ITEMS/8.2.1\Rough - Sloping (&gt;10°&lt;85°). /\KS20_006-Concrete Drop Inlet. Refer to drawing NBC-GTW-CL-0032 \m²\72.579338047832 \ 650" u="1"/>
        <s v="SABS1200 GA \CONCRETE (SMALL WORKS)/8.2\SCHEDULED FORMWORK ITEMS/8.2.1\Rough Formwork - Sloping (&gt;10°&lt;85°). /\KS20_006-Concrete Drop Inlet. Drawing NBC-GTW-CL-0032 \m²\72.579338047832 \ 650" u="1"/>
        <s v="SABS1200 GA  \ Concrete (Small Works) / 8.2\ SCHEDULED FORMWORK ITEMS / 8.2.1 \ Rough - Sloping (&gt;10°&lt;85°). /\KS20_005-Concrete Drop Inlet. Refer to drawing AE \m²\67.9531453846429 \ 650" u="1"/>
        <s v="SABS1200 GA  \ Concrete (Small Works) / 8.2\ SCHEDULED FORMWORK ITEMS / 8.2.1 \ Rough - Sloping (&gt;10°&lt;85°). /\KS13_015-Concrete Drop Inlet. Refer to drawing R \m²\41.4671810737264 \ 650" u="1"/>
        <s v="SABS1200 GA \CONCRETE (SMALL WORKS)/8.2\SCHEDULED FORMWORK ITEMS/8.2.1\Rough - Sloping (&gt;10°&lt;85°). /\KS21_010-Concrete Drop Inlet. Refer to drawing NBC-GTW-CL-0044 \m²\55.2431932328765 \ 650" u="1"/>
        <s v="SABS1200 GA \CONCRETE (SMALL WORKS)/8.2\SCHEDULED FORMWORK ITEMS/8.2.1\Rough Formwork - Sloping (&gt;10°&lt;85°). /\KS21_010-Concrete Drop Inlet. Drawing NBC-GTW-CL-0044 \m²\55.2431932328765 \ 650" u="1"/>
        <s v="SABS1200 GA  / Concrete (Small Works) / 8.2 / 8.2.1 / Rough - Sloping (&gt;10°&lt;85°) / KS12_005-Concrete Drop Inlet / 58.1500556713744 / m²" u="1"/>
        <s v="SABS1200 GA \CONCRETE (SMALL WORKS)/8.2\SCHEDULED FORMWORK ITEMS/8.2.1\Rough - Sloping (&gt;10°&lt;85°). /\KS13_004-Concrete Drop Inlet. Drawing NBC-GTW-CL-0010 \m²\40.611330282822 \ 650" u="1"/>
        <s v="SABS1200 GA  \ Concrete (Small Works) / 8.2\ SCHEDULED FORMWORK ITEMS / 8.2.1 \ Rough - Sloping (&gt;10°&lt;85°). /\KS13_007-Concrete Drop Inlet. Refer to drawing M \m²\47.2031779853186 \ 650" u="1"/>
        <s v="SABS1200 GA  \ Concrete (Small Works) / 8.2\ SCHEDULED FORMWORK ITEMS / 8.2.1 \ Rough - Sloping (&gt;10°&lt;85°). /\KS18_015-Concrete Drop Inlet \m²\66.929119262221 \ 650" u="1"/>
        <s v="SABS1200 GA  \ Concrete (Small Works) / 8.2\ SCHEDULED FORMWORK ITEMS / 8.2.1 \ Rough - Sloping (&gt;10°&lt;85°). /\KS12_008-Concrete Drop Inlet. Refer to drawing G \m²\30.6856907895328 \ 650" u="1"/>
        <s v="SABS1200 GA \CONCRETE (SMALL WORKS)/8.2\SCHEDULED FORMWORK ITEMS/8.2.1\Rough - Sloping (&gt;10°&lt;85°). /\KS21_003-Concrete Drop Inlet. Refer to drawing NBC-GTW-CL-0039 \m²\40.8873193576764 \ 650" u="1"/>
        <s v="SABS1200 GA \CONCRETE (SMALL WORKS)/8.2\SCHEDULED FORMWORK ITEMS/8.2.1\Rough - Sloping (&gt;10°&lt;85°). /\KS20_005-Concrete Drop Inlet. Refer to drawing NBC-GTW-CL-0031 \m²\67.9531453846429 \ 650" u="1"/>
        <s v="SABS1200 GA \CONCRETE (SMALL WORKS)/8.2\SCHEDULED FORMWORK ITEMS/8.2.1\Rough Formwork - Sloping (&gt;10°&lt;85°). /\KS20_005-Concrete Drop Inlet. Drawing NBC-GTW-CL-0031 \m²\67.9531453846429 \ 650" u="1"/>
        <s v="SABS1200 GA  \ Concrete (Small Works) / 8.2\ SCHEDULED FORMWORK ITEMS / 8.2.1 \ Rough - Sloping (&gt;10°&lt;85°). /\KS18_016-Concrete Drop Inlet \m²\56.3622478801672 \ 650" u="1"/>
        <s v="SABS1200 GA  \ Concrete (Small Works) / 8.2\ SCHEDULED FORMWORK ITEMS / 8.2.1 \ Rough - Sloping (&gt;10°&lt;85°). /\KS19_002-Concrete Drop Inlet. Refer to drawing Z \m²\46.0892027908199 \ 650" u="1"/>
        <s v="SABS1200 GA \CONCRETE (SMALL WORKS)/8.2\SCHEDULED FORMWORK ITEMS/8.2.1\Rough - Sloping (&gt;10°&lt;85°). /\KS18_020-Concrete Drop Inlet associated with Road Culvert  \m²\57.6958279475728 \ 650" u="1"/>
        <s v="SABS1200 GA  \ Concrete (Small Works) / 8.2\ SCHEDULED FORMWORK ITEMS / 8.2.1 \ Rough - Sloping (&gt;10°&lt;85°). /\KS18_001-Concrete Drop Inlet. Refer to drawing S \m²\88.650348334798 \ 650" u="1"/>
        <s v="SABS1200 GA \CONCRETE (SMALL WORKS)/8.2\SCHEDULED FORMWORK ITEMS/8.2.1\Rough - Sloping (&gt;10°&lt;85°). /\KS18_019-Concrete Drop Inlet. Refer to drawing NBC-GTW-CL-0025 \m²\56.7255840503127 \ 650" u="1"/>
        <s v="SABS1200 GA \CONCRETE (SMALL WORKS)/8.2\SCHEDULED FORMWORK ITEMS/8.2.1\Rough Formwork - Sloping (&gt;10°&lt;85°). /\KS18_019-Concrete Drop Inlet. Drawing NBC-GTW-CL-0025 \m²\56.7255840503127 \ 650" u="1"/>
        <s v="SABS1200 GA \CONCRETE (SMALL WORKS)/8.2\SCHEDULED FORMWORK ITEMS/8.2.1\Rough - Sloping (&gt;10°&lt;85°). /\KS12_008-Concrete Drop Inlet. Refer to drawing NBC-GTW-CL-0007 \m²\30.6856907895328 \ 650" u="1"/>
        <s v="SABS1200 GA \CONCRETE (SMALL WORKS)/8.2\SCHEDULED FORMWORK ITEMS/8.2.1\Rough - Sloping (&gt;10°&lt;85°). /\KS21_009-Concrete Drop Inlet. Drawing NBC-GTW-CL-0043 \m²\57.7336849462415 \ 650" u="1"/>
        <s v="SABS1200 GA  \ Concrete (Small Works) / 8.2\ SCHEDULED FORMWORK ITEMS / 8.2.1 \ Rough - Sloping (&gt;10°&lt;85°). /\KS19_002-Concrete Drop Inlet \m²\46.0892027908199 \ 650" u="1"/>
        <s v="SABS1200 GA  / Concrete (Small Works) / 8.2 / 8.2.1 / Rough - Sloping (&gt;10°&lt;85°) / KS13_004-Concrete Drop Inlet / 40.611330282822 / m²" u="1"/>
        <s v="SABS1200 GA  / Concrete (Small Works) / 8.2 / 8.2.1 / Rough - Sloping (&gt;10°&lt;85°) / KS20_008-Concrete Drop Inlet / 72.8740665047539 / m²" u="1"/>
        <s v="SABS1200 GA \CONCRETE (SMALL WORKS)/8.2\SCHEDULED FORMWORK ITEMS/8.2.1\Rough - Sloping (&gt;10°&lt;85°). /\KS12_007-Concrete Drop Inlet. Refer to drawing NBC-GTW-CL-0006 \m²\38.9264143183359 \ 650" u="1"/>
        <s v="SABS1200 GA  \ Concrete (Small Works) / 8.2\ SCHEDULED FORMWORK ITEMS / 8.2.1 \ Rough - Sloping (&gt;10°&lt;85°). /\KS20_007-Concrete Drop Inlet \m²\59.5374174381272 \ 650" u="1"/>
        <s v="SABS1200 GA  \ Concrete (Small Works) / 8.2\ SCHEDULED FORMWORK ITEMS / 8.2.1 \ Rough - Sloping (&gt;10°&lt;85°). /\KS13_003-Concrete Drop Inlet. Refer to drawing I \m²\49.822834066672 \ 650" u="1"/>
        <s v="SABS1200 GA  / Concrete (Small Works) / 8.2 / 8.2.1 / Rough - Sloping (&gt;10°&lt;85°) / KS21_005-Concrete Drop Inlet / 50.939046755886 / m²" u="1"/>
        <s v="SABS1200 GA  / Concrete (Small Works) / 8.2 / 8.2.1 / Rough - Sloping (&gt;10°&lt;85°) / KS19_002-Concrete Drop Inlet / 46.0892027908199 / m²" u="1"/>
        <s v="SABS1200 GA  \ Concrete (Small Works) / 8.2\ SCHEDULED FORMWORK ITEMS / 8.2.1 \ Rough - Sloping (&gt;10°&lt;85°). /\KS20_003-Concrete Buttress Weir \m²\61.3910444262817 \ 650" u="1"/>
        <s v="SABS1200 GA  \ Concrete (Small Works) / 8.2\ SCHEDULED FORMWORK ITEMS / 8.2.1 \ Rough - Sloping (&gt;10°&lt;85°). /\KS13_011-Concrete Drop Inlet \m²\63.0187522247123 \ 650" u="1"/>
        <s v="SABS1200 GA  \ Concrete (Small Works) / 8.2\ SCHEDULED FORMWORK ITEMS / 8.2.1 \ Rough - Sloping (&gt;10°&lt;85°). /\KS12_004-Concrete Drop Inlet \m²\58.4070059649952 \ 650" u="1"/>
        <s v="SABS1200 GA  \ Concrete (Small Works) / 8.2\ SCHEDULED FORMWORK ITEMS / 8.2.1 \ Rough - Sloping (&gt;10°&lt;85°). /\KS18_016-Concrete Drop Inlet. Refer to drawing V \m²\56.3622478801672 \ 650" u="1"/>
        <s v="SABS1200 GA  / Concrete (Small Works) / 8.2 / 8.2.1 / Rough - Sloping (&gt;10°&lt;85°) / KS13_007-Concrete Drop Inlet / 47.2031779853186 / m²" u="1"/>
        <s v="SABS1200 GA  \ Concrete (Small Works) / 8.2\ SCHEDULED FORMWORK ITEMS / 8.2.1 \ Rough - Sloping (&gt;10°&lt;85°). /\KS12_006-Concrete Drop Inlet \m²\30.9852321055478 \ 650" u="1"/>
        <s v="SABS1200 GA \CONCRETE (SMALL WORKS)/8.2\SCHEDULED FORMWORK ITEMS/8.2.1\Rough - Sloping (&gt;10°&lt;85°). /\KS21_005-Concrete Drop Inlet. Drawing NBC-GTW-CL-0040 \m²\50.939046755886 \ 650" u="1"/>
        <s v="SABS1200 GA  \ Concrete (Small Works) / 8.2\ SCHEDULED FORMWORK ITEMS / 8.2.1 \ Rough - Sloping (&gt;10°&lt;85°). /\KS18_017-Concrete Drop Inlet. Refer to drawing W \m²\52.575645514272 \ 650" u="1"/>
        <s v="SABS1200 GA \CONCRETE (SMALL WORKS)/8.2\SCHEDULED FORMWORK ITEMS/8.2.1\Rough - Sloping (&gt;10°&lt;85°). /\KS13_008-Concrete Drop Inlet. Drawing NBC-GTW-CL-0014 \m²\56.6781972496904 \ 650" u="1"/>
        <s v="SABS1200 GA  / Concrete (Small Works) / 8.2 / 8.2.1 / Rough - Sloping (&gt;10°&lt;85°) / KS12_008-Concrete Drop Inlet / 30.6856907895328 / m²" u="1"/>
        <s v="SABS1200 GA  \ Concrete (Small Works) / 8.2\ SCHEDULED FORMWORK ITEMS / 8.2.1 \ Rough - Sloping (&gt;10°&lt;85°). /\KS12_008-Concrete Drop Inlet \m²\30.6856907895328 \ 650" u="1"/>
        <s v="SABS1200 GA  \ Concrete (Small Works) / 8.2\ SCHEDULED FORMWORK ITEMS / 8.2.1 \ Rough - Sloping (&gt;10°&lt;85°). /\KS18_018-Concrete Drop Inlet. Refer to drawing X \m²\44.5054266893638 \ 650" u="1"/>
        <s v="SABS1200 GA  \ Concrete (Small Works) / 8.2\ SCHEDULED FORMWORK ITEMS / 8.2.1 \ Rough - Sloping (&gt;10°&lt;85°). /\KS21_007-Concrete Drop Inlet \m²\46.0461262534551 \ 650" u="1"/>
        <s v="SABS1200 GA  \ Concrete (Small Works) / 8.2\ SCHEDULED FORMWORK ITEMS / 8.2.1 \ Rough - Sloping (&gt;10°&lt;85°). /\KS18_019-Concrete Drop Inlet \m²\56.7255840503127 \ 650" u="1"/>
        <s v="SABS1200 GA  / Concrete (Small Works) / 8.2 / 8.2.1 / Rough - Sloping (&gt;10°&lt;85°) / KS12_006-Concrete Drop Inlet / 30.9852321055478 / m²" u="1"/>
        <s v="SABS1200 GA  \ Concrete (Small Works) / 8.2\ SCHEDULED FORMWORK ITEMS / 8.2.1 \ Rough - Sloping (&gt;10°&lt;85°). /\KS18_017-Concrete Drop Inlet \m²\52.575645514272 \ 650" u="1"/>
        <s v="SABS1200 GA \CONCRETE (SMALL WORKS)/8.2\SCHEDULED FORMWORK ITEMS/8.2.1\Rough - Sloping (&gt;10°&lt;85°). /\KS20_002-Concrete Drop Inlet. Drawing NBC-GTW-CL-0028 \m²\56.8884402314798 \ 650" u="1"/>
        <s v="SABS1200 GA  / Concrete (Small Works) / 8.2 / 8.2.1 / Rough - Sloping (&gt;10°&lt;85°) / KS12_009-Concrete Drop Inlet / 23.4752412582958 / m²" u="1"/>
        <s v="SABS1200 GA  \ Concrete (Small Works) / 8.2\ SCHEDULED FORMWORK ITEMS / 8.2.1 \ Rough - Sloping (&gt;10°&lt;85°). /\KS12_009-Concrete Drop Inlet \m²\23.4752412582958 \ 650" u="1"/>
        <s v="SABS1200 GA  \ Concrete (Small Works) / 8.2\ SCHEDULED FORMWORK ITEMS / 8.2.1 \ Rough - Sloping (&gt;10°&lt;85°). /\KS21_007-Concrete Drop Inlet. Refer to drawing AP \m²\46.0461262534551 \ 650" u="1"/>
        <s v="SABS1200 GA  \ Concrete (Small Works) / 8.2\ SCHEDULED FORMWORK ITEMS / 8.2.1 \ Rough - Sloping (&gt;10°&lt;85°). /\KS18_001-Concrete Drop Inlet \m²\88.650348334798 \ 650" u="1"/>
        <s v="SABS1200 GA  \ Concrete (Small Works) / 8.2\ SCHEDULED FORMWORK ITEMS / 8.2.1 \ Rough - Sloping (&gt;10°&lt;85°). /\KS12_004-Concrete Drop Inlet. Refer to drawing C \m²\58.4070059649952 \ 650" u="1"/>
        <s v="SABS1200 GA \CONCRETE (SMALL WORKS)/8.2\SCHEDULED FORMWORK ITEMS/8.2.1\Rough - Sloping (&gt;10°&lt;85°). /\KS13_011-Concrete Drop Inlet. Refer to drawing NBC-GTW-CL-0015 \m²\63.0187522247123 \ 650" u="1"/>
        <s v="SABS1200 GA \CONCRETE (SMALL WORKS)/8.2\SCHEDULED FORMWORK ITEMS/8.2.1\Rough - Sloping (&gt;10°&lt;85°). /\KS13_007-Concrete Drop Inlet. Refer to drawing NBC-GTW-CL-0013 \m²\47.2031779853186 \ 650" u="1"/>
        <s v="SABS1200 GA \CONCRETE (SMALL WORKS)/8.2\SCHEDULED FORMWORK ITEMS/8.2.1\Rough Formwork - Sloping (&gt;10°&lt;85°). /\KS13_007-Concrete Drop Inlet. Drawing NBC-GTW-CL-0013 \m²\47.2031779853186 \ 650" u="1"/>
        <s v="SABS1200 GA \CONCRETE (SMALL WORKS)/8.2\SCHEDULED FORMWORK ITEMS/8.2.1\Rough - Sloping (&gt;10°&lt;85°). /\KS13_011-Concrete Drop Inlet. Drawing NBC-GTW-CL-0015 \m²\60.2 \ 650" u="1"/>
        <s v="SABS1200 GA  \ Concrete (Small Works) / 8.2\ SCHEDULED FORMWORK ITEMS / 8.2.1 \ Rough - Sloping (&gt;10°&lt;85°). /\KS13_006-Concrete Drop Inlet. Refer to drawing L \m²\58.0575615157111 \ 650" u="1"/>
        <s v="SABS1200 GA \CONCRETE (SMALL WORKS)/8.2\SCHEDULED FORMWORK ITEMS/8.2.1\Rough - Sloping (&gt;10°&lt;85°). /\KS13_015-Concrete Drop Inlet. Drawing NBC-GTW-CL-0018 \m²\41.4671810737264 \ 650" u="1"/>
        <s v="SABS1200 GA  \ Concrete (Small Works) / 8.2\ SCHEDULED FORMWORK ITEMS / 8.2.1 \ Rough - Sloping (&gt;10°&lt;85°). /\KS20_006-Concrete Drop Inlet \m²\72.579338047832 \ 650" u="1"/>
        <s v="SABS1200 GA  / Concrete (Small Works) / 8.2 / 8.2.1 / Rough - Sloping (&gt;10°&lt;85°) / KS18_019-Concrete Drop Inlet / 56.7255840503127 / m²" u="1"/>
        <s v="SABS1200 GA \CONCRETE (SMALL WORKS)/8.2\SCHEDULED FORMWORK ITEMS/8.2.1\Rough - Sloping (&gt;10°&lt;85°). /\KS18_001-Concrete Drop Inlet. Drawing NBC-GTW-CL-0019 \m²\88.650348334798 \ 650" u="1"/>
        <s v="SABS1200 GA \CONCRETE (SMALL WORKS)/8.2\SCHEDULED FORMWORK ITEMS/8.2.1\Rough - Sloping (&gt;10°&lt;85°). /\KS19_002-Concrete Drop Inlet. Drawing NBC-GTW-CL-0026 \m²\46.0892027908199 \ 650" u="1"/>
        <s v="SABS1200 GA \CONCRETE (SMALL WORKS)/8.2\SCHEDULED FORMWORK ITEMS/8.2.1\Rough - Sloping (&gt;10°&lt;85°). /\KS12_009-Concrete Drop Inlet. Refer to drawing NBC-GTW-CL-0008 \m²\23.4752412582958 \ 650" u="1"/>
        <s v="SABS1200 GA  \ Concrete (Small Works) / 8.2\ SCHEDULED FORMWORK ITEMS / 8.2.1 \ Rough - Sloping (&gt;10°&lt;85°). /\KS12_007-Concrete Drop Inlet \m²\38.9264143183359 \ 650" u="1"/>
        <s v="SABS1200 GA \CONCRETE (SMALL WORKS)/8.2\SCHEDULED FORMWORK ITEMS/8.2.1\Rough - Sloping (&gt;10°&lt;85°). /\KS21_007-Concrete Drop Inlet. Drawing NBC-GTW-CL-0042 \m²\46.0461262534551 \ 650" u="1"/>
        <s v="SABS1200 GA \CONCRETE (SMALL WORKS)/8.2\SCHEDULED FORMWORK ITEMS/8.2.1\Rough - Sloping (&gt;10°&lt;85°). /\KS13_011-Concrete Drop Inlet. Refer to drawing NBC-GTW-CL-0015 \m²\60.2 \ 650" u="1"/>
        <s v="SABS1200 GA \CONCRETE (SMALL WORKS)/8.2\SCHEDULED FORMWORK ITEMS/8.2.1\Rough Formwork - Sloping (&gt;10°&lt;85°). /\KS13_011-Concrete Drop Inlet. Drawing NBC-GTW-CL-0015 \m²\60.2 \ 650" u="1"/>
        <s v="SABS1200 GA \CONCRETE (SMALL WORKS)/8.2\SCHEDULED FORMWORK ITEMS/8.2.1\Rough - Sloping (&gt;10°&lt;85°). /\KS13_012-Concrete Drop Inlet. Refer to drawing NBC-GTW-CL-0016 \m²\52.3209261824991 \ 650" u="1"/>
        <s v="SABS1200 GA \CONCRETE (SMALL WORKS)/8.2\SCHEDULED FORMWORK ITEMS/8.2.1\Rough Formwork - Sloping (&gt;10°&lt;85°). /\KS13_012-Concrete Drop Inlet. Drawing NBC-GTW-CL-0016 \m²\52.3209261824991 \ 650" u="1"/>
        <s v="SABS1200 GA  / Concrete (Small Works) / 8.2 / 8.2.1 / Rough - Sloping (&gt;10°&lt;85°) / KS18_015-Concrete Drop Inlet / 66.929119262221 / m²" u="1"/>
        <s v="SABS1200 GA  \ Concrete (Small Works) / 8.2\ SCHEDULED FORMWORK ITEMS / 8.2.1 \ Rough - Sloping (&gt;10°&lt;85°). /\KS12_009-Concrete Drop Inlet. Refer to drawing H \m²\23.4752412582958 \ 650" u="1"/>
        <s v="SABS1200 GA  \ Concrete (Small Works) / 8.2\ SCHEDULED FORMWORK ITEMS / 8.2.1 \ Rough - Sloping (&gt;10°&lt;85°). /\KS13_013-Concrete Drop Inlet. Refer to drawing Q \m²\41.2942277297212 \ 650" u="1"/>
      </sharedItems>
    </cacheField>
    <cacheField name="Rough - Battered (&lt;10°)2" numFmtId="0">
      <sharedItems count="2">
        <s v=" "/>
        <s v="" u="1"/>
      </sharedItems>
    </cacheField>
    <cacheField name="Rough - Vertical (0°)2" numFmtId="0">
      <sharedItems count="269">
        <s v=" "/>
        <s v="SABS1200 GA \CONCRETE (SMALL WORKS)/8.2\SCHEDULED FORMWORK ITEMS/8.2.1\Rough Formwork - Vertical (0°). /\ks11-001-Off-take structure  \m²\3.068 \ 650"/>
        <s v="SABS1200 GA \CONCRETE (SMALL WORKS)/8.2\SCHEDULED FORMWORK ITEMS/8.2.1\Rough Formwork - Vertical (0°). /\ks11-002a-Concrete Drop Inlet on Dam Wall  \m²\47 \ 650"/>
        <s v="SABS1200 GA \CONCRETE (SMALL WORKS)/8.2\SCHEDULED FORMWORK ITEMS/8.2.1\Rough Formwork - Vertical (0°). /\ks11-002b-Concrete Splash Through Structure. Drawing NBC-GTW-CL-0067 \m²\10.8 \ 650"/>
        <s v="SABS1200 GA \CONCRETE (SMALL WORKS)/8.2\SCHEDULED FORMWORK ITEMS/8.2.1\Rough Formwork - Vertical (0°). /\ks11-004a-Concrete Drop Inlet on Dam Wall  \m²\47 \ 650"/>
        <s v="SABS1200 GA \CONCRETE (SMALL WORKS)/8.2\SCHEDULED FORMWORK ITEMS/8.2.1\Rough Formwork - Vertical (0°). /\ks11-004b-Concrete Splash Through Structure. Drawing NBC-GTW-CL-0068 \m²\10.8 \ 650"/>
        <s v="SABS1200 GA \CONCRETE (SMALL WORKS)/8.2\SCHEDULED FORMWORK ITEMS/8.2.1\Rough Formwork - Vertical (0°). /\KS12_002-Concrete Drop Inlet. Drawing NBC-GTW-CL-0002 \m²\20.3 \ 650"/>
        <s v="SABS1200 GA \CONCRETE (SMALL WORKS)/8.2\SCHEDULED FORMWORK ITEMS/8.2.1\Rough Formwork - Vertical (0°). /\KS12_004-Concrete Drop Inlet. Drawing NBC-GTW-CL-0003 \m²\7.2 \ 650"/>
        <s v="SABS1200 GA \CONCRETE (SMALL WORKS)/8.2\SCHEDULED FORMWORK ITEMS/8.2.1\Rough Formwork - Vertical (0°). /\KS12_005-Concrete Drop Inlet. Drawing NBC-GTW-CL-0004 \m²\5.58 \ 650"/>
        <s v="SABS1200 GA \CONCRETE (SMALL WORKS)/8.2\SCHEDULED FORMWORK ITEMS/8.2.1\Rough Formwork - Vertical (0°). /\KS12_006-Concrete Drop Inlet. Drawing NBC-GTW-CL-0005 \m²\2.25 \ 650"/>
        <s v="SABS1200 GA \CONCRETE (SMALL WORKS)/8.2\SCHEDULED FORMWORK ITEMS/8.2.1\Rough Formwork - Vertical (0°). /\KS12_007-Concrete Drop Inlet. Drawing NBC-GTW-CL-0006 \m²\3.15 \ 650"/>
        <s v="SABS1200 GA \CONCRETE (SMALL WORKS)/8.2\SCHEDULED FORMWORK ITEMS/8.2.1\Rough Formwork - Vertical (0°). /\KS12_008-Concrete Drop Inlet. Drawing NBC-GTW-CL-0007 \m²\2 \ 650"/>
        <s v="SABS1200 GA \CONCRETE (SMALL WORKS)/8.2\SCHEDULED FORMWORK ITEMS/8.2.1\Rough Formwork - Vertical (0°). /\KS12_009-Concrete Drop Inlet. Drawing NBC-GTW-CL-0008 \m²\0.9 \ 650"/>
        <s v="SABS1200 GA \CONCRETE (SMALL WORKS)/8.2\SCHEDULED FORMWORK ITEMS/8.2.1\Rough Formwork - Vertical (0°). /\KS13_003-Concrete Drop Inlet. Drawing NBC-GTW-CL-0009 \m²\16.51 \ 650"/>
        <s v="SABS1200 GA \CONCRETE (SMALL WORKS)/8.2\SCHEDULED FORMWORK ITEMS/8.2.1\Rough Formwork - Vertical (0°). /\KS19_002-Concrete Drop Inlet. Drawing NBC-GTW-CL-0026 \m²\6.42 \ 650"/>
        <s v="SABS1200 GA \CONCRETE (SMALL WORKS)/8.2\SCHEDULED FORMWORK ITEMS/8.2.1\Rough Formwork - Vertical (0°). /\KS20_001-Concrete Drop Inlet. Drawing NBC-GTW-CL-0027 \m²\2.385 \ 650"/>
        <s v="SABS1200 GA \CONCRETE (SMALL WORKS)/8.2\SCHEDULED FORMWORK ITEMS/8.2.1\Rough Formwork - Vertical (0°). /\KS20_009_a-Concrete Check Wall. Drawing NBC-GTW-CL-0035 \m²\11 \ 650"/>
        <s v="SABS1200 GA \CONCRETE (SMALL WORKS)/8.2\SCHEDULED FORMWORK ITEMS/8.2.1\Rough Formwork - Vertical (0°). /\KS21_003-Concrete Drop Inlet. Drawing NBC-GTW-CL-0039 \m²\4.25 \ 650"/>
        <s v="SABS1200 GA \CONCRETE (SMALL WORKS)/8,2\SCHEDULED FORMWORK ITEMS/8.2.1\Rough Formwork - Vertical (0°). /\KS21_005-Concrete Drop Inlet. Drawing NBC-GTW-CL-0040 \m²\4,25 \ 650"/>
        <s v="" u="1"/>
        <s v="SABS1200 GA  \ Concrete (Small Works) / 8.2\ SCHEDULED FORMWORK ITEMS / 8.2.1 \ Rough - Vertical (0°). /\KS21_005-Concrete Drop Inlet \m²\20.4756 \ 650" u="1"/>
        <s v="SABS1200 GA  \ Concrete (Small Works) / 8.2\ SCHEDULED FORMWORK ITEMS / 8.2.1 \ Rough - Vertical (0°). /\KS21_006-Concrete Drop Inlet \m²\17.9256 \ 650" u="1"/>
        <s v="SABS1200 GA \CONCRETE (SMALL WORKS)/8.2\SCHEDULED FORMWORK ITEMS/8.2.1\Rough - Vertical (0°). /\KS21_010-Concrete Drop Inlet. Drawing NBC-GTW-CL-0044 \m²\17.0307 \ 650" u="1"/>
        <s v="SABS1200 GA  \ Concrete (Small Works) / 8.2\ SCHEDULED FORMWORK ITEMS / 8.2.1 \ Rough - Vertical (0°). /\KS20_005-Concrete Drop Inlet. Refer to drawing AE \m²\27.8504 \ 650" u="1"/>
        <s v="SABS1200 GA  \ Concrete (Small Works) / 8.2\ SCHEDULED FORMWORK ITEMS / 8.2.1 \ Rough - Vertical (0°). /\KS13_015-Concrete Drop Inlet. Refer to drawing R \m²\13.34 \ 650" u="1"/>
        <s v="SABS1200 GA \CONCRETE (SMALL WORKS)/8.2\SCHEDULED FORMWORK ITEMS/8.2.1\Rough - Vertical (0°). /\KS18_019-Concrete Drop Inlet. Drawing NBC-GTW-CL-0025 \m²\4.56 \ 650" u="1"/>
        <s v="SABS1200 GA \CONCRETE (SMALL WORKS)/8.2\SCHEDULED FORMWORK ITEMS/8.2.1\Rough - Vertical (0°). /\KS20_001-Concrete Drop Inlet. Drawing NBC-GTW-CL-0027 \m²\2.385 \ 650" u="1"/>
        <s v="SABS1200 GA  \ Concrete (Small Works) / 8.2\ SCHEDULED FORMWORK ITEMS / 8.2.1 \ Rough - Vertical (0°). /\KS13_004-Concrete Drop Inlet \m²\12.74 \ 650" u="1"/>
        <s v="SABS1200 GA \CONCRETE (SMALL WORKS)/8.2\SCHEDULED FORMWORK ITEMS/8.2.1\Rough - Vertical (0°). /\ks11-001-Off-take structure  \m²\3.068 \ 650" u="1"/>
        <s v="SABS1200 GA  \ Concrete (Small Works) / 8.2\ SCHEDULED FORMWORK ITEMS / 8.2.1 \ Rough - Vertical (0°). /\KS21_010-Concrete Drop Inlet. Refer to drawing AR \m²\17.0307 \ 650" u="1"/>
        <s v="SABS1200 GA  \ Concrete (Small Works) / 8.2\ SCHEDULED FORMWORK ITEMS / 8.2.1 \ Rough - Vertical (0°). /\KS20_008-Concrete Drop Inlet. Refer to drawing AH \m²\32.34 \ 650" u="1"/>
        <s v="SABS1200 GA \CONCRETE (SMALL WORKS)/8.2\SCHEDULED FORMWORK ITEMS/8.2.1\Rough - Vertical (0°). /\KS13_008-Concrete Drop Inlet. Refer to drawing NBC-GTW-CL-0014 \m²\19.39 \ 650" u="1"/>
        <s v="SABS1200 GA \CONCRETE (SMALL WORKS)/8.2\SCHEDULED FORMWORK ITEMS/8.2.1\Rough Formwork - Vertical (0°). /\KS13_008-Concrete Drop Inlet. Drawing NBC-GTW-CL-0014 \m²\19.39 \ 650" u="1"/>
        <e v="#REF!" u="1"/>
        <s v="SABS1200 GA \CONCRETE (SMALL WORKS)/8.2\SCHEDULED FORMWORK ITEMS/8.2.1\Rough - Vertical (0°). /\KS13_013-Concrete Drop Inlet. Refer to drawing NBC-GTW-CL-0017 \m²\13.04 \ 650" u="1"/>
        <s v="SABS1200 GA \CONCRETE (SMALL WORKS)/8.2\SCHEDULED FORMWORK ITEMS/8.2.1\Rough Formwork - Vertical (0°). /\KS13_013-Concrete Drop Inlet. Drawing NBC-GTW-CL-0017 \m²\13.04 \ 650" u="1"/>
        <s v="SABS1200 GA  / Concrete (Small Works) / 8.2 / 8.2.1 / Rough - Vertical (0°) / KS20_004-Concrete Drop Inlet / 19.9134 / m²" u="1"/>
        <s v="SABS1200 GA \CONCRETE (SMALL WORKS)/8.2\SCHEDULED FORMWORK ITEMS/8.2.1\Rough - Vertical (0°). /\KS13_015-Concrete Drop Inlet. Drawing NBC-GTW-CL-0018 \m²\13.34 \ 650" u="1"/>
        <s v="SABS1200 GA \CONCRETE (SMALL WORKS)/8.2\SCHEDULED FORMWORK ITEMS/8.2.1\Rough - Vertical (0°). /\KS20_008-Concrete Drop Inlet. Drawing NBC-GTW-CL-0034 \m²\32.34 \ 650" u="1"/>
        <s v="SABS1200 GA \CONCRETE (SMALL WORKS)/8.2\SCHEDULED FORMWORK ITEMS/8.2.1\Rough - Vertical (0°). /\KS20_004-Concrete Drop Inlet. Drawing NBC-GTW-CL-0030 \m²\19.9134 \ 650" u="1"/>
        <s v="SABS1200 GA  / Concrete (Small Works) / 8.2 / 8.2.1 / Rough - Vertical (0°) / KS13_013-Concrete Drop Inlet / 13.04 / m²" u="1"/>
        <s v="SABS1200 GA \CONCRETE (SMALL WORKS)/8.2\SCHEDULED FORMWORK ITEMS/8.2.1\Rough - Vertical (0°). /\KS20_005-Concrete Drop Inlet. Drawing NBC-GTW-CL-0031 \m²\27.8504 \ 650" u="1"/>
        <s v="SABS1200 GA  / Concrete (Small Works) / 8.2 / 8.2.1 / Rough - Vertical (0°) / KS13_015-Concrete Drop Inlet / 13.34 / m²" u="1"/>
        <s v="SABS1200 GA  \ Concrete (Small Works) / 8.2\ SCHEDULED FORMWORK ITEMS / 8.2.1 \ Rough - Vertical (0°). /\KS13_012-Concrete Drop Inlet. Refer to drawing P \m²\16.88 \ 650" u="1"/>
        <s v="SABS1200 GA  \ Concrete (Small Works) / 8.2\ SCHEDULED FORMWORK ITEMS / 8.2.1 \ Rough - Vertical (0°). /\KS18_001-Concrete Drop Inlet. Refer to drawing S \m²\34.38 \ 650" u="1"/>
        <s v="SABS1200 GA \CONCRETE (SMALL WORKS)/8.2\SCHEDULED FORMWORK ITEMS/8.2.1\Rough - Vertical (0°). /\KS20_003-Concrete Buttress Weir. Refer to drawing NBC-GTW-CL-0029 \m²\50.7771862068966 \ 650" u="1"/>
        <s v="SABS1200 GA \CONCRETE (SMALL WORKS)/8.2\SCHEDULED FORMWORK ITEMS/8.2.1\Rough Formwork - Vertical (0°). /\KS20_003-Concrete Buttress Weir. Drawing NBC-GTW-CL-0029 \m²\50.7771862068966 \ 650" u="1"/>
        <s v="SABS1200 GA  \ Concrete (Small Works) / 8.2\ SCHEDULED FORMWORK ITEMS / 8.2.1 \ Rough - Vertical (0°). /\KS13_008-Concrete Drop Inlet \m²\19.39 \ 650" u="1"/>
        <s v="SABS1200 GA  \ Concrete (Small Works) / 8.2\ SCHEDULED FORMWORK ITEMS / 8.2.1 \ Rough - Vertical (0°). /\KS13_015-Concrete Drop Inlet \m²\13.34 \ 650" u="1"/>
        <s v="SABS1200 GA  \ Concrete (Small Works) / 8.2\ SCHEDULED FORMWORK ITEMS / 8.2.1 \ Rough - Vertical (0°). /\KS20_008-Concrete Drop Inlet \m²\32.34 \ 650" u="1"/>
        <s v="SABS1200 GA \CONCRETE (SMALL WORKS)/8.2\SCHEDULED FORMWORK ITEMS/8.2.1\Rough - Vertical (0°). /\KS18_001-Concrete Drop Inlet. Drawing NBC-GTW-CL-0019 \m²\34.38 \ 650" u="1"/>
        <s v="SABS1200 GA \CONCRETE (SMALL WORKS)/8.2\SCHEDULED FORMWORK ITEMS/8.2.1\Rough - Vertical (0°). /\KS20_009_a-Concrete Drop Inlet. Refer to drawing NBC-GTW-CL-0035 \m²\69.6344577319588 \ 650" u="1"/>
        <s v="SABS1200 GA \CONCRETE (SMALL WORKS)/8.2\SCHEDULED FORMWORK ITEMS/8.2.1\Rough - Vertical (0°). /\ks11-002b-Concrete Splash Through Structure. Refer to drawing NBC-GTW-CL-0067 \m²\10.8 \ 650" u="1"/>
        <s v="SABS1200 GA \CONCRETE (SMALL WORKS)/8.2\SCHEDULED FORMWORK ITEMS/8.2.1\Rough - Vertical (0°). /\ks11-004b-Concrete Splash Through Structure. Refer to drawing NBC-GTW-CL-0068 \m²\10.8 \ 650" u="1"/>
        <s v="SABS1200 GA \CONCRETE (SMALL WORKS)/8.2\SCHEDULED FORMWORK ITEMS/8.2.1\Rough - Vertical (0°). /\KS13_008-Concrete Drop Inlet. Drawing NBC-GTW-CL-0014 \m²\19.39 \ 650" u="1"/>
        <s v="SABS1200 GA  \ Concrete (Small Works) / 8.2\ SCHEDULED FORMWORK ITEMS / 8.2.1 \ Rough - Vertical (0°). /\KS13_008-Concrete Drop Inlet. Refer to drawing N \m²\19.39 \ 650" u="1"/>
        <s v="SABS1200 GA  \ Concrete (Small Works) / 8.2\ SCHEDULED FORMWORK ITEMS / 8.2.1 \ Rough - Vertical (0°). /\KS20_001-Concrete Drop Inlet \m²\2.385 \ 650" u="1"/>
        <s v="SABS1200 GA \CONCRETE (SMALL WORKS)/8.2\SCHEDULED FORMWORK ITEMS/8.2.1\Rough - Vertical (0°). /\KS13_011-Concrete Drop Inlet. Drawing NBC-GTW-CL-0015 \m²\20.2 \ 650" u="1"/>
        <s v="SABS1200 GA \CONCRETE (SMALL WORKS)/8.2\SCHEDULED FORMWORK ITEMS/8.2.1\Rough - Vertical (0°). /\KS18_002-Concrete Drop Inlet. Drawing NBC-GTW-CL-0020 \m²\17.6 \ 650" u="1"/>
        <s v="SABS1200 GA  \ Concrete (Small Works) / 8.2\ SCHEDULED FORMWORK ITEMS / 8.2.1 \ Rough - Vertical (0°). /\KS20_003-Concrete Buttress Weir \m²\50.7771862068966 \ 650" u="1"/>
        <s v="SABS1200 GA  \ Concrete (Small Works) / 8.2\ SCHEDULED FORMWORK ITEMS / 8.2.1 \ Rough - Vertical (0°). /\KS20_009_a-Concrete Drop Inlet \m²\69.6344577319588 \ 650" u="1"/>
        <s v="SABS1200 GA  \ Concrete (Small Works) / 8.2\ SCHEDULED FORMWORK ITEMS / 8.2.1 \ Rough - Vertical (0°). /\KS18_002-Concrete Drop Inlet. Refer to drawing T \m²\17.6 \ 650" u="1"/>
        <s v="SABS1200 GA \CONCRETE (SMALL WORKS)/8.2\SCHEDULED FORMWORK ITEMS/8.2.1\Rough - Vertical (0°). /\KS12_006-Concrete Drop Inlet. Refer to drawing NBC-GTW-CL-0005 \m²\2.25 \ 650" u="1"/>
        <s v="SABS1200 GA \CONCRETE (SMALL WORKS)/8.2\SCHEDULED FORMWORK ITEMS/8.2.1\Rough - Vertical (0°). /\KS21_003-Concrete Drop Inlet. Refer to drawing NBC-GTW-CL-0039 \m²\4.25 \ 650" u="1"/>
        <s v="SABS1200 GA  \ Concrete (Small Works) / 8.2\ SCHEDULED FORMWORK ITEMS / 8.2.1 \ Rough - Vertical (0°). /\KS12_008-Concrete Drop Inlet \m²\2 \ 650" u="1"/>
        <s v="SABS1200 GA  \ Concrete (Small Works) / 8.2\ SCHEDULED FORMWORK ITEMS / 8.2.1 \ Rough - Vertical (0°). /\KS20_009_a-Concrete Drop Inlet. Refer to drawing AI \m²\69.6344577319588 \ 650" u="1"/>
        <s v="SABS1200 GA  / Concrete (Small Works) / 8.2 / 8.2.1 / Rough - Vertical (0°) / KS13_005-Concrete Drop Inlet / 18.96 / m²" u="1"/>
        <s v="SABS1200 GA  \ Concrete (Small Works) / 8.2\ SCHEDULED FORMWORK ITEMS / 8.2.1 \ Rough - Vertical (0°). /\KS20_004-Concrete Drop Inlet. Refer to drawing AD \m²\19.9134 \ 650" u="1"/>
        <s v="SABS1200 GA \CONCRETE (SMALL WORKS)/8.2\SCHEDULED FORMWORK ITEMS/8.2.1\Rough - Vertical (0°). /\KS13_003-Concrete Drop Inlet. Refer to drawing NBC-GTW-CL-0009 \m²\16.51 \ 650" u="1"/>
        <s v="SABS1200 GA \CONCRETE (SMALL WORKS)/8.2\SCHEDULED FORMWORK ITEMS/8.2.1\Rough - Vertical (0°). /\ks11-001-Off-take structure  \m²\0.2 \ 650" u="1"/>
        <s v="SABS1200 GA \CONCRETE (SMALL WORKS)/8.2\SCHEDULED FORMWORK ITEMS/8.2.1\Rough - Vertical (0°). /\KS20_007-Concrete Drop Inlet. Drawing NBC-GTW-CL-0033 \m²\18.3664 \ 650" u="1"/>
        <s v="SABS1200 GA  / Concrete (Small Works) / 8.2 / 8.2.1 / Rough - Vertical (0°) / KS20_005-Concrete Drop Inlet / 27.8504 / m²" u="1"/>
        <s v="SABS1200 GA  \ Concrete (Small Works) / 8.2\ SCHEDULED FORMWORK ITEMS / 8.2.1 \ Rough - Vertical (0°). /\KS13_013-Concrete Drop Inlet \m²\13.04 \ 650" u="1"/>
        <s v="SABS1200 GA \CONCRETE (SMALL WORKS)/8.2\SCHEDULED FORMWORK ITEMS/8.2.1\Rough Formwork - Vertical (0°). /\KS18_020-Concrete Drop Inlet associated with Road Culvert  \m²\18.465 \ 650" u="1"/>
        <s v="SABS1200 GA  / Concrete (Small Works) / 8.2 / 8.2.1 / Rough - Vertical (0°) / KS20_002-Concrete Drop Inlet / 4.5 / m²" u="1"/>
        <s v="SABS1200 GA  / Concrete (Small Works) / 8.2 / 8.2.1 / Rough - Vertical (0°) / KS13_006-Concrete Drop Inlet / 19.2 / m²" u="1"/>
        <s v="SABS1200 GA  \ Concrete (Small Works) / 8.2\ SCHEDULED FORMWORK ITEMS / 8.2.1 \ Rough - Vertical (0°). /\KS20_004-Concrete Drop Inlet \m²\19.9134 \ 650" u="1"/>
        <s v="SABS1200 GA \CONCRETE (SMALL WORKS)/8.2\SCHEDULED FORMWORK ITEMS/8.2.1\Rough - Vertical (0°). /\KS12_009-Concrete Drop Inlet. Drawing NBC-GTW-CL-0008 \m²\0.9 \ 650" u="1"/>
        <s v="SABS1200 GA \CONCRETE (SMALL WORKS)/8.2\SCHEDULED FORMWORK ITEMS/8.2.1\Rough - Vertical (0°). /\KS13_015-Concrete Drop Inlet. Refer to drawing NBC-GTW-CL-0018 \m²\13.34 \ 650" u="1"/>
        <s v="SABS1200 GA \CONCRETE (SMALL WORKS)/8.2\SCHEDULED FORMWORK ITEMS/8.2.1\Rough - Vertical (0°). /\KS20_008-Concrete Drop Inlet. Refer to drawing NBC-GTW-CL-0034 \m²\32.34 \ 650" u="1"/>
        <s v="SABS1200 GA \CONCRETE (SMALL WORKS)/8.2\SCHEDULED FORMWORK ITEMS/8.2.1\Rough Formwork - Vertical (0°). /\KS13_015-Concrete Drop Inlet. Drawing NBC-GTW-CL-0018 \m²\13.34 \ 650" u="1"/>
        <s v="SABS1200 GA \CONCRETE (SMALL WORKS)/8.2\SCHEDULED FORMWORK ITEMS/8.2.1\Rough Formwork - Vertical (0°). /\KS20_008-Concrete Drop Inlet. Drawing NBC-GTW-CL-0034 \m²\32.34 \ 650" u="1"/>
        <s v="SABS1200 GA \CONCRETE (SMALL WORKS)/8.2\SCHEDULED FORMWORK ITEMS/8.2.1\Rough - Vertical (0°). /\KS21_007-Concrete Drop Inlet. Drawing NBC-GTW-CL-0042 \m²\14.7763 \ 650" u="1"/>
        <s v="SABS1200 GA \CONCRETE (SMALL WORKS)/8.2\SCHEDULED FORMWORK ITEMS/8.2.1\Rough - Vertical (0°). /\KS13_005-Concrete Drop Inlet. Refer to drawing NBC-GTW-CL-0011 \m²\18.96 \ 650" u="1"/>
        <s v="SABS1200 GA \CONCRETE (SMALL WORKS)/8.2\SCHEDULED FORMWORK ITEMS/8.2.1\Rough Formwork - Vertical (0°). /\KS13_005-Concrete Drop Inlet. Drawing NBC-GTW-CL-0011 \m²\18.96 \ 650" u="1"/>
        <s v="SABS1200 GA \CONCRETE (SMALL WORKS)/8.2\SCHEDULED FORMWORK ITEMS/8.2.1\Rough - Vertical (0°). /\KS20_009_a-Concrete Buttress Weir. Drawing NBC-GTW-CL-0035 \m²\69.6344577319588 \ 650" u="1"/>
        <s v="SABS1200 GA \CONCRETE (SMALL WORKS)/8.2\SCHEDULED FORMWORK ITEMS/8.2.1\Rough - Vertical (0°). /\KS20_002-Concrete Drop Inlet. Refer to drawing NBC-GTW-CL-0028 \m²\4.5 \ 650" u="1"/>
        <s v="SABS1200 GA  / Concrete (Small Works) / 8.2 / 8.2.1 / Rough - Vertical (0°) / KS13_007-Concrete Drop Inlet / 14.91 / m²" u="1"/>
        <s v="SABS1200 GA \CONCRETE (SMALL WORKS)/8.2\SCHEDULED FORMWORK ITEMS/8.2.1\Rough - Vertical (0°). /\ks11-002a-Concrete Drop Inlet on Dam Wall  \m²\47 \ 650" u="1"/>
        <s v="SABS1200 GA \CONCRETE (SMALL WORKS)/8.2\SCHEDULED FORMWORK ITEMS/8.2.1\Rough - Vertical (0°). /\ks11-004a-Concrete Drop Inlet on Dam Wall  \m²\47 \ 650" u="1"/>
        <s v="SABS1200 GA  \ Concrete (Small Works) / 8.2\ SCHEDULED FORMWORK ITEMS / 8.2.1 \ Rough - Vertical (0°). /\KS13_006-Concrete Drop Inlet. Refer to drawing L \m²\19.2 \ 650" u="1"/>
        <s v="SABS1200 GA \CONCRETE (SMALL WORKS)/8.2\SCHEDULED FORMWORK ITEMS/8.2.1\Rough - Vertical (0°). /\KS13_007-Concrete Drop Inlet. Drawing NBC-GTW-CL-0013 \m²\14.91 \ 650" u="1"/>
        <s v="SABS1200 GA \CONCRETE (SMALL WORKS)/8.2\SCHEDULED FORMWORK ITEMS/8.2.1\Rough - Vertical (0°). /\KS21_010-Concrete Drop Inlet. Refer to drawing NBC-GTW-CL-0044 \m²\17.0307 \ 650" u="1"/>
        <s v="SABS1200 GA \CONCRETE (SMALL WORKS)/8.2\SCHEDULED FORMWORK ITEMS/8.2.1\Rough Formwork - Vertical (0°). /\KS21_010-Concrete Drop Inlet. Drawing NBC-GTW-CL-0044 \m²\17.0307 \ 650" u="1"/>
        <s v="SABS1200 GA  \ Concrete (Small Works) / 8.2\ SCHEDULED FORMWORK ITEMS / 8.2.1 \ Rough - Vertical (0°). /\KS20_007-Concrete Drop Inlet \m²\18.3664 \ 650" u="1"/>
        <s v="SABS1200 GA  \ Concrete (Small Works) / 8.2\ SCHEDULED FORMWORK ITEMS / 8.2.1 \ Rough - Vertical (0°). /\KS12_009-Concrete Drop Inlet. Refer to drawing H \m²\0.9 \ 650" u="1"/>
        <s v="SABS1200 GA \CONCRETE (SMALL WORKS)/8.2\SCHEDULED FORMWORK ITEMS/8.2.1\Rough - Vertical (0°). /\KS20_004-Concrete Drop Inlet. Refer to drawing NBC-GTW-CL-0030 \m²\19.9134 \ 650" u="1"/>
        <s v="SABS1200 GA \CONCRETE (SMALL WORKS)/8.2\SCHEDULED FORMWORK ITEMS/8.2.1\Rough Formwork - Vertical (0°). /\KS20_004-Concrete Drop Inlet. Drawing NBC-GTW-CL-0030 \m²\19.9134 \ 650" u="1"/>
        <s v="SABS1200 GA  / Concrete (Small Works) / 8.2 / 8.2.1 / Rough - Vertical (0°) / KS20_006-Concrete Drop Inlet / 28.7426 / m²" u="1"/>
        <s v="SABS1200 GA  / Concrete (Small Works) / 8.2 / 8.2.1 / Rough - Vertical (0°) / KS18_015-Concrete Drop Inlet / 23.46 / m²" u="1"/>
        <s v="SABS1200 GA \CONCRETE (SMALL WORKS)/8.2\SCHEDULED FORMWORK ITEMS/8.2.1\Rough - Vertical (0°). /\ks11-002b-Concrete Splash Through Structure. Drawing NBC-GTW-CL-0067 \m²\10.8 \ 650" u="1"/>
        <s v="SABS1200 GA \CONCRETE (SMALL WORKS)/8.2\SCHEDULED FORMWORK ITEMS/8.2.1\Rough - Vertical (0°). /\ks11-004b-Concrete Splash Through Structure. Drawing NBC-GTW-CL-0068 \m²\10.8 \ 650" u="1"/>
        <s v="SABS1200 GA  \ Concrete (Small Works) / 8.2\ SCHEDULED FORMWORK ITEMS / 8.2.1 \ Rough - Vertical (0°). /\KS13_011-Concrete Drop Inlet \m²\22.52 \ 650" u="1"/>
        <s v="SABS1200 GA \CONCRETE (SMALL WORKS)/8.2\SCHEDULED FORMWORK ITEMS/8.2.1\Rough - Vertical (0°). /\KS21_007-Concrete Drop Inlet. Refer to drawing NBC-GTW-CL-0042 \m²\14.7763 \ 650" u="1"/>
        <s v="SABS1200 GA \CONCRETE (SMALL WORKS)/8.2\SCHEDULED FORMWORK ITEMS/8.2.1\Rough Formwork - Vertical (0°). /\KS21_007-Concrete Drop Inlet. Drawing NBC-GTW-CL-0042 \m²\14.7763 \ 650" u="1"/>
        <s v="SABS1200 GA  \ Concrete (Small Works) / 8.2\ SCHEDULED FORMWORK ITEMS / 8.2.1 \ Rough - Vertical (0°). /\KS20_002-Concrete Drop Inlet \m²\4.5 \ 650" u="1"/>
        <s v="SABS1200 GA \CONCRETE (SMALL WORKS)/8.2\SCHEDULED FORMWORK ITEMS/8.2.1\Rough - Vertical (0°). /\KS18_018-Concrete Drop Inlet. Refer to drawing NBC-GTW-CL-0024 \m²\13.81 \ 650" u="1"/>
        <s v="SABS1200 GA \CONCRETE (SMALL WORKS)/8.2\SCHEDULED FORMWORK ITEMS/8.2.1\Rough Formwork - Vertical (0°). /\KS18_018-Concrete Drop Inlet. Drawing NBC-GTW-CL-0024 \m²\13.81 \ 650" u="1"/>
        <s v="SABS1200 GA  / Concrete (Small Works) / 8.2 / 8.2.1 / Rough - Vertical (0°) / KS20_009_b-Concrete Overflow Wall / 29.036 / m²" u="1"/>
        <s v="SABS1200 GA  \ Concrete (Small Works) / 8.2\ SCHEDULED FORMWORK ITEMS / 8.2.1 \ Rough - Vertical (0°). /\KS12_007-Concrete Drop Inlet \m²\3.15 \ 650" u="1"/>
        <s v="SABS1200 GA \CONCRETE (SMALL WORKS)/8.2\SCHEDULED FORMWORK ITEMS/8.2.1\Rough - Vertical (0°). /\KS13_005-Concrete Drop Inlet. Drawing NBC-GTW-CL-0011 \m²\18.96 \ 650" u="1"/>
        <s v="SABS1200 GA \CONCRETE (SMALL WORKS)/8.2\SCHEDULED FORMWORK ITEMS/8.2.1\Rough - Vertical (0°). /\KS20_003-Concrete Buttress Weir. Drawing NBC-GTW-CL-0029 \m²\50.7771862068966 \ 650" u="1"/>
        <s v="SABS1200 GA \CONCRETE (SMALL WORKS)/8.2\SCHEDULED FORMWORK ITEMS/8.2.1\Rough - Vertical (0°). /\KS13_007-Concrete Drop Inlet. Refer to drawing NBC-GTW-CL-0013 \m²\14.91 \ 650" u="1"/>
        <s v="SABS1200 GA \CONCRETE (SMALL WORKS)/8.2\SCHEDULED FORMWORK ITEMS/8.2.1\Rough Formwork - Vertical (0°). /\KS13_007-Concrete Drop Inlet. Drawing NBC-GTW-CL-0013 \m²\14.91 \ 650" u="1"/>
        <s v="SABS1200 GA  / Concrete (Small Works) / 8.2 / 8.2.1 / Rough - Vertical (0°) / KS21_006-Concrete Drop Inlet / 17.9256 / m²" u="1"/>
        <s v="SABS1200 GA  \ Concrete (Small Works) / 8.2\ SCHEDULED FORMWORK ITEMS / 8.2.1 \ Rough - Vertical (0°). /\KS18_002-Concrete Drop Inlet \m²\17.6 \ 650" u="1"/>
        <s v="SABS1200 GA \CONCRETE (SMALL WORKS)/8.2\SCHEDULED FORMWORK ITEMS/8.2.1\Rough - Vertical (0°). /\KS21_009-Concrete Drop Inlet. Refer to drawing NBC-GTW-CL-0043 \m²\18.4275 \ 650" u="1"/>
        <s v="SABS1200 GA \CONCRETE (SMALL WORKS)/8.2\SCHEDULED FORMWORK ITEMS/8.2.1\Rough Formwork - Vertical (0°). /\KS21_009-Concrete Drop Inlet. Drawing NBC-GTW-CL-0043 \m²\18.4275 \ 650" u="1"/>
        <s v="SABS1200 GA  \ Concrete (Small Works) / 8.2\ SCHEDULED FORMWORK ITEMS / 8.2.1 \ Rough - Vertical (0°). /\KS19_002-Concrete Drop Inlet. Refer to drawing Z \m²\6.42 \ 650" u="1"/>
        <s v="SABS1200 GA \CONCRETE (SMALL WORKS)/8.2\SCHEDULED FORMWORK ITEMS/8.2.1\Rough - Vertical (0°). /\KS12_007-Concrete Drop Inlet. Refer to drawing NBC-GTW-CL-0006 \m²\3.15 \ 650" u="1"/>
        <s v="SABS1200 GA  \ Concrete (Small Works) / 8.2\ SCHEDULED FORMWORK ITEMS / 8.2.1 \ Rough - Vertical (0°). /\KS13_007-Concrete Drop Inlet. Refer to drawing M \m²\14.91 \ 650" u="1"/>
        <s v="SABS1200 GA  \ Concrete (Small Works) / 8.2\ SCHEDULED FORMWORK ITEMS / 8.2.1 \ Rough - Vertical (0°). /\KS12_004-Concrete Drop Inlet \m²\7.2 \ 650" u="1"/>
        <s v="SABS1200 GA \CONCRETE (SMALL WORKS)/8.2\SCHEDULED FORMWORK ITEMS/8.2.1\Rough - Vertical (0°). /\KS12_008-Concrete Drop Inlet. Drawing NBC-GTW-CL-0007 \m²\2 \ 650" u="1"/>
        <s v="SABS1200 GA  / Concrete (Small Works) / 8.2 / 8.2.1 / Rough - Vertical (0°) / KS12_008-Concrete Drop Inlet / 2 / m²" u="1"/>
        <s v="SABS1200 GA \CONCRETE (SMALL WORKS)/8.2\SCHEDULED FORMWORK ITEMS/8.2.1\Rough - Vertical (0°). /\KS21_005-Concrete Drop Inlet. Refer to drawing NBC-GTW-CL-0040 \m²\20.4756 \ 650" u="1"/>
        <s v="SABS1200 GA \CONCRETE (SMALL WORKS)/8.2\SCHEDULED FORMWORK ITEMS/8.2.1\Rough Formwork - Vertical (0°). /\KS21_005-Concrete Drop Inlet. Drawing NBC-GTW-CL-0040 \m²\20.4756 \ 650" u="1"/>
        <s v="SABS1200 GA  \ Concrete (Small Works) / 8.2\ SCHEDULED FORMWORK ITEMS / 8.2.1 \ Rough - Vertical (0°). /\KS21_009-Concrete Drop Inlet \m²\18.4275 \ 650" u="1"/>
        <s v="SABS1200 GA \CONCRETE (SMALL WORKS)/8.2\SCHEDULED FORMWORK ITEMS/8.2.1\Rough - Vertical (0°). /\KS12_007-Concrete Drop Inlet. Drawing NBC-GTW-CL-0006 \m²\3.15 \ 650" u="1"/>
        <s v="SABS1200 GA \CONCRETE (SMALL WORKS)/8.2\SCHEDULED FORMWORK ITEMS/8.2.1\Rough - Vertical (0°). /\KS13_004-Concrete Drop Inlet. Refer to drawing NBC-GTW-CL-0010 \m²\12.74 \ 650" u="1"/>
        <s v="SABS1200 GA \CONCRETE (SMALL WORKS)/8.2\SCHEDULED FORMWORK ITEMS/8.2.1\Rough Formwork - Vertical (0°). /\KS13_004-Concrete Drop Inlet. Drawing NBC-GTW-CL-0010 \m²\12.74 \ 650" u="1"/>
        <s v="SABS1200 GA  \ Concrete (Small Works) / 8.2\ SCHEDULED FORMWORK ITEMS / 8.2.1 \ Rough - Vertical (0°). /\KS21_007-Concrete Drop Inlet. Refer to drawing AP \m²\14.7763 \ 650" u="1"/>
        <s v="SABS1200 GA  \ Concrete (Small Works) / 8.2\ SCHEDULED FORMWORK ITEMS / 8.2.1 \ Rough - Vertical (0°). /\KS21_006-Concrete Drop Inlet. Refer to drawing AO \m²\17.9256 \ 650" u="1"/>
        <s v="SABS1200 GA  \ Concrete (Small Works) / 8.2\ SCHEDULED FORMWORK ITEMS / 8.2.1 \ Rough - Vertical (0°). /\KS19_002-Concrete Drop Inlet \m²\6.42 \ 650" u="1"/>
        <s v="SABS1200 GA  \ Concrete (Small Works) / 8.2\ SCHEDULED FORMWORK ITEMS / 8.2.1 \ Rough - Vertical (0°). /\KS18_016-Concrete Drop Inlet \m²\18.4 \ 650" u="1"/>
        <s v="SABS1200 GA  / Concrete (Small Works) / 8.2 / 8.2.1 / Rough - Vertical (0°) / KS20_009_a-Concrete Drop Inlet / 69.6344577319588 / m²" u="1"/>
        <s v="SABS1200 GA \CONCRETE (SMALL WORKS)/8.2\SCHEDULED FORMWORK ITEMS/8.2.1\Rough - Vertical (0°). /\KS13_006-Concrete Drop Inlet. Refer to drawing NBC-GTW-CL-0012 \m²\19.2 \ 650" u="1"/>
        <s v="SABS1200 GA \CONCRETE (SMALL WORKS)/8.2\SCHEDULED FORMWORK ITEMS/8.2.1\Rough Formwork - Vertical (0°). /\KS13_006-Concrete Drop Inlet. Drawing NBC-GTW-CL-0012 \m²\19.2 \ 650" u="1"/>
        <s v="SABS1200 GA \CONCRETE (SMALL WORKS)/8.2\SCHEDULED FORMWORK ITEMS/8.2.1\Rough - Vertical (0°). /\KS12_005-Concrete Drop Inlet. Drawing NBC-GTW-CL-0004 \m²\5.58 \ 650" u="1"/>
        <s v="SABS1200 GA \CONCRETE (SMALL WORKS)/8.2\SCHEDULED FORMWORK ITEMS/8.2.1\Rough - Vertical (0°). /\KS20_009_b-Concrete Overflow Wall. Drawing NBC-GTW-CL-0035 \m²\29.036 \ 650" u="1"/>
        <s v="SABS1200 GA  \ Concrete (Small Works) / 8.2\ SCHEDULED FORMWORK ITEMS / 8.2.1 \ Rough - Vertical (0°). /\KS13_006-Concrete Drop Inlet \m²\19.2 \ 650" u="1"/>
        <s v="SABS1200 GA \CONCRETE (SMALL WORKS)/8.2\SCHEDULED FORMWORK ITEMS/8.2.1\Rough - Vertical (0°). /\KS13_003-Concrete Drop Inlet. Drawing NBC-GTW-CL-0009 \m²\16.51 \ 650" u="1"/>
        <s v="SABS1200 GA \CONCRETE (SMALL WORKS)/8.2\SCHEDULED FORMWORK ITEMS/8.2.1\Rough - Vertical (0°). /\KS21_009-Concrete Drop Inlet. Drawing NBC-GTW-CL-0043 \m²\18.4275 \ 650" u="1"/>
        <s v="SABS1200 GA  / Concrete (Small Works) / 8.2 / 8.2.1 / Rough - Vertical (0°) / KS18_002-Concrete Drop Inlet / 17.6 / m²" u="1"/>
        <s v="SABS1200 GA  \ Concrete (Small Works) / 8.2\ SCHEDULED FORMWORK ITEMS / 8.2.1 \ Rough - Vertical (0°). /\KS13_005-Concrete Drop Inlet. Refer to drawing K \m²\18.96 \ 650" u="1"/>
        <s v="SABS1200 GA  \ Concrete (Small Works) / 8.2\ SCHEDULED FORMWORK ITEMS / 8.2.1 \ Rough - Vertical (0°). /\KS18_015-Concrete Drop Inlet. Refer to drawing U \m²\23.46 \ 650" u="1"/>
        <s v="SABS1200 GA  \ Concrete (Small Works) / 8.2\ SCHEDULED FORMWORK ITEMS / 8.2.1 \ Rough - Vertical (0°). /\KS12_004-Concrete Drop Inlet. Refer to drawing C \m²\7.2 \ 650" u="1"/>
        <s v="SABS1200 GA \CONCRETE (SMALL WORKS)/8.2\SCHEDULED FORMWORK ITEMS/8.2.1\Rough - Vertical (0°). /\KS20_006-Concrete Drop Inlet. Refer to drawing NBC-GTW-CL-0032 \m²\28.7426 \ 650" u="1"/>
        <s v="SABS1200 GA \CONCRETE (SMALL WORKS)/8.2\SCHEDULED FORMWORK ITEMS/8.2.1\Rough Formwork - Vertical (0°). /\KS20_006-Concrete Drop Inlet. Drawing NBC-GTW-CL-0032 \m²\28.7426 \ 650" u="1"/>
        <s v="SABS1200 GA  \ Concrete (Small Works) / 8.2\ SCHEDULED FORMWORK ITEMS / 8.2.1 \ Rough - Vertical (0°). /\KS20_007-Concrete Drop Inlet. Refer to drawing AG \m²\18.3664 \ 650" u="1"/>
        <s v="SABS1200 GA  \ Concrete (Small Works) / 8.2\ SCHEDULED FORMWORK ITEMS / 8.2.1 \ Rough - Vertical (0°). /\KS20_009_b-Concrete Overflow Wall \m²\29.036 \ 650" u="1"/>
        <s v="SABS1200 GA  \ Concrete (Small Works) / 8.2\ SCHEDULED FORMWORK ITEMS / 8.2.1 \ Rough - Vertical (0°). /\KS21_009-Concrete Drop Inlet. Refer to drawing AQ \m²\18.4275 \ 650" u="1"/>
        <s v="SABS1200 GA \CONCRETE (SMALL WORKS)/8.2\SCHEDULED FORMWORK ITEMS/8.2.1\Rough - Vertical (0°). /\KS21_006-Concrete Drop Inlet. Refer to drawing NBC-GTW-CL-0041 \m²\17.9256 \ 650" u="1"/>
        <s v="SABS1200 GA \CONCRETE (SMALL WORKS)/8.2\SCHEDULED FORMWORK ITEMS/8.2.1\Rough Formwork - Vertical (0°). /\KS21_006-Concrete Drop Inlet. Drawing NBC-GTW-CL-0041 \m²\17.9256 \ 650" u="1"/>
        <s v="SABS1200 GA  / Concrete (Small Works) / 8.2 / 8.2.1 / Rough - Vertical (0°) / KS21_010-Concrete Drop Inlet / 17.0307 / m²" u="1"/>
        <s v="SABS1200 GA \CONCRETE (SMALL WORKS)/8.2\SCHEDULED FORMWORK ITEMS/8.2.1\Rough - Vertical (0°). /\KS18_016-Concrete Drop Inlet. Refer to drawing NBC-GTW-CL-0022 \m²\18.4 \ 650" u="1"/>
        <s v="SABS1200 GA \CONCRETE (SMALL WORKS)/8.2\SCHEDULED FORMWORK ITEMS/8.2.1\Rough Formwork - Vertical (0°). /\KS18_016-Concrete Drop Inlet. Drawing NBC-GTW-CL-0022 \m²\18.4 \ 650" u="1"/>
        <s v="SABS1200 GA \CONCRETE (SMALL WORKS)/8.2\SCHEDULED FORMWORK ITEMS/8.2.1\Rough - Vertical (0°). /\KS13_011-Concrete Drop Inlet. Refer to drawing NBC-GTW-CL-0015 \m²\22.52 \ 650" u="1"/>
        <s v="SABS1200 GA \CONCRETE (SMALL WORKS)/8.2\SCHEDULED FORMWORK ITEMS/8.2.1\Rough - Vertical (0°). /\KS18_018-Concrete Drop Inlet. Drawing NBC-GTW-CL-0024 \m²\13.81 \ 650" u="1"/>
        <s v="SABS1200 GA  / Concrete (Small Works) / 8.2 / 8.2.1 / Rough - Vertical (0°) / KS12_004-Concrete Drop Inlet / 7.2 / m²" u="1"/>
        <s v="SABS1200 GA  / Concrete (Small Works) / 8.2 / 8.2.1 / Rough - Vertical (0°) / KS20_003-Concrete Buttress Weir / 50.7771862068966 / m²" u="1"/>
        <s v="SABS1200 GA  / Concrete (Small Works) / 8.2 / 8.2.1 / Rough - Vertical (0°) / KS13_011-Concrete Drop Inlet / 22.52 / m²" u="1"/>
        <s v="SABS1200 GA  / Concrete (Small Works) / 8.2 / 8.2.1 / Rough - Vertical (0°) / KS13_012-Concrete Drop Inlet / 16.88 / m²" u="1"/>
        <s v="SABS1200 GA  \ Concrete (Small Works) / 8.2\ SCHEDULED FORMWORK ITEMS / 8.2.1 \ Rough - Vertical (0°). /\KS12_006-Concrete Drop Inlet. Refer to drawing E \m²\2.25 \ 650" u="1"/>
        <s v="SABS1200 GA \CONCRETE (SMALL WORKS)/8.2\SCHEDULED FORMWORK ITEMS/8.2.1\Rough - Vertical (0°). /\KS18_019-Concrete Drop Inlet. Refer to drawing NBC-GTW-CL-0025 \m²\4.56 \ 650" u="1"/>
        <s v="SABS1200 GA \CONCRETE (SMALL WORKS)/8.2\SCHEDULED FORMWORK ITEMS/8.2.1\Rough Formwork - Vertical (0°). /\KS18_019-Concrete Drop Inlet. Drawing NBC-GTW-CL-0025 \m²\4.56 \ 650" u="1"/>
        <s v="SABS1200 GA  \ Concrete (Small Works) / 8.2\ SCHEDULED FORMWORK ITEMS / 8.2.1 \ Rough - Vertical (0°). /\KS12_008-Concrete Drop Inlet. Refer to drawing G \m²\2 \ 650" u="1"/>
        <s v="SABS1200 GA  \ Concrete (Small Works) / 8.2\ SCHEDULED FORMWORK ITEMS / 8.2.1 \ Rough - Vertical (0°). /\KS12_007-Concrete Drop Inlet. Refer to drawing F \m²\3.15 \ 650" u="1"/>
        <s v="SABS1200 GA \CONCRETE (SMALL WORKS)/8.2\SCHEDULED FORMWORK ITEMS/8.2.1\Rough - Vertical (0°). /\KS20_002-Concrete Drop Inlet. Refer to drawing NBC-GTW-CL-0028 \m²\4.8 \ 650" u="1"/>
        <s v="SABS1200 GA \CONCRETE (SMALL WORKS)/8.2\SCHEDULED FORMWORK ITEMS/8.2.1\Rough Formwork - Vertical (0°). /\KS20_002-Concrete Drop Inlet. Drawing NBC-GTW-CL-0028 \m²\4.8 \ 650" u="1"/>
        <s v="SABS1200 GA  \ Concrete (Small Works) / 8.2\ SCHEDULED FORMWORK ITEMS / 8.2.1 \ Rough - Vertical (0°). /\KS12_005-Concrete Drop Inlet \m²\5.58 \ 650" u="1"/>
        <s v="SABS1200 GA \CONCRETE (SMALL WORKS)/8.2\SCHEDULED FORMWORK ITEMS/8.2.1\Rough - Vertical (0°). /\KS13_012-Concrete Drop Inlet. Drawing NBC-GTW-CL-0016 \m²\16.88 \ 650" u="1"/>
        <s v="SABS1200 GA \CONCRETE (SMALL WORKS)/8.2\SCHEDULED FORMWORK ITEMS/8.2.1\Rough - Vertical (0°). /\KS19_002-Concrete Drop Inlet. Refer to drawing NBC-GTW-CL-0026 \m²\6.42 \ 650" u="1"/>
        <s v="SABS1200 GA  \ Concrete (Small Works) / 8.2\ SCHEDULED FORMWORK ITEMS / 8.2.1 \ Rough - Vertical (0°). /\KS13_012-Concrete Drop Inlet \m²\16.88 \ 650" u="1"/>
        <s v="SABS1200 GA  \ Concrete (Small Works) / 8.2\ SCHEDULED FORMWORK ITEMS / 8.2.1 \ Rough - Vertical (0°). /\KS13_004-Concrete Drop Inlet. Refer to drawing J \m²\12.74 \ 650" u="1"/>
        <s v="SABS1200 GA \CONCRETE (SMALL WORKS)/8.2\SCHEDULED FORMWORK ITEMS/8.2.1\Rough - Vertical (0°). /\KS18_020-Concrete Drop Inlet associated with Road Culvert  \m²\18.465 \ 650" u="1"/>
        <s v="SABS1200 GA  \ Concrete (Small Works) / 8.2\ SCHEDULED FORMWORK ITEMS / 8.2.1 \ Rough - Vertical (0°). /\KS12_006-Concrete Drop Inlet \m²\2.25 \ 650" u="1"/>
        <s v="SABS1200 GA  \ Concrete (Small Works) / 8.2\ SCHEDULED FORMWORK ITEMS / 8.2.1 \ Rough - Vertical (0°). /\KS21_003-Concrete Drop Inlet \m²\4.25 \ 650" u="1"/>
        <s v="SABS1200 GA  \ Concrete (Small Works) / 8.2\ SCHEDULED FORMWORK ITEMS / 8.2.1 \ Rough - Vertical (0°). /\KS21_003-Concrete Drop Inlet. Refer to drawing AM \m²\4.25 \ 650" u="1"/>
        <s v="SABS1200 GA  \ Concrete (Small Works) / 8.2\ SCHEDULED FORMWORK ITEMS / 8.2.1 \ Rough - Vertical (0°). /\KS20_003-Concrete Buttress Weir. Refer to drawing AC \m²\50.7771862068966 \ 650" u="1"/>
        <s v="SABS1200 GA  \ Concrete (Small Works) / 8.2\ SCHEDULED FORMWORK ITEMS / 8.2.1 \ Rough - Vertical (0°). /\KS18_019-Concrete Drop Inlet \m²\4.56 \ 650" u="1"/>
        <s v="SABS1200 GA \CONCRETE (SMALL WORKS)/8.2\SCHEDULED FORMWORK ITEMS/8.2.1\Rough - Vertical (0°). /\KS20_009_b-Concrete Overflow Wall. Refer to drawing NBC-GTW-CL-0035 \m²\29.036 \ 650" u="1"/>
        <s v="SABS1200 GA \CONCRETE (SMALL WORKS)/8.2\SCHEDULED FORMWORK ITEMS/8.2.1\Rough - Vertical (0°). /\KS20_009_b-Concrete Overflow Wall. Refer to drawing NBC-GTW-CL-0036 \m²\29.036 \ 650" u="1"/>
        <s v="SABS1200 GA \CONCRETE (SMALL WORKS)/8.2\SCHEDULED FORMWORK ITEMS/8.2.1\Rough Formwork - Vertical (0°). /\KS20_009_b-Concrete Overflow Wall. Drawing NBC-GTW-CL-0035 \m²\29.036 \ 650" u="1"/>
        <s v="SABS1200 GA \CONCRETE (SMALL WORKS)/8.2\SCHEDULED FORMWORK ITEMS/8.2.1\Rough - Vertical (0°). /\KS12_009-Concrete Drop Inlet. Refer to drawing NBC-GTW-CL-0008 \m²\0.9 \ 650" u="1"/>
        <s v="SABS1200 GA \CONCRETE (SMALL WORKS)/8.2\SCHEDULED FORMWORK ITEMS/8.2.1\Rough - Vertical (0°). /\KS18_002-Concrete Drop Inlet. Refer to drawing NBC-GTW-CL-0020 \m²\17.6 \ 650" u="1"/>
        <s v="SABS1200 GA \CONCRETE (SMALL WORKS)/8.2\SCHEDULED FORMWORK ITEMS/8.2.1\Rough Formwork - Vertical (0°). /\KS18_002-Concrete Drop Inlet. Drawing NBC-GTW-CL-0020 \m²\17.6 \ 650" u="1"/>
        <s v="SABS1200 GA \CONCRETE (SMALL WORKS)/8.2\SCHEDULED FORMWORK ITEMS/8.2.1\Rough - Vertical (0°). /\KS12_005-Concrete Drop Inlet. Refer to drawing NBC-GTW-CL-0004 \m²\5.58 \ 650" u="1"/>
        <s v="SABS1200 GA \CONCRETE (SMALL WORKS)/8.2\SCHEDULED FORMWORK ITEMS/8.2.1\Rough - Vertical (0°). /\KS13_006-Concrete Drop Inlet. Drawing NBC-GTW-CL-0012 \m²\19.2 \ 650" u="1"/>
        <s v="SABS1200 GA \CONCRETE (SMALL WORKS)/8.2\SCHEDULED FORMWORK ITEMS/8.2.1\Rough - Vertical (0°). /\KS18_001-Concrete Drop Inlet. Refer to drawing NBC-GTW-CL-0019 \m²\34.38 \ 650" u="1"/>
        <s v="SABS1200 GA \CONCRETE (SMALL WORKS)/8.2\SCHEDULED FORMWORK ITEMS/8.2.1\Rough Formwork - Vertical (0°). /\KS18_001-Concrete Drop Inlet. Drawing NBC-GTW-CL-0019 \m²\34.38 \ 650" u="1"/>
        <s v="SABS1200 GA  \ Concrete (Small Works) / 8.2\ SCHEDULED FORMWORK ITEMS / 8.2.1 \ Rough - Vertical (0°). /\KS18_016-Concrete Drop Inlet. Refer to drawing V \m²\18.4 \ 650" u="1"/>
        <s v="SABS1200 GA  / Concrete (Small Works) / 8.2 / 8.2.1 / Rough - Vertical (0°) / KS18_019-Concrete Drop Inlet / 4.56 / m²" u="1"/>
        <s v="SABS1200 GA  \ Concrete (Small Works) / 8.2\ SCHEDULED FORMWORK ITEMS / 8.2.1 \ Rough - Vertical (0°). /\KS18_001-Concrete Drop Inlet \m²\34.38 \ 650" u="1"/>
        <s v="SABS1200 GA  / Concrete (Small Works) / 8.2 / 8.2.1 / Rough - Vertical (0°) / KS20_007-Concrete Drop Inlet / 18.3664 / m²" u="1"/>
        <s v="SABS1200 GA  / Concrete (Small Works) / 8.2 / 8.2.1 / Rough - Vertical (0°) / KS12_009-Concrete Drop Inlet / 0.9 / m²" u="1"/>
        <s v="SABS1200 GA  \ Concrete (Small Works) / 8.2\ SCHEDULED FORMWORK ITEMS / 8.2.1 \ Rough - Vertical (0°). /\KS20_002-Concrete Drop Inlet. Refer to drawing AB \m²\4.5 \ 650" u="1"/>
        <s v="SABS1200 GA \CONCRETE (SMALL WORKS)/8.2\SCHEDULED FORMWORK ITEMS/8.2.1\Rough - Vertical (0°). /\KS20_002-Concrete Drop Inlet. Drawing NBC-GTW-CL-0028 \m²\4.8 \ 650" u="1"/>
        <s v="SABS1200 GA  \ Concrete (Small Works) / 8.2\ SCHEDULED FORMWORK ITEMS / 8.2.1 \ Rough - Vertical (0°). /\KS20_005-Concrete Drop Inlet \m²\27.8504 \ 650" u="1"/>
        <s v="SABS1200 GA  \ Concrete (Small Works) / 8.2\ SCHEDULED FORMWORK ITEMS / 8.2.1 \ Rough - Vertical (0°). /\KS12_005-Concrete Drop Inlet. Refer to drawing D \m²\5.58 \ 650" u="1"/>
        <s v="SABS1200 GA  / Concrete (Small Works) / 8.2 / 8.2.1 / Rough - Vertical (0°) / KS20_008-Concrete Drop Inlet / 32.34 / m²" u="1"/>
        <s v="SABS1200 GA \CONCRETE (SMALL WORKS)/8.2\SCHEDULED FORMWORK ITEMS/8.2.1\Rough - Vertical (0°). /\KS20_006-Concrete Drop Inlet. Drawing NBC-GTW-CL-0032 \m²\28.7426 \ 650" u="1"/>
        <s v="SABS1200 GA \CONCRETE (SMALL WORKS)/8.2\SCHEDULED FORMWORK ITEMS/8.2.1\Rough - Vertical (0°). /\KS19_002-Concrete Drop Inlet. Drawing NBC-GTW-CL-0026 \m²\6.42 \ 650" u="1"/>
        <s v="SABS1200 GA  / Concrete (Small Works) / 8.2 / 8.2.1 / Rough - Vertical (0°) / KS13_004-Concrete Drop Inlet / 12.74 / m²" u="1"/>
        <s v="SABS1200 GA  \ Concrete (Small Works) / 8.2\ SCHEDULED FORMWORK ITEMS / 8.2.1 \ Rough - Vertical (0°). /\KS20_006-Concrete Drop Inlet \m²\28.7426 \ 650" u="1"/>
        <s v="SABS1200 GA \CONCRETE (SMALL WORKS)/8.2\SCHEDULED FORMWORK ITEMS/8.2.1\Rough - Vertical (0°). /\KS21_006-Concrete Drop Inlet. Drawing NBC-GTW-CL-0041 \m²\17.9256 \ 650" u="1"/>
        <s v="SABS1200 GA \CONCRETE (SMALL WORKS)/8.2\SCHEDULED FORMWORK ITEMS/8.2.1\Rough - Vertical (0°). /\KS13_011-Concrete Drop Inlet. Refer to drawing NBC-GTW-CL-0015 \m²\20.2 \ 650" u="1"/>
        <s v="SABS1200 GA \CONCRETE (SMALL WORKS)/8.2\SCHEDULED FORMWORK ITEMS/8.2.1\Rough Formwork - Vertical (0°). /\KS13_011-Concrete Drop Inlet. Drawing NBC-GTW-CL-0015 \m²\20.2 \ 650" u="1"/>
        <s v="SABS1200 GA \CONCRETE (SMALL WORKS)/8.2\SCHEDULED FORMWORK ITEMS/8.2.1\Rough - Vertical (0°). /\KS12_008-Concrete Drop Inlet. Refer to drawing NBC-GTW-CL-0007 \m²\2 \ 650" u="1"/>
        <s v="SABS1200 GA  / Concrete (Small Works) / 8.2 / 8.2.1 / Rough - Vertical (0°) / KS12_005-Concrete Drop Inlet / 5.58 / m²" u="1"/>
        <s v="SABS1200 GA  / Concrete (Small Works) / 8.2 / 8.2.1 / Rough - Vertical (0°) / KS18_017-Concrete Drop Inlet / 17.06 / m²" u="1"/>
        <s v="SABS1200 GA  \ Concrete (Small Works) / 8.2\ SCHEDULED FORMWORK ITEMS / 8.2.1 \ Rough - Vertical (0°). /\KS13_003-Concrete Drop Inlet. Refer to drawing I \m²\16.51 \ 650" u="1"/>
        <s v="SABS1200 GA  / Concrete (Small Works) / 8.2 / 8.2.1 / Rough - Vertical (0°) / KS21_005-Concrete Drop Inlet / 20.4756 / m²" u="1"/>
        <s v="SABS1200 GA  / Concrete (Small Works) / 8.2 / 8.2.1 / Rough - Vertical (0°) / KS13_008-Concrete Drop Inlet / 19.39 / m²" u="1"/>
        <s v="SABS1200 GA \CONCRETE (SMALL WORKS)/8.2\SCHEDULED FORMWORK ITEMS/8.2.1\Rough - Vertical (0°). /\KS20_001-Concrete Drop Inlet. Refer to drawing NBC-GTW-CL-0027 \m²\2.385 \ 650" u="1"/>
        <s v="SABS1200 GA  \ Concrete (Small Works) / 8.2\ SCHEDULED FORMWORK ITEMS / 8.2.1 \ Rough - Vertical (0°). /\KS13_011-Concrete Drop Inlet. Refer to drawing O \m²\22.52 \ 650" u="1"/>
        <s v="SABS1200 GA \CONCRETE (SMALL WORKS)/8.2\SCHEDULED FORMWORK ITEMS/8.2.1\Rough - Vertical (0°). /\KS12_002-Concrete Drop Inlet. Refer to drawing NBC-GTW-CL-0002 \m²\20.3 \ 650" u="1"/>
        <s v="SABS1200 GA \CONCRETE (SMALL WORKS)/8.2\SCHEDULED FORMWORK ITEMS/8.2.1\Rough - Vertical (0°). /\KS12_004-Concrete Drop Inlet. Drawing NBC-GTW-CL-0003 \m²\7.2 \ 650" u="1"/>
        <s v="SABS1200 GA \CONCRETE (SMALL WORKS)/8.2\SCHEDULED FORMWORK ITEMS/8.2.1\Rough - Vertical (0°). /\KS18_015-Concrete Drop Inlet. Drawing NBC-GTW-CL-0021 \m²\23.46 \ 650" u="1"/>
        <s v="SABS1200 GA \CONCRETE (SMALL WORKS)/8.2\SCHEDULED FORMWORK ITEMS/8.2.1\Rough - Vertical (0°). /\KS21_005-Concrete Drop Inlet. Drawing NBC-GTW-CL-0040 \m²\20.4756 \ 650" u="1"/>
        <s v="SABS1200 GA  \ Concrete (Small Works) / 8.2\ SCHEDULED FORMWORK ITEMS / 8.2.1 \ Rough - Vertical (0°). /\KS13_005-Concrete Drop Inlet \m²\18.96 \ 650" u="1"/>
        <s v="SABS1200 GA  \ Concrete (Small Works) / 8.2\ SCHEDULED FORMWORK ITEMS / 8.2.1 \ Rough - Vertical (0°). /\KS21_005-Concrete Drop Inlet. Refer to drawing AN \m²\20.4756 \ 650" u="1"/>
        <s v="SABS1200 GA  \ Concrete (Small Works) / 8.2\ SCHEDULED FORMWORK ITEMS / 8.2.1 \ Rough - Vertical (0°). /\KS13_007-Concrete Drop Inlet \m²\14.91 \ 650" u="1"/>
        <s v="SABS1200 GA \CONCRETE (SMALL WORKS)/8.2\SCHEDULED FORMWORK ITEMS/8.2.1\Rough - Vertical (0°). /\KS18_017-Concrete Drop Inlet. Refer to drawing NBC-GTW-CL-0023 \m²\17.06 \ 650" u="1"/>
        <s v="SABS1200 GA \CONCRETE (SMALL WORKS)/8.2\SCHEDULED FORMWORK ITEMS/8.2.1\Rough Formwork - Vertical (0°). /\KS18_017-Concrete Drop Inlet. Drawing NBC-GTW-CL-0023 \m²\17.06 \ 650" u="1"/>
        <s v="SABS1200 GA  / Concrete (Small Works) / 8.2 / 8.2.1 / Rough - Vertical (0°) / KS18_001-Concrete Drop Inlet / 34.38 / m²" u="1"/>
        <s v="SABS1200 GA  / Concrete (Small Works) / 8.2 / 8.2.1 / Rough - Vertical (0°) / KS18_016-Concrete Drop Inlet / 18.4 / m²" u="1"/>
        <s v="SABS1200 GA  \ Concrete (Small Works) / 8.2\ SCHEDULED FORMWORK ITEMS / 8.2.1 \ Rough - Vertical (0°). /\KS18_018-Concrete Drop Inlet \m²\13.81 \ 650" u="1"/>
        <s v="SABS1200 GA  \ Concrete (Small Works) / 8.2\ SCHEDULED FORMWORK ITEMS / 8.2.1 \ Rough - Vertical (0°). /\KS13_013-Concrete Drop Inlet. Refer to drawing Q \m²\13.04 \ 650" u="1"/>
        <s v="SABS1200 GA \CONCRETE (SMALL WORKS)/8.2\SCHEDULED FORMWORK ITEMS/8.2.1\Rough - Vertical (0°). /\KS12_002-Concrete Drop Inlet. Drawing NBC-GTW-CL-0002 \m²\20.3 \ 650" u="1"/>
        <s v="SABS1200 GA  \ Concrete (Small Works) / 8.2\ SCHEDULED FORMWORK ITEMS / 8.2.1 \ Rough - Vertical (0°). /\KS20_001-Concrete Drop Inlet. Refer to drawing AA \m²\2.385 \ 650" u="1"/>
        <s v="SABS1200 GA  / Concrete (Small Works) / 8.2 / 8.2.1 / Rough - Vertical (0°) / KS12_006-Concrete Drop Inlet / 2.25 / m²" u="1"/>
        <s v="SABS1200 GA  / Concrete (Small Works) / 8.2 / 8.2.1 / Rough - Vertical (0°) / KS19_002-Concrete Drop Inlet / 6.42 / m²" u="1"/>
        <s v="SABS1200 GA \CONCRETE (SMALL WORKS)/8.2\SCHEDULED FORMWORK ITEMS/8.2.1\Rough - Vertical (0°). /\KS12_006-Concrete Drop Inlet. Drawing NBC-GTW-CL-0005 \m²\2.25 \ 650" u="1"/>
        <s v="SABS1200 GA \CONCRETE (SMALL WORKS)/8.2\SCHEDULED FORMWORK ITEMS/8.2.1\Rough - Vertical (0°). /\KS21_003-Concrete Drop Inlet. Drawing NBC-GTW-CL-0039 \m²\4.25 \ 650" u="1"/>
        <s v="SABS1200 GA  \ Concrete (Small Works) / 8.2\ SCHEDULED FORMWORK ITEMS / 8.2.1 \ Rough - Vertical (0°). /\KS20_006-Concrete Drop Inlet. Refer to drawing AF \m²\28.7426 \ 650" u="1"/>
        <s v="SABS1200 GA  / Concrete (Small Works) / 8.2 / 8.2.1 / Rough - Vertical (0°) / KS18_018-Concrete Drop Inlet / 13.81 / m²" u="1"/>
        <s v="SABS1200 GA  \ Concrete (Small Works) / 8.2\ SCHEDULED FORMWORK ITEMS / 8.2.1 \ Rough - Vertical (0°). /\KS12_009-Concrete Drop Inlet \m²\0.9 \ 650" u="1"/>
        <s v="SABS1200 GA  \ Concrete (Small Works) / 8.2\ SCHEDULED FORMWORK ITEMS / 8.2.1 \ Rough - Vertical (0°). /\KS18_017-Concrete Drop Inlet. Refer to drawing W \m²\17.06 \ 650" u="1"/>
        <s v="SABS1200 GA \CONCRETE (SMALL WORKS)/8.2\SCHEDULED FORMWORK ITEMS/8.2.1\Rough - Vertical (0°). /\KS12_004-Concrete Drop Inlet. Refer to drawing NBC-GTW-CL-0003 \m²\7.2 \ 650" u="1"/>
        <s v="SABS1200 GA \CONCRETE (SMALL WORKS)/8.2\SCHEDULED FORMWORK ITEMS/8.2.1\Rough - Vertical (0°). /\KS13_004-Concrete Drop Inlet. Drawing NBC-GTW-CL-0010 \m²\12.74 \ 650" u="1"/>
        <s v="SABS1200 GA  \ Concrete (Small Works) / 8.2\ SCHEDULED FORMWORK ITEMS / 8.2.1 \ Rough - Vertical (0°). /\KS13_003-Concrete Drop Inlet \m²\16.51 \ 650" u="1"/>
        <s v="SABS1200 GA  / Concrete (Small Works) / 8.2 / 8.2.1 / Rough - Vertical (0°) / KS18_020-Rehab road culvert / 18.465 / m²" u="1"/>
        <s v="SABS1200 GA  \ Concrete (Small Works) / 8.2\ SCHEDULED FORMWORK ITEMS / 8.2.1 \ Rough - Vertical (0°). /\KS18_015-Concrete Drop Inlet \m²\23.46 \ 650" u="1"/>
        <s v="SABS1200 GA \CONCRETE (SMALL WORKS)/8.2\SCHEDULED FORMWORK ITEMS/8.2.1\Rough - Vertical (0°). /\KS13_012-Concrete Drop Inlet. Refer to drawing NBC-GTW-CL-0016 \m²\16.88 \ 650" u="1"/>
        <s v="SABS1200 GA \CONCRETE (SMALL WORKS)/8.2\SCHEDULED FORMWORK ITEMS/8.2.1\Rough Formwork - Vertical (0°). /\KS13_012-Concrete Drop Inlet. Drawing NBC-GTW-CL-0016 \m²\16.88 \ 650" u="1"/>
        <s v="SABS1200 GA  \ Concrete (Small Works) / 8.2\ SCHEDULED FORMWORK ITEMS / 8.2.1 \ Rough - Vertical (0°). /\KS20_009_b-Concrete Overflow Wall. Refer to drawing AJ \m²\29.036 \ 650" u="1"/>
        <s v="SABS1200 GA \CONCRETE (SMALL WORKS)/8.2\SCHEDULED FORMWORK ITEMS/8.2.1\Rough - Vertical (0°). /\KS18_016-Concrete Drop Inlet. Drawing NBC-GTW-CL-0022 \m²\18.4 \ 650" u="1"/>
        <s v="SABS1200 GA \CONCRETE (SMALL WORKS)/8.2\SCHEDULED FORMWORK ITEMS/8.2.1\Rough - Vertical (0°). /\KS20_007-Concrete Drop Inlet. Refer to drawing NBC-GTW-CL-0033 \m²\18.3664 \ 650" u="1"/>
        <s v="SABS1200 GA \CONCRETE (SMALL WORKS)/8.2\SCHEDULED FORMWORK ITEMS/8.2.1\Rough Formwork - Vertical (0°). /\KS20_007-Concrete Drop Inlet. Drawing NBC-GTW-CL-0033 \m²\18.3664 \ 650" u="1"/>
        <s v="SABS1200 GA  / Concrete (Small Works) / 8.2 / 8.2.1 / Rough - Vertical (0°) / KS21_003-Concrete Drop Inlet / 4.25 / m²" u="1"/>
        <s v="SABS1200 GA  \ Concrete (Small Works) / 8.2\ SCHEDULED FORMWORK ITEMS / 8.2.1 \ Rough - Vertical (0°). /\KS18_019-Concrete Drop Inlet. Refer to drawing Y \m²\4.56 \ 650" u="1"/>
        <s v="SABS1200 GA \CONCRETE (SMALL WORKS)/8.2\SCHEDULED FORMWORK ITEMS/8.2.1\Rough - Vertical (0°). /\KS18_020-Rehab road culvert  \m²\18.465 \ 650" u="1"/>
        <s v="SABS1200 GA \CONCRETE (SMALL WORKS)/8.2\SCHEDULED FORMWORK ITEMS/8.2.1\Rough - Vertical (0°). /\KS20_009_a-Concrete Buttress Weir. Refer to drawing NBC-GTW-CL-0035 \m²\69.6344577319588 \ 650" u="1"/>
        <s v="SABS1200 GA \CONCRETE (SMALL WORKS)/8.2\SCHEDULED FORMWORK ITEMS/8.2.1\Rough Formwork - Vertical (0°). /\KS20_009_a-Concrete Buttress Weir. Drawing NBC-GTW-CL-0035 \m²\69.6344577319588 \ 650" u="1"/>
        <s v="SABS1200 GA  \ Concrete (Small Works) / 8.2\ SCHEDULED FORMWORK ITEMS / 8.2.1 \ Rough - Vertical (0°). /\KS18_018-Concrete Drop Inlet. Refer to drawing X \m²\13.81 \ 650" u="1"/>
        <s v="SABS1200 GA  / Concrete (Small Works) / 8.2 / 8.2.1 / Rough - Vertical (0°) / KS12_007-Concrete Drop Inlet / 3.15 / m²" u="1"/>
        <s v="SABS1200 GA  / Concrete (Small Works) / 8.2 / 8.2.1 / Rough - Vertical (0°) / KS20_001-Concrete Drop Inlet / 2.385 / m²" u="1"/>
        <s v="SABS1200 GA  / Concrete (Small Works) / 8.2 / 8.2.1 / Rough - Vertical (0°) / KS21_007-Concrete Drop Inlet / 14.7763 / m²" u="1"/>
        <s v="SABS1200 GA  / Concrete (Small Works) / 8.2 / 8.2.1 / Rough - Vertical (0°) / KS13_003-Concrete Drop Inlet / 16.51 / m²" u="1"/>
        <s v="SABS1200 GA  \ Concrete (Small Works) / 8.2\ SCHEDULED FORMWORK ITEMS / 8.2.1 \ Rough - Vertical (0°). /\KS21_007-Concrete Drop Inlet \m²\14.7763 \ 650" u="1"/>
        <s v="SABS1200 GA  / Concrete (Small Works) / 8.2 / 8.2.1 / Rough - Vertical (0°) / KS21_009-Concrete Drop Inlet / 18.4275 / m²" u="1"/>
        <s v="SABS1200 GA  \ Concrete (Small Works) / 8.2\ SCHEDULED FORMWORK ITEMS / 8.2.1 \ Rough - Vertical (0°). /\KS18_017-Concrete Drop Inlet \m²\17.06 \ 650" u="1"/>
        <s v="SABS1200 GA \CONCRETE (SMALL WORKS)/8.2\SCHEDULED FORMWORK ITEMS/8.2.1\Rough - Vertical (0°). /\KS13_013-Concrete Drop Inlet. Drawing NBC-GTW-CL-0017 \m²\13.04 \ 650" u="1"/>
        <s v="SABS1200 GA \CONCRETE (SMALL WORKS)/8.2\SCHEDULED FORMWORK ITEMS/8.2.1\Rough - Vertical (0°). /\KS18_015-Concrete Drop Inlet. Refer to drawing NBC-GTW-CL-0021 \m²\23.46 \ 650" u="1"/>
        <s v="SABS1200 GA \CONCRETE (SMALL WORKS)/8.2\SCHEDULED FORMWORK ITEMS/8.2.1\Rough Formwork - Vertical (0°). /\KS18_015-Concrete Drop Inlet. Drawing NBC-GTW-CL-0021 \m²\23.46 \ 650" u="1"/>
        <s v="SABS1200 GA  \ Concrete (Small Works) / 8.2\ SCHEDULED FORMWORK ITEMS / 8.2.1 \ Rough - Vertical (0°). /\KS21_010-Concrete Drop Inlet \m²\17.0307 \ 650" u="1"/>
        <s v="SABS1200 GA \CONCRETE (SMALL WORKS)/8.2\SCHEDULED FORMWORK ITEMS/8.2.1\Rough - Vertical (0°). /\KS20_005-Concrete Drop Inlet. Refer to drawing NBC-GTW-CL-0031 \m²\27.8504 \ 650" u="1"/>
        <s v="SABS1200 GA \CONCRETE (SMALL WORKS)/8.2\SCHEDULED FORMWORK ITEMS/8.2.1\Rough Formwork - Vertical (0°). /\KS20_005-Concrete Drop Inlet. Drawing NBC-GTW-CL-0031 \m²\27.8504 \ 650" u="1"/>
        <s v="SABS1200 GA \CONCRETE (SMALL WORKS)/8.2\SCHEDULED FORMWORK ITEMS/8.2.1\Rough - Vertical (0°). /\KS18_017-Concrete Drop Inlet. Drawing NBC-GTW-CL-0023 \m²\17.06 \ 650" u="1"/>
      </sharedItems>
    </cacheField>
    <cacheField name="Smooth - Horizontal (85°-90°)2" numFmtId="0">
      <sharedItems count="4">
        <s v=" "/>
        <s v="" u="1"/>
        <s v="SABS1200 GA \CONCRETE (SMALL WORKS)/8.2\SCHEDULED FORMWORK ITEMS/8.2.2\Smooth - Horizontal (85°-90°). /\ks11-002b-Concrete Splash Through Structure. Refer to drawing NBC-GTW-CL-0067 \m²\10.8 \ 950" u="1"/>
        <s v="SABS1200 GA \CONCRETE (SMALL WORKS)/8.2\SCHEDULED FORMWORK ITEMS/8.2.2\Smooth - Horizontal (85°-90°). /\ks11-004b-Concrete Splash Through Structure. Refer to drawing NBC-GTW-CL-0068 \m²\10.8 \ 950" u="1"/>
      </sharedItems>
    </cacheField>
    <cacheField name="Smooth - Sloping (&gt;10°&lt;85°)2" numFmtId="0">
      <sharedItems count="47">
        <s v=" "/>
        <s v="" u="1"/>
        <s v="SABS1200 GA \CONCRETE (SMALL WORKS)/8.2\SCHEDULED FORMWORK ITEMS/8.2.2\Smooth - Sloping (&gt;10°&lt;85°). /\KS13_004-Concrete Drop Inlet. Refer to drawing NBC-GTW-CL-0010 \m²\40.611330282822 \ 950" u="1"/>
        <s v="SABS1200 GA \CONCRETE (SMALL WORKS)/8.2\SCHEDULED FORMWORK ITEMS/8.2.2\Smooth - Sloping (&gt;10°&lt;85°). /\KS21_003-Concrete Drop Inlet. Refer to drawing NBC-GTW-CL-0039 \m²\40.8873193576764 \ 950" u="1"/>
        <s v="SABS1200 GA \CONCRETE (SMALL WORKS)/8.2\SCHEDULED FORMWORK ITEMS/8.2.2\Smooth - Sloping (&gt;10°&lt;85°). /\KS20_007-Concrete Drop Inlet. Refer to drawing NBC-GTW-CL-0033 \m²\59.5374174381272 \ 950" u="1"/>
        <s v="SABS1200 GA \CONCRETE (SMALL WORKS)/8.2\SCHEDULED FORMWORK ITEMS/8.2.2\Smooth - Sloping (&gt;10°&lt;85°). /\KS12_007-Concrete Drop Inlet. Refer to drawing NBC-GTW-CL-0006 \m²\38.9264143183359 \ 950" u="1"/>
        <s v="SABS1200 GA \CONCRETE (SMALL WORKS)/8.2\SCHEDULED FORMWORK ITEMS/8.2.2\Smooth - Sloping (&gt;10°&lt;85°). /\KS20_009_b-Concrete Overflow Wall. Refer to drawing NBC-GTW-CL-0035 \m²\4.29566479139143 \ 950" u="1"/>
        <s v="SABS1200 GA \CONCRETE (SMALL WORKS)/8.2\SCHEDULED FORMWORK ITEMS/8.2.2\Smooth - Sloping (&gt;10°&lt;85°). /\KS21_005-Concrete Drop Inlet. Refer to drawing NBC-GTW-CL-0040 \m²\50.939046755886 \ 950" u="1"/>
        <s v="SABS1200 GA \CONCRETE (SMALL WORKS)/8.2\SCHEDULED FORMWORK ITEMS/8.2.2\Smooth - Sloping (&gt;10°&lt;85°). /\KS21_010-Concrete Drop Inlet. Refer to drawing NBC-GTW-CL-0044 \m²\55.2431932328765 \ 950" u="1"/>
        <s v="SABS1200 GA \CONCRETE (SMALL WORKS)/8.2\SCHEDULED FORMWORK ITEMS/8.2.2\Smooth - Sloping (&gt;10°&lt;85°). /\KS20_001-Concrete Drop Inlet. Refer to drawing NBC-GTW-CL-0027 \m²\38.0794658467317 \ 950" u="1"/>
        <s v="SABS1200 GA \CONCRETE (SMALL WORKS)/8.2\SCHEDULED FORMWORK ITEMS/8.2.2\Smooth - Sloping (&gt;10°&lt;85°). /\KS12_002-Concrete Drop Inlet. Refer to drawing NBC-GTW-CL-0002 \m²\14 \ 950" u="1"/>
        <s v="SABS1200 GA \CONCRETE (SMALL WORKS)/8.2\SCHEDULED FORMWORK ITEMS/8.2.2\Smooth - Sloping (&gt;10°&lt;85°). /\KS12_005-Concrete Drop Inlet. Refer to drawing NBC-GTW-CL-0004 \m²\58.1500556713744 \ 950" u="1"/>
        <s v="SABS1200 GA \CONCRETE (SMALL WORKS)/8.2\SCHEDULED FORMWORK ITEMS/8.2.2\Smooth - Sloping (&gt;10°&lt;85°). /\KS12_006-Concrete Drop Inlet. Refer to drawing NBC-GTW-CL-0005 \m²\30.9852321055478 \ 950" u="1"/>
        <e v="#REF!" u="1"/>
        <s v="SABS1200 GA \CONCRETE (SMALL WORKS)/8.2\SCHEDULED FORMWORK ITEMS/8.2.2\Smooth - Sloping (&gt;10°&lt;85°). /\KS18_017-Concrete Drop Inlet. Refer to drawing NBC-GTW-CL-0023 \m²\52.575645514272 \ 950" u="1"/>
        <s v="SABS1200 GA \CONCRETE (SMALL WORKS)/8.2\SCHEDULED FORMWORK ITEMS/8.2.2\Smooth - Sloping (&gt;10°&lt;85°). /\KS18_019-Concrete Drop Inlet. Refer to drawing NBC-GTW-CL-0025 \m²\56.7255840503127 \ 950" u="1"/>
        <s v="SABS1200 GA \CONCRETE (SMALL WORKS)/8.2\SCHEDULED FORMWORK ITEMS/8.2.2\Smooth - Sloping (&gt;10°&lt;85°). /\KS19_002-Concrete Drop Inlet. Refer to drawing NBC-GTW-CL-0026 \m²\46.0892027908199 \ 950" u="1"/>
        <s v="SABS1200 GA \CONCRETE (SMALL WORKS)/8.2\SCHEDULED FORMWORK ITEMS/8.2.2\Smooth - Sloping (&gt;10°&lt;85°). /\KS20_003-Concrete Buttress Weir. Refer to drawing NBC-GTW-CL-0029 \m²\61.3910444262817 \ 950" u="1"/>
        <s v="SABS1200 GA \CONCRETE (SMALL WORKS)/8.2\SCHEDULED FORMWORK ITEMS/8.2.2\Smooth - Sloping (&gt;10°&lt;85°). /\KS18_001-Concrete Drop Inlet. Refer to drawing NBC-GTW-CL-0019 \m²\88.650348334798 \ 950" u="1"/>
        <s v="SABS1200 GA \CONCRETE (SMALL WORKS)/8.2\SCHEDULED FORMWORK ITEMS/8.2.2\Smooth - Sloping (&gt;10°&lt;85°). /\KS18_016-Concrete Drop Inlet. Refer to drawing NBC-GTW-CL-0022 \m²\56.3622478801672 \ 950" u="1"/>
        <s v="SABS1200 GA \CONCRETE (SMALL WORKS)/8.2\SCHEDULED FORMWORK ITEMS/8.2.2\Smooth - Sloping (&gt;10°&lt;85°). /\KS21_009-Concrete Drop Inlet. Refer to drawing NBC-GTW-CL-0043 \m²\57.7336849462415 \ 950" u="1"/>
        <s v="SABS1200 GA \CONCRETE (SMALL WORKS)/8.2\SCHEDULED FORMWORK ITEMS/8.2.2\Smooth - Sloping (&gt;10°&lt;85°). /\KS13_007-Concrete Drop Inlet. Refer to drawing NBC-GTW-CL-0013 \m²\47.2031779853186 \ 950" u="1"/>
        <s v="SABS1200 GA \CONCRETE (SMALL WORKS)/8.2\SCHEDULED FORMWORK ITEMS/8.2.2\Smooth - Sloping (&gt;10°&lt;85°). /\KS12_004-Concrete Drop Inlet. Refer to drawing NBC-GTW-CL-0003 \m²\58.4070059649952 \ 950" u="1"/>
        <s v="SABS1200 GA \CONCRETE (SMALL WORKS)/8.2\SCHEDULED FORMWORK ITEMS/8.2.2\Smooth - Sloping (&gt;10°&lt;85°). /\KS20_008-Concrete Drop Inlet. Refer to drawing NBC-GTW-CL-0034 \m²\72.8740665047539 \ 950" u="1"/>
        <s v="SABS1200 GA \CONCRETE (SMALL WORKS)/8.2\SCHEDULED FORMWORK ITEMS/8.2.2\Smooth - Sloping (&gt;10°&lt;85°). /\KS12_009-Concrete Drop Inlet. Refer to drawing NBC-GTW-CL-0008 \m²\23.4752412582958 \ 950" u="1"/>
        <s v="SABS1200 GA \CONCRETE (SMALL WORKS)/8.2\SCHEDULED FORMWORK ITEMS/8.2.2\Smooth - Sloping (&gt;10°&lt;85°). /\KS20_005-Concrete Drop Inlet. Refer to drawing NBC-GTW-CL-0031 \m²\67.9531453846429 \ 950" u="1"/>
        <s v="SABS1200 GA \CONCRETE (SMALL WORKS)/8.2\SCHEDULED FORMWORK ITEMS/8.2.2\Smooth - Sloping (&gt;10°&lt;85°). /\KS20_009_b-Concrete Overflow Wall. Refer to drawing  \m²\4.29566479139143 \ 950" u="1"/>
        <s v="SABS1200 GA \CONCRETE (SMALL WORKS)/8.2\SCHEDULED FORMWORK ITEMS/8.2.2\Smooth - Sloping (&gt;10°&lt;85°). /\KS21_006-Concrete Drop Inlet. Refer to drawing NBC-GTW-CL-0041 \m²\45.348677435461 \ 950" u="1"/>
        <s v="SABS1200 GA \CONCRETE (SMALL WORKS)/8.2\SCHEDULED FORMWORK ITEMS/8.2.2\Smooth - Sloping (&gt;10°&lt;85°). /\KS20_006-Concrete Drop Inlet. Refer to drawing NBC-GTW-CL-0032 \m²\72.579338047832 \ 950" u="1"/>
        <s v="SABS1200 GA \CONCRETE (SMALL WORKS)/8.2\SCHEDULED FORMWORK ITEMS/8.2.2\Smooth - Sloping (&gt;10°&lt;85°). /\KS20_009_a-Concrete Drop Inlet. Refer to drawing NBC-GTW-CL-0035 \m²\70.1490045214263 \ 950" u="1"/>
        <s v="SABS1200 GA \CONCRETE (SMALL WORKS)/8.2\SCHEDULED FORMWORK ITEMS/8.2.2\Smooth - Sloping (&gt;10°&lt;85°). /\KS20_002-Concrete Drop Inlet. Refer to drawing NBC-GTW-CL-0028 \m²\52.8639233954343 \ 950" u="1"/>
        <s v="SABS1200 GA \CONCRETE (SMALL WORKS)/8.2\SCHEDULED FORMWORK ITEMS/8.2.2\Smooth - Sloping (&gt;10°&lt;85°). /\KS13_011-Concrete Drop Inlet. Refer to drawing NBC-GTW-CL-0015 \m²\60.2 \ 950" u="1"/>
        <s v="SABS1200 GA \CONCRETE (SMALL WORKS)/8.2\SCHEDULED FORMWORK ITEMS/8.2.2\Smooth - Sloping (&gt;10°&lt;85°). /\KS13_011-Concrete Drop Inlet. Refer to drawing NBC-GTW-CL-0015 \m²\63.0187522247123 \ 950" u="1"/>
        <s v="SABS1200 GA \CONCRETE (SMALL WORKS)/8.2\SCHEDULED FORMWORK ITEMS/8.2.2\Smooth - Sloping (&gt;10°&lt;85°). /\KS20_004-Concrete Drop Inlet. Refer to drawing NBC-GTW-CL-0030 \m²\63.3332755056505 \ 950" u="1"/>
        <s v="SABS1200 GA \CONCRETE (SMALL WORKS)/8.2\SCHEDULED FORMWORK ITEMS/8.2.2\Smooth - Sloping (&gt;10°&lt;85°). /\KS12_008-Concrete Drop Inlet. Refer to drawing NBC-GTW-CL-0007 \m²\30.6856907895328 \ 950" u="1"/>
        <s v="SABS1200 GA \CONCRETE (SMALL WORKS)/8.2\SCHEDULED FORMWORK ITEMS/8.2.2\Smooth - Sloping (&gt;10°&lt;85°). /\KS13_013-Concrete Drop Inlet. Refer to drawing NBC-GTW-CL-0017 \m²\41.2942277297212 \ 950" u="1"/>
        <s v="SABS1200 GA \CONCRETE (SMALL WORKS)/8.2\SCHEDULED FORMWORK ITEMS/8.2.2\Smooth - Sloping (&gt;10°&lt;85°). /\KS13_005-Concrete Drop Inlet. Refer to drawing NBC-GTW-CL-0011 \m²\57.7914437861174 \ 950" u="1"/>
        <s v="SABS1200 GA \CONCRETE (SMALL WORKS)/8.2\SCHEDULED FORMWORK ITEMS/8.2.2\Smooth - Sloping (&gt;10°&lt;85°). /\KS13_003-Concrete Drop Inlet. Refer to drawing NBC-GTW-CL-0009 \m²\49.822834066672 \ 950" u="1"/>
        <s v="SABS1200 GA \CONCRETE (SMALL WORKS)/8.2\SCHEDULED FORMWORK ITEMS/8.2.2\Smooth - Sloping (&gt;10°&lt;85°). /\KS13_012-Concrete Drop Inlet. Refer to drawing NBC-GTW-CL-0016 \m²\52.3209261824991 \ 950" u="1"/>
        <s v="SABS1200 GA \CONCRETE (SMALL WORKS)/8.2\SCHEDULED FORMWORK ITEMS/8.2.2\Smooth - Sloping (&gt;10°&lt;85°). /\KS20_009_a-Concrete Buttress Weir. Refer to drawing NBC-GTW-CL-0035 \m²\70.1490045214263 \ 950" u="1"/>
        <s v="SABS1200 GA \CONCRETE (SMALL WORKS)/8.2\SCHEDULED FORMWORK ITEMS/8.2.2\Smooth - Sloping (&gt;10°&lt;85°). /\KS21_007-Concrete Drop Inlet. Refer to drawing NBC-GTW-CL-0042 \m²\46.0461262534551 \ 950" u="1"/>
        <s v="SABS1200 GA \CONCRETE (SMALL WORKS)/8.2\SCHEDULED FORMWORK ITEMS/8.2.2\Smooth - Sloping (&gt;10°&lt;85°). /\KS13_008-Concrete Drop Inlet. Refer to drawing NBC-GTW-CL-0014 \m²\56.6781972496904 \ 950" u="1"/>
        <s v="SABS1200 GA \CONCRETE (SMALL WORKS)/8.2\SCHEDULED FORMWORK ITEMS/8.2.2\Smooth - Sloping (&gt;10°&lt;85°). /\KS18_018-Concrete Drop Inlet. Refer to drawing NBC-GTW-CL-0024 \m²\44.5054266893638 \ 950" u="1"/>
        <s v="SABS1200 GA \CONCRETE (SMALL WORKS)/8.2\SCHEDULED FORMWORK ITEMS/8.2.2\Smooth - Sloping (&gt;10°&lt;85°). /\KS18_015-Concrete Drop Inlet. Refer to drawing NBC-GTW-CL-0021 \m²\66.929119262221 \ 950" u="1"/>
        <s v="SABS1200 GA \CONCRETE (SMALL WORKS)/8.2\SCHEDULED FORMWORK ITEMS/8.2.2\Smooth - Sloping (&gt;10°&lt;85°). /\KS13_006-Concrete Drop Inlet. Refer to drawing NBC-GTW-CL-0012 \m²\58.0575615157111 \ 950" u="1"/>
        <s v="SABS1200 GA \CONCRETE (SMALL WORKS)/8.2\SCHEDULED FORMWORK ITEMS/8.2.2\Smooth - Sloping (&gt;10°&lt;85°). /\KS18_002-Concrete Drop Inlet. Refer to drawing NBC-GTW-CL-0020 \m²\46.8829660474418 \ 950" u="1"/>
        <s v="SABS1200 GA \CONCRETE (SMALL WORKS)/8.2\SCHEDULED FORMWORK ITEMS/8.2.2\Smooth - Sloping (&gt;10°&lt;85°). /\KS13_015-Concrete Drop Inlet. Refer to drawing NBC-GTW-CL-0018 \m²\41.4671810737264 \ 950" u="1"/>
      </sharedItems>
    </cacheField>
    <cacheField name="Smooth - Battered (&lt;10°)2" numFmtId="0">
      <sharedItems count="3">
        <s v=" "/>
        <s v="" u="1"/>
        <e v="#REF!" u="1"/>
      </sharedItems>
    </cacheField>
    <cacheField name="Smooth - Vertical (0°)2" numFmtId="0">
      <sharedItems count="47">
        <s v=" "/>
        <s v="" u="1"/>
        <s v="SABS1200 GA \CONCRETE (SMALL WORKS)/8.2\SCHEDULED FORMWORK ITEMS/8.2.2\Smooth - Vertical (0°). /\KS19_002-Concrete Drop Inlet. Refer to drawing NBC-GTW-CL-0026 \m²\6.42 \ 950" u="1"/>
        <s v="SABS1200 GA \CONCRETE (SMALL WORKS)/8.2\SCHEDULED FORMWORK ITEMS/8.2.2\Smooth - Vertical (0°). /\KS18_002-Concrete Drop Inlet. Refer to drawing NBC-GTW-CL-0020 \m²\17.6 \ 950" u="1"/>
        <s v="SABS1200 GA \CONCRETE (SMALL WORKS)/8.2\SCHEDULED FORMWORK ITEMS/8.2.2\Smooth - Vertical (0°). /\KS18_001-Concrete Drop Inlet. Refer to drawing NBC-GTW-CL-0019 \m²\34.38 \ 950" u="1"/>
        <s v="SABS1200 GA \CONCRETE (SMALL WORKS)/8.2\SCHEDULED FORMWORK ITEMS/8.2.2\Smooth - Vertical (0°). /\KS21_010-Concrete Drop Inlet. Refer to drawing NBC-GTW-CL-0044 \m²\17.0307 \ 950" u="1"/>
        <s v="SABS1200 GA \CONCRETE (SMALL WORKS)/8.2\SCHEDULED FORMWORK ITEMS/8.2.2\Smooth - Vertical (0°). /\KS18_019-Concrete Drop Inlet. Refer to drawing NBC-GTW-CL-0025 \m²\4.56 \ 950" u="1"/>
        <s v="SABS1200 GA \CONCRETE (SMALL WORKS)/8.2\SCHEDULED FORMWORK ITEMS/8.2.2\Smooth - Vertical (0°). /\KS13_012-Concrete Drop Inlet. Refer to drawing NBC-GTW-CL-0016 \m²\16.88 \ 950" u="1"/>
        <s v="SABS1200 GA \CONCRETE (SMALL WORKS)/8.2\SCHEDULED FORMWORK ITEMS/8.2.2\Smooth - Vertical (0°). /\KS20_007-Concrete Drop Inlet. Refer to drawing NBC-GTW-CL-0033 \m²\18.3664 \ 950" u="1"/>
        <s v="SABS1200 GA \CONCRETE (SMALL WORKS)/8.2\SCHEDULED FORMWORK ITEMS/8.2.2\Smooth - Vertical (0°). /\KS13_003-Concrete Drop Inlet. Refer to drawing NBC-GTW-CL-0009 \m²\16.51 \ 950" u="1"/>
        <s v="SABS1200 GA \CONCRETE (SMALL WORKS)/8.2\SCHEDULED FORMWORK ITEMS/8.2.2\Smooth - Vertical (0°). /\KS12_006-Concrete Drop Inlet. Refer to drawing NBC-GTW-CL-0005 \m²\2.25 \ 950" u="1"/>
        <s v="SABS1200 GA \CONCRETE (SMALL WORKS)/8.2\SCHEDULED FORMWORK ITEMS/8.2.2\Smooth - Vertical (0°). /\KS21_003-Concrete Drop Inlet. Refer to drawing NBC-GTW-CL-0039 \m²\4.25 \ 950" u="1"/>
        <s v="SABS1200 GA \CONCRETE (SMALL WORKS)/8.2\SCHEDULED FORMWORK ITEMS/8.2.2\Smooth - Vertical (0°). /\KS12_002-Concrete Drop Inlet. Refer to drawing NBC-GTW-CL-0002 \m²\20.3 \ 950" u="1"/>
        <s v="SABS1200 GA \CONCRETE (SMALL WORKS)/8.2\SCHEDULED FORMWORK ITEMS/8.2.2\Smooth - Vertical (0°). /\KS20_002-Concrete Drop Inlet. Refer to drawing NBC-GTW-CL-0028 \m²\4.5 \ 950" u="1"/>
        <s v="SABS1200 GA \CONCRETE (SMALL WORKS)/8.2\SCHEDULED FORMWORK ITEMS/8.2.2\Smooth - Vertical (0°). /\KS20_004-Concrete Drop Inlet. Refer to drawing NBC-GTW-CL-0030 \m²\19.9134 \ 950" u="1"/>
        <s v="SABS1200 GA \CONCRETE (SMALL WORKS)/8.2\SCHEDULED FORMWORK ITEMS/8.2.2\Smooth - Vertical (0°). /\KS20_005-Concrete Drop Inlet. Refer to drawing NBC-GTW-CL-0031 \m²\27.8504 \ 950" u="1"/>
        <s v="SABS1200 GA \CONCRETE (SMALL WORKS)/8.2\SCHEDULED FORMWORK ITEMS/8.2.2\Smooth - Vertical (0°). /\KS20_003-Concrete Buttress Weir. Refer to drawing NBC-GTW-CL-0029 \m²\50.7771862068966 \ 950" u="1"/>
        <s v="SABS1200 GA \CONCRETE (SMALL WORKS)/8.2\SCHEDULED FORMWORK ITEMS/8.2.2\Smooth - Vertical (0°). /\KS20_009_a-Concrete Buttress Weir. Refer to drawing NBC-GTW-CL-0035 \m²\69.6344577319588 \ 950" u="1"/>
        <e v="#REF!" u="1"/>
        <s v="SABS1200 GA \CONCRETE (SMALL WORKS)/8.2\SCHEDULED FORMWORK ITEMS/8.2.2\Smooth - Vertical (0°). /\KS13_013-Concrete Drop Inlet. Refer to drawing NBC-GTW-CL-0017 \m²\13.04 \ 950" u="1"/>
        <s v="SABS1200 GA \CONCRETE (SMALL WORKS)/8.2\SCHEDULED FORMWORK ITEMS/8.2.2\Smooth - Vertical (0°). /\KS21_007-Concrete Drop Inlet. Refer to drawing NBC-GTW-CL-0042 \m²\14.7763 \ 950" u="1"/>
        <s v="SABS1200 GA \CONCRETE (SMALL WORKS)/8.2\SCHEDULED FORMWORK ITEMS/8.2.2\Smooth - Vertical (0°). /\KS20_006-Concrete Drop Inlet. Refer to drawing NBC-GTW-CL-0032 \m²\28.7426 \ 950" u="1"/>
        <s v="SABS1200 GA \CONCRETE (SMALL WORKS)/8.2\SCHEDULED FORMWORK ITEMS/8.2.2\Smooth - Vertical (0°). /\KS12_005-Concrete Drop Inlet. Refer to drawing NBC-GTW-CL-0004 \m²\5.58 \ 950" u="1"/>
        <s v="SABS1200 GA \CONCRETE (SMALL WORKS)/8.2\SCHEDULED FORMWORK ITEMS/8.2.2\Smooth - Vertical (0°). /\KS21_009-Concrete Drop Inlet. Refer to drawing NBC-GTW-CL-0043 \m²\18.4275 \ 950" u="1"/>
        <s v="SABS1200 GA \CONCRETE (SMALL WORKS)/8.2\SCHEDULED FORMWORK ITEMS/8.2.2\Smooth - Vertical (0°). /\KS13_006-Concrete Drop Inlet. Refer to drawing NBC-GTW-CL-0012 \m²\19.2 \ 950" u="1"/>
        <s v="SABS1200 GA \CONCRETE (SMALL WORKS)/8.2\SCHEDULED FORMWORK ITEMS/8.2.2\Smooth - Vertical (0°). /\KS12_009-Concrete Drop Inlet. Refer to drawing NBC-GTW-CL-0008 \m²\0.9 \ 950" u="1"/>
        <s v="SABS1200 GA \CONCRETE (SMALL WORKS)/8.2\SCHEDULED FORMWORK ITEMS/8.2.2\Smooth - Vertical (0°). /\KS12_004-Concrete Drop Inlet. Refer to drawing NBC-GTW-CL-0003 \m²\7.2 \ 950" u="1"/>
        <s v="SABS1200 GA \CONCRETE (SMALL WORKS)/8.2\SCHEDULED FORMWORK ITEMS/8.2.2\Smooth - Vertical (0°). /\KS20_009_b-Concrete Overflow Wall. Refer to drawing NBC-GTW-CL-0035 \m²\29.036 \ 950" u="1"/>
        <s v="SABS1200 GA \CONCRETE (SMALL WORKS)/8.2\SCHEDULED FORMWORK ITEMS/8.2.2\Smooth - Vertical (0°). /\KS18_015-Concrete Drop Inlet. Refer to drawing NBC-GTW-CL-0021 \m²\23.46 \ 950" u="1"/>
        <s v="SABS1200 GA \CONCRETE (SMALL WORKS)/8.2\SCHEDULED FORMWORK ITEMS/8.2.2\Smooth - Vertical (0°). /\KS21_005-Concrete Drop Inlet. Refer to drawing NBC-GTW-CL-0040 \m²\20.4756 \ 950" u="1"/>
        <s v="SABS1200 GA \CONCRETE (SMALL WORKS)/8.2\SCHEDULED FORMWORK ITEMS/8.2.2\Smooth - Vertical (0°). /\KS20_009_a-Concrete Drop Inlet. Refer to drawing NBC-GTW-CL-0035 \m²\69.6344577319588 \ 950" u="1"/>
        <s v="SABS1200 GA \CONCRETE (SMALL WORKS)/8.2\SCHEDULED FORMWORK ITEMS/8.2.2\Smooth - Vertical (0°). /\KS18_018-Concrete Drop Inlet. Refer to drawing NBC-GTW-CL-0024 \m²\13.81 \ 950" u="1"/>
        <s v="SABS1200 GA \CONCRETE (SMALL WORKS)/8.2\SCHEDULED FORMWORK ITEMS/8.2.2\Smooth - Vertical (0°). /\KS18_016-Concrete Drop Inlet. Refer to drawing NBC-GTW-CL-0022 \m²\18.4 \ 950" u="1"/>
        <s v="SABS1200 GA \CONCRETE (SMALL WORKS)/8.2\SCHEDULED FORMWORK ITEMS/8.2.2\Smooth - Vertical (0°). /\KS13_005-Concrete Drop Inlet. Refer to drawing NBC-GTW-CL-0011 \m²\18.96 \ 950" u="1"/>
        <s v="SABS1200 GA \CONCRETE (SMALL WORKS)/8.2\SCHEDULED FORMWORK ITEMS/8.2.2\Smooth - Vertical (0°). /\KS13_008-Concrete Drop Inlet. Refer to drawing NBC-GTW-CL-0014 \m²\19.39 \ 950" u="1"/>
        <s v="SABS1200 GA \CONCRETE (SMALL WORKS)/8.2\SCHEDULED FORMWORK ITEMS/8.2.2\Smooth - Vertical (0°). /\KS13_004-Concrete Drop Inlet. Refer to drawing NBC-GTW-CL-0010 \m²\12.74 \ 950" u="1"/>
        <s v="SABS1200 GA \CONCRETE (SMALL WORKS)/8.2\SCHEDULED FORMWORK ITEMS/8.2.2\Smooth - Vertical (0°). /\KS18_017-Concrete Drop Inlet. Refer to drawing NBC-GTW-CL-0023 \m²\17.06 \ 950" u="1"/>
        <s v="SABS1200 GA \CONCRETE (SMALL WORKS)/8.2\SCHEDULED FORMWORK ITEMS/8.2.2\Smooth - Vertical (0°). /\KS13_011-Concrete Drop Inlet. Refer to drawing NBC-GTW-CL-0015 \m²\22.52 \ 950" u="1"/>
        <s v="SABS1200 GA \CONCRETE (SMALL WORKS)/8.2\SCHEDULED FORMWORK ITEMS/8.2.2\Smooth - Vertical (0°). /\KS12_008-Concrete Drop Inlet. Refer to drawing NBC-GTW-CL-0007 \m²\2 \ 950" u="1"/>
        <s v="SABS1200 GA \CONCRETE (SMALL WORKS)/8.2\SCHEDULED FORMWORK ITEMS/8.2.2\Smooth - Vertical (0°). /\KS20_001-Concrete Drop Inlet. Refer to drawing NBC-GTW-CL-0027 \m²\2.385 \ 950" u="1"/>
        <s v="SABS1200 GA \CONCRETE (SMALL WORKS)/8.2\SCHEDULED FORMWORK ITEMS/8.2.2\Smooth - Vertical (0°). /\KS21_006-Concrete Drop Inlet. Refer to drawing NBC-GTW-CL-0041 \m²\17.9256 \ 950" u="1"/>
        <s v="SABS1200 GA \CONCRETE (SMALL WORKS)/8.2\SCHEDULED FORMWORK ITEMS/8.2.2\Smooth - Vertical (0°). /\KS12_007-Concrete Drop Inlet. Refer to drawing NBC-GTW-CL-0006 \m²\3.15 \ 950" u="1"/>
        <s v="SABS1200 GA \CONCRETE (SMALL WORKS)/8.2\SCHEDULED FORMWORK ITEMS/8.2.2\Smooth - Vertical (0°). /\KS13_007-Concrete Drop Inlet. Refer to drawing NBC-GTW-CL-0013 \m²\14.91 \ 950" u="1"/>
        <s v="SABS1200 GA \CONCRETE (SMALL WORKS)/8.2\SCHEDULED FORMWORK ITEMS/8.2.2\Smooth - Vertical (0°). /\KS20_009_b-Concrete Overflow Wall. Refer to drawing  \m²\29.036 \ 950" u="1"/>
        <s v="SABS1200 GA \CONCRETE (SMALL WORKS)/8.2\SCHEDULED FORMWORK ITEMS/8.2.2\Smooth - Vertical (0°). /\KS13_015-Concrete Drop Inlet. Refer to drawing NBC-GTW-CL-0018 \m²\13.34 \ 950" u="1"/>
        <s v="SABS1200 GA \CONCRETE (SMALL WORKS)/8.2\SCHEDULED FORMWORK ITEMS/8.2.2\Smooth - Vertical (0°). /\KS20_008-Concrete Drop Inlet. Refer to drawing NBC-GTW-CL-0034 \m²\32.34 \ 950" u="1"/>
        <s v="SABS1200 GA \CONCRETE (SMALL WORKS)/8.2\SCHEDULED FORMWORK ITEMS/8.2.2\Smooth - Vertical (0°). /\KS13_011-Concrete Drop Inlet. Refer to drawing NBC-GTW-CL-0015 \m²\20.2 \ 950" u="1"/>
      </sharedItems>
    </cacheField>
    <cacheField name="Narrow Widths (up to 300 mm)2" numFmtId="0">
      <sharedItems count="2">
        <s v=" "/>
        <s v="" u="1"/>
      </sharedItems>
    </cacheField>
    <cacheField name="Box Out Holes (Up to 0.35 m Diameter and 0.5 m deep)2" numFmtId="0">
      <sharedItems count="184" longText="1">
        <s v=" "/>
        <s v="SABS1200 GA \CONCRETE (SMALL WORKS)/8.2\SCHEDULED FORMWORK ITEMS/8.2.4\Create Weep holes (50 mm Diameter). Rate to allow for the creation of weep holes in the concrete apron slab using 50 mm diameter PVC pipe./\ks11-002a-Concrete Drop Inlet on Dam Wall  \No.\16 \ 30"/>
        <s v="SABS1200 GA \CONCRETE (SMALL WORKS)/8.2\SCHEDULED FORMWORK ITEMS/8.2.4\Create Weep holes (50 mm Diameter). Rate to allow for the creation of weep holes in the concrete apron slab using 50 mm diameter PVC pipe./\ks11-004a-Concrete Drop Inlet on Dam Wall  \No.\16 \ 30"/>
        <s v="SABS1200 GA \CONCRETE (SMALL WORKS)/8.2\SCHEDULED FORMWORK ITEMS/8.2.4\Create Weep holes (50 mm Diameter). Rate to allow for the creation of weep holes in the concrete apron slab using 50 mm diameter PVC pipe./\KS12_004-Concrete Drop Inlet. Drawing NBC-GTW-CL-0003 \No.\7 \ 30"/>
        <s v="SABS1200 GA \CONCRETE (SMALL WORKS)/8.2\SCHEDULED FORMWORK ITEMS/8.2.4\Create Weep holes (50 mm Diameter). Rate to allow for the creation of weep holes in the concrete apron slab using 50 mm diameter PVC pipe./\KS12_005-Concrete Drop Inlet. Drawing NBC-GTW-CL-0004 \No.\6 \ 30"/>
        <s v="SABS1200 GA \CONCRETE (SMALL WORKS)/8.2\SCHEDULED FORMWORK ITEMS/8.2.4\Create Weep holes (50 mm Diameter). Rate to allow for the creation of weep holes in the concrete apron slab using 50 mm diameter PVC pipe./\KS12_006-Concrete Drop Inlet. Drawing NBC-GTW-CL-0005 \No.\5 \ 30"/>
        <s v="SABS1200 GA \CONCRETE (SMALL WORKS)/8.2\SCHEDULED FORMWORK ITEMS/8.2.4\Create Weep holes (50 mm Diameter). Rate to allow for the creation of weep holes in the concrete apron slab using 50 mm diameter PVC pipe./\KS12_007-Concrete Drop Inlet. Drawing NBC-GTW-CL-0006 \No.\5 \ 30"/>
        <s v="SABS1200 GA \CONCRETE (SMALL WORKS)/8.2\SCHEDULED FORMWORK ITEMS/8.2.4\Create Weep holes (50 mm Diameter). Rate to allow for the creation of weep holes in the concrete apron slab using 50 mm diameter PVC pipe./\KS12_008-Concrete Drop Inlet. Drawing NBC-GTW-CL-0007 \No.\4 \ 30"/>
        <s v="SABS1200 GA \CONCRETE (SMALL WORKS)/8.2\SCHEDULED FORMWORK ITEMS/8.2.4\Create Weep holes (50 mm Diameter). Rate to allow for the creation of weep holes in the concrete apron slab using 50 mm diameter PVC pipe./\KS12_009-Concrete Drop Inlet. Drawing NBC-GTW-CL-0008 \No.\3 \ 30"/>
        <s v="SABS1200 GA \CONCRETE (SMALL WORKS)/8.2\SCHEDULED FORMWORK ITEMS/8.2.4\Create Weep holes (50 mm Diameter). Rate to allow for the creation of weep holes in the concrete apron slab using 50 mm diameter PVC pipe./\KS13_003-Concrete Drop Inlet. Drawing NBC-GTW-CL-0009 \No.\8 \ 30"/>
        <s v="SABS1200 GA \CONCRETE (SMALL WORKS)/8.2\SCHEDULED FORMWORK ITEMS/8.2.4\Create Weep holes (50 mm Diameter). Rate to allow for the creation of weep holes in the concrete apron slab using 50 mm diameter PVC pipe./\KS19_002-Concrete Drop Inlet. Drawing NBC-GTW-CL-0026 \No.\6 \ 30"/>
        <s v="SABS1200 GA \CONCRETE (SMALL WORKS)/8.2\SCHEDULED FORMWORK ITEMS/8.2.4\Create Weep holes (50 mm Diameter). Rate to allow for the creation of weep holes in the concrete apron slab using 50 mm diameter PVC pipe./\KS20_001-Concrete Drop Inlet. Drawing NBC-GTW-CL-0027 \No.\7 \ 30"/>
        <s v="" u="1"/>
        <s v="SABS1200 GA  \ Concrete (Small Works) / 8.2\ SCHEDULED FORMWORK ITEMS / 8.2.4 \ Box Out Holes (Up to 0.35 m Diameter and 0.5 m deep). Rate to allow for the creation of weepholes in the apron slab using 50 mm diameter PVC pipe./\KS12_006-Concrete Drop Inlet. Refer to drawing E \No.\5 \ 30" u="1"/>
        <s v="SABS1200 GA  \ Concrete (Small Works) / 8.2\ SCHEDULED FORMWORK ITEMS / 8.2.4 \ Box Out Holes (Up to 0.35 m Diameter and 0.5 m deep). Rate to allow for the creation of weepholes in the apron slab using 50 mm diameter PVC pipe./\KS12_007-Concrete Drop Inlet. Refer to drawing F \No.\5 \ 30" u="1"/>
        <s v="SABS1200 GA \Concrete (Small Works)/8.2\SCHEDULED FORMWORK ITEMS/8.2.4\Box Out Holes (Up to 0.35 m Diameter and 0.5 m deep). Rate to allow for the creation of weepholes in the apron slab using 50 mm diameter PVC pipe./\KS18_003-Concrete Cut-Off Walls. Refer to drawing NBC-GTW-CL-0045 \No.\7 \ 30" u="1"/>
        <s v="SABS1200 GA \CONCRETE (SMALL WORKS)/8.2\SCHEDULED FORMWORK ITEMS/8.2.4\Box Out Holes (Up to 0.35 m Diameter and 0.5 m deep). Rate to allow for the creation of weepholes in the apron slab using 50 mm diameter PVC pipe./\KS20_005-Concrete Drop Inlet. Refer to drawing NBC-GTW-CL-0031 \No.\13 \ 30" u="1"/>
        <s v="SABS1200 GA \CONCRETE (SMALL WORKS)/8.2\SCHEDULED FORMWORK ITEMS/8.2.4\Box Out Holes (Up to 0.35 m Diameter and 0.5 m deep). Rate to allow for the creation of weepholes in the apron slab using 50 mm diameter PVC pipe./\KS20_008-Concrete Drop Inlet. Refer to drawing NBC-GTW-CL-0034 \No.\13 \ 30" u="1"/>
        <s v="SABS1200 GA  \ Concrete (Small Works) / 8.2\ SCHEDULED FORMWORK ITEMS / 8.2.4 \ Box Out Holes (Up to 0.35 m Diameter and 0.5 m deep). Rate to allow for the creation of weepholes in the apron slab using 50 mm diameter PVC pipe./\KS12_008-Concrete Drop Inlet. Refer to drawing G \No.\4 \ 30" u="1"/>
        <s v="SABS1200 GA \CONCRETE (SMALL WORKS)/8.2\SCHEDULED FORMWORK ITEMS/8.2.4\Create Weep holes (50 mm Diameter). Rate to allow for the creation of weep holes in the concrete apron slab using 50 mm diameter PVC pipe./\KS20_009_a-Concrete Buttress Weir. Drawing NBC-GTW-CL-0035 \No.\15 \ 30" u="1"/>
        <s v="SABS1200 GA \CONCRETE (SMALL WORKS)/8.2\SCHEDULED FORMWORK ITEMS/8.2.4\Box Out Holes (Up to 0.35 m Diameter and 0.5 m deep). Rate to allow for the creation of weep holes in the apron slab using 50 mm diameter PVC pipe./\KS18_001-Concrete Drop Inlet. Refer to drawing NBC-GTW-CL-0019 \No.\15 \ 30" u="1"/>
        <s v="SABS1200 GA \CONCRETE (SMALL WORKS)/8.2\SCHEDULED FORMWORK ITEMS/8.2.4\Box Out Holes (Up to 0.35 m Diameter and 0.5 m deep). Rate to allow for the creation of weep holes in the apron slab using 50 mm diameter PVC pipe./\KS12_005-Concrete Drop Inlet. Refer to drawing NBC-GTW-CL-0004 \No.\6 \ 30" u="1"/>
        <s v="SABS1200 GA \CONCRETE (SMALL WORKS)/8.2\SCHEDULED FORMWORK ITEMS/8.2.4\Box Out Holes (Up to 0.35 m Diameter and 0.5 m deep). Rate to allow for the creation of weep holes in the apron slab using 50 mm diameter PVC pipe./\KS18_018-Concrete Drop Inlet. Refer to drawing NBC-GTW-CL-0024 \No.\6 \ 30" u="1"/>
        <s v="SABS1200 GA \CONCRETE (SMALL WORKS)/8.2\SCHEDULED FORMWORK ITEMS/8.2.4\Box Out Holes (Up to 0.35 m Diameter and 0.5 m deep). Rate to allow for the creation of weep holes in the apron slab using 50 mm diameter PVC pipe./\KS18_019-Concrete Drop Inlet. Refer to drawing NBC-GTW-CL-0025 \No.\6 \ 30" u="1"/>
        <s v="SABS1200 GA \CONCRETE (SMALL WORKS)/8.2\SCHEDULED FORMWORK ITEMS/8.2.4\Box Out Holes (Up to 0.35 m Diameter and 0.5 m deep). Rate to allow for the creation of weep holes in the apron slab using 50 mm diameter PVC pipe./\KS19_002-Concrete Drop Inlet. Refer to drawing NBC-GTW-CL-0026 \No.\6 \ 30" u="1"/>
        <s v="SABS1200 GA \CONCRETE (SMALL WORKS)/8.2\SCHEDULED FORMWORK ITEMS/8.2.4\Box Out Holes (Up to 0.35 m Diameter and 0.5 m deep). Rate to allow for the creation of weep holes in the apron slab using 50 mm diameter PVC pipe./\KS20_005-Concrete Drop Inlet. Refer to drawing NBC-GTW-CL-0031 \No.\13 \ 30" u="1"/>
        <s v="SABS1200 GA \CONCRETE (SMALL WORKS)/8.2\SCHEDULED FORMWORK ITEMS/8.2.4\Box Out Holes (Up to 0.35 m Diameter and 0.5 m deep). Rate to allow for the creation of weep holes in the apron slab using 50 mm diameter PVC pipe./\KS20_008-Concrete Drop Inlet. Refer to drawing NBC-GTW-CL-0034 \No.\13 \ 30" u="1"/>
        <s v="SABS1200 GA  \ Concrete (Small Works) / 8.2\ SCHEDULED FORMWORK ITEMS / 8.2.4 \ Box Out Holes (Up to 0.35 m Diameter and 0.5 m deep). Rate to allow for the creation of weepholes in the apron slab using 50 mm diameter PVC pipe./\KS12_009-Concrete Drop Inlet. Refer to drawing H \No.\3 \ 30" u="1"/>
        <s v="SABS1200 GA  \ Concrete (Small Works) / 8.2\ SCHEDULED FORMWORK ITEMS / 8.2.4 \ Box Out Holes (Up to 0.35 m Diameter and 0.5 m deep). Rate to allow for the creation of weepholes in the apron slab using 50 mm diameter PVC pipe./\KS20_009_a-Concrete Drop Inlet. Refer to drawing AI \No.\15 \ 30" u="1"/>
        <s v="SABS1200 GA \CONCRETE (SMALL WORKS)/8.2\SCHEDULED FORMWORK ITEMS/8.2.4\Box Out Holes (Up to 0.35 m Diameter and 0.5 m deep). Rate to allow for the creation of weep holes in the apron slab using 50 mm diameter PVC pipe./\KS13_003-Concrete Drop Inlet. Drawing NBC-GTW-CL-0009 \No.\8 \ 30" u="1"/>
        <s v="SABS1200 GA \CONCRETE (SMALL WORKS)/8.2\SCHEDULED FORMWORK ITEMS/8.2.4\Box Out Holes (Up to 0.35 m Diameter and 0.5 m deep). Rate to allow for the creation of weep holes in the apron slab using 50 mm diameter PVC pipe./\KS13_011-Concrete Drop Inlet. Drawing NBC-GTW-CL-0015 \No.\8 \ 30" u="1"/>
        <s v="SABS1200 GA \CONCRETE (SMALL WORKS)/8.2\SCHEDULED FORMWORK ITEMS/8.2.4\Box Out Holes (Up to 0.35 m Diameter and 0.5 m deep). Rate to allow for the creation of weep holes in the apron slab using 50 mm diameter PVC pipe./\KS13_013-Concrete Drop Inlet. Drawing NBC-GTW-CL-0017 \No.\8 \ 30" u="1"/>
        <s v="SABS1200 GA \CONCRETE (SMALL WORKS)/8.2\SCHEDULED FORMWORK ITEMS/8.2.4\Box Out Holes (Up to 0.35 m Diameter and 0.5 m deep). Rate to allow for the creation of weep holes in the apron slab using 50 mm diameter PVC pipe./\KS13_015-Concrete Drop Inlet. Drawing NBC-GTW-CL-0018 \No.\8 \ 30" u="1"/>
        <s v="SABS1200 GA \CONCRETE (SMALL WORKS)/8.2\SCHEDULED FORMWORK ITEMS/8.2.4\Box Out Holes (Up to 0.35 m Diameter and 0.5 m deep). Rate to allow for the creation of weep holes in the apron slab using 50 mm diameter PVC pipe./\KS21_009-Concrete Drop Inlet. Drawing NBC-GTW-CL-0043 \No.\8 \ 30" u="1"/>
        <s v="SABS1200 GA \CONCRETE (SMALL WORKS)/8.2\SCHEDULED FORMWORK ITEMS/8.2.4\Box Out Holes (Up to 0.35 m Diameter and 0.5 m deep). Rate to allow for the creation of weep holes in the apron slab using 50 mm diameter PVC pipe./\KS21_010-Concrete Drop Inlet. Drawing NBC-GTW-CL-0044 \No.\8 \ 30" u="1"/>
        <s v="SABS1200 GA \CONCRETE (SMALL WORKS)/8.2\SCHEDULED FORMWORK ITEMS/8.2.4\Box Out Holes (Up to 0.35 m Diameter and 0.5 m deep). Rate to allow for the creation of weep holes in the apron slab using 50 mm diameter PVC pipe./\KS12_009-Concrete Drop Inlet. Drawing NBC-GTW-CL-0008 \No.\3 \ 30" u="1"/>
        <s v="SABS1200 GA \CONCRETE (SMALL WORKS)/8.2\SCHEDULED FORMWORK ITEMS/8.2.4\Create Weep holes (50 mm Diameter). Rate to allow for the creation of weep holes in the concrete apron slab using 50 mm diameter PVC pipe./\KS13_011-Concrete Drop Inlet. Drawing NBC-GTW-CL-0015 \No.\8 \ 30" u="1"/>
        <s v="SABS1200 GA \CONCRETE (SMALL WORKS)/8.2\SCHEDULED FORMWORK ITEMS/8.2.4\Create Weep holes (50 mm Diameter). Rate to allow for the creation of weep holes in the concrete apron slab using 50 mm diameter PVC pipe./\KS13_013-Concrete Drop Inlet. Drawing NBC-GTW-CL-0017 \No.\8 \ 30" u="1"/>
        <s v="SABS1200 GA \CONCRETE (SMALL WORKS)/8.2\SCHEDULED FORMWORK ITEMS/8.2.4\Create Weep holes (50 mm Diameter). Rate to allow for the creation of weep holes in the concrete apron slab using 50 mm diameter PVC pipe./\KS13_015-Concrete Drop Inlet. Drawing NBC-GTW-CL-0018 \No.\8 \ 30" u="1"/>
        <s v="SABS1200 GA \CONCRETE (SMALL WORKS)/8.2\SCHEDULED FORMWORK ITEMS/8.2.4\Create Weep holes (50 mm Diameter). Rate to allow for the creation of weep holes in the concrete apron slab using 50 mm diameter PVC pipe./\KS21_009-Concrete Drop Inlet. Drawing NBC-GTW-CL-0043 \No.\8 \ 30" u="1"/>
        <s v="SABS1200 GA \CONCRETE (SMALL WORKS)/8.2\SCHEDULED FORMWORK ITEMS/8.2.4\Create Weep holes (50 mm Diameter). Rate to allow for the creation of weep holes in the concrete apron slab using 50 mm diameter PVC pipe./\KS21_010-Concrete Drop Inlet. Drawing NBC-GTW-CL-0044 \No.\8 \ 30" u="1"/>
        <s v="SABS1200 GA \CONCRETE (SMALL WORKS)/8.2\SCHEDULED FORMWORK ITEMS/8.2.4\Create Weep holes (50 mm Diameter). Rate to allow for the creation of weep holes in the concrete apron slab using 50 mm diameter PVC pipe./\KS18_018-Concrete Drop Inlet. Drawing NBC-GTW-CL-0024 \No.\6 \ 30" u="1"/>
        <s v="SABS1200 GA \CONCRETE (SMALL WORKS)/8.2\SCHEDULED FORMWORK ITEMS/8.2.4\Create Weep holes (50 mm Diameter). Rate to allow for the creation of weep holes in the concrete apron slab using 50 mm diameter PVC pipe./\KS18_019-Concrete Drop Inlet. Drawing NBC-GTW-CL-0025 \No.\6 \ 30" u="1"/>
        <s v="SABS1200 GA  \ Concrete (Small Works) / 8.2\ SCHEDULED FORMWORK ITEMS / 8.2.4 \ Box Out Holes (Up to 0.35 m Diameter and 0.5 m deep). Rate to allow for the creation of weepholes in the apron slab using 50 mm diameter PVC pipe./\KS18_003-Concrete Cut-Off Walls. Refer to drawing AS \No.\7 \ 30" u="1"/>
        <s v="SABS1200 GA \CONCRETE (SMALL WORKS)/8.2\SCHEDULED FORMWORK ITEMS/8.2.4\Box Out Holes (Up to 0.35 m Diameter and 0.5 m deep). Rate to allow for the creation of weep holes in the apron slab using 50 mm diameter PVC pipe./\KS12_004-Concrete Drop Inlet. Refer to drawing NBC-GTW-CL-0003 \No.\7 \ 30" u="1"/>
        <s v="SABS1200 GA \CONCRETE (SMALL WORKS)/8.2\SCHEDULED FORMWORK ITEMS/8.2.4\Box Out Holes (Up to 0.35 m Diameter and 0.5 m deep). Rate to allow for the creation of weep holes in the apron slab using 50 mm diameter PVC pipe./\KS13_004-Concrete Drop Inlet. Refer to drawing NBC-GTW-CL-0010 \No.\7 \ 30" u="1"/>
        <s v="SABS1200 GA \CONCRETE (SMALL WORKS)/8.2\SCHEDULED FORMWORK ITEMS/8.2.4\Box Out Holes (Up to 0.35 m Diameter and 0.5 m deep). Rate to allow for the creation of weep holes in the apron slab using 50 mm diameter PVC pipe./\KS13_005-Concrete Drop Inlet. Refer to drawing NBC-GTW-CL-0011 \No.\7 \ 30" u="1"/>
        <s v="SABS1200 GA \CONCRETE (SMALL WORKS)/8.2\SCHEDULED FORMWORK ITEMS/8.2.4\Box Out Holes (Up to 0.35 m Diameter and 0.5 m deep). Rate to allow for the creation of weep holes in the apron slab using 50 mm diameter PVC pipe./\KS13_006-Concrete Drop Inlet. Refer to drawing NBC-GTW-CL-0012 \No.\7 \ 30" u="1"/>
        <s v="SABS1200 GA \CONCRETE (SMALL WORKS)/8.2\SCHEDULED FORMWORK ITEMS/8.2.4\Box Out Holes (Up to 0.35 m Diameter and 0.5 m deep). Rate to allow for the creation of weep holes in the apron slab using 50 mm diameter PVC pipe./\KS13_007-Concrete Drop Inlet. Refer to drawing NBC-GTW-CL-0013 \No.\7 \ 30" u="1"/>
        <s v="SABS1200 GA \CONCRETE (SMALL WORKS)/8.2\SCHEDULED FORMWORK ITEMS/8.2.4\Box Out Holes (Up to 0.35 m Diameter and 0.5 m deep). Rate to allow for the creation of weep holes in the apron slab using 50 mm diameter PVC pipe./\KS13_012-Concrete Drop Inlet. Refer to drawing NBC-GTW-CL-0016 \No.\7 \ 30" u="1"/>
        <s v="SABS1200 GA \CONCRETE (SMALL WORKS)/8.2\SCHEDULED FORMWORK ITEMS/8.2.4\Box Out Holes (Up to 0.35 m Diameter and 0.5 m deep). Rate to allow for the creation of weep holes in the apron slab using 50 mm diameter PVC pipe./\KS18_016-Concrete Drop Inlet. Refer to drawing NBC-GTW-CL-0022 \No.\7 \ 30" u="1"/>
        <s v="SABS1200 GA \CONCRETE (SMALL WORKS)/8.2\SCHEDULED FORMWORK ITEMS/8.2.4\Box Out Holes (Up to 0.35 m Diameter and 0.5 m deep). Rate to allow for the creation of weep holes in the apron slab using 50 mm diameter PVC pipe./\KS18_017-Concrete Drop Inlet. Refer to drawing NBC-GTW-CL-0023 \No.\7 \ 30" u="1"/>
        <s v="SABS1200 GA \CONCRETE (SMALL WORKS)/8.2\SCHEDULED FORMWORK ITEMS/8.2.4\Box Out Holes (Up to 0.35 m Diameter and 0.5 m deep). Rate to allow for the creation of weep holes in the apron slab using 50 mm diameter PVC pipe./\KS20_001-Concrete Drop Inlet. Refer to drawing NBC-GTW-CL-0027 \No.\7 \ 30" u="1"/>
        <s v="SABS1200 GA \CONCRETE (SMALL WORKS)/8.2\SCHEDULED FORMWORK ITEMS/8.2.4\Box Out Holes (Up to 0.35 m Diameter and 0.5 m deep). Rate to allow for the creation of weep holes in the apron slab using 50 mm diameter PVC pipe./\KS20_009_a-Concrete Buttress Weir. Refer to drawing NBC-GTW-CL-0035 \No.\15 \ 30" u="1"/>
        <s v="SABS1200 GA \CONCRETE (SMALL WORKS)/8.2\SCHEDULED FORMWORK ITEMS/8.2.4\Create Weep holes (50 mm Diameter). Rate to allow for the creation of weep holes in the concrete apron slab using 50 mm diameter PVC pipe./\KS20_004-Concrete Drop Inlet. Drawing NBC-GTW-CL-0030 \No.\10 \ 30" u="1"/>
        <s v="SABS1200 GA \CONCRETE (SMALL WORKS)/8.2\SCHEDULED FORMWORK ITEMS/8.2.4\Create Weep holes (50 mm Diameter). Rate to allow for the creation of weep holes in the concrete apron slab using 50 mm diameter PVC pipe./\KS20_007-Concrete Drop Inlet. Drawing NBC-GTW-CL-0033 \No.\10 \ 30" u="1"/>
        <s v="SABS1200 GA \CONCRETE (SMALL WORKS)/8.2\SCHEDULED FORMWORK ITEMS/8.2.4\Create Weep holes (50 mm Diameter). Rate to allow for the creation of weep holes in the concrete apron slab using 50 mm diameter PVC pipe./\KS21_007-Concrete Drop Inlet. Drawing NBC-GTW-CL-0042 \No.\10 \ 30" u="1"/>
        <s v="SABS1200 GA \CONCRETE (SMALL WORKS)/8.2\SCHEDULED FORMWORK ITEMS/8.2.4\Box Out Holes (Up to 0.35 m Diameter and 0.5 m deep). Rate to allow for the creation of weep holes in the apron slab using 50 mm diameter PVC pipe./\KS12_004-Concrete Drop Inlet. Drawing NBC-GTW-CL-0003 \No.\7 \ 30" u="1"/>
        <s v="SABS1200 GA \CONCRETE (SMALL WORKS)/8.2\SCHEDULED FORMWORK ITEMS/8.2.4\Box Out Holes (Up to 0.35 m Diameter and 0.5 m deep). Rate to allow for the creation of weep holes in the apron slab using 50 mm diameter PVC pipe./\KS13_004-Concrete Drop Inlet. Drawing NBC-GTW-CL-0010 \No.\7 \ 30" u="1"/>
        <s v="SABS1200 GA \CONCRETE (SMALL WORKS)/8.2\SCHEDULED FORMWORK ITEMS/8.2.4\Box Out Holes (Up to 0.35 m Diameter and 0.5 m deep). Rate to allow for the creation of weep holes in the apron slab using 50 mm diameter PVC pipe./\KS13_005-Concrete Drop Inlet. Drawing NBC-GTW-CL-0011 \No.\7 \ 30" u="1"/>
        <s v="SABS1200 GA \CONCRETE (SMALL WORKS)/8.2\SCHEDULED FORMWORK ITEMS/8.2.4\Box Out Holes (Up to 0.35 m Diameter and 0.5 m deep). Rate to allow for the creation of weep holes in the apron slab using 50 mm diameter PVC pipe./\KS13_006-Concrete Drop Inlet. Drawing NBC-GTW-CL-0012 \No.\7 \ 30" u="1"/>
        <s v="SABS1200 GA \CONCRETE (SMALL WORKS)/8.2\SCHEDULED FORMWORK ITEMS/8.2.4\Box Out Holes (Up to 0.35 m Diameter and 0.5 m deep). Rate to allow for the creation of weep holes in the apron slab using 50 mm diameter PVC pipe./\KS13_007-Concrete Drop Inlet. Drawing NBC-GTW-CL-0013 \No.\7 \ 30" u="1"/>
        <s v="SABS1200 GA \CONCRETE (SMALL WORKS)/8.2\SCHEDULED FORMWORK ITEMS/8.2.4\Box Out Holes (Up to 0.35 m Diameter and 0.5 m deep). Rate to allow for the creation of weep holes in the apron slab using 50 mm diameter PVC pipe./\KS13_012-Concrete Drop Inlet. Drawing NBC-GTW-CL-0016 \No.\7 \ 30" u="1"/>
        <s v="SABS1200 GA \CONCRETE (SMALL WORKS)/8.2\SCHEDULED FORMWORK ITEMS/8.2.4\Box Out Holes (Up to 0.35 m Diameter and 0.5 m deep). Rate to allow for the creation of weep holes in the apron slab using 50 mm diameter PVC pipe./\KS18_016-Concrete Drop Inlet. Drawing NBC-GTW-CL-0022 \No.\7 \ 30" u="1"/>
        <s v="SABS1200 GA \CONCRETE (SMALL WORKS)/8.2\SCHEDULED FORMWORK ITEMS/8.2.4\Box Out Holes (Up to 0.35 m Diameter and 0.5 m deep). Rate to allow for the creation of weep holes in the apron slab using 50 mm diameter PVC pipe./\KS18_017-Concrete Drop Inlet. Drawing NBC-GTW-CL-0023 \No.\7 \ 30" u="1"/>
        <s v="SABS1200 GA \CONCRETE (SMALL WORKS)/8.2\SCHEDULED FORMWORK ITEMS/8.2.4\Box Out Holes (Up to 0.35 m Diameter and 0.5 m deep). Rate to allow for the creation of weep holes in the apron slab using 50 mm diameter PVC pipe./\KS20_001-Concrete Drop Inlet. Drawing NBC-GTW-CL-0027 \No.\7 \ 30" u="1"/>
        <s v="SABS1200 GA \CONCRETE (SMALL WORKS)/8.2\SCHEDULED FORMWORK ITEMS/8.2.4\Box Out Holes (Up to 0.35 m Diameter and 0.5 m deep). Rate to allow for the creation of weepholes in the apron slab using 50 mm diameter PVC pipe./\KS18_001-Concrete Drop Inlet. Refer to drawing NBC-GTW-CL-0019 \No.\15 \ 30" u="1"/>
        <s v="SABS1200 GA \CONCRETE (SMALL WORKS)/8.2\SCHEDULED FORMWORK ITEMS/8.2.4\Create Weep holes (50 mm Diameter). Rate to allow for the creation of weep holes in the concrete apron slab using 50 mm diameter PVC pipe./\KS20_005-Concrete Drop Inlet. Drawing NBC-GTW-CL-0031 \No.\13 \ 30" u="1"/>
        <s v="SABS1200 GA \CONCRETE (SMALL WORKS)/8.2\SCHEDULED FORMWORK ITEMS/8.2.4\Create Weep holes (50 mm Diameter). Rate to allow for the creation of weep holes in the concrete apron slab using 50 mm diameter PVC pipe./\KS20_008-Concrete Drop Inlet. Drawing NBC-GTW-CL-0034 \No.\13 \ 30" u="1"/>
        <s v="SABS1200 GA \CONCRETE (SMALL WORKS)/8.2\SCHEDULED FORMWORK ITEMS/8.2.4\Box Out Holes (Up to 0.35 m Diameter and 0.5 m deep). Rate to allow for the creation of weep holes in the apron slab using 50 mm diameter PVC pipe./\KS13_003-Concrete Drop Inlet. Refer to drawing NBC-GTW-CL-0009 \No.\8 \ 30" u="1"/>
        <s v="SABS1200 GA \CONCRETE (SMALL WORKS)/8.2\SCHEDULED FORMWORK ITEMS/8.2.4\Box Out Holes (Up to 0.35 m Diameter and 0.5 m deep). Rate to allow for the creation of weep holes in the apron slab using 50 mm diameter PVC pipe./\KS13_011-Concrete Drop Inlet. Refer to drawing NBC-GTW-CL-0015 \No.\8 \ 30" u="1"/>
        <s v="SABS1200 GA \CONCRETE (SMALL WORKS)/8.2\SCHEDULED FORMWORK ITEMS/8.2.4\Box Out Holes (Up to 0.35 m Diameter and 0.5 m deep). Rate to allow for the creation of weep holes in the apron slab using 50 mm diameter PVC pipe./\KS13_013-Concrete Drop Inlet. Refer to drawing NBC-GTW-CL-0017 \No.\8 \ 30" u="1"/>
        <s v="SABS1200 GA \CONCRETE (SMALL WORKS)/8.2\SCHEDULED FORMWORK ITEMS/8.2.4\Box Out Holes (Up to 0.35 m Diameter and 0.5 m deep). Rate to allow for the creation of weep holes in the apron slab using 50 mm diameter PVC pipe./\KS13_015-Concrete Drop Inlet. Refer to drawing NBC-GTW-CL-0018 \No.\8 \ 30" u="1"/>
        <s v="SABS1200 GA \CONCRETE (SMALL WORKS)/8.2\SCHEDULED FORMWORK ITEMS/8.2.4\Box Out Holes (Up to 0.35 m Diameter and 0.5 m deep). Rate to allow for the creation of weep holes in the apron slab using 50 mm diameter PVC pipe./\KS21_009-Concrete Drop Inlet. Refer to drawing NBC-GTW-CL-0043 \No.\8 \ 30" u="1"/>
        <s v="SABS1200 GA \CONCRETE (SMALL WORKS)/8.2\SCHEDULED FORMWORK ITEMS/8.2.4\Box Out Holes (Up to 0.35 m Diameter and 0.5 m deep). Rate to allow for the creation of weep holes in the apron slab using 50 mm diameter PVC pipe./\KS21_010-Concrete Drop Inlet. Refer to drawing NBC-GTW-CL-0044 \No.\8 \ 30" u="1"/>
        <s v="SABS1200 GA  \ Concrete (Small Works) / 8.2\ SCHEDULED FORMWORK ITEMS / 8.2.4 \ Box Out Holes (Up to 0.35 m Diameter and 0.5 m deep). Rate to allow for the creation of weepholes in the apron slab using 50 mm diameter PVC pipe./\KS20_004-Concrete Drop Inlet. Refer to drawing AD \No.\10 \ 30" u="1"/>
        <s v="SABS1200 GA  \ Concrete (Small Works) / 8.2\ SCHEDULED FORMWORK ITEMS / 8.2.4 \ Box Out Holes (Up to 0.35 m Diameter and 0.5 m deep). Rate to allow for the creation of weepholes in the apron slab using 50 mm diameter PVC pipe./\KS20_007-Concrete Drop Inlet. Refer to drawing AG \No.\10 \ 30" u="1"/>
        <s v="SABS1200 GA  \ Concrete (Small Works) / 8.2\ SCHEDULED FORMWORK ITEMS / 8.2.4 \ Box Out Holes (Up to 0.35 m Diameter and 0.5 m deep). Rate to allow for the creation of weepholes in the apron slab using 50 mm diameter PVC pipe./\KS21_007-Concrete Drop Inlet. Refer to drawing AP \No.\10 \ 30" u="1"/>
        <s v="SABS1200 GA \CONCRETE (SMALL WORKS)/8.2\SCHEDULED FORMWORK ITEMS/8.2.4\Box Out Holes (Up to 0.35 m Diameter and 0.5 m deep). Rate to allow for the creation of weep holes in the apron slab using 50 mm diameter PVC pipe./\ks11-002a-Concrete Drop Inlet on Dam Wall  \No.\16 \ 30" u="1"/>
        <s v="SABS1200 GA \CONCRETE (SMALL WORKS)/8.2\SCHEDULED FORMWORK ITEMS/8.2.4\Box Out Holes (Up to 0.35 m Diameter and 0.5 m deep). Rate to allow for the creation of weep holes in the apron slab using 50 mm diameter PVC pipe./\ks11-004a-Concrete Drop Inlet on Dam Wall  \No.\16 \ 30" u="1"/>
        <s v="SABS1200 GA \CONCRETE (SMALL WORKS)/8.2\SCHEDULED FORMWORK ITEMS/8.2.4\Box Out Holes (Up to 0.35 m Diameter and 0.5 m deep). Rate to allow for the creation of weep holes in the apron slab using 50 mm diameter PVC pipe./\KS20_004-Concrete Drop Inlet. Drawing NBC-GTW-CL-0030 \No.\10 \ 30" u="1"/>
        <s v="SABS1200 GA \CONCRETE (SMALL WORKS)/8.2\SCHEDULED FORMWORK ITEMS/8.2.4\Box Out Holes (Up to 0.35 m Diameter and 0.5 m deep). Rate to allow for the creation of weep holes in the apron slab using 50 mm diameter PVC pipe./\KS20_007-Concrete Drop Inlet. Drawing NBC-GTW-CL-0033 \No.\10 \ 30" u="1"/>
        <s v="SABS1200 GA \CONCRETE (SMALL WORKS)/8.2\SCHEDULED FORMWORK ITEMS/8.2.4\Box Out Holes (Up to 0.35 m Diameter and 0.5 m deep). Rate to allow for the creation of weep holes in the apron slab using 50 mm diameter PVC pipe./\KS21_007-Concrete Drop Inlet. Drawing NBC-GTW-CL-0042 \No.\10 \ 30" u="1"/>
        <s v="SABS1200 GA  \ Concrete (Small Works) / 8.2\ SCHEDULED FORMWORK ITEMS / 8.2.4 \ Box Out Holes (Up to 0.35 m Diameter and 0.5 m deep). Rate to allow for the creation of weepholes in the apron slab using 50 mm diameter PVC pipe./\KS13_011-Concrete Drop Inlet. Refer to drawing O \No.\10 \ 30" u="1"/>
        <s v="SABS1200 GA \CONCRETE (SMALL WORKS)/8.2\SCHEDULED FORMWORK ITEMS/8.2.4\Box Out Holes (Up to 0.35 m Diameter and 0.5 m deep). Rate to allow for the creation of weepholes in the apron slab using 50 mm diameter PVC pipe./\KS13_011-Concrete Drop Inlet. Refer to drawing NBC-GTW-CL-0015 \No.\10 \ 30" u="1"/>
        <s v="SABS1200 GA \CONCRETE (SMALL WORKS)/8.2\SCHEDULED FORMWORK ITEMS/8.2.4\Box Out Holes (Up to 0.35 m Diameter and 0.5 m deep). Rate to allow for the creation of weepholes in the apron slab using 50 mm diameter PVC pipe./\KS20_004-Concrete Drop Inlet. Refer to drawing NBC-GTW-CL-0030 \No.\10 \ 30" u="1"/>
        <s v="SABS1200 GA \CONCRETE (SMALL WORKS)/8.2\SCHEDULED FORMWORK ITEMS/8.2.4\Box Out Holes (Up to 0.35 m Diameter and 0.5 m deep). Rate to allow for the creation of weepholes in the apron slab using 50 mm diameter PVC pipe./\KS20_007-Concrete Drop Inlet. Refer to drawing NBC-GTW-CL-0033 \No.\10 \ 30" u="1"/>
        <s v="SABS1200 GA \CONCRETE (SMALL WORKS)/8.2\SCHEDULED FORMWORK ITEMS/8.2.4\Box Out Holes (Up to 0.35 m Diameter and 0.5 m deep). Rate to allow for the creation of weepholes in the apron slab using 50 mm diameter PVC pipe./\KS21_007-Concrete Drop Inlet. Refer to drawing NBC-GTW-CL-0042 \No.\10 \ 30" u="1"/>
        <s v="SABS1200 GA  \ Concrete (Small Works) / 8.2\ SCHEDULED FORMWORK ITEMS / 8.2.4 \ Box Out Holes (Up to 0.35 m Diameter and 0.5 m deep). Rate to allow for the creation of weepholes in the apron slab using 50 mm diameter PVC pipe./\KS18_001-Concrete Drop Inlet. Refer to drawing S \No.\15 \ 30" u="1"/>
        <s v="SABS1200 GA \CONCRETE (SMALL WORKS)/8.2\SCHEDULED FORMWORK ITEMS/8.2.4\Box Out Holes (Up to 0.35 m Diameter and 0.5 m deep). Rate to allow for the creation of weep holes in the apron slab using 50 mm diameter PVC pipe./\KS20_003-Concrete Buttress Weir. Drawing NBC-GTW-CL-0029 \No.\16 \ 30" u="1"/>
        <s v="SABS1200 GA \CONCRETE (SMALL WORKS)/8.2\SCHEDULED FORMWORK ITEMS/8.2.4\Box Out Holes (Up to 0.35 m Diameter and 0.5 m deep). Rate to allow for the creation of weep holes in the apron slab using 50 mm diameter PVC pipe./\KS12_005-Concrete Drop Inlet. Drawing NBC-GTW-CL-0004 \No.\6 \ 30" u="1"/>
        <s v="SABS1200 GA \CONCRETE (SMALL WORKS)/8.2\SCHEDULED FORMWORK ITEMS/8.2.4\Box Out Holes (Up to 0.35 m Diameter and 0.5 m deep). Rate to allow for the creation of weep holes in the apron slab using 50 mm diameter PVC pipe./\KS18_018-Concrete Drop Inlet. Drawing NBC-GTW-CL-0024 \No.\6 \ 30" u="1"/>
        <s v="SABS1200 GA \CONCRETE (SMALL WORKS)/8.2\SCHEDULED FORMWORK ITEMS/8.2.4\Box Out Holes (Up to 0.35 m Diameter and 0.5 m deep). Rate to allow for the creation of weep holes in the apron slab using 50 mm diameter PVC pipe./\KS18_019-Concrete Drop Inlet. Drawing NBC-GTW-CL-0025 \No.\6 \ 30" u="1"/>
        <s v="SABS1200 GA \CONCRETE (SMALL WORKS)/8.2\SCHEDULED FORMWORK ITEMS/8.2.4\Box Out Holes (Up to 0.35 m Diameter and 0.5 m deep). Rate to allow for the creation of weep holes in the apron slab using 50 mm diameter PVC pipe./\KS19_002-Concrete Drop Inlet. Drawing NBC-GTW-CL-0026 \No.\6 \ 30" u="1"/>
        <s v="SABS1200 GA \CONCRETE (SMALL WORKS)/8.2\SCHEDULED FORMWORK ITEMS/8.2.4\Box Out Holes (Up to 0.35 m Diameter and 0.5 m deep). Rate to allow for the creation of weepholes in the apron slab using 50 mm diameter PVC pipe./\ks11-002a-Concrete Drop Inlet on Dam Wall  \No.\16 \ 30" u="1"/>
        <s v="SABS1200 GA \CONCRETE (SMALL WORKS)/8.2\SCHEDULED FORMWORK ITEMS/8.2.4\Box Out Holes (Up to 0.35 m Diameter and 0.5 m deep). Rate to allow for the creation of weepholes in the apron slab using 50 mm diameter PVC pipe./\ks11-004a-Concrete Drop Inlet on Dam Wall  \No.\16 \ 30" u="1"/>
        <s v="SABS1200 GA \CONCRETE (SMALL WORKS)/8.2\SCHEDULED FORMWORK ITEMS/8.2.4\Box Out Holes (Up to 0.35 m Diameter and 0.5 m deep). Rate to allow for the creation of weep holes in the apron slab using 50 mm diameter PVC pipe./\KS12_009-Concrete Drop Inlet. Refer to drawing NBC-GTW-CL-0008 \No.\3 \ 30" u="1"/>
        <s v="SABS1200 GA \CONCRETE (SMALL WORKS)/8.2\SCHEDULED FORMWORK ITEMS/8.2.4\Box Out Holes (Up to 0.35 m Diameter and 0.5 m deep). Rate to allow for the creation of weep holes in the apron slab using 50 mm diameter PVC pipe./\KS13_008-Concrete Drop Inlet. Refer to drawing NBC-GTW-CL-0014 \No.\9 \ 30" u="1"/>
        <s v="SABS1200 GA \CONCRETE (SMALL WORKS)/8.2\SCHEDULED FORMWORK ITEMS/8.2.4\Box Out Holes (Up to 0.35 m Diameter and 0.5 m deep). Rate to allow for the creation of weep holes in the apron slab using 50 mm diameter PVC pipe./\KS18_002-Concrete Drop Inlet. Refer to drawing NBC-GTW-CL-0020 \No.\9 \ 30" u="1"/>
        <s v="SABS1200 GA \CONCRETE (SMALL WORKS)/8.2\SCHEDULED FORMWORK ITEMS/8.2.4\Box Out Holes (Up to 0.35 m Diameter and 0.5 m deep). Rate to allow for the creation of weep holes in the apron slab using 50 mm diameter PVC pipe./\KS18_015-Concrete Drop Inlet. Refer to drawing NBC-GTW-CL-0021 \No.\9 \ 30" u="1"/>
        <s v="SABS1200 GA  \ Concrete (Small Works) / 8.2\ SCHEDULED FORMWORK ITEMS / 8.2.4 \ Box Out Holes (Up to 0.35 m Diameter and 0.5 m deep). Rate to allow for the creation of weepholes in the apron slab using 50 mm diameter PVC pipe./\KS20_001-Concrete Drop Inlet. Refer to drawing AA \No.\7 \ 30" u="1"/>
        <s v="SABS1200 GA  \ Concrete (Small Works) / 8.2\ SCHEDULED FORMWORK ITEMS / 8.2.4 \ Box Out Holes (Up to 0.35 m Diameter and 0.5 m deep). Rate to allow for the creation of weepholes in the apron slab using 50 mm diameter PVC pipe./\KS20_003-Concrete Buttress Weir. Refer to drawing AC \No.\16 \ 30" u="1"/>
        <s v="SABS1200 GA  \ Concrete (Small Works) / 8.2\ SCHEDULED FORMWORK ITEMS / 8.2.4 \ Box Out Holes (Up to 0.35 m Diameter and 0.5 m deep). Rate to allow for the creation of weepholes in the apron slab using 50 mm diameter PVC pipe./\KS21_009-Concrete Drop Inlet. Refer to drawing AQ \No.\8 \ 30" u="1"/>
        <s v="SABS1200 GA  \ Concrete (Small Works) / 8.2\ SCHEDULED FORMWORK ITEMS / 8.2.4 \ Box Out Holes (Up to 0.35 m Diameter and 0.5 m deep). Rate to allow for the creation of weepholes in the apron slab using 50 mm diameter PVC pipe./\KS21_010-Concrete Drop Inlet. Refer to drawing AR \No.\8 \ 30" u="1"/>
        <s v="SABS1200 GA  \ Concrete (Small Works) / 8.2\ SCHEDULED FORMWORK ITEMS / 8.2.4 \ Box Out Holes (Up to 0.35 m Diameter and 0.5 m deep). Rate to allow for the creation of weepholes in the apron slab using 50 mm diameter PVC pipe./\KS20_002-Concrete Drop Inlet. Refer to drawing AB \No.\9 \ 30" u="1"/>
        <s v="SABS1200 GA \CONCRETE (SMALL WORKS)/8.2\SCHEDULED FORMWORK ITEMS/8.2.4\Box Out Holes (Up to 0.35 m Diameter and 0.5 m deep). Rate to allow for the creation of weep holes in the apron slab using 50 mm diameter PVC pipe./\KS20_003-Concrete Buttress Weir. Refer to drawing NBC-GTW-CL-0029 \No.\16 \ 30" u="1"/>
        <s v="SABS1200 GA \CONCRETE (SMALL WORKS)/8.2\SCHEDULED FORMWORK ITEMS/8.2.4\Box Out Holes (Up to 0.35 m Diameter and 0.5 m deep). Rate to allow for the creation of weep holes in the apron slab using 50 mm diameter PVC pipe./\KS20_005-Concrete Drop Inlet. Drawing NBC-GTW-CL-0031 \No.\13 \ 30" u="1"/>
        <s v="SABS1200 GA \CONCRETE (SMALL WORKS)/8.2\SCHEDULED FORMWORK ITEMS/8.2.4\Box Out Holes (Up to 0.35 m Diameter and 0.5 m deep). Rate to allow for the creation of weep holes in the apron slab using 50 mm diameter PVC pipe./\KS20_008-Concrete Drop Inlet. Drawing NBC-GTW-CL-0034 \No.\13 \ 30" u="1"/>
        <s v="SABS1200 GA \CONCRETE (SMALL WORKS)/8.2\SCHEDULED FORMWORK ITEMS/8.2.4\Box Out Holes (Up to 0.35 m Diameter and 0.5 m deep). Rate to allow for the creation of weep holes in the apron slab using 50 mm diameter PVC pipe./\KS20_004-Concrete Drop Inlet. Refer to drawing NBC-GTW-CL-0030 \No.\10 \ 30" u="1"/>
        <s v="SABS1200 GA \CONCRETE (SMALL WORKS)/8.2\SCHEDULED FORMWORK ITEMS/8.2.4\Box Out Holes (Up to 0.35 m Diameter and 0.5 m deep). Rate to allow for the creation of weep holes in the apron slab using 50 mm diameter PVC pipe./\KS20_007-Concrete Drop Inlet. Refer to drawing NBC-GTW-CL-0033 \No.\10 \ 30" u="1"/>
        <s v="SABS1200 GA \CONCRETE (SMALL WORKS)/8.2\SCHEDULED FORMWORK ITEMS/8.2.4\Box Out Holes (Up to 0.35 m Diameter and 0.5 m deep). Rate to allow for the creation of weep holes in the apron slab using 50 mm diameter PVC pipe./\KS21_007-Concrete Drop Inlet. Refer to drawing NBC-GTW-CL-0042 \No.\10 \ 30" u="1"/>
        <s v="SABS1200 GA  \ Concrete (Small Works) / 8.2\ SCHEDULED FORMWORK ITEMS / 8.2.4 \ Box Out Holes (Up to 0.35 m Diameter and 0.5 m deep). Rate to allow for the creation of weepholes in the apron slab using 50 mm diameter PVC pipe./\KS20_006-Concrete Drop Inlet. Refer to drawing AF \No.\12 \ 30" u="1"/>
        <s v="SABS1200 GA \CONCRETE (SMALL WORKS)/8.2\SCHEDULED FORMWORK ITEMS/8.2.4\Create Weep holes (50 mm Diameter). Rate to allow for the creation of weep holes in the concrete apron slab using 50 mm diameter PVC pipe./\KS20_003-Concrete Buttress Weir. Drawing NBC-GTW-CL-0029 \No.\16 \ 30" u="1"/>
        <s v="SABS1200 GA  \ Concrete (Small Works) / 8.2\ SCHEDULED FORMWORK ITEMS / 8.2.4 \ Box Out Holes (Up to 0.35 m Diameter and 0.5 m deep). Rate to allow for the creation of weepholes in the apron slab using 50 mm diameter PVC pipe./\KS13_008-Concrete Drop Inlet. Refer to drawing N \No.\9 \ 30" u="1"/>
        <s v="SABS1200 GA  \ Concrete (Small Works) / 8.2\ SCHEDULED FORMWORK ITEMS / 8.2.4 \ Box Out Holes (Up to 0.35 m Diameter and 0.5 m deep). Rate to allow for the creation of weepholes in the apron slab using 50 mm diameter PVC pipe./\KS18_002-Concrete Drop Inlet. Refer to drawing T \No.\9 \ 30" u="1"/>
        <s v="SABS1200 GA  \ Concrete (Small Works) / 8.2\ SCHEDULED FORMWORK ITEMS / 8.2.4 \ Box Out Holes (Up to 0.35 m Diameter and 0.5 m deep). Rate to allow for the creation of weepholes in the apron slab using 50 mm diameter PVC pipe./\KS18_015-Concrete Drop Inlet. Refer to drawing U \No.\9 \ 30" u="1"/>
        <s v="SABS1200 GA \CONCRETE (SMALL WORKS)/8.2\SCHEDULED FORMWORK ITEMS/8.2.4\Create Weep holes (50 mm Diameter). Rate to allow for the creation of weep holes in the concrete apron slab using 50 mm diameter PVC pipe./\KS13_008-Concrete Drop Inlet. Drawing NBC-GTW-CL-0014 \No.\9 \ 30" u="1"/>
        <s v="SABS1200 GA \CONCRETE (SMALL WORKS)/8.2\SCHEDULED FORMWORK ITEMS/8.2.4\Create Weep holes (50 mm Diameter). Rate to allow for the creation of weep holes in the concrete apron slab using 50 mm diameter PVC pipe./\KS18_002-Concrete Drop Inlet. Drawing NBC-GTW-CL-0020 \No.\9 \ 30" u="1"/>
        <s v="SABS1200 GA \CONCRETE (SMALL WORKS)/8.2\SCHEDULED FORMWORK ITEMS/8.2.4\Create Weep holes (50 mm Diameter). Rate to allow for the creation of weep holes in the concrete apron slab using 50 mm diameter PVC pipe./\KS18_015-Concrete Drop Inlet. Drawing NBC-GTW-CL-0021 \No.\9 \ 30" u="1"/>
        <s v="SABS1200 GA \CONCRETE (SMALL WORKS)/8.2\SCHEDULED FORMWORK ITEMS/8.2.4\Create Weep holes (50 mm Diameter). Rate to allow for the creation of weep holes in the concrete apron slab using 50 mm diameter PVC pipe./\KS13_004-Concrete Drop Inlet. Drawing NBC-GTW-CL-0010 \No.\7 \ 30" u="1"/>
        <s v="SABS1200 GA \CONCRETE (SMALL WORKS)/8.2\SCHEDULED FORMWORK ITEMS/8.2.4\Create Weep holes (50 mm Diameter). Rate to allow for the creation of weep holes in the concrete apron slab using 50 mm diameter PVC pipe./\KS13_005-Concrete Drop Inlet. Drawing NBC-GTW-CL-0011 \No.\7 \ 30" u="1"/>
        <s v="SABS1200 GA \CONCRETE (SMALL WORKS)/8.2\SCHEDULED FORMWORK ITEMS/8.2.4\Create Weep holes (50 mm Diameter). Rate to allow for the creation of weep holes in the concrete apron slab using 50 mm diameter PVC pipe./\KS13_006-Concrete Drop Inlet. Drawing NBC-GTW-CL-0012 \No.\7 \ 30" u="1"/>
        <s v="SABS1200 GA \CONCRETE (SMALL WORKS)/8.2\SCHEDULED FORMWORK ITEMS/8.2.4\Create Weep holes (50 mm Diameter). Rate to allow for the creation of weep holes in the concrete apron slab using 50 mm diameter PVC pipe./\KS13_007-Concrete Drop Inlet. Drawing NBC-GTW-CL-0013 \No.\7 \ 30" u="1"/>
        <s v="SABS1200 GA \CONCRETE (SMALL WORKS)/8.2\SCHEDULED FORMWORK ITEMS/8.2.4\Create Weep holes (50 mm Diameter). Rate to allow for the creation of weep holes in the concrete apron slab using 50 mm diameter PVC pipe./\KS13_012-Concrete Drop Inlet. Drawing NBC-GTW-CL-0016 \No.\7 \ 30" u="1"/>
        <s v="SABS1200 GA \CONCRETE (SMALL WORKS)/8.2\SCHEDULED FORMWORK ITEMS/8.2.4\Create Weep holes (50 mm Diameter). Rate to allow for the creation of weep holes in the concrete apron slab using 50 mm diameter PVC pipe./\KS18_016-Concrete Drop Inlet. Drawing NBC-GTW-CL-0022 \No.\7 \ 30" u="1"/>
        <s v="SABS1200 GA \CONCRETE (SMALL WORKS)/8.2\SCHEDULED FORMWORK ITEMS/8.2.4\Create Weep holes (50 mm Diameter). Rate to allow for the creation of weep holes in the concrete apron slab using 50 mm diameter PVC pipe./\KS18_017-Concrete Drop Inlet. Drawing NBC-GTW-CL-0023 \No.\7 \ 30" u="1"/>
        <s v="SABS1200 GA \CONCRETE (SMALL WORKS)/8.2\SCHEDULED FORMWORK ITEMS/8.2.4\Box Out Holes (Up to 0.35 m Diameter and 0.5 m deep). Rate to allow for the creation of weep holes in the apron slab using 50 mm diameter PVC pipe./\KS18_001-Concrete Drop Inlet. Drawing NBC-GTW-CL-0019 \No.\15 \ 30" u="1"/>
        <s v="SABS1200 GA  \ Concrete (Small Works) / 8.2\ SCHEDULED FORMWORK ITEMS / 8.2.4 \ Box Out Holes (Up to 0.35 m Diameter and 0.5 m deep). Rate to allow for the creation of weepholes in the apron slab using 50 mm diameter PVC pipe./\KS20_005-Concrete Drop Inlet. Refer to drawing AE \No.\13 \ 30" u="1"/>
        <s v="SABS1200 GA  \ Concrete (Small Works) / 8.2\ SCHEDULED FORMWORK ITEMS / 8.2.4 \ Box Out Holes (Up to 0.35 m Diameter and 0.5 m deep). Rate to allow for the creation of weepholes in the apron slab using 50 mm diameter PVC pipe./\KS20_008-Concrete Drop Inlet. Refer to drawing AH \No.\13 \ 30" u="1"/>
        <s v="SABS1200 GA \CONCRETE (SMALL WORKS)/8.2\SCHEDULED FORMWORK ITEMS/8.2.4\Box Out Holes (Up to 0.35 m Diameter and 0.5 m deep). Rate to allow for the creation of weep holes in the apron slab using 50 mm diameter PVC pipe./\KS12_008-Concrete Drop Inlet. Refer to drawing NBC-GTW-CL-0007 \No.\4 \ 30" u="1"/>
        <s v="SABS1200 GA  \ Concrete (Small Works) / 8.2\ SCHEDULED FORMWORK ITEMS / 8.2.4 \ Box Out Holes (Up to 0.35 m Diameter and 0.5 m deep). Rate to allow for the creation of weepholes in the apron slab using 50 mm diameter PVC pipe./\KS13_003-Concrete Drop Inlet. Refer to drawing I \No.\8 \ 30" u="1"/>
        <s v="SABS1200 GA  \ Concrete (Small Works) / 8.2\ SCHEDULED FORMWORK ITEMS / 8.2.4 \ Box Out Holes (Up to 0.35 m Diameter and 0.5 m deep). Rate to allow for the creation of weepholes in the apron slab using 50 mm diameter PVC pipe./\KS13_013-Concrete Drop Inlet. Refer to drawing Q \No.\8 \ 30" u="1"/>
        <s v="SABS1200 GA  \ Concrete (Small Works) / 8.2\ SCHEDULED FORMWORK ITEMS / 8.2.4 \ Box Out Holes (Up to 0.35 m Diameter and 0.5 m deep). Rate to allow for the creation of weepholes in the apron slab using 50 mm diameter PVC pipe./\KS13_015-Concrete Drop Inlet. Refer to drawing R \No.\8 \ 30" u="1"/>
        <s v="SABS1200 GA \CONCRETE (SMALL WORKS)/8.2\SCHEDULED FORMWORK ITEMS/8.2.4\Box Out Holes (Up to 0.35 m Diameter and 0.5 m deep). Rate to allow for the creation of weep holes in the apron slab using 50 mm diameter PVC pipe./\KS20_009_a-Concrete Buttress Weir. Drawing NBC-GTW-CL-0035 \No.\15 \ 30" u="1"/>
        <s v="SABS1200 GA \CONCRETE (SMALL WORKS)/8.2\SCHEDULED FORMWORK ITEMS/8.2.4\Box Out Holes (Up to 0.35 m Diameter and 0.5 m deep). Rate to allow for the creation of weep holes in the apron slab using 50 mm diameter PVC pipe./\KS12_006-Concrete Drop Inlet. Drawing NBC-GTW-CL-0005 \No.\5 \ 30" u="1"/>
        <s v="SABS1200 GA \CONCRETE (SMALL WORKS)/8.2\SCHEDULED FORMWORK ITEMS/8.2.4\Box Out Holes (Up to 0.35 m Diameter and 0.5 m deep). Rate to allow for the creation of weep holes in the apron slab using 50 mm diameter PVC pipe./\KS12_007-Concrete Drop Inlet. Drawing NBC-GTW-CL-0006 \No.\5 \ 30" u="1"/>
        <s v="SABS1200 GA \CONCRETE (SMALL WORKS)/8.2\SCHEDULED FORMWORK ITEMS/8.2.4\Box Out Holes (Up to 0.35 m Diameter and 0.5 m deep). Rate to allow for the creation of weepholes in the apron slab using 50 mm diameter PVC pipe./\KS12_009-Concrete Drop Inlet. Refer to drawing NBC-GTW-CL-0008 \No.\3 \ 30" u="1"/>
        <s v="SABS1200 GA \CONCRETE (SMALL WORKS)/8.2\SCHEDULED FORMWORK ITEMS/8.2.4\Box Out Holes (Up to 0.35 m Diameter and 0.5 m deep). Rate to allow for the creation of weepholes in the apron slab using 50 mm diameter PVC pipe./\KS12_008-Concrete Drop Inlet. Refer to drawing NBC-GTW-CL-0007 \No.\4 \ 30" u="1"/>
        <s v="SABS1200 GA \CONCRETE (SMALL WORKS)/8.2\SCHEDULED FORMWORK ITEMS/8.2.4\Box Out Holes (Up to 0.35 m Diameter and 0.5 m deep). Rate to allow for the creation of weepholes in the apron slab using 50 mm diameter PVC pipe./\KS12_006-Concrete Drop Inlet. Refer to drawing NBC-GTW-CL-0005 \No.\5 \ 30" u="1"/>
        <s v="SABS1200 GA \CONCRETE (SMALL WORKS)/8.2\SCHEDULED FORMWORK ITEMS/8.2.4\Box Out Holes (Up to 0.35 m Diameter and 0.5 m deep). Rate to allow for the creation of weepholes in the apron slab using 50 mm diameter PVC pipe./\KS12_007-Concrete Drop Inlet. Refer to drawing NBC-GTW-CL-0006 \No.\5 \ 30" u="1"/>
        <s v="SABS1200 GA \CONCRETE (SMALL WORKS)/8.2\SCHEDULED FORMWORK ITEMS/8.2.4\Box Out Holes (Up to 0.35 m Diameter and 0.5 m deep). Rate to allow for the creation of weepholes in the apron slab using 50 mm diameter PVC pipe./\KS20_003-Concrete Buttress Weir. Refer to drawing NBC-GTW-CL-0029 \No.\16 \ 30" u="1"/>
        <s v="SABS1200 GA \CONCRETE (SMALL WORKS)/8.2\SCHEDULED FORMWORK ITEMS/8.2.4\Box Out Holes (Up to 0.35 m Diameter and 0.5 m deep). Rate to allow for the creation of weepholes in the apron slab using 50 mm diameter PVC pipe./\KS12_005-Concrete Drop Inlet. Refer to drawing NBC-GTW-CL-0004 \No.\6 \ 30" u="1"/>
        <s v="SABS1200 GA \CONCRETE (SMALL WORKS)/8.2\SCHEDULED FORMWORK ITEMS/8.2.4\Box Out Holes (Up to 0.35 m Diameter and 0.5 m deep). Rate to allow for the creation of weepholes in the apron slab using 50 mm diameter PVC pipe./\KS18_018-Concrete Drop Inlet. Refer to drawing NBC-GTW-CL-0024 \No.\6 \ 30" u="1"/>
        <s v="SABS1200 GA \CONCRETE (SMALL WORKS)/8.2\SCHEDULED FORMWORK ITEMS/8.2.4\Box Out Holes (Up to 0.35 m Diameter and 0.5 m deep). Rate to allow for the creation of weepholes in the apron slab using 50 mm diameter PVC pipe./\KS18_019-Concrete Drop Inlet. Refer to drawing NBC-GTW-CL-0025 \No.\6 \ 30" u="1"/>
        <s v="SABS1200 GA \CONCRETE (SMALL WORKS)/8.2\SCHEDULED FORMWORK ITEMS/8.2.4\Box Out Holes (Up to 0.35 m Diameter and 0.5 m deep). Rate to allow for the creation of weepholes in the apron slab using 50 mm diameter PVC pipe./\KS19_002-Concrete Drop Inlet. Refer to drawing NBC-GTW-CL-0026 \No.\6 \ 30" u="1"/>
        <s v="SABS1200 GA \CONCRETE (SMALL WORKS)/8.2\SCHEDULED FORMWORK ITEMS/8.2.4\Box Out Holes (Up to 0.35 m Diameter and 0.5 m deep). Rate to allow for the creation of weepholes in the apron slab using 50 mm diameter PVC pipe./\KS12_004-Concrete Drop Inlet. Refer to drawing NBC-GTW-CL-0003 \No.\7 \ 30" u="1"/>
        <s v="SABS1200 GA \CONCRETE (SMALL WORKS)/8.2\SCHEDULED FORMWORK ITEMS/8.2.4\Box Out Holes (Up to 0.35 m Diameter and 0.5 m deep). Rate to allow for the creation of weepholes in the apron slab using 50 mm diameter PVC pipe./\KS13_004-Concrete Drop Inlet. Refer to drawing NBC-GTW-CL-0010 \No.\7 \ 30" u="1"/>
        <s v="SABS1200 GA \CONCRETE (SMALL WORKS)/8.2\SCHEDULED FORMWORK ITEMS/8.2.4\Box Out Holes (Up to 0.35 m Diameter and 0.5 m deep). Rate to allow for the creation of weepholes in the apron slab using 50 mm diameter PVC pipe./\KS13_005-Concrete Drop Inlet. Refer to drawing NBC-GTW-CL-0011 \No.\7 \ 30" u="1"/>
        <s v="SABS1200 GA \CONCRETE (SMALL WORKS)/8.2\SCHEDULED FORMWORK ITEMS/8.2.4\Box Out Holes (Up to 0.35 m Diameter and 0.5 m deep). Rate to allow for the creation of weepholes in the apron slab using 50 mm diameter PVC pipe./\KS13_006-Concrete Drop Inlet. Refer to drawing NBC-GTW-CL-0012 \No.\7 \ 30" u="1"/>
        <s v="SABS1200 GA \CONCRETE (SMALL WORKS)/8.2\SCHEDULED FORMWORK ITEMS/8.2.4\Box Out Holes (Up to 0.35 m Diameter and 0.5 m deep). Rate to allow for the creation of weepholes in the apron slab using 50 mm diameter PVC pipe./\KS13_007-Concrete Drop Inlet. Refer to drawing NBC-GTW-CL-0013 \No.\7 \ 30" u="1"/>
        <s v="SABS1200 GA \CONCRETE (SMALL WORKS)/8.2\SCHEDULED FORMWORK ITEMS/8.2.4\Box Out Holes (Up to 0.35 m Diameter and 0.5 m deep). Rate to allow for the creation of weepholes in the apron slab using 50 mm diameter PVC pipe./\KS13_012-Concrete Drop Inlet. Refer to drawing NBC-GTW-CL-0016 \No.\7 \ 30" u="1"/>
        <s v="SABS1200 GA \CONCRETE (SMALL WORKS)/8.2\SCHEDULED FORMWORK ITEMS/8.2.4\Box Out Holes (Up to 0.35 m Diameter and 0.5 m deep). Rate to allow for the creation of weepholes in the apron slab using 50 mm diameter PVC pipe./\KS18_016-Concrete Drop Inlet. Refer to drawing NBC-GTW-CL-0022 \No.\7 \ 30" u="1"/>
        <s v="SABS1200 GA \CONCRETE (SMALL WORKS)/8.2\SCHEDULED FORMWORK ITEMS/8.2.4\Box Out Holes (Up to 0.35 m Diameter and 0.5 m deep). Rate to allow for the creation of weepholes in the apron slab using 50 mm diameter PVC pipe./\KS18_017-Concrete Drop Inlet. Refer to drawing NBC-GTW-CL-0023 \No.\7 \ 30" u="1"/>
        <s v="SABS1200 GA \CONCRETE (SMALL WORKS)/8.2\SCHEDULED FORMWORK ITEMS/8.2.4\Box Out Holes (Up to 0.35 m Diameter and 0.5 m deep). Rate to allow for the creation of weepholes in the apron slab using 50 mm diameter PVC pipe./\KS20_001-Concrete Drop Inlet. Refer to drawing NBC-GTW-CL-0027 \No.\7 \ 30" u="1"/>
        <s v="SABS1200 GA \CONCRETE (SMALL WORKS)/8.2\SCHEDULED FORMWORK ITEMS/8.2.4\Create Weep holes (50 mm Diameter). Rate to allow for the creation of weep holes in the concrete apron slab using 50 mm diameter PVC pipe./\KS18_001-Concrete Drop Inlet. Drawing NBC-GTW-CL-0019 \No.\15 \ 30" u="1"/>
        <s v="SABS1200 GA \CONCRETE (SMALL WORKS)/8.2\SCHEDULED FORMWORK ITEMS/8.2.4\Box Out Holes (Up to 0.35 m Diameter and 0.5 m deep). Rate to allow for the creation of weepholes in the apron slab using 50 mm diameter PVC pipe./\KS13_003-Concrete Drop Inlet. Refer to drawing NBC-GTW-CL-0009 \No.\8 \ 30" u="1"/>
        <s v="SABS1200 GA \CONCRETE (SMALL WORKS)/8.2\SCHEDULED FORMWORK ITEMS/8.2.4\Box Out Holes (Up to 0.35 m Diameter and 0.5 m deep). Rate to allow for the creation of weepholes in the apron slab using 50 mm diameter PVC pipe./\KS13_013-Concrete Drop Inlet. Refer to drawing NBC-GTW-CL-0017 \No.\8 \ 30" u="1"/>
        <s v="SABS1200 GA \CONCRETE (SMALL WORKS)/8.2\SCHEDULED FORMWORK ITEMS/8.2.4\Box Out Holes (Up to 0.35 m Diameter and 0.5 m deep). Rate to allow for the creation of weepholes in the apron slab using 50 mm diameter PVC pipe./\KS13_015-Concrete Drop Inlet. Refer to drawing NBC-GTW-CL-0018 \No.\8 \ 30" u="1"/>
        <s v="SABS1200 GA \CONCRETE (SMALL WORKS)/8.2\SCHEDULED FORMWORK ITEMS/8.2.4\Box Out Holes (Up to 0.35 m Diameter and 0.5 m deep). Rate to allow for the creation of weepholes in the apron slab using 50 mm diameter PVC pipe./\KS21_009-Concrete Drop Inlet. Refer to drawing NBC-GTW-CL-0043 \No.\8 \ 30" u="1"/>
        <s v="SABS1200 GA \CONCRETE (SMALL WORKS)/8.2\SCHEDULED FORMWORK ITEMS/8.2.4\Box Out Holes (Up to 0.35 m Diameter and 0.5 m deep). Rate to allow for the creation of weepholes in the apron slab using 50 mm diameter PVC pipe./\KS21_010-Concrete Drop Inlet. Refer to drawing NBC-GTW-CL-0044 \No.\8 \ 30" u="1"/>
        <s v="SABS1200 GA \CONCRETE (SMALL WORKS)/8.2\SCHEDULED FORMWORK ITEMS/8.2.4\Box Out Holes (Up to 0.35 m Diameter and 0.5 m deep). Rate to allow for the creation of weepholes in the apron slab using 50 mm diameter PVC pipe./\KS13_008-Concrete Drop Inlet. Refer to drawing NBC-GTW-CL-0014 \No.\9 \ 30" u="1"/>
        <s v="SABS1200 GA \CONCRETE (SMALL WORKS)/8.2\SCHEDULED FORMWORK ITEMS/8.2.4\Box Out Holes (Up to 0.35 m Diameter and 0.5 m deep). Rate to allow for the creation of weepholes in the apron slab using 50 mm diameter PVC pipe./\KS18_002-Concrete Drop Inlet. Refer to drawing NBC-GTW-CL-0020 \No.\9 \ 30" u="1"/>
        <s v="SABS1200 GA \CONCRETE (SMALL WORKS)/8.2\SCHEDULED FORMWORK ITEMS/8.2.4\Box Out Holes (Up to 0.35 m Diameter and 0.5 m deep). Rate to allow for the creation of weepholes in the apron slab using 50 mm diameter PVC pipe./\KS18_015-Concrete Drop Inlet. Refer to drawing NBC-GTW-CL-0021 \No.\9 \ 30" u="1"/>
        <s v="SABS1200 GA \CONCRETE (SMALL WORKS)/8.2\SCHEDULED FORMWORK ITEMS/8.2.4\Box Out Holes (Up to 0.35 m Diameter and 0.5 m deep). Rate to allow for the creation of weepholes in the apron slab using 50 mm diameter PVC pipe./\KS20_002-Concrete Drop Inlet. Refer to drawing NBC-GTW-CL-0028 \No.\9 \ 30" u="1"/>
        <s v="SABS1200 GA  \ Concrete (Small Works) / 8.2\ SCHEDULED FORMWORK ITEMS / 8.2.4 \ Box Out Holes (Up to 0.35 m Diameter and 0.5 m deep). Rate to allow for the creation of weepholes in the apron slab using 50 mm diameter PVC pipe./\KS12_004-Concrete Drop Inlet. Refer to drawing C \No.\7 \ 30" u="1"/>
        <s v="SABS1200 GA  \ Concrete (Small Works) / 8.2\ SCHEDULED FORMWORK ITEMS / 8.2.4 \ Box Out Holes (Up to 0.35 m Diameter and 0.5 m deep). Rate to allow for the creation of weepholes in the apron slab using 50 mm diameter PVC pipe./\KS13_004-Concrete Drop Inlet. Refer to drawing J \No.\7 \ 30" u="1"/>
        <s v="SABS1200 GA  \ Concrete (Small Works) / 8.2\ SCHEDULED FORMWORK ITEMS / 8.2.4 \ Box Out Holes (Up to 0.35 m Diameter and 0.5 m deep). Rate to allow for the creation of weepholes in the apron slab using 50 mm diameter PVC pipe./\KS13_005-Concrete Drop Inlet. Refer to drawing K \No.\7 \ 30" u="1"/>
        <s v="SABS1200 GA  \ Concrete (Small Works) / 8.2\ SCHEDULED FORMWORK ITEMS / 8.2.4 \ Box Out Holes (Up to 0.35 m Diameter and 0.5 m deep). Rate to allow for the creation of weepholes in the apron slab using 50 mm diameter PVC pipe./\KS13_006-Concrete Drop Inlet. Refer to drawing L \No.\7 \ 30" u="1"/>
        <s v="SABS1200 GA  \ Concrete (Small Works) / 8.2\ SCHEDULED FORMWORK ITEMS / 8.2.4 \ Box Out Holes (Up to 0.35 m Diameter and 0.5 m deep). Rate to allow for the creation of weepholes in the apron slab using 50 mm diameter PVC pipe./\KS13_007-Concrete Drop Inlet. Refer to drawing M \No.\7 \ 30" u="1"/>
        <s v="SABS1200 GA  \ Concrete (Small Works) / 8.2\ SCHEDULED FORMWORK ITEMS / 8.2.4 \ Box Out Holes (Up to 0.35 m Diameter and 0.5 m deep). Rate to allow for the creation of weepholes in the apron slab using 50 mm diameter PVC pipe./\KS13_012-Concrete Drop Inlet. Refer to drawing P \No.\7 \ 30" u="1"/>
        <s v="SABS1200 GA  \ Concrete (Small Works) / 8.2\ SCHEDULED FORMWORK ITEMS / 8.2.4 \ Box Out Holes (Up to 0.35 m Diameter and 0.5 m deep). Rate to allow for the creation of weepholes in the apron slab using 50 mm diameter PVC pipe./\KS18_016-Concrete Drop Inlet. Refer to drawing V \No.\7 \ 30" u="1"/>
        <s v="SABS1200 GA  \ Concrete (Small Works) / 8.2\ SCHEDULED FORMWORK ITEMS / 8.2.4 \ Box Out Holes (Up to 0.35 m Diameter and 0.5 m deep). Rate to allow for the creation of weepholes in the apron slab using 50 mm diameter PVC pipe./\KS18_017-Concrete Drop Inlet. Refer to drawing W \No.\7 \ 30" u="1"/>
        <s v="SABS1200 GA \CONCRETE (SMALL WORKS)/8.2\SCHEDULED FORMWORK ITEMS/8.2.4\Box Out Holes (Up to 0.35 m Diameter and 0.5 m deep). Rate to allow for the creation of weepholes in the apron slab using 50 mm diameter PVC pipe./\KS20_006-Concrete Drop Inlet. Refer to drawing NBC-GTW-CL-0032 \No.\12 \ 30" u="1"/>
        <s v="SABS1200 GA \CONCRETE (SMALL WORKS)/8.2\SCHEDULED FORMWORK ITEMS/8.2.4\Box Out Holes (Up to 0.35 m Diameter and 0.5 m deep). Rate to allow for the creation of weepholes in the apron slab using 50 mm diameter PVC pipe./\KS20_009_a-Concrete Drop Inlet. Refer to drawing NBC-GTW-CL-0035 \No.\15 \ 30" u="1"/>
        <s v="SABS1200 GA  \ Concrete (Small Works) / 8.2\ SCHEDULED FORMWORK ITEMS / 8.2.4 \ Box Out Holes (Up to 0.35 m Diameter and 0.5 m deep). Rate to allow for the creation of weepholes in the apron slab using 50 mm diameter PVC pipe./\KS12_005-Concrete Drop Inlet. Refer to drawing D \No.\6 \ 30" u="1"/>
        <s v="SABS1200 GA  \ Concrete (Small Works) / 8.2\ SCHEDULED FORMWORK ITEMS / 8.2.4 \ Box Out Holes (Up to 0.35 m Diameter and 0.5 m deep). Rate to allow for the creation of weepholes in the apron slab using 50 mm diameter PVC pipe./\KS18_018-Concrete Drop Inlet. Refer to drawing X \No.\6 \ 30" u="1"/>
        <s v="SABS1200 GA  \ Concrete (Small Works) / 8.2\ SCHEDULED FORMWORK ITEMS / 8.2.4 \ Box Out Holes (Up to 0.35 m Diameter and 0.5 m deep). Rate to allow for the creation of weepholes in the apron slab using 50 mm diameter PVC pipe./\KS18_019-Concrete Drop Inlet. Refer to drawing Y \No.\6 \ 30" u="1"/>
        <s v="SABS1200 GA  \ Concrete (Small Works) / 8.2\ SCHEDULED FORMWORK ITEMS / 8.2.4 \ Box Out Holes (Up to 0.35 m Diameter and 0.5 m deep). Rate to allow for the creation of weepholes in the apron slab using 50 mm diameter PVC pipe./\KS19_002-Concrete Drop Inlet. Refer to drawing Z \No.\6 \ 30" u="1"/>
        <s v="SABS1200 GA \CONCRETE (SMALL WORKS)/8.2\SCHEDULED FORMWORK ITEMS/8.2.4\Box Out Holes (Up to 0.35 m Diameter and 0.5 m deep). Rate to allow for the creation of weep holes in the apron slab using 50 mm diameter PVC pipe./\KS12_006-Concrete Drop Inlet. Refer to drawing NBC-GTW-CL-0005 \No.\5 \ 30" u="1"/>
        <s v="SABS1200 GA \CONCRETE (SMALL WORKS)/8.2\SCHEDULED FORMWORK ITEMS/8.2.4\Box Out Holes (Up to 0.35 m Diameter and 0.5 m deep). Rate to allow for the creation of weep holes in the apron slab using 50 mm diameter PVC pipe./\KS12_007-Concrete Drop Inlet. Refer to drawing NBC-GTW-CL-0006 \No.\5 \ 30" u="1"/>
        <s v="SABS1200 GA \CONCRETE (SMALL WORKS)/8.2\SCHEDULED FORMWORK ITEMS/8.2.4\Box Out Holes (Up to 0.35 m Diameter and 0.5 m deep). Rate to allow for the creation of weep holes in the apron slab using 50 mm diameter PVC pipe./\KS13_008-Concrete Drop Inlet. Drawing NBC-GTW-CL-0014 \No.\9 \ 30" u="1"/>
        <s v="SABS1200 GA \CONCRETE (SMALL WORKS)/8.2\SCHEDULED FORMWORK ITEMS/8.2.4\Box Out Holes (Up to 0.35 m Diameter and 0.5 m deep). Rate to allow for the creation of weep holes in the apron slab using 50 mm diameter PVC pipe./\KS18_002-Concrete Drop Inlet. Drawing NBC-GTW-CL-0020 \No.\9 \ 30" u="1"/>
        <s v="SABS1200 GA \CONCRETE (SMALL WORKS)/8.2\SCHEDULED FORMWORK ITEMS/8.2.4\Box Out Holes (Up to 0.35 m Diameter and 0.5 m deep). Rate to allow for the creation of weep holes in the apron slab using 50 mm diameter PVC pipe./\KS18_015-Concrete Drop Inlet. Drawing NBC-GTW-CL-0021 \No.\9 \ 30" u="1"/>
        <s v="SABS1200 GA \CONCRETE (SMALL WORKS)/8.2\SCHEDULED FORMWORK ITEMS/8.2.4\Box Out Holes (Up to 0.35 m Diameter and 0.5 m deep). Rate to allow for the creation of weep holes in the apron slab using 50 mm diameter PVC pipe./\KS12_008-Concrete Drop Inlet. Drawing NBC-GTW-CL-0007 \No.\4 \ 30" u="1"/>
      </sharedItems>
    </cacheField>
    <cacheField name="a) Wood floated Finish2" numFmtId="0">
      <sharedItems count="240">
        <s v=" "/>
        <s v="SABS1200 GA \CONCRETE (SMALL WORKS)/8.4\SCHEDULED CONCRETE ITEMS/8.4.4\a) Wood floated Finish. /\ks11-001-Off-take structure  \m²\4.316 \ 30"/>
        <s v="SABS1200 GA \CONCRETE (SMALL WORKS)/8.4\SCHEDULED CONCRETE ITEMS/8.4.4\a) Wood floated Finish. /\ks11-002a-Concrete Drop Inlet on Dam Wall  \m²\15 \ 30"/>
        <s v="SABS1200 GA \CONCRETE (SMALL WORKS)/8.4\SCHEDULED CONCRETE ITEMS/8.4.4\a) Wood floated Finish. /\ks11-004a-Concrete Drop Inlet on Dam Wall  \m²\15 \ 30"/>
        <s v="SABS1200 GA \CONCRETE (SMALL WORKS)/8.4\SCHEDULED CONCRETE ITEMS/8.4.4\a) Wood floated Finish. /\KS12_001-Pipe Culvert. Drawing NBC-GTW-CL-0069 \m²\3 \ 30"/>
        <s v="SABS1200 GA \CONCRETE (SMALL WORKS)/8.4\SCHEDULED CONCRETE ITEMS/8.4.4\a) Wood floated Finish. /\KS12_004-Concrete Drop Inlet. Drawing NBC-GTW-CL-0003 \m²\7.86 \ 30"/>
        <s v="SABS1200 GA \CONCRETE (SMALL WORKS)/8.4\SCHEDULED CONCRETE ITEMS/8.4.4\a) Wood floated Finish. /\KS12_005-Concrete Drop Inlet. Drawing NBC-GTW-CL-0004 \m²\7.26 \ 30"/>
        <s v="SABS1200 GA \CONCRETE (SMALL WORKS)/8.4\SCHEDULED CONCRETE ITEMS/8.4.4\a) Wood floated Finish. /\KS12_006-Concrete Drop Inlet. Drawing NBC-GTW-CL-0005 \m²\7.08 \ 30"/>
        <s v="SABS1200 GA \CONCRETE (SMALL WORKS)/8.4\SCHEDULED CONCRETE ITEMS/8.4.4\a) Wood floated Finish. /\KS12_007-Concrete Drop Inlet. Drawing NBC-GTW-CL-0006 \m²\7.35 \ 30"/>
        <s v="SABS1200 GA \CONCRETE (SMALL WORKS)/8.4\SCHEDULED CONCRETE ITEMS/8.4.4\a) Wood floated Finish. /\KS12_008-Concrete Drop Inlet. Drawing NBC-GTW-CL-0007 \m²\6.66 \ 30"/>
        <s v="SABS1200 GA \CONCRETE (SMALL WORKS)/8.4\SCHEDULED CONCRETE ITEMS/8.4.4\a) Wood floated Finish. /\KS12_009-Concrete Drop Inlet. Drawing NBC-GTW-CL-0008 \m²\6.36 \ 30"/>
        <s v="SABS1200 GA \CONCRETE (SMALL WORKS)/8.4\SCHEDULED CONCRETE ITEMS/8.4.4\a) Wood floated Finish. /\KS13_003-Concrete Drop Inlet. Drawing NBC-GTW-CL-0009 \m²\8.315 \ 30"/>
        <s v="SABS1200 GA \CONCRETE (SMALL WORKS)/8.4\SCHEDULED CONCRETE ITEMS/8.4.4\a) Wood floated Finish. /\KS13_004-Concrete Check Wall. Drawing NBC-GTW-CL-0010 \m²\3.9 \ 30"/>
        <s v="SABS1200 GA \CONCRETE (SMALL WORKS)/8.4\SCHEDULED CONCRETE ITEMS/8.4.4\a) Wood floated Finish. /\KS13_005-Concrete Check Wall. Drawing NBC-GTW-CL-0011 \m²\3.9 \ 30"/>
        <s v="SABS1200 GA \CONCRETE (SMALL WORKS)/8.4\SCHEDULED CONCRETE ITEMS/8.4.4\a) Wood floated Finish. /\KS13_006-Concrete Check Wall. Drawing NBC-GTW-CL-0012 \m²\4.2 \ 30"/>
        <s v="SABS1200 GA \CONCRETE (SMALL WORKS)/8.4\SCHEDULED CONCRETE ITEMS/8.4.4\a) Wood floated Finish. /\KS13_007-Concrete Check Wall. Drawing NBC-GTW-CL-0013 \m²\4.05 \ 30"/>
        <s v="SABS1200 GA \CONCRETE (SMALL WORKS)/8.4\SCHEDULED CONCRETE ITEMS/8.4.4\a) Wood floated Finish. /\KS13_008-Concrete Check Wall. Drawing NBC-GTW-CL-0014 \m²\3.75 \ 30"/>
        <s v="SABS1200 GA \CONCRETE (SMALL WORKS)/8.4\SCHEDULED CONCRETE ITEMS/8.4.4\a) Wood floated Finish. /\KS13_011-Concrete Check Wall. Drawing NBC-GTW-CL-0015 \m²\4.5 \ 30"/>
        <s v="SABS1200 GA \CONCRETE (SMALL WORKS)/8.4\SCHEDULED CONCRETE ITEMS/8.4.4\a) Wood floated Finish. /\KS13_012-Concrete Check Wall. Drawing NBC-GTW-CL-0016 \m²\3.6 \ 30"/>
        <s v="SABS1200 GA \CONCRETE (SMALL WORKS)/8.4\SCHEDULED CONCRETE ITEMS/8.4.4\a) Wood floated Finish. /\KS13_013-Concrete Check Wall. Drawing NBC-GTW-CL-0017 \m²\3.6 \ 30"/>
        <s v="SABS1200 GA \CONCRETE (SMALL WORKS)/8.4\SCHEDULED CONCRETE ITEMS/8.4.4\a) Wood floated Finish. /\KS13_015-Concrete Check Wall. Drawing NBC-GTW-CL-0018 \m²\3.9 \ 30"/>
        <s v="SABS1200 GA \CONCRETE (SMALL WORKS)/8.4\SCHEDULED CONCRETE ITEMS/8.4.4\a) Wood floated Finish. /\KS18_001-Concrete Check Wall. Drawing NBC-GTW-CL-0019 \m²\5.1 \ 30"/>
        <s v="SABS1200 GA \CONCRETE (SMALL WORKS)/8.4\SCHEDULED CONCRETE ITEMS/8.4.4\a) Wood floated Finish. /\KS18_002A-Concrete Check Wall. Drawing NBC-GTW-CL-0020 \m²\4.2 \ 30"/>
        <s v="SABS1200 GA \CONCRETE (SMALL WORKS)/8.4\SCHEDULED CONCRETE ITEMS/8.4.4\a) Wood floated Finish. /\KS18_002B-Concrete Check Wall  \m²\4.2 \ 30"/>
        <s v="SABS1200 GA \CONCRETE (SMALL WORKS)/8.4\SCHEDULED CONCRETE ITEMS/8.4.4\a) Wood floated Finish. /\KS18_015-Concrete Check Wall. Drawing NBC-GTW-CL-0021 \m²\3.9 \ 30"/>
        <s v="SABS1200 GA \CONCRETE (SMALL WORKS)/8.4\SCHEDULED CONCRETE ITEMS/8.4.4\a) Wood floated Finish. /\KS18_016-Concrete Check Wall. Drawing NBC-GTW-CL-0022 \m²\3.6 \ 30"/>
        <s v="SABS1200 GA \CONCRETE (SMALL WORKS)/8.4\SCHEDULED CONCRETE ITEMS/8.4.4\a) Wood floated Finish. /\KS18_017-Concrete Check Wall. Drawing NBC-GTW-CL-0023 \m²\3.6 \ 30"/>
        <s v="SABS1200 GA \CONCRETE (SMALL WORKS)/8.4\SCHEDULED CONCRETE ITEMS/8.4.4\a) Wood floated Finish. /\KS18_018-Concrete Check Wall. Drawing NBC-GTW-CL-0024 \m²\3.45 \ 30"/>
        <s v="SABS1200 GA \CONCRETE (SMALL WORKS)/8.4\SCHEDULED CONCRETE ITEMS/8.4.4\a) Wood floated Finish. /\KS18_019-Concrete Check Wall. Drawing NBC-GTW-CL-0025 \m²\3.6 \ 30"/>
        <s v="SABS1200 GA \CONCRETE (SMALL WORKS)/8.4\SCHEDULED CONCRETE ITEMS/8.4.4\a) Wood floated Finish. /\KS18_020-Concrete Check Wall  \m²\3.75 \ 30"/>
        <s v="SABS1200 GA \CONCRETE (SMALL WORKS)/8,4\SCHEDULED CONCRETE ITEMS/8.4.4\a) Wood floated Finish. /\KS18_014-Concrete Check Wall. Drawing NBC-GTW-CL-0001 \m²\3,6 \ 30"/>
        <s v="SABS1200 GA \CONCRETE (SMALL WORKS)/8.4\SCHEDULED CONCRETE ITEMS/8.4.4\a) Wood floated Finish. /\KS19_002-Concrete Drop Inlet. Drawing NBC-GTW-CL-0026 \m²\8.004 \ 30"/>
        <s v="SABS1200 GA \CONCRETE (SMALL WORKS)/8.4\SCHEDULED CONCRETE ITEMS/8.4.4\a) Wood floated Finish. /\KS20_001-Concrete Drop Inlet. Drawing NBC-GTW-CL-0027 \m²\7.905 \ 30"/>
        <s v="SABS1200 GA \CONCRETE (SMALL WORKS)/8.4\SCHEDULED CONCRETE ITEMS/8.4.4\a) Wood floated Finish. /\KS20_002-Concrete Check Wall. Drawing NBC-GTW-CL-0028 \m²\3.6 \ 30"/>
        <s v="SABS1200 GA \CONCRETE (SMALL WORKS)/8.4\SCHEDULED CONCRETE ITEMS/8.4.4\a) Wood floated Finish. /\KS20_003-Concrete Check Wall. Drawing NBC-GTW-CL-0029 \m²\3.9 \ 30"/>
        <s v="SABS1200 GA \CONCRETE (SMALL WORKS)/8.4\SCHEDULED CONCRETE ITEMS/8.4.4\a) Wood floated Finish. /\KS20_004-Concrete Check Wall. Drawing NBC-GTW-CL-0030 \m²\4.5 \ 30"/>
        <s v="SABS1200 GA \CONCRETE (SMALL WORKS)/8.4\SCHEDULED CONCRETE ITEMS/8.4.4\a) Wood floated Finish. /\KS20_005-Concrete Check Wall. Drawing NBC-GTW-CL-0031 \m²\4.5 \ 30"/>
        <s v="SABS1200 GA \CONCRETE (SMALL WORKS)/8,4\SCHEDULED CONCRETE ITEMS/8.4.4\a) Wood floated Finish. /\KS20_006-Concrete Check Wall. Drawing NBC-GTW-CL-0032 \m²\4,8 \ 30"/>
        <s v="SABS1200 GA \CONCRETE (SMALL WORKS)/8.4\SCHEDULED CONCRETE ITEMS/8.4.4\a) Wood floated Finish. /\KS20_007-Concrete Check Wall. Drawing NBC-GTW-CL-0033 \m²\4.5 \ 30"/>
        <s v="SABS1200 GA \CONCRETE (SMALL WORKS)/8.4\SCHEDULED CONCRETE ITEMS/8.4.4\a) Wood floated Finish. /\KS20_008-Concrete Check Wall. Drawing NBC-GTW-CL-0034 \m²\4.35 \ 30"/>
        <s v="SABS1200 GA \CONCRETE (SMALL WORKS)/8.4\SCHEDULED CONCRETE ITEMS/8.4.4\a) Wood floated Finish. /\KS20_009_a-Concrete Check Wall. Drawing NBC-GTW-CL-0035 \m²\15 \ 30"/>
        <s v="SABS1200 GA \CONCRETE (SMALL WORKS)/8.4\SCHEDULED CONCRETE ITEMS/8.4.4\a) Wood floated Finish. /\KS20_009_b-Concrete Check Wall. Drawing NBC-GTW-CL-0035 \m²\2 \ 30"/>
        <s v="SABS1200 GA \CONCRETE (SMALL WORKS)/8.4\SCHEDULED CONCRETE ITEMS/8.4.4\a) Wood floated Finish. /\KS21_003-Concrete Drop Inlet. Drawing NBC-GTW-CL-0039 \m²\9.545 \ 30"/>
        <s v="SABS1200 GA \CONCRETE (SMALL WORKS)/8,4\SCHEDULED CONCRETE ITEMS/8.4.4\a) Wood floated Finish. /\KS21_005-Concrete Drop Inlet. Drawing NBC-GTW-CL-0040 \m²\9,545 \ 30"/>
        <s v="" u="1"/>
        <s v="SABS1200 GA  \ Concrete (Small Works) / 8.4\ SCHEDULED CONCRETE ITEMS / 8.4.4 \ a) Wood floated Finish. /\KS18_017-Concrete Drop Inlet. Refer to drawing W \m²\7.58 \ 30" u="1"/>
        <s v="SABS1200 GA  \ Concrete (Small Works) / 8.4\ SCHEDULED CONCRETE ITEMS / 8.4.4 \ a) Wood floated Finish. /\KS12_006-Concrete Drop Inlet. Refer to drawing E \m²\7.08 \ 30" u="1"/>
        <s v="SABS1200 GA  \ Concrete (Small Works) / 8.4\ SCHEDULED CONCRETE ITEMS / 8.4.4 \ a) Wood floated Finish. /\KS13_004-Concrete Drop Inlet. Refer to drawing J \m²\7.905 \ 30" u="1"/>
        <s v="SABS1200 GA \CONCRETE (SMALL WORKS)/8.4\SCHEDULED CONCRETE ITEMS/8.4.4\a) Wood floated Finish. /\KS13_011-Concrete Drop Inlet. Drawing NBC-GTW-CL-0015 \m²\8.1 \ 30" u="1"/>
        <s v="SABS1200 GA  \ Concrete (Small Works) / 8.4\ SCHEDULED CONCRETE ITEMS / 8.4.4 \ a) Wood floated Finish. /\KS12_008-Concrete Drop Inlet. Refer to drawing G \m²\6.66 \ 30" u="1"/>
        <s v="SABS1200 GA  \ Concrete (Small Works) / 8.4\ SCHEDULED CONCRETE ITEMS / 8.4.4 \ a) Wood floated Finish. /\KS13_011-Concrete Drop Inlet \m²\9.27 \ 30" u="1"/>
        <s v="SABS1200 GA \CONCRETE (SMALL WORKS)/8.4\SCHEDULED CONCRETE ITEMS/8.4.4\a) Wood floated Finish. /\KS12_001-Pipe Culvert. Refer to drawing NBC-GTW-CL-0069 \m²\3 \ 30" u="1"/>
        <s v="SABS1200 GA  / Concrete (Small Works) / 8.4 / 8.4.4 / a) Wood floated Finish / KS13_007-Concrete Drop Inlet / 7.69 / m²" u="1"/>
        <s v="SABS1200 GA  \ Concrete (Small Works) / 8.4\ SCHEDULED CONCRETE ITEMS / 8.4.4 \ a) Wood floated Finish. /\KS20_001-Concrete Drop Inlet. Refer to drawing AA \m²\7.905 \ 30" u="1"/>
        <s v="SABS1200 GA \CONCRETE (SMALL WORKS)/8.4\SCHEDULED CONCRETE ITEMS/8.4.4\a) Wood floated Finish. /\KS21_007-Concrete Drop Inlet. Refer to drawing NBC-GTW-CL-0042 \m²\7.2 \ 30" u="1"/>
        <s v="SABS1200 GA \CONCRETE (SMALL WORKS)/8.4\SCHEDULED CONCRETE ITEMS/8.4.4\a) Wood floated Finish. /\KS13_003-Concrete Drop Inlet. Refer to drawing NBC-GTW-CL-0009 \m²\8.315 \ 30" u="1"/>
        <s v="SABS1200 GA \CONCRETE (SMALL WORKS)/8.4\SCHEDULED CONCRETE ITEMS/8.4.4\a) Wood floated Finish. /\KS18_018-Concrete Drop Inlet. Refer to drawing NBC-GTW-CL-0024 \m²\7.315 \ 30" u="1"/>
        <s v="SABS1200 GA  / Concrete (Small Works) / 8.4 / 8.4.4 / a) Wood floated Finish / KS18_001-Concrete Drop Inlet / 10.95 / m²" u="1"/>
        <s v="SABS1200 GA  / Concrete (Small Works) / 8.4 / 8.4.4 / a) Wood floated Finish / KS21_009-Concrete Drop Inlet / 6.92 / m²" u="1"/>
        <s v="SABS1200 GA  / Concrete (Small Works) / 8.4 / 8.4.4 / a) Wood floated Finish / KS21_010-Concrete Drop Inlet / 6.92 / m²" u="1"/>
        <s v="SABS1200 GA \CONCRETE (SMALL WORKS)/8.4\SCHEDULED CONCRETE ITEMS/8.4.4\a) Wood floated Finish. /\KS13_004-Concrete Drop Inlet. Drawing NBC-GTW-CL-0010 \m²\7.905 \ 30" u="1"/>
        <s v="SABS1200 GA  \ Concrete (Small Works) / 8.4\ SCHEDULED CONCRETE ITEMS / 8.4.4 \ a) Wood floated Finish. /\KS18_001-Concrete Drop Inlet \m²\10.95 \ 30" u="1"/>
        <s v="SABS1200 GA  \ Concrete (Small Works) / 8.4\ SCHEDULED CONCRETE ITEMS / 8.4.4 \ a) Wood floated Finish. /\KS18_016-Concrete Drop Inlet \m²\7.9 \ 30" u="1"/>
        <s v="SABS1200 GA  \ Concrete (Small Works) / 8.4\ SCHEDULED CONCRETE ITEMS / 8.4.4 \ a) Wood floated Finish. /\KS21_006-Concrete Drop Inlet \m²\7.8 \ 30" u="1"/>
        <s v="SABS1200 GA  \ Concrete (Small Works) / 8.4\ SCHEDULED CONCRETE ITEMS / 8.4.4 \ a) Wood floated Finish. /\KS13_003-Concrete Drop Inlet \m²\8.315 \ 30" u="1"/>
        <s v="SABS1200 GA  \ Concrete (Small Works) / 8.4\ SCHEDULED CONCRETE ITEMS / 8.4.4 \ a) Wood floated Finish. /\KS18_018-Concrete Drop Inlet \m²\7.315 \ 30" u="1"/>
        <s v="SABS1200 GA  \ Concrete (Small Works) / 8.4\ SCHEDULED CONCRETE ITEMS / 8.4.4 \ a) Wood floated Finish. /\KS20_008-Concrete Drop Inlet \m²\9.9 \ 30" u="1"/>
        <s v="SABS1200 GA  \ Concrete (Small Works) / 8.4\ SCHEDULED CONCRETE ITEMS / 8.4.4 \ a) Wood floated Finish. /\KS13_012-Concrete Drop Inlet. Refer to drawing P \m²\7.84 \ 30" u="1"/>
        <s v="SABS1200 GA \CONCRETE (SMALL WORKS)/8.4\SCHEDULED CONCRETE ITEMS/8.4.4\a) Wood floated Finish. /\KS12_006-Concrete Drop Inlet. Refer to drawing NBC-GTW-CL-0005 \m²\7.08 \ 30" u="1"/>
        <s v="SABS1200 GA \CONCRETE (SMALL WORKS)/8.4\SCHEDULED CONCRETE ITEMS/8.4.4\a) Wood floated Finish. /\KS21_009-Concrete Drop Inlet. Drawing NBC-GTW-CL-0043 \m²\6.92 \ 30" u="1"/>
        <s v="SABS1200 GA \CONCRETE (SMALL WORKS)/8.4\SCHEDULED CONCRETE ITEMS/8.4.4\a) Wood floated Finish. /\KS21_010-Concrete Drop Inlet. Drawing NBC-GTW-CL-0044 \m²\6.92 \ 30" u="1"/>
        <s v="SABS1200 GA \CONCRETE (SMALL WORKS)/8.4\SCHEDULED CONCRETE ITEMS/8.4.4\a) Wood floated Finish. /\KS12_007-Concrete Drop Inlet. Refer to drawing NBC-GTW-CL-0006 \m²\7.35 \ 30" u="1"/>
        <s v="SABS1200 GA  \ Concrete (Small Works) / 8.4\ SCHEDULED CONCRETE ITEMS / 8.4.4 \ a) Wood floated Finish. /\KS12_007-Concrete Drop Inlet. Refer to drawing F \m²\7.35 \ 30" u="1"/>
        <s v="SABS1200 GA  / Concrete (Small Works) / 8.4 / 8.4.4 / a) Wood floated Finish / KS20_004-Concrete Drop Inlet / 8.96 / m²" u="1"/>
        <s v="SABS1200 GA  \ Concrete (Small Works) / 8.4\ SCHEDULED CONCRETE ITEMS / 8.4.4 \ a) Wood floated Finish. /\KS12_004-Concrete Drop Inlet. Refer to drawing C \m²\7.86 \ 30" u="1"/>
        <s v="SABS1200 GA  \ Concrete (Small Works) / 8.4\ SCHEDULED CONCRETE ITEMS / 8.4.4 \ a) Wood floated Finish. /\KS13_005-Concrete Drop Inlet. Refer to drawing K \m²\7.86 \ 30" u="1"/>
        <s v="SABS1200 GA  \ Concrete (Small Works) / 8.4\ SCHEDULED CONCRETE ITEMS / 8.4.4 \ a) Wood floated Finish. /\KS13_006-Concrete Drop Inlet. Refer to drawing L \m²\7.86 \ 30" u="1"/>
        <s v="SABS1200 GA  \ Concrete (Small Works) / 8.4\ SCHEDULED CONCRETE ITEMS / 8.4.4 \ a) Wood floated Finish. /\KS20_006-Concrete Drop Inlet. Refer to drawing AF \m²\9.46 \ 30" u="1"/>
        <s v="SABS1200 GA  \ Concrete (Small Works) / 8.4\ SCHEDULED CONCRETE ITEMS / 8.4.4 \ a) Wood floated Finish. /\KS12_007-Concrete Drop Inlet \m²\7.35 \ 30" u="1"/>
        <s v="SABS1200 GA \CONCRETE (SMALL WORKS)/8.4\SCHEDULED CONCRETE ITEMS/8.4.4\a) Wood floated Finish. /\KS20_006-Concrete Drop Inlet. Drawing NBC-GTW-CL-0032 \m²\9.46 \ 30" u="1"/>
        <s v="SABS1200 GA  \ Concrete (Small Works) / 8.4\ SCHEDULED CONCRETE ITEMS / 8.4.4 \ a) Wood floated Finish. /\KS18_002-Concrete Drop Inlet. Refer to drawing T \m²\14.16 \ 30" u="1"/>
        <s v="SABS1200 GA  \ Concrete (Small Works) / 8.4\ SCHEDULED CONCRETE ITEMS / 8.4.4 \ a) Wood floated Finish. /\KS21_007-Concrete Drop Inlet \m²\7.2 \ 30" u="1"/>
        <s v="SABS1200 GA \CONCRETE (SMALL WORKS)/8.4\SCHEDULED CONCRETE ITEMS/8.4.4\a) Wood floated Finish. /\KS20_006-Concrete Check Wall. Drawing NBC-GTW-CL-0032 \m²\4.8 \ 30" u="1"/>
        <s v="SABS1200 GA \CONCRETE (SMALL WORKS)/8.4\SCHEDULED CONCRETE ITEMS/8.4.4\a) Wood floated Finish. /\KS21_005-Concrete Drop Inlet. Drawing NBC-GTW-CL-0040 \m²\7.66 \ 30" u="1"/>
        <s v="SABS1200 GA \CONCRETE (SMALL WORKS)/8.4\SCHEDULED CONCRETE ITEMS/8.4.4\a) Wood floated Finish. /\KS21_003-Concrete Drop Inlet. Refer to drawing NBC-GTW-CL-0039 \m²\9.545 \ 30" u="1"/>
        <s v="SABS1200 GA  \ Concrete (Small Works) / 8.4\ SCHEDULED CONCRETE ITEMS / 8.4.4 \ a) Wood floated Finish. /\KS21_005-Concrete Drop Inlet. Refer to drawing AN \m²\7.66 \ 30" u="1"/>
        <s v="SABS1200 GA \CONCRETE (SMALL WORKS)/8.4\SCHEDULED CONCRETE ITEMS/8.4.4\a) Wood floated Finish. /\KS20_008-Concrete Drop Inlet. Refer to drawing NBC-GTW-CL-0034 \m²\9.9 \ 30" u="1"/>
        <s v="SABS1200 GA  \ Concrete (Small Works) / 8.4\ SCHEDULED CONCRETE ITEMS / 8.4.4 \ a) Wood floated Finish. /\KS21_003-Concrete Drop Inlet \m²\9.545 \ 30" u="1"/>
        <s v="SABS1200 GA \CONCRETE (SMALL WORKS)/8.4\SCHEDULED CONCRETE ITEMS/8.4.4\a) Wood floated Finish. /\ks11-001-Off-take structure  \m²\2 \ 30" u="1"/>
        <s v="SABS1200 GA \CONCRETE (SMALL WORKS)/8.4\SCHEDULED CONCRETE ITEMS/8.4.4\a) Wood floated Finish. /\KS13_007-Concrete Drop Inlet. Drawing NBC-GTW-CL-0013 \m²\7.69 \ 30" u="1"/>
        <s v="SABS1200 GA  \ Concrete (Small Works) / 8.4\ SCHEDULED CONCRETE ITEMS / 8.4.4 \ a) Wood floated Finish. /\KS18_002-Concrete Drop Inlet \m²\14.16 \ 30" u="1"/>
        <s v="SABS1200 GA  \ Concrete (Small Works) / 8.4\ SCHEDULED CONCRETE ITEMS / 8.4.4 \ a) Wood floated Finish. /\KS20_005-Concrete Drop Inlet. Refer to drawing AE \m²\9.96 \ 30" u="1"/>
        <s v="SABS1200 GA \CONCRETE (SMALL WORKS)/8.4\SCHEDULED CONCRETE ITEMS/8.4.4\a) Wood floated Finish. /\KS13_013-Concrete Drop Inlet. Drawing NBC-GTW-CL-0017 \m²\8.34 \ 30" u="1"/>
        <s v="SABS1200 GA \CONCRETE (SMALL WORKS)/8.4\SCHEDULED CONCRETE ITEMS/8.4.4\a) Wood floated Finish. /\KS13_015-Concrete Drop Inlet. Drawing NBC-GTW-CL-0018 \m²\8.34 \ 30" u="1"/>
        <s v="SABS1200 GA \CONCRETE (SMALL WORKS)/8.4\SCHEDULED CONCRETE ITEMS/8.4.4\a) Wood floated Finish. /\KS21_006-Concrete Drop Inlet. Refer to drawing NBC-GTW-CL-0041 \m²\7.8 \ 30" u="1"/>
        <s v="SABS1200 GA \CONCRETE (SMALL WORKS)/8.4\SCHEDULED CONCRETE ITEMS/8.4.4\a) Wood floated Finish. /\KS18_020-Rehab road culvert  \m²\7.884 \ 30" u="1"/>
        <s v="SABS1200 GA \CONCRETE (SMALL WORKS)/8.4\SCHEDULED CONCRETE ITEMS/8.4.4\a) Wood floated Finish. /\KS21_009-Concrete Drop Inlet. Refer to drawing NBC-GTW-CL-0043 \m²\6.92 \ 30" u="1"/>
        <s v="SABS1200 GA \CONCRETE (SMALL WORKS)/8.4\SCHEDULED CONCRETE ITEMS/8.4.4\a) Wood floated Finish. /\KS21_010-Concrete Drop Inlet. Refer to drawing NBC-GTW-CL-0044 \m²\6.92 \ 30" u="1"/>
        <s v="SABS1200 GA  \ Concrete (Small Works) / 8.4\ SCHEDULED CONCRETE ITEMS / 8.4.4 \ a) Wood floated Finish. /\KS20_004-Concrete Drop Inlet. Refer to drawing AD \m²\8.96 \ 30" u="1"/>
        <s v="SABS1200 GA  / Concrete (Small Works) / 8.4 / 8.4.4 / a) Wood floated Finish / KS20_003-Concrete Buttress Weir / 11.5870942263055 / m²" u="1"/>
        <s v="SABS1200 GA  \ Concrete (Small Works) / 8.4\ SCHEDULED CONCRETE ITEMS / 8.4.4 \ a) Wood floated Finish. /\KS20_003-Concrete Buttress Weir. Refer to drawing AC \m²\11.5870942263055 \ 30" u="1"/>
        <s v="SABS1200 GA \CONCRETE (SMALL WORKS)/8.4\SCHEDULED CONCRETE ITEMS/8.4.4\a) Wood floated Finish. /\KS18_017-Concrete Drop Inlet. Refer to drawing NBC-GTW-CL-0023 \m²\7.58 \ 30" u="1"/>
        <s v="SABS1200 GA \CONCRETE (SMALL WORKS)/8.4\SCHEDULED CONCRETE ITEMS/8.4.4\a) Wood floated Finish. /\KS18_016-Concrete Drop Inlet. Refer to drawing NBC-GTW-CL-0022 \m²\7.9 \ 30" u="1"/>
        <s v="SABS1200 GA  \ Concrete (Small Works) / 8.4\ SCHEDULED CONCRETE ITEMS / 8.4.4 \ a) Wood floated Finish. /\KS18_017-Concrete Drop Inlet \m²\7.58 \ 30" u="1"/>
        <s v="SABS1200 GA \CONCRETE (SMALL WORKS)/8.4\SCHEDULED CONCRETE ITEMS/8.4.4\a) Wood floated Finish. /\KS13_008-Concrete Drop Inlet. Drawing NBC-GTW-CL-0014 \m²\8.61 \ 30" u="1"/>
        <s v="SABS1200 GA  \ Concrete (Small Works) / 8.4\ SCHEDULED CONCRETE ITEMS / 8.4.4 \ a) Wood floated Finish. /\KS18_015-Concrete Drop Inlet \m²\8.43 \ 30" u="1"/>
        <s v="SABS1200 GA \CONCRETE (SMALL WORKS)/8.4\SCHEDULED CONCRETE ITEMS/8.4.4\a) Wood floated Finish. /\KS18_015-Concrete Drop Inlet. Refer to drawing NBC-GTW-CL-0021 \m²\8.43 \ 30" u="1"/>
        <s v="SABS1200 GA  / Concrete (Small Works) / 8.4 / 8.4.4 / a) Wood floated Finish / KS12_009-Concrete Drop Inlet / 6.36 / m²" u="1"/>
        <s v="SABS1200 GA  / Concrete (Small Works) / 8.4 / 8.4.4 / a) Wood floated Finish / KS12_008-Concrete Drop Inlet / 6.66 / m²" u="1"/>
        <s v="SABS1200 GA \CONCRETE (SMALL WORKS)/8.4\SCHEDULED CONCRETE ITEMS/8.4.4\a) Wood floated Finish. /\KS18_001-Concrete Drop Inlet. Refer to drawing NBC-GTW-CL-0019 \m²\10.95 \ 30" u="1"/>
        <s v="SABS1200 GA \CONCRETE (SMALL WORKS)/8.4\SCHEDULED CONCRETE ITEMS/8.4.4\a) Wood floated Finish. /\KS18_019-Concrete Drop Inlet. Drawing NBC-GTW-CL-0025 \m²\7.24 \ 30" u="1"/>
        <s v="SABS1200 GA  \ Concrete (Small Works) / 8.4\ SCHEDULED CONCRETE ITEMS / 8.4.4 \ a) Wood floated Finish. /\KS13_007-Concrete Drop Inlet. Refer to drawing M \m²\7.69 \ 30" u="1"/>
        <s v="SABS1200 GA  \ Concrete (Small Works) / 8.4\ SCHEDULED CONCRETE ITEMS / 8.4.4 \ a) Wood floated Finish. /\KS12_006-Concrete Drop Inlet \m²\7.08 \ 30" u="1"/>
        <s v="SABS1200 GA \CONCRETE (SMALL WORKS)/8.4\SCHEDULED CONCRETE ITEMS/8.4.4\a) Wood floated Finish. /\KS18_016-Concrete Drop Inlet. Drawing NBC-GTW-CL-0022 \m²\7.9 \ 30" u="1"/>
        <s v="SABS1200 GA \CONCRETE (SMALL WORKS)/8.4\SCHEDULED CONCRETE ITEMS/8.4.4\a) Wood floated Finish. /\KS18_001-Concrete Drop Inlet. Drawing NBC-GTW-CL-0019 \m²\10.95 \ 30" u="1"/>
        <s v="SABS1200 GA \CONCRETE (SMALL WORKS)/8.4\SCHEDULED CONCRETE ITEMS/8.4.4\a) Wood floated Finish. /\KS12_005-Concrete Drop Inlet. Refer to drawing NBC-GTW-CL-0004 \m²\7.26 \ 30" u="1"/>
        <s v="SABS1200 GA  \ Concrete (Small Works) / 8.4\ SCHEDULED CONCRETE ITEMS / 8.4.4 \ a) Wood floated Finish. /\KS13_013-Concrete Drop Inlet. Refer to drawing Q \m²\8.34 \ 30" u="1"/>
        <s v="SABS1200 GA  \ Concrete (Small Works) / 8.4\ SCHEDULED CONCRETE ITEMS / 8.4.4 \ a) Wood floated Finish. /\KS13_015-Concrete Drop Inlet. Refer to drawing R \m²\8.34 \ 30" u="1"/>
        <s v="SABS1200 GA  / Concrete (Small Works) / 8.4 / 8.4.4 / a) Wood floated Finish / KS13_004-Concrete Drop Inlet / 7.905 / m²" u="1"/>
        <s v="SABS1200 GA  / Concrete (Small Works) / 8.4 / 8.4.4 / a) Wood floated Finish / KS20_001-Concrete Drop Inlet / 7.905 / m²" u="1"/>
        <s v="SABS1200 GA \CONCRETE (SMALL WORKS)/8.4\SCHEDULED CONCRETE ITEMS/8.4.4\a) Wood floated Finish. /\KS20_006-Concrete Drop Inlet. Refer to drawing NBC-GTW-CL-0032 \m²\9.46 \ 30" u="1"/>
        <s v="SABS1200 GA  \ Concrete (Small Works) / 8.4\ SCHEDULED CONCRETE ITEMS / 8.4.4 \ a) Wood floated Finish. /\KS13_011-Concrete Drop Inlet. Refer to drawing O \m²\9.27 \ 30" u="1"/>
        <s v="SABS1200 GA  / Concrete (Small Works) / 8.4 / 8.4.4 / a) Wood floated Finish / KS20_008-Concrete Drop Inlet / 9.9 / m²" u="1"/>
        <s v="SABS1200 GA \CONCRETE (SMALL WORKS)/8.4\SCHEDULED CONCRETE ITEMS/8.4.4\a) Wood floated Finish. /\KS20_003-Concrete Buttress Weir. Refer to drawing NBC-GTW-CL-0029 \m²\11.5870942263055 \ 30" u="1"/>
        <s v="SABS1200 GA  \ Concrete (Small Works) / 8.4\ SCHEDULED CONCRETE ITEMS / 8.4.4 \ a) Wood floated Finish. /\KS20_004-Concrete Drop Inlet \m²\8.96 \ 30" u="1"/>
        <s v="SABS1200 GA  \ Concrete (Small Works) / 8.4\ SCHEDULED CONCRETE ITEMS / 8.4.4 \ a) Wood floated Finish. /\KS20_003-Concrete Buttress Weir \m²\11.5870942263055 \ 30" u="1"/>
        <s v="SABS1200 GA  \ Concrete (Small Works) / 8.4\ SCHEDULED CONCRETE ITEMS / 8.4.4 \ a) Wood floated Finish. /\KS12_004-Concrete Drop Inlet \m²\7.86 \ 30" u="1"/>
        <s v="SABS1200 GA  \ Concrete (Small Works) / 8.4\ SCHEDULED CONCRETE ITEMS / 8.4.4 \ a) Wood floated Finish. /\KS13_005-Concrete Drop Inlet \m²\7.86 \ 30" u="1"/>
        <s v="SABS1200 GA  \ Concrete (Small Works) / 8.4\ SCHEDULED CONCRETE ITEMS / 8.4.4 \ a) Wood floated Finish. /\KS13_006-Concrete Drop Inlet \m²\7.86 \ 30" u="1"/>
        <s v="SABS1200 GA  \ Concrete (Small Works) / 8.4\ SCHEDULED CONCRETE ITEMS / 8.4.4 \ a) Wood floated Finish. /\KS20_005-Concrete Drop Inlet \m²\9.96 \ 30" u="1"/>
        <s v="SABS1200 GA  / Concrete (Small Works) / 8.4 / 8.4.4 / a) Wood floated Finish / KS18_020-Rehab road culvert / 7.884 / m²" u="1"/>
        <s v="SABS1200 GA  / Concrete (Small Works) / 8.4 / 8.4.4 / a) Wood floated Finish / KS20_006-Concrete Drop Inlet / 9.46 / m²" u="1"/>
        <s v="SABS1200 GA \CONCRETE (SMALL WORKS)/8.4\SCHEDULED CONCRETE ITEMS/8.4.4\a) Wood floated Finish. /\KS20_004-Concrete Drop Inlet. Drawing NBC-GTW-CL-0030 \m²\8.96 \ 30" u="1"/>
        <s v="SABS1200 GA  \ Concrete (Small Works) / 8.4\ SCHEDULED CONCRETE ITEMS / 8.4.4 \ a) Wood floated Finish. /\KS12_008-Concrete Drop Inlet \m²\6.66 \ 30" u="1"/>
        <s v="SABS1200 GA \CONCRETE (SMALL WORKS)/8.4\SCHEDULED CONCRETE ITEMS/8.4.4\a) Wood floated Finish. /\KS20_003-Concrete Buttress Weir. Drawing NBC-GTW-CL-0029 \m²\11.5870942263055 \ 30" u="1"/>
        <s v="SABS1200 GA  / Concrete (Small Works) / 8.4 / 8.4.4 / a) Wood floated Finish / KS20_005-Concrete Drop Inlet / 9.96 / m²" u="1"/>
        <s v="SABS1200 GA  \ Concrete (Small Works) / 8.4\ SCHEDULED CONCRETE ITEMS / 8.4.4 \ a) Wood floated Finish. /\KS21_005-Concrete Drop Inlet \m²\7.66 \ 30" u="1"/>
        <s v="SABS1200 GA  / Concrete (Small Works) / 8.4 / 8.4.4 / a) Wood floated Finish / KS13_003-Concrete Drop Inlet / 8.315 / m²" u="1"/>
        <s v="SABS1200 GA  / Concrete (Small Works) / 8.4 / 8.4.4 / a) Wood floated Finish / KS18_018-Concrete Drop Inlet / 7.315 / m²" u="1"/>
        <s v="SABS1200 GA \CONCRETE (SMALL WORKS)/8.4\SCHEDULED CONCRETE ITEMS/8.4.4\a) Wood floated Finish. /\KS12_009-Concrete Drop Inlet. Refer to drawing NBC-GTW-CL-0008 \m²\6.36 \ 30" u="1"/>
        <s v="SABS1200 GA  \ Concrete (Small Works) / 8.4\ SCHEDULED CONCRETE ITEMS / 8.4.4 \ a) Wood floated Finish. /\KS13_008-Concrete Drop Inlet \m²\8.61 \ 30" u="1"/>
        <s v="SABS1200 GA \CONCRETE (SMALL WORKS)/8.4\SCHEDULED CONCRETE ITEMS/8.4.4\a) Wood floated Finish. /\KS21_007-Concrete Drop Inlet. Drawing NBC-GTW-CL-0042 \m²\7.2 \ 30" u="1"/>
        <s v="SABS1200 GA  \ Concrete (Small Works) / 8.4\ SCHEDULED CONCRETE ITEMS / 8.4.4 \ a) Wood floated Finish. /\KS20_009_a-Concrete Drop Inlet. Refer to drawing AI \m²\10.5025983121934 \ 30" u="1"/>
        <s v="SABS1200 GA \CONCRETE (SMALL WORKS)/8.4\SCHEDULED CONCRETE ITEMS/8.4.4\a) Wood floated Finish. /\KS18_020-Concrete Drop Inlet associated with Road Culvert  \m²\7.884 \ 30" u="1"/>
        <s v="SABS1200 GA \CONCRETE (SMALL WORKS)/8.4\SCHEDULED CONCRETE ITEMS/8.4.4\a) Wood floated Finish. /\KS18_002-Concrete Drop Inlet. Refer to drawing NBC-GTW-CL-0020 \m²\14.16 \ 30" u="1"/>
        <s v="SABS1200 GA \CONCRETE (SMALL WORKS)/8.4\SCHEDULED CONCRETE ITEMS/8.4.4\a) Wood floated Finish. /\KS18_017-Concrete Drop Inlet. Drawing NBC-GTW-CL-0023 \m²\7.58 \ 30" u="1"/>
        <s v="SABS1200 GA  \ Concrete (Small Works) / 8.4\ SCHEDULED CONCRETE ITEMS / 8.4.4 \ a) Wood floated Finish. /\KS12_009-Concrete Drop Inlet \m²\6.36 \ 30" u="1"/>
        <s v="SABS1200 GA  \ Concrete (Small Works) / 8.4\ SCHEDULED CONCRETE ITEMS / 8.4.4 \ a) Wood floated Finish. /\KS20_006-Concrete Drop Inlet \m²\9.46 \ 30" u="1"/>
        <s v="SABS1200 GA  / Concrete (Small Works) / 8.4 / 8.4.4 / a) Wood floated Finish / KS18_019-Concrete Drop Inlet / 7.24 / m²" u="1"/>
        <s v="SABS1200 GA  \ Concrete (Small Works) / 8.4\ SCHEDULED CONCRETE ITEMS / 8.4.4 \ a) Wood floated Finish. /\KS21_007-Concrete Drop Inlet. Refer to drawing AP \m²\7.2 \ 30" u="1"/>
        <s v="SABS1200 GA  / Concrete (Small Works) / 8.4 / 8.4.4 / a) Wood floated Finish / KS13_011-Concrete Drop Inlet / 9.27 / m²" u="1"/>
        <s v="SABS1200 GA  \ Concrete (Small Works) / 8.4\ SCHEDULED CONCRETE ITEMS / 8.4.4 \ a) Wood floated Finish. /\KS13_004-Concrete Drop Inlet \m²\7.905 \ 30" u="1"/>
        <s v="SABS1200 GA  \ Concrete (Small Works) / 8.4\ SCHEDULED CONCRETE ITEMS / 8.4.4 \ a) Wood floated Finish. /\KS20_001-Concrete Drop Inlet \m²\7.905 \ 30" u="1"/>
        <s v="SABS1200 GA  \ Concrete (Small Works) / 8.4\ SCHEDULED CONCRETE ITEMS / 8.4.4 \ a) Wood floated Finish. /\KS13_008-Concrete Drop Inlet. Refer to drawing N \m²\8.61 \ 30" u="1"/>
        <s v="SABS1200 GA  \ Concrete (Small Works) / 8.4\ SCHEDULED CONCRETE ITEMS / 8.4.4 \ a) Wood floated Finish. /\KS21_009-Concrete Drop Inlet. Refer to drawing AQ \m²\6.92 \ 30" u="1"/>
        <s v="SABS1200 GA  \ Concrete (Small Works) / 8.4\ SCHEDULED CONCRETE ITEMS / 8.4.4 \ a) Wood floated Finish. /\KS21_010-Concrete Drop Inlet. Refer to drawing AR \m²\6.92 \ 30" u="1"/>
        <s v="SABS1200 GA  \ Concrete (Small Works) / 8.4\ SCHEDULED CONCRETE ITEMS / 8.4.4 \ a) Wood floated Finish. /\KS12_005-Concrete Drop Inlet \m²\7.26 \ 30" u="1"/>
        <s v="SABS1200 GA  / Concrete (Small Works) / 8.4 / 8.4.4 / a) Wood floated Finish / KS13_012-Concrete Drop Inlet / 7.84 / m²" u="1"/>
        <s v="SABS1200 GA \CONCRETE (SMALL WORKS)/8.4\SCHEDULED CONCRETE ITEMS/8.4.4\a) Wood floated Finish. /\KS13_012-Concrete Drop Inlet. Drawing NBC-GTW-CL-0016 \m²\7.84 \ 30" u="1"/>
        <s v="SABS1200 GA \CONCRETE (SMALL WORKS)/8.4\SCHEDULED CONCRETE ITEMS/8.4.4\a) Wood floated Finish. /\KS19_002-Concrete Drop Inlet. Refer to drawing NBC-GTW-CL-0026 \m²\8.004 \ 30" u="1"/>
        <s v="SABS1200 GA \CONCRETE (SMALL WORKS)/8.4\SCHEDULED CONCRETE ITEMS/8.4.4\a) Wood floated Finish. /\KS21_005-Concrete Drop Inlet. Refer to drawing NBC-GTW-CL-0040 \m²\7.66 \ 30" u="1"/>
        <s v="SABS1200 GA  \ Concrete (Small Works) / 8.4\ SCHEDULED CONCRETE ITEMS / 8.4.4 \ a) Wood floated Finish. /\KS13_003-Concrete Drop Inlet. Refer to drawing I \m²\8.315 \ 30" u="1"/>
        <s v="SABS1200 GA  \ Concrete (Small Works) / 8.4\ SCHEDULED CONCRETE ITEMS / 8.4.4 \ a) Wood floated Finish. /\KS18_018-Concrete Drop Inlet. Refer to drawing X \m²\7.315 \ 30" u="1"/>
        <s v="SABS1200 GA \CONCRETE (SMALL WORKS)/8.4\SCHEDULED CONCRETE ITEMS/8.4.4\a) Wood floated Finish. /\KS13_005-Concrete Drop Inlet. Drawing NBC-GTW-CL-0011 \m²\7.86 \ 30" u="1"/>
        <s v="SABS1200 GA \CONCRETE (SMALL WORKS)/8.4\SCHEDULED CONCRETE ITEMS/8.4.4\a) Wood floated Finish. /\KS13_006-Concrete Drop Inlet. Drawing NBC-GTW-CL-0012 \m²\7.86 \ 30" u="1"/>
        <s v="SABS1200 GA \CONCRETE (SMALL WORKS)/8.4\SCHEDULED CONCRETE ITEMS/8.4.4\a) Wood floated Finish. /\KS18-014-Concrete Check Wall. Drawing NBC-GTW-CL-0001 \m²\3.6 \ 30" u="1"/>
        <s v="SABS1200 GA \CONCRETE (SMALL WORKS)/8.4\SCHEDULED CONCRETE ITEMS/8.4.4\a) Wood floated Finish. /\KS12_008-Concrete Drop Inlet. Refer to drawing NBC-GTW-CL-0007 \m²\6.66 \ 30" u="1"/>
        <s v="SABS1200 GA \CONCRETE (SMALL WORKS)/8.4\SCHEDULED CONCRETE ITEMS/8.4.4\a) Wood floated Finish. /\KS18_002-Concrete Drop Inlet. Drawing NBC-GTW-CL-0020 \m²\14.16 \ 30" u="1"/>
        <s v="SABS1200 GA  / Concrete (Small Works) / 8.4 / 8.4.4 / a) Wood floated Finish / KS12_007-Concrete Drop Inlet / 7.35 / m²" u="1"/>
        <s v="SABS1200 GA \CONCRETE (SMALL WORKS)/8.4\SCHEDULED CONCRETE ITEMS/8.4.4\a) Wood floated Finish. /\KS20_005-Concrete Drop Inlet. Refer to drawing NBC-GTW-CL-0031 \m²\9.96 \ 30" u="1"/>
        <s v="SABS1200 GA \CONCRETE (SMALL WORKS)/8.4\SCHEDULED CONCRETE ITEMS/8.4.4\a) Wood floated Finish. /\KS20_005-Concrete Drop Inlet. Drawing NBC-GTW-CL-0031 \m²\9.96 \ 30" u="1"/>
        <s v="SABS1200 GA  \ Concrete (Small Works) / 8.4\ SCHEDULED CONCRETE ITEMS / 8.4.4 \ a) Wood floated Finish. /\KS13_012-Concrete Drop Inlet \m²\7.84 \ 30" u="1"/>
        <s v="SABS1200 GA  \ Concrete (Small Works) / 8.4\ SCHEDULED CONCRETE ITEMS / 8.4.4 \ a) Wood floated Finish. /\KS21_003-Concrete Drop Inlet. Refer to drawing AM \m²\9.545 \ 30" u="1"/>
        <s v="SABS1200 GA  / Concrete (Small Works) / 8.4 / 8.4.4 / a) Wood floated Finish / KS19_002-Concrete Drop Inlet / 8.004 / m²" u="1"/>
        <s v="SABS1200 GA  \ Concrete (Small Works) / 8.4\ SCHEDULED CONCRETE ITEMS / 8.4.4 \ a) Wood floated Finish. /\KS20_007-Concrete Drop Inlet \m²\8.84 \ 30" u="1"/>
        <s v="SABS1200 GA  \ Concrete (Small Works) / 8.4\ SCHEDULED CONCRETE ITEMS / 8.4.4 \ a) Wood floated Finish. /\KS20_008-Concrete Drop Inlet. Refer to drawing AH \m²\9.9 \ 30" u="1"/>
        <s v="SABS1200 GA \CONCRETE (SMALL WORKS)/8.4\SCHEDULED CONCRETE ITEMS/8.4.4\a) Wood floated Finish. /\KS20_009_a-Concrete Buttress Weir. Refer to drawing NBC-GTW-CL-0035 \m²\10.5025983121934 \ 30" u="1"/>
        <s v="SABS1200 GA \CONCRETE (SMALL WORKS)/8.4\SCHEDULED CONCRETE ITEMS/8.4.4\a) Wood floated Finish. /\KS18_019-Concrete Drop Inlet. Refer to drawing NBC-GTW-CL-0025 \m²\7.24 \ 30" u="1"/>
        <s v="SABS1200 GA  / Concrete (Small Works) / 8.4 / 8.4.4 / a) Wood floated Finish / KS21_007-Concrete Drop Inlet / 7.2 / m²" u="1"/>
        <s v="SABS1200 GA  / Concrete (Small Works) / 8.4 / 8.4.4 / a) Wood floated Finish / KS13_008-Concrete Drop Inlet / 8.61 / m²" u="1"/>
        <s v="SABS1200 GA \CONCRETE (SMALL WORKS)/8.4\SCHEDULED CONCRETE ITEMS/8.4.4\a) Wood floated Finish. /\KS12_004-Concrete Drop Inlet. Refer to drawing NBC-GTW-CL-0003 \m²\7.86 \ 30" u="1"/>
        <s v="SABS1200 GA \CONCRETE (SMALL WORKS)/8.4\SCHEDULED CONCRETE ITEMS/8.4.4\a) Wood floated Finish. /\KS13_005-Concrete Drop Inlet. Refer to drawing NBC-GTW-CL-0011 \m²\7.86 \ 30" u="1"/>
        <s v="SABS1200 GA \CONCRETE (SMALL WORKS)/8.4\SCHEDULED CONCRETE ITEMS/8.4.4\a) Wood floated Finish. /\KS13_006-Concrete Drop Inlet. Refer to drawing NBC-GTW-CL-0012 \m²\7.86 \ 30" u="1"/>
        <s v="SABS1200 GA \CONCRETE (SMALL WORKS)/8.4\SCHEDULED CONCRETE ITEMS/8.4.4\a) Wood floated Finish. /\KS20_002-Concrete Drop Inlet. Drawing NBC-GTW-CL-0028 \m²\10.26 \ 30" u="1"/>
        <s v="SABS1200 GA  \ Concrete (Small Works) / 8.4\ SCHEDULED CONCRETE ITEMS / 8.4.4 \ a) Wood floated Finish. /\KS21_006-Concrete Drop Inlet. Refer to drawing AO \m²\7.8 \ 30" u="1"/>
        <s v="SABS1200 GA \CONCRETE (SMALL WORKS)/8.4\SCHEDULED CONCRETE ITEMS/8.4.4\a) Wood floated Finish. /\KS13_013-Concrete Drop Inlet. Refer to drawing NBC-GTW-CL-0017 \m²\8.34 \ 30" u="1"/>
        <s v="SABS1200 GA \CONCRETE (SMALL WORKS)/8.4\SCHEDULED CONCRETE ITEMS/8.4.4\a) Wood floated Finish. /\KS13_015-Concrete Drop Inlet. Refer to drawing NBC-GTW-CL-0018 \m²\8.34 \ 30" u="1"/>
        <s v="SABS1200 GA  \ Concrete (Small Works) / 8.4\ SCHEDULED CONCRETE ITEMS / 8.4.4 \ a) Wood floated Finish. /\KS18_019-Concrete Drop Inlet. Refer to drawing Y \m²\7.24 \ 30" u="1"/>
        <s v="SABS1200 GA \CONCRETE (SMALL WORKS)/8.4\SCHEDULED CONCRETE ITEMS/8.4.4\a) Wood floated Finish. /\KS20_004-Concrete Drop Inlet. Refer to drawing NBC-GTW-CL-0030 \m²\8.96 \ 30" u="1"/>
        <s v="SABS1200 GA  \ Concrete (Small Works) / 8.4\ SCHEDULED CONCRETE ITEMS / 8.4.4 \ a) Wood floated Finish. /\KS13_007-Concrete Drop Inlet \m²\7.69 \ 30" u="1"/>
        <s v="SABS1200 GA  \ Concrete (Small Works) / 8.4\ SCHEDULED CONCRETE ITEMS / 8.4.4 \ a) Wood floated Finish. /\KS19_002-Concrete Drop Inlet. Refer to drawing Z \m²\8.004 \ 30" u="1"/>
        <s v="SABS1200 GA \CONCRETE (SMALL WORKS)/8.4\SCHEDULED CONCRETE ITEMS/8.4.4\a) Wood floated Finish. /\KS13_008-Concrete Drop Inlet. Refer to drawing NBC-GTW-CL-0014 \m²\8.61 \ 30" u="1"/>
        <s v="SABS1200 GA \CONCRETE (SMALL WORKS)/8.4\SCHEDULED CONCRETE ITEMS/8.4.4\a) Wood floated Finish. /\KS20_002-Concrete Drop Inlet. Refer to drawing NBC-GTW-CL-0028 \m²\10.26 \ 30" u="1"/>
        <s v="SABS1200 GA  / Concrete (Small Works) / 8.4 / 8.4.4 / a) Wood floated Finish / KS21_006-Concrete Drop Inlet / 7.8 / m²" u="1"/>
        <s v="SABS1200 GA  / Concrete (Small Works) / 8.4 / 8.4.4 / a) Wood floated Finish / KS18_016-Concrete Drop Inlet / 7.9 / m²" u="1"/>
        <s v="SABS1200 GA  \ Concrete (Small Works) / 8.4\ SCHEDULED CONCRETE ITEMS / 8.4.4 \ a) Wood floated Finish. /\KS20_002-Concrete Drop Inlet \m²\8.64 \ 30" u="1"/>
        <s v="SABS1200 GA \CONCRETE (SMALL WORKS)/8.4\SCHEDULED CONCRETE ITEMS/8.4.4\a) Wood floated Finish. /\KS21_006-Concrete Drop Inlet. Drawing NBC-GTW-CL-0041 \m²\7.8 \ 30" u="1"/>
        <s v="SABS1200 GA  \ Concrete (Small Works) / 8.4\ SCHEDULED CONCRETE ITEMS / 8.4.4 \ a) Wood floated Finish. /\KS19_002-Concrete Drop Inlet \m²\8.004 \ 30" u="1"/>
        <s v="SABS1200 GA \CONCRETE (SMALL WORKS)/8.4\SCHEDULED CONCRETE ITEMS/8.4.4\a) Wood floated Finish. /\KS13_007-Concrete Drop Inlet. Refer to drawing NBC-GTW-CL-0013 \m²\7.69 \ 30" u="1"/>
        <s v="SABS1200 GA  \ Concrete (Small Works) / 8.4\ SCHEDULED CONCRETE ITEMS / 8.4.4 \ a) Wood floated Finish. /\KS18_016-Concrete Drop Inlet. Refer to drawing V \m²\7.9 \ 30" u="1"/>
        <s v="SABS1200 GA \CONCRETE (SMALL WORKS)/8.4\SCHEDULED CONCRETE ITEMS/8.4.4\a) Wood floated Finish. /\KS13_011-Concrete Drop Inlet. Refer to drawing NBC-GTW-CL-0015 \m²\9.27 \ 30" u="1"/>
        <s v="SABS1200 GA  / Concrete (Small Works) / 8.4 / 8.4.4 / a) Wood floated Finish / KS12_005-Concrete Drop Inlet / 7.26 / m²" u="1"/>
        <s v="SABS1200 GA  \ Concrete (Small Works) / 8.4\ SCHEDULED CONCRETE ITEMS / 8.4.4 \ a) Wood floated Finish. /\KS12_005-Concrete Drop Inlet. Refer to drawing D \m²\7.26 \ 30" u="1"/>
        <s v="SABS1200 GA  / Concrete (Small Works) / 8.4 / 8.4.4 / a) Wood floated Finish / KS21_005-Concrete Drop Inlet / 7.66 / m²" u="1"/>
        <s v="SABS1200 GA  \ Concrete (Small Works) / 8.4\ SCHEDULED CONCRETE ITEMS / 8.4.4 \ a) Wood floated Finish. /\KS18_001-Concrete Drop Inlet. Refer to drawing S \m²\10.95 \ 30" u="1"/>
        <s v="SABS1200 GA  / Concrete (Small Works) / 8.4 / 8.4.4 / a) Wood floated Finish / KS12_004-Concrete Drop Inlet / 7.86 / m²" u="1"/>
        <s v="SABS1200 GA  / Concrete (Small Works) / 8.4 / 8.4.4 / a) Wood floated Finish / KS13_005-Concrete Drop Inlet / 7.86 / m²" u="1"/>
        <s v="SABS1200 GA  / Concrete (Small Works) / 8.4 / 8.4.4 / a) Wood floated Finish / KS13_006-Concrete Drop Inlet / 7.86 / m²" u="1"/>
        <s v="SABS1200 GA \CONCRETE (SMALL WORKS)/8.4\SCHEDULED CONCRETE ITEMS/8.4.4\a) Wood floated Finish. /\KS20_008-Concrete Drop Inlet. Drawing NBC-GTW-CL-0034 \m²\9.9 \ 30" u="1"/>
        <s v="SABS1200 GA \CONCRETE (SMALL WORKS)/8.4\SCHEDULED CONCRETE ITEMS/8.4.4\a) Wood floated Finish. /\KS20_007-Concrete Drop Inlet. Drawing NBC-GTW-CL-0033 \m²\8.84 \ 30" u="1"/>
        <s v="SABS1200 GA  \ Concrete (Small Works) / 8.4\ SCHEDULED CONCRETE ITEMS / 8.4.4 \ a) Wood floated Finish. /\KS13_013-Concrete Drop Inlet \m²\8.34 \ 30" u="1"/>
        <s v="SABS1200 GA  \ Concrete (Small Works) / 8.4\ SCHEDULED CONCRETE ITEMS / 8.4.4 \ a) Wood floated Finish. /\KS13_015-Concrete Drop Inlet \m²\8.34 \ 30" u="1"/>
        <s v="SABS1200 GA  / Concrete (Small Works) / 8.4 / 8.4.4 / a) Wood floated Finish / KS21_003-Concrete Drop Inlet / 9.545 / m²" u="1"/>
        <s v="SABS1200 GA  \ Concrete (Small Works) / 8.4\ SCHEDULED CONCRETE ITEMS / 8.4.4 \ a) Wood floated Finish. /\KS18_019-Concrete Drop Inlet \m²\7.24 \ 30" u="1"/>
        <s v="SABS1200 GA  \ Concrete (Small Works) / 8.4\ SCHEDULED CONCRETE ITEMS / 8.4.4 \ a) Wood floated Finish. /\KS20_009_a-Concrete Drop Inlet \m²\10.5025983121934 \ 30" u="1"/>
        <s v="SABS1200 GA  / Concrete (Small Works) / 8.4 / 8.4.4 / a) Wood floated Finish / KS18_002-Concrete Drop Inlet / 14.16 / m²" u="1"/>
        <s v="SABS1200 GA  \ Concrete (Small Works) / 8.4\ SCHEDULED CONCRETE ITEMS / 8.4.4 \ a) Wood floated Finish. /\KS12_009-Concrete Drop Inlet. Refer to drawing H \m²\6.36 \ 30" u="1"/>
        <s v="SABS1200 GA  \ Concrete (Small Works) / 8.4\ SCHEDULED CONCRETE ITEMS / 8.4.4 \ a) Wood floated Finish. /\KS18_015-Concrete Drop Inlet. Refer to drawing U \m²\8.43 \ 30" u="1"/>
        <s v="SABS1200 GA \CONCRETE (SMALL WORKS)/8.4\SCHEDULED CONCRETE ITEMS/8.4.4\a) Wood floated Finish. /\KS20_002-Concrete Drop Inlet. Refer to drawing NBC-GTW-CL-0028 \m²\8.64 \ 30" u="1"/>
        <s v="SABS1200 GA \CONCRETE (SMALL WORKS)/8.4\SCHEDULED CONCRETE ITEMS/8.4.4\a) Wood floated Finish. /\KS20_009_a-Concrete Buttress Weir. Drawing NBC-GTW-CL-0035 \m²\10.5025983121934 \ 30" u="1"/>
        <s v="SABS1200 GA  \ Concrete (Small Works) / 8.4\ SCHEDULED CONCRETE ITEMS / 8.4.4 \ a) Wood floated Finish. /\KS21_009-Concrete Drop Inlet \m²\6.92 \ 30" u="1"/>
        <s v="SABS1200 GA  \ Concrete (Small Works) / 8.4\ SCHEDULED CONCRETE ITEMS / 8.4.4 \ a) Wood floated Finish. /\KS21_010-Concrete Drop Inlet \m²\6.92 \ 30" u="1"/>
        <s v="SABS1200 GA  \ Concrete (Small Works) / 8.4\ SCHEDULED CONCRETE ITEMS / 8.4.4 \ a) Wood floated Finish. /\KS20_002-Concrete Drop Inlet. Refer to drawing AB \m²\8.64 \ 30" u="1"/>
        <s v="SABS1200 GA  / Concrete (Small Works) / 8.4 / 8.4.4 / a) Wood floated Finish / KS18_015-Concrete Drop Inlet / 8.43 / m²" u="1"/>
        <s v="SABS1200 GA \CONCRETE (SMALL WORKS)/8.4\SCHEDULED CONCRETE ITEMS/8.4.4\a) Wood floated Finish. /\KS18_018-Concrete Drop Inlet. Drawing NBC-GTW-CL-0024 \m²\7.315 \ 30" u="1"/>
        <s v="SABS1200 GA \CONCRETE (SMALL WORKS)/8.4\SCHEDULED CONCRETE ITEMS/8.4.4\a) Wood floated Finish. /\KS20_009_a-Concrete Drop Inlet. Refer to drawing NBC-GTW-CL-0035 \m²\10.5025983121934 \ 30" u="1"/>
        <s v="SABS1200 GA  / Concrete (Small Works) / 8.4 / 8.4.4 / a) Wood floated Finish / KS20_009_a-Concrete Drop Inlet / 10.5025983121934 / m²" u="1"/>
        <s v="SABS1200 GA  \ Concrete (Small Works) / 8.4\ SCHEDULED CONCRETE ITEMS / 8.4.4 \ a) Wood floated Finish. /\KS20_007-Concrete Drop Inlet. Refer to drawing AG \m²\8.84 \ 30" u="1"/>
        <s v="SABS1200 GA  / Concrete (Small Works) / 8.4 / 8.4.4 / a) Wood floated Finish / KS12_006-Concrete Drop Inlet / 7.08 / m²" u="1"/>
        <s v="SABS1200 GA \CONCRETE (SMALL WORKS)/8.4\SCHEDULED CONCRETE ITEMS/8.4.4\a) Wood floated Finish. /\KS20_007-Concrete Drop Inlet. Refer to drawing NBC-GTW-CL-0033 \m²\8.84 \ 30" u="1"/>
        <s v="SABS1200 GA \CONCRETE (SMALL WORKS)/8.4\SCHEDULED CONCRETE ITEMS/8.4.4\a) Wood floated Finish. /\KS13_004-Concrete Drop Inlet. Refer to drawing NBC-GTW-CL-0010 \m²\7.905 \ 30" u="1"/>
        <s v="SABS1200 GA \CONCRETE (SMALL WORKS)/8.4\SCHEDULED CONCRETE ITEMS/8.4.4\a) Wood floated Finish. /\KS20_001-Concrete Drop Inlet. Refer to drawing NBC-GTW-CL-0027 \m²\7.905 \ 30" u="1"/>
        <s v="SABS1200 GA  / Concrete (Small Works) / 8.4 / 8.4.4 / a) Wood floated Finish / KS18_017-Concrete Drop Inlet / 7.58 / m²" u="1"/>
        <s v="SABS1200 GA \CONCRETE (SMALL WORKS)/8.4\SCHEDULED CONCRETE ITEMS/8.4.4\a) Wood floated Finish. /\KS13_011-Concrete Drop Inlet. Refer to drawing NBC-GTW-CL-0015 \m²\8.1 \ 30" u="1"/>
        <s v="SABS1200 GA  / Concrete (Small Works) / 8.4 / 8.4.4 / a) Wood floated Finish / KS13_013-Concrete Drop Inlet / 8.34 / m²" u="1"/>
        <s v="SABS1200 GA  / Concrete (Small Works) / 8.4 / 8.4.4 / a) Wood floated Finish / KS13_015-Concrete Drop Inlet / 8.34 / m²" u="1"/>
        <s v="SABS1200 GA \CONCRETE (SMALL WORKS)/8.4\SCHEDULED CONCRETE ITEMS/8.4.4\a) Wood floated Finish. /\KS13_012-Concrete Drop Inlet. Refer to drawing NBC-GTW-CL-0016 \m²\7.84 \ 30" u="1"/>
        <s v="SABS1200 GA  / Concrete (Small Works) / 8.4 / 8.4.4 / a) Wood floated Finish / KS20_002-Concrete Drop Inlet / 8.64 / m²" u="1"/>
        <s v="SABS1200 GA  / Concrete (Small Works) / 8.4 / 8.4.4 / a) Wood floated Finish / KS20_007-Concrete Drop Inlet / 8.84 / m²" u="1"/>
        <s v="SABS1200 GA \CONCRETE (SMALL WORKS)/8.4\SCHEDULED CONCRETE ITEMS/8.4.4\a) Wood floated Finish. /\KS18_015-Concrete Drop Inlet. Drawing NBC-GTW-CL-0021 \m²\8.43 \ 30" u="1"/>
      </sharedItems>
    </cacheField>
    <cacheField name="b) Steel-floated Finish2" numFmtId="0">
      <sharedItems count="2">
        <s v=" "/>
        <s v="" u="1"/>
      </sharedItems>
    </cacheField>
    <cacheField name="Concrete 25  Mpa/19mm complete with formwork" numFmtId="0">
      <sharedItems count="32">
        <s v=" "/>
        <s v="SABS1200 GA \CONCRETE (SMALL WORKS)/8.4\SCHEDULED CONCRETE ITEMS/8.4.3\Concrete 25  Mpa with 19mm stone complete with formwork. Rate to include formwork./\LS16_012-Concrete Splash Through Structure. Drawing NBC-GTW-CL-0067 \m³\21.3 \ 3250"/>
        <s v="SABS1200 GA \CONCRETE (SMALL WORKS)/8.4\SCHEDULED CONCRETE ITEMS/8.4.3\Concrete 25  Mpa with 19mm stone complete with formwork. Rate to include formwork./\LS16_016-Concrete Splash Through Structure. Drawing NBC-GTW-CL-0068 \m³\21.3 \ 3250"/>
        <s v="SABS1200 GA \CONCRETE (SMALL WORKS)/8.4\SCHEDULED CONCRETE ITEMS/8.4.3\Concrete 25  Mpa with 19mm stone complete with formwork. Rate to include formwork./\LS16_019-Pipe Culvert. Drawing NBC-GTW-CL-0069 \m³\1 \ 3250"/>
        <s v="" u="1"/>
        <s v="SABS1200 GA  / Concrete (Small Works) / 8.4 / 8.4.3 / Concrete 25  Mpa/19mm complete with formwork / ks11-004-Excavation / 60 / m³" u="1"/>
        <s v="SABS1200 GA  / Concrete (Small Works) / 8.4 / 8.4.3 / Concrete 25  Mpa/19mm complete with formwork / KS12_002-Concrete Box Culvert / 30 / m³" u="1"/>
        <s v="SABS1200 GA  \ Concrete (Small Works) / 8.4\ SCHEDULED CONCRETE ITEMS / 8.4.3 \ Concrete 25  Mpa/19mm complete with formwork. Rate to include formwork./\KS12_002-Concrete Box Culvert \m³\30 \ 3250" u="1"/>
        <s v="SABS1200 GA  / Concrete (Small Works) / 8.4 / 8.4.3 / Concrete 25  Mpa/19mm complete with formwork / KS12_001-Pipe Culvert / 3 / m³" u="1"/>
        <s v="SABS1200 GA  \ Concrete (Small Works) / 8.4\ SCHEDULED CONCRETE ITEMS / 8.4.3 \ Concrete 25  Mpa/19mm complete with formwork. Rate to include formwork./\KS12_002-Concrete Box Culvert. Refer to drawing B \m³\30 \ 3250" u="1"/>
        <s v="SABS1200 GA \Concrete (Small Works)/8.4\SCHEDULED CONCRETE ITEMS/8.4.3\Concrete 25  Mpa/19mm complete with formwork. Rate to include formwork./\KS12_002-Concrete Box Culvert. Refer to drawing NBC-GTW-CL-0002 \m³\30 \ 3250" u="1"/>
        <s v="SABS1200 GA \CONCRETE (SMALL WORKS)/8.4\SCHEDULED CONCRETE ITEMS/8.4.3\Concrete 25  Mpa with 19mm stone complete with formwork. Rate to include formwork./\KS12_002-Concrete Box Culvert. Refer to drawing NBC-GTW-CL-0002 \m³\30 \ 3250" u="1"/>
        <s v="SABS1200 GA \CONCRETE (SMALL WORKS)/8.4\SCHEDULED CONCRETE ITEMS/8.4.3\Concrete 25  Mpa with 19mm stone complete with formwork. Rate to include formwork./\LS16_017-Concrete Box Culvert. Refer to drawing NBC-GTW-CL-0002 \m³\30 \ 3250" u="1"/>
        <s v="SABS1200 GA \CONCRETE (SMALL WORKS)/8.4\SCHEDULED CONCRETE ITEMS/8.4.3\Concrete 25  Mpa with 19mm stone complete with formwork. Rate to include formwork./\LS16_009-Concrete Splash Through Structure  \m³\21.3 \ 3250" u="1"/>
        <s v="SABS1200 GA \CONCRETE (SMALL WORKS)/8.4\SCHEDULED CONCRETE ITEMS/8.4.3\Concrete 25  Mpa with 19mm stone complete with formwork. Rate to include formwork./\LS16_013-Concrete Splash Through Structure  \m³\21.3 \ 3250" u="1"/>
        <s v="SABS1200 GA \Concrete (Small Works)/8.4\SCHEDULED CONCRETE ITEMS/8.4.3\Concrete 25  Mpa/19mm complete with formwork. Rate to include formwork./\KS12_001-Pipe Culvert. Refer to drawing  \m³\1 \ 3250" u="1"/>
        <s v="SABS1200 GA \CONCRETE (SMALL WORKS)/8.4\SCHEDULED CONCRETE ITEMS/8.4.3\Concrete 25  Mpa with 19mm stone complete with formwork. Rate to include formwork./\KS12_001-Pipe Culvert. Refer to drawing  \m³\1 \ 3250" u="1"/>
        <s v="SABS1200 GA  / Concrete (Small Works) / 8.4 / 8.4.3 / Concrete 25  Mpa/19mm complete with formwork / KS18_014-Concrete Filled Geo-Cell Berm / 16 / m³" u="1"/>
        <s v="SABS1200 GA  / Concrete (Small Works) / 8.4 / 8.4.3 / Concrete 25  Mpa/19mm complete with formwork / ks11-002-Excavation / 120 / m³" u="1"/>
        <s v="SABS1200 GA  \ Concrete (Small Works) / 8.4\ SCHEDULED CONCRETE ITEMS / 8.4.3 \ Concrete 25  Mpa/19mm complete with formwork. Rate to include formwork./\KS12_001-Pipe Culvert \m³\1 \ 3250" u="1"/>
        <s v="SABS1200 GA  / Concrete (Small Works) / 8.4 / 8.4.3 / Concrete 25  Mpa/19mm complete with formwork / ks11-001-Off-take structure / 20 / m³" u="1"/>
        <s v="SABS1200 GA \CONCRETE (SMALL WORKS)/8.4\SCHEDULED CONCRETE ITEMS/8.4.3\Concrete 25  Mpa with 19mm stone complete with formwork. Rate to include formwork./\Road 13-Fish Bowl  \m³\111.7581 \ 3250" u="1"/>
        <s v="SABS1200 GA \CONCRETE (SMALL WORKS)/8.4\SCHEDULED CONCRETE ITEMS/8.4.3\Concrete 25  Mpa with 19mm stone complete with formwork. Rate to include formwork./\LS16_016-Pipe Culvert. Refer to drawing NBC-GTW-CL-0066 \m³\1 \ 3250" u="1"/>
        <s v="SABS1200 GA \CONCRETE (SMALL WORKS)/8.4\SCHEDULED CONCRETE ITEMS/8.4.3\Concrete 25  Mpa with 19mm stone complete with formwork. Rate to include formwork./\LS16_016-Pipe Culvert. Refer to drawing NBC-GTW-CL-0069 \m³\1 \ 3250" u="1"/>
        <s v="SABS1200 GA \CONCRETE (SMALL WORKS)/8.4\SCHEDULED CONCRETE ITEMS/8.4.3\Concrete 25  Mpa with 19mm stone complete with formwork. Rate to include formwork./\LS16_019-Pipe Culvert. Refer to drawing NBC-GTW-CL-0069 \m³\1 \ 3250" u="1"/>
        <s v="SABS1200 GA  / Concrete (Small Works) / 8.4 / 8.4.3 / Concrete 25  Mpa/19mm complete with formwork / KS15_001-Fish Bowl / 111.7581 / m³" u="1"/>
        <s v="SABS1200 GA  \ Concrete (Small Works) / 8.4\ SCHEDULED CONCRETE ITEMS / 8.4.3 \ Concrete 25  Mpa/19mm complete with formwork. Rate to include formwork./\KS12_001-Pipe Culvert. Refer to drawing  \m³\1 \ 3250" u="1"/>
        <s v="SABS1200 GA \CONCRETE (SMALL WORKS)/8.4\SCHEDULED CONCRETE ITEMS/8.4.3\Concrete 25  Mpa with 19mm stone complete with formwork. Rate to include formwork./\LS16_009-Concrete Splash Through Structure. Refer to drawing NBC-GTW-CL-0067 \m³\21.3 \ 3250" u="1"/>
        <s v="SABS1200 GA \CONCRETE (SMALL WORKS)/8.4\SCHEDULED CONCRETE ITEMS/8.4.3\Concrete 25  Mpa with 19mm stone complete with formwork. Rate to include formwork./\LS16_012-Concrete Splash Through Structure. Refer to drawing NBC-GTW-CL-0067 \m³\21.3 \ 3250" u="1"/>
        <s v="SABS1200 GA \CONCRETE (SMALL WORKS)/8.4\SCHEDULED CONCRETE ITEMS/8.4.3\Concrete 25  Mpa with 19mm stone complete with formwork. Rate to include formwork./\LS16_013-Concrete Splash Through Structure. Refer to drawing NBC-GTW-CL-0068 \m³\21.3 \ 3250" u="1"/>
        <s v="SABS1200 GA \CONCRETE (SMALL WORKS)/8.4\SCHEDULED CONCRETE ITEMS/8.4.3\Concrete 25  Mpa with 19mm stone complete with formwork. Rate to include formwork./\LS16_016-Concrete Splash Through Structure. Refer to drawing NBC-GTW-CL-0068 \m³\21.3 \ 3250" u="1"/>
        <s v="SABS1200 GA  / Concrete (Small Works) / 8.4 / 8.4.3 / Concrete 25  Mpa/19mm complete with formwork / KS12_001-Pipe Culvert / 1 / m³" u="1"/>
      </sharedItems>
    </cacheField>
    <cacheField name="M200 Blocks" numFmtId="0">
      <sharedItems count="9">
        <s v=" "/>
        <s v="" u="1"/>
        <s v=" /  /  /  /  / KS20_009_a-Concrete Drop Inlet / 175 / unit" u="1"/>
        <s v=" /  /  /  /  / KS12_001-Pipe Culvert / 210 / unit" u="1"/>
        <s v=" \  / \  /  \ M200 Concrete Blocks. Rate to allow for supply of concrete blocks, installation and finishes/\KS20_009_a-Concrete Drop Inlet \unit\175 \ 25" u="1"/>
        <s v=" \  / \  /  \ . /\KS20_009_a-Concrete Drop Inlet \unit\175 \ 25" u="1"/>
        <s v=" \  / \  /  \ M200 Concrete Blocks. Rate to allow for supply of concrete blocks, installation and finishes/\KS20_009_a-Concrete Drop Inlet. Refer to drawing AI \unit\175 \ 25" u="1"/>
        <s v="\/\/\M200 Concrete Blocks. Rate to allow for supply of concrete blocks, installation and finishes/\KS20_009_a-Concrete Drop Inlet. Refer to drawing NBC-GTW-CL-0035 \unit\175 \ 25" u="1"/>
        <s v=" /  /  /  /  / ks11-001-Off-take structure / 250 / unit" u="1"/>
      </sharedItems>
    </cacheField>
    <cacheField name="Suitable Earthen Backfill Material" numFmtId="0">
      <sharedItems count="609" longText="1">
        <s v=" "/>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1-002a-Concrete Drop Inlet on Dam Wall  \m³\25.2498 \ 120"/>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1-003-Backfilling Dam to Create Wetland  \m³\24200 \ 120"/>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1-004a-Concrete Drop Inlet on Dam Wall  \m³\25.2498 \ 120"/>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1-005-Backfilling Dam to Create Wetland  \m³\12300 \ 120"/>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2_006-Concrete Drop Inlet. Drawing NBC-GTW-CL-0005 \m³\14.729 \ 120"/>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2_007-Concrete Drop Inlet. Drawing NBC-GTW-CL-0006 \m³\25.978 \ 120"/>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2_008-Concrete Drop Inlet. Drawing NBC-GTW-CL-0007 \m³\16.6032 \ 120"/>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2_009-Concrete Drop Inlet. Drawing NBC-GTW-CL-0008 \m³\8.9856 \ 120"/>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3_001-Infilling of Drains  \m³\215 \ 120"/>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3_002-Infilling of Drains  \m³\15 \ 120"/>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3_003-Concrete Drop Inlet. Drawing NBC-GTW-CL-0009 \m³\12.735 \ 120"/>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3_009-Infilling of Drains  \m³\12.5385 \ 120"/>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3_014-Infilling of Drains  \m³\64.84266 \ 120"/>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3_016-Infilling of Drains  \m³\111.91475 \ 120"/>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3_017-Backfilling Main Channel  \m³\2559.3521265 \ 120"/>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5-002-Backfill Main Channel  \m³\3200 \ 120"/>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6_001-Earthen berm  \m³\103.38 \ 120"/>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6_004-Earthen berm  \m³\69.08 \ 120"/>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8-021-Backfill Main Channel  \m³\1879.7535 \ 120"/>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9_002-Concrete Drop Inlet. Drawing NBC-GTW-CL-0026 \m³\10.8096 \ 120"/>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9_007-Infilling of Drains  \m³\38 \ 120"/>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20_001-Concrete Drop Inlet. Drawing NBC-GTW-CL-0027 \m³\32.7276 \ 120"/>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20_011-Backfilling Main Channel  \m³\5730 \ 120"/>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21-010-Backfilling Main Channel. Drawing No Drawing \m³\2347,2 \ 120"/>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LS16_014-Ecologs  \m³\1.27234502470387 \ 120"/>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LS16_015-Earthworks (Reinforce Dam Wall)  \m³\198.45 \ 120"/>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LS16_016-Gabion energy breaker  \m³\2.4 \ 120"/>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LS16_017-Gabion energy breaker  \m³\2.8 \ 120"/>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LS16_021-Backfill Main Channel and reshaping  \m³\3454 \ 120"/>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Pan14_004-Infilling of Drains  \m³\90 \ 120"/>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Pan14_005-Infilling of Drains  \m³\81.9 \ 120"/>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Pan14_006-Earthen Berms  \m³\57.375 \ 120"/>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Pan14_007-Infilling of Drains  \m³\47.88 \ 120"/>
        <s v="" u="1"/>
        <s v="SABS1200 DA  / Earthworks (Small Works) / 8.3 / 8.3.4 / Suitable Earthen Backfill Material / KS13_005-Concrete Drop Inlet / 2.7444 / m³" u="1"/>
        <s v="SABS1200 DA  / Earthworks (Small Works) / 8.3 / 8.3.4 / Suitable Earthen Backfill Material / KS13_006-Concrete Drop Inlet / 2.7444 / m³" u="1"/>
        <s v="SABS1200 DA \EARTHWORKS (SMALL WORKS)/8.3\SCHEDULED ITEMS/8.3.4\Importing of Suitable Backfill Material from Spoil Stockpile or other Borrow Sources on Site. Rate to allow for loading from stockpile or borrow source, transport within 5km freehaul distance, stockpiling (if required), placing, spreading  and compacting material in layers, as specified by the engineer./\KS12_006-Concrete Drop Inlet. Refer to drawing NBC-GTW-CL-0005 \m³\14.729 \ 250" u="1"/>
        <s v="SABS1200 DA  \ Earthworks (Small Works) / 8.3\ SCHEDULED ITEMS / 8.3.4 \ Importing of Material from Spoil Stockpile or other Borrow Sources on Site.. Suitable Earthen Backfill Material/\KS15-002-Backfill Main Channel \m³\2476.48321243472 \ 100" u="1"/>
        <s v="SABS1200 DA  \ Earthworks (Small Works) / 8.3\ SCHEDULED ITEMS / 8.3.4 \ Importing of Material from Spoil Stockpile or other Borrow Sources on Site.. Suitable Earthen Backfill Material/\KS19_005-Infilling of Drains \m³\3.67566340470006 \ 100" u="1"/>
        <s v="SABS1200 DA \EARTHWORKS (SMALL WORKS)/8.3\SCHEDULED ITEMS/8.3.4\Importing of Suitable Backfill Material from Spoil Stockpile or other Borrow Sources on Site. Rate to allow for loading from stockpile or borrow source, transport within 5km freehaul distance, stockpiling (if required), placing, spreading  and compacting material in layers, as specified by the engineer./\KS18-014-Concrete Filled Geo-Cell Berm. Refer to drawing NBC-GTW-CL-0001 \m³\35.1075 \ 250" u="1"/>
        <s v="SABS1200 DA \Earthworks (Small Works)/8.3\SCHEDULED ITEMS/8.3.4\Importing of Suitable Backfill Material from Spoil Stockpile or other Borrow Sources on Site.. Rate to allow for loading from stockpile or borrow source, transport within 5km freehaul distance, stockpiling (if required), placing, spreading  and compacting material in layers, as specified by the engineer./\Pan14-001-Reinstate Pan Edge  \m³\92 \ 250" u="1"/>
        <s v="SABS1200 DA  \ Earthworks (Small Works) / 8.3\ SCHEDULED ITEMS / 8.3.4 \ Importing of Material from Spoil Stockpile or other Borrow Sources on Site.. Suitable Earthen Backfill Material/\KS13_004-Concrete Drop Inlet. Refer to drawing J \m³\7.147 \ 100" u="1"/>
        <s v="SABS1200 DA \Earthworks (Small Works)/8.3\SCHEDULED ITEMS/8.3.4\Importing of Suitable Backfill Material from Spoil Stockpile or other Borrow Sources on Site.. Rate to allow for loading from stockpile/ borrow source, transport within 5km freehaul distance, stockpiling (if required), placing, spreading  and compacting material in layers, as specified by the engineer./\KS19_003-Headcut  \m³\2.40331837999619 \ 250" u="1"/>
        <s v="SABS1200 DA \Earthworks (Small Works)/8.3\SCHEDULED ITEMS/8.3.4\Importing of Suitable Backfill Material from Spoil Stockpile or other Borrow Sources on Site.. Rate to allow for loading from stockpile or borrow source, transport within 5km freehaul distance, stockpiling (if required), placing, spreading  and compacting material in layers, as specified by the engineer./\ks18-021-Backfill Main Channel  \m³\1879.7535 \ 25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Pan14_007-Infilling of Drains  \m³\47.88 \ 300" u="1"/>
        <s v="SABS1200 DA  \ Earthworks (Small Works) / 8.3\ SCHEDULED ITEMS / 8.3.4 \ Importing of Material from Spoil Stockpile or other Borrow Sources on Site.. Suitable Earthen Backfill Material/\KS12_007-Concrete Drop Inlet \m³\25.978 \ 100" u="1"/>
        <s v="SABS1200 DA  \ Earthworks (Small Works) / 8.3\ SCHEDULED ITEMS / 8.3.4 \ Importing of Material from Spoil Stockpile or other Borrow Sources on Site.. Suitable Earthen Backfill Material/\KS13_016-Infilling of Drains \m³\111.91475 \ 100" u="1"/>
        <s v="SABS1200 DA  \ Earthworks (Small Works) / 8.3\ SCHEDULED ITEMS / 8.3.4 \ Importing of Material from Spoil Stockpile or other Borrow Sources on Site.. Suitable Earthen Backfill Material/\KS21-002-Earthworks \m³\40.342938 \ 100" u="1"/>
        <s v="SABS1200 DA  / Earthworks (Small Works) / 8.3 / 8.3.4 / Suitable Earthen Backfill Material / ks11-005-Earthworks / 12300 / m³"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3_008-Concrete Drop Inlet. Drawing NBC-GTW-CL-0014 \m³\3.1744 \ 300" u="1"/>
        <s v="SABS1200 DA  \ Earthworks (Small Works) / 8.3\ SCHEDULED ITEMS / 8.3.4 \ Importing of Suitable Backfill Material from Spoil Stockpile or other Borrow Sources on Site.. Rate to allow for loading from stockpile/ borrow source, transport within 5km freehaul distance, stockpiling (if required), placing, spreading  and compacting material in layers, as specified by the engineer./\KS20_003-Concrete Buttress Weir. Refer to drawing AC \m³\22.85 \ 100" u="1"/>
        <s v="SABS1200 DA  \ Earthworks (Small Works) / 8.3\ SCHEDULED ITEMS / 8.3.4 \ Importing of Material from Spoil Stockpile or other Borrow Sources on Site.. Suitable Earthen Backfill Material/\KS13_001-Infilling of Drains \m³\198.78426 \ 100" u="1"/>
        <s v="SABS1200 DA  \ Earthworks (Small Works) / 8.3\ SCHEDULED ITEMS / 8.3.4 \ Importing of Material from Spoil Stockpile or other Borrow Sources on Site.. Suitable Earthen Backfill Material/\KS13_014-Earthen Berm \m³\64.84266 \ 100" u="1"/>
        <s v="SABS1200 DA  / Earthworks (Small Works) / 8.3 / 8.3.4 / Suitable Earthen Backfill Material / Pan14_006-Earthen Berms / 57.375 / m³" u="1"/>
        <s v="SABS1200 DA \Earthworks (Small Works)/8.3\SCHEDULED ITEMS/8.3.4\Importing of Suitable Backfill Material from Spoil Stockpile or other Borrow Sources on Site.. Rate to allow for loading from stockpile or borrow source, transport within 5km freehaul distance, stockpiling (if required), placing, spreading  and compacting material in layers, as specified by the engineer./\KS13_001-Infilling of Drains  \m³\198.78426 \ 250" u="1"/>
        <s v="SABS1200 DA  \ Earthworks (Small Works) / 8.3\ SCHEDULED ITEMS / 8.3.4 \ Importing of Material from Spoil Stockpile or other Borrow Sources on Site.. Suitable Earthen Backfill Material/\KS19_004-Infilling of Drains  \m³\3.53429173528852 \ 100" u="1"/>
        <s v="SABS1200 DA  \ Earthworks (Small Works) / 8.3\ SCHEDULED ITEMS / 8.3.4 \ Importing of Material from Spoil Stockpile or other Borrow Sources on Site.. Suitable Earthen Backfill Material/\Pan14_006-Earthen Berms \m³\57.375 \ 100" u="1"/>
        <s v="SABS1200 DA  / Earthworks (Small Works) / 8.3 / 8.3.4 / Suitable Earthen Backfill Material / Pan8_002-Infilling of Drains / 84 / m³" u="1"/>
        <s v="SABS1200 DA  / Earthworks (Small Works) / 8.3 / 8.3.4 / Suitable Earthen Backfill Material / KS19_005-Infilling of Drains / 3.67566340470006 / m³"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3_009-Infilling of Drains  \m³\12.5385 \ 300" u="1"/>
        <s v="SABS1200 DA  \ Earthworks (Small Works) / 8.3\ SCHEDULED ITEMS / 8.3.4 \ Importing of Material from Spoil Stockpile or other Borrow Sources on Site.. Suitable Earthen Backfill Material/\KS13_002-Infilling of Drains \m³\12.15 \ 100" u="1"/>
        <s v="SABS1200 DA  \ Earthworks (Small Works) / 8.3\ SCHEDULED ITEMS / 8.3.4 \ Importing of Material from Spoil Stockpile or other Borrow Sources on Site.. Suitable Earthen Backfill Material/\KS13_008-Concrete Drop Inlet \m³\3.1744 \ 100" u="1"/>
        <s v="SABS1200 DA  \ Earthworks (Small Works) / 8.3\ SCHEDULED ITEMS / 8.3.4 \ Importing of Material from Spoil Stockpile or other Borrow Sources on Site.. Suitable Earthen Backfill Material/\KS20_007-Concrete Drop Inlet \m³\14.9706 \ 100" u="1"/>
        <s v="SABS1200 DA  \ Earthworks (Small Works) / 8.3\ SCHEDULED ITEMS / 8.3.4 \ Importing of Material from Spoil Stockpile or other Borrow Sources on Site.. Suitable Earthen Backfill Material/\KS20_010-Infilling of Drains  \m³\2.82743338823081 \ 1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LS16_015-Earthworks (Reinforce Dam Wall)  \m³\198.45 \ 300" u="1"/>
        <s v="SABS1200 DA \EARTHWORKS (SMALL WORKS)/8.3\SCHEDULED ITEMS/8.3.4\Importing of Suitable Backfill Material from Spoil Stockpile or other Borrow Sources on Site. Rate to allow for loading from stockpile or borrow source, transport within 5km freehaul distance, stockpiling (if required), placing, spreading  and compacting material in layers, as specified by the engineer./\KS13_003-Concrete Drop Inlet. Refer to drawing NBC-GTW-CL-0009 \m³\12.735 \ 250" u="1"/>
        <s v="SABS1200 DA  \ Earthworks (Small Works) / 8.3\ SCHEDULED ITEMS / 8.3.4 \ Importing of Material from Spoil Stockpile or other Borrow Sources on Site.. Suitable Earthen Backfill Material/\KS13_007-Concrete Drop Inlet. Refer to drawing M \m³\6.884 \ 100" u="1"/>
        <s v="SABS1200 DA \Earthworks (Small Works)/8.3\SCHEDULED ITEMS/8.3.4\Importing of Suitable Backfill Material from Spoil Stockpile or other Borrow Sources on Site.. Rate to allow for loading from stockpile/ borrow source, transport within 5km freehaul distance, stockpiling (if required), placing, spreading  and compacting material in layers, as specified by the engineer./\KS19_007-Infilling of Drains  \m³\32.52501 \ 250" u="1"/>
        <s v="SABS1200 DA \EARTHWORKS (SMALL WORKS)/8.3\SCHEDULED ITEMS/8.3.4\Importing of Suitable Backfill Material from Spoil Stockpile or other Borrow Sources on Site. Rate to allow for loading from stockpile or borrow source, transport within 5km freehaul distance, stockpiling (if required), placing, spreading  and compacting material in layers, as specified by the engineer./\Pan14_011-Infilling of Drains  \m³\582 \ 25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3_003-Concrete Drop Inlet. Drawing NBC-GTW-CL-0009 \m³\12.735 \ 300" u="1"/>
        <s v="SABS1200 DA \Earthworks (Small Works)/8.3\SCHEDULED ITEMS/8.3.4\Importing of Suitable Backfill Material from Spoil Stockpile or other Borrow Sources on Site.. Rate to allow for loading from stockpile/ borrow source, transport within 5km freehaul distance, stockpiling (if required), placing, spreading  and compacting material in layers, as specified by the engineer./\ks18-021-Backfill Main Channel  \m³\1879.7535 \ 25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20_005-Concrete Drop Inlet. Drawing NBC-GTW-CL-0031 \m³\18.755 \ 300" u="1"/>
        <s v="SABS1200 DA  \ Earthworks (Small Works) / 8.3\ SCHEDULED ITEMS / 8.3.4 \ Importing of Material from Spoil Stockpile or other Borrow Sources on Site.. Suitable Earthen Backfill Material/\KS18_002-Concrete Drop Inlet \m³\12 \ 100" u="1"/>
        <s v="SABS1200 DA  / Earthworks (Small Works) / 8.3 / 8.3.4 / Suitable Earthen Backfill Material / KS20_010-Infilling of Drains / 2.82743338823081 / m³" u="1"/>
        <s v="SABS1200 DA \EARTHWORKS (SMALL WORKS)/8.3\SCHEDULED ITEMS/8.3.4\Importing of Suitable Backfill Material from Spoil Stockpile or other Borrow Sources on Site. Rate to allow for loading from stockpile or borrow source, transport within 5km freehaul distance, stockpiling (if required), placing, spreading  and compacting material in layers, as specified by the engineer./\KS16_002-Excavate Dam Wall  \m³\16.7658333333333 \ 25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3_007-Concrete Drop Inlet. Refer to drawing NBC-GTW-CL-0013 \m³\6.884 \ 300" u="1"/>
        <s v="SABS1200 DA  / Earthworks (Small Works) / 8.3 / 8.3.4 / Suitable Earthen Backfill Material / KS21-004-Earthworks / 18 / m³"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LS16_014-Ecologs  \m³\1.27234502470387 \ 300" u="1"/>
        <s v="SABS1200 DA \EARTHWORKS (SMALL WORKS)/8.3\SCHEDULED ITEMS/8.3.4\Importing of Suitable Backfill Material from Spoil Stockpile or other Borrow Sources on Site. Rate to allow for loading from stockpile or borrow source, transport within 5km freehaul distance, stockpiling (if required), placing, spreading  and compacting material in layers, as specified by the engineer./\KS21-004-Earthworks  \m³\13.875 \ 250" u="1"/>
        <s v="SABS1200 DA  \ Earthworks (Small Works) / 8.3\ SCHEDULED ITEMS / 8.3.4 \ Importing of Suitable Backfill Material from Spoil Stockpile or other Borrow Sources on Site.. Rate to allow for loading from stockpile/ borrow source, transport within 5km freehaul distance, stockpiling (if required), placing, spreading  and compacting material in layers, as specified by the engineer./\KS19_001-Infilling of Drains  \m³\1.69646003293849 \ 100" u="1"/>
        <s v="SABS1200 DA  \ Earthworks (Small Works) / 8.3\ SCHEDULED ITEMS / 8.3.4 \ Importing of Material from Spoil Stockpile or other Borrow Sources on Site.. Suitable Earthen Backfill Material/\KS19_007-Infilling of Drains  \m³\32.52501 \ 100" u="1"/>
        <s v="SABS1200 DA \Earthworks (Small Works)/8.3\SCHEDULED ITEMS/8.3.4\Importing of Suitable Backfill Material from Spoil Stockpile or other Borrow Sources on Site.. Rate to allow for loading from stockpile/ borrow source, transport within 5km freehaul distance, stockpiling (if required), placing, spreading  and compacting material in layers, as specified by the engineer./\KS19_006-Removal of Dam Wall  \m³\1129.1 \ 250" u="1"/>
        <s v="SABS1200 DA \EARTHWORKS (SMALL WORKS)/8.3\SCHEDULED ITEMS/8.3.4\Importing of Suitable Backfill Material from Spoil Stockpile or other Borrow Sources on Site. Rate to allow for loading from stockpile or borrow source, transport within 5km freehaul distance, stockpiling (if required), placing, spreading  and compacting material in layers, as specified by the engineer./\KS20_005-Concrete Drop Inlet. Refer to drawing NBC-GTW-CL-0031 \m³\18.755 \ 25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1-002a-Concrete Drop Inlet on Dam Wall  \m³\25.2498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1-004a-Concrete Drop Inlet on Dam Wall  \m³\25.2498 \ 300" u="1"/>
        <s v="SABS1200 DA  \ Earthworks (Small Works) / 8.3\ SCHEDULED ITEMS / 8.3.4 \ Importing of Suitable Backfill Material from Spoil Stockpile or other Borrow Sources on Site.. Rate to allow for loading from stockpile/ borrow source, transport within 5km freehaul distance, stockpiling (if required), placing, spreading  and compacting material in layers, as specified by the engineer./\LS16_001-Concrete Cut-Off Walls  \m³\27 \ 100" u="1"/>
        <s v="SABS1200 DA \Earthworks (Small Works)/8.3\SCHEDULED ITEMS/8.3.4\Importing of Suitable Backfill Material from Spoil Stockpile or other Borrow Sources on Site.. Rate to allow for loading from stockpile or borrow source, transport within 5km freehaul distance, stockpiling (if required), placing, spreading  and compacting material in layers, as specified by the engineer./\Pan14_007-Infilling of Drains  \m³\47.88 \ 250" u="1"/>
        <s v="SABS1200 DA \Earthworks (Small Works)/8.3\SCHEDULED ITEMS/8.3.4\Importing of Suitable Backfill Material from Spoil Stockpile or other Borrow Sources on Site.. Rate to allow for loading from stockpile or borrow source, transport within 5km freehaul distance, stockpiling (if required), placing, spreading  and compacting material in layers, as specified by the engineer./\KS20_009_c-Earthen Berm. Refer to drawing NBC-GTW-CL-0037 \m³\23 \ 250" u="1"/>
        <s v="SABS1200 DA \Earthworks (Small Works)/8.3\SCHEDULED ITEMS/8.3.4\Importing of Suitable Backfill Material from Spoil Stockpile or other Borrow Sources on Site.. Rate to allow for loading from stockpile/ borrow source, transport within 5km freehaul distance, stockpiling (if required), placing, spreading  and compacting material in layers, as specified by the engineer./\Pan14_011-Infilling of Drains  \m³\582 \ 250" u="1"/>
        <s v="SABS1200 DA  \ Earthworks (Small Works) / 8.3\ SCHEDULED ITEMS / 8.3.4 \ Importing of Material from Spoil Stockpile or other Borrow Sources on Site.. Suitable Earthen Backfill Material/\Pan14-001-Reinstate Pan Edge \m³\92 \ 1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9_004-Infilling of Drains  \m³\3.53429173528852 \ 300" u="1"/>
        <s v="SABS1200 DA  \ Earthworks (Small Works) / 8.3\ SCHEDULED ITEMS / 8.3.4 \ Importing of Suitable Backfill Material from Spoil Stockpile or other Borrow Sources on Site.. Rate to allow for loading from stockpile/ borrow source, transport within 5km freehaul distance, stockpiling (if required), placing, spreading  and compacting material in layers, as specified by the engineer./\KS21-002-Earthworks  \m³\40.342938 \ 100" u="1"/>
        <s v="SABS1200 DA  \ Earthworks (Small Works) / 8.3\ SCHEDULED ITEMS / 8.3.4 \ Importing of Material from Spoil Stockpile or other Borrow Sources on Site.. Suitable Earthen Backfill Material/\KS12_007-Concrete Drop Inlet. Refer to drawing F \m³\25.978 \ 1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3_007-Concrete Drop Inlet. Drawing NBC-GTW-CL-0013 \m³\6.884 \ 300" u="1"/>
        <s v="SABS1200 DA  / Earthworks (Small Works) / 8.3 / 8.3.4 / Suitable Earthen Backfill Material / KS21-008-Earthworks / 83.9 / m³" u="1"/>
        <s v="SABS1200 DA  \ Earthworks (Small Works) / 8.3\ SCHEDULED ITEMS / 8.3.4 \ Importing of Material from Spoil Stockpile or other Borrow Sources on Site.. Suitable Earthen Backfill Material/\KS19_001-Infilling of Drains \m³\1.69646003293849 \ 100" u="1"/>
        <s v="SABS1200 DA  \ Earthworks (Small Works) / 8.3\ SCHEDULED ITEMS / 8.3.4 \ Importing of Suitable Backfill Material from Spoil Stockpile or other Borrow Sources on Site.. Rate to allow for loading from stockpile/ borrow source, transport within 5km freehaul distance, stockpiling (if required), placing, spreading  and compacting material in layers, as specified by the engineer./\KS13_005-Concrete Drop Inlet. Refer to drawing K \m³\2.7444 \ 100" u="1"/>
        <s v="SABS1200 DA  \ Earthworks (Small Works) / 8.3\ SCHEDULED ITEMS / 8.3.4 \ Importing of Suitable Backfill Material from Spoil Stockpile or other Borrow Sources on Site.. Rate to allow for loading from stockpile/ borrow source, transport within 5km freehaul distance, stockpiling (if required), placing, spreading  and compacting material in layers, as specified by the engineer./\KS13_006-Concrete Drop Inlet. Refer to drawing L \m³\2.7444 \ 100" u="1"/>
        <s v="SABS1200 DA  \ Earthworks (Small Works) / 8.3\ SCHEDULED ITEMS / 8.3.4 \ Importing of Material from Spoil Stockpile or other Borrow Sources on Site.. Suitable Earthen Backfill Material/\KS13_013-Concrete Drop Inlet. Refer to drawing Q \m³\12.0852 \ 1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8-014-Concrete Filled Geo-Cell Berm. Drawing NBC-GTW-CL-0001 \m³\35.1075 \ 300" u="1"/>
        <s v="SABS1200 DA \EARTHWORKS (SMALL WORKS)/8.3\SCHEDULED ITEMS/8.3.4\Importing of Suitable Backfill Material from Spoil Stockpile or other Borrow Sources on Site. Rate to allow for loading from stockpile or borrow source, transport within 5km freehaul distance, stockpiling (if required), placing, spreading  and compacting material in layers, as specified by the engineer./\KS13_016-Infilling of Drains  \m³\111.91475 \ 250" u="1"/>
        <s v="SABS1200 DA \Earthworks (Small Works)/8.3\SCHEDULED ITEMS/8.3.4\Importing of Suitable Backfill Material from Spoil Stockpile or other Borrow Sources on Site.. Rate to allow for loading from stockpile or borrow source, transport within 5km freehaul distance, stockpiling (if required), placing, spreading  and compacting material in layers, as specified by the engineer./\Pan14_011-Infilling of Drains  \m³\582 \ 250" u="1"/>
        <s v="SABS1200 DA  / Earthworks (Small Works) / 8.3 / 8.3.4 / Suitable Earthen Backfill Material / Pan14_011-Infilling of Drains / 582 / m³" u="1"/>
        <s v="SABS1200 DA  \ Earthworks (Small Works) / 8.3\ SCHEDULED ITEMS / 8.3.4 \ Importing of Material from Spoil Stockpile or other Borrow Sources on Site.. Suitable Earthen Backfill Material/\KS21-008-Infilling of Drain  \m³\83.9 \ 100" u="1"/>
        <s v="SABS1200 DA \Earthworks (Small Works)/8.3\SCHEDULED ITEMS/8.3.4\Importing of Suitable Backfill Material from Spoil Stockpile or other Borrow Sources on Site.. Rate to allow for loading from stockpile/ borrow source, transport within 5km freehaul distance, stockpiling (if required), placing, spreading  and compacting material in layers, as specified by the engineer./\KS15-002-Backfill Main Channel  \m³\2476.48321243472 \ 250" u="1"/>
        <s v="SABS1200 DA \Earthworks (Small Works)/8.3\SCHEDULED ITEMS/8.3.4\Importing of Suitable Backfill Material from Spoil Stockpile or other Borrow Sources on Site.. Rate to allow for loading from stockpile or borrow source, transport within 5km freehaul distance, stockpiling (if required), placing, spreading  and compacting material in layers, as specified by the engineer./\Pan8_002-Infilling of Drains  \m³\84 \ 250" u="1"/>
        <s v="SABS1200 DA  \ Earthworks (Small Works) / 8.3\ SCHEDULED ITEMS / 8.3.4 \ Importing of Material from Spoil Stockpile or other Borrow Sources on Site.. Suitable Earthen Backfill Material/\LS16_014-Ecologs  \m³\1.27234502470387 \ 100" u="1"/>
        <s v="SABS1200 DA \Earthworks (Small Works)/8.3\SCHEDULED ITEMS/8.3.4\Importing of Suitable Backfill Material from Spoil Stockpile or other Borrow Sources on Site.. Rate to allow for loading from stockpile or borrow source, transport within 5km freehaul distance, stockpiling (if required), placing, spreading  and compacting material in layers, as specified by the engineer./\KS16_003-Infilling of Drains  \m³\11.1683618835117 \ 250" u="1"/>
        <s v="SABS1200 DA  \ Earthworks (Small Works) / 8.3\ SCHEDULED ITEMS / 8.3.4 \ Importing of Material from Spoil Stockpile or other Borrow Sources on Site.. Suitable Earthen Backfill Material/\KS13_005-Concrete Drop Inlet \m³\2.7444 \ 100" u="1"/>
        <s v="SABS1200 DA  \ Earthworks (Small Works) / 8.3\ SCHEDULED ITEMS / 8.3.4 \ Importing of Material from Spoil Stockpile or other Borrow Sources on Site.. Suitable Earthen Backfill Material/\KS13_006-Concrete Drop Inlet \m³\2.7444 \ 100" u="1"/>
        <s v="SABS1200 DA  \ Earthworks (Small Works) / 8.3\ SCHEDULED ITEMS / 8.3.4 \ Importing of Material from Spoil Stockpile or other Borrow Sources on Site.. Suitable Earthen Backfill Material/\KS20_009_c-Earthen Berm \m³\23 \ 100" u="1"/>
        <s v="SABS1200 DA  \ Earthworks (Small Works) / 8.3\ SCHEDULED ITEMS / 8.3.4 \ Importing of Material from Spoil Stockpile or other Borrow Sources on Site.. Suitable Earthen Backfill Material/\KS13_004-Concrete Drop Inlet \m³\7.147 \ 100" u="1"/>
        <s v="SABS1200 DA \Earthworks (Small Works)/8.3\SCHEDULED ITEMS/8.3.4\Importing of Suitable Backfill Material from Spoil Stockpile or other Borrow Sources on Site.. Rate to allow for loading from stockpile or borrow source, transport within 5km freehaul distance, stockpiling (if required), placing, spreading  and compacting material in layers, as specified by the engineer./\KS20_003-Concrete Buttress Weir. Refer to drawing NBC-GTW-CL-0029 \m³\22.85 \ 250" u="1"/>
        <s v="SABS1200 DA \Earthworks (Small Works)/8.3\SCHEDULED ITEMS/8.3.4\Importing of Suitable Backfill Material from Spoil Stockpile or other Borrow Sources on Site.. Rate to allow for loading from stockpile or borrow source, transport within 5km freehaul distance, stockpiling (if required), placing, spreading  and compacting material in layers, as specified by the engineer./\KS21-004-Earthworks  \m³\13.875 \ 25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3_003-Concrete Drop Inlet. Refer to drawing NBC-GTW-CL-0009 \m³\12.735 \ 300" u="1"/>
        <s v="SABS1200 DA  \ Earthworks (Small Works) / 8.3\ SCHEDULED ITEMS / 8.3.4 \ Importing of Material from Spoil Stockpile or other Borrow Sources on Site.. Suitable Earthen Backfill Material/\LS16_016-Gabion energy breaker  \m³\2.4 \ 100" u="1"/>
        <s v="SABS1200 DA  \ Earthworks (Small Works) / 8.3\ SCHEDULED ITEMS / 8.3.4 \ Importing of Suitable Backfill Material from Spoil Stockpile or other Borrow Sources on Site.. Rate to allow for loading from stockpile/ borrow source, transport within 5km freehaul distance, stockpiling (if required), placing, spreading  and compacting material in layers, as specified by the engineer./\KS13_002-Infilling of Drains  \m³\12.15 \ 100" u="1"/>
        <s v="SABS1200 DA  \ Earthworks (Small Works) / 8.3\ SCHEDULED ITEMS / 8.3.4 \ Importing of Material from Spoil Stockpile or other Borrow Sources on Site.. Suitable Earthen Backfill Material/\KS19_006-Removal of Dam Wall \m³\1129.1 \ 100" u="1"/>
        <s v="SABS1200 DA  / Earthworks (Small Works) / 8.3 / 8.3.4 / Suitable Earthen Backfill Material / KS20_002-Concrete Drop Inlet / 40.8744 / m³" u="1"/>
        <s v="SABS1200 DA  / Earthworks (Small Works) / 8.3 / 8.3.4 / Suitable Earthen Backfill Material / KS20_001-Concrete Drop Inlet / 32.7276 / m³"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5-002-Backfill Main Channel  \m³\2476.48321243472 \ 300" u="1"/>
        <s v="SABS1200 DA  / Earthworks (Small Works) / 8.3 / 8.3.4 / Suitable Earthen Backfill Material / KS16_001-Infilling of Drains / 109.1138125 / m³" u="1"/>
        <s v="SABS1200 DA  \ Earthworks (Small Works) / 8.3\ SCHEDULED ITEMS / 8.3.4 \ Importing of Material from Spoil Stockpile or other Borrow Sources on Site.. Suitable Earthen Backfill Material/\LS16_017-Gabion energy breaker  \m³\2.8 \ 100" u="1"/>
        <s v="SABS1200 DA  \ Earthworks (Small Works) / 8.3\ SCHEDULED ITEMS / 8.3.4 \ Importing of Suitable Backfill Material from Spoil Stockpile or other Borrow Sources on Site.. Rate to allow for loading from stockpile/ borrow source, transport within 5km freehaul distance, stockpiling (if required), placing, spreading  and compacting material in layers, as specified by the engineer./\Pan14_010-Infilling of Drains  \m³\1312.5 \ 100" u="1"/>
        <s v="SABS1200 DA \EARTHWORKS (SMALL WORKS)/8.3\SCHEDULED ITEMS/8.3.4\Importing of Suitable Backfill Material from Spoil Stockpile or other Borrow Sources on Site. Rate to allow for loading from stockpile or borrow source, transport within 5km freehaul distance, stockpiling (if required), placing, spreading  and compacting material in layers, as specified by the engineer./\KS19_002-Concrete Drop Inlet. Refer to drawing NBC-GTW-CL-0026 \m³\10.8096 \ 250" u="1"/>
        <s v="SABS1200 DA  / Earthworks (Small Works) / 8.3 / 8.3.4 / Suitable Earthen Backfill Material / KS13_004-Concrete Drop Inlet / 7.147 / m³"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2_006-Concrete Drop Inlet. Drawing NBC-GTW-CL-0005 \m³\14.729 \ 300" u="1"/>
        <s v="SABS1200 DA \EARTHWORKS (SMALL WORKS)/8.3\SCHEDULED ITEMS/8.3.4\Importing of Suitable Backfill Material from Spoil Stockpile or other Borrow Sources on Site. Rate to allow for loading from stockpile or borrow source, transport within 5km freehaul distance, stockpiling (if required), placing, spreading  and compacting material in layers, as specified by the engineer./\ks18-021-Backfill Main Channel  \m³\1879.7535 \ 250" u="1"/>
        <s v="SABS1200 DA \Earthworks (Small Works)/8.3\SCHEDULED ITEMS/8.3.4\Importing of Suitable Backfill Material from Spoil Stockpile or other Borrow Sources on Site.. Rate to allow for loading from stockpile or borrow source, transport within 5km freehaul distance, stockpiling (if required), placing, spreading  and compacting material in layers, as specified by the engineer./\KS18_017-Concrete Drop Inlet. Refer to drawing NBC-GTW-CL-0023 \m³\11.0904 \ 250" u="1"/>
        <s v="SABS1200 DA \Earthworks (Small Works)/8.3\SCHEDULED ITEMS/8.3.4\Importing of Suitable Backfill Material from Spoil Stockpile or other Borrow Sources on Site.. Rate to allow for loading from stockpile/ borrow source, transport within 5km freehaul distance, stockpiling (if required), placing, spreading  and compacting material in layers, as specified by the engineer./\KS19_005-Infilling of Drains  \m³\3.67566340470006 \ 250" u="1"/>
        <s v="SABS1200 DA  / Earthworks (Small Works) / 8.3 / 8.3.4 / Suitable Earthen Backfill Material / Pan14_009-Infilling of Drains / 27.44 / m³" u="1"/>
        <s v="SABS1200 DA  \ Earthworks (Small Works) / 8.3\ SCHEDULED ITEMS / 8.3.4 \ Importing of Material from Spoil Stockpile or other Borrow Sources on Site.. Suitable Earthen Backfill Material/\KS13_009-Infilling of Drains  \m³\12.5385 \ 100" u="1"/>
        <s v="SABS1200 DA \Earthworks (Small Works)/8.3\SCHEDULED ITEMS/8.3.4\Importing of Suitable Backfill Material from Spoil Stockpile or other Borrow Sources on Site.. Rate to allow for loading from stockpile or borrow source, transport within 5km freehaul distance, stockpiling (if required), placing, spreading  and compacting material in layers, as specified by the engineer./\Pan14_004-Infilling of Drains  \m³\90 \ 250" u="1"/>
        <s v="SABS1200 DA \EARTHWORKS (SMALL WORKS)/8.3\SCHEDULED ITEMS/8.3.4\Importing of Suitable Backfill Material from Spoil Stockpile or other Borrow Sources on Site. Rate to allow for loading from stockpile or borrow source, transport within 5km freehaul distance, stockpiling (if required), placing, spreading  and compacting material in layers, as specified by the engineer./\LS16_014-Ecologs  \m³\1.27234502470387 \ 250" u="1"/>
        <s v="SABS1200 DA  / Earthworks (Small Works) / 8.3 / 8.3.4 / Suitable Earthen Backfill Material / Pan14_006-Infilling of Drains / 147 / m³"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20_009_a-Concrete Buttress Weir. Drawing NBC-GTW-CL-0035 \m³\22.6896 \ 300" u="1"/>
        <s v="SABS1200 DA \Earthworks (Small Works)/8.3\SCHEDULED ITEMS/8.3.4\Importing of Suitable Backfill Material from Spoil Stockpile or other Borrow Sources on Site.. Rate to allow for loading from stockpile or borrow source, transport within 5km freehaul distance, stockpiling (if required), placing, spreading  and compacting material in layers, as specified by the engineer./\KS20_002-Concrete Drop Inlet. Refer to drawing NBC-GTW-CL-0028 \m³\40.8744 \ 25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3_005-Concrete Drop Inlet. Refer to drawing NBC-GTW-CL-0011 \m³\2.7444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3_006-Concrete Drop Inlet. Refer to drawing NBC-GTW-CL-0012 \m³\2.7444 \ 300" u="1"/>
        <s v="SABS1200 DA  \ Earthworks (Small Works) / 8.3\ SCHEDULED ITEMS / 8.3.4 \ Importing of Suitable Backfill Material from Spoil Stockpile or other Borrow Sources on Site.. Rate to allow for loading from stockpile/ borrow source, transport within 5km freehaul distance, stockpiling (if required), placing, spreading  and compacting material in layers, as specified by the engineer./\KS16_005-Infilling of Drains  \m³\14.4199102799772 \ 100" u="1"/>
        <s v="SABS1200 DA \EARTHWORKS (SMALL WORKS)/8.3\SCHEDULED ITEMS/8.3.4\Importing of Suitable Backfill Material from Spoil Stockpile or other Borrow Sources on Site. Rate to allow for loading from stockpile or borrow source, transport within 5km freehaul distance, stockpiling (if required), placing, spreading  and compacting material in layers, as specified by the engineer./\KS12_008-Concrete Drop Inlet. Refer to drawing NBC-GTW-CL-0007 \m³\16.6032 \ 250" u="1"/>
        <s v="SABS1200 DA \Earthworks (Small Works)/8.3\SCHEDULED ITEMS/8.3.4\Importing of Suitable Backfill Material from Spoil Stockpile or other Borrow Sources on Site.. Rate to allow for loading from stockpile or borrow source, transport within 5km freehaul distance, stockpiling (if required), placing, spreading  and compacting material in layers, as specified by the engineer./\Pan14_006-Earthen Berms  \m³\57.375 \ 250" u="1"/>
        <s v="SABS1200 DA  \ Earthworks (Small Works) / 8.3\ SCHEDULED ITEMS / 8.3.4 \ Importing of Suitable Backfill Material from Spoil Stockpile or other Borrow Sources on Site.. Rate to allow for loading from stockpile/ borrow source, transport within 5km freehaul distance, stockpiling (if required), placing, spreading  and compacting material in layers, as specified by the engineer./\KS19_004-Infilling of Drains  \m³\3.53429173528852 \ 100" u="1"/>
        <s v="SABS1200 DA \Earthworks (Small Works)/8.3\SCHEDULED ITEMS/8.3.4\Importing of Suitable Backfill Material from Spoil Stockpile or other Borrow Sources on Site.. Rate to allow for loading from stockpile or borrow source, transport within 5km freehaul distance, stockpiling (if required), placing, spreading  and compacting material in layers, as specified by the engineer./\KS18_002-Concrete Drop Inlet. Refer to drawing NBC-GTW-CL-0020 \m³\12 \ 250" u="1"/>
        <s v="SABS1200 DA  / Earthworks (Small Works) / 8.3 / 8.3.4 / Suitable Earthen Backfill Material / KS18_015-Concrete Drop Inlet / 23.5168 / m³" u="1"/>
        <s v="SABS1200 DA  \ Earthworks (Small Works) / 8.3\ SCHEDULED ITEMS / 8.3.4 \ Importing of Suitable Backfill Material from Spoil Stockpile or other Borrow Sources on Site.. Rate to allow for loading from stockpile/ borrow source, transport within 5km freehaul distance, stockpiling (if required), placing, spreading  and compacting material in layers, as specified by the engineer./\KS21-004-Earthworks  \m³\13.875 \ 100" u="1"/>
        <s v="SABS1200 DA  \ Earthworks (Small Works) / 8.3\ SCHEDULED ITEMS / 8.3.4 \ Importing of Material from Spoil Stockpile or other Borrow Sources on Site.. Suitable Earthen Backfill Material/\Pan14_011-Infilling of Drains  \m³\582 \ 100" u="1"/>
        <s v="SABS1200 DA \Earthworks (Small Works)/8.3\SCHEDULED ITEMS/8.3.4\Importing of Suitable Backfill Material from Spoil Stockpile or other Borrow Sources on Site.. Rate to allow for loading from stockpile/ borrow source, transport within 5km freehaul distance, stockpiling (if required), placing, spreading  and compacting material in layers, as specified by the engineer./\KS18_002-Concrete Drop Inlet. Refer to drawing NBC-GTW-CL-0020 \m³\12 \ 250" u="1"/>
        <s v="SABS1200 DA  / Earthworks (Small Works) / 8.3 / 8.3.4 / Suitable Earthen Backfill Material / LS16_015-Earthworks / 198.45 / m³" u="1"/>
        <s v="SABS1200 DA  \ Earthworks (Small Works) / 8.3\ SCHEDULED ITEMS / 8.3.4 \ Importing of Suitable Backfill Material from Spoil Stockpile or other Borrow Sources on Site.. Rate to allow for loading from stockpile/ borrow source, transport within 5km freehaul distance, stockpiling (if required), placing, spreading  and compacting material in layers, as specified by the engineer./\KS20_009_a-Concrete Drop Inlet. Refer to drawing AI \m³\22.6896 \ 1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3_008-Concrete Drop Inlet. Refer to drawing NBC-GTW-CL-0014 \m³\3.1744 \ 300" u="1"/>
        <s v="SABS1200 DA \EARTHWORKS (SMALL WORKS)/8.3\SCHEDULED ITEMS/8.3.4\Importing of Suitable Backfill Material from Spoil Stockpile or other Borrow Sources on Site. Rate to allow for loading from stockpile or borrow source, transport within 5km freehaul distance, stockpiling (if required), placing, spreading  and compacting material in layers, as specified by the engineer./\KS20_001-Concrete Drop Inlet. Refer to drawing NBC-GTW-CL-0027 \m³\32.7276 \ 250" u="1"/>
        <s v="SABS1200 DA  \ Earthworks (Small Works) / 8.3\ SCHEDULED ITEMS / 8.3.4 \ Importing of Material from Spoil Stockpile or other Borrow Sources on Site.. Suitable Earthen Backfill Material/\Pan14_011-Infilling of Drains \m³\582 \ 100" u="1"/>
        <s v="SABS1200 DA  \ Earthworks (Small Works) / 8.3\ SCHEDULED ITEMS / 8.3.4 \ Importing of Material from Spoil Stockpile or other Borrow Sources on Site.. Suitable Earthen Backfill Material/\KS21-004-Earthworks  \m³\13.875 \ 100" u="1"/>
        <s v="SABS1200 DA  \ Earthworks (Small Works) / 8.3\ SCHEDULED ITEMS / 8.3.4 \ Importing of Suitable Backfill Material from Spoil Stockpile or other Borrow Sources on Site.. Rate to allow for loading from stockpile/ borrow source, transport within 5km freehaul distance, stockpiling (if required), placing, spreading  and compacting material in layers, as specified by the engineer./\LS16_021-Backfill Main Channel  \m³\2656.6 \ 100" u="1"/>
        <s v="SABS1200 DA  / Earthworks (Small Works) / 8.3 / 8.3.4 / Suitable Earthen Backfill Material / KS15-002-Backfill Main Channel / 2476.48321243472 / m³" u="1"/>
        <s v="SABS1200 DA  \ Earthworks (Small Works) / 8.3\ SCHEDULED ITEMS / 8.3.4 \ Importing of Material from Spoil Stockpile or other Borrow Sources on Site.. Suitable Earthen Backfill Material/\KS13_016-Infilling of Drains  \m³\111.91475 \ 100" u="1"/>
        <s v="SABS1200 DA  / Earthworks (Small Works) / 8.3 / 8.3.4 / Suitable Earthen Backfill Material / KS19_001-Infilling of Drains / 1.69646003293849 / m³"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9_001-Infilling of Drains  \m³\2.82743338823081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20_010-Infilling of Drains  \m³\2.82743338823081 \ 300" u="1"/>
        <s v="SABS1200 DA  \ Earthworks (Small Works) / 8.3\ SCHEDULED ITEMS / 8.3.4 \ Importing of Material from Spoil Stockpile or other Borrow Sources on Site.. Suitable Earthen Backfill Material/\KS18_016-Concrete Drop Inlet. Refer to drawing V \m³\11.5948 \ 100" u="1"/>
        <s v="SABS1200 DA \Earthworks (Small Works)/8.3\SCHEDULED ITEMS/8.3.4\Importing of Suitable Backfill Material from Spoil Stockpile or other Borrow Sources on Site.. Rate to allow for loading from stockpile/ borrow source, transport within 5km freehaul distance, stockpiling (if required), placing, spreading  and compacting material in layers, as specified by the engineer./\KS19_004-Infilling of Drains  \m³\3.53429173528852 \ 250" u="1"/>
        <s v="SABS1200 DA  / Earthworks (Small Works) / 8.3 / 8.3.4 / Suitable Earthen Backfill Material / Pan14_007-Infilling of Drains / 47.88 / m³" u="1"/>
        <s v="SABS1200 DA  \ Earthworks (Small Works) / 8.3\ SCHEDULED ITEMS / 8.3.4 \ Importing of Material from Spoil Stockpile or other Borrow Sources on Site.. Suitable Earthen Backfill Material/\ks18-021-Backfill Main Channel  \m³\1879.7535 \ 100" u="1"/>
        <s v="SABS1200 DA  \ Earthworks (Small Works) / 8.3\ SCHEDULED ITEMS / 8.3.4 \ Importing of Material from Spoil Stockpile or other Borrow Sources on Site.. Suitable Earthen Backfill Material/\KS20_003-Concrete Buttress Weir. Refer to drawing AC \m³\22.85 \ 100" u="1"/>
        <s v="SABS1200 DA  \ Earthworks (Small Works) / 8.3\ SCHEDULED ITEMS / 8.3.4 \ Importing of Material from Spoil Stockpile or other Borrow Sources on Site.. Suitable Earthen Backfill Material/\Pan14_007-Infilling of Drains  \m³\47.88 \ 100" u="1"/>
        <s v="SABS1200 DA  \ Earthworks (Small Works) / 8.3\ SCHEDULED ITEMS / 8.3.4 \ Importing of Material from Spoil Stockpile or other Borrow Sources on Site.. Suitable Earthen Backfill Material/\KS13_015-Concrete Drop Inlet \m³\21.288 \ 100" u="1"/>
        <s v="SABS1200 DA \EARTHWORKS (SMALL WORKS)/8.3\SCHEDULED ITEMS/8.3.4\Importing of Suitable Backfill Material from Spoil Stockpile or other Borrow Sources on Site. Rate to allow for loading from stockpile or borrow source, transport within 5km freehaul distance, stockpiling (if required), placing, spreading  and compacting material in layers, as specified by the engineer./\Pan14_007-Infilling of Drains  \m³\47.88 \ 250" u="1"/>
        <s v="SABS1200 DA \EARTHWORKS (SMALL WORKS)/8.3\SCHEDULED ITEMS/8.3.4\Importing of Suitable Backfill Material from Spoil Stockpile or other Borrow Sources on Site. Rate to allow for loading from stockpile or borrow source, transport within 5km freehaul distance, stockpiling (if required), placing, spreading  and compacting material in layers, as specified by the engineer./\ks11-003-Backfilling Dam to Create Wetland  \m³\24200 \ 250" u="1"/>
        <s v="SABS1200 DA \EARTHWORKS (SMALL WORKS)/8.3\SCHEDULED ITEMS/8.3.4\Importing of Suitable Backfill Material from Spoil Stockpile or other Borrow Sources on Site. Rate to allow for loading from stockpile or borrow source, transport within 5km freehaul distance, stockpiling (if required), placing, spreading  and compacting material in layers, as specified by the engineer./\ks11-005-Backfilling Dam to Create Wetland  \m³\12300 \ 250" u="1"/>
        <s v="SABS1200 DA  \ Earthworks (Small Works) / 8.3\ SCHEDULED ITEMS / 8.3.4 \ Importing of Material from Spoil Stockpile or other Borrow Sources on Site.. Suitable Earthen Backfill Material/\KS12_008-Concrete Drop Inlet \m³\16.6032 \ 100" u="1"/>
        <s v="SABS1200 DA  \ Earthworks (Small Works) / 8.3\ SCHEDULED ITEMS / 8.3.4 \ Importing of Suitable Backfill Material from Spoil Stockpile or other Borrow Sources on Site.. Rate to allow for loading from stockpile/ borrow source, transport within 5km freehaul distance, stockpiling (if required), placing, spreading  and compacting material in layers, as specified by the engineer./\LS16_014-Ecologs  \m³\1.27234502470387 \ 100" u="1"/>
        <s v="SABS1200 DA \Earthworks (Small Works)/8.3\SCHEDULED ITEMS/8.3.4\Importing of Suitable Backfill Material from Spoil Stockpile or other Borrow Sources on Site.. Rate to allow for loading from stockpile or borrow source, transport within 5km freehaul distance, stockpiling (if required), placing, spreading  and compacting material in layers, as specified by the engineer./\KS16_004-Infilling of Drains  \m³\96 \ 250" u="1"/>
        <s v="SABS1200 DA  \ Earthworks (Small Works) / 8.3\ SCHEDULED ITEMS / 8.3.4 \ Importing of Suitable Backfill Material from Spoil Stockpile or other Borrow Sources on Site.. Rate to allow for loading from stockpile/ borrow source, transport within 5km freehaul distance, stockpiling (if required), placing, spreading  and compacting material in layers, as specified by the engineer./\KS20_007-Concrete Drop Inlet. Refer to drawing AG \m³\14.9706 \ 100" u="1"/>
        <s v="SABS1200 DA \EARTHWORKS (SMALL WORKS)/8.3\SCHEDULED ITEMS/8.3.4\Importing of Suitable Backfill Material from Spoil Stockpile or other Borrow Sources on Site. Rate to allow for loading from stockpile or borrow source, transport within 5km freehaul distance, stockpiling (if required), placing, spreading  and compacting material in layers, as specified by the engineer./\KS20_009_a-Concrete Drop Inlet. Refer to drawing NBC-GTW-CL-0035 \m³\22.6896 \ 250" u="1"/>
        <s v="SABS1200 DA \Earthworks (Small Works)/8.3\SCHEDULED ITEMS/8.3.4\Importing of Suitable Backfill Material from Spoil Stockpile or other Borrow Sources on Site.. Rate to allow for loading from stockpile/ borrow source, transport within 5km freehaul distance, stockpiling (if required), placing, spreading  and compacting material in layers, as specified by the engineer./\KS16_005-Infilling of Drains  \m³\14.4199102799772 \ 250" u="1"/>
        <s v="SABS1200 DA  \ Earthworks (Small Works) / 8.3\ SCHEDULED ITEMS / 8.3.4 \ Importing of Material from Spoil Stockpile or other Borrow Sources on Site.. Suitable Earthen Backfill Material/\LS16_021-Backfill Main Channel  \m³\2656.6 \ 100" u="1"/>
        <s v="SABS1200 DA  \ Earthworks (Small Works) / 8.3\ SCHEDULED ITEMS / 8.3.4 \ Importing of Material from Spoil Stockpile or other Borrow Sources on Site.. Suitable Earthen Backfill Material/\KS19_002-Concrete Drop Inlet \m³\10.8096 \ 1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2_006-Concrete Drop Inlet. Refer to drawing NBC-GTW-CL-0005 \m³\14.729 \ 300" u="1"/>
        <s v="SABS1200 DA  / Earthworks (Small Works) / 8.3 / 8.3.4 / Suitable Earthen Backfill Material / Pan14-003-Remove berm and backfill drain / 950 / m³"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8_017-Concrete Drop Inlet. Refer to drawing NBC-GTW-CL-0023 \m³\11.0904 \ 300" u="1"/>
        <s v="SABS1200 DA  \ Earthworks (Small Works) / 8.3\ SCHEDULED ITEMS / 8.3.4 \ Importing of Material from Spoil Stockpile or other Borrow Sources on Site.. Suitable Earthen Backfill Material/\KS21-008-Earthworks \m³\83.9 \ 100" u="1"/>
        <s v="SABS1200 DA \EARTHWORKS (SMALL WORKS)/8.3\SCHEDULED ITEMS/8.3.4\Importing of Suitable Backfill Material from Spoil Stockpile or other Borrow Sources on Site. Rate to allow for loading from stockpile or borrow source, transport within 5km freehaul distance, stockpiling (if required), placing, spreading  and compacting material in layers, as specified by the engineer./\KS18_018-Concrete Drop Inlet. Refer to drawing NBC-GTW-CL-0024 \m³\29.2436 \ 25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3_005-Concrete Drop Inlet. Drawing NBC-GTW-CL-0011 \m³\2.7444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3_006-Concrete Drop Inlet. Drawing NBC-GTW-CL-0012 \m³\2.7444 \ 300" u="1"/>
        <s v="SABS1200 DA  \ Earthworks (Small Works) / 8.3\ SCHEDULED ITEMS / 8.3.4 \ Importing of Material from Spoil Stockpile or other Borrow Sources on Site.. Suitable Earthen Backfill Material/\KS13_003-Concrete Drop Inlet \m³\12.735 \ 100" u="1"/>
        <s v="SABS1200 DA \Earthworks (Small Works)/8.3\SCHEDULED ITEMS/8.3.4\Importing of Suitable Backfill Material from Spoil Stockpile or other Borrow Sources on Site.. Rate to allow for loading from stockpile or borrow source, transport within 5km freehaul distance, stockpiling (if required), placing, spreading  and compacting material in layers, as specified by the engineer./\KS20_009_a-Concrete Drop Inlet. Refer to drawing NBC-GTW-CL-0035 \m³\22.6896 \ 250" u="1"/>
        <s v="SABS1200 DA  \ Earthworks (Small Works) / 8.3\ SCHEDULED ITEMS / 8.3.4 \ Importing of Material from Spoil Stockpile or other Borrow Sources on Site.. Suitable Earthen Backfill Material/\KS13_015-Concrete Drop Inlet. Refer to drawing R \m³\21.288 \ 100" u="1"/>
        <s v="SABS1200 DA  \ Earthworks (Small Works) / 8.3\ SCHEDULED ITEMS / 8.3.4 \ Importing of Material from Spoil Stockpile or other Borrow Sources on Site.. Suitable Earthen Backfill Material/\KS12_006-Concrete Drop Inlet \m³\14.729 \ 100" u="1"/>
        <s v="SABS1200 DA  \ Earthworks (Small Works) / 8.3\ SCHEDULED ITEMS / 8.3.4 \ Importing of Suitable Backfill Material from Spoil Stockpile or other Borrow Sources on Site.. Rate to allow for loading from stockpile/ borrow source, transport within 5km freehaul distance, stockpiling (if required), placing, spreading  and compacting material in layers, as specified by the engineer./\KS20_005-Concrete Drop Inlet. Refer to drawing AE \m³\18.755 \ 100" u="1"/>
        <s v="SABS1200 DA  \ Earthworks (Small Works) / 8.3\ SCHEDULED ITEMS / 8.3.4 \ Importing of Material from Spoil Stockpile or other Borrow Sources on Site.. Suitable Earthen Backfill Material/\LS16_015-Earthworks  \m³\198.45 \ 100" u="1"/>
        <s v="SABS1200 DA  / Earthworks (Small Works) / 8.3 / 8.3.4 / Suitable Earthen Backfill Material / KS16_004-Infilling of Drains / 96 / m³" u="1"/>
        <s v="SABS1200 DA  \ Earthworks (Small Works) / 8.3\ SCHEDULED ITEMS / 8.3.4 \ Importing of Suitable Backfill Material from Spoil Stockpile or other Borrow Sources on Site.. Rate to allow for loading from stockpile/ borrow source, transport within 5km freehaul distance, stockpiling (if required), placing, spreading  and compacting material in layers, as specified by the engineer./\KS13_004-Concrete Drop Inlet. Refer to drawing J \m³\7.147 \ 100" u="1"/>
        <s v="SABS1200 DA  \ Earthworks (Small Works) / 8.3\ SCHEDULED ITEMS / 8.3.4 \ Importing of Material from Spoil Stockpile or other Borrow Sources on Site.. Suitable Earthen Backfill Material/\KS21-002-Earthworks  \m³\40.342938 \ 1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21-004-Earthworks  \m³\13.875 \ 300" u="1"/>
        <s v="SABS1200 DA \EARTHWORKS (SMALL WORKS)/8.3\SCHEDULED ITEMS/8.3.4\Importing of Suitable Backfill Material from Spoil Stockpile or other Borrow Sources on Site. Rate to allow for loading from stockpile or borrow source, transport within 5km freehaul distance, stockpiling (if required), placing, spreading  and compacting material in layers, as specified by the engineer./\Pan14_009-Infilling of Drains  \m³\27.44 \ 250" u="1"/>
        <s v="SABS1200 DA  \ Earthworks (Small Works) / 8.3\ SCHEDULED ITEMS / 8.3.4 \ Importing of Material from Spoil Stockpile or other Borrow Sources on Site.. Suitable Earthen Backfill Material/\KS20_005-Concrete Drop Inlet \m³\18.755 \ 100" u="1"/>
        <s v="SABS1200 DA \EARTHWORKS (SMALL WORKS)/8.3\SCHEDULED ITEMS/8.3.4\Importing of Suitable Backfill Material from Spoil Stockpile or other Borrow Sources on Site. Rate to allow for loading from stockpile or borrow source, transport within 5km freehaul distance, stockpiling (if required), placing, spreading  and compacting material in layers, as specified by the engineer./\KS16_001-Infilling of Drains  \m³\109.1138125 \ 250" u="1"/>
        <s v="SABS1200 DA \Earthworks (Small Works)/8.3\SCHEDULED ITEMS/8.3.4\Importing of Suitable Backfill Material from Spoil Stockpile or other Borrow Sources on Site.. Rate to allow for loading from stockpile/ borrow source, transport within 5km freehaul distance, stockpiling (if required), placing, spreading  and compacting material in layers, as specified by the engineer./\Pan14_004-Infilling of Drains  \m³\90 \ 250" u="1"/>
        <s v="SABS1200 DA \EARTHWORKS (SMALL WORKS)/8.3\SCHEDULED ITEMS/8.3.4\Importing of Suitable Backfill Material from Spoil Stockpile or other Borrow Sources on Site. Rate to allow for loading from stockpile or borrow source, transport within 5km freehaul distance, stockpiling (if required), placing, spreading  and compacting material in layers, as specified by the engineer./\KS20_006-Concrete Drop Inlet. Refer to drawing NBC-GTW-CL-0032 \m³\16.7996 \ 250" u="1"/>
        <s v="SABS1200 DA \Earthworks (Small Works)/8.3\SCHEDULED ITEMS/8.3.4\Importing of Suitable Backfill Material from Spoil Stockpile or other Borrow Sources on Site.. Rate to allow for loading from stockpile or borrow source, transport within 5km freehaul distance, stockpiling (if required), placing, spreading  and compacting material in layers, as specified by the engineer./\KS20_005-Concrete Drop Inlet. Refer to drawing NBC-GTW-CL-0031 \m³\18.755 \ 250" u="1"/>
        <s v="SABS1200 DA \EARTHWORKS (SMALL WORKS)/8.3\SCHEDULED ITEMS/8.3.4\Importing of Suitable Backfill Material from Spoil Stockpile or other Borrow Sources on Site. Rate to allow for loading from stockpile or borrow source, transport within 5km freehaul distance, stockpiling (if required), placing, spreading  and compacting material in layers, as specified by the engineer./\Pan14-001-Reinstate Pan Edge  \m³\92 \ 250" u="1"/>
        <s v="SABS1200 DA \EARTHWORKS (SMALL WORKS)/8.3\SCHEDULED ITEMS/8.3.4\Importing of Suitable Backfill Material from Spoil Stockpile or other Borrow Sources on Site. Rate to allow for loading from stockpile or borrow source, transport within 5km freehaul distance, stockpiling (if required), placing, spreading  and compacting material in layers, as specified by the engineer./\KS15-002-Backfill Main Channel  \m³\2476.48321243472 \ 250" u="1"/>
        <s v="SABS1200 DA  / Earthworks (Small Works) / 8.3 / 8.3.4 / Suitable Earthen Backfill Material / Pan14_009-Infilling of Drains / 28.8 / m³" u="1"/>
        <s v="SABS1200 DA  / Earthworks (Small Works) / 8.3 / 8.3.4 / Suitable Earthen Backfill Material / KS12_007-Concrete Drop Inlet / 25.978 / m³"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LS16_017-Gabion energy breaker  \m³\2.8 \ 300" u="1"/>
        <s v="SABS1200 DA \EARTHWORKS (SMALL WORKS)/8.3\SCHEDULED ITEMS/8.3.4\Importing of Suitable Backfill Material from Spoil Stockpile or other Borrow Sources on Site. Rate to allow for loading from stockpile or borrow source, transport within 5km freehaul distance, stockpiling (if required), placing, spreading  and compacting material in layers, as specified by the engineer./\KS13_013-Concrete Drop Inlet. Refer to drawing NBC-GTW-CL-0017 \m³\12.0852 \ 250" u="1"/>
        <s v="SABS1200 DA  \ Earthworks (Small Works) / 8.3\ SCHEDULED ITEMS / 8.3.4 \ Importing of Material from Spoil Stockpile or other Borrow Sources on Site.. Suitable Earthen Backfill Material/\KS18_016-Concrete Drop Inlet \m³\11.5948 \ 100" u="1"/>
        <s v="SABS1200 DA  / Earthworks (Small Works) / 8.3 / 8.3.4 / Suitable Earthen Backfill Material / LS16_001-Concrete Cut-Off Walls / 27 / m³" u="1"/>
        <s v="SABS1200 DA \EARTHWORKS (SMALL WORKS)/8.3\SCHEDULED ITEMS/8.3.4\Importing of Suitable Backfill Material from Spoil Stockpile or other Borrow Sources on Site. Rate to allow for loading from stockpile or borrow source, transport within 5km freehaul distance, stockpiling (if required), placing, spreading  and compacting material in layers, as specified by the engineer./\KS16_004-Infilling of Drains  \m³\96 \ 250" u="1"/>
        <s v="SABS1200 DA \EARTHWORKS (SMALL WORKS)/8.3\SCHEDULED ITEMS/8.3.4\Importing of Suitable Backfill Material from Spoil Stockpile or other Borrow Sources on Site. Rate to allow for loading from stockpile or borrow source, transport within 5km freehaul distance, stockpiling (if required), placing, spreading  and compacting material in layers, as specified by the engineer./\KS16_005-Infilling of Drains  \m³\14.4199102799772 \ 250" u="1"/>
        <s v="SABS1200 DA \EARTHWORKS (SMALL WORKS)/8.3\SCHEDULED ITEMS/8.3.4\Importing of Suitable Backfill Material from Spoil Stockpile or other Borrow Sources on Site. Rate to allow for loading from stockpile or borrow source, transport within 5km freehaul distance, stockpiling (if required), placing, spreading  and compacting material in layers, as specified by the engineer./\KS19_004-Infilling of Drains  \m³\3.53429173528852 \ 250" u="1"/>
        <s v="SABS1200 DA \EARTHWORKS (SMALL WORKS)/8.3\SCHEDULED ITEMS/8.3.4\Importing of Suitable Backfill Material from Spoil Stockpile or other Borrow Sources on Site. Rate to allow for loading from stockpile or borrow source, transport within 5km freehaul distance, stockpiling (if required), placing, spreading  and compacting material in layers, as specified by the engineer./\Pan14_008-Infilling of Drains  \m³\18.36 \ 250" u="1"/>
        <s v="SABS1200 DA \Earthworks (Small Works)/8.3\SCHEDULED ITEMS/8.3.4\Importing of Suitable Backfill Material from Spoil Stockpile or other Borrow Sources on Site.. Rate to allow for loading from stockpile or borrow source, transport within 5km freehaul distance, stockpiling (if required), placing, spreading  and compacting material in layers, as specified by the engineer./\KS20_007-Concrete Drop Inlet. Refer to drawing NBC-GTW-CL-0033 \m³\14.9706 \ 250" u="1"/>
        <s v="SABS1200 DA \Earthworks (Small Works)/8.3\SCHEDULED ITEMS/8.3.4\Importing of Suitable Backfill Material from Spoil Stockpile or other Borrow Sources on Site.. Rate to allow for loading from stockpile or borrow source, transport within 5km freehaul distance, stockpiling (if required), placing, spreading  and compacting material in layers, as specified by the engineer./\KS13_003-Concrete Drop Inlet. Refer to drawing NBC-GTW-CL-0009 \m³\12.735 \ 250" u="1"/>
        <s v="SABS1200 DA \Earthworks (Small Works)/8.3\SCHEDULED ITEMS/8.3.4\Importing of Suitable Backfill Material from Spoil Stockpile or other Borrow Sources on Site.. Rate to allow for loading from stockpile or borrow source, transport within 5km freehaul distance, stockpiling (if required), placing, spreading  and compacting material in layers, as specified by the engineer./\KS20_006-Concrete Drop Inlet. Refer to drawing NBC-GTW-CL-0032 \m³\16.7996 \ 250" u="1"/>
        <s v="SABS1200 DA \Earthworks (Small Works)/8.3\SCHEDULED ITEMS/8.3.4\Importing of Suitable Backfill Material from Spoil Stockpile or other Borrow Sources on Site.. Rate to allow for loading from stockpile or borrow source, transport within 5km freehaul distance, stockpiling (if required), placing, spreading  and compacting material in layers, as specified by the engineer./\KS12_009-Concrete Drop Inlet. Refer to drawing NBC-GTW-CL-0008 \m³\8.9856 \ 250" u="1"/>
        <s v="SABS1200 DA  \ Earthworks (Small Works) / 8.3\ SCHEDULED ITEMS / 8.3.4 \ Importing of Material from Spoil Stockpile or other Borrow Sources on Site.. Suitable Earthen Backfill Material/\KS12_009-Concrete Drop Inlet. Refer to drawing H \m³\8.9856 \ 100" u="1"/>
        <s v="SABS1200 DA \Earthworks (Small Works)/8.3\SCHEDULED ITEMS/8.3.4\Importing of Suitable Backfill Material from Spoil Stockpile or other Borrow Sources on Site.. Rate to allow for loading from stockpile or borrow source, transport within 5km freehaul distance, stockpiling (if required), placing, spreading  and compacting material in layers, as specified by the engineer./\KS12_007-Concrete Drop Inlet. Refer to drawing NBC-GTW-CL-0006 \m³\25.978 \ 250" u="1"/>
        <s v="SABS1200 DA  / Earthworks (Small Works) / 8.3 / 8.3.4 / Suitable Earthen Backfill Material / KS18_018-Concrete Drop Inlet / 29.2436 / m³" u="1"/>
        <s v="SABS1200 DA  \ Earthworks (Small Works) / 8.3\ SCHEDULED ITEMS / 8.3.4 \ Importing of Suitable Backfill Material from Spoil Stockpile or other Borrow Sources on Site.. Rate to allow for loading from stockpile/ borrow source, transport within 5km freehaul distance, stockpiling (if required), placing, spreading  and compacting material in layers, as specified by the engineer./\KS13_009-Infilling of Drains  \m³\12.5385 \ 1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2_009-Concrete Drop Inlet. Drawing NBC-GTW-CL-0008 \m³\8.9856 \ 300" u="1"/>
        <s v="SABS1200 DA  \ Earthworks (Small Works) / 8.3\ SCHEDULED ITEMS / 8.3.4 \ Importing of Material from Spoil Stockpile or other Borrow Sources on Site.. Suitable Earthen Backfill Material/\Pan14_009-Infilling of Drains \m³\27.44 \ 100" u="1"/>
        <s v="SABS1200 DA  \ Earthworks (Small Works) / 8.3\ SCHEDULED ITEMS / 8.3.4 \ Importing of Material from Spoil Stockpile or other Borrow Sources on Site.. Suitable Earthen Backfill Material/\Pan8_002-Infilling of Drains \m³\84 \ 100" u="1"/>
        <s v="SABS1200 DA \EARTHWORKS (SMALL WORKS)/8.3\SCHEDULED ITEMS/8.3.4\Importing of Suitable Backfill Material from Spoil Stockpile or other Borrow Sources on Site. Rate to allow for loading from stockpile or borrow source, transport within 5km freehaul distance, stockpiling (if required), placing, spreading  and compacting material in layers, as specified by the engineer./\KS16_005-Deactivate Drain  \m³\14.4199102799772 \ 250" u="1"/>
        <s v="SABS1200 DA \Earthworks (Small Works)/8.3\SCHEDULED ITEMS/8.3.4\Importing of Suitable Backfill Material from Spoil Stockpile or other Borrow Sources on Site.. Rate to allow for loading from stockpile or borrow source, transport within 5km freehaul distance, stockpiling (if required), placing, spreading  and compacting material in layers, as specified by the engineer./\LS16_015-Earthworks  \m³\198.45 \ 250" u="1"/>
        <s v="SABS1200 DA \Earthworks (Small Works)/8.3\SCHEDULED ITEMS/8.3.4\Importing of Suitable Backfill Material from Spoil Stockpile or other Borrow Sources on Site.. Rate to allow for loading from stockpile or borrow source, transport within 5km freehaul distance, stockpiling (if required), placing, spreading  and compacting material in layers, as specified by the engineer./\KS20_010-Infilling of Drains  \m³\2.82743338823081 \ 250" u="1"/>
        <s v="SABS1200 DA  \ Earthworks (Small Works) / 8.3\ SCHEDULED ITEMS / 8.3.4 \ Importing of Material from Spoil Stockpile or other Borrow Sources on Site.. Suitable Earthen Backfill Material/\KS20_006-Concrete Drop Inlet \m³\16.7996 \ 100" u="1"/>
        <s v="SABS1200 DA  \ Earthworks (Small Works) / 8.3\ SCHEDULED ITEMS / 8.3.4 \ Importing of Material from Spoil Stockpile or other Borrow Sources on Site.. Suitable Earthen Backfill Material/\KS19_005-Infilling of Drains  \m³\3.67566340470006 \ 100" u="1"/>
        <s v="SABS1200 DA \Earthworks (Small Works)/8.3\SCHEDULED ITEMS/8.3.4\Importing of Suitable Backfill Material from Spoil Stockpile or other Borrow Sources on Site.. Rate to allow for loading from stockpile/ borrow source, transport within 5km freehaul distance, stockpiling (if required), placing, spreading  and compacting material in layers, as specified by the engineer./\KS12_008-Concrete Drop Inlet. Refer to drawing NBC-GTW-CL-0007 \m³\16.6032 \ 250" u="1"/>
        <s v="SABS1200 DA \EARTHWORKS (SMALL WORKS)/8.3\SCHEDULED ITEMS/8.3.4\Importing of Suitable Backfill Material from Spoil Stockpile or other Borrow Sources on Site. Rate to allow for loading from stockpile or borrow source, transport within 5km freehaul distance, stockpiling (if required), placing, spreading  and compacting material in layers, as specified by the engineer./\LS16_001-Concrete Cut-Off Walls  \m³\27 \ 250" u="1"/>
        <s v="SABS1200 DA  \ Earthworks (Small Works) / 8.3\ SCHEDULED ITEMS / 8.3.4 \ Importing of Suitable Backfill Material from Spoil Stockpile or other Borrow Sources on Site.. Rate to allow for loading from stockpile/ borrow source, transport within 5km freehaul distance, stockpiling (if required), placing, spreading  and compacting material in layers, as specified by the engineer./\Pan14_009-Infilling of Drains  \m³\27.44 \ 100" u="1"/>
        <s v="SABS1200 DA \EARTHWORKS (SMALL WORKS)/8.3\SCHEDULED ITEMS/8.3.4\Importing of Suitable Backfill Material from Spoil Stockpile or other Borrow Sources on Site. Rate to allow for loading from stockpile or borrow source, transport within 5km freehaul distance, stockpiling (if required), placing, spreading  and compacting material in layers, as specified by the engineer./\KS20_009_c-Earthen Berm. Refer to drawing NBC-GTW-CL-0037 \m³\23 \ 250" u="1"/>
        <s v="SABS1200 DA  \ Earthworks (Small Works) / 8.3\ SCHEDULED ITEMS / 8.3.4 \ Importing of Material from Spoil Stockpile or other Borrow Sources on Site.. Suitable Earthen Backfill Material/\Pan14_005-Infilling of Drains \m³\81.9 \ 100" u="1"/>
        <s v="SABS1200 DA \Earthworks (Small Works)/8.3\SCHEDULED ITEMS/8.3.4\Importing of Suitable Backfill Material from Spoil Stockpile or other Borrow Sources on Site.. Rate to allow for loading from stockpile or borrow source, transport within 5km freehaul distance, stockpiling (if required), placing, spreading  and compacting material in layers, as specified by the engineer./\KS13_002-Infilling of Drains  \m³\12.15 \ 25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6_004-Infilling of Drains  \m³\103 \ 300" u="1"/>
        <s v="SABS1200 DA  \ Earthworks (Small Works) / 8.3\ SCHEDULED ITEMS / 8.3.4 \ Importing of Material from Spoil Stockpile or other Borrow Sources on Site.. Suitable Earthen Backfill Material/\Pan14_004-Infilling of Drains  \m³\90 \ 100" u="1"/>
        <s v="SABS1200 DA  \ Earthworks (Small Works) / 8.3\ SCHEDULED ITEMS / 8.3.4 \ Importing of Suitable Backfill Material from Spoil Stockpile or other Borrow Sources on Site.. Rate to allow for loading from stockpile/ borrow source, transport within 5km freehaul distance, stockpiling (if required), placing, spreading  and compacting material in layers, as specified by the engineer./\KS15-002-Backfill Main Channel  \m³\2476.48321243472 \ 100" u="1"/>
        <s v="SABS1200 DA  / Earthworks (Small Works) / 8.3 / 8.3.4 / Suitable Earthen Backfill Material / KS20_007-Concrete Drop Inlet / 14.9706 / m³"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6_001-Infilling of Drains  \m³\118 \ 300" u="1"/>
        <s v="SABS1200 DA  / Earthworks (Small Works) / 8.3 / 8.3.4 / Suitable Earthen Backfill Material / Pan14_004-Infilling of Drains / 29.7 / m³" u="1"/>
        <s v="SABS1200 DA \Earthworks (Small Works)/8.3\SCHEDULED ITEMS/8.3.4\Importing of Suitable Backfill Material from Spoil Stockpile or other Borrow Sources on Site.. Rate to allow for loading from stockpile or borrow source, transport within 5km freehaul distance, stockpiling (if required), placing, spreading  and compacting material in layers, as specified by the engineer./\Pan14_010-Infilling of Drains  \m³\1312.5 \ 250" u="1"/>
        <s v="SABS1200 DA \Earthworks (Small Works)/8.3\SCHEDULED ITEMS/8.3.4\Importing of Suitable Backfill Material from Spoil Stockpile or other Borrow Sources on Site.. Rate to allow for loading from stockpile/ borrow source, transport within 5km freehaul distance, stockpiling (if required), placing, spreading  and compacting material in layers, as specified by the engineer./\KS13_007-Concrete Drop Inlet. Refer to drawing NBC-GTW-CL-0013 \m³\6.884 \ 250" u="1"/>
        <s v="SABS1200 DA  / Earthworks (Small Works) / 8.3 / 8.3.4 / Suitable Earthen Backfill Material / KS13_009-Infilling of Drains / 12.5385 / m³" u="1"/>
        <s v="SABS1200 DA  \ Earthworks (Small Works) / 8.3\ SCHEDULED ITEMS / 8.3.4 \ Importing of Material from Spoil Stockpile or other Borrow Sources on Site.. Suitable Earthen Backfill Material/\Pan14_010-Infilling of Drains \m³\1312.5 \ 100" u="1"/>
        <s v="SABS1200 DA  \ Earthworks (Small Works) / 8.3\ SCHEDULED ITEMS / 8.3.4 \ Importing of Material from Spoil Stockpile or other Borrow Sources on Site.. Suitable Earthen Backfill Material/\KS20_002-Concrete Drop Inlet. Refer to drawing AB \m³\40.8744 \ 100" u="1"/>
        <s v="SABS1200 DA  \ Earthworks (Small Works) / 8.3\ SCHEDULED ITEMS / 8.3.4 \ Importing of Material from Spoil Stockpile or other Borrow Sources on Site.. Suitable Earthen Backfill Material/\LS16_016-Gabion energy breaker \m³\2.4 \ 100" u="1"/>
        <s v="SABS1200 DA \Earthworks (Small Works)/8.3\SCHEDULED ITEMS/8.3.4\Importing of Suitable Backfill Material from Spoil Stockpile or other Borrow Sources on Site.. Rate to allow for loading from stockpile/ borrow source, transport within 5km freehaul distance, stockpiling (if required), placing, spreading  and compacting material in layers, as specified by the engineer./\KS18_015-Concrete Drop Inlet. Refer to drawing NBC-GTW-CL-0021 \m³\23.5168 \ 250" u="1"/>
        <s v="SABS1200 DA \Earthworks (Small Works)/8.3\SCHEDULED ITEMS/8.3.4\Importing of Suitable Backfill Material from Spoil Stockpile or other Borrow Sources on Site.. Rate to allow for loading from stockpile or borrow source, transport within 5km freehaul distance, stockpiling (if required), placing, spreading  and compacting material in layers, as specified by the engineer./\KS19_005-Infilling of Drains  \m³\3.67566340470006 \ 250" u="1"/>
        <s v="SABS1200 DA  \ Earthworks (Small Works) / 8.3\ SCHEDULED ITEMS / 8.3.4 \ Importing of Material from Spoil Stockpile or other Borrow Sources on Site.. Suitable Earthen Backfill Material/\Pan14_007-Infilling of Drains \m³\47.88 \ 100" u="1"/>
        <s v="SABS1200 DA \EARTHWORKS (SMALL WORKS)/8.3\SCHEDULED ITEMS/8.3.4\Importing of Suitable Backfill Material from Spoil Stockpile or other Borrow Sources on Site. Rate to allow for loading from stockpile or borrow source, transport within 5km freehaul distance, stockpiling (if required), placing, spreading  and compacting material in layers, as specified by the engineer./\KS18_002-Concrete Drop Inlet. Refer to drawing NBC-GTW-CL-0020 \m³\12 \ 25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2_008-Concrete Drop Inlet. Refer to drawing NBC-GTW-CL-0007 \m³\16.6032 \ 300" u="1"/>
        <s v="SABS1200 DA  \ Earthworks (Small Works) / 8.3\ SCHEDULED ITEMS / 8.3.4 \ Importing of Suitable Backfill Material from Spoil Stockpile or other Borrow Sources on Site.. Rate to allow for loading from stockpile/ borrow source, transport within 5km freehaul distance, stockpiling (if required), placing, spreading  and compacting material in layers, as specified by the engineer./\Pan14_008-Infilling of Drains  \m³\18.36 \ 100" u="1"/>
        <s v="SABS1200 DA \EARTHWORKS (SMALL WORKS)/8.3\SCHEDULED ITEMS/8.3.4\Importing of Suitable Backfill Material from Spoil Stockpile or other Borrow Sources on Site. Rate to allow for loading from stockpile or borrow source, transport within 5km freehaul distance, stockpiling (if required), placing, spreading  and compacting material in layers, as specified by the engineer./\LS16_015-Earthworks  \m³\198.45 \ 250" u="1"/>
        <s v="SABS1200 DA \EARTHWORKS (SMALL WORKS)/8.3\SCHEDULED ITEMS/8.3.4\Importing of Suitable Backfill Material from Spoil Stockpile or other Borrow Sources on Site. Rate to allow for loading from stockpile or borrow source, transport within 5km freehaul distance, stockpiling (if required), placing, spreading  and compacting material in layers, as specified by the engineer./\KS19_007-Infilling of Drains  \m³\32.52501 \ 25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8_016-Concrete Drop Inlet. Refer to drawing NBC-GTW-CL-0022 \m³\11.5948 \ 300" u="1"/>
        <s v="SABS1200 DA \Earthworks (Small Works)/8.3\SCHEDULED ITEMS/8.3.4\Importing of Suitable Backfill Material from Spoil Stockpile or other Borrow Sources on Site.. Rate to allow for loading from stockpile/ borrow source, transport within 5km freehaul distance, stockpiling (if required), placing, spreading  and compacting material in layers, as specified by the engineer./\KS13_009-Infilling of Drains  \m³\12.5385 \ 250" u="1"/>
        <s v="SABS1200 DA  / Earthworks (Small Works) / 8.3 / 8.3.4 / Suitable Earthen Backfill Material / KS13_014-Earthen Berm / 64.84266 / m³" u="1"/>
        <s v="SABS1200 DA  / Earthworks (Small Works) / 8.3 / 8.3.4 / Suitable Earthen Backfill Material / Pan14_011-Infilling of Drains / 1170 / m³"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3_001-Infilling of Drains  \m³\215 \ 300" u="1"/>
        <s v="SABS1200 DA  \ Earthworks (Small Works) / 8.3\ SCHEDULED ITEMS / 8.3.4 \ Importing of Material from Spoil Stockpile or other Borrow Sources on Site.. Suitable Earthen Backfill Material/\ks18-021-Backfill Main Channel \m³\1879.7535 \ 100" u="1"/>
        <s v="SABS1200 DA  \ Earthworks (Small Works) / 8.3\ SCHEDULED ITEMS / 8.3.4 \ Importing of Material from Spoil Stockpile or other Borrow Sources on Site.. Suitable Earthen Backfill Material/\KS20_007-Concrete Drop Inlet. Refer to drawing AG \m³\14.9706 \ 100" u="1"/>
        <s v="SABS1200 DA \EARTHWORKS (SMALL WORKS)/8.3\SCHEDULED ITEMS/8.3.4\Importing of Suitable Backfill Material from Spoil Stockpile or other Borrow Sources on Site. Rate to allow for loading from stockpile or borrow source, transport within 5km freehaul distance, stockpiling (if required), placing, spreading  and compacting material in layers, as specified by the engineer./\KS13_002-Infilling of Drains  \m³\12.15 \ 250" u="1"/>
        <s v="SABS1200 DA \EARTHWORKS (SMALL WORKS)/8.3\SCHEDULED ITEMS/8.3.4\Importing of Suitable Backfill Material from Spoil Stockpile or other Borrow Sources on Site. Rate to allow for loading from stockpile or borrow source, transport within 5km freehaul distance, stockpiling (if required), placing, spreading  and compacting material in layers, as specified by the engineer./\KS13_014-Earthen Berm  \m³\64.84266 \ 250" u="1"/>
        <s v="SABS1200 DA  \ Earthworks (Small Works) / 8.3\ SCHEDULED ITEMS / 8.3.4 \ Importing of Material from Spoil Stockpile or other Borrow Sources on Site.. Suitable Earthen Backfill Material/\LS16_017-Gabion energy breaker \m³\2.8 \ 1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20_005-Concrete Drop Inlet. Refer to drawing NBC-GTW-CL-0031 \m³\18.755 \ 300" u="1"/>
        <s v="SABS1200 DA \Earthworks (Small Works)/8.3\SCHEDULED ITEMS/8.3.4\Importing of Suitable Backfill Material from Spoil Stockpile or other Borrow Sources on Site.. Rate to allow for loading from stockpile/ borrow source, transport within 5km freehaul distance, stockpiling (if required), placing, spreading  and compacting material in layers, as specified by the engineer./\KS19_002-Concrete Drop Inlet. Refer to drawing NBC-GTW-CL-0026 \m³\10.8096 \ 250" u="1"/>
        <s v="SABS1200 DA \EARTHWORKS (SMALL WORKS)/8.3\SCHEDULED ITEMS/8.3.4\Importing of Suitable Backfill Material from Spoil Stockpile or other Borrow Sources on Site. Rate to allow for loading from stockpile or borrow source, transport within 5km freehaul distance, stockpiling (if required), placing, spreading  and compacting material in layers, as specified by the engineer./\KS16_003-Infilling of Drains  \m³\11.1683618835117 \ 250" u="1"/>
        <s v="SABS1200 DA  / Earthworks (Small Works) / 8.3 / 8.3.4 / Suitable Earthen Backfill Material / ks18-021-Backfill Main Channel / 1900 / m³" u="1"/>
        <s v="SABS1200 DA  \ Earthworks (Small Works) / 8.3\ SCHEDULED ITEMS / 8.3.4 \ Importing of Material from Spoil Stockpile or other Borrow Sources on Site.. Suitable Earthen Backfill Material/\KS13_007-Concrete Drop Inlet \m³\6.884 \ 1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9_003-Headcut  \m³\2.40331837999619 \ 300" u="1"/>
        <s v="SABS1200 DA  \ Earthworks (Small Works) / 8.3\ SCHEDULED ITEMS / 8.3.4 \ Importing of Suitable Backfill Material from Spoil Stockpile or other Borrow Sources on Site.. Rate to allow for loading from stockpile/ borrow source, transport within 5km freehaul distance, stockpiling (if required), placing, spreading  and compacting material in layers, as specified by the engineer./\Pan14_007-Infilling of Drains  \m³\47.88 \ 100" u="1"/>
        <s v="SABS1200 DA \Earthworks (Small Works)/8.3\SCHEDULED ITEMS/8.3.4\Importing of Suitable Backfill Material from Spoil Stockpile or other Borrow Sources on Site.. Rate to allow for loading from stockpile/ borrow source, transport within 5km freehaul distance, stockpiling (if required), placing, spreading  and compacting material in layers, as specified by the engineer./\LS16_014-Ecologs  \m³\1.27234502470387 \ 250" u="1"/>
        <s v="SABS1200 DA  / Earthworks (Small Works) / 8.3 / 8.3.4 / Suitable Earthen Backfill Material / KS18_017-Concrete Drop Inlet / 11.0904 / m³" u="1"/>
        <s v="SABS1200 DA \Earthworks (Small Works)/8.3\SCHEDULED ITEMS/8.3.4\Importing of Suitable Backfill Material from Spoil Stockpile or other Borrow Sources on Site.. Rate to allow for loading from stockpile or borrow source, transport within 5km freehaul distance, stockpiling (if required), placing, spreading  and compacting material in layers, as specified by the engineer./\KS19_001-Infilling of Drains  \m³\1.69646003293849 \ 25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Pan14_005-Infilling of Drains  \m³\81.9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8_017-Concrete Drop Inlet. Drawing NBC-GTW-CL-0023 \m³\11.0904 \ 300" u="1"/>
        <s v="SABS1200 DA \EARTHWORKS (SMALL WORKS)/8.3\SCHEDULED ITEMS/8.3.4\Importing of Suitable Backfill Material from Spoil Stockpile or other Borrow Sources on Site. Rate to allow for loading from stockpile or borrow source, transport within 5km freehaul distance, stockpiling (if required), placing, spreading  and compacting material in layers, as specified by the engineer./\Pan14_005-Infilling of Drains  \m³\81.9 \ 250" u="1"/>
        <s v="SABS1200 DA \EARTHWORKS (SMALL WORKS)/8.3\SCHEDULED ITEMS/8.3.4\Importing of Suitable Backfill Material from Spoil Stockpile or other Borrow Sources on Site. Rate to allow for loading from stockpile or borrow source, transport within 5km freehaul distance, stockpiling (if required), placing, spreading  and compacting material in layers, as specified by the engineer./\KS13_015-Concrete Drop Inlet. Refer to drawing NBC-GTW-CL-0018 \m³\21.288 \ 250" u="1"/>
        <s v="SABS1200 DA \Earthworks (Small Works)/8.3\SCHEDULED ITEMS/8.3.4\Importing of Suitable Backfill Material from Spoil Stockpile or other Borrow Sources on Site.. Rate to allow for loading from stockpile/ borrow source, transport within 5km freehaul distance, stockpiling (if required), placing, spreading  and compacting material in layers, as specified by the engineer./\KS20_001-Concrete Drop Inlet. Refer to drawing NBC-GTW-CL-0027 \m³\32.7276 \ 250" u="1"/>
        <s v="SABS1200 DA \Earthworks (Small Works)/8.3\SCHEDULED ITEMS/8.3.4\Importing of Suitable Backfill Material from Spoil Stockpile or other Borrow Sources on Site.. Rate to allow for loading from stockpile/ borrow source, transport within 5km freehaul distance, stockpiling (if required), placing, spreading  and compacting material in layers, as specified by the engineer./\KS13_003-Concrete Drop Inlet. Refer to drawing NBC-GTW-CL-0009 \m³\12.735 \ 250" u="1"/>
        <s v="SABS1200 DA \Earthworks (Small Works)/8.3\SCHEDULED ITEMS/8.3.4\Importing of Suitable Backfill Material from Spoil Stockpile or other Borrow Sources on Site.. Rate to allow for loading from stockpile/ borrow source, transport within 5km freehaul distance, stockpiling (if required), placing, spreading  and compacting material in layers, as specified by the engineer./\KS18_018-Concrete Drop Inlet. Refer to drawing NBC-GTW-CL-0024 \m³\29.2436 \ 250" u="1"/>
        <s v="SABS1200 DA  / Earthworks (Small Works) / 8.3 / 8.3.4 / Suitable Earthen Backfill Material / KS13_013-Concrete Drop Inlet / 12.0852 / m³" u="1"/>
        <s v="SABS1200 DA \Earthworks (Small Works)/8.3\SCHEDULED ITEMS/8.3.4\Importing of Suitable Backfill Material from Spoil Stockpile or other Borrow Sources on Site.. Rate to allow for loading from stockpile/ borrow source, transport within 5km freehaul distance, stockpiling (if required), placing, spreading  and compacting material in layers, as specified by the engineer./\KS20_009_c-Earthen Berm. Refer to drawing NBC-GTW-CL-0037 \m³\23 \ 250" u="1"/>
        <s v="SABS1200 DA \Earthworks (Small Works)/8.3\SCHEDULED ITEMS/8.3.4\Importing of Suitable Backfill Material from Spoil Stockpile or other Borrow Sources on Site.. Rate to allow for loading from stockpile or borrow source, transport within 5km freehaul distance, stockpiling (if required), placing, spreading  and compacting material in layers, as specified by the engineer./\KS18_016-Concrete Drop Inlet. Refer to drawing NBC-GTW-CL-0022 \m³\11.5948 \ 250" u="1"/>
        <s v="SABS1200 DA  \ Earthworks (Small Works) / 8.3\ SCHEDULED ITEMS / 8.3.4 \ Importing of Suitable Backfill Material from Spoil Stockpile or other Borrow Sources on Site.. Rate to allow for loading from stockpile/ borrow source, transport within 5km freehaul distance, stockpiling (if required), placing, spreading  and compacting material in layers, as specified by the engineer./\KS16_001-Infilling of Drains  \m³\109.1138125 \ 100" u="1"/>
        <s v="SABS1200 DA \EARTHWORKS (SMALL WORKS)/8.3\SCHEDULED ITEMS/8.3.4\Importing of Suitable Backfill Material from Spoil Stockpile or other Borrow Sources on Site. Rate to allow for loading from stockpile or borrow source, transport within 5km freehaul distance, stockpiling (if required), placing, spreading  and compacting material in layers, as specified by the engineer./\LS16_021-Backfill Main Channel  \m³\2656.6 \ 250" u="1"/>
        <s v="SABS1200 DA  / Earthworks (Small Works) / 8.3 / 8.3.4 / Suitable Earthen Backfill Material / KS13_007-Concrete Drop Inlet / 6.884 / m³" u="1"/>
        <s v="SABS1200 DA \Earthworks (Small Works)/8.3\SCHEDULED ITEMS/8.3.4\Importing of Suitable Backfill Material from Spoil Stockpile or other Borrow Sources on Site.. Rate to allow for loading from stockpile/ borrow source, transport within 5km freehaul distance, stockpiling (if required), placing, spreading  and compacting material in layers, as specified by the engineer./\Pan14_008-Infilling of Drains  \m³\18.36 \ 250" u="1"/>
        <s v="SABS1200 DA  \ Earthworks (Small Works) / 8.3\ SCHEDULED ITEMS / 8.3.4 \ Importing of Material from Spoil Stockpile or other Borrow Sources on Site.. Suitable Earthen Backfill Material/\KS18_015-Concrete Drop Inlet. Refer to drawing U \m³\23.5168 \ 100" u="1"/>
        <s v="SABS1200 DA \Earthworks (Small Works)/8.3\SCHEDULED ITEMS/8.3.4\Importing of Suitable Backfill Material from Spoil Stockpile or other Borrow Sources on Site.. Rate to allow for loading from stockpile/ borrow source, transport within 5km freehaul distance, stockpiling (if required), placing, spreading  and compacting material in layers, as specified by the engineer./\KS13_005-Concrete Drop Inlet. Refer to drawing NBC-GTW-CL-0011 \m³\2.7444 \ 250" u="1"/>
        <s v="SABS1200 DA \Earthworks (Small Works)/8.3\SCHEDULED ITEMS/8.3.4\Importing of Suitable Backfill Material from Spoil Stockpile or other Borrow Sources on Site.. Rate to allow for loading from stockpile/ borrow source, transport within 5km freehaul distance, stockpiling (if required), placing, spreading  and compacting material in layers, as specified by the engineer./\KS13_006-Concrete Drop Inlet. Refer to drawing NBC-GTW-CL-0012 \m³\2.7444 \ 250" u="1"/>
        <s v="SABS1200 DA  \ Earthworks (Small Works) / 8.3\ SCHEDULED ITEMS / 8.3.4 \ Importing of Material from Spoil Stockpile or other Borrow Sources on Site.. Suitable Earthen Backfill Material/\Pan14_005-Infilling of Drains  \m³\81.9 \ 100" u="1"/>
        <s v="SABS1200 DA \Earthworks (Small Works)/8.3\SCHEDULED ITEMS/8.3.4\Importing of Suitable Backfill Material from Spoil Stockpile or other Borrow Sources on Site.. Rate to allow for loading from stockpile/ borrow source, transport within 5km freehaul distance, stockpiling (if required), placing, spreading  and compacting material in layers, as specified by the engineer./\KS13_008-Concrete Drop Inlet. Refer to drawing NBC-GTW-CL-0014 \m³\3.1744 \ 250" u="1"/>
        <s v="SABS1200 DA  \ Earthworks (Small Works) / 8.3\ SCHEDULED ITEMS / 8.3.4 \ Importing of Suitable Backfill Material from Spoil Stockpile or other Borrow Sources on Site.. Rate to allow for loading from stockpile/ borrow source, transport within 5km freehaul distance, stockpiling (if required), placing, spreading  and compacting material in layers, as specified by the engineer./\KS20_009_c-Earthen Berm. Refer to drawing AK \m³\23 \ 1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20_007-Concrete Drop Inlet. Drawing NBC-GTW-CL-0033 \m³\14.9706 \ 300" u="1"/>
        <s v="SABS1200 DA  / Earthworks (Small Works) / 8.3 / 8.3.4 / Suitable Earthen Backfill Material / Pan14_004-Infilling of Drains / 90 / m³" u="1"/>
        <s v="SABS1200 DA  \ Earthworks (Small Works) / 8.3\ SCHEDULED ITEMS / 8.3.4 \ Importing of Suitable Backfill Material from Spoil Stockpile or other Borrow Sources on Site.. Rate to allow for loading from stockpile/ borrow source, transport within 5km freehaul distance, stockpiling (if required), placing, spreading  and compacting material in layers, as specified by the engineer./\KS13_008-Concrete Drop Inlet. Refer to drawing N \m³\3.1744 \ 100" u="1"/>
        <s v="SABS1200 DA \EARTHWORKS (SMALL WORKS)/8.3\SCHEDULED ITEMS/8.3.4\Importing of Suitable Backfill Material from Spoil Stockpile or other Borrow Sources on Site. Rate to allow for loading from stockpile or borrow source, transport within 5km freehaul distance, stockpiling (if required), placing, spreading  and compacting material in layers, as specified by the engineer./\KS21-002-Earthworks  \m³\40.342938 \ 250" u="1"/>
        <s v="SABS1200 DA \Earthworks (Small Works)/8.3\SCHEDULED ITEMS/8.3.4\Importing of Suitable Backfill Material from Spoil Stockpile or other Borrow Sources on Site.. Rate to allow for loading from stockpile/ borrow source, transport within 5km freehaul distance, stockpiling (if required), placing, spreading  and compacting material in layers, as specified by the engineer./\LS16_016-Gabion energy breaker  \m³\2.4 \ 250" u="1"/>
        <s v="SABS1200 DA \Earthworks (Small Works)/8.3\SCHEDULED ITEMS/8.3.4\Importing of Suitable Backfill Material from Spoil Stockpile or other Borrow Sources on Site.. Rate to allow for loading from stockpile/ borrow source, transport within 5km freehaul distance, stockpiling (if required), placing, spreading  and compacting material in layers, as specified by the engineer./\KS12_006-Concrete Drop Inlet. Refer to drawing NBC-GTW-CL-0005 \m³\14.729 \ 25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2_009-Concrete Drop Inlet. Refer to drawing NBC-GTW-CL-0008 \m³\8.9856 \ 300" u="1"/>
        <s v="SABS1200 DA \EARTHWORKS (SMALL WORKS)/8.3\SCHEDULED ITEMS/8.3.4\Importing of Suitable Backfill Material from Spoil Stockpile or other Borrow Sources on Site. Rate to allow for loading from stockpile or borrow source, transport within 5km freehaul distance, stockpiling (if required), placing, spreading  and compacting material in layers, as specified by the engineer./\KS20_010-Infilling of Drains  \m³\2.82743338823081 \ 250" u="1"/>
        <s v="SABS1200 DA \EARTHWORKS (SMALL WORKS)/8.3\SCHEDULED ITEMS/8.3.4\Importing of Suitable Backfill Material from Spoil Stockpile or other Borrow Sources on Site. Rate to allow for loading from stockpile or borrow source, transport within 5km freehaul distance, stockpiling (if required), placing, spreading  and compacting material in layers, as specified by the engineer./\KS13_005-Concrete Drop Inlet. Refer to drawing NBC-GTW-CL-0011 \m³\2.7444 \ 250" u="1"/>
        <s v="SABS1200 DA \EARTHWORKS (SMALL WORKS)/8.3\SCHEDULED ITEMS/8.3.4\Importing of Suitable Backfill Material from Spoil Stockpile or other Borrow Sources on Site. Rate to allow for loading from stockpile or borrow source, transport within 5km freehaul distance, stockpiling (if required), placing, spreading  and compacting material in layers, as specified by the engineer./\KS13_006-Concrete Drop Inlet. Refer to drawing NBC-GTW-CL-0012 \m³\2.7444 \ 250" u="1"/>
        <s v="SABS1200 DA \EARTHWORKS (SMALL WORKS)/8.3\SCHEDULED ITEMS/8.3.4\Importing of Suitable Backfill Material from Spoil Stockpile or other Borrow Sources on Site. Rate to allow for loading from stockpile or borrow source, transport within 5km freehaul distance, stockpiling (if required), placing, spreading  and compacting material in layers, as specified by the engineer./\KS16_002-Infilling of Drains  \m³\16.7658333333333 \ 250" u="1"/>
        <s v="SABS1200 DA  \ Earthworks (Small Works) / 8.3\ SCHEDULED ITEMS / 8.3.4 \ Importing of Material from Spoil Stockpile or other Borrow Sources on Site.. Suitable Earthen Backfill Material/\KS19_001-Infilling of Drains  \m³\1.69646003293849 \ 100" u="1"/>
        <s v="SABS1200 DA  \ Earthworks (Small Works) / 8.3\ SCHEDULED ITEMS / 8.3.4 \ Importing of Suitable Backfill Material from Spoil Stockpile or other Borrow Sources on Site.. Rate to allow for loading from stockpile/ borrow source, transport within 5km freehaul distance, stockpiling (if required), placing, spreading  and compacting material in layers, as specified by the engineer./\ks18-021-Backfill Main Channel  \m³\1879.7535 \ 100" u="1"/>
        <s v="SABS1200 DA  \ Earthworks (Small Works) / 8.3\ SCHEDULED ITEMS / 8.3.4 \ Importing of Suitable Backfill Material from Spoil Stockpile or other Borrow Sources on Site.. Rate to allow for loading from stockpile/ borrow source, transport within 5km freehaul distance, stockpiling (if required), placing, spreading  and compacting material in layers, as specified by the engineer./\KS13_003-Concrete Drop Inlet. Refer to drawing I \m³\12.735 \ 1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3_016-Infilling of Drains  \m³\111.91475 \ 300" u="1"/>
        <s v="SABS1200 DA  \ Earthworks (Small Works) / 8.3\ SCHEDULED ITEMS / 8.3.4 \ Importing of Suitable Backfill Material from Spoil Stockpile or other Borrow Sources on Site.. Rate to allow for loading from stockpile/ borrow source, transport within 5km freehaul distance, stockpiling (if required), placing, spreading  and compacting material in layers, as specified by the engineer./\KS21-008-Infilling of Drain  \m³\83.9 \ 100" u="1"/>
        <s v="SABS1200 DA  \ Earthworks (Small Works) / 8.3\ SCHEDULED ITEMS / 8.3.4 \ Importing of Suitable Backfill Material from Spoil Stockpile or other Borrow Sources on Site.. Rate to allow for loading from stockpile/ borrow source, transport within 5km freehaul distance, stockpiling (if required), placing, spreading  and compacting material in layers, as specified by the engineer./\KS19_005-Infilling of Drains  \m³\3.67566340470006 \ 100" u="1"/>
        <s v="SABS1200 DA  \ Earthworks (Small Works) / 8.3\ SCHEDULED ITEMS / 8.3.4 \ Importing of Suitable Backfill Material from Spoil Stockpile or other Borrow Sources on Site.. Rate to allow for loading from stockpile/ borrow source, transport within 5km freehaul distance, stockpiling (if required), placing, spreading  and compacting material in layers, as specified by the engineer./\LS16_015-Earthworks  \m³\198.45 \ 1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2_008-Concrete Drop Inlet. Drawing NBC-GTW-CL-0007 \m³\16.6032 \ 300" u="1"/>
        <s v="SABS1200 DA \Earthworks (Small Works)/8.3\SCHEDULED ITEMS/8.3.4\Importing of Suitable Backfill Material from Spoil Stockpile or other Borrow Sources on Site.. Rate to allow for loading from stockpile/ borrow source, transport within 5km freehaul distance, stockpiling (if required), placing, spreading  and compacting material in layers, as specified by the engineer./\KS20_007-Concrete Drop Inlet. Refer to drawing NBC-GTW-CL-0033 \m³\14.9706 \ 250" u="1"/>
        <s v="SABS1200 DA  / Earthworks (Small Works) / 8.3 / 8.3.4 / Suitable Earthen Backfill Material / KS21-002-Earthworks / 40.342938 / m³"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8_015-Concrete Drop Inlet. Refer to drawing NBC-GTW-CL-0021 \m³\23.5168 \ 300" u="1"/>
        <s v="SABS1200 DA \EARTHWORKS (SMALL WORKS)/8.3\SCHEDULED ITEMS/8.3.4\Importing of Suitable Backfill Material from Spoil Stockpile or other Borrow Sources on Site. Rate to allow for loading from stockpile or borrow source, transport within 5km freehaul distance, stockpiling (if required), placing, spreading  and compacting material in layers, as specified by the engineer./\KS13_004-Concrete Drop Inlet. Refer to drawing NBC-GTW-CL-0010 \m³\7.147 \ 250" u="1"/>
        <s v="SABS1200 DA  / Earthworks (Small Works) / 8.3 / 8.3.4 / Suitable Earthen Backfill Material / KS12_009-Concrete Drop Inlet / 8.9856 / m³" u="1"/>
        <s v="SABS1200 DA \Earthworks (Small Works)/8.3\SCHEDULED ITEMS/8.3.4\Importing of Suitable Backfill Material from Spoil Stockpile or other Borrow Sources on Site.. Rate to allow for loading from stockpile/ borrow source, transport within 5km freehaul distance, stockpiling (if required), placing, spreading  and compacting material in layers, as specified by the engineer./\KS20_005-Concrete Drop Inlet. Refer to drawing NBC-GTW-CL-0031 \m³\18.755 \ 250" u="1"/>
        <s v="SABS1200 DA  / Earthworks (Small Works) / 8.3 / 8.3.4 / Suitable Earthen Backfill Material / KS15_001-Fish Bowl / 12.9 / m³" u="1"/>
        <s v="SABS1200 DA \EARTHWORKS (SMALL WORKS)/8.3\SCHEDULED ITEMS/8.3.4\Importing of Suitable Backfill Material from Spoil Stockpile or other Borrow Sources on Site. Rate to allow for loading from stockpile or borrow source, transport within 5km freehaul distance, stockpiling (if required), placing, spreading  and compacting material in layers, as specified by the engineer./\ks11-002a-Concrete Drop Inlet on Dam Wall  \m³\25.2498 \ 250" u="1"/>
        <s v="SABS1200 DA \EARTHWORKS (SMALL WORKS)/8.3\SCHEDULED ITEMS/8.3.4\Importing of Suitable Backfill Material from Spoil Stockpile or other Borrow Sources on Site. Rate to allow for loading from stockpile or borrow source, transport within 5km freehaul distance, stockpiling (if required), placing, spreading  and compacting material in layers, as specified by the engineer./\ks11-004a-Concrete Drop Inlet on Dam Wall  \m³\25.2498 \ 250" u="1"/>
        <s v="SABS1200 DA \Earthworks (Small Works)/8.3\SCHEDULED ITEMS/8.3.4\Importing of Suitable Backfill Material from Spoil Stockpile or other Borrow Sources on Site.. Rate to allow for loading from stockpile or borrow source, transport within 5km freehaul distance, stockpiling (if required), placing, spreading  and compacting material in layers, as specified by the engineer./\KS15-002-Backfill Main Channel  \m³\2476.48321243472 \ 250" u="1"/>
        <s v="SABS1200 DA \Earthworks (Small Works)/8.3\SCHEDULED ITEMS/8.3.4\Importing of Suitable Backfill Material from Spoil Stockpile or other Borrow Sources on Site.. Rate to allow for loading from stockpile or borrow source, transport within 5km freehaul distance, stockpiling (if required), placing, spreading  and compacting material in layers, as specified by the engineer./\Pan14_005-Infilling of Drains  \m³\81.9 \ 250" u="1"/>
        <s v="SABS1200 DA  \ Earthworks (Small Works) / 8.3\ SCHEDULED ITEMS / 8.3.4 \ Importing of Material from Spoil Stockpile or other Borrow Sources on Site.. Suitable Earthen Backfill Material/\KS16_003-Infilling of Drains \m³\11.1683618835117 \ 1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21-002-Earthworks  \m³\40.342938 \ 300" u="1"/>
        <s v="SABS1200 DA \Earthworks (Small Works)/8.3\SCHEDULED ITEMS/8.3.4\Importing of Suitable Backfill Material from Spoil Stockpile or other Borrow Sources on Site.. Rate to allow for loading from stockpile/ borrow source, transport within 5km freehaul distance, stockpiling (if required), placing, spreading  and compacting material in layers, as specified by the engineer./\Pan14_009-Infilling of Drains  \m³\27.44 \ 250" u="1"/>
        <s v="SABS1200 DA \Earthworks (Small Works)/8.3\SCHEDULED ITEMS/8.3.4\Importing of Suitable Backfill Material from Spoil Stockpile or other Borrow Sources on Site.. Rate to allow for loading from stockpile or borrow source, transport within 5km freehaul distance, stockpiling (if required), placing, spreading  and compacting material in layers, as specified by the engineer./\KS18_015-Concrete Drop Inlet. Refer to drawing NBC-GTW-CL-0021 \m³\23.5168 \ 250" u="1"/>
        <s v="SABS1200 DA \EARTHWORKS (SMALL WORKS)/8.3\SCHEDULED ITEMS/8.3.4\Importing of Suitable Backfill Material from Spoil Stockpile or other Borrow Sources on Site. Rate to allow for loading from stockpile or borrow source, transport within 5km freehaul distance, stockpiling (if required), placing, spreading  and compacting material in layers, as specified by the engineer./\LS16_017-Gabion energy breaker  \m³\2.8 \ 250" u="1"/>
        <s v="SABS1200 DA  \ Earthworks (Small Works) / 8.3\ SCHEDULED ITEMS / 8.3.4 \ Importing of Material from Spoil Stockpile or other Borrow Sources on Site.. Suitable Earthen Backfill Material/\KS16_002-Infilling of Drains \m³\16.7658333333333 \ 100" u="1"/>
        <s v="SABS1200 DA \Earthworks (Small Works)/8.3\SCHEDULED ITEMS/8.3.4\Importing of Suitable Backfill Material from Spoil Stockpile or other Borrow Sources on Site.. Rate to allow for loading from stockpile/ borrow source, transport within 5km freehaul distance, stockpiling (if required), placing, spreading  and compacting material in layers, as specified by the engineer./\KS13_016-Infilling of Drains  \m³\111.91475 \ 25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3_013-Concrete Drop Inlet. Refer to drawing NBC-GTW-CL-0017 \m³\12.0852 \ 300" u="1"/>
        <s v="SABS1200 DA \Earthworks (Small Works)/8.3\SCHEDULED ITEMS/8.3.4\Importing of Suitable Backfill Material from Spoil Stockpile or other Borrow Sources on Site.. Rate to allow for loading from stockpile/ borrow source, transport within 5km freehaul distance, stockpiling (if required), placing, spreading  and compacting material in layers, as specified by the engineer./\KS12_009-Concrete Drop Inlet. Refer to drawing NBC-GTW-CL-0008 \m³\8.9856 \ 250" u="1"/>
        <s v="SABS1200 DA  \ Earthworks (Small Works) / 8.3\ SCHEDULED ITEMS / 8.3.4 \ Importing of Material from Spoil Stockpile or other Borrow Sources on Site.. Suitable Earthen Backfill Material/\KS20_009_a-Concrete Drop Inlet \m³\22.6896 \ 100" u="1"/>
        <s v="SABS1200 DA \Earthworks (Small Works)/8.3\SCHEDULED ITEMS/8.3.4\Importing of Suitable Backfill Material from Spoil Stockpile or other Borrow Sources on Site.. Rate to allow for loading from stockpile or borrow source, transport within 5km freehaul distance, stockpiling (if required), placing, spreading  and compacting material in layers, as specified by the engineer./\LS16_016-Gabion energy breaker  \m³\2.4 \ 250" u="1"/>
        <s v="SABS1200 DA  \ Earthworks (Small Works) / 8.3\ SCHEDULED ITEMS / 8.3.4 \ Importing of Material from Spoil Stockpile or other Borrow Sources on Site.. Suitable Earthen Backfill Material/\KS12_009-Concrete Drop Inlet \m³\8.9856 \ 100" u="1"/>
        <s v="SABS1200 DA \EARTHWORKS (SMALL WORKS)/8.3\SCHEDULED ITEMS/8.3.4\Importing of Suitable Backfill Material from Spoil Stockpile or other Borrow Sources on Site. Rate to allow for loading from stockpile or borrow source, transport within 5km freehaul distance, stockpiling (if required), placing, spreading  and compacting material in layers, as specified by the engineer./\KS21-008-Infilling of Drain  \m³\83.9 \ 250" u="1"/>
        <s v="SABS1200 DA \Earthworks (Small Works)/8.3\SCHEDULED ITEMS/8.3.4\Importing of Suitable Backfill Material from Spoil Stockpile or other Borrow Sources on Site.. Rate to allow for loading from stockpile/ borrow source, transport within 5km freehaul distance, stockpiling (if required), placing, spreading  and compacting material in layers, as specified by the engineer./\Pan14_010-Infilling of Drains  \m³\1312.5 \ 250" u="1"/>
        <s v="SABS1200 DA  / Earthworks (Small Works) / 8.3 / 8.3.4 / Suitable Earthen Backfill Material / KS13_008-Concrete Drop Inlet / 3.1744 / m³" u="1"/>
        <s v="SABS1200 DA  \ Earthworks (Small Works) / 8.3\ SCHEDULED ITEMS / 8.3.4 \ Importing of Material from Spoil Stockpile or other Borrow Sources on Site.. Suitable Earthen Backfill Material/\LS16_001-Concrete Cut-Off Walls  \m³\27 \ 100" u="1"/>
        <s v="SABS1200 DA \Earthworks (Small Works)/8.3\SCHEDULED ITEMS/8.3.4\Importing of Suitable Backfill Material from Spoil Stockpile or other Borrow Sources on Site.. Rate to allow for loading from stockpile/ borrow source, transport within 5km freehaul distance, stockpiling (if required), placing, spreading  and compacting material in layers, as specified by the engineer./\KS13_014-Earthen Berm  \m³\64.84266 \ 250" u="1"/>
        <s v="SABS1200 DA  / Earthworks (Small Works) / 8.3 / 8.3.4 / Suitable Earthen Backfill Material / KS21-004-Earthworks / 13.875 / m³" u="1"/>
        <s v="SABS1200 DA  \ Earthworks (Small Works) / 8.3\ SCHEDULED ITEMS / 8.3.4 \ Importing of Material from Spoil Stockpile or other Borrow Sources on Site.. Suitable Earthen Backfill Material/\Pan14_004-Infilling of Drains \m³\90 \ 100" u="1"/>
        <s v="SABS1200 DA  / Earthworks (Small Works) / 8.3 / 8.3.4 / Suitable Earthen Backfill Material / KS16_002-Infilling of Drains / 90 / m³" u="1"/>
        <s v="SABS1200 DA  / Earthworks (Small Works) / 8.3 / 8.3.4 / Suitable Earthen Backfill Material / KS21-008-Earthworks / 78 / m³" u="1"/>
        <s v="SABS1200 DA \Earthworks (Small Works)/8.3\SCHEDULED ITEMS/8.3.4\Importing of Suitable Backfill Material from Spoil Stockpile or other Borrow Sources on Site.. Rate to allow for loading from stockpile or borrow source, transport within 5km freehaul distance, stockpiling (if required), placing, spreading  and compacting material in layers, as specified by the engineer./\LS16_017-Gabion energy breaker  \m³\2.8 \ 250" u="1"/>
        <s v="SABS1200 DA \EARTHWORKS (SMALL WORKS)/8.3\SCHEDULED ITEMS/8.3.4\Importing of Suitable Backfill Material from Spoil Stockpile or other Borrow Sources on Site. Rate to allow for loading from stockpile or borrow source, transport within 5km freehaul distance, stockpiling (if required), placing, spreading  and compacting material in layers, as specified by the engineer./\KS19_001-Infilling of Drains  \m³\1.69646003293849 \ 25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3_004-Concrete Drop Inlet. Refer to drawing NBC-GTW-CL-0010 \m³\7.147 \ 300" u="1"/>
        <s v="SABS1200 DA  / Earthworks (Small Works) / 8.3 / 8.3.4 / Suitable Earthen Backfill Material / KS18_014-Concrete Filled Geo-Cell Berm / 76 / m³" u="1"/>
        <s v="SABS1200 DA  / Earthworks (Small Works) / 8.3 / 8.3.4 / Suitable Earthen Backfill Material / Pan14_007-Infilling of Drains / 64.4 / m³" u="1"/>
        <s v="SABS1200 DA  \ Earthworks (Small Works) / 8.3\ SCHEDULED ITEMS / 8.3.4 \ Importing of Material from Spoil Stockpile or other Borrow Sources on Site.. Suitable Earthen Backfill Material/\KS16_005-Infilling of Drains \m³\14.4199102799772 \ 100" u="1"/>
        <s v="SABS1200 DA \Earthworks (Small Works)/8.3\SCHEDULED ITEMS/8.3.4\Importing of Suitable Backfill Material from Spoil Stockpile or other Borrow Sources on Site.. Rate to allow for loading from stockpile/ borrow source, transport within 5km freehaul distance, stockpiling (if required), placing, spreading  and compacting material in layers, as specified by the engineer./\Pan14_006-Earthen Berms  \m³\57.375 \ 250" u="1"/>
        <s v="SABS1200 DA  \ Earthworks (Small Works) / 8.3\ SCHEDULED ITEMS / 8.3.4 \ Importing of Suitable Backfill Material from Spoil Stockpile or other Borrow Sources on Site.. Rate to allow for loading from stockpile/ borrow source, transport within 5km freehaul distance, stockpiling (if required), placing, spreading  and compacting material in layers, as specified by the engineer./\KS12_006-Concrete Drop Inlet. Refer to drawing E \m³\14.729 \ 100" u="1"/>
        <s v="SABS1200 DA  \ Earthworks (Small Works) / 8.3\ SCHEDULED ITEMS / 8.3.4 \ Importing of Material from Spoil Stockpile or other Borrow Sources on Site.. Suitable Earthen Backfill Material/\KS16_005-Infilling of Drains  \m³\14.4199102799772 \ 1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8-021-Backfill Main Channel  \m³\1879.7535 \ 300" u="1"/>
        <s v="SABS1200 DA  \ Earthworks (Small Works) / 8.3\ SCHEDULED ITEMS / 8.3.4 \ Importing of Suitable Backfill Material from Spoil Stockpile or other Borrow Sources on Site.. Rate to allow for loading from stockpile/ borrow source, transport within 5km freehaul distance, stockpiling (if required), placing, spreading  and compacting material in layers, as specified by the engineer./\Pan14_005-Infilling of Drains  \m³\81.9 \ 100" u="1"/>
        <s v="SABS1200 DA  / Earthworks (Small Works) / 8.3 / 8.3.4 / Suitable Earthen Backfill Material / KS13_015-Concrete Drop Inlet / 21.288 / m³" u="1"/>
        <s v="SABS1200 DA  / Earthworks (Small Works) / 8.3 / 8.3.4 / Suitable Earthen Backfill Material / Pan14_008-Infilling of Drains / 249.48 / m³"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20_002-Concrete Drop Inlet. Drawing NBC-GTW-CL-0028 \m³\27.81832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8_018-Concrete Drop Inlet. Drawing NBC-GTW-CL-0024 \m³\29.2436 \ 300" u="1"/>
        <s v="SABS1200 DA  \ Earthworks (Small Works) / 8.3\ SCHEDULED ITEMS / 8.3.4 \ Importing of Material from Spoil Stockpile or other Borrow Sources on Site.. Suitable Earthen Backfill Material/\KS21-004-Earthworks \m³\13.875 \ 1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3_004-Concrete Drop Inlet. Drawing NBC-GTW-CL-0010 \m³\7.147 \ 300" u="1"/>
        <s v="SABS1200 DA \Earthworks (Small Works)/8.3\SCHEDULED ITEMS/8.3.4\Importing of Suitable Backfill Material from Spoil Stockpile or other Borrow Sources on Site.. Rate to allow for loading from stockpile or borrow source, transport within 5km freehaul distance, stockpiling (if required), placing, spreading  and compacting material in layers, as specified by the engineer./\Pan14_009-Infilling of Drains  \m³\27.44 \ 250" u="1"/>
        <s v="SABS1200 DA  \ Earthworks (Small Works) / 8.3\ SCHEDULED ITEMS / 8.3.4 \ Importing of Material from Spoil Stockpile or other Borrow Sources on Site.. Suitable Earthen Backfill Material/\KS19_003-Headcut  \m³\2.40331837999619 \ 1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3_013-Concrete Drop Inlet. Drawing NBC-GTW-CL-0017 \m³\12.0852 \ 300" u="1"/>
        <s v="SABS1200 DA  \ Earthworks (Small Works) / 8.3\ SCHEDULED ITEMS / 8.3.4 \ Importing of Material from Spoil Stockpile or other Borrow Sources on Site.. Suitable Earthen Backfill Material/\KS13_002-Infilling of Drains  \m³\12.15 \ 100" u="1"/>
        <s v="SABS1200 DA  \ Earthworks (Small Works) / 8.3\ SCHEDULED ITEMS / 8.3.4 \ Importing of Material from Spoil Stockpile or other Borrow Sources on Site.. Suitable Earthen Backfill Material/\KS19_002-Concrete Drop Inlet. Refer to drawing Z \m³\10.8096 \ 100" u="1"/>
        <s v="SABS1200 DA  \ Earthworks (Small Works) / 8.3\ SCHEDULED ITEMS / 8.3.4 \ Importing of Suitable Backfill Material from Spoil Stockpile or other Borrow Sources on Site.. Rate to allow for loading from stockpile/ borrow source, transport within 5km freehaul distance, stockpiling (if required), placing, spreading  and compacting material in layers, as specified by the engineer./\KS16_003-Infilling of Drains  \m³\11.1683618835117 \ 100" u="1"/>
        <s v="SABS1200 DA  \ Earthworks (Small Works) / 8.3\ SCHEDULED ITEMS / 8.3.4 \ Importing of Suitable Backfill Material from Spoil Stockpile or other Borrow Sources on Site.. Rate to allow for loading from stockpile/ borrow source, transport within 5km freehaul distance, stockpiling (if required), placing, spreading  and compacting material in layers, as specified by the engineer./\KS13_007-Concrete Drop Inlet. Refer to drawing M \m³\6.884 \ 100" u="1"/>
        <s v="SABS1200 DA \Earthworks (Small Works)/8.3\SCHEDULED ITEMS/8.3.4\Importing of Suitable Backfill Material from Spoil Stockpile or other Borrow Sources on Site.. Rate to allow for loading from stockpile or borrow source, transport within 5km freehaul distance, stockpiling (if required), placing, spreading  and compacting material in layers, as specified by the engineer./\KS21-002-Earthworks  \m³\40.342938 \ 250" u="1"/>
        <s v="SABS1200 DA \EARTHWORKS (SMALL WORKS)/8.3\SCHEDULED ITEMS/8.3.4\Importing of Suitable Backfill Material from Spoil Stockpile or other Borrow Sources on Site. Rate to allow for loading from stockpile or borrow source, transport within 5km freehaul distance, stockpiling (if required), placing, spreading  and compacting material in layers, as specified by the engineer./\KS13_008-Concrete Drop Inlet. Refer to drawing NBC-GTW-CL-0014 \m³\3.1744 \ 250" u="1"/>
        <s v="SABS1200 DA \Earthworks (Small Works)/8.3\SCHEDULED ITEMS/8.3.4\Importing of Suitable Backfill Material from Spoil Stockpile or other Borrow Sources on Site.. Rate to allow for loading from stockpile/ borrow source, transport within 5km freehaul distance, stockpiling (if required), placing, spreading  and compacting material in layers, as specified by the engineer./\KS20_002-Concrete Drop Inlet. Refer to drawing NBC-GTW-CL-0028 \m³\40.8744 \ 250" u="1"/>
        <s v="SABS1200 DA \Earthworks (Small Works)/8.3\SCHEDULED ITEMS/8.3.4\Importing of Suitable Backfill Material from Spoil Stockpile or other Borrow Sources on Site.. Rate to allow for loading from stockpile/ borrow source, transport within 5km freehaul distance, stockpiling (if required), placing, spreading  and compacting material in layers, as specified by the engineer./\Pan14_007-Infilling of Drains  \m³\47.88 \ 250" u="1"/>
        <s v="SABS1200 DA \Earthworks (Small Works)/8.3\SCHEDULED ITEMS/8.3.4\Importing of Suitable Backfill Material from Spoil Stockpile or other Borrow Sources on Site.. Rate to allow for loading from stockpile/ borrow source, transport within 5km freehaul distance, stockpiling (if required), placing, spreading  and compacting material in layers, as specified by the engineer./\KS18_017-Concrete Drop Inlet. Refer to drawing NBC-GTW-CL-0023 \m³\11.0904 \ 250" u="1"/>
        <s v="SABS1200 DA \Earthworks (Small Works)/8.3\SCHEDULED ITEMS/8.3.4\Importing of Suitable Backfill Material from Spoil Stockpile or other Borrow Sources on Site.. Rate to allow for loading from stockpile or borrow source, transport within 5km freehaul distance, stockpiling (if required), placing, spreading  and compacting material in layers, as specified by the engineer./\KS13_013-Concrete Drop Inlet. Refer to drawing NBC-GTW-CL-0017 \m³\12.0852 \ 25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6_005-Deactivate Drain  \m³\14.4199102799772 \ 300" u="1"/>
        <s v="SABS1200 DA  \ Earthworks (Small Works) / 8.3\ SCHEDULED ITEMS / 8.3.4 \ Importing of Material from Spoil Stockpile or other Borrow Sources on Site.. Suitable Earthen Backfill Material/\KS19_004-Infilling of Drains \m³\3.53429173528852 \ 100" u="1"/>
        <s v="SABS1200 DA  / Earthworks (Small Works) / 8.3 / 8.3.4 / Suitable Earthen Backfill Material / KS13_002-Infilling of Drains / 12.15 / m³" u="1"/>
        <s v="SABS1200 DA \EARTHWORKS (SMALL WORKS)/8.3\SCHEDULED ITEMS/8.3.4\Importing of Suitable Backfill Material from Spoil Stockpile or other Borrow Sources on Site. Rate to allow for loading from stockpile or borrow source, transport within 5km freehaul distance, stockpiling (if required), placing, spreading  and compacting material in layers, as specified by the engineer./\LS16_016-Gabion energy breaker  \m³\2.4 \ 250" u="1"/>
        <s v="SABS1200 DA  \ Earthworks (Small Works) / 8.3\ SCHEDULED ITEMS / 8.3.4 \ Importing of Suitable Backfill Material from Spoil Stockpile or other Borrow Sources on Site.. Rate to allow for loading from stockpile/ borrow source, transport within 5km freehaul distance, stockpiling (if required), placing, spreading  and compacting material in layers, as specified by the engineer./\KS13_001-Infilling of Drains  \m³\198.78426 \ 100" u="1"/>
        <s v="SABS1200 DA \EARTHWORKS (SMALL WORKS)/8.3\SCHEDULED ITEMS/8.3.4\Importing of Suitable Backfill Material from Spoil Stockpile or other Borrow Sources on Site. Rate to allow for loading from stockpile or borrow source, transport within 5km freehaul distance, stockpiling (if required), placing, spreading  and compacting material in layers, as specified by the engineer./\KS13_007-Concrete Drop Inlet. Refer to drawing NBC-GTW-CL-0013 \m³\6.884 \ 250" u="1"/>
        <s v="SABS1200 DA  / Earthworks (Small Works) / 8.3 / 8.3.4 / Suitable Earthen Backfill Material / KS13_003-Concrete Drop Inlet / 12.735 / m³" u="1"/>
        <s v="SABS1200 DA  / Earthworks (Small Works) / 8.3 / 8.3.4 / Suitable Earthen Backfill Material / LS16_015-Earthworks / 200 / m³"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21-008-Infilling of Drain  \m³\83.9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1-005-Backfilling Dam to Create Wetland  \m³\12300 \ 300" u="1"/>
        <s v="SABS1200 DA \Earthworks (Small Works)/8.3\SCHEDULED ITEMS/8.3.4\Importing of Suitable Backfill Material from Spoil Stockpile or other Borrow Sources on Site.. Rate to allow for loading from stockpile/ borrow source, transport within 5km freehaul distance, stockpiling (if required), placing, spreading  and compacting material in layers, as specified by the engineer./\LS16_017-Gabion energy breaker  \m³\2.8 \ 250" u="1"/>
        <s v="SABS1200 DA  \ Earthworks (Small Works) / 8.3\ SCHEDULED ITEMS / 8.3.4 \ Importing of Material from Spoil Stockpile or other Borrow Sources on Site.. Suitable Earthen Backfill Material/\KS16_004-Infilling of Drains \m³\96 \ 100" u="1"/>
        <s v="SABS1200 DA  / Earthworks (Small Works) / 8.3 / 8.3.4 / Suitable Earthen Backfill Material / KS12_006-Concrete Drop Inlet / 14.729 / m³" u="1"/>
        <s v="SABS1200 DA \EARTHWORKS (SMALL WORKS)/8.3\SCHEDULED ITEMS/8.3.4\Importing of Suitable Backfill Material from Spoil Stockpile or other Borrow Sources on Site. Rate to allow for loading from stockpile or borrow source, transport within 5km freehaul distance, stockpiling (if required), placing, spreading  and compacting material in layers, as specified by the engineer./\Pan14_010-Infilling of Drains  \m³\1312.5 \ 250" u="1"/>
        <s v="SABS1200 DA \EARTHWORKS (SMALL WORKS)/8.3\SCHEDULED ITEMS/8.3.4\Importing of Suitable Backfill Material from Spoil Stockpile or other Borrow Sources on Site. Rate to allow for loading from stockpile or borrow source, transport within 5km freehaul distance, stockpiling (if required), placing, spreading  and compacting material in layers, as specified by the engineer./\KS12_009-Concrete Drop Inlet. Refer to drawing NBC-GTW-CL-0008 \m³\8.9856 \ 250" u="1"/>
        <s v="SABS1200 DA \Earthworks (Small Works)/8.3\SCHEDULED ITEMS/8.3.4\Importing of Suitable Backfill Material from Spoil Stockpile or other Borrow Sources on Site.. Rate to allow for loading from stockpile/ borrow source, transport within 5km freehaul distance, stockpiling (if required), placing, spreading  and compacting material in layers, as specified by the engineer./\KS18_016-Concrete Drop Inlet. Refer to drawing NBC-GTW-CL-0022 \m³\11.5948 \ 250" u="1"/>
        <s v="SABS1200 DA  / Earthworks (Small Works) / 8.3 / 8.3.4 / Suitable Earthen Backfill Material / KS20_005-Concrete Drop Inlet / 18.755 / m³" u="1"/>
        <s v="SABS1200 DA  / Earthworks (Small Works) / 8.3 / 8.3.4 / Suitable Earthen Backfill Material / ks15-002-Backfill Main Channel / 2500 / m³"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1-003-Backfilling Dam to Create Wetland  \m³\24200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6_002-Excavate Dam Wall  \m³\16.7658333333333 \ 300" u="1"/>
        <s v="SABS1200 DA \Earthworks (Small Works)/8.3\SCHEDULED ITEMS/8.3.4\Importing of Suitable Backfill Material from Spoil Stockpile or other Borrow Sources on Site.. Rate to allow for loading from stockpile/ borrow source, transport within 5km freehaul distance, stockpiling (if required), placing, spreading  and compacting material in layers, as specified by the engineer./\KS12_007-Concrete Drop Inlet. Refer to drawing NBC-GTW-CL-0006 \m³\25.978 \ 25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9_002-Concrete Drop Inlet. Refer to drawing NBC-GTW-CL-0026 \m³\10.8096 \ 300" u="1"/>
        <s v="SABS1200 DA \EARTHWORKS (SMALL WORKS)/8.3\SCHEDULED ITEMS/8.3.4\Importing of Suitable Backfill Material from Spoil Stockpile or other Borrow Sources on Site. Rate to allow for loading from stockpile or borrow source, transport within 5km freehaul distance, stockpiling (if required), placing, spreading  and compacting material in layers, as specified by the engineer./\KS13_009-Infilling of Drains  \m³\12.5385 \ 250" u="1"/>
        <s v="SABS1200 DA \Earthworks (Small Works)/8.3\SCHEDULED ITEMS/8.3.4\Importing of Suitable Backfill Material from Spoil Stockpile or other Borrow Sources on Site.. Rate to allow for loading from stockpile/ borrow source, transport within 5km freehaul distance, stockpiling (if required), placing, spreading  and compacting material in layers, as specified by the engineer./\Pan14_005-Infilling of Drains  \m³\81.9 \ 250" u="1"/>
        <s v="SABS1200 DA  \ Earthworks (Small Works) / 8.3\ SCHEDULED ITEMS / 8.3.4 \ Importing of Suitable Backfill Material from Spoil Stockpile or other Borrow Sources on Site.. Rate to allow for loading from stockpile/ borrow source, transport within 5km freehaul distance, stockpiling (if required), placing, spreading  and compacting material in layers, as specified by the engineer./\KS12_009-Concrete Drop Inlet. Refer to drawing H \m³\8.9856 \ 1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8_016-Concrete Drop Inlet. Drawing NBC-GTW-CL-0022 \m³\11.5948 \ 300" u="1"/>
        <s v="SABS1200 DA  / Earthworks (Small Works) / 8.3 / 8.3.4 / Suitable Earthen Backfill Material / KS19_002-Concrete Drop Inlet / 10.8096 / m³"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Pan14_006-Earthen Berms  \m³\57.375 \ 300" u="1"/>
        <s v="SABS1200 DA \Earthworks (Small Works)/8.3\SCHEDULED ITEMS/8.3.4\Importing of Suitable Backfill Material from Spoil Stockpile or other Borrow Sources on Site.. Rate to allow for loading from stockpile or borrow source, transport within 5km freehaul distance, stockpiling (if required), placing, spreading  and compacting material in layers, as specified by the engineer./\KS21-008-Infilling of Drain  \m³\83.9 \ 250" u="1"/>
        <s v="SABS1200 DA  / Earthworks (Small Works) / 8.3 / 8.3.4 / Suitable Earthen Backfill Material / LS16_016-Gabion energy breaker / 2.4 / m³" u="1"/>
        <s v="SABS1200 DA \Earthworks (Small Works)/8.3\SCHEDULED ITEMS/8.3.4\Importing of Suitable Backfill Material from Spoil Stockpile or other Borrow Sources on Site.. Rate to allow for loading from stockpile/ borrow source, transport within 5km freehaul distance, stockpiling (if required), placing, spreading  and compacting material in layers, as specified by the engineer./\KS13_013-Concrete Drop Inlet. Refer to drawing NBC-GTW-CL-0017 \m³\12.0852 \ 250" u="1"/>
        <s v="SABS1200 DA \Earthworks (Small Works)/8.3\SCHEDULED ITEMS/8.3.4\Importing of Suitable Backfill Material from Spoil Stockpile or other Borrow Sources on Site.. Rate to allow for loading from stockpile or borrow source, transport within 5km freehaul distance, stockpiling (if required), placing, spreading  and compacting material in layers, as specified by the engineer./\KS12_008-Concrete Drop Inlet. Refer to drawing NBC-GTW-CL-0007 \m³\16.6032 \ 250" u="1"/>
        <s v="SABS1200 DA  \ Earthworks (Small Works) / 8.3\ SCHEDULED ITEMS / 8.3.4 \ Importing of Material from Spoil Stockpile or other Borrow Sources on Site.. Suitable Earthen Backfill Material/\KS16_002-Infilling of Drains  \m³\16.7658333333333 \ 100" u="1"/>
        <s v="SABS1200 DA \Earthworks (Small Works)/8.3\SCHEDULED ITEMS/8.3.4\Importing of Suitable Backfill Material from Spoil Stockpile or other Borrow Sources on Site.. Rate to allow for loading from stockpile or borrow source, transport within 5km freehaul distance, stockpiling (if required), placing, spreading  and compacting material in layers, as specified by the engineer./\KS16_002-Infilling of Drains  \m³\16.7658333333333 \ 250" u="1"/>
        <s v="SABS1200 DA \Earthworks (Small Works)/8.3\SCHEDULED ITEMS/8.3.4\Importing of Suitable Backfill Material from Spoil Stockpile or other Borrow Sources on Site.. Rate to allow for loading from stockpile/ borrow source, transport within 5km freehaul distance, stockpiling (if required), placing, spreading  and compacting material in layers, as specified by the engineer./\KS13_015-Concrete Drop Inlet. Refer to drawing NBC-GTW-CL-0018 \m³\21.288 \ 250" u="1"/>
        <s v="SABS1200 DA \Earthworks (Small Works)/8.3\SCHEDULED ITEMS/8.3.4\Importing of Suitable Backfill Material from Spoil Stockpile or other Borrow Sources on Site.. Rate to allow for loading from stockpile or borrow source, transport within 5km freehaul distance, stockpiling (if required), placing, spreading  and compacting material in layers, as specified by the engineer./\KS13_009-Infilling of Drains  \m³\12.5385 \ 250" u="1"/>
        <s v="SABS1200 DA \EARTHWORKS (SMALL WORKS)/8.3\SCHEDULED ITEMS/8.3.4\Importing of Suitable Backfill Material from Spoil Stockpile or other Borrow Sources on Site. Rate to allow for loading from stockpile or borrow source, transport within 5km freehaul distance, stockpiling (if required), placing, spreading  and compacting material in layers, as specified by the engineer./\KS19_005-Infilling of Drains  \m³\3.67566340470006 \ 25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2_007-Concrete Drop Inlet. Drawing NBC-GTW-CL-0006 \m³\25.978 \ 300" u="1"/>
        <s v="SABS1200 DA  \ Earthworks (Small Works) / 8.3\ SCHEDULED ITEMS / 8.3.4 \ Importing of Suitable Backfill Material from Spoil Stockpile or other Borrow Sources on Site.. Rate to allow for loading from stockpile/ borrow source, transport within 5km freehaul distance, stockpiling (if required), placing, spreading  and compacting material in layers, as specified by the engineer./\Pan14-001-Reinstate Pan Edge  \m³\92 \ 100" u="1"/>
        <s v="SABS1200 DA \EARTHWORKS (SMALL WORKS)/8.3\SCHEDULED ITEMS/8.3.4\Importing of Suitable Backfill Material from Spoil Stockpile or other Borrow Sources on Site. Rate to allow for loading from stockpile or borrow source, transport within 5km freehaul distance, stockpiling (if required), placing, spreading  and compacting material in layers, as specified by the engineer./\KS12_007-Concrete Drop Inlet. Refer to drawing NBC-GTW-CL-0006 \m³\25.978 \ 250" u="1"/>
        <s v="SABS1200 DA \Earthworks (Small Works)/8.3\SCHEDULED ITEMS/8.3.4\Importing of Suitable Backfill Material from Spoil Stockpile or other Borrow Sources on Site.. Rate to allow for loading from stockpile/ borrow source, transport within 5km freehaul distance, stockpiling (if required), placing, spreading  and compacting material in layers, as specified by the engineer./\KS20_003-Concrete Buttress Weir. Refer to drawing NBC-GTW-CL-0029 \m³\22.85 \ 250" u="1"/>
        <s v="SABS1200 DA  \ Earthworks (Small Works) / 8.3\ SCHEDULED ITEMS / 8.3.4 \ Importing of Material from Spoil Stockpile or other Borrow Sources on Site.. Suitable Earthen Backfill Material/\KS18_002-Concrete Drop Inlet. Refer to drawing T \m³\12 \ 100" u="1"/>
        <s v="SABS1200 DA  / Earthworks (Small Works) / 8.3 / 8.3.4 / Suitable Earthen Backfill Material / KS16_002-Infilling of Drains / 16.7658333333333 / m³" u="1"/>
        <s v="SABS1200 DA  \ Earthworks (Small Works) / 8.3\ SCHEDULED ITEMS / 8.3.4 \ Importing of Material from Spoil Stockpile or other Borrow Sources on Site.. Suitable Earthen Backfill Material/\KS13_001-Infilling of Drains  \m³\198.78426 \ 1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Pan14_004-Infilling of Drains  \m³\90 \ 300" u="1"/>
        <s v="SABS1200 DA  \ Earthworks (Small Works) / 8.3\ SCHEDULED ITEMS / 8.3.4 \ Importing of Material from Spoil Stockpile or other Borrow Sources on Site.. Suitable Earthen Backfill Material/\Pan8_002-Infilling of Drains  \m³\84 \ 100" u="1"/>
        <s v="SABS1200 DA  / Earthworks (Small Works) / 8.3 / 8.3.4 / Suitable Earthen Backfill Material / Pan14_005-Infilling of Drains / 93 / m³" u="1"/>
        <s v="SABS1200 DA \Earthworks (Small Works)/8.3\SCHEDULED ITEMS/8.3.4\Importing of Suitable Backfill Material from Spoil Stockpile or other Borrow Sources on Site.. Rate to allow for loading from stockpile or borrow source, transport within 5km freehaul distance, stockpiling (if required), placing, spreading  and compacting material in layers, as specified by the engineer./\KS16_005-Infilling of Drains  \m³\14.4199102799772 \ 250" u="1"/>
        <s v="SABS1200 DA  \ Earthworks (Small Works) / 8.3\ SCHEDULED ITEMS / 8.3.4 \ Importing of Material from Spoil Stockpile or other Borrow Sources on Site.. Suitable Earthen Backfill Material/\Pan14_006-Earthen Berms  \m³\57.375 \ 100" u="1"/>
        <s v="SABS1200 DA  \ Earthworks (Small Works) / 8.3\ SCHEDULED ITEMS / 8.3.4 \ Importing of Material from Spoil Stockpile or other Borrow Sources on Site.. Suitable Earthen Backfill Material/\KS20_006-Concrete Drop Inlet. Refer to drawing AF \m³\16.7996 \ 100" u="1"/>
        <s v="SABS1200 DA  \ Earthworks (Small Works) / 8.3\ SCHEDULED ITEMS / 8.3.4 \ Importing of Suitable Backfill Material from Spoil Stockpile or other Borrow Sources on Site.. Rate to allow for loading from stockpile/ borrow source, transport within 5km freehaul distance, stockpiling (if required), placing, spreading  and compacting material in layers, as specified by the engineer./\KS19_006-Removal of Dam Wall  \m³\1129.1 \ 100" u="1"/>
        <s v="SABS1200 DA  / Earthworks (Small Works) / 8.3 / 8.3.4 / Suitable Earthen Backfill Material / Pan14_005-Infilling of Drains / 81.9 / m³" u="1"/>
        <s v="SABS1200 DA  \ Earthworks (Small Works) / 8.3\ SCHEDULED ITEMS / 8.3.4 \ Importing of Material from Spoil Stockpile or other Borrow Sources on Site.. Suitable Earthen Backfill Material/\Pan14-001-Reinstate Pan Edge  \m³\92 \ 100" u="1"/>
        <s v="SABS1200 DA \Earthworks (Small Works)/8.3\SCHEDULED ITEMS/8.3.4\Importing of Suitable Backfill Material from Spoil Stockpile or other Borrow Sources on Site.. Rate to allow for loading from stockpile/ borrow source, transport within 5km freehaul distance, stockpiling (if required), placing, spreading  and compacting material in layers, as specified by the engineer./\LS16_021-Backfill Main Channel  \m³\2656.6 \ 250" u="1"/>
        <s v="SABS1200 DA  \ Earthworks (Small Works) / 8.3\ SCHEDULED ITEMS / 8.3.4 \ Importing of Suitable Backfill Material from Spoil Stockpile or other Borrow Sources on Site.. Rate to allow for loading from stockpile/ borrow source, transport within 5km freehaul distance, stockpiling (if required), placing, spreading  and compacting material in layers, as specified by the engineer./\Pan14_011-Infilling of Drains  \m³\582 \ 100" u="1"/>
        <s v="SABS1200 DA  / Earthworks (Small Works) / 8.3 / 8.3.4 / Suitable Earthen Backfill Material / LS16_017-Gabion energy breaker / 2.8 / m³" u="1"/>
        <s v="SABS1200 DA \Earthworks (Small Works)/8.3\SCHEDULED ITEMS/8.3.4\Importing of Suitable Backfill Material from Spoil Stockpile or other Borrow Sources on Site.. Rate to allow for loading from stockpile or borrow source, transport within 5km freehaul distance, stockpiling (if required), placing, spreading  and compacting material in layers, as specified by the engineer./\KS13_007-Concrete Drop Inlet. Refer to drawing NBC-GTW-CL-0013 \m³\6.884 \ 250" u="1"/>
        <s v="SABS1200 DA  / Earthworks (Small Works) / 8.3 / 8.3.4 / Suitable Earthen Backfill Material / KS20_009_a-Concrete Drop Inlet / 22.6896 / m³" u="1"/>
        <s v="SABS1200 DA \Earthworks (Small Works)/8.3\SCHEDULED ITEMS/8.3.4\Importing of Suitable Backfill Material from Spoil Stockpile or other Borrow Sources on Site.. Rate to allow for loading from stockpile or borrow source, transport within 5km freehaul distance, stockpiling (if required), placing, spreading  and compacting material in layers, as specified by the engineer./\KS19_004-Infilling of Drains  \m³\3.53429173528852 \ 25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8-014-Concrete Filled Geo-Cell Berm. Refer to drawing NBC-GTW-CL-0001 \m³\35.1075 \ 300" u="1"/>
        <s v="SABS1200 DA  \ Earthworks (Small Works) / 8.3\ SCHEDULED ITEMS / 8.3.4 \ Importing of Suitable Backfill Material from Spoil Stockpile or other Borrow Sources on Site.. Rate to allow for loading from stockpile/ borrow source, transport within 5km freehaul distance, stockpiling (if required), placing, spreading  and compacting material in layers, as specified by the engineer./\KS16_004-Infilling of Drains  \m³\96 \ 100" u="1"/>
        <s v="SABS1200 DA  / Earthworks (Small Works) / 8.3 / 8.3.4 / Suitable Earthen Backfill Material / KS13_001-Infilling of Drains / 198.78426 / m³" u="1"/>
        <s v="SABS1200 DA  / Earthworks (Small Works) / 8.3 / 8.3.4 / Suitable Earthen Backfill Material / KS12_008-Concrete Drop Inlet / 16.6032 / m³" u="1"/>
        <s v="SABS1200 DA  \ Earthworks (Small Works) / 8.3\ SCHEDULED ITEMS / 8.3.4 \ Importing of Suitable Backfill Material from Spoil Stockpile or other Borrow Sources on Site.. Rate to allow for loading from stockpile/ borrow source, transport within 5km freehaul distance, stockpiling (if required), placing, spreading  and compacting material in layers, as specified by the engineer./\KS13_014-Earthen Berm  \m³\64.84266 \ 1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8_015-Concrete Drop Inlet. Drawing NBC-GTW-CL-0021 \m³\23.5168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20_001-Concrete Drop Inlet. Drawing NBC-GTW-CL-0027 \m³\32.7276 \ 300" u="1"/>
        <s v="SABS1200 DA \Earthworks (Small Works)/8.3\SCHEDULED ITEMS/8.3.4\Importing of Suitable Backfill Material from Spoil Stockpile or other Borrow Sources on Site.. Rate to allow for loading from stockpile/ borrow source, transport within 5km freehaul distance, stockpiling (if required), placing, spreading  and compacting material in layers, as specified by the engineer./\KS13_002-Infilling of Drains  \m³\12.15 \ 250" u="1"/>
        <s v="SABS1200 DA  / Earthworks (Small Works) / 8.3 / 8.3.4 / Suitable Earthen Backfill Material / KS19_003-Headcut / 2.40331837999619 / m³" u="1"/>
        <s v="SABS1200 DA  \ Earthworks (Small Works) / 8.3\ SCHEDULED ITEMS / 8.3.4 \ Importing of Material from Spoil Stockpile or other Borrow Sources on Site.. Suitable Earthen Backfill Material/\KS19_003-Headcut \m³\2.40331837999619 \ 1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20_009_a-Concrete Buttress Weir. Refer to drawing NBC-GTW-CL-0035 \m³\22.6896 \ 300" u="1"/>
        <s v="SABS1200 DA  \ Earthworks (Small Works) / 8.3\ SCHEDULED ITEMS / 8.3.4 \ Importing of Material from Spoil Stockpile or other Borrow Sources on Site.. Suitable Earthen Backfill Material/\KS13_003-Concrete Drop Inlet. Refer to drawing I \m³\12.735 \ 100" u="1"/>
        <s v="SABS1200 DA  \ Earthworks (Small Works) / 8.3\ SCHEDULED ITEMS / 8.3.4 \ Importing of Suitable Backfill Material from Spoil Stockpile or other Borrow Sources on Site.. Rate to allow for loading from stockpile/ borrow source, transport within 5km freehaul distance, stockpiling (if required), placing, spreading  and compacting material in layers, as specified by the engineer./\Pan8_002-Infilling of Drains  \m³\84 \ 100" u="1"/>
        <s v="SABS1200 DA \Earthworks (Small Works)/8.3\SCHEDULED ITEMS/8.3.4\Importing of Suitable Backfill Material from Spoil Stockpile or other Borrow Sources on Site.. Rate to allow for loading from stockpile/ borrow source, transport within 5km freehaul distance, stockpiling (if required), placing, spreading  and compacting material in layers, as specified by the engineer./\KS20_006-Concrete Drop Inlet. Refer to drawing NBC-GTW-CL-0032 \m³\16.7996 \ 25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20_002-Concrete Drop Inlet. Refer to drawing NBC-GTW-CL-0028 \m³\27.81832 \ 300" u="1"/>
        <s v="SABS1200 DA  / Earthworks (Small Works) / 8.3 / 8.3.4 / Suitable Earthen Backfill Material / KS19_007-Infilling of Drains / 32.52501 / m³" u="1"/>
        <s v="SABS1200 DA  / Earthworks (Small Works) / 8.3 / 8.3.4 / Suitable Earthen Backfill Material / KS16_003-Infilling of Drains / 11.1683618835117 / m³" u="1"/>
        <s v="SABS1200 DA \Earthworks (Small Works)/8.3\SCHEDULED ITEMS/8.3.4\Importing of Suitable Backfill Material from Spoil Stockpile or other Borrow Sources on Site.. Rate to allow for loading from stockpile or borrow source, transport within 5km freehaul distance, stockpiling (if required), placing, spreading  and compacting material in layers, as specified by the engineer./\KS13_014-Earthen Berm  \m³\64.84266 \ 250" u="1"/>
        <s v="SABS1200 DA \Earthworks (Small Works)/8.3\SCHEDULED ITEMS/8.3.4\Importing of Suitable Backfill Material from Spoil Stockpile or other Borrow Sources on Site.. Rate to allow for loading from stockpile/ borrow source, transport within 5km freehaul distance, stockpiling (if required), placing, spreading  and compacting material in layers, as specified by the engineer./\KS16_003-Infilling of Drains  \m³\11.1683618835117 \ 250" u="1"/>
        <s v="SABS1200 DA  \ Earthworks (Small Works) / 8.3\ SCHEDULED ITEMS / 8.3.4 \ Importing of Suitable Backfill Material from Spoil Stockpile or other Borrow Sources on Site.. Rate to allow for loading from stockpile/ borrow source, transport within 5km freehaul distance, stockpiling (if required), placing, spreading  and compacting material in layers, as specified by the engineer./\KS18_017-Concrete Drop Inlet. Refer to drawing W \m³\11.0904 \ 100" u="1"/>
        <s v="SABS1200 DA  \ Earthworks (Small Works) / 8.3\ SCHEDULED ITEMS / 8.3.4 \ Importing of Material from Spoil Stockpile or other Borrow Sources on Site.. Suitable Earthen Backfill Material/\Pan14_010-Infilling of Drains  \m³\1312.5 \ 100" u="1"/>
        <s v="SABS1200 DA \Earthworks (Small Works)/8.3\SCHEDULED ITEMS/8.3.4\Importing of Suitable Backfill Material from Spoil Stockpile or other Borrow Sources on Site.. Rate to allow for loading from stockpile/ borrow source, transport within 5km freehaul distance, stockpiling (if required), placing, spreading  and compacting material in layers, as specified by the engineer./\KS16_002-Infilling of Drains  \m³\16.7658333333333 \ 25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5_001-Fish Bowl  \m³\12.9 \ 300" u="1"/>
        <s v="SABS1200 DA  / Earthworks (Small Works) / 8.3 / 8.3.4 / Suitable Earthen Backfill Material / KS19_006-Removal of Dam Wall / 1129.1 / m³" u="1"/>
        <s v="SABS1200 DA  \ Earthworks (Small Works) / 8.3\ SCHEDULED ITEMS / 8.3.4 \ Importing of Material from Spoil Stockpile or other Borrow Sources on Site.. Suitable Earthen Backfill Material/\KS19_007-Infilling of Drains \m³\32.52501 \ 100" u="1"/>
        <s v="SABS1200 DA \Earthworks (Small Works)/8.3\SCHEDULED ITEMS/8.3.4\Importing of Suitable Backfill Material from Spoil Stockpile or other Borrow Sources on Site.. Rate to allow for loading from stockpile or borrow source, transport within 5km freehaul distance, stockpiling (if required), placing, spreading  and compacting material in layers, as specified by the engineer./\KS13_015-Concrete Drop Inlet. Refer to drawing NBC-GTW-CL-0018 \m³\21.288 \ 250" u="1"/>
        <s v="SABS1200 DA \EARTHWORKS (SMALL WORKS)/8.3\SCHEDULED ITEMS/8.3.4\Importing of Suitable Backfill Material from Spoil Stockpile or other Borrow Sources on Site. Rate to allow for loading from stockpile or borrow source, transport within 5km freehaul distance, stockpiling (if required), placing, spreading  and compacting material in layers, as specified by the engineer./\KS18_015-Concrete Drop Inlet. Refer to drawing NBC-GTW-CL-0021 \m³\23.5168 \ 250" u="1"/>
        <s v="SABS1200 DA \Earthworks (Small Works)/8.3\SCHEDULED ITEMS/8.3.4\Importing of Suitable Backfill Material from Spoil Stockpile or other Borrow Sources on Site.. Rate to allow for loading from stockpile/ borrow source, transport within 5km freehaul distance, stockpiling (if required), placing, spreading  and compacting material in layers, as specified by the engineer./\KS21-002-Earthworks  \m³\40.342938 \ 250" u="1"/>
        <s v="SABS1200 DA  \ Earthworks (Small Works) / 8.3\ SCHEDULED ITEMS / 8.3.4 \ Importing of Material from Spoil Stockpile or other Borrow Sources on Site.. Suitable Earthen Backfill Material/\LS16_021-Backfill Main Channel \m³\2656.6 \ 100" u="1"/>
        <s v="SABS1200 DA \Earthworks (Small Works)/8.3\SCHEDULED ITEMS/8.3.4\Importing of Suitable Backfill Material from Spoil Stockpile or other Borrow Sources on Site.. Rate to allow for loading from stockpile or borrow source, transport within 5km freehaul distance, stockpiling (if required), placing, spreading  and compacting material in layers, as specified by the engineer./\KS16_001-Infilling of Drains  \m³\109.1138125 \ 250" u="1"/>
        <s v="SABS1200 DA  / Earthworks (Small Works) / 8.3 / 8.3.4 / Suitable Earthen Backfill Material / KS20_009_c-Earthen Berm / 23 / m³" u="1"/>
        <s v="SABS1200 DA  / Earthworks (Small Works) / 8.3 / 8.3.4 / Suitable Earthen Backfill Material / KS20_006-Concrete Drop Inlet / 16.7996 / m³" u="1"/>
        <s v="SABS1200 DA \Earthworks (Small Works)/8.3\SCHEDULED ITEMS/8.3.4\Importing of Suitable Backfill Material from Spoil Stockpile or other Borrow Sources on Site.. Rate to allow for loading from stockpile/ borrow source, transport within 5km freehaul distance, stockpiling (if required), placing, spreading  and compacting material in layers, as specified by the engineer./\LS16_015-Earthworks  \m³\198.45 \ 250" u="1"/>
        <s v="SABS1200 DA \EARTHWORKS (SMALL WORKS)/8.3\SCHEDULED ITEMS/8.3.4\Importing of Suitable Backfill Material from Spoil Stockpile or other Borrow Sources on Site. Rate to allow for loading from stockpile or borrow source, transport within 5km freehaul distance, stockpiling (if required), placing, spreading  and compacting material in layers, as specified by the engineer./\KS20_009_c-Earthen Berm. Refer to drawing  \m³\23 \ 250" u="1"/>
        <s v="SABS1200 DA  \ Earthworks (Small Works) / 8.3\ SCHEDULED ITEMS / 8.3.4 \ Importing of Material from Spoil Stockpile or other Borrow Sources on Site.. Suitable Earthen Backfill Material/\Pan14_008-Infilling of Drains  \m³\18.36 \ 100" u="1"/>
        <s v="SABS1200 DA  / Earthworks (Small Works) / 8.3 / 8.3.4 / Suitable Earthen Backfill Material / KS13_009-Infilling of Drains / 26.1 / m³" u="1"/>
        <s v="SABS1200 DA  \ Earthworks (Small Works) / 8.3\ SCHEDULED ITEMS / 8.3.4 \ Importing of Suitable Backfill Material from Spoil Stockpile or other Borrow Sources on Site.. Rate to allow for loading from stockpile/ borrow source, transport within 5km freehaul distance, stockpiling (if required), placing, spreading  and compacting material in layers, as specified by the engineer./\KS20_001-Concrete Drop Inlet. Refer to drawing AA \m³\32.7276 \ 100" u="1"/>
        <s v="SABS1200 DA  \ Earthworks (Small Works) / 8.3\ SCHEDULED ITEMS / 8.3.4 \ Importing of Suitable Backfill Material from Spoil Stockpile or other Borrow Sources on Site.. Rate to allow for loading from stockpile/ borrow source, transport within 5km freehaul distance, stockpiling (if required), placing, spreading  and compacting material in layers, as specified by the engineer./\KS12_008-Concrete Drop Inlet. Refer to drawing G \m³\16.6032 \ 100" u="1"/>
        <s v="SABS1200 DA  / Earthworks (Small Works) / 8.3 / 8.3.4 / Suitable Earthen Backfill Material / LS16_021-Backfill Main Channel / 2656.6 / m³" u="1"/>
        <s v="SABS1200 DA  / Earthworks (Small Works) / 8.3 / 8.3.4 / Suitable Earthen Backfill Material / ks18-021-Backfill Main Channel / 1879.7535 / m³" u="1"/>
        <s v="SABS1200 DA \Earthworks (Small Works)/8.3\SCHEDULED ITEMS/8.3.4\Importing of Suitable Backfill Material from Spoil Stockpile or other Borrow Sources on Site.. Rate to allow for loading from stockpile/ borrow source, transport within 5km freehaul distance, stockpiling (if required), placing, spreading  and compacting material in layers, as specified by the engineer./\KS13_004-Concrete Drop Inlet. Refer to drawing NBC-GTW-CL-0010 \m³\7.147 \ 250" u="1"/>
        <s v="SABS1200 DA  \ Earthworks (Small Works) / 8.3\ SCHEDULED ITEMS / 8.3.4 \ Importing of Material from Spoil Stockpile or other Borrow Sources on Site.. Suitable Earthen Backfill Material/\Pan14_009-Infilling of Drains  \m³\27.44 \ 100" u="1"/>
        <s v="SABS1200 DA  \ Earthworks (Small Works) / 8.3\ SCHEDULED ITEMS / 8.3.4 \ Importing of Material from Spoil Stockpile or other Borrow Sources on Site.. Suitable Earthen Backfill Material/\KS18_017-Concrete Drop Inlet. Refer to drawing W \m³\11.0904 \ 100" u="1"/>
        <s v="SABS1200 DA \Earthworks (Small Works)/8.3\SCHEDULED ITEMS/8.3.4\Importing of Suitable Backfill Material from Spoil Stockpile or other Borrow Sources on Site.. Rate to allow for loading from stockpile or borrow source, transport within 5km freehaul distance, stockpiling (if required), placing, spreading  and compacting material in layers, as specified by the engineer./\LS16_001-Concrete Cut-Off Walls  \m³\27 \ 25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9_002-Concrete Drop Inlet. Drawing NBC-GTW-CL-0026 \m³\10.8096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20_001-Concrete Drop Inlet. Refer to drawing NBC-GTW-CL-0027 \m³\32.7276 \ 300" u="1"/>
        <s v="SABS1200 DA  / Earthworks (Small Works) / 8.3 / 8.3.4 / Suitable Earthen Backfill Material / Pan14_008-Infilling of Drains / 18.36 / m³" u="1"/>
        <s v="SABS1200 DA  \ Earthworks (Small Works) / 8.3\ SCHEDULED ITEMS / 8.3.4 \ Importing of Material from Spoil Stockpile or other Borrow Sources on Site.. Suitable Earthen Backfill Material/\KS20_009_a-Concrete Drop Inlet. Refer to drawing AI \m³\22.6896 \ 100" u="1"/>
        <s v="SABS1200 DA  \ Earthworks (Small Works) / 8.3\ SCHEDULED ITEMS / 8.3.4 \ Importing of Suitable Backfill Material from Spoil Stockpile or other Borrow Sources on Site.. Rate to allow for loading from stockpile/ borrow source, transport within 5km freehaul distance, stockpiling (if required), placing, spreading  and compacting material in layers, as specified by the engineer./\KS19_003-Headcut  \m³\2.40331837999619 \ 100" u="1"/>
        <s v="SABS1200 DA  / Earthworks (Small Works) / 8.3 / 8.3.4 / Suitable Earthen Backfill Material / KS18_002-Concrete Drop Inlet / 12 / m³"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8_018-Concrete Drop Inlet. Refer to drawing NBC-GTW-CL-0024 \m³\29.2436 \ 300" u="1"/>
        <s v="SABS1200 DA  / Earthworks (Small Works) / 8.3 / 8.3.4 / Suitable Earthen Backfill Material / KS16_004-Infilling of Drains / 102 / m³"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LS16_021-Backfill Main Channel and reshaping  \m³\2656.6 \ 300" u="1"/>
        <s v="SABS1200 DA  \ Earthworks (Small Works) / 8.3\ SCHEDULED ITEMS / 8.3.4 \ Importing of Material from Spoil Stockpile or other Borrow Sources on Site.. Suitable Earthen Backfill Material/\KS18_015-Concrete Drop Inlet \m³\23.5168 \ 100" u="1"/>
        <s v="SABS1200 DA  / Earthworks (Small Works) / 8.3 / 8.3.4 / Suitable Earthen Backfill Material / KS16_001-Infilling of Drains / 110 / m³" u="1"/>
        <s v="SABS1200 DA  / Earthworks (Small Works) / 8.3 / 8.3.4 / Suitable Earthen Backfill Material / KS19_007-Infilling of Drains / 110 / m³" u="1"/>
        <s v="SABS1200 DA  / Earthworks (Small Works) / 8.3 / 8.3.4 / Suitable Earthen Backfill Material / LS16_014-Ecologs / 1.27234502470387 / m³" u="1"/>
        <s v="SABS1200 DA \EARTHWORKS (SMALL WORKS)/8.3\SCHEDULED ITEMS/8.3.4\Importing of Suitable Backfill Material from Spoil Stockpile or other Borrow Sources on Site. Rate to allow for loading from stockpile or borrow source, transport within 5km freehaul distance, stockpiling (if required), placing, spreading  and compacting material in layers, as specified by the engineer./\KS13_001-Infilling of Drains  \m³\198.78426 \ 250" u="1"/>
        <s v="SABS1200 DA  \ Earthworks (Small Works) / 8.3\ SCHEDULED ITEMS / 8.3.4 \ Importing of Suitable Backfill Material from Spoil Stockpile or other Borrow Sources on Site.. Rate to allow for loading from stockpile/ borrow source, transport within 5km freehaul distance, stockpiling (if required), placing, spreading  and compacting material in layers, as specified by the engineer./\KS18_018-Concrete Drop Inlet. Refer to drawing X \m³\29.2436 \ 100" u="1"/>
        <s v="SABS1200 DA \Earthworks (Small Works)/8.3\SCHEDULED ITEMS/8.3.4\Importing of Suitable Backfill Material from Spoil Stockpile or other Borrow Sources on Site.. Rate to allow for loading from stockpile or borrow source, transport within 5km freehaul distance, stockpiling (if required), placing, spreading  and compacting material in layers, as specified by the engineer./\KS13_005-Concrete Drop Inlet. Refer to drawing NBC-GTW-CL-0011 \m³\2.7444 \ 250" u="1"/>
        <s v="SABS1200 DA \Earthworks (Small Works)/8.3\SCHEDULED ITEMS/8.3.4\Importing of Suitable Backfill Material from Spoil Stockpile or other Borrow Sources on Site.. Rate to allow for loading from stockpile or borrow source, transport within 5km freehaul distance, stockpiling (if required), placing, spreading  and compacting material in layers, as specified by the engineer./\KS13_006-Concrete Drop Inlet. Refer to drawing NBC-GTW-CL-0012 \m³\2.7444 \ 250" u="1"/>
        <s v="SABS1200 DA  / Earthworks (Small Works) / 8.3 / 8.3.4 / Suitable Earthen Backfill Material / KS18_016-Concrete Drop Inlet / 11.5948 / m³" u="1"/>
        <s v="SABS1200 DA  \ Earthworks (Small Works) / 8.3\ SCHEDULED ITEMS / 8.3.4 \ Importing of Suitable Backfill Material from Spoil Stockpile or other Borrow Sources on Site.. Rate to allow for loading from stockpile/ borrow source, transport within 5km freehaul distance, stockpiling (if required), placing, spreading  and compacting material in layers, as specified by the engineer./\KS13_013-Concrete Drop Inlet. Refer to drawing Q \m³\12.0852 \ 100" u="1"/>
        <s v="SABS1200 DA  / Earthworks (Small Works) / 8.3 / 8.3.4 / Suitable Earthen Backfill Material / KS16_005-Infilling of Drains / 52 / m³" u="1"/>
        <s v="SABS1200 DA \Earthworks (Small Works)/8.3\SCHEDULED ITEMS/8.3.4\Importing of Suitable Backfill Material from Spoil Stockpile or other Borrow Sources on Site.. Rate to allow for loading from stockpile/ borrow source, transport within 5km freehaul distance, stockpiling (if required), placing, spreading  and compacting material in layers, as specified by the engineer./\KS20_010-Infilling of Drains  \m³\2.82743338823081 \ 250" u="1"/>
        <s v="SABS1200 DA \Earthworks (Small Works)/8.3\SCHEDULED ITEMS/8.3.4\Importing of Suitable Backfill Material from Spoil Stockpile or other Borrow Sources on Site.. Rate to allow for loading from stockpile or borrow source, transport within 5km freehaul distance, stockpiling (if required), placing, spreading  and compacting material in layers, as specified by the engineer./\LS16_021-Backfill Main Channel  \m³\2656.6 \ 250" u="1"/>
        <s v="SABS1200 DA \Earthworks (Small Works)/8.3\SCHEDULED ITEMS/8.3.4\Importing of Suitable Backfill Material from Spoil Stockpile or other Borrow Sources on Site.. Rate to allow for loading from stockpile/ borrow source, transport within 5km freehaul distance, stockpiling (if required), placing, spreading  and compacting material in layers, as specified by the engineer./\KS19_001-Infilling of Drains  \m³\1.69646003293849 \ 250" u="1"/>
        <s v="SABS1200 DA  \ Earthworks (Small Works) / 8.3\ SCHEDULED ITEMS / 8.3.4 \ Importing of Suitable Backfill Material from Spoil Stockpile or other Borrow Sources on Site.. Rate to allow for loading from stockpile/ borrow source, transport within 5km freehaul distance, stockpiling (if required), placing, spreading  and compacting material in layers, as specified by the engineer./\KS12_007-Concrete Drop Inlet. Refer to drawing F \m³\25.978 \ 100" u="1"/>
        <s v="SABS1200 DA  \ Earthworks (Small Works) / 8.3\ SCHEDULED ITEMS / 8.3.4 \ Importing of Material from Spoil Stockpile or other Borrow Sources on Site.. Suitable Earthen Backfill Material/\KS20_001-Concrete Drop Inlet \m³\32.7276 \ 100" u="1"/>
        <s v="SABS1200 DA  \ Earthworks (Small Works) / 8.3\ SCHEDULED ITEMS / 8.3.4 \ Importing of Material from Spoil Stockpile or other Borrow Sources on Site.. Suitable Earthen Backfill Material/\KS18_018-Concrete Drop Inlet \m³\29.2436 \ 100" u="1"/>
        <s v="SABS1200 DA \Earthworks (Small Works)/8.3\SCHEDULED ITEMS/8.3.4\Importing of Suitable Backfill Material from Spoil Stockpile or other Borrow Sources on Site.. Rate to allow for loading from stockpile/ borrow source, transport within 5km freehaul distance, stockpiling (if required), placing, spreading  and compacting material in layers, as specified by the engineer./\KS21-004-Earthworks  \m³\13.875 \ 25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3_002-Infilling of Drains  \m³\15 \ 300" u="1"/>
        <s v="SABS1200 DA  / Earthworks (Small Works) / 8.3 / 8.3.4 / Suitable Earthen Backfill Material / KS13_002-Infilling of Drains / 92 / m³" u="1"/>
        <s v="SABS1200 DA  / Earthworks (Small Works) / 8.3 / 8.3.4 / Suitable Earthen Backfill Material / Pan14-001-Reinstate Pan Edge / 92 / m³"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20_003-Concrete Buttress Weir. Drawing NBC-GTW-CL-0029 \m³\22.85 \ 300" u="1"/>
        <s v="SABS1200 DA  / Earthworks (Small Works) / 8.3 / 8.3.4 / Suitable Earthen Backfill Material / KS21-002-Earthworks / 42 / m³" u="1"/>
        <s v="SABS1200 DA  \ Earthworks (Small Works) / 8.3\ SCHEDULED ITEMS / 8.3.4 \ Importing of Material from Spoil Stockpile or other Borrow Sources on Site.. Suitable Earthen Backfill Material/\KS20_001-Concrete Drop Inlet. Refer to drawing AA \m³\32.7276 \ 100" u="1"/>
        <s v="SABS1200 DA  \ Earthworks (Small Works) / 8.3\ SCHEDULED ITEMS / 8.3.4 \ Importing of Material from Spoil Stockpile or other Borrow Sources on Site.. Suitable Earthen Backfill Material/\KS13_014-Earthen Berm  \m³\64.84266 \ 100" u="1"/>
        <s v="SABS1200 DA \Earthworks (Small Works)/8.3\SCHEDULED ITEMS/8.3.4\Importing of Suitable Backfill Material from Spoil Stockpile or other Borrow Sources on Site.. Rate to allow for loading from stockpile/ borrow source, transport within 5km freehaul distance, stockpiling (if required), placing, spreading  and compacting material in layers, as specified by the engineer./\KS21-008-Infilling of Drain  \m³\83.9 \ 250" u="1"/>
        <s v="SABS1200 DA  \ Earthworks (Small Works) / 8.3\ SCHEDULED ITEMS / 8.3.4 \ Importing of Material from Spoil Stockpile or other Borrow Sources on Site.. Suitable Earthen Backfill Material/\KS13_005-Concrete Drop Inlet. Refer to drawing K \m³\2.7444 \ 100" u="1"/>
        <s v="SABS1200 DA  \ Earthworks (Small Works) / 8.3\ SCHEDULED ITEMS / 8.3.4 \ Importing of Material from Spoil Stockpile or other Borrow Sources on Site.. Suitable Earthen Backfill Material/\KS13_006-Concrete Drop Inlet. Refer to drawing L \m³\2.7444 \ 100" u="1"/>
        <s v="SABS1200 DA  \ Earthworks (Small Works) / 8.3\ SCHEDULED ITEMS / 8.3.4 \ Importing of Suitable Backfill Material from Spoil Stockpile or other Borrow Sources on Site.. Rate to allow for loading from stockpile/ borrow source, transport within 5km freehaul distance, stockpiling (if required), placing, spreading  and compacting material in layers, as specified by the engineer./\KS20_002-Concrete Drop Inlet. Refer to drawing AB \m³\40.8744 \ 100" u="1"/>
        <s v="SABS1200 DA \Earthworks (Small Works)/8.3\SCHEDULED ITEMS/8.3.4\Importing of Suitable Backfill Material from Spoil Stockpile or other Borrow Sources on Site.. Rate to allow for loading from stockpile/ borrow source, transport within 5km freehaul distance, stockpiling (if required), placing, spreading  and compacting material in layers, as specified by the engineer./\KS16_004-Infilling of Drains  \m³\96 \ 250" u="1"/>
        <s v="SABS1200 DA \Earthworks (Small Works)/8.3\SCHEDULED ITEMS/8.3.4\Importing of Suitable Backfill Material from Spoil Stockpile or other Borrow Sources on Site.. Rate to allow for loading from stockpile/ borrow source, transport within 5km freehaul distance, stockpiling (if required), placing, spreading  and compacting material in layers, as specified by the engineer./\Pan8_002-Infilling of Drains  \m³\84 \ 250" u="1"/>
        <s v="SABS1200 DA  \ Earthworks (Small Works) / 8.3\ SCHEDULED ITEMS / 8.3.4 \ Importing of Material from Spoil Stockpile or other Borrow Sources on Site.. Suitable Earthen Backfill Material/\LS16_014-Ecologs \m³\1.27234502470387 \ 100" u="1"/>
        <s v="SABS1200 DA  \ Earthworks (Small Works) / 8.3\ SCHEDULED ITEMS / 8.3.4 \ Importing of Suitable Backfill Material from Spoil Stockpile or other Borrow Sources on Site.. Rate to allow for loading from stockpile/ borrow source, transport within 5km freehaul distance, stockpiling (if required), placing, spreading  and compacting material in layers, as specified by the engineer./\LS16_016-Gabion energy breaker  \m³\2.4 \ 100" u="1"/>
        <s v="SABS1200 DA  \ Earthworks (Small Works) / 8.3\ SCHEDULED ITEMS / 8.3.4 \ Importing of Suitable Backfill Material from Spoil Stockpile or other Borrow Sources on Site.. Rate to allow for loading from stockpile/ borrow source, transport within 5km freehaul distance, stockpiling (if required), placing, spreading  and compacting material in layers, as specified by the engineer./\KS18_016-Concrete Drop Inlet. Refer to drawing V \m³\11.5948 \ 100" u="1"/>
        <s v="SABS1200 DA  \ Earthworks (Small Works) / 8.3\ SCHEDULED ITEMS / 8.3.4 \ Importing of Suitable Backfill Material from Spoil Stockpile or other Borrow Sources on Site.. Rate to allow for loading from stockpile/ borrow source, transport within 5km freehaul distance, stockpiling (if required), placing, spreading  and compacting material in layers, as specified by the engineer./\LS16_017-Gabion energy breaker  \m³\2.8 \ 100" u="1"/>
        <s v="SABS1200 DA \Earthworks (Small Works)/8.3\SCHEDULED ITEMS/8.3.4\Importing of Suitable Backfill Material from Spoil Stockpile or other Borrow Sources on Site.. Rate to allow for loading from stockpile or borrow source, transport within 5km freehaul distance, stockpiling (if required), placing, spreading  and compacting material in layers, as specified by the engineer./\Pan14_008-Infilling of Drains  \m³\18.36 \ 250" u="1"/>
        <s v="SABS1200 DA  \ Earthworks (Small Works) / 8.3\ SCHEDULED ITEMS / 8.3.4 \ Importing of Material from Spoil Stockpile or other Borrow Sources on Site.. Suitable Earthen Backfill Material/\KS20_002-Concrete Drop Inlet \m³\40.8744 \ 100" u="1"/>
        <s v="SABS1200 DA  \ Earthworks (Small Works) / 8.3\ SCHEDULED ITEMS / 8.3.4 \ Importing of Suitable Backfill Material from Spoil Stockpile or other Borrow Sources on Site.. Rate to allow for loading from stockpile/ borrow source, transport within 5km freehaul distance, stockpiling (if required), placing, spreading  and compacting material in layers, as specified by the engineer./\KS13_016-Infilling of Drains  \m³\111.91475 \ 100" u="1"/>
        <s v="SABS1200 DA  \ Earthworks (Small Works) / 8.3\ SCHEDULED ITEMS / 8.3.4 \ Importing of Material from Spoil Stockpile or other Borrow Sources on Site.. Suitable Earthen Backfill Material/\KS18_017-Concrete Drop Inlet \m³\11.0904 \ 1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9_007-Infilling of Drains  \m³\38 \ 300" u="1"/>
        <s v="SABS1200 DA  \ Earthworks (Small Works) / 8.3\ SCHEDULED ITEMS / 8.3.4 \ Importing of Suitable Backfill Material from Spoil Stockpile or other Borrow Sources on Site.. Rate to allow for loading from stockpile/ borrow source, transport within 5km freehaul distance, stockpiling (if required), placing, spreading  and compacting material in layers, as specified by the engineer./\KS20_010-Infilling of Drains  \m³\2.82743338823081 \ 100" u="1"/>
        <s v="SABS1200 DA \EARTHWORKS (SMALL WORKS)/8.3\SCHEDULED ITEMS/8.3.4\Importing of Suitable Backfill Material from Spoil Stockpile or other Borrow Sources on Site. Rate to allow for loading from stockpile or borrow source, transport within 5km freehaul distance, stockpiling (if required), placing, spreading  and compacting material in layers, as specified by the engineer./\KS20_002-Concrete Drop Inlet. Refer to drawing NBC-GTW-CL-0028 \m³\40.8744 \ 250" u="1"/>
        <s v="SABS1200 DA \Earthworks (Small Works)/8.3\SCHEDULED ITEMS/8.3.4\Importing of Suitable Backfill Material from Spoil Stockpile or other Borrow Sources on Site.. Rate to allow for loading from stockpile or borrow source, transport within 5km freehaul distance, stockpiling (if required), placing, spreading  and compacting material in layers, as specified by the engineer./\KS13_008-Concrete Drop Inlet. Refer to drawing NBC-GTW-CL-0014 \m³\3.1744 \ 250" u="1"/>
        <s v="SABS1200 DA  \ Earthworks (Small Works) / 8.3\ SCHEDULED ITEMS / 8.3.4 \ Importing of Material from Spoil Stockpile or other Borrow Sources on Site.. Suitable Earthen Backfill Material/\LS16_001-Concrete Cut-Off Walls \m³\27 \ 100" u="1"/>
        <s v="SABS1200 DA  \ Earthworks (Small Works) / 8.3\ SCHEDULED ITEMS / 8.3.4 \ Importing of Suitable Backfill Material from Spoil Stockpile or other Borrow Sources on Site.. Rate to allow for loading from stockpile/ borrow source, transport within 5km freehaul distance, stockpiling (if required), placing, spreading  and compacting material in layers, as specified by the engineer./\KS16_002-Infilling of Drains  \m³\16.7658333333333 \ 100" u="1"/>
        <s v="SABS1200 DA  \ Earthworks (Small Works) / 8.3\ SCHEDULED ITEMS / 8.3.4 \ Importing of Material from Spoil Stockpile or other Borrow Sources on Site.. Suitable Earthen Backfill Material/\KS13_008-Concrete Drop Inlet. Refer to drawing N \m³\3.1744 \ 100" u="1"/>
        <s v="SABS1200 DA \EARTHWORKS (SMALL WORKS)/8.3\SCHEDULED ITEMS/8.3.4\Importing of Suitable Backfill Material from Spoil Stockpile or other Borrow Sources on Site. Rate to allow for loading from stockpile or borrow source, transport within 5km freehaul distance, stockpiling (if required), placing, spreading  and compacting material in layers, as specified by the engineer./\KS19_003-Headcut  \m³\2.40331837999619 \ 250" u="1"/>
        <s v="SABS1200 DA  \ Earthworks (Small Works) / 8.3\ SCHEDULED ITEMS / 8.3.4 \ Importing of Material from Spoil Stockpile or other Borrow Sources on Site.. Suitable Earthen Backfill Material/\KS12_008-Concrete Drop Inlet. Refer to drawing G \m³\16.6032 \ 100" u="1"/>
        <s v="SABS1200 DA \EARTHWORKS (SMALL WORKS)/8.3\SCHEDULED ITEMS/8.3.4\Importing of Suitable Backfill Material from Spoil Stockpile or other Borrow Sources on Site. Rate to allow for loading from stockpile or borrow source, transport within 5km freehaul distance, stockpiling (if required), placing, spreading  and compacting material in layers, as specified by the engineer./\Pan8_002-Infilling of Drains  \m³\84 \ 25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LS16_016-Gabion energy breaker  \m³\2.4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3_014-Infilling of Drains  \m³\64.84266 \ 300" u="1"/>
        <s v="SABS1200 DA  \ Earthworks (Small Works) / 8.3\ SCHEDULED ITEMS / 8.3.4 \ Importing of Material from Spoil Stockpile or other Borrow Sources on Site.. Suitable Earthen Backfill Material/\KS13_013-Concrete Drop Inlet \m³\12.0852 \ 100" u="1"/>
        <s v="SABS1200 DA  \ Earthworks (Small Works) / 8.3\ SCHEDULED ITEMS / 8.3.4 \ Importing of Suitable Backfill Material from Spoil Stockpile or other Borrow Sources on Site.. Rate to allow for loading from stockpile/ borrow source, transport within 5km freehaul distance, stockpiling (if required), placing, spreading  and compacting material in layers, as specified by the engineer./\KS18_015-Concrete Drop Inlet. Refer to drawing U \m³\23.5168 \ 100" u="1"/>
        <s v="SABS1200 DA  \ Earthworks (Small Works) / 8.3\ SCHEDULED ITEMS / 8.3.4 \ Importing of Material from Spoil Stockpile or other Borrow Sources on Site.. Suitable Earthen Backfill Material/\KS16_001-Infilling of Drains \m³\109.1138125 \ 100" u="1"/>
        <s v="SABS1200 DA \Earthworks (Small Works)/8.3\SCHEDULED ITEMS/8.3.4\Importing of Suitable Backfill Material from Spoil Stockpile or other Borrow Sources on Site.. Rate to allow for loading from stockpile/ borrow source, transport within 5km freehaul distance, stockpiling (if required), placing, spreading  and compacting material in layers, as specified by the engineer./\Pan14-001-Reinstate Pan Edge  \m³\92 \ 250" u="1"/>
        <s v="SABS1200 DA  \ Earthworks (Small Works) / 8.3\ SCHEDULED ITEMS / 8.3.4 \ Importing of Material from Spoil Stockpile or other Borrow Sources on Site.. Suitable Earthen Backfill Material/\Pan14_008-Infilling of Drains \m³\18.36 \ 100" u="1"/>
        <s v="SABS1200 DA \Earthworks (Small Works)/8.3\SCHEDULED ITEMS/8.3.4\Importing of Suitable Backfill Material from Spoil Stockpile or other Borrow Sources on Site.. Rate to allow for loading from stockpile/ borrow source, transport within 5km freehaul distance, stockpiling (if required), placing, spreading  and compacting material in layers, as specified by the engineer./\KS20_009_a-Concrete Drop Inlet. Refer to drawing NBC-GTW-CL-0035 \m³\22.6896 \ 250" u="1"/>
        <s v="SABS1200 DA \Earthworks (Small Works)/8.3\SCHEDULED ITEMS/8.3.4\Importing of Suitable Backfill Material from Spoil Stockpile or other Borrow Sources on Site.. Rate to allow for loading from stockpile/ borrow source, transport within 5km freehaul distance, stockpiling (if required), placing, spreading  and compacting material in layers, as specified by the engineer./\KS16_001-Infilling of Drains  \m³\109.1138125 \ 250" u="1"/>
        <s v="SABS1200 DA  \ Earthworks (Small Works) / 8.3\ SCHEDULED ITEMS / 8.3.4 \ Importing of Material from Spoil Stockpile or other Borrow Sources on Site.. Suitable Earthen Backfill Material/\KS18_018-Concrete Drop Inlet. Refer to drawing X \m³\29.2436 \ 100" u="1"/>
        <s v="SABS1200 DA \Earthworks (Small Works)/8.3\SCHEDULED ITEMS/8.3.4\Importing of Suitable Backfill Material from Spoil Stockpile or other Borrow Sources on Site.. Rate to allow for loading from stockpile or borrow source, transport within 5km freehaul distance, stockpiling (if required), placing, spreading  and compacting material in layers, as specified by the engineer./\KS12_006-Concrete Drop Inlet. Refer to drawing NBC-GTW-CL-0005 \m³\14.729 \ 250" u="1"/>
        <s v="SABS1200 DA \Earthworks (Small Works)/8.3\SCHEDULED ITEMS/8.3.4\Importing of Suitable Backfill Material from Spoil Stockpile or other Borrow Sources on Site.. Rate to allow for loading from stockpile or borrow source, transport within 5km freehaul distance, stockpiling (if required), placing, spreading  and compacting material in layers, as specified by the engineer./\KS19_003-Headcut  \m³\2.40331837999619 \ 250" u="1"/>
        <s v="SABS1200 DA  / Earthworks (Small Works) / 8.3 / 8.3.4 / Suitable Earthen Backfill Material / Pan14_010-Infilling of Drains / 477.4 / m³" u="1"/>
        <s v="SABS1200 DA  \ Earthworks (Small Works) / 8.3\ SCHEDULED ITEMS / 8.3.4 \ Importing of Material from Spoil Stockpile or other Borrow Sources on Site.. Suitable Earthen Backfill Material/\KS20_005-Concrete Drop Inlet. Refer to drawing AE \m³\18.755 \ 100" u="1"/>
        <s v="SABS1200 DA \EARTHWORKS (SMALL WORKS)/8.3\SCHEDULED ITEMS/8.3.4\Importing of Suitable Backfill Material from Spoil Stockpile or other Borrow Sources on Site. Rate to allow for loading from stockpile or borrow source, transport within 5km freehaul distance, stockpiling (if required), placing, spreading  and compacting material in layers, as specified by the engineer./\KS20_003-Concrete Buttress Weir. Refer to drawing NBC-GTW-CL-0029 \m³\22.85 \ 250" u="1"/>
        <s v="SABS1200 DA \EARTHWORKS (SMALL WORKS)/8.3\SCHEDULED ITEMS/8.3.4\Importing of Suitable Backfill Material from Spoil Stockpile or other Borrow Sources on Site. Rate to allow for loading from stockpile or borrow source, transport within 5km freehaul distance, stockpiling (if required), placing, spreading  and compacting material in layers, as specified by the engineer./\KS20_007-Concrete Drop Inlet. Refer to drawing NBC-GTW-CL-0033 \m³\14.9706 \ 25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2_007-Concrete Drop Inlet. Refer to drawing NBC-GTW-CL-0006 \m³\25.978 \ 300" u="1"/>
        <s v="SABS1200 DA \Earthworks (Small Works)/8.3\SCHEDULED ITEMS/8.3.4\Importing of Suitable Backfill Material from Spoil Stockpile or other Borrow Sources on Site.. Rate to allow for loading from stockpile or borrow source, transport within 5km freehaul distance, stockpiling (if required), placing, spreading  and compacting material in layers, as specified by the engineer./\KS13_004-Concrete Drop Inlet. Refer to drawing NBC-GTW-CL-0010 \m³\7.147 \ 250" u="1"/>
        <s v="SABS1200 DA \EARTHWORKS (SMALL WORKS)/8.3\SCHEDULED ITEMS/8.3.4\Importing of Suitable Backfill Material from Spoil Stockpile or other Borrow Sources on Site. Rate to allow for loading from stockpile or borrow source, transport within 5km freehaul distance, stockpiling (if required), placing, spreading  and compacting material in layers, as specified by the engineer./\KS18_016-Concrete Drop Inlet. Refer to drawing NBC-GTW-CL-0022 \m³\11.5948 \ 250" u="1"/>
        <s v="SABS1200 DA \Earthworks (Small Works)/8.3\SCHEDULED ITEMS/8.3.4\Importing of Suitable Backfill Material from Spoil Stockpile or other Borrow Sources on Site.. Rate to allow for loading from stockpile or borrow source, transport within 5km freehaul distance, stockpiling (if required), placing, spreading  and compacting material in layers, as specified by the engineer./\KS18_018-Concrete Drop Inlet. Refer to drawing NBC-GTW-CL-0024 \m³\29.2436 \ 250" u="1"/>
        <s v="SABS1200 DA  \ Earthworks (Small Works) / 8.3\ SCHEDULED ITEMS / 8.3.4 \ Importing of Material from Spoil Stockpile or other Borrow Sources on Site.. Suitable Earthen Backfill Material/\KS20_009_c-Earthen Berm. Refer to drawing AK \m³\23 \ 100" u="1"/>
        <s v="SABS1200 DA \Earthworks (Small Works)/8.3\SCHEDULED ITEMS/8.3.4\Importing of Suitable Backfill Material from Spoil Stockpile or other Borrow Sources on Site.. Rate to allow for loading from stockpile or borrow source, transport within 5km freehaul distance, stockpiling (if required), placing, spreading  and compacting material in layers, as specified by the engineer./\KS13_016-Infilling of Drains  \m³\111.91475 \ 250" u="1"/>
        <s v="SABS1200 DA  \ Earthworks (Small Works) / 8.3\ SCHEDULED ITEMS / 8.3.4 \ Importing of Suitable Backfill Material from Spoil Stockpile or other Borrow Sources on Site.. Rate to allow for loading from stockpile/ borrow source, transport within 5km freehaul distance, stockpiling (if required), placing, spreading  and compacting material in layers, as specified by the engineer./\KS20_006-Concrete Drop Inlet. Refer to drawing AF \m³\16.7996 \ 100" u="1"/>
        <s v="SABS1200 DA  \ Earthworks (Small Works) / 8.3\ SCHEDULED ITEMS / 8.3.4 \ Importing of Suitable Backfill Material from Spoil Stockpile or other Borrow Sources on Site.. Rate to allow for loading from stockpile/ borrow source, transport within 5km freehaul distance, stockpiling (if required), placing, spreading  and compacting material in layers, as specified by the engineer./\KS19_002-Concrete Drop Inlet. Refer to drawing Z \m³\10.8096 \ 100" u="1"/>
        <s v="SABS1200 DA  / Earthworks (Small Works) / 8.3 / 8.3.4 / Suitable Earthen Backfill Material / KS16_005-Infilling of Drains / 14.4199102799772 / m³" u="1"/>
        <s v="SABS1200 DA  / Earthworks (Small Works) / 8.3 / 8.3.4 / Suitable Earthen Backfill Material / KS19_004-Infilling of Drains / 3.53429173528852 / m³" u="1"/>
        <s v="SABS1200 DA  / Earthworks (Small Works) / 8.3 / 8.3.4 / Suitable Earthen Backfill Material / KS13_002b-Infilling of Drains / 9 / m³" u="1"/>
        <s v="SABS1200 DA \EARTHWORKS (SMALL WORKS)/8.3\SCHEDULED ITEMS/8.3.4\Importing of Suitable Backfill Material from Spoil Stockpile or other Borrow Sources on Site. Rate to allow for loading from stockpile or borrow source, transport within 5km freehaul distance, stockpiling (if required), placing, spreading  and compacting material in layers, as specified by the engineer./\Pan14_004-Infilling of Drains  \m³\90 \ 250" u="1"/>
        <s v="SABS1200 DA \EARTHWORKS (SMALL WORKS)/8.3\SCHEDULED ITEMS/8.3.4\Importing of Suitable Backfill Material from Spoil Stockpile or other Borrow Sources on Site. Rate to allow for loading from stockpile or borrow source, transport within 5km freehaul distance, stockpiling (if required), placing, spreading  and compacting material in layers, as specified by the engineer./\KS18_017-Concrete Drop Inlet. Refer to drawing NBC-GTW-CL-0023 \m³\11.0904 \ 25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9_005-Infilling of Drains  \m³\3.67566340470006 \ 300" u="1"/>
        <s v="SABS1200 DA \Earthworks (Small Works)/8.3\SCHEDULED ITEMS/8.3.4\Importing of Suitable Backfill Material from Spoil Stockpile or other Borrow Sources on Site.. Rate to allow for loading from stockpile or borrow source, transport within 5km freehaul distance, stockpiling (if required), placing, spreading  and compacting material in layers, as specified by the engineer./\KS20_001-Concrete Drop Inlet. Refer to drawing NBC-GTW-CL-0027 \m³\32.7276 \ 250" u="1"/>
        <s v="SABS1200 DA  / Earthworks (Small Works) / 8.3 / 8.3.4 / Suitable Earthen Backfill Material / KS12_001-Pipe Culvert / 30 / m³" u="1"/>
        <s v="SABS1200 DA  / Earthworks (Small Works) / 8.3 / 8.3.4 / Suitable Earthen Backfill Material / KS13_016-Infilling of Drains / 111.91475 / m³" u="1"/>
        <s v="SABS1200 DA  / Earthworks (Small Works) / 8.3 / 8.3.4 / Suitable Earthen Backfill Material / Pan8_002-Infilling of Drains / 163.931 / m³" u="1"/>
        <s v="SABS1200 DA  / Earthworks (Small Works) / 8.3 / 8.3.4 / Suitable Earthen Backfill Material / KS16_007-Infilling of Drains / 320 / m³" u="1"/>
        <s v="SABS1200 DA  \ Earthworks (Small Works) / 8.3\ SCHEDULED ITEMS / 8.3.4 \ Importing of Suitable Backfill Material from Spoil Stockpile or other Borrow Sources on Site.. Rate to allow for loading from stockpile/ borrow source, transport within 5km freehaul distance, stockpiling (if required), placing, spreading  and compacting material in layers, as specified by the engineer./\Pan14_006-Earthen Berms  \m³\57.375 \ 100" u="1"/>
        <s v="SABS1200 DA  \ Earthworks (Small Works) / 8.3\ SCHEDULED ITEMS / 8.3.4 \ Importing of Suitable Backfill Material from Spoil Stockpile or other Borrow Sources on Site.. Rate to allow for loading from stockpile/ borrow source, transport within 5km freehaul distance, stockpiling (if required), placing, spreading  and compacting material in layers, as specified by the engineer./\Pan14_004-Infilling of Drains  \m³\90 \ 100" u="1"/>
        <s v="SABS1200 DA  \ Earthworks (Small Works) / 8.3\ SCHEDULED ITEMS / 8.3.4 \ Importing of Material from Spoil Stockpile or other Borrow Sources on Site.. Suitable Earthen Backfill Material/\KS16_004-Infilling of Drains  \m³\96 \ 100" u="1"/>
        <s v="SABS1200 DA \Earthworks (Small Works)/8.3\SCHEDULED ITEMS/8.3.4\Importing of Suitable Backfill Material from Spoil Stockpile or other Borrow Sources on Site.. Rate to allow for loading from stockpile or borrow source, transport within 5km freehaul distance, stockpiling (if required), placing, spreading  and compacting material in layers, as specified by the engineer./\KS19_002-Concrete Drop Inlet. Refer to drawing NBC-GTW-CL-0026 \m³\10.8096 \ 250" u="1"/>
        <s v="SABS1200 DA  \ Earthworks (Small Works) / 8.3\ SCHEDULED ITEMS / 8.3.4 \ Importing of Material from Spoil Stockpile or other Borrow Sources on Site.. Suitable Earthen Backfill Material/\KS16_003-Infilling of Drains  \m³\11.1683618835117 \ 100" u="1"/>
        <s v="SABS1200 DA  / Earthworks (Small Works) / 8.3 / 8.3.4 / Suitable Earthen Backfill Material / KS13_016-Infilling of Drains / 63 / m³" u="1"/>
        <s v="SABS1200 DA \Earthworks (Small Works)/8.3\SCHEDULED ITEMS/8.3.4\Importing of Suitable Backfill Material from Spoil Stockpile or other Borrow Sources on Site.. Rate to allow for loading from stockpile or borrow source, transport within 5km freehaul distance, stockpiling (if required), placing, spreading  and compacting material in layers, as specified by the engineer./\LS16_014-Ecologs  \m³\1.27234502470387 \ 250" u="1"/>
        <s v="SABS1200 DA  / Earthworks (Small Works) / 8.3 / 8.3.4 / Suitable Earthen Backfill Material / KS20_003-Concrete Buttress Weir / 22.85 / m³" u="1"/>
        <s v="SABS1200 DA  \ Earthworks (Small Works) / 8.3\ SCHEDULED ITEMS / 8.3.4 \ Importing of Suitable Backfill Material from Spoil Stockpile or other Borrow Sources on Site.. Rate to allow for loading from stockpile/ borrow source, transport within 5km freehaul distance, stockpiling (if required), placing, spreading  and compacting material in layers, as specified by the engineer./\KS18_002-Concrete Drop Inlet. Refer to drawing T \m³\12 \ 100" u="1"/>
        <s v="SABS1200 DA  \ Earthworks (Small Works) / 8.3\ SCHEDULED ITEMS / 8.3.4 \ Importing of Material from Spoil Stockpile or other Borrow Sources on Site.. Suitable Earthen Backfill Material/\KS13_009-Infilling of Drains \m³\12.5385 \ 100" u="1"/>
        <s v="SABS1200 DA  \ Earthworks (Small Works) / 8.3\ SCHEDULED ITEMS / 8.3.4 \ Importing of Suitable Backfill Material from Spoil Stockpile or other Borrow Sources on Site.. Rate to allow for loading from stockpile/ borrow source, transport within 5km freehaul distance, stockpiling (if required), placing, spreading  and compacting material in layers, as specified by the engineer./\KS13_015-Concrete Drop Inlet. Refer to drawing R \m³\21.288 \ 1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3_015-Concrete Drop Inlet. Drawing NBC-GTW-CL-0018 \m³\21.288 \ 300" u="1"/>
        <s v="SABS1200 DA  \ Earthworks (Small Works) / 8.3\ SCHEDULED ITEMS / 8.3.4 \ Importing of Material from Spoil Stockpile or other Borrow Sources on Site.. Suitable Earthen Backfill Material/\KS20_003-Concrete Buttress Weir \m³\22.85 \ 1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20_009_c-Earthen Berm. Drawing NBC-GTW-CL-0035 \m³\23 \ 300" u="1"/>
        <s v="SABS1200 DA  \ Earthworks (Small Works) / 8.3\ SCHEDULED ITEMS / 8.3.4 \ Importing of Material from Spoil Stockpile or other Borrow Sources on Site.. Suitable Earthen Backfill Material/\KS15-002-Backfill Main Channel  \m³\2476.48321243472 \ 100" u="1"/>
        <s v="SABS1200 DA  \ Earthworks (Small Works) / 8.3\ SCHEDULED ITEMS / 8.3.4 \ Importing of Material from Spoil Stockpile or other Borrow Sources on Site.. Suitable Earthen Backfill Material/\KS20_010-Infilling of Drains \m³\2.82743338823081 \ 100" u="1"/>
        <s v="SABS1200 DA  \ Earthworks (Small Works) / 8.3\ SCHEDULED ITEMS / 8.3.4 \ Importing of Material from Spoil Stockpile or other Borrow Sources on Site.. Suitable Earthen Backfill Material/\LS16_015-Earthworks \m³\198.45 \ 100" u="1"/>
        <s v="SABS1200 DA  \ Earthworks (Small Works) / 8.3\ SCHEDULED ITEMS / 8.3.4 \ Importing of Material from Spoil Stockpile or other Borrow Sources on Site.. Suitable Earthen Backfill Material/\KS12_006-Concrete Drop Inlet. Refer to drawing E \m³\14.729 \ 100" u="1"/>
        <s v="SABS1200 DA \Earthworks (Small Works)/8.3\SCHEDULED ITEMS/8.3.4\Importing of Suitable Backfill Material from Spoil Stockpile or other Borrow Sources on Site.. Rate to allow for loading from stockpile or borrow source, transport within 5km freehaul distance, stockpiling (if required), placing, spreading  and compacting material in layers, as specified by the engineer./\KS19_007-Infilling of Drains  \m³\32.52501 \ 250" u="1"/>
        <s v="SABS1200 DA  \ Earthworks (Small Works) / 8.3\ SCHEDULED ITEMS / 8.3.4 \ Importing of Material from Spoil Stockpile or other Borrow Sources on Site.. Suitable Earthen Backfill Material/\KS19_006-Removal of Dam Wall  \m³\1129.1 \ 1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20_003-Concrete Buttress Weir. Refer to drawing NBC-GTW-CL-0029 \m³\22.85 \ 300" u="1"/>
        <s v="SABS1200 DA \Earthworks (Small Works)/8.3\SCHEDULED ITEMS/8.3.4\Importing of Suitable Backfill Material from Spoil Stockpile or other Borrow Sources on Site.. Rate to allow for loading from stockpile/ borrow source, transport within 5km freehaul distance, stockpiling (if required), placing, spreading  and compacting material in layers, as specified by the engineer./\KS13_001-Infilling of Drains  \m³\198.78426 \ 25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3_015-Concrete Drop Inlet. Refer to drawing NBC-GTW-CL-0018 \m³\21.288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20_009_c-Earthen Berm. Refer to drawing NBC-GTW-CL-0035 \m³\23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20_007-Concrete Drop Inlet. Refer to drawing NBC-GTW-CL-0033 \m³\14.9706 \ 300" u="1"/>
        <s v="SABS1200 DA  / Earthworks (Small Works) / 8.3 / 8.3.4 / Suitable Earthen Backfill Material / Pan14_010-Infilling of Drains / 1312.5 / m³" u="1"/>
        <s v="SABS1200 DA \EARTHWORKS (SMALL WORKS)/8.3\SCHEDULED ITEMS/8.3.4\Importing of Suitable Backfill Material from Spoil Stockpile or other Borrow Sources on Site. Rate to allow for loading from stockpile or borrow source, transport within 5km freehaul distance, stockpiling (if required), placing, spreading  and compacting material in layers, as specified by the engineer./\KS15_001-Fish Bowl  \m³\12.9 \ 250" u="1"/>
        <s v="SABS1200 DA \EARTHWORKS (SMALL WORKS)/8.3\SCHEDULED ITEMS/8.3.4\Importing of Suitable Backfill Material from Spoil Stockpile or other Borrow Sources on Site. Rate to allow for loading from stockpile or borrow source, transport within 5km freehaul distance, stockpiling (if required), placing, spreading  and compacting material in layers, as specified by the engineer./\Pan14_006-Earthen Berms  \m³\57.375 \ 250" u="1"/>
        <s v="SABS1200 DA \Earthworks (Small Works)/8.3\SCHEDULED ITEMS/8.3.4\Importing of Suitable Backfill Material from Spoil Stockpile or other Borrow Sources on Site.. Rate to allow for loading from stockpile/ borrow source, transport within 5km freehaul distance, stockpiling (if required), placing, spreading  and compacting material in layers, as specified by the engineer./\LS16_001-Concrete Cut-Off Walls  \m³\27 \ 250" u="1"/>
        <s v="SABS1200 DA  \ Earthworks (Small Works) / 8.3\ SCHEDULED ITEMS / 8.3.4 \ Importing of Material from Spoil Stockpile or other Borrow Sources on Site.. Suitable Earthen Backfill Material/\KS16_001-Infilling of Drains  \m³\109.1138125 \ 1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8_002-Concrete Drop Inlet. Drawing NBC-GTW-CL-0020 \m³\12 \ 300" u="1"/>
        <s v="SABS1200 DA \Earthworks (Small Works)/8.3\SCHEDULED ITEMS/8.3.4\Importing of Suitable Backfill Material from Spoil Stockpile or other Borrow Sources on Site.. Rate to allow for loading from stockpile or borrow source, transport within 5km freehaul distance, stockpiling (if required), placing, spreading  and compacting material in layers, as specified by the engineer./\KS19_006-Removal of Dam Wall  \m³\1129.1 \ 25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6_003-Infilling of Drains  \m³\11.1683618835117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8_002-Concrete Drop Inlet. Refer to drawing NBC-GTW-CL-0020 \m³\12 \ 300" u="1"/>
        <s v="SABS1200 DA  / Earthworks (Small Works) / 8.3 / 8.3.4 / Suitable Earthen Backfill Material / ks11-003-Earthworks / 24200 / m³" u="1"/>
        <s v="SABS1200 DA  \ Earthworks (Small Works) / 8.3\ SCHEDULED ITEMS / 8.3.4 \ Importing of Suitable Backfill Material from Spoil Stockpile or other Borrow Sources on Site.. Rate to allow for loading from stockpile/ borrow source, transport within 5km freehaul distance, stockpiling (if required), placing, spreading  and compacting material in layers, as specified by the engineer./\KS19_007-Infilling of Drains  \m³\32.52501 \ 100" u="1"/>
      </sharedItems>
    </cacheField>
    <cacheField name="Select granular material" numFmtId="0">
      <sharedItems count="41" longText="1">
        <s v=" "/>
        <s v="SABS1200 DA \EARTHWORKS (SMALL WORKS)/8.3\SCHEDULED ITEMS/8.3.4\Importing of Suitable Granular Material from Spoil Stockpile or other Borrow Sources on Site. Rate to allow for loading from stockpile or borrow source, transport within 5 km free haul distance, stockpiling (if required), placing, spreading  and compacting material in layers, as specified by the engineer./\LS16_016-Gabion energy breaker  \m³\2 \ 300"/>
        <s v="SABS1200 DA \EARTHWORKS (SMALL WORKS)/8.3\SCHEDULED ITEMS/8.3.4\Importing of Suitable Granular Material from Spoil Stockpile or other Borrow Sources on Site. Rate to allow for loading from stockpile or borrow source, transport within 5 km free haul distance, stockpiling (if required), placing, spreading  and compacting material in layers, as specified by the engineer./\LS16_017-Gabion energy breaker  \m³\0.666666666666667 \ 300"/>
        <s v="SABS1200 DA \EARTHWORKS (SMALL WORKS)/8.3\SCHEDULED ITEMS/8.3.4\Importing of Suitable Granular Material from Spoil Stockpile or other Borrow Sources on Site. Rate to allow for loading from stockpile or borrow source, transport within 5 km free haul distance, stockpiling (if required), placing, spreading  and compacting material in layers, as specified by the engineer./\LS16_018-Gabion energy breaker  \m³\3 \ 300"/>
        <s v="SABS1200 DA \EARTHWORKS (SMALL WORKS)/8.3\SCHEDULED ITEMS/8.3.4\Importing of Suitable Granular Material from Spoil Stockpile or other Borrow Sources on Site. Rate to allow for loading from stockpile or borrow source, transport within 5 km free haul distance, stockpiling (if required), placing, spreading  and compacting material in layers, as specified by the engineer./\LS16_019-Gabion energy breaker  \m³\1.00833333333333 \ 300"/>
        <s v="" u="1"/>
        <s v="SABS1200 DA \EARTHWORKS (SMALL WORKS)/8.3\SCHEDULED ITEMS/8.3.4\Importing of Suitable Granular Material from Spoil Stockpile or other Borrow Sources on Site. Rate to allow for loading from stockpile or borrow source, transport within 5km freehaul distance, stockpiling (if required), placing, spreading  and compacting material in layers, as specified by the engineer./\LS16_016-Gabion energy breaker  \m³\2 \ 250" u="1"/>
        <s v="SABS1200 DA  / Earthworks (Small Works) / 8.3 / 8.3.4 / Select granular material / LS16_017-Gabion energy breaker / 0.666666666666667 / m³" u="1"/>
        <s v="SABS1200 DA \Earthworks (Small Works)/8.3\SCHEDULED ITEMS/8.3.4\Importing of Suitable Granular Material from Spoil Stockpile or other Borrow Sources on Site.. Rate to allow for loading from stockpile or borrow source, transport within 5km freehaul distance, stockpiling (if required), placing, spreading  and compacting material in layers, as specified by the engineer./\KS18_014-Concrete Filled Geo-Cell Berm. Refer to drawing NBC-GTW-CL-0001 \m³\35.1075 \ 250" u="1"/>
        <s v="SABS1200 DA \Earthworks (Small Works)/8.3\SCHEDULED ITEMS/8.3.4\Importing of Suitable Granular Material from Spoil Stockpile or other Borrow Sources on Site.. Rate to allow for loading from stockpile or borrow source, transport within 5km freehaul distance, stockpiling (if required), placing, spreading  and compacting material in layers, as specified by the engineer./\LS16_016-Gabion energy breaker  \m³\2 \ 250" u="1"/>
        <s v="SABS1200 DA  \ Earthworks (Small Works) / 8.3\ SCHEDULED ITEMS / 8.3.4 \ Importing of Material from Spoil Stockpile or other Borrow Sources on Site.. Select granular material/\LS16_016-Gabion energy breaker \m³\2 \ 100" u="1"/>
        <s v="SABS1200 DA  \ Earthworks (Small Works) / 8.3\ SCHEDULED ITEMS / 8.3.4 \ Importing of Material from Spoil Stockpile or other Borrow Sources on Site.. Select granular material/\LS16_018-Gabion energy breaker \m³\3 \ 100" u="1"/>
        <s v="SABS1200 DA \EARTHWORKS (SMALL WORKS)/8.3\SCHEDULED ITEMS/8.3.4\Importing of Suitable Granular Material from Spoil Stockpile or other Borrow Sources on Site. Rate to allow for loading from stockpile or borrow source, transport within 5km freehaul distance, stockpiling (if required), placing, spreading  and compacting material in layers, as specified by the engineer./\LS16_019-Gabion energy breaker  \m³\1.00833333333333 \ 250" u="1"/>
        <s v="SABS1200 DA \EARTHWORKS (SMALL WORKS)/8.3\SCHEDULED ITEMS/8.3.4\Importing of Suitable Granular Material from Spoil Stockpile or other Borrow Sources on Site. Rate to allow for loading from stockpile or borrow source, transport within 5km freehaul distance, stockpiling (if required), placing, spreading  and compacting material in layers, as specified by the engineer./\KS18_014-Concrete Filled Geo-Cell Berm. Refer to drawing NBC-GTW-CL-0001 \m³\35.1075 \ 250" u="1"/>
        <s v="SABS1200 DA  \ Earthworks (Small Works) / 8.3\ SCHEDULED ITEMS / 8.3.4 \ Importing of Material from Spoil Stockpile or other Borrow Sources on Site.. Select granular material/\LS16_017-Gabion energy breaker  \m³\0.666666666666667 \ 100" u="1"/>
        <s v="SABS1200 DA  / Earthworks (Small Works) / 8.3 / 8.3.4 / Select granular material / LS16_019-Gabion energy breaker / 1.00833333333333 / m³" u="1"/>
        <s v="SABS1200 DA  \ Earthworks (Small Works) / 8.3\ SCHEDULED ITEMS / 8.3.4 \ Importing of Suitable Granular Material from Spoil Stockpile or other Borrow Sources on Site.. Rate to allow for loading from stockpile/ borrow source, transport within 5km freehaul distance, stockpiling (if required), placing, spreading  and compacting material in layers, as specified by the engineer./\LS16_017-Gabion energy breaker  \m³\0.666666666666667 \ 100" u="1"/>
        <s v="SABS1200 DA \Earthworks (Small Works)/8.3\SCHEDULED ITEMS/8.3.4\Importing of Suitable Granular Material from Spoil Stockpile or other Borrow Sources on Site.. Rate to allow for loading from stockpile or borrow source, transport within 5km freehaul distance, stockpiling (if required), placing, spreading  and compacting material in layers, as specified by the engineer./\LS16_017-Gabion energy breaker  \m³\0.666666666666667 \ 250" u="1"/>
        <s v="SABS1200 DA  \ Earthworks (Small Works) / 8.3\ SCHEDULED ITEMS / 8.3.4 \ Importing of Material from Spoil Stockpile or other Borrow Sources on Site.. Select granular material/\KS18_014-Concrete Filled Geo-Cell Berm \m³\35.1075 \ 100" u="1"/>
        <s v="SABS1200 DA  \ Earthworks (Small Works) / 8.3\ SCHEDULED ITEMS / 8.3.4 \ Importing of Suitable Granular Material from Spoil Stockpile or other Borrow Sources on Site.. Rate to allow for loading from stockpile/ borrow source, transport within 5km freehaul distance, stockpiling (if required), placing, spreading  and compacting material in layers, as specified by the engineer./\LS16_019-Gabion energy breaker  \m³\1.00833333333333 \ 100" u="1"/>
        <s v="SABS1200 DA \Earthworks (Small Works)/8.3\SCHEDULED ITEMS/8.3.4\Importing of Suitable Granular Material from Spoil Stockpile or other Borrow Sources on Site.. Rate to allow for loading from stockpile or borrow source, transport within 5km freehaul distance, stockpiling (if required), placing, spreading  and compacting material in layers, as specified by the engineer./\LS16_019-Gabion energy breaker  \m³\1.00833333333333 \ 250" u="1"/>
        <s v="SABS1200 DA  \ Earthworks (Small Works) / 8.3\ SCHEDULED ITEMS / 8.3.4 \ Importing of Suitable Granular Material from Spoil Stockpile or other Borrow Sources on Site.. Rate to allow for loading from stockpile/ borrow source, transport within 5km freehaul distance, stockpiling (if required), placing, spreading  and compacting material in layers, as specified by the engineer./\LS16_016-Gabion energy breaker  \m³\2 \ 100" u="1"/>
        <s v="SABS1200 DA  \ Earthworks (Small Works) / 8.3\ SCHEDULED ITEMS / 8.3.4 \ Importing of Material from Spoil Stockpile or other Borrow Sources on Site.. Select granular material/\LS16_018-Gabion energy breaker  \m³\3 \ 100" u="1"/>
        <s v="SABS1200 DA  \ Earthworks (Small Works) / 8.3\ SCHEDULED ITEMS / 8.3.4 \ Importing of Material from Spoil Stockpile or other Borrow Sources on Site.. Select granular material/\KS18_014-Concrete Filled Geo-Cell Berm. Refer to drawing A \m³\35.1075 \ 100" u="1"/>
        <s v="SABS1200 DA \Earthworks (Small Works)/8.3\SCHEDULED ITEMS/8.3.4\Importing of Suitable Granular Material from Spoil Stockpile or other Borrow Sources on Site.. Rate to allow for loading from stockpile/ borrow source, transport within 5km freehaul distance, stockpiling (if required), placing, spreading  and compacting material in layers, as specified by the engineer./\LS16_017-Gabion energy breaker  \m³\0.666666666666667 \ 250" u="1"/>
        <s v="SABS1200 DA  \ Earthworks (Small Works) / 8.3\ SCHEDULED ITEMS / 8.3.4 \ Importing of Material from Spoil Stockpile or other Borrow Sources on Site.. Select granular material/\LS16_019-Gabion energy breaker  \m³\1.00833333333333 \ 100" u="1"/>
        <s v="SABS1200 DA \Earthworks (Small Works)/8.3\SCHEDULED ITEMS/8.3.4\Importing of Suitable Granular Material from Spoil Stockpile or other Borrow Sources on Site.. Rate to allow for loading from stockpile/ borrow source, transport within 5km freehaul distance, stockpiling (if required), placing, spreading  and compacting material in layers, as specified by the engineer./\KS18_014-Concrete Filled Geo-Cell Berm. Refer to drawing NBC-GTW-CL-0001 \m³\35.1075 \ 250" u="1"/>
        <s v="SABS1200 DA  \ Earthworks (Small Works) / 8.3\ SCHEDULED ITEMS / 8.3.4 \ Importing of Material from Spoil Stockpile or other Borrow Sources on Site.. Select granular material/\LS16_016-Gabion energy breaker  \m³\2 \ 100" u="1"/>
        <s v="SABS1200 DA \EARTHWORKS (SMALL WORKS)/8.3\SCHEDULED ITEMS/8.3.4\Importing of Suitable Granular Material from Spoil Stockpile or other Borrow Sources on Site. Rate to allow for loading from stockpile or borrow source, transport within 5km freehaul distance, stockpiling (if required), placing, spreading  and compacting material in layers, as specified by the engineer./\LS16_017-Gabion energy breaker  \m³\0.666666666666667 \ 250" u="1"/>
        <s v="SABS1200 DA  \ Earthworks (Small Works) / 8.3\ SCHEDULED ITEMS / 8.3.4 \ Importing of Suitable Granular Material from Spoil Stockpile or other Borrow Sources on Site.. Rate to allow for loading from stockpile/ borrow source, transport within 5km freehaul distance, stockpiling (if required), placing, spreading  and compacting material in layers, as specified by the engineer./\KS18_014-Concrete Filled Geo-Cell Berm. Refer to drawing A \m³\35.1075 \ 100" u="1"/>
        <s v="SABS1200 DA \Earthworks (Small Works)/8.3\SCHEDULED ITEMS/8.3.4\Importing of Suitable Granular Material from Spoil Stockpile or other Borrow Sources on Site.. Rate to allow for loading from stockpile/ borrow source, transport within 5km freehaul distance, stockpiling (if required), placing, spreading  and compacting material in layers, as specified by the engineer./\LS16_019-Gabion energy breaker  \m³\1.00833333333333 \ 250" u="1"/>
        <s v="SABS1200 DA  / Earthworks (Small Works) / 8.3 / 8.3.4 / Select granular material / KS18_014-Concrete Filled Geo-Cell Berm / 35.1075 / m³" u="1"/>
        <s v="SABS1200 DA  \ Earthworks (Small Works) / 8.3\ SCHEDULED ITEMS / 8.3.4 \ Importing of Material from Spoil Stockpile or other Borrow Sources on Site.. Select granular material/\LS16_017-Gabion energy breaker \m³\0.666666666666667 \ 100" u="1"/>
        <s v="SABS1200 DA \EARTHWORKS (SMALL WORKS)/8.3\SCHEDULED ITEMS/8.3.4\Importing of Suitable Granular Material from Spoil Stockpile or other Borrow Sources on Site. Rate to allow for loading from stockpile or borrow source, transport within 5km freehaul distance, stockpiling (if required), placing, spreading  and compacting material in layers, as specified by the engineer./\LS16_018-Gabion energy breaker  \m³\3 \ 250" u="1"/>
        <s v="SABS1200 DA  \ Earthworks (Small Works) / 8.3\ SCHEDULED ITEMS / 8.3.4 \ Importing of Suitable Granular Material from Spoil Stockpile or other Borrow Sources on Site.. Rate to allow for loading from stockpile/ borrow source, transport within 5km freehaul distance, stockpiling (if required), placing, spreading  and compacting material in layers, as specified by the engineer./\LS16_018-Gabion energy breaker  \m³\3 \ 100" u="1"/>
        <s v="SABS1200 DA \Earthworks (Small Works)/8.3\SCHEDULED ITEMS/8.3.4\Importing of Suitable Granular Material from Spoil Stockpile or other Borrow Sources on Site.. Rate to allow for loading from stockpile or borrow source, transport within 5km freehaul distance, stockpiling (if required), placing, spreading  and compacting material in layers, as specified by the engineer./\LS16_018-Gabion energy breaker  \m³\3 \ 250" u="1"/>
        <s v="SABS1200 DA  / Earthworks (Small Works) / 8.3 / 8.3.4 / Select granular material / LS16_016-Gabion energy breaker / 2 / m³" u="1"/>
        <s v="SABS1200 DA \Earthworks (Small Works)/8.3\SCHEDULED ITEMS/8.3.4\Importing of Suitable Granular Material from Spoil Stockpile or other Borrow Sources on Site.. Rate to allow for loading from stockpile/ borrow source, transport within 5km freehaul distance, stockpiling (if required), placing, spreading  and compacting material in layers, as specified by the engineer./\LS16_016-Gabion energy breaker  \m³\2 \ 250" u="1"/>
        <s v="SABS1200 DA  / Earthworks (Small Works) / 8.3 / 8.3.4 / Select granular material / LS16_018-Gabion energy breaker / 3 / m³" u="1"/>
        <s v="SABS1200 DA  \ Earthworks (Small Works) / 8.3\ SCHEDULED ITEMS / 8.3.4 \ Importing of Material from Spoil Stockpile or other Borrow Sources on Site.. Select granular material/\LS16_019-Gabion energy breaker \m³\1.00833333333333 \ 100" u="1"/>
        <s v="SABS1200 DA \Earthworks (Small Works)/8.3\SCHEDULED ITEMS/8.3.4\Importing of Suitable Granular Material from Spoil Stockpile or other Borrow Sources on Site.. Rate to allow for loading from stockpile/ borrow source, transport within 5km freehaul distance, stockpiling (if required), placing, spreading  and compacting material in layers, as specified by the engineer./\LS16_018-Gabion energy breaker  \m³\3 \ 250" u="1"/>
      </sharedItems>
    </cacheField>
    <cacheField name="a) Cavities filled with approved excavated material or rock2" numFmtId="0">
      <sharedItems count="2">
        <s v=" "/>
        <s v="" u="1"/>
      </sharedItems>
    </cacheField>
    <cacheField name="b) Cavities filled with grade 15 concrete (provisional)2" numFmtId="0">
      <sharedItems count="17">
        <s v=" "/>
        <s v="SABS1200 DK \ GABIONS AND PITCHING / 8.2\ Surface preparation for bedding of gabions / 8.2.1  \ b) Cavities filled with grade 15 concrete (provisional). /\LS16_013-Gabion energy breaker  \m²\1 \ 75"/>
        <s v="SABS1200 DK \ GABIONS AND PITCHING / 8.2\ Surface preparation for bedding of gabions / 8.2.1  \ b) Cavities filled with grade 15 concrete (provisional). /\LS16_016-Gabion energy breaker  \m²\1 \ 75"/>
        <s v="SABS1200 DK \ GABIONS AND PITCHING / 8.2\ Surface preparation for bedding of gabions / 8.2.1  \ b) Cavities filled with grade 15 concrete (provisional). /\LS16_017-Gabion energy breaker  \m²\1 \ 75"/>
        <s v="SABS1200 DK \ GABIONS AND PITCHING / 8.2\ Surface preparation for bedding of gabions / 8.2.1  \ b) Cavities filled with grade 15 concrete (provisional). /\LS16_018-Gabion energy breaker  \m²\1 \ 75"/>
        <s v="SABS1200 DK \ GABIONS AND PITCHING / 8.2\ Surface preparation for bedding of gabions / 8.2.1  \ b) Cavities filled with grade 15 concrete (provisional). /\LS16_019-Gabion energy breaker  \m²\1 \ 75"/>
        <s v="" u="1"/>
        <s v="SABS1200 DK \ Gabions and Pitching / 8.2\ Surface preparation for bedding of gabions / 8.2.1  \ b) Cavities filled with grade 15 concrete (provisional). /\LS16_013-Gabion energy breaker \m²\1 \ 75" u="1"/>
        <s v="SABS1200 DK \ Gabions and Pitching / 8.2\ Surface preparation for bedding of gabions / 8.2.1  \ b) Cavities filled with grade 15 concrete (provisional). /\LS16_016-Gabion energy breaker \m²\1 \ 75" u="1"/>
        <s v="SABS1200 DK \ Gabions and Pitching / 8.2\ Surface preparation for bedding of gabions / 8.2.1  \ b) Cavities filled with grade 15 concrete (provisional). /\LS16_017-Gabion energy breaker \m²\1 \ 75" u="1"/>
        <s v="SABS1200 DK \ Gabions and Pitching / 8.2\ Surface preparation for bedding of gabions / 8.2.1  \ b) Cavities filled with grade 15 concrete (provisional). /\LS16_018-Gabion energy breaker \m²\1 \ 75" u="1"/>
        <s v="SABS1200 DK \ Gabions and Pitching / 8.2\ Surface preparation for bedding of gabions / 8.2.1  \ b) Cavities filled with grade 15 concrete (provisional). /\LS16_019-Gabion energy breaker \m²\1 \ 75" u="1"/>
        <s v="SABS1200 DK / Gabions and Pitching / 8.2 / 8.2.1  / b) Cavities filled with grade 15 concrete (provisional) / LS16_013-Gabion energy breaker / 1 / m²" u="1"/>
        <s v="SABS1200 DK / Gabions and Pitching / 8.2 / 8.2.1  / b) Cavities filled with grade 15 concrete (provisional) / LS16_016-Gabion energy breaker / 1 / m²" u="1"/>
        <s v="SABS1200 DK / Gabions and Pitching / 8.2 / 8.2.1  / b) Cavities filled with grade 15 concrete (provisional) / LS16_017-Gabion energy breaker / 1 / m²" u="1"/>
        <s v="SABS1200 DK / Gabions and Pitching / 8.2 / 8.2.1  / b) Cavities filled with grade 15 concrete (provisional) / LS16_018-Gabion energy breaker / 1 / m²" u="1"/>
        <s v="SABS1200 DK / Gabions and Pitching / 8.2 / 8.2.1  / b) Cavities filled with grade 15 concrete (provisional) / LS16_019-Gabion energy breaker / 1 / m²" u="1"/>
      </sharedItems>
    </cacheField>
    <cacheField name="1 m x 1 m x 1 m Galvanised Gabions2" numFmtId="0">
      <sharedItems count="2">
        <s v=" "/>
        <s v="" u="1"/>
      </sharedItems>
    </cacheField>
    <cacheField name="2 m x 1 m x 1 m Galvanised  Gabions2" numFmtId="0">
      <sharedItems count="4" longText="1">
        <s v=" "/>
        <s v="SABS1200 DK \ GABIONS AND PITCHING / 8.2\ Gabions. Rate to allow for supply of approved gabion hand rock, SABS approved gabion baskets, installation and tying as per suppliers specifications. / 8.2.2 \ 2 m x 1 m x 1 m Galvanised  Gabions. /\LS16_017-Gabion energy breaker  \m³\8 \ 1750"/>
        <s v="SABS1200 DK \ GABIONS AND PITCHING / 8.2\ Gabions. Rate to allow for supply of approved gabion hand rock, SABS approved gabion baskets, installation and tying as per suppliers specifications. / 8.2.2 \ 2 m x 1 m x 1 m Galvanised  Gabions. /\LS16_019-Gabion energy breaker  \m³\4 \ 1750"/>
        <s v="" u="1"/>
      </sharedItems>
    </cacheField>
    <cacheField name="3 m x 1 m x 1 m Galvanised Gabions2" numFmtId="0">
      <sharedItems count="22" longText="1">
        <s v=" "/>
        <s v="SABS1200 DK \ GABIONS AND PITCHING / 8.2\ Gabions. Rate to allow for supply of approved gabion hand rock, SABS approved gabion baskets, installation and tying as per suppliers specifications. / 8.2.2 \ 3 m x 1 m x 1 m Galvanised Gabions. /\LS16_013-Gabion energy breaker  \m³\9 \ 1750"/>
        <s v="SABS1200 DK \ GABIONS AND PITCHING / 8.2\ Gabions. Rate to allow for supply of approved gabion hand rock, SABS approved gabion baskets, installation and tying as per suppliers specifications. / 8.2.2 \ 3 m x 1 m x 1 m Galvanised Gabions. /\LS16_016-Gabion energy breaker  \m³\12 \ 1750"/>
        <s v="SABS1200 DK \ GABIONS AND PITCHING / 8.2\ Gabions. Rate to allow for supply of approved gabion hand rock, SABS approved gabion baskets, installation and tying as per suppliers specifications. / 8.2.2 \ 3 m x 1 m x 1 m Galvanised Gabions. /\LS16_017-Gabion energy breaker  \m³\6 \ 1750"/>
        <s v="SABS1200 DK \ GABIONS AND PITCHING / 8.2\ Gabions. Rate to allow for supply of approved gabion hand rock, SABS approved gabion baskets, installation and tying as per suppliers specifications. / 8.2.2 \ 3 m x 1 m x 1 m Galvanised Gabions. /\LS16_018-Gabion energy breaker  \m³\15 \ 1750"/>
        <s v="SABS1200 DK \ GABIONS AND PITCHING / 8.2\ Gabions. Rate to allow for supply of approved gabion hand rock, SABS approved gabion baskets, installation and tying as per suppliers specifications. / 8.2.2 \ 3 m x 1 m x 1 m Galvanised Gabions. /\LS16_019-Gabion energy breaker  \m³\12 \ 1750"/>
        <s v="" u="1"/>
        <s v="SABS1200 DK \ Gabions and Pitching / 8.2\ Gabions / 8.2.2 \ 3 m x 1 m x 1 m Galvanised Gabions. /\LS16_016-Gabion energy breaker  \m³\12 \ 1750" u="1"/>
        <s v="SABS1200 DK \ Gabions and Pitching / 8.2\ Gabions / 8.2.2 \ 3 m x 1 m x 1 m Galvanised Gabions. /\LS16_019-Gabion energy breaker  \m³\12 \ 1750" u="1"/>
        <s v="SABS1200 DK \ Gabions and Pitching / 8.2\ Gabions / 8.2.2 \ 3 m x 1 m x 1 m Galvanised Gabions. /\LS16_016-Gabion energy breaker \m³\12 \ 1750" u="1"/>
        <s v="SABS1200 DK \ Gabions and Pitching / 8.2\ Gabions / 8.2.2 \ 3 m x 1 m x 1 m Galvanised Gabions. /\LS16_019-Gabion energy breaker \m³\12 \ 1750" u="1"/>
        <s v="SABS1200 DK / Gabions and Pitching / 8.2 / 8.2.2 / 3 m x 1 m x 1 m Galvanised Gabions / LS16_013-Gabion energy breaker / 9 / m³" u="1"/>
        <s v="SABS1200 DK \ Gabions and Pitching / 8.2\ Gabions / 8.2.2 \ 3 m x 1 m x 1 m Galvanised Gabions. /\LS16_018-Gabion energy breaker  \m³\15 \ 1750" u="1"/>
        <s v="SABS1200 DK \ Gabions and Pitching / 8.2\ Gabions / 8.2.2 \ 3 m x 1 m x 1 m Galvanised Gabions. /\LS16_017-Gabion energy breaker \m³\6 \ 1750" u="1"/>
        <s v="SABS1200 DK / Gabions and Pitching / 8.2 / 8.2.2 / 3 m x 1 m x 1 m Galvanised Gabions / LS16_016-Gabion energy breaker / 12 / m³" u="1"/>
        <s v="SABS1200 DK / Gabions and Pitching / 8.2 / 8.2.2 / 3 m x 1 m x 1 m Galvanised Gabions / LS16_019-Gabion energy breaker / 12 / m³" u="1"/>
        <s v="SABS1200 DK \ Gabions and Pitching / 8.2\ Gabions / 8.2.2 \ 3 m x 1 m x 1 m Galvanised Gabions. /\LS16_013-Gabion energy breaker  \m³\9 \ 1750" u="1"/>
        <s v="SABS1200 DK / Gabions and Pitching / 8.2 / 8.2.2 / 3 m x 1 m x 1 m Galvanised Gabions / LS16_018-Gabion energy breaker / 15 / m³" u="1"/>
        <s v="SABS1200 DK \ Gabions and Pitching / 8.2\ Gabions / 8.2.2 \ 3 m x 1 m x 1 m Galvanised Gabions. /\LS16_013-Gabion energy breaker \m³\9 \ 1750" u="1"/>
        <s v="SABS1200 DK \ Gabions and Pitching / 8.2\ Gabions / 8.2.2 \ 3 m x 1 m x 1 m Galvanised Gabions. /\LS16_018-Gabion energy breaker \m³\15 \ 1750" u="1"/>
        <s v="SABS1200 DK / Gabions and Pitching / 8.2 / 8.2.2 / 3 m x 1 m x 1 m Galvanised Gabions / LS16_017-Gabion energy breaker / 6 / m³" u="1"/>
        <s v="SABS1200 DK \ Gabions and Pitching / 8.2\ Gabions / 8.2.2 \ 3 m x 1 m x 1 m Galvanised Gabions. /\LS16_017-Gabion energy breaker  \m³\6 \ 1750" u="1"/>
      </sharedItems>
    </cacheField>
    <cacheField name="4 m x 1 m x 1 m Galvanised Gabions2" numFmtId="0">
      <sharedItems count="10" longText="1">
        <s v=" "/>
        <s v="" u="1"/>
        <s v="SABS1200 DK \ GABIONS AND PITCHING / 8.2\ Gabions. Rate to allow for supply of approved gabion hand rock, SABS approved gabion baskets, installation and tying as per suppliers specifications. / 8.2.2 \ 4 m x 1 m x 1 m Galvanised Gabions. /\LS16_019-Gabion energy breaker  \m³\4 \ 1750" u="1"/>
        <s v="SABS1200 DK / Gabions and Pitching / 8.2 / 8.2.2 / 4 m x 1 m x 1 m Galvanised Gabions / LS16_019-Gabion energy breaker / 4 / m³" u="1"/>
        <s v="SABS1200 DK / Gabions and Pitching / 8.2 / 8.2.2 / 4 m x 1 m x 1 m Galvanised Gabions / LS16_017-Gabion energy breaker / 8 / m³" u="1"/>
        <s v="SABS1200 DK \ Gabions and Pitching / 8.2\ Gabions / 8.2.2 \ 4 m x 1 m x 1 m Galvanised Gabions. /\LS16_019-Gabion energy breaker  \m³\4 \ 1750" u="1"/>
        <s v="SABS1200 DK \ Gabions and Pitching / 8.2\ Gabions / 8.2.2 \ 4 m x 1 m x 1 m Galvanised Gabions. /\LS16_017-Gabion energy breaker  \m³\8 \ 1750" u="1"/>
        <s v="SABS1200 DK \ Gabions and Pitching / 8.2\ Gabions / 8.2.2 \ 4 m x 1 m x 1 m Galvanised Gabions. /\LS16_017-Gabion energy breaker \m³\8 \ 1750" u="1"/>
        <s v="SABS1200 DK \ GABIONS AND PITCHING / 8.2\ Gabions. Rate to allow for supply of approved gabion hand rock, SABS approved gabion baskets, installation and tying as per suppliers specifications. / 8.2.2 \ 4 m x 1 m x 1 m Galvanised Gabions. /\LS16_017-Gabion energy breaker  \m³\8 \ 1750" u="1"/>
        <s v="SABS1200 DK \ Gabions and Pitching / 8.2\ Gabions / 8.2.2 \ 4 m x 1 m x 1 m Galvanised Gabions. /\LS16_019-Gabion energy breaker \m³\4 \ 1750" u="1"/>
      </sharedItems>
    </cacheField>
    <cacheField name="2 m x 0.5 m x 0.5 m Galvanised Gabions2" numFmtId="0">
      <sharedItems count="2">
        <s v=" "/>
        <s v="" u="1"/>
      </sharedItems>
    </cacheField>
    <cacheField name="2 m x 1 m x 0.3 m Galvanised Reno Mattress2" numFmtId="0">
      <sharedItems count="2">
        <s v=" "/>
        <s v="" u="1"/>
      </sharedItems>
    </cacheField>
    <cacheField name="3 m x 1 m x 0.3 m Galvanised Reno Mattress2" numFmtId="0">
      <sharedItems count="22" longText="1">
        <s v=" "/>
        <s v="SABS1200 DK \ GABIONS AND PITCHING / 8.2\ Gabions. Rate to allow for supply of approved gabion hand rock, SABS approved gabion baskets, installation and tying as per suppliers specifications. / 8.2.2 \ 3 m x 1 m x 0.3 m Galvanised Reno Mattress. /\LS16_013-Gabion energy breaker  \m³\4.5 \ 1750"/>
        <s v="SABS1200 DK \ GABIONS AND PITCHING / 8.2\ Gabions. Rate to allow for supply of approved gabion hand rock, SABS approved gabion baskets, installation and tying as per suppliers specifications. / 8.2.2 \ 3 m x 1 m x 0.3 m Galvanised Reno Mattress. /\LS16_016-Gabion energy breaker  \m³\7.2 \ 1750"/>
        <s v="SABS1200 DK \ GABIONS AND PITCHING / 8.2\ Gabions. Rate to allow for supply of approved gabion hand rock, SABS approved gabion baskets, installation and tying as per suppliers specifications. / 8.2.2 \ 3 m x 1 m x 0.3 m Galvanised Reno Mattress. /\LS16_017-Gabion energy breaker  \m³\9 \ 1750"/>
        <s v="SABS1200 DK \ GABIONS AND PITCHING / 8.2\ Gabions. Rate to allow for supply of approved gabion hand rock, SABS approved gabion baskets, installation and tying as per suppliers specifications. / 8.2.2 \ 3 m x 1 m x 0.3 m Galvanised Reno Mattress. /\LS16_018-Gabion energy breaker  \m³\9.9 \ 1750"/>
        <s v="SABS1200 DK \ GABIONS AND PITCHING / 8.2\ Gabions. Rate to allow for supply of approved gabion hand rock, SABS approved gabion baskets, installation and tying as per suppliers specifications. / 8.2.2 \ 3 m x 1 m x 0.3 m Galvanised Reno Mattress. /\LS16_019-Gabion energy breaker  \m³\10.8 \ 1750"/>
        <s v="" u="1"/>
        <s v="SABS1200 DK \ Gabions and Pitching / 8.2\ Gabions / 8.2.2 \ 3 m x 1 m x 0.3 m Galvanised Reno Mattress. /\LS16_019-Gabion energy breaker \m³\10.8 \ 1750" u="1"/>
        <s v="SABS1200 DK / Gabions and Pitching / 8.2 / 8.2.2 / 3 m x 1 m x 0.3 m Galvanised Reno Mattress / LS16_016-Gabion energy breaker / 7.2 / m³" u="1"/>
        <s v="SABS1200 DK \ Gabions and Pitching / 8.2\ Gabions / 8.2.2 \ 3 m x 1 m x 0.3 m Galvanised Reno Mattress. /\LS16_013-Gabion energy breaker \m³\4.5 \ 1750" u="1"/>
        <s v="SABS1200 DK \ Gabions and Pitching / 8.2\ Gabions / 8.2.2 \ 3 m x 1 m x 0.3 m Galvanised Reno Mattress. /\LS16_013-Gabion energy breaker  \m³\4.5 \ 1750" u="1"/>
        <s v="SABS1200 DK / Gabions and Pitching / 8.2 / 8.2.2 / 3 m x 1 m x 0.3 m Galvanised Reno Mattress / LS16_017-Gabion energy breaker / 9 / m³" u="1"/>
        <s v="SABS1200 DK \ Gabions and Pitching / 8.2\ Gabions / 8.2.2 \ 3 m x 1 m x 0.3 m Galvanised Reno Mattress. /\LS16_016-Gabion energy breaker  \m³\7.2 \ 1750" u="1"/>
        <s v="SABS1200 DK / Gabions and Pitching / 8.2 / 8.2.2 / 3 m x 1 m x 0.3 m Galvanised Reno Mattress / LS16_013-Gabion energy breaker / 4.5 / m³" u="1"/>
        <s v="SABS1200 DK \ Gabions and Pitching / 8.2\ Gabions / 8.2.2 \ 3 m x 1 m x 0.3 m Galvanised Reno Mattress. /\LS16_019-Gabion energy breaker  \m³\10.8 \ 1750" u="1"/>
        <s v="SABS1200 DK \ Gabions and Pitching / 8.2\ Gabions / 8.2.2 \ 3 m x 1 m x 0.3 m Galvanised Reno Mattress. /\LS16_018-Gabion energy breaker \m³\9.9 \ 1750" u="1"/>
        <s v="SABS1200 DK \ Gabions and Pitching / 8.2\ Gabions / 8.2.2 \ 3 m x 1 m x 0.3 m Galvanised Reno Mattress. /\LS16_018-Gabion energy breaker  \m³\9.9 \ 1750" u="1"/>
        <s v="SABS1200 DK \ Gabions and Pitching / 8.2\ Gabions / 8.2.2 \ 3 m x 1 m x 0.3 m Galvanised Reno Mattress. /\LS16_017-Gabion energy breaker \m³\9 \ 1750" u="1"/>
        <s v="SABS1200 DK / Gabions and Pitching / 8.2 / 8.2.2 / 3 m x 1 m x 0.3 m Galvanised Reno Mattress / LS16_018-Gabion energy breaker / 9.9 / m³" u="1"/>
        <s v="SABS1200 DK \ Gabions and Pitching / 8.2\ Gabions / 8.2.2 \ 3 m x 1 m x 0.3 m Galvanised Reno Mattress. /\LS16_017-Gabion energy breaker  \m³\9 \ 1750" u="1"/>
        <s v="SABS1200 DK / Gabions and Pitching / 8.2 / 8.2.2 / 3 m x 1 m x 0.3 m Galvanised Reno Mattress / LS16_019-Gabion energy breaker / 10.8 / m³" u="1"/>
        <s v="SABS1200 DK \ Gabions and Pitching / 8.2\ Gabions / 8.2.2 \ 3 m x 1 m x 0.3 m Galvanised Reno Mattress. /\LS16_016-Gabion energy breaker \m³\7.2 \ 1750" u="1"/>
      </sharedItems>
    </cacheField>
    <cacheField name="6 m x 2 m x 0.3 m Galvanised Reno Mattress2" numFmtId="0">
      <sharedItems count="2">
        <s v=" "/>
        <s v="" u="1"/>
      </sharedItems>
    </cacheField>
    <cacheField name="1 m x 1 m x 1 m PVC coated Gabions2" numFmtId="0">
      <sharedItems count="2">
        <s v=" "/>
        <s v="" u="1"/>
      </sharedItems>
    </cacheField>
    <cacheField name="2 m x 1 m x 1 m PVC coated Gabions2" numFmtId="0">
      <sharedItems count="2">
        <s v=" "/>
        <s v="" u="1"/>
      </sharedItems>
    </cacheField>
    <cacheField name="3 m x 1 m x 1 m PVC coated Gabions2" numFmtId="0">
      <sharedItems count="2">
        <s v=" "/>
        <s v="" u="1"/>
      </sharedItems>
    </cacheField>
    <cacheField name="4 m x 1 m x 1 m PVC coated Gabions2" numFmtId="0">
      <sharedItems count="2">
        <s v=" "/>
        <s v="" u="1"/>
      </sharedItems>
    </cacheField>
    <cacheField name="2 m x 0.5 m x 0.5 m PVC coated Gabions2" numFmtId="0">
      <sharedItems count="2">
        <s v=" "/>
        <s v="" u="1"/>
      </sharedItems>
    </cacheField>
    <cacheField name="2 m x 1 m x 0.3 m PVC coated Reno Mattress2" numFmtId="0">
      <sharedItems count="2">
        <s v=" "/>
        <s v="" u="1"/>
      </sharedItems>
    </cacheField>
    <cacheField name="3 m x 1 m x 0.3 m PVC coated Reno Mattress2" numFmtId="0">
      <sharedItems count="2">
        <s v=" "/>
        <s v="" u="1"/>
      </sharedItems>
    </cacheField>
    <cacheField name="6 m x 2 m x 0.3 m PVC coated Reno Mattress2" numFmtId="0">
      <sharedItems count="2">
        <s v=" "/>
        <s v="" u="1"/>
      </sharedItems>
    </cacheField>
    <cacheField name="Extra-over 8.2.2 for packing selected stone for exposed surfaces2" numFmtId="0">
      <sharedItems count="2">
        <s v=" "/>
        <s v="" u="1"/>
      </sharedItems>
    </cacheField>
    <cacheField name="Needle punched Non-woven Geotextile2" numFmtId="0">
      <sharedItems count="27" longText="1">
        <s v=" "/>
        <s v="SABS1200 DK \ GABIONS AND PITCHING / 8.2\ Geotextile / 8.2.4 \ Needle punched Non-woven Geotextile (BiDim A4 or equivalent product). Rate to allow for supply of SABS approved geofabric such as Bidim a4 or equivalent product and installation between all gabion-soil interfaces.. /\ks11-002b-Concrete Splash Through Structure. Drawing NBC-GTW-CL-0067 \m²\87 \ 28"/>
        <s v="SABS1200 DK \ GABIONS AND PITCHING / 8.2\ Geotextile / 8.2.4 \ Needle punched Non-woven Geotextile (BiDim A4 or equivalent product). Rate to allow for supply of SABS approved geofabric such as Bidim a4 or equivalent product and installation between all gabion-soil interfaces.. /\ks11-004b-Concrete Splash Through Structure. Drawing NBC-GTW-CL-0068 \m²\87 \ 28"/>
        <s v="SABS1200 DK \ GABIONS AND PITCHING / 8.2\ Geotextile / 8.2.4 \ Needle punched Non-woven Geotextile (BiDim A4 or equivalent product). Rate to allow for supply of SABS approved geofabric such as Bidim a4 or equivalent product and installation between all gabion-soil interfaces.. /\LS16_013-Gabion energy breaker  \m²\44.9 \ 28"/>
        <s v="SABS1200 DK \ GABIONS AND PITCHING / 8.2\ Geotextile / 8.2.4 \ Needle punched Non-woven Geotextile (BiDim A4 or equivalent product). Rate to allow for supply of SABS approved geofabric such as Bidim a4 or equivalent product and installation between all gabion-soil interfaces.. /\LS16_016-Gabion energy breaker  \m²\62.9 \ 28"/>
        <s v="SABS1200 DK \ GABIONS AND PITCHING / 8.2\ Geotextile / 8.2.4 \ Needle punched Non-woven Geotextile (BiDim A4 or equivalent product). Rate to allow for supply of SABS approved geofabric such as Bidim a4 or equivalent product and installation between all gabion-soil interfaces.. /\LS16_017-Gabion energy breaker  \m²\74.9 \ 28"/>
        <s v="SABS1200 DK \ GABIONS AND PITCHING / 8.2\ Geotextile / 8.2.4 \ Needle punched Non-woven Geotextile (BiDim A4 or equivalent product). Rate to allow for supply of SABS approved geofabric such as Bidim a4 or equivalent product and installation between all gabion-soil interfaces.. /\LS16_018-Gabion energy breaker  \m²\80.9 \ 28"/>
        <s v="SABS1200 DK \ GABIONS AND PITCHING / 8.2\ Geotextile / 8.2.4 \ Needle punched Non-woven Geotextile (BiDim A4 or equivalent product). Rate to allow for supply of SABS approved geofabric such as Bidim a4 or equivalent product and installation between all gabion-soil interfaces.. /\LS16_019-Gabion energy breaker  \m²\83.9 \ 28"/>
        <s v="" u="1"/>
        <s v="SABS1200 DK \ Gabions and Pitching / 8.2\ Geotextile / 8.2.4 \ Needle punched Non-woven Geotextile (BiDim A4 or equivalent product). /\LS16_019-Gabion energy breaker \m²\83.9 \ 28" u="1"/>
        <s v="SABS1200 DK \ Gabions and Pitching / 8.2\ Geotextile / 8.2.4 \ Needle punched Non-woven Geotextile (BiDim A4 or equivalent product). /\LS16_019-Gabion energy breaker  \m²\83.9 \ 28" u="1"/>
        <s v="SABS1200 DK \ GABIONS AND PITCHING / 8.2\ Geotextile / 8.2.4 \ Needle punched Non-woven Geotextile (BiDim A4 or equivalent product). Rate to allow for supply of SABS approved geofabric such as Bidim a4 or equivalent product and installation between all gabion-soil interfaces.. /\ks11-002b-Concrete Splash Through Structure. Refer to drawing NBC-GTW-CL-0067 \m²\87 \ 28" u="1"/>
        <s v="SABS1200 DK \ GABIONS AND PITCHING / 8.2\ Geotextile / 8.2.4 \ Needle punched Non-woven Geotextile (BiDim A4 or equivalent product). Rate to allow for supply of SABS approved geofabric such as Bidim a4 or equivalent product and installation between all gabion-soil interfaces.. /\ks11-004b-Concrete Splash Through Structure. Refer to drawing NBC-GTW-CL-0068 \m²\87 \ 28" u="1"/>
        <s v="SABS1200 DK \ Gabions and Pitching / 8.2\ Geotextile / 8.2.4 \ Needle punched Non-woven Geotextile (BiDim A4 or equivalent product). /\LS16_017-Gabion energy breaker  \m²\74.9 \ 28" u="1"/>
        <s v="SABS1200 DK / Gabions and Pitching / 8.2 / 8.2.4 / Needle punched Non-woven Geotextile (BiDim A4 or equivalent product) / KS15_001-Fish Bowl / 628.101 / m²" u="1"/>
        <s v="SABS1200 DK / Gabions and Pitching / 8.2 / 8.2.4 / Needle punched Non-woven Geotextile (BiDim A4 or equivalent product) / LS16_017-Gabion energy breaker / 74.9 / m²" u="1"/>
        <s v="SABS1200 DK / Gabions and Pitching / 8.2 / 8.2.4 / Needle punched Non-woven Geotextile (BiDim A4 or equivalent product) / LS16_019-Gabion energy breaker / 83.9 / m²" u="1"/>
        <s v="SABS1200 DK \ Gabions and Pitching / 8.2\ Geotextile / 8.2.4 \ Needle punched Non-woven Geotextile (BiDim A4 or equivalent product). /\LS16_018-Gabion energy breaker  \m²\80.9 \ 28" u="1"/>
        <s v="SABS1200 DK \ Gabions and Pitching / 8.2\ Geotextile / 8.2.4 \ Needle punched Non-woven Geotextile (BiDim A4 or equivalent product). /\LS16_013-Gabion energy breaker \m²\44.9 \ 28" u="1"/>
        <s v="SABS1200 DK \ Gabions and Pitching / 8.2\ Geotextile / 8.2.4 \ Needle punched Non-woven Geotextile (BiDim A4 or equivalent product). /\LS16_016-Gabion energy breaker  \m²\62.9 \ 28" u="1"/>
        <s v="SABS1200 DK / Gabions and Pitching / 8.2 / 8.2.4 / Needle punched Non-woven Geotextile (BiDim A4 or equivalent product) / LS16_013-Gabion energy breaker / 44.9 / m²" u="1"/>
        <s v="SABS1200 DK \ Gabions and Pitching / 8.2\ Geotextile / 8.2.4 \ Needle punched Non-woven Geotextile (BiDim A4 or equivalent product). /\LS16_016-Gabion energy breaker \m²\62.9 \ 28" u="1"/>
        <s v="SABS1200 DK \ Gabions and Pitching / 8.2\ Geotextile / 8.2.4 \ Needle punched Non-woven Geotextile (BiDim A4 or equivalent product). /\LS16_018-Gabion energy breaker \m²\80.9 \ 28" u="1"/>
        <s v="SABS1200 DK / Gabions and Pitching / 8.2 / 8.2.4 / Needle punched Non-woven Geotextile (BiDim A4 or equivalent product) / LS16_016-Gabion energy breaker / 62.9 / m²" u="1"/>
        <s v="SABS1200 DK \ Gabions and Pitching / 8.2\ Geotextile / 8.2.4 \ Needle punched Non-woven Geotextile (BiDim A4 or equivalent product). /\LS16_013-Gabion energy breaker  \m²\44.9 \ 28" u="1"/>
        <s v="SABS1200 DK / Gabions and Pitching / 8.2 / 8.2.4 / Needle punched Non-woven Geotextile (BiDim A4 or equivalent product) / LS16_018-Gabion energy breaker / 80.9 / m²" u="1"/>
        <s v="SABS1200 DK \ Gabions and Pitching / 8.2\ Geotextile / 8.2.4 \ Needle punched Non-woven Geotextile (BiDim A4 or equivalent product). /\LS16_017-Gabion energy breaker \m²\74.9 \ 28" u="1"/>
      </sharedItems>
    </cacheField>
    <cacheField name="Stone Pitching - Light2" numFmtId="0">
      <sharedItems count="2">
        <s v=" "/>
        <s v="" u="1"/>
      </sharedItems>
    </cacheField>
    <cacheField name="Stone Pitching - Medium2" numFmtId="0">
      <sharedItems count="2">
        <s v=" "/>
        <s v="" u="1"/>
      </sharedItems>
    </cacheField>
    <cacheField name="Grouted Pitching - Light2" numFmtId="0">
      <sharedItems count="11">
        <s v=" "/>
        <s v="SABS1200 DK \ GABIONS AND PITCHING / 8.2\ Pitching / 8.2.5 \ Grouted Pitching - Light. /\KS21_001-10° sloped Grouted Pitching (Light). Drawing NBC-GTW-CL-0038 \m²\50 \ 750"/>
        <s v="" u="1"/>
        <s v="SABS1200 DK / Gabions and Pitching / 8.2 / 8.2.5 / Grouted Pitching - Light / KS21_001-10° sloped Grouted Pitching (Light) / 38.098221281347 / m²" u="1"/>
        <s v="SABS1200 DK \ Gabions and Pitching / 8.2\ Pitching / 8.2.5 \ Grouted Pitching - Light. /\KS21_001-10° sloped Grouted Pitching (Light) \m²\38.098221281347 \ 300" u="1"/>
        <s v="SABS1200 DK \ GABIONS AND PITCHING / 8.2\ Pitching / 8.2.5 \ Grouted Pitching - Light. /\KS21_001-10° sloped Grouted Pitching (Light). Drawing NBC-GTW-CL-0038 \m²\38.098221281347 \ 750" u="1"/>
        <s v="SABS1200 DK \ GABIONS AND PITCHING / 8.2\ Pitching / 8.2.5 \ Grouted Pitching - Light. /\KS21_001-10° sloped Grouted Pitching (Light). Refer to drawing NBC-GTW-CL-0038 \m²\38.098221281347 \ 450" u="1"/>
        <s v="SABS1200 DK \ Gabions and Pitching / 8.2\ Pitching / 8.2.5 \ Grouted Pitching - Light. /\KS21_001-10° sloped Grouted Pitching (Light). Refer to drawing AL \m²\38.098221281347 \ 450" u="1"/>
        <s v="SABS1200 DK / Gabions and Pitching / 8.2 / 8.2.5 / Grouted Pitching - Light / KS12_001-Pipe Culvert / 1 / m²" u="1"/>
        <s v="SABS1200 DK \ Gabions and Pitching / 8.2\ Pitching / 8.2.5 \ Grouted Pitching - Light. /\KS21_001-10° sloped Grouted Pitching (Light). Refer to drawing AL \m²\38.098221281347 \ 300" u="1"/>
        <s v="SABS1200 DK \ GABIONS AND PITCHING / 8.2\ Pitching / 8.2.5 \ Grouted Pitching - Light. /\KS21_001-10° sloped Grouted Pitching (Light). Drawing NBC-GTW-CL-0038 \m²\38.098221281347 \ 450" u="1"/>
      </sharedItems>
    </cacheField>
    <cacheField name="Grouted Pitching - Medium2" numFmtId="0">
      <sharedItems count="2">
        <s v=" "/>
        <s v="" u="1"/>
      </sharedItems>
    </cacheField>
    <cacheField name="Weepholes in grouted stone pitching2" numFmtId="0">
      <sharedItems count="2">
        <s v=" "/>
        <s v="" u="1"/>
      </sharedItems>
    </cacheField>
    <cacheField name="Rockpack" numFmtId="0">
      <sharedItems count="6">
        <s v=" "/>
        <s v=" \  / \  /  \ . /\ks11-002b-Concrete Splash Through Structure. Drawing NBC-GTW-CL-0067 \m³\24 \ 500"/>
        <s v=" \  / \  /  \ . /\ks11-004b-Concrete Splash Through Structure. Drawing NBC-GTW-CL-0068 \m³\24 \ 500"/>
        <s v="" u="1"/>
        <s v=" \  / \  /  \ . /\ks11-002b-Concrete Splash Through Structure. Refer to drawing NBC-GTW-CL-0067 \m³\24 \ 500" u="1"/>
        <s v=" \  / \  /  \ . /\ks11-004b-Concrete Splash Through Structure. Refer to drawing NBC-GTW-CL-0068 \m³\24 \ 500" u="1"/>
      </sharedItems>
    </cacheField>
    <cacheField name="Eco-logs" numFmtId="0">
      <sharedItems count="58" longText="1">
        <s v=" "/>
        <s v=" \  / \  /  \ Install Erosion control logs (2 m long x 300 mm Dimeter ). Rate to allow supply of erosion control log and 2 No. 1000 mm long steel fence droppers per a log. To be installed as per suppliers specifications./\KS16_003-Ecologs  \unit\79 \ 900"/>
        <s v=" \  / \  /  \ Install Erosion control logs (2 m long x 300 mm Dimeter ). Rate to allow supply of erosion control log and 2 No. 1000 mm long steel fence droppers per a log. To be installed as per suppliers specifications./\KS16_005-Ecologs  \unit\102 \ 900"/>
        <s v=" \  / \  /  \ Install Erosion control logs (2 m long x 300 mm Dimeter ). Rate to allow supply of erosion control log and 2 No. 1000 mm long steel fence droppers per a log. To be installed as per suppliers specifications./\KS19_001-Ecologs  \unit\20 \ 900"/>
        <s v=" \  / \  /  \ Install Erosion control logs (2 m long x 300 mm Dimeter ). Rate to allow supply of erosion control log and 2 No. 1000 mm long steel fence droppers per a log. To be installed as per suppliers specifications./\KS19_003-Ecologs  \unit\8 \ 900"/>
        <s v=" \  / \  /  \ Install Erosion control logs (2 m long x 300 mm Dimeter ). Rate to allow supply of erosion control log and 2 No. 1000 mm long steel fence droppers per a log. To be installed as per suppliers specifications./\KS19_004-Ecologs  \unit\25 \ 900"/>
        <s v=" \  / \  /  \ Install Erosion control logs (2 m long x 300 mm Dimeter ). Rate to allow supply of erosion control log and 2 No. 1000 mm long steel fence droppers per a log. To be installed as per suppliers specifications./\KS19_005-Ecologs  \unit\26 \ 900"/>
        <s v=" \  / \  /  \ Install Erosion control logs (2 m long x 300 mm Dimeter ). Rate to allow supply of erosion control log and 2 No. 1000 mm long steel fence droppers per a log. To be installed as per suppliers specifications./\KS20_010-Ecologs  \unit\20 \ 900"/>
        <s v=" \  / \  /  \ Install Erosion control logs (2 m long x 300 mm Dimeter ). Rate to allow supply of erosion control log and 2 No. 1000 mm long steel fence droppers per a log. To be installed as per suppliers specifications./\LS16_014-Ecologs  \unit\9 \ 900"/>
        <s v="" u="1"/>
        <s v=" /  /  /  /  / KS20_010-Infilling of Drains / 19 / unit" u="1"/>
        <s v=" /  /  /  / 2 m x 300 mm Dimeter Ecologs or equivalent product installed as per suppliers specifcations. Rate to allow for steel fence dropper pegs as indicated on relevant drawing. / KS19_001-Infilling of Drains / 12 / unit" u="1"/>
        <s v=" /  /  /  / 2 m x 300 mm Dimeter Ecologs or equivalent product installed as per suppliers specifcations. Rate to allow for steel fence dropper pegs as indicated on relevant drawing. / KS19_004-Infilling of Drains / 25 / unit" u="1"/>
        <s v=" \  / \  /  \ Eco-Logs. 2 m x 300 mm Dimeter Ecologs or equivalent product installed as per suppliers specifcations. Rate to allow for steel fence dropper pegs as indicated on relevant drawing./\KS16_005-Infilling of Drains  \unit\102 \ 900" u="1"/>
        <s v=" \  / \  /  \ Install Erosion control logs (2 m long x 300 mm Dimeter ). Rate to allow supply of erosion control log and 2 No. 1000 mm long steel fence droppers per a log. To be installed as per suppliers specifications./\KS19_001-Infilling of Drains  \unit\20 \ 900" u="1"/>
        <s v=" \  / \  /  \ Install Erosion control logs (2 m long x 300 mm Dimeter ). Rate to allow supply of erosion control log and 2 No. 1000 mm long steel fence droppers per a log. To be installed as per suppliers specifications./\KS20_010-Infilling of Drains  \unit\20 \ 900" u="1"/>
        <s v=" \  / \  /  \ 2 m x 300 mm Dimeter Ecologs or equivalent product installed as per suppliers specifcations. Rate to allow for steel fence dropper pegs as indicated on relevant drawing.. /\KS20_010-Infilling of Drains \unit\20 \ 900" u="1"/>
        <s v=" \  / \  /  \ Install Erosion control logs (2 m long x 300 mm Dimeter ). Rate to allow supply of erosion control log and 2 No. 1000 mm long steel fence droppers per a log. To be installed as per suppliers specifications./\KS16_003-Infilling of Drains  \unit\79 \ 900" u="1"/>
        <s v=" \  / \  /  \ Eco-Logs. 2 m x 300 mm Dimeter Ecologs or equivalent product installed as per suppliers specifcations. Rate to allow for steel fence dropper pegs as indicated on relevant drawing./\KS19_001-Infilling of Drains \unit\12 \ 900" u="1"/>
        <s v=" \  / \  /  \ Eco-Logs. 2 m x 300 mm Dimeter Ecologs or equivalent product installed as per suppliers specifcations. Rate to allow for steel fence dropper pegs as indicated on relevant drawing./\KS19_001-Infilling of Drains  \unit\12 \ 900" u="1"/>
        <s v=" \  / \  /  \ 2 m x 300 mm Dimeter Ecologs or equivalent product installed as per suppliers specifcations. Rate to allow for steel fence dropper pegs as indicated on relevant drawing.. /\KS16_005-Infilling of Drains \unit\102 \ 900" u="1"/>
        <s v=" \  / \  /  \ Eco-Logs. 2 m x 300 mm Dimeter Ecologs or equivalent product installed as per suppliers specifcations. Rate to allow for steel fence dropper pegs as indicated on relevant drawing./\KS19_003-Headcut  \unit\17 \ 900" u="1"/>
        <s v=" /  /  /  / 2 m x 300 mm Dimeter Ecologs or equivalent product installed as per suppliers specifcations. Rate to allow for steel fence dropper pegs as indicated on relevant drawing. / KS20_010-Infilling of Drains / 20 / unit" u="1"/>
        <s v=" /  /  /  / 2 m x 300 mm Dimeter Ecologs or equivalent product installed as per suppliers specifcations. Rate to allow for steel fence dropper pegs as indicated on relevant drawing. / KS16_005-Infilling of Drains / 102 / unit" u="1"/>
        <s v=" \  / \  /  \ Install Erosion control logs (2 m long x 300 mm Dimeter ). Rate to allow supply of erosion control log and 2 No. 1000 mm long steel fence droppers per a log. To be installed as per suppliers specifications./\KS19_003-Headcut  \unit\8 \ 900" u="1"/>
        <s v=" \  / \  /  \ 2 m x 300 mm Dimeter Ecologs or equivalent product installed as per suppliers specifcations. Rate to allow for steel fence dropper pegs as indicated on relevant drawing.. /\KS19_004-Infilling of Drains \unit\25 \ 900" u="1"/>
        <s v=" /  /  /  / 2 m x 300 mm Dimeter Ecologs or equivalent product installed as per suppliers specifcations. Rate to allow for steel fence dropper pegs as indicated on relevant drawing. / KS19_005-Infilling of Drains / 26 / unit" u="1"/>
        <s v=" /  /  /  /  / LS16_014-Ecologs / 3 / unit" u="1"/>
        <s v=" /  /  /  /  / KS19_001-Infilling of Drains / 2 / unit" u="1"/>
        <s v=" \  / \  /  \ 2 m x 300 mm Dimeter Ecologs or equivalent product installed as per suppliers specifcations. Rate to allow for steel fence dropper pegs as indicated on relevant drawing.. /\KS19_005-Infilling of Drains \unit\26 \ 900" u="1"/>
        <s v=" \  / \  /  \ Eco-Logs. 2 m x 300 mm Dimeter Ecologs or equivalent product installed as per suppliers specifcations. Rate to allow for steel fence dropper pegs as indicated on relevant drawing./\KS19_005-Infilling of Drains  \unit\26 \ 900" u="1"/>
        <s v=" \  / \  /  \ 2 m x 300 mm Dimeter Ecologs or equivalent product installed as per suppliers specifcations. Rate to allow for steel fence dropper pegs as indicated on relevant drawing.. /\KS19_001-Infilling of Drains \unit\12 \ 900" u="1"/>
        <s v=" \  / \  /  \ Eco-Logs. 2 m x 300 mm Dimeter Ecologs or equivalent product installed as per suppliers specifcations. Rate to allow for steel fence dropper pegs as indicated on relevant drawing./\KS16_003-Infilling of Drains \unit\79 \ 900" u="1"/>
        <s v=" /  /  /  /  / KS16_003-Infilling of Drains / 78 / unit" u="1"/>
        <s v=" /  /  /  / 2 m x 300 mm Dimeter Ecologs or equivalent product installed as per suppliers specifcations. Rate to allow for steel fence dropper pegs as indicated on relevant drawing. / KS16_003-Infilling of Drains / 79 / unit" u="1"/>
        <s v=" \  / \  /  \ 2 m x 300 mm Dimeter Ecologs or equivalent product installed as per suppliers specifcations. Rate to allow for steel fence dropper pegs as indicated on relevant drawing.. /\KS19_003-Headcut \unit\17 \ 900" u="1"/>
        <s v=" \  / \  /  \ Eco-Logs. 2 m x 300 mm Dimeter Ecologs or equivalent product installed as per suppliers specifcations. Rate to allow for steel fence dropper pegs as indicated on relevant drawing./\KS20_010-Infilling of Drains  \unit\20 \ 900" u="1"/>
        <s v=" /  /  /  /  / KS19_003-Headcut / 12 / unit" u="1"/>
        <s v=" \  / \  /  \ 2 m x 300 mm Dimeter Ecologs or equivalent product installed as per suppliers specifcations. Rate to allow for steel fence dropper pegs as indicated on relevant drawing.. /\KS16_003-Infilling of Drains \unit\79 \ 900" u="1"/>
        <s v=" /  /  /  / 2 m x 300 mm Dimeter Ecologs or equivalent product installed as per suppliers specifcations. Rate to allow for steel fence dropper pegs as indicated on relevant drawing. / LS16_014-Ecologs / 9 / unit" u="1"/>
        <s v=" \  / \  /  \ Eco-Logs. 2 m x 300 mm Dimeter Ecologs or equivalent product installed as per suppliers specifcations. Rate to allow for steel fence dropper pegs as indicated on relevant drawing./\LS16_014-Ecologs \unit\9 \ 900" u="1"/>
        <s v=" /  /  /  / 2 m x 300 mm Dimeter Ecologs or equivalent product installed as per suppliers specifcations. Rate to allow for steel fence dropper pegs as indicated on relevant drawing. / KS19_003-Headcut / 17 / unit" u="1"/>
        <s v=" \  / \  /  \ 2 m x 300 mm Dimeter Ecologs or equivalent product installed as per suppliers specifcations. Rate to allow for steel fence dropper pegs as indicated on relevant drawing.. /\LS16_014-Ecologs \unit\9 \ 900" u="1"/>
        <s v=" \  / \  /  \ Eco-Logs. 2 m x 300 mm Dimeter Ecologs or equivalent product installed as per suppliers specifcations. Rate to allow for steel fence dropper pegs as indicated on relevant drawing./\KS19_003-Headcut \unit\17 \ 900" u="1"/>
        <s v=" \  / \  /  \ Install Erosion control logs (2 m long x 300 mm Dimeter ). Rate to allow supply of erosion control log and 2 No. 1000 mm long steel fence droppers per a log. To be installed as per suppliers specifications./\KS16_005-Deactivate Drain  \unit\102 \ 900" u="1"/>
        <s v=" \  / \  /  \ Eco-Logs. 2 m x 300 mm Dimeter Ecologs or equivalent product installed as per suppliers specifcations. Rate to allow for steel fence dropper pegs as indicated on relevant drawing./\KS16_005-Infilling of Drains \unit\102 \ 900" u="1"/>
        <s v=" \  / \  /  \ Eco-Logs. 2 m x 300 mm Dimeter Ecologs or equivalent product installed as per suppliers specifcations. Rate to allow for steel fence dropper pegs as indicated on relevant drawing./\KS19_004-Infilling of Drains \unit\25 \ 900" u="1"/>
        <s v=" /  /  /  /  / KS19_005-Infilling of Drains / 36 / unit" u="1"/>
        <s v=" \  / \  /  \ Eco-Logs. 2 m x 300 mm Dimeter Ecologs or equivalent product installed as per suppliers specifcations. Rate to allow for steel fence dropper pegs as indicated on relevant drawing./\KS16_005-Deactivate Drain  \unit\102 \ 900" u="1"/>
        <s v=" \  / \  /  \ Eco-Logs. 2 m x 300 mm Dimeter Ecologs or equivalent product installed as per suppliers specifcations. Rate to allow for steel fence dropper pegs as indicated on relevant drawing./\KS16_003-Infilling of Drains  \unit\79 \ 900" u="1"/>
        <s v=" \  / \  /  \ Eco-Logs. 2 m x 300 mm Dimeter Ecologs or equivalent product installed as per suppliers specifcations. Rate to allow for steel fence dropper pegs as indicated on relevant drawing./\LS16_014-Ecologs  \unit\9 \ 900" u="1"/>
        <s v=" \  / \  /  \ Install Erosion control logs (2 m long x 300 mm Dimeter ). Rate to allow supply of erosion control log and 2 No. 1000 mm long steel fence droppers per a log. To be installed as per suppliers specifications./\KS19_005-Infilling of Drains  \unit\26 \ 900" u="1"/>
        <s v=" \  / \  /  \ Eco-Logs. 2 m x 300 mm Dimeter Ecologs or equivalent product installed as per suppliers specifcations. Rate to allow for steel fence dropper pegs as indicated on relevant drawing./\KS20_010-Infilling of Drains \unit\20 \ 900" u="1"/>
        <s v=" \  / \  /  \ Install Erosion control logs (2 m long x 300 mm Dimeter ). Rate to allow supply of erosion control log and 2 No. 1000 mm long steel fence droppers per a log. To be installed as per suppliers specifications./\KS19_004-Infilling of Drains  \unit\25 \ 900" u="1"/>
        <s v=" \  / \  /  \ Eco-Logs. 2 m x 300 mm Dimeter Ecologs or equivalent product installed as per suppliers specifcations. Rate to allow for steel fence dropper pegs as indicated on relevant drawing./\KS19_005-Infilling of Drains \unit\26 \ 900" u="1"/>
        <s v=" /  /  /  /  / KS16_006-Infilling of Drains / 54 / unit" u="1"/>
        <s v=" \  / \  /  \ Eco-Logs. 2 m x 300 mm Dimeter Ecologs or equivalent product installed as per suppliers specifcations. Rate to allow for steel fence dropper pegs as indicated on relevant drawing./\KS19_004-Infilling of Drains  \unit\25 \ 900" u="1"/>
        <s v=" /  /  /  /  / KS19_004-Infilling of Drains / 29 / unit" u="1"/>
      </sharedItems>
    </cacheField>
    <cacheField name="Geo-cells" numFmtId="0">
      <sharedItems count="14" longText="1">
        <s v=" "/>
        <s v="" u="1"/>
        <s v="SABS1200 GA \ CONCRETE (SMALL WORKS) / \ SCHEDULED FORMWORK ITEMS /  \ 100 mm deep Kaytech Multi-cell® or equivalent formwork product . Rate to include supply and installation according to suppliers specifications./\KS15_001-Fish Bowl  \m²\630 \ 50" u="1"/>
        <e v="#REF!" u="1"/>
        <s v="SABS1200 GA \ CONCRETE (SMALL WORKS) / \ SCHEDULED FORMWORK ITEMS /  \ 100 mm deep Kaytech Multi-cell® or equivalent product formwork . Rate to inlcude supply and installation according to suppliers specifications./\KS15_001-Fish Bowl  \m²\628.101 \ 50" u="1"/>
        <s v="SABS1200GA \ Concrete (Small Works) / \ SCHEDULED FORMWORK ITEMS /  \ 100 mm deep Kaytech Multi-cell® or equivalent product formwork . Rate to inlcude supply and installation according to suppliers specifications./\KS18_014-Concrete Filled Geo-Cell Berm. Refer to drawing A \m²\90.3840508391961 \ 50" u="1"/>
        <s v="Project Specific / Concrete (Small Works) /  /  / 100 mm deep Kaytech Multi-cell® or equivalent product formwork  / KS18_014-Concrete Filled Geo-Cell Berm / 90.3840508391961 / m²" u="1"/>
        <s v="SABS1200GA \ Concrete (Small Works) / \ SCHEDULED FORMWORK ITEMS /  \ 100 mm deep Kaytech Multi-cell® or equivalent product formwork . Rate to inlcude supply and installation according to suppliers specifications./\KS18_014-Concrete Filled Geo-Cell Berm \m²\90.3840508391961 \ 50" u="1"/>
        <s v="SABS1200 GA \ CONCRETE (SMALL WORKS) / \ SCHEDULED FORMWORK ITEMS /  \ 100 mm deep Kaytech Multi-cell® or equivalent formwork product . Rate to include supply and installation according to suppliers specifications./\KS18-014-Concrete Filled Geo-Cell Berm. Drawing NBC-GTW-CL-0001 \m²\90.3840508391961 \ 50" u="1"/>
        <s v="Project Specific \ Concrete (Small Works) / \ SCHEDULED FORMWORK ITEMS /  \ 100 mm deep Kaytech Multi-cell® or equivalent product formwork . Rate to inlcude supply and installation according to suppliers specifications./\KS18_014-Concrete Filled Geo-Cell Berm \m²\90.3840508391961 \ 50" u="1"/>
        <s v="SABS1200 GA \ CONCRETE (SMALL WORKS) / \ SCHEDULED FORMWORK ITEMS /  \ 100 mm deep Kaytech Multi-cell® or equivalent formwork product . Rate to include supply and installation according to suppliers specifications./\KS18-014-Concrete Filled Geo-Cell Berm. Refer to drawing NBC-GTW-CL-0001 \m²\90.3840508391961 \ 50" u="1"/>
        <s v="SABS1200 GA \ CONCRETE (SMALL WORKS) / \ SCHEDULED FORMWORK ITEMS /  \ 100 mm deep Kaytech Multi-cell® or equivalent product formwork . Rate to inlcude supply and installation according to suppliers specifications./\KS18-014-Concrete Filled Geo-Cell Berm. Refer to drawing NBC-GTW-CL-0001 \m²\90.3840508391961 \ 50" u="1"/>
        <s v="SABS1200 GA \ CONCRETE (SMALL WORKS) / \ SCHEDULED FORMWORK ITEMS /  \ 100 mm deep Kaytech Multi-cell® or equivalent product formwork . Rate to inlcude supply and installation according to suppliers specifications./\KS18_014-Concrete Filled Geo-Cell Berm. Refer to drawing NBC-GTW-CL-0001 \m²\90.3840508391961 \ 50" u="1"/>
        <s v="SABS1200GA \ Concrete (Small Works) / \ SCHEDULED FORMWORK ITEMS /  \ 100 mm deep Kaytech Multi-cell® or equivalent product formwork . Rate to inlcude supply and installation according to suppliers specifications./\KS18_014-Concrete Filled Geo-Cell Berm. Refer to drawing NBC-GTW-CL-0001 \m²\90.3840508391961 \ 50" u="1"/>
      </sharedItems>
    </cacheField>
    <cacheField name="Fence" numFmtId="0">
      <sharedItems count="2">
        <s v=" "/>
        <s v="" u="1"/>
      </sharedItems>
    </cacheField>
    <cacheField name="1.5 mm HDPE Liner" numFmtId="0">
      <sharedItems count="2">
        <s v=" "/>
        <s v="" u="1"/>
      </sharedItems>
    </cacheField>
    <cacheField name="2 mm HDPE Liner" numFmtId="0">
      <sharedItems count="2">
        <s v=" "/>
        <s v="" u="1"/>
      </sharedItems>
    </cacheField>
    <cacheField name="Envirobent" numFmtId="0">
      <sharedItems count="2">
        <s v=" "/>
        <s v="" u="1"/>
      </sharedItems>
    </cacheField>
    <cacheField name="MacMat Liner" numFmtId="0">
      <sharedItems count="2">
        <s v=" "/>
        <s v="" u="1"/>
      </sharedItems>
    </cacheField>
    <cacheField name="Reshaping " numFmtId="0">
      <sharedItems count="2">
        <s v=" "/>
        <s v="" u="1"/>
      </sharedItems>
    </cacheField>
    <cacheField name="Scarifying surface" numFmtId="0">
      <sharedItems count="2">
        <s v=" "/>
        <s v="" u="1"/>
      </sharedItems>
    </cacheField>
    <cacheField name="Sediment Fences2" numFmtId="0">
      <sharedItems count="2">
        <s v=" "/>
        <s v="" u="1"/>
      </sharedItems>
    </cacheField>
    <cacheField name="600 diam pipe" numFmtId="0">
      <sharedItems count="11" longText="1">
        <s v=" "/>
        <s v="SABS1200 LE \ STORMWATER DRAINAGE / 8.2\ SCHEDULED ITEMS / 8.2.1 \ Supply and lay concrete pipe culverts. 600 mm Diameter Spigot and Socket SC Class 75D pre-cast concrete pipes on Class C bedding. SABS 677 approved pipes to be used. /\LS16_019-Pipe Culvert. Drawing NBC-GTW-CL-0069 \m\15 \ 1000"/>
        <s v="" u="1"/>
        <s v=" /  /  /  /  / ks11-001-Off-take structure / 250 / m" u="1"/>
        <s v="SABS1200 LE \ STORMWATER DRAINAGE / 8.2\ SCHEDULED ITEMS / 8.2.1 \ Supply and lay concrete pipe culverts. 600 mm Diameter Spigot and Socket SC Class 75D pre-cast concrete pipes on Class C bedding. SABS 677 approved pipes to be used. /\LS16_016-Pipe Culvert. Refer to drawing NBC-GTW-CL-0069 \m\15 \ 1000" u="1"/>
        <s v="SABS1200 LE \ STORMWATER DRAINAGE / 8.2\ SCHEDULED ITEMS / 8.2.1 \ Supply and lay concrete pipe culverts. 600 mm Diameter Spigot and Socket SC Class 75D pre-cast concrete pipes on Class C bedding. SABS 677 approved pipes to be used. /\LS16_019-Pipe Culvert. Refer to drawing NBC-GTW-CL-0069 \m\15 \ 1000" u="1"/>
        <s v=" /  /  /  /  / KS12_001-Pipe Culvert / 20 / m" u="1"/>
        <s v="SABS1200 LE \ Stormwater Drainage / 8.2\ SCHEDULED ITEMS / 8.2.1 \ Supply and lay concrete pipe culverts. 600 mm Diameter Spigot and Socket SC Class 75D pre-cast concrete pipes on Class C bedding. SABS 677 approved pipes to be used. /\KS12_001-Pipe Culvert \m\20 \ 1000" u="1"/>
        <s v="SABS1200 LE / Stormwater Drainage / 8.2 / 8.2.1 / Supply and lay concrete pipe culverts / KS12_001-Pipe Culvert / 20 / m" u="1"/>
        <s v="SABS1200 LE \ STORMWATER DRAINAGE / 8.2\ SCHEDULED ITEMS / 8.2.1 \ Supply and lay concrete pipe culverts. 600 mm Diameter Spigot and Socket SC Class 75D pre-cast concrete pipes on Class C bedding. SABS 677 approved pipes to be used. /\KS12_001-Pipe Culvert. Refer to drawing  \m\20 \ 1000" u="1"/>
        <s v="SABS1200 LE \ STORMWATER DRAINAGE / 8.2\ SCHEDULED ITEMS / 8.2.1 \ Supply and lay concrete pipe culverts. 600 mm Diameter Spigot and Socket SC Class 75D pre-cast concrete pipes on Class C bedding. SABS 677 approved pipes to be used. /\LS16_016-Pipe Culvert. Refer to drawing NBC-GTW-CL-0066 \m\20 \ 1000" u="1"/>
      </sharedItems>
    </cacheField>
    <cacheField name="Wetland soil backfill2" numFmtId="0">
      <sharedItems count="10" longText="1">
        <s v=" "/>
        <s v="SABS1200 DA \EARTHWORKS (SMALL WORKS)/8.3\SCHEDULED ITEMS/8.3.4\Import Suitable Wetland Earth Backfill Material  from Designated Borrow Pit. Rate to allow for loading from stockpile or borrow source, transport within 5 km free haul distance, stockpiling (if required), placing, spreading  and compacting material in layers, as specified by the engineer./\ks11-003-Backfilling Dam to Create Wetland  \m³\11500 \ 50"/>
        <s v="SABS1200 DA \EARTHWORKS (SMALL WORKS)/8.3\SCHEDULED ITEMS/8.3.4\Import Suitable Wetland Earth Backfill Material  from Designated Borrow Pit. Rate to allow for loading from stockpile or borrow source, transport within 5 km free haul distance, stockpiling (if required), placing, spreading  and compacting material in layers, as specified by the engineer./\ks11-005-Backfilling Dam to Create Wetland  \m³\5200 \ 50"/>
        <s v="" u="1"/>
        <s v="SABS1200 DA \EARTHWORKS (SMALL WORKS)/8.3\SCHEDULED ITEMS/8.3.4\Suitable Wetland Earth Backfill Material. /\ks11-003-Backfilling Dam to Create Wetland  \m³\11500 \ 50" u="1"/>
        <s v="SABS1200 DA  / Earthworks (Small Works) / 8.3 / 8.3.4 / Suitable Wetland Earth Backfill Material / ks11-005-Earthworks / 5200 / m³" u="1"/>
        <s v="SABS1200 DA \EARTHWORKS (SMALL WORKS)/8.3\SCHEDULED ITEMS/8.3.4\Suitable Wetland Earth Backfill Material. /\ks11-005-Backfilling Dam to Create Wetland  \m³\5200 \ 50" u="1"/>
        <s v="SABS1200 DA  / Earthworks (Small Works) / 8.3 / 8.3.4 / Suitable Wetland Earth Backfill Material / ks11-003-Earthworks / 11500 / m³" u="1"/>
        <s v="SABS1200 DA  / Earthworks (Small Works) / 8.3 / 8.3.4 / Suitable Wetland Earth Backfill Material / ks18-021-Backfill Main Channel / 988.485 / m³" u="1"/>
        <s v="SABS1200 DA  / Earthworks (Small Works) / 8.3 / 8.3.4 / Suitable Wetland Earth Backfill Material / ks15-002-Backfill Main Channel / 584.917146560002 / m³" u="1"/>
      </sharedItems>
    </cacheField>
    <cacheField name="Brickwork - 230 mm thick" numFmtId="0">
      <sharedItems count="9" longText="1">
        <s v=" "/>
        <s v="SABS1200 LE \ STORMWATER DRAINAGE / 8.2\ SCHEDULED ITEMS / 8.2.9 \ a) Brickwork. Rate to allow for supply of minimum strength 7 Mpa bricks for 230 mm thick wall and laying of bricks with type 2 motar._x000a_ (double skin) wall, supply and mixing of type 2 mortar, and laying of bricks as per intervention drawing.  /\ks11-001-Off-take structure  \m²\4.632 \ 750"/>
        <s v="SABS1200 LE \ STORMWATER DRAINAGE / 8.2\ SCHEDULED ITEMS / 8.2.9 \ a) Brickwork. Rate to allow for supply of minimum strength 7 Mpa bricks for 230 mm thick wall and laying of bricks with type 2 motar._x000a_ (double skin) wall, supply and mixing of type 2 mortar, and laying of bricks as per intervention drawing.  /\KS12_001-Pipe Culvert. Drawing NBC-GTW-CL-0069 \m²\6 \ 750"/>
        <s v="SABS1200 LE \ STORMWATER DRAINAGE / 8.2\ SCHEDULED ITEMS / 8.2.9 \ a) Brickwork. Rate to allow for supply of minimum strength 7 Mpa bricks for 230 mm thick wall and laying of bricks with type 2 motar._x000a_ (double skin) wall, supply and mixing of type 2 mortar, and laying of bricks as per intervention drawing.  /\KS12_001-Pipe Culvert. Drawing NBC-GTW-CL-0069 \m²\6 \ 250" u="1"/>
        <s v="SABS1200 LE \ STORMWATER DRAINAGE / 8.2\ SCHEDULED ITEMS / 8.2.9 \ a) Brickwork. Rate to allow for supply of minimum strength 7 Mpa bricks for 230 mm thick wall and laying of bricks with type 2 motar._x000a_ (double skin) wall, supply and mixing of type 2 mortar, and laying of bricks as per intervention drawing.  /\ks11-001-Off-take structure  \m²\4.632 \ 250" u="1"/>
        <s v="SABS1200 LE \ STORMWATER DRAINAGE / 8.2\ SCHEDULED ITEMS / 8.2.9 \ a) Brickwork. Rate to allow for supply of minimum strength 7 Mpa brick for 230 mm thick_x000a_ (double skin) wall, supply and mixing of type 2 mortar, and laying of bricks as per intervention drawing.  /\KS12_001-Pipe Culvert. Drawing NBC-GTW-CL-0069 \m²\6 \ 250" u="1"/>
        <s v="SABS1200 LE \ STORMWATER DRAINAGE / 8.2\ SCHEDULED ITEMS / 8.2.9 \ a) Brickwork. 230 mm thick/\ks11-001-Off-take structure  \m²\1.748 \ 250" u="1"/>
        <s v="SABS1200 LE \ STORMWATER DRAINAGE / 8.2\ SCHEDULED ITEMS / 8.2.9 \ a) Brickwork. Rate to allow for supply of minimum strength 7 Mpa brick for 230 mm thick_x000a_ (double skin) wall, supply and mixing of type 2 mortar, and laying of bricks as per intervention drawing.  /\KS12_001-Pipe Culvert. Refer to drawing NBC-GTW-CL-0069 \m²\6 \ 250" u="1"/>
        <s v="SABS1200 LE \ STORMWATER DRAINAGE / 8.2\ SCHEDULED ITEMS / 8.2.9 \ a) Brickwork. Rate to allow for supply of minimum strength 7 Mpa brick for 230 mm thick_x000a_ (double skin) wall, supply and mixing of type 2 mortar, and laying of bricks as per intervention drawing.  /\ks11-001-Off-take structure  \m²\4.632 \ 250" u="1"/>
      </sharedItems>
    </cacheField>
  </cacheFields>
  <extLst>
    <ext xmlns:x14="http://schemas.microsoft.com/office/spreadsheetml/2009/9/main" uri="{725AE2AE-9491-48be-B2B4-4EB974FC3084}">
      <x14:pivotCacheDefinition pivotCacheId="2"/>
    </ext>
  </extLst>
</pivotCacheDefinition>
</file>

<file path=xl/pivotCache/pivotCacheDefinition5.xml><?xml version="1.0" encoding="utf-8"?>
<pivotCacheDefinition xmlns="http://schemas.openxmlformats.org/spreadsheetml/2006/main" xmlns:r="http://schemas.openxmlformats.org/officeDocument/2006/relationships" r:id="rId1" refreshedBy="Keaton Parker" refreshedDate="43507.662679861111" createdVersion="5" refreshedVersion="5" minRefreshableVersion="3" recordCount="172">
  <cacheSource type="worksheet">
    <worksheetSource ref="A3:JW175" sheet="DATA"/>
  </cacheSource>
  <cacheFields count="283">
    <cacheField name="HGM Unit" numFmtId="0">
      <sharedItems count="42">
        <s v="DS12"/>
        <s v="KS11"/>
        <s v="KS12"/>
        <s v="KS13"/>
        <s v="KS15"/>
        <s v="KS16"/>
        <s v="KS18"/>
        <s v="KS19"/>
        <s v="KS20"/>
        <s v="KS21"/>
        <s v="LS08"/>
        <s v="LS12"/>
        <s v="LS16"/>
        <s v="Pan 09"/>
        <s v="Pan 14"/>
        <s v="Pan 08"/>
        <s v="Road 1"/>
        <s v="Road 10"/>
        <s v="Road 11"/>
        <s v="Road 13"/>
        <s v="Road 14"/>
        <s v="Road 16"/>
        <s v="Road 17"/>
        <s v="Road 18"/>
        <s v="Road 19"/>
        <s v="Road 2"/>
        <s v="Road 20"/>
        <s v="Road 21"/>
        <s v="Road 22"/>
        <s v="Road 23"/>
        <s v="Road 24"/>
        <s v="Road 27"/>
        <s v="Road 28"/>
        <s v="Road 29"/>
        <s v="Road 3"/>
        <s v="Road 30"/>
        <s v="Road 4"/>
        <s v="Road 5"/>
        <s v="Road 6"/>
        <s v="Road 7"/>
        <s v="Road 8"/>
        <s v="Road 9"/>
      </sharedItems>
    </cacheField>
    <cacheField name="INTERVENTION DESCRIPTION" numFmtId="0">
      <sharedItems count="39">
        <s v="Removal of earthen material"/>
        <s v="Excavation of Dam Wall"/>
        <s v="Backfilling Dam"/>
        <s v="Off-take structure"/>
        <s v="Concrete Drop Inlet on Dam Wall"/>
        <s v="Concrete Splash Through Structure"/>
        <s v="Dam wall excavation"/>
        <s v="Backfilling Dam to Create Wetland"/>
        <s v="Pipe Culvert"/>
        <s v="Concrete Drop Inlet"/>
        <s v="Removal of Berm and Dam Wall"/>
        <s v="Removal of Dam Wall"/>
        <s v="Infilling of Drains"/>
        <s v="Concrete Check Wall"/>
        <s v="Removal of Berm"/>
        <s v="Backfilling Main Channel"/>
        <s v="Backfill Main Channel"/>
        <s v="Earthen berm"/>
        <s v="Excavate Dam Wall"/>
        <s v="Ecologs"/>
        <s v="Removal of Earthen Berm"/>
        <s v="10° sloped Grouted Pitching (Light)"/>
        <s v="Earthworks"/>
        <s v="Infilling of drain"/>
        <s v="Concrete Cut-Off Walls"/>
        <s v="Removal of Road"/>
        <s v="Gabion energy breaker"/>
        <s v="Earthworks (Reinforce Dam Wall)"/>
        <s v="Backfill Main Channel and reshaping"/>
        <s v="Earthen Berms"/>
        <s v="Reinstate Pan Edge"/>
        <s v="Remove Berm"/>
        <s v="Remove berm and backfill drain"/>
        <s v="Foreign Materials"/>
        <s v="Maintain Road"/>
        <s v="Upgrade Existing Road"/>
        <s v="New Road"/>
        <s v="Deactivate Drain" u="1"/>
        <s v="Headcut" u="1"/>
      </sharedItems>
    </cacheField>
    <cacheField name="INTERVENTION TYPE" numFmtId="0">
      <sharedItems count="25">
        <s v="Excavation"/>
        <s v="Excavation of Dam Wall"/>
        <s v="Backfilling Dam"/>
        <s v="Concrete"/>
        <s v="Concrete Drop Inlet on Dam Wall"/>
        <s v="Concrete Splash Through Structure"/>
        <s v="Dam wall excavation"/>
        <s v="Earthworks"/>
        <s v="Concrete Check Wall"/>
        <s v="Backfilling Main Channel"/>
        <s v="Backfill Channel at Road Crossing"/>
        <s v="Deactivate Drains with Ecologs"/>
        <s v="Backfill Channel "/>
        <s v="Ecologs"/>
        <s v="Grouted Pitched Chute"/>
        <s v="Concrete Cut-off Wall"/>
        <s v="Gabions"/>
        <s v="Earthworks (Reinforce Dam Wall)"/>
        <s v="Backfill Leeuwbankspruit"/>
        <s v="Maintain Road"/>
        <s v="Dirt Road Upgrade"/>
        <s v="Create new temporary access road"/>
        <s v="Backfill Channel Below Road Crossing" u="1"/>
        <s v="Fish Bowl" u="1"/>
        <s v="Armoured Earthen Berm" u="1"/>
      </sharedItems>
    </cacheField>
    <cacheField name="INTERVENTION NUMBER" numFmtId="0">
      <sharedItems count="203">
        <s v="DS12_004"/>
        <s v="DS12_001"/>
        <s v="DS12_002"/>
        <s v="DS12_003"/>
        <s v="ks11-001"/>
        <s v="ks11-002a"/>
        <s v="ks11-002b"/>
        <s v="ks11-002c"/>
        <s v="ks11-003"/>
        <s v="ks11-004a"/>
        <s v="ks11-004b"/>
        <s v="ks11-004c"/>
        <s v="ks11-005"/>
        <s v="KS12_001"/>
        <s v="KS12_002"/>
        <s v="KS12_003"/>
        <s v="KS12_004"/>
        <s v="KS12_005"/>
        <s v="KS12_006"/>
        <s v="KS12_007"/>
        <s v="KS12_008"/>
        <s v="KS12_009"/>
        <s v="KS12_010"/>
        <s v="KS13_001"/>
        <s v="KS13_002"/>
        <s v="KS13_003"/>
        <s v="KS13_004"/>
        <s v="KS13_005"/>
        <s v="KS13_006"/>
        <s v="KS13_007"/>
        <s v="KS13_008"/>
        <s v="KS13_009"/>
        <s v="KS13_010"/>
        <s v="KS13_011"/>
        <s v="KS13_012"/>
        <s v="KS13_013"/>
        <s v="KS13_014"/>
        <s v="KS13_015"/>
        <s v="KS13_016"/>
        <s v="KS13_017"/>
        <s v="KS15_001"/>
        <s v="KS15_003"/>
        <s v="KS15-002"/>
        <s v="KS16_001"/>
        <s v="KS16_002"/>
        <s v="KS16_003"/>
        <s v="KS16_004"/>
        <s v="KS16_005"/>
        <s v="KS18_001"/>
        <s v="KS18_002A"/>
        <s v="KS18_002B"/>
        <s v="KS18_003"/>
        <s v="KS18_004"/>
        <s v="KS18_005"/>
        <s v="KS18_006"/>
        <s v="KS18_007"/>
        <s v="KS18_008"/>
        <s v="KS18_009"/>
        <s v="KS18_010"/>
        <s v="KS18_011"/>
        <s v="KS18_012"/>
        <s v="KS18_013"/>
        <s v="KS18_015"/>
        <s v="KS18_016"/>
        <s v="KS18_017"/>
        <s v="KS18_018"/>
        <s v="KS18_019"/>
        <s v="KS18_020"/>
        <s v="KS18_014"/>
        <s v="KS18-021"/>
        <s v="KS19_001"/>
        <s v="KS19_002"/>
        <s v="KS19_003"/>
        <s v="KS19_004"/>
        <s v="KS19_005"/>
        <s v="KS19_006"/>
        <s v="KS19_007"/>
        <s v="KS20_001"/>
        <s v="KS20_002"/>
        <s v="KS20_003"/>
        <s v="KS20_004"/>
        <s v="KS20_005"/>
        <s v="KS20_006"/>
        <s v="KS20_007"/>
        <s v="KS20_008"/>
        <s v="KS20_009_a"/>
        <s v="KS20_009_b"/>
        <s v="KS20_009_c"/>
        <s v="KS20_010"/>
        <s v="KS20_011"/>
        <s v="KS21_001"/>
        <s v="KS21_003"/>
        <s v="KS21_005"/>
        <s v="KS21_006"/>
        <s v="KS21_007"/>
        <s v="KS21_009"/>
        <s v="KS21-010"/>
        <s v="KS21-002"/>
        <s v="KS21-004"/>
        <s v="KS21-008"/>
        <s v="LS08_001"/>
        <s v="LS12_001"/>
        <s v="LS12_002"/>
        <s v="LS16_001"/>
        <s v="LS16_002"/>
        <s v="LS16_003"/>
        <s v="LS16_004"/>
        <s v="LS16_005"/>
        <s v="LS16_006"/>
        <s v="LS16_007"/>
        <s v="LS16_008"/>
        <s v="LS16_009"/>
        <s v="LS16_010"/>
        <s v="LS16_011"/>
        <s v="LS16_012"/>
        <s v="LS16_013"/>
        <s v="LS16_014"/>
        <s v="LS16_015"/>
        <s v="LS16_016"/>
        <s v="LS16_017"/>
        <s v="LS16_018"/>
        <s v="LS16_019"/>
        <s v="LS16_020"/>
        <s v="LS16_021"/>
        <s v="Pan09_001"/>
        <s v="Pan14_004"/>
        <s v="Pan14_005"/>
        <s v="Pan14_006"/>
        <s v="Pan14_007"/>
        <s v="Pan14_008"/>
        <s v="Pan14_009"/>
        <s v="Pan14_010"/>
        <s v="Pan14_011"/>
        <s v="Pan14-001"/>
        <s v="Pan14-002"/>
        <s v="Pan14-003"/>
        <s v="Pan8_001"/>
        <s v="Pan8_002"/>
        <s v="Pan8_003"/>
        <s v="Pan8_004"/>
        <s v="Road 1 - Cluster 1"/>
        <s v="Road 10 - Cluster 1"/>
        <s v="Road 10 - Cluster 3A"/>
        <s v="Road 11 - Cluster 3A"/>
        <s v="Road 13 - Cluster 3B"/>
        <s v="Road 14 - Cluster 3B"/>
        <s v="Road 16 - Cluster 3B"/>
        <s v="Road 17 - Cluster 3B"/>
        <s v="Road 18 - Cluster 4B"/>
        <s v="Road 18 - Cluster 6"/>
        <s v="Road 19 - Cluster 5A"/>
        <s v="Road 19 - Cluster 6"/>
        <s v="Road 2 - Cluster 2A"/>
        <s v="Road 20 - Cluster 3C"/>
        <s v="Road 20 - Cluster 6"/>
        <s v="Road 21 - Cluster 4A"/>
        <s v="Road 22 - Cluster 3C"/>
        <s v="Road 23 - Cluster 3C"/>
        <s v="Road 24 - Cluster 4A"/>
        <s v="Road 27 - Cluster 3C"/>
        <s v="Road 28 - Cluster 3C"/>
        <s v="Road 29 - Cluster 6"/>
        <s v="Road 3 - Cluster 2A"/>
        <s v="Road 30 - Cluster 6"/>
        <s v="Road 4 - Cluster 2B"/>
        <s v="Road 5 - Cluster 1"/>
        <s v="Road 6 - Cluster 1"/>
        <s v="Road 7 - Cluster 1"/>
        <s v="Road 8 - Cluster 1"/>
        <s v="Road 8 - Cluster 3A"/>
        <s v="Road 9 - Cluster 1"/>
        <s v="Road 9 - Cluster 3A"/>
        <s v="Road 20" u="1"/>
        <s v="Road 21" u="1"/>
        <s v="ks11-004" u="1"/>
        <s v="Road 22" u="1"/>
        <s v="Road 8" u="1"/>
        <s v="Road 23" u="1"/>
        <s v="Road 24" u="1"/>
        <s v="Road 27" u="1"/>
        <s v="Road 28" u="1"/>
        <s v="Road 29" u="1"/>
        <s v="Road 1" u="1"/>
        <s v="Road 4" u="1"/>
        <s v="KS18-014" u="1"/>
        <s v="Road 10" u="1"/>
        <s v="Road 11" u="1"/>
        <s v="Road 7" u="1"/>
        <s v="Road 13" u="1"/>
        <s v="ks11-002" u="1"/>
        <s v="Road 14" u="1"/>
        <s v="Road 16" u="1"/>
        <s v="Road 17" u="1"/>
        <s v="Road 18" u="1"/>
        <s v="Road 19" u="1"/>
        <s v="Road 3" u="1"/>
        <s v="Road 6" u="1"/>
        <s v="Road 30" u="1"/>
        <s v="Road 9" u="1"/>
        <s v="KS18_002" u="1"/>
        <s v="Road 2" u="1"/>
        <s v="KS21_010" u="1"/>
        <s v="Road 5" u="1"/>
      </sharedItems>
    </cacheField>
    <cacheField name="Cluster Number" numFmtId="0">
      <sharedItems containsMixedTypes="1" containsNumber="1" containsInteger="1" minValue="1" maxValue="6" count="13">
        <s v="2A"/>
        <n v="6"/>
        <s v="5A"/>
        <s v="3B"/>
        <s v="2B"/>
        <n v="1"/>
        <s v="3A"/>
        <s v="3C"/>
        <s v="4A"/>
        <s v="4B"/>
        <s v="ROAD - Maintain Road"/>
        <s v="ROAD - Dirt Road Upgrade"/>
        <s v="ROAD - Create new temporary access road"/>
      </sharedItems>
    </cacheField>
    <cacheField name="LONGITUDE " numFmtId="0">
      <sharedItems containsString="0" containsBlank="1" containsNumber="1" minValue="29.940713611" maxValue="31.003015277778001"/>
    </cacheField>
    <cacheField name="LATITUDE" numFmtId="0">
      <sharedItems containsString="0" containsBlank="1" containsNumber="1" minValue="-25.834729721999999" maxValue="-25.793607776999998"/>
    </cacheField>
    <cacheField name="LONGITUDE 2" numFmtId="0">
      <sharedItems containsBlank="1"/>
    </cacheField>
    <cacheField name="LATITUDE2" numFmtId="0">
      <sharedItems containsBlank="1"/>
    </cacheField>
    <cacheField name="Complete/Estimate" numFmtId="0">
      <sharedItems containsBlank="1"/>
    </cacheField>
    <cacheField name="Design Complete" numFmtId="0">
      <sharedItems containsBlank="1" containsMixedTypes="1" containsNumber="1" containsInteger="1" minValue="0" maxValue="0"/>
    </cacheField>
    <cacheField name="BoQ Completed" numFmtId="0">
      <sharedItems containsBlank="1"/>
    </cacheField>
    <cacheField name="BOQ Checked Date" numFmtId="166">
      <sharedItems containsDate="1" containsBlank="1" containsMixedTypes="1" minDate="1899-12-30T00:00:00" maxDate="2017-06-01T00:00:00"/>
    </cacheField>
    <cacheField name="Drawing Completed" numFmtId="0">
      <sharedItems containsBlank="1"/>
    </cacheField>
    <cacheField name="Drawing Checked" numFmtId="0">
      <sharedItems containsDate="1" containsBlank="1" containsMixedTypes="1" minDate="1899-12-30T00:00:00" maxDate="2017-02-07T00:00:00"/>
    </cacheField>
    <cacheField name="Drawing Number" numFmtId="0">
      <sharedItems containsBlank="1"/>
    </cacheField>
    <cacheField name="Checked_16062018" numFmtId="0">
      <sharedItems containsBlank="1"/>
    </cacheField>
    <cacheField name="Rev No." numFmtId="0">
      <sharedItems containsBlank="1"/>
    </cacheField>
    <cacheField name="Last Rev Date" numFmtId="0">
      <sharedItems containsNonDate="0" containsDate="1" containsString="0" containsBlank="1" minDate="2018-06-16T00:00:00" maxDate="2018-12-08T00:00:00"/>
    </cacheField>
    <cacheField name="Implementation Phase" numFmtId="166">
      <sharedItems containsBlank="1"/>
    </cacheField>
    <cacheField name="Implementation Year" numFmtId="0">
      <sharedItems containsBlank="1"/>
    </cacheField>
    <cacheField name="a) Excavation (Remove Top Soil)" numFmtId="1">
      <sharedItems containsString="0" containsBlank="1" containsNumber="1" minValue="0" maxValue="6032.3099999999995"/>
    </cacheField>
    <cacheField name="b) Excavation (non-restricted)" numFmtId="1">
      <sharedItems containsString="0" containsBlank="1" containsNumber="1" minValue="0" maxValue="2651.3666666666668"/>
    </cacheField>
    <cacheField name="ci)Excavation (Extra-over intermediate)" numFmtId="1">
      <sharedItems containsString="0" containsBlank="1" containsNumber="1" minValue="0" maxValue="32.435749999999999"/>
    </cacheField>
    <cacheField name="cii)Excavation (Extra-over Hard Rock)" numFmtId="1">
      <sharedItems containsString="0" containsBlank="1" containsNumber="1" containsInteger="1" minValue="0" maxValue="0"/>
    </cacheField>
    <cacheField name="ciii) Excavation (Bolders-B)" numFmtId="1">
      <sharedItems containsString="0" containsBlank="1" containsNumber="1" containsInteger="1" minValue="0" maxValue="0"/>
    </cacheField>
    <cacheField name="a) Excavation " numFmtId="1">
      <sharedItems containsString="0" containsBlank="1" containsNumber="1" minValue="0" maxValue="1098"/>
    </cacheField>
    <cacheField name="bi)Excavation (Extra-over intermediate)" numFmtId="1">
      <sharedItems containsString="0" containsBlank="1" containsNumber="1" minValue="0" maxValue="39.476520000000001"/>
    </cacheField>
    <cacheField name="bii)Excavation (Extra-over Hard Rock)" numFmtId="1">
      <sharedItems containsString="0" containsBlank="1" containsNumber="1" minValue="0" maxValue="14.235863999999999"/>
    </cacheField>
    <cacheField name="Topsoiling (m2)" numFmtId="1">
      <sharedItems containsString="0" containsBlank="1" containsNumber="1" minValue="0" maxValue="6700"/>
    </cacheField>
    <cacheField name="Revegetation (m2)" numFmtId="1">
      <sharedItems containsString="0" containsBlank="1" containsNumber="1" minValue="0" maxValue="38200"/>
    </cacheField>
    <cacheField name="Freehaul" numFmtId="1">
      <sharedItems containsString="0" containsBlank="1" containsNumber="1" minValue="0" maxValue="848.23699999999997"/>
    </cacheField>
    <cacheField name="Overhaul" numFmtId="1">
      <sharedItems containsString="0" containsBlank="1" containsNumber="1" minValue="0" maxValue="4105.6856479999997"/>
    </cacheField>
    <cacheField name="CONCRETE (m³)" numFmtId="0">
      <sharedItems containsString="0" containsBlank="1" containsNumber="1" minValue="0" maxValue="94.94319999999999"/>
    </cacheField>
    <cacheField name="Blinding Layer (m²)" numFmtId="0">
      <sharedItems containsString="0" containsBlank="1" containsNumber="1" minValue="0" maxValue="101.63999999999999"/>
    </cacheField>
    <cacheField name="Steel bars (High Tensile)" numFmtId="0">
      <sharedItems containsString="0" containsBlank="1" containsNumber="1" containsInteger="1" minValue="0" maxValue="98"/>
    </cacheField>
    <cacheField name="Steel bars (mild Tensile)" numFmtId="0">
      <sharedItems containsString="0" containsBlank="1" containsNumber="1" containsInteger="1" minValue="0" maxValue="0"/>
    </cacheField>
    <cacheField name=" Mesh Code 1" numFmtId="0">
      <sharedItems containsBlank="1" containsMixedTypes="1" containsNumber="1" containsInteger="1" minValue="0" maxValue="0"/>
    </cacheField>
    <cacheField name="Mesh Ref 1 (m²)" numFmtId="0">
      <sharedItems containsString="0" containsBlank="1" containsNumber="1" minValue="0" maxValue="89.69919999999999"/>
    </cacheField>
    <cacheField name=" Mesh Code 2" numFmtId="0">
      <sharedItems containsBlank="1" containsMixedTypes="1" containsNumber="1" containsInteger="1" minValue="0" maxValue="0"/>
    </cacheField>
    <cacheField name="Mesh Ref 2 (m²)" numFmtId="0">
      <sharedItems containsString="0" containsBlank="1" containsNumber="1" minValue="0" maxValue="82.174399999999991"/>
    </cacheField>
    <cacheField name="Rough - Horizontal (85°-90°)" numFmtId="0">
      <sharedItems containsString="0" containsBlank="1" containsNumber="1" containsInteger="1" minValue="0" maxValue="0"/>
    </cacheField>
    <cacheField name="Rough - Sloping (&gt;10°&lt;85°)" numFmtId="0">
      <sharedItems containsString="0" containsBlank="1" containsNumber="1" minValue="0" maxValue="124.76995008701984"/>
    </cacheField>
    <cacheField name="Rough - Battered (&lt;10°)" numFmtId="0">
      <sharedItems containsString="0" containsBlank="1" containsNumber="1" containsInteger="1" minValue="0" maxValue="0"/>
    </cacheField>
    <cacheField name="Rough - Vertical (0°)" numFmtId="0">
      <sharedItems containsString="0" containsBlank="1" containsNumber="1" minValue="0" maxValue="47"/>
    </cacheField>
    <cacheField name="Smooth - Horizontal (85°-90°)" numFmtId="0">
      <sharedItems containsString="0" containsBlank="1" containsNumber="1" containsInteger="1" minValue="0" maxValue="0"/>
    </cacheField>
    <cacheField name="Smooth - Sloping (&gt;10°&lt;85°)" numFmtId="0">
      <sharedItems containsString="0" containsBlank="1" containsNumber="1" containsInteger="1" minValue="0" maxValue="0"/>
    </cacheField>
    <cacheField name="Smooth - Battered (&lt;10°)" numFmtId="0">
      <sharedItems containsString="0" containsBlank="1" containsNumber="1" containsInteger="1" minValue="0" maxValue="0"/>
    </cacheField>
    <cacheField name="Smooth - Vertical (0°)" numFmtId="0">
      <sharedItems containsString="0" containsBlank="1" containsNumber="1" containsInteger="1" minValue="0" maxValue="0"/>
    </cacheField>
    <cacheField name="Narrow Widths (up to 300 mm)" numFmtId="0">
      <sharedItems containsString="0" containsBlank="1" containsNumber="1" containsInteger="1" minValue="0" maxValue="0"/>
    </cacheField>
    <cacheField name="Box Out Holes (Up to 0.35 m Diameter and 0.5 m deep)" numFmtId="0">
      <sharedItems containsString="0" containsBlank="1" containsNumber="1" containsInteger="1" minValue="0" maxValue="16"/>
    </cacheField>
    <cacheField name="a) Wood floated Finish" numFmtId="0">
      <sharedItems containsString="0" containsBlank="1" containsNumber="1" minValue="0" maxValue="15"/>
    </cacheField>
    <cacheField name="b) Steel-floated Finish" numFmtId="0">
      <sharedItems containsString="0" containsBlank="1" containsNumber="1" containsInteger="1" minValue="0" maxValue="0"/>
    </cacheField>
    <cacheField name="Concrete complete with Formwork (m3)" numFmtId="0">
      <sharedItems containsString="0" containsBlank="1" containsNumber="1" minValue="0" maxValue="21.3"/>
    </cacheField>
    <cacheField name="M200 BLOCKS (unit)" numFmtId="0">
      <sharedItems containsString="0" containsBlank="1" containsNumber="1" containsInteger="1" minValue="0" maxValue="0"/>
    </cacheField>
    <cacheField name="Earthen material" numFmtId="0">
      <sharedItems containsString="0" containsBlank="1" containsNumber="1" minValue="0" maxValue="24200"/>
    </cacheField>
    <cacheField name="Granular Fill Material" numFmtId="0">
      <sharedItems containsString="0" containsBlank="1" containsNumber="1" minValue="0" maxValue="3.0000000000000004"/>
    </cacheField>
    <cacheField name="a) Cavities filled with approved excavated material or rock" numFmtId="0">
      <sharedItems containsString="0" containsBlank="1" containsNumber="1" containsInteger="1" minValue="0" maxValue="0"/>
    </cacheField>
    <cacheField name="b) Cavities filled with grade 15 concrete (provisional)" numFmtId="0">
      <sharedItems containsString="0" containsBlank="1" containsNumber="1" containsInteger="1" minValue="0" maxValue="1"/>
    </cacheField>
    <cacheField name="1 m x 1 m x 1 m Galvanised Gabions" numFmtId="0">
      <sharedItems containsString="0" containsBlank="1" containsNumber="1" containsInteger="1" minValue="0" maxValue="0"/>
    </cacheField>
    <cacheField name="2 m x 1 m x 1 m Galvanised  Gabions" numFmtId="0">
      <sharedItems containsString="0" containsBlank="1" containsNumber="1" containsInteger="1" minValue="0" maxValue="8"/>
    </cacheField>
    <cacheField name="3 m x 1 m x 1 m Galvanised Gabions" numFmtId="0">
      <sharedItems containsString="0" containsBlank="1" containsNumber="1" containsInteger="1" minValue="0" maxValue="15"/>
    </cacheField>
    <cacheField name="4 m x 1 m x 1 m Galvanised Gabions" numFmtId="0">
      <sharedItems containsString="0" containsBlank="1" containsNumber="1" containsInteger="1" minValue="0" maxValue="0"/>
    </cacheField>
    <cacheField name="2 m x 0.5 m x 0.5 m Galvanised Gabions" numFmtId="0">
      <sharedItems containsString="0" containsBlank="1" containsNumber="1" containsInteger="1" minValue="0" maxValue="0"/>
    </cacheField>
    <cacheField name="2 m x 1 m x 0.3 m Galvanised Reno Mattress" numFmtId="0">
      <sharedItems containsString="0" containsBlank="1" containsNumber="1" containsInteger="1" minValue="0" maxValue="0"/>
    </cacheField>
    <cacheField name="3 m x 1 m x 0.3 m Galvanised Reno Mattress" numFmtId="0">
      <sharedItems containsString="0" containsBlank="1" containsNumber="1" minValue="0" maxValue="10.8"/>
    </cacheField>
    <cacheField name="6 m x 2 m x 0.3 m Galvanised Reno Mattress" numFmtId="0">
      <sharedItems containsString="0" containsBlank="1" containsNumber="1" containsInteger="1" minValue="0" maxValue="0"/>
    </cacheField>
    <cacheField name="1 m x 1 m x 1 m PVC coated Gabions" numFmtId="0">
      <sharedItems containsString="0" containsBlank="1" containsNumber="1" containsInteger="1" minValue="0" maxValue="0"/>
    </cacheField>
    <cacheField name="2 m x 1 m x 1 m PVC coated Gabions" numFmtId="0">
      <sharedItems containsString="0" containsBlank="1" containsNumber="1" containsInteger="1" minValue="0" maxValue="0"/>
    </cacheField>
    <cacheField name="3 m x 1 m x 1 m PVC coated Gabions" numFmtId="0">
      <sharedItems containsString="0" containsBlank="1" containsNumber="1" containsInteger="1" minValue="0" maxValue="0"/>
    </cacheField>
    <cacheField name="4 m x 1 m x 1 m PVC coated Gabions" numFmtId="0">
      <sharedItems containsString="0" containsBlank="1" containsNumber="1" containsInteger="1" minValue="0" maxValue="0"/>
    </cacheField>
    <cacheField name="2 m x 0.5 m x 0.5 m PVC coated Gabions" numFmtId="0">
      <sharedItems containsString="0" containsBlank="1" containsNumber="1" containsInteger="1" minValue="0" maxValue="0"/>
    </cacheField>
    <cacheField name="2 m x 1 m x 0.3 m PVC coated Reno Mattress" numFmtId="0">
      <sharedItems containsString="0" containsBlank="1" containsNumber="1" containsInteger="1" minValue="0" maxValue="0"/>
    </cacheField>
    <cacheField name="3 m x 1 m x 0.3 m PVC coated Reno Mattress" numFmtId="0">
      <sharedItems containsString="0" containsBlank="1" containsNumber="1" containsInteger="1" minValue="0" maxValue="0"/>
    </cacheField>
    <cacheField name="6 m x 2 m x 0.3 m PVC coated Reno Mattress" numFmtId="0">
      <sharedItems containsString="0" containsBlank="1" containsNumber="1" containsInteger="1" minValue="0" maxValue="0"/>
    </cacheField>
    <cacheField name="Extra-over 8.2.2 for packing selected stone for exposed surfaces" numFmtId="0">
      <sharedItems containsString="0" containsBlank="1" containsNumber="1" containsInteger="1" minValue="0" maxValue="0"/>
    </cacheField>
    <cacheField name="Needle punched Non-woven Geotextile" numFmtId="0">
      <sharedItems containsString="0" containsBlank="1" containsNumber="1" minValue="0" maxValue="87"/>
    </cacheField>
    <cacheField name="Stone Pitching - Light" numFmtId="0">
      <sharedItems containsString="0" containsBlank="1" containsNumber="1" containsInteger="1" minValue="0" maxValue="0"/>
    </cacheField>
    <cacheField name="Stone Pitching - Medium" numFmtId="0">
      <sharedItems containsString="0" containsBlank="1" containsNumber="1" containsInteger="1" minValue="0" maxValue="0"/>
    </cacheField>
    <cacheField name="Grouted Pitching - Light" numFmtId="0">
      <sharedItems containsString="0" containsBlank="1" containsNumber="1" containsInteger="1" minValue="0" maxValue="50"/>
    </cacheField>
    <cacheField name="Grouted Pitching - Medium" numFmtId="0">
      <sharedItems containsString="0" containsBlank="1" containsNumber="1" containsInteger="1" minValue="0" maxValue="0"/>
    </cacheField>
    <cacheField name="Weepholes in grouted stone pitching" numFmtId="0">
      <sharedItems containsString="0" containsBlank="1" containsNumber="1" containsInteger="1" minValue="0" maxValue="0"/>
    </cacheField>
    <cacheField name="ROCKPACK (m3)" numFmtId="0">
      <sharedItems containsString="0" containsBlank="1" containsNumber="1" containsInteger="1" minValue="0" maxValue="24"/>
    </cacheField>
    <cacheField name="ECO-LOGS (unit)" numFmtId="0">
      <sharedItems containsString="0" containsBlank="1" containsNumber="1" containsInteger="1" minValue="0" maxValue="102"/>
    </cacheField>
    <cacheField name="Geo-cells (m²)" numFmtId="0">
      <sharedItems containsString="0" containsBlank="1" containsNumber="1" containsInteger="1" minValue="0" maxValue="0"/>
    </cacheField>
    <cacheField name="Barb Wire Fence (m)" numFmtId="0">
      <sharedItems containsString="0" containsBlank="1" containsNumber="1" containsInteger="1" minValue="0" maxValue="0"/>
    </cacheField>
    <cacheField name="1.5mm HDPE Liner (m2)" numFmtId="0">
      <sharedItems containsString="0" containsBlank="1" containsNumber="1" containsInteger="1" minValue="0" maxValue="0"/>
    </cacheField>
    <cacheField name="2mm HDPE Liner (m2)" numFmtId="0">
      <sharedItems containsString="0" containsBlank="1" containsNumber="1" containsInteger="1" minValue="0" maxValue="0"/>
    </cacheField>
    <cacheField name="Bentonite (Envirobent) (m3)" numFmtId="0">
      <sharedItems containsString="0" containsBlank="1" containsNumber="1" containsInteger="1" minValue="0" maxValue="0"/>
    </cacheField>
    <cacheField name="MacMat Liner (m2)" numFmtId="0">
      <sharedItems containsString="0" containsBlank="1" containsNumber="1" containsInteger="1" minValue="0" maxValue="0"/>
    </cacheField>
    <cacheField name="Reshaping (ha)" numFmtId="0">
      <sharedItems containsString="0" containsBlank="1" containsNumber="1" containsInteger="1" minValue="0" maxValue="0"/>
    </cacheField>
    <cacheField name="Scarifying Earthworks (ha)" numFmtId="0">
      <sharedItems containsString="0" containsBlank="1" containsNumber="1" containsInteger="1" minValue="0" maxValue="0"/>
    </cacheField>
    <cacheField name="Sediment Fences" numFmtId="0">
      <sharedItems containsString="0" containsBlank="1" containsNumber="1" containsInteger="1" minValue="0" maxValue="0"/>
    </cacheField>
    <cacheField name="600 mm Pipe (m)" numFmtId="0">
      <sharedItems containsString="0" containsBlank="1" containsNumber="1" containsInteger="1" minValue="0" maxValue="15"/>
    </cacheField>
    <cacheField name="Wetland Soil Backfill" numFmtId="0">
      <sharedItems containsString="0" containsBlank="1" containsNumber="1" containsInteger="1" minValue="0" maxValue="11500"/>
    </cacheField>
    <cacheField name="Brickwork - 230 mm thick (m²)" numFmtId="0">
      <sharedItems containsString="0" containsBlank="1" containsNumber="1" minValue="0" maxValue="6"/>
    </cacheField>
    <cacheField name="250 mm Diameter uPVC pipe (m)" numFmtId="0">
      <sharedItems containsString="0" containsBlank="1" containsNumber="1" containsInteger="1" minValue="0" maxValue="265"/>
    </cacheField>
    <cacheField name="Manholes 1000 mm diameter pre-cast (No.)" numFmtId="0">
      <sharedItems containsString="0" containsBlank="1" containsNumber="1" containsInteger="1" minValue="0" maxValue="4"/>
    </cacheField>
    <cacheField name="Vegetation clearing (m)" numFmtId="0">
      <sharedItems containsString="0" containsBlank="1" containsNumber="1" containsInteger="1" minValue="0" maxValue="265"/>
    </cacheField>
    <cacheField name="Top soil removal (m²)" numFmtId="0">
      <sharedItems containsString="0" containsBlank="1" containsNumber="1" minValue="0" maxValue="185.5"/>
    </cacheField>
    <cacheField name="Excavation of trench (m)" numFmtId="0">
      <sharedItems containsString="0" containsBlank="1" containsNumber="1" containsInteger="1" minValue="0" maxValue="265"/>
    </cacheField>
    <cacheField name="Make up deficiency in backfill material (m³)" numFmtId="0">
      <sharedItems containsString="0" containsBlank="1" containsNumber="1" minValue="0" maxValue="5"/>
    </cacheField>
    <cacheField name="Clear and Grub (m²)" numFmtId="0">
      <sharedItems containsString="0" containsBlank="1" containsNumber="1" containsInteger="1" minValue="0" maxValue="1700"/>
    </cacheField>
    <cacheField name="Remove and large trees and trees stumps  (No.)" numFmtId="0">
      <sharedItems containsString="0" containsBlank="1" containsNumber="1" containsInteger="1" minValue="0" maxValue="5"/>
    </cacheField>
    <cacheField name="Create new temporary access road (m)" numFmtId="0">
      <sharedItems containsString="0" containsBlank="1" containsNumber="1" minValue="0" maxValue="893.41"/>
    </cacheField>
    <cacheField name="Upgrade existing access road (m)" numFmtId="0">
      <sharedItems containsString="0" containsBlank="1" containsNumber="1" minValue="0" maxValue="2221.85"/>
    </cacheField>
    <cacheField name="Maintain existing access road (m)" numFmtId="0">
      <sharedItems containsString="0" containsBlank="1" containsNumber="1" minValue="0" maxValue="6440.9"/>
    </cacheField>
    <cacheField name="250 mm Diam. Rsv Gate Valve (No.)" numFmtId="0">
      <sharedItems containsString="0" containsBlank="1" containsNumber="1" containsInteger="1" minValue="1" maxValue="1"/>
    </cacheField>
    <cacheField name="Bends uPVC Class 6 socketed (No.)" numFmtId="0">
      <sharedItems containsString="0" containsBlank="1" containsNumber="1" containsInteger="1" minValue="2" maxValue="2"/>
    </cacheField>
    <cacheField name="Cast Iron Flange Adaptors (No.)" numFmtId="0">
      <sharedItems containsString="0" containsBlank="1" containsNumber="1" containsInteger="1" minValue="2" maxValue="2"/>
    </cacheField>
    <cacheField name="38mm Fiberglass Grating (m²)" numFmtId="0">
      <sharedItems containsString="0" containsBlank="1" containsNumber="1" minValue="0.5" maxValue="0.5"/>
    </cacheField>
    <cacheField name="250 mm Steel pipe with removable stop end (No.)" numFmtId="0">
      <sharedItems containsString="0" containsBlank="1" containsNumber="1" containsInteger="1" minValue="1" maxValue="1"/>
    </cacheField>
    <cacheField name="?????? (*)" numFmtId="0">
      <sharedItems containsNonDate="0" containsString="0" containsBlank="1"/>
    </cacheField>
    <cacheField name="??????? (*)" numFmtId="0">
      <sharedItems containsNonDate="0" containsString="0" containsBlank="1"/>
    </cacheField>
    <cacheField name="???????? (*)" numFmtId="0">
      <sharedItems containsNonDate="0" containsString="0" containsBlank="1"/>
    </cacheField>
    <cacheField name="????????? (*)" numFmtId="0">
      <sharedItems containsNonDate="0" containsString="0" containsBlank="1"/>
    </cacheField>
    <cacheField name="a) Excavation (Remove Top Soil)2" numFmtId="164">
      <sharedItems containsSemiMixedTypes="0" containsString="0" containsNumber="1" minValue="0" maxValue="30161.549999999996"/>
    </cacheField>
    <cacheField name="b) Excavation (non-restricted)2" numFmtId="164">
      <sharedItems containsSemiMixedTypes="0" containsString="0" containsNumber="1" minValue="0" maxValue="132568.33333333334"/>
    </cacheField>
    <cacheField name="ci)Excavation (Extra-over intermediate)2" numFmtId="164">
      <sharedItems containsSemiMixedTypes="0" containsString="0" containsNumber="1" minValue="0" maxValue="2432.6812500000001"/>
    </cacheField>
    <cacheField name="cii)Excavation (Extra-over Hard Rock)2" numFmtId="164">
      <sharedItems containsSemiMixedTypes="0" containsString="0" containsNumber="1" containsInteger="1" minValue="0" maxValue="0"/>
    </cacheField>
    <cacheField name="ciii) Excavation (Bolders-B)2" numFmtId="164">
      <sharedItems containsSemiMixedTypes="0" containsString="0" containsNumber="1" containsInteger="1" minValue="0" maxValue="0"/>
    </cacheField>
    <cacheField name="a) Excavation 2" numFmtId="164">
      <sharedItems containsSemiMixedTypes="0" containsString="0" containsNumber="1" minValue="0" maxValue="93330"/>
    </cacheField>
    <cacheField name="bi)Excavation (Extra-over intermediate)2" numFmtId="164">
      <sharedItems containsSemiMixedTypes="0" containsString="0" containsNumber="1" minValue="0" maxValue="4934.5650000000005"/>
    </cacheField>
    <cacheField name="bii)Excavation (Extra-over Hard Rock)2" numFmtId="164">
      <sharedItems containsSemiMixedTypes="0" containsString="0" containsNumber="1" minValue="0" maxValue="7117.9319999999998"/>
    </cacheField>
    <cacheField name="Cost of Top Soiling" numFmtId="164">
      <sharedItems containsSemiMixedTypes="0" containsString="0" containsNumber="1" minValue="0" maxValue="33500"/>
    </cacheField>
    <cacheField name="Cost of Re-Vegetation" numFmtId="164">
      <sharedItems containsSemiMixedTypes="0" containsString="0" containsNumber="1" minValue="0" maxValue="382000"/>
    </cacheField>
    <cacheField name="Cost of Overhaul" numFmtId="164">
      <sharedItems containsSemiMixedTypes="0" containsString="0" containsNumber="1" minValue="0" maxValue="24634.113888"/>
    </cacheField>
    <cacheField name="Cost of Concrete" numFmtId="164">
      <sharedItems containsSemiMixedTypes="0" containsString="0" containsNumber="1" minValue="0" maxValue="189886.4"/>
    </cacheField>
    <cacheField name="BLINDING LAYER (m2)" numFmtId="164">
      <sharedItems containsSemiMixedTypes="0" containsString="0" containsNumber="1" minValue="0" maxValue="30491.999999999996"/>
    </cacheField>
    <cacheField name="High Tensile" numFmtId="164">
      <sharedItems containsSemiMixedTypes="0" containsString="0" containsNumber="1" containsInteger="1" minValue="0" maxValue="1764"/>
    </cacheField>
    <cacheField name="Mild Tensile" numFmtId="164">
      <sharedItems containsSemiMixedTypes="0" containsString="0" containsNumber="1" containsInteger="1" minValue="0" maxValue="0"/>
    </cacheField>
    <cacheField name="Welded Mesh" numFmtId="164">
      <sharedItems containsSemiMixedTypes="0" containsString="0" containsNumber="1" minValue="0" maxValue="3437.4719999999998"/>
    </cacheField>
    <cacheField name="Cost of Formwork" numFmtId="164">
      <sharedItems containsSemiMixedTypes="0" containsString="0" containsNumber="1" minValue="0" maxValue="112130.4675565629"/>
    </cacheField>
    <cacheField name="Cost of Unformed Surface Finishes" numFmtId="164">
      <sharedItems containsSemiMixedTypes="0" containsString="0" containsNumber="1" minValue="0" maxValue="450"/>
    </cacheField>
    <cacheField name="Cost of Concrete complete w Formwork" numFmtId="164">
      <sharedItems containsSemiMixedTypes="0" containsString="0" containsNumber="1" containsInteger="1" minValue="0" maxValue="69225"/>
    </cacheField>
    <cacheField name="Cost of M200 Blocks" numFmtId="164">
      <sharedItems containsSemiMixedTypes="0" containsString="0" containsNumber="1" containsInteger="1" minValue="0" maxValue="0"/>
    </cacheField>
    <cacheField name="Earthen material2" numFmtId="164">
      <sharedItems containsSemiMixedTypes="0" containsString="0" containsNumber="1" minValue="0" maxValue="2904000"/>
    </cacheField>
    <cacheField name="Granular Fill Material2" numFmtId="164">
      <sharedItems containsSemiMixedTypes="0" containsString="0" containsNumber="1" minValue="0" maxValue="900.00000000000011"/>
    </cacheField>
    <cacheField name="Cost of Gabions" numFmtId="164">
      <sharedItems containsSemiMixedTypes="0" containsString="0" containsNumber="1" containsInteger="1" minValue="0" maxValue="46975"/>
    </cacheField>
    <cacheField name="Cost of Pitching" numFmtId="164">
      <sharedItems containsSemiMixedTypes="0" containsString="0" containsNumber="1" containsInteger="1" minValue="0" maxValue="37500"/>
    </cacheField>
    <cacheField name="Cost of Geotextile" numFmtId="164">
      <sharedItems containsSemiMixedTypes="0" containsString="0" containsNumber="1" minValue="0" maxValue="2436"/>
    </cacheField>
    <cacheField name="Cost of Rockpack" numFmtId="164">
      <sharedItems containsSemiMixedTypes="0" containsString="0" containsNumber="1" containsInteger="1" minValue="0" maxValue="12000"/>
    </cacheField>
    <cacheField name="Cost of Eco-logs" numFmtId="164">
      <sharedItems containsSemiMixedTypes="0" containsString="0" containsNumber="1" containsInteger="1" minValue="0" maxValue="91800"/>
    </cacheField>
    <cacheField name="Cost of Geo-cells" numFmtId="164">
      <sharedItems containsSemiMixedTypes="0" containsString="0" containsNumber="1" containsInteger="1" minValue="0" maxValue="0"/>
    </cacheField>
    <cacheField name="Cost of Barb Wire Fencing ( R)" numFmtId="164">
      <sharedItems containsSemiMixedTypes="0" containsString="0" containsNumber="1" containsInteger="1" minValue="0" maxValue="0"/>
    </cacheField>
    <cacheField name="Cost of HDPE Liner" numFmtId="164">
      <sharedItems containsSemiMixedTypes="0" containsString="0" containsNumber="1" containsInteger="1" minValue="0" maxValue="0"/>
    </cacheField>
    <cacheField name="Envirobent (or equiv.)" numFmtId="164">
      <sharedItems containsSemiMixedTypes="0" containsString="0" containsNumber="1" containsInteger="1" minValue="0" maxValue="0"/>
    </cacheField>
    <cacheField name="Cost of MacMat Liner ( R)" numFmtId="164">
      <sharedItems containsSemiMixedTypes="0" containsString="0" containsNumber="1" containsInteger="1" minValue="0" maxValue="0"/>
    </cacheField>
    <cacheField name="Cost of Reshaping (R )" numFmtId="164">
      <sharedItems containsSemiMixedTypes="0" containsString="0" containsNumber="1" containsInteger="1" minValue="0" maxValue="0"/>
    </cacheField>
    <cacheField name="Scarifying Cost of earthworks (R )" numFmtId="164">
      <sharedItems containsSemiMixedTypes="0" containsString="0" containsNumber="1" containsInteger="1" minValue="0" maxValue="0"/>
    </cacheField>
    <cacheField name="Cost of Sediment Fences (R )" numFmtId="164">
      <sharedItems containsSemiMixedTypes="0" containsString="0" containsNumber="1" containsInteger="1" minValue="0" maxValue="0"/>
    </cacheField>
    <cacheField name="600 mm Diam Pipe Cost" numFmtId="164">
      <sharedItems containsSemiMixedTypes="0" containsString="0" containsNumber="1" containsInteger="1" minValue="0" maxValue="15000"/>
    </cacheField>
    <cacheField name="Cost of Wetland soil backfill" numFmtId="164">
      <sharedItems containsSemiMixedTypes="0" containsString="0" containsNumber="1" containsInteger="1" minValue="0" maxValue="575000"/>
    </cacheField>
    <cacheField name="Cost of Brickwork - 230 mm thick" numFmtId="164">
      <sharedItems containsSemiMixedTypes="0" containsString="0" containsNumber="1" minValue="0" maxValue="4500"/>
    </cacheField>
    <cacheField name="Cost of 250 mm Diameter uPVC pipe" numFmtId="164">
      <sharedItems containsSemiMixedTypes="0" containsString="0" containsNumber="1" containsInteger="1" minValue="0" maxValue="132500"/>
    </cacheField>
    <cacheField name="Cost of Manholes 1000 mm diameter pre-cast" numFmtId="164">
      <sharedItems containsSemiMixedTypes="0" containsString="0" containsNumber="1" containsInteger="1" minValue="0" maxValue="30000"/>
    </cacheField>
    <cacheField name="Cost of Vegetation clearing" numFmtId="164">
      <sharedItems containsSemiMixedTypes="0" containsString="0" containsNumber="1" containsInteger="1" minValue="0" maxValue="26500"/>
    </cacheField>
    <cacheField name="Cost of Top soil removal" numFmtId="164">
      <sharedItems containsSemiMixedTypes="0" containsString="0" containsNumber="1" containsInteger="1" minValue="0" maxValue="2226"/>
    </cacheField>
    <cacheField name="Cost of Excavation of trench" numFmtId="164">
      <sharedItems containsSemiMixedTypes="0" containsString="0" containsNumber="1" containsInteger="1" minValue="0" maxValue="13250"/>
    </cacheField>
    <cacheField name="Cost of Make up deficiency in backfill material" numFmtId="164">
      <sharedItems containsSemiMixedTypes="0" containsString="0" containsNumber="1" containsInteger="1" minValue="0" maxValue="1500"/>
    </cacheField>
    <cacheField name="Cost of Clear and Grub" numFmtId="164">
      <sharedItems containsSemiMixedTypes="0" containsString="0" containsNumber="1" containsInteger="1" minValue="0" maxValue="17000"/>
    </cacheField>
    <cacheField name="Cost of Remove and large trees and trees stumps " numFmtId="164">
      <sharedItems containsSemiMixedTypes="0" containsString="0" containsNumber="1" containsInteger="1" minValue="0" maxValue="7500"/>
    </cacheField>
    <cacheField name="Cost of Create new temporary access road" numFmtId="164">
      <sharedItems containsSemiMixedTypes="0" containsString="0" containsNumber="1" minValue="0" maxValue="22335.25"/>
    </cacheField>
    <cacheField name="Cost of Upgrade existing access road" numFmtId="164">
      <sharedItems containsSemiMixedTypes="0" containsString="0" containsNumber="1" minValue="0" maxValue="37771.449999999997"/>
    </cacheField>
    <cacheField name="Cost of Maintain existing access road" numFmtId="164">
      <sharedItems containsSemiMixedTypes="0" containsString="0" containsNumber="1" minValue="0" maxValue="32204.5"/>
    </cacheField>
    <cacheField name="Cost of 250 mm Diam. Rsv Gate Valve" numFmtId="164">
      <sharedItems containsSemiMixedTypes="0" containsString="0" containsNumber="1" containsInteger="1" minValue="0" maxValue="12500"/>
    </cacheField>
    <cacheField name="Cost of Bends uPVC Class 6 socketed" numFmtId="164">
      <sharedItems containsSemiMixedTypes="0" containsString="0" containsNumber="1" containsInteger="1" minValue="0" maxValue="6000"/>
    </cacheField>
    <cacheField name="Cost of Cast Iron Flange Adaptors" numFmtId="164">
      <sharedItems containsSemiMixedTypes="0" containsString="0" containsNumber="1" containsInteger="1" minValue="0" maxValue="3600"/>
    </cacheField>
    <cacheField name="Cost of 38mm Fiberglass Grating" numFmtId="164">
      <sharedItems containsSemiMixedTypes="0" containsString="0" containsNumber="1" containsInteger="1" minValue="0" maxValue="1500"/>
    </cacheField>
    <cacheField name="Cost of 250 mm Steel pipe with removable stop end" numFmtId="164">
      <sharedItems containsSemiMixedTypes="0" containsString="0" containsNumber="1" containsInteger="1" minValue="0" maxValue="0"/>
    </cacheField>
    <cacheField name="Cost of ??????" numFmtId="164">
      <sharedItems containsSemiMixedTypes="0" containsString="0" containsNumber="1" containsInteger="1" minValue="0" maxValue="0"/>
    </cacheField>
    <cacheField name="Cost of ???????" numFmtId="164">
      <sharedItems containsSemiMixedTypes="0" containsString="0" containsNumber="1" containsInteger="1" minValue="0" maxValue="0"/>
    </cacheField>
    <cacheField name="Cost of ????????" numFmtId="164">
      <sharedItems containsSemiMixedTypes="0" containsString="0" containsNumber="1" containsInteger="1" minValue="0" maxValue="0"/>
    </cacheField>
    <cacheField name="Cost of ?????????" numFmtId="164">
      <sharedItems containsSemiMixedTypes="0" containsString="0" containsNumber="1" containsInteger="1" minValue="0" maxValue="0"/>
    </cacheField>
    <cacheField name="Cost Summary " numFmtId="164">
      <sharedItems containsSemiMixedTypes="0" containsString="0" containsNumber="1" minValue="903.90583018850941" maxValue="3653000"/>
    </cacheField>
    <cacheField name="Year 1 Est. Cost" numFmtId="164">
      <sharedItems containsMixedTypes="1" containsNumber="1" minValue="958.14017999982002" maxValue="920981"/>
    </cacheField>
    <cacheField name="Year 2 Est. Cost" numFmtId="164">
      <sharedItems/>
    </cacheField>
    <cacheField name="Year 3 Est. Cost" numFmtId="164">
      <sharedItems containsMixedTypes="1" containsNumber="1" minValue="3768.7206977255655" maxValue="687962.04621920013"/>
    </cacheField>
    <cacheField name="Year 4 Est. Cost" numFmtId="164">
      <sharedItems/>
    </cacheField>
    <cacheField name="Year 5 Est. Cost" numFmtId="164">
      <sharedItems containsMixedTypes="1" containsNumber="1" minValue="3566.5049868617602" maxValue="59779.205664180816"/>
    </cacheField>
    <cacheField name="Year 6 Est. Cost" numFmtId="164">
      <sharedItems/>
    </cacheField>
    <cacheField name="Year 7 Est. Cost" numFmtId="164">
      <sharedItems/>
    </cacheField>
    <cacheField name="Year 8 Est. Cost" numFmtId="164">
      <sharedItems containsMixedTypes="1" containsNumber="1" minValue="72356.074231849736" maxValue="5822327.0162611669"/>
    </cacheField>
    <cacheField name="Year 9 Est. Cost" numFmtId="164">
      <sharedItems/>
    </cacheField>
    <cacheField name="Year 10 Est. Cost" numFmtId="164">
      <sharedItems/>
    </cacheField>
    <cacheField name="Year 11 Est. Cost" numFmtId="164">
      <sharedItems/>
    </cacheField>
    <cacheField name="Year 12 Est. Cost" numFmtId="164">
      <sharedItems/>
    </cacheField>
    <cacheField name="Year 13 Est. Cost" numFmtId="164">
      <sharedItems/>
    </cacheField>
    <cacheField name="Year 14 Est. Cost" numFmtId="164">
      <sharedItems/>
    </cacheField>
    <cacheField name="Year 15 Est. Cost" numFmtId="164">
      <sharedItems/>
    </cacheField>
    <cacheField name="a) Excavation (Remove Top Soil)3" numFmtId="0">
      <sharedItems count="105" longText="1">
        <s v=" "/>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DS12_001-Excavation of Dam Wall  \m²\1251.40232690631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DS12_002-Backfilling Dam  \m²\995.487318191585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DS12_003-Excavation of Dam Wall  \m²\621.569611479008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1-002a-Concrete Drop Inlet on Dam Wall  \m²\31.8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1-002c-Dam wall excavation. Drawing NBC-GTW-CL-0067 \m²\1870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1-004a-Concrete Drop Inlet on Dam Wall  \m²\31.8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1-004c-Dam wall excavation. Drawing NBC-GTW-CL-0068 \m²\1200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2_002-Concrete Drop Inlet. Drawing NBC-GTW-CL-0002 \m²\30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2_003-Removal of Berm and Dam Wall  \m²\1876.14315788985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2_004-Concrete Drop Inlet. Drawing NBC-GTW-CL-0003 \m²\21.76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2_005-Concrete Drop Inlet. Drawing NBC-GTW-CL-0004 \m²\21.92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2_006-Concrete Drop Inlet. Drawing NBC-GTW-CL-0005 \m²\21.44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2_007-Concrete Drop Inlet. Drawing NBC-GTW-CL-0006 \m²\21.92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2_008-Concrete Drop Inlet. Drawing NBC-GTW-CL-0007 \m²\21.44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2_009-Concrete Drop Inlet. Drawing NBC-GTW-CL-0008 \m²\21.44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2_010-Removal of Dam Wall  \m²\619.185479905302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3_001-Infilling of Drains  \m²\1148.93998599451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3_002-Infilling of Drains  \m²\85.816653826392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3_003-Concrete Drop Inlet. Drawing NBC-GTW-CL-0009 \m²\23.2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3_009-Infilling of Drains  \m²\78.5716708603933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3_010-Removal of Berm  \m²\1868.09496857721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3_014-Infilling of Drains  \m²\278.716598321288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3_016-Infilling of Drains  \m²\332.18699875976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5_003-Removal of Dam Wall  \m²\619.289401121074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5-002-Backfill Main Channel  \m²\3846.97837810187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6_001-Earthen berm  \m²\494.873340531892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6_002-Excavate Dam Wall  \m²\400.2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6_004-Earthen berm  \m²\494.089808285138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8-021-Backfill Main Channel  \m²\3294.95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9_002-Concrete Drop Inlet. Drawing NBC-GTW-CL-0026 \m²\20.96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9_006-Removal of Dam Wall  \m²\3134.04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9_007-Infilling of Drains  \m²\191.419859738212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20_001-Concrete Drop Inlet. Drawing NBC-GTW-CL-0027 \m²\23.52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20_009_b-Concrete Check Wall. Drawing NBC-GTW-CL-0035 \m²\60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20_009_c-Removal of Earthen Berm. Drawing NBC-GTW-CL-0035 \m²\69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21_001-10° sloped Grouted Pitching (Light). Drawing NBC-GTW-CL-0038 \m²\38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21_003-Concrete Drop Inlet. Drawing NBC-GTW-CL-0039 \m²\22.24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21_005-Concrete Drop Inlet. Drawing NBC-GTW-CL-0040 \m²\22,24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21-010-Backfilling Main Channel. Drawing No Drawing \m²\2320,5501703847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21-002-Earthworks  \m²\340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21-004-Infilling of drain  \m²\112,305322126996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21-008-Infilling of drain  \m²\110,103362133363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LS08_001-Removal of Berm  \m²\148.532778078669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LS12_001-Removal of dam wall  \m²\2917.70393453744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LS12_002-Removal of Berm  \m²\133.158114034667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LS16_015-Earthworks (Reinforce Dam Wall)  \m²\567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LS16_021-Backfill Main Channel and reshaping  \m²\6032.31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Pan09_001-Removal of Dam Wall  \m²\977.744753861606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Pan14_004-Infilling of Drains  \m²\380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Pan14_005-Infilling of Drains  \m²\461.040922287129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Pan14_006-Earthen Berms  \m²\190.755332217041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Pan14_007-Infilling of Drains  \m²\168.280230740355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Pan14_008-Infilling of Drains  \m²\108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Pan14_009-Infilling of Drains  \m²\139.612870262106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Pan14_011-Infilling of Drains  \m²\4365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Pan14-001-Reinstate Pan Edge  \m²\367.230725070567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Pan14-002-Remove Berm  \m²\198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Pan14-003-Remove berm and backfill drain  \m²\2365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Pan8_002-Infilling of Drains  \m²\320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Pan8_004-Removal of Berm  \m²\34.9811660377019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Road 11 - Cluster 3A-New Road  \m²\3316.8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Road 17 - Cluster 3B-New Road  \m²\2401.6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Road 19 - Cluster 5A-New Road  \m²\4467.05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Road 6 - Cluster 1-New Road  \m²\3467.5 \ 5"/>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8_001-Concrete Drop Inlet. Drawing NBC-GTW-CL-0019 \m²\23.84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20_007-Concrete Drop Inlet. Drawing NBC-GTW-CL-0033 \m²\23.04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20_002-Concrete Drop Inlet. Drawing NBC-GTW-CL-0028 \m²\24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6_001-Infilling of Drains  \m²\494.873340531892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8_002-Concrete Drop Inlet. Drawing NBC-GTW-CL-0020 \m²\17.52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20_009_c-Earthen Berm. Drawing NBC-GTW-CL-0035 \m²\69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21_001-10° sloped Grouted Pitching (Light). Drawing NBC-GTW-CL-0038 \m²\32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20_003-Concrete Buttress Weir. Drawing NBC-GTW-CL-0029 \m²\26.68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21-004-Earthworks  \m²\112.305322126996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21_006-Concrete Drop Inlet. Drawing NBC-GTW-CL-0041 \m²\21.6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21_007-Concrete Drop Inlet. Drawing NBC-GTW-CL-0042 \m²\21.6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5_001-Fish Bowl  \m²\504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3_004-Concrete Drop Inlet. Drawing NBC-GTW-CL-0010 \m²\22.4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21-002-Earthworks  \m²\340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3_012-Concrete Drop Inlet. Drawing NBC-GTW-CL-0016 \m²\23.2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20_008-Concrete Drop Inlet. Drawing NBC-GTW-CL-0034 \m²\23.2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6_004-Infilling of Drains  \m²\494.089808285138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20_009_b-Concrete Overflow Wall. Drawing NBC-GTW-CL-0035 \m²\50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21-008-Infilling of Drain  \m²\110.103362133363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8-014-Concrete Filled Geo-Cell Berm. Drawing NBC-GTW-CL-0001 \m²\31.75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3_005-Concrete Drop Inlet. Drawing NBC-GTW-CL-0011 \m²\21.76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3_006-Concrete Drop Inlet. Drawing NBC-GTW-CL-0012 \m²\21.76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21_005-Concrete Drop Inlet. Drawing NBC-GTW-CL-0040 \m²\21.76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20_009_a-Concrete Buttress Weir. Drawing NBC-GTW-CL-0035 \m²\25.88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3_011-Concrete Drop Inlet. Drawing NBC-GTW-CL-0015 \m²\22.88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8_020-Concrete Drop Inlet associated with Road Culvert  \m²\23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21_009-Concrete Drop Inlet. Drawing NBC-GTW-CL-0043 \m²\21.92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21_010-Concrete Drop Inlet. Drawing NBC-GTW-CL-0044 \m²\21.92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3_013-Concrete Drop Inlet. Drawing NBC-GTW-CL-0017 \m²\22.56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3_015-Concrete Drop Inlet. Drawing NBC-GTW-CL-0018 \m²\22.56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8_015-Concrete Drop Inlet. Drawing NBC-GTW-CL-0021 \m²\23.68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3_007-Concrete Drop Inlet. Drawing NBC-GTW-CL-0013 \m²\22.24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3_008-Concrete Drop Inlet. Drawing NBC-GTW-CL-0014 \m²\22.24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8_019-Concrete Drop Inlet. Drawing NBC-GTW-CL-0025 \m²\22.24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8_016-Concrete Drop Inlet. Drawing NBC-GTW-CL-0022 \m²\23.36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8_017-Concrete Drop Inlet. Drawing NBC-GTW-CL-0023 \m²\23.36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18_018-Concrete Drop Inlet. Drawing NBC-GTW-CL-0024 \m²\23.36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20_004-Concrete Drop Inlet. Drawing NBC-GTW-CL-0030 \m²\23.36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20_005-Concrete Drop Inlet. Drawing NBC-GTW-CL-0031 \m²\23.36 \ 5" u="1"/>
        <s v="SABS1200 DA  \EARTHWORKS (SMALL WORKS)/8.3\SCHEDULED ITEMS/8.3.1a\Remove topsoil to nominal depth 150 mm, stockpile and maintain for re-use. The rate shall cover the cost of removing topsoil, together with such vegetation and small roots as occur within the specified depth and of stockpiling on designated sites./\KS20_006-Concrete Drop Inlet. Drawing NBC-GTW-CL-0032 \m²\23.36 \ 5" u="1"/>
      </sharedItems>
    </cacheField>
    <cacheField name="b) Excavation (non-restricted)3" numFmtId="0">
      <sharedItems count="41">
        <s v=" "/>
        <s v="SABS1200 DA \EARTHWORKS (SMALL WORKS)/8.3\SCHEDULED ITEMS/8.3.1b\Excavate in all materials and use for embankments or backfill or dispose, as ordered by the engineer. /\DS12_001-Excavation of Dam Wall  \m³\1419.11 \ 50"/>
        <s v="SABS1200 DA \EARTHWORKS (SMALL WORKS)/8.3\SCHEDULED ITEMS/8.3.1b\Excavate in all materials and use for embankments or backfill or dispose, as ordered by the engineer. /\DS12_002-Backfilling Dam  \m³\1723.444675 \ 50"/>
        <s v="SABS1200 DA \EARTHWORKS (SMALL WORKS)/8.3\SCHEDULED ITEMS/8.3.1b\Excavate in all materials and use for embankments or backfill or dispose, as ordered by the engineer. /\DS12_003-Excavation of Dam Wall  \m³\659.314 \ 50"/>
        <s v="SABS1200 DA \EARTHWORKS (SMALL WORKS)/8.3\SCHEDULED ITEMS/8.3.1b\Excavate in all materials and use for embankments or backfill or dispose, as ordered by the engineer. /\ks11-002c-Dam wall excavation. Drawing NBC-GTW-CL-0067 \m³\2651.36666666667 \ 50"/>
        <s v="SABS1200 DA \EARTHWORKS (SMALL WORKS)/8.3\SCHEDULED ITEMS/8.3.1b\Excavate in all materials and use for embankments or backfill or dispose, as ordered by the engineer. /\ks11-004c-Dam wall excavation. Drawing NBC-GTW-CL-0068 \m³\665.25 \ 50"/>
        <s v="SABS1200 DA \EARTHWORKS (SMALL WORKS)/8.3\SCHEDULED ITEMS/8.3.1b\Excavate in all materials and use for embankments or backfill or dispose, as ordered by the engineer. /\KS12_003-Removal of Berm and Dam Wall  \m³\801.25656625 \ 50"/>
        <s v="SABS1200 DA \EARTHWORKS (SMALL WORKS)/8.3\SCHEDULED ITEMS/8.3.1b\Excavate in all materials and use for embankments or backfill or dispose, as ordered by the engineer. /\KS12_010-Removal of Dam Wall  \m³\211.894375 \ 50"/>
        <s v="SABS1200 DA \EARTHWORKS (SMALL WORKS)/8.3\SCHEDULED ITEMS/8.3.1b\Excavate in all materials and use for embankments or backfill or dispose, as ordered by the engineer. /\KS13_010-Removal of Berm  \m³\336.92505 \ 50"/>
        <s v="SABS1200 DA \EARTHWORKS (SMALL WORKS)/8.3\SCHEDULED ITEMS/8.3.1b\Excavate in all materials and use for embankments or backfill or dispose, as ordered by the engineer. /\KS13_016-Infilling of Drains  \m³\111.91475 \ 50"/>
        <s v="SABS1200 DA \EARTHWORKS (SMALL WORKS)/8.3\SCHEDULED ITEMS/8.3.1b\Excavate in all materials and use for embankments or backfill or dispose, as ordered by the engineer. /\KS15_003-Removal of Dam Wall  \m³\185.54375 \ 50"/>
        <s v="SABS1200 DA \EARTHWORKS (SMALL WORKS)/8.3\SCHEDULED ITEMS/8.3.1b\Excavate in all materials and use for embankments or backfill or dispose, as ordered by the engineer. /\KS16_002-Excavate Dam Wall  \m³\89.7 \ 50"/>
        <s v="SABS1200 DA \EARTHWORKS (SMALL WORKS)/8.3\SCHEDULED ITEMS/8.3.1b\Excavate in all materials and use for embankments or backfill or dispose, as ordered by the engineer. /\KS19_006-Removal of Dam Wall  \m³\1385.03125 \ 50"/>
        <s v="SABS1200 DA \EARTHWORKS (SMALL WORKS)/8.3\SCHEDULED ITEMS/8.3.1b\Excavate in all materials and use for embankments or backfill or dispose, as ordered by the engineer. /\LS08_001-Removal of Berm  \m³\43.75 \ 50"/>
        <s v="SABS1200 DA \EARTHWORKS (SMALL WORKS)/8.3\SCHEDULED ITEMS/8.3.1b\Excavate in all materials and use for embankments or backfill or dispose, as ordered by the engineer. /\LS12_001-Removal of dam wall  \m³\1696.474 \ 50"/>
        <s v="SABS1200 DA \EARTHWORKS (SMALL WORKS)/8.3\SCHEDULED ITEMS/8.3.1b\Excavate in all materials and use for embankments or backfill or dispose, as ordered by the engineer. /\LS12_002-Removal of Berm  \m³\27.17 \ 50"/>
        <s v="SABS1200 DA \EARTHWORKS (SMALL WORKS)/8.3\SCHEDULED ITEMS/8.3.1b\Excavate in all materials and use for embankments or backfill or dispose, as ordered by the engineer. /\LS16_012-Removal of Road  \m³\161.55 \ 50"/>
        <s v="SABS1200 DA \EARTHWORKS (SMALL WORKS)/8.3\SCHEDULED ITEMS/8.3.1b\Excavate in all materials and use for embankments or backfill or dispose, as ordered by the engineer. /\LS16_020-Removal of Road  \m³\744.2325 \ 50"/>
        <s v="SABS1200 DA \EARTHWORKS (SMALL WORKS)/8.3\SCHEDULED ITEMS/8.3.1b\Excavate in all materials and use for embankments or backfill or dispose, as ordered by the engineer. /\Pan09_001-Removal of Dam Wall  \m³\188 \ 50"/>
        <s v="SABS1200 DA \EARTHWORKS (SMALL WORKS)/8.3\SCHEDULED ITEMS/8.3.1b\Excavate in all materials and use for embankments or backfill or dispose, as ordered by the engineer. /\Pan14_008-Infilling of Drains  \m³\73.44 \ 50"/>
        <s v="SABS1200 DA \EARTHWORKS (SMALL WORKS)/8.3\SCHEDULED ITEMS/8.3.1b\Excavate in all materials and use for embankments or backfill or dispose, as ordered by the engineer. /\Pan14-003-Remove berm and backfill drain  \m³\435.82 \ 50"/>
        <s v="SABS1200 DA \EARTHWORKS (SMALL WORKS)/8.3\SCHEDULED ITEMS/8.3.1b\Excavate in all materials and use for embankments or backfill or dispose, as ordered by the engineer. /\KS13_016-Infilling of Drains  \m³\111.91475 \ 30" u="1"/>
        <s v="SABS1200 DA \EARTHWORKS (SMALL WORKS)/8.3\SCHEDULED ITEMS/8.3.1b\Excavate in all materials and use for embankments or backfill or dispose, as ordered by the engineer. /\Pan09_001-Removal of Dam Wall  \m³\188 \ 30" u="1"/>
        <s v="SABS1200 DA \EARTHWORKS (SMALL WORKS)/8.3\SCHEDULED ITEMS/8.3.1b\Excavate in all materials and use for embankments or backfill or dispose, as ordered by the engineer. /\Pan14_008-Infilling of Drains  \m³\73.44 \ 30" u="1"/>
        <s v="SABS1200 DA \EARTHWORKS (SMALL WORKS)/8.3\SCHEDULED ITEMS/8.3.1b\Excavate in all materials and use for embankments or backfill or dispose, as ordered by the engineer. /\DS12_003-Excavation of Dam Wall  \m³\659.314 \ 30" u="1"/>
        <s v="SABS1200 DA \EARTHWORKS (SMALL WORKS)/8.3\SCHEDULED ITEMS/8.3.1b\Excavate in all materials and use for embankments or backfill or dispose, as ordered by the engineer. /\KS19_006-Removal of Dam Wall  \m³\1385.03125 \ 30" u="1"/>
        <s v="SABS1200 DA \EARTHWORKS (SMALL WORKS)/8.3\SCHEDULED ITEMS/8.3.1b\Excavate in all materials and use for embankments or backfill or dispose, as ordered by the engineer. /\LS08_001-Removal of Berm  \m³\43.75 \ 30" u="1"/>
        <s v="SABS1200 DA \EARTHWORKS (SMALL WORKS)/8.3\SCHEDULED ITEMS/8.3.1b\Excavate in all materials and use for embankments or backfill or dispose, as ordered by the engineer. /\KS13_010-Removal of Berm  \m³\336.92505 \ 30" u="1"/>
        <s v="SABS1200 DA \EARTHWORKS (SMALL WORKS)/8.3\SCHEDULED ITEMS/8.3.1b\Excavate in all materials and use for embankments or backfill or dispose, as ordered by the engineer. /\KS16_002-Excavate Dam Wall  \m³\89.7 \ 30" u="1"/>
        <s v="SABS1200 DA \EARTHWORKS (SMALL WORKS)/8.3\SCHEDULED ITEMS/8.3.1b\Excavate in all materials and use for embankments or backfill or dispose, as ordered by the engineer. /\LS16_020-Removal of Road  \m³\744.2325 \ 30" u="1"/>
        <s v="SABS1200 DA \EARTHWORKS (SMALL WORKS)/8.3\SCHEDULED ITEMS/8.3.1b\Excavate in all materials and use for embankments or backfill or dispose, as ordered by the engineer. /\DS12_001-Excavation of Dam Wall  \m³\1419.11 \ 30" u="1"/>
        <s v="SABS1200 DA \EARTHWORKS (SMALL WORKS)/8.3\SCHEDULED ITEMS/8.3.1b\Excavate in all materials and use for embankments or backfill or dispose, as ordered by the engineer. /\ks11-004c-Dam wall excavation. Drawing NBC-GTW-CL-0068 \m³\665.25 \ 30" u="1"/>
        <s v="SABS1200 DA \EARTHWORKS (SMALL WORKS)/8.3\SCHEDULED ITEMS/8.3.1b\Excavate in all materials and use for embankments or backfill or dispose, as ordered by the engineer. /\KS12_003-Removal of Berm and Dam Wall  \m³\801.25656625 \ 30" u="1"/>
        <s v="SABS1200 DA \EARTHWORKS (SMALL WORKS)/8.3\SCHEDULED ITEMS/8.3.1b\Excavate in all materials and use for embankments or backfill or dispose, as ordered by the engineer. /\LS12_001-Removal of dam wall  \m³\1696.474 \ 30" u="1"/>
        <s v="SABS1200 DA \EARTHWORKS (SMALL WORKS)/8.3\SCHEDULED ITEMS/8.3.1b\Excavate in all materials and use for embankments or backfill or dispose, as ordered by the engineer. /\ks11-002c-Dam wall excavation. Drawing NBC-GTW-CL-0067 \m³\2651.36666666667 \ 30" u="1"/>
        <s v="SABS1200 DA \EARTHWORKS (SMALL WORKS)/8.3\SCHEDULED ITEMS/8.3.1b\Excavate in all materials and use for embankments or backfill or dispose, as ordered by the engineer. /\DS12_002-Backfilling Dam  \m³\1723.444675 \ 30" u="1"/>
        <s v="SABS1200 DA \EARTHWORKS (SMALL WORKS)/8.3\SCHEDULED ITEMS/8.3.1b\Excavate in all materials and use for embankments or backfill or dispose, as ordered by the engineer. /\LS16_012-Removal of Road  \m³\161.55 \ 30" u="1"/>
        <s v="SABS1200 DA \EARTHWORKS (SMALL WORKS)/8.3\SCHEDULED ITEMS/8.3.1b\Excavate in all materials and use for embankments or backfill or dispose, as ordered by the engineer. /\KS12_010-Removal of Dam Wall  \m³\211.894375 \ 30" u="1"/>
        <s v="SABS1200 DA \EARTHWORKS (SMALL WORKS)/8.3\SCHEDULED ITEMS/8.3.1b\Excavate in all materials and use for embankments or backfill or dispose, as ordered by the engineer. /\Pan14-003-Remove berm and backfill drain  \m³\435.82 \ 30" u="1"/>
        <s v="SABS1200 DA \EARTHWORKS (SMALL WORKS)/8.3\SCHEDULED ITEMS/8.3.1b\Excavate in all materials and use for embankments or backfill or dispose, as ordered by the engineer. /\LS12_002-Removal of Berm  \m³\27.17 \ 30" u="1"/>
        <s v="SABS1200 DA \EARTHWORKS (SMALL WORKS)/8.3\SCHEDULED ITEMS/8.3.1b\Excavate in all materials and use for embankments or backfill or dispose, as ordered by the engineer. /\KS15_003-Removal of Dam Wall  \m³\185.54375 \ 30" u="1"/>
      </sharedItems>
    </cacheField>
    <cacheField name="ci)Excavation (Extra-over intermediate)3" numFmtId="0">
      <sharedItems count="2">
        <s v=" "/>
        <s v="SABS1200 DA \EARTHWORKS (SMALL WORKS)/8.3\SCHEDULED ITEMS/8.3.1c 1\Extra-over for intermediate excavation. (Provisional Quantities)/\Pan8_003-Removal of Dam Wall  \m³\32.43575 \ 75"/>
      </sharedItems>
    </cacheField>
    <cacheField name="cii)Excavation (Extra-over Hard Rock)3" numFmtId="0">
      <sharedItems count="1">
        <s v=" "/>
      </sharedItems>
    </cacheField>
    <cacheField name="ciii) Excavation (Bolders-B)3" numFmtId="0">
      <sharedItems count="1">
        <s v=" "/>
      </sharedItems>
    </cacheField>
    <cacheField name="a) Excavation 3" numFmtId="0">
      <sharedItems count="261" longText="1">
        <s v="SABS1200 DA \EARTHWORKS (SMALL WORKS)/8.3\SCHEDULED ITEMS/8.3.2a\Excavate for restricted foundations, footings and trenches  in all materials and use for embankments or backfill or dispose. /\DS12_004-Removal of earthen material  \m³\523.01728 \ 85"/>
        <s v=" "/>
        <s v="SABS1200 DA \EARTHWORKS (SMALL WORKS)/8.3\SCHEDULED ITEMS/8.3.2a\Excavate for restricted foundations, footings and trenches  in all materials and use for embankments or backfill or dispose. /\ks11-001-Off-take structure  \m³\4 \ 85"/>
        <s v="SABS1200 DA \EARTHWORKS (SMALL WORKS)/8.3\SCHEDULED ITEMS/8.3.2a\Excavate for restricted foundations, footings and trenches  in all materials and use for embankments or backfill or dispose. /\ks11-002a-Concrete Drop Inlet on Dam Wall  \m³\394.7652 \ 85"/>
        <s v="SABS1200 DA \EARTHWORKS (SMALL WORKS)/8.3\SCHEDULED ITEMS/8.3.2a\Excavate for restricted foundations, footings and trenches  in all materials and use for embankments or backfill or dispose. /\ks11-002b-Concrete Splash Through Structure. Drawing NBC-GTW-CL-0067 \m³\210 \ 85"/>
        <s v="SABS1200 DA \EARTHWORKS (SMALL WORKS)/8.3\SCHEDULED ITEMS/8.3.2a\Excavate for restricted foundations, footings and trenches  in all materials and use for embankments or backfill or dispose. /\ks11-004a-Concrete Drop Inlet on Dam Wall  \m³\355.8966 \ 85"/>
        <s v="SABS1200 DA \EARTHWORKS (SMALL WORKS)/8.3\SCHEDULED ITEMS/8.3.2a\Excavate for restricted foundations, footings and trenches  in all materials and use for embankments or backfill or dispose. /\ks11-004b-Concrete Splash Through Structure. Drawing NBC-GTW-CL-0068 \m³\210 \ 85"/>
        <s v="SABS1200 DA \EARTHWORKS (SMALL WORKS)/8.3\SCHEDULED ITEMS/8.3.2a\Excavate for restricted foundations, footings and trenches  in all materials and use for embankments or backfill or dispose. /\KS12_001-Pipe Culvert. Drawing NBC-GTW-CL-0069 \m³\2 \ 85"/>
        <s v="SABS1200 DA \EARTHWORKS (SMALL WORKS)/8.3\SCHEDULED ITEMS/8.3.2a\Excavate for restricted foundations, footings and trenches  in all materials and use for embankments or backfill or dispose. /\KS12_002-Concrete Drop Inlet. Drawing NBC-GTW-CL-0002 \m³\37 \ 85"/>
        <s v="SABS1200 DA \EARTHWORKS (SMALL WORKS)/8.3\SCHEDULED ITEMS/8.3.2a\Excavate for restricted foundations, footings and trenches  in all materials and use for embankments or backfill or dispose. /\KS12_004-Concrete Drop Inlet. Drawing NBC-GTW-CL-0003 \m³\36.6111 \ 85"/>
        <s v="SABS1200 DA \EARTHWORKS (SMALL WORKS)/8.3\SCHEDULED ITEMS/8.3.2a\Excavate for restricted foundations, footings and trenches  in all materials and use for embankments or backfill or dispose. /\KS12_005-Concrete Drop Inlet. Drawing NBC-GTW-CL-0004 \m³\36.4286202 \ 85"/>
        <s v="SABS1200 DA \EARTHWORKS (SMALL WORKS)/8.3\SCHEDULED ITEMS/8.3.2a\Excavate for restricted foundations, footings and trenches  in all materials and use for embankments or backfill or dispose. /\KS12_006-Concrete Drop Inlet. Drawing NBC-GTW-CL-0005 \m³\31.948975 \ 85"/>
        <s v="SABS1200 DA \EARTHWORKS (SMALL WORKS)/8.3\SCHEDULED ITEMS/8.3.2a\Excavate for restricted foundations, footings and trenches  in all materials and use for embankments or backfill or dispose. /\KS12_007-Concrete Drop Inlet. Drawing NBC-GTW-CL-0006 \m³\47.313325 \ 85"/>
        <s v="SABS1200 DA \EARTHWORKS (SMALL WORKS)/8.3\SCHEDULED ITEMS/8.3.2a\Excavate for restricted foundations, footings and trenches  in all materials and use for embankments or backfill or dispose. /\KS12_008-Concrete Drop Inlet. Drawing NBC-GTW-CL-0007 \m³\33.21409 \ 85"/>
        <s v="SABS1200 DA \EARTHWORKS (SMALL WORKS)/8.3\SCHEDULED ITEMS/8.3.2a\Excavate for restricted foundations, footings and trenches  in all materials and use for embankments or backfill or dispose. /\KS12_009-Concrete Drop Inlet. Drawing NBC-GTW-CL-0008 \m³\21.46164 \ 85"/>
        <s v="SABS1200 DA \EARTHWORKS (SMALL WORKS)/8.3\SCHEDULED ITEMS/8.3.2a\Excavate for restricted foundations, footings and trenches  in all materials and use for embankments or backfill or dispose. /\KS13_003-Concrete Drop Inlet. Drawing NBC-GTW-CL-0009 \m³\44.0325 \ 85"/>
        <s v="SABS1200 DA \EARTHWORKS (SMALL WORKS)/8.3\SCHEDULED ITEMS/8.3.2a\Excavate for restricted foundations, footings and trenches  in all materials and use for embankments or backfill or dispose. /\KS13_004-Concrete Check Wall. Drawing NBC-GTW-CL-0010 \m³\5.322 \ 85"/>
        <s v="SABS1200 DA \EARTHWORKS (SMALL WORKS)/8.3\SCHEDULED ITEMS/8.3.2a\Excavate for restricted foundations, footings and trenches  in all materials and use for embankments or backfill or dispose. /\KS13_005-Concrete Check Wall. Drawing NBC-GTW-CL-0011 \m³\7.482 \ 85"/>
        <s v="SABS1200 DA \EARTHWORKS (SMALL WORKS)/8.3\SCHEDULED ITEMS/8.3.2a\Excavate for restricted foundations, footings and trenches  in all materials and use for embankments or backfill or dispose. /\KS13_006-Concrete Check Wall. Drawing NBC-GTW-CL-0012 \m³\7.4025 \ 85"/>
        <s v="SABS1200 DA \EARTHWORKS (SMALL WORKS)/8.3\SCHEDULED ITEMS/8.3.2a\Excavate for restricted foundations, footings and trenches  in all materials and use for embankments or backfill or dispose. /\KS13_007-Concrete Check Wall. Drawing NBC-GTW-CL-0013 \m³\5.8575 \ 85"/>
        <s v="SABS1200 DA \EARTHWORKS (SMALL WORKS)/8.3\SCHEDULED ITEMS/8.3.2a\Excavate for restricted foundations, footings and trenches  in all materials and use for embankments or backfill or dispose. /\KS13_008-Concrete Check Wall. Drawing NBC-GTW-CL-0014 \m³\7.515 \ 85"/>
        <s v="SABS1200 DA \EARTHWORKS (SMALL WORKS)/8.3\SCHEDULED ITEMS/8.3.2a\Excavate for restricted foundations, footings and trenches  in all materials and use for embankments or backfill or dispose. /\KS13_011-Concrete Check Wall. Drawing NBC-GTW-CL-0015 \m³\6.696 \ 85"/>
        <s v="SABS1200 DA \EARTHWORKS (SMALL WORKS)/8.3\SCHEDULED ITEMS/8.3.2a\Excavate for restricted foundations, footings and trenches  in all materials and use for embankments or backfill or dispose. /\KS13_012-Concrete Check Wall. Drawing NBC-GTW-CL-0016 \m³\6.012 \ 85"/>
        <s v="SABS1200 DA \EARTHWORKS (SMALL WORKS)/8.3\SCHEDULED ITEMS/8.3.2a\Excavate for restricted foundations, footings and trenches  in all materials and use for embankments or backfill or dispose. /\KS13_013-Concrete Check Wall. Drawing NBC-GTW-CL-0017 \m³\5.166 \ 85"/>
        <s v="SABS1200 DA \EARTHWORKS (SMALL WORKS)/8.3\SCHEDULED ITEMS/8.3.2a\Excavate for restricted foundations, footings and trenches  in all materials and use for embankments or backfill or dispose. /\KS13_015-Concrete Check Wall. Drawing NBC-GTW-CL-0018 \m³\5.361 \ 85"/>
        <s v="SABS1200 DA \EARTHWORKS (SMALL WORKS)/8.3\SCHEDULED ITEMS/8.3.2a\Excavate for restricted foundations, footings and trenches  in all materials and use for embankments or backfill or dispose. /\KS13_017-Backfilling Main Channel  \m³\633.5898924573 \ 85"/>
        <s v="SABS1200 DA \EARTHWORKS (SMALL WORKS)/8.3\SCHEDULED ITEMS/8.3.2a\Excavate for restricted foundations, footings and trenches  in all materials and use for embankments or backfill or dispose. /\KS15_001-Concrete Check Wall  \m³\6.264 \ 85"/>
        <s v="SABS1200 DA \EARTHWORKS (SMALL WORKS)/8.3\SCHEDULED ITEMS/8.3.2a\Excavate for restricted foundations, footings and trenches  in all materials and use for embankments or backfill or dispose. /\KS15-002-Backfill Main Channel  \m³\980 \ 85"/>
        <s v="SABS1200 DA \EARTHWORKS (SMALL WORKS)/8,3\SCHEDULED ITEMS/8.3.2a\Excavate for restricted foundations, footings and trenches  in all materials and use for embankments or backfill or dispose. /\KS16_003-Ecologs  \m³\14,22 \ 85"/>
        <s v="SABS1200 DA \EARTHWORKS (SMALL WORKS)/8,3\SCHEDULED ITEMS/8.3.2a\Excavate for restricted foundations, footings and trenches  in all materials and use for embankments or backfill or dispose. /\KS16_005-Ecologs  \m³\18,36 \ 85"/>
        <s v="SABS1200 DA \EARTHWORKS (SMALL WORKS)/8.3\SCHEDULED ITEMS/8.3.2a\Excavate for restricted foundations, footings and trenches  in all materials and use for embankments or backfill or dispose. /\KS18_001-Concrete Check Wall. Drawing NBC-GTW-CL-0019 \m³\12 \ 85"/>
        <s v="SABS1200 DA \EARTHWORKS (SMALL WORKS)/8.3\SCHEDULED ITEMS/8.3.2a\Excavate for restricted foundations, footings and trenches  in all materials and use for embankments or backfill or dispose. /\KS18_002A-Concrete Check Wall. Drawing NBC-GTW-CL-0020 \m³\8 \ 85"/>
        <s v="SABS1200 DA \EARTHWORKS (SMALL WORKS)/8.3\SCHEDULED ITEMS/8.3.2a\Excavate for restricted foundations, footings and trenches  in all materials and use for embankments or backfill or dispose. /\KS18_002B-Concrete Check Wall  \m³\6 \ 85"/>
        <s v="SABS1200 DA \EARTHWORKS (SMALL WORKS)/8,3\SCHEDULED ITEMS/8.3.2a\Excavate for restricted foundations, footings and trenches  in all materials and use for embankments or backfill or dispose. /\KS18_003-Concrete Check Wall. Drawing NBC-GTW-CL-0045 \m³\5,7 \ 85"/>
        <s v="SABS1200 DA \EARTHWORKS (SMALL WORKS)/8,3\SCHEDULED ITEMS/8.3.2a\Excavate for restricted foundations, footings and trenches  in all materials and use for embankments or backfill or dispose. /\KS18_004-Concrete Check Wall. Drawing NBC-GTW-CL-0045 \m³\5,355 \ 85"/>
        <s v="SABS1200 DA \EARTHWORKS (SMALL WORKS)/8,3\SCHEDULED ITEMS/8.3.2a\Excavate for restricted foundations, footings and trenches  in all materials and use for embankments or backfill or dispose. /\KS18_005-Concrete Check Wall. Drawing NBC-GTW-CL-0045 \m³\6,93 \ 85"/>
        <s v="SABS1200 DA \EARTHWORKS (SMALL WORKS)/8,3\SCHEDULED ITEMS/8.3.2a\Excavate for restricted foundations, footings and trenches  in all materials and use for embankments or backfill or dispose. /\KS18_006-Concrete Check Wall. Drawing NBC-GTW-CL-0045 \m³\6,615 \ 85"/>
        <s v="SABS1200 DA \EARTHWORKS (SMALL WORKS)/8,3\SCHEDULED ITEMS/8.3.2a\Excavate for restricted foundations, footings and trenches  in all materials and use for embankments or backfill or dispose. /\KS18_007-Concrete Check Wall. Drawing NBC-GTW-CL-0045 \m³\5,04 \ 85"/>
        <s v="SABS1200 DA \EARTHWORKS (SMALL WORKS)/8,3\SCHEDULED ITEMS/8.3.2a\Excavate for restricted foundations, footings and trenches  in all materials and use for embankments or backfill or dispose. /\KS18_008-Concrete Check Wall. Drawing NBC-GTW-CL-0045 \m³\5,76 \ 85"/>
        <s v="SABS1200 DA \EARTHWORKS (SMALL WORKS)/8,3\SCHEDULED ITEMS/8.3.2a\Excavate for restricted foundations, footings and trenches  in all materials and use for embankments or backfill or dispose. /\KS18_009-Concrete Check Wall. Drawing NBC-GTW-CL-0045 \m³\5,775 \ 85"/>
        <s v="SABS1200 DA \EARTHWORKS (SMALL WORKS)/8,3\SCHEDULED ITEMS/8.3.2a\Excavate for restricted foundations, footings and trenches  in all materials and use for embankments or backfill or dispose. /\KS18_010-Concrete Check Wall. Drawing NBC-GTW-CL-0045 \m³\6,93 \ 85"/>
        <s v="SABS1200 DA \EARTHWORKS (SMALL WORKS)/8,3\SCHEDULED ITEMS/8.3.2a\Excavate for restricted foundations, footings and trenches  in all materials and use for embankments or backfill or dispose. /\KS18_011-Concrete Check Wall. Drawing NBC-GTW-CL-0045 \m³\6 \ 85"/>
        <s v="SABS1200 DA \EARTHWORKS (SMALL WORKS)/8,3\SCHEDULED ITEMS/8.3.2a\Excavate for restricted foundations, footings and trenches  in all materials and use for embankments or backfill or dispose. /\KS18_012-Concrete Check Wall. Drawing NBC-GTW-CL-0045 \m³\6,6 \ 85"/>
        <s v="SABS1200 DA \EARTHWORKS (SMALL WORKS)/8,3\SCHEDULED ITEMS/8.3.2a\Excavate for restricted foundations, footings and trenches  in all materials and use for embankments or backfill or dispose. /\KS18_013-Concrete Check Wall. Drawing NBC-GTW-CL-0045 \m³\6 \ 85"/>
        <s v="SABS1200 DA \EARTHWORKS (SMALL WORKS)/8.3\SCHEDULED ITEMS/8.3.2a\Excavate for restricted foundations, footings and trenches  in all materials and use for embankments or backfill or dispose. /\KS18_015-Concrete Check Wall. Drawing NBC-GTW-CL-0021 \m³\7.74 \ 85"/>
        <s v="SABS1200 DA \EARTHWORKS (SMALL WORKS)/8.3\SCHEDULED ITEMS/8.3.2a\Excavate for restricted foundations, footings and trenches  in all materials and use for embankments or backfill or dispose. /\KS18_016-Concrete Check Wall. Drawing NBC-GTW-CL-0022 \m³\6.804 \ 85"/>
        <s v="SABS1200 DA \EARTHWORKS (SMALL WORKS)/8.3\SCHEDULED ITEMS/8.3.2a\Excavate for restricted foundations, footings and trenches  in all materials and use for embankments or backfill or dispose. /\KS18_017-Concrete Check Wall. Drawing NBC-GTW-CL-0023 \m³\5.94 \ 85"/>
        <s v="SABS1200 DA \EARTHWORKS (SMALL WORKS)/8.3\SCHEDULED ITEMS/8.3.2a\Excavate for restricted foundations, footings and trenches  in all materials and use for embankments or backfill or dispose. /\KS18_018-Concrete Check Wall. Drawing NBC-GTW-CL-0024 \m³\4.998 \ 85"/>
        <s v="SABS1200 DA \EARTHWORKS (SMALL WORKS)/8.3\SCHEDULED ITEMS/8.3.2a\Excavate for restricted foundations, footings and trenches  in all materials and use for embankments or backfill or dispose. /\KS18_019-Concrete Check Wall. Drawing NBC-GTW-CL-0025 \m³\6.624 \ 85"/>
        <s v="SABS1200 DA \EARTHWORKS (SMALL WORKS)/8.3\SCHEDULED ITEMS/8.3.2a\Excavate for restricted foundations, footings and trenches  in all materials and use for embankments or backfill or dispose. /\KS18_020-Concrete Check Wall  \m³\6.7575 \ 85"/>
        <s v="SABS1200 DA \EARTHWORKS (SMALL WORKS)/8,3\SCHEDULED ITEMS/8.3.2a\Excavate for restricted foundations, footings and trenches  in all materials and use for embankments or backfill or dispose. /\KS18_014-Concrete Check Wall. Drawing NBC-GTW-CL-0001 \m³\6,66 \ 85"/>
        <s v="SABS1200 DA \EARTHWORKS (SMALL WORKS)/8.3\SCHEDULED ITEMS/8.3.2a\Excavate for restricted foundations, footings and trenches  in all materials and use for embankments or backfill or dispose. /\KS18-021-Backfill Main Channel  \m³\1098 \ 85"/>
        <s v="SABS1200 DA \EARTHWORKS (SMALL WORKS)/8,3\SCHEDULED ITEMS/8.3.2a\Excavate for restricted foundations, footings and trenches  in all materials and use for embankments or backfill or dispose. /\KS19_001-Ecologs  \m³\5 \ 85"/>
        <s v="SABS1200 DA \EARTHWORKS (SMALL WORKS)/8.3\SCHEDULED ITEMS/8.3.2a\Excavate for restricted foundations, footings and trenches  in all materials and use for embankments or backfill or dispose. /\KS19_002-Concrete Drop Inlet. Drawing NBC-GTW-CL-0026 \m³\38.760038 \ 85"/>
        <s v="SABS1200 DA \EARTHWORKS (SMALL WORKS)/8,3\SCHEDULED ITEMS/8.3.2a\Excavate for restricted foundations, footings and trenches  in all materials and use for embankments or backfill or dispose. /\KS19_003-Ecologs  \m³\5,316 \ 85"/>
        <s v="SABS1200 DA \EARTHWORKS (SMALL WORKS)/8,3\SCHEDULED ITEMS/8.3.2a\Excavate for restricted foundations, footings and trenches  in all materials and use for embankments or backfill or dispose. /\KS19_004-Ecologs  \m³\4,5 \ 85"/>
        <s v="SABS1200 DA \EARTHWORKS (SMALL WORKS)/8,3\SCHEDULED ITEMS/8.3.2a\Excavate for restricted foundations, footings and trenches  in all materials and use for embankments or backfill or dispose. /\KS19_005-Ecologs  \m³\4,68 \ 85"/>
        <s v="SABS1200 DA \EARTHWORKS (SMALL WORKS)/8.3\SCHEDULED ITEMS/8.3.2a\Excavate for restricted foundations, footings and trenches  in all materials and use for embankments or backfill or dispose. /\KS20_001-Concrete Drop Inlet. Drawing NBC-GTW-CL-0027 \m³\51.93327 \ 85"/>
        <s v="SABS1200 DA \EARTHWORKS (SMALL WORKS)/8.3\SCHEDULED ITEMS/8.3.2a\Excavate for restricted foundations, footings and trenches  in all materials and use for embankments or backfill or dispose. /\KS20_002-Concrete Check Wall. Drawing NBC-GTW-CL-0028 \m³\6.453 \ 85"/>
        <s v="SABS1200 DA \EARTHWORKS (SMALL WORKS)/8.3\SCHEDULED ITEMS/8.3.2a\Excavate for restricted foundations, footings and trenches  in all materials and use for embankments or backfill or dispose. /\KS20_003-Concrete Check Wall. Drawing NBC-GTW-CL-0029 \m³\9.855 \ 85"/>
        <s v="SABS1200 DA \EARTHWORKS (SMALL WORKS)/8.3\SCHEDULED ITEMS/8.3.2a\Excavate for restricted foundations, footings and trenches  in all materials and use for embankments or backfill or dispose. /\KS20_004-Concrete Check Wall. Drawing NBC-GTW-CL-0030 \m³\9.405 \ 85"/>
        <s v="SABS1200 DA \EARTHWORKS (SMALL WORKS)/8.3\SCHEDULED ITEMS/8.3.2a\Excavate for restricted foundations, footings and trenches  in all materials and use for embankments or backfill or dispose. /\KS20_005-Concrete Check Wall. Drawing NBC-GTW-CL-0031 \m³\10.032 \ 85"/>
        <s v="SABS1200 DA \EARTHWORKS (SMALL WORKS)/8,3\SCHEDULED ITEMS/8.3.2a\Excavate for restricted foundations, footings and trenches  in all materials and use for embankments or backfill or dispose. /\KS20_006-Concrete Check Wall. Drawing NBC-GTW-CL-0032 \m³\10,035 \ 85"/>
        <s v="SABS1200 DA \EARTHWORKS (SMALL WORKS)/8.3\SCHEDULED ITEMS/8.3.2a\Excavate for restricted foundations, footings and trenches  in all materials and use for embankments or backfill or dispose. /\KS20_007-Concrete Check Wall. Drawing NBC-GTW-CL-0033 \m³\8.289 \ 85"/>
        <s v="SABS1200 DA \EARTHWORKS (SMALL WORKS)/8.3\SCHEDULED ITEMS/8.3.2a\Excavate for restricted foundations, footings and trenches  in all materials and use for embankments or backfill or dispose. /\KS20_008-Concrete Check Wall. Drawing NBC-GTW-CL-0034 \m³\10.8 \ 85"/>
        <s v="SABS1200 DA \EARTHWORKS (SMALL WORKS)/8.3\SCHEDULED ITEMS/8.3.2a\Excavate for restricted foundations, footings and trenches  in all materials and use for embankments or backfill or dispose. /\KS20_009_a-Concrete Check Wall. Drawing NBC-GTW-CL-0035 \m³\27 \ 85"/>
        <s v="SABS1200 DA \EARTHWORKS (SMALL WORKS)/8.3\SCHEDULED ITEMS/8.3.2a\Excavate for restricted foundations, footings and trenches  in all materials and use for embankments or backfill or dispose. /\KS20_009_b-Concrete Check Wall. Drawing NBC-GTW-CL-0035 \m³\16 \ 85"/>
        <s v="SABS1200 DA \EARTHWORKS (SMALL WORKS)/8.3\SCHEDULED ITEMS/8.3.2a\Excavate for restricted foundations, footings and trenches  in all materials and use for embankments or backfill or dispose. /\KS20_010-Ecologs  \m³\3.6 \ 85"/>
        <s v="SABS1200 DA \EARTHWORKS (SMALL WORKS)/8.3\SCHEDULED ITEMS/8.3.2a\Excavate for restricted foundations, footings and trenches  in all materials and use for embankments or backfill or dispose. /\KS20_011-Backfilling Main Channel  \m³\950 \ 85"/>
        <s v="SABS1200 DA \EARTHWORKS (SMALL WORKS)/8.3\SCHEDULED ITEMS/8.3.2a\Excavate for restricted foundations, footings and trenches  in all materials and use for embankments or backfill or dispose. /\KS21_001-10° sloped Grouted Pitching (Light). Drawing NBC-GTW-CL-0038 \m³\20 \ 85"/>
        <s v="SABS1200 DA \EARTHWORKS (SMALL WORKS)/8.3\SCHEDULED ITEMS/8.3.2a\Excavate for restricted foundations, footings and trenches  in all materials and use for embankments or backfill or dispose. /\KS21_003-Concrete Drop Inlet. Drawing NBC-GTW-CL-0039 \m³\25.78775 \ 85"/>
        <s v="SABS1200 DA \EARTHWORKS (SMALL WORKS)/8,3\SCHEDULED ITEMS/8.3.2a\Excavate for restricted foundations, footings and trenches  in all materials and use for embankments or backfill or dispose. /\KS21_005-Concrete Drop Inlet. Drawing NBC-GTW-CL-0040 \m³\25,78775 \ 85"/>
        <s v="SABS1200 DA \EARTHWORKS (SMALL WORKS)/8,3\SCHEDULED ITEMS/8.3.2a\Excavate for restricted foundations, footings and trenches  in all materials and use for embankments or backfill or dispose. /\KS21_006-Concrete Check Wall. Drawing NBC-GTW-CL-0041 \m³\7,98 \ 85"/>
        <s v="SABS1200 DA \EARTHWORKS (SMALL WORKS)/8,3\SCHEDULED ITEMS/8.3.2a\Excavate for restricted foundations, footings and trenches  in all materials and use for embankments or backfill or dispose. /\KS21_007-Concrete Check Wall. Drawing NBC-GTW-CL-0042 \m³\7,98 \ 85"/>
        <s v="SABS1200 DA \EARTHWORKS (SMALL WORKS)/8,3\SCHEDULED ITEMS/8.3.2a\Excavate for restricted foundations, footings and trenches  in all materials and use for embankments or backfill or dispose. /\KS21_009-Concrete Check Wall. Drawing NBC-GTW-CL-0043 \m³\7,98 \ 85"/>
        <s v="SABS1200 DA \EARTHWORKS (SMALL WORKS)/8,3\SCHEDULED ITEMS/8.3.2a\Excavate for restricted foundations, footings and trenches  in all materials and use for embankments or backfill or dispose. /\KS21-002-Earthworks  \m³\191,4 \ 85"/>
        <s v="SABS1200 DA \EARTHWORKS (SMALL WORKS)/8.3\SCHEDULED ITEMS/8.3.2a\Excavate for restricted foundations, footings and trenches  in all materials and use for embankments or backfill or dispose. /\LS16_001-Concrete Cut-Off Walls  \m³\5.04 \ 85"/>
        <s v="SABS1200 DA \EARTHWORKS (SMALL WORKS)/8.3\SCHEDULED ITEMS/8.3.2a\Excavate for restricted foundations, footings and trenches  in all materials and use for embankments or backfill or dispose. /\LS16_002-Concrete Cut-Off Walls  \m³\4.8 \ 85"/>
        <s v="SABS1200 DA \EARTHWORKS (SMALL WORKS)/8.3\SCHEDULED ITEMS/8.3.2a\Excavate for restricted foundations, footings and trenches  in all materials and use for embankments or backfill or dispose. /\LS16_003-Concrete Cut-Off Walls  \m³\2.1 \ 85"/>
        <s v="SABS1200 DA \EARTHWORKS (SMALL WORKS)/8.3\SCHEDULED ITEMS/8.3.2a\Excavate for restricted foundations, footings and trenches  in all materials and use for embankments or backfill or dispose. /\LS16_004-Concrete Cut-Off Walls  \m³\2.4 \ 85"/>
        <s v="SABS1200 DA \EARTHWORKS (SMALL WORKS)/8.3\SCHEDULED ITEMS/8.3.2a\Excavate for restricted foundations, footings and trenches  in all materials and use for embankments or backfill or dispose. /\LS16_005-Concrete Cut-Off Walls  \m³\3.6 \ 85"/>
        <s v="SABS1200 DA \EARTHWORKS (SMALL WORKS)/8.3\SCHEDULED ITEMS/8.3.2a\Excavate for restricted foundations, footings and trenches  in all materials and use for embankments or backfill or dispose. /\LS16_006-Concrete Cut-Off Walls  \m³\6.48 \ 85"/>
        <s v="SABS1200 DA \EARTHWORKS (SMALL WORKS)/8.3\SCHEDULED ITEMS/8.3.2a\Excavate for restricted foundations, footings and trenches  in all materials and use for embankments or backfill or dispose. /\LS16_007-Concrete Cut-Off Walls  \m³\5.94 \ 85"/>
        <s v="SABS1200 DA \EARTHWORKS (SMALL WORKS)/8.3\SCHEDULED ITEMS/8.3.2a\Excavate for restricted foundations, footings and trenches  in all materials and use for embankments or backfill or dispose. /\LS16_008-Concrete Cut-Off Walls  \m³\4.1325 \ 85"/>
        <s v="SABS1200 DA \EARTHWORKS (SMALL WORKS)/8.3\SCHEDULED ITEMS/8.3.2a\Excavate for restricted foundations, footings and trenches  in all materials and use for embankments or backfill or dispose. /\LS16_009-Concrete Cut-Off Walls  \m³\4.35 \ 85"/>
        <s v="SABS1200 DA \EARTHWORKS (SMALL WORKS)/8.3\SCHEDULED ITEMS/8.3.2a\Excavate for restricted foundations, footings and trenches  in all materials and use for embankments or backfill or dispose. /\LS16_010-Concrete Cut-Off Walls  \m³\5.1 \ 85"/>
        <s v="SABS1200 DA \EARTHWORKS (SMALL WORKS)/8.3\SCHEDULED ITEMS/8.3.2a\Excavate for restricted foundations, footings and trenches  in all materials and use for embankments or backfill or dispose. /\LS16_011-Concrete Cut-Off Walls  \m³\3.3 \ 85"/>
        <s v="SABS1200 DA \EARTHWORKS (SMALL WORKS)/8.3\SCHEDULED ITEMS/8.3.2a\Excavate for restricted foundations, footings and trenches  in all materials and use for embankments or backfill or dispose. /\LS16_013-Gabion energy breaker  \m³\13.68 \ 85"/>
        <s v="SABS1200 DA \EARTHWORKS (SMALL WORKS)/8.3\SCHEDULED ITEMS/8.3.2a\Excavate for restricted foundations, footings and trenches  in all materials and use for embankments or backfill or dispose. /\LS16_014-Ecologs  \m³\1.62 \ 85"/>
        <s v="SABS1200 DA \EARTHWORKS (SMALL WORKS)/8.3\SCHEDULED ITEMS/8.3.2a\Excavate for restricted foundations, footings and trenches  in all materials and use for embankments or backfill or dispose. /\LS16_016-Gabion energy breaker  \m³\20 \ 85"/>
        <s v="SABS1200 DA \EARTHWORKS (SMALL WORKS)/8.3\SCHEDULED ITEMS/8.3.2a\Excavate for restricted foundations, footings and trenches  in all materials and use for embankments or backfill or dispose. /\LS16_017-Gabion energy breaker  \m³\25 \ 85"/>
        <s v="SABS1200 DA \EARTHWORKS (SMALL WORKS)/8.3\SCHEDULED ITEMS/8.3.2a\Excavate for restricted foundations, footings and trenches  in all materials and use for embankments or backfill or dispose. /\LS16_018-Gabion energy breaker  \m³\22.08 \ 85"/>
        <s v="SABS1200 DA \EARTHWORKS (SMALL WORKS)/8.3\SCHEDULED ITEMS/8.3.2a\Excavate for restricted foundations, footings and trenches  in all materials and use for embankments or backfill or dispose. /\LS16_019-Gabion energy breaker  \m³\24.48 \ 85"/>
        <s v="SABS1200 DA \EARTHWORKS (SMALL WORKS)/8.3\SCHEDULED ITEMS/8.3.2a\Excavate for restricted foundations, footings and trenches  in all materials and use for embankments or backfill or dispose. /\LS16_021-Backfill Main Channel and reshaping  \m³\500 \ 85"/>
        <s v="SABS1200 DA \EARTHWORKS (SMALL WORKS)/8.3\SCHEDULED ITEMS/8.3.2a\Excavate for restricted foundations, footings and trenches  in all materials and use for embankments or backfill or dispose. /\Pan14_007-Infilling of Drains  \m³\18.6 \ 85"/>
        <s v="SABS1200 DA \EARTHWORKS (SMALL WORKS)/8.3\SCHEDULED ITEMS/8.3.2a\Excavate for restricted foundations, footings and trenches  in all materials and use for embankments or backfill or dispose. /\Pan14_008-Infilling of Drains  \m³\48.6 \ 85"/>
        <s v="SABS1200 DA \EARTHWORKS (SMALL WORKS)/8.3\SCHEDULED ITEMS/8.3.2a\Excavate for restricted foundations, footings and trenches  in all materials and use for embankments or backfill or dispose. /\Pan14_011-Infilling of Drains  \m³\582 \ 85"/>
        <s v="SABS1200 DA \EARTHWORKS (SMALL WORKS)/8.3\SCHEDULED ITEMS/8.3.2a\Excavate for restricted foundations, footings and trenches  in all materials and use for embankments or backfill or dispose. /\Pan14-002-Remove Berm  \m³\49.41 \ 85"/>
        <s v="SABS1200 DA \EARTHWORKS (SMALL WORKS)/8.3\SCHEDULED ITEMS/8.3.2a\Excavate for restricted foundations, footings and trenches  in all materials and use for embankments or backfill or dispose. /\Pan8_001-Foreign Materials  \m³\18.9 \ 85"/>
        <s v="SABS1200 DA \EARTHWORKS (SMALL WORKS)/8.3\SCHEDULED ITEMS/8.3.2a\Excavate for restricted foundations, footings and trenches  in all materials and use for embankments or backfill or dispose. /\Pan8_002-Infilling of Drains  \m³\64 \ 85"/>
        <s v="SABS1200 DA \EARTHWORKS (SMALL WORKS)/8.3\SCHEDULED ITEMS/8.3.2a\Excavate for restricted foundations, footings and trenches  in all materials and use for embankments or backfill or dispose. /\Pan8_003-Removal of Dam Wall  \m³\324.3575 \ 85"/>
        <s v="SABS1200 DA \EARTHWORKS (SMALL WORKS)/8.3\SCHEDULED ITEMS/8.3.2a\Excavate for restricted foundations, footings and trenches  in all materials and use for embankments or backfill or dispose. /\Pan8_004-Removal of Berm  \m³\5.4 \ 85"/>
        <s v="SABS1200 DA \EARTHWORKS (SMALL WORKS)/8.3\SCHEDULED ITEMS/8.3.2a\Excavate for restricted foundations, footings and trenches  in all materials and use for embankments or backfill or dispose. /\KS18_008-Concrete Cut-Off Walls. Drawing NBC-GTW-CL-0045 \m³\5.76 \ 85" u="1"/>
        <s v="SABS1200 DA \EARTHWORKS (SMALL WORKS)/8.3\SCHEDULED ITEMS/8.3.2a\Excavate for restricted foundations, footings and trenches  in all materials and use for embankments or backfill or dispose. /\LS16_010-Concrete Cut-Off Walls  \m³\5.1 \ 50" u="1"/>
        <s v="SABS1200 DA \EARTHWORKS (SMALL WORKS)/8.3\SCHEDULED ITEMS/8.3.2a\Excavate for restricted foundations, footings and trenches  in all materials and use for embankments or backfill or dispose. /\KS18_020-Concrete Drop Inlet associated with Road Culvert  \m³\38.02413 \ 50" u="1"/>
        <s v="SABS1200 DA \EARTHWORKS (SMALL WORKS)/8.3\SCHEDULED ITEMS/8.3.2a\Excavate for restricted foundations, footings and trenches  in all materials and use for embankments or backfill or dispose. /\KS18-014-Concrete Filled Geo-Cell Berm. Drawing NBC-GTW-CL-0001 \m³\23.9803125 \ 50" u="1"/>
        <s v="SABS1200 DA \EARTHWORKS (SMALL WORKS)/8.3\SCHEDULED ITEMS/8.3.2a\Excavate for restricted foundations, footings and trenches  in all materials and use for embankments or backfill or dispose. /\KS19_005-Infilling of Drains  \m³\4.68 \ 50" u="1"/>
        <s v="SABS1200 DA \EARTHWORKS (SMALL WORKS)/8.3\SCHEDULED ITEMS/8.3.2a\Excavate for restricted foundations, footings and trenches  in all materials and use for embankments or backfill or dispose. /\ks11-004a-Concrete Drop Inlet on Dam Wall  \m³\355.8966 \ 50" u="1"/>
        <s v="SABS1200 DA \EARTHWORKS (SMALL WORKS)/8.3\SCHEDULED ITEMS/8.3.2a\Excavate for restricted foundations, footings and trenches  in all materials and use for embankments or backfill or dispose. /\KS20_010-Infilling of Drains  \m³\3.6 \ 85" u="1"/>
        <s v="SABS1200 DA \EARTHWORKS (SMALL WORKS)/8.3\SCHEDULED ITEMS/8.3.2a\Excavate for restricted foundations, footings and trenches  in all materials and use for embankments or backfill or dispose. /\KS19_003-Headcut  \m³\5.316 \ 50" u="1"/>
        <s v="SABS1200 DA \EARTHWORKS (SMALL WORKS)/8.3\SCHEDULED ITEMS/8.3.2a\Excavate for restricted foundations, footings and trenches  in all materials and use for embankments or backfill or dispose. /\KS20_007-Concrete Drop Inlet. Drawing NBC-GTW-CL-0033 \m³\56.185603 \ 85" u="1"/>
        <s v="SABS1200 DA \EARTHWORKS (SMALL WORKS)/8.3\SCHEDULED ITEMS/8.3.2a\Excavate for restricted foundations, footings and trenches  in all materials and use for embankments or backfill or dispose. /\KS18_001-Concrete Drop Inlet. Drawing NBC-GTW-CL-0019 \m³\61.486052 \ 85" u="1"/>
        <s v="SABS1200 DA \EARTHWORKS (SMALL WORKS)/8.3\SCHEDULED ITEMS/8.3.2a\Excavate for restricted foundations, footings and trenches  in all materials and use for embankments or backfill or dispose. /\KS20_010-Infilling of Drains  \m³\3.6 \ 50" u="1"/>
        <s v="SABS1200 DA \EARTHWORKS (SMALL WORKS)/8.3\SCHEDULED ITEMS/8.3.2a\Excavate for restricted foundations, footings and trenches  in all materials and use for embankments or backfill or dispose. /\KS21_005-Concrete Drop Inlet. Drawing NBC-GTW-CL-0040 \m³\35.7722215 \ 85" u="1"/>
        <s v="SABS1200 DA \EARTHWORKS (SMALL WORKS)/8.3\SCHEDULED ITEMS/8.3.2a\Excavate for restricted foundations, footings and trenches  in all materials and use for embankments or backfill or dispose. /\LS16_013-Gabion energy breaker  \m³\13.68 \ 50" u="1"/>
        <s v="SABS1200 DA \EARTHWORKS (SMALL WORKS)/8.3\SCHEDULED ITEMS/8.3.2a\Excavate for restricted foundations, footings and trenches  in all materials and use for embankments or backfill or dispose. /\KS18_004-Concrete Cut-Off Walls. Drawing NBC-GTW-CL-0045 \m³\5.355 \ 85" u="1"/>
        <s v="SABS1200 DA \EARTHWORKS (SMALL WORKS)/8.3\SCHEDULED ITEMS/8.3.2a\Excavate for restricted foundations, footings and trenches  in all materials and use for embankments or backfill or dispose. /\KS20_003-Concrete Buttress Weir. Drawing NBC-GTW-CL-0029 \m³\82.9571958 \ 50" u="1"/>
        <s v="SABS1200 DA \EARTHWORKS (SMALL WORKS)/8.3\SCHEDULED ITEMS/8.3.2a\Excavate for restricted foundations, footings and trenches  in all materials and use for embankments or backfill or dispose. /\KS18_004-Concrete Cut-Off Walls. Drawing NBC-GTW-CL-0045 \m³\5.355 \ 50" u="1"/>
        <s v="SABS1200 DA \EARTHWORKS (SMALL WORKS)/8.3\SCHEDULED ITEMS/8.3.2a\Excavate for restricted foundations, footings and trenches  in all materials and use for embankments or backfill or dispose. /\LS16_008-Concrete Cut-Off Walls  \m³\4.1325 \ 50" u="1"/>
        <s v="SABS1200 DA \EARTHWORKS (SMALL WORKS)/8.3\SCHEDULED ITEMS/8.3.2a\Excavate for restricted foundations, footings and trenches  in all materials and use for embankments or backfill or dispose. /\KS21_006-Concrete Drop Inlet. Drawing NBC-GTW-CL-0041 \m³\31.9418025 \ 85" u="1"/>
        <s v="SABS1200 DA \EARTHWORKS (SMALL WORKS)/8.3\SCHEDULED ITEMS/8.3.2a\Excavate for restricted foundations, footings and trenches  in all materials and use for embankments or backfill or dispose. /\ks11-001-Off-take structure  \m³\4 \ 50" u="1"/>
        <s v="SABS1200 DA \EARTHWORKS (SMALL WORKS)/8.3\SCHEDULED ITEMS/8.3.2a\Excavate for restricted foundations, footings and trenches  in all materials and use for embankments or backfill or dispose. /\KS18_015-Concrete Drop Inlet. Drawing NBC-GTW-CL-0021 \m³\57.16188 \ 85" u="1"/>
        <s v="SABS1200 DA \EARTHWORKS (SMALL WORKS)/8.3\SCHEDULED ITEMS/8.3.2a\Excavate for restricted foundations, footings and trenches  in all materials and use for embankments or backfill or dispose. /\KS21_009-Concrete Drop Inlet. Drawing NBC-GTW-CL-0043 \m³\40.198585 \ 85" u="1"/>
        <s v="SABS1200 DA \EARTHWORKS (SMALL WORKS)/8.3\SCHEDULED ITEMS/8.3.2a\Excavate for restricted foundations, footings and trenches  in all materials and use for embankments or backfill or dispose. /\ks11-002b-Concrete Splash Through Structure. Drawing NBC-GTW-CL-0067 \m³\210 \ 50" u="1"/>
        <s v="SABS1200 DA \EARTHWORKS (SMALL WORKS)/8.3\SCHEDULED ITEMS/8.3.2a\Excavate for restricted foundations, footings and trenches  in all materials and use for embankments or backfill or dispose. /\ks11-004b-Concrete Splash Through Structure. Drawing NBC-GTW-CL-0068 \m³\210 \ 50" u="1"/>
        <s v="SABS1200 DA \EARTHWORKS (SMALL WORKS)/8.3\SCHEDULED ITEMS/8.3.2a\Excavate for restricted foundations, footings and trenches  in all materials and use for embankments or backfill or dispose. /\KS18_015-Concrete Drop Inlet. Drawing NBC-GTW-CL-0021 \m³\57.16188 \ 50" u="1"/>
        <s v="SABS1200 DA \EARTHWORKS (SMALL WORKS)/8.3\SCHEDULED ITEMS/8.3.2a\Excavate for restricted foundations, footings and trenches  in all materials and use for embankments or backfill or dispose. /\KS13_008-Concrete Drop Inlet. Drawing NBC-GTW-CL-0014 \m³\40.93968 \ 85" u="1"/>
        <s v="SABS1200 DA \EARTHWORKS (SMALL WORKS)/8.3\SCHEDULED ITEMS/8.3.2a\Excavate for restricted foundations, footings and trenches  in all materials and use for embankments or backfill or dispose. /\KS20_004-Concrete Drop Inlet. Drawing NBC-GTW-CL-0030 \m³\42.774586 \ 50" u="1"/>
        <s v="SABS1200 DA \EARTHWORKS (SMALL WORKS)/8.3\SCHEDULED ITEMS/8.3.2a\Excavate for restricted foundations, footings and trenches  in all materials and use for embankments or backfill or dispose. /\KS18_005-Concrete Cut-Off Walls. Drawing NBC-GTW-CL-0045 \m³\6.93 \ 50" u="1"/>
        <s v="SABS1200 DA \EARTHWORKS (SMALL WORKS)/8.3\SCHEDULED ITEMS/8.3.2a\Excavate for restricted foundations, footings and trenches  in all materials and use for embankments or backfill or dispose. /\KS18_010-Concrete Cut-Off Walls. Drawing NBC-GTW-CL-0045 \m³\6.93 \ 50" u="1"/>
        <s v="SABS1200 DA \EARTHWORKS (SMALL WORKS)/8.3\SCHEDULED ITEMS/8.3.2a\Excavate for restricted foundations, footings and trenches  in all materials and use for embankments or backfill or dispose. /\KS13_008-Concrete Drop Inlet. Drawing NBC-GTW-CL-0014 \m³\40.93968 \ 50" u="1"/>
        <s v="SABS1200 DA \EARTHWORKS (SMALL WORKS)/8.3\SCHEDULED ITEMS/8.3.2a\Excavate for restricted foundations, footings and trenches  in all materials and use for embankments or backfill or dispose. /\KS18_002-Concrete Drop Inlet. Drawing NBC-GTW-CL-0020 \m³\32.274065 \ 85" u="1"/>
        <s v="SABS1200 DA \EARTHWORKS (SMALL WORKS)/8.3\SCHEDULED ITEMS/8.3.2a\Excavate for restricted foundations, footings and trenches  in all materials and use for embankments or backfill or dispose. /\KS19_005-Infilling of Drains  \m³\4.68 \ 85" u="1"/>
        <s v="SABS1200 DA \EARTHWORKS (SMALL WORKS)/8.3\SCHEDULED ITEMS/8.3.2a\Excavate for restricted foundations, footings and trenches  in all materials and use for embankments or backfill or dispose. /\LS16_005-Concrete Cut-Off Walls  \m³\3.6 \ 50" u="1"/>
        <s v="SABS1200 DA \EARTHWORKS (SMALL WORKS)/8.3\SCHEDULED ITEMS/8.3.2a\Excavate for restricted foundations, footings and trenches  in all materials and use for embankments or backfill or dispose. /\KS13_011-Concrete Drop Inlet. Drawing NBC-GTW-CL-0015 \m³\38.8 \ 50" u="1"/>
        <s v="SABS1200 DA \EARTHWORKS (SMALL WORKS)/8.3\SCHEDULED ITEMS/8.3.2a\Excavate for restricted foundations, footings and trenches  in all materials and use for embankments or backfill or dispose. /\Pan8_004-Removal of Berm  \m³\5.4 \ 50" u="1"/>
        <s v="SABS1200 DA \EARTHWORKS (SMALL WORKS)/8.3\SCHEDULED ITEMS/8.3.2a\Excavate for restricted foundations, footings and trenches  in all materials and use for embankments or backfill or dispose. /\KS18_017-Concrete Drop Inlet. Drawing NBC-GTW-CL-0023 \m³\43.59664 \ 85" u="1"/>
        <s v="SABS1200 DA \EARTHWORKS (SMALL WORKS)/8.3\SCHEDULED ITEMS/8.3.2a\Excavate for restricted foundations, footings and trenches  in all materials and use for embankments or backfill or dispose. /\KS15-002-Backfill Main Channel  \m³\980 \ 50" u="1"/>
        <s v="SABS1200 DA \EARTHWORKS (SMALL WORKS)/8.3\SCHEDULED ITEMS/8.3.2a\Excavate for restricted foundations, footings and trenches  in all materials and use for embankments or backfill or dispose. /\KS18_017-Concrete Drop Inlet. Drawing NBC-GTW-CL-0023 \m³\43.59664 \ 50" u="1"/>
        <s v="SABS1200 DA \EARTHWORKS (SMALL WORKS)/8.3\SCHEDULED ITEMS/8.3.2a\Excavate for restricted foundations, footings and trenches  in all materials and use for embankments or backfill or dispose. /\KS12_008-Concrete Drop Inlet. Drawing NBC-GTW-CL-0007 \m³\33.21409 \ 50" u="1"/>
        <s v="SABS1200 DA \EARTHWORKS (SMALL WORKS)/8.3\SCHEDULED ITEMS/8.3.2a\Excavate for restricted foundations, footings and trenches  in all materials and use for embankments or backfill or dispose. /\Pan14_011-Infilling of Drains  \m³\582 \ 50" u="1"/>
        <s v="SABS1200 DA \EARTHWORKS (SMALL WORKS)/8.3\SCHEDULED ITEMS/8.3.2a\Excavate for restricted foundations, footings and trenches  in all materials and use for embankments or backfill or dispose. /\LS16_018-Gabion energy breaker  \m³\22.08 \ 50" u="1"/>
        <s v="SABS1200 DA \EARTHWORKS (SMALL WORKS)/8.3\SCHEDULED ITEMS/8.3.2a\Excavate for restricted foundations, footings and trenches  in all materials and use for embankments or backfill or dispose. /\KS18_003-Concrete Cut-Off Walls. Drawing NBC-GTW-CL-0045 \m³\5.7 \ 85" u="1"/>
        <s v="SABS1200 DA \EARTHWORKS (SMALL WORKS)/8.3\SCHEDULED ITEMS/8.3.2a\Excavate for restricted foundations, footings and trenches  in all materials and use for embankments or backfill or dispose. /\KS13_012-Concrete Drop Inlet. Drawing NBC-GTW-CL-0016 \m³\29.930225 \ 50" u="1"/>
        <s v="SABS1200 DA \EARTHWORKS (SMALL WORKS)/8.3\SCHEDULED ITEMS/8.3.2a\Excavate for restricted foundations, footings and trenches  in all materials and use for embankments or backfill or dispose. /\KS20_009_a-Concrete Buttress Weir. Drawing NBC-GTW-CL-0035 \m³\132.757199 \ 85" u="1"/>
        <s v="SABS1200 DA \EARTHWORKS (SMALL WORKS)/8.3\SCHEDULED ITEMS/8.3.2a\Excavate for restricted foundations, footings and trenches  in all materials and use for embankments or backfill or dispose. /\KS18_011-Concrete Cut-Off Walls. Drawing NBC-GTW-CL-0045 \m³\6 \ 85" u="1"/>
        <s v="SABS1200 DA \EARTHWORKS (SMALL WORKS)/8.3\SCHEDULED ITEMS/8.3.2a\Excavate for restricted foundations, footings and trenches  in all materials and use for embankments or backfill or dispose. /\KS18_013-Concrete Cut-Off Walls. Drawing NBC-GTW-CL-0045 \m³\6 \ 85" u="1"/>
        <s v="SABS1200 DA \EARTHWORKS (SMALL WORKS)/8.3\SCHEDULED ITEMS/8.3.2a\Excavate for restricted foundations, footings and trenches  in all materials and use for embankments or backfill or dispose. /\KS18_012-Concrete Cut-Off Walls. Drawing NBC-GTW-CL-0045 \m³\6.6 \ 85" u="1"/>
        <s v="SABS1200 DA \EARTHWORKS (SMALL WORKS)/8.3\SCHEDULED ITEMS/8.3.2a\Excavate for restricted foundations, footings and trenches  in all materials and use for embankments or backfill or dispose. /\KS21_003-Concrete Drop Inlet. Drawing NBC-GTW-CL-0039 \m³\25.78775 \ 50" u="1"/>
        <s v="SABS1200 DA \EARTHWORKS (SMALL WORKS)/8.3\SCHEDULED ITEMS/8.3.2a\Excavate for restricted foundations, footings and trenches  in all materials and use for embankments or backfill or dispose. /\KS12_009-Concrete Drop Inlet. Drawing NBC-GTW-CL-0008 \m³\21.46164 \ 50" u="1"/>
        <s v="SABS1200 DA \EARTHWORKS (SMALL WORKS)/8.3\SCHEDULED ITEMS/8.3.2a\Excavate for restricted foundations, footings and trenches  in all materials and use for embankments or backfill or dispose. /\KS21_005-Concrete Drop Inlet. Drawing NBC-GTW-CL-0040 \m³\35.7722215 \ 50" u="1"/>
        <s v="SABS1200 DA \EARTHWORKS (SMALL WORKS)/8.3\SCHEDULED ITEMS/8.3.2a\Excavate for restricted foundations, footings and trenches  in all materials and use for embankments or backfill or dispose. /\KS19_004-Infilling of Drains  \m³\4.5 \ 85" u="1"/>
        <s v="SABS1200 DA \EARTHWORKS (SMALL WORKS)/8.3\SCHEDULED ITEMS/8.3.2a\Excavate for restricted foundations, footings and trenches  in all materials and use for embankments or backfill or dispose. /\LS16_006-Concrete Cut-Off Walls  \m³\6.48 \ 50" u="1"/>
        <s v="SABS1200 DA \EARTHWORKS (SMALL WORKS)/8.3\SCHEDULED ITEMS/8.3.2a\Excavate for restricted foundations, footings and trenches  in all materials and use for embankments or backfill or dispose. /\KS12_005-Concrete Drop Inlet. Drawing NBC-GTW-CL-0004 \m³\36.4286202 \ 50" u="1"/>
        <s v="SABS1200 DA \EARTHWORKS (SMALL WORKS)/8.3\SCHEDULED ITEMS/8.3.2a\Excavate for restricted foundations, footings and trenches  in all materials and use for embankments or backfill or dispose. /\KS20_007-Concrete Drop Inlet. Drawing NBC-GTW-CL-0033 \m³\56.185603 \ 50" u="1"/>
        <s v="SABS1200 DA \EARTHWORKS (SMALL WORKS)/8.3\SCHEDULED ITEMS/8.3.2a\Excavate for restricted foundations, footings and trenches  in all materials and use for embankments or backfill or dispose. /\KS18_001-Concrete Drop Inlet. Drawing NBC-GTW-CL-0019 \m³\61.486052 \ 50" u="1"/>
        <s v="SABS1200 DA \EARTHWORKS (SMALL WORKS)/8.3\SCHEDULED ITEMS/8.3.2a\Excavate for restricted foundations, footings and trenches  in all materials and use for embankments or backfill or dispose. /\KS19_004-Infilling of Drains  \m³\4.5 \ 50" u="1"/>
        <s v="SABS1200 DA \EARTHWORKS (SMALL WORKS)/8.3\SCHEDULED ITEMS/8.3.2a\Excavate for restricted foundations, footings and trenches  in all materials and use for embankments or backfill or dispose. /\KS21_006-Concrete Drop Inlet. Drawing NBC-GTW-CL-0041 \m³\31.9418025 \ 50" u="1"/>
        <s v="SABS1200 DA \EARTHWORKS (SMALL WORKS)/8.3\SCHEDULED ITEMS/8.3.2a\Excavate for restricted foundations, footings and trenches  in all materials and use for embankments or backfill or dispose. /\Pan8_003-Removal of Dam Wall  \m³\324.3575 \ 50" u="1"/>
        <s v="SABS1200 DA \EARTHWORKS (SMALL WORKS)/8.3\SCHEDULED ITEMS/8.3.2a\Excavate for restricted foundations, footings and trenches  in all materials and use for embankments or backfill or dispose. /\KS15_001-Fish Bowl  \m³\215.621 \ 50" u="1"/>
        <s v="SABS1200 DA \EARTHWORKS (SMALL WORKS)/8.3\SCHEDULED ITEMS/8.3.2a\Excavate for restricted foundations, footings and trenches  in all materials and use for embankments or backfill or dispose. /\KS18_007-Concrete Cut-Off Walls. Drawing NBC-GTW-CL-0045 \m³\5.04 \ 85" u="1"/>
        <s v="SABS1200 DA \EARTHWORKS (SMALL WORKS)/8.3\SCHEDULED ITEMS/8.3.2a\Excavate for restricted foundations, footings and trenches  in all materials and use for embankments or backfill or dispose. /\KS20_011-Backfilling Main Channel  \m³\632.97863041932 \ 85" u="1"/>
        <s v="SABS1200 DA \EARTHWORKS (SMALL WORKS)/8.3\SCHEDULED ITEMS/8.3.2a\Excavate for restricted foundations, footings and trenches  in all materials and use for embankments or backfill or dispose. /\KS18_003-Concrete Cut-Off Walls. Drawing NBC-GTW-CL-0045 \m³\5.7 \ 50" u="1"/>
        <s v="SABS1200 DA \EARTHWORKS (SMALL WORKS)/8.3\SCHEDULED ITEMS/8.3.2a\Excavate for restricted foundations, footings and trenches  in all materials and use for embankments or backfill or dispose. /\KS20_006-Concrete Check Wall. Drawing NBC-GTW-CL-0032 \m³\10.035 \ 85" u="1"/>
        <s v="SABS1200 DA \EARTHWORKS (SMALL WORKS)/8.3\SCHEDULED ITEMS/8.3.2a\Excavate for restricted foundations, footings and trenches  in all materials and use for embankments or backfill or dispose. /\LS16_007-Concrete Cut-Off Walls  \m³\5.94 \ 50" u="1"/>
        <s v="SABS1200 DA \EARTHWORKS (SMALL WORKS)/8.3\SCHEDULED ITEMS/8.3.2a\Excavate for restricted foundations, footings and trenches  in all materials and use for embankments or backfill or dispose. /\KS13_013-Concrete Drop Inlet. Drawing NBC-GTW-CL-0017 \m³\37.8822 \ 50" u="1"/>
        <s v="SABS1200 DA \EARTHWORKS (SMALL WORKS)/8.3\SCHEDULED ITEMS/8.3.2a\Excavate for restricted foundations, footings and trenches  in all materials and use for embankments or backfill or dispose. /\LS16_021-Backfill Main Channel and reshaping  \m³\500 \ 50" u="1"/>
        <s v="SABS1200 DA \EARTHWORKS (SMALL WORKS)/8.3\SCHEDULED ITEMS/8.3.2a\Excavate for restricted foundations, footings and trenches  in all materials and use for embankments or backfill or dispose. /\KS20_009_a-Concrete Buttress Weir. Drawing NBC-GTW-CL-0035 \m³\132.757199 \ 50" u="1"/>
        <s v="SABS1200 DA \EARTHWORKS (SMALL WORKS)/8.3\SCHEDULED ITEMS/8.3.2a\Excavate for restricted foundations, footings and trenches  in all materials and use for embankments or backfill or dispose. /\LS16_016-Gabion energy breaker  \m³\20 \ 50" u="1"/>
        <s v="SABS1200 DA \EARTHWORKS (SMALL WORKS)/8.3\SCHEDULED ITEMS/8.3.2a\Excavate for restricted foundations, footings and trenches  in all materials and use for embankments or backfill or dispose. /\KS18_012-Concrete Cut-Off Walls. Drawing NBC-GTW-CL-0045 \m³\6.6 \ 50" u="1"/>
        <s v="SABS1200 DA \EARTHWORKS (SMALL WORKS)/8.3\SCHEDULED ITEMS/8.3.2a\Excavate for restricted foundations, footings and trenches  in all materials and use for embankments or backfill or dispose. /\LS16_002-Concrete Cut-Off Walls  \m³\4.8 \ 50" u="1"/>
        <s v="SABS1200 DA \EARTHWORKS (SMALL WORKS)/8.3\SCHEDULED ITEMS/8.3.2a\Excavate for restricted foundations, footings and trenches  in all materials and use for embankments or backfill or dispose. /\KS18_008-Concrete Cut-Off Walls. Drawing NBC-GTW-CL-0045 \m³\5.76 \ 50" u="1"/>
        <s v="SABS1200 DA \EARTHWORKS (SMALL WORKS)/8.3\SCHEDULED ITEMS/8.3.2a\Excavate for restricted foundations, footings and trenches  in all materials and use for embankments or backfill or dispose. /\DS12_004-Removal of earthen material  \m³\523.01728 \ 50" u="1"/>
        <s v="SABS1200 DA \EARTHWORKS (SMALL WORKS)/8.3\SCHEDULED ITEMS/8.3.2a\Excavate for restricted foundations, footings and trenches  in all materials and use for embankments or backfill or dispose. /\KS21_009-Concrete Drop Inlet. Drawing NBC-GTW-CL-0043 \m³\40.198585 \ 50" u="1"/>
        <s v="SABS1200 DA \EARTHWORKS (SMALL WORKS)/8.3\SCHEDULED ITEMS/8.3.2a\Excavate for restricted foundations, footings and trenches  in all materials and use for embankments or backfill or dispose. /\KS18_002-Concrete Drop Inlet. Drawing NBC-GTW-CL-0020 \m³\32.274065 \ 50" u="1"/>
        <s v="SABS1200 DA \EARTHWORKS (SMALL WORKS)/8.3\SCHEDULED ITEMS/8.3.2a\Excavate for restricted foundations, footings and trenches  in all materials and use for embankments or backfill or dispose. /\KS18_006-Concrete Cut-Off Walls. Drawing NBC-GTW-CL-0045 \m³\6.615 \ 85" u="1"/>
        <s v="SABS1200 DA \EARTHWORKS (SMALL WORKS)/8.3\SCHEDULED ITEMS/8.3.2a\Excavate for restricted foundations, footings and trenches  in all materials and use for embankments or backfill or dispose. /\KS18_006-Concrete Cut-Off Walls. Drawing NBC-GTW-CL-0045 \m³\6.615 \ 50" u="1"/>
        <s v="SABS1200 DA \EARTHWORKS (SMALL WORKS)/8.3\SCHEDULED ITEMS/8.3.2a\Excavate for restricted foundations, footings and trenches  in all materials and use for embankments or backfill or dispose. /\KS20_009_b-Concrete Overflow Wall. Drawing NBC-GTW-CL-0035 \m³\30.7675 \ 85" u="1"/>
        <s v="SABS1200 DA \EARTHWORKS (SMALL WORKS)/8.3\SCHEDULED ITEMS/8.3.2a\Excavate for restricted foundations, footings and trenches  in all materials and use for embankments or backfill or dispose. /\KS21_001-10° sloped Grouted Pitching (Light). Drawing NBC-GTW-CL-0038 \m³\20 \ 50" u="1"/>
        <s v="SABS1200 DA \EARTHWORKS (SMALL WORKS)/8.3\SCHEDULED ITEMS/8.3.2a\Excavate for restricted foundations, footings and trenches  in all materials and use for embankments or backfill or dispose. /\KS20_009_b-Concrete Overflow Wall. Drawing NBC-GTW-CL-0035 \m³\30.7675 \ 50" u="1"/>
        <s v="SABS1200 DA \EARTHWORKS (SMALL WORKS)/8.3\SCHEDULED ITEMS/8.3.2a\Excavate for restricted foundations, footings and trenches  in all materials and use for embankments or backfill or dispose. /\Pan14-002-Remove Berm  \m³\49.41 \ 50" u="1"/>
        <s v="SABS1200 DA \EARTHWORKS (SMALL WORKS)/8.3\SCHEDULED ITEMS/8.3.2a\Excavate for restricted foundations, footings and trenches  in all materials and use for embankments or backfill or dispose. /\LS16_003-Concrete Cut-Off Walls  \m³\2.1 \ 50" u="1"/>
        <s v="SABS1200 DA \EARTHWORKS (SMALL WORKS)/8.3\SCHEDULED ITEMS/8.3.2a\Excavate for restricted foundations, footings and trenches  in all materials and use for embankments or backfill or dispose. /\KS16_003-Infilling of Drains  \m³\14.22 \ 85" u="1"/>
        <s v="SABS1200 DA \EARTHWORKS (SMALL WORKS)/8.3\SCHEDULED ITEMS/8.3.2a\Excavate for restricted foundations, footings and trenches  in all materials and use for embankments or backfill or dispose. /\KS20_008-Concrete Drop Inlet. Drawing NBC-GTW-CL-0034 \m³\54.33924 \ 85" u="1"/>
        <s v="SABS1200 DA \EARTHWORKS (SMALL WORKS)/8.3\SCHEDULED ITEMS/8.3.2a\Excavate for restricted foundations, footings and trenches  in all materials and use for embankments or backfill or dispose. /\KS20_005-Concrete Drop Inlet. Drawing NBC-GTW-CL-0031 \m³\69.658655 \ 85" u="1"/>
        <s v="SABS1200 DA \EARTHWORKS (SMALL WORKS)/8.3\SCHEDULED ITEMS/8.3.2a\Excavate for restricted foundations, footings and trenches  in all materials and use for embankments or backfill or dispose. /\KS20_008-Concrete Drop Inlet. Drawing NBC-GTW-CL-0034 \m³\54.33924 \ 50" u="1"/>
        <s v="SABS1200 DA \EARTHWORKS (SMALL WORKS)/8.3\SCHEDULED ITEMS/8.3.2a\Excavate for restricted foundations, footings and trenches  in all materials and use for embankments or backfill or dispose. /\Pan09_001-Removal of Dam Wall  \m³\188.47125 \ 50" u="1"/>
        <s v="SABS1200 DA \EARTHWORKS (SMALL WORKS)/8.3\SCHEDULED ITEMS/8.3.2a\Excavate for restricted foundations, footings and trenches  in all materials and use for embankments or backfill or dispose. /\ks18-021-Backfill Main Channel  \m³\1100 \ 85" u="1"/>
        <s v="SABS1200 DA \EARTHWORKS (SMALL WORKS)/8.3\SCHEDULED ITEMS/8.3.2a\Excavate for restricted foundations, footings and trenches  in all materials and use for embankments or backfill or dispose. /\KS19_002-Concrete Drop Inlet. Drawing NBC-GTW-CL-0026 \m³\38.760038 \ 50" u="1"/>
        <s v="SABS1200 DA \EARTHWORKS (SMALL WORKS)/8.3\SCHEDULED ITEMS/8.3.2a\Excavate for restricted foundations, footings and trenches  in all materials and use for embankments or backfill or dispose. /\KS18_020-Concrete Drop Inlet associated with Road Culvert  \m³\38.02413 \ 85" u="1"/>
        <s v="SABS1200 DA \EARTHWORKS (SMALL WORKS)/8.3\SCHEDULED ITEMS/8.3.2a\Excavate for restricted foundations, footings and trenches  in all materials and use for embankments or backfill or dispose. /\LS16_014-Ecologs  \m³\1.62 \ 50" u="1"/>
        <s v="SABS1200 DA \EARTHWORKS (SMALL WORKS)/8.3\SCHEDULED ITEMS/8.3.2a\Excavate for restricted foundations, footings and trenches  in all materials and use for embankments or backfill or dispose. /\KS20_002-Concrete Drop Inlet. Drawing NBC-GTW-CL-0028 \m³\60.04969 \ 85" u="1"/>
        <s v="SABS1200 DA \EARTHWORKS (SMALL WORKS)/8.3\SCHEDULED ITEMS/8.3.2a\Excavate for restricted foundations, footings and trenches  in all materials and use for embankments or backfill or dispose. /\KS20_002-Concrete Drop Inlet. Drawing NBC-GTW-CL-0028 \m³\60.04969 \ 50" u="1"/>
        <s v="SABS1200 DA \EARTHWORKS (SMALL WORKS)/8.3\SCHEDULED ITEMS/8.3.2a\Excavate for restricted foundations, footings and trenches  in all materials and use for embankments or backfill or dispose. /\ks11-002a-Concrete Drop Inlet on Dam Wall  \m³\394.7652 \ 50" u="1"/>
        <s v="SABS1200 DA \EARTHWORKS (SMALL WORKS)/8.3\SCHEDULED ITEMS/8.3.2a\Excavate for restricted foundations, footings and trenches  in all materials and use for embankments or backfill or dispose. /\KS12_002-Concrete Drop Inlet. Drawing NBC-GTW-CL-0002 \m³\37 \ 50" u="1"/>
        <s v="SABS1200 DA \EARTHWORKS (SMALL WORKS)/8.3\SCHEDULED ITEMS/8.3.2a\Excavate for restricted foundations, footings and trenches  in all materials and use for embankments or backfill or dispose. /\Pan8_002-Infilling of Drains  \m³\64 \ 50" u="1"/>
        <s v="SABS1200 DA \EARTHWORKS (SMALL WORKS)/8.3\SCHEDULED ITEMS/8.3.2a\Excavate for restricted foundations, footings and trenches  in all materials and use for embankments or backfill or dispose. /\KS13_005-Concrete Drop Inlet. Drawing NBC-GTW-CL-0011 \m³\40.88154 \ 85" u="1"/>
        <s v="SABS1200 DA \EARTHWORKS (SMALL WORKS)/8.3\SCHEDULED ITEMS/8.3.2a\Excavate for restricted foundations, footings and trenches  in all materials and use for embankments or backfill or dispose. /\KS13_006-Concrete Drop Inlet. Drawing NBC-GTW-CL-0012 \m³\40.88154 \ 85" u="1"/>
        <s v="SABS1200 DA \EARTHWORKS (SMALL WORKS)/8.3\SCHEDULED ITEMS/8.3.2a\Excavate for restricted foundations, footings and trenches  in all materials and use for embankments or backfill or dispose. /\KS18_018-Concrete Drop Inlet. Drawing NBC-GTW-CL-0024 \m³\52.32581 \ 85" u="1"/>
        <s v="SABS1200 DA \EARTHWORKS (SMALL WORKS)/8.3\SCHEDULED ITEMS/8.3.2a\Excavate for restricted foundations, footings and trenches  in all materials and use for embankments or backfill or dispose. /\Pan14_007-Infilling of Drains  \m³\18.6 \ 50" u="1"/>
        <s v="SABS1200 DA \EARTHWORKS (SMALL WORKS)/8.3\SCHEDULED ITEMS/8.3.2a\Excavate for restricted foundations, footings and trenches  in all materials and use for embankments or backfill or dispose. /\KS12_004-Concrete Drop Inlet. Drawing NBC-GTW-CL-0003 \m³\36.6111 \ 50" u="1"/>
        <s v="SABS1200 DA \EARTHWORKS (SMALL WORKS)/8.3\SCHEDULED ITEMS/8.3.2a\Excavate for restricted foundations, footings and trenches  in all materials and use for embankments or backfill or dispose. /\KS13_005-Concrete Drop Inlet. Drawing NBC-GTW-CL-0011 \m³\40.88154 \ 50" u="1"/>
        <s v="SABS1200 DA \EARTHWORKS (SMALL WORKS)/8.3\SCHEDULED ITEMS/8.3.2a\Excavate for restricted foundations, footings and trenches  in all materials and use for embankments or backfill or dispose. /\KS13_006-Concrete Drop Inlet. Drawing NBC-GTW-CL-0012 \m³\40.88154 \ 50" u="1"/>
        <s v="SABS1200 DA \EARTHWORKS (SMALL WORKS)/8.3\SCHEDULED ITEMS/8.3.2a\Excavate for restricted foundations, footings and trenches  in all materials and use for embankments or backfill or dispose. /\KS18_018-Concrete Drop Inlet. Drawing NBC-GTW-CL-0024 \m³\52.32581 \ 50" u="1"/>
        <s v="SABS1200 DA \EARTHWORKS (SMALL WORKS)/8.3\SCHEDULED ITEMS/8.3.2a\Excavate for restricted foundations, footings and trenches  in all materials and use for embankments or backfill or dispose. /\ks18-021-Backfill Main Channel  \m³\1624.96500459326 \ 85" u="1"/>
        <s v="SABS1200 DA \EARTHWORKS (SMALL WORKS)/8.3\SCHEDULED ITEMS/8.3.2a\Excavate for restricted foundations, footings and trenches  in all materials and use for embankments or backfill or dispose. /\ks18-021-Backfill Main Channel  \m³\1100 \ 50" u="1"/>
        <s v="SABS1200 DA \EARTHWORKS (SMALL WORKS)/8.3\SCHEDULED ITEMS/8.3.2a\Excavate for restricted foundations, footings and trenches  in all materials and use for embankments or backfill or dispose. /\KS12_007-Concrete Drop Inlet. Drawing NBC-GTW-CL-0006 \m³\47.313325 \ 50" u="1"/>
        <s v="SABS1200 DA \EARTHWORKS (SMALL WORKS)/8.3\SCHEDULED ITEMS/8.3.2a\Excavate for restricted foundations, footings and trenches  in all materials and use for embankments or backfill or dispose. /\KS21_010-Concrete Drop Inlet. Drawing NBC-GTW-CL-0044 \m³\37.9104055 \ 85" u="1"/>
        <s v="SABS1200 DA \EARTHWORKS (SMALL WORKS)/8.3\SCHEDULED ITEMS/8.3.2a\Excavate for restricted foundations, footings and trenches  in all materials and use for embankments or backfill or dispose. /\KS20_003-Concrete Buttress Weir. Drawing NBC-GTW-CL-0029 \m³\82.9571958 \ 85" u="1"/>
        <s v="SABS1200 DA \EARTHWORKS (SMALL WORKS)/8.3\SCHEDULED ITEMS/8.3.2a\Excavate for restricted foundations, footings and trenches  in all materials and use for embankments or backfill or dispose. /\LS16_019-Gabion energy breaker  \m³\24.48 \ 50" u="1"/>
        <s v="SABS1200 DA \EARTHWORKS (SMALL WORKS)/8.3\SCHEDULED ITEMS/8.3.2a\Excavate for restricted foundations, footings and trenches  in all materials and use for embankments or backfill or dispose. /\KS18_016-Concrete Drop Inlet. Drawing NBC-GTW-CL-0022 \m³\46.41016 \ 85" u="1"/>
        <s v="SABS1200 DA \EARTHWORKS (SMALL WORKS)/8.3\SCHEDULED ITEMS/8.3.2a\Excavate for restricted foundations, footings and trenches  in all materials and use for embankments or backfill or dispose. /\KS18_016-Concrete Drop Inlet. Drawing NBC-GTW-CL-0022 \m³\46.41016 \ 50" u="1"/>
        <s v="SABS1200 DA \EARTHWORKS (SMALL WORKS)/8.3\SCHEDULED ITEMS/8.3.2a\Excavate for restricted foundations, footings and trenches  in all materials and use for embankments or backfill or dispose. /\KS13_004-Concrete Drop Inlet. Drawing NBC-GTW-CL-0010 \m³\32.319 \ 85" u="1"/>
        <s v="SABS1200 DA \EARTHWORKS (SMALL WORKS)/8.3\SCHEDULED ITEMS/8.3.2a\Excavate for restricted foundations, footings and trenches  in all materials and use for embankments or backfill or dispose. /\LS16_017-Gabion energy breaker  \m³\25 \ 50" u="1"/>
        <s v="SABS1200 DA \EARTHWORKS (SMALL WORKS)/8.3\SCHEDULED ITEMS/8.3.2a\Excavate for restricted foundations, footings and trenches  in all materials and use for embankments or backfill or dispose. /\KS12_001-Pipe Culvert. Drawing NBC-GTW-CL-0069 \m³\2 \ 50" u="1"/>
        <s v="SABS1200 DA \EARTHWORKS (SMALL WORKS)/8.3\SCHEDULED ITEMS/8.3.2a\Excavate for restricted foundations, footings and trenches  in all materials and use for embankments or backfill or dispose. /\KS19_003-Headcut  \m³\5.316 \ 85" u="1"/>
        <s v="SABS1200 DA \EARTHWORKS (SMALL WORKS)/8.3\SCHEDULED ITEMS/8.3.2a\Excavate for restricted foundations, footings and trenches  in all materials and use for embankments or backfill or dispose. /\KS20_001-Concrete Drop Inlet. Drawing NBC-GTW-CL-0027 \m³\51.93327 \ 50" u="1"/>
        <s v="SABS1200 DA \EARTHWORKS (SMALL WORKS)/8.3\SCHEDULED ITEMS/8.3.2a\Excavate for restricted foundations, footings and trenches  in all materials and use for embankments or backfill or dispose. /\LS16_011-Concrete Cut-Off Walls  \m³\3.3 \ 50" u="1"/>
        <s v="SABS1200 DA \EARTHWORKS (SMALL WORKS)/8.3\SCHEDULED ITEMS/8.3.2a\Excavate for restricted foundations, footings and trenches  in all materials and use for embankments or backfill or dispose. /\Pan8_001-Foreign Materials  \m³\18.9 \ 50" u="1"/>
        <s v="SABS1200 DA \EARTHWORKS (SMALL WORKS)/8.3\SCHEDULED ITEMS/8.3.2a\Excavate for restricted foundations, footings and trenches  in all materials and use for embankments or backfill or dispose. /\KS13_011-Concrete Drop Inlet. Drawing NBC-GTW-CL-0015 \m³\38.8 \ 85" u="1"/>
        <s v="SABS1200 DA \EARTHWORKS (SMALL WORKS)/8.3\SCHEDULED ITEMS/8.3.2a\Excavate for restricted foundations, footings and trenches  in all materials and use for embankments or backfill or dispose. /\KS18_019-Concrete Drop Inlet. Drawing NBC-GTW-CL-0025 \m³\36.11444 \ 85" u="1"/>
        <s v="SABS1200 DA \EARTHWORKS (SMALL WORKS)/8.3\SCHEDULED ITEMS/8.3.2a\Excavate for restricted foundations, footings and trenches  in all materials and use for embankments or backfill or dispose. /\KS18_019-Concrete Drop Inlet. Drawing NBC-GTW-CL-0025 \m³\36.11444 \ 50" u="1"/>
        <s v="SABS1200 DA \EARTHWORKS (SMALL WORKS)/8.3\SCHEDULED ITEMS/8.3.2a\Excavate for restricted foundations, footings and trenches  in all materials and use for embankments or backfill or dispose. /\KS20_006-Concrete Drop Inlet. Drawing NBC-GTW-CL-0032 \m³\55.598465 \ 85" u="1"/>
        <s v="SABS1200 DA \EARTHWORKS (SMALL WORKS)/8.3\SCHEDULED ITEMS/8.3.2a\Excavate for restricted foundations, footings and trenches  in all materials and use for embankments or backfill or dispose. /\KS21-002-Earthworks  \m³\191.4 \ 85" u="1"/>
        <s v="SABS1200 DA \EARTHWORKS (SMALL WORKS)/8.3\SCHEDULED ITEMS/8.3.2a\Excavate for restricted foundations, footings and trenches  in all materials and use for embankments or backfill or dispose. /\KS21_007-Concrete Drop Inlet. Drawing NBC-GTW-CL-0042 \m³\31.14898 \ 85" u="1"/>
        <s v="SABS1200 DA \EARTHWORKS (SMALL WORKS)/8.3\SCHEDULED ITEMS/8.3.2a\Excavate for restricted foundations, footings and trenches  in all materials and use for embankments or backfill or dispose. /\KS18_007-Concrete Cut-Off Walls. Drawing NBC-GTW-CL-0045 \m³\5.04 \ 50" u="1"/>
        <s v="SABS1200 DA \EARTHWORKS (SMALL WORKS)/8.3\SCHEDULED ITEMS/8.3.2a\Excavate for restricted foundations, footings and trenches  in all materials and use for embankments or backfill or dispose. /\KS16_003-Infilling of Drains  \m³\14.22 \ 50" u="1"/>
        <s v="SABS1200 DA \EARTHWORKS (SMALL WORKS)/8.3\SCHEDULED ITEMS/8.3.2a\Excavate for restricted foundations, footings and trenches  in all materials and use for embankments or backfill or dispose. /\KS21_007-Concrete Drop Inlet. Drawing NBC-GTW-CL-0042 \m³\31.14898 \ 50" u="1"/>
        <s v="SABS1200 DA \EARTHWORKS (SMALL WORKS)/8.3\SCHEDULED ITEMS/8.3.2a\Excavate for restricted foundations, footings and trenches  in all materials and use for embankments or backfill or dispose. /\KS13_004-Concrete Drop Inlet. Drawing NBC-GTW-CL-0010 \m³\32.319 \ 50" u="1"/>
        <s v="SABS1200 DA \EARTHWORKS (SMALL WORKS)/8.3\SCHEDULED ITEMS/8.3.2a\Excavate for restricted foundations, footings and trenches  in all materials and use for embankments or backfill or dispose. /\KS20_005-Concrete Drop Inlet. Drawing NBC-GTW-CL-0031 \m³\69.658655 \ 50" u="1"/>
        <s v="SABS1200 DA \EARTHWORKS (SMALL WORKS)/8.3\SCHEDULED ITEMS/8.3.2a\Excavate for restricted foundations, footings and trenches  in all materials and use for embankments or backfill or dispose. /\KS18_011-Concrete Cut-Off Walls. Drawing NBC-GTW-CL-0045 \m³\6 \ 50" u="1"/>
        <s v="SABS1200 DA \EARTHWORKS (SMALL WORKS)/8.3\SCHEDULED ITEMS/8.3.2a\Excavate for restricted foundations, footings and trenches  in all materials and use for embankments or backfill or dispose. /\KS18_013-Concrete Cut-Off Walls. Drawing NBC-GTW-CL-0045 \m³\6 \ 50" u="1"/>
        <s v="SABS1200 DA \EARTHWORKS (SMALL WORKS)/8.3\SCHEDULED ITEMS/8.3.2a\Excavate for restricted foundations, footings and trenches  in all materials and use for embankments or backfill or dispose. /\KS13_003-Concrete Drop Inlet. Drawing NBC-GTW-CL-0009 \m³\44.0325 \ 50" u="1"/>
        <s v="SABS1200 DA \EARTHWORKS (SMALL WORKS)/8.3\SCHEDULED ITEMS/8.3.2a\Excavate for restricted foundations, footings and trenches  in all materials and use for embankments or backfill or dispose. /\KS16_005-Deactivate Drain  \m³\18.36 \ 85" u="1"/>
        <s v="SABS1200 DA \EARTHWORKS (SMALL WORKS)/8.3\SCHEDULED ITEMS/8.3.2a\Excavate for restricted foundations, footings and trenches  in all materials and use for embankments or backfill or dispose. /\KS15_001-Fish Bowl  \m³\215.621 \ 85" u="1"/>
        <s v="SABS1200 DA \EARTHWORKS (SMALL WORKS)/8.3\SCHEDULED ITEMS/8.3.2a\Excavate for restricted foundations, footings and trenches  in all materials and use for embankments or backfill or dispose. /\KS19_001-Infilling of Drains  \m³\5 \ 85" u="1"/>
        <s v="SABS1200 DA \EARTHWORKS (SMALL WORKS)/8.3\SCHEDULED ITEMS/8.3.2a\Excavate for restricted foundations, footings and trenches  in all materials and use for embankments or backfill or dispose. /\KS18_005-Concrete Cut-Off Walls. Drawing NBC-GTW-CL-0045 \m³\6.93 \ 85" u="1"/>
        <s v="SABS1200 DA \EARTHWORKS (SMALL WORKS)/8.3\SCHEDULED ITEMS/8.3.2a\Excavate for restricted foundations, footings and trenches  in all materials and use for embankments or backfill or dispose. /\KS18_010-Concrete Cut-Off Walls. Drawing NBC-GTW-CL-0045 \m³\6.93 \ 85" u="1"/>
        <s v="SABS1200 DA \EARTHWORKS (SMALL WORKS)/8.3\SCHEDULED ITEMS/8.3.2a\Excavate for restricted foundations, footings and trenches  in all materials and use for embankments or backfill or dispose. /\KS13_015-Concrete Drop Inlet. Drawing NBC-GTW-CL-0018 \m³\45.89906 \ 85" u="1"/>
        <s v="SABS1200 DA \EARTHWORKS (SMALL WORKS)/8.3\SCHEDULED ITEMS/8.3.2a\Excavate for restricted foundations, footings and trenches  in all materials and use for embankments or backfill or dispose. /\KS21_010-Concrete Drop Inlet. Drawing NBC-GTW-CL-0044 \m³\37.9104055 \ 50" u="1"/>
        <s v="SABS1200 DA \EARTHWORKS (SMALL WORKS)/8.3\SCHEDULED ITEMS/8.3.2a\Excavate for restricted foundations, footings and trenches  in all materials and use for embankments or backfill or dispose. /\KS13_015-Concrete Drop Inlet. Drawing NBC-GTW-CL-0018 \m³\45.89906 \ 50" u="1"/>
        <s v="SABS1200 DA \EARTHWORKS (SMALL WORKS)/8.3\SCHEDULED ITEMS/8.3.2a\Excavate for restricted foundations, footings and trenches  in all materials and use for embankments or backfill or dispose. /\KS16_005-Deactivate Drain  \m³\18.36 \ 50" u="1"/>
        <s v="SABS1200 DA \EARTHWORKS (SMALL WORKS)/8.3\SCHEDULED ITEMS/8.3.2a\Excavate for restricted foundations, footings and trenches  in all materials and use for embankments or backfill or dispose. /\LS16_001-Concrete Cut-Off Walls  \m³\5.04 \ 50" u="1"/>
        <s v="SABS1200 DA \EARTHWORKS (SMALL WORKS)/8.3\SCHEDULED ITEMS/8.3.2a\Excavate for restricted foundations, footings and trenches  in all materials and use for embankments or backfill or dispose. /\Pan14_008-Infilling of Drains  \m³\48.6 \ 50" u="1"/>
        <s v="SABS1200 DA \EARTHWORKS (SMALL WORKS)/8.3\SCHEDULED ITEMS/8.3.2a\Excavate for restricted foundations, footings and trenches  in all materials and use for embankments or backfill or dispose. /\KS18_009-Concrete Cut-Off Walls. Drawing NBC-GTW-CL-0045 \m³\5.775 \ 85" u="1"/>
        <s v="SABS1200 DA \EARTHWORKS (SMALL WORKS)/8.3\SCHEDULED ITEMS/8.3.2a\Excavate for restricted foundations, footings and trenches  in all materials and use for embankments or backfill or dispose. /\KS18_009-Concrete Cut-Off Walls. Drawing NBC-GTW-CL-0045 \m³\5.775 \ 50" u="1"/>
        <s v="SABS1200 DA \EARTHWORKS (SMALL WORKS)/8.3\SCHEDULED ITEMS/8.3.2a\Excavate for restricted foundations, footings and trenches  in all materials and use for embankments or backfill or dispose. /\KS18-014-Concrete Check Wall. Drawing NBC-GTW-CL-0001 \m³\6.66 \ 85" u="1"/>
        <s v="SABS1200 DA \EARTHWORKS (SMALL WORKS)/8.3\SCHEDULED ITEMS/8.3.2a\Excavate for restricted foundations, footings and trenches  in all materials and use for embankments or backfill or dispose. /\Pan14-003-Remove berm and backfill drain  \m³\950 \ 50" u="1"/>
        <s v="SABS1200 DA \EARTHWORKS (SMALL WORKS)/8.3\SCHEDULED ITEMS/8.3.2a\Excavate for restricted foundations, footings and trenches  in all materials and use for embankments or backfill or dispose. /\KS20_004-Concrete Drop Inlet. Drawing NBC-GTW-CL-0030 \m³\42.774586 \ 85" u="1"/>
        <s v="SABS1200 DA \EARTHWORKS (SMALL WORKS)/8.3\SCHEDULED ITEMS/8.3.2a\Excavate for restricted foundations, footings and trenches  in all materials and use for embankments or backfill or dispose. /\KS19_001-Infilling of Drains  \m³\5 \ 50" u="1"/>
        <s v="SABS1200 DA \EARTHWORKS (SMALL WORKS)/8.3\SCHEDULED ITEMS/8.3.2a\Excavate for restricted foundations, footings and trenches  in all materials and use for embankments or backfill or dispose. /\KS21-002-Earthworks  \m³\191.4 \ 50" u="1"/>
        <s v="SABS1200 DA \EARTHWORKS (SMALL WORKS)/8.3\SCHEDULED ITEMS/8.3.2a\Excavate for restricted foundations, footings and trenches  in all materials and use for embankments or backfill or dispose. /\KS13_007-Concrete Drop Inlet. Drawing NBC-GTW-CL-0013 \m³\35.99056 \ 85" u="1"/>
        <s v="SABS1200 DA \EARTHWORKS (SMALL WORKS)/8.3\SCHEDULED ITEMS/8.3.2a\Excavate for restricted foundations, footings and trenches  in all materials and use for embankments or backfill or dispose. /\KS13_007-Concrete Drop Inlet. Drawing NBC-GTW-CL-0013 \m³\35.99056 \ 50" u="1"/>
        <s v="SABS1200 DA \EARTHWORKS (SMALL WORKS)/8.3\SCHEDULED ITEMS/8.3.2a\Excavate for restricted foundations, footings and trenches  in all materials and use for embankments or backfill or dispose. /\LS16_009-Concrete Cut-Off Walls  \m³\4.35 \ 50" u="1"/>
        <s v="SABS1200 DA \EARTHWORKS (SMALL WORKS)/8.3\SCHEDULED ITEMS/8.3.2a\Excavate for restricted foundations, footings and trenches  in all materials and use for embankments or backfill or dispose. /\KS20_006-Concrete Drop Inlet. Drawing NBC-GTW-CL-0032 \m³\55.598465 \ 50" u="1"/>
        <s v="SABS1200 DA \EARTHWORKS (SMALL WORKS)/8.3\SCHEDULED ITEMS/8.3.2a\Excavate for restricted foundations, footings and trenches  in all materials and use for embankments or backfill or dispose. /\KS18-014-Concrete Filled Geo-Cell Berm. Drawing NBC-GTW-CL-0001 \m³\23.9803125 \ 85" u="1"/>
        <s v="SABS1200 DA \EARTHWORKS (SMALL WORKS)/8.3\SCHEDULED ITEMS/8.3.2a\Excavate for restricted foundations, footings and trenches  in all materials and use for embankments or backfill or dispose. /\KS13_013-Concrete Drop Inlet. Drawing NBC-GTW-CL-0017 \m³\37.8822 \ 85" u="1"/>
        <s v="SABS1200 DA \EARTHWORKS (SMALL WORKS)/8.3\SCHEDULED ITEMS/8.3.2a\Excavate for restricted foundations, footings and trenches  in all materials and use for embankments or backfill or dispose. /\KS13_012-Concrete Drop Inlet. Drawing NBC-GTW-CL-0016 \m³\29.930225 \ 85" u="1"/>
        <s v="SABS1200 DA \EARTHWORKS (SMALL WORKS)/8.3\SCHEDULED ITEMS/8.3.2a\Excavate for restricted foundations, footings and trenches  in all materials and use for embankments or backfill or dispose. /\KS21_001-10° sloped Grouted Pitching (Light). Drawing NBC-GTW-CL-0038 \m³\15 \ 50" u="1"/>
        <s v="SABS1200 DA \EARTHWORKS (SMALL WORKS)/8.3\SCHEDULED ITEMS/8.3.2a\Excavate for restricted foundations, footings and trenches  in all materials and use for embankments or backfill or dispose. /\KS12_006-Concrete Drop Inlet. Drawing NBC-GTW-CL-0005 \m³\31.948975 \ 50" u="1"/>
        <s v="SABS1200 DA \EARTHWORKS (SMALL WORKS)/8.3\SCHEDULED ITEMS/8.3.2a\Excavate for restricted foundations, footings and trenches  in all materials and use for embankments or backfill or dispose. /\LS16_004-Concrete Cut-Off Walls  \m³\2.4 \ 50" u="1"/>
      </sharedItems>
    </cacheField>
    <cacheField name="bi)Excavation (Extra-over intermediate)3" numFmtId="0">
      <sharedItems count="81">
        <s v=" "/>
        <s v="SABS1200 DA \EARTHWORKS (SMALL WORKS)/8.3\SCHEDULED ITEMS/8.3.2b 1\Extra-over for intermediate excavation. (Provisional Quantities)/\ks11-002a-Concrete Drop Inlet on Dam Wall  \m³\39.47652 \ 125"/>
        <s v="SABS1200 DA \EARTHWORKS (SMALL WORKS)/8.3\SCHEDULED ITEMS/8.3.2b 1\Extra-over for intermediate excavation. (Provisional Quantities)/\ks11-004a-Concrete Drop Inlet on Dam Wall  \m³\26.46966 \ 125"/>
        <s v="SABS1200 DA \EARTHWORKS (SMALL WORKS)/8.3\SCHEDULED ITEMS/8.3.2b 1\Extra-over for intermediate excavation. (Provisional Quantities)/\KS13_003-Concrete Drop Inlet. Drawing NBC-GTW-CL-0009 \m³\4.40325 \ 125"/>
        <s v="SABS1200 DA \EARTHWORKS (SMALL WORKS)/8.3\SCHEDULED ITEMS/8.3.2b 1\Extra-over for intermediate excavation. (Provisional Quantities)/\KS19_002-Concrete Drop Inlet. Drawing NBC-GTW-CL-0026 \m³\3.8760038 \ 125"/>
        <s v="SABS1200 DA \EARTHWORKS (SMALL WORKS)/8.3\SCHEDULED ITEMS/8.3.2b 1\Extra-over for intermediate excavation. (Provisional Quantities)/\KS20_001-Concrete Drop Inlet. Drawing NBC-GTW-CL-0027 \m³\5.193327 \ 125"/>
        <s v="SABS1200 DA \EARTHWORKS (SMALL WORKS)/8.3\SCHEDULED ITEMS/8.3.2b 1\Extra-over for intermediate excavation. (Provisional Quantities)/\KS21_003-Concrete Drop Inlet. Drawing NBC-GTW-CL-0039 \m³\2.578775 \ 125"/>
        <s v="SABS1200 DA \EARTHWORKS (SMALL WORKS)/8,3\SCHEDULED ITEMS/8.3.2b 1\Extra-over for intermediate excavation. (Provisional Quantities)/\KS21_005-Concrete Drop Inlet. Drawing NBC-GTW-CL-0040 \m³\2,578775 \ 125"/>
        <s v="SABS1200 DA \EARTHWORKS (SMALL WORKS)/8.3\SCHEDULED ITEMS/8.3.2b 1\Extra-over for intermediate excavation. (Provisional Quantities)/\KS21_006-Concrete Drop Inlet. Drawing NBC-GTW-CL-0041 \m³\3.19418025 \ 125" u="1"/>
        <s v="SABS1200 DA \EARTHWORKS (SMALL WORKS)/8.3\SCHEDULED ITEMS/8.3.2b 1\Extra-over for intermediate excavation. (Provisional Quantities)/\KS18_018-Concrete Drop Inlet. Drawing NBC-GTW-CL-0024 \m³\5.232581 \ 125" u="1"/>
        <s v="SABS1200 DA \EARTHWORKS (SMALL WORKS)/8.3\SCHEDULED ITEMS/8.3.2b 1\Extra-over for intermediate excavation. (Provisional Quantities)/\KS21_010-Concrete Drop Inlet. Drawing NBC-GTW-CL-0044 \m³\3.79104055 \ 75" u="1"/>
        <s v="SABS1200 DA \EARTHWORKS (SMALL WORKS)/8.3\SCHEDULED ITEMS/8.3.2b 1\Extra-over for intermediate excavation. (Provisional Quantities)/\KS18_017-Concrete Drop Inlet. Drawing NBC-GTW-CL-0023 \m³\4.359664 \ 75" u="1"/>
        <s v="SABS1200 DA \EARTHWORKS (SMALL WORKS)/8.3\SCHEDULED ITEMS/8.3.2b 1\Extra-over for intermediate excavation. (Provisional Quantities)/\KS18_002-Concrete Drop Inlet. Drawing NBC-GTW-CL-0020 \m³\3.2274065 \ 125" u="1"/>
        <s v="SABS1200 DA \EARTHWORKS (SMALL WORKS)/8.3\SCHEDULED ITEMS/8.3.2b 1\Extra-over for intermediate excavation. (Provisional Quantities)/\KS13_012-Concrete Drop Inlet. Drawing NBC-GTW-CL-0016 \m³\2.9930225 \ 75" u="1"/>
        <s v="SABS1200 DA \EARTHWORKS (SMALL WORKS)/8.3\SCHEDULED ITEMS/8.3.2b 1\Extra-over for intermediate excavation. (Provisional Quantities)/\KS21_009-Concrete Drop Inlet. Drawing NBC-GTW-CL-0043 \m³\4.0198585 \ 75" u="1"/>
        <s v="SABS1200 DA \EARTHWORKS (SMALL WORKS)/8.3\SCHEDULED ITEMS/8.3.2b 1\Extra-over for intermediate excavation. (Provisional Quantities)/\KS20_004-Concrete Drop Inlet. Drawing NBC-GTW-CL-0030 \m³\4.2774586 \ 125" u="1"/>
        <s v="SABS1200 DA \EARTHWORKS (SMALL WORKS)/8.3\SCHEDULED ITEMS/8.3.2b 1\Extra-over for intermediate excavation. (Provisional Quantities)/\KS20_005-Concrete Drop Inlet. Drawing NBC-GTW-CL-0031 \m³\6.9658655 \ 125" u="1"/>
        <s v="SABS1200 DA \EARTHWORKS (SMALL WORKS)/8.3\SCHEDULED ITEMS/8.3.2b 1\Extra-over for intermediate excavation. (Provisional Quantities)/\KS21_006-Concrete Drop Inlet. Drawing NBC-GTW-CL-0041 \m³\3.19418025 \ 75" u="1"/>
        <s v="SABS1200 DA \EARTHWORKS (SMALL WORKS)/8.3\SCHEDULED ITEMS/8.3.2b 1\Extra-over for intermediate excavation. (Provisional Quantities)/\KS18_001-Concrete Drop Inlet. Drawing NBC-GTW-CL-0019 \m³\6.1486052 \ 75" u="1"/>
        <s v="SABS1200 DA \EARTHWORKS (SMALL WORKS)/8.3\SCHEDULED ITEMS/8.3.2b 1\Extra-over for intermediate excavation. (Provisional Quantities)/\KS21_010-Concrete Drop Inlet. Drawing NBC-GTW-CL-0044 \m³\3.79104055 \ 125" u="1"/>
        <s v="SABS1200 DA \EARTHWORKS (SMALL WORKS)/8.3\SCHEDULED ITEMS/8.3.2b 1\Extra-over for intermediate excavation. (Provisional Quantities)/\KS13_015-Concrete Drop Inlet. Drawing NBC-GTW-CL-0018 \m³\4.589906 \ 125" u="1"/>
        <s v="SABS1200 DA \EARTHWORKS (SMALL WORKS)/8.3\SCHEDULED ITEMS/8.3.2b 1\Extra-over for intermediate excavation. (Provisional Quantities)/\KS13_008-Concrete Drop Inlet. Drawing NBC-GTW-CL-0014 \m³\4.093968 \ 125" u="1"/>
        <s v="SABS1200 DA \EARTHWORKS (SMALL WORKS)/8.3\SCHEDULED ITEMS/8.3.2b 1\Extra-over for intermediate excavation. (Provisional Quantities)/\KS21_007-Concrete Drop Inlet. Drawing NBC-GTW-CL-0042 \m³\3.114898 \ 125" u="1"/>
        <s v="SABS1200 DA \EARTHWORKS (SMALL WORKS)/8.3\SCHEDULED ITEMS/8.3.2b 1\Extra-over for intermediate excavation. (Provisional Quantities)/\KS12_008-Concrete Drop Inlet. Drawing NBC-GTW-CL-0007 \m³\3.321409 \ 75" u="1"/>
        <s v="SABS1200 DA \EARTHWORKS (SMALL WORKS)/8.3\SCHEDULED ITEMS/8.3.2b 1\Extra-over for intermediate excavation. (Provisional Quantities)/\KS18_017-Concrete Drop Inlet. Drawing NBC-GTW-CL-0023 \m³\4.359664 \ 125" u="1"/>
        <s v="SABS1200 DA \EARTHWORKS (SMALL WORKS)/8.3\SCHEDULED ITEMS/8.3.2b 1\Extra-over for intermediate excavation. (Provisional Quantities)/\KS20_003-Concrete Buttress Weir. Drawing NBC-GTW-CL-0029 \m³\8.29571958 \ 75" u="1"/>
        <s v="SABS1200 DA \EARTHWORKS (SMALL WORKS)/8.3\SCHEDULED ITEMS/8.3.2b 1\Extra-over for intermediate excavation. (Provisional Quantities)/\KS20_003-Concrete Buttress Weir. Drawing NBC-GTW-CL-0029 \m³\8.29571958 \ 125" u="1"/>
        <s v="SABS1200 DA \EARTHWORKS (SMALL WORKS)/8.3\SCHEDULED ITEMS/8.3.2b 1\Extra-over for intermediate excavation. (Provisional Quantities)/\KS20_002-Concrete Drop Inlet. Drawing NBC-GTW-CL-0028 \m³\1.580255 \ 75" u="1"/>
        <s v="SABS1200 DA \EARTHWORKS (SMALL WORKS)/8.3\SCHEDULED ITEMS/8.3.2b 1\Extra-over for intermediate excavation. (Provisional Quantities)/\KS18_002-Concrete Drop Inlet. Drawing NBC-GTW-CL-0020 \m³\3.2274065 \ 75" u="1"/>
        <s v="SABS1200 DA \EARTHWORKS (SMALL WORKS)/8.3\SCHEDULED ITEMS/8.3.2b 1\Extra-over for intermediate excavation. (Provisional Quantities)/\KS20_001-Concrete Drop Inlet. Drawing NBC-GTW-CL-0027 \m³\5.193327 \ 75" u="1"/>
        <s v="SABS1200 DA \EARTHWORKS (SMALL WORKS)/8.3\SCHEDULED ITEMS/8.3.2b 1\Extra-over for intermediate excavation. (Provisional Quantities)/\KS20_006-Concrete Drop Inlet. Drawing NBC-GTW-CL-0032 \m³\5.5598465 \ 125" u="1"/>
        <s v="SABS1200 DA \EARTHWORKS (SMALL WORKS)/8.3\SCHEDULED ITEMS/8.3.2b 1\Extra-over for intermediate excavation. (Provisional Quantities)/\KS20_007-Concrete Drop Inlet. Drawing NBC-GTW-CL-0033 \m³\5.6185603 \ 125" u="1"/>
        <s v="SABS1200 DA \EARTHWORKS (SMALL WORKS)/8.3\SCHEDULED ITEMS/8.3.2b 1\Extra-over for intermediate excavation. (Provisional Quantities)/\KS20_004-Concrete Drop Inlet. Drawing NBC-GTW-CL-0030 \m³\4.2774586 \ 75" u="1"/>
        <s v="SABS1200 DA \EARTHWORKS (SMALL WORKS)/8.3\SCHEDULED ITEMS/8.3.2b 1\Extra-over for intermediate excavation. (Provisional Quantities)/\KS12_007-Concrete Drop Inlet. Drawing NBC-GTW-CL-0006 \m³\4.7313325 \ 75" u="1"/>
        <s v="SABS1200 DA \EARTHWORKS (SMALL WORKS)/8.3\SCHEDULED ITEMS/8.3.2b 1\Extra-over for intermediate excavation. (Provisional Quantities)/\KS18_016-Concrete Drop Inlet. Drawing NBC-GTW-CL-0022 \m³\4.641016 \ 125" u="1"/>
        <s v="SABS1200 DA \EARTHWORKS (SMALL WORKS)/8.3\SCHEDULED ITEMS/8.3.2b 1\Extra-over for intermediate excavation. (Provisional Quantities)/\KS12_006-Concrete Drop Inlet. Drawing NBC-GTW-CL-0005 \m³\3.1948975 \ 75" u="1"/>
        <s v="SABS1200 DA \EARTHWORKS (SMALL WORKS)/8.3\SCHEDULED ITEMS/8.3.2b 1\Extra-over for intermediate excavation. (Provisional Quantities)/\KS20_005-Concrete Drop Inlet. Drawing NBC-GTW-CL-0031 \m³\6.9658655 \ 75" u="1"/>
        <s v="SABS1200 DA \EARTHWORKS (SMALL WORKS)/8.3\SCHEDULED ITEMS/8.3.2b 1\Extra-over for intermediate excavation. (Provisional Quantities)/\KS18_015-Concrete Drop Inlet. Drawing NBC-GTW-CL-0021 \m³\5.716188 \ 75" u="1"/>
        <s v="SABS1200 DA \EARTHWORKS (SMALL WORKS)/8.3\SCHEDULED ITEMS/8.3.2b 1\Extra-over for intermediate excavation. (Provisional Quantities)/\KS20_008-Concrete Drop Inlet. Drawing NBC-GTW-CL-0034 \m³\5.433924 \ 75" u="1"/>
        <s v="SABS1200 DA \EARTHWORKS (SMALL WORKS)/8.3\SCHEDULED ITEMS/8.3.2b 1\Extra-over for intermediate excavation. (Provisional Quantities)/\KS21_007-Concrete Drop Inlet. Drawing NBC-GTW-CL-0042 \m³\3.114898 \ 75" u="1"/>
        <s v="SABS1200 DA \EARTHWORKS (SMALL WORKS)/8.3\SCHEDULED ITEMS/8.3.2b 1\Extra-over for intermediate excavation. (Provisional Quantities)/\KS13_003-Concrete Drop Inlet. Drawing NBC-GTW-CL-0009 \m³\4.40325 \ 75" u="1"/>
        <s v="SABS1200 DA \EARTHWORKS (SMALL WORKS)/8.3\SCHEDULED ITEMS/8.3.2b 1\Extra-over for intermediate excavation. (Provisional Quantities)/\KS19_002-Concrete Drop Inlet. Drawing NBC-GTW-CL-0026 \m³\3.8760038 \ 75" u="1"/>
        <s v="SABS1200 DA \EARTHWORKS (SMALL WORKS)/8.3\SCHEDULED ITEMS/8.3.2b 1\Extra-over for intermediate excavation. (Provisional Quantities)/\ks11-002a-Concrete Drop Inlet on Dam Wall  \m³\39.47652 \ 75" u="1"/>
        <s v="SABS1200 DA \EARTHWORKS (SMALL WORKS)/8.3\SCHEDULED ITEMS/8.3.2b 1\Extra-over for intermediate excavation. (Provisional Quantities)/\KS21_005-Concrete Drop Inlet. Drawing NBC-GTW-CL-0040 \m³\3.57722215 \ 125" u="1"/>
        <s v="SABS1200 DA \EARTHWORKS (SMALL WORKS)/8.3\SCHEDULED ITEMS/8.3.2b 1\Extra-over for intermediate excavation. (Provisional Quantities)/\KS20_009_a-Concrete Buttress Weir. Drawing NBC-GTW-CL-0035 \m³\13.2757199 \ 125" u="1"/>
        <s v="SABS1200 DA \EARTHWORKS (SMALL WORKS)/8.3\SCHEDULED ITEMS/8.3.2b 1\Extra-over for intermediate excavation. (Provisional Quantities)/\KS18_019-Concrete Drop Inlet. Drawing NBC-GTW-CL-0025 \m³\3.611444 \ 125" u="1"/>
        <s v="SABS1200 DA \EARTHWORKS (SMALL WORKS)/8.3\SCHEDULED ITEMS/8.3.2b 1\Extra-over for intermediate excavation. (Provisional Quantities)/\KS13_007-Concrete Drop Inlet. Drawing NBC-GTW-CL-0013 \m³\3.599056 \ 75" u="1"/>
        <s v="SABS1200 DA \EARTHWORKS (SMALL WORKS)/8.3\SCHEDULED ITEMS/8.3.2b 1\Extra-over for intermediate excavation. (Provisional Quantities)/\KS12_005-Concrete Drop Inlet. Drawing NBC-GTW-CL-0004 \m³\3.64286202 \ 75" u="1"/>
        <s v="SABS1200 DA \EARTHWORKS (SMALL WORKS)/8.3\SCHEDULED ITEMS/8.3.2b 1\Extra-over for intermediate excavation. (Provisional Quantities)/\KS20_009_a-Concrete Buttress Weir. Drawing NBC-GTW-CL-0035 \m³\13.2757199 \ 75" u="1"/>
        <s v="SABS1200 DA \EARTHWORKS (SMALL WORKS)/8.3\SCHEDULED ITEMS/8.3.2b 1\Extra-over for intermediate excavation. (Provisional Quantities)/\KS18_016-Concrete Drop Inlet. Drawing NBC-GTW-CL-0022 \m³\4.641016 \ 75" u="1"/>
        <s v="SABS1200 DA \EARTHWORKS (SMALL WORKS)/8.3\SCHEDULED ITEMS/8.3.2b 1\Extra-over for intermediate excavation. (Provisional Quantities)/\KS21_003-Concrete Drop Inlet. Drawing NBC-GTW-CL-0039 \m³\2.578775 \ 75" u="1"/>
        <s v="SABS1200 DA \EARTHWORKS (SMALL WORKS)/8.3\SCHEDULED ITEMS/8.3.2b 1\Extra-over for intermediate excavation. (Provisional Quantities)/\KS13_011-Concrete Drop Inlet. Drawing NBC-GTW-CL-0015 \m³\1 \ 125" u="1"/>
        <s v="SABS1200 DA \EARTHWORKS (SMALL WORKS)/8.3\SCHEDULED ITEMS/8.3.2b 1\Extra-over for intermediate excavation. (Provisional Quantities)/\KS21_005-Concrete Drop Inlet. Drawing NBC-GTW-CL-0040 \m³\3.57722215 \ 75" u="1"/>
        <s v="SABS1200 DA \EARTHWORKS (SMALL WORKS)/8.3\SCHEDULED ITEMS/8.3.2b 1\Extra-over for intermediate excavation. (Provisional Quantities)/\KS12_004-Concrete Drop Inlet. Drawing NBC-GTW-CL-0003 \m³\3.66111 \ 75" u="1"/>
        <s v="SABS1200 DA \EARTHWORKS (SMALL WORKS)/8.3\SCHEDULED ITEMS/8.3.2b 1\Extra-over for intermediate excavation. (Provisional Quantities)/\KS21_009-Concrete Drop Inlet. Drawing NBC-GTW-CL-0043 \m³\4.0198585 \ 125" u="1"/>
        <s v="SABS1200 DA \EARTHWORKS (SMALL WORKS)/8.3\SCHEDULED ITEMS/8.3.2b 1\Extra-over for intermediate excavation. (Provisional Quantities)/\KS18_019-Concrete Drop Inlet. Drawing NBC-GTW-CL-0025 \m³\3.611444 \ 75" u="1"/>
        <s v="SABS1200 DA \EARTHWORKS (SMALL WORKS)/8.3\SCHEDULED ITEMS/8.3.2b 1\Extra-over for intermediate excavation. (Provisional Quantities)/\KS20_007-Concrete Drop Inlet. Drawing NBC-GTW-CL-0033 \m³\5.6185603 \ 75" u="1"/>
        <s v="SABS1200 DA \EARTHWORKS (SMALL WORKS)/8.3\SCHEDULED ITEMS/8.3.2b 1\Extra-over for intermediate excavation. (Provisional Quantities)/\KS20_006-Concrete Drop Inlet. Drawing NBC-GTW-CL-0032 \m³\5.5598465 \ 75" u="1"/>
        <s v="SABS1200 DA \EARTHWORKS (SMALL WORKS)/8.3\SCHEDULED ITEMS/8.3.2b 1\Extra-over for intermediate excavation. (Provisional Quantities)/\KS13_008-Concrete Drop Inlet. Drawing NBC-GTW-CL-0014 \m³\4.093968 \ 75" u="1"/>
        <s v="SABS1200 DA \EARTHWORKS (SMALL WORKS)/8.3\SCHEDULED ITEMS/8.3.2b 1\Extra-over for intermediate excavation. (Provisional Quantities)/\KS13_012-Concrete Drop Inlet. Drawing NBC-GTW-CL-0016 \m³\2.9930225 \ 125" u="1"/>
        <s v="SABS1200 DA \EARTHWORKS (SMALL WORKS)/8.3\SCHEDULED ITEMS/8.3.2b 1\Extra-over for intermediate excavation. (Provisional Quantities)/\KS13_007-Concrete Drop Inlet. Drawing NBC-GTW-CL-0013 \m³\3.599056 \ 125" u="1"/>
        <s v="SABS1200 DA \EARTHWORKS (SMALL WORKS)/8.3\SCHEDULED ITEMS/8.3.2b 1\Extra-over for intermediate excavation. (Provisional Quantities)/\KS18_015-Concrete Drop Inlet. Drawing NBC-GTW-CL-0021 \m³\5.716188 \ 125" u="1"/>
        <s v="SABS1200 DA \EARTHWORKS (SMALL WORKS)/8.3\SCHEDULED ITEMS/8.3.2b 1\Extra-over for intermediate excavation. (Provisional Quantities)/\KS12_002-Concrete Drop Inlet. Drawing NBC-GTW-CL-0002 \m³\3.7 \ 75" u="1"/>
        <s v="SABS1200 DA \EARTHWORKS (SMALL WORKS)/8.3\SCHEDULED ITEMS/8.3.2b 1\Extra-over for intermediate excavation. (Provisional Quantities)/\KS18_001-Concrete Drop Inlet. Drawing NBC-GTW-CL-0019 \m³\6.1486052 \ 125" u="1"/>
        <s v="SABS1200 DA \EARTHWORKS (SMALL WORKS)/8.3\SCHEDULED ITEMS/8.3.2b 1\Extra-over for intermediate excavation. (Provisional Quantities)/\KS18_018-Concrete Drop Inlet. Drawing NBC-GTW-CL-0024 \m³\5.232581 \ 75" u="1"/>
        <s v="SABS1200 DA \EARTHWORKS (SMALL WORKS)/8.3\SCHEDULED ITEMS/8.3.2b 1\Extra-over for intermediate excavation. (Provisional Quantities)/\KS20_002-Concrete Drop Inlet. Drawing NBC-GTW-CL-0028 \m³\1.580255 \ 125" u="1"/>
        <s v="SABS1200 DA \EARTHWORKS (SMALL WORKS)/8.3\SCHEDULED ITEMS/8.3.2b 1\Extra-over for intermediate excavation. (Provisional Quantities)/\KS13_005-Concrete Drop Inlet. Drawing NBC-GTW-CL-0011 \m³\4.088154 \ 125" u="1"/>
        <s v="SABS1200 DA \EARTHWORKS (SMALL WORKS)/8.3\SCHEDULED ITEMS/8.3.2b 1\Extra-over for intermediate excavation. (Provisional Quantities)/\KS13_006-Concrete Drop Inlet. Drawing NBC-GTW-CL-0012 \m³\4.088154 \ 125" u="1"/>
        <s v="SABS1200 DA \EARTHWORKS (SMALL WORKS)/8.3\SCHEDULED ITEMS/8.3.2b 1\Extra-over for intermediate excavation. (Provisional Quantities)/\KS12_009-Concrete Drop Inlet. Drawing NBC-GTW-CL-0008 \m³\2.146164 \ 75" u="1"/>
        <s v="SABS1200 DA \EARTHWORKS (SMALL WORKS)/8.3\SCHEDULED ITEMS/8.3.2b 1\Extra-over for intermediate excavation. (Provisional Quantities)/\KS13_011-Concrete Drop Inlet. Drawing NBC-GTW-CL-0015 \m³\1 \ 75" u="1"/>
        <s v="SABS1200 DA \EARTHWORKS (SMALL WORKS)/8.3\SCHEDULED ITEMS/8.3.2b 1\Extra-over for intermediate excavation. (Provisional Quantities)/\KS18_020-Concrete Drop Inlet associated with Road Culvert  \m³\1.000635 \ 75" u="1"/>
        <s v="SABS1200 DA \EARTHWORKS (SMALL WORKS)/8.3\SCHEDULED ITEMS/8.3.2b 1\Extra-over for intermediate excavation. (Provisional Quantities)/\KS13_013-Concrete Drop Inlet. Drawing NBC-GTW-CL-0017 \m³\3.78822 \ 75" u="1"/>
        <s v="SABS1200 DA \EARTHWORKS (SMALL WORKS)/8.3\SCHEDULED ITEMS/8.3.2b 1\Extra-over for intermediate excavation. (Provisional Quantities)/\KS13_013-Concrete Drop Inlet. Drawing NBC-GTW-CL-0017 \m³\3.78822 \ 125" u="1"/>
        <s v="SABS1200 DA \EARTHWORKS (SMALL WORKS)/8.3\SCHEDULED ITEMS/8.3.2b 1\Extra-over for intermediate excavation. (Provisional Quantities)/\KS13_004-Concrete Drop Inlet. Drawing NBC-GTW-CL-0010 \m³\3.2319 \ 125" u="1"/>
        <s v="SABS1200 DA \EARTHWORKS (SMALL WORKS)/8.3\SCHEDULED ITEMS/8.3.2b 1\Extra-over for intermediate excavation. (Provisional Quantities)/\KS20_008-Concrete Drop Inlet. Drawing NBC-GTW-CL-0034 \m³\5.433924 \ 125" u="1"/>
        <s v="SABS1200 DA \EARTHWORKS (SMALL WORKS)/8.3\SCHEDULED ITEMS/8.3.2b 1\Extra-over for intermediate excavation. (Provisional Quantities)/\KS13_005-Concrete Drop Inlet. Drawing NBC-GTW-CL-0011 \m³\4.088154 \ 75" u="1"/>
        <s v="SABS1200 DA \EARTHWORKS (SMALL WORKS)/8.3\SCHEDULED ITEMS/8.3.2b 1\Extra-over for intermediate excavation. (Provisional Quantities)/\KS13_006-Concrete Drop Inlet. Drawing NBC-GTW-CL-0012 \m³\4.088154 \ 75" u="1"/>
        <s v="SABS1200 DA \EARTHWORKS (SMALL WORKS)/8.3\SCHEDULED ITEMS/8.3.2b 1\Extra-over for intermediate excavation. (Provisional Quantities)/\KS18_020-Concrete Drop Inlet associated with Road Culvert  \m³\1.000635 \ 125" u="1"/>
        <s v="SABS1200 DA \EARTHWORKS (SMALL WORKS)/8.3\SCHEDULED ITEMS/8.3.2b 1\Extra-over for intermediate excavation. (Provisional Quantities)/\ks11-004a-Concrete Drop Inlet on Dam Wall  \m³\26.46966 \ 75" u="1"/>
        <s v="SABS1200 DA \EARTHWORKS (SMALL WORKS)/8.3\SCHEDULED ITEMS/8.3.2b 1\Extra-over for intermediate excavation. (Provisional Quantities)/\KS13_015-Concrete Drop Inlet. Drawing NBC-GTW-CL-0018 \m³\4.589906 \ 75" u="1"/>
        <s v="SABS1200 DA \EARTHWORKS (SMALL WORKS)/8.3\SCHEDULED ITEMS/8.3.2b 1\Extra-over for intermediate excavation. (Provisional Quantities)/\KS13_004-Concrete Drop Inlet. Drawing NBC-GTW-CL-0010 \m³\3.2319 \ 75" u="1"/>
      </sharedItems>
    </cacheField>
    <cacheField name="bii)Excavation (Extra-over Hard Rock)3" numFmtId="0">
      <sharedItems count="55">
        <s v=" "/>
        <s v="SABS1200 DA \EARTHWORKS (SMALL WORKS)/8.3\SCHEDULED ITEMS/8.3.2b 2\Extra-over for hard rock. (Provisional Quantities)/\ks11-002a-Concrete Drop Inlet on Dam Wall  \m³\10.9657 \ 500"/>
        <s v="SABS1200 DA \EARTHWORKS (SMALL WORKS)/8.3\SCHEDULED ITEMS/8.3.2b 2\Extra-over for hard rock. (Provisional Quantities)/\ks11-004a-Concrete Drop Inlet on Dam Wall  \m³\14.235864 \ 500"/>
        <s v="SABS1200 DA \EARTHWORKS (SMALL WORKS)/8.3\SCHEDULED ITEMS/8.3.2b 2\Extra-over for hard rock. (Provisional Quantities)/\KS12_002-Concrete Drop Inlet. Drawing NBC-GTW-CL-0002 \m³\5.55 \ 500"/>
        <s v="SABS1200 DA \EARTHWORKS (SMALL WORKS)/8.3\SCHEDULED ITEMS/8.3.2b 2\Extra-over for hard rock. (Provisional Quantities)/\KS12_004-Concrete Drop Inlet. Drawing NBC-GTW-CL-0003 \m³\5.491665 \ 500"/>
        <s v="SABS1200 DA \EARTHWORKS (SMALL WORKS)/8.3\SCHEDULED ITEMS/8.3.2b 2\Extra-over for hard rock. (Provisional Quantities)/\KS12_005-Concrete Drop Inlet. Drawing NBC-GTW-CL-0004 \m³\5.46429303 \ 500"/>
        <s v="SABS1200 DA \EARTHWORKS (SMALL WORKS)/8.3\SCHEDULED ITEMS/8.3.2b 2\Extra-over for hard rock. (Provisional Quantities)/\KS12_006-Concrete Drop Inlet. Drawing NBC-GTW-CL-0005 \m³\4.79234625 \ 500"/>
        <s v="SABS1200 DA \EARTHWORKS (SMALL WORKS)/8.3\SCHEDULED ITEMS/8.3.2b 2\Extra-over for hard rock. (Provisional Quantities)/\KS12_007-Concrete Drop Inlet. Drawing NBC-GTW-CL-0006 \m³\7.09699875 \ 500"/>
        <s v="SABS1200 DA \EARTHWORKS (SMALL WORKS)/8.3\SCHEDULED ITEMS/8.3.2b 2\Extra-over for hard rock. (Provisional Quantities)/\KS12_008-Concrete Drop Inlet. Drawing NBC-GTW-CL-0007 \m³\4.9821135 \ 500"/>
        <s v="SABS1200 DA \EARTHWORKS (SMALL WORKS)/8.3\SCHEDULED ITEMS/8.3.2b 2\Extra-over for hard rock. (Provisional Quantities)/\KS12_009-Concrete Drop Inlet. Drawing NBC-GTW-CL-0008 \m³\3.219246 \ 500"/>
        <s v="SABS1200 DA \EARTHWORKS (SMALL WORKS)/8.3\SCHEDULED ITEMS/8.3.2b 2\Extra-over for hard rock. (Provisional Quantities)/\KS13_003-Concrete Drop Inlet. Drawing NBC-GTW-CL-0009 \m³\2.201625 \ 500"/>
        <s v="SABS1200 DA \EARTHWORKS (SMALL WORKS)/8.3\SCHEDULED ITEMS/8.3.2b 2\Extra-over for hard rock. (Provisional Quantities)/\KS19_002-Concrete Drop Inlet. Drawing NBC-GTW-CL-0026 \m³\1.9380019 \ 500"/>
        <s v="SABS1200 DA \EARTHWORKS (SMALL WORKS)/8.3\SCHEDULED ITEMS/8.3.2b 2\Extra-over for hard rock. (Provisional Quantities)/\KS20_001-Concrete Drop Inlet. Drawing NBC-GTW-CL-0027 \m³\2.5966635 \ 500"/>
        <s v="SABS1200 DA \EARTHWORKS (SMALL WORKS)/8.3\SCHEDULED ITEMS/8.3.2b 2\Extra-over for hard rock. (Provisional Quantities)/\KS21_001-10° sloped Grouted Pitching (Light). Drawing NBC-GTW-CL-0038 \m³\1 \ 500"/>
        <s v="SABS1200 DA \EARTHWORKS (SMALL WORKS)/8.3\SCHEDULED ITEMS/8.3.2b 2\Extra-over for hard rock. (Provisional Quantities)/\KS21_003-Concrete Drop Inlet. Drawing NBC-GTW-CL-0039 \m³\1.2893875 \ 500"/>
        <s v="SABS1200 DA \EARTHWORKS (SMALL WORKS)/8,3\SCHEDULED ITEMS/8.3.2b 2\Extra-over for hard rock. (Provisional Quantities)/\KS21_005-Concrete Drop Inlet. Drawing NBC-GTW-CL-0040 \m³\1,2893875 \ 500"/>
        <s v="SABS1200 DA \EARTHWORKS (SMALL WORKS)/8.3\SCHEDULED ITEMS/8.3.2b 2\Extra-over for hard rock. (Provisional Quantities)/\KS13_008-Concrete Drop Inlet. Drawing NBC-GTW-CL-0014 \m³\2.046984 \ 500" u="1"/>
        <s v="SABS1200 DA \EARTHWORKS (SMALL WORKS)/8.3\SCHEDULED ITEMS/8.3.2b 2\Extra-over for hard rock. (Provisional Quantities)/\KS13_011-Concrete Drop Inlet. Drawing NBC-GTW-CL-0015 \m³\1.94 \ 500" u="1"/>
        <s v="SABS1200 DA \EARTHWORKS (SMALL WORKS)/8.3\SCHEDULED ITEMS/8.3.2b 2\Extra-over for hard rock. (Provisional Quantities)/\KS20_007-Concrete Drop Inlet. Drawing NBC-GTW-CL-0033 \m³\2.80928015 \ 500" u="1"/>
        <s v="SABS1200 DA \EARTHWORKS (SMALL WORKS)/8.3\SCHEDULED ITEMS/8.3.2b 2\Extra-over for hard rock. (Provisional Quantities)/\KS12_004-Concrete Drop Inlet. Drawing NBC-GTW-CL-0003 \m³\1.830555 \ 500" u="1"/>
        <s v="SABS1200 DA \EARTHWORKS (SMALL WORKS)/8.3\SCHEDULED ITEMS/8.3.2b 2\Extra-over for hard rock. (Provisional Quantities)/\KS12_009-Concrete Drop Inlet. Drawing NBC-GTW-CL-0008 \m³\1.073082 \ 500" u="1"/>
        <s v="SABS1200 DA \EARTHWORKS (SMALL WORKS)/8.3\SCHEDULED ITEMS/8.3.2b 2\Extra-over for hard rock. (Provisional Quantities)/\KS18_019-Concrete Drop Inlet. Drawing NBC-GTW-CL-0025 \m³\1.805722 \ 500" u="1"/>
        <s v="SABS1200 DA \EARTHWORKS (SMALL WORKS)/8.3\SCHEDULED ITEMS/8.3.2b 2\Extra-over for hard rock. (Provisional Quantities)/\KS13_005-Concrete Drop Inlet. Drawing NBC-GTW-CL-0011 \m³\2.044077 \ 500" u="1"/>
        <s v="SABS1200 DA \EARTHWORKS (SMALL WORKS)/8.3\SCHEDULED ITEMS/8.3.2b 2\Extra-over for hard rock. (Provisional Quantities)/\KS13_006-Concrete Drop Inlet. Drawing NBC-GTW-CL-0012 \m³\2.044077 \ 500" u="1"/>
        <s v="SABS1200 DA \EARTHWORKS (SMALL WORKS)/8.3\SCHEDULED ITEMS/8.3.2b 2\Extra-over for hard rock. (Provisional Quantities)/\KS18_001-Concrete Drop Inlet. Drawing NBC-GTW-CL-0019 \m³\3.0743026 \ 500" u="1"/>
        <s v="SABS1200 DA \EARTHWORKS (SMALL WORKS)/8.3\SCHEDULED ITEMS/8.3.2b 2\Extra-over for hard rock. (Provisional Quantities)/\KS21_009-Concrete Drop Inlet. Drawing NBC-GTW-CL-0043 \m³\2.00992925 \ 500" u="1"/>
        <s v="SABS1200 DA \EARTHWORKS (SMALL WORKS)/8.3\SCHEDULED ITEMS/8.3.2b 2\Extra-over for hard rock. (Provisional Quantities)/\KS18_018-Concrete Drop Inlet. Drawing NBC-GTW-CL-0024 \m³\2.6162905 \ 500" u="1"/>
        <s v="SABS1200 DA \EARTHWORKS (SMALL WORKS)/8.3\SCHEDULED ITEMS/8.3.2b 2\Extra-over for hard rock. (Provisional Quantities)/\KS20_003-Concrete Buttress Weir. Drawing NBC-GTW-CL-0029 \m³\4.14785979 \ 500" u="1"/>
        <s v="SABS1200 DA \EARTHWORKS (SMALL WORKS)/8.3\SCHEDULED ITEMS/8.3.2b 2\Extra-over for hard rock. (Provisional Quantities)/\KS13_015-Concrete Drop Inlet. Drawing NBC-GTW-CL-0018 \m³\2.294953 \ 500" u="1"/>
        <s v="SABS1200 DA \EARTHWORKS (SMALL WORKS)/8.3\SCHEDULED ITEMS/8.3.2b 2\Extra-over for hard rock. (Provisional Quantities)/\KS12_005-Concrete Drop Inlet. Drawing NBC-GTW-CL-0004 \m³\1.82143101 \ 500" u="1"/>
        <s v="SABS1200 DA \EARTHWORKS (SMALL WORKS)/8.3\SCHEDULED ITEMS/8.3.2b 2\Extra-over for hard rock. (Provisional Quantities)/\KS13_013-Concrete Drop Inlet. Drawing NBC-GTW-CL-0017 \m³\1.89411 \ 500" u="1"/>
        <s v="SABS1200 DA \EARTHWORKS (SMALL WORKS)/8.3\SCHEDULED ITEMS/8.3.2b 2\Extra-over for hard rock. (Provisional Quantities)/\KS21_005-Concrete Drop Inlet. Drawing NBC-GTW-CL-0040 \m³\1.788611075 \ 500" u="1"/>
        <s v="SABS1200 DA \EARTHWORKS (SMALL WORKS)/8.3\SCHEDULED ITEMS/8.3.2b 2\Extra-over for hard rock. (Provisional Quantities)/\KS20_009_b-Concrete Overflow Wall. Drawing NBC-GTW-CL-0035 \m³\1.538375 \ 500" u="1"/>
        <s v="SABS1200 DA \EARTHWORKS (SMALL WORKS)/8.3\SCHEDULED ITEMS/8.3.2b 2\Extra-over for hard rock. (Provisional Quantities)/\KS12_002-Concrete Drop Inlet. Drawing NBC-GTW-CL-0002 \m³\1.85 \ 500" u="1"/>
        <s v="SABS1200 DA \EARTHWORKS (SMALL WORKS)/8.3\SCHEDULED ITEMS/8.3.2b 2\Extra-over for hard rock. (Provisional Quantities)/\KS21_001-10° sloped Grouted Pitching (Light). Drawing NBC-GTW-CL-0038 \m³\0.75 \ 500" u="1"/>
        <s v="SABS1200 DA \EARTHWORKS (SMALL WORKS)/8.3\SCHEDULED ITEMS/8.3.2b 2\Extra-over for hard rock. (Provisional Quantities)/\KS21_010-Concrete Drop Inlet. Drawing NBC-GTW-CL-0044 \m³\1.895520275 \ 500" u="1"/>
        <s v="SABS1200 DA \EARTHWORKS (SMALL WORKS)/8.3\SCHEDULED ITEMS/8.3.2b 2\Extra-over for hard rock. (Provisional Quantities)/\KS20_008-Concrete Drop Inlet. Drawing NBC-GTW-CL-0034 \m³\2.716962 \ 500" u="1"/>
        <s v="SABS1200 DA \EARTHWORKS (SMALL WORKS)/8.3\SCHEDULED ITEMS/8.3.2b 2\Extra-over for hard rock. (Provisional Quantities)/\KS18_002-Concrete Drop Inlet. Drawing NBC-GTW-CL-0020 \m³\1.61370325 \ 500" u="1"/>
        <s v="SABS1200 DA \EARTHWORKS (SMALL WORKS)/8.3\SCHEDULED ITEMS/8.3.2b 2\Extra-over for hard rock. (Provisional Quantities)/\KS20_006-Concrete Drop Inlet. Drawing NBC-GTW-CL-0032 \m³\2.77992325 \ 500" u="1"/>
        <s v="SABS1200 DA \EARTHWORKS (SMALL WORKS)/8.3\SCHEDULED ITEMS/8.3.2b 2\Extra-over for hard rock. (Provisional Quantities)/\KS20_002-Concrete Drop Inlet. Drawing NBC-GTW-CL-0028 \m³\3.0024845 \ 500" u="1"/>
        <s v="SABS1200 DA \EARTHWORKS (SMALL WORKS)/8.3\SCHEDULED ITEMS/8.3.2b 2\Extra-over for hard rock. (Provisional Quantities)/\KS21_006-Concrete Drop Inlet. Drawing NBC-GTW-CL-0041 \m³\1.597090125 \ 500" u="1"/>
        <s v="SABS1200 DA \EARTHWORKS (SMALL WORKS)/8.3\SCHEDULED ITEMS/8.3.2b 2\Extra-over for hard rock. (Provisional Quantities)/\KS20_004-Concrete Drop Inlet. Drawing NBC-GTW-CL-0030 \m³\2.1387293 \ 500" u="1"/>
        <s v="SABS1200 DA \EARTHWORKS (SMALL WORKS)/8.3\SCHEDULED ITEMS/8.3.2b 2\Extra-over for hard rock. (Provisional Quantities)/\KS13_007-Concrete Drop Inlet. Drawing NBC-GTW-CL-0013 \m³\1.799528 \ 500" u="1"/>
        <s v="SABS1200 DA \EARTHWORKS (SMALL WORKS)/8.3\SCHEDULED ITEMS/8.3.2b 2\Extra-over for hard rock. (Provisional Quantities)/\KS12_006-Concrete Drop Inlet. Drawing NBC-GTW-CL-0005 \m³\1.59744875 \ 500" u="1"/>
        <s v="SABS1200 DA \EARTHWORKS (SMALL WORKS)/8.3\SCHEDULED ITEMS/8.3.2b 2\Extra-over for hard rock. (Provisional Quantities)/\KS21_007-Concrete Drop Inlet. Drawing NBC-GTW-CL-0042 \m³\1.557449 \ 500" u="1"/>
        <s v="SABS1200 DA \EARTHWORKS (SMALL WORKS)/8.3\SCHEDULED ITEMS/8.3.2b 2\Extra-over for hard rock. (Provisional Quantities)/\KS13_004-Concrete Drop Inlet. Drawing NBC-GTW-CL-0010 \m³\1.61595 \ 500" u="1"/>
        <s v="SABS1200 DA \EARTHWORKS (SMALL WORKS)/8.3\SCHEDULED ITEMS/8.3.2b 2\Extra-over for hard rock. (Provisional Quantities)/\KS18_016-Concrete Drop Inlet. Drawing NBC-GTW-CL-0022 \m³\2.320508 \ 500" u="1"/>
        <s v="SABS1200 DA \EARTHWORKS (SMALL WORKS)/8.3\SCHEDULED ITEMS/8.3.2b 2\Extra-over for hard rock. (Provisional Quantities)/\KS18_015-Concrete Drop Inlet. Drawing NBC-GTW-CL-0021 \m³\2.858094 \ 500" u="1"/>
        <s v="SABS1200 DA \EARTHWORKS (SMALL WORKS)/8.3\SCHEDULED ITEMS/8.3.2b 2\Extra-over for hard rock. (Provisional Quantities)/\KS12_008-Concrete Drop Inlet. Drawing NBC-GTW-CL-0007 \m³\1.6607045 \ 500" u="1"/>
        <s v="SABS1200 DA \EARTHWORKS (SMALL WORKS)/8.3\SCHEDULED ITEMS/8.3.2b 2\Extra-over for hard rock. (Provisional Quantities)/\KS12_007-Concrete Drop Inlet. Drawing NBC-GTW-CL-0006 \m³\2.36566625 \ 500" u="1"/>
        <s v="SABS1200 DA \EARTHWORKS (SMALL WORKS)/8.3\SCHEDULED ITEMS/8.3.2b 2\Extra-over for hard rock. (Provisional Quantities)/\KS18_020-Concrete Drop Inlet associated with Road Culvert  \m³\1.9012065 \ 500" u="1"/>
        <s v="SABS1200 DA \EARTHWORKS (SMALL WORKS)/8.3\SCHEDULED ITEMS/8.3.2b 2\Extra-over for hard rock. (Provisional Quantities)/\KS13_012-Concrete Drop Inlet. Drawing NBC-GTW-CL-0016 \m³\1.49651125 \ 500" u="1"/>
        <s v="SABS1200 DA \EARTHWORKS (SMALL WORKS)/8.3\SCHEDULED ITEMS/8.3.2b 2\Extra-over for hard rock. (Provisional Quantities)/\KS18_017-Concrete Drop Inlet. Drawing NBC-GTW-CL-0023 \m³\2.179832 \ 500" u="1"/>
        <s v="SABS1200 DA \EARTHWORKS (SMALL WORKS)/8.3\SCHEDULED ITEMS/8.3.2b 2\Extra-over for hard rock. (Provisional Quantities)/\KS20_005-Concrete Drop Inlet. Drawing NBC-GTW-CL-0031 \m³\3.48293275 \ 500" u="1"/>
        <s v="SABS1200 DA \EARTHWORKS (SMALL WORKS)/8.3\SCHEDULED ITEMS/8.3.2b 2\Extra-over for hard rock. (Provisional Quantities)/\KS20_009_a-Concrete Buttress Weir. Drawing NBC-GTW-CL-0035 \m³\6.63785995 \ 500" u="1"/>
      </sharedItems>
    </cacheField>
    <cacheField name="Top Soiling" numFmtId="0">
      <sharedItems count="107" longText="1">
        <s v=" "/>
        <s v="SABS1200 DA \EARTHWORKS (SMALL WORKS)/8.3\SCHEDULED ITEMS/8.3.6\Top Soiling. Rate to allow for excavations from stockpiled top soil  and vegetation, transport, placement and spreading to a nominal depth of 150 mm./\DS12_001-Excavation of Dam Wall  \m²\1251.40232690631 \ 5"/>
        <s v="SABS1200 DA \EARTHWORKS (SMALL WORKS)/8.3\SCHEDULED ITEMS/8.3.6\Top Soiling. Rate to allow for excavations from stockpiled top soil  and vegetation, transport, placement and spreading to a nominal depth of 150 mm./\DS12_002-Backfilling Dam  \m²\995.487318191585 \ 5"/>
        <s v="SABS1200 DA \EARTHWORKS (SMALL WORKS)/8.3\SCHEDULED ITEMS/8.3.6\Top Soiling. Rate to allow for excavations from stockpiled top soil  and vegetation, transport, placement and spreading to a nominal depth of 150 mm./\DS12_003-Excavation of Dam Wall  \m²\621.569611479008 \ 5"/>
        <s v="SABS1200 DA \EARTHWORKS (SMALL WORKS)/8.3\SCHEDULED ITEMS/8.3.6\Top Soiling. Rate to allow for excavations from stockpiled top soil  and vegetation, transport, placement and spreading to a nominal depth of 150 mm./\ks11-002a-Concrete Drop Inlet on Dam Wall  \m²\31.8 \ 5"/>
        <s v="SABS1200 DA \EARTHWORKS (SMALL WORKS)/8.3\SCHEDULED ITEMS/8.3.6\Top Soiling. Rate to allow for excavations from stockpiled top soil  and vegetation, transport, placement and spreading to a nominal depth of 150 mm./\ks11-002c-Dam wall excavation. Drawing NBC-GTW-CL-0067 \m²\1870 \ 5"/>
        <s v="SABS1200 DA \EARTHWORKS (SMALL WORKS)/8.3\SCHEDULED ITEMS/8.3.6\Top Soiling. Rate to allow for excavations from stockpiled top soil  and vegetation, transport, placement and spreading to a nominal depth of 150 mm./\ks11-004a-Concrete Drop Inlet on Dam Wall  \m²\31.8 \ 5"/>
        <s v="SABS1200 DA \EARTHWORKS (SMALL WORKS)/8.3\SCHEDULED ITEMS/8.3.6\Top Soiling. Rate to allow for excavations from stockpiled top soil  and vegetation, transport, placement and spreading to a nominal depth of 150 mm./\ks11-004c-Dam wall excavation. Drawing NBC-GTW-CL-0068 \m²\1200 \ 5"/>
        <s v="SABS1200 DA \EARTHWORKS (SMALL WORKS)/8.3\SCHEDULED ITEMS/8.3.6\Top Soiling. Rate to allow for excavations from stockpiled top soil  and vegetation, transport, placement and spreading to a nominal depth of 150 mm./\KS12_002-Concrete Drop Inlet. Drawing NBC-GTW-CL-0002 \m²\30 \ 5"/>
        <s v="SABS1200 DA \EARTHWORKS (SMALL WORKS)/8.3\SCHEDULED ITEMS/8.3.6\Top Soiling. Rate to allow for excavations from stockpiled top soil  and vegetation, transport, placement and spreading to a nominal depth of 150 mm./\KS12_003-Removal of Berm and Dam Wall  \m²\1876.14315788985 \ 5"/>
        <s v="SABS1200 DA \EARTHWORKS (SMALL WORKS)/8.3\SCHEDULED ITEMS/8.3.6\Top Soiling. Rate to allow for excavations from stockpiled top soil  and vegetation, transport, placement and spreading to a nominal depth of 150 mm./\KS12_004-Concrete Drop Inlet. Drawing NBC-GTW-CL-0003 \m²\21.76 \ 5"/>
        <s v="SABS1200 DA \EARTHWORKS (SMALL WORKS)/8.3\SCHEDULED ITEMS/8.3.6\Top Soiling. Rate to allow for excavations from stockpiled top soil  and vegetation, transport, placement and spreading to a nominal depth of 150 mm./\KS12_005-Concrete Drop Inlet. Drawing NBC-GTW-CL-0004 \m²\21.92 \ 5"/>
        <s v="SABS1200 DA \EARTHWORKS (SMALL WORKS)/8.3\SCHEDULED ITEMS/8.3.6\Top Soiling. Rate to allow for excavations from stockpiled top soil  and vegetation, transport, placement and spreading to a nominal depth of 150 mm./\KS12_006-Concrete Drop Inlet. Drawing NBC-GTW-CL-0005 \m²\21.44 \ 5"/>
        <s v="SABS1200 DA \EARTHWORKS (SMALL WORKS)/8.3\SCHEDULED ITEMS/8.3.6\Top Soiling. Rate to allow for excavations from stockpiled top soil  and vegetation, transport, placement and spreading to a nominal depth of 150 mm./\KS12_007-Concrete Drop Inlet. Drawing NBC-GTW-CL-0006 \m²\21.92 \ 5"/>
        <s v="SABS1200 DA \EARTHWORKS (SMALL WORKS)/8.3\SCHEDULED ITEMS/8.3.6\Top Soiling. Rate to allow for excavations from stockpiled top soil  and vegetation, transport, placement and spreading to a nominal depth of 150 mm./\KS12_008-Concrete Drop Inlet. Drawing NBC-GTW-CL-0007 \m²\21.44 \ 5"/>
        <s v="SABS1200 DA \EARTHWORKS (SMALL WORKS)/8.3\SCHEDULED ITEMS/8.3.6\Top Soiling. Rate to allow for excavations from stockpiled top soil  and vegetation, transport, placement and spreading to a nominal depth of 150 mm./\KS12_009-Concrete Drop Inlet. Drawing NBC-GTW-CL-0008 \m²\21.44 \ 5"/>
        <s v="SABS1200 DA \EARTHWORKS (SMALL WORKS)/8.3\SCHEDULED ITEMS/8.3.6\Top Soiling. Rate to allow for excavations from stockpiled top soil  and vegetation, transport, placement and spreading to a nominal depth of 150 mm./\KS12_010-Removal of Dam Wall  \m²\619.185479905302 \ 5"/>
        <s v="SABS1200 DA \EARTHWORKS (SMALL WORKS)/8.3\SCHEDULED ITEMS/8.3.6\Top Soiling. Rate to allow for excavations from stockpiled top soil  and vegetation, transport, placement and spreading to a nominal depth of 150 mm./\KS13_001-Infilling of Drains  \m²\1148.93998599451 \ 5"/>
        <s v="SABS1200 DA \EARTHWORKS (SMALL WORKS)/8.3\SCHEDULED ITEMS/8.3.6\Top Soiling. Rate to allow for excavations from stockpiled top soil  and vegetation, transport, placement and spreading to a nominal depth of 150 mm./\KS13_002-Infilling of Drains  \m²\85.816653826392 \ 5"/>
        <s v="SABS1200 DA \EARTHWORKS (SMALL WORKS)/8.3\SCHEDULED ITEMS/8.3.6\Top Soiling. Rate to allow for excavations from stockpiled top soil  and vegetation, transport, placement and spreading to a nominal depth of 150 mm./\KS13_003-Concrete Drop Inlet. Drawing NBC-GTW-CL-0009 \m²\23.2 \ 5"/>
        <s v="SABS1200 DA \EARTHWORKS (SMALL WORKS)/8.3\SCHEDULED ITEMS/8.3.6\Top Soiling. Rate to allow for excavations from stockpiled top soil  and vegetation, transport, placement and spreading to a nominal depth of 150 mm./\KS13_009-Infilling of Drains  \m²\78.5716708603933 \ 5"/>
        <s v="SABS1200 DA \EARTHWORKS (SMALL WORKS)/8.3\SCHEDULED ITEMS/8.3.6\Top Soiling. Rate to allow for excavations from stockpiled top soil  and vegetation, transport, placement and spreading to a nominal depth of 150 mm./\KS13_010-Removal of Berm  \m²\1020.985 \ 5"/>
        <s v="SABS1200 DA \EARTHWORKS (SMALL WORKS)/8.3\SCHEDULED ITEMS/8.3.6\Top Soiling. Rate to allow for excavations from stockpiled top soil  and vegetation, transport, placement and spreading to a nominal depth of 150 mm./\KS13_014-Infilling of Drains  \m²\278.716598321288 \ 5"/>
        <s v="SABS1200 DA \EARTHWORKS (SMALL WORKS)/8.3\SCHEDULED ITEMS/8.3.6\Top Soiling. Rate to allow for excavations from stockpiled top soil  and vegetation, transport, placement and spreading to a nominal depth of 150 mm./\KS13_016-Infilling of Drains  \m²\332.18699875976 \ 5"/>
        <s v="SABS1200 DA \EARTHWORKS (SMALL WORKS)/8.3\SCHEDULED ITEMS/8.3.6\Top Soiling. Rate to allow for excavations from stockpiled top soil  and vegetation, transport, placement and spreading to a nominal depth of 150 mm./\KS13_017-Backfilling Main Channel  \m²\4680 \ 5"/>
        <s v="SABS1200 DA \EARTHWORKS (SMALL WORKS)/8.3\SCHEDULED ITEMS/8.3.6\Top Soiling. Rate to allow for excavations from stockpiled top soil  and vegetation, transport, placement and spreading to a nominal depth of 150 mm./\KS15_003-Removal of Dam Wall  \m²\619.289401121074 \ 5"/>
        <s v="SABS1200 DA \EARTHWORKS (SMALL WORKS)/8.3\SCHEDULED ITEMS/8.3.6\Top Soiling. Rate to allow for excavations from stockpiled top soil  and vegetation, transport, placement and spreading to a nominal depth of 150 mm./\KS15-002-Backfill Main Channel  \m²\3846.97837810187 \ 5"/>
        <s v="SABS1200 DA \EARTHWORKS (SMALL WORKS)/8.3\SCHEDULED ITEMS/8.3.6\Top Soiling. Rate to allow for excavations from stockpiled top soil  and vegetation, transport, placement and spreading to a nominal depth of 150 mm./\KS16_001-Earthen berm  \m²\494.873340531892 \ 5"/>
        <s v="SABS1200 DA \EARTHWORKS (SMALL WORKS)/8.3\SCHEDULED ITEMS/8.3.6\Top Soiling. Rate to allow for excavations from stockpiled top soil  and vegetation, transport, placement and spreading to a nominal depth of 150 mm./\KS16_002-Excavate Dam Wall  \m²\283.947757718744 \ 5"/>
        <s v="SABS1200 DA \EARTHWORKS (SMALL WORKS)/8.3\SCHEDULED ITEMS/8.3.6\Top Soiling. Rate to allow for excavations from stockpiled top soil  and vegetation, transport, placement and spreading to a nominal depth of 150 mm./\KS16_004-Earthen berm  \m²\480 \ 5"/>
        <s v="SABS1200 DA \EARTHWORKS (SMALL WORKS)/8.3\SCHEDULED ITEMS/8.3.6\Top Soiling. Rate to allow for excavations from stockpiled top soil  and vegetation, transport, placement and spreading to a nominal depth of 150 mm./\KS18-021-Backfill Main Channel  \m²\3294.95 \ 5"/>
        <s v="SABS1200 DA \EARTHWORKS (SMALL WORKS)/8.3\SCHEDULED ITEMS/8.3.6\Top Soiling. Rate to allow for excavations from stockpiled top soil  and vegetation, transport, placement and spreading to a nominal depth of 150 mm./\KS19_002-Concrete Drop Inlet. Drawing NBC-GTW-CL-0026 \m²\20.96 \ 5"/>
        <s v="SABS1200 DA \EARTHWORKS (SMALL WORKS)/8.3\SCHEDULED ITEMS/8.3.6\Top Soiling. Rate to allow for excavations from stockpiled top soil  and vegetation, transport, placement and spreading to a nominal depth of 150 mm./\KS19_006-Removal of Dam Wall  \m²\3134.04 \ 5"/>
        <s v="SABS1200 DA \EARTHWORKS (SMALL WORKS)/8.3\SCHEDULED ITEMS/8.3.6\Top Soiling. Rate to allow for excavations from stockpiled top soil  and vegetation, transport, placement and spreading to a nominal depth of 150 mm./\KS19_007-Infilling of Drains  \m²\179.7515 \ 5"/>
        <s v="SABS1200 DA \EARTHWORKS (SMALL WORKS)/8.3\SCHEDULED ITEMS/8.3.6\Top Soiling. Rate to allow for excavations from stockpiled top soil  and vegetation, transport, placement and spreading to a nominal depth of 150 mm./\KS20_001-Concrete Drop Inlet. Drawing NBC-GTW-CL-0027 \m²\23.52 \ 5"/>
        <s v="SABS1200 DA \EARTHWORKS (SMALL WORKS)/8.3\SCHEDULED ITEMS/8.3.6\Top Soiling. Rate to allow for excavations from stockpiled top soil  and vegetation, transport, placement and spreading to a nominal depth of 150 mm./\KS20_009_b-Concrete Check Wall. Drawing NBC-GTW-CL-0035 \m²\60 \ 5"/>
        <s v="SABS1200 DA \EARTHWORKS (SMALL WORKS)/8,3\SCHEDULED ITEMS/8.3.6\Top Soiling. Rate to allow for excavations from stockpiled top soil  and vegetation, transport, placement and spreading to a nominal depth of 150 mm./\KS20_009_c-Removal of Earthen Berm. Drawing NBC-GTW-CL-0035 \m²\69 \ 5"/>
        <s v="SABS1200 DA \EARTHWORKS (SMALL WORKS)/8.3\SCHEDULED ITEMS/8.3.6\Top Soiling. Rate to allow for excavations from stockpiled top soil  and vegetation, transport, placement and spreading to a nominal depth of 150 mm./\KS20_011-Backfilling Main Channel  \m²\6700 \ 5"/>
        <s v="SABS1200 DA \EARTHWORKS (SMALL WORKS)/8.3\SCHEDULED ITEMS/8.3.6\Top Soiling. Rate to allow for excavations from stockpiled top soil  and vegetation, transport, placement and spreading to a nominal depth of 150 mm./\KS21_003-Concrete Drop Inlet. Drawing NBC-GTW-CL-0039 \m²\22.24 \ 5"/>
        <s v="SABS1200 DA \EARTHWORKS (SMALL WORKS)/8,3\SCHEDULED ITEMS/8.3.6\Top Soiling. Rate to allow for excavations from stockpiled top soil  and vegetation, transport, placement and spreading to a nominal depth of 150 mm./\KS21_005-Concrete Drop Inlet. Drawing NBC-GTW-CL-0040 \m²\22,24 \ 5"/>
        <s v="SABS1200 DA \EARTHWORKS (SMALL WORKS)/8,3\SCHEDULED ITEMS/8.3.6\Top Soiling. Rate to allow for excavations from stockpiled top soil  and vegetation, transport, placement and spreading to a nominal depth of 150 mm./\KS21-010-Backfilling Main Channel. Drawing No Drawing \m²\2320,5501703847 \ 5"/>
        <s v="SABS1200 DA \EARTHWORKS (SMALL WORKS)/8,3\SCHEDULED ITEMS/8.3.6\Top Soiling. Rate to allow for excavations from stockpiled top soil  and vegetation, transport, placement and spreading to a nominal depth of 150 mm./\KS21-002-Earthworks  \m²\850 \ 5"/>
        <s v="SABS1200 DA \EARTHWORKS (SMALL WORKS)/8,3\SCHEDULED ITEMS/8.3.6\Top Soiling. Rate to allow for excavations from stockpiled top soil  and vegetation, transport, placement and spreading to a nominal depth of 150 mm./\KS21-004-Infilling of drain  \m²\111 \ 5"/>
        <s v="SABS1200 DA \EARTHWORKS (SMALL WORKS)/8,3\SCHEDULED ITEMS/8.3.6\Top Soiling. Rate to allow for excavations from stockpiled top soil  and vegetation, transport, placement and spreading to a nominal depth of 150 mm./\KS21-008-Infilling of drain  \m²\129,2 \ 5"/>
        <s v="SABS1200 DA \EARTHWORKS (SMALL WORKS)/8.3\SCHEDULED ITEMS/8.3.6\Top Soiling. Rate to allow for excavations from stockpiled top soil  and vegetation, transport, placement and spreading to a nominal depth of 150 mm./\LS08_001-Removal of Berm  \m²\148.532778078669 \ 5"/>
        <s v="SABS1200 DA \EARTHWORKS (SMALL WORKS)/8.3\SCHEDULED ITEMS/8.3.6\Top Soiling. Rate to allow for excavations from stockpiled top soil  and vegetation, transport, placement and spreading to a nominal depth of 150 mm./\LS12_001-Removal of dam wall  \m²\2917.70393453744 \ 5"/>
        <s v="SABS1200 DA \EARTHWORKS (SMALL WORKS)/8.3\SCHEDULED ITEMS/8.3.6\Top Soiling. Rate to allow for excavations from stockpiled top soil  and vegetation, transport, placement and spreading to a nominal depth of 150 mm./\LS12_002-Removal of Berm  \m²\76 \ 5"/>
        <s v="SABS1200 DA \EARTHWORKS (SMALL WORKS)/8.3\SCHEDULED ITEMS/8.3.6\Top Soiling. Rate to allow for excavations from stockpiled top soil  and vegetation, transport, placement and spreading to a nominal depth of 150 mm./\LS16_012-Removal of Road  \m²\360 \ 5"/>
        <s v="SABS1200 DA \EARTHWORKS (SMALL WORKS)/8.3\SCHEDULED ITEMS/8.3.6\Top Soiling. Rate to allow for excavations from stockpiled top soil  and vegetation, transport, placement and spreading to a nominal depth of 150 mm./\LS16_015-Earthworks (Reinforce Dam Wall)  \m²\567 \ 5"/>
        <s v="SABS1200 DA \EARTHWORKS (SMALL WORKS)/8.3\SCHEDULED ITEMS/8.3.6\Top Soiling. Rate to allow for excavations from stockpiled top soil  and vegetation, transport, placement and spreading to a nominal depth of 150 mm./\LS16_020-Removal of Road  \m²\1782 \ 5"/>
        <s v="SABS1200 DA \EARTHWORKS (SMALL WORKS)/8.3\SCHEDULED ITEMS/8.3.6\Top Soiling. Rate to allow for excavations from stockpiled top soil  and vegetation, transport, placement and spreading to a nominal depth of 150 mm./\LS16_021-Backfill Main Channel and reshaping  \m²\6032.31 \ 5"/>
        <s v="SABS1200 DA \EARTHWORKS (SMALL WORKS)/8.3\SCHEDULED ITEMS/8.3.6\Top Soiling. Rate to allow for excavations from stockpiled top soil  and vegetation, transport, placement and spreading to a nominal depth of 150 mm./\Pan09_001-Removal of Dam Wall  \m²\594 \ 5"/>
        <s v="SABS1200 DA \EARTHWORKS (SMALL WORKS)/8.3\SCHEDULED ITEMS/8.3.6\Top Soiling. Rate to allow for excavations from stockpiled top soil  and vegetation, transport, placement and spreading to a nominal depth of 150 mm./\Pan14_004-Infilling of Drains  \m²\180 \ 5"/>
        <s v="SABS1200 DA \EARTHWORKS (SMALL WORKS)/8.3\SCHEDULED ITEMS/8.3.6\Top Soiling. Rate to allow for excavations from stockpiled top soil  and vegetation, transport, placement and spreading to a nominal depth of 150 mm./\Pan14_005-Infilling of Drains  \m²\450 \ 5"/>
        <s v="SABS1200 DA \EARTHWORKS (SMALL WORKS)/8.3\SCHEDULED ITEMS/8.3.6\Top Soiling. Rate to allow for excavations from stockpiled top soil  and vegetation, transport, placement and spreading to a nominal depth of 150 mm./\Pan14_006-Earthen Berms  \m²\190.755332217041 \ 5"/>
        <s v="SABS1200 DA \EARTHWORKS (SMALL WORKS)/8.3\SCHEDULED ITEMS/8.3.6\Top Soiling. Rate to allow for excavations from stockpiled top soil  and vegetation, transport, placement and spreading to a nominal depth of 150 mm./\Pan14_007-Infilling of Drains  \m²\76 \ 5"/>
        <s v="SABS1200 DA \EARTHWORKS (SMALL WORKS)/8.3\SCHEDULED ITEMS/8.3.6\Top Soiling. Rate to allow for excavations from stockpiled top soil  and vegetation, transport, placement and spreading to a nominal depth of 150 mm./\Pan14_008-Infilling of Drains  \m²\108 \ 5"/>
        <s v="SABS1200 DA \EARTHWORKS (SMALL WORKS)/8.3\SCHEDULED ITEMS/8.3.6\Top Soiling. Rate to allow for excavations from stockpiled top soil  and vegetation, transport, placement and spreading to a nominal depth of 150 mm./\Pan14_009-Infilling of Drains  \m²\78.4 \ 5"/>
        <s v="SABS1200 DA \EARTHWORKS (SMALL WORKS)/8.3\SCHEDULED ITEMS/8.3.6\Top Soiling. Rate to allow for excavations from stockpiled top soil  and vegetation, transport, placement and spreading to a nominal depth of 150 mm./\Pan14_011-Infilling of Drains  \m²\4365 \ 5"/>
        <s v="SABS1200 DA \EARTHWORKS (SMALL WORKS)/8.3\SCHEDULED ITEMS/8.3.6\Top Soiling. Rate to allow for excavations from stockpiled top soil  and vegetation, transport, placement and spreading to a nominal depth of 150 mm./\Pan14-001-Reinstate Pan Edge  \m²\360 \ 5"/>
        <s v="SABS1200 DA \EARTHWORKS (SMALL WORKS)/8.3\SCHEDULED ITEMS/8.3.6\Top Soiling. Rate to allow for excavations from stockpiled top soil  and vegetation, transport, placement and spreading to a nominal depth of 150 mm./\Pan14-002-Remove Berm  \m²\198 \ 5"/>
        <s v="SABS1200 DA \EARTHWORKS (SMALL WORKS)/8.3\SCHEDULED ITEMS/8.3.6\Top Soiling. Rate to allow for excavations from stockpiled top soil  and vegetation, transport, placement and spreading to a nominal depth of 150 mm./\Pan14-003-Remove berm and backfill drain  \m²\2365 \ 5"/>
        <s v="SABS1200 DA \EARTHWORKS (SMALL WORKS)/8.3\SCHEDULED ITEMS/8.3.6\Top Soiling. Rate to allow for excavations from stockpiled top soil  and vegetation, transport, placement and spreading to a nominal depth of 150 mm./\Pan8_001-Foreign Materials  \m²\54 \ 5"/>
        <s v="SABS1200 DA \EARTHWORKS (SMALL WORKS)/8.3\SCHEDULED ITEMS/8.3.6\Top Soiling. Rate to allow for excavations from stockpiled top soil  and vegetation, transport, placement and spreading to a nominal depth of 150 mm./\Pan8_002-Infilling of Drains  \m²\320 \ 5"/>
        <s v="SABS1200 DA \EARTHWORKS (SMALL WORKS)/8.3\SCHEDULED ITEMS/8.3.6\Top Soiling. Rate to allow for excavations from stockpiled top soil  and vegetation, transport, placement and spreading to a nominal depth of 150 mm./\Pan8_004-Removal of Berm  \m²\18 \ 5"/>
        <s v="SABS1200 DA \EARTHWORKS (SMALL WORKS)/8.3\SCHEDULED ITEMS/8.3.6\Top Soiling. Rate to allow for excavations from stockpiled top soil  and vegetation, transport, placement and spreading to a nominal depth of 150 mm./\KS20_009_a-Concrete Buttress Weir. Drawing NBC-GTW-CL-0035 \m²\25.88 \ 5" u="1"/>
        <s v="SABS1200 DA \EARTHWORKS (SMALL WORKS)/8.3\SCHEDULED ITEMS/8.3.6\Top Soiling. Rate to allow for excavations from stockpiled top soil  and vegetation, transport, placement and spreading to a nominal depth of 150 mm./\KS20_002-Concrete Drop Inlet. Drawing NBC-GTW-CL-0028 \m²\24.48 \ 5" u="1"/>
        <s v="SABS1200 DA \EARTHWORKS (SMALL WORKS)/8.3\SCHEDULED ITEMS/8.3.6\Top Soiling. Rate to allow for excavations from stockpiled top soil  and vegetation, transport, placement and spreading to a nominal depth of 150 mm./\KS21_009-Concrete Drop Inlet. Drawing NBC-GTW-CL-0043 \m²\21.92 \ 5" u="1"/>
        <s v="SABS1200 DA \EARTHWORKS (SMALL WORKS)/8.3\SCHEDULED ITEMS/8.3.6\Top Soiling. Rate to allow for excavations from stockpiled top soil  and vegetation, transport, placement and spreading to a nominal depth of 150 mm./\KS21_010-Concrete Drop Inlet. Drawing NBC-GTW-CL-0044 \m²\21.92 \ 5" u="1"/>
        <s v="SABS1200 DA \EARTHWORKS (SMALL WORKS)/8.3\SCHEDULED ITEMS/8.3.6\Top Soiling. Rate to allow for excavations from stockpiled top soil  and vegetation, transport, placement and spreading to a nominal depth of 150 mm./\KS16_001-Infilling of Drains  \m²\494.873340531892 \ 5" u="1"/>
        <s v="SABS1200 DA \EARTHWORKS (SMALL WORKS)/8.3\SCHEDULED ITEMS/8.3.6\Top Soiling. Rate to allow for excavations from stockpiled top soil  and vegetation, transport, placement and spreading to a nominal depth of 150 mm./\KS18_015-Concrete Drop Inlet. Drawing NBC-GTW-CL-0021 \m²\23.68 \ 5" u="1"/>
        <s v="SABS1200 DA \EARTHWORKS (SMALL WORKS)/8.3\SCHEDULED ITEMS/8.3.6\Top Soiling. Rate to allow for excavations from stockpiled top soil  and vegetation, transport, placement and spreading to a nominal depth of 150 mm./\KS20_011-Backfilling Main Channel  \m²\3229.25 \ 5" u="1"/>
        <s v="SABS1200 DA \EARTHWORKS (SMALL WORKS)/8.3\SCHEDULED ITEMS/8.3.6\Top Soiling. Rate to allow for excavations from stockpiled top soil  and vegetation, transport, placement and spreading to a nominal depth of 150 mm./\KS13_011-Concrete Drop Inlet. Drawing NBC-GTW-CL-0015 \m²\22.88 \ 5" u="1"/>
        <s v="SABS1200 DA \EARTHWORKS (SMALL WORKS)/8.3\SCHEDULED ITEMS/8.3.6\Top Soiling. Rate to allow for excavations from stockpiled top soil  and vegetation, transport, placement and spreading to a nominal depth of 150 mm./\KS20_007-Concrete Drop Inlet. Drawing NBC-GTW-CL-0033 \m²\23.04 \ 5" u="1"/>
        <s v="SABS1200 DA \EARTHWORKS (SMALL WORKS)/8.3\SCHEDULED ITEMS/8.3.6\Top Soiling. Rate to allow for excavations from stockpiled top soil  and vegetation, transport, placement and spreading to a nominal depth of 150 mm./\KS13_007-Concrete Drop Inlet. Drawing NBC-GTW-CL-0013 \m²\22.24 \ 5" u="1"/>
        <s v="SABS1200 DA \EARTHWORKS (SMALL WORKS)/8.3\SCHEDULED ITEMS/8.3.6\Top Soiling. Rate to allow for excavations from stockpiled top soil  and vegetation, transport, placement and spreading to a nominal depth of 150 mm./\KS13_008-Concrete Drop Inlet. Drawing NBC-GTW-CL-0014 \m²\22.24 \ 5" u="1"/>
        <s v="SABS1200 DA \EARTHWORKS (SMALL WORKS)/8.3\SCHEDULED ITEMS/8.3.6\Top Soiling. Rate to allow for excavations from stockpiled top soil  and vegetation, transport, placement and spreading to a nominal depth of 150 mm./\KS18_019-Concrete Drop Inlet. Drawing NBC-GTW-CL-0025 \m²\22.24 \ 5" u="1"/>
        <s v="SABS1200 DA \EARTHWORKS (SMALL WORKS)/8.3\SCHEDULED ITEMS/8.3.6\Top Soiling. Rate to allow for excavations from stockpiled top soil  and vegetation, transport, placement and spreading to a nominal depth of 150 mm./\KS18_001-Concrete Drop Inlet. Drawing NBC-GTW-CL-0019 \m²\23.84 \ 5" u="1"/>
        <s v="SABS1200 DA \EARTHWORKS (SMALL WORKS)/8.3\SCHEDULED ITEMS/8.3.6\Top Soiling. Rate to allow for excavations from stockpiled top soil  and vegetation, transport, placement and spreading to a nominal depth of 150 mm./\KS18-014-Concrete Filled Geo-Cell Berm. Drawing NBC-GTW-CL-0001 \m²\31.75 \ 5" u="1"/>
        <s v="SABS1200 DA \EARTHWORKS (SMALL WORKS)/8.3\SCHEDULED ITEMS/8.3.6\Top Soiling. Rate to allow for excavations from stockpiled top soil  and vegetation, transport, placement and spreading to a nominal depth of 150 mm./\KS18_020-Concrete Drop Inlet associated with Road Culvert  \m²\22.384 \ 5" u="1"/>
        <s v="SABS1200 DA \EARTHWORKS (SMALL WORKS)/8.3\SCHEDULED ITEMS/8.3.6\Top Soiling. Rate to allow for excavations from stockpiled top soil  and vegetation, transport, placement and spreading to a nominal depth of 150 mm./\KS20_009_b-Concrete Overflow Wall. Drawing NBC-GTW-CL-0035 \m²\50 \ 5" u="1"/>
        <s v="SABS1200 DA \EARTHWORKS (SMALL WORKS)/8.3\SCHEDULED ITEMS/8.3.6\Top Soiling. Rate to allow for excavations from stockpiled top soil  and vegetation, transport, placement and spreading to a nominal depth of 150 mm./\KS18_002-Concrete Drop Inlet. Drawing NBC-GTW-CL-0020 \m²\17.52 \ 5" u="1"/>
        <s v="SABS1200 DA \EARTHWORKS (SMALL WORKS)/8.3\SCHEDULED ITEMS/8.3.6\Top Soiling. Rate to allow for excavations from stockpiled top soil  and vegetation, transport, placement and spreading to a nominal depth of 150 mm./\ks18-021-Backfill Main Channel  \m²\5083 \ 5" u="1"/>
        <s v="SABS1200 DA \EARTHWORKS (SMALL WORKS)/8.3\SCHEDULED ITEMS/8.3.6\Top Soiling. Rate to allow for excavations from stockpiled top soil  and vegetation, transport, placement and spreading to a nominal depth of 150 mm./\KS21-008-Infilling of Drain  \m²\129.2 \ 5" u="1"/>
        <s v="SABS1200 DA \EARTHWORKS (SMALL WORKS)/8.3\SCHEDULED ITEMS/8.3.6\Top Soiling. Rate to allow for excavations from stockpiled top soil  and vegetation, transport, placement and spreading to a nominal depth of 150 mm./\KS13_012-Concrete Drop Inlet. Drawing NBC-GTW-CL-0016 \m²\23.2 \ 5" u="1"/>
        <s v="SABS1200 DA \EARTHWORKS (SMALL WORKS)/8.3\SCHEDULED ITEMS/8.3.6\Top Soiling. Rate to allow for excavations from stockpiled top soil  and vegetation, transport, placement and spreading to a nominal depth of 150 mm./\KS20_008-Concrete Drop Inlet. Drawing NBC-GTW-CL-0034 \m²\23.2 \ 5" u="1"/>
        <s v="SABS1200 DA \EARTHWORKS (SMALL WORKS)/8.3\SCHEDULED ITEMS/8.3.6\Top Soiling. Rate to allow for excavations from stockpiled top soil  and vegetation, transport, placement and spreading to a nominal depth of 150 mm./\KS18_016-Concrete Drop Inlet. Drawing NBC-GTW-CL-0022 \m²\23.36 \ 5" u="1"/>
        <s v="SABS1200 DA \EARTHWORKS (SMALL WORKS)/8.3\SCHEDULED ITEMS/8.3.6\Top Soiling. Rate to allow for excavations from stockpiled top soil  and vegetation, transport, placement and spreading to a nominal depth of 150 mm./\KS18_017-Concrete Drop Inlet. Drawing NBC-GTW-CL-0023 \m²\23.36 \ 5" u="1"/>
        <s v="SABS1200 DA \EARTHWORKS (SMALL WORKS)/8.3\SCHEDULED ITEMS/8.3.6\Top Soiling. Rate to allow for excavations from stockpiled top soil  and vegetation, transport, placement and spreading to a nominal depth of 150 mm./\KS18_018-Concrete Drop Inlet. Drawing NBC-GTW-CL-0024 \m²\23.36 \ 5" u="1"/>
        <s v="SABS1200 DA \EARTHWORKS (SMALL WORKS)/8.3\SCHEDULED ITEMS/8.3.6\Top Soiling. Rate to allow for excavations from stockpiled top soil  and vegetation, transport, placement and spreading to a nominal depth of 150 mm./\KS20_004-Concrete Drop Inlet. Drawing NBC-GTW-CL-0030 \m²\23.36 \ 5" u="1"/>
        <s v="SABS1200 DA \EARTHWORKS (SMALL WORKS)/8.3\SCHEDULED ITEMS/8.3.6\Top Soiling. Rate to allow for excavations from stockpiled top soil  and vegetation, transport, placement and spreading to a nominal depth of 150 mm./\KS20_005-Concrete Drop Inlet. Drawing NBC-GTW-CL-0031 \m²\23.36 \ 5" u="1"/>
        <s v="SABS1200 DA \EARTHWORKS (SMALL WORKS)/8.3\SCHEDULED ITEMS/8.3.6\Top Soiling. Rate to allow for excavations from stockpiled top soil  and vegetation, transport, placement and spreading to a nominal depth of 150 mm./\KS20_006-Concrete Drop Inlet. Drawing NBC-GTW-CL-0032 \m²\23.36 \ 5" u="1"/>
        <s v="SABS1200 DA \EARTHWORKS (SMALL WORKS)/8.3\SCHEDULED ITEMS/8.3.6\Top Soiling. Rate to allow for excavations from stockpiled top soil  and vegetation, transport, placement and spreading to a nominal depth of 150 mm./\KS13_004-Concrete Drop Inlet. Drawing NBC-GTW-CL-0010 \m²\22.4 \ 5" u="1"/>
        <s v="SABS1200 DA \EARTHWORKS (SMALL WORKS)/8.3\SCHEDULED ITEMS/8.3.6\Top Soiling. Rate to allow for excavations from stockpiled top soil  and vegetation, transport, placement and spreading to a nominal depth of 150 mm./\KS13_013-Concrete Drop Inlet. Drawing NBC-GTW-CL-0017 \m²\22.56 \ 5" u="1"/>
        <s v="SABS1200 DA \EARTHWORKS (SMALL WORKS)/8.3\SCHEDULED ITEMS/8.3.6\Top Soiling. Rate to allow for excavations from stockpiled top soil  and vegetation, transport, placement and spreading to a nominal depth of 150 mm./\KS13_015-Concrete Drop Inlet. Drawing NBC-GTW-CL-0018 \m²\22.56 \ 5" u="1"/>
        <s v="SABS1200 DA \EARTHWORKS (SMALL WORKS)/8.3\SCHEDULED ITEMS/8.3.6\Top Soiling. Rate to allow for excavations from stockpiled top soil  and vegetation, transport, placement and spreading to a nominal depth of 150 mm./\KS21-002-Earthworks  \m²\850 \ 5" u="1"/>
        <s v="SABS1200 DA \EARTHWORKS (SMALL WORKS)/8.3\SCHEDULED ITEMS/8.3.6\Top Soiling. Rate to allow for excavations from stockpiled top soil  and vegetation, transport, placement and spreading to a nominal depth of 150 mm./\KS21_006-Concrete Drop Inlet. Drawing NBC-GTW-CL-0041 \m²\21.6 \ 5" u="1"/>
        <s v="SABS1200 DA \EARTHWORKS (SMALL WORKS)/8.3\SCHEDULED ITEMS/8.3.6\Top Soiling. Rate to allow for excavations from stockpiled top soil  and vegetation, transport, placement and spreading to a nominal depth of 150 mm./\KS21_007-Concrete Drop Inlet. Drawing NBC-GTW-CL-0042 \m²\21.6 \ 5" u="1"/>
        <s v="SABS1200 DA \EARTHWORKS (SMALL WORKS)/8.3\SCHEDULED ITEMS/8.3.6\Top Soiling. Rate to allow for excavations from stockpiled top soil  and vegetation, transport, placement and spreading to a nominal depth of 150 mm./\KS13_005-Concrete Drop Inlet. Drawing NBC-GTW-CL-0011 \m²\21.76 \ 5" u="1"/>
        <s v="SABS1200 DA \EARTHWORKS (SMALL WORKS)/8.3\SCHEDULED ITEMS/8.3.6\Top Soiling. Rate to allow for excavations from stockpiled top soil  and vegetation, transport, placement and spreading to a nominal depth of 150 mm./\KS13_006-Concrete Drop Inlet. Drawing NBC-GTW-CL-0012 \m²\21.76 \ 5" u="1"/>
        <s v="SABS1200 DA \EARTHWORKS (SMALL WORKS)/8.3\SCHEDULED ITEMS/8.3.6\Top Soiling. Rate to allow for excavations from stockpiled top soil  and vegetation, transport, placement and spreading to a nominal depth of 150 mm./\KS21_005-Concrete Drop Inlet. Drawing NBC-GTW-CL-0040 \m²\21.76 \ 5" u="1"/>
        <s v="SABS1200 DA \EARTHWORKS (SMALL WORKS)/8.3\SCHEDULED ITEMS/8.3.6\Top Soiling. Rate to allow for excavations from stockpiled top soil  and vegetation, transport, placement and spreading to a nominal depth of 150 mm./\ks18-021-Backfill Main Channel  \m²\5930 \ 5" u="1"/>
        <s v="SABS1200 DA \EARTHWORKS (SMALL WORKS)/8.3\SCHEDULED ITEMS/8.3.6\Top Soiling. Rate to allow for excavations from stockpiled top soil  and vegetation, transport, placement and spreading to a nominal depth of 150 mm./\KS20_009_c-Earthen Berm. Drawing NBC-GTW-CL-0035 \m²\69 \ 5" u="1"/>
        <s v="SABS1200 DA \EARTHWORKS (SMALL WORKS)/8.3\SCHEDULED ITEMS/8.3.6\Top Soiling. Rate to allow for excavations from stockpiled top soil  and vegetation, transport, placement and spreading to a nominal depth of 150 mm./\KS21-004-Earthworks  \m²\111 \ 5" u="1"/>
        <s v="SABS1200 DA \EARTHWORKS (SMALL WORKS)/8.3\SCHEDULED ITEMS/8.3.6\Top Soiling. Rate to allow for excavations from stockpiled top soil  and vegetation, transport, placement and spreading to a nominal depth of 150 mm./\KS16_004-Infilling of Drains  \m²\480 \ 5" u="1"/>
        <s v="SABS1200 DA \EARTHWORKS (SMALL WORKS)/8.3\SCHEDULED ITEMS/8.3.6\Top Soiling. Rate to allow for excavations from stockpiled top soil  and vegetation, transport, placement and spreading to a nominal depth of 150 mm./\KS13_017-Backfilling Main Channel  \m²\3375.75 \ 5" u="1"/>
        <s v="SABS1200 DA \EARTHWORKS (SMALL WORKS)/8.3\SCHEDULED ITEMS/8.3.6\Top Soiling. Rate to allow for excavations from stockpiled top soil  and vegetation, transport, placement and spreading to a nominal depth of 150 mm./\KS20_003-Concrete Buttress Weir. Drawing NBC-GTW-CL-0029 \m²\26.68 \ 5" u="1"/>
      </sharedItems>
    </cacheField>
    <cacheField name="Grassing or other Vegetation Cover" numFmtId="0">
      <sharedItems count="176" longText="1">
        <s v="SABS1200 DA \EARTHWORKS (SMALL WORKS)/8.3\SCHEDULED ITEMS/8.3.7\Grassing or other Vegetation Cover. Rate to allow for the supply of indigenous veld grass seed mix from commercial sources, seeding, raking and maintaining until established./\DS12_004-Removal of earthen material  \m²\626.368 \ 10"/>
        <s v="SABS1200 DA \EARTHWORKS (SMALL WORKS)/8.3\SCHEDULED ITEMS/8.3.7\Grassing or other Vegetation Cover. Rate to allow for the supply of indigenous veld grass seed mix from commercial sources, seeding, raking and maintaining until established./\DS12_001-Excavation of Dam Wall  \m²\1251.4 \ 10"/>
        <s v="SABS1200 DA \EARTHWORKS (SMALL WORKS)/8.3\SCHEDULED ITEMS/8.3.7\Grassing or other Vegetation Cover. Rate to allow for the supply of indigenous veld grass seed mix from commercial sources, seeding, raking and maintaining until established./\DS12_002-Backfilling Dam  \m²\995.487318191585 \ 10"/>
        <s v="SABS1200 DA \EARTHWORKS (SMALL WORKS)/8.3\SCHEDULED ITEMS/8.3.7\Grassing or other Vegetation Cover. Rate to allow for the supply of indigenous veld grass seed mix from commercial sources, seeding, raking and maintaining until established./\DS12_003-Excavation of Dam Wall  \m²\621.57 \ 10"/>
        <s v=" "/>
        <s v="SABS1200 DA \EARTHWORKS (SMALL WORKS)/8.3\SCHEDULED ITEMS/8.3.7\Grassing or other Vegetation Cover. Rate to allow for the supply of indigenous veld grass seed mix from commercial sources, seeding, raking and maintaining until established./\ks11-002a-Concrete Drop Inlet on Dam Wall  \m²\31.8 \ 10"/>
        <s v="SABS1200 DA \EARTHWORKS (SMALL WORKS)/8.3\SCHEDULED ITEMS/8.3.7\Grassing or other Vegetation Cover. Rate to allow for the supply of indigenous veld grass seed mix from commercial sources, seeding, raking and maintaining until established./\ks11-002c-Dam wall excavation. Drawing NBC-GTW-CL-0067 \m²\1870 \ 10"/>
        <s v="SABS1200 DA \EARTHWORKS (SMALL WORKS)/8.3\SCHEDULED ITEMS/8.3.7\Grassing or other Vegetation Cover. Rate to allow for the supply of indigenous veld grass seed mix from commercial sources, seeding, raking and maintaining until established./\ks11-003-Backfilling Dam to Create Wetland  \m²\17400 \ 10"/>
        <s v="SABS1200 DA \EARTHWORKS (SMALL WORKS)/8.3\SCHEDULED ITEMS/8.3.7\Grassing or other Vegetation Cover. Rate to allow for the supply of indigenous veld grass seed mix from commercial sources, seeding, raking and maintaining until established./\ks11-004a-Concrete Drop Inlet on Dam Wall  \m²\31.8 \ 10"/>
        <s v="SABS1200 DA \EARTHWORKS (SMALL WORKS)/8.3\SCHEDULED ITEMS/8.3.7\Grassing or other Vegetation Cover. Rate to allow for the supply of indigenous veld grass seed mix from commercial sources, seeding, raking and maintaining until established./\ks11-004c-Dam wall excavation. Drawing NBC-GTW-CL-0068 \m²\1200 \ 10"/>
        <s v="SABS1200 DA \EARTHWORKS (SMALL WORKS)/8.3\SCHEDULED ITEMS/8.3.7\Grassing or other Vegetation Cover. Rate to allow for the supply of indigenous veld grass seed mix from commercial sources, seeding, raking and maintaining until established./\ks11-005-Backfilling Dam to Create Wetland  \m²\38200 \ 10"/>
        <s v="SABS1200 DA \EARTHWORKS (SMALL WORKS)/8.3\SCHEDULED ITEMS/8.3.7\Grassing or other Vegetation Cover. Rate to allow for the supply of indigenous veld grass seed mix from commercial sources, seeding, raking and maintaining until established./\KS12_002-Concrete Drop Inlet. Drawing NBC-GTW-CL-0002 \m²\30 \ 10"/>
        <s v="SABS1200 DA \EARTHWORKS (SMALL WORKS)/8.3\SCHEDULED ITEMS/8.3.7\Grassing or other Vegetation Cover. Rate to allow for the supply of indigenous veld grass seed mix from commercial sources, seeding, raking and maintaining until established./\KS12_003-Removal of Berm and Dam Wall  \m²\1876.14315788985 \ 10"/>
        <s v="SABS1200 DA \EARTHWORKS (SMALL WORKS)/8.3\SCHEDULED ITEMS/8.3.7\Grassing or other Vegetation Cover. Rate to allow for the supply of indigenous veld grass seed mix from commercial sources, seeding, raking and maintaining until established./\KS12_004-Concrete Drop Inlet. Drawing NBC-GTW-CL-0003 \m²\21.76 \ 10"/>
        <s v="SABS1200 DA \EARTHWORKS (SMALL WORKS)/8.3\SCHEDULED ITEMS/8.3.7\Grassing or other Vegetation Cover. Rate to allow for the supply of indigenous veld grass seed mix from commercial sources, seeding, raking and maintaining until established./\KS12_005-Concrete Drop Inlet. Drawing NBC-GTW-CL-0004 \m²\21.92 \ 10"/>
        <s v="SABS1200 DA \EARTHWORKS (SMALL WORKS)/8.3\SCHEDULED ITEMS/8.3.7\Grassing or other Vegetation Cover. Rate to allow for the supply of indigenous veld grass seed mix from commercial sources, seeding, raking and maintaining until established./\KS12_006-Concrete Drop Inlet. Drawing NBC-GTW-CL-0005 \m²\21.44 \ 10"/>
        <s v="SABS1200 DA \EARTHWORKS (SMALL WORKS)/8.3\SCHEDULED ITEMS/8.3.7\Grassing or other Vegetation Cover. Rate to allow for the supply of indigenous veld grass seed mix from commercial sources, seeding, raking and maintaining until established./\KS12_007-Concrete Drop Inlet. Drawing NBC-GTW-CL-0006 \m²\21.92 \ 10"/>
        <s v="SABS1200 DA \EARTHWORKS (SMALL WORKS)/8.3\SCHEDULED ITEMS/8.3.7\Grassing or other Vegetation Cover. Rate to allow for the supply of indigenous veld grass seed mix from commercial sources, seeding, raking and maintaining until established./\KS12_008-Concrete Drop Inlet. Drawing NBC-GTW-CL-0007 \m²\21.44 \ 10"/>
        <s v="SABS1200 DA \EARTHWORKS (SMALL WORKS)/8.3\SCHEDULED ITEMS/8.3.7\Grassing or other Vegetation Cover. Rate to allow for the supply of indigenous veld grass seed mix from commercial sources, seeding, raking and maintaining until established./\KS12_009-Concrete Drop Inlet. Drawing NBC-GTW-CL-0008 \m²\21.44 \ 10"/>
        <s v="SABS1200 DA \EARTHWORKS (SMALL WORKS)/8.3\SCHEDULED ITEMS/8.3.7\Grassing or other Vegetation Cover. Rate to allow for the supply of indigenous veld grass seed mix from commercial sources, seeding, raking and maintaining until established./\KS12_010-Removal of Dam Wall  \m²\619.185479905302 \ 10"/>
        <s v="SABS1200 DA \EARTHWORKS (SMALL WORKS)/8.3\SCHEDULED ITEMS/8.3.7\Grassing or other Vegetation Cover. Rate to allow for the supply of indigenous veld grass seed mix from commercial sources, seeding, raking and maintaining until established./\KS13_003-Concrete Drop Inlet. Drawing NBC-GTW-CL-0009 \m²\23.2 \ 10"/>
        <s v="SABS1200 DA \EARTHWORKS (SMALL WORKS)/8.3\SCHEDULED ITEMS/8.3.7\Grassing or other Vegetation Cover. Rate to allow for the supply of indigenous veld grass seed mix from commercial sources, seeding, raking and maintaining until established./\KS13_009-Infilling of Drains  \m²\78.5716708603933 \ 10"/>
        <s v="SABS1200 DA \EARTHWORKS (SMALL WORKS)/8.3\SCHEDULED ITEMS/8.3.7\Grassing or other Vegetation Cover. Rate to allow for the supply of indigenous veld grass seed mix from commercial sources, seeding, raking and maintaining until established./\KS13_010-Removal of Berm  \m²\1020.985 \ 10"/>
        <s v="SABS1200 DA \EARTHWORKS (SMALL WORKS)/8.3\SCHEDULED ITEMS/8.3.7\Grassing or other Vegetation Cover. Rate to allow for the supply of indigenous veld grass seed mix from commercial sources, seeding, raking and maintaining until established./\KS13_014-Infilling of Drains  \m²\278.716598321288 \ 10"/>
        <s v="SABS1200 DA \EARTHWORKS (SMALL WORKS)/8.3\SCHEDULED ITEMS/8.3.7\Grassing or other Vegetation Cover. Rate to allow for the supply of indigenous veld grass seed mix from commercial sources, seeding, raking and maintaining until established./\KS13_016-Infilling of Drains  \m²\332.18699875976 \ 10"/>
        <s v="SABS1200 DA \EARTHWORKS (SMALL WORKS)/8.3\SCHEDULED ITEMS/8.3.7\Grassing or other Vegetation Cover. Rate to allow for the supply of indigenous veld grass seed mix from commercial sources, seeding, raking and maintaining until established./\KS13_017-Backfilling Main Channel  \m²\4680 \ 10"/>
        <s v="SABS1200 DA \EARTHWORKS (SMALL WORKS)/8.3\SCHEDULED ITEMS/8.3.7\Grassing or other Vegetation Cover. Rate to allow for the supply of indigenous veld grass seed mix from commercial sources, seeding, raking and maintaining until established./\KS15_003-Removal of Dam Wall  \m²\619.289401121074 \ 10"/>
        <s v="SABS1200 DA \EARTHWORKS (SMALL WORKS)/8.3\SCHEDULED ITEMS/8.3.7\Grassing or other Vegetation Cover. Rate to allow for the supply of indigenous veld grass seed mix from commercial sources, seeding, raking and maintaining until established./\KS15-002-Backfill Main Channel  \m²\3846.97837810187 \ 10"/>
        <s v="SABS1200 DA \EARTHWORKS (SMALL WORKS)/8.3\SCHEDULED ITEMS/8.3.7\Grassing or other Vegetation Cover. Rate to allow for the supply of indigenous veld grass seed mix from commercial sources, seeding, raking and maintaining until established./\KS16_001-Earthen berm  \m²\494.873340531892 \ 10"/>
        <s v="SABS1200 DA \EARTHWORKS (SMALL WORKS)/8.3\SCHEDULED ITEMS/8.3.7\Grassing or other Vegetation Cover. Rate to allow for the supply of indigenous veld grass seed mix from commercial sources, seeding, raking and maintaining until established./\KS16_002-Excavate Dam Wall  \m²\283.947757718744 \ 10"/>
        <s v="SABS1200 DA \EARTHWORKS (SMALL WORKS)/8.3\SCHEDULED ITEMS/8.3.7\Grassing or other Vegetation Cover. Rate to allow for the supply of indigenous veld grass seed mix from commercial sources, seeding, raking and maintaining until established./\KS16_004-Earthen berm  \m²\480 \ 10"/>
        <s v="SABS1200 DA \EARTHWORKS (SMALL WORKS)/8.3\SCHEDULED ITEMS/8.3.7\Grassing or other Vegetation Cover. Rate to allow for the supply of indigenous veld grass seed mix from commercial sources, seeding, raking and maintaining until established./\KS18-021-Backfill Main Channel  \m²\3294.95 \ 10"/>
        <s v="SABS1200 DA \EARTHWORKS (SMALL WORKS)/8.3\SCHEDULED ITEMS/8.3.7\Grassing or other Vegetation Cover. Rate to allow for the supply of indigenous veld grass seed mix from commercial sources, seeding, raking and maintaining until established./\KS19_002-Concrete Drop Inlet. Drawing NBC-GTW-CL-0026 \m²\20.96 \ 10"/>
        <s v="SABS1200 DA \EARTHWORKS (SMALL WORKS)/8.3\SCHEDULED ITEMS/8.3.7\Grassing or other Vegetation Cover. Rate to allow for the supply of indigenous veld grass seed mix from commercial sources, seeding, raking and maintaining until established./\KS19_006-Removal of Dam Wall  \m²\3134.04 \ 10"/>
        <s v="SABS1200 DA \EARTHWORKS (SMALL WORKS)/8.3\SCHEDULED ITEMS/8.3.7\Grassing or other Vegetation Cover. Rate to allow for the supply of indigenous veld grass seed mix from commercial sources, seeding, raking and maintaining until established./\KS19_007-Infilling of Drains  \m²\179.7515 \ 10"/>
        <s v="SABS1200 DA \EARTHWORKS (SMALL WORKS)/8.3\SCHEDULED ITEMS/8.3.7\Grassing or other Vegetation Cover. Rate to allow for the supply of indigenous veld grass seed mix from commercial sources, seeding, raking and maintaining until established./\KS20_001-Concrete Drop Inlet. Drawing NBC-GTW-CL-0027 \m²\23.52 \ 10"/>
        <s v="SABS1200 DA \EARTHWORKS (SMALL WORKS)/8.3\SCHEDULED ITEMS/8.3.7\Grassing or other Vegetation Cover. Rate to allow for the supply of indigenous veld grass seed mix from commercial sources, seeding, raking and maintaining until established./\KS20_009_b-Concrete Check Wall. Drawing NBC-GTW-CL-0035 \m²\60 \ 10"/>
        <s v="SABS1200 DA \EARTHWORKS (SMALL WORKS)/8,3\SCHEDULED ITEMS/8.3.7\Grassing or other Vegetation Cover. Rate to allow for the supply of indigenous veld grass seed mix from commercial sources, seeding, raking and maintaining until established./\KS20_009_c-Removal of Earthen Berm. Drawing NBC-GTW-CL-0035 \m²\69 \ 10"/>
        <s v="SABS1200 DA \EARTHWORKS (SMALL WORKS)/8.3\SCHEDULED ITEMS/8.3.7\Grassing or other Vegetation Cover. Rate to allow for the supply of indigenous veld grass seed mix from commercial sources, seeding, raking and maintaining until established./\KS20_011-Backfilling Main Channel  \m²\6700 \ 10"/>
        <s v="SABS1200 DA \EARTHWORKS (SMALL WORKS)/8.3\SCHEDULED ITEMS/8.3.7\Grassing or other Vegetation Cover. Rate to allow for the supply of indigenous veld grass seed mix from commercial sources, seeding, raking and maintaining until established./\KS21_003-Concrete Drop Inlet. Drawing NBC-GTW-CL-0039 \m²\22.24 \ 10"/>
        <s v="SABS1200 DA \EARTHWORKS (SMALL WORKS)/8,3\SCHEDULED ITEMS/8.3.7\Grassing or other Vegetation Cover. Rate to allow for the supply of indigenous veld grass seed mix from commercial sources, seeding, raking and maintaining until established./\KS21_005-Concrete Drop Inlet. Drawing NBC-GTW-CL-0040 \m²\22,24 \ 10"/>
        <s v="SABS1200 DA \EARTHWORKS (SMALL WORKS)/8,3\SCHEDULED ITEMS/8.3.7\Grassing or other Vegetation Cover. Rate to allow for the supply of indigenous veld grass seed mix from commercial sources, seeding, raking and maintaining until established./\KS21-010-Backfilling Main Channel. Drawing No Drawing \m²\2320,5501703847 \ 10"/>
        <s v="SABS1200 DA \EARTHWORKS (SMALL WORKS)/8,3\SCHEDULED ITEMS/8.3.7\Grassing or other Vegetation Cover. Rate to allow for the supply of indigenous veld grass seed mix from commercial sources, seeding, raking and maintaining until established./\KS21-002-Earthworks  \m²\850 \ 10"/>
        <s v="SABS1200 DA \EARTHWORKS (SMALL WORKS)/8,3\SCHEDULED ITEMS/8.3.7\Grassing or other Vegetation Cover. Rate to allow for the supply of indigenous veld grass seed mix from commercial sources, seeding, raking and maintaining until established./\KS21-004-Infilling of drain  \m²\111 \ 10"/>
        <s v="SABS1200 DA \EARTHWORKS (SMALL WORKS)/8,3\SCHEDULED ITEMS/8.3.7\Grassing or other Vegetation Cover. Rate to allow for the supply of indigenous veld grass seed mix from commercial sources, seeding, raking and maintaining until established./\KS21-008-Infilling of drain  \m²\129,2 \ 10"/>
        <s v="SABS1200 DA \EARTHWORKS (SMALL WORKS)/8.3\SCHEDULED ITEMS/8.3.7\Grassing or other Vegetation Cover. Rate to allow for the supply of indigenous veld grass seed mix from commercial sources, seeding, raking and maintaining until established./\LS08_001-Removal of Berm  \m²\148.532778078669 \ 10"/>
        <s v="SABS1200 DA \EARTHWORKS (SMALL WORKS)/8.3\SCHEDULED ITEMS/8.3.7\Grassing or other Vegetation Cover. Rate to allow for the supply of indigenous veld grass seed mix from commercial sources, seeding, raking and maintaining until established./\LS12_001-Removal of dam wall  \m²\2917.70393453744 \ 10"/>
        <s v="SABS1200 DA \EARTHWORKS (SMALL WORKS)/8.3\SCHEDULED ITEMS/8.3.7\Grassing or other Vegetation Cover. Rate to allow for the supply of indigenous veld grass seed mix from commercial sources, seeding, raking and maintaining until established./\LS12_002-Removal of Berm  \m²\76 \ 10"/>
        <s v="SABS1200 DA \EARTHWORKS (SMALL WORKS)/8.3\SCHEDULED ITEMS/8.3.7\Grassing or other Vegetation Cover. Rate to allow for the supply of indigenous veld grass seed mix from commercial sources, seeding, raking and maintaining until established./\LS16_012-Removal of Road  \m²\360 \ 10"/>
        <s v="SABS1200 DA \EARTHWORKS (SMALL WORKS)/8.3\SCHEDULED ITEMS/8.3.7\Grassing or other Vegetation Cover. Rate to allow for the supply of indigenous veld grass seed mix from commercial sources, seeding, raking and maintaining until established./\LS16_015-Earthworks (Reinforce Dam Wall)  \m²\567 \ 10"/>
        <s v="SABS1200 DA \EARTHWORKS (SMALL WORKS)/8.3\SCHEDULED ITEMS/8.3.7\Grassing or other Vegetation Cover. Rate to allow for the supply of indigenous veld grass seed mix from commercial sources, seeding, raking and maintaining until established./\LS16_020-Removal of Road  \m²\1782 \ 10"/>
        <s v="SABS1200 DA \EARTHWORKS (SMALL WORKS)/8.3\SCHEDULED ITEMS/8.3.7\Grassing or other Vegetation Cover. Rate to allow for the supply of indigenous veld grass seed mix from commercial sources, seeding, raking and maintaining until established./\LS16_021-Backfill Main Channel and reshaping  \m²\6032.31 \ 10"/>
        <s v="SABS1200 DA \EARTHWORKS (SMALL WORKS)/8.3\SCHEDULED ITEMS/8.3.7\Grassing or other Vegetation Cover. Rate to allow for the supply of indigenous veld grass seed mix from commercial sources, seeding, raking and maintaining until established./\Pan09_001-Removal of Dam Wall  \m²\594 \ 10"/>
        <s v="SABS1200 DA \EARTHWORKS (SMALL WORKS)/8.3\SCHEDULED ITEMS/8.3.7\Grassing or other Vegetation Cover. Rate to allow for the supply of indigenous veld grass seed mix from commercial sources, seeding, raking and maintaining until established./\Pan14_004-Infilling of Drains  \m²\180 \ 10"/>
        <s v="SABS1200 DA \EARTHWORKS (SMALL WORKS)/8.3\SCHEDULED ITEMS/8.3.7\Grassing or other Vegetation Cover. Rate to allow for the supply of indigenous veld grass seed mix from commercial sources, seeding, raking and maintaining until established./\Pan14_005-Infilling of Drains  \m²\450 \ 10"/>
        <s v="SABS1200 DA \EARTHWORKS (SMALL WORKS)/8.3\SCHEDULED ITEMS/8.3.7\Grassing or other Vegetation Cover. Rate to allow for the supply of indigenous veld grass seed mix from commercial sources, seeding, raking and maintaining until established./\Pan14_006-Earthen Berms  \m²\190.755332217041 \ 10"/>
        <s v="SABS1200 DA \EARTHWORKS (SMALL WORKS)/8.3\SCHEDULED ITEMS/8.3.7\Grassing or other Vegetation Cover. Rate to allow for the supply of indigenous veld grass seed mix from commercial sources, seeding, raking and maintaining until established./\Pan14_007-Infilling of Drains  \m²\76 \ 10"/>
        <s v="SABS1200 DA \EARTHWORKS (SMALL WORKS)/8.3\SCHEDULED ITEMS/8.3.7\Grassing or other Vegetation Cover. Rate to allow for the supply of indigenous veld grass seed mix from commercial sources, seeding, raking and maintaining until established./\Pan14_008-Infilling of Drains  \m²\108 \ 10"/>
        <s v="SABS1200 DA \EARTHWORKS (SMALL WORKS)/8.3\SCHEDULED ITEMS/8.3.7\Grassing or other Vegetation Cover. Rate to allow for the supply of indigenous veld grass seed mix from commercial sources, seeding, raking and maintaining until established./\Pan14_009-Infilling of Drains  \m²\78.4 \ 10"/>
        <s v="SABS1200 DA \EARTHWORKS (SMALL WORKS)/8.3\SCHEDULED ITEMS/8.3.7\Grassing or other Vegetation Cover. Rate to allow for the supply of indigenous veld grass seed mix from commercial sources, seeding, raking and maintaining until established./\Pan14_010-Infilling of Drains  \m²\3437.5 \ 10"/>
        <s v="SABS1200 DA \EARTHWORKS (SMALL WORKS)/8.3\SCHEDULED ITEMS/8.3.7\Grassing or other Vegetation Cover. Rate to allow for the supply of indigenous veld grass seed mix from commercial sources, seeding, raking and maintaining until established./\Pan14_011-Infilling of Drains  \m²\4365 \ 10"/>
        <s v="SABS1200 DA \EARTHWORKS (SMALL WORKS)/8.3\SCHEDULED ITEMS/8.3.7\Grassing or other Vegetation Cover. Rate to allow for the supply of indigenous veld grass seed mix from commercial sources, seeding, raking and maintaining until established./\Pan14-001-Reinstate Pan Edge  \m²\360 \ 10"/>
        <s v="SABS1200 DA \EARTHWORKS (SMALL WORKS)/8.3\SCHEDULED ITEMS/8.3.7\Grassing or other Vegetation Cover. Rate to allow for the supply of indigenous veld grass seed mix from commercial sources, seeding, raking and maintaining until established./\Pan14-002-Remove Berm  \m²\198 \ 10"/>
        <s v="SABS1200 DA \EARTHWORKS (SMALL WORKS)/8.3\SCHEDULED ITEMS/8.3.7\Grassing or other Vegetation Cover. Rate to allow for the supply of indigenous veld grass seed mix from commercial sources, seeding, raking and maintaining until established./\Pan14-003-Remove berm and backfill drain  \m²\2365 \ 10"/>
        <s v="SABS1200 DA \EARTHWORKS (SMALL WORKS)/8.3\SCHEDULED ITEMS/8.3.7\Grassing or other Vegetation Cover. Rate to allow for the supply of indigenous veld grass seed mix from commercial sources, seeding, raking and maintaining until established./\Pan8_001-Foreign Materials  \m²\54 \ 10"/>
        <s v="SABS1200 DA \EARTHWORKS (SMALL WORKS)/8.3\SCHEDULED ITEMS/8.3.7\Grassing or other Vegetation Cover. Rate to allow for the supply of indigenous veld grass seed mix from commercial sources, seeding, raking and maintaining until established./\Pan8_002-Infilling of Drains  \m²\320 \ 10"/>
        <s v="SABS1200 DA \EARTHWORKS (SMALL WORKS)/8.3\SCHEDULED ITEMS/8.3.7\Grassing or other Vegetation Cover. Rate to allow for the supply of indigenous veld grass seed mix from commercial sources, seeding, raking and maintaining until established./\Pan8_004-Removal of Berm  \m²\18 \ 10"/>
        <s v="SABS1200 DA \EARTHWORKS (SMALL WORKS)/8.3\SCHEDULED ITEMS/8.3.7\Grassing or other Vegetation Cover. Rate to allow for the supply of indigenous veld grass seed mix from commercial sources, seeding, raking and maintaining until established./\KS18_015-Concrete Drop Inlet. Drawing NBC-GTW-CL-0021 \m²\23.68 \ 5" u="1"/>
        <s v="SABS1200 DA \EARTHWORKS (SMALL WORKS)/8.3\SCHEDULED ITEMS/8.3.7\Grassing or other Vegetation Cover. Rate to allow for the supply of indigenous veld grass seed mix from commercial sources, seeding, raking and maintaining until established./\KS21_009-Concrete Drop Inlet. Drawing NBC-GTW-CL-0043 \m²\21.92 \ 10" u="1"/>
        <s v="SABS1200 DA \EARTHWORKS (SMALL WORKS)/8.3\SCHEDULED ITEMS/8.3.7\Grassing or other Vegetation Cover. Rate to allow for the supply of indigenous veld grass seed mix from commercial sources, seeding, raking and maintaining until established./\KS21_010-Concrete Drop Inlet. Drawing NBC-GTW-CL-0044 \m²\21.92 \ 10" u="1"/>
        <s v="SABS1200 DA \EARTHWORKS (SMALL WORKS)/8.3\SCHEDULED ITEMS/8.3.7\Grassing or other Vegetation Cover. Rate to allow for the supply of indigenous veld grass seed mix from commercial sources, seeding, raking and maintaining until established./\Pan14_010-Infilling of Drains  \m²\3437.5 \ 5" u="1"/>
        <s v="SABS1200 DA \EARTHWORKS (SMALL WORKS)/8.3\SCHEDULED ITEMS/8.3.7\Grassing or other Vegetation Cover. Rate to allow for the supply of indigenous veld grass seed mix from commercial sources, seeding, raking and maintaining until established./\KS13_013-Concrete Drop Inlet. Drawing NBC-GTW-CL-0017 \m²\22.56 \ 5" u="1"/>
        <s v="SABS1200 DA \EARTHWORKS (SMALL WORKS)/8.3\SCHEDULED ITEMS/8.3.7\Grassing or other Vegetation Cover. Rate to allow for the supply of indigenous veld grass seed mix from commercial sources, seeding, raking and maintaining until established./\KS13_015-Concrete Drop Inlet. Drawing NBC-GTW-CL-0018 \m²\22.56 \ 5" u="1"/>
        <s v="SABS1200 DA \EARTHWORKS (SMALL WORKS)/8.3\SCHEDULED ITEMS/8.3.7\Grassing or other Vegetation Cover. Rate to allow for the supply of indigenous veld grass seed mix from commercial sources, seeding, raking and maintaining until established./\DS12_002-Backfilling Dam  \m²\995.487318191585 \ 5" u="1"/>
        <s v="SABS1200 DA \EARTHWORKS (SMALL WORKS)/8.3\SCHEDULED ITEMS/8.3.7\Grassing or other Vegetation Cover. Rate to allow for the supply of indigenous veld grass seed mix from commercial sources, seeding, raking and maintaining until established./\KS12_006-Concrete Drop Inlet. Drawing NBC-GTW-CL-0005 \m²\21.44 \ 5" u="1"/>
        <s v="SABS1200 DA \EARTHWORKS (SMALL WORKS)/8.3\SCHEDULED ITEMS/8.3.7\Grassing or other Vegetation Cover. Rate to allow for the supply of indigenous veld grass seed mix from commercial sources, seeding, raking and maintaining until established./\KS12_008-Concrete Drop Inlet. Drawing NBC-GTW-CL-0007 \m²\21.44 \ 5" u="1"/>
        <s v="SABS1200 DA \EARTHWORKS (SMALL WORKS)/8.3\SCHEDULED ITEMS/8.3.7\Grassing or other Vegetation Cover. Rate to allow for the supply of indigenous veld grass seed mix from commercial sources, seeding, raking and maintaining until established./\KS12_009-Concrete Drop Inlet. Drawing NBC-GTW-CL-0008 \m²\21.44 \ 5" u="1"/>
        <s v="SABS1200 DA \EARTHWORKS (SMALL WORKS)/8.3\SCHEDULED ITEMS/8.3.7\Grassing or other Vegetation Cover. Rate to allow for the supply of indigenous veld grass seed mix from commercial sources, seeding, raking and maintaining until established./\KS20_001-Concrete Drop Inlet. Drawing NBC-GTW-CL-0027 \m²\23.52 \ 5" u="1"/>
        <s v="SABS1200 DA \EARTHWORKS (SMALL WORKS)/8.3\SCHEDULED ITEMS/8.3.7\Grassing or other Vegetation Cover. Rate to allow for the supply of indigenous veld grass seed mix from commercial sources, seeding, raking and maintaining until established./\KS21-002-Earthworks  \m²\850 \ 5" u="1"/>
        <s v="SABS1200 DA \EARTHWORKS (SMALL WORKS)/8.3\SCHEDULED ITEMS/8.3.7\Grassing or other Vegetation Cover. Rate to allow for the supply of indigenous veld grass seed mix from commercial sources, seeding, raking and maintaining until established./\KS21-004-Earthworks  \m²\111 \ 10" u="1"/>
        <s v="SABS1200 DA \EARTHWORKS (SMALL WORKS)/8.3\SCHEDULED ITEMS/8.3.7\Grassing or other Vegetation Cover. Rate to allow for the supply of indigenous veld grass seed mix from commercial sources, seeding, raking and maintaining until established./\Pan14-003-Remove berm and backfill drain  \m²\2365 \ 5" u="1"/>
        <s v="SABS1200 DA \EARTHWORKS (SMALL WORKS)/8.3\SCHEDULED ITEMS/8.3.7\Grassing or other Vegetation Cover. Rate to allow for the supply of indigenous veld grass seed mix from commercial sources, seeding, raking and maintaining until established./\Pan14-001-Reinstate Pan Edge  \m²\360 \ 5" u="1"/>
        <s v="SABS1200 DA \EARTHWORKS (SMALL WORKS)/8.3\SCHEDULED ITEMS/8.3.7\Grassing or other Vegetation Cover. Rate to allow for the supply of indigenous veld grass seed mix from commercial sources, seeding, raking and maintaining until established./\KS20_009_b-Concrete Overflow Wall. Drawing NBC-GTW-CL-0035 \m²\50 \ 10" u="1"/>
        <s v="SABS1200 DA \EARTHWORKS (SMALL WORKS)/8.3\SCHEDULED ITEMS/8.3.7\Grassing or other Vegetation Cover. Rate to allow for the supply of indigenous veld grass seed mix from commercial sources, seeding, raking and maintaining until established./\KS16_002-Excavate Dam Wall  \m²\283.947757718744 \ 5" u="1"/>
        <s v="SABS1200 DA \EARTHWORKS (SMALL WORKS)/8.3\SCHEDULED ITEMS/8.3.7\Grassing or other Vegetation Cover. Rate to allow for the supply of indigenous veld grass seed mix from commercial sources, seeding, raking and maintaining until established./\KS21_005-Concrete Drop Inlet. Drawing NBC-GTW-CL-0040 \m²\21.76 \ 10" u="1"/>
        <s v="SABS1200 DA \EARTHWORKS (SMALL WORKS)/8.3\SCHEDULED ITEMS/8.3.7\Grassing or other Vegetation Cover. Rate to allow for the supply of indigenous veld grass seed mix from commercial sources, seeding, raking and maintaining until established./\KS18_001-Concrete Drop Inlet. Drawing NBC-GTW-CL-0019 \m²\23.84 \ 10" u="1"/>
        <s v="SABS1200 DA \EARTHWORKS (SMALL WORKS)/8.3\SCHEDULED ITEMS/8.3.7\Grassing or other Vegetation Cover. Rate to allow for the supply of indigenous veld grass seed mix from commercial sources, seeding, raking and maintaining until established./\KS20_002-Concrete Drop Inlet. Drawing NBC-GTW-CL-0028 \m²\24.48 \ 5" u="1"/>
        <s v="SABS1200 DA \EARTHWORKS (SMALL WORKS)/8.3\SCHEDULED ITEMS/8.3.7\Grassing or other Vegetation Cover. Rate to allow for the supply of indigenous veld grass seed mix from commercial sources, seeding, raking and maintaining until established./\KS20_009_a-Concrete Buttress Weir. Drawing NBC-GTW-CL-0035 \m²\25.88 \ 10" u="1"/>
        <s v="SABS1200 DA \EARTHWORKS (SMALL WORKS)/8.3\SCHEDULED ITEMS/8.3.7\Grassing or other Vegetation Cover. Rate to allow for the supply of indigenous veld grass seed mix from commercial sources, seeding, raking and maintaining until established./\LS12_001-Removal of dam wall  \m²\2917.70393453744 \ 5" u="1"/>
        <s v="SABS1200 DA \EARTHWORKS (SMALL WORKS)/8.3\SCHEDULED ITEMS/8.3.7\Grassing or other Vegetation Cover. Rate to allow for the supply of indigenous veld grass seed mix from commercial sources, seeding, raking and maintaining until established./\KS16_001-Infilling of Drains  \m²\494.873340531892 \ 10" u="1"/>
        <s v="SABS1200 DA \EARTHWORKS (SMALL WORKS)/8.3\SCHEDULED ITEMS/8.3.7\Grassing or other Vegetation Cover. Rate to allow for the supply of indigenous veld grass seed mix from commercial sources, seeding, raking and maintaining until established./\KS18_016-Concrete Drop Inlet. Drawing NBC-GTW-CL-0022 \m²\23.36 \ 5" u="1"/>
        <s v="SABS1200 DA \EARTHWORKS (SMALL WORKS)/8.3\SCHEDULED ITEMS/8.3.7\Grassing or other Vegetation Cover. Rate to allow for the supply of indigenous veld grass seed mix from commercial sources, seeding, raking and maintaining until established./\KS18_017-Concrete Drop Inlet. Drawing NBC-GTW-CL-0023 \m²\23.36 \ 5" u="1"/>
        <s v="SABS1200 DA \EARTHWORKS (SMALL WORKS)/8.3\SCHEDULED ITEMS/8.3.7\Grassing or other Vegetation Cover. Rate to allow for the supply of indigenous veld grass seed mix from commercial sources, seeding, raking and maintaining until established./\KS18_018-Concrete Drop Inlet. Drawing NBC-GTW-CL-0024 \m²\23.36 \ 5" u="1"/>
        <s v="SABS1200 DA \EARTHWORKS (SMALL WORKS)/8.3\SCHEDULED ITEMS/8.3.7\Grassing or other Vegetation Cover. Rate to allow for the supply of indigenous veld grass seed mix from commercial sources, seeding, raking and maintaining until established./\KS20_004-Concrete Drop Inlet. Drawing NBC-GTW-CL-0030 \m²\23.36 \ 5" u="1"/>
        <s v="SABS1200 DA \EARTHWORKS (SMALL WORKS)/8.3\SCHEDULED ITEMS/8.3.7\Grassing or other Vegetation Cover. Rate to allow for the supply of indigenous veld grass seed mix from commercial sources, seeding, raking and maintaining until established./\KS20_005-Concrete Drop Inlet. Drawing NBC-GTW-CL-0031 \m²\23.36 \ 5" u="1"/>
        <s v="SABS1200 DA \EARTHWORKS (SMALL WORKS)/8.3\SCHEDULED ITEMS/8.3.7\Grassing or other Vegetation Cover. Rate to allow for the supply of indigenous veld grass seed mix from commercial sources, seeding, raking and maintaining until established./\KS20_006-Concrete Drop Inlet. Drawing NBC-GTW-CL-0032 \m²\23.36 \ 5" u="1"/>
        <s v="SABS1200 DA \EARTHWORKS (SMALL WORKS)/8.3\SCHEDULED ITEMS/8.3.7\Grassing or other Vegetation Cover. Rate to allow for the supply of indigenous veld grass seed mix from commercial sources, seeding, raking and maintaining until established./\LS12_002-Removal of Berm  \m²\76 \ 5" u="1"/>
        <s v="SABS1200 DA \EARTHWORKS (SMALL WORKS)/8.3\SCHEDULED ITEMS/8.3.7\Grassing or other Vegetation Cover. Rate to allow for the supply of indigenous veld grass seed mix from commercial sources, seeding, raking and maintaining until established./\LS16_020-Removal of Road  \m²\1782 \ 5" u="1"/>
        <s v="SABS1200 DA \EARTHWORKS (SMALL WORKS)/8.3\SCHEDULED ITEMS/8.3.7\Grassing or other Vegetation Cover. Rate to allow for the supply of indigenous veld grass seed mix from commercial sources, seeding, raking and maintaining until established./\KS13_007-Concrete Drop Inlet. Drawing NBC-GTW-CL-0013 \m²\22.24 \ 5" u="1"/>
        <s v="SABS1200 DA \EARTHWORKS (SMALL WORKS)/8.3\SCHEDULED ITEMS/8.3.7\Grassing or other Vegetation Cover. Rate to allow for the supply of indigenous veld grass seed mix from commercial sources, seeding, raking and maintaining until established./\KS13_008-Concrete Drop Inlet. Drawing NBC-GTW-CL-0014 \m²\22.24 \ 5" u="1"/>
        <s v="SABS1200 DA \EARTHWORKS (SMALL WORKS)/8.3\SCHEDULED ITEMS/8.3.7\Grassing or other Vegetation Cover. Rate to allow for the supply of indigenous veld grass seed mix from commercial sources, seeding, raking and maintaining until established./\KS18_019-Concrete Drop Inlet. Drawing NBC-GTW-CL-0025 \m²\22.24 \ 5" u="1"/>
        <s v="SABS1200 DA \EARTHWORKS (SMALL WORKS)/8.3\SCHEDULED ITEMS/8.3.7\Grassing or other Vegetation Cover. Rate to allow for the supply of indigenous veld grass seed mix from commercial sources, seeding, raking and maintaining until established./\KS21_003-Concrete Drop Inlet. Drawing NBC-GTW-CL-0039 \m²\22.24 \ 5" u="1"/>
        <s v="SABS1200 DA \EARTHWORKS (SMALL WORKS)/8.3\SCHEDULED ITEMS/8.3.7\Grassing or other Vegetation Cover. Rate to allow for the supply of indigenous veld grass seed mix from commercial sources, seeding, raking and maintaining until established./\ks11-002a-Concrete Drop Inlet on Dam Wall  \m²\31.8 \ 5" u="1"/>
        <s v="SABS1200 DA \EARTHWORKS (SMALL WORKS)/8.3\SCHEDULED ITEMS/8.3.7\Grassing or other Vegetation Cover. Rate to allow for the supply of indigenous veld grass seed mix from commercial sources, seeding, raking and maintaining until established./\ks11-004a-Concrete Drop Inlet on Dam Wall  \m²\31.8 \ 5" u="1"/>
        <s v="SABS1200 DA \EARTHWORKS (SMALL WORKS)/8.3\SCHEDULED ITEMS/8.3.7\Grassing or other Vegetation Cover. Rate to allow for the supply of indigenous veld grass seed mix from commercial sources, seeding, raking and maintaining until established./\KS20_009_c-Earthen Berm. Drawing NBC-GTW-CL-0035 \m²\69 \ 5" u="1"/>
        <s v="SABS1200 DA \EARTHWORKS (SMALL WORKS)/8.3\SCHEDULED ITEMS/8.3.7\Grassing or other Vegetation Cover. Rate to allow for the supply of indigenous veld grass seed mix from commercial sources, seeding, raking and maintaining until established./\KS21-004-Earthworks  \m²\111 \ 5" u="1"/>
        <s v="SABS1200 DA \EARTHWORKS (SMALL WORKS)/8.3\SCHEDULED ITEMS/8.3.7\Grassing or other Vegetation Cover. Rate to allow for the supply of indigenous veld grass seed mix from commercial sources, seeding, raking and maintaining until established./\KS21-008-Infilling of Drain  \m²\129.2 \ 10" u="1"/>
        <s v="SABS1200 DA \EARTHWORKS (SMALL WORKS)/8.3\SCHEDULED ITEMS/8.3.7\Grassing or other Vegetation Cover. Rate to allow for the supply of indigenous veld grass seed mix from commercial sources, seeding, raking and maintaining until established./\Pan14_004-Infilling of Drains  \m²\180 \ 5" u="1"/>
        <s v="SABS1200 DA \EARTHWORKS (SMALL WORKS)/8.3\SCHEDULED ITEMS/8.3.7\Grassing or other Vegetation Cover. Rate to allow for the supply of indigenous veld grass seed mix from commercial sources, seeding, raking and maintaining until established./\KS15-002-Backfill Main Channel  \m²\3846.97837810187 \ 5" u="1"/>
        <s v="SABS1200 DA \EARTHWORKS (SMALL WORKS)/8.3\SCHEDULED ITEMS/8.3.7\Grassing or other Vegetation Cover. Rate to allow for the supply of indigenous veld grass seed mix from commercial sources, seeding, raking and maintaining until established./\KS19_007-Infilling of Drains  \m²\179.7515 \ 5" u="1"/>
        <s v="SABS1200 DA \EARTHWORKS (SMALL WORKS)/8.3\SCHEDULED ITEMS/8.3.7\Grassing or other Vegetation Cover. Rate to allow for the supply of indigenous veld grass seed mix from commercial sources, seeding, raking and maintaining until established./\KS20_009_a-Concrete Buttress Weir. Drawing NBC-GTW-CL-0035 \m²\25.88 \ 5" u="1"/>
        <s v="SABS1200 DA \EARTHWORKS (SMALL WORKS)/8.3\SCHEDULED ITEMS/8.3.7\Grassing or other Vegetation Cover. Rate to allow for the supply of indigenous veld grass seed mix from commercial sources, seeding, raking and maintaining until established./\KS18_002-Concrete Drop Inlet. Drawing NBC-GTW-CL-0020 \m²\17.52 \ 5" u="1"/>
        <s v="SABS1200 DA \EARTHWORKS (SMALL WORKS)/8.3\SCHEDULED ITEMS/8.3.7\Grassing or other Vegetation Cover. Rate to allow for the supply of indigenous veld grass seed mix from commercial sources, seeding, raking and maintaining until established./\KS20_007-Concrete Drop Inlet. Drawing NBC-GTW-CL-0033 \m²\23.04 \ 5" u="1"/>
        <s v="SABS1200 DA \EARTHWORKS (SMALL WORKS)/8.3\SCHEDULED ITEMS/8.3.7\Grassing or other Vegetation Cover. Rate to allow for the supply of indigenous veld grass seed mix from commercial sources, seeding, raking and maintaining until established./\KS18_020-Concrete Drop Inlet associated with Road Culvert  \m²\22.384 \ 5" u="1"/>
        <s v="SABS1200 DA \EARTHWORKS (SMALL WORKS)/8.3\SCHEDULED ITEMS/8.3.7\Grassing or other Vegetation Cover. Rate to allow for the supply of indigenous veld grass seed mix from commercial sources, seeding, raking and maintaining until established./\KS21_006-Concrete Drop Inlet. Drawing NBC-GTW-CL-0041 \m²\21.6 \ 5" u="1"/>
        <s v="SABS1200 DA \EARTHWORKS (SMALL WORKS)/8.3\SCHEDULED ITEMS/8.3.7\Grassing or other Vegetation Cover. Rate to allow for the supply of indigenous veld grass seed mix from commercial sources, seeding, raking and maintaining until established./\KS21_007-Concrete Drop Inlet. Drawing NBC-GTW-CL-0042 \m²\21.6 \ 5" u="1"/>
        <s v="SABS1200 DA \EARTHWORKS (SMALL WORKS)/8.3\SCHEDULED ITEMS/8.3.7\Grassing or other Vegetation Cover. Rate to allow for the supply of indigenous veld grass seed mix from commercial sources, seeding, raking and maintaining until established./\ks11-003-Backfilling Dam to Create Wetland  \m²\17400 \ 5" u="1"/>
        <s v="SABS1200 DA \EARTHWORKS (SMALL WORKS)/8.3\SCHEDULED ITEMS/8.3.7\Grassing or other Vegetation Cover. Rate to allow for the supply of indigenous veld grass seed mix from commercial sources, seeding, raking and maintaining until established./\KS12_010-Removal of Dam Wall  \m²\619.185479905302 \ 5" u="1"/>
        <s v="SABS1200 DA \EARTHWORKS (SMALL WORKS)/8.3\SCHEDULED ITEMS/8.3.7\Grassing or other Vegetation Cover. Rate to allow for the supply of indigenous veld grass seed mix from commercial sources, seeding, raking and maintaining until established./\Pan14-002-Remove Berm  \m²\198 \ 5" u="1"/>
        <s v="SABS1200 DA \EARTHWORKS (SMALL WORKS)/8.3\SCHEDULED ITEMS/8.3.7\Grassing or other Vegetation Cover. Rate to allow for the supply of indigenous veld grass seed mix from commercial sources, seeding, raking and maintaining until established./\Pan8_002-Infilling of Drains  \m²\320 \ 5" u="1"/>
        <s v="SABS1200 DA \EARTHWORKS (SMALL WORKS)/8.3\SCHEDULED ITEMS/8.3.7\Grassing or other Vegetation Cover. Rate to allow for the supply of indigenous veld grass seed mix from commercial sources, seeding, raking and maintaining until established./\Pan14_005-Infilling of Drains  \m²\450 \ 5" u="1"/>
        <s v="SABS1200 DA \EARTHWORKS (SMALL WORKS)/8.3\SCHEDULED ITEMS/8.3.7\Grassing or other Vegetation Cover. Rate to allow for the supply of indigenous veld grass seed mix from commercial sources, seeding, raking and maintaining until established./\ks18-021-Backfill Main Channel  \m²\3294.95 \ 5" u="1"/>
        <s v="SABS1200 DA \EARTHWORKS (SMALL WORKS)/8.3\SCHEDULED ITEMS/8.3.7\Grassing or other Vegetation Cover. Rate to allow for the supply of indigenous veld grass seed mix from commercial sources, seeding, raking and maintaining until established./\KS13_017-Backfilling Main Channel  \m²\3375.75 \ 10" u="1"/>
        <s v="SABS1200 DA \EARTHWORKS (SMALL WORKS)/8.3\SCHEDULED ITEMS/8.3.7\Grassing or other Vegetation Cover. Rate to allow for the supply of indigenous veld grass seed mix from commercial sources, seeding, raking and maintaining until established./\KS18_002-Concrete Drop Inlet. Drawing NBC-GTW-CL-0020 \m²\17.52 \ 10" u="1"/>
        <s v="SABS1200 DA \EARTHWORKS (SMALL WORKS)/8.3\SCHEDULED ITEMS/8.3.7\Grassing or other Vegetation Cover. Rate to allow for the supply of indigenous veld grass seed mix from commercial sources, seeding, raking and maintaining until established./\KS19_006-Removal of Dam Wall  \m²\3134.04 \ 5" u="1"/>
        <s v="SABS1200 DA \EARTHWORKS (SMALL WORKS)/8.3\SCHEDULED ITEMS/8.3.7\Grassing or other Vegetation Cover. Rate to allow for the supply of indigenous veld grass seed mix from commercial sources, seeding, raking and maintaining until established./\Pan8_001-Foreign Materials  \m²\54 \ 5" u="1"/>
        <s v="SABS1200 DA \EARTHWORKS (SMALL WORKS)/8.3\SCHEDULED ITEMS/8.3.7\Grassing or other Vegetation Cover. Rate to allow for the supply of indigenous veld grass seed mix from commercial sources, seeding, raking and maintaining until established./\LS08_001-Removal of Berm  \m²\148.532778078669 \ 5" u="1"/>
        <s v="SABS1200 DA \EARTHWORKS (SMALL WORKS)/8.3\SCHEDULED ITEMS/8.3.7\Grassing or other Vegetation Cover. Rate to allow for the supply of indigenous veld grass seed mix from commercial sources, seeding, raking and maintaining until established./\KS21_006-Concrete Drop Inlet. Drawing NBC-GTW-CL-0041 \m²\21.6 \ 10" u="1"/>
        <s v="SABS1200 DA \EARTHWORKS (SMALL WORKS)/8.3\SCHEDULED ITEMS/8.3.7\Grassing or other Vegetation Cover. Rate to allow for the supply of indigenous veld grass seed mix from commercial sources, seeding, raking and maintaining until established./\KS21_007-Concrete Drop Inlet. Drawing NBC-GTW-CL-0042 \m²\21.6 \ 10" u="1"/>
        <s v="SABS1200 DA \EARTHWORKS (SMALL WORKS)/8.3\SCHEDULED ITEMS/8.3.7\Grassing or other Vegetation Cover. Rate to allow for the supply of indigenous veld grass seed mix from commercial sources, seeding, raking and maintaining until established./\KS20_009_b-Concrete Overflow Wall. Drawing NBC-GTW-CL-0035 \m²\50 \ 5" u="1"/>
        <s v="SABS1200 DA \EARTHWORKS (SMALL WORKS)/8.3\SCHEDULED ITEMS/8.3.7\Grassing or other Vegetation Cover. Rate to allow for the supply of indigenous veld grass seed mix from commercial sources, seeding, raking and maintaining until established./\KS12_002-Concrete Drop Inlet. Drawing NBC-GTW-CL-0002 \m²\30 \ 5" u="1"/>
        <s v="SABS1200 DA \EARTHWORKS (SMALL WORKS)/8.3\SCHEDULED ITEMS/8.3.7\Grassing or other Vegetation Cover. Rate to allow for the supply of indigenous veld grass seed mix from commercial sources, seeding, raking and maintaining until established./\Pan14_009-Infilling of Drains  \m²\78.4 \ 5" u="1"/>
        <s v="SABS1200 DA \EARTHWORKS (SMALL WORKS)/8.3\SCHEDULED ITEMS/8.3.7\Grassing or other Vegetation Cover. Rate to allow for the supply of indigenous veld grass seed mix from commercial sources, seeding, raking and maintaining until established./\KS19_002-Concrete Drop Inlet. Drawing NBC-GTW-CL-0026 \m²\20.96 \ 5" u="1"/>
        <s v="SABS1200 DA \EARTHWORKS (SMALL WORKS)/8.3\SCHEDULED ITEMS/8.3.7\Grassing or other Vegetation Cover. Rate to allow for the supply of indigenous veld grass seed mix from commercial sources, seeding, raking and maintaining until established./\KS13_004-Concrete Drop Inlet. Drawing NBC-GTW-CL-0010 \m²\22.4 \ 5" u="1"/>
        <s v="SABS1200 DA \EARTHWORKS (SMALL WORKS)/8.3\SCHEDULED ITEMS/8.3.7\Grassing or other Vegetation Cover. Rate to allow for the supply of indigenous veld grass seed mix from commercial sources, seeding, raking and maintaining until established./\LS16_021-Backfill Main Channel and reshaping  \m²\6032.31 \ 5" u="1"/>
        <s v="SABS1200 DA \EARTHWORKS (SMALL WORKS)/8.3\SCHEDULED ITEMS/8.3.7\Grassing or other Vegetation Cover. Rate to allow for the supply of indigenous veld grass seed mix from commercial sources, seeding, raking and maintaining until established./\ks11-002c-Dam wall excavation. Drawing NBC-GTW-CL-0067 \m²\1870 \ 5" u="1"/>
        <s v="SABS1200 DA \EARTHWORKS (SMALL WORKS)/8.3\SCHEDULED ITEMS/8.3.7\Grassing or other Vegetation Cover. Rate to allow for the supply of indigenous veld grass seed mix from commercial sources, seeding, raking and maintaining until established./\KS12_005-Concrete Drop Inlet. Drawing NBC-GTW-CL-0004 \m²\21.92 \ 5" u="1"/>
        <s v="SABS1200 DA \EARTHWORKS (SMALL WORKS)/8.3\SCHEDULED ITEMS/8.3.7\Grassing or other Vegetation Cover. Rate to allow for the supply of indigenous veld grass seed mix from commercial sources, seeding, raking and maintaining until established./\KS12_007-Concrete Drop Inlet. Drawing NBC-GTW-CL-0006 \m²\21.92 \ 5" u="1"/>
        <s v="SABS1200 DA \EARTHWORKS (SMALL WORKS)/8.3\SCHEDULED ITEMS/8.3.7\Grassing or other Vegetation Cover. Rate to allow for the supply of indigenous veld grass seed mix from commercial sources, seeding, raking and maintaining until established./\KS21_009-Concrete Drop Inlet. Drawing NBC-GTW-CL-0043 \m²\21.92 \ 5" u="1"/>
        <s v="SABS1200 DA \EARTHWORKS (SMALL WORKS)/8.3\SCHEDULED ITEMS/8.3.7\Grassing or other Vegetation Cover. Rate to allow for the supply of indigenous veld grass seed mix from commercial sources, seeding, raking and maintaining until established./\KS21_010-Concrete Drop Inlet. Drawing NBC-GTW-CL-0044 \m²\21.92 \ 5" u="1"/>
        <s v="SABS1200 DA \EARTHWORKS (SMALL WORKS)/8.3\SCHEDULED ITEMS/8.3.7\Grassing or other Vegetation Cover. Rate to allow for the supply of indigenous veld grass seed mix from commercial sources, seeding, raking and maintaining until established./\Pan8_004-Removal of Berm  \m²\18 \ 5" u="1"/>
        <s v="SABS1200 DA \EARTHWORKS (SMALL WORKS)/8.3\SCHEDULED ITEMS/8.3.7\Grassing or other Vegetation Cover. Rate to allow for the supply of indigenous veld grass seed mix from commercial sources, seeding, raking and maintaining until established./\KS20_003-Concrete Buttress Weir. Drawing NBC-GTW-CL-0029 \m²\26.68 \ 5" u="1"/>
        <s v="SABS1200 DA \EARTHWORKS (SMALL WORKS)/8.3\SCHEDULED ITEMS/8.3.7\Grassing or other Vegetation Cover. Rate to allow for the supply of indigenous veld grass seed mix from commercial sources, seeding, raking and maintaining until established./\Pan14_007-Infilling of Drains  \m²\76 \ 5" u="1"/>
        <s v="SABS1200 DA \EARTHWORKS (SMALL WORKS)/8.3\SCHEDULED ITEMS/8.3.7\Grassing or other Vegetation Cover. Rate to allow for the supply of indigenous veld grass seed mix from commercial sources, seeding, raking and maintaining until established./\Pan14_008-Infilling of Drains  \m²\108 \ 5" u="1"/>
        <s v="SABS1200 DA \EARTHWORKS (SMALL WORKS)/8.3\SCHEDULED ITEMS/8.3.7\Grassing or other Vegetation Cover. Rate to allow for the supply of indigenous veld grass seed mix from commercial sources, seeding, raking and maintaining until established./\DS12_001-Excavation of Dam Wall  \m²\1251.4 \ 5" u="1"/>
        <s v="SABS1200 DA \EARTHWORKS (SMALL WORKS)/8.3\SCHEDULED ITEMS/8.3.7\Grassing or other Vegetation Cover. Rate to allow for the supply of indigenous veld grass seed mix from commercial sources, seeding, raking and maintaining until established./\DS12_004-Removal of earthen material  \m²\626.368 \ 5" u="1"/>
        <s v="SABS1200 DA \EARTHWORKS (SMALL WORKS)/8.3\SCHEDULED ITEMS/8.3.7\Grassing or other Vegetation Cover. Rate to allow for the supply of indigenous veld grass seed mix from commercial sources, seeding, raking and maintaining until established./\KS15_003-Removal of Dam Wall  \m²\619.289401121074 \ 5" u="1"/>
        <s v="SABS1200 DA \EARTHWORKS (SMALL WORKS)/8.3\SCHEDULED ITEMS/8.3.7\Grassing or other Vegetation Cover. Rate to allow for the supply of indigenous veld grass seed mix from commercial sources, seeding, raking and maintaining until established./\Pan09_001-Removal of Dam Wall  \m²\594 \ 5" u="1"/>
        <s v="SABS1200 DA \EARTHWORKS (SMALL WORKS)/8.3\SCHEDULED ITEMS/8.3.7\Grassing or other Vegetation Cover. Rate to allow for the supply of indigenous veld grass seed mix from commercial sources, seeding, raking and maintaining until established./\LS16_012-Removal of Road  \m²\360 \ 5" u="1"/>
        <s v="SABS1200 DA \EARTHWORKS (SMALL WORKS)/8.3\SCHEDULED ITEMS/8.3.7\Grassing or other Vegetation Cover. Rate to allow for the supply of indigenous veld grass seed mix from commercial sources, seeding, raking and maintaining until established./\Pan14_011-Infilling of Drains  \m²\4365 \ 5" u="1"/>
        <s v="SABS1200 DA \EARTHWORKS (SMALL WORKS)/8.3\SCHEDULED ITEMS/8.3.7\Grassing or other Vegetation Cover. Rate to allow for the supply of indigenous veld grass seed mix from commercial sources, seeding, raking and maintaining until established./\DS12_003-Excavation of Dam Wall  \m²\621.57 \ 5" u="1"/>
        <s v="SABS1200 DA \EARTHWORKS (SMALL WORKS)/8.3\SCHEDULED ITEMS/8.3.7\Grassing or other Vegetation Cover. Rate to allow for the supply of indigenous veld grass seed mix from commercial sources, seeding, raking and maintaining until established./\LS16_015-Earthworks (Reinforce Dam Wall)  \m²\567 \ 5" u="1"/>
        <s v="SABS1200 DA \EARTHWORKS (SMALL WORKS)/8.3\SCHEDULED ITEMS/8.3.7\Grassing or other Vegetation Cover. Rate to allow for the supply of indigenous veld grass seed mix from commercial sources, seeding, raking and maintaining until established./\KS16_004-Infilling of Drains  \m²\480 \ 10" u="1"/>
        <s v="SABS1200 DA \EARTHWORKS (SMALL WORKS)/8.3\SCHEDULED ITEMS/8.3.7\Grassing or other Vegetation Cover. Rate to allow for the supply of indigenous veld grass seed mix from commercial sources, seeding, raking and maintaining until established./\KS13_016-Infilling of Drains  \m²\332.18699875976 \ 5" u="1"/>
        <s v="SABS1200 DA \EARTHWORKS (SMALL WORKS)/8.3\SCHEDULED ITEMS/8.3.7\Grassing or other Vegetation Cover. Rate to allow for the supply of indigenous veld grass seed mix from commercial sources, seeding, raking and maintaining until established./\KS13_011-Concrete Drop Inlet. Drawing NBC-GTW-CL-0015 \m²\22.88 \ 5" u="1"/>
        <s v="SABS1200 DA \EARTHWORKS (SMALL WORKS)/8.3\SCHEDULED ITEMS/8.3.7\Grassing or other Vegetation Cover. Rate to allow for the supply of indigenous veld grass seed mix from commercial sources, seeding, raking and maintaining until established./\KS21-002-Earthworks  \m²\850 \ 10" u="1"/>
        <s v="SABS1200 DA \EARTHWORKS (SMALL WORKS)/8.3\SCHEDULED ITEMS/8.3.7\Grassing or other Vegetation Cover. Rate to allow for the supply of indigenous veld grass seed mix from commercial sources, seeding, raking and maintaining until established./\ks18-021-Backfill Main Channel  \m²\5930 \ 10" u="1"/>
        <s v="SABS1200 DA \EARTHWORKS (SMALL WORKS)/8.3\SCHEDULED ITEMS/8.3.7\Grassing or other Vegetation Cover. Rate to allow for the supply of indigenous veld grass seed mix from commercial sources, seeding, raking and maintaining until established./\KS12_004-Concrete Drop Inlet. Drawing NBC-GTW-CL-0003 \m²\21.76 \ 5" u="1"/>
        <s v="SABS1200 DA \EARTHWORKS (SMALL WORKS)/8.3\SCHEDULED ITEMS/8.3.7\Grassing or other Vegetation Cover. Rate to allow for the supply of indigenous veld grass seed mix from commercial sources, seeding, raking and maintaining until established./\KS13_005-Concrete Drop Inlet. Drawing NBC-GTW-CL-0011 \m²\21.76 \ 5" u="1"/>
        <s v="SABS1200 DA \EARTHWORKS (SMALL WORKS)/8.3\SCHEDULED ITEMS/8.3.7\Grassing or other Vegetation Cover. Rate to allow for the supply of indigenous veld grass seed mix from commercial sources, seeding, raking and maintaining until established./\KS13_006-Concrete Drop Inlet. Drawing NBC-GTW-CL-0012 \m²\21.76 \ 5" u="1"/>
        <s v="SABS1200 DA \EARTHWORKS (SMALL WORKS)/8.3\SCHEDULED ITEMS/8.3.7\Grassing or other Vegetation Cover. Rate to allow for the supply of indigenous veld grass seed mix from commercial sources, seeding, raking and maintaining until established./\KS21_005-Concrete Drop Inlet. Drawing NBC-GTW-CL-0040 \m²\21.76 \ 5" u="1"/>
        <s v="SABS1200 DA \EARTHWORKS (SMALL WORKS)/8.3\SCHEDULED ITEMS/8.3.7\Grassing or other Vegetation Cover. Rate to allow for the supply of indigenous veld grass seed mix from commercial sources, seeding, raking and maintaining until established./\KS20_011-Backfilling Main Channel  \m²\3229.25 \ 10" u="1"/>
        <s v="SABS1200 DA \EARTHWORKS (SMALL WORKS)/8.3\SCHEDULED ITEMS/8.3.7\Grassing or other Vegetation Cover. Rate to allow for the supply of indigenous veld grass seed mix from commercial sources, seeding, raking and maintaining until established./\KS13_003-Concrete Drop Inlet. Drawing NBC-GTW-CL-0009 \m²\23.2 \ 5" u="1"/>
        <s v="SABS1200 DA \EARTHWORKS (SMALL WORKS)/8.3\SCHEDULED ITEMS/8.3.7\Grassing or other Vegetation Cover. Rate to allow for the supply of indigenous veld grass seed mix from commercial sources, seeding, raking and maintaining until established./\KS13_012-Concrete Drop Inlet. Drawing NBC-GTW-CL-0016 \m²\23.2 \ 5" u="1"/>
        <s v="SABS1200 DA \EARTHWORKS (SMALL WORKS)/8.3\SCHEDULED ITEMS/8.3.7\Grassing or other Vegetation Cover. Rate to allow for the supply of indigenous veld grass seed mix from commercial sources, seeding, raking and maintaining until established./\KS20_008-Concrete Drop Inlet. Drawing NBC-GTW-CL-0034 \m²\23.2 \ 5" u="1"/>
        <s v="SABS1200 DA \EARTHWORKS (SMALL WORKS)/8.3\SCHEDULED ITEMS/8.3.7\Grassing or other Vegetation Cover. Rate to allow for the supply of indigenous veld grass seed mix from commercial sources, seeding, raking and maintaining until established./\KS18_001-Concrete Drop Inlet. Drawing NBC-GTW-CL-0019 \m²\23.84 \ 5" u="1"/>
        <s v="SABS1200 DA \EARTHWORKS (SMALL WORKS)/8.3\SCHEDULED ITEMS/8.3.7\Grassing or other Vegetation Cover. Rate to allow for the supply of indigenous veld grass seed mix from commercial sources, seeding, raking and maintaining until established./\ks18-021-Backfill Main Channel  \m²\5083 \ 10" u="1"/>
        <s v="SABS1200 DA \EARTHWORKS (SMALL WORKS)/8.3\SCHEDULED ITEMS/8.3.7\Grassing or other Vegetation Cover. Rate to allow for the supply of indigenous veld grass seed mix from commercial sources, seeding, raking and maintaining until established./\Pan14_006-Earthen Berms  \m²\190.755332217041 \ 5" u="1"/>
        <s v="SABS1200 DA \EARTHWORKS (SMALL WORKS)/8.3\SCHEDULED ITEMS/8.3.7\Grassing or other Vegetation Cover. Rate to allow for the supply of indigenous veld grass seed mix from commercial sources, seeding, raking and maintaining until established./\KS21-008-Infilling of Drain  \m²\129.2 \ 5" u="1"/>
        <s v="SABS1200 DA \EARTHWORKS (SMALL WORKS)/8.3\SCHEDULED ITEMS/8.3.7\Grassing or other Vegetation Cover. Rate to allow for the supply of indigenous veld grass seed mix from commercial sources, seeding, raking and maintaining until established./\KS13_014-Infilling of Drains  \m²\278.716598321288 \ 5" u="1"/>
        <s v="SABS1200 DA \EARTHWORKS (SMALL WORKS)/8.3\SCHEDULED ITEMS/8.3.7\Grassing or other Vegetation Cover. Rate to allow for the supply of indigenous veld grass seed mix from commercial sources, seeding, raking and maintaining until established./\KS16_004-Infilling of Drains  \m²\480 \ 5" u="1"/>
        <s v="SABS1200 DA \EARTHWORKS (SMALL WORKS)/8.3\SCHEDULED ITEMS/8.3.7\Grassing or other Vegetation Cover. Rate to allow for the supply of indigenous veld grass seed mix from commercial sources, seeding, raking and maintaining until established./\KS16_001-Infilling of Drains  \m²\494.873340531892 \ 5" u="1"/>
        <s v="SABS1200 DA \EARTHWORKS (SMALL WORKS)/8.3\SCHEDULED ITEMS/8.3.7\Grassing or other Vegetation Cover. Rate to allow for the supply of indigenous veld grass seed mix from commercial sources, seeding, raking and maintaining until established./\ks11-005-Backfilling Dam to Create Wetland  \m²\38200 \ 5" u="1"/>
        <s v="SABS1200 DA \EARTHWORKS (SMALL WORKS)/8.3\SCHEDULED ITEMS/8.3.7\Grassing or other Vegetation Cover. Rate to allow for the supply of indigenous veld grass seed mix from commercial sources, seeding, raking and maintaining until established./\KS20_009_c-Earthen Berm. Drawing NBC-GTW-CL-0035 \m²\69 \ 10" u="1"/>
        <s v="SABS1200 DA \EARTHWORKS (SMALL WORKS)/8.3\SCHEDULED ITEMS/8.3.7\Grassing or other Vegetation Cover. Rate to allow for the supply of indigenous veld grass seed mix from commercial sources, seeding, raking and maintaining until established./\ks11-004c-Dam wall excavation. Drawing NBC-GTW-CL-0068 \m²\1200 \ 5" u="1"/>
        <s v="SABS1200 DA \EARTHWORKS (SMALL WORKS)/8.3\SCHEDULED ITEMS/8.3.7\Grassing or other Vegetation Cover. Rate to allow for the supply of indigenous veld grass seed mix from commercial sources, seeding, raking and maintaining until established./\KS12_003-Removal of Berm and Dam Wall  \m²\1876.14315788985 \ 5" u="1"/>
      </sharedItems>
    </cacheField>
    <cacheField name="a) Limited Overhaul" numFmtId="0">
      <sharedItems count="45">
        <s v="SABS1200 DA \EARTHWORKS (SMALL WORKS)/8,3\SCHEDULED ITEMS/8.3.3a\Limited  overhaul (provisional ). /\DS12_004-Removal of earthen material \m³\523,01728 \ 0"/>
        <s v=" "/>
        <s v="SABS1200 DA \EARTHWORKS (SMALL WORKS)/8,3\SCHEDULED ITEMS/8.3.3a\Limited  overhaul (provisional ). /\KS13_010-Removal of Berm \m³\150 \ 0"/>
        <s v="SABS1200 DA \EARTHWORKS (SMALL WORKS)/8,3\SCHEDULED ITEMS/8.3.3a\Limited  overhaul (provisional ). /\LS08_001-Removal of Berm \m³\21,875 \ 0"/>
        <s v="SABS1200 DA \EARTHWORKS (SMALL WORKS)/8,3\SCHEDULED ITEMS/8.3.3a\Limited  overhaul (provisional ). /\LS12_001-Removal of dam wall \m³\848,237 \ 0"/>
        <s v="SABS1200 DA \EARTHWORKS (SMALL WORKS)/8,3\SCHEDULED ITEMS/8.3.3a\Limited  overhaul (provisional ). /\LS12_002-Removal of Berm \m³\13,585 \ 0"/>
        <s v="SABS1200 DA \EARTHWORKS (SMALL WORKS)/8,3\SCHEDULED ITEMS/8.3.3a\Limited  overhaul (provisional ). /\LS16_012-Removal of Road \m³\80,775 \ 0"/>
        <s v="SABS1200 DA \EARTHWORKS (SMALL WORKS)/8,3\SCHEDULED ITEMS/8.3.3a\Limited  overhaul (provisional ). /\LS16_013-Gabion energy breaker \m³\13,68 \ 0"/>
        <s v="SABS1200 DA \EARTHWORKS (SMALL WORKS)/8,3\SCHEDULED ITEMS/8.3.3a\Limited  overhaul (provisional ). /\LS16_016-Gabion energy breaker \m³\20 \ 0"/>
        <s v="SABS1200 DA \EARTHWORKS (SMALL WORKS)/8,3\SCHEDULED ITEMS/8.3.3a\Limited  overhaul (provisional ). /\LS16_017-Gabion energy breaker \m³\25 \ 0"/>
        <s v="SABS1200 DA \EARTHWORKS (SMALL WORKS)/8,3\SCHEDULED ITEMS/8.3.3a\Limited  overhaul (provisional ). /\LS16_018-Gabion energy breaker \m³\22,08 \ 0"/>
        <s v="SABS1200 DA \EARTHWORKS (SMALL WORKS)/8,3\SCHEDULED ITEMS/8.3.3a\Limited  overhaul (provisional ). /\LS16_019-Gabion energy breaker \m³\24,48 \ 0"/>
        <s v="SABS1200 DA \EARTHWORKS (SMALL WORKS)/8,3\SCHEDULED ITEMS/8.3.3a\Limited  overhaul (provisional ). /\LS16_020-Removal of Road \m³\372,11625 \ 0"/>
        <s v="SABS1200 DA \EARTHWORKS (SMALL WORKS)/8,3\SCHEDULED ITEMS/8.3.3a\Limited  overhaul (provisional ). /\Pan09_001-Removal of Dam Wall \m³\188 \ 0"/>
        <s v="SABS1200 DA \EARTHWORKS (SMALL WORKS)/8.3\SCHEDULED ITEMS/8.3.3a\Limited  overhaul (provisional ). /\LS16_018-Gabion energy breaker \m³\22.08 \ 30" u="1"/>
        <s v="SABS1200 DA \EARTHWORKS (SMALL WORKS)/8.3\SCHEDULED ITEMS/8.3.3a\Limited  overhaul (provisional ). /\KS13_010-Removal of Berm \m³\150 \ 30" u="1"/>
        <s v="SABS1200 DA \EARTHWORKS (SMALL WORKS)/8.3\SCHEDULED ITEMS/8.3.3a\Limited  overhaul (provisional ). /\KS20_008-Concrete Drop Inlet \m³\16.301772 \ 30" u="1"/>
        <s v="SABS1200 DA \EARTHWORKS (SMALL WORKS)/8.3\SCHEDULED ITEMS/8.3.3a\Limited  overhaul (provisional ). /\LS16_017-Gabion energy breaker \m³\25 \ 30" u="1"/>
        <s v="SABS1200 DA \EARTHWORKS (SMALL WORKS)/8.3\SCHEDULED ITEMS/8.3.3a\Limited  overhaul (provisional ). /\LS12_001-Removal of dam wall \m³\848.237 \ 30" u="1"/>
        <s v="SABS1200 DA \EARTHWORKS (SMALL WORKS)/8.3\SCHEDULED ITEMS/8.3.3a\Limited  overhaul (provisional ). /\LS16_013-Gabion energy breaker \m³\13.68 \ 30" u="1"/>
        <s v="SABS1200 DA \EARTHWORKS (SMALL WORKS)/8.3\SCHEDULED ITEMS/8.3.3a\Limited  overhaul (provisional ). /\KS21_009-Concrete Drop Inlet \m³\12.0595755 \ 30" u="1"/>
        <s v="SABS1200 DA \EARTHWORKS (SMALL WORKS)/8.3\SCHEDULED ITEMS/8.3.3a\Limited  overhaul (provisional ). /\LS08_001-Removal of Berm \m³\21.875 \ 30" u="1"/>
        <s v="SABS1200 DA \EARTHWORKS (SMALL WORKS)/8.3\SCHEDULED ITEMS/8.3.3a\Limited  overhaul (provisional ). /\KS20_003-Concrete Buttress Weir \m³\24.88715874 \ 30" u="1"/>
        <s v="SABS1200 DA \EARTHWORKS (SMALL WORKS)/8.3\SCHEDULED ITEMS/8.3.3a\Limited  overhaul (provisional ). /\LS16_020-Removal of Road \m³\372.11625 \ 30" u="1"/>
        <s v="SABS1200 DA \EARTHWORKS (SMALL WORKS)/8.3\SCHEDULED ITEMS/8.3.3a\Limited  overhaul (provisional ). /\DS12_004-Removal of earthen material \m³\523.01728 \ 30" u="1"/>
        <s v="SABS1200 DA \EARTHWORKS (SMALL WORKS)/8.3\SCHEDULED ITEMS/8.3.3a\Limited  overhaul (provisional ). /\KS20_009_b-Concrete Overflow Wall \m³\9.23025 \ 30" u="1"/>
        <s v="SABS1200 DA \EARTHWORKS (SMALL WORKS)/8.3\SCHEDULED ITEMS/8.3.3a\Limited  overhaul (provisional ). /\KS21_005-Concrete Drop Inlet \m³\10.73166645 \ 30" u="1"/>
        <s v="SABS1200 DA \EARTHWORKS (SMALL WORKS)/8.3\SCHEDULED ITEMS/8.3.3a\Limited  overhaul (provisional ). /\KS21_010-Concrete Drop Inlet \m³\11.37312165 \ 30" u="1"/>
        <s v="SABS1200 DA \EARTHWORKS (SMALL WORKS)/8.3\SCHEDULED ITEMS/8.3.3a\Limited  overhaul (provisional ). /\LS12_002-Removal of Berm \m³\13.585 \ 30" u="1"/>
        <s v="SABS1200 DA \EARTHWORKS (SMALL WORKS)/8.3\SCHEDULED ITEMS/8.3.3a\Limited  overhaul (provisional ). /\KS21-002-Earthworks \m³\57.42 \ 30" u="1"/>
        <s v="SABS1200 DA \EARTHWORKS (SMALL WORKS)/8.3\SCHEDULED ITEMS/8.3.3a\Limited  overhaul (provisional ). /\KS21_001-10° sloped Grouted Pitching (Light) \m³\4.5 \ 30" u="1"/>
        <s v="SABS1200 DA \EARTHWORKS (SMALL WORKS)/8.3\SCHEDULED ITEMS/8.3.3a\Limited  overhaul (provisional ). /\Pan09_001-Removal of Dam Wall \m³\188 \ 30" u="1"/>
        <s v="SABS1200 DA \EARTHWORKS (SMALL WORKS)/8.3\SCHEDULED ITEMS/8.3.3a\Limited  overhaul (provisional ). /\KS18_001-Concrete Drop Inlet \m³\18.4458156 \ 30" u="1"/>
        <s v="SABS1200 DA \EARTHWORKS (SMALL WORKS)/8.3\SCHEDULED ITEMS/8.3.3a\Limited  overhaul (provisional ). /\KS20_005-Concrete Drop Inlet \m³\20.8975965 \ 30" u="1"/>
        <s v="SABS1200 DA \EARTHWORKS (SMALL WORKS)/8.3\SCHEDULED ITEMS/8.3.3a\Limited  overhaul (provisional ). /\KS20_001-Concrete Drop Inlet \m³\15.579981 \ 30" u="1"/>
        <s v="SABS1200 DA \EARTHWORKS (SMALL WORKS)/8.3\SCHEDULED ITEMS/8.3.3a\Limited  overhaul (provisional ). /\KS20_007-Concrete Drop Inlet \m³\16.8556809 \ 30" u="1"/>
        <s v="SABS1200 DA \EARTHWORKS (SMALL WORKS)/8.3\SCHEDULED ITEMS/8.3.3a\Limited  overhaul (provisional ). /\KS21_006-Concrete Drop Inlet \m³\9.58254075 \ 30" u="1"/>
        <s v="SABS1200 DA \EARTHWORKS (SMALL WORKS)/8.3\SCHEDULED ITEMS/8.3.3a\Limited  overhaul (provisional ). /\LS16_012-Removal of Road \m³\80.775 \ 30" u="1"/>
        <s v="SABS1200 DA \EARTHWORKS (SMALL WORKS)/8.3\SCHEDULED ITEMS/8.3.3a\Limited  overhaul (provisional ). /\LS16_016-Gabion energy breaker \m³\20 \ 30" u="1"/>
        <s v="SABS1200 DA \EARTHWORKS (SMALL WORKS)/8.3\SCHEDULED ITEMS/8.3.3a\Limited  overhaul (provisional ). /\LS16_019-Gabion energy breaker \m³\24.48 \ 30" u="1"/>
        <s v="SABS1200 DA \EARTHWORKS (SMALL WORKS)/8.3\SCHEDULED ITEMS/8.3.3a\Limited  overhaul (provisional ). /\KS21_003-Concrete Drop Inlet \m³\7.736325 \ 30" u="1"/>
        <s v="SABS1200 DA \EARTHWORKS (SMALL WORKS)/8.3\SCHEDULED ITEMS/8.3.3a\Limited  overhaul (provisional ). /\KS18_002-Concrete Drop Inlet \m³\9.6822195 \ 30" u="1"/>
        <s v="SABS1200 DA \EARTHWORKS (SMALL WORKS)/8.3\SCHEDULED ITEMS/8.3.3a\Limited  overhaul (provisional ). /\KS21_007-Concrete Drop Inlet \m³\9.344694 \ 30" u="1"/>
        <s v="SABS1200 DA \EARTHWORKS (SMALL WORKS)/8.3\SCHEDULED ITEMS/8.3.3a\Limited  overhaul (provisional ). /\KS20_009_a-Concrete Buttress Weir \m³\39.8271597 \ 30" u="1"/>
        <s v="SABS1200 DA \EARTHWORKS (SMALL WORKS)/8.3\SCHEDULED ITEMS/8.3.3a\Limited  overhaul (provisional ). /\KS20_004-Concrete Drop Inlet \m³\12.8323758 \ 30" u="1"/>
      </sharedItems>
    </cacheField>
    <cacheField name="b) Long Overhaul" numFmtId="0">
      <sharedItems count="22">
        <s v="SABS1200 DA \EARTHWORKS (SMALL WORKS)/8.3\SCHEDULED ITEMS/8.3.3b\Long overhaul (provisional). /\DS12_004-Removal of earthen material \m³/km\4105.685648 \ 6"/>
        <s v=" "/>
        <s v="SABS1200 DA \EARTHWORKS (SMALL WORKS)/8.3\SCHEDULED ITEMS/8.3.3b\Long overhaul (provisional). /\KS20_001-Concrete Drop Inlet \m³/km\51.93327 \ 6"/>
        <s v="SABS1200 DA \EARTHWORKS (SMALL WORKS)/8.3\SCHEDULED ITEMS/8.3.3b\Long overhaul (provisional). /\KS20_010-Ecologs \m³/km\3.6 \ 6"/>
        <s v="SABS1200 DA \EARTHWORKS (SMALL WORKS)/8.3\SCHEDULED ITEMS/8.3.3b\Long overhaul (provisional). /\KS21_001-10° sloped Grouted Pitching (Light) \m³/km\20 \ 6"/>
        <s v="SABS1200 DA \EARTHWORKS (SMALL WORKS)/8.3\SCHEDULED ITEMS/8.3.3b\Long overhaul (provisional). /\KS21_003-Concrete Drop Inlet \m³/km\25.78775 \ 6"/>
        <s v="SABS1200 DA \EARTHWORKS (SMALL WORKS)/8,3\SCHEDULED ITEMS/8.3.3b\Long overhaul (provisional). /\KS21_005-Concrete Drop Inlet \m³/km\25,78775 \ 6"/>
        <s v="SABS1200 DA \EARTHWORKS (SMALL WORKS)/8.3\SCHEDULED ITEMS/8.3.3b\Long overhaul (provisional). /\KS21_010-Concrete Drop Inlet \m³/km\37.9104055 \ 6" u="1"/>
        <s v="SABS1200 DA \EARTHWORKS (SMALL WORKS)/8.3\SCHEDULED ITEMS/8.3.3b\Long overhaul (provisional). /\KS20_003-Concrete Buttress Weir \m³/km\82.9571958 \ 6" u="1"/>
        <s v="SABS1200 DA \EARTHWORKS (SMALL WORKS)/8.3\SCHEDULED ITEMS/8.3.3b\Long overhaul (provisional). /\KS20_007-Concrete Drop Inlet \m³/km\56.185603 \ 6" u="1"/>
        <s v="SABS1200 DA \EARTHWORKS (SMALL WORKS)/8.3\SCHEDULED ITEMS/8.3.3b\Long overhaul (provisional). /\KS20_010-Infilling of Drains \m³/km\3.6 \ 6" u="1"/>
        <s v="SABS1200 DA \EARTHWORKS (SMALL WORKS)/8.3\SCHEDULED ITEMS/8.3.3b\Long overhaul (provisional). /\KS20_008-Concrete Drop Inlet \m³/km\54.33924 \ 6" u="1"/>
        <s v="SABS1200 DA \EARTHWORKS (SMALL WORKS)/8.3\SCHEDULED ITEMS/8.3.3b\Long overhaul (provisional). /\KS20_004-Concrete Drop Inlet \m³/km\42.774586 \ 6" u="1"/>
        <s v="SABS1200 DA \EARTHWORKS (SMALL WORKS)/8.3\SCHEDULED ITEMS/8.3.3b\Long overhaul (provisional). /\KS20_009_b-Concrete Overflow Wall \m³/km\30.7675 \ 6" u="1"/>
        <s v="SABS1200 DA \EARTHWORKS (SMALL WORKS)/8.3\SCHEDULED ITEMS/8.3.3b\Long overhaul (provisional). /\KS20_006-Concrete Drop Inlet \m³/km\55.598465 \ 6" u="1"/>
        <s v="SABS1200 DA \EARTHWORKS (SMALL WORKS)/8.3\SCHEDULED ITEMS/8.3.3b\Long overhaul (provisional). /\KS21_005-Concrete Drop Inlet \m³/km\35.7722215 \ 6" u="1"/>
        <s v="SABS1200 DA \EARTHWORKS (SMALL WORKS)/8.3\SCHEDULED ITEMS/8.3.3b\Long overhaul (provisional). /\KS20_002-Concrete Drop Inlet \m³/km\60.04969 \ 6" u="1"/>
        <s v="SABS1200 DA \EARTHWORKS (SMALL WORKS)/8.3\SCHEDULED ITEMS/8.3.3b\Long overhaul (provisional). /\KS21_006-Concrete Drop Inlet \m³/km\31.9418025 \ 6" u="1"/>
        <s v="SABS1200 DA \EARTHWORKS (SMALL WORKS)/8.3\SCHEDULED ITEMS/8.3.3b\Long overhaul (provisional). /\KS21_009-Concrete Drop Inlet \m³/km\40.198585 \ 6" u="1"/>
        <s v="SABS1200 DA \EARTHWORKS (SMALL WORKS)/8.3\SCHEDULED ITEMS/8.3.3b\Long overhaul (provisional). /\KS21_007-Concrete Drop Inlet \m³/km\31.14898 \ 6" u="1"/>
        <s v="SABS1200 DA \EARTHWORKS (SMALL WORKS)/8.3\SCHEDULED ITEMS/8.3.3b\Long overhaul (provisional). /\KS20_009_a-Concrete Buttress Weir \m³/km\132.757199 \ 6" u="1"/>
        <s v="SABS1200 DA \EARTHWORKS (SMALL WORKS)/8.3\SCHEDULED ITEMS/8.3.3b\Long overhaul (provisional). /\KS20_005-Concrete Drop Inlet \m³/km\69.658655 \ 6" u="1"/>
      </sharedItems>
    </cacheField>
    <cacheField name="25MPa/19mm Concrete" numFmtId="0">
      <sharedItems count="116">
        <s v=" "/>
        <s v="SABS1200 GA \CONCRETE (SMALL WORKS)/8.4\SCHEDULED CONCRETE ITEMS/8.4.3\Strength Concrete: 25 Mpa with 19 mm stone. /\ks11-001-Off-take structure  \m³\1.5 \ 2000"/>
        <s v="SABS1200 GA \CONCRETE (SMALL WORKS)/8.4\SCHEDULED CONCRETE ITEMS/8.4.3\Strength Concrete: 25 Mpa with 19 mm stone. /\ks11-002a-Concrete Drop Inlet on Dam Wall  \m³\94.9432 \ 2000"/>
        <s v="SABS1200 GA \CONCRETE (SMALL WORKS)/8.4\SCHEDULED CONCRETE ITEMS/8.4.3\Strength Concrete: 25 Mpa with 19 mm stone. /\ks11-004a-Concrete Drop Inlet on Dam Wall  \m³\94.9432 \ 2000"/>
        <s v="SABS1200 GA \CONCRETE (SMALL WORKS)/8.4\SCHEDULED CONCRETE ITEMS/8.4.3\Strength Concrete: 25 Mpa with 19 mm stone. /\KS12_002-Concrete Drop Inlet. Drawing NBC-GTW-CL-0002 \m³\24 \ 2000"/>
        <s v="SABS1200 GA \CONCRETE (SMALL WORKS)/8.4\SCHEDULED CONCRETE ITEMS/8.4.3\Strength Concrete: 25 Mpa with 19 mm stone. /\KS12_004-Concrete Drop Inlet. Drawing NBC-GTW-CL-0003 \m³\32.178 \ 2000"/>
        <s v="SABS1200 GA \CONCRETE (SMALL WORKS)/8.4\SCHEDULED CONCRETE ITEMS/8.4.3\Strength Concrete: 25 Mpa with 19 mm stone. /\KS12_005-Concrete Drop Inlet. Drawing NBC-GTW-CL-0004 \m³\30.30542048 \ 2000"/>
        <s v="SABS1200 GA \CONCRETE (SMALL WORKS)/8.4\SCHEDULED CONCRETE ITEMS/8.4.3\Strength Concrete: 25 Mpa with 19 mm stone. /\KS12_006-Concrete Drop Inlet. Drawing NBC-GTW-CL-0005 \m³\16.51343 \ 2000"/>
        <s v="SABS1200 GA \CONCRETE (SMALL WORKS)/8.4\SCHEDULED CONCRETE ITEMS/8.4.3\Strength Concrete: 25 Mpa with 19 mm stone. /\KS12_007-Concrete Drop Inlet. Drawing NBC-GTW-CL-0006 \m³\20.1 \ 2000"/>
        <s v="SABS1200 GA \CONCRETE (SMALL WORKS)/8.4\SCHEDULED CONCRETE ITEMS/8.4.3\Strength Concrete: 25 Mpa with 19 mm stone. /\KS12_008-Concrete Drop Inlet. Drawing NBC-GTW-CL-0007 \m³\15.98068 \ 2000"/>
        <s v="SABS1200 GA \CONCRETE (SMALL WORKS)/8.4\SCHEDULED CONCRETE ITEMS/8.4.3\Strength Concrete: 25 Mpa with 19 mm stone. /\KS12_009-Concrete Drop Inlet. Drawing NBC-GTW-CL-0008 \m³\11 \ 2000"/>
        <s v="SABS1200 GA \CONCRETE (SMALL WORKS)/8.4\SCHEDULED CONCRETE ITEMS/8.4.3\Strength Concrete: 25 Mpa with 19 mm stone. /\KS13_003-Concrete Drop Inlet. Drawing NBC-GTW-CL-0009 \m³\27.7266 \ 2000"/>
        <s v="SABS1200 GA \CONCRETE (SMALL WORKS)/8.4\SCHEDULED CONCRETE ITEMS/8.4.3\Strength Concrete: 25 Mpa with 19 mm stone. /\KS13_004-Concrete Check Wall. Drawing NBC-GTW-CL-0010 \m³\5.322 \ 2000"/>
        <s v="SABS1200 GA \CONCRETE (SMALL WORKS)/8.4\SCHEDULED CONCRETE ITEMS/8.4.3\Strength Concrete: 25 Mpa with 19 mm stone. /\KS13_005-Concrete Check Wall. Drawing NBC-GTW-CL-0011 \m³\7.482 \ 2000"/>
        <s v="SABS1200 GA \CONCRETE (SMALL WORKS)/8.4\SCHEDULED CONCRETE ITEMS/8.4.3\Strength Concrete: 25 Mpa with 19 mm stone. /\KS13_006-Concrete Check Wall. Drawing NBC-GTW-CL-0012 \m³\7.4025 \ 2000"/>
        <s v="SABS1200 GA \CONCRETE (SMALL WORKS)/8.4\SCHEDULED CONCRETE ITEMS/8.4.3\Strength Concrete: 25 Mpa with 19 mm stone. /\KS13_007-Concrete Check Wall. Drawing NBC-GTW-CL-0013 \m³\5.8575 \ 2000"/>
        <s v="SABS1200 GA \CONCRETE (SMALL WORKS)/8.4\SCHEDULED CONCRETE ITEMS/8.4.3\Strength Concrete: 25 Mpa with 19 mm stone. /\KS13_008-Concrete Check Wall. Drawing NBC-GTW-CL-0014 \m³\7.515 \ 2000"/>
        <s v="SABS1200 GA \CONCRETE (SMALL WORKS)/8.4\SCHEDULED CONCRETE ITEMS/8.4.3\Strength Concrete: 25 Mpa with 19 mm stone. /\KS13_011-Concrete Check Wall. Drawing NBC-GTW-CL-0015 \m³\6.696 \ 2000"/>
        <s v="SABS1200 GA \CONCRETE (SMALL WORKS)/8.4\SCHEDULED CONCRETE ITEMS/8.4.3\Strength Concrete: 25 Mpa with 19 mm stone. /\KS13_012-Concrete Check Wall. Drawing NBC-GTW-CL-0016 \m³\6.012 \ 2000"/>
        <s v="SABS1200 GA \CONCRETE (SMALL WORKS)/8.4\SCHEDULED CONCRETE ITEMS/8.4.3\Strength Concrete: 25 Mpa with 19 mm stone. /\KS13_013-Concrete Check Wall. Drawing NBC-GTW-CL-0017 \m³\5.166 \ 2000"/>
        <s v="SABS1200 GA \CONCRETE (SMALL WORKS)/8.4\SCHEDULED CONCRETE ITEMS/8.4.3\Strength Concrete: 25 Mpa with 19 mm stone. /\KS13_015-Concrete Check Wall. Drawing NBC-GTW-CL-0018 \m³\5.361 \ 2000"/>
        <s v="SABS1200 GA \CONCRETE (SMALL WORKS)/8.4\SCHEDULED CONCRETE ITEMS/8.4.3\Strength Concrete: 25 Mpa with 19 mm stone. /\KS15_001-Concrete Check Wall  \m³\6.264 \ 2000"/>
        <s v="SABS1200 GA \CONCRETE (SMALL WORKS)/8.4\SCHEDULED CONCRETE ITEMS/8.4.3\Strength Concrete: 25 Mpa with 19 mm stone. /\KS18_001-Concrete Check Wall. Drawing NBC-GTW-CL-0019 \m³\12 \ 2000"/>
        <s v="SABS1200 GA \CONCRETE (SMALL WORKS)/8.4\SCHEDULED CONCRETE ITEMS/8.4.3\Strength Concrete: 25 Mpa with 19 mm stone. /\KS18_002A-Concrete Check Wall. Drawing NBC-GTW-CL-0020 \m³\8 \ 2000"/>
        <s v="SABS1200 GA \CONCRETE (SMALL WORKS)/8.4\SCHEDULED CONCRETE ITEMS/8.4.3\Strength Concrete: 25 Mpa with 19 mm stone. /\KS18_002B-Concrete Check Wall  \m³\6 \ 2000"/>
        <s v="SABS1200 GA \CONCRETE (SMALL WORKS)/8,4\SCHEDULED CONCRETE ITEMS/8.4.3\Strength Concrete: 25 Mpa with 19 mm stone. /\KS18_003-Concrete Check Wall. Drawing NBC-GTW-CL-0045 \m³\5,7 \ 2000"/>
        <s v="SABS1200 GA \CONCRETE (SMALL WORKS)/8,4\SCHEDULED CONCRETE ITEMS/8.4.3\Strength Concrete: 25 Mpa with 19 mm stone. /\KS18_004-Concrete Check Wall. Drawing NBC-GTW-CL-0045 \m³\5,355 \ 2000"/>
        <s v="SABS1200 GA \CONCRETE (SMALL WORKS)/8,4\SCHEDULED CONCRETE ITEMS/8.4.3\Strength Concrete: 25 Mpa with 19 mm stone. /\KS18_005-Concrete Check Wall. Drawing NBC-GTW-CL-0045 \m³\6,93 \ 2000"/>
        <s v="SABS1200 GA \CONCRETE (SMALL WORKS)/8,4\SCHEDULED CONCRETE ITEMS/8.4.3\Strength Concrete: 25 Mpa with 19 mm stone. /\KS18_006-Concrete Check Wall. Drawing NBC-GTW-CL-0045 \m³\6,615 \ 2000"/>
        <s v="SABS1200 GA \CONCRETE (SMALL WORKS)/8,4\SCHEDULED CONCRETE ITEMS/8.4.3\Strength Concrete: 25 Mpa with 19 mm stone. /\KS18_007-Concrete Check Wall. Drawing NBC-GTW-CL-0045 \m³\5,04 \ 2000"/>
        <s v="SABS1200 GA \CONCRETE (SMALL WORKS)/8,4\SCHEDULED CONCRETE ITEMS/8.4.3\Strength Concrete: 25 Mpa with 19 mm stone. /\KS18_008-Concrete Check Wall. Drawing NBC-GTW-CL-0045 \m³\5,76 \ 2000"/>
        <s v="SABS1200 GA \CONCRETE (SMALL WORKS)/8,4\SCHEDULED CONCRETE ITEMS/8.4.3\Strength Concrete: 25 Mpa with 19 mm stone. /\KS18_009-Concrete Check Wall. Drawing NBC-GTW-CL-0045 \m³\5,775 \ 2000"/>
        <s v="SABS1200 GA \CONCRETE (SMALL WORKS)/8,4\SCHEDULED CONCRETE ITEMS/8.4.3\Strength Concrete: 25 Mpa with 19 mm stone. /\KS18_010-Concrete Check Wall. Drawing NBC-GTW-CL-0045 \m³\6,93 \ 2000"/>
        <s v="SABS1200 GA \CONCRETE (SMALL WORKS)/8,4\SCHEDULED CONCRETE ITEMS/8.4.3\Strength Concrete: 25 Mpa with 19 mm stone. /\KS18_011-Concrete Check Wall. Drawing NBC-GTW-CL-0045 \m³\6 \ 2000"/>
        <s v="SABS1200 GA \CONCRETE (SMALL WORKS)/8,4\SCHEDULED CONCRETE ITEMS/8.4.3\Strength Concrete: 25 Mpa with 19 mm stone. /\KS18_012-Concrete Check Wall. Drawing NBC-GTW-CL-0045 \m³\6,6 \ 2000"/>
        <s v="SABS1200 GA \CONCRETE (SMALL WORKS)/8,4\SCHEDULED CONCRETE ITEMS/8.4.3\Strength Concrete: 25 Mpa with 19 mm stone. /\KS18_013-Concrete Check Wall. Drawing NBC-GTW-CL-0045 \m³\6 \ 2000"/>
        <s v="SABS1200 GA \CONCRETE (SMALL WORKS)/8.4\SCHEDULED CONCRETE ITEMS/8.4.3\Strength Concrete: 25 Mpa with 19 mm stone. /\KS18_015-Concrete Check Wall. Drawing NBC-GTW-CL-0021 \m³\7.74 \ 2000"/>
        <s v="SABS1200 GA \CONCRETE (SMALL WORKS)/8.4\SCHEDULED CONCRETE ITEMS/8.4.3\Strength Concrete: 25 Mpa with 19 mm stone. /\KS18_016-Concrete Check Wall. Drawing NBC-GTW-CL-0022 \m³\6.804 \ 2000"/>
        <s v="SABS1200 GA \CONCRETE (SMALL WORKS)/8.4\SCHEDULED CONCRETE ITEMS/8.4.3\Strength Concrete: 25 Mpa with 19 mm stone. /\KS18_017-Concrete Check Wall. Drawing NBC-GTW-CL-0023 \m³\5.94 \ 2000"/>
        <s v="SABS1200 GA \CONCRETE (SMALL WORKS)/8.4\SCHEDULED CONCRETE ITEMS/8.4.3\Strength Concrete: 25 Mpa with 19 mm stone. /\KS18_018-Concrete Check Wall. Drawing NBC-GTW-CL-0024 \m³\4.998 \ 2000"/>
        <s v="SABS1200 GA \CONCRETE (SMALL WORKS)/8.4\SCHEDULED CONCRETE ITEMS/8.4.3\Strength Concrete: 25 Mpa with 19 mm stone. /\KS18_019-Concrete Check Wall. Drawing NBC-GTW-CL-0025 \m³\6.624 \ 2000"/>
        <s v="SABS1200 GA \CONCRETE (SMALL WORKS)/8.4\SCHEDULED CONCRETE ITEMS/8.4.3\Strength Concrete: 25 Mpa with 19 mm stone. /\KS18_020-Concrete Check Wall  \m³\6.7575 \ 2000"/>
        <s v="SABS1200 GA \CONCRETE (SMALL WORKS)/8,4\SCHEDULED CONCRETE ITEMS/8.4.3\Strength Concrete: 25 Mpa with 19 mm stone. /\KS18_014-Concrete Check Wall. Drawing NBC-GTW-CL-0001 \m³\6,66 \ 2000"/>
        <s v="SABS1200 GA \CONCRETE (SMALL WORKS)/8.4\SCHEDULED CONCRETE ITEMS/8.4.3\Strength Concrete: 25 Mpa with 19 mm stone. /\KS19_002-Concrete Drop Inlet. Drawing NBC-GTW-CL-0026 \m³\27.3217512 \ 2000"/>
        <s v="SABS1200 GA \CONCRETE (SMALL WORKS)/8.4\SCHEDULED CONCRETE ITEMS/8.4.3\Strength Concrete: 25 Mpa with 19 mm stone. /\KS20_001-Concrete Drop Inlet. Drawing NBC-GTW-CL-0027 \m³\20.39535 \ 2000"/>
        <s v="SABS1200 GA \CONCRETE (SMALL WORKS)/8.4\SCHEDULED CONCRETE ITEMS/8.4.3\Strength Concrete: 25 Mpa with 19 mm stone. /\KS20_002-Concrete Check Wall. Drawing NBC-GTW-CL-0028 \m³\6.453 \ 2000"/>
        <s v="SABS1200 GA \CONCRETE (SMALL WORKS)/8.4\SCHEDULED CONCRETE ITEMS/8.4.3\Strength Concrete: 25 Mpa with 19 mm stone. /\KS20_003-Concrete Check Wall. Drawing NBC-GTW-CL-0029 \m³\9.855 \ 2000"/>
        <s v="SABS1200 GA \CONCRETE (SMALL WORKS)/8.4\SCHEDULED CONCRETE ITEMS/8.4.3\Strength Concrete: 25 Mpa with 19 mm stone. /\KS20_004-Concrete Check Wall. Drawing NBC-GTW-CL-0030 \m³\9.405 \ 2000"/>
        <s v="SABS1200 GA \CONCRETE (SMALL WORKS)/8.4\SCHEDULED CONCRETE ITEMS/8.4.3\Strength Concrete: 25 Mpa with 19 mm stone. /\KS20_005-Concrete Check Wall. Drawing NBC-GTW-CL-0031 \m³\10.032 \ 2000"/>
        <s v="SABS1200 GA \CONCRETE (SMALL WORKS)/8,4\SCHEDULED CONCRETE ITEMS/8.4.3\Strength Concrete: 25 Mpa with 19 mm stone. /\KS20_006-Concrete Check Wall. Drawing NBC-GTW-CL-0032 \m³\10,035 \ 2000"/>
        <s v="SABS1200 GA \CONCRETE (SMALL WORKS)/8.4\SCHEDULED CONCRETE ITEMS/8.4.3\Strength Concrete: 25 Mpa with 19 mm stone. /\KS20_007-Concrete Check Wall. Drawing NBC-GTW-CL-0033 \m³\8.289 \ 2000"/>
        <s v="SABS1200 GA \CONCRETE (SMALL WORKS)/8.4\SCHEDULED CONCRETE ITEMS/8.4.3\Strength Concrete: 25 Mpa with 19 mm stone. /\KS20_008-Concrete Check Wall. Drawing NBC-GTW-CL-0034 \m³\10.8 \ 2000"/>
        <s v="SABS1200 GA \CONCRETE (SMALL WORKS)/8.4\SCHEDULED CONCRETE ITEMS/8.4.3\Strength Concrete: 25 Mpa with 19 mm stone. /\KS20_009_a-Concrete Check Wall. Drawing NBC-GTW-CL-0035 \m³\29.408 \ 2000"/>
        <s v="SABS1200 GA \CONCRETE (SMALL WORKS)/8.4\SCHEDULED CONCRETE ITEMS/8.4.3\Strength Concrete: 25 Mpa with 19 mm stone. /\KS20_009_b-Concrete Check Wall. Drawing NBC-GTW-CL-0035 \m³\4.032 \ 2000"/>
        <s v="SABS1200 GA \CONCRETE (SMALL WORKS)/8.4\SCHEDULED CONCRETE ITEMS/8.4.3\Strength Concrete: 25 Mpa with 19 mm stone. /\KS21_003-Concrete Drop Inlet. Drawing NBC-GTW-CL-0039 \m³\24.79275 \ 2000"/>
        <s v="SABS1200 GA \CONCRETE (SMALL WORKS)/8,4\SCHEDULED CONCRETE ITEMS/8.4.3\Strength Concrete: 25 Mpa with 19 mm stone. /\KS21_005-Concrete Drop Inlet. Drawing NBC-GTW-CL-0040 \m³\24,79275 \ 2000"/>
        <s v="SABS1200 GA \CONCRETE (SMALL WORKS)/8,4\SCHEDULED CONCRETE ITEMS/8.4.3\Strength Concrete: 25 Mpa with 19 mm stone. /\KS21_006-Concrete Check Wall. Drawing NBC-GTW-CL-0041 \m³\7,98 \ 2000"/>
        <s v="SABS1200 GA \CONCRETE (SMALL WORKS)/8,4\SCHEDULED CONCRETE ITEMS/8.4.3\Strength Concrete: 25 Mpa with 19 mm stone. /\KS21_007-Concrete Check Wall. Drawing NBC-GTW-CL-0042 \m³\7,98 \ 2000"/>
        <s v="SABS1200 GA \CONCRETE (SMALL WORKS)/8,4\SCHEDULED CONCRETE ITEMS/8.4.3\Strength Concrete: 25 Mpa with 19 mm stone. /\KS21_009-Concrete Check Wall. Drawing NBC-GTW-CL-0043 \m³\7,98 \ 2000"/>
        <s v="SABS1200 GA \CONCRETE (SMALL WORKS)/8.4\SCHEDULED CONCRETE ITEMS/8.4.3\Strength Concrete: 25 Mpa with 19 mm stone. /\LS16_001-Concrete Cut-Off Walls  \m³\5.04 \ 2000"/>
        <s v="SABS1200 GA \CONCRETE (SMALL WORKS)/8.4\SCHEDULED CONCRETE ITEMS/8.4.3\Strength Concrete: 25 Mpa with 19 mm stone. /\LS16_002-Concrete Cut-Off Walls  \m³\4.8 \ 2000"/>
        <s v="SABS1200 GA \CONCRETE (SMALL WORKS)/8.4\SCHEDULED CONCRETE ITEMS/8.4.3\Strength Concrete: 25 Mpa with 19 mm stone. /\LS16_003-Concrete Cut-Off Walls  \m³\2.1 \ 2000"/>
        <s v="SABS1200 GA \CONCRETE (SMALL WORKS)/8.4\SCHEDULED CONCRETE ITEMS/8.4.3\Strength Concrete: 25 Mpa with 19 mm stone. /\LS16_004-Concrete Cut-Off Walls  \m³\2.4 \ 2000"/>
        <s v="SABS1200 GA \CONCRETE (SMALL WORKS)/8.4\SCHEDULED CONCRETE ITEMS/8.4.3\Strength Concrete: 25 Mpa with 19 mm stone. /\LS16_005-Concrete Cut-Off Walls  \m³\3.6 \ 2000"/>
        <s v="SABS1200 GA \CONCRETE (SMALL WORKS)/8.4\SCHEDULED CONCRETE ITEMS/8.4.3\Strength Concrete: 25 Mpa with 19 mm stone. /\LS16_006-Concrete Cut-Off Walls  \m³\6.48 \ 2000"/>
        <s v="SABS1200 GA \CONCRETE (SMALL WORKS)/8.4\SCHEDULED CONCRETE ITEMS/8.4.3\Strength Concrete: 25 Mpa with 19 mm stone. /\LS16_007-Concrete Cut-Off Walls  \m³\5.94 \ 2000"/>
        <s v="SABS1200 GA \CONCRETE (SMALL WORKS)/8.4\SCHEDULED CONCRETE ITEMS/8.4.3\Strength Concrete: 25 Mpa with 19 mm stone. /\LS16_008-Concrete Cut-Off Walls  \m³\4.1325 \ 2000"/>
        <s v="SABS1200 GA \CONCRETE (SMALL WORKS)/8.4\SCHEDULED CONCRETE ITEMS/8.4.3\Strength Concrete: 25 Mpa with 19 mm stone. /\LS16_009-Concrete Cut-Off Walls  \m³\4.35 \ 2000"/>
        <s v="SABS1200 GA \CONCRETE (SMALL WORKS)/8.4\SCHEDULED CONCRETE ITEMS/8.4.3\Strength Concrete: 25 Mpa with 19 mm stone. /\LS16_010-Concrete Cut-Off Walls  \m³\5.1 \ 2000"/>
        <s v="SABS1200 GA \CONCRETE (SMALL WORKS)/8.4\SCHEDULED CONCRETE ITEMS/8.4.3\Strength Concrete: 25 Mpa with 19 mm stone. /\LS16_011-Concrete Cut-Off Walls  \m³\3.3 \ 2000"/>
        <s v="SABS1200 GA \CONCRETE (SMALL WORKS)/8.4\SCHEDULED CONCRETE ITEMS/8.4.3\Strength Concrete: 25 Mpa with 19 mm stone. /\KS13_012-Concrete Drop Inlet. Drawing NBC-GTW-CL-0016 \m³\27.4978 \ 2000" u="1"/>
        <s v="SABS1200 GA \CONCRETE (SMALL WORKS)/8.4\SCHEDULED CONCRETE ITEMS/8.4.3\Strength Concrete: 25 Mpa with 19 mm stone. /\KS18_020-Concrete Drop Inlet associated with Road Culvert  \m³\30.97659 \ 2000" u="1"/>
        <s v="SABS1200 GA \CONCRETE (SMALL WORKS)/8.4\SCHEDULED CONCRETE ITEMS/8.4.3\Strength Concrete: 25 Mpa with 19 mm stone. /\KS18_003-Concrete Cut-Off Walls. Drawing NBC-GTW-CL-0045 \m³\5.7 \ 2000" u="1"/>
        <s v="SABS1200 GA \CONCRETE (SMALL WORKS)/8.4\SCHEDULED CONCRETE ITEMS/8.4.3\Strength Concrete: 25 Mpa with 19 mm stone. /\KS21_007-Concrete Drop Inlet. Drawing NBC-GTW-CL-0042 \m³\25.587276 \ 2000" u="1"/>
        <s v="SABS1200 GA \CONCRETE (SMALL WORKS)/8.4\SCHEDULED CONCRETE ITEMS/8.4.3\Strength Concrete: 25 Mpa with 19 mm stone. /\KS13_015-Concrete Drop Inlet. Drawing NBC-GTW-CL-0018 \m³\26.49053 \ 2000" u="1"/>
        <s v="SABS1200 GA \CONCRETE (SMALL WORKS)/8.4\SCHEDULED CONCRETE ITEMS/8.4.3\Strength Concrete: 25 Mpa with 19 mm stone. /\KS20_007-Concrete Drop Inlet. Drawing NBC-GTW-CL-0033 \m³\34.576244 \ 2000" u="1"/>
        <s v="SABS1200 GA \CONCRETE (SMALL WORKS)/8.4\SCHEDULED CONCRETE ITEMS/8.4.3\Strength Concrete: 25 Mpa with 19 mm stone. /\KS18_007-Concrete Cut-Off Walls. Drawing NBC-GTW-CL-0045 \m³\5.04 \ 2000" u="1"/>
        <s v="SABS1200 GA \CONCRETE (SMALL WORKS)/8.4\SCHEDULED CONCRETE ITEMS/8.4.3\Strength Concrete: 25 Mpa with 19 mm stone. /\KS18_015-Concrete Drop Inlet. Drawing NBC-GTW-CL-0021 \m³\38.2205 \ 2000" u="1"/>
        <s v="SABS1200 GA \CONCRETE (SMALL WORKS)/8.4\SCHEDULED CONCRETE ITEMS/8.4.3\Strength Concrete: 25 Mpa with 19 mm stone. /\KS20_006-Concrete Check Wall. Drawing NBC-GTW-CL-0032 \m³\10.035 \ 2000" u="1"/>
        <s v="SABS1200 GA \CONCRETE (SMALL WORKS)/8.4\SCHEDULED CONCRETE ITEMS/8.4.3\Strength Concrete: 25 Mpa with 19 mm stone. /\KS13_008-Concrete Drop Inlet. Drawing NBC-GTW-CL-0014 \m³\33.0207 \ 2000" u="1"/>
        <s v="SABS1200 GA \CONCRETE (SMALL WORKS)/8.4\SCHEDULED CONCRETE ITEMS/8.4.3\Strength Concrete: 25 Mpa with 19 mm stone. /\KS18_001-Concrete Drop Inlet. Drawing NBC-GTW-CL-0019 \m³\59.00696 \ 2000" u="1"/>
        <s v="SABS1200 GA \CONCRETE (SMALL WORKS)/8.4\SCHEDULED CONCRETE ITEMS/8.4.3\Strength Concrete: 25 Mpa with 19 mm stone. /\KS21_006-Concrete Drop Inlet. Drawing NBC-GTW-CL-0041 \m³\27.1821095 \ 2000" u="1"/>
        <s v="SABS1200 GA \CONCRETE (SMALL WORKS)/8.4\SCHEDULED CONCRETE ITEMS/8.4.3\Strength Concrete: 25 Mpa with 19 mm stone. /\KS18_019-Concrete Drop Inlet. Drawing NBC-GTW-CL-0025 \m³\30.1032 \ 2000" u="1"/>
        <s v="SABS1200 GA \CONCRETE (SMALL WORKS)/8.4\SCHEDULED CONCRETE ITEMS/8.4.3\Strength Concrete: 25 Mpa with 19 mm stone. /\KS18_016-Concrete Drop Inlet. Drawing NBC-GTW-CL-0022 \m³\29.8284 \ 2000" u="1"/>
        <s v="SABS1200 GA \CONCRETE (SMALL WORKS)/8.4\SCHEDULED CONCRETE ITEMS/8.4.3\Strength Concrete: 25 Mpa with 19 mm stone. /\KS20_006-Concrete Drop Inlet. Drawing NBC-GTW-CL-0032 \m³\45.5624175 \ 2000" u="1"/>
        <s v="SABS1200 GA \CONCRETE (SMALL WORKS)/8.4\SCHEDULED CONCRETE ITEMS/8.4.3\Strength Concrete: 25 Mpa with 19 mm stone. /\KS15_001-Fish Bowl  \m³\112 \ 2000" u="1"/>
        <s v="SABS1200 GA \CONCRETE (SMALL WORKS)/8.4\SCHEDULED CONCRETE ITEMS/8.4.3\Strength Concrete: 25 Mpa with 19 mm stone. /\KS18_006-Concrete Cut-Off Walls. Drawing NBC-GTW-CL-0045 \m³\6.615 \ 2000" u="1"/>
        <s v="SABS1200 GA \CONCRETE (SMALL WORKS)/8.4\SCHEDULED CONCRETE ITEMS/8.4.3\Strength Concrete: 25 Mpa with 19 mm stone. /\KS21_005-Concrete Drop Inlet. Drawing NBC-GTW-CL-0040 \m³\29.7712955 \ 2000" u="1"/>
        <s v="SABS1200 GA \CONCRETE (SMALL WORKS)/8.4\SCHEDULED CONCRETE ITEMS/8.4.3\Strength Concrete: 25 Mpa with 19 mm stone. /\KS18_002-Concrete Drop Inlet. Drawing NBC-GTW-CL-0020 \m³\38.418 \ 2000" u="1"/>
        <s v="SABS1200 GA \CONCRETE (SMALL WORKS)/8.4\SCHEDULED CONCRETE ITEMS/8.4.3\Strength Concrete: 25 Mpa with 19 mm stone. /\KS18_004-Concrete Cut-Off Walls. Drawing NBC-GTW-CL-0045 \m³\5.355 \ 2000" u="1"/>
        <s v="SABS1200 GA \CONCRETE (SMALL WORKS)/8.4\SCHEDULED CONCRETE ITEMS/8.4.3\Strength Concrete: 25 Mpa with 19 mm stone. /\KS18-014-Concrete Filled Geo-Cell Berm. Drawing NBC-GTW-CL-0001 \m³\9.03840508391961 \ 2000" u="1"/>
        <s v="SABS1200 GA \CONCRETE (SMALL WORKS)/8.4\SCHEDULED CONCRETE ITEMS/8.4.3\Strength Concrete: 25 Mpa with 19 mm stone. /\KS18_009-Concrete Cut-Off Walls. Drawing NBC-GTW-CL-0045 \m³\5.775 \ 2000" u="1"/>
        <s v="SABS1200 GA \CONCRETE (SMALL WORKS)/8.4\SCHEDULED CONCRETE ITEMS/8.4.3\Strength Concrete: 25 Mpa with 19 mm stone. /\KS21_010-Concrete Drop Inlet. Drawing NBC-GTW-CL-0044 \m³\29.6325325 \ 2000" u="1"/>
        <s v="SABS1200 GA \CONCRETE (SMALL WORKS)/8.4\SCHEDULED CONCRETE ITEMS/8.4.3\Strength Concrete: 25 Mpa with 19 mm stone. /\KS18_018-Concrete Drop Inlet. Drawing NBC-GTW-CL-0024 \m³\22.42595 \ 2000" u="1"/>
        <s v="SABS1200 GA \CONCRETE (SMALL WORKS)/8.4\SCHEDULED CONCRETE ITEMS/8.4.3\Strength Concrete: 25 Mpa with 19 mm stone. /\KS20_005-Concrete Drop Inlet. Drawing NBC-GTW-CL-0031 \m³\43.50478 \ 2000" u="1"/>
        <s v="SABS1200 GA \CONCRETE (SMALL WORKS)/8.4\SCHEDULED CONCRETE ITEMS/8.4.3\Strength Concrete: 25 Mpa with 19 mm stone. /\KS20_009_b-Concrete Overflow Wall. Drawing NBC-GTW-CL-0035 \m³\6.1 \ 2000" u="1"/>
        <s v="SABS1200 GA \CONCRETE (SMALL WORKS)/8.4\SCHEDULED CONCRETE ITEMS/8.4.3\Strength Concrete: 25 Mpa with 19 mm stone. /\KS18_012-Concrete Cut-Off Walls. Drawing NBC-GTW-CL-0045 \m³\6.6 \ 2000" u="1"/>
        <s v="SABS1200 GA \CONCRETE (SMALL WORKS)/8.4\SCHEDULED CONCRETE ITEMS/8.4.3\Strength Concrete: 25 Mpa with 19 mm stone. /\KS18_011-Concrete Cut-Off Walls. Drawing NBC-GTW-CL-0045 \m³\6 \ 2000" u="1"/>
        <s v="SABS1200 GA \CONCRETE (SMALL WORKS)/8.4\SCHEDULED CONCRETE ITEMS/8.4.3\Strength Concrete: 25 Mpa with 19 mm stone. /\KS18_013-Concrete Cut-Off Walls. Drawing NBC-GTW-CL-0045 \m³\6 \ 2000" u="1"/>
        <s v="SABS1200 GA \CONCRETE (SMALL WORKS)/8.4\SCHEDULED CONCRETE ITEMS/8.4.3\Strength Concrete: 25 Mpa with 19 mm stone. /\KS18_005-Concrete Cut-Off Walls. Drawing NBC-GTW-CL-0045 \m³\6.93 \ 2000" u="1"/>
        <s v="SABS1200 GA \CONCRETE (SMALL WORKS)/8.4\SCHEDULED CONCRETE ITEMS/8.4.3\Strength Concrete: 25 Mpa with 19 mm stone. /\KS18_010-Concrete Cut-Off Walls. Drawing NBC-GTW-CL-0045 \m³\6.93 \ 2000" u="1"/>
        <s v="SABS1200 GA \CONCRETE (SMALL WORKS)/8.4\SCHEDULED CONCRETE ITEMS/8.4.3\Strength Concrete: 25 Mpa with 19 mm stone. /\KS20_003-Concrete Buttress Weir. Drawing NBC-GTW-CL-0029 \m³\50.2704448 \ 2000" u="1"/>
        <s v="SABS1200 GA \CONCRETE (SMALL WORKS)/8.4\SCHEDULED CONCRETE ITEMS/8.4.3\Strength Concrete: 25 Mpa with 19 mm stone. /\KS13_004-Concrete Drop Inlet. Drawing NBC-GTW-CL-0010 \m³\22.2744 \ 2000" u="1"/>
        <s v="SABS1200 GA \CONCRETE (SMALL WORKS)/8.4\SCHEDULED CONCRETE ITEMS/8.4.3\Strength Concrete: 25 Mpa with 19 mm stone. /\KS20_002-Concrete Drop Inlet. Drawing NBC-GTW-CL-0028 \m³\31.39634 \ 2000" u="1"/>
        <s v="SABS1200 GA \CONCRETE (SMALL WORKS)/8.4\SCHEDULED CONCRETE ITEMS/8.4.3\Strength Concrete: 25 Mpa with 19 mm stone. /\KS13_011-Concrete Drop Inlet. Drawing NBC-GTW-CL-0015 \m³\33.53 \ 2000" u="1"/>
        <s v="SABS1200 GA \CONCRETE (SMALL WORKS)/8.4\SCHEDULED CONCRETE ITEMS/8.4.3\Strength Concrete: 25 Mpa with 19 mm stone. /\KS20_008-Concrete Drop Inlet. Drawing NBC-GTW-CL-0034 \m³\47.24264 \ 2000" u="1"/>
        <s v="SABS1200 GA \CONCRETE (SMALL WORKS)/8.4\SCHEDULED CONCRETE ITEMS/8.4.3\Strength Concrete: 25 Mpa with 19 mm stone. /\KS21_009-Concrete Drop Inlet. Drawing NBC-GTW-CL-0043 \m³\31.18664 \ 2000" u="1"/>
        <s v="SABS1200 GA \CONCRETE (SMALL WORKS)/8.4\SCHEDULED CONCRETE ITEMS/8.4.3\Strength Concrete: 25 Mpa with 19 mm stone. /\KS13_005-Concrete Drop Inlet. Drawing NBC-GTW-CL-0011 \m³\35.97891 \ 2000" u="1"/>
        <s v="SABS1200 GA \CONCRETE (SMALL WORKS)/8.4\SCHEDULED CONCRETE ITEMS/8.4.3\Strength Concrete: 25 Mpa with 19 mm stone. /\KS13_006-Concrete Drop Inlet. Drawing NBC-GTW-CL-0012 \m³\32.9871 \ 2000" u="1"/>
        <s v="SABS1200 GA \CONCRETE (SMALL WORKS)/8.4\SCHEDULED CONCRETE ITEMS/8.4.3\Strength Concrete: 25 Mpa with 19 mm stone. /\KS13_007-Concrete Drop Inlet. Drawing NBC-GTW-CL-0013 \m³\25.3974 \ 2000" u="1"/>
        <s v="SABS1200 GA \CONCRETE (SMALL WORKS)/8.4\SCHEDULED CONCRETE ITEMS/8.4.3\Strength Concrete: 25 Mpa with 19 mm stone. /\KS13_013-Concrete Drop Inlet. Drawing NBC-GTW-CL-0017 \m³\23.5474 \ 2000" u="1"/>
        <s v="SABS1200 GA \CONCRETE (SMALL WORKS)/8.4\SCHEDULED CONCRETE ITEMS/8.4.3\Strength Concrete: 25 Mpa with 19 mm stone. /\KS18_017-Concrete Drop Inlet. Drawing NBC-GTW-CL-0023 \m³\27.5224 \ 2000" u="1"/>
        <s v="SABS1200 GA \CONCRETE (SMALL WORKS)/8.4\SCHEDULED CONCRETE ITEMS/8.4.3\Strength Concrete: 25 Mpa with 19 mm stone. /\KS18-014-Concrete Check Wall. Drawing NBC-GTW-CL-0001 \m³\6.66 \ 2000" u="1"/>
        <s v="SABS1200 GA \CONCRETE (SMALL WORKS)/8.4\SCHEDULED CONCRETE ITEMS/8.4.3\Strength Concrete: 25 Mpa with 19 mm stone. /\KS20_009_a-Concrete Buttress Weir. Drawing NBC-GTW-CL-0035 \m³\64.5 \ 2000" u="1"/>
        <s v="SABS1200 GA \CONCRETE (SMALL WORKS)/8.4\SCHEDULED CONCRETE ITEMS/8.4.3\Strength Concrete: 25 Mpa with 19 mm stone. /\KS20_004-Concrete Drop Inlet. Drawing NBC-GTW-CL-0030 \m³\36.703448 \ 2000" u="1"/>
        <s v="SABS1200 GA \CONCRETE (SMALL WORKS)/8.4\SCHEDULED CONCRETE ITEMS/8.4.3\Strength Concrete: 25 Mpa with 19 mm stone. /\KS18_008-Concrete Cut-Off Walls. Drawing NBC-GTW-CL-0045 \m³\5.76 \ 2000" u="1"/>
      </sharedItems>
    </cacheField>
    <cacheField name="Blinding Layer" numFmtId="0">
      <sharedItems count="48" longText="1">
        <s v=" "/>
        <s v="SABS1200 GA \CONCRETE (SMALL WORKS)/8.4\SCHEDULED CONCRETE ITEMS/8.4.2\Construct Blinding Layer using 15MPa concrete . Rate to allow for blinding to a nominal depth of 75 mm for all bases pertaining to the following structures:/\ks11-002a-Concrete Drop Inlet on Dam Wall  \m²\101.64 \ 300"/>
        <s v="SABS1200 GA \CONCRETE (SMALL WORKS)/8.4\SCHEDULED CONCRETE ITEMS/8.4.2\Construct Blinding Layer using 15MPa concrete . Rate to allow for blinding to a nominal depth of 75 mm for all bases pertaining to the following structures:/\ks11-002b-Concrete Splash Through Structure. Drawing NBC-GTW-CL-0067 \m²\64 \ 300"/>
        <s v="SABS1200 GA \CONCRETE (SMALL WORKS)/8.4\SCHEDULED CONCRETE ITEMS/8.4.2\Construct Blinding Layer using 15MPa concrete . Rate to allow for blinding to a nominal depth of 75 mm for all bases pertaining to the following structures:/\ks11-004a-Concrete Drop Inlet on Dam Wall  \m²\101.64 \ 300"/>
        <s v="SABS1200 GA \CONCRETE (SMALL WORKS)/8.4\SCHEDULED CONCRETE ITEMS/8.4.2\Construct Blinding Layer using 15MPa concrete . Rate to allow for blinding to a nominal depth of 75 mm for all bases pertaining to the following structures:/\ks11-004b-Concrete Splash Through Structure. Drawing NBC-GTW-CL-0068 \m²\64 \ 300"/>
        <s v="SABS1200 GA \CONCRETE (SMALL WORKS)/8.4\SCHEDULED CONCRETE ITEMS/8.4.2\Construct Blinding Layer using 15MPa concrete . Rate to allow for blinding to a nominal depth of 75 mm for all bases pertaining to the following structures:/\KS12_002-Concrete Drop Inlet. Drawing NBC-GTW-CL-0002 \m²\52 \ 300"/>
        <s v="SABS1200 GA \CONCRETE (SMALL WORKS)/8.4\SCHEDULED CONCRETE ITEMS/8.4.2\Construct Blinding Layer using 15MPa concrete . Rate to allow for blinding to a nominal depth of 75 mm for all bases pertaining to the following structures:/\KS12_004-Concrete Drop Inlet. Drawing NBC-GTW-CL-0003 \m²\41.52 \ 300"/>
        <s v="SABS1200 GA \CONCRETE (SMALL WORKS)/8.4\SCHEDULED CONCRETE ITEMS/8.4.2\Construct Blinding Layer using 15MPa concrete . Rate to allow for blinding to a nominal depth of 75 mm for all bases pertaining to the following structures:/\KS12_005-Concrete Drop Inlet. Drawing NBC-GTW-CL-0004 \m²\35.8384 \ 300"/>
        <s v="SABS1200 GA \CONCRETE (SMALL WORKS)/8.4\SCHEDULED CONCRETE ITEMS/8.4.2\Construct Blinding Layer using 15MPa concrete . Rate to allow for blinding to a nominal depth of 75 mm for all bases pertaining to the following structures:/\KS12_006-Concrete Drop Inlet. Drawing NBC-GTW-CL-0005 \m²\30.542 \ 300"/>
        <s v="SABS1200 GA \CONCRETE (SMALL WORKS)/8.4\SCHEDULED CONCRETE ITEMS/8.4.2\Construct Blinding Layer using 15MPa concrete . Rate to allow for blinding to a nominal depth of 75 mm for all bases pertaining to the following structures:/\KS12_007-Concrete Drop Inlet. Drawing NBC-GTW-CL-0006 \m²\33.16 \ 300"/>
        <s v="SABS1200 GA \CONCRETE (SMALL WORKS)/8.4\SCHEDULED CONCRETE ITEMS/8.4.2\Construct Blinding Layer using 15MPa concrete . Rate to allow for blinding to a nominal depth of 75 mm for all bases pertaining to the following structures:/\KS12_008-Concrete Drop Inlet. Drawing NBC-GTW-CL-0007 \m²\28.492 \ 300"/>
        <s v="SABS1200 GA \CONCRETE (SMALL WORKS)/8.4\SCHEDULED CONCRETE ITEMS/8.4.2\Construct Blinding Layer using 15MPa concrete . Rate to allow for blinding to a nominal depth of 75 mm for all bases pertaining to the following structures:/\KS12_009-Concrete Drop Inlet. Drawing NBC-GTW-CL-0008 \m²\23.424 \ 300"/>
        <s v="SABS1200 GA \CONCRETE (SMALL WORKS)/8.4\SCHEDULED CONCRETE ITEMS/8.4.2\Construct Blinding Layer using 15MPa concrete . Rate to allow for blinding to a nominal depth of 75 mm for all bases pertaining to the following structures:/\KS13_003-Concrete Drop Inlet. Drawing NBC-GTW-CL-0009 \m²\43.7 \ 300"/>
        <s v="SABS1200 GA \CONCRETE (SMALL WORKS)/8.4\SCHEDULED CONCRETE ITEMS/8.4.2\Construct Blinding Layer using 15MPa concrete . Rate to allow for blinding to a nominal depth of 75 mm for all bases pertaining to the following structures:/\KS19_002-Concrete Drop Inlet. Drawing NBC-GTW-CL-0026 \m²\38.552 \ 300"/>
        <s v="SABS1200 GA \CONCRETE (SMALL WORKS)/8.4\SCHEDULED CONCRETE ITEMS/8.4.2\Construct Blinding Layer using 15MPa concrete . Rate to allow for blinding to a nominal depth of 75 mm for all bases pertaining to the following structures:/\KS20_001-Concrete Drop Inlet. Drawing NBC-GTW-CL-0027 \m²\37.752 \ 300"/>
        <s v="SABS1200 GA \CONCRETE (SMALL WORKS)/8.4\SCHEDULED CONCRETE ITEMS/8.4.2\Construct Blinding Layer using 15MPa concrete . Rate to allow for blinding to a nominal depth of 75 mm for all bases pertaining to the following structures:/\KS21_003-Concrete Drop Inlet. Drawing NBC-GTW-CL-0039 \m²\52.66 \ 300"/>
        <s v="SABS1200 GA \CONCRETE (SMALL WORKS)/8,4\SCHEDULED CONCRETE ITEMS/8.4.2\Construct Blinding Layer using 15MPa concrete . Rate to allow for blinding to a nominal depth of 75 mm for all bases pertaining to the following structures:/\KS21_005-Concrete Drop Inlet. Drawing NBC-GTW-CL-0040 \m²\52,66 \ 300"/>
        <s v="SABS1200 GA \CONCRETE (SMALL WORKS)/8.4\SCHEDULED CONCRETE ITEMS/8.4.2\Construct Blinding Layer using 15MPa concrete . Rate to allow for blinding to a nominal depth of 75 mm for all bases pertaining to the following structures:/\KS18_002-Concrete Drop Inlet. Drawing NBC-GTW-CL-0020 \m²\44.62 \ 300" u="1"/>
        <s v="SABS1200 GA \CONCRETE (SMALL WORKS)/8.4\SCHEDULED CONCRETE ITEMS/8.4.2\Construct Blinding Layer using 15MPa concrete . Rate to allow for blinding to a nominal depth of 75 mm for all bases pertaining to the following structures:/\KS13_011-Concrete Drop Inlet. Drawing NBC-GTW-CL-0015 \m²\42 \ 300" u="1"/>
        <s v="SABS1200 GA \CONCRETE (SMALL WORKS)/8.4\SCHEDULED CONCRETE ITEMS/8.4.2\Construct Blinding Layer using 15MPa concrete . Rate to allow for blinding to a nominal depth of 75 mm for all bases pertaining to the following structures:/\KS21_010-Concrete Drop Inlet. Drawing NBC-GTW-CL-0044 \m²\38.212 \ 300" u="1"/>
        <s v="SABS1200 GA \CONCRETE (SMALL WORKS)/8.4\SCHEDULED CONCRETE ITEMS/8.4.2\Construct Blinding Layer using 15MPa concrete . Rate to allow for blinding to a nominal depth of 75 mm for all bases pertaining to the following structures:/\KS20_002-Concrete Drop Inlet. Drawing NBC-GTW-CL-0028 \m²\51.08 \ 300" u="1"/>
        <s v="SABS1200 GA \CONCRETE (SMALL WORKS)/8.4\SCHEDULED CONCRETE ITEMS/8.4.2\Construct Blinding Layer using 15MPa concrete . Rate to allow for blinding to a nominal depth of 75 mm for all bases pertaining to the following structures:/\KS13_012-Concrete Drop Inlet. Drawing NBC-GTW-CL-0016 \m²\36.92 \ 300" u="1"/>
        <s v="SABS1200 GA \CONCRETE (SMALL WORKS)/8.4\SCHEDULED CONCRETE ITEMS/8.4.2\Construct Blinding Layer using 15MPa concrete . Rate to allow for blinding to a nominal depth of 75 mm for all bases pertaining to the following structures:/\KS18_018-Concrete Drop Inlet. Drawing NBC-GTW-CL-0024 \m²\33.502 \ 300" u="1"/>
        <s v="SABS1200 GA \CONCRETE (SMALL WORKS)/8.4\SCHEDULED CONCRETE ITEMS/8.4.2\Construct Blinding Layer using 15MPa concrete . Rate to allow for blinding to a nominal depth of 75 mm for all bases pertaining to the following structures:/\KS21_009-Concrete Drop Inlet. Drawing NBC-GTW-CL-0043 \m²\38.584 \ 300" u="1"/>
        <s v="SABS1200 GA \CONCRETE (SMALL WORKS)/8.4\SCHEDULED CONCRETE ITEMS/8.4.2\Construct Blinding Layer using 15MPa concrete . Rate to allow for blinding to a nominal depth of 75 mm for all bases pertaining to the following structures:/\KS20_009_b-Concrete Overflow Wall. Drawing NBC-GTW-CL-0035 \m²\10.65 \ 300" u="1"/>
        <s v="SABS1200 GA \CONCRETE (SMALL WORKS)/8.4\SCHEDULED CONCRETE ITEMS/8.4.2\Construct Blinding Layer using 15MPa concrete . Rate to allow for blinding to a nominal depth of 75 mm for all bases pertaining to the following structures:/\KS18_015-Concrete Drop Inlet. Drawing NBC-GTW-CL-0021 \m²\46.216 \ 300" u="1"/>
        <s v="SABS1200 GA \CONCRETE (SMALL WORKS)/8.4\SCHEDULED CONCRETE ITEMS/8.4.2\Construct Blinding Layer using 15MPa concrete . Rate to allow for blinding to a nominal depth of 75 mm for all bases pertaining to the following structures:/\KS20_008-Concrete Drop Inlet. Drawing NBC-GTW-CL-0034 \m²\65.712 \ 300" u="1"/>
        <s v="SABS1200 GA \CONCRETE (SMALL WORKS)/8.4\SCHEDULED CONCRETE ITEMS/8.4.2\Construct Blinding Layer using 15MPa concrete . Rate to allow for blinding to a nominal depth of 75 mm for all bases pertaining to the following structures:/\KS20_005-Concrete Drop Inlet. Drawing NBC-GTW-CL-0031 \m²\65.95 \ 300" u="1"/>
        <s v="SABS1200 GA \CONCRETE (SMALL WORKS)/8.4\SCHEDULED CONCRETE ITEMS/8.4.2\Construct Blinding Layer using 15MPa concrete . Rate to allow for blinding to a nominal depth of 75 mm for all bases pertaining to the following structures:/\KS20_003-Concrete Buttress Weir. Drawing NBC-GTW-CL-0029 \m²\81.26 \ 300" u="1"/>
        <s v="SABS1200 GA \CONCRETE (SMALL WORKS)/8.4\SCHEDULED CONCRETE ITEMS/8.4.2\Construct Blinding Layer using 15MPa concrete . Rate to allow for blinding to a nominal depth of 75 mm for all bases pertaining to the following structures:/\KS13_004-Concrete Drop Inlet. Drawing NBC-GTW-CL-0010 \m²\38.69 \ 300" u="1"/>
        <s v="SABS1200 GA \CONCRETE (SMALL WORKS)/8.4\SCHEDULED CONCRETE ITEMS/8.4.2\Construct Blinding Layer using 15MPa concrete . Rate to allow for blinding to a nominal depth of 75 mm for all bases pertaining to the following structures:/\KS18_016-Concrete Drop Inlet. Drawing NBC-GTW-CL-0022 \m²\38.236 \ 300" u="1"/>
        <s v="SABS1200 GA \CONCRETE (SMALL WORKS)/8.4\SCHEDULED CONCRETE ITEMS/8.4.2\Construct Blinding Layer using 15MPa concrete . Rate to allow for blinding to a nominal depth of 75 mm for all bases pertaining to the following structures:/\KS20_007-Concrete Drop Inlet. Drawing NBC-GTW-CL-0033 \m²\52.642 \ 300" u="1"/>
        <s v="SABS1200 GA \CONCRETE (SMALL WORKS)/8.4\SCHEDULED CONCRETE ITEMS/8.4.2\Construct Blinding Layer using 15MPa concrete . Rate to allow for blinding to a nominal depth of 75 mm for all bases pertaining to the following structures:/\KS20_004-Concrete Drop Inlet. Drawing NBC-GTW-CL-0030 \m²\54.552 \ 300" u="1"/>
        <s v="SABS1200 GA \CONCRETE (SMALL WORKS)/8.4\SCHEDULED CONCRETE ITEMS/8.4.2\Construct Blinding Layer using 15MPa concrete . Rate to allow for blinding to a nominal depth of 75 mm for all bases pertaining to the following structures:/\KS18_001-Concrete Drop Inlet. Drawing NBC-GTW-CL-0019 \m²\71.536 \ 300" u="1"/>
        <s v="SABS1200 GA \CONCRETE (SMALL WORKS)/8.4\SCHEDULED CONCRETE ITEMS/8.4.2\Construct Blinding Layer using 15MPa concrete . Rate to allow for blinding to a nominal depth of 75 mm for all bases pertaining to the following structures:/\KS20_006-Concrete Drop Inlet. Drawing NBC-GTW-CL-0032 \m²\61.315 \ 300" u="1"/>
        <s v="SABS1200 GA \CONCRETE (SMALL WORKS)/8.4\SCHEDULED CONCRETE ITEMS/8.4.2\Construct Blinding Layer using 15MPa concrete . Rate to allow for blinding to a nominal depth of 75 mm for all bases pertaining to the following structures:/\KS21_005-Concrete Drop Inlet. Drawing NBC-GTW-CL-0040 \m²\45.451 \ 300" u="1"/>
        <s v="SABS1200 GA \CONCRETE (SMALL WORKS)/8.4\SCHEDULED CONCRETE ITEMS/8.4.2\Construct Blinding Layer using 15MPa concrete . Rate to allow for blinding to a nominal depth of 75 mm for all bases pertaining to the following structures:/\KS20_009_a-Concrete Buttress Weir. Drawing NBC-GTW-CL-0035 \m²\81.41 \ 300" u="1"/>
        <s v="SABS1200 GA \CONCRETE (SMALL WORKS)/8.4\SCHEDULED CONCRETE ITEMS/8.4.2\Construct Blinding Layer using 15MPa concrete . Rate to allow for blinding to a nominal depth of 75 mm for all bases pertaining to the following structures:/\KS18_019-Concrete Drop Inlet. Drawing NBC-GTW-CL-0025 \m²\34.736 \ 300" u="1"/>
        <s v="SABS1200 GA \CONCRETE (SMALL WORKS)/8.4\SCHEDULED CONCRETE ITEMS/8.4.2\Construct Blinding Layer using 15MPa concrete . Rate to allow for blinding to a nominal depth of 75 mm for all bases pertaining to the following structures:/\KS13_005-Concrete Drop Inlet. Drawing NBC-GTW-CL-0011 \m²\41.124 \ 300" u="1"/>
        <s v="SABS1200 GA \CONCRETE (SMALL WORKS)/8.4\SCHEDULED CONCRETE ITEMS/8.4.2\Construct Blinding Layer using 15MPa concrete . Rate to allow for blinding to a nominal depth of 75 mm for all bases pertaining to the following structures:/\KS13_006-Concrete Drop Inlet. Drawing NBC-GTW-CL-0012 \m²\41.124 \ 300" u="1"/>
        <s v="SABS1200 GA \CONCRETE (SMALL WORKS)/8.4\SCHEDULED CONCRETE ITEMS/8.4.2\Construct Blinding Layer using 15MPa concrete . Rate to allow for blinding to a nominal depth of 75 mm for all bases pertaining to the following structures:/\KS13_007-Concrete Drop Inlet. Drawing NBC-GTW-CL-0013 \m²\37.12 \ 300" u="1"/>
        <s v="SABS1200 GA \CONCRETE (SMALL WORKS)/8.4\SCHEDULED CONCRETE ITEMS/8.4.2\Construct Blinding Layer using 15MPa concrete . Rate to allow for blinding to a nominal depth of 75 mm for all bases pertaining to the following structures:/\KS13_013-Concrete Drop Inlet. Drawing NBC-GTW-CL-0017 \m²\41.704 \ 300" u="1"/>
        <s v="SABS1200 GA \CONCRETE (SMALL WORKS)/8.4\SCHEDULED CONCRETE ITEMS/8.4.2\Construct Blinding Layer using 15MPa concrete . Rate to allow for blinding to a nominal depth of 75 mm for all bases pertaining to the following structures:/\KS13_015-Concrete Drop Inlet. Drawing NBC-GTW-CL-0018 \m²\41.704 \ 300" u="1"/>
        <s v="SABS1200 GA \CONCRETE (SMALL WORKS)/8.4\SCHEDULED CONCRETE ITEMS/8.4.2\Construct Blinding Layer using 15MPa concrete . Rate to allow for blinding to a nominal depth of 75 mm for all bases pertaining to the following structures:/\KS21_006-Concrete Drop Inlet. Drawing NBC-GTW-CL-0041 \m²\46.002 \ 300" u="1"/>
        <s v="SABS1200 GA \CONCRETE (SMALL WORKS)/8.4\SCHEDULED CONCRETE ITEMS/8.4.2\Construct Blinding Layer using 15MPa concrete . Rate to allow for blinding to a nominal depth of 75 mm for all bases pertaining to the following structures:/\KS13_008-Concrete Drop Inlet. Drawing NBC-GTW-CL-0014 \m²\47.264 \ 300" u="1"/>
        <s v="SABS1200 GA \CONCRETE (SMALL WORKS)/8.4\SCHEDULED CONCRETE ITEMS/8.4.2\Construct Blinding Layer using 15MPa concrete . Rate to allow for blinding to a nominal depth of 75 mm for all bases pertaining to the following structures:/\KS18_017-Concrete Drop Inlet. Drawing NBC-GTW-CL-0023 \m²\37.508 \ 300" u="1"/>
        <s v="SABS1200 GA \CONCRETE (SMALL WORKS)/8.4\SCHEDULED CONCRETE ITEMS/8.4.2\Construct Blinding Layer using 15MPa concrete . Rate to allow for blinding to a nominal depth of 75 mm for all bases pertaining to the following structures:/\KS18_020-Concrete Drop Inlet associated with Road Culvert  \m²\42.822 \ 300" u="1"/>
        <s v="SABS1200 GA \CONCRETE (SMALL WORKS)/8.4\SCHEDULED CONCRETE ITEMS/8.4.2\Construct Blinding Layer using 15MPa concrete . Rate to allow for blinding to a nominal depth of 75 mm for all bases pertaining to the following structures:/\KS21_007-Concrete Drop Inlet. Drawing NBC-GTW-CL-0042 \m²\39.824 \ 300" u="1"/>
      </sharedItems>
    </cacheField>
    <cacheField name="Reinforcement High Tensile bars" numFmtId="0">
      <sharedItems count="6" longText="1">
        <s v=" "/>
        <s v="SABS1200 GA \CONCRETE (SMALL WORKS)/8.3\SCHEDULED REINFORCEMENT ITEMS/8.3.1 \High-Tensile Steel Bars. Rate to include  cutting to length, bending as specified, transport to site and fixing. /\ks11-002b-Concrete Splash Through Structure. Drawing NBC-GTW-CL-0067 \kg\98 \ 18"/>
        <s v="SABS1200 GA \CONCRETE (SMALL WORKS)/8.3\SCHEDULED REINFORCEMENT ITEMS/8.3.1 \High-Tensile Steel Bars. Rate to include  cutting to length, bending as specified, transport to site and fixing. /\ks11-004b-Concrete Splash Through Structure. Drawing NBC-GTW-CL-0068 \kg\98 \ 18"/>
        <s v="SABS1200 GA \CONCRETE (SMALL WORKS)/8.3\SCHEDULED REINFORCEMENT ITEMS/8.3.1 \High-Tensile Steel Bars. Rate to include  cutting to length, bending as specified, transport to site and fixing. /\KS12_002-Concrete Drop Inlet. Drawing NBC-GTW-CL-0002 \kg\30 \ 18"/>
        <s v="SABS1200 GA \CONCRETE (SMALL WORKS)/8.3\SCHEDULED REINFORCEMENT ITEMS/8.3.1 \High-Tensile Steel Bars. Rate to include  cutting to length, bending as specified, transport to site and fixing. /\KS20_009_b-Concrete Overflow Wall. Drawing NBC-GTW-CL-0035 \kg\150 \ 18" u="1"/>
        <s v="SABS1200 GA \CONCRETE (SMALL WORKS)/8.3\SCHEDULED REINFORCEMENT ITEMS/8.3.1 \High-Tensile Steel Bars. Rate to include  cutting to length, bending as specified, transport to site and fixing. /\KS20_009_a-Concrete Buttress Weir. Drawing NBC-GTW-CL-0035 \kg\50 \ 18" u="1"/>
      </sharedItems>
    </cacheField>
    <cacheField name="Reinforcement Mild Tensile bars" numFmtId="0">
      <sharedItems count="2">
        <s v=" "/>
        <s v="SABS1200 GA \CONCRETE (SMALL WORKS)/8.3\SCHEDULED REINFORCEMENT ITEMS/8.3.1\Mild-Tensile Steel Bars. Rate to include  cutting to length, bending as specified, transport to site and fixing. /\KS20_009_a-1. Drawing NBC-GTW-CL-0035 \kg\32 \ 15" u="1"/>
      </sharedItems>
    </cacheField>
    <cacheField name="High tensile Welded Mesh 1" numFmtId="0">
      <sharedItems count="50">
        <s v=" "/>
        <s v="SABS1200 GA \CONCRETE (SMALL WORKS)/8.3\SCHEDULED REINFORCEMENT ITEMS/8.3.2\High-Tensile Welded Mesh-Ref 395 /\ks11-001-Off-take structure  \m²\7.5 \ 20"/>
        <s v="SABS1200 GA \CONCRETE (SMALL WORKS)/8.3\SCHEDULED REINFORCEMENT ITEMS/8.3.2\High-Tensile Welded Mesh-Ref 888 /\ks11-002a-Concrete Drop Inlet on Dam Wall  \m²\89.6992 \ 20"/>
        <s v="SABS1200 GA \CONCRETE (SMALL WORKS)/8.3\SCHEDULED REINFORCEMENT ITEMS/8.3.2\High-Tensile Welded Mesh-Ref 617 /\ks11-002b-Concrete Splash Through Structure. Drawing NBC-GTW-CL-0067 \m²\64 \ 20"/>
        <s v="SABS1200 GA \CONCRETE (SMALL WORKS)/8.3\SCHEDULED REINFORCEMENT ITEMS/8.3.2\High-Tensile Welded Mesh-Ref 888 /\ks11-004a-Concrete Drop Inlet on Dam Wall  \m²\89.6992 \ 20"/>
        <s v="SABS1200 GA \CONCRETE (SMALL WORKS)/8.3\SCHEDULED REINFORCEMENT ITEMS/8.3.2\High-Tensile Welded Mesh-Ref617 /\ks11-004b-Concrete Splash Through Structure. Drawing NBC-GTW-CL-0068 \m²\64 \ 20"/>
        <s v="SABS1200 GA \CONCRETE (SMALL WORKS)/8.3\SCHEDULED REINFORCEMENT ITEMS/8.3.2\High-Tensile Welded Mesh-Mesh 395 /\KS12_001-Pipe Culvert. Drawing NBC-GTW-CL-0069 \m²\3 \ 20"/>
        <s v="SABS1200 GA \CONCRETE (SMALL WORKS)/8.3\SCHEDULED REINFORCEMENT ITEMS/8.3.2\High-Tensile Welded Mesh-Ref 888 /\KS12_002-Concrete Drop Inlet. Drawing NBC-GTW-CL-0002 \m²\23 \ 20"/>
        <s v="SABS1200 GA \CONCRETE (SMALL WORKS)/8.3\SCHEDULED REINFORCEMENT ITEMS/8.3.2\High-Tensile Welded Mesh-Ref 888 /\KS12_004-Concrete Drop Inlet. Drawing NBC-GTW-CL-0003 \m²\22.0008 \ 20"/>
        <s v="SABS1200 GA \CONCRETE (SMALL WORKS)/8.3\SCHEDULED REINFORCEMENT ITEMS/8.3.2\High-Tensile Welded Mesh-Ref 888 /\KS12_005-Concrete Drop Inlet. Drawing NBC-GTW-CL-0004 \m²\17.595592 \ 20"/>
        <s v="SABS1200 GA \CONCRETE (SMALL WORKS)/8.3\SCHEDULED REINFORCEMENT ITEMS/8.3.2\High-Tensile Welded Mesh-Ref 888 /\KS12_006-Concrete Drop Inlet. Drawing NBC-GTW-CL-0005 \m²\15.6462 \ 20"/>
        <s v="SABS1200 GA \CONCRETE (SMALL WORKS)/8.3\SCHEDULED REINFORCEMENT ITEMS/8.3.2\High-Tensile Welded Mesh-Ref 888 /\KS12_007-Concrete Drop Inlet. Drawing NBC-GTW-CL-0006 \m²\16 \ 20"/>
        <s v="SABS1200 GA \CONCRETE (SMALL WORKS)/8.3\SCHEDULED REINFORCEMENT ITEMS/8.3.2\High-Tensile Welded Mesh-Ref 888 /\KS12_008-Concrete Drop Inlet. Drawing NBC-GTW-CL-0007 \m²\12.5 \ 20"/>
        <s v="SABS1200 GA \CONCRETE (SMALL WORKS)/8.3\SCHEDULED REINFORCEMENT ITEMS/8.3.2\High-Tensile Welded Mesh-Ref 888 /\KS12_009-Concrete Drop Inlet. Drawing NBC-GTW-CL-0008 \m²\7.5 \ 20"/>
        <s v="SABS1200 GA \CONCRETE (SMALL WORKS)/8.3\SCHEDULED REINFORCEMENT ITEMS/8.3.2\High-Tensile Welded Mesh-Ref 888 /\KS13_003-Concrete Drop Inlet. Drawing NBC-GTW-CL-0009 \m²\21.55892 \ 20"/>
        <s v="SABS1200 GA \CONCRETE (SMALL WORKS)/8.3\SCHEDULED REINFORCEMENT ITEMS/8.3.2\High-Tensile Welded Mesh-Ref 888 /\KS19_002-Concrete Drop Inlet. Drawing NBC-GTW-CL-0026 \m²\22.33528 \ 20"/>
        <s v="SABS1200 GA \CONCRETE (SMALL WORKS)/8.3\SCHEDULED REINFORCEMENT ITEMS/8.3.2\High-Tensile Welded Mesh-Ref 888 /\KS20_001-Concrete Drop Inlet. Drawing NBC-GTW-CL-0027 \m²\16.46892 \ 20"/>
        <s v="SABS1200 GA \CONCRETE (SMALL WORKS)/8.3\SCHEDULED REINFORCEMENT ITEMS/8.3.2\High-Tensile Welded Mesh-Ref 888 /\KS21_003-Concrete Drop Inlet. Drawing NBC-GTW-CL-0039 \m²\23.8326 \ 20"/>
        <s v="SABS1200 GA \CONCRETE (SMALL WORKS)/8,3\SCHEDULED REINFORCEMENT ITEMS/8.3.2\High-Tensile Welded Mesh-Ref 888 /\KS21_005-Concrete Drop Inlet. Drawing NBC-GTW-CL-0040 \m²\23,8326 \ 20"/>
        <s v="SABS1200 GA \CONCRETE (SMALL WORKS)/8.3\SCHEDULED REINFORCEMENT ITEMS/8.3.2\High-Tensile Welded Mesh-Ref 888 /\KS20_004-Concrete Drop Inlet. Drawing NBC-GTW-CL-0030 \m²\24.62688 \ 20" u="1"/>
        <s v="SABS1200 GA \CONCRETE (SMALL WORKS)/8.3\SCHEDULED REINFORCEMENT ITEMS/8.3.2\High-Tensile Welded Mesh-Ref 888 /\KS20_006-Concrete Drop Inlet. Drawing NBC-GTW-CL-0032 \m²\29.99772 \ 20" u="1"/>
        <s v="SABS1200 GA \CONCRETE (SMALL WORKS)/8.3\SCHEDULED REINFORCEMENT ITEMS/8.3.2\High-Tensile Welded Mesh-Ref 888 /\KS18_016-Concrete Drop Inlet. Drawing NBC-GTW-CL-0022 \m²\17.36952 \ 20" u="1"/>
        <s v="SABS1200 GA \CONCRETE (SMALL WORKS)/8.3\SCHEDULED REINFORCEMENT ITEMS/8.3.2\High-Tensile Welded Mesh-Ref 888 /\KS20_009_a-Concrete Buttress Weir. Drawing NBC-GTW-CL-0035 \m²\49.206832 \ 20" u="1"/>
        <s v="SABS1200 GA \CONCRETE (SMALL WORKS)/8.3\SCHEDULED REINFORCEMENT ITEMS/8.3.2\High-Tensile Welded Mesh-Ref 888 /\KS21_006-Concrete Drop Inlet. Drawing NBC-GTW-CL-0041 \m²\24.78818 \ 20" u="1"/>
        <s v="SABS1200 GA \CONCRETE (SMALL WORKS)/8.3\SCHEDULED REINFORCEMENT ITEMS/8.3.2\High-Tensile Welded Mesh-Ref 888 /\KS13_006-Concrete Drop Inlet. Drawing NBC-GTW-CL-0012 \m²\24.278 \ 20" u="1"/>
        <s v="SABS1200 GA \CONCRETE (SMALL WORKS)/8.3\SCHEDULED REINFORCEMENT ITEMS/8.3.2\High-Tensile Welded Mesh-Ref 888 /\KS20_008-Concrete Drop Inlet. Drawing NBC-GTW-CL-0034 \m²\33.41 \ 20" u="1"/>
        <s v="SABS1200 GA \CONCRETE (SMALL WORKS)/8.3\SCHEDULED REINFORCEMENT ITEMS/8.3.2\High-Tensile Welded Mesh-Ref 888 /\KS18_019-Concrete Drop Inlet. Drawing NBC-GTW-CL-0025 \m²\18.13032 \ 20" u="1"/>
        <s v="SABS1200 GA \CONCRETE (SMALL WORKS)/8.3\SCHEDULED REINFORCEMENT ITEMS/8.3.2\High-Tensile Welded Mesh-Ref 888 /\KS18_020-Concrete Drop Inlet associated with Road Culvert  \m²\19.49628 \ 20" u="1"/>
        <s v="SABS1200 GA \CONCRETE (SMALL WORKS)/8.3\SCHEDULED REINFORCEMENT ITEMS/8.3.2\High-Tensile Welded Mesh-Ref 888 /\KS21_009-Concrete Drop Inlet. Drawing NBC-GTW-CL-0043 \m²\19.8378 \ 20" u="1"/>
        <s v="SABS1200 GA \CONCRETE (SMALL WORKS)/8.3\SCHEDULED REINFORCEMENT ITEMS/8.3.2\High-Tensile Welded Mesh-Ref 888 /\KS18_017-Concrete Drop Inlet. Drawing NBC-GTW-CL-0023 \m²\17.922 \ 20" u="1"/>
        <s v="SABS1200 GA \CONCRETE (SMALL WORKS)/8.3\SCHEDULED REINFORCEMENT ITEMS/8.3.2\High-Tensile Welded Mesh-Ref 888 /\KS13_005-Concrete Drop Inlet. Drawing NBC-GTW-CL-0011 \m²\24.02328 \ 20" u="1"/>
        <s v="SABS1200 GA \CONCRETE (SMALL WORKS)/8.3\SCHEDULED REINFORCEMENT ITEMS/8.3.2\High-Tensile Welded Mesh-Ref 888 /\KS21_005-Concrete Drop Inlet. Drawing NBC-GTW-CL-0040 \m²\24.54506 \ 20" u="1"/>
        <s v="SABS1200 GA \CONCRETE (SMALL WORKS)/8.3\SCHEDULED REINFORCEMENT ITEMS/8.3.2\High-Tensile Welded Mesh-Ref 888 /\KS13_008-Concrete Drop Inlet. Drawing NBC-GTW-CL-0014 \m²\26.08944 \ 20" u="1"/>
        <s v="SABS1200 GA \CONCRETE (SMALL WORKS)/8.3\SCHEDULED REINFORCEMENT ITEMS/8.3.2\High-Tensile Welded Mesh-Ref 888 /\KS13_004-Concrete Drop Inlet. Drawing NBC-GTW-CL-0010 \m²\18.87844 \ 20" u="1"/>
        <s v="SABS1200 GA \CONCRETE (SMALL WORKS)/8.3\SCHEDULED REINFORCEMENT ITEMS/8.3.2\High-Tensile Welded Mesh-Ref 888 /\KS21_010-Concrete Drop Inlet. Drawing NBC-GTW-CL-0044 \m²\19.3479 \ 20" u="1"/>
        <s v="SABS1200 GA \CONCRETE (SMALL WORKS)/8.3\SCHEDULED REINFORCEMENT ITEMS/8.3.2\High-Tensile Welded Mesh-Ref 888 /\KS13_013-Concrete Drop Inlet. Drawing NBC-GTW-CL-0017 \m²\21.48552 \ 20" u="1"/>
        <s v="SABS1200 GA \CONCRETE (SMALL WORKS)/8.3\SCHEDULED REINFORCEMENT ITEMS/8.3.2\High-Tensile Welded Mesh-Ref 888 /\KS13_011-Concrete Drop Inlet. Drawing NBC-GTW-CL-0015 \m²\21.5 \ 20" u="1"/>
        <s v="SABS1200 GA \CONCRETE (SMALL WORKS)/8.3\SCHEDULED REINFORCEMENT ITEMS/8.3.2\High-Tensile Welded Mesh-Ref 888 /\KS13_015-Concrete Drop Inlet. Drawing NBC-GTW-CL-0018 \m²\23.29992 \ 20" u="1"/>
        <s v="SABS1200 GA \CONCRETE (SMALL WORKS)/8.3\SCHEDULED REINFORCEMENT ITEMS/8.3.2\High-Tensile Welded Mesh-Ref 888 /\KS13_012-Concrete Drop Inlet. Drawing NBC-GTW-CL-0016 \m²\16.8548 \ 20" u="1"/>
        <s v="SABS1200 GA \CONCRETE (SMALL WORKS)/8.3\SCHEDULED REINFORCEMENT ITEMS/8.3.2\High-Tensile Welded Mesh-Ref 888 /\KS21_007-Concrete Drop Inlet. Drawing NBC-GTW-CL-0042 \m²\20.68352 \ 20" u="1"/>
        <s v="SABS1200 GA \CONCRETE (SMALL WORKS)/8.3\SCHEDULED REINFORCEMENT ITEMS/8.3.2\High-Tensile Welded Mesh-Ref 888 /\KS13_007-Concrete Drop Inlet. Drawing NBC-GTW-CL-0013 \m²\18.99072 \ 20" u="1"/>
        <s v="SABS1200 GA \CONCRETE (SMALL WORKS)/8.3\SCHEDULED REINFORCEMENT ITEMS/8.3.2\High-Tensile Welded Mesh-Ref 888 /\KS20_002-Concrete Drop Inlet. Drawing NBC-GTW-CL-0028 \m²\25.5606 \ 20" u="1"/>
        <s v="SABS1200 GA \CONCRETE (SMALL WORKS)/8.3\SCHEDULED REINFORCEMENT ITEMS/8.3.2\High-Tensile Welded Mesh-Ref 888 /\KS18_001-Concrete Drop Inlet. Drawing NBC-GTW-CL-0019 \m²\37.21536 \ 20" u="1"/>
        <s v="SABS1200 GA \CONCRETE (SMALL WORKS)/8.3\SCHEDULED REINFORCEMENT ITEMS/8.3.2\High-Tensile Welded Mesh-Ref 888 /\KS20_005-Concrete Drop Inlet. Drawing NBC-GTW-CL-0031 \m²\31.90684 \ 20" u="1"/>
        <s v="SABS1200 GA \CONCRETE (SMALL WORKS)/8.3\SCHEDULED REINFORCEMENT ITEMS/8.3.2\High-Tensile Welded Mesh-Ref 888 /\KS20_003-Concrete Buttress Weir. Drawing NBC-GTW-CL-0029 \m²\41.260352 \ 20" u="1"/>
        <s v="SABS1200 GA \CONCRETE (SMALL WORKS)/8.3\SCHEDULED REINFORCEMENT ITEMS/8.3.2\High-Tensile Welded Mesh-Ref 888 /\KS20_007-Concrete Drop Inlet. Drawing NBC-GTW-CL-0033 \m²\24.11068 \ 20" u="1"/>
        <s v="SABS1200 GA \CONCRETE (SMALL WORKS)/8.3\SCHEDULED REINFORCEMENT ITEMS/8.3.2\High-Tensile Welded Mesh-Ref 888 /\KS18_002-Concrete Drop Inlet. Drawing NBC-GTW-CL-0020 \m²\20.8292 \ 20" u="1"/>
        <s v="SABS1200 GA \CONCRETE (SMALL WORKS)/8.3\SCHEDULED REINFORCEMENT ITEMS/8.3.2\High-Tensile Welded Mesh-Ref 888 /\KS18_018-Concrete Drop Inlet. Drawing NBC-GTW-CL-0024 \m²\15.01908 \ 20" u="1"/>
        <s v="SABS1200 GA \CONCRETE (SMALL WORKS)/8.3\SCHEDULED REINFORCEMENT ITEMS/8.3.2\High-Tensile Welded Mesh-Ref 888 /\KS18_015-Concrete Drop Inlet. Drawing NBC-GTW-CL-0021 \m²\23.7248 \ 20" u="1"/>
        <s v="SABS1200 GA \CONCRETE (SMALL WORKS)/8.3\SCHEDULED REINFORCEMENT ITEMS/8.3.2\High-Tensile Welded Mesh-Ref 617 /\KS20_009_b-Concrete Overflow Wall. Drawing NBC-GTW-CL-0035 \m²\9 \ 20" u="1"/>
      </sharedItems>
    </cacheField>
    <cacheField name="High tensile Welded Mesh 2" numFmtId="0">
      <sharedItems count="46">
        <s v=" "/>
        <s v="SABS1200 GA \CONCRETE (SMALL WORKS)/8.3\SCHEDULED REINFORCEMENT ITEMS/8.3.2\High-Tensile Welded Mesh-Ref 943 /\ks11-002a-Concrete Drop Inlet on Dam Wall  \m²\82.1744 \ 20"/>
        <s v="SABS1200 GA \CONCRETE (SMALL WORKS)/8.3\SCHEDULED REINFORCEMENT ITEMS/8.3.2\High-Tensile Welded Mesh-Ref 943 /\ks11-004a-Concrete Drop Inlet on Dam Wall  \m²\82.1744 \ 20"/>
        <s v="SABS1200 GA \CONCRETE (SMALL WORKS)/8.3\SCHEDULED REINFORCEMENT ITEMS/8.3.2\High-Tensile Welded Mesh-Ref 617 /\KS12_002-Concrete Drop Inlet. Drawing NBC-GTW-CL-0002 \m²\38 \ 20"/>
        <s v="SABS1200 GA \CONCRETE (SMALL WORKS)/8.3\SCHEDULED REINFORCEMENT ITEMS/8.3.2\High-Tensile Welded Mesh-Ref 655 /\KS12_004-Concrete Drop Inlet. Drawing NBC-GTW-CL-0003 \m²\30.0464 \ 20"/>
        <s v="SABS1200 GA \CONCRETE (SMALL WORKS)/8.3\SCHEDULED REINFORCEMENT ITEMS/8.3.2\High-Tensile Welded Mesh-Ref 655 /\KS12_005-Concrete Drop Inlet. Drawing NBC-GTW-CL-0004 \m²\24.34752 \ 20"/>
        <s v="SABS1200 GA \CONCRETE (SMALL WORKS)/8.3\SCHEDULED REINFORCEMENT ITEMS/8.3.2\High-Tensile Welded Mesh-Ref 617 /\KS12_006-Concrete Drop Inlet. Drawing NBC-GTW-CL-0005 \m²\21.4668 \ 20"/>
        <s v="SABS1200 GA \CONCRETE (SMALL WORKS)/8.3\SCHEDULED REINFORCEMENT ITEMS/8.3.2\High-Tensile Welded Mesh-Ref 655 /\KS12_007-Concrete Drop Inlet. Drawing NBC-GTW-CL-0006 \m²\23.4144 \ 20"/>
        <s v="SABS1200 GA \CONCRETE (SMALL WORKS)/8.3\SCHEDULED REINFORCEMENT ITEMS/8.3.2\High-Tensile Welded Mesh-Ref 617 /\KS12_008-Concrete Drop Inlet. Drawing NBC-GTW-CL-0007 \m²\19.4568 \ 20"/>
        <s v="SABS1200 GA \CONCRETE (SMALL WORKS)/8.3\SCHEDULED REINFORCEMENT ITEMS/8.3.2\High-Tensile Welded Mesh-Ref 617 /\KS12_009-Concrete Drop Inlet. Drawing NBC-GTW-CL-0008 \m²\15.1152 \ 20"/>
        <s v="SABS1200 GA \CONCRETE (SMALL WORKS)/8.3\SCHEDULED REINFORCEMENT ITEMS/8.3.2\High-Tensile Welded Mesh-Ref 655 /\KS13_003-Concrete Drop Inlet. Drawing NBC-GTW-CL-0009 \m²\35.5224 \ 20"/>
        <s v="SABS1200 GA \CONCRETE (SMALL WORKS)/8.3\SCHEDULED REINFORCEMENT ITEMS/8.3.2\High-Tensile Welded Mesh-Ref 655 /\KS19_002-Concrete Drop Inlet. Drawing NBC-GTW-CL-0026 \m²\27.8256 \ 20"/>
        <s v="SABS1200 GA \CONCRETE (SMALL WORKS)/8.3\SCHEDULED REINFORCEMENT ITEMS/8.3.2\High-Tensile Welded Mesh-Ref 655 /\KS20_001-Concrete Drop Inlet. Drawing NBC-GTW-CL-0027 \m²\30.6176 \ 20"/>
        <s v="SABS1200 GA \CONCRETE (SMALL WORKS)/8.3\SCHEDULED REINFORCEMENT ITEMS/8.3.2\High-Tensile Welded Mesh-Ref 655 /\KS21_003-Concrete Drop Inlet. Drawing NBC-GTW-CL-0039 \m²\42.5784 \ 20"/>
        <s v="SABS1200 GA \CONCRETE (SMALL WORKS)/8,3\SCHEDULED REINFORCEMENT ITEMS/8.3.2\High-Tensile Welded Mesh-Ref 655 /\KS21_005-Concrete Drop Inlet. Drawing NBC-GTW-CL-0040 \m²\42,5784 \ 20"/>
        <s v="SABS1200 GA \CONCRETE (SMALL WORKS)/8.3\SCHEDULED REINFORCEMENT ITEMS/8.3.2\High-Tensile Welded Mesh-Ref 655 /\KS13_004-Concrete Drop Inlet. Drawing NBC-GTW-CL-0010 \m²\31.2052 \ 20" u="1"/>
        <s v="SABS1200 GA \CONCRETE (SMALL WORKS)/8.3\SCHEDULED REINFORCEMENT ITEMS/8.3.2\High-Tensile Welded Mesh-Ref 772 /\KS20_005-Concrete Drop Inlet. Drawing NBC-GTW-CL-0031 \m²\53.3484 \ 20" u="1"/>
        <s v="SABS1200 GA \CONCRETE (SMALL WORKS)/8.3\SCHEDULED REINFORCEMENT ITEMS/8.3.2\High-Tensile Welded Mesh-Ref 772 /\KS20_006-Concrete Drop Inlet. Drawing NBC-GTW-CL-0032 \m²\48.3894 \ 20" u="1"/>
        <s v="SABS1200 GA \CONCRETE (SMALL WORKS)/8.3\SCHEDULED REINFORCEMENT ITEMS/8.3.2\High-Tensile Welded Mesh-Ref 655 /\KS20_009_a-Concrete Buttress Weir. Drawing NBC-GTW-CL-0035 \m²\63.18832 \ 20" u="1"/>
        <s v="SABS1200 GA \CONCRETE (SMALL WORKS)/8.3\SCHEDULED REINFORCEMENT ITEMS/8.3.2\High-Tensile Welded Mesh-Ref 655 /\KS13_013-Concrete Drop Inlet. Drawing NBC-GTW-CL-0017 \m²\34.1712 \ 20" u="1"/>
        <s v="SABS1200 GA \CONCRETE (SMALL WORKS)/8.3\SCHEDULED REINFORCEMENT ITEMS/8.3.2\High-Tensile Welded Mesh-Ref 655 /\KS13_015-Concrete Drop Inlet. Drawing NBC-GTW-CL-0018 \m²\34.1712 \ 20" u="1"/>
        <s v="SABS1200 GA \CONCRETE (SMALL WORKS)/8.3\SCHEDULED REINFORCEMENT ITEMS/8.3.2\High-Tensile Welded Mesh-Ref 655 /\KS13_011-Concrete Drop Inlet. Drawing NBC-GTW-CL-0015 \m²\33 \ 20" u="1"/>
        <s v="SABS1200 GA \CONCRETE (SMALL WORKS)/8.3\SCHEDULED REINFORCEMENT ITEMS/8.3.2\High-Tensile Welded Mesh-Ref 617 /\KS21_007-Concrete Drop Inlet. Drawing NBC-GTW-CL-0042 \m²\29.0048 \ 20" u="1"/>
        <s v="SABS1200 GA \CONCRETE (SMALL WORKS)/8.3\SCHEDULED REINFORCEMENT ITEMS/8.3.2\High-Tensile Welded Mesh-Ref 772 /\KS18_001-Concrete Drop Inlet. Drawing NBC-GTW-CL-0019 \m²\60.4352 \ 20" u="1"/>
        <s v="SABS1200 GA \CONCRETE (SMALL WORKS)/8.3\SCHEDULED REINFORCEMENT ITEMS/8.3.2\High-Tensile Welded Mesh-Ref 617 /\KS21_006-Concrete Drop Inlet. Drawing NBC-GTW-CL-0041 \m²\35.1436 \ 20" u="1"/>
        <s v="SABS1200 GA \CONCRETE (SMALL WORKS)/8.3\SCHEDULED REINFORCEMENT ITEMS/8.3.2\High-Tensile Welded Mesh-Ref 655 /\KS13_007-Concrete Drop Inlet. Drawing NBC-GTW-CL-0013 \m²\29.0304 \ 20" u="1"/>
        <s v="SABS1200 GA \CONCRETE (SMALL WORKS)/8.3\SCHEDULED REINFORCEMENT ITEMS/8.3.2\High-Tensile Welded Mesh-Ref 655 /\KS21_005-Concrete Drop Inlet. Drawing NBC-GTW-CL-0040 \m²\34.1398 \ 20" u="1"/>
        <s v="SABS1200 GA \CONCRETE (SMALL WORKS)/8.3\SCHEDULED REINFORCEMENT ITEMS/8.3.2\High-Tensile Welded Mesh-Ref 655 /\KS13_008-Concrete Drop Inlet. Drawing NBC-GTW-CL-0014 \m²\38.3616 \ 20" u="1"/>
        <s v="SABS1200 GA \CONCRETE (SMALL WORKS)/8.3\SCHEDULED REINFORCEMENT ITEMS/8.3.2\High-Tensile Welded Mesh-Ref 655 /\KS18_018-Concrete Drop Inlet. Drawing NBC-GTW-CL-0024 \m²\25.8028 \ 20" u="1"/>
        <s v="SABS1200 GA \CONCRETE (SMALL WORKS)/8.3\SCHEDULED REINFORCEMENT ITEMS/8.3.2\High-Tensile Welded Mesh-Ref 772 /\KS18_015-Concrete Drop Inlet. Drawing NBC-GTW-CL-0021 \m²\36.7488 \ 20" u="1"/>
        <s v="SABS1200 GA \CONCRETE (SMALL WORKS)/8.3\SCHEDULED REINFORCEMENT ITEMS/8.3.2\High-Tensile Welded Mesh-Ref 655 /\KS13_005-Concrete Drop Inlet. Drawing NBC-GTW-CL-0011 \m²\31.9992 \ 20" u="1"/>
        <s v="SABS1200 GA \CONCRETE (SMALL WORKS)/8.3\SCHEDULED REINFORCEMENT ITEMS/8.3.2\High-Tensile Welded Mesh-Ref 655 /\KS13_006-Concrete Drop Inlet. Drawing NBC-GTW-CL-0012 \m²\31.9992 \ 20" u="1"/>
        <s v="SABS1200 GA \CONCRETE (SMALL WORKS)/8.3\SCHEDULED REINFORCEMENT ITEMS/8.3.2\High-Tensile Welded Mesh-Ref 655 /\KS18_020-Concrete Drop Inlet associated with Road Culvert  \m²\33.7212 \ 20" u="1"/>
        <s v="SABS1200 GA \CONCRETE (SMALL WORKS)/8.3\SCHEDULED REINFORCEMENT ITEMS/8.3.2\High-Tensile Welded Mesh-Ref 655 /\KS18_017-Concrete Drop Inlet. Drawing NBC-GTW-CL-0023 \m²\29.116 \ 20" u="1"/>
        <s v="SABS1200 GA \CONCRETE (SMALL WORKS)/8.3\SCHEDULED REINFORCEMENT ITEMS/8.3.2\High-Tensile Welded Mesh-Ref 655 /\KS18_002-Concrete Drop Inlet. Drawing NBC-GTW-CL-0020 \m²\36.1224 \ 20" u="1"/>
        <s v="SABS1200 GA \CONCRETE (SMALL WORKS)/8.3\SCHEDULED REINFORCEMENT ITEMS/8.3.2\High-Tensile Welded Mesh-Ref 655 /\KS18_019-Concrete Drop Inlet. Drawing NBC-GTW-CL-0025 \m²\25.7472 \ 20" u="1"/>
        <s v="SABS1200 GA \CONCRETE (SMALL WORKS)/8.3\SCHEDULED REINFORCEMENT ITEMS/8.3.2\High-Tensile Welded Mesh-Ref 655 /\KS21_009-Concrete Drop Inlet. Drawing NBC-GTW-CL-0043 \m²\26.6976 \ 20" u="1"/>
        <s v="SABS1200 GA \CONCRETE (SMALL WORKS)/8.3\SCHEDULED REINFORCEMENT ITEMS/8.3.2\High-Tensile Welded Mesh-Ref 655 /\KS21_010-Concrete Drop Inlet. Drawing NBC-GTW-CL-0044 \m²\26.568 \ 20" u="1"/>
        <s v="SABS1200 GA \CONCRETE (SMALL WORKS)/8.3\SCHEDULED REINFORCEMENT ITEMS/8.3.2\High-Tensile Welded Mesh-Ref 655 /\KS13_012-Concrete Drop Inlet. Drawing NBC-GTW-CL-0016 \m²\28.536 \ 20" u="1"/>
        <s v="SABS1200 GA \CONCRETE (SMALL WORKS)/8.3\SCHEDULED REINFORCEMENT ITEMS/8.3.2\High-Tensile Welded Mesh-Ref 655 /\KS20_007-Concrete Drop Inlet. Drawing NBC-GTW-CL-0033 \m²\40.8628 \ 20" u="1"/>
        <s v="SABS1200 GA \CONCRETE (SMALL WORKS)/8.3\SCHEDULED REINFORCEMENT ITEMS/8.3.2\High-Tensile Welded Mesh-Ref 772 /\KS20_003-Concrete Buttress Weir. Drawing NBC-GTW-CL-0029 \m²\65.02272 \ 20" u="1"/>
        <s v="SABS1200 GA \CONCRETE (SMALL WORKS)/8.3\SCHEDULED REINFORCEMENT ITEMS/8.3.2\High-Tensile Welded Mesh-Ref 772 /\KS20_002-Concrete Drop Inlet. Drawing NBC-GTW-CL-0028 \m²\40.1376 \ 20" u="1"/>
        <s v="SABS1200 GA \CONCRETE (SMALL WORKS)/8.3\SCHEDULED REINFORCEMENT ITEMS/8.3.2\High-Tensile Welded Mesh-Ref 772 /\KS20_008-Concrete Drop Inlet. Drawing NBC-GTW-CL-0034 \m²\52.6336 \ 20" u="1"/>
        <s v="SABS1200 GA \CONCRETE (SMALL WORKS)/8.3\SCHEDULED REINFORCEMENT ITEMS/8.3.2\High-Tensile Welded Mesh-Ref 655 /\KS18_016-Concrete Drop Inlet. Drawing NBC-GTW-CL-0022 \m²\29.5176 \ 20" u="1"/>
        <s v="SABS1200 GA \CONCRETE (SMALL WORKS)/8.3\SCHEDULED REINFORCEMENT ITEMS/8.3.2\High-Tensile Welded Mesh-Ref 772 /\KS20_004-Concrete Drop Inlet. Drawing NBC-GTW-CL-0030 \m²\42.5952 \ 20" u="1"/>
        <s v="SABS1200 GA \CONCRETE (SMALL WORKS)/8.3\SCHEDULED REINFORCEMENT ITEMS/8.3.2\High-Tensile Welded Mesh-Ref 395 /\KS20_009_b-Concrete Overflow Wall. Drawing NBC-GTW-CL-0035 \m²\9 \ 20" u="1"/>
      </sharedItems>
    </cacheField>
    <cacheField name="Rough - Horizontal (85°-90°)2" numFmtId="0">
      <sharedItems count="1">
        <s v=" "/>
      </sharedItems>
    </cacheField>
    <cacheField name="Rough - Sloping (&gt;10°&lt;85°)2" numFmtId="0">
      <sharedItems count="46">
        <s v=" "/>
        <s v="SABS1200 GA \CONCRETE (SMALL WORKS)/8.2\SCHEDULED FORMWORK ITEMS/8.2.1\Rough Formwork - Sloping (&gt;10°&lt;85°). /\ks11-002a-Concrete Drop Inlet on Dam Wall  \m²\124.76995008702 \ 650"/>
        <s v="SABS1200 GA \CONCRETE (SMALL WORKS)/8.2\SCHEDULED FORMWORK ITEMS/8.2.1\Rough Formwork - Sloping (&gt;10°&lt;85°). /\ks11-004a-Concrete Drop Inlet on Dam Wall  \m²\124.76995008702 \ 650"/>
        <s v="SABS1200 GA \CONCRETE (SMALL WORKS)/8.2\SCHEDULED FORMWORK ITEMS/8.2.1\Rough Formwork - Sloping (&gt;10°&lt;85°). /\KS12_002-Concrete Drop Inlet. Drawing NBC-GTW-CL-0002 \m²\14 \ 650"/>
        <s v="SABS1200 GA \CONCRETE (SMALL WORKS)/8.2\SCHEDULED FORMWORK ITEMS/8.2.1\Rough Formwork - Sloping (&gt;10°&lt;85°). /\KS12_004-Concrete Drop Inlet. Drawing NBC-GTW-CL-0003 \m²\58.4070059649952 \ 650"/>
        <s v="SABS1200 GA \CONCRETE (SMALL WORKS)/8.2\SCHEDULED FORMWORK ITEMS/8.2.1\Rough Formwork - Sloping (&gt;10°&lt;85°). /\KS12_005-Concrete Drop Inlet. Drawing NBC-GTW-CL-0004 \m²\58.1500556713744 \ 650"/>
        <s v="SABS1200 GA \CONCRETE (SMALL WORKS)/8.2\SCHEDULED FORMWORK ITEMS/8.2.1\Rough Formwork - Sloping (&gt;10°&lt;85°). /\KS12_006-Concrete Drop Inlet. Drawing NBC-GTW-CL-0005 \m²\30.9852321055478 \ 650"/>
        <s v="SABS1200 GA \CONCRETE (SMALL WORKS)/8.2\SCHEDULED FORMWORK ITEMS/8.2.1\Rough Formwork - Sloping (&gt;10°&lt;85°). /\KS12_007-Concrete Drop Inlet. Drawing NBC-GTW-CL-0006 \m²\38.9264143183359 \ 650"/>
        <s v="SABS1200 GA \CONCRETE (SMALL WORKS)/8.2\SCHEDULED FORMWORK ITEMS/8.2.1\Rough Formwork - Sloping (&gt;10°&lt;85°). /\KS12_008-Concrete Drop Inlet. Drawing NBC-GTW-CL-0007 \m²\30.6856907895328 \ 650"/>
        <s v="SABS1200 GA \CONCRETE (SMALL WORKS)/8.2\SCHEDULED FORMWORK ITEMS/8.2.1\Rough Formwork - Sloping (&gt;10°&lt;85°). /\KS12_009-Concrete Drop Inlet. Drawing NBC-GTW-CL-0008 \m²\23.4752412582958 \ 650"/>
        <s v="SABS1200 GA \CONCRETE (SMALL WORKS)/8.2\SCHEDULED FORMWORK ITEMS/8.2.1\Rough Formwork - Sloping (&gt;10°&lt;85°). /\KS13_003-Concrete Drop Inlet. Drawing NBC-GTW-CL-0009 \m²\49.822834066672 \ 650"/>
        <s v="SABS1200 GA \CONCRETE (SMALL WORKS)/8.2\SCHEDULED FORMWORK ITEMS/8.2.1\Rough Formwork - Sloping (&gt;10°&lt;85°). /\KS19_002-Concrete Drop Inlet. Drawing NBC-GTW-CL-0026 \m²\46.0892027908199 \ 650"/>
        <s v="SABS1200 GA \CONCRETE (SMALL WORKS)/8.2\SCHEDULED FORMWORK ITEMS/8.2.1\Rough Formwork - Sloping (&gt;10°&lt;85°). /\KS20_001-Concrete Drop Inlet. Drawing NBC-GTW-CL-0027 \m²\38.0794658467317 \ 650"/>
        <s v="SABS1200 GA \CONCRETE (SMALL WORKS)/8.2\SCHEDULED FORMWORK ITEMS/8.2.1\Rough Formwork - Sloping (&gt;10°&lt;85°). /\KS21_003-Concrete Drop Inlet. Drawing NBC-GTW-CL-0039 \m²\40.8873193576764 \ 650"/>
        <s v="SABS1200 GA \CONCRETE (SMALL WORKS)/8,2\SCHEDULED FORMWORK ITEMS/8.2.1\Rough Formwork - Sloping (&gt;10°&lt;85°). /\KS21_005-Concrete Drop Inlet. Drawing NBC-GTW-CL-0040 \m²\40,8873193576764 \ 650"/>
        <s v="SABS1200 GA \CONCRETE (SMALL WORKS)/8.2\SCHEDULED FORMWORK ITEMS/8.2.1\Rough Formwork - Sloping (&gt;10°&lt;85°). /\KS20_007-Concrete Drop Inlet. Drawing NBC-GTW-CL-0033 \m²\59.5374174381272 \ 650" u="1"/>
        <s v="SABS1200 GA \CONCRETE (SMALL WORKS)/8.2\SCHEDULED FORMWORK ITEMS/8.2.1\Rough Formwork - Sloping (&gt;10°&lt;85°). /\KS20_003-Concrete Buttress Weir. Drawing NBC-GTW-CL-0029 \m²\61.3910444262817 \ 650" u="1"/>
        <s v="SABS1200 GA \CONCRETE (SMALL WORKS)/8.2\SCHEDULED FORMWORK ITEMS/8.2.1\Rough Formwork - Sloping (&gt;10°&lt;85°). /\KS13_007-Concrete Drop Inlet. Drawing NBC-GTW-CL-0013 \m²\47.2031779853186 \ 650" u="1"/>
        <s v="SABS1200 GA \CONCRETE (SMALL WORKS)/8.2\SCHEDULED FORMWORK ITEMS/8.2.1\Rough Formwork - Sloping (&gt;10°&lt;85°). /\KS20_009_a-Concrete Buttress Weir. Drawing NBC-GTW-CL-0035 \m²\70.1490045214263 \ 650" u="1"/>
        <s v="SABS1200 GA \CONCRETE (SMALL WORKS)/8.2\SCHEDULED FORMWORK ITEMS/8.2.1\Rough Formwork - Sloping (&gt;10°&lt;85°). /\KS20_002-Concrete Drop Inlet. Drawing NBC-GTW-CL-0028 \m²\56.8884402314798 \ 650" u="1"/>
        <s v="SABS1200 GA \CONCRETE (SMALL WORKS)/8.2\SCHEDULED FORMWORK ITEMS/8.2.1\Rough Formwork - Sloping (&gt;10°&lt;85°). /\KS21_006-Concrete Drop Inlet. Drawing NBC-GTW-CL-0041 \m²\45.348677435461 \ 650" u="1"/>
        <s v="SABS1200 GA \CONCRETE (SMALL WORKS)/8.2\SCHEDULED FORMWORK ITEMS/8.2.1\Rough Formwork - Sloping (&gt;10°&lt;85°). /\KS21_010-Concrete Drop Inlet. Drawing NBC-GTW-CL-0044 \m²\55.2431932328765 \ 650" u="1"/>
        <s v="SABS1200 GA \CONCRETE (SMALL WORKS)/8.2\SCHEDULED FORMWORK ITEMS/8.2.1\Rough Formwork - Sloping (&gt;10°&lt;85°). /\KS18_020-Concrete Drop Inlet associated with Road Culvert  \m²\57.6958279475728 \ 650" u="1"/>
        <s v="SABS1200 GA \CONCRETE (SMALL WORKS)/8.2\SCHEDULED FORMWORK ITEMS/8.2.1\Rough Formwork - Sloping (&gt;10°&lt;85°). /\KS13_015-Concrete Drop Inlet. Drawing NBC-GTW-CL-0018 \m²\41.4671810737264 \ 650" u="1"/>
        <s v="SABS1200 GA \CONCRETE (SMALL WORKS)/8.2\SCHEDULED FORMWORK ITEMS/8.2.1\Rough Formwork - Sloping (&gt;10°&lt;85°). /\KS13_011-Concrete Drop Inlet. Drawing NBC-GTW-CL-0015 \m²\60.2 \ 650" u="1"/>
        <s v="SABS1200 GA \CONCRETE (SMALL WORKS)/8.2\SCHEDULED FORMWORK ITEMS/8.2.1\Rough Formwork - Sloping (&gt;10°&lt;85°). /\KS20_004-Concrete Drop Inlet. Drawing NBC-GTW-CL-0030 \m²\63.3332755056505 \ 650" u="1"/>
        <s v="SABS1200 GA \CONCRETE (SMALL WORKS)/8.2\SCHEDULED FORMWORK ITEMS/8.2.1\Rough Formwork - Sloping (&gt;10°&lt;85°). /\KS13_008-Concrete Drop Inlet. Drawing NBC-GTW-CL-0014 \m²\56.6781972496904 \ 650" u="1"/>
        <s v="SABS1200 GA \CONCRETE (SMALL WORKS)/8.2\SCHEDULED FORMWORK ITEMS/8.2.1\Rough Formwork - Sloping (&gt;10°&lt;85°). /\KS18_018-Concrete Drop Inlet. Drawing NBC-GTW-CL-0024 \m²\44.5054266893638 \ 650" u="1"/>
        <s v="SABS1200 GA \CONCRETE (SMALL WORKS)/8.2\SCHEDULED FORMWORK ITEMS/8.2.1\Rough Formwork - Sloping (&gt;10°&lt;85°). /\KS20_009_b-Concrete Overflow Wall. Drawing NBC-GTW-CL-0035 \m²\4.29566479139143 \ 650" u="1"/>
        <s v="SABS1200 GA \CONCRETE (SMALL WORKS)/8.2\SCHEDULED FORMWORK ITEMS/8.2.1\Rough Formwork - Sloping (&gt;10°&lt;85°). /\KS13_013-Concrete Drop Inlet. Drawing NBC-GTW-CL-0017 \m²\41.2942277297212 \ 650" u="1"/>
        <s v="SABS1200 GA \CONCRETE (SMALL WORKS)/8.2\SCHEDULED FORMWORK ITEMS/8.2.1\Rough Formwork - Sloping (&gt;10°&lt;85°). /\KS18_015-Concrete Drop Inlet. Drawing NBC-GTW-CL-0021 \m²\66.929119262221 \ 650" u="1"/>
        <s v="SABS1200 GA \CONCRETE (SMALL WORKS)/8.2\SCHEDULED FORMWORK ITEMS/8.2.1\Rough Formwork - Sloping (&gt;10°&lt;85°). /\KS18_016-Concrete Drop Inlet. Drawing NBC-GTW-CL-0022 \m²\56.3622478801672 \ 650" u="1"/>
        <s v="SABS1200 GA \CONCRETE (SMALL WORKS)/8.2\SCHEDULED FORMWORK ITEMS/8.2.1\Rough Formwork - Sloping (&gt;10°&lt;85°). /\KS13_004-Concrete Drop Inlet. Drawing NBC-GTW-CL-0010 \m²\40.611330282822 \ 650" u="1"/>
        <s v="SABS1200 GA \CONCRETE (SMALL WORKS)/8.2\SCHEDULED FORMWORK ITEMS/8.2.1\Rough Formwork - Sloping (&gt;10°&lt;85°). /\KS20_008-Concrete Drop Inlet. Drawing NBC-GTW-CL-0034 \m²\72.8740665047539 \ 650" u="1"/>
        <s v="SABS1200 GA \CONCRETE (SMALL WORKS)/8.2\SCHEDULED FORMWORK ITEMS/8.2.1\Rough Formwork - Sloping (&gt;10°&lt;85°). /\KS18_017-Concrete Drop Inlet. Drawing NBC-GTW-CL-0023 \m²\52.575645514272 \ 650" u="1"/>
        <s v="SABS1200 GA \CONCRETE (SMALL WORKS)/8.2\SCHEDULED FORMWORK ITEMS/8.2.1\Rough Formwork - Sloping (&gt;10°&lt;85°). /\KS13_012-Concrete Drop Inlet. Drawing NBC-GTW-CL-0016 \m²\52.3209261824991 \ 650" u="1"/>
        <s v="SABS1200 GA \CONCRETE (SMALL WORKS)/8.2\SCHEDULED FORMWORK ITEMS/8.2.1\Rough Formwork - Sloping (&gt;10°&lt;85°). /\KS13_005-Concrete Drop Inlet. Drawing NBC-GTW-CL-0011 \m²\57.7914437861174 \ 650" u="1"/>
        <s v="SABS1200 GA \CONCRETE (SMALL WORKS)/8.2\SCHEDULED FORMWORK ITEMS/8.2.1\Rough Formwork - Sloping (&gt;10°&lt;85°). /\KS21_005-Concrete Drop Inlet. Drawing NBC-GTW-CL-0040 \m²\50.939046755886 \ 650" u="1"/>
        <s v="SABS1200 GA \CONCRETE (SMALL WORKS)/8.2\SCHEDULED FORMWORK ITEMS/8.2.1\Rough Formwork - Sloping (&gt;10°&lt;85°). /\KS20_006-Concrete Drop Inlet. Drawing NBC-GTW-CL-0032 \m²\72.579338047832 \ 650" u="1"/>
        <s v="SABS1200 GA \CONCRETE (SMALL WORKS)/8.2\SCHEDULED FORMWORK ITEMS/8.2.1\Rough Formwork - Sloping (&gt;10°&lt;85°). /\KS21_009-Concrete Drop Inlet. Drawing NBC-GTW-CL-0043 \m²\57.7336849462415 \ 650" u="1"/>
        <s v="SABS1200 GA \CONCRETE (SMALL WORKS)/8.2\SCHEDULED FORMWORK ITEMS/8.2.1\Rough Formwork - Sloping (&gt;10°&lt;85°). /\KS21_007-Concrete Drop Inlet. Drawing NBC-GTW-CL-0042 \m²\46.0461262534551 \ 650" u="1"/>
        <s v="SABS1200 GA \CONCRETE (SMALL WORKS)/8.2\SCHEDULED FORMWORK ITEMS/8.2.1\Rough Formwork - Sloping (&gt;10°&lt;85°). /\KS18_019-Concrete Drop Inlet. Drawing NBC-GTW-CL-0025 \m²\56.7255840503127 \ 650" u="1"/>
        <s v="SABS1200 GA \CONCRETE (SMALL WORKS)/8.2\SCHEDULED FORMWORK ITEMS/8.2.1\Rough Formwork - Sloping (&gt;10°&lt;85°). /\KS20_005-Concrete Drop Inlet. Drawing NBC-GTW-CL-0031 \m²\67.9531453846429 \ 650" u="1"/>
        <s v="SABS1200 GA \CONCRETE (SMALL WORKS)/8.2\SCHEDULED FORMWORK ITEMS/8.2.1\Rough Formwork - Sloping (&gt;10°&lt;85°). /\KS13_006-Concrete Drop Inlet. Drawing NBC-GTW-CL-0012 \m²\58.0575615157111 \ 650" u="1"/>
        <s v="SABS1200 GA \CONCRETE (SMALL WORKS)/8.2\SCHEDULED FORMWORK ITEMS/8.2.1\Rough Formwork - Sloping (&gt;10°&lt;85°). /\KS18_002-Concrete Drop Inlet. Drawing NBC-GTW-CL-0020 \m²\46.8829660474418 \ 650" u="1"/>
        <s v="SABS1200 GA \CONCRETE (SMALL WORKS)/8.2\SCHEDULED FORMWORK ITEMS/8.2.1\Rough Formwork - Sloping (&gt;10°&lt;85°). /\KS18_001-Concrete Drop Inlet. Drawing NBC-GTW-CL-0019 \m²\88.650348334798 \ 650" u="1"/>
      </sharedItems>
    </cacheField>
    <cacheField name="Rough - Battered (&lt;10°)2" numFmtId="0">
      <sharedItems count="1">
        <s v=" "/>
      </sharedItems>
    </cacheField>
    <cacheField name="Rough - Vertical (0°)2" numFmtId="0">
      <sharedItems count="50">
        <s v=" "/>
        <s v="SABS1200 GA \CONCRETE (SMALL WORKS)/8.2\SCHEDULED FORMWORK ITEMS/8.2.1\Rough Formwork - Vertical (0°). /\ks11-001-Off-take structure  \m²\3.068 \ 650"/>
        <s v="SABS1200 GA \CONCRETE (SMALL WORKS)/8.2\SCHEDULED FORMWORK ITEMS/8.2.1\Rough Formwork - Vertical (0°). /\ks11-002a-Concrete Drop Inlet on Dam Wall  \m²\47 \ 650"/>
        <s v="SABS1200 GA \CONCRETE (SMALL WORKS)/8.2\SCHEDULED FORMWORK ITEMS/8.2.1\Rough Formwork - Vertical (0°). /\ks11-002b-Concrete Splash Through Structure. Drawing NBC-GTW-CL-0067 \m²\10.8 \ 650"/>
        <s v="SABS1200 GA \CONCRETE (SMALL WORKS)/8.2\SCHEDULED FORMWORK ITEMS/8.2.1\Rough Formwork - Vertical (0°). /\ks11-004a-Concrete Drop Inlet on Dam Wall  \m²\47 \ 650"/>
        <s v="SABS1200 GA \CONCRETE (SMALL WORKS)/8.2\SCHEDULED FORMWORK ITEMS/8.2.1\Rough Formwork - Vertical (0°). /\ks11-004b-Concrete Splash Through Structure. Drawing NBC-GTW-CL-0068 \m²\10.8 \ 650"/>
        <s v="SABS1200 GA \CONCRETE (SMALL WORKS)/8.2\SCHEDULED FORMWORK ITEMS/8.2.1\Rough Formwork - Vertical (0°). /\KS12_002-Concrete Drop Inlet. Drawing NBC-GTW-CL-0002 \m²\20.3 \ 650"/>
        <s v="SABS1200 GA \CONCRETE (SMALL WORKS)/8.2\SCHEDULED FORMWORK ITEMS/8.2.1\Rough Formwork - Vertical (0°). /\KS12_004-Concrete Drop Inlet. Drawing NBC-GTW-CL-0003 \m²\7.2 \ 650"/>
        <s v="SABS1200 GA \CONCRETE (SMALL WORKS)/8.2\SCHEDULED FORMWORK ITEMS/8.2.1\Rough Formwork - Vertical (0°). /\KS12_005-Concrete Drop Inlet. Drawing NBC-GTW-CL-0004 \m²\5.58 \ 650"/>
        <s v="SABS1200 GA \CONCRETE (SMALL WORKS)/8.2\SCHEDULED FORMWORK ITEMS/8.2.1\Rough Formwork - Vertical (0°). /\KS12_006-Concrete Drop Inlet. Drawing NBC-GTW-CL-0005 \m²\2.25 \ 650"/>
        <s v="SABS1200 GA \CONCRETE (SMALL WORKS)/8.2\SCHEDULED FORMWORK ITEMS/8.2.1\Rough Formwork - Vertical (0°). /\KS12_007-Concrete Drop Inlet. Drawing NBC-GTW-CL-0006 \m²\3.15 \ 650"/>
        <s v="SABS1200 GA \CONCRETE (SMALL WORKS)/8.2\SCHEDULED FORMWORK ITEMS/8.2.1\Rough Formwork - Vertical (0°). /\KS12_008-Concrete Drop Inlet. Drawing NBC-GTW-CL-0007 \m²\2 \ 650"/>
        <s v="SABS1200 GA \CONCRETE (SMALL WORKS)/8.2\SCHEDULED FORMWORK ITEMS/8.2.1\Rough Formwork - Vertical (0°). /\KS12_009-Concrete Drop Inlet. Drawing NBC-GTW-CL-0008 \m²\0.9 \ 650"/>
        <s v="SABS1200 GA \CONCRETE (SMALL WORKS)/8.2\SCHEDULED FORMWORK ITEMS/8.2.1\Rough Formwork - Vertical (0°). /\KS13_003-Concrete Drop Inlet. Drawing NBC-GTW-CL-0009 \m²\16.51 \ 650"/>
        <s v="SABS1200 GA \CONCRETE (SMALL WORKS)/8.2\SCHEDULED FORMWORK ITEMS/8.2.1\Rough Formwork - Vertical (0°). /\KS19_002-Concrete Drop Inlet. Drawing NBC-GTW-CL-0026 \m²\6.42 \ 650"/>
        <s v="SABS1200 GA \CONCRETE (SMALL WORKS)/8.2\SCHEDULED FORMWORK ITEMS/8.2.1\Rough Formwork - Vertical (0°). /\KS20_001-Concrete Drop Inlet. Drawing NBC-GTW-CL-0027 \m²\2.385 \ 650"/>
        <s v="SABS1200 GA \CONCRETE (SMALL WORKS)/8.2\SCHEDULED FORMWORK ITEMS/8.2.1\Rough Formwork - Vertical (0°). /\KS20_009_a-Concrete Check Wall. Drawing NBC-GTW-CL-0035 \m²\11 \ 650"/>
        <s v="SABS1200 GA \CONCRETE (SMALL WORKS)/8.2\SCHEDULED FORMWORK ITEMS/8.2.1\Rough Formwork - Vertical (0°). /\KS21_003-Concrete Drop Inlet. Drawing NBC-GTW-CL-0039 \m²\4.25 \ 650"/>
        <s v="SABS1200 GA \CONCRETE (SMALL WORKS)/8,2\SCHEDULED FORMWORK ITEMS/8.2.1\Rough Formwork - Vertical (0°). /\KS21_005-Concrete Drop Inlet. Drawing NBC-GTW-CL-0040 \m²\4,25 \ 650"/>
        <s v="SABS1200 GA \CONCRETE (SMALL WORKS)/8.2\SCHEDULED FORMWORK ITEMS/8.2.1\Rough Formwork - Vertical (0°). /\KS13_006-Concrete Drop Inlet. Drawing NBC-GTW-CL-0012 \m²\19.2 \ 650" u="1"/>
        <s v="SABS1200 GA \CONCRETE (SMALL WORKS)/8.2\SCHEDULED FORMWORK ITEMS/8.2.1\Rough Formwork - Vertical (0°). /\KS21_006-Concrete Drop Inlet. Drawing NBC-GTW-CL-0041 \m²\17.9256 \ 650" u="1"/>
        <s v="SABS1200 GA \CONCRETE (SMALL WORKS)/8.2\SCHEDULED FORMWORK ITEMS/8.2.1\Rough Formwork - Vertical (0°). /\KS18_016-Concrete Drop Inlet. Drawing NBC-GTW-CL-0022 \m²\18.4 \ 650" u="1"/>
        <s v="SABS1200 GA \CONCRETE (SMALL WORKS)/8.2\SCHEDULED FORMWORK ITEMS/8.2.1\Rough Formwork - Vertical (0°). /\KS21_005-Concrete Drop Inlet. Drawing NBC-GTW-CL-0040 \m²\20.4756 \ 650" u="1"/>
        <s v="SABS1200 GA \CONCRETE (SMALL WORKS)/8.2\SCHEDULED FORMWORK ITEMS/8.2.1\Rough Formwork - Vertical (0°). /\KS18_002-Concrete Drop Inlet. Drawing NBC-GTW-CL-0020 \m²\17.6 \ 650" u="1"/>
        <s v="SABS1200 GA \CONCRETE (SMALL WORKS)/8.2\SCHEDULED FORMWORK ITEMS/8.2.1\Rough Formwork - Vertical (0°). /\KS13_013-Concrete Drop Inlet. Drawing NBC-GTW-CL-0017 \m²\13.04 \ 650" u="1"/>
        <s v="SABS1200 GA \CONCRETE (SMALL WORKS)/8.2\SCHEDULED FORMWORK ITEMS/8.2.1\Rough Formwork - Vertical (0°). /\KS20_006-Concrete Drop Inlet. Drawing NBC-GTW-CL-0032 \m²\28.7426 \ 650" u="1"/>
        <s v="SABS1200 GA \CONCRETE (SMALL WORKS)/8.2\SCHEDULED FORMWORK ITEMS/8.2.1\Rough Formwork - Vertical (0°). /\KS20_009_a-Concrete Buttress Weir. Drawing NBC-GTW-CL-0035 \m²\69.6344577319588 \ 650" u="1"/>
        <s v="SABS1200 GA \CONCRETE (SMALL WORKS)/8.2\SCHEDULED FORMWORK ITEMS/8.2.1\Rough Formwork - Vertical (0°). /\KS20_009_b-Concrete Overflow Wall. Drawing NBC-GTW-CL-0035 \m²\29.036 \ 650" u="1"/>
        <s v="SABS1200 GA \CONCRETE (SMALL WORKS)/8.2\SCHEDULED FORMWORK ITEMS/8.2.1\Rough Formwork - Vertical (0°). /\KS20_004-Concrete Drop Inlet. Drawing NBC-GTW-CL-0030 \m²\19.9134 \ 650" u="1"/>
        <s v="SABS1200 GA \CONCRETE (SMALL WORKS)/8.2\SCHEDULED FORMWORK ITEMS/8.2.1\Rough Formwork - Vertical (0°). /\KS20_003-Concrete Buttress Weir. Drawing NBC-GTW-CL-0029 \m²\50.7771862068966 \ 650" u="1"/>
        <s v="SABS1200 GA \CONCRETE (SMALL WORKS)/8.2\SCHEDULED FORMWORK ITEMS/8.2.1\Rough Formwork - Vertical (0°). /\KS18_018-Concrete Drop Inlet. Drawing NBC-GTW-CL-0024 \m²\13.81 \ 650" u="1"/>
        <s v="SABS1200 GA \CONCRETE (SMALL WORKS)/8.2\SCHEDULED FORMWORK ITEMS/8.2.1\Rough Formwork - Vertical (0°). /\KS20_002-Concrete Drop Inlet. Drawing NBC-GTW-CL-0028 \m²\4.8 \ 650" u="1"/>
        <s v="SABS1200 GA \CONCRETE (SMALL WORKS)/8.2\SCHEDULED FORMWORK ITEMS/8.2.1\Rough Formwork - Vertical (0°). /\KS21_010-Concrete Drop Inlet. Drawing NBC-GTW-CL-0044 \m²\17.0307 \ 650" u="1"/>
        <s v="SABS1200 GA \CONCRETE (SMALL WORKS)/8.2\SCHEDULED FORMWORK ITEMS/8.2.1\Rough Formwork - Vertical (0°). /\KS18_020-Concrete Drop Inlet associated with Road Culvert  \m²\18.465 \ 650" u="1"/>
        <s v="SABS1200 GA \CONCRETE (SMALL WORKS)/8.2\SCHEDULED FORMWORK ITEMS/8.2.1\Rough Formwork - Vertical (0°). /\KS18_015-Concrete Drop Inlet. Drawing NBC-GTW-CL-0021 \m²\23.46 \ 650" u="1"/>
        <s v="SABS1200 GA \CONCRETE (SMALL WORKS)/8.2\SCHEDULED FORMWORK ITEMS/8.2.1\Rough Formwork - Vertical (0°). /\KS21_009-Concrete Drop Inlet. Drawing NBC-GTW-CL-0043 \m²\18.4275 \ 650" u="1"/>
        <s v="SABS1200 GA \CONCRETE (SMALL WORKS)/8.2\SCHEDULED FORMWORK ITEMS/8.2.1\Rough Formwork - Vertical (0°). /\KS13_007-Concrete Drop Inlet. Drawing NBC-GTW-CL-0013 \m²\14.91 \ 650" u="1"/>
        <s v="SABS1200 GA \CONCRETE (SMALL WORKS)/8.2\SCHEDULED FORMWORK ITEMS/8.2.1\Rough Formwork - Vertical (0°). /\KS13_011-Concrete Drop Inlet. Drawing NBC-GTW-CL-0015 \m²\20.2 \ 650" u="1"/>
        <s v="SABS1200 GA \CONCRETE (SMALL WORKS)/8.2\SCHEDULED FORMWORK ITEMS/8.2.1\Rough Formwork - Vertical (0°). /\KS18_017-Concrete Drop Inlet. Drawing NBC-GTW-CL-0023 \m²\17.06 \ 650" u="1"/>
        <s v="SABS1200 GA \CONCRETE (SMALL WORKS)/8.2\SCHEDULED FORMWORK ITEMS/8.2.1\Rough Formwork - Vertical (0°). /\KS13_005-Concrete Drop Inlet. Drawing NBC-GTW-CL-0011 \m²\18.96 \ 650" u="1"/>
        <s v="SABS1200 GA \CONCRETE (SMALL WORKS)/8.2\SCHEDULED FORMWORK ITEMS/8.2.1\Rough Formwork - Vertical (0°). /\KS20_007-Concrete Drop Inlet. Drawing NBC-GTW-CL-0033 \m²\18.3664 \ 650" u="1"/>
        <s v="SABS1200 GA \CONCRETE (SMALL WORKS)/8.2\SCHEDULED FORMWORK ITEMS/8.2.1\Rough Formwork - Vertical (0°). /\KS18_001-Concrete Drop Inlet. Drawing NBC-GTW-CL-0019 \m²\34.38 \ 650" u="1"/>
        <s v="SABS1200 GA \CONCRETE (SMALL WORKS)/8.2\SCHEDULED FORMWORK ITEMS/8.2.1\Rough Formwork - Vertical (0°). /\KS13_004-Concrete Drop Inlet. Drawing NBC-GTW-CL-0010 \m²\12.74 \ 650" u="1"/>
        <s v="SABS1200 GA \CONCRETE (SMALL WORKS)/8.2\SCHEDULED FORMWORK ITEMS/8.2.1\Rough Formwork - Vertical (0°). /\KS13_012-Concrete Drop Inlet. Drawing NBC-GTW-CL-0016 \m²\16.88 \ 650" u="1"/>
        <s v="SABS1200 GA \CONCRETE (SMALL WORKS)/8.2\SCHEDULED FORMWORK ITEMS/8.2.1\Rough Formwork - Vertical (0°). /\KS21_007-Concrete Drop Inlet. Drawing NBC-GTW-CL-0042 \m²\14.7763 \ 650" u="1"/>
        <s v="SABS1200 GA \CONCRETE (SMALL WORKS)/8.2\SCHEDULED FORMWORK ITEMS/8.2.1\Rough Formwork - Vertical (0°). /\KS13_015-Concrete Drop Inlet. Drawing NBC-GTW-CL-0018 \m²\13.34 \ 650" u="1"/>
        <s v="SABS1200 GA \CONCRETE (SMALL WORKS)/8.2\SCHEDULED FORMWORK ITEMS/8.2.1\Rough Formwork - Vertical (0°). /\KS20_008-Concrete Drop Inlet. Drawing NBC-GTW-CL-0034 \m²\32.34 \ 650" u="1"/>
        <s v="SABS1200 GA \CONCRETE (SMALL WORKS)/8.2\SCHEDULED FORMWORK ITEMS/8.2.1\Rough Formwork - Vertical (0°). /\KS20_005-Concrete Drop Inlet. Drawing NBC-GTW-CL-0031 \m²\27.8504 \ 650" u="1"/>
        <s v="SABS1200 GA \CONCRETE (SMALL WORKS)/8.2\SCHEDULED FORMWORK ITEMS/8.2.1\Rough Formwork - Vertical (0°). /\KS18_019-Concrete Drop Inlet. Drawing NBC-GTW-CL-0025 \m²\4.56 \ 650" u="1"/>
        <s v="SABS1200 GA \CONCRETE (SMALL WORKS)/8.2\SCHEDULED FORMWORK ITEMS/8.2.1\Rough Formwork - Vertical (0°). /\KS13_008-Concrete Drop Inlet. Drawing NBC-GTW-CL-0014 \m²\19.39 \ 650" u="1"/>
      </sharedItems>
    </cacheField>
    <cacheField name="Smooth - Horizontal (85°-90°)2" numFmtId="0">
      <sharedItems count="1">
        <s v=" "/>
      </sharedItems>
    </cacheField>
    <cacheField name="Smooth - Sloping (&gt;10°&lt;85°)2" numFmtId="0">
      <sharedItems count="1">
        <s v=" "/>
      </sharedItems>
    </cacheField>
    <cacheField name="Smooth - Battered (&lt;10°)2" numFmtId="0">
      <sharedItems count="1">
        <s v=" "/>
      </sharedItems>
    </cacheField>
    <cacheField name="Smooth - Vertical (0°)2" numFmtId="0">
      <sharedItems count="1">
        <s v=" "/>
      </sharedItems>
    </cacheField>
    <cacheField name="Narrow Widths (up to 300 mm)2" numFmtId="0">
      <sharedItems count="1">
        <s v=" "/>
      </sharedItems>
    </cacheField>
    <cacheField name="Box Out Holes (Up to 0.35 m Diameter and 0.5 m deep)2" numFmtId="0">
      <sharedItems count="37" longText="1">
        <s v=" "/>
        <s v="SABS1200 GA \CONCRETE (SMALL WORKS)/8.2\SCHEDULED FORMWORK ITEMS/8.2.4\Create Weep holes (50 mm Diameter). Rate to allow for the creation of weep holes in the concrete apron slab using 50 mm diameter PVC pipe./\ks11-002a-Concrete Drop Inlet on Dam Wall  \No.\16 \ 30"/>
        <s v="SABS1200 GA \CONCRETE (SMALL WORKS)/8.2\SCHEDULED FORMWORK ITEMS/8.2.4\Create Weep holes (50 mm Diameter). Rate to allow for the creation of weep holes in the concrete apron slab using 50 mm diameter PVC pipe./\ks11-004a-Concrete Drop Inlet on Dam Wall  \No.\16 \ 30"/>
        <s v="SABS1200 GA \CONCRETE (SMALL WORKS)/8.2\SCHEDULED FORMWORK ITEMS/8.2.4\Create Weep holes (50 mm Diameter). Rate to allow for the creation of weep holes in the concrete apron slab using 50 mm diameter PVC pipe./\KS12_004-Concrete Drop Inlet. Drawing NBC-GTW-CL-0003 \No.\7 \ 30"/>
        <s v="SABS1200 GA \CONCRETE (SMALL WORKS)/8.2\SCHEDULED FORMWORK ITEMS/8.2.4\Create Weep holes (50 mm Diameter). Rate to allow for the creation of weep holes in the concrete apron slab using 50 mm diameter PVC pipe./\KS12_005-Concrete Drop Inlet. Drawing NBC-GTW-CL-0004 \No.\6 \ 30"/>
        <s v="SABS1200 GA \CONCRETE (SMALL WORKS)/8.2\SCHEDULED FORMWORK ITEMS/8.2.4\Create Weep holes (50 mm Diameter). Rate to allow for the creation of weep holes in the concrete apron slab using 50 mm diameter PVC pipe./\KS12_006-Concrete Drop Inlet. Drawing NBC-GTW-CL-0005 \No.\5 \ 30"/>
        <s v="SABS1200 GA \CONCRETE (SMALL WORKS)/8.2\SCHEDULED FORMWORK ITEMS/8.2.4\Create Weep holes (50 mm Diameter). Rate to allow for the creation of weep holes in the concrete apron slab using 50 mm diameter PVC pipe./\KS12_007-Concrete Drop Inlet. Drawing NBC-GTW-CL-0006 \No.\5 \ 30"/>
        <s v="SABS1200 GA \CONCRETE (SMALL WORKS)/8.2\SCHEDULED FORMWORK ITEMS/8.2.4\Create Weep holes (50 mm Diameter). Rate to allow for the creation of weep holes in the concrete apron slab using 50 mm diameter PVC pipe./\KS12_008-Concrete Drop Inlet. Drawing NBC-GTW-CL-0007 \No.\4 \ 30"/>
        <s v="SABS1200 GA \CONCRETE (SMALL WORKS)/8.2\SCHEDULED FORMWORK ITEMS/8.2.4\Create Weep holes (50 mm Diameter). Rate to allow for the creation of weep holes in the concrete apron slab using 50 mm diameter PVC pipe./\KS12_009-Concrete Drop Inlet. Drawing NBC-GTW-CL-0008 \No.\3 \ 30"/>
        <s v="SABS1200 GA \CONCRETE (SMALL WORKS)/8.2\SCHEDULED FORMWORK ITEMS/8.2.4\Create Weep holes (50 mm Diameter). Rate to allow for the creation of weep holes in the concrete apron slab using 50 mm diameter PVC pipe./\KS13_003-Concrete Drop Inlet. Drawing NBC-GTW-CL-0009 \No.\8 \ 30"/>
        <s v="SABS1200 GA \CONCRETE (SMALL WORKS)/8.2\SCHEDULED FORMWORK ITEMS/8.2.4\Create Weep holes (50 mm Diameter). Rate to allow for the creation of weep holes in the concrete apron slab using 50 mm diameter PVC pipe./\KS19_002-Concrete Drop Inlet. Drawing NBC-GTW-CL-0026 \No.\6 \ 30"/>
        <s v="SABS1200 GA \CONCRETE (SMALL WORKS)/8.2\SCHEDULED FORMWORK ITEMS/8.2.4\Create Weep holes (50 mm Diameter). Rate to allow for the creation of weep holes in the concrete apron slab using 50 mm diameter PVC pipe./\KS20_001-Concrete Drop Inlet. Drawing NBC-GTW-CL-0027 \No.\7 \ 30"/>
        <s v="SABS1200 GA \CONCRETE (SMALL WORKS)/8.2\SCHEDULED FORMWORK ITEMS/8.2.4\Create Weep holes (50 mm Diameter). Rate to allow for the creation of weep holes in the concrete apron slab using 50 mm diameter PVC pipe./\KS13_004-Concrete Drop Inlet. Drawing NBC-GTW-CL-0010 \No.\7 \ 30" u="1"/>
        <s v="SABS1200 GA \CONCRETE (SMALL WORKS)/8.2\SCHEDULED FORMWORK ITEMS/8.2.4\Create Weep holes (50 mm Diameter). Rate to allow for the creation of weep holes in the concrete apron slab using 50 mm diameter PVC pipe./\KS13_005-Concrete Drop Inlet. Drawing NBC-GTW-CL-0011 \No.\7 \ 30" u="1"/>
        <s v="SABS1200 GA \CONCRETE (SMALL WORKS)/8.2\SCHEDULED FORMWORK ITEMS/8.2.4\Create Weep holes (50 mm Diameter). Rate to allow for the creation of weep holes in the concrete apron slab using 50 mm diameter PVC pipe./\KS13_006-Concrete Drop Inlet. Drawing NBC-GTW-CL-0012 \No.\7 \ 30" u="1"/>
        <s v="SABS1200 GA \CONCRETE (SMALL WORKS)/8.2\SCHEDULED FORMWORK ITEMS/8.2.4\Create Weep holes (50 mm Diameter). Rate to allow for the creation of weep holes in the concrete apron slab using 50 mm diameter PVC pipe./\KS13_007-Concrete Drop Inlet. Drawing NBC-GTW-CL-0013 \No.\7 \ 30" u="1"/>
        <s v="SABS1200 GA \CONCRETE (SMALL WORKS)/8.2\SCHEDULED FORMWORK ITEMS/8.2.4\Create Weep holes (50 mm Diameter). Rate to allow for the creation of weep holes in the concrete apron slab using 50 mm diameter PVC pipe./\KS13_012-Concrete Drop Inlet. Drawing NBC-GTW-CL-0016 \No.\7 \ 30" u="1"/>
        <s v="SABS1200 GA \CONCRETE (SMALL WORKS)/8.2\SCHEDULED FORMWORK ITEMS/8.2.4\Create Weep holes (50 mm Diameter). Rate to allow for the creation of weep holes in the concrete apron slab using 50 mm diameter PVC pipe./\KS18_016-Concrete Drop Inlet. Drawing NBC-GTW-CL-0022 \No.\7 \ 30" u="1"/>
        <s v="SABS1200 GA \CONCRETE (SMALL WORKS)/8.2\SCHEDULED FORMWORK ITEMS/8.2.4\Create Weep holes (50 mm Diameter). Rate to allow for the creation of weep holes in the concrete apron slab using 50 mm diameter PVC pipe./\KS18_017-Concrete Drop Inlet. Drawing NBC-GTW-CL-0023 \No.\7 \ 30" u="1"/>
        <s v="SABS1200 GA \CONCRETE (SMALL WORKS)/8.2\SCHEDULED FORMWORK ITEMS/8.2.4\Create Weep holes (50 mm Diameter). Rate to allow for the creation of weep holes in the concrete apron slab using 50 mm diameter PVC pipe./\KS20_004-Concrete Drop Inlet. Drawing NBC-GTW-CL-0030 \No.\10 \ 30" u="1"/>
        <s v="SABS1200 GA \CONCRETE (SMALL WORKS)/8.2\SCHEDULED FORMWORK ITEMS/8.2.4\Create Weep holes (50 mm Diameter). Rate to allow for the creation of weep holes in the concrete apron slab using 50 mm diameter PVC pipe./\KS20_007-Concrete Drop Inlet. Drawing NBC-GTW-CL-0033 \No.\10 \ 30" u="1"/>
        <s v="SABS1200 GA \CONCRETE (SMALL WORKS)/8.2\SCHEDULED FORMWORK ITEMS/8.2.4\Create Weep holes (50 mm Diameter). Rate to allow for the creation of weep holes in the concrete apron slab using 50 mm diameter PVC pipe./\KS21_007-Concrete Drop Inlet. Drawing NBC-GTW-CL-0042 \No.\10 \ 30" u="1"/>
        <s v="SABS1200 GA \CONCRETE (SMALL WORKS)/8.2\SCHEDULED FORMWORK ITEMS/8.2.4\Create Weep holes (50 mm Diameter). Rate to allow for the creation of weep holes in the concrete apron slab using 50 mm diameter PVC pipe./\KS18_018-Concrete Drop Inlet. Drawing NBC-GTW-CL-0024 \No.\6 \ 30" u="1"/>
        <s v="SABS1200 GA \CONCRETE (SMALL WORKS)/8.2\SCHEDULED FORMWORK ITEMS/8.2.4\Create Weep holes (50 mm Diameter). Rate to allow for the creation of weep holes in the concrete apron slab using 50 mm diameter PVC pipe./\KS18_019-Concrete Drop Inlet. Drawing NBC-GTW-CL-0025 \No.\6 \ 30" u="1"/>
        <s v="SABS1200 GA \CONCRETE (SMALL WORKS)/8.2\SCHEDULED FORMWORK ITEMS/8.2.4\Create Weep holes (50 mm Diameter). Rate to allow for the creation of weep holes in the concrete apron slab using 50 mm diameter PVC pipe./\KS20_005-Concrete Drop Inlet. Drawing NBC-GTW-CL-0031 \No.\13 \ 30" u="1"/>
        <s v="SABS1200 GA \CONCRETE (SMALL WORKS)/8.2\SCHEDULED FORMWORK ITEMS/8.2.4\Create Weep holes (50 mm Diameter). Rate to allow for the creation of weep holes in the concrete apron slab using 50 mm diameter PVC pipe./\KS20_008-Concrete Drop Inlet. Drawing NBC-GTW-CL-0034 \No.\13 \ 30" u="1"/>
        <s v="SABS1200 GA \CONCRETE (SMALL WORKS)/8.2\SCHEDULED FORMWORK ITEMS/8.2.4\Create Weep holes (50 mm Diameter). Rate to allow for the creation of weep holes in the concrete apron slab using 50 mm diameter PVC pipe./\KS18_001-Concrete Drop Inlet. Drawing NBC-GTW-CL-0019 \No.\15 \ 30" u="1"/>
        <s v="SABS1200 GA \CONCRETE (SMALL WORKS)/8.2\SCHEDULED FORMWORK ITEMS/8.2.4\Create Weep holes (50 mm Diameter). Rate to allow for the creation of weep holes in the concrete apron slab using 50 mm diameter PVC pipe./\KS20_003-Concrete Buttress Weir. Drawing NBC-GTW-CL-0029 \No.\16 \ 30" u="1"/>
        <s v="SABS1200 GA \CONCRETE (SMALL WORKS)/8.2\SCHEDULED FORMWORK ITEMS/8.2.4\Create Weep holes (50 mm Diameter). Rate to allow for the creation of weep holes in the concrete apron slab using 50 mm diameter PVC pipe./\KS13_008-Concrete Drop Inlet. Drawing NBC-GTW-CL-0014 \No.\9 \ 30" u="1"/>
        <s v="SABS1200 GA \CONCRETE (SMALL WORKS)/8.2\SCHEDULED FORMWORK ITEMS/8.2.4\Create Weep holes (50 mm Diameter). Rate to allow for the creation of weep holes in the concrete apron slab using 50 mm diameter PVC pipe./\KS18_002-Concrete Drop Inlet. Drawing NBC-GTW-CL-0020 \No.\9 \ 30" u="1"/>
        <s v="SABS1200 GA \CONCRETE (SMALL WORKS)/8.2\SCHEDULED FORMWORK ITEMS/8.2.4\Create Weep holes (50 mm Diameter). Rate to allow for the creation of weep holes in the concrete apron slab using 50 mm diameter PVC pipe./\KS18_015-Concrete Drop Inlet. Drawing NBC-GTW-CL-0021 \No.\9 \ 30" u="1"/>
        <s v="SABS1200 GA \CONCRETE (SMALL WORKS)/8.2\SCHEDULED FORMWORK ITEMS/8.2.4\Create Weep holes (50 mm Diameter). Rate to allow for the creation of weep holes in the concrete apron slab using 50 mm diameter PVC pipe./\KS20_009_a-Concrete Buttress Weir. Drawing NBC-GTW-CL-0035 \No.\15 \ 30" u="1"/>
        <s v="SABS1200 GA \CONCRETE (SMALL WORKS)/8.2\SCHEDULED FORMWORK ITEMS/8.2.4\Create Weep holes (50 mm Diameter). Rate to allow for the creation of weep holes in the concrete apron slab using 50 mm diameter PVC pipe./\KS13_011-Concrete Drop Inlet. Drawing NBC-GTW-CL-0015 \No.\8 \ 30" u="1"/>
        <s v="SABS1200 GA \CONCRETE (SMALL WORKS)/8.2\SCHEDULED FORMWORK ITEMS/8.2.4\Create Weep holes (50 mm Diameter). Rate to allow for the creation of weep holes in the concrete apron slab using 50 mm diameter PVC pipe./\KS13_013-Concrete Drop Inlet. Drawing NBC-GTW-CL-0017 \No.\8 \ 30" u="1"/>
        <s v="SABS1200 GA \CONCRETE (SMALL WORKS)/8.2\SCHEDULED FORMWORK ITEMS/8.2.4\Create Weep holes (50 mm Diameter). Rate to allow for the creation of weep holes in the concrete apron slab using 50 mm diameter PVC pipe./\KS13_015-Concrete Drop Inlet. Drawing NBC-GTW-CL-0018 \No.\8 \ 30" u="1"/>
        <s v="SABS1200 GA \CONCRETE (SMALL WORKS)/8.2\SCHEDULED FORMWORK ITEMS/8.2.4\Create Weep holes (50 mm Diameter). Rate to allow for the creation of weep holes in the concrete apron slab using 50 mm diameter PVC pipe./\KS21_009-Concrete Drop Inlet. Drawing NBC-GTW-CL-0043 \No.\8 \ 30" u="1"/>
        <s v="SABS1200 GA \CONCRETE (SMALL WORKS)/8.2\SCHEDULED FORMWORK ITEMS/8.2.4\Create Weep holes (50 mm Diameter). Rate to allow for the creation of weep holes in the concrete apron slab using 50 mm diameter PVC pipe./\KS21_010-Concrete Drop Inlet. Drawing NBC-GTW-CL-0044 \No.\8 \ 30" u="1"/>
      </sharedItems>
    </cacheField>
    <cacheField name="a) Wood floated Finish2" numFmtId="0">
      <sharedItems count="76">
        <s v=" "/>
        <s v="SABS1200 GA \CONCRETE (SMALL WORKS)/8.4\SCHEDULED CONCRETE ITEMS/8.4.4\a) Wood floated Finish. /\ks11-001-Off-take structure  \m²\4.316 \ 30"/>
        <s v="SABS1200 GA \CONCRETE (SMALL WORKS)/8.4\SCHEDULED CONCRETE ITEMS/8.4.4\a) Wood floated Finish. /\ks11-002a-Concrete Drop Inlet on Dam Wall  \m²\15 \ 30"/>
        <s v="SABS1200 GA \CONCRETE (SMALL WORKS)/8.4\SCHEDULED CONCRETE ITEMS/8.4.4\a) Wood floated Finish. /\ks11-004a-Concrete Drop Inlet on Dam Wall  \m²\15 \ 30"/>
        <s v="SABS1200 GA \CONCRETE (SMALL WORKS)/8.4\SCHEDULED CONCRETE ITEMS/8.4.4\a) Wood floated Finish. /\KS12_001-Pipe Culvert. Drawing NBC-GTW-CL-0069 \m²\3 \ 30"/>
        <s v="SABS1200 GA \CONCRETE (SMALL WORKS)/8.4\SCHEDULED CONCRETE ITEMS/8.4.4\a) Wood floated Finish. /\KS12_004-Concrete Drop Inlet. Drawing NBC-GTW-CL-0003 \m²\7.86 \ 30"/>
        <s v="SABS1200 GA \CONCRETE (SMALL WORKS)/8.4\SCHEDULED CONCRETE ITEMS/8.4.4\a) Wood floated Finish. /\KS12_005-Concrete Drop Inlet. Drawing NBC-GTW-CL-0004 \m²\7.26 \ 30"/>
        <s v="SABS1200 GA \CONCRETE (SMALL WORKS)/8.4\SCHEDULED CONCRETE ITEMS/8.4.4\a) Wood floated Finish. /\KS12_006-Concrete Drop Inlet. Drawing NBC-GTW-CL-0005 \m²\7.08 \ 30"/>
        <s v="SABS1200 GA \CONCRETE (SMALL WORKS)/8.4\SCHEDULED CONCRETE ITEMS/8.4.4\a) Wood floated Finish. /\KS12_007-Concrete Drop Inlet. Drawing NBC-GTW-CL-0006 \m²\7.35 \ 30"/>
        <s v="SABS1200 GA \CONCRETE (SMALL WORKS)/8.4\SCHEDULED CONCRETE ITEMS/8.4.4\a) Wood floated Finish. /\KS12_008-Concrete Drop Inlet. Drawing NBC-GTW-CL-0007 \m²\6.66 \ 30"/>
        <s v="SABS1200 GA \CONCRETE (SMALL WORKS)/8.4\SCHEDULED CONCRETE ITEMS/8.4.4\a) Wood floated Finish. /\KS12_009-Concrete Drop Inlet. Drawing NBC-GTW-CL-0008 \m²\6.36 \ 30"/>
        <s v="SABS1200 GA \CONCRETE (SMALL WORKS)/8.4\SCHEDULED CONCRETE ITEMS/8.4.4\a) Wood floated Finish. /\KS13_003-Concrete Drop Inlet. Drawing NBC-GTW-CL-0009 \m²\8.315 \ 30"/>
        <s v="SABS1200 GA \CONCRETE (SMALL WORKS)/8.4\SCHEDULED CONCRETE ITEMS/8.4.4\a) Wood floated Finish. /\KS13_004-Concrete Check Wall. Drawing NBC-GTW-CL-0010 \m²\3.9 \ 30"/>
        <s v="SABS1200 GA \CONCRETE (SMALL WORKS)/8.4\SCHEDULED CONCRETE ITEMS/8.4.4\a) Wood floated Finish. /\KS13_005-Concrete Check Wall. Drawing NBC-GTW-CL-0011 \m²\3.9 \ 30"/>
        <s v="SABS1200 GA \CONCRETE (SMALL WORKS)/8.4\SCHEDULED CONCRETE ITEMS/8.4.4\a) Wood floated Finish. /\KS13_006-Concrete Check Wall. Drawing NBC-GTW-CL-0012 \m²\4.2 \ 30"/>
        <s v="SABS1200 GA \CONCRETE (SMALL WORKS)/8.4\SCHEDULED CONCRETE ITEMS/8.4.4\a) Wood floated Finish. /\KS13_007-Concrete Check Wall. Drawing NBC-GTW-CL-0013 \m²\4.05 \ 30"/>
        <s v="SABS1200 GA \CONCRETE (SMALL WORKS)/8.4\SCHEDULED CONCRETE ITEMS/8.4.4\a) Wood floated Finish. /\KS13_008-Concrete Check Wall. Drawing NBC-GTW-CL-0014 \m²\3.75 \ 30"/>
        <s v="SABS1200 GA \CONCRETE (SMALL WORKS)/8.4\SCHEDULED CONCRETE ITEMS/8.4.4\a) Wood floated Finish. /\KS13_011-Concrete Check Wall. Drawing NBC-GTW-CL-0015 \m²\4.5 \ 30"/>
        <s v="SABS1200 GA \CONCRETE (SMALL WORKS)/8.4\SCHEDULED CONCRETE ITEMS/8.4.4\a) Wood floated Finish. /\KS13_012-Concrete Check Wall. Drawing NBC-GTW-CL-0016 \m²\3.6 \ 30"/>
        <s v="SABS1200 GA \CONCRETE (SMALL WORKS)/8.4\SCHEDULED CONCRETE ITEMS/8.4.4\a) Wood floated Finish. /\KS13_013-Concrete Check Wall. Drawing NBC-GTW-CL-0017 \m²\3.6 \ 30"/>
        <s v="SABS1200 GA \CONCRETE (SMALL WORKS)/8.4\SCHEDULED CONCRETE ITEMS/8.4.4\a) Wood floated Finish. /\KS13_015-Concrete Check Wall. Drawing NBC-GTW-CL-0018 \m²\3.9 \ 30"/>
        <s v="SABS1200 GA \CONCRETE (SMALL WORKS)/8.4\SCHEDULED CONCRETE ITEMS/8.4.4\a) Wood floated Finish. /\KS18_001-Concrete Check Wall. Drawing NBC-GTW-CL-0019 \m²\5.1 \ 30"/>
        <s v="SABS1200 GA \CONCRETE (SMALL WORKS)/8.4\SCHEDULED CONCRETE ITEMS/8.4.4\a) Wood floated Finish. /\KS18_002A-Concrete Check Wall. Drawing NBC-GTW-CL-0020 \m²\4.2 \ 30"/>
        <s v="SABS1200 GA \CONCRETE (SMALL WORKS)/8.4\SCHEDULED CONCRETE ITEMS/8.4.4\a) Wood floated Finish. /\KS18_002B-Concrete Check Wall  \m²\4.2 \ 30"/>
        <s v="SABS1200 GA \CONCRETE (SMALL WORKS)/8.4\SCHEDULED CONCRETE ITEMS/8.4.4\a) Wood floated Finish. /\KS18_015-Concrete Check Wall. Drawing NBC-GTW-CL-0021 \m²\3.9 \ 30"/>
        <s v="SABS1200 GA \CONCRETE (SMALL WORKS)/8.4\SCHEDULED CONCRETE ITEMS/8.4.4\a) Wood floated Finish. /\KS18_016-Concrete Check Wall. Drawing NBC-GTW-CL-0022 \m²\3.6 \ 30"/>
        <s v="SABS1200 GA \CONCRETE (SMALL WORKS)/8.4\SCHEDULED CONCRETE ITEMS/8.4.4\a) Wood floated Finish. /\KS18_017-Concrete Check Wall. Drawing NBC-GTW-CL-0023 \m²\3.6 \ 30"/>
        <s v="SABS1200 GA \CONCRETE (SMALL WORKS)/8.4\SCHEDULED CONCRETE ITEMS/8.4.4\a) Wood floated Finish. /\KS18_018-Concrete Check Wall. Drawing NBC-GTW-CL-0024 \m²\3.45 \ 30"/>
        <s v="SABS1200 GA \CONCRETE (SMALL WORKS)/8.4\SCHEDULED CONCRETE ITEMS/8.4.4\a) Wood floated Finish. /\KS18_019-Concrete Check Wall. Drawing NBC-GTW-CL-0025 \m²\3.6 \ 30"/>
        <s v="SABS1200 GA \CONCRETE (SMALL WORKS)/8.4\SCHEDULED CONCRETE ITEMS/8.4.4\a) Wood floated Finish. /\KS18_020-Concrete Check Wall  \m²\3.75 \ 30"/>
        <s v="SABS1200 GA \CONCRETE (SMALL WORKS)/8,4\SCHEDULED CONCRETE ITEMS/8.4.4\a) Wood floated Finish. /\KS18_014-Concrete Check Wall. Drawing NBC-GTW-CL-0001 \m²\3,6 \ 30"/>
        <s v="SABS1200 GA \CONCRETE (SMALL WORKS)/8.4\SCHEDULED CONCRETE ITEMS/8.4.4\a) Wood floated Finish. /\KS19_002-Concrete Drop Inlet. Drawing NBC-GTW-CL-0026 \m²\8.004 \ 30"/>
        <s v="SABS1200 GA \CONCRETE (SMALL WORKS)/8.4\SCHEDULED CONCRETE ITEMS/8.4.4\a) Wood floated Finish. /\KS20_001-Concrete Drop Inlet. Drawing NBC-GTW-CL-0027 \m²\7.905 \ 30"/>
        <s v="SABS1200 GA \CONCRETE (SMALL WORKS)/8.4\SCHEDULED CONCRETE ITEMS/8.4.4\a) Wood floated Finish. /\KS20_002-Concrete Check Wall. Drawing NBC-GTW-CL-0028 \m²\3.6 \ 30"/>
        <s v="SABS1200 GA \CONCRETE (SMALL WORKS)/8.4\SCHEDULED CONCRETE ITEMS/8.4.4\a) Wood floated Finish. /\KS20_003-Concrete Check Wall. Drawing NBC-GTW-CL-0029 \m²\3.9 \ 30"/>
        <s v="SABS1200 GA \CONCRETE (SMALL WORKS)/8.4\SCHEDULED CONCRETE ITEMS/8.4.4\a) Wood floated Finish. /\KS20_004-Concrete Check Wall. Drawing NBC-GTW-CL-0030 \m²\4.5 \ 30"/>
        <s v="SABS1200 GA \CONCRETE (SMALL WORKS)/8.4\SCHEDULED CONCRETE ITEMS/8.4.4\a) Wood floated Finish. /\KS20_005-Concrete Check Wall. Drawing NBC-GTW-CL-0031 \m²\4.5 \ 30"/>
        <s v="SABS1200 GA \CONCRETE (SMALL WORKS)/8,4\SCHEDULED CONCRETE ITEMS/8.4.4\a) Wood floated Finish. /\KS20_006-Concrete Check Wall. Drawing NBC-GTW-CL-0032 \m²\4,8 \ 30"/>
        <s v="SABS1200 GA \CONCRETE (SMALL WORKS)/8.4\SCHEDULED CONCRETE ITEMS/8.4.4\a) Wood floated Finish. /\KS20_007-Concrete Check Wall. Drawing NBC-GTW-CL-0033 \m²\4.5 \ 30"/>
        <s v="SABS1200 GA \CONCRETE (SMALL WORKS)/8.4\SCHEDULED CONCRETE ITEMS/8.4.4\a) Wood floated Finish. /\KS20_008-Concrete Check Wall. Drawing NBC-GTW-CL-0034 \m²\4.35 \ 30"/>
        <s v="SABS1200 GA \CONCRETE (SMALL WORKS)/8.4\SCHEDULED CONCRETE ITEMS/8.4.4\a) Wood floated Finish. /\KS20_009_a-Concrete Check Wall. Drawing NBC-GTW-CL-0035 \m²\15 \ 30"/>
        <s v="SABS1200 GA \CONCRETE (SMALL WORKS)/8.4\SCHEDULED CONCRETE ITEMS/8.4.4\a) Wood floated Finish. /\KS20_009_b-Concrete Check Wall. Drawing NBC-GTW-CL-0035 \m²\2 \ 30"/>
        <s v="SABS1200 GA \CONCRETE (SMALL WORKS)/8.4\SCHEDULED CONCRETE ITEMS/8.4.4\a) Wood floated Finish. /\KS21_003-Concrete Drop Inlet. Drawing NBC-GTW-CL-0039 \m²\9.545 \ 30"/>
        <s v="SABS1200 GA \CONCRETE (SMALL WORKS)/8,4\SCHEDULED CONCRETE ITEMS/8.4.4\a) Wood floated Finish. /\KS21_005-Concrete Drop Inlet. Drawing NBC-GTW-CL-0040 \m²\9,545 \ 30"/>
        <s v="SABS1200 GA \CONCRETE (SMALL WORKS)/8.4\SCHEDULED CONCRETE ITEMS/8.4.4\a) Wood floated Finish. /\KS13_011-Concrete Drop Inlet. Drawing NBC-GTW-CL-0015 \m²\8.1 \ 30" u="1"/>
        <s v="SABS1200 GA \CONCRETE (SMALL WORKS)/8.4\SCHEDULED CONCRETE ITEMS/8.4.4\a) Wood floated Finish. /\KS13_004-Concrete Drop Inlet. Drawing NBC-GTW-CL-0010 \m²\7.905 \ 30" u="1"/>
        <s v="SABS1200 GA \CONCRETE (SMALL WORKS)/8.4\SCHEDULED CONCRETE ITEMS/8.4.4\a) Wood floated Finish. /\KS21_009-Concrete Drop Inlet. Drawing NBC-GTW-CL-0043 \m²\6.92 \ 30" u="1"/>
        <s v="SABS1200 GA \CONCRETE (SMALL WORKS)/8.4\SCHEDULED CONCRETE ITEMS/8.4.4\a) Wood floated Finish. /\KS21_010-Concrete Drop Inlet. Drawing NBC-GTW-CL-0044 \m²\6.92 \ 30" u="1"/>
        <s v="SABS1200 GA \CONCRETE (SMALL WORKS)/8.4\SCHEDULED CONCRETE ITEMS/8.4.4\a) Wood floated Finish. /\KS20_006-Concrete Drop Inlet. Drawing NBC-GTW-CL-0032 \m²\9.46 \ 30" u="1"/>
        <s v="SABS1200 GA \CONCRETE (SMALL WORKS)/8.4\SCHEDULED CONCRETE ITEMS/8.4.4\a) Wood floated Finish. /\KS20_006-Concrete Check Wall. Drawing NBC-GTW-CL-0032 \m²\4.8 \ 30" u="1"/>
        <s v="SABS1200 GA \CONCRETE (SMALL WORKS)/8.4\SCHEDULED CONCRETE ITEMS/8.4.4\a) Wood floated Finish. /\KS21_005-Concrete Drop Inlet. Drawing NBC-GTW-CL-0040 \m²\7.66 \ 30" u="1"/>
        <s v="SABS1200 GA \CONCRETE (SMALL WORKS)/8.4\SCHEDULED CONCRETE ITEMS/8.4.4\a) Wood floated Finish. /\KS13_007-Concrete Drop Inlet. Drawing NBC-GTW-CL-0013 \m²\7.69 \ 30" u="1"/>
        <s v="SABS1200 GA \CONCRETE (SMALL WORKS)/8.4\SCHEDULED CONCRETE ITEMS/8.4.4\a) Wood floated Finish. /\KS13_013-Concrete Drop Inlet. Drawing NBC-GTW-CL-0017 \m²\8.34 \ 30" u="1"/>
        <s v="SABS1200 GA \CONCRETE (SMALL WORKS)/8.4\SCHEDULED CONCRETE ITEMS/8.4.4\a) Wood floated Finish. /\KS13_015-Concrete Drop Inlet. Drawing NBC-GTW-CL-0018 \m²\8.34 \ 30" u="1"/>
        <s v="SABS1200 GA \CONCRETE (SMALL WORKS)/8.4\SCHEDULED CONCRETE ITEMS/8.4.4\a) Wood floated Finish. /\KS13_008-Concrete Drop Inlet. Drawing NBC-GTW-CL-0014 \m²\8.61 \ 30" u="1"/>
        <s v="SABS1200 GA \CONCRETE (SMALL WORKS)/8.4\SCHEDULED CONCRETE ITEMS/8.4.4\a) Wood floated Finish. /\KS18_019-Concrete Drop Inlet. Drawing NBC-GTW-CL-0025 \m²\7.24 \ 30" u="1"/>
        <s v="SABS1200 GA \CONCRETE (SMALL WORKS)/8.4\SCHEDULED CONCRETE ITEMS/8.4.4\a) Wood floated Finish. /\KS18_016-Concrete Drop Inlet. Drawing NBC-GTW-CL-0022 \m²\7.9 \ 30" u="1"/>
        <s v="SABS1200 GA \CONCRETE (SMALL WORKS)/8.4\SCHEDULED CONCRETE ITEMS/8.4.4\a) Wood floated Finish. /\KS18_001-Concrete Drop Inlet. Drawing NBC-GTW-CL-0019 \m²\10.95 \ 30" u="1"/>
        <s v="SABS1200 GA \CONCRETE (SMALL WORKS)/8.4\SCHEDULED CONCRETE ITEMS/8.4.4\a) Wood floated Finish. /\KS20_004-Concrete Drop Inlet. Drawing NBC-GTW-CL-0030 \m²\8.96 \ 30" u="1"/>
        <s v="SABS1200 GA \CONCRETE (SMALL WORKS)/8.4\SCHEDULED CONCRETE ITEMS/8.4.4\a) Wood floated Finish. /\KS20_003-Concrete Buttress Weir. Drawing NBC-GTW-CL-0029 \m²\11.5870942263055 \ 30" u="1"/>
        <s v="SABS1200 GA \CONCRETE (SMALL WORKS)/8.4\SCHEDULED CONCRETE ITEMS/8.4.4\a) Wood floated Finish. /\KS21_007-Concrete Drop Inlet. Drawing NBC-GTW-CL-0042 \m²\7.2 \ 30" u="1"/>
        <s v="SABS1200 GA \CONCRETE (SMALL WORKS)/8.4\SCHEDULED CONCRETE ITEMS/8.4.4\a) Wood floated Finish. /\KS18_020-Concrete Drop Inlet associated with Road Culvert  \m²\7.884 \ 30" u="1"/>
        <s v="SABS1200 GA \CONCRETE (SMALL WORKS)/8.4\SCHEDULED CONCRETE ITEMS/8.4.4\a) Wood floated Finish. /\KS18_017-Concrete Drop Inlet. Drawing NBC-GTW-CL-0023 \m²\7.58 \ 30" u="1"/>
        <s v="SABS1200 GA \CONCRETE (SMALL WORKS)/8.4\SCHEDULED CONCRETE ITEMS/8.4.4\a) Wood floated Finish. /\KS13_012-Concrete Drop Inlet. Drawing NBC-GTW-CL-0016 \m²\7.84 \ 30" u="1"/>
        <s v="SABS1200 GA \CONCRETE (SMALL WORKS)/8.4\SCHEDULED CONCRETE ITEMS/8.4.4\a) Wood floated Finish. /\KS13_005-Concrete Drop Inlet. Drawing NBC-GTW-CL-0011 \m²\7.86 \ 30" u="1"/>
        <s v="SABS1200 GA \CONCRETE (SMALL WORKS)/8.4\SCHEDULED CONCRETE ITEMS/8.4.4\a) Wood floated Finish. /\KS13_006-Concrete Drop Inlet. Drawing NBC-GTW-CL-0012 \m²\7.86 \ 30" u="1"/>
        <s v="SABS1200 GA \CONCRETE (SMALL WORKS)/8.4\SCHEDULED CONCRETE ITEMS/8.4.4\a) Wood floated Finish. /\KS18-014-Concrete Check Wall. Drawing NBC-GTW-CL-0001 \m²\3.6 \ 30" u="1"/>
        <s v="SABS1200 GA \CONCRETE (SMALL WORKS)/8.4\SCHEDULED CONCRETE ITEMS/8.4.4\a) Wood floated Finish. /\KS18_002-Concrete Drop Inlet. Drawing NBC-GTW-CL-0020 \m²\14.16 \ 30" u="1"/>
        <s v="SABS1200 GA \CONCRETE (SMALL WORKS)/8.4\SCHEDULED CONCRETE ITEMS/8.4.4\a) Wood floated Finish. /\KS20_005-Concrete Drop Inlet. Drawing NBC-GTW-CL-0031 \m²\9.96 \ 30" u="1"/>
        <s v="SABS1200 GA \CONCRETE (SMALL WORKS)/8.4\SCHEDULED CONCRETE ITEMS/8.4.4\a) Wood floated Finish. /\KS20_002-Concrete Drop Inlet. Drawing NBC-GTW-CL-0028 \m²\10.26 \ 30" u="1"/>
        <s v="SABS1200 GA \CONCRETE (SMALL WORKS)/8.4\SCHEDULED CONCRETE ITEMS/8.4.4\a) Wood floated Finish. /\KS21_006-Concrete Drop Inlet. Drawing NBC-GTW-CL-0041 \m²\7.8 \ 30" u="1"/>
        <s v="SABS1200 GA \CONCRETE (SMALL WORKS)/8.4\SCHEDULED CONCRETE ITEMS/8.4.4\a) Wood floated Finish. /\KS20_008-Concrete Drop Inlet. Drawing NBC-GTW-CL-0034 \m²\9.9 \ 30" u="1"/>
        <s v="SABS1200 GA \CONCRETE (SMALL WORKS)/8.4\SCHEDULED CONCRETE ITEMS/8.4.4\a) Wood floated Finish. /\KS20_007-Concrete Drop Inlet. Drawing NBC-GTW-CL-0033 \m²\8.84 \ 30" u="1"/>
        <s v="SABS1200 GA \CONCRETE (SMALL WORKS)/8.4\SCHEDULED CONCRETE ITEMS/8.4.4\a) Wood floated Finish. /\KS20_009_a-Concrete Buttress Weir. Drawing NBC-GTW-CL-0035 \m²\10.5025983121934 \ 30" u="1"/>
        <s v="SABS1200 GA \CONCRETE (SMALL WORKS)/8.4\SCHEDULED CONCRETE ITEMS/8.4.4\a) Wood floated Finish. /\KS18_018-Concrete Drop Inlet. Drawing NBC-GTW-CL-0024 \m²\7.315 \ 30" u="1"/>
        <s v="SABS1200 GA \CONCRETE (SMALL WORKS)/8.4\SCHEDULED CONCRETE ITEMS/8.4.4\a) Wood floated Finish. /\KS18_015-Concrete Drop Inlet. Drawing NBC-GTW-CL-0021 \m²\8.43 \ 30" u="1"/>
      </sharedItems>
    </cacheField>
    <cacheField name="b) Steel-floated Finish2" numFmtId="0">
      <sharedItems count="1">
        <s v=" "/>
      </sharedItems>
    </cacheField>
    <cacheField name="Concrete 25  Mpa/19mm complete with formwork" numFmtId="0">
      <sharedItems count="4">
        <s v=" "/>
        <s v="SABS1200 GA \CONCRETE (SMALL WORKS)/8.4\SCHEDULED CONCRETE ITEMS/8.4.3\Concrete 25  Mpa with 19mm stone complete with formwork. Rate to include formwork./\LS16_012-Concrete Splash Through Structure. Drawing NBC-GTW-CL-0067 \m³\21.3 \ 3250"/>
        <s v="SABS1200 GA \CONCRETE (SMALL WORKS)/8.4\SCHEDULED CONCRETE ITEMS/8.4.3\Concrete 25  Mpa with 19mm stone complete with formwork. Rate to include formwork./\LS16_016-Concrete Splash Through Structure. Drawing NBC-GTW-CL-0068 \m³\21.3 \ 3250"/>
        <s v="SABS1200 GA \CONCRETE (SMALL WORKS)/8.4\SCHEDULED CONCRETE ITEMS/8.4.3\Concrete 25  Mpa with 19mm stone complete with formwork. Rate to include formwork./\LS16_019-Pipe Culvert. Drawing NBC-GTW-CL-0069 \m³\1 \ 3250"/>
      </sharedItems>
    </cacheField>
    <cacheField name="M200 Blocks" numFmtId="0">
      <sharedItems count="1">
        <s v=" "/>
      </sharedItems>
    </cacheField>
    <cacheField name="Suitable Earthen Backfill Material" numFmtId="0">
      <sharedItems count="175" longText="1">
        <s v=" "/>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1-002a-Concrete Drop Inlet on Dam Wall  \m³\25.2498 \ 120"/>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1-003-Backfilling Dam to Create Wetland  \m³\24200 \ 120"/>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1-004a-Concrete Drop Inlet on Dam Wall  \m³\25.2498 \ 120"/>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1-005-Backfilling Dam to Create Wetland  \m³\12300 \ 120"/>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2_006-Concrete Drop Inlet. Drawing NBC-GTW-CL-0005 \m³\14.729 \ 120"/>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2_007-Concrete Drop Inlet. Drawing NBC-GTW-CL-0006 \m³\25.978 \ 120"/>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2_008-Concrete Drop Inlet. Drawing NBC-GTW-CL-0007 \m³\16.6032 \ 120"/>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2_009-Concrete Drop Inlet. Drawing NBC-GTW-CL-0008 \m³\8.9856 \ 120"/>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3_001-Infilling of Drains  \m³\215 \ 120"/>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3_002-Infilling of Drains  \m³\15 \ 120"/>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3_003-Concrete Drop Inlet. Drawing NBC-GTW-CL-0009 \m³\12.735 \ 120"/>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3_009-Infilling of Drains  \m³\12.5385 \ 120"/>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3_014-Infilling of Drains  \m³\64.84266 \ 120"/>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3_016-Infilling of Drains  \m³\111.91475 \ 120"/>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3_017-Backfilling Main Channel  \m³\2559.3521265 \ 120"/>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5-002-Backfill Main Channel  \m³\3200 \ 120"/>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6_001-Earthen berm  \m³\103.38 \ 120"/>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6_004-Earthen berm  \m³\69.08 \ 120"/>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8-021-Backfill Main Channel  \m³\1879.7535 \ 120"/>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9_002-Concrete Drop Inlet. Drawing NBC-GTW-CL-0026 \m³\10.8096 \ 120"/>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9_007-Infilling of Drains  \m³\38 \ 120"/>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20_001-Concrete Drop Inlet. Drawing NBC-GTW-CL-0027 \m³\32.7276 \ 120"/>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20_011-Backfilling Main Channel  \m³\5730 \ 120"/>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21-010-Backfilling Main Channel. Drawing No Drawing \m³\2347,2 \ 120"/>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LS16_014-Ecologs  \m³\1.27234502470387 \ 120"/>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LS16_015-Earthworks (Reinforce Dam Wall)  \m³\198.45 \ 120"/>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LS16_016-Gabion energy breaker  \m³\2.4 \ 120"/>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LS16_017-Gabion energy breaker  \m³\2.8 \ 120"/>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LS16_021-Backfill Main Channel and reshaping  \m³\3454 \ 120"/>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Pan14_004-Infilling of Drains  \m³\90 \ 120"/>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Pan14_005-Infilling of Drains  \m³\81.9 \ 120"/>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Pan14_006-Earthen Berms  \m³\57.375 \ 120"/>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Pan14_007-Infilling of Drains  \m³\47.88 \ 120"/>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Pan14_008-Infilling of Drains  \m³\18.36 \ 120"/>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Pan14_009-Infilling of Drains  \m³\27.44 \ 120"/>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Pan14_010-Infilling of Drains  \m³\1312.5 \ 120"/>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Pan14_011-Infilling of Drains  \m³\582 \ 120"/>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Pan14-001-Reinstate Pan Edge  \m³\92 \ 120"/>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Pan8_002-Infilling of Drains  \m³\93 \ 120"/>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20_009_a-Concrete Buttress Weir. Drawing NBC-GTW-CL-0035 \m³\22.6896 \ 15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9_007-Infilling of Drains  \m³\38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LS16_021-Backfill Main Channel and reshaping  \m³\3454 \ 15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8_002-Concrete Drop Inlet. Drawing NBC-GTW-CL-0020 \m³\12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1-005-Backfilling Dam to Create Wetland  \m³\12300 \ 15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Pan14_005-Infilling of Drains  \m³\81.9 \ 15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20_001-Concrete Drop Inlet. Drawing NBC-GTW-CL-0027 \m³\32.7276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21-002-Earthworks  \m³\40.342938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8-021-Backfill Main Channel  \m³\2445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3_003-Concrete Drop Inlet. Drawing NBC-GTW-CL-0009 \m³\12.735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20_001-Concrete Drop Inlet. Drawing NBC-GTW-CL-0027 \m³\32.7276 \ 15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20_005-Concrete Drop Inlet. Drawing NBC-GTW-CL-0031 \m³\18.755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20_009_c-Earthen Berm. Drawing NBC-GTW-CL-0035 \m³\23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Pan14_006-Earthen Berms  \m³\57.375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3_002-Infilling of Drains  \m³\15 \ 15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6_005-Deactivate Drain  \m³\14.4199102799772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LS16_015-Earthworks (Reinforce Dam Wall)  \m³\198.45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2_009-Concrete Drop Inlet. Drawing NBC-GTW-CL-0008 \m³\8.9856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6_003-Infilling of Drains  \m³\11.1683618835117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8_002-Concrete Drop Inlet. Drawing NBC-GTW-CL-0020 \m³\12 \ 15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5-002-Backfill Main Channel  \m³\2476.48321243472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LS16_016-Gabion energy breaker  \m³\2.4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3_008-Concrete Drop Inlet. Drawing NBC-GTW-CL-0014 \m³\3.1744 \ 15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Pan14_011-Infilling of Drains  \m³\582 \ 15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1-005-Backfilling Dam to Create Wetland  \m³\12300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LS16_017-Gabion energy breaker  \m³\2.8 \ 15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3_004-Concrete Drop Inlet. Drawing NBC-GTW-CL-0010 \m³\7.147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20_003-Concrete Buttress Weir. Drawing NBC-GTW-CL-0029 \m³\22.85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Pan8_002-Infilling of Drains  \m³\93 \ 15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Pan14_004-Infilling of Drains  \m³\90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3_016-Infilling of Drains  \m³\111.91475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21-004-Earthworks  \m³\13.875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8-021-Backfill Main Channel  \m³\4102.1198865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20_011-Backfilling Main Channel  \m³\5730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Pan14_006-Earthen Berms  \m³\57.375 \ 15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20_011-Backfilling Main Channel  \m³\3494.5852045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6_004-Infilling of Drains  \m³\103 \ 12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3_014-Infilling of Drains  \m³\64.84266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3_003-Concrete Drop Inlet. Drawing NBC-GTW-CL-0009 \m³\12.735 \ 15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6_001-Infilling of Drains  \m³\118 \ 12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20_005-Concrete Drop Inlet. Drawing NBC-GTW-CL-0031 \m³\18.755 \ 15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2_007-Concrete Drop Inlet. Drawing NBC-GTW-CL-0006 \m³\25.978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8-021-Backfill Main Channel  \m³\1879.7535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2_009-Concrete Drop Inlet. Drawing NBC-GTW-CL-0008 \m³\8.9856 \ 15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8-014-Concrete Filled Geo-Cell Berm. Drawing NBC-GTW-CL-0001 \m³\35.1075 \ 15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3_005-Concrete Drop Inlet. Drawing NBC-GTW-CL-0011 \m³\2.7444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3_006-Concrete Drop Inlet. Drawing NBC-GTW-CL-0012 \m³\2.7444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20_002-Concrete Drop Inlet. Drawing NBC-GTW-CL-0028 \m³\27.81832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Pan14_007-Infilling of Drains  \m³\47.88 \ 15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LS16_021-Backfill Main Channel and reshaping  \m³\2656.6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8_018-Concrete Drop Inlet. Drawing NBC-GTW-CL-0024 \m³\29.2436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3_015-Concrete Drop Inlet. Drawing NBC-GTW-CL-0018 \m³\21.288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3_001-Infilling of Drains  \m³\215 \ 15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Pan14_011-Infilling of Drains  \m³\582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9_002-Concrete Drop Inlet. Drawing NBC-GTW-CL-0026 \m³\10.8096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20_009_a-Concrete Buttress Weir. Drawing NBC-GTW-CL-0035 \m³\22.6896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2_008-Concrete Drop Inlet. Drawing NBC-GTW-CL-0007 \m³\16.6032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LS16_014-Ecologs  \m³\1.27234502470387 \ 15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8_018-Concrete Drop Inlet. Drawing NBC-GTW-CL-0024 \m³\29.2436 \ 15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Pan14-001-Reinstate Pan Edge  \m³\92 \ 15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9_002-Concrete Drop Inlet. Drawing NBC-GTW-CL-0026 \m³\10.8096 \ 15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2_008-Concrete Drop Inlet. Drawing NBC-GTW-CL-0007 \m³\16.6032 \ 15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9_007-Infilling of Drains  \m³\38 \ 15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1-002a-Concrete Drop Inlet on Dam Wall  \m³\25.2498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1-004a-Concrete Drop Inlet on Dam Wall  \m³\25.2498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5-002-Backfill Main Channel  \m³\3200 \ 15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3_007-Concrete Drop Inlet. Drawing NBC-GTW-CL-0013 \m³\6.884 \ 15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LS16_016-Gabion energy breaker  \m³\2.4 \ 15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9_003-Headcut  \m³\2.40331837999619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20_003-Concrete Buttress Weir. Drawing NBC-GTW-CL-0029 \m³\22.85 \ 15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Pan14_007-Infilling of Drains  \m³\47.88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6_004-Infilling of Drains  \m³\103 \ 15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2_007-Concrete Drop Inlet. Drawing NBC-GTW-CL-0006 \m³\25.978 \ 15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6_001-Infilling of Drains  \m³\118 \ 15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3_017-Backfilling Main Channel  \m³\2559.3521265 \ 15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8_016-Concrete Drop Inlet. Drawing NBC-GTW-CL-0022 \m³\11.5948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21-008-Infilling of Drain  \m³\83.9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8-021-Backfill Main Channel  \m³\4102.1198865 \ 12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3_005-Concrete Drop Inlet. Drawing NBC-GTW-CL-0011 \m³\2.7444 \ 15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3_006-Concrete Drop Inlet. Drawing NBC-GTW-CL-0012 \m³\2.7444 \ 15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8_016-Concrete Drop Inlet. Drawing NBC-GTW-CL-0022 \m³\11.5948 \ 15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5-002-Backfill Main Channel  \m³\3200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3_015-Concrete Drop Inlet. Drawing NBC-GTW-CL-0018 \m³\21.288 \ 15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1-002a-Concrete Drop Inlet on Dam Wall  \m³\25.2498 \ 15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1-004a-Concrete Drop Inlet on Dam Wall  \m³\25.2498 \ 15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9_001-Infilling of Drains  \m³\2.82743338823081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20_010-Infilling of Drains  \m³\2.82743338823081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1-003-Backfilling Dam to Create Wetland  \m³\24200 \ 15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LS16_014-Ecologs  \m³\1.27234502470387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8-021-Backfill Main Channel  \m³\4102.1198865 \ 15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Pan14_009-Infilling of Drains  \m³\27.44 \ 15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9_004-Infilling of Drains  \m³\3.53429173528852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20_002-Concrete Drop Inlet. Drawing NBC-GTW-CL-0028 \m³\27.81832 \ 15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5_001-Fish Bowl  \m³\12.9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3_002-Infilling of Drains  \m³\15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6_002-Excavate Dam Wall  \m³\16.7658333333333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3_009-Infilling of Drains  \m³\12.5385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Pan14_005-Infilling of Drains  \m³\81.9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Pan14_008-Infilling of Drains  \m³\18.36 \ 15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1-003-Backfilling Dam to Create Wetland  \m³\24200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Pan14_010-Infilling of Drains  \m³\1312.5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3_007-Concrete Drop Inlet. Drawing NBC-GTW-CL-0013 \m³\6.884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2_006-Concrete Drop Inlet. Drawing NBC-GTW-CL-0005 \m³\14.729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3_013-Concrete Drop Inlet. Drawing NBC-GTW-CL-0017 \m³\12.0852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Pan14_004-Infilling of Drains  \m³\90 \ 15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Pan8_002-Infilling of Drains  \m³\93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9_005-Infilling of Drains  \m³\3.67566340470006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8-014-Concrete Filled Geo-Cell Berm. Drawing NBC-GTW-CL-0001 \m³\35.1075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3_013-Concrete Drop Inlet. Drawing NBC-GTW-CL-0017 \m³\12.0852 \ 15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Pan14_009-Infilling of Drains  \m³\27.44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3_014-Infilling of Drains  \m³\64.84266 \ 15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3_001-Infilling of Drains  \m³\215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3_009-Infilling of Drains  \m³\12.5385 \ 15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LS16_017-Gabion energy breaker  \m³\2.8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LS16_021-Backfill Main Channel and reshaping  \m³\3454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8_015-Concrete Drop Inlet. Drawing NBC-GTW-CL-0021 \m³\23.5168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3_004-Concrete Drop Inlet. Drawing NBC-GTW-CL-0010 \m³\7.147 \ 15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Pan14_010-Infilling of Drains  \m³\1312.5 \ 15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20_007-Concrete Drop Inlet. Drawing NBC-GTW-CL-0033 \m³\14.9706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8_015-Concrete Drop Inlet. Drawing NBC-GTW-CL-0021 \m³\23.5168 \ 15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3_016-Infilling of Drains  \m³\111.91475 \ 15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LS16_015-Earthworks (Reinforce Dam Wall)  \m³\198.45 \ 15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Pan14_008-Infilling of Drains  \m³\18.36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8-021-Backfill Main Channel  \m³\2445 \ 15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8_017-Concrete Drop Inlet. Drawing NBC-GTW-CL-0023 \m³\11.0904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20_007-Concrete Drop Inlet. Drawing NBC-GTW-CL-0033 \m³\14.9706 \ 15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20_011-Backfilling Main Channel  \m³\5730 \ 15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3_008-Concrete Drop Inlet. Drawing NBC-GTW-CL-0014 \m³\3.1744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3_017-Backfilling Main Channel  \m³\2559.3521265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8_017-Concrete Drop Inlet. Drawing NBC-GTW-CL-0023 \m³\11.0904 \ 15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6_004-Infilling of Drains  \m³\103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2_006-Concrete Drop Inlet. Drawing NBC-GTW-CL-0005 \m³\14.729 \ 15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Pan14-001-Reinstate Pan Edge  \m³\92 \ 30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5_001-Fish Bowl  \m³\12.9 \ 150" u="1"/>
        <s v="SABS1200 DA \EARTHWORKS (SMALL WORKS)/8.3\SCHEDULED ITEMS/8.3.4\Importing of Suitable Backfill Material from designated Borrow Sources on Site. Rate to allow for loading from stockpile or borrow source, transport within 5 km free haul distance, stockpiling (if required), placing, spreading  and compacting material in layers, as specified by the engineer./\KS16_001-Infilling of Drains  \m³\118 \ 300" u="1"/>
      </sharedItems>
    </cacheField>
    <cacheField name="Select granular material" numFmtId="0">
      <sharedItems count="9" longText="1">
        <s v=" "/>
        <s v="SABS1200 DA \EARTHWORKS (SMALL WORKS)/8.3\SCHEDULED ITEMS/8.3.4\Importing of Suitable Granular Material from Spoil Stockpile or other Borrow Sources on Site. Rate to allow for loading from stockpile or borrow source, transport within 5 km free haul distance, stockpiling (if required), placing, spreading  and compacting material in layers, as specified by the engineer./\LS16_016-Gabion energy breaker  \m³\2 \ 300"/>
        <s v="SABS1200 DA \EARTHWORKS (SMALL WORKS)/8.3\SCHEDULED ITEMS/8.3.4\Importing of Suitable Granular Material from Spoil Stockpile or other Borrow Sources on Site. Rate to allow for loading from stockpile or borrow source, transport within 5 km free haul distance, stockpiling (if required), placing, spreading  and compacting material in layers, as specified by the engineer./\LS16_017-Gabion energy breaker  \m³\0.666666666666667 \ 300"/>
        <s v="SABS1200 DA \EARTHWORKS (SMALL WORKS)/8.3\SCHEDULED ITEMS/8.3.4\Importing of Suitable Granular Material from Spoil Stockpile or other Borrow Sources on Site. Rate to allow for loading from stockpile or borrow source, transport within 5 km free haul distance, stockpiling (if required), placing, spreading  and compacting material in layers, as specified by the engineer./\LS16_018-Gabion energy breaker  \m³\3 \ 300"/>
        <s v="SABS1200 DA \EARTHWORKS (SMALL WORKS)/8.3\SCHEDULED ITEMS/8.3.4\Importing of Suitable Granular Material from Spoil Stockpile or other Borrow Sources on Site. Rate to allow for loading from stockpile or borrow source, transport within 5 km free haul distance, stockpiling (if required), placing, spreading  and compacting material in layers, as specified by the engineer./\LS16_019-Gabion energy breaker  \m³\1.00833333333333 \ 300"/>
        <s v="SABS1200 DA \EARTHWORKS (SMALL WORKS)/8.3\SCHEDULED ITEMS/8.3.4\Importing of Suitable Granular Material from Spoil Stockpile or other Borrow Sources on Site. Rate to allow for loading from stockpile or borrow source, transport within 5 km free haul distance, stockpiling (if required), placing, spreading  and compacting material in layers, as specified by the engineer./\LS16_016-Gabion energy breaker  \m³\2 \ 150" u="1"/>
        <s v="SABS1200 DA \EARTHWORKS (SMALL WORKS)/8.3\SCHEDULED ITEMS/8.3.4\Importing of Suitable Granular Material from Spoil Stockpile or other Borrow Sources on Site. Rate to allow for loading from stockpile or borrow source, transport within 5 km free haul distance, stockpiling (if required), placing, spreading  and compacting material in layers, as specified by the engineer./\LS16_018-Gabion energy breaker  \m³\3 \ 150" u="1"/>
        <s v="SABS1200 DA \EARTHWORKS (SMALL WORKS)/8.3\SCHEDULED ITEMS/8.3.4\Importing of Suitable Granular Material from Spoil Stockpile or other Borrow Sources on Site. Rate to allow for loading from stockpile or borrow source, transport within 5 km free haul distance, stockpiling (if required), placing, spreading  and compacting material in layers, as specified by the engineer./\LS16_017-Gabion energy breaker  \m³\0.666666666666667 \ 150" u="1"/>
        <s v="SABS1200 DA \EARTHWORKS (SMALL WORKS)/8.3\SCHEDULED ITEMS/8.3.4\Importing of Suitable Granular Material from Spoil Stockpile or other Borrow Sources on Site. Rate to allow for loading from stockpile or borrow source, transport within 5 km free haul distance, stockpiling (if required), placing, spreading  and compacting material in layers, as specified by the engineer./\LS16_019-Gabion energy breaker  \m³\1.00833333333333 \ 150" u="1"/>
      </sharedItems>
    </cacheField>
    <cacheField name="a) Cavities filled with approved excavated material or rock2" numFmtId="0">
      <sharedItems count="1">
        <s v=" "/>
      </sharedItems>
    </cacheField>
    <cacheField name="b) Cavities filled with grade 15 concrete (provisional)2" numFmtId="0">
      <sharedItems count="6">
        <s v=" "/>
        <s v="SABS1200 DK \ GABIONS AND PITCHING / 8.2\ Surface preparation for bedding of gabions / 8.2.1  \ b) Cavities filled with grade 15 concrete (provisional). /\LS16_013-Gabion energy breaker  \m²\1 \ 75"/>
        <s v="SABS1200 DK \ GABIONS AND PITCHING / 8.2\ Surface preparation for bedding of gabions / 8.2.1  \ b) Cavities filled with grade 15 concrete (provisional). /\LS16_016-Gabion energy breaker  \m²\1 \ 75"/>
        <s v="SABS1200 DK \ GABIONS AND PITCHING / 8.2\ Surface preparation for bedding of gabions / 8.2.1  \ b) Cavities filled with grade 15 concrete (provisional). /\LS16_017-Gabion energy breaker  \m²\1 \ 75"/>
        <s v="SABS1200 DK \ GABIONS AND PITCHING / 8.2\ Surface preparation for bedding of gabions / 8.2.1  \ b) Cavities filled with grade 15 concrete (provisional). /\LS16_018-Gabion energy breaker  \m²\1 \ 75"/>
        <s v="SABS1200 DK \ GABIONS AND PITCHING / 8.2\ Surface preparation for bedding of gabions / 8.2.1  \ b) Cavities filled with grade 15 concrete (provisional). /\LS16_019-Gabion energy breaker  \m²\1 \ 75"/>
      </sharedItems>
    </cacheField>
    <cacheField name="1 m x 1 m x 1 m Galvanised Gabions2" numFmtId="0">
      <sharedItems count="1">
        <s v=" "/>
      </sharedItems>
    </cacheField>
    <cacheField name="2 m x 1 m x 1 m Galvanised  Gabions2" numFmtId="0">
      <sharedItems count="3" longText="1">
        <s v=" "/>
        <s v="SABS1200 DK \ GABIONS AND PITCHING / 8.2\ Gabions. Rate to allow for supply of approved gabion hand rock, SABS approved gabion baskets, installation and tying as per suppliers specifications. / 8.2.2 \ 2 m x 1 m x 1 m Galvanised  Gabions. /\LS16_017-Gabion energy breaker  \m³\8 \ 1750"/>
        <s v="SABS1200 DK \ GABIONS AND PITCHING / 8.2\ Gabions. Rate to allow for supply of approved gabion hand rock, SABS approved gabion baskets, installation and tying as per suppliers specifications. / 8.2.2 \ 2 m x 1 m x 1 m Galvanised  Gabions. /\LS16_019-Gabion energy breaker  \m³\4 \ 1750"/>
      </sharedItems>
    </cacheField>
    <cacheField name="3 m x 1 m x 1 m Galvanised Gabions2" numFmtId="0">
      <sharedItems count="6" longText="1">
        <s v=" "/>
        <s v="SABS1200 DK \ GABIONS AND PITCHING / 8.2\ Gabions. Rate to allow for supply of approved gabion hand rock, SABS approved gabion baskets, installation and tying as per suppliers specifications. / 8.2.2 \ 3 m x 1 m x 1 m Galvanised Gabions. /\LS16_013-Gabion energy breaker  \m³\9 \ 1750"/>
        <s v="SABS1200 DK \ GABIONS AND PITCHING / 8.2\ Gabions. Rate to allow for supply of approved gabion hand rock, SABS approved gabion baskets, installation and tying as per suppliers specifications. / 8.2.2 \ 3 m x 1 m x 1 m Galvanised Gabions. /\LS16_016-Gabion energy breaker  \m³\12 \ 1750"/>
        <s v="SABS1200 DK \ GABIONS AND PITCHING / 8.2\ Gabions. Rate to allow for supply of approved gabion hand rock, SABS approved gabion baskets, installation and tying as per suppliers specifications. / 8.2.2 \ 3 m x 1 m x 1 m Galvanised Gabions. /\LS16_017-Gabion energy breaker  \m³\6 \ 1750"/>
        <s v="SABS1200 DK \ GABIONS AND PITCHING / 8.2\ Gabions. Rate to allow for supply of approved gabion hand rock, SABS approved gabion baskets, installation and tying as per suppliers specifications. / 8.2.2 \ 3 m x 1 m x 1 m Galvanised Gabions. /\LS16_018-Gabion energy breaker  \m³\15 \ 1750"/>
        <s v="SABS1200 DK \ GABIONS AND PITCHING / 8.2\ Gabions. Rate to allow for supply of approved gabion hand rock, SABS approved gabion baskets, installation and tying as per suppliers specifications. / 8.2.2 \ 3 m x 1 m x 1 m Galvanised Gabions. /\LS16_019-Gabion energy breaker  \m³\12 \ 1750"/>
      </sharedItems>
    </cacheField>
    <cacheField name="4 m x 1 m x 1 m Galvanised Gabions2" numFmtId="0">
      <sharedItems count="1">
        <s v=" "/>
      </sharedItems>
    </cacheField>
    <cacheField name="2 m x 0.5 m x 0.5 m Galvanised Gabions2" numFmtId="0">
      <sharedItems count="1">
        <s v=" "/>
      </sharedItems>
    </cacheField>
    <cacheField name="2 m x 1 m x 0.3 m Galvanised Reno Mattress2" numFmtId="0">
      <sharedItems count="1">
        <s v=" "/>
      </sharedItems>
    </cacheField>
    <cacheField name="3 m x 1 m x 0.3 m Galvanised Reno Mattress2" numFmtId="0">
      <sharedItems count="6" longText="1">
        <s v=" "/>
        <s v="SABS1200 DK \ GABIONS AND PITCHING / 8.2\ Gabions. Rate to allow for supply of approved gabion hand rock, SABS approved gabion baskets, installation and tying as per suppliers specifications. / 8.2.2 \ 3 m x 1 m x 0.3 m Galvanised Reno Mattress. /\LS16_013-Gabion energy breaker  \m³\4.5 \ 1750"/>
        <s v="SABS1200 DK \ GABIONS AND PITCHING / 8.2\ Gabions. Rate to allow for supply of approved gabion hand rock, SABS approved gabion baskets, installation and tying as per suppliers specifications. / 8.2.2 \ 3 m x 1 m x 0.3 m Galvanised Reno Mattress. /\LS16_016-Gabion energy breaker  \m³\7.2 \ 1750"/>
        <s v="SABS1200 DK \ GABIONS AND PITCHING / 8.2\ Gabions. Rate to allow for supply of approved gabion hand rock, SABS approved gabion baskets, installation and tying as per suppliers specifications. / 8.2.2 \ 3 m x 1 m x 0.3 m Galvanised Reno Mattress. /\LS16_017-Gabion energy breaker  \m³\9 \ 1750"/>
        <s v="SABS1200 DK \ GABIONS AND PITCHING / 8.2\ Gabions. Rate to allow for supply of approved gabion hand rock, SABS approved gabion baskets, installation and tying as per suppliers specifications. / 8.2.2 \ 3 m x 1 m x 0.3 m Galvanised Reno Mattress. /\LS16_018-Gabion energy breaker  \m³\9.9 \ 1750"/>
        <s v="SABS1200 DK \ GABIONS AND PITCHING / 8.2\ Gabions. Rate to allow for supply of approved gabion hand rock, SABS approved gabion baskets, installation and tying as per suppliers specifications. / 8.2.2 \ 3 m x 1 m x 0.3 m Galvanised Reno Mattress. /\LS16_019-Gabion energy breaker  \m³\10.8 \ 1750"/>
      </sharedItems>
    </cacheField>
    <cacheField name="6 m x 2 m x 0.3 m Galvanised Reno Mattress2" numFmtId="0">
      <sharedItems count="1">
        <s v=" "/>
      </sharedItems>
    </cacheField>
    <cacheField name="1 m x 1 m x 1 m PVC coated Gabions2" numFmtId="0">
      <sharedItems count="1">
        <s v=" "/>
      </sharedItems>
    </cacheField>
    <cacheField name="2 m x 1 m x 1 m PVC coated Gabions2" numFmtId="0">
      <sharedItems count="1">
        <s v=" "/>
      </sharedItems>
    </cacheField>
    <cacheField name="3 m x 1 m x 1 m PVC coated Gabions2" numFmtId="0">
      <sharedItems count="1">
        <s v=" "/>
      </sharedItems>
    </cacheField>
    <cacheField name="4 m x 1 m x 1 m PVC coated Gabions2" numFmtId="0">
      <sharedItems count="1">
        <s v=" "/>
      </sharedItems>
    </cacheField>
    <cacheField name="2 m x 0.5 m x 0.5 m PVC coated Gabions2" numFmtId="0">
      <sharedItems count="1">
        <s v=" "/>
      </sharedItems>
    </cacheField>
    <cacheField name="2 m x 1 m x 0.3 m PVC coated Reno Mattress2" numFmtId="0">
      <sharedItems count="1">
        <s v=" "/>
      </sharedItems>
    </cacheField>
    <cacheField name="3 m x 1 m x 0.3 m PVC coated Reno Mattress2" numFmtId="0">
      <sharedItems count="1">
        <s v=" "/>
      </sharedItems>
    </cacheField>
    <cacheField name="6 m x 2 m x 0.3 m PVC coated Reno Mattress2" numFmtId="0">
      <sharedItems count="1">
        <s v=" "/>
      </sharedItems>
    </cacheField>
    <cacheField name="Extra-over 8.2.2 for packing selected stone for exposed surfaces2" numFmtId="0">
      <sharedItems count="1">
        <s v=" "/>
      </sharedItems>
    </cacheField>
    <cacheField name="Needle punched Non-woven Geotextile2" numFmtId="0">
      <sharedItems count="8" longText="1">
        <s v=" "/>
        <s v="SABS1200 DK \ GABIONS AND PITCHING / 8.2\ Geotextile / 8.2.4 \ Needle punched Non-woven Geotextile (BiDim A4 or equivalent product). Rate to allow for supply of SABS approved geofabric such as Bidim a4 or equivalent product and installation between all gabion-soil interfaces.. /\ks11-002b-Concrete Splash Through Structure. Drawing NBC-GTW-CL-0067 \m²\87 \ 28"/>
        <s v="SABS1200 DK \ GABIONS AND PITCHING / 8.2\ Geotextile / 8.2.4 \ Needle punched Non-woven Geotextile (BiDim A4 or equivalent product). Rate to allow for supply of SABS approved geofabric such as Bidim a4 or equivalent product and installation between all gabion-soil interfaces.. /\ks11-004b-Concrete Splash Through Structure. Drawing NBC-GTW-CL-0068 \m²\87 \ 28"/>
        <s v="SABS1200 DK \ GABIONS AND PITCHING / 8.2\ Geotextile / 8.2.4 \ Needle punched Non-woven Geotextile (BiDim A4 or equivalent product). Rate to allow for supply of SABS approved geofabric such as Bidim a4 or equivalent product and installation between all gabion-soil interfaces.. /\LS16_013-Gabion energy breaker  \m²\44.9 \ 28"/>
        <s v="SABS1200 DK \ GABIONS AND PITCHING / 8.2\ Geotextile / 8.2.4 \ Needle punched Non-woven Geotextile (BiDim A4 or equivalent product). Rate to allow for supply of SABS approved geofabric such as Bidim a4 or equivalent product and installation between all gabion-soil interfaces.. /\LS16_016-Gabion energy breaker  \m²\62.9 \ 28"/>
        <s v="SABS1200 DK \ GABIONS AND PITCHING / 8.2\ Geotextile / 8.2.4 \ Needle punched Non-woven Geotextile (BiDim A4 or equivalent product). Rate to allow for supply of SABS approved geofabric such as Bidim a4 or equivalent product and installation between all gabion-soil interfaces.. /\LS16_017-Gabion energy breaker  \m²\74.9 \ 28"/>
        <s v="SABS1200 DK \ GABIONS AND PITCHING / 8.2\ Geotextile / 8.2.4 \ Needle punched Non-woven Geotextile (BiDim A4 or equivalent product). Rate to allow for supply of SABS approved geofabric such as Bidim a4 or equivalent product and installation between all gabion-soil interfaces.. /\LS16_018-Gabion energy breaker  \m²\80.9 \ 28"/>
        <s v="SABS1200 DK \ GABIONS AND PITCHING / 8.2\ Geotextile / 8.2.4 \ Needle punched Non-woven Geotextile (BiDim A4 or equivalent product). Rate to allow for supply of SABS approved geofabric such as Bidim a4 or equivalent product and installation between all gabion-soil interfaces.. /\LS16_019-Gabion energy breaker  \m²\83.9 \ 28"/>
      </sharedItems>
    </cacheField>
    <cacheField name="Stone Pitching - Light2" numFmtId="0">
      <sharedItems count="1">
        <s v=" "/>
      </sharedItems>
    </cacheField>
    <cacheField name="Stone Pitching - Medium2" numFmtId="0">
      <sharedItems count="1">
        <s v=" "/>
      </sharedItems>
    </cacheField>
    <cacheField name="Grouted Pitching - Light2" numFmtId="0">
      <sharedItems count="3">
        <s v=" "/>
        <s v="SABS1200 DK \ GABIONS AND PITCHING / 8.2\ Pitching / 8.2.5 \ Grouted Pitching - Light. /\KS21_001-10° sloped Grouted Pitching (Light). Drawing NBC-GTW-CL-0038 \m²\50 \ 750"/>
        <s v="SABS1200 DK \ GABIONS AND PITCHING / 8.2\ Pitching / 8.2.5 \ Grouted Pitching - Light. /\KS21_001-10° sloped Grouted Pitching (Light). Drawing NBC-GTW-CL-0038 \m²\38.098221281347 \ 750" u="1"/>
      </sharedItems>
    </cacheField>
    <cacheField name="Grouted Pitching - Medium2" numFmtId="0">
      <sharedItems count="1">
        <s v=" "/>
      </sharedItems>
    </cacheField>
    <cacheField name="Weepholes in grouted stone pitching2" numFmtId="0">
      <sharedItems count="1">
        <s v=" "/>
      </sharedItems>
    </cacheField>
    <cacheField name="Rockpack" numFmtId="0">
      <sharedItems count="3">
        <s v=" "/>
        <s v=" \  / \  /  \ . /\ks11-002b-Concrete Splash Through Structure. Drawing NBC-GTW-CL-0067 \m³\24 \ 500"/>
        <s v=" \  / \  /  \ . /\ks11-004b-Concrete Splash Through Structure. Drawing NBC-GTW-CL-0068 \m³\24 \ 500"/>
      </sharedItems>
    </cacheField>
    <cacheField name="Eco-logs" numFmtId="0">
      <sharedItems count="16" longText="1">
        <s v=" "/>
        <s v=" \  / \  /  \ Install Erosion control logs (2 m long x 300 mm Dimeter ). Rate to allow supply of erosion control log and 2 No. 1000 mm long steel fence droppers per a log. To be installed as per suppliers specifications./\KS16_003-Ecologs  \unit\79 \ 900"/>
        <s v=" \  / \  /  \ Install Erosion control logs (2 m long x 300 mm Dimeter ). Rate to allow supply of erosion control log and 2 No. 1000 mm long steel fence droppers per a log. To be installed as per suppliers specifications./\KS16_005-Ecologs  \unit\102 \ 900"/>
        <s v=" \  / \  /  \ Install Erosion control logs (2 m long x 300 mm Dimeter ). Rate to allow supply of erosion control log and 2 No. 1000 mm long steel fence droppers per a log. To be installed as per suppliers specifications./\KS19_001-Ecologs  \unit\20 \ 900"/>
        <s v=" \  / \  /  \ Install Erosion control logs (2 m long x 300 mm Dimeter ). Rate to allow supply of erosion control log and 2 No. 1000 mm long steel fence droppers per a log. To be installed as per suppliers specifications./\KS19_003-Ecologs  \unit\8 \ 900"/>
        <s v=" \  / \  /  \ Install Erosion control logs (2 m long x 300 mm Dimeter ). Rate to allow supply of erosion control log and 2 No. 1000 mm long steel fence droppers per a log. To be installed as per suppliers specifications./\KS19_004-Ecologs  \unit\25 \ 900"/>
        <s v=" \  / \  /  \ Install Erosion control logs (2 m long x 300 mm Dimeter ). Rate to allow supply of erosion control log and 2 No. 1000 mm long steel fence droppers per a log. To be installed as per suppliers specifications./\KS19_005-Ecologs  \unit\26 \ 900"/>
        <s v=" \  / \  /  \ Install Erosion control logs (2 m long x 300 mm Dimeter ). Rate to allow supply of erosion control log and 2 No. 1000 mm long steel fence droppers per a log. To be installed as per suppliers specifications./\KS20_010-Ecologs  \unit\20 \ 900"/>
        <s v=" \  / \  /  \ Install Erosion control logs (2 m long x 300 mm Dimeter ). Rate to allow supply of erosion control log and 2 No. 1000 mm long steel fence droppers per a log. To be installed as per suppliers specifications./\LS16_014-Ecologs  \unit\9 \ 900"/>
        <s v=" \  / \  /  \ Install Erosion control logs (2 m long x 300 mm Dimeter ). Rate to allow supply of erosion control log and 2 No. 1000 mm long steel fence droppers per a log. To be installed as per suppliers specifications./\KS19_004-Infilling of Drains  \unit\25 \ 900" u="1"/>
        <s v=" \  / \  /  \ Install Erosion control logs (2 m long x 300 mm Dimeter ). Rate to allow supply of erosion control log and 2 No. 1000 mm long steel fence droppers per a log. To be installed as per suppliers specifications./\KS16_005-Deactivate Drain  \unit\102 \ 900" u="1"/>
        <s v=" \  / \  /  \ Install Erosion control logs (2 m long x 300 mm Dimeter ). Rate to allow supply of erosion control log and 2 No. 1000 mm long steel fence droppers per a log. To be installed as per suppliers specifications./\KS19_001-Infilling of Drains  \unit\20 \ 900" u="1"/>
        <s v=" \  / \  /  \ Install Erosion control logs (2 m long x 300 mm Dimeter ). Rate to allow supply of erosion control log and 2 No. 1000 mm long steel fence droppers per a log. To be installed as per suppliers specifications./\KS20_010-Infilling of Drains  \unit\20 \ 900" u="1"/>
        <s v=" \  / \  /  \ Install Erosion control logs (2 m long x 300 mm Dimeter ). Rate to allow supply of erosion control log and 2 No. 1000 mm long steel fence droppers per a log. To be installed as per suppliers specifications./\KS19_003-Headcut  \unit\8 \ 900" u="1"/>
        <s v=" \  / \  /  \ Install Erosion control logs (2 m long x 300 mm Dimeter ). Rate to allow supply of erosion control log and 2 No. 1000 mm long steel fence droppers per a log. To be installed as per suppliers specifications./\KS16_003-Infilling of Drains  \unit\79 \ 900" u="1"/>
        <s v=" \  / \  /  \ Install Erosion control logs (2 m long x 300 mm Dimeter ). Rate to allow supply of erosion control log and 2 No. 1000 mm long steel fence droppers per a log. To be installed as per suppliers specifications./\KS19_005-Infilling of Drains  \unit\26 \ 900" u="1"/>
      </sharedItems>
    </cacheField>
    <cacheField name="Geo-cells" numFmtId="0">
      <sharedItems count="3" longText="1">
        <s v=" "/>
        <s v="SABS1200 GA \ CONCRETE (SMALL WORKS) / \ SCHEDULED FORMWORK ITEMS /  \ 100 mm deep Kaytech Multi-cell® or equivalent formwork product . Rate to include supply and installation according to suppliers specifications./\KS18-014-Concrete Filled Geo-Cell Berm. Drawing NBC-GTW-CL-0001 \m²\90.3840508391961 \ 50" u="1"/>
        <s v="SABS1200 GA \ CONCRETE (SMALL WORKS) / \ SCHEDULED FORMWORK ITEMS /  \ 100 mm deep Kaytech Multi-cell® or equivalent formwork product . Rate to include supply and installation according to suppliers specifications./\KS15_001-Fish Bowl  \m²\630 \ 50" u="1"/>
      </sharedItems>
    </cacheField>
    <cacheField name="Fence" numFmtId="0">
      <sharedItems count="1">
        <s v=" "/>
      </sharedItems>
    </cacheField>
    <cacheField name="1.5 mm HDPE Liner" numFmtId="0">
      <sharedItems count="1">
        <s v=" "/>
      </sharedItems>
    </cacheField>
    <cacheField name="2 mm HDPE Liner" numFmtId="0">
      <sharedItems count="1">
        <s v=" "/>
      </sharedItems>
    </cacheField>
    <cacheField name="Envirobent" numFmtId="0">
      <sharedItems count="1">
        <s v=" "/>
      </sharedItems>
    </cacheField>
    <cacheField name="MacMat Liner" numFmtId="0">
      <sharedItems count="1">
        <s v=" "/>
      </sharedItems>
    </cacheField>
    <cacheField name="Reshaping " numFmtId="0">
      <sharedItems count="1">
        <s v=" "/>
      </sharedItems>
    </cacheField>
    <cacheField name="Scarifying surface" numFmtId="0">
      <sharedItems count="1">
        <s v=" "/>
      </sharedItems>
    </cacheField>
    <cacheField name="Sediment Fences2" numFmtId="0">
      <sharedItems count="1">
        <s v=" "/>
      </sharedItems>
    </cacheField>
    <cacheField name="600 diam pipe" numFmtId="0">
      <sharedItems count="2" longText="1">
        <s v=" "/>
        <s v="SABS1200 LE \ STORMWATER DRAINAGE / 8.2\ SCHEDULED ITEMS / 8.2.1 \ Supply and lay concrete pipe culverts. 600 mm Diameter Spigot and Socket SC Class 75D pre-cast concrete pipes on Class C bedding. SABS 677 approved pipes to be used. /\LS16_019-Pipe Culvert. Drawing NBC-GTW-CL-0069 \m\15 \ 1000"/>
      </sharedItems>
    </cacheField>
    <cacheField name="Wetland soil backfill2" numFmtId="0">
      <sharedItems count="3" longText="1">
        <s v=" "/>
        <s v="SABS1200 DA \EARTHWORKS (SMALL WORKS)/8.3\SCHEDULED ITEMS/8.3.4\Import Suitable Wetland Earth Backfill Material  from Designated Borrow Pit. Rate to allow for loading from stockpile or borrow source, transport within 5 km free haul distance, stockpiling (if required), placing, spreading  and compacting material in layers, as specified by the engineer./\ks11-003-Backfilling Dam to Create Wetland  \m³\11500 \ 50"/>
        <s v="SABS1200 DA \EARTHWORKS (SMALL WORKS)/8.3\SCHEDULED ITEMS/8.3.4\Import Suitable Wetland Earth Backfill Material  from Designated Borrow Pit. Rate to allow for loading from stockpile or borrow source, transport within 5 km free haul distance, stockpiling (if required), placing, spreading  and compacting material in layers, as specified by the engineer./\ks11-005-Backfilling Dam to Create Wetland  \m³\5200 \ 50"/>
      </sharedItems>
    </cacheField>
    <cacheField name="Brickwork - 230 mm thick" numFmtId="0">
      <sharedItems count="5" longText="1">
        <s v=" "/>
        <s v="SABS1200 LE \ STORMWATER DRAINAGE / 8.2\ SCHEDULED ITEMS / 8.2.9 \ a) Brickwork. Rate to allow for supply of minimum strength 7 Mpa bricks for 230 mm thick wall and laying of bricks with type 2 motar._x000a_ (double skin) wall, supply and mixing of type 2 mortar, and laying of bricks as per intervention drawing.  /\ks11-001-Off-take structure  \m²\4.632 \ 750"/>
        <s v="SABS1200 LE \ STORMWATER DRAINAGE / 8.2\ SCHEDULED ITEMS / 8.2.9 \ a) Brickwork. Rate to allow for supply of minimum strength 7 Mpa bricks for 230 mm thick wall and laying of bricks with type 2 motar._x000a_ (double skin) wall, supply and mixing of type 2 mortar, and laying of bricks as per intervention drawing.  /\KS12_001-Pipe Culvert. Drawing NBC-GTW-CL-0069 \m²\6 \ 750"/>
        <s v="SABS1200 LE \ STORMWATER DRAINAGE / 8.2\ SCHEDULED ITEMS / 8.2.9 \ a) Brickwork. Rate to allow for supply of minimum strength 7 Mpa bricks for 230 mm thick wall and laying of bricks with type 2 motar._x000a_ (double skin) wall, supply and mixing of type 2 mortar, and laying of bricks as per intervention drawing.  /\KS12_001-Pipe Culvert. Drawing NBC-GTW-CL-0069 \m²\6 \ 250" u="1"/>
        <s v="SABS1200 LE \ STORMWATER DRAINAGE / 8.2\ SCHEDULED ITEMS / 8.2.9 \ a) Brickwork. Rate to allow for supply of minimum strength 7 Mpa bricks for 230 mm thick wall and laying of bricks with type 2 motar._x000a_ (double skin) wall, supply and mixing of type 2 mortar, and laying of bricks as per intervention drawing.  /\ks11-001-Off-take structure  \m²\4.632 \ 250" u="1"/>
      </sharedItems>
    </cacheField>
    <cacheField name="250 mm Diameter uPVC pipe" numFmtId="0">
      <sharedItems count="2" longText="1">
        <s v=" "/>
        <s v="SABS1200 L \ MEDIUM-PRESSURE PIPELINES / 8.2\ SCHEDULED ITEMS / 8.2.1 \ Supply, Lay, and Bed Pipes Complete with Couplings. Rate to allow for jointing and testing.. 250mm uPVC class 6 laid on C-class type bedding. SABS 966 approved pipe to be used./\ks11-001-Off-take structure  \m\265 \ 500"/>
      </sharedItems>
    </cacheField>
    <cacheField name="Manholes 1000 mm diameter pre-cast" numFmtId="0">
      <sharedItems count="2">
        <s v=" "/>
        <s v="SABS1200 L \ MEDIUM-PRESSURE PIPELINES / 8.2\ SCHEDULED ITEMS / 8.2.13 \ Valve and hydrant chambers,etc. 1000 mm Diameter Pre-cast concrete manholes at  depths of 1.5 m with pre-cast lid cover/\ks11-001-Off-take structure  \No.\4 \ 7500"/>
      </sharedItems>
    </cacheField>
    <cacheField name="Vegetation clearing" numFmtId="0">
      <sharedItems count="3">
        <s v=" "/>
        <s v="SABS1200 DB \ EARTHWORKS (PIPE TRENCHES) / 8.3\ SCHEDULED ITEMS / 8.3.1 \ Site Clearance and Removal of Topsoil. a) Clear vegetation and trees to a girth of 1 m/\ks11-001-Off-take structure  \m\265 \ 100"/>
        <s v="SABS1200 DB \ EARTHWORKS (PIPE TRENCHES) / 8.3\ SCHEDULED ITEMS / 8.3.1 \ Site Clearance and Removal of Topsoil. a) Clear vegetation and trees to a girth of 1 m/\KS12_001-Pipe Culvert. Drawing NBC-GTW-CL-0069 \m\11 \ 100"/>
      </sharedItems>
    </cacheField>
    <cacheField name="Top soil removal" numFmtId="0">
      <sharedItems count="3">
        <s v=" "/>
        <s v="SABS1200 DB \ EARTHWORKS (PIPE TRENCHES) / 8.3\ SCHEDULED ITEMS / 8.3.1 \ Site Clearance and Removal of Topsoil. c) Remove top soil/\ks11-001-Off-take structure \m²\185.5 \ 12"/>
        <s v="SABS1200 DB \ EARTHWORKS (PIPE TRENCHES) / 8.3\ SCHEDULED ITEMS / 8.3.1 \ Site Clearance and Removal of Topsoil. c) Remove top soil/\KS12_001-Pipe Culvert \m²\22 \ 12"/>
      </sharedItems>
    </cacheField>
    <cacheField name="Excavation of trench" numFmtId="0">
      <sharedItems count="3">
        <s v=" "/>
        <s v="SABS1200 DB \ EARTHWORKS (PIPE TRENCHES) / 8.3\ SCHEDULED ITEMS / 8.3.2 \ Excavation. Excavate in all materials for trenches, backfill, compact and dispose of surplus material/\ks11-001-Off-take structure  \m\265 \ 50"/>
        <s v="SABS1200 DB \ EARTHWORKS (PIPE TRENCHES) / 8.3\ SCHEDULED ITEMS / 8.3.2 \ Excavation. Excavate in all materials for trenches, backfill, compact and dispose of surplus material/\KS12_001-Pipe Culvert. Drawing NBC-GTW-CL-0069 \m\27 \ 50"/>
      </sharedItems>
    </cacheField>
    <cacheField name="Make up deficiency in backfill material" numFmtId="0">
      <sharedItems count="3">
        <s v=" "/>
        <s v="SABS1200 DB \ EARTHWORKS (PIPE TRENCHES) / 8.3\ SCHEDULED ITEMS / 8.3.3.1 \ Make up deficiency in backfill material (Provisional). a) From other necessary excavations on site./\ks11-001-Off-take structure  \m³\5 \ 300"/>
        <s v="SABS1200 DB \ EARTHWORKS (PIPE TRENCHES) / 8.3\ SCHEDULED ITEMS / 8.3.3.1 \ Make up deficiency in backfill material (Provisional). a) From other necessary excavations on site./\KS12_001-Pipe Culvert. Drawing NBC-GTW-CL-0069 \m³\4.5 \ 300"/>
      </sharedItems>
    </cacheField>
    <cacheField name="Clear and Grub" numFmtId="0">
      <sharedItems count="2">
        <s v=" "/>
        <s v="SABS1200 C \ SITE CLEARANCE / 8.2\ SCHEDULED ITEMS / 8.2.1 \ Clear and Grub the area designated by the engineer. /\Pan8_003-Removal of Dam Wall  \m²\1700 \ 10"/>
      </sharedItems>
    </cacheField>
    <cacheField name="Remove and large trees and trees stumps " numFmtId="0">
      <sharedItems count="2">
        <s v=" "/>
        <s v="SABS1200 C \ SITE CLEARANCE / 8.2\ SCHEDULED ITEMS / 8.2.2 \ Remove and large trees and trees stumps of girth over 1m and up to 2m. /\Pan8_003-Removal of Dam Wall  \No.\5 \ 1500"/>
      </sharedItems>
    </cacheField>
    <cacheField name="Create new temporary access road" numFmtId="0">
      <sharedItems count="5">
        <s v=" "/>
        <s v=" \ CREATE NEW TEMPORARY ACCESS ROAD / \  /  \ Rate to allow for the formation of an unsurfaced mono-camber 4m wide temporary access road with adequate side drains.. /\Road 11 - Cluster 3A-New Road  \m\663.36 \ 25"/>
        <s v=" \ CREATE NEW TEMPORARY ACCESS ROAD / \  /  \ Rate to allow for the formation of an unsurfaced mono-camber 4m wide temporary access road with adequate side drains.. /\Road 17 - Cluster 3B-New Road  \m\480.32 \ 25"/>
        <s v=" \ CREATE NEW TEMPORARY ACCESS ROAD / \  /  \ Rate to allow for the formation of an unsurfaced mono-camber 4m wide temporary access road with adequate side drains.. /\Road 19 - Cluster 5A-New Road  \m\893.41 \ 25"/>
        <s v=" \ CREATE NEW TEMPORARY ACCESS ROAD / \  /  \ Rate to allow for the formation of an unsurfaced mono-camber 4m wide temporary access road with adequate side drains.. /\Road 6 - Cluster 1-New Road  \m\693.5 \ 25"/>
      </sharedItems>
    </cacheField>
    <cacheField name="Upgrade existing access road" numFmtId="0">
      <sharedItems count="19">
        <s v=" "/>
        <s v=" \ UPGRADE EXISTING ACCESS ROAD / \  /  \ Rate to allow for the upgrading of existing access road to an unsurfaced mono-camber 4m wide temporary access road with adequate side drains.. /\Road 10 - Cluster 1-Upgrade Existing Road  \m\533.02 \ 17"/>
        <s v=" \ UPGRADE EXISTING ACCESS ROAD / \  /  \ Rate to allow for the upgrading of existing access road to an unsurfaced mono-camber 4m wide temporary access road with adequate side drains.. /\Road 13 - Cluster 3B-Upgrade Existing Road  \m\1363.22 \ 17"/>
        <s v=" \ UPGRADE EXISTING ACCESS ROAD / \  /  \ Rate to allow for the upgrading of existing access road to an unsurfaced mono-camber 4m wide temporary access road with adequate side drains.. /\Road 14 - Cluster 3B-Upgrade Existing Road  \m\750.3 \ 17"/>
        <s v=" \ UPGRADE EXISTING ACCESS ROAD / \  /  \ Rate to allow for the upgrading of existing access road to an unsurfaced mono-camber 4m wide temporary access road with adequate side drains.. /\Road 16 - Cluster 3B-Upgrade Existing Road  \m\294.21 \ 17"/>
        <s v=" \ UPGRADE EXISTING ACCESS ROAD / \  /  \ Rate to allow for the upgrading of existing access road to an unsurfaced mono-camber 4m wide temporary access road with adequate side drains.. /\Road 18 - Cluster 4B-Upgrade Existing Road  \m\1306.95 \ 17"/>
        <s v=" \ UPGRADE EXISTING ACCESS ROAD / \  /  \ Rate to allow for the upgrading of existing access road to an unsurfaced mono-camber 4m wide temporary access road with adequate side drains.. /\Road 2 - Cluster 2A-Upgrade Existing Road  \m\437.98 \ 17"/>
        <s v=" \ UPGRADE EXISTING ACCESS ROAD / \  /  \ Rate to allow for the upgrading of existing access road to an unsurfaced mono-camber 4m wide temporary access road with adequate side drains.. /\Road 21 - Cluster 4A-Upgrade Existing Road  \m\587.13 \ 17"/>
        <s v=" \ UPGRADE EXISTING ACCESS ROAD / \  /  \ Rate to allow for the upgrading of existing access road to an unsurfaced mono-camber 4m wide temporary access road with adequate side drains.. /\Road 22 - Cluster 3C-Upgrade Existing Road  \m\2221.85 \ 17"/>
        <s v=" \ UPGRADE EXISTING ACCESS ROAD / \  /  \ Rate to allow for the upgrading of existing access road to an unsurfaced mono-camber 4m wide temporary access road with adequate side drains.. /\Road 23 - Cluster 3C-Upgrade Existing Road  \m\1167.11 \ 17"/>
        <s v=" \ UPGRADE EXISTING ACCESS ROAD / \  /  \ Rate to allow for the upgrading of existing access road to an unsurfaced mono-camber 4m wide temporary access road with adequate side drains.. /\Road 24 - Cluster 4A-Upgrade Existing Road  \m\751.57 \ 17"/>
        <s v=" \ UPGRADE EXISTING ACCESS ROAD / \  /  \ Rate to allow for the upgrading of existing access road to an unsurfaced mono-camber 4m wide temporary access road with adequate side drains.. /\Road 27 - Cluster 3C-Upgrade Existing Road  \m\578.36 \ 17"/>
        <s v=" \ UPGRADE EXISTING ACCESS ROAD / \  /  \ Rate to allow for the upgrading of existing access road to an unsurfaced mono-camber 4m wide temporary access road with adequate side drains.. /\Road 28 - Cluster 3C-Upgrade Existing Road  \m\692.51 \ 17"/>
        <s v=" \ UPGRADE EXISTING ACCESS ROAD / \  /  \ Rate to allow for the upgrading of existing access road to an unsurfaced mono-camber 4m wide temporary access road with adequate side drains.. /\Road 29 - Cluster 6-Upgrade Existing Road  \m\937.2 \ 17"/>
        <s v=" \ UPGRADE EXISTING ACCESS ROAD / \  /  \ Rate to allow for the upgrading of existing access road to an unsurfaced mono-camber 4m wide temporary access road with adequate side drains.. /\Road 3 - Cluster 2A-Upgrade Existing Road  \m\1090.62 \ 17"/>
        <s v=" \ UPGRADE EXISTING ACCESS ROAD / \  /  \ Rate to allow for the upgrading of existing access road to an unsurfaced mono-camber 4m wide temporary access road with adequate side drains.. /\Road 30 - Cluster 6-Upgrade Existing Road  \m\849.5 \ 17"/>
        <s v=" \ UPGRADE EXISTING ACCESS ROAD / \  /  \ Rate to allow for the upgrading of existing access road to an unsurfaced mono-camber 4m wide temporary access road with adequate side drains.. /\Road 4 - Cluster 2B-Upgrade Existing Road  \m\288.73 \ 17"/>
        <s v=" \ UPGRADE EXISTING ACCESS ROAD / \  /  \ Rate to allow for the upgrading of existing access road to an unsurfaced mono-camber 4m wide temporary access road with adequate side drains.. /\Road 8 - Cluster 1-Upgrade Existing Road  \m\665.33 \ 17"/>
        <s v=" \ UPGRADE EXISTING ACCESS ROAD / \  /  \ Rate to allow for the upgrading of existing access road to an unsurfaced mono-camber 4m wide temporary access road with adequate side drains.. /\Road 9 - Cluster 1-Upgrade Existing Road  \m\569.39 \ 17"/>
      </sharedItems>
    </cacheField>
    <cacheField name="Maintain existing access road" numFmtId="0">
      <sharedItems count="11" longText="1">
        <s v=" "/>
        <s v=" \ MAINTAIN TEMPORARY ACCESS ROAD / \  /  \ Rate to allow for the maintaining of temporary access road for the duration of the implementation of the Wetland Implementation Cluster as per this section of the BoQ.. /\Road 1 - Cluster 1-Maintain Road \m\6440.9 \ 5"/>
        <s v=" \ MAINTAIN TEMPORARY ACCESS ROAD / \  /  \ Rate to allow for the maintaining of temporary access road for the duration of the implementation of the Wetland Implementation Cluster as per this section of the BoQ.. /\Road 10 - Cluster 3A-Maintain Road \m\533.02 \ 5"/>
        <s v=" \ MAINTAIN TEMPORARY ACCESS ROAD / \  /  \ Rate to allow for the maintaining of temporary access road for the duration of the implementation of the Wetland Implementation Cluster as per this section of the BoQ.. /\Road 18 - Cluster 6-Maintain Road \m\1306.95 \ 5"/>
        <s v=" \ MAINTAIN TEMPORARY ACCESS ROAD / \  /  \ Rate to allow for the maintaining of temporary access road for the duration of the implementation of the Wetland Implementation Cluster as per this section of the BoQ.. /\Road 19 - Cluster 6-Maintain Road \m\893.41 \ 5"/>
        <s v=" \ MAINTAIN TEMPORARY ACCESS ROAD / \  /  \ Rate to allow for the maintaining of temporary access road for the duration of the implementation of the Wetland Implementation Cluster as per this section of the BoQ.. /\Road 20 - Cluster 3C-Maintain Road \m\5076.81 \ 5"/>
        <s v=" \ MAINTAIN TEMPORARY ACCESS ROAD / \  /  \ Rate to allow for the maintaining of temporary access road for the duration of the implementation of the Wetland Implementation Cluster as per this section of the BoQ.. /\Road 20 - Cluster 6-Maintain Road \m\5076.81 \ 5"/>
        <s v=" \ MAINTAIN TEMPORARY ACCESS ROAD / \  /  \ Rate to allow for the maintaining of temporary access road for the duration of the implementation of the Wetland Implementation Cluster as per this section of the BoQ.. /\Road 5 - Cluster 1-Maintain Road \m\2195.54 \ 5"/>
        <s v=" \ MAINTAIN TEMPORARY ACCESS ROAD / \  /  \ Rate to allow for the maintaining of temporary access road for the duration of the implementation of the Wetland Implementation Cluster as per this section of the BoQ.. /\Road 7 - Cluster 1-Maintain Road \m\1978.42 \ 5"/>
        <s v=" \ MAINTAIN TEMPORARY ACCESS ROAD / \  /  \ Rate to allow for the maintaining of temporary access road for the duration of the implementation of the Wetland Implementation Cluster as per this section of the BoQ.. /\Road 8 - Cluster 3A-Maintain Road \m\665.33 \ 5"/>
        <s v=" \ MAINTAIN TEMPORARY ACCESS ROAD / \  /  \ Rate to allow for the maintaining of temporary access road for the duration of the implementation of the Wetland Implementation Cluster as per this section of the BoQ.. /\Road 9 - Cluster 3A-Maintain Road \m\569.39 \ 5"/>
      </sharedItems>
    </cacheField>
    <cacheField name="250 mm Diam. Rsv Gate Valve" numFmtId="0">
      <sharedItems count="2" longText="1">
        <s v=" "/>
        <s v="SABS1200 L \ MEDIUM-PRESSURE PIPELINES / 8.2\ SCHEDULED ITEMS /  \ Supply, install, joint, incl cut pipes where necessary, test, flanged valve with non rising spindle and hand wheel.. 250 mm diam. RSV gate valve/\ks11-001-Off-take structure  \No.\1 \ 12500"/>
      </sharedItems>
    </cacheField>
    <cacheField name="Bends uPVC Class 6 socketed" numFmtId="0">
      <sharedItems count="2">
        <s v=" "/>
        <s v="SABS1200 L \ MEDIUM-PRESSURE PIPELINES / 8.2\ SCHEDULED ITEMS /  \ Bends uPVC class 6 socketed. . 250mm diameter 45 deg./\ks11-001-Off-take structure  \No.\2 \ 3000"/>
      </sharedItems>
    </cacheField>
    <cacheField name="Cast Iron Flange Adaptors" numFmtId="0">
      <sharedItems count="2">
        <s v=" "/>
        <s v="SABS1200 L \ MEDIUM-PRESSURE PIPELINES / 8.2\ SCHEDULED ITEMS /  \ Cast Iron Flange Adaptors.. 250 mm diameter./\ks11-001-Off-take structure  \No.\2 \ 1800"/>
      </sharedItems>
    </cacheField>
    <cacheField name="38mm Fiberglass Grating" numFmtId="0">
      <sharedItems count="2">
        <s v=" "/>
        <s v=" \  / \  /  \ Rate for the supply and installation of a 38 mm fibreglass grating with openings not greater than 50 mm x 50 mm.. /\ks11-001-Off-take structure  \m²\0.5 \ 3000"/>
      </sharedItems>
    </cacheField>
    <cacheField name="250 mm Steel pipe with removable stop end" numFmtId="0">
      <sharedItems count="3" longText="1">
        <s v=" "/>
        <s v=" \  / \  /  \ Rate to allow for the supply and installation of a 2.5 meter long, 250 mm diameter steel pipe with removable stop-end. Rate to include paddle flanges, flange adaptor, stop end,  seals, nuts, and bolts.. /\ks11-002a-Concrete Drop Inlet on Dam Wall  \No.\1 \ 0"/>
        <s v=" \  / \  /  \ Rate to allow for the supply and installation of a 2.5 meter long, 250 mm diameter steel pipe with removable stop-end. Rate to include paddle flanges, flange adaptor, stop end,  seals, nuts, and bolts.. /\ks11-004a-Concrete Drop Inlet on Dam Wall  \No.\1 \ 0"/>
      </sharedItems>
    </cacheField>
    <cacheField name="??????" numFmtId="0">
      <sharedItems count="1">
        <s v=" "/>
      </sharedItems>
    </cacheField>
    <cacheField name="???????" numFmtId="0">
      <sharedItems count="1">
        <s v=" "/>
      </sharedItems>
    </cacheField>
    <cacheField name="????????" numFmtId="0">
      <sharedItems count="1">
        <s v=" "/>
      </sharedItems>
    </cacheField>
    <cacheField name="?????????" numFmtId="0">
      <sharedItems count="1">
        <s v=" "/>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31">
  <r>
    <x v="0"/>
    <x v="0"/>
    <x v="0"/>
    <x v="0"/>
    <x v="0"/>
    <s v="Estimate"/>
    <m/>
    <s v="Yes"/>
    <m/>
    <m/>
    <m/>
    <x v="0"/>
    <n v="16"/>
    <x v="0"/>
    <x v="0"/>
    <x v="0"/>
    <m/>
    <m/>
    <m/>
    <m/>
    <m/>
    <m/>
    <m/>
    <m/>
    <m/>
    <m/>
    <m/>
    <m/>
    <m/>
    <m/>
    <m/>
    <m/>
    <n v="800"/>
    <n v="56000"/>
    <n v="0"/>
    <n v="0"/>
    <n v="4560"/>
    <n v="0"/>
    <n v="0"/>
    <n v="0"/>
    <n v="0"/>
    <n v="0"/>
    <n v="0"/>
    <n v="0"/>
    <n v="0"/>
    <n v="0"/>
    <n v="0"/>
    <n v="0"/>
    <n v="0"/>
    <n v="0"/>
    <n v="0"/>
    <n v="0"/>
    <n v="61360"/>
  </r>
  <r>
    <x v="1"/>
    <x v="1"/>
    <x v="1"/>
    <x v="1"/>
    <x v="1"/>
    <s v="Estimate"/>
    <m/>
    <s v="Yes"/>
    <m/>
    <m/>
    <m/>
    <x v="1"/>
    <m/>
    <x v="0"/>
    <x v="0"/>
    <x v="1"/>
    <m/>
    <m/>
    <m/>
    <m/>
    <m/>
    <m/>
    <m/>
    <m/>
    <m/>
    <m/>
    <m/>
    <n v="0.19497238218666732"/>
    <m/>
    <m/>
    <m/>
    <n v="584.91714656000192"/>
    <n v="0"/>
    <n v="0"/>
    <n v="0"/>
    <n v="0"/>
    <n v="150000"/>
    <n v="0"/>
    <n v="0"/>
    <n v="0"/>
    <n v="0"/>
    <n v="0"/>
    <n v="0"/>
    <n v="0"/>
    <n v="0"/>
    <n v="0"/>
    <n v="0"/>
    <n v="38994.476437333462"/>
    <n v="0"/>
    <n v="0"/>
    <n v="0"/>
    <n v="29245.857328000096"/>
    <n v="218240.33376533355"/>
  </r>
  <r>
    <x v="0"/>
    <x v="1"/>
    <x v="2"/>
    <x v="2"/>
    <x v="0"/>
    <s v="Estimate"/>
    <m/>
    <s v="Yes"/>
    <m/>
    <m/>
    <m/>
    <x v="1"/>
    <m/>
    <x v="0"/>
    <x v="0"/>
    <x v="2"/>
    <m/>
    <m/>
    <m/>
    <m/>
    <m/>
    <m/>
    <m/>
    <m/>
    <m/>
    <m/>
    <m/>
    <n v="0.32949500000000009"/>
    <m/>
    <m/>
    <m/>
    <n v="988.48500000000013"/>
    <n v="0"/>
    <n v="0"/>
    <n v="0"/>
    <n v="0"/>
    <n v="114000"/>
    <n v="0"/>
    <n v="0"/>
    <n v="0"/>
    <n v="0"/>
    <n v="0"/>
    <n v="0"/>
    <n v="0"/>
    <n v="0"/>
    <n v="0"/>
    <n v="0"/>
    <n v="65899.000000000015"/>
    <n v="0"/>
    <n v="0"/>
    <n v="0"/>
    <n v="49424.250000000007"/>
    <n v="229323.25"/>
  </r>
  <r>
    <x v="2"/>
    <x v="1"/>
    <x v="3"/>
    <x v="3"/>
    <x v="2"/>
    <s v="Estimate"/>
    <m/>
    <s v="Yes"/>
    <m/>
    <m/>
    <m/>
    <x v="1"/>
    <m/>
    <x v="0"/>
    <x v="0"/>
    <x v="3"/>
    <m/>
    <m/>
    <m/>
    <m/>
    <m/>
    <m/>
    <m/>
    <m/>
    <m/>
    <m/>
    <m/>
    <n v="0.25666666666666671"/>
    <m/>
    <m/>
    <m/>
    <n v="770"/>
    <n v="0"/>
    <n v="0"/>
    <n v="0"/>
    <n v="0"/>
    <n v="249000"/>
    <n v="0"/>
    <n v="0"/>
    <n v="0"/>
    <n v="0"/>
    <n v="0"/>
    <n v="0"/>
    <n v="0"/>
    <n v="0"/>
    <n v="0"/>
    <n v="0"/>
    <n v="51333.333333333343"/>
    <n v="0"/>
    <n v="0"/>
    <n v="0"/>
    <n v="38500"/>
    <n v="338833.33333333337"/>
  </r>
  <r>
    <x v="3"/>
    <x v="2"/>
    <x v="4"/>
    <x v="4"/>
    <x v="3"/>
    <s v="N/A"/>
    <m/>
    <s v="No"/>
    <m/>
    <m/>
    <m/>
    <x v="1"/>
    <m/>
    <x v="0"/>
    <x v="0"/>
    <x v="4"/>
    <m/>
    <m/>
    <m/>
    <m/>
    <m/>
    <m/>
    <m/>
    <m/>
    <m/>
    <m/>
    <m/>
    <n v="1.74"/>
    <m/>
    <m/>
    <m/>
    <n v="11500"/>
    <n v="0"/>
    <n v="0"/>
    <n v="0"/>
    <n v="0"/>
    <n v="1452000"/>
    <n v="0"/>
    <n v="0"/>
    <n v="0"/>
    <n v="0"/>
    <n v="0"/>
    <n v="0"/>
    <n v="0"/>
    <n v="0"/>
    <n v="0"/>
    <n v="0"/>
    <n v="348000"/>
    <n v="0"/>
    <n v="0"/>
    <n v="0"/>
    <n v="575000"/>
    <n v="2375000"/>
  </r>
  <r>
    <x v="3"/>
    <x v="2"/>
    <x v="4"/>
    <x v="5"/>
    <x v="3"/>
    <s v="N/A"/>
    <m/>
    <s v="No"/>
    <m/>
    <m/>
    <m/>
    <x v="1"/>
    <m/>
    <x v="0"/>
    <x v="0"/>
    <x v="5"/>
    <m/>
    <m/>
    <m/>
    <m/>
    <m/>
    <m/>
    <m/>
    <m/>
    <m/>
    <m/>
    <m/>
    <n v="3.82"/>
    <m/>
    <m/>
    <m/>
    <n v="5200"/>
    <n v="0"/>
    <n v="0"/>
    <n v="0"/>
    <n v="0"/>
    <n v="738000"/>
    <n v="0"/>
    <n v="0"/>
    <n v="0"/>
    <n v="0"/>
    <n v="0"/>
    <n v="0"/>
    <n v="0"/>
    <n v="0"/>
    <n v="0"/>
    <n v="0"/>
    <n v="764000"/>
    <n v="0"/>
    <n v="0"/>
    <n v="0"/>
    <n v="260000"/>
    <n v="1762000"/>
  </r>
  <r>
    <x v="3"/>
    <x v="3"/>
    <x v="5"/>
    <x v="6"/>
    <x v="3"/>
    <s v="N/A"/>
    <m/>
    <s v="Yes"/>
    <m/>
    <m/>
    <m/>
    <x v="2"/>
    <n v="20"/>
    <x v="1"/>
    <x v="1"/>
    <x v="6"/>
    <m/>
    <m/>
    <m/>
    <m/>
    <m/>
    <m/>
    <m/>
    <m/>
    <m/>
    <m/>
    <m/>
    <m/>
    <m/>
    <m/>
    <n v="250"/>
    <m/>
    <n v="8500"/>
    <n v="70000"/>
    <n v="5000"/>
    <n v="6250"/>
    <n v="0"/>
    <n v="0"/>
    <n v="0"/>
    <n v="0"/>
    <n v="0"/>
    <n v="0"/>
    <n v="0"/>
    <n v="0"/>
    <n v="0"/>
    <n v="0"/>
    <n v="0"/>
    <n v="0"/>
    <n v="0"/>
    <n v="0"/>
    <n v="225000"/>
    <n v="0"/>
    <n v="314750"/>
  </r>
  <r>
    <x v="4"/>
    <x v="4"/>
    <x v="5"/>
    <x v="7"/>
    <x v="4"/>
    <s v="Estimate"/>
    <m/>
    <s v="Yes"/>
    <m/>
    <m/>
    <m/>
    <x v="3"/>
    <n v="3"/>
    <x v="0"/>
    <x v="2"/>
    <x v="7"/>
    <m/>
    <m/>
    <m/>
    <m/>
    <m/>
    <m/>
    <m/>
    <m/>
    <m/>
    <m/>
    <m/>
    <m/>
    <m/>
    <n v="1"/>
    <n v="20"/>
    <m/>
    <n v="1000"/>
    <n v="10500"/>
    <n v="0"/>
    <n v="5250"/>
    <n v="1800"/>
    <n v="0"/>
    <n v="0"/>
    <n v="0"/>
    <n v="0"/>
    <n v="0"/>
    <n v="0"/>
    <n v="0"/>
    <n v="0"/>
    <n v="0"/>
    <n v="0"/>
    <n v="0"/>
    <n v="0"/>
    <n v="2000"/>
    <n v="18000"/>
    <n v="0"/>
    <n v="38550"/>
  </r>
  <r>
    <x v="4"/>
    <x v="5"/>
    <x v="5"/>
    <x v="8"/>
    <x v="4"/>
    <s v="N/A"/>
    <m/>
    <s v="Yes"/>
    <m/>
    <m/>
    <m/>
    <x v="4"/>
    <n v="30"/>
    <x v="2"/>
    <x v="0"/>
    <x v="6"/>
    <m/>
    <m/>
    <m/>
    <m/>
    <m/>
    <m/>
    <m/>
    <m/>
    <m/>
    <m/>
    <m/>
    <m/>
    <m/>
    <m/>
    <m/>
    <m/>
    <n v="1126"/>
    <n v="105000"/>
    <n v="15200"/>
    <n v="0"/>
    <n v="0"/>
    <n v="0"/>
    <n v="0"/>
    <n v="0"/>
    <n v="0"/>
    <n v="0"/>
    <n v="0"/>
    <n v="0"/>
    <n v="0"/>
    <n v="0"/>
    <n v="0"/>
    <n v="0"/>
    <n v="0"/>
    <n v="0"/>
    <n v="0"/>
    <n v="0"/>
    <n v="121326"/>
  </r>
  <r>
    <x v="4"/>
    <x v="6"/>
    <x v="5"/>
    <x v="9"/>
    <x v="4"/>
    <s v="Complete"/>
    <s v="Yes"/>
    <s v="Yes"/>
    <d v="2016-01-23T00:00:00"/>
    <m/>
    <m/>
    <x v="5"/>
    <n v="37.027320000000003"/>
    <x v="3"/>
    <x v="0"/>
    <x v="6"/>
    <m/>
    <m/>
    <m/>
    <m/>
    <m/>
    <m/>
    <m/>
    <m/>
    <m/>
    <m/>
    <m/>
    <m/>
    <m/>
    <m/>
    <m/>
    <m/>
    <n v="2065.1235000000001"/>
    <n v="129595.62000000001"/>
    <n v="13331.52"/>
    <n v="0"/>
    <n v="0"/>
    <n v="0"/>
    <n v="0"/>
    <n v="0"/>
    <n v="0"/>
    <n v="0"/>
    <n v="0"/>
    <n v="0"/>
    <n v="0"/>
    <n v="0"/>
    <n v="0"/>
    <n v="0"/>
    <n v="0"/>
    <n v="0"/>
    <n v="0"/>
    <n v="0"/>
    <n v="144992.2635"/>
  </r>
  <r>
    <x v="4"/>
    <x v="6"/>
    <x v="5"/>
    <x v="10"/>
    <x v="4"/>
    <s v="Complete"/>
    <m/>
    <s v="Yes"/>
    <m/>
    <m/>
    <m/>
    <x v="6"/>
    <n v="36.305059999999997"/>
    <x v="4"/>
    <x v="0"/>
    <x v="6"/>
    <m/>
    <m/>
    <m/>
    <m/>
    <m/>
    <m/>
    <m/>
    <m/>
    <m/>
    <m/>
    <m/>
    <m/>
    <m/>
    <m/>
    <m/>
    <m/>
    <n v="2119.3661500000003"/>
    <n v="127067.70999999999"/>
    <n v="10774.079999999998"/>
    <n v="0"/>
    <n v="0"/>
    <n v="0"/>
    <n v="0"/>
    <n v="0"/>
    <n v="0"/>
    <n v="0"/>
    <n v="0"/>
    <n v="0"/>
    <n v="0"/>
    <n v="0"/>
    <n v="0"/>
    <n v="0"/>
    <n v="0"/>
    <n v="0"/>
    <n v="0"/>
    <n v="0"/>
    <n v="139961.15615"/>
  </r>
  <r>
    <x v="4"/>
    <x v="6"/>
    <x v="5"/>
    <x v="11"/>
    <x v="4"/>
    <s v="Complete"/>
    <m/>
    <s v="Yes"/>
    <m/>
    <m/>
    <m/>
    <x v="7"/>
    <n v="19.114480000000004"/>
    <x v="4"/>
    <x v="0"/>
    <x v="8"/>
    <m/>
    <m/>
    <m/>
    <m/>
    <m/>
    <m/>
    <m/>
    <m/>
    <m/>
    <m/>
    <m/>
    <m/>
    <m/>
    <m/>
    <m/>
    <m/>
    <n v="1569.3260000000005"/>
    <n v="66900.680000000008"/>
    <n v="10774.079999999998"/>
    <n v="0"/>
    <n v="902.4"/>
    <n v="0"/>
    <n v="0"/>
    <n v="0"/>
    <n v="0"/>
    <n v="0"/>
    <n v="0"/>
    <n v="0"/>
    <n v="0"/>
    <n v="0"/>
    <n v="0"/>
    <n v="0"/>
    <n v="0"/>
    <n v="0"/>
    <n v="0"/>
    <n v="0"/>
    <n v="80146.486000000004"/>
  </r>
  <r>
    <x v="4"/>
    <x v="6"/>
    <x v="5"/>
    <x v="12"/>
    <x v="4"/>
    <s v="Complete"/>
    <m/>
    <s v="Yes"/>
    <m/>
    <m/>
    <m/>
    <x v="8"/>
    <n v="24.187955000000002"/>
    <x v="4"/>
    <x v="0"/>
    <x v="9"/>
    <m/>
    <m/>
    <m/>
    <m/>
    <m/>
    <m/>
    <m/>
    <m/>
    <m/>
    <m/>
    <m/>
    <m/>
    <m/>
    <m/>
    <m/>
    <m/>
    <n v="2043.9265000000003"/>
    <n v="84657.842500000013"/>
    <n v="10774.079999999998"/>
    <n v="0"/>
    <n v="1372.8000000000002"/>
    <n v="0"/>
    <n v="0"/>
    <n v="0"/>
    <n v="0"/>
    <n v="0"/>
    <n v="0"/>
    <n v="0"/>
    <n v="0"/>
    <n v="0"/>
    <n v="0"/>
    <n v="0"/>
    <n v="0"/>
    <n v="0"/>
    <n v="0"/>
    <n v="0"/>
    <n v="98848.649000000019"/>
  </r>
  <r>
    <x v="4"/>
    <x v="6"/>
    <x v="5"/>
    <x v="13"/>
    <x v="4"/>
    <s v="Complete"/>
    <m/>
    <s v="Yes"/>
    <m/>
    <m/>
    <m/>
    <x v="9"/>
    <n v="17.892600000000005"/>
    <x v="5"/>
    <x v="0"/>
    <x v="10"/>
    <m/>
    <m/>
    <m/>
    <m/>
    <m/>
    <m/>
    <m/>
    <m/>
    <m/>
    <m/>
    <m/>
    <m/>
    <m/>
    <m/>
    <m/>
    <m/>
    <n v="1491.6814000000002"/>
    <n v="62624.10000000002"/>
    <n v="8887.68"/>
    <n v="0"/>
    <n v="870"/>
    <n v="0"/>
    <n v="0"/>
    <n v="0"/>
    <n v="0"/>
    <n v="0"/>
    <n v="0"/>
    <n v="0"/>
    <n v="0"/>
    <n v="0"/>
    <n v="0"/>
    <n v="0"/>
    <n v="0"/>
    <n v="0"/>
    <n v="0"/>
    <n v="0"/>
    <n v="73873.461400000029"/>
  </r>
  <r>
    <x v="4"/>
    <x v="6"/>
    <x v="5"/>
    <x v="14"/>
    <x v="4"/>
    <s v="Complete"/>
    <m/>
    <s v="Yes"/>
    <m/>
    <m/>
    <m/>
    <x v="10"/>
    <n v="13.094070000000002"/>
    <x v="6"/>
    <x v="0"/>
    <x v="11"/>
    <m/>
    <m/>
    <m/>
    <m/>
    <m/>
    <m/>
    <m/>
    <m/>
    <m/>
    <m/>
    <m/>
    <m/>
    <m/>
    <m/>
    <m/>
    <m/>
    <n v="1073.5560000000003"/>
    <n v="45829.24500000001"/>
    <n v="6330.24"/>
    <n v="0"/>
    <n v="509.40000000000003"/>
    <n v="0"/>
    <n v="0"/>
    <n v="0"/>
    <n v="0"/>
    <n v="0"/>
    <n v="0"/>
    <n v="0"/>
    <n v="0"/>
    <n v="0"/>
    <n v="0"/>
    <n v="0"/>
    <n v="0"/>
    <n v="0"/>
    <n v="0"/>
    <n v="0"/>
    <n v="53742.441000000006"/>
  </r>
  <r>
    <x v="5"/>
    <x v="6"/>
    <x v="5"/>
    <x v="15"/>
    <x v="1"/>
    <s v="Complete"/>
    <s v="Yes"/>
    <s v="Yes"/>
    <d v="2017-01-23T00:00:00"/>
    <s v="Yes"/>
    <d v="2017-01-23T00:00:00"/>
    <x v="11"/>
    <n v="30.49926"/>
    <x v="4"/>
    <x v="0"/>
    <x v="12"/>
    <m/>
    <m/>
    <m/>
    <m/>
    <m/>
    <m/>
    <m/>
    <m/>
    <m/>
    <m/>
    <m/>
    <m/>
    <m/>
    <m/>
    <m/>
    <m/>
    <n v="2275.7130000000002"/>
    <n v="106747.41"/>
    <n v="10774.079999999998"/>
    <n v="0"/>
    <n v="1150.2"/>
    <n v="0"/>
    <n v="0"/>
    <n v="0"/>
    <n v="0"/>
    <n v="0"/>
    <n v="0"/>
    <n v="0"/>
    <n v="0"/>
    <n v="0"/>
    <n v="0"/>
    <n v="0"/>
    <n v="0"/>
    <n v="0"/>
    <n v="0"/>
    <n v="0"/>
    <n v="120947.40300000001"/>
  </r>
  <r>
    <x v="5"/>
    <x v="6"/>
    <x v="5"/>
    <x v="16"/>
    <x v="1"/>
    <s v="Complete"/>
    <s v="Yes"/>
    <s v="Yes"/>
    <d v="2017-01-23T00:00:00"/>
    <s v="Yes"/>
    <d v="2017-01-23T00:00:00"/>
    <x v="12"/>
    <n v="24.501840000000001"/>
    <x v="4"/>
    <x v="0"/>
    <x v="13"/>
    <m/>
    <m/>
    <m/>
    <m/>
    <m/>
    <m/>
    <m/>
    <m/>
    <m/>
    <m/>
    <m/>
    <m/>
    <m/>
    <m/>
    <m/>
    <m/>
    <n v="1444.7812500000002"/>
    <n v="85756.44"/>
    <n v="10774.079999999998"/>
    <n v="0"/>
    <n v="824.4"/>
    <n v="0"/>
    <n v="0"/>
    <n v="0"/>
    <n v="0"/>
    <n v="0"/>
    <n v="0"/>
    <n v="0"/>
    <n v="0"/>
    <n v="0"/>
    <n v="0"/>
    <n v="0"/>
    <n v="0"/>
    <n v="0"/>
    <n v="0"/>
    <n v="0"/>
    <n v="98799.701249999998"/>
  </r>
  <r>
    <x v="5"/>
    <x v="6"/>
    <x v="5"/>
    <x v="17"/>
    <x v="1"/>
    <s v="Complete"/>
    <s v="Yes"/>
    <s v="Yes"/>
    <d v="2017-01-23T00:00:00"/>
    <s v="Yes"/>
    <d v="2017-01-23T00:00:00"/>
    <x v="13"/>
    <n v="35.978910000000006"/>
    <x v="3"/>
    <x v="0"/>
    <x v="14"/>
    <m/>
    <m/>
    <m/>
    <m/>
    <m/>
    <m/>
    <m/>
    <m/>
    <m/>
    <m/>
    <m/>
    <m/>
    <m/>
    <m/>
    <m/>
    <m/>
    <n v="2010.7725000000003"/>
    <n v="125926.18500000003"/>
    <n v="13331.52"/>
    <n v="0"/>
    <n v="832.19999999999993"/>
    <n v="0"/>
    <n v="0"/>
    <n v="0"/>
    <n v="0"/>
    <n v="0"/>
    <n v="0"/>
    <n v="0"/>
    <n v="0"/>
    <n v="0"/>
    <n v="0"/>
    <n v="0"/>
    <n v="0"/>
    <n v="0"/>
    <n v="0"/>
    <n v="0"/>
    <n v="142100.67750000005"/>
  </r>
  <r>
    <x v="5"/>
    <x v="6"/>
    <x v="5"/>
    <x v="18"/>
    <x v="1"/>
    <s v="Complete"/>
    <s v="Yes"/>
    <s v="Yes"/>
    <d v="2017-01-23T00:00:00"/>
    <s v="Yes"/>
    <d v="2017-01-23T00:00:00"/>
    <x v="14"/>
    <n v="36.285809999999998"/>
    <x v="3"/>
    <x v="0"/>
    <x v="14"/>
    <m/>
    <m/>
    <m/>
    <m/>
    <m/>
    <m/>
    <m/>
    <m/>
    <m/>
    <m/>
    <m/>
    <m/>
    <m/>
    <m/>
    <m/>
    <m/>
    <n v="2026.4805000000003"/>
    <n v="127000.33499999999"/>
    <n v="13331.52"/>
    <n v="0"/>
    <n v="832.19999999999993"/>
    <n v="0"/>
    <n v="0"/>
    <n v="0"/>
    <n v="0"/>
    <n v="0"/>
    <n v="0"/>
    <n v="0"/>
    <n v="0"/>
    <n v="0"/>
    <n v="0"/>
    <n v="0"/>
    <n v="0"/>
    <n v="0"/>
    <n v="0"/>
    <n v="0"/>
    <n v="143190.5355"/>
  </r>
  <r>
    <x v="5"/>
    <x v="6"/>
    <x v="5"/>
    <x v="19"/>
    <x v="1"/>
    <s v="Complete"/>
    <s v="Yes"/>
    <s v="Yes"/>
    <d v="2017-01-23T00:00:00"/>
    <s v="Yes"/>
    <d v="2017-01-23T00:00:00"/>
    <x v="15"/>
    <n v="27.937140000000003"/>
    <x v="4"/>
    <x v="0"/>
    <x v="15"/>
    <m/>
    <m/>
    <m/>
    <m/>
    <m/>
    <m/>
    <m/>
    <m/>
    <m/>
    <m/>
    <m/>
    <m/>
    <m/>
    <m/>
    <m/>
    <m/>
    <n v="1642.5772000000002"/>
    <n v="97779.99"/>
    <n v="10774.079999999998"/>
    <n v="0"/>
    <n v="765"/>
    <n v="0"/>
    <n v="0"/>
    <n v="0"/>
    <n v="0"/>
    <n v="0"/>
    <n v="0"/>
    <n v="0"/>
    <n v="0"/>
    <n v="0"/>
    <n v="0"/>
    <n v="0"/>
    <n v="0"/>
    <n v="0"/>
    <n v="0"/>
    <n v="0"/>
    <n v="110961.64720000001"/>
  </r>
  <r>
    <x v="5"/>
    <x v="6"/>
    <x v="5"/>
    <x v="20"/>
    <x v="1"/>
    <s v="Complete"/>
    <s v="Yes"/>
    <s v="Yes"/>
    <d v="2017-01-23T00:00:00"/>
    <s v="Yes"/>
    <d v="2017-01-23T00:00:00"/>
    <x v="16"/>
    <n v="36.322769999999998"/>
    <x v="7"/>
    <x v="0"/>
    <x v="16"/>
    <m/>
    <m/>
    <m/>
    <m/>
    <m/>
    <m/>
    <m/>
    <m/>
    <m/>
    <m/>
    <m/>
    <m/>
    <m/>
    <m/>
    <m/>
    <m/>
    <n v="1984.0282000000007"/>
    <n v="127129.69499999999"/>
    <n v="15217.919999999998"/>
    <n v="0"/>
    <n v="1008"/>
    <n v="0"/>
    <n v="0"/>
    <n v="0"/>
    <n v="0"/>
    <n v="0"/>
    <n v="0"/>
    <n v="0"/>
    <n v="0"/>
    <n v="0"/>
    <n v="0"/>
    <n v="0"/>
    <n v="0"/>
    <n v="0"/>
    <n v="0"/>
    <n v="0"/>
    <n v="145339.64319999999"/>
  </r>
  <r>
    <x v="5"/>
    <x v="6"/>
    <x v="5"/>
    <x v="21"/>
    <x v="1"/>
    <s v="Complete"/>
    <m/>
    <s v="Yes"/>
    <m/>
    <m/>
    <m/>
    <x v="17"/>
    <n v="41.58"/>
    <x v="7"/>
    <x v="0"/>
    <x v="17"/>
    <m/>
    <m/>
    <m/>
    <m/>
    <m/>
    <m/>
    <m/>
    <m/>
    <m/>
    <m/>
    <m/>
    <m/>
    <m/>
    <m/>
    <m/>
    <m/>
    <n v="2218.0950000000003"/>
    <n v="145530"/>
    <n v="15217.919999999998"/>
    <n v="0"/>
    <n v="1125.6000000000001"/>
    <n v="0"/>
    <n v="0"/>
    <n v="0"/>
    <n v="0"/>
    <n v="0"/>
    <n v="0"/>
    <n v="0"/>
    <n v="0"/>
    <n v="0"/>
    <n v="0"/>
    <n v="0"/>
    <n v="0"/>
    <n v="0"/>
    <n v="0"/>
    <n v="0"/>
    <n v="164091.61500000002"/>
  </r>
  <r>
    <x v="5"/>
    <x v="6"/>
    <x v="5"/>
    <x v="22"/>
    <x v="1"/>
    <s v="Complete"/>
    <m/>
    <s v="Yes"/>
    <m/>
    <m/>
    <m/>
    <x v="18"/>
    <n v="30.247580000000003"/>
    <x v="4"/>
    <x v="0"/>
    <x v="6"/>
    <m/>
    <m/>
    <m/>
    <m/>
    <m/>
    <m/>
    <m/>
    <m/>
    <m/>
    <m/>
    <m/>
    <m/>
    <m/>
    <m/>
    <m/>
    <m/>
    <n v="1805.6445000000003"/>
    <n v="105866.53000000001"/>
    <n v="10774.079999999998"/>
    <n v="0"/>
    <n v="0"/>
    <n v="0"/>
    <n v="0"/>
    <n v="0"/>
    <n v="0"/>
    <n v="0"/>
    <n v="0"/>
    <n v="0"/>
    <n v="0"/>
    <n v="0"/>
    <n v="0"/>
    <n v="0"/>
    <n v="0"/>
    <n v="0"/>
    <n v="0"/>
    <n v="0"/>
    <n v="118446.25450000001"/>
  </r>
  <r>
    <x v="5"/>
    <x v="6"/>
    <x v="5"/>
    <x v="23"/>
    <x v="1"/>
    <s v="Complete"/>
    <m/>
    <s v="Yes"/>
    <m/>
    <m/>
    <m/>
    <x v="19"/>
    <n v="25.902139999999999"/>
    <x v="4"/>
    <x v="0"/>
    <x v="18"/>
    <m/>
    <m/>
    <m/>
    <m/>
    <m/>
    <m/>
    <m/>
    <m/>
    <m/>
    <m/>
    <m/>
    <m/>
    <m/>
    <m/>
    <m/>
    <m/>
    <n v="1982.3430000000005"/>
    <n v="90657.489999999991"/>
    <n v="10774.079999999998"/>
    <n v="0"/>
    <n v="1093.8"/>
    <n v="0"/>
    <n v="0"/>
    <n v="0"/>
    <n v="0"/>
    <n v="0"/>
    <n v="0"/>
    <n v="0"/>
    <n v="0"/>
    <n v="0"/>
    <n v="0"/>
    <n v="0"/>
    <n v="0"/>
    <n v="0"/>
    <n v="0"/>
    <n v="0"/>
    <n v="104507.71299999999"/>
  </r>
  <r>
    <x v="5"/>
    <x v="6"/>
    <x v="5"/>
    <x v="24"/>
    <x v="1"/>
    <s v="Complete"/>
    <m/>
    <s v="Yes"/>
    <m/>
    <m/>
    <m/>
    <x v="20"/>
    <n v="26.490530000000007"/>
    <x v="4"/>
    <x v="0"/>
    <x v="19"/>
    <m/>
    <m/>
    <m/>
    <m/>
    <m/>
    <m/>
    <m/>
    <m/>
    <m/>
    <m/>
    <m/>
    <m/>
    <m/>
    <m/>
    <m/>
    <m/>
    <n v="2097.4690000000001"/>
    <n v="92716.855000000025"/>
    <n v="10774.079999999998"/>
    <n v="0"/>
    <n v="1281.6000000000001"/>
    <n v="0"/>
    <n v="0"/>
    <n v="0"/>
    <n v="0"/>
    <n v="0"/>
    <n v="0"/>
    <n v="0"/>
    <n v="0"/>
    <n v="0"/>
    <n v="0"/>
    <n v="0"/>
    <n v="0"/>
    <n v="0"/>
    <n v="0"/>
    <n v="0"/>
    <n v="106870.00400000003"/>
  </r>
  <r>
    <x v="0"/>
    <x v="6"/>
    <x v="5"/>
    <x v="25"/>
    <x v="5"/>
    <s v="Complete"/>
    <m/>
    <s v="Yes"/>
    <m/>
    <m/>
    <m/>
    <x v="21"/>
    <n v="64.907656000000003"/>
    <x v="8"/>
    <x v="0"/>
    <x v="6"/>
    <m/>
    <m/>
    <m/>
    <m/>
    <m/>
    <m/>
    <m/>
    <m/>
    <m/>
    <m/>
    <m/>
    <m/>
    <m/>
    <m/>
    <m/>
    <m/>
    <n v="3131.1060000000007"/>
    <n v="227176.796"/>
    <n v="6716.16"/>
    <n v="0"/>
    <n v="0"/>
    <n v="0"/>
    <n v="0"/>
    <n v="0"/>
    <n v="0"/>
    <n v="0"/>
    <n v="0"/>
    <n v="0"/>
    <n v="0"/>
    <n v="0"/>
    <n v="0"/>
    <n v="0"/>
    <n v="0"/>
    <n v="0"/>
    <n v="0"/>
    <n v="0"/>
    <n v="237024.06200000001"/>
  </r>
  <r>
    <x v="0"/>
    <x v="6"/>
    <x v="5"/>
    <x v="26"/>
    <x v="5"/>
    <s v="Complete"/>
    <m/>
    <s v="Yes"/>
    <m/>
    <m/>
    <m/>
    <x v="22"/>
    <n v="43.63920000000001"/>
    <x v="7"/>
    <x v="0"/>
    <x v="20"/>
    <m/>
    <m/>
    <m/>
    <m/>
    <m/>
    <m/>
    <m/>
    <m/>
    <m/>
    <m/>
    <m/>
    <m/>
    <m/>
    <m/>
    <m/>
    <m/>
    <n v="2249.8135000000007"/>
    <n v="152737.20000000004"/>
    <n v="15217.919999999998"/>
    <n v="0"/>
    <n v="720"/>
    <n v="0"/>
    <n v="0"/>
    <n v="0"/>
    <n v="0"/>
    <n v="0"/>
    <n v="0"/>
    <n v="0"/>
    <n v="0"/>
    <n v="0"/>
    <n v="0"/>
    <n v="0"/>
    <n v="0"/>
    <n v="0"/>
    <n v="0"/>
    <n v="0"/>
    <n v="170924.93350000004"/>
  </r>
  <r>
    <x v="0"/>
    <x v="6"/>
    <x v="5"/>
    <x v="27"/>
    <x v="1"/>
    <s v="Complete"/>
    <m/>
    <s v="Yes"/>
    <m/>
    <m/>
    <m/>
    <x v="23"/>
    <n v="42.042549999999999"/>
    <x v="9"/>
    <x v="0"/>
    <x v="21"/>
    <m/>
    <m/>
    <m/>
    <m/>
    <m/>
    <m/>
    <m/>
    <m/>
    <m/>
    <m/>
    <m/>
    <m/>
    <m/>
    <m/>
    <m/>
    <m/>
    <n v="2923.6019999999999"/>
    <n v="147148.92499999999"/>
    <n v="13432.32"/>
    <n v="0"/>
    <n v="1798.8"/>
    <n v="0"/>
    <n v="0"/>
    <n v="0"/>
    <n v="0"/>
    <n v="0"/>
    <n v="0"/>
    <n v="0"/>
    <n v="0"/>
    <n v="0"/>
    <n v="0"/>
    <n v="0"/>
    <n v="0"/>
    <n v="0"/>
    <n v="0"/>
    <n v="0"/>
    <n v="165303.647"/>
  </r>
  <r>
    <x v="0"/>
    <x v="6"/>
    <x v="5"/>
    <x v="28"/>
    <x v="1"/>
    <s v="Complete"/>
    <m/>
    <s v="Yes"/>
    <m/>
    <m/>
    <m/>
    <x v="24"/>
    <n v="32.811240000000005"/>
    <x v="4"/>
    <x v="0"/>
    <x v="6"/>
    <m/>
    <m/>
    <m/>
    <m/>
    <m/>
    <m/>
    <m/>
    <m/>
    <m/>
    <m/>
    <m/>
    <m/>
    <m/>
    <m/>
    <m/>
    <m/>
    <n v="1941.4769000000003"/>
    <n v="114839.34000000001"/>
    <n v="10774.079999999998"/>
    <n v="0"/>
    <n v="0"/>
    <n v="0"/>
    <n v="0"/>
    <n v="0"/>
    <n v="0"/>
    <n v="0"/>
    <n v="0"/>
    <n v="0"/>
    <n v="0"/>
    <n v="0"/>
    <n v="0"/>
    <n v="0"/>
    <n v="0"/>
    <n v="0"/>
    <n v="0"/>
    <n v="0"/>
    <n v="127554.89690000001"/>
  </r>
  <r>
    <x v="0"/>
    <x v="6"/>
    <x v="5"/>
    <x v="29"/>
    <x v="1"/>
    <s v="Complete"/>
    <m/>
    <s v="Yes"/>
    <m/>
    <m/>
    <m/>
    <x v="25"/>
    <n v="30.274640000000005"/>
    <x v="4"/>
    <x v="0"/>
    <x v="22"/>
    <m/>
    <m/>
    <m/>
    <m/>
    <m/>
    <m/>
    <m/>
    <m/>
    <m/>
    <m/>
    <m/>
    <m/>
    <m/>
    <m/>
    <m/>
    <m/>
    <n v="2253.9330000000004"/>
    <n v="105961.24000000002"/>
    <n v="10774.079999999998"/>
    <n v="0"/>
    <n v="947.4"/>
    <n v="0"/>
    <n v="0"/>
    <n v="0"/>
    <n v="0"/>
    <n v="0"/>
    <n v="0"/>
    <n v="0"/>
    <n v="0"/>
    <n v="0"/>
    <n v="0"/>
    <n v="0"/>
    <n v="0"/>
    <n v="0"/>
    <n v="0"/>
    <n v="0"/>
    <n v="119936.65300000002"/>
  </r>
  <r>
    <x v="0"/>
    <x v="6"/>
    <x v="5"/>
    <x v="30"/>
    <x v="1"/>
    <s v="Complete"/>
    <m/>
    <s v="Yes"/>
    <m/>
    <m/>
    <m/>
    <x v="26"/>
    <n v="25.702105"/>
    <x v="4"/>
    <x v="0"/>
    <x v="23"/>
    <m/>
    <m/>
    <m/>
    <m/>
    <m/>
    <m/>
    <m/>
    <m/>
    <m/>
    <m/>
    <m/>
    <m/>
    <m/>
    <m/>
    <m/>
    <m/>
    <n v="2199.4973"/>
    <n v="89957.367499999993"/>
    <n v="10774.079999999998"/>
    <n v="0"/>
    <n v="1417.8000000000002"/>
    <n v="0"/>
    <n v="0"/>
    <n v="0"/>
    <n v="0"/>
    <n v="0"/>
    <n v="0"/>
    <n v="0"/>
    <n v="0"/>
    <n v="0"/>
    <n v="0"/>
    <n v="0"/>
    <n v="0"/>
    <n v="0"/>
    <n v="0"/>
    <n v="0"/>
    <n v="104348.7448"/>
  </r>
  <r>
    <x v="0"/>
    <x v="6"/>
    <x v="5"/>
    <x v="31"/>
    <x v="1"/>
    <s v="Complete"/>
    <m/>
    <s v="Yes"/>
    <m/>
    <m/>
    <m/>
    <x v="27"/>
    <n v="33.113520000000001"/>
    <x v="4"/>
    <x v="0"/>
    <x v="6"/>
    <m/>
    <m/>
    <m/>
    <m/>
    <m/>
    <m/>
    <m/>
    <m/>
    <m/>
    <m/>
    <m/>
    <m/>
    <m/>
    <m/>
    <m/>
    <m/>
    <n v="1971.2165000000002"/>
    <n v="115897.32"/>
    <n v="10774.079999999998"/>
    <n v="0"/>
    <n v="0"/>
    <n v="0"/>
    <n v="0"/>
    <n v="0"/>
    <n v="0"/>
    <n v="0"/>
    <n v="0"/>
    <n v="0"/>
    <n v="0"/>
    <n v="0"/>
    <n v="0"/>
    <n v="0"/>
    <n v="0"/>
    <n v="0"/>
    <n v="0"/>
    <n v="0"/>
    <n v="128642.6165"/>
  </r>
  <r>
    <x v="0"/>
    <x v="7"/>
    <x v="5"/>
    <x v="32"/>
    <x v="1"/>
    <s v="Complete"/>
    <m/>
    <s v="Yes"/>
    <m/>
    <m/>
    <m/>
    <x v="28"/>
    <n v="34.074249000000002"/>
    <x v="0"/>
    <x v="0"/>
    <x v="24"/>
    <m/>
    <m/>
    <m/>
    <m/>
    <m/>
    <m/>
    <m/>
    <m/>
    <m/>
    <m/>
    <m/>
    <m/>
    <m/>
    <m/>
    <m/>
    <m/>
    <n v="2139.1837500000001"/>
    <n v="119259.87150000001"/>
    <n v="0"/>
    <n v="0"/>
    <n v="32322.239999999998"/>
    <n v="0"/>
    <n v="0"/>
    <n v="0"/>
    <n v="0"/>
    <n v="0"/>
    <n v="0"/>
    <n v="0"/>
    <n v="0"/>
    <n v="0"/>
    <n v="0"/>
    <n v="0"/>
    <n v="0"/>
    <n v="0"/>
    <n v="0"/>
    <n v="0"/>
    <n v="153721.29525"/>
  </r>
  <r>
    <x v="6"/>
    <x v="8"/>
    <x v="5"/>
    <x v="33"/>
    <x v="6"/>
    <s v="N/A"/>
    <m/>
    <s v="Yes"/>
    <m/>
    <m/>
    <m/>
    <x v="29"/>
    <n v="33.5"/>
    <x v="10"/>
    <x v="0"/>
    <x v="6"/>
    <m/>
    <m/>
    <m/>
    <m/>
    <m/>
    <m/>
    <m/>
    <m/>
    <m/>
    <m/>
    <m/>
    <m/>
    <m/>
    <m/>
    <m/>
    <m/>
    <n v="1575"/>
    <n v="117250"/>
    <n v="10774"/>
    <n v="0"/>
    <n v="0"/>
    <n v="0"/>
    <n v="0"/>
    <n v="0"/>
    <n v="0"/>
    <n v="0"/>
    <n v="0"/>
    <n v="0"/>
    <n v="0"/>
    <n v="0"/>
    <n v="0"/>
    <n v="0"/>
    <n v="0"/>
    <n v="0"/>
    <n v="0"/>
    <n v="0"/>
    <n v="129599"/>
  </r>
  <r>
    <x v="7"/>
    <x v="6"/>
    <x v="5"/>
    <x v="34"/>
    <x v="5"/>
    <s v="Complete"/>
    <m/>
    <s v="Yes"/>
    <m/>
    <m/>
    <m/>
    <x v="30"/>
    <n v="23.732280000000006"/>
    <x v="4"/>
    <x v="0"/>
    <x v="25"/>
    <m/>
    <m/>
    <m/>
    <m/>
    <m/>
    <m/>
    <m/>
    <m/>
    <m/>
    <m/>
    <m/>
    <m/>
    <m/>
    <m/>
    <m/>
    <m/>
    <n v="2191.3628000000003"/>
    <n v="83062.980000000025"/>
    <n v="10774.079999999998"/>
    <n v="0"/>
    <n v="1767.6000000000001"/>
    <n v="0"/>
    <n v="0"/>
    <n v="0"/>
    <n v="0"/>
    <n v="0"/>
    <n v="0"/>
    <n v="0"/>
    <n v="0"/>
    <n v="0"/>
    <n v="0"/>
    <n v="0"/>
    <n v="0"/>
    <n v="0"/>
    <n v="0"/>
    <n v="0"/>
    <n v="97796.022800000035"/>
  </r>
  <r>
    <x v="7"/>
    <x v="6"/>
    <x v="5"/>
    <x v="35"/>
    <x v="5"/>
    <s v="Complete"/>
    <m/>
    <s v="Yes"/>
    <m/>
    <m/>
    <m/>
    <x v="31"/>
    <n v="35.464440000000003"/>
    <x v="11"/>
    <x v="0"/>
    <x v="26"/>
    <m/>
    <m/>
    <m/>
    <m/>
    <m/>
    <m/>
    <m/>
    <m/>
    <m/>
    <m/>
    <m/>
    <m/>
    <m/>
    <m/>
    <m/>
    <m/>
    <n v="3263.1885000000002"/>
    <n v="124125.54000000001"/>
    <n v="15989.760000000002"/>
    <n v="0"/>
    <n v="2901"/>
    <n v="0"/>
    <n v="0"/>
    <n v="0"/>
    <n v="0"/>
    <n v="0"/>
    <n v="0"/>
    <n v="0"/>
    <n v="0"/>
    <n v="0"/>
    <n v="0"/>
    <n v="0"/>
    <n v="0"/>
    <n v="0"/>
    <n v="0"/>
    <n v="0"/>
    <n v="146279.48850000001"/>
  </r>
  <r>
    <x v="7"/>
    <x v="6"/>
    <x v="5"/>
    <x v="36"/>
    <x v="5"/>
    <s v="Complete"/>
    <m/>
    <s v="Yes"/>
    <m/>
    <m/>
    <m/>
    <x v="32"/>
    <n v="68.284260000000017"/>
    <x v="12"/>
    <x v="0"/>
    <x v="6"/>
    <m/>
    <m/>
    <m/>
    <m/>
    <m/>
    <m/>
    <m/>
    <m/>
    <m/>
    <m/>
    <m/>
    <m/>
    <m/>
    <m/>
    <m/>
    <m/>
    <n v="3154.0861000000004"/>
    <n v="238994.91000000006"/>
    <n v="24785.280000000002"/>
    <n v="0"/>
    <n v="0"/>
    <n v="0"/>
    <n v="0"/>
    <n v="0"/>
    <n v="0"/>
    <n v="0"/>
    <n v="0"/>
    <n v="0"/>
    <n v="0"/>
    <n v="0"/>
    <n v="0"/>
    <n v="0"/>
    <n v="0"/>
    <n v="0"/>
    <n v="0"/>
    <n v="0"/>
    <n v="266934.27610000008"/>
  </r>
  <r>
    <x v="7"/>
    <x v="6"/>
    <x v="5"/>
    <x v="37"/>
    <x v="5"/>
    <s v="Complete"/>
    <m/>
    <s v="Yes"/>
    <m/>
    <m/>
    <m/>
    <x v="33"/>
    <n v="47.970889999999997"/>
    <x v="13"/>
    <x v="0"/>
    <x v="6"/>
    <m/>
    <m/>
    <m/>
    <m/>
    <m/>
    <m/>
    <m/>
    <m/>
    <m/>
    <m/>
    <m/>
    <m/>
    <m/>
    <m/>
    <m/>
    <m/>
    <n v="2493.7462000000005"/>
    <n v="167898.11499999999"/>
    <n v="10874.880000000001"/>
    <n v="0"/>
    <n v="0"/>
    <n v="0"/>
    <n v="0"/>
    <n v="0"/>
    <n v="0"/>
    <n v="0"/>
    <n v="0"/>
    <n v="0"/>
    <n v="0"/>
    <n v="0"/>
    <n v="0"/>
    <n v="0"/>
    <n v="0"/>
    <n v="0"/>
    <n v="0"/>
    <n v="0"/>
    <n v="181266.74119999999"/>
  </r>
  <r>
    <x v="7"/>
    <x v="6"/>
    <x v="5"/>
    <x v="38"/>
    <x v="5"/>
    <s v="Complete"/>
    <m/>
    <s v="Yes"/>
    <m/>
    <m/>
    <m/>
    <x v="34"/>
    <n v="54.312829999999998"/>
    <x v="14"/>
    <x v="0"/>
    <x v="27"/>
    <m/>
    <m/>
    <m/>
    <m/>
    <m/>
    <m/>
    <m/>
    <m/>
    <m/>
    <m/>
    <m/>
    <m/>
    <m/>
    <m/>
    <m/>
    <m/>
    <n v="3515.424"/>
    <n v="190094.905"/>
    <n v="20626.559999999998"/>
    <n v="0"/>
    <n v="1885.2"/>
    <n v="0"/>
    <n v="0"/>
    <n v="0"/>
    <n v="0"/>
    <n v="0"/>
    <n v="0"/>
    <n v="0"/>
    <n v="0"/>
    <n v="0"/>
    <n v="0"/>
    <n v="0"/>
    <n v="0"/>
    <n v="0"/>
    <n v="0"/>
    <n v="0"/>
    <n v="216122.08900000001"/>
  </r>
  <r>
    <x v="7"/>
    <x v="6"/>
    <x v="5"/>
    <x v="39"/>
    <x v="5"/>
    <s v="Complete"/>
    <m/>
    <s v="Yes"/>
    <m/>
    <m/>
    <m/>
    <x v="35"/>
    <n v="59.699024000000009"/>
    <x v="15"/>
    <x v="0"/>
    <x v="6"/>
    <m/>
    <m/>
    <m/>
    <m/>
    <m/>
    <m/>
    <m/>
    <m/>
    <m/>
    <m/>
    <m/>
    <m/>
    <m/>
    <m/>
    <m/>
    <m/>
    <n v="2929.1009000000008"/>
    <n v="208946.58400000003"/>
    <n v="18069.12"/>
    <n v="0"/>
    <n v="0"/>
    <n v="0"/>
    <n v="0"/>
    <n v="0"/>
    <n v="0"/>
    <n v="0"/>
    <n v="0"/>
    <n v="0"/>
    <n v="0"/>
    <n v="0"/>
    <n v="0"/>
    <n v="0"/>
    <n v="0"/>
    <n v="0"/>
    <n v="0"/>
    <n v="0"/>
    <n v="229944.80490000002"/>
  </r>
  <r>
    <x v="7"/>
    <x v="6"/>
    <x v="5"/>
    <x v="40"/>
    <x v="5"/>
    <s v="Complete"/>
    <m/>
    <s v="Yes"/>
    <m/>
    <m/>
    <m/>
    <x v="36"/>
    <n v="44.435160000000003"/>
    <x v="16"/>
    <x v="0"/>
    <x v="28"/>
    <m/>
    <m/>
    <m/>
    <m/>
    <m/>
    <m/>
    <m/>
    <m/>
    <m/>
    <m/>
    <m/>
    <m/>
    <m/>
    <m/>
    <m/>
    <m/>
    <n v="3004.7028000000009"/>
    <n v="155523.06"/>
    <n v="15344.64"/>
    <n v="0"/>
    <n v="1469.4"/>
    <n v="0"/>
    <n v="0"/>
    <n v="0"/>
    <n v="0"/>
    <n v="0"/>
    <n v="0"/>
    <n v="0"/>
    <n v="0"/>
    <n v="0"/>
    <n v="0"/>
    <n v="0"/>
    <n v="0"/>
    <n v="0"/>
    <n v="0"/>
    <n v="0"/>
    <n v="175341.80279999998"/>
  </r>
  <r>
    <x v="7"/>
    <x v="6"/>
    <x v="5"/>
    <x v="41"/>
    <x v="5"/>
    <s v="Complete"/>
    <m/>
    <s v="Yes"/>
    <m/>
    <m/>
    <m/>
    <x v="37"/>
    <n v="62.237604000000012"/>
    <x v="17"/>
    <x v="0"/>
    <x v="6"/>
    <m/>
    <m/>
    <m/>
    <m/>
    <m/>
    <m/>
    <m/>
    <m/>
    <m/>
    <m/>
    <m/>
    <m/>
    <m/>
    <m/>
    <m/>
    <m/>
    <n v="3007.3120000000008"/>
    <n v="217831.61400000003"/>
    <n v="22705.920000000002"/>
    <n v="0"/>
    <n v="0"/>
    <n v="0"/>
    <n v="0"/>
    <n v="0"/>
    <n v="0"/>
    <n v="0"/>
    <n v="0"/>
    <n v="0"/>
    <n v="0"/>
    <n v="0"/>
    <n v="0"/>
    <n v="0"/>
    <n v="0"/>
    <n v="0"/>
    <n v="0"/>
    <n v="0"/>
    <n v="243544.84600000005"/>
  </r>
  <r>
    <x v="7"/>
    <x v="9"/>
    <x v="5"/>
    <x v="42"/>
    <x v="5"/>
    <s v="N/A"/>
    <m/>
    <s v="Yes"/>
    <m/>
    <m/>
    <m/>
    <x v="38"/>
    <n v="88"/>
    <x v="18"/>
    <x v="3"/>
    <x v="29"/>
    <m/>
    <m/>
    <m/>
    <m/>
    <m/>
    <m/>
    <m/>
    <m/>
    <m/>
    <m/>
    <m/>
    <m/>
    <m/>
    <m/>
    <m/>
    <m/>
    <n v="3800"/>
    <n v="308000"/>
    <n v="36800"/>
    <n v="4825"/>
    <n v="1380"/>
    <n v="0"/>
    <n v="0"/>
    <n v="0"/>
    <n v="0"/>
    <n v="0"/>
    <n v="0"/>
    <n v="0"/>
    <n v="0"/>
    <n v="0"/>
    <n v="0"/>
    <n v="0"/>
    <n v="0"/>
    <n v="0"/>
    <n v="0"/>
    <n v="0"/>
    <n v="354805"/>
  </r>
  <r>
    <x v="8"/>
    <x v="10"/>
    <x v="5"/>
    <x v="43"/>
    <x v="5"/>
    <s v="N/A"/>
    <m/>
    <s v="Yes"/>
    <m/>
    <m/>
    <m/>
    <x v="39"/>
    <m/>
    <x v="0"/>
    <x v="0"/>
    <x v="6"/>
    <m/>
    <m/>
    <m/>
    <m/>
    <m/>
    <m/>
    <m/>
    <m/>
    <m/>
    <m/>
    <m/>
    <m/>
    <m/>
    <n v="8.5"/>
    <m/>
    <m/>
    <n v="187.5"/>
    <n v="0"/>
    <n v="0"/>
    <n v="0"/>
    <n v="0"/>
    <n v="0"/>
    <n v="0"/>
    <n v="0"/>
    <n v="0"/>
    <n v="0"/>
    <n v="0"/>
    <n v="0"/>
    <n v="0"/>
    <n v="0"/>
    <n v="0"/>
    <n v="0"/>
    <n v="0"/>
    <n v="17000"/>
    <n v="0"/>
    <n v="0"/>
    <n v="17187.5"/>
  </r>
  <r>
    <x v="8"/>
    <x v="11"/>
    <x v="5"/>
    <x v="44"/>
    <x v="5"/>
    <s v="N/A"/>
    <m/>
    <s v="Yes"/>
    <m/>
    <m/>
    <m/>
    <x v="40"/>
    <n v="28"/>
    <x v="19"/>
    <x v="0"/>
    <x v="6"/>
    <m/>
    <m/>
    <m/>
    <m/>
    <m/>
    <m/>
    <m/>
    <m/>
    <m/>
    <m/>
    <m/>
    <m/>
    <m/>
    <m/>
    <m/>
    <m/>
    <n v="1100"/>
    <n v="98000"/>
    <n v="15400"/>
    <n v="0"/>
    <n v="0"/>
    <n v="0"/>
    <n v="0"/>
    <n v="0"/>
    <n v="0"/>
    <n v="0"/>
    <n v="0"/>
    <n v="0"/>
    <n v="0"/>
    <n v="0"/>
    <n v="0"/>
    <n v="0"/>
    <n v="0"/>
    <n v="0"/>
    <n v="0"/>
    <n v="0"/>
    <n v="114500"/>
  </r>
  <r>
    <x v="8"/>
    <x v="11"/>
    <x v="5"/>
    <x v="45"/>
    <x v="5"/>
    <s v="N/A"/>
    <m/>
    <s v="Yes"/>
    <m/>
    <m/>
    <m/>
    <x v="41"/>
    <n v="45"/>
    <x v="20"/>
    <x v="0"/>
    <x v="6"/>
    <m/>
    <m/>
    <m/>
    <m/>
    <m/>
    <m/>
    <m/>
    <m/>
    <m/>
    <m/>
    <m/>
    <m/>
    <m/>
    <m/>
    <m/>
    <m/>
    <n v="1975"/>
    <n v="157500"/>
    <n v="17000"/>
    <n v="0"/>
    <n v="0"/>
    <n v="0"/>
    <n v="0"/>
    <n v="0"/>
    <n v="0"/>
    <n v="0"/>
    <n v="0"/>
    <n v="0"/>
    <n v="0"/>
    <n v="0"/>
    <n v="0"/>
    <n v="0"/>
    <n v="0"/>
    <n v="0"/>
    <n v="0"/>
    <n v="0"/>
    <n v="176475"/>
  </r>
  <r>
    <x v="8"/>
    <x v="11"/>
    <x v="5"/>
    <x v="46"/>
    <x v="5"/>
    <s v="N/A"/>
    <m/>
    <s v="Yes"/>
    <m/>
    <m/>
    <m/>
    <x v="42"/>
    <n v="40"/>
    <x v="21"/>
    <x v="0"/>
    <x v="6"/>
    <m/>
    <m/>
    <m/>
    <m/>
    <m/>
    <m/>
    <m/>
    <m/>
    <m/>
    <m/>
    <m/>
    <m/>
    <m/>
    <m/>
    <m/>
    <m/>
    <n v="1700"/>
    <n v="140000"/>
    <n v="15600"/>
    <n v="0"/>
    <n v="0"/>
    <n v="0"/>
    <n v="0"/>
    <n v="0"/>
    <n v="0"/>
    <n v="0"/>
    <n v="0"/>
    <n v="0"/>
    <n v="0"/>
    <n v="0"/>
    <n v="0"/>
    <n v="0"/>
    <n v="0"/>
    <n v="0"/>
    <n v="0"/>
    <n v="0"/>
    <n v="157300"/>
  </r>
  <r>
    <x v="8"/>
    <x v="11"/>
    <x v="5"/>
    <x v="47"/>
    <x v="5"/>
    <s v="N/A"/>
    <m/>
    <s v="Yes"/>
    <m/>
    <m/>
    <m/>
    <x v="43"/>
    <n v="38"/>
    <x v="22"/>
    <x v="0"/>
    <x v="6"/>
    <m/>
    <m/>
    <m/>
    <m/>
    <m/>
    <m/>
    <m/>
    <m/>
    <m/>
    <m/>
    <m/>
    <m/>
    <m/>
    <m/>
    <m/>
    <m/>
    <n v="1725"/>
    <n v="133000"/>
    <n v="11200"/>
    <n v="0"/>
    <n v="0"/>
    <n v="0"/>
    <n v="0"/>
    <n v="0"/>
    <n v="0"/>
    <n v="0"/>
    <n v="0"/>
    <n v="0"/>
    <n v="0"/>
    <n v="0"/>
    <n v="0"/>
    <n v="0"/>
    <n v="0"/>
    <n v="0"/>
    <n v="0"/>
    <n v="0"/>
    <n v="145925"/>
  </r>
  <r>
    <x v="8"/>
    <x v="11"/>
    <x v="5"/>
    <x v="48"/>
    <x v="5"/>
    <s v="N/A"/>
    <m/>
    <s v="Yes"/>
    <m/>
    <m/>
    <m/>
    <x v="44"/>
    <n v="47.5"/>
    <x v="23"/>
    <x v="0"/>
    <x v="6"/>
    <m/>
    <m/>
    <m/>
    <m/>
    <m/>
    <m/>
    <m/>
    <m/>
    <m/>
    <m/>
    <m/>
    <m/>
    <m/>
    <m/>
    <m/>
    <m/>
    <n v="2275"/>
    <n v="166250"/>
    <n v="12200"/>
    <n v="0"/>
    <n v="0"/>
    <n v="0"/>
    <n v="0"/>
    <n v="0"/>
    <n v="0"/>
    <n v="0"/>
    <n v="0"/>
    <n v="0"/>
    <n v="0"/>
    <n v="0"/>
    <n v="0"/>
    <n v="0"/>
    <n v="0"/>
    <n v="0"/>
    <n v="0"/>
    <n v="0"/>
    <n v="180725"/>
  </r>
  <r>
    <x v="8"/>
    <x v="11"/>
    <x v="5"/>
    <x v="49"/>
    <x v="5"/>
    <s v="N/A"/>
    <m/>
    <s v="Yes"/>
    <m/>
    <m/>
    <m/>
    <x v="45"/>
    <n v="44.5"/>
    <x v="23"/>
    <x v="0"/>
    <x v="6"/>
    <m/>
    <m/>
    <m/>
    <m/>
    <m/>
    <m/>
    <m/>
    <m/>
    <m/>
    <m/>
    <m/>
    <m/>
    <m/>
    <m/>
    <m/>
    <m/>
    <n v="2125"/>
    <n v="155750"/>
    <n v="12200"/>
    <n v="0"/>
    <n v="0"/>
    <n v="0"/>
    <n v="0"/>
    <n v="0"/>
    <n v="0"/>
    <n v="0"/>
    <n v="0"/>
    <n v="0"/>
    <n v="0"/>
    <n v="0"/>
    <n v="0"/>
    <n v="0"/>
    <n v="0"/>
    <n v="0"/>
    <n v="0"/>
    <n v="0"/>
    <n v="170075"/>
  </r>
  <r>
    <x v="0"/>
    <x v="12"/>
    <x v="6"/>
    <x v="50"/>
    <x v="0"/>
    <s v="Estimate"/>
    <m/>
    <s v="Yes"/>
    <m/>
    <m/>
    <m/>
    <x v="46"/>
    <n v="5.7"/>
    <x v="0"/>
    <x v="0"/>
    <x v="6"/>
    <m/>
    <m/>
    <m/>
    <m/>
    <m/>
    <m/>
    <m/>
    <m/>
    <m/>
    <m/>
    <m/>
    <m/>
    <m/>
    <m/>
    <m/>
    <m/>
    <n v="142.5"/>
    <n v="19950"/>
    <n v="0"/>
    <n v="0"/>
    <n v="0"/>
    <n v="0"/>
    <n v="0"/>
    <n v="0"/>
    <n v="0"/>
    <n v="0"/>
    <n v="0"/>
    <n v="0"/>
    <n v="0"/>
    <n v="0"/>
    <n v="0"/>
    <n v="0"/>
    <n v="0"/>
    <n v="0"/>
    <n v="0"/>
    <n v="0"/>
    <n v="20092.5"/>
  </r>
  <r>
    <x v="0"/>
    <x v="12"/>
    <x v="6"/>
    <x v="51"/>
    <x v="0"/>
    <s v="Estimate"/>
    <m/>
    <s v="Yes"/>
    <m/>
    <m/>
    <m/>
    <x v="47"/>
    <n v="5.3550000000000004"/>
    <x v="0"/>
    <x v="0"/>
    <x v="6"/>
    <m/>
    <m/>
    <m/>
    <m/>
    <m/>
    <m/>
    <m/>
    <m/>
    <m/>
    <m/>
    <m/>
    <m/>
    <m/>
    <m/>
    <m/>
    <m/>
    <n v="133.875"/>
    <n v="18742.5"/>
    <n v="0"/>
    <n v="0"/>
    <n v="0"/>
    <n v="0"/>
    <n v="0"/>
    <n v="0"/>
    <n v="0"/>
    <n v="0"/>
    <n v="0"/>
    <n v="0"/>
    <n v="0"/>
    <n v="0"/>
    <n v="0"/>
    <n v="0"/>
    <n v="0"/>
    <n v="0"/>
    <n v="0"/>
    <n v="0"/>
    <n v="18876.375"/>
  </r>
  <r>
    <x v="0"/>
    <x v="12"/>
    <x v="6"/>
    <x v="52"/>
    <x v="0"/>
    <s v="Estimate"/>
    <m/>
    <s v="Yes"/>
    <m/>
    <m/>
    <m/>
    <x v="48"/>
    <n v="6.9300000000000006"/>
    <x v="0"/>
    <x v="0"/>
    <x v="6"/>
    <m/>
    <m/>
    <m/>
    <m/>
    <m/>
    <m/>
    <m/>
    <m/>
    <m/>
    <m/>
    <m/>
    <m/>
    <m/>
    <m/>
    <m/>
    <m/>
    <n v="173.25000000000003"/>
    <n v="24255.000000000004"/>
    <n v="0"/>
    <n v="0"/>
    <n v="0"/>
    <n v="0"/>
    <n v="0"/>
    <n v="0"/>
    <n v="0"/>
    <n v="0"/>
    <n v="0"/>
    <n v="0"/>
    <n v="0"/>
    <n v="0"/>
    <n v="0"/>
    <n v="0"/>
    <n v="0"/>
    <n v="0"/>
    <n v="0"/>
    <n v="0"/>
    <n v="24428.250000000004"/>
  </r>
  <r>
    <x v="0"/>
    <x v="12"/>
    <x v="6"/>
    <x v="53"/>
    <x v="0"/>
    <s v="Estimate"/>
    <m/>
    <s v="Yes"/>
    <m/>
    <m/>
    <m/>
    <x v="49"/>
    <n v="6.6150000000000002"/>
    <x v="0"/>
    <x v="0"/>
    <x v="6"/>
    <m/>
    <m/>
    <m/>
    <m/>
    <m/>
    <m/>
    <m/>
    <m/>
    <m/>
    <m/>
    <m/>
    <m/>
    <m/>
    <m/>
    <m/>
    <m/>
    <n v="165.375"/>
    <n v="23152.5"/>
    <n v="0"/>
    <n v="0"/>
    <n v="0"/>
    <n v="0"/>
    <n v="0"/>
    <n v="0"/>
    <n v="0"/>
    <n v="0"/>
    <n v="0"/>
    <n v="0"/>
    <n v="0"/>
    <n v="0"/>
    <n v="0"/>
    <n v="0"/>
    <n v="0"/>
    <n v="0"/>
    <n v="0"/>
    <n v="0"/>
    <n v="23317.875"/>
  </r>
  <r>
    <x v="0"/>
    <x v="12"/>
    <x v="6"/>
    <x v="54"/>
    <x v="0"/>
    <s v="Estimate"/>
    <m/>
    <s v="Yes"/>
    <m/>
    <m/>
    <m/>
    <x v="50"/>
    <n v="5.04"/>
    <x v="0"/>
    <x v="0"/>
    <x v="6"/>
    <m/>
    <m/>
    <m/>
    <m/>
    <m/>
    <m/>
    <m/>
    <m/>
    <m/>
    <m/>
    <m/>
    <m/>
    <m/>
    <m/>
    <m/>
    <m/>
    <n v="126"/>
    <n v="17640"/>
    <n v="0"/>
    <n v="0"/>
    <n v="0"/>
    <n v="0"/>
    <n v="0"/>
    <n v="0"/>
    <n v="0"/>
    <n v="0"/>
    <n v="0"/>
    <n v="0"/>
    <n v="0"/>
    <n v="0"/>
    <n v="0"/>
    <n v="0"/>
    <n v="0"/>
    <n v="0"/>
    <n v="0"/>
    <n v="0"/>
    <n v="17766"/>
  </r>
  <r>
    <x v="0"/>
    <x v="12"/>
    <x v="6"/>
    <x v="55"/>
    <x v="0"/>
    <s v="Estimate"/>
    <m/>
    <s v="Yes"/>
    <m/>
    <m/>
    <m/>
    <x v="51"/>
    <n v="5.7600000000000007"/>
    <x v="0"/>
    <x v="0"/>
    <x v="6"/>
    <m/>
    <m/>
    <m/>
    <m/>
    <m/>
    <m/>
    <m/>
    <m/>
    <m/>
    <m/>
    <m/>
    <m/>
    <m/>
    <m/>
    <m/>
    <m/>
    <n v="144.00000000000003"/>
    <n v="20160.000000000004"/>
    <n v="0"/>
    <n v="0"/>
    <n v="0"/>
    <n v="0"/>
    <n v="0"/>
    <n v="0"/>
    <n v="0"/>
    <n v="0"/>
    <n v="0"/>
    <n v="0"/>
    <n v="0"/>
    <n v="0"/>
    <n v="0"/>
    <n v="0"/>
    <n v="0"/>
    <n v="0"/>
    <n v="0"/>
    <n v="0"/>
    <n v="20304.000000000004"/>
  </r>
  <r>
    <x v="0"/>
    <x v="12"/>
    <x v="6"/>
    <x v="56"/>
    <x v="0"/>
    <s v="Estimate"/>
    <m/>
    <s v="Yes"/>
    <m/>
    <m/>
    <m/>
    <x v="52"/>
    <n v="5.7749999999999995"/>
    <x v="0"/>
    <x v="0"/>
    <x v="6"/>
    <m/>
    <m/>
    <m/>
    <m/>
    <m/>
    <m/>
    <m/>
    <m/>
    <m/>
    <m/>
    <m/>
    <m/>
    <m/>
    <m/>
    <m/>
    <m/>
    <n v="144.375"/>
    <n v="20212.499999999996"/>
    <n v="0"/>
    <n v="0"/>
    <n v="0"/>
    <n v="0"/>
    <n v="0"/>
    <n v="0"/>
    <n v="0"/>
    <n v="0"/>
    <n v="0"/>
    <n v="0"/>
    <n v="0"/>
    <n v="0"/>
    <n v="0"/>
    <n v="0"/>
    <n v="0"/>
    <n v="0"/>
    <n v="0"/>
    <n v="0"/>
    <n v="20356.874999999996"/>
  </r>
  <r>
    <x v="0"/>
    <x v="12"/>
    <x v="6"/>
    <x v="57"/>
    <x v="0"/>
    <s v="Estimate"/>
    <m/>
    <s v="Yes"/>
    <m/>
    <m/>
    <m/>
    <x v="48"/>
    <n v="6.9300000000000006"/>
    <x v="0"/>
    <x v="0"/>
    <x v="6"/>
    <m/>
    <m/>
    <m/>
    <m/>
    <m/>
    <m/>
    <m/>
    <m/>
    <m/>
    <m/>
    <m/>
    <m/>
    <m/>
    <m/>
    <m/>
    <m/>
    <n v="173.25000000000003"/>
    <n v="24255.000000000004"/>
    <n v="0"/>
    <n v="0"/>
    <n v="0"/>
    <n v="0"/>
    <n v="0"/>
    <n v="0"/>
    <n v="0"/>
    <n v="0"/>
    <n v="0"/>
    <n v="0"/>
    <n v="0"/>
    <n v="0"/>
    <n v="0"/>
    <n v="0"/>
    <n v="0"/>
    <n v="0"/>
    <n v="0"/>
    <n v="0"/>
    <n v="24428.250000000004"/>
  </r>
  <r>
    <x v="0"/>
    <x v="12"/>
    <x v="6"/>
    <x v="58"/>
    <x v="0"/>
    <s v="Estimate"/>
    <m/>
    <s v="Yes"/>
    <m/>
    <m/>
    <m/>
    <x v="53"/>
    <n v="6"/>
    <x v="0"/>
    <x v="0"/>
    <x v="6"/>
    <m/>
    <m/>
    <m/>
    <m/>
    <m/>
    <m/>
    <m/>
    <m/>
    <m/>
    <m/>
    <m/>
    <m/>
    <m/>
    <m/>
    <m/>
    <m/>
    <n v="150"/>
    <n v="21000"/>
    <n v="0"/>
    <n v="0"/>
    <n v="0"/>
    <n v="0"/>
    <n v="0"/>
    <n v="0"/>
    <n v="0"/>
    <n v="0"/>
    <n v="0"/>
    <n v="0"/>
    <n v="0"/>
    <n v="0"/>
    <n v="0"/>
    <n v="0"/>
    <n v="0"/>
    <n v="0"/>
    <n v="0"/>
    <n v="0"/>
    <n v="21150"/>
  </r>
  <r>
    <x v="0"/>
    <x v="12"/>
    <x v="6"/>
    <x v="59"/>
    <x v="0"/>
    <s v="Estimate"/>
    <m/>
    <s v="Yes"/>
    <m/>
    <m/>
    <m/>
    <x v="54"/>
    <n v="6.6"/>
    <x v="0"/>
    <x v="0"/>
    <x v="6"/>
    <m/>
    <m/>
    <m/>
    <m/>
    <m/>
    <m/>
    <m/>
    <m/>
    <m/>
    <m/>
    <m/>
    <m/>
    <m/>
    <m/>
    <m/>
    <m/>
    <n v="165"/>
    <n v="23100"/>
    <n v="0"/>
    <n v="0"/>
    <n v="0"/>
    <n v="0"/>
    <n v="0"/>
    <n v="0"/>
    <n v="0"/>
    <n v="0"/>
    <n v="0"/>
    <n v="0"/>
    <n v="0"/>
    <n v="0"/>
    <n v="0"/>
    <n v="0"/>
    <n v="0"/>
    <n v="0"/>
    <n v="0"/>
    <n v="0"/>
    <n v="23265"/>
  </r>
  <r>
    <x v="0"/>
    <x v="12"/>
    <x v="6"/>
    <x v="60"/>
    <x v="0"/>
    <s v="Estimate"/>
    <m/>
    <s v="Yes"/>
    <m/>
    <m/>
    <m/>
    <x v="53"/>
    <n v="6"/>
    <x v="0"/>
    <x v="0"/>
    <x v="6"/>
    <m/>
    <m/>
    <m/>
    <m/>
    <m/>
    <m/>
    <m/>
    <m/>
    <m/>
    <m/>
    <m/>
    <m/>
    <m/>
    <m/>
    <m/>
    <m/>
    <n v="150"/>
    <n v="21000"/>
    <n v="0"/>
    <n v="0"/>
    <n v="0"/>
    <n v="0"/>
    <n v="0"/>
    <n v="0"/>
    <n v="0"/>
    <n v="0"/>
    <n v="0"/>
    <n v="0"/>
    <n v="0"/>
    <n v="0"/>
    <n v="0"/>
    <n v="0"/>
    <n v="0"/>
    <n v="0"/>
    <n v="0"/>
    <n v="0"/>
    <n v="21150"/>
  </r>
  <r>
    <x v="2"/>
    <x v="12"/>
    <x v="6"/>
    <x v="61"/>
    <x v="7"/>
    <s v="Estimate"/>
    <m/>
    <s v="Yes"/>
    <m/>
    <m/>
    <m/>
    <x v="55"/>
    <n v="10.799999999999999"/>
    <x v="0"/>
    <x v="0"/>
    <x v="6"/>
    <m/>
    <m/>
    <m/>
    <m/>
    <m/>
    <m/>
    <m/>
    <m/>
    <m/>
    <m/>
    <m/>
    <m/>
    <m/>
    <m/>
    <m/>
    <m/>
    <n v="270"/>
    <n v="37799.999999999993"/>
    <n v="0"/>
    <n v="0"/>
    <n v="0"/>
    <n v="0"/>
    <n v="0"/>
    <n v="0"/>
    <n v="0"/>
    <n v="0"/>
    <n v="0"/>
    <n v="0"/>
    <n v="0"/>
    <n v="0"/>
    <n v="0"/>
    <n v="0"/>
    <n v="0"/>
    <n v="0"/>
    <n v="0"/>
    <n v="0"/>
    <n v="38069.999999999993"/>
  </r>
  <r>
    <x v="2"/>
    <x v="12"/>
    <x v="6"/>
    <x v="62"/>
    <x v="7"/>
    <s v="Estimate"/>
    <m/>
    <s v="Yes"/>
    <m/>
    <m/>
    <m/>
    <x v="56"/>
    <n v="12.48"/>
    <x v="0"/>
    <x v="0"/>
    <x v="6"/>
    <m/>
    <m/>
    <m/>
    <m/>
    <m/>
    <m/>
    <m/>
    <m/>
    <m/>
    <m/>
    <m/>
    <m/>
    <m/>
    <m/>
    <m/>
    <m/>
    <n v="312"/>
    <n v="43680"/>
    <n v="0"/>
    <n v="0"/>
    <n v="0"/>
    <n v="0"/>
    <n v="0"/>
    <n v="0"/>
    <n v="0"/>
    <n v="0"/>
    <n v="0"/>
    <n v="0"/>
    <n v="0"/>
    <n v="0"/>
    <n v="0"/>
    <n v="0"/>
    <n v="0"/>
    <n v="0"/>
    <n v="0"/>
    <n v="0"/>
    <n v="43992"/>
  </r>
  <r>
    <x v="2"/>
    <x v="12"/>
    <x v="6"/>
    <x v="63"/>
    <x v="7"/>
    <s v="Estimate"/>
    <m/>
    <s v="Yes"/>
    <m/>
    <m/>
    <m/>
    <x v="57"/>
    <n v="6.3"/>
    <x v="0"/>
    <x v="0"/>
    <x v="6"/>
    <m/>
    <m/>
    <m/>
    <m/>
    <m/>
    <m/>
    <m/>
    <m/>
    <m/>
    <m/>
    <m/>
    <m/>
    <m/>
    <m/>
    <m/>
    <m/>
    <n v="157.5"/>
    <n v="22050"/>
    <n v="0"/>
    <n v="0"/>
    <n v="0"/>
    <n v="0"/>
    <n v="0"/>
    <n v="0"/>
    <n v="0"/>
    <n v="0"/>
    <n v="0"/>
    <n v="0"/>
    <n v="0"/>
    <n v="0"/>
    <n v="0"/>
    <n v="0"/>
    <n v="0"/>
    <n v="0"/>
    <n v="0"/>
    <n v="0"/>
    <n v="22207.5"/>
  </r>
  <r>
    <x v="2"/>
    <x v="12"/>
    <x v="6"/>
    <x v="64"/>
    <x v="7"/>
    <s v="Estimate"/>
    <m/>
    <s v="Yes"/>
    <m/>
    <m/>
    <m/>
    <x v="58"/>
    <n v="7.1999999999999993"/>
    <x v="0"/>
    <x v="0"/>
    <x v="6"/>
    <m/>
    <m/>
    <m/>
    <m/>
    <m/>
    <m/>
    <m/>
    <m/>
    <m/>
    <m/>
    <m/>
    <m/>
    <m/>
    <m/>
    <m/>
    <m/>
    <n v="179.99999999999997"/>
    <n v="25199.999999999996"/>
    <n v="0"/>
    <n v="0"/>
    <n v="0"/>
    <n v="0"/>
    <n v="0"/>
    <n v="0"/>
    <n v="0"/>
    <n v="0"/>
    <n v="0"/>
    <n v="0"/>
    <n v="0"/>
    <n v="0"/>
    <n v="0"/>
    <n v="0"/>
    <n v="0"/>
    <n v="0"/>
    <n v="0"/>
    <n v="0"/>
    <n v="25379.999999999996"/>
  </r>
  <r>
    <x v="2"/>
    <x v="12"/>
    <x v="6"/>
    <x v="65"/>
    <x v="7"/>
    <s v="Estimate"/>
    <m/>
    <s v="Yes"/>
    <m/>
    <m/>
    <m/>
    <x v="59"/>
    <n v="10.35"/>
    <x v="0"/>
    <x v="0"/>
    <x v="6"/>
    <m/>
    <m/>
    <m/>
    <m/>
    <m/>
    <m/>
    <m/>
    <m/>
    <m/>
    <m/>
    <m/>
    <m/>
    <m/>
    <m/>
    <m/>
    <m/>
    <n v="258.75"/>
    <n v="36225"/>
    <n v="0"/>
    <n v="0"/>
    <n v="0"/>
    <n v="0"/>
    <n v="0"/>
    <n v="0"/>
    <n v="0"/>
    <n v="0"/>
    <n v="0"/>
    <n v="0"/>
    <n v="0"/>
    <n v="0"/>
    <n v="0"/>
    <n v="0"/>
    <n v="0"/>
    <n v="0"/>
    <n v="0"/>
    <n v="0"/>
    <n v="36483.75"/>
  </r>
  <r>
    <x v="2"/>
    <x v="12"/>
    <x v="6"/>
    <x v="66"/>
    <x v="7"/>
    <s v="Estimate"/>
    <m/>
    <s v="Yes"/>
    <m/>
    <m/>
    <m/>
    <x v="60"/>
    <n v="12.239999999999998"/>
    <x v="0"/>
    <x v="0"/>
    <x v="6"/>
    <m/>
    <m/>
    <m/>
    <m/>
    <m/>
    <m/>
    <m/>
    <m/>
    <m/>
    <m/>
    <m/>
    <m/>
    <m/>
    <m/>
    <m/>
    <m/>
    <n v="305.99999999999994"/>
    <n v="42839.999999999993"/>
    <n v="0"/>
    <n v="0"/>
    <n v="0"/>
    <n v="0"/>
    <n v="0"/>
    <n v="0"/>
    <n v="0"/>
    <n v="0"/>
    <n v="0"/>
    <n v="0"/>
    <n v="0"/>
    <n v="0"/>
    <n v="0"/>
    <n v="0"/>
    <n v="0"/>
    <n v="0"/>
    <n v="0"/>
    <n v="0"/>
    <n v="43145.999999999993"/>
  </r>
  <r>
    <x v="2"/>
    <x v="12"/>
    <x v="6"/>
    <x v="67"/>
    <x v="7"/>
    <s v="Estimate"/>
    <m/>
    <s v="Yes"/>
    <m/>
    <m/>
    <m/>
    <x v="61"/>
    <n v="11.219999999999999"/>
    <x v="0"/>
    <x v="0"/>
    <x v="6"/>
    <m/>
    <m/>
    <m/>
    <m/>
    <m/>
    <m/>
    <m/>
    <m/>
    <m/>
    <m/>
    <m/>
    <m/>
    <m/>
    <m/>
    <m/>
    <m/>
    <n v="280.5"/>
    <n v="39269.999999999993"/>
    <n v="0"/>
    <n v="0"/>
    <n v="0"/>
    <n v="0"/>
    <n v="0"/>
    <n v="0"/>
    <n v="0"/>
    <n v="0"/>
    <n v="0"/>
    <n v="0"/>
    <n v="0"/>
    <n v="0"/>
    <n v="0"/>
    <n v="0"/>
    <n v="0"/>
    <n v="0"/>
    <n v="0"/>
    <n v="0"/>
    <n v="39550.499999999993"/>
  </r>
  <r>
    <x v="2"/>
    <x v="12"/>
    <x v="6"/>
    <x v="68"/>
    <x v="7"/>
    <s v="Estimate"/>
    <m/>
    <s v="Yes"/>
    <m/>
    <m/>
    <m/>
    <x v="62"/>
    <n v="7.8090000000000002"/>
    <x v="0"/>
    <x v="0"/>
    <x v="6"/>
    <m/>
    <m/>
    <m/>
    <m/>
    <m/>
    <m/>
    <m/>
    <m/>
    <m/>
    <m/>
    <m/>
    <m/>
    <m/>
    <m/>
    <m/>
    <m/>
    <n v="195.22499999999999"/>
    <n v="27331.5"/>
    <n v="0"/>
    <n v="0"/>
    <n v="0"/>
    <n v="0"/>
    <n v="0"/>
    <n v="0"/>
    <n v="0"/>
    <n v="0"/>
    <n v="0"/>
    <n v="0"/>
    <n v="0"/>
    <n v="0"/>
    <n v="0"/>
    <n v="0"/>
    <n v="0"/>
    <n v="0"/>
    <n v="0"/>
    <n v="0"/>
    <n v="27526.724999999999"/>
  </r>
  <r>
    <x v="2"/>
    <x v="12"/>
    <x v="6"/>
    <x v="69"/>
    <x v="7"/>
    <s v="Estimate"/>
    <m/>
    <s v="Yes"/>
    <m/>
    <m/>
    <m/>
    <x v="63"/>
    <n v="9.1199999999999992"/>
    <x v="0"/>
    <x v="0"/>
    <x v="6"/>
    <m/>
    <m/>
    <m/>
    <m/>
    <m/>
    <m/>
    <m/>
    <m/>
    <m/>
    <m/>
    <m/>
    <m/>
    <m/>
    <m/>
    <m/>
    <m/>
    <n v="227.99999999999997"/>
    <n v="31919.999999999996"/>
    <n v="0"/>
    <n v="0"/>
    <n v="0"/>
    <n v="0"/>
    <n v="0"/>
    <n v="0"/>
    <n v="0"/>
    <n v="0"/>
    <n v="0"/>
    <n v="0"/>
    <n v="0"/>
    <n v="0"/>
    <n v="0"/>
    <n v="0"/>
    <n v="0"/>
    <n v="0"/>
    <n v="0"/>
    <n v="0"/>
    <n v="32147.999999999996"/>
  </r>
  <r>
    <x v="2"/>
    <x v="12"/>
    <x v="6"/>
    <x v="70"/>
    <x v="7"/>
    <s v="Estimate"/>
    <m/>
    <s v="Yes"/>
    <m/>
    <m/>
    <m/>
    <x v="64"/>
    <n v="9.66"/>
    <x v="0"/>
    <x v="0"/>
    <x v="6"/>
    <m/>
    <m/>
    <m/>
    <m/>
    <m/>
    <m/>
    <m/>
    <m/>
    <m/>
    <m/>
    <m/>
    <m/>
    <m/>
    <m/>
    <m/>
    <m/>
    <n v="241.5"/>
    <n v="33810"/>
    <n v="0"/>
    <n v="0"/>
    <n v="0"/>
    <n v="0"/>
    <n v="0"/>
    <n v="0"/>
    <n v="0"/>
    <n v="0"/>
    <n v="0"/>
    <n v="0"/>
    <n v="0"/>
    <n v="0"/>
    <n v="0"/>
    <n v="0"/>
    <n v="0"/>
    <n v="0"/>
    <n v="0"/>
    <n v="0"/>
    <n v="34051.5"/>
  </r>
  <r>
    <x v="2"/>
    <x v="12"/>
    <x v="6"/>
    <x v="71"/>
    <x v="7"/>
    <s v="Estimate"/>
    <m/>
    <s v="Yes"/>
    <m/>
    <m/>
    <m/>
    <x v="65"/>
    <n v="7.98"/>
    <x v="0"/>
    <x v="0"/>
    <x v="6"/>
    <m/>
    <m/>
    <m/>
    <m/>
    <m/>
    <m/>
    <m/>
    <m/>
    <m/>
    <m/>
    <m/>
    <m/>
    <m/>
    <m/>
    <m/>
    <m/>
    <n v="199.5"/>
    <n v="27930"/>
    <n v="0"/>
    <n v="0"/>
    <n v="0"/>
    <n v="0"/>
    <n v="0"/>
    <n v="0"/>
    <n v="0"/>
    <n v="0"/>
    <n v="0"/>
    <n v="0"/>
    <n v="0"/>
    <n v="0"/>
    <n v="0"/>
    <n v="0"/>
    <n v="0"/>
    <n v="0"/>
    <n v="0"/>
    <n v="0"/>
    <n v="28129.5"/>
  </r>
  <r>
    <x v="5"/>
    <x v="13"/>
    <x v="7"/>
    <x v="72"/>
    <x v="1"/>
    <s v="Complete"/>
    <m/>
    <s v="Yes"/>
    <m/>
    <m/>
    <m/>
    <x v="1"/>
    <m/>
    <x v="0"/>
    <x v="0"/>
    <x v="30"/>
    <m/>
    <m/>
    <m/>
    <m/>
    <m/>
    <m/>
    <m/>
    <m/>
    <m/>
    <m/>
    <m/>
    <m/>
    <m/>
    <m/>
    <m/>
    <m/>
    <n v="0"/>
    <n v="0"/>
    <n v="0"/>
    <n v="0"/>
    <n v="11927.0556"/>
    <n v="0"/>
    <n v="0"/>
    <n v="0"/>
    <n v="0"/>
    <n v="0"/>
    <n v="0"/>
    <n v="0"/>
    <n v="0"/>
    <n v="0"/>
    <n v="0"/>
    <n v="0"/>
    <n v="0"/>
    <n v="0"/>
    <n v="0"/>
    <n v="0"/>
    <n v="11927.0556"/>
  </r>
  <r>
    <x v="5"/>
    <x v="13"/>
    <x v="7"/>
    <x v="73"/>
    <x v="1"/>
    <s v="Complete"/>
    <m/>
    <s v="Yes"/>
    <m/>
    <m/>
    <m/>
    <x v="1"/>
    <m/>
    <x v="0"/>
    <x v="0"/>
    <x v="31"/>
    <m/>
    <m/>
    <m/>
    <m/>
    <m/>
    <m/>
    <m/>
    <m/>
    <m/>
    <m/>
    <m/>
    <m/>
    <m/>
    <m/>
    <m/>
    <m/>
    <n v="0"/>
    <n v="0"/>
    <n v="0"/>
    <n v="0"/>
    <n v="5520"/>
    <n v="0"/>
    <n v="0"/>
    <n v="0"/>
    <n v="0"/>
    <n v="0"/>
    <n v="0"/>
    <n v="0"/>
    <n v="0"/>
    <n v="0"/>
    <n v="0"/>
    <n v="0"/>
    <n v="0"/>
    <n v="0"/>
    <n v="0"/>
    <n v="0"/>
    <n v="5520"/>
  </r>
  <r>
    <x v="5"/>
    <x v="13"/>
    <x v="7"/>
    <x v="74"/>
    <x v="1"/>
    <s v="Estimate"/>
    <m/>
    <s v="Yes"/>
    <m/>
    <m/>
    <m/>
    <x v="1"/>
    <m/>
    <x v="0"/>
    <x v="0"/>
    <x v="32"/>
    <m/>
    <m/>
    <m/>
    <m/>
    <m/>
    <m/>
    <m/>
    <m/>
    <m/>
    <m/>
    <m/>
    <m/>
    <m/>
    <m/>
    <m/>
    <m/>
    <n v="0"/>
    <n v="0"/>
    <n v="0"/>
    <n v="0"/>
    <n v="540"/>
    <n v="0"/>
    <n v="0"/>
    <n v="0"/>
    <n v="0"/>
    <n v="0"/>
    <n v="0"/>
    <n v="0"/>
    <n v="0"/>
    <n v="0"/>
    <n v="0"/>
    <n v="0"/>
    <n v="0"/>
    <n v="0"/>
    <n v="0"/>
    <n v="0"/>
    <n v="540"/>
  </r>
  <r>
    <x v="5"/>
    <x v="13"/>
    <x v="7"/>
    <x v="75"/>
    <x v="1"/>
    <s v="Estimate"/>
    <m/>
    <s v="Yes"/>
    <m/>
    <m/>
    <m/>
    <x v="1"/>
    <m/>
    <x v="0"/>
    <x v="0"/>
    <x v="33"/>
    <m/>
    <m/>
    <m/>
    <m/>
    <m/>
    <m/>
    <m/>
    <m/>
    <m/>
    <m/>
    <m/>
    <m/>
    <m/>
    <m/>
    <m/>
    <m/>
    <n v="0"/>
    <n v="0"/>
    <n v="0"/>
    <n v="0"/>
    <n v="1566"/>
    <n v="0"/>
    <n v="0"/>
    <n v="0"/>
    <n v="0"/>
    <n v="0"/>
    <n v="0"/>
    <n v="0"/>
    <n v="0"/>
    <n v="0"/>
    <n v="0"/>
    <n v="0"/>
    <n v="0"/>
    <n v="0"/>
    <n v="0"/>
    <n v="0"/>
    <n v="1566"/>
  </r>
  <r>
    <x v="5"/>
    <x v="14"/>
    <x v="7"/>
    <x v="76"/>
    <x v="1"/>
    <s v="Complete"/>
    <m/>
    <s v="Yes"/>
    <m/>
    <m/>
    <m/>
    <x v="1"/>
    <m/>
    <x v="0"/>
    <x v="0"/>
    <x v="34"/>
    <m/>
    <m/>
    <m/>
    <m/>
    <m/>
    <m/>
    <m/>
    <m/>
    <m/>
    <m/>
    <m/>
    <m/>
    <m/>
    <m/>
    <m/>
    <m/>
    <n v="0"/>
    <n v="0"/>
    <n v="0"/>
    <n v="0"/>
    <n v="3890.5595999999996"/>
    <n v="0"/>
    <n v="0"/>
    <n v="0"/>
    <n v="0"/>
    <n v="0"/>
    <n v="0"/>
    <n v="0"/>
    <n v="0"/>
    <n v="0"/>
    <n v="0"/>
    <n v="0"/>
    <n v="0"/>
    <n v="0"/>
    <n v="0"/>
    <n v="0"/>
    <n v="3890.5595999999996"/>
  </r>
  <r>
    <x v="5"/>
    <x v="13"/>
    <x v="7"/>
    <x v="77"/>
    <x v="1"/>
    <s v="Estimate"/>
    <m/>
    <s v="Yes"/>
    <m/>
    <m/>
    <m/>
    <x v="1"/>
    <m/>
    <x v="0"/>
    <x v="0"/>
    <x v="35"/>
    <m/>
    <m/>
    <m/>
    <m/>
    <m/>
    <m/>
    <m/>
    <m/>
    <m/>
    <m/>
    <m/>
    <m/>
    <m/>
    <m/>
    <m/>
    <m/>
    <n v="0"/>
    <n v="0"/>
    <n v="0"/>
    <n v="0"/>
    <n v="3780"/>
    <n v="0"/>
    <n v="0"/>
    <n v="0"/>
    <n v="0"/>
    <n v="0"/>
    <n v="0"/>
    <n v="0"/>
    <n v="0"/>
    <n v="0"/>
    <n v="0"/>
    <n v="0"/>
    <n v="0"/>
    <n v="0"/>
    <n v="0"/>
    <n v="0"/>
    <n v="3780"/>
  </r>
  <r>
    <x v="9"/>
    <x v="13"/>
    <x v="7"/>
    <x v="78"/>
    <x v="8"/>
    <s v="Complete"/>
    <m/>
    <s v="Yes"/>
    <m/>
    <m/>
    <m/>
    <x v="1"/>
    <m/>
    <x v="0"/>
    <x v="0"/>
    <x v="36"/>
    <m/>
    <m/>
    <m/>
    <m/>
    <m/>
    <m/>
    <m/>
    <m/>
    <m/>
    <m/>
    <m/>
    <m/>
    <m/>
    <m/>
    <m/>
    <m/>
    <n v="0"/>
    <n v="0"/>
    <n v="0"/>
    <n v="0"/>
    <n v="6600"/>
    <n v="0"/>
    <n v="0"/>
    <n v="0"/>
    <n v="0"/>
    <n v="0"/>
    <n v="0"/>
    <n v="0"/>
    <n v="0"/>
    <n v="0"/>
    <n v="0"/>
    <n v="0"/>
    <n v="0"/>
    <n v="0"/>
    <n v="0"/>
    <n v="0"/>
    <n v="6600"/>
  </r>
  <r>
    <x v="9"/>
    <x v="13"/>
    <x v="7"/>
    <x v="79"/>
    <x v="8"/>
    <s v="Complete"/>
    <m/>
    <s v="Yes"/>
    <m/>
    <m/>
    <m/>
    <x v="1"/>
    <m/>
    <x v="0"/>
    <x v="0"/>
    <x v="37"/>
    <m/>
    <m/>
    <m/>
    <m/>
    <m/>
    <m/>
    <m/>
    <m/>
    <m/>
    <m/>
    <m/>
    <m/>
    <m/>
    <m/>
    <m/>
    <m/>
    <n v="0"/>
    <n v="0"/>
    <n v="0"/>
    <n v="0"/>
    <n v="5400"/>
    <n v="0"/>
    <n v="0"/>
    <n v="0"/>
    <n v="0"/>
    <n v="0"/>
    <n v="0"/>
    <n v="0"/>
    <n v="0"/>
    <n v="0"/>
    <n v="0"/>
    <n v="0"/>
    <n v="0"/>
    <n v="0"/>
    <n v="0"/>
    <n v="0"/>
    <n v="5400"/>
  </r>
  <r>
    <x v="9"/>
    <x v="13"/>
    <x v="7"/>
    <x v="80"/>
    <x v="8"/>
    <s v="Complete"/>
    <m/>
    <s v="Yes"/>
    <m/>
    <m/>
    <m/>
    <x v="1"/>
    <m/>
    <x v="0"/>
    <x v="0"/>
    <x v="38"/>
    <m/>
    <m/>
    <m/>
    <m/>
    <m/>
    <m/>
    <m/>
    <m/>
    <m/>
    <m/>
    <m/>
    <m/>
    <m/>
    <m/>
    <m/>
    <m/>
    <n v="0"/>
    <n v="0"/>
    <n v="0"/>
    <n v="0"/>
    <n v="6120"/>
    <n v="0"/>
    <n v="0"/>
    <n v="0"/>
    <n v="0"/>
    <n v="0"/>
    <n v="0"/>
    <n v="0"/>
    <n v="0"/>
    <n v="0"/>
    <n v="0"/>
    <n v="0"/>
    <n v="0"/>
    <n v="0"/>
    <n v="0"/>
    <n v="0"/>
    <n v="6120"/>
  </r>
  <r>
    <x v="9"/>
    <x v="13"/>
    <x v="7"/>
    <x v="81"/>
    <x v="8"/>
    <s v="Complete"/>
    <m/>
    <s v="Yes"/>
    <m/>
    <m/>
    <m/>
    <x v="1"/>
    <m/>
    <x v="0"/>
    <x v="0"/>
    <x v="39"/>
    <m/>
    <m/>
    <m/>
    <m/>
    <m/>
    <m/>
    <m/>
    <m/>
    <m/>
    <m/>
    <m/>
    <m/>
    <m/>
    <m/>
    <m/>
    <m/>
    <n v="0"/>
    <n v="0"/>
    <n v="0"/>
    <n v="0"/>
    <n v="3120"/>
    <n v="0"/>
    <n v="0"/>
    <n v="0"/>
    <n v="0"/>
    <n v="0"/>
    <n v="0"/>
    <n v="0"/>
    <n v="0"/>
    <n v="0"/>
    <n v="0"/>
    <n v="0"/>
    <n v="0"/>
    <n v="0"/>
    <n v="0"/>
    <n v="0"/>
    <n v="3120"/>
  </r>
  <r>
    <x v="9"/>
    <x v="13"/>
    <x v="7"/>
    <x v="82"/>
    <x v="8"/>
    <s v="Complete"/>
    <m/>
    <s v="Yes"/>
    <m/>
    <m/>
    <m/>
    <x v="1"/>
    <m/>
    <x v="0"/>
    <x v="0"/>
    <x v="40"/>
    <m/>
    <m/>
    <m/>
    <m/>
    <m/>
    <m/>
    <m/>
    <m/>
    <m/>
    <m/>
    <m/>
    <m/>
    <m/>
    <m/>
    <m/>
    <m/>
    <n v="0"/>
    <n v="0"/>
    <n v="0"/>
    <n v="0"/>
    <n v="19200"/>
    <n v="0"/>
    <n v="0"/>
    <n v="0"/>
    <n v="0"/>
    <n v="0"/>
    <n v="0"/>
    <n v="0"/>
    <n v="0"/>
    <n v="0"/>
    <n v="0"/>
    <n v="0"/>
    <n v="0"/>
    <n v="0"/>
    <n v="0"/>
    <n v="0"/>
    <n v="19200"/>
  </r>
  <r>
    <x v="6"/>
    <x v="13"/>
    <x v="7"/>
    <x v="83"/>
    <x v="6"/>
    <s v="Complete"/>
    <m/>
    <s v="Yes"/>
    <m/>
    <m/>
    <m/>
    <x v="1"/>
    <m/>
    <x v="0"/>
    <x v="0"/>
    <x v="36"/>
    <m/>
    <m/>
    <m/>
    <m/>
    <m/>
    <m/>
    <m/>
    <m/>
    <m/>
    <m/>
    <m/>
    <m/>
    <m/>
    <m/>
    <m/>
    <m/>
    <n v="0"/>
    <n v="0"/>
    <n v="0"/>
    <n v="0"/>
    <n v="6600"/>
    <n v="0"/>
    <n v="0"/>
    <n v="0"/>
    <n v="0"/>
    <n v="0"/>
    <n v="0"/>
    <n v="0"/>
    <n v="0"/>
    <n v="0"/>
    <n v="0"/>
    <n v="0"/>
    <n v="0"/>
    <n v="0"/>
    <n v="0"/>
    <n v="0"/>
    <n v="6600"/>
  </r>
  <r>
    <x v="8"/>
    <x v="2"/>
    <x v="7"/>
    <x v="84"/>
    <x v="5"/>
    <s v="N/A"/>
    <m/>
    <s v="Yes"/>
    <m/>
    <m/>
    <m/>
    <x v="66"/>
    <m/>
    <x v="0"/>
    <x v="0"/>
    <x v="41"/>
    <m/>
    <m/>
    <m/>
    <m/>
    <m/>
    <m/>
    <m/>
    <m/>
    <m/>
    <m/>
    <m/>
    <m/>
    <m/>
    <m/>
    <m/>
    <m/>
    <n v="4800"/>
    <n v="0"/>
    <n v="0"/>
    <n v="0"/>
    <n v="2520"/>
    <n v="0"/>
    <n v="0"/>
    <n v="0"/>
    <n v="0"/>
    <n v="0"/>
    <n v="0"/>
    <n v="0"/>
    <n v="0"/>
    <n v="0"/>
    <n v="0"/>
    <n v="0"/>
    <n v="0"/>
    <n v="0"/>
    <n v="0"/>
    <n v="0"/>
    <n v="7320"/>
  </r>
  <r>
    <x v="8"/>
    <x v="2"/>
    <x v="7"/>
    <x v="85"/>
    <x v="5"/>
    <s v="N/A"/>
    <m/>
    <s v="Yes"/>
    <m/>
    <m/>
    <m/>
    <x v="1"/>
    <m/>
    <x v="0"/>
    <x v="0"/>
    <x v="42"/>
    <m/>
    <m/>
    <m/>
    <m/>
    <m/>
    <m/>
    <m/>
    <m/>
    <m/>
    <m/>
    <m/>
    <m/>
    <m/>
    <m/>
    <m/>
    <m/>
    <n v="0"/>
    <n v="0"/>
    <n v="0"/>
    <n v="0"/>
    <n v="1080"/>
    <n v="0"/>
    <n v="0"/>
    <n v="0"/>
    <n v="0"/>
    <n v="0"/>
    <n v="0"/>
    <n v="0"/>
    <n v="0"/>
    <n v="0"/>
    <n v="0"/>
    <n v="0"/>
    <n v="0"/>
    <n v="0"/>
    <n v="0"/>
    <n v="0"/>
    <n v="1080"/>
  </r>
  <r>
    <x v="8"/>
    <x v="2"/>
    <x v="7"/>
    <x v="86"/>
    <x v="5"/>
    <s v="N/A"/>
    <m/>
    <s v="Yes"/>
    <m/>
    <m/>
    <m/>
    <x v="1"/>
    <m/>
    <x v="0"/>
    <x v="0"/>
    <x v="43"/>
    <m/>
    <m/>
    <m/>
    <m/>
    <m/>
    <m/>
    <m/>
    <m/>
    <m/>
    <m/>
    <m/>
    <m/>
    <m/>
    <m/>
    <m/>
    <m/>
    <n v="0"/>
    <n v="0"/>
    <n v="0"/>
    <n v="0"/>
    <n v="4680"/>
    <n v="0"/>
    <n v="0"/>
    <n v="0"/>
    <n v="0"/>
    <n v="0"/>
    <n v="0"/>
    <n v="0"/>
    <n v="0"/>
    <n v="0"/>
    <n v="0"/>
    <n v="0"/>
    <n v="0"/>
    <n v="0"/>
    <n v="0"/>
    <n v="0"/>
    <n v="4680"/>
  </r>
  <r>
    <x v="2"/>
    <x v="2"/>
    <x v="7"/>
    <x v="87"/>
    <x v="2"/>
    <s v="N/A"/>
    <m/>
    <s v="Yes"/>
    <m/>
    <m/>
    <m/>
    <x v="1"/>
    <m/>
    <x v="0"/>
    <x v="0"/>
    <x v="44"/>
    <m/>
    <m/>
    <m/>
    <m/>
    <m/>
    <m/>
    <m/>
    <m/>
    <m/>
    <m/>
    <m/>
    <m/>
    <m/>
    <m/>
    <m/>
    <m/>
    <n v="0"/>
    <n v="0"/>
    <n v="0"/>
    <n v="0"/>
    <n v="12000"/>
    <n v="0"/>
    <n v="0"/>
    <n v="0"/>
    <n v="0"/>
    <n v="0"/>
    <n v="0"/>
    <n v="0"/>
    <n v="0"/>
    <n v="0"/>
    <n v="0"/>
    <n v="0"/>
    <n v="0"/>
    <n v="0"/>
    <n v="0"/>
    <n v="0"/>
    <n v="12000"/>
  </r>
  <r>
    <x v="10"/>
    <x v="13"/>
    <x v="7"/>
    <x v="88"/>
    <x v="9"/>
    <s v="Estimate"/>
    <m/>
    <s v="Yes"/>
    <m/>
    <m/>
    <m/>
    <x v="1"/>
    <m/>
    <x v="0"/>
    <x v="0"/>
    <x v="45"/>
    <m/>
    <m/>
    <m/>
    <m/>
    <m/>
    <m/>
    <m/>
    <m/>
    <m/>
    <m/>
    <m/>
    <m/>
    <m/>
    <m/>
    <m/>
    <m/>
    <n v="0"/>
    <n v="0"/>
    <n v="0"/>
    <n v="0"/>
    <n v="1782"/>
    <n v="0"/>
    <n v="0"/>
    <n v="0"/>
    <n v="0"/>
    <n v="0"/>
    <n v="0"/>
    <n v="0"/>
    <n v="0"/>
    <n v="0"/>
    <n v="0"/>
    <n v="0"/>
    <n v="0"/>
    <n v="0"/>
    <n v="0"/>
    <n v="0"/>
    <n v="1782"/>
  </r>
  <r>
    <x v="10"/>
    <x v="13"/>
    <x v="7"/>
    <x v="89"/>
    <x v="9"/>
    <s v="Estimate"/>
    <m/>
    <s v="Yes"/>
    <m/>
    <m/>
    <m/>
    <x v="1"/>
    <m/>
    <x v="0"/>
    <x v="0"/>
    <x v="46"/>
    <m/>
    <m/>
    <m/>
    <m/>
    <m/>
    <m/>
    <m/>
    <m/>
    <m/>
    <m/>
    <m/>
    <m/>
    <m/>
    <m/>
    <m/>
    <m/>
    <n v="0"/>
    <n v="0"/>
    <n v="0"/>
    <n v="0"/>
    <n v="5580"/>
    <n v="0"/>
    <n v="0"/>
    <n v="0"/>
    <n v="0"/>
    <n v="0"/>
    <n v="0"/>
    <n v="0"/>
    <n v="0"/>
    <n v="0"/>
    <n v="0"/>
    <n v="0"/>
    <n v="0"/>
    <n v="0"/>
    <n v="0"/>
    <n v="0"/>
    <n v="5580"/>
  </r>
  <r>
    <x v="10"/>
    <x v="13"/>
    <x v="7"/>
    <x v="90"/>
    <x v="9"/>
    <s v="Estimate"/>
    <m/>
    <s v="Yes"/>
    <m/>
    <m/>
    <m/>
    <x v="1"/>
    <m/>
    <x v="0"/>
    <x v="0"/>
    <x v="47"/>
    <m/>
    <m/>
    <m/>
    <m/>
    <m/>
    <m/>
    <m/>
    <m/>
    <m/>
    <m/>
    <m/>
    <m/>
    <m/>
    <m/>
    <m/>
    <m/>
    <n v="0"/>
    <n v="0"/>
    <n v="0"/>
    <n v="0"/>
    <n v="8820"/>
    <n v="0"/>
    <n v="0"/>
    <n v="0"/>
    <n v="0"/>
    <n v="0"/>
    <n v="0"/>
    <n v="0"/>
    <n v="0"/>
    <n v="0"/>
    <n v="0"/>
    <n v="0"/>
    <n v="0"/>
    <n v="0"/>
    <n v="0"/>
    <n v="0"/>
    <n v="8820"/>
  </r>
  <r>
    <x v="10"/>
    <x v="13"/>
    <x v="7"/>
    <x v="91"/>
    <x v="9"/>
    <s v="Estimate"/>
    <m/>
    <s v="Yes"/>
    <m/>
    <m/>
    <m/>
    <x v="1"/>
    <m/>
    <x v="0"/>
    <x v="0"/>
    <x v="48"/>
    <m/>
    <m/>
    <m/>
    <m/>
    <m/>
    <m/>
    <m/>
    <m/>
    <m/>
    <m/>
    <m/>
    <m/>
    <m/>
    <m/>
    <m/>
    <m/>
    <n v="0"/>
    <n v="0"/>
    <n v="0"/>
    <n v="0"/>
    <n v="3864.0000000000005"/>
    <n v="0"/>
    <n v="0"/>
    <n v="0"/>
    <n v="0"/>
    <n v="0"/>
    <n v="0"/>
    <n v="0"/>
    <n v="0"/>
    <n v="0"/>
    <n v="0"/>
    <n v="0"/>
    <n v="0"/>
    <n v="0"/>
    <n v="0"/>
    <n v="0"/>
    <n v="3864.0000000000005"/>
  </r>
  <r>
    <x v="10"/>
    <x v="13"/>
    <x v="7"/>
    <x v="92"/>
    <x v="9"/>
    <s v="Estimate"/>
    <m/>
    <s v="Yes"/>
    <m/>
    <m/>
    <m/>
    <x v="1"/>
    <m/>
    <x v="0"/>
    <x v="0"/>
    <x v="49"/>
    <m/>
    <m/>
    <m/>
    <m/>
    <m/>
    <m/>
    <m/>
    <m/>
    <m/>
    <m/>
    <m/>
    <m/>
    <m/>
    <m/>
    <m/>
    <m/>
    <n v="0"/>
    <n v="0"/>
    <n v="0"/>
    <n v="0"/>
    <n v="14968.8"/>
    <n v="0"/>
    <n v="0"/>
    <n v="0"/>
    <n v="0"/>
    <n v="0"/>
    <n v="0"/>
    <n v="0"/>
    <n v="0"/>
    <n v="0"/>
    <n v="0"/>
    <n v="0"/>
    <n v="0"/>
    <n v="0"/>
    <n v="0"/>
    <n v="0"/>
    <n v="14968.8"/>
  </r>
  <r>
    <x v="10"/>
    <x v="13"/>
    <x v="7"/>
    <x v="93"/>
    <x v="9"/>
    <s v="Estimate"/>
    <m/>
    <s v="Yes"/>
    <m/>
    <m/>
    <m/>
    <x v="1"/>
    <m/>
    <x v="0"/>
    <x v="0"/>
    <x v="50"/>
    <m/>
    <m/>
    <m/>
    <m/>
    <m/>
    <m/>
    <m/>
    <m/>
    <m/>
    <m/>
    <m/>
    <m/>
    <m/>
    <m/>
    <m/>
    <m/>
    <n v="0"/>
    <n v="0"/>
    <n v="0"/>
    <n v="0"/>
    <n v="1728"/>
    <n v="0"/>
    <n v="0"/>
    <n v="0"/>
    <n v="0"/>
    <n v="0"/>
    <n v="0"/>
    <n v="0"/>
    <n v="0"/>
    <n v="0"/>
    <n v="0"/>
    <n v="0"/>
    <n v="0"/>
    <n v="0"/>
    <n v="0"/>
    <n v="0"/>
    <n v="1728"/>
  </r>
  <r>
    <x v="10"/>
    <x v="13"/>
    <x v="7"/>
    <x v="94"/>
    <x v="9"/>
    <s v="Estimate"/>
    <m/>
    <s v="Yes"/>
    <m/>
    <m/>
    <m/>
    <x v="1"/>
    <m/>
    <x v="0"/>
    <x v="0"/>
    <x v="51"/>
    <m/>
    <m/>
    <m/>
    <m/>
    <m/>
    <m/>
    <m/>
    <m/>
    <m/>
    <m/>
    <m/>
    <m/>
    <m/>
    <m/>
    <m/>
    <m/>
    <n v="0"/>
    <n v="0"/>
    <n v="0"/>
    <n v="0"/>
    <n v="28644"/>
    <n v="0"/>
    <n v="0"/>
    <n v="0"/>
    <n v="0"/>
    <n v="0"/>
    <n v="0"/>
    <n v="0"/>
    <n v="0"/>
    <n v="0"/>
    <n v="0"/>
    <n v="0"/>
    <n v="0"/>
    <n v="0"/>
    <n v="0"/>
    <n v="0"/>
    <n v="28644"/>
  </r>
  <r>
    <x v="10"/>
    <x v="13"/>
    <x v="7"/>
    <x v="95"/>
    <x v="9"/>
    <s v="Estimate"/>
    <m/>
    <s v="Yes"/>
    <m/>
    <m/>
    <m/>
    <x v="1"/>
    <m/>
    <x v="0"/>
    <x v="0"/>
    <x v="52"/>
    <m/>
    <m/>
    <m/>
    <m/>
    <m/>
    <m/>
    <m/>
    <m/>
    <m/>
    <m/>
    <m/>
    <m/>
    <m/>
    <m/>
    <m/>
    <m/>
    <n v="0"/>
    <n v="0"/>
    <n v="0"/>
    <n v="0"/>
    <n v="70200"/>
    <n v="0"/>
    <n v="0"/>
    <n v="0"/>
    <n v="0"/>
    <n v="0"/>
    <n v="0"/>
    <n v="0"/>
    <n v="0"/>
    <n v="0"/>
    <n v="0"/>
    <n v="0"/>
    <n v="0"/>
    <n v="0"/>
    <n v="0"/>
    <n v="0"/>
    <n v="70200"/>
  </r>
  <r>
    <x v="10"/>
    <x v="15"/>
    <x v="7"/>
    <x v="96"/>
    <x v="9"/>
    <s v="N/A"/>
    <m/>
    <s v="Yes"/>
    <m/>
    <m/>
    <m/>
    <x v="1"/>
    <m/>
    <x v="0"/>
    <x v="0"/>
    <x v="31"/>
    <m/>
    <m/>
    <m/>
    <m/>
    <m/>
    <m/>
    <m/>
    <m/>
    <m/>
    <m/>
    <m/>
    <m/>
    <m/>
    <m/>
    <m/>
    <m/>
    <n v="0"/>
    <n v="0"/>
    <n v="0"/>
    <n v="0"/>
    <n v="5520"/>
    <n v="0"/>
    <n v="0"/>
    <n v="0"/>
    <n v="0"/>
    <n v="0"/>
    <n v="0"/>
    <n v="0"/>
    <n v="0"/>
    <n v="0"/>
    <n v="0"/>
    <n v="0"/>
    <n v="0"/>
    <n v="0"/>
    <n v="0"/>
    <n v="0"/>
    <n v="5520"/>
  </r>
  <r>
    <x v="10"/>
    <x v="16"/>
    <x v="7"/>
    <x v="97"/>
    <x v="9"/>
    <s v="Estimate"/>
    <m/>
    <s v="Yes"/>
    <m/>
    <m/>
    <m/>
    <x v="67"/>
    <m/>
    <x v="0"/>
    <x v="0"/>
    <x v="53"/>
    <m/>
    <m/>
    <m/>
    <m/>
    <m/>
    <m/>
    <m/>
    <m/>
    <m/>
    <m/>
    <m/>
    <m/>
    <m/>
    <m/>
    <m/>
    <m/>
    <n v="23750"/>
    <n v="0"/>
    <n v="0"/>
    <n v="0"/>
    <n v="57000"/>
    <n v="0"/>
    <n v="0"/>
    <n v="0"/>
    <n v="0"/>
    <n v="0"/>
    <n v="0"/>
    <n v="0"/>
    <n v="0"/>
    <n v="0"/>
    <n v="0"/>
    <n v="0"/>
    <n v="0"/>
    <n v="0"/>
    <n v="0"/>
    <n v="0"/>
    <n v="80750"/>
  </r>
  <r>
    <x v="11"/>
    <x v="13"/>
    <x v="7"/>
    <x v="98"/>
    <x v="8"/>
    <s v="Complete"/>
    <m/>
    <s v="Yes"/>
    <m/>
    <m/>
    <m/>
    <x v="1"/>
    <m/>
    <x v="0"/>
    <x v="0"/>
    <x v="54"/>
    <m/>
    <m/>
    <m/>
    <m/>
    <m/>
    <m/>
    <m/>
    <m/>
    <m/>
    <m/>
    <m/>
    <m/>
    <m/>
    <m/>
    <m/>
    <m/>
    <n v="0"/>
    <n v="0"/>
    <n v="0"/>
    <n v="0"/>
    <n v="9835.86"/>
    <n v="0"/>
    <n v="0"/>
    <n v="0"/>
    <n v="0"/>
    <n v="0"/>
    <n v="0"/>
    <n v="0"/>
    <n v="0"/>
    <n v="0"/>
    <n v="0"/>
    <n v="0"/>
    <n v="0"/>
    <n v="0"/>
    <n v="0"/>
    <n v="0"/>
    <n v="9835.86"/>
  </r>
  <r>
    <x v="9"/>
    <x v="13"/>
    <x v="8"/>
    <x v="99"/>
    <x v="8"/>
    <s v="N/A"/>
    <m/>
    <s v="Yes"/>
    <m/>
    <m/>
    <m/>
    <x v="68"/>
    <m/>
    <x v="0"/>
    <x v="0"/>
    <x v="6"/>
    <m/>
    <m/>
    <n v="78"/>
    <m/>
    <m/>
    <m/>
    <m/>
    <m/>
    <m/>
    <m/>
    <m/>
    <m/>
    <m/>
    <m/>
    <m/>
    <m/>
    <n v="600"/>
    <n v="0"/>
    <n v="0"/>
    <n v="0"/>
    <n v="0"/>
    <n v="0"/>
    <n v="0"/>
    <n v="156000"/>
    <n v="0"/>
    <n v="0"/>
    <n v="0"/>
    <n v="0"/>
    <n v="0"/>
    <n v="0"/>
    <n v="0"/>
    <n v="0"/>
    <n v="0"/>
    <n v="0"/>
    <n v="0"/>
    <n v="0"/>
    <n v="156600"/>
  </r>
  <r>
    <x v="9"/>
    <x v="13"/>
    <x v="8"/>
    <x v="100"/>
    <x v="8"/>
    <s v="Estimate"/>
    <m/>
    <s v="Yes"/>
    <m/>
    <m/>
    <m/>
    <x v="69"/>
    <m/>
    <x v="0"/>
    <x v="0"/>
    <x v="55"/>
    <m/>
    <m/>
    <n v="54"/>
    <m/>
    <m/>
    <m/>
    <m/>
    <m/>
    <m/>
    <m/>
    <m/>
    <m/>
    <m/>
    <m/>
    <m/>
    <m/>
    <n v="750"/>
    <n v="0"/>
    <n v="0"/>
    <n v="0"/>
    <n v="0"/>
    <n v="0"/>
    <n v="0"/>
    <n v="108000"/>
    <n v="0"/>
    <n v="0"/>
    <n v="0"/>
    <n v="0"/>
    <n v="0"/>
    <n v="0"/>
    <n v="0"/>
    <n v="0"/>
    <n v="0"/>
    <n v="0"/>
    <n v="0"/>
    <n v="0"/>
    <n v="108750"/>
  </r>
  <r>
    <x v="6"/>
    <x v="13"/>
    <x v="8"/>
    <x v="101"/>
    <x v="6"/>
    <s v="N/A"/>
    <m/>
    <s v="Yes"/>
    <m/>
    <m/>
    <m/>
    <x v="70"/>
    <m/>
    <x v="0"/>
    <x v="0"/>
    <x v="6"/>
    <m/>
    <m/>
    <n v="2"/>
    <m/>
    <m/>
    <m/>
    <m/>
    <m/>
    <m/>
    <m/>
    <m/>
    <m/>
    <m/>
    <m/>
    <m/>
    <m/>
    <n v="25"/>
    <n v="0"/>
    <n v="0"/>
    <n v="0"/>
    <n v="0"/>
    <n v="0"/>
    <n v="0"/>
    <n v="4000"/>
    <n v="0"/>
    <n v="0"/>
    <n v="0"/>
    <n v="0"/>
    <n v="0"/>
    <n v="0"/>
    <n v="0"/>
    <n v="0"/>
    <n v="0"/>
    <n v="0"/>
    <n v="0"/>
    <n v="0"/>
    <n v="4025"/>
  </r>
  <r>
    <x v="6"/>
    <x v="8"/>
    <x v="8"/>
    <x v="102"/>
    <x v="6"/>
    <s v="N/A"/>
    <m/>
    <s v="Yes"/>
    <m/>
    <m/>
    <m/>
    <x v="71"/>
    <m/>
    <x v="0"/>
    <x v="0"/>
    <x v="6"/>
    <m/>
    <m/>
    <n v="12"/>
    <m/>
    <m/>
    <m/>
    <m/>
    <m/>
    <m/>
    <m/>
    <m/>
    <m/>
    <m/>
    <m/>
    <m/>
    <m/>
    <n v="125"/>
    <n v="0"/>
    <n v="0"/>
    <n v="0"/>
    <n v="0"/>
    <n v="0"/>
    <n v="0"/>
    <n v="24000"/>
    <n v="0"/>
    <n v="0"/>
    <n v="0"/>
    <n v="0"/>
    <n v="0"/>
    <n v="0"/>
    <n v="0"/>
    <n v="0"/>
    <n v="0"/>
    <n v="0"/>
    <n v="0"/>
    <n v="0"/>
    <n v="24125"/>
  </r>
  <r>
    <x v="6"/>
    <x v="13"/>
    <x v="8"/>
    <x v="103"/>
    <x v="6"/>
    <s v="N/A"/>
    <m/>
    <s v="Yes"/>
    <m/>
    <m/>
    <m/>
    <x v="72"/>
    <m/>
    <x v="0"/>
    <x v="0"/>
    <x v="6"/>
    <m/>
    <m/>
    <n v="29"/>
    <m/>
    <m/>
    <m/>
    <m/>
    <m/>
    <m/>
    <m/>
    <m/>
    <m/>
    <m/>
    <m/>
    <m/>
    <m/>
    <n v="225"/>
    <n v="0"/>
    <n v="0"/>
    <n v="0"/>
    <n v="0"/>
    <n v="0"/>
    <n v="0"/>
    <n v="58000"/>
    <n v="0"/>
    <n v="0"/>
    <n v="0"/>
    <n v="0"/>
    <n v="0"/>
    <n v="0"/>
    <n v="0"/>
    <n v="0"/>
    <n v="0"/>
    <n v="0"/>
    <n v="0"/>
    <n v="0"/>
    <n v="58225"/>
  </r>
  <r>
    <x v="6"/>
    <x v="13"/>
    <x v="8"/>
    <x v="104"/>
    <x v="6"/>
    <s v="N/A"/>
    <m/>
    <s v="Yes"/>
    <m/>
    <m/>
    <m/>
    <x v="73"/>
    <m/>
    <x v="0"/>
    <x v="0"/>
    <x v="6"/>
    <m/>
    <m/>
    <n v="36"/>
    <m/>
    <m/>
    <m/>
    <m/>
    <m/>
    <m/>
    <m/>
    <m/>
    <m/>
    <m/>
    <m/>
    <m/>
    <m/>
    <n v="275"/>
    <n v="0"/>
    <n v="0"/>
    <n v="0"/>
    <n v="0"/>
    <n v="0"/>
    <n v="0"/>
    <n v="72000"/>
    <n v="0"/>
    <n v="0"/>
    <n v="0"/>
    <n v="0"/>
    <n v="0"/>
    <n v="0"/>
    <n v="0"/>
    <n v="0"/>
    <n v="0"/>
    <n v="0"/>
    <n v="0"/>
    <n v="0"/>
    <n v="72275"/>
  </r>
  <r>
    <x v="7"/>
    <x v="13"/>
    <x v="8"/>
    <x v="105"/>
    <x v="5"/>
    <s v="N/A"/>
    <m/>
    <s v="Yes"/>
    <m/>
    <m/>
    <m/>
    <x v="53"/>
    <m/>
    <x v="0"/>
    <x v="0"/>
    <x v="6"/>
    <m/>
    <m/>
    <n v="19"/>
    <m/>
    <m/>
    <m/>
    <m/>
    <m/>
    <m/>
    <m/>
    <m/>
    <m/>
    <m/>
    <m/>
    <m/>
    <m/>
    <n v="150"/>
    <n v="0"/>
    <n v="0"/>
    <n v="0"/>
    <n v="0"/>
    <n v="0"/>
    <n v="0"/>
    <n v="38000"/>
    <n v="0"/>
    <n v="0"/>
    <n v="0"/>
    <n v="0"/>
    <n v="0"/>
    <n v="0"/>
    <n v="0"/>
    <n v="0"/>
    <n v="0"/>
    <n v="0"/>
    <n v="0"/>
    <n v="0"/>
    <n v="38150"/>
  </r>
  <r>
    <x v="2"/>
    <x v="17"/>
    <x v="8"/>
    <x v="106"/>
    <x v="2"/>
    <s v="N/A"/>
    <m/>
    <s v="Yes"/>
    <m/>
    <m/>
    <m/>
    <x v="74"/>
    <m/>
    <x v="0"/>
    <x v="0"/>
    <x v="6"/>
    <m/>
    <m/>
    <n v="3"/>
    <m/>
    <m/>
    <m/>
    <m/>
    <m/>
    <m/>
    <m/>
    <m/>
    <m/>
    <m/>
    <m/>
    <m/>
    <m/>
    <n v="37.5"/>
    <n v="0"/>
    <n v="0"/>
    <n v="0"/>
    <n v="0"/>
    <n v="0"/>
    <n v="0"/>
    <n v="6000"/>
    <n v="0"/>
    <n v="0"/>
    <n v="0"/>
    <n v="0"/>
    <n v="0"/>
    <n v="0"/>
    <n v="0"/>
    <n v="0"/>
    <n v="0"/>
    <n v="0"/>
    <n v="0"/>
    <n v="0"/>
    <n v="6037.5"/>
  </r>
  <r>
    <x v="12"/>
    <x v="18"/>
    <x v="9"/>
    <x v="107"/>
    <x v="8"/>
    <s v="Complete"/>
    <m/>
    <s v="Yes"/>
    <m/>
    <m/>
    <m/>
    <x v="75"/>
    <m/>
    <x v="0"/>
    <x v="0"/>
    <x v="6"/>
    <m/>
    <m/>
    <m/>
    <m/>
    <m/>
    <m/>
    <m/>
    <m/>
    <m/>
    <m/>
    <m/>
    <m/>
    <m/>
    <m/>
    <m/>
    <m/>
    <n v="13075.432000000001"/>
    <n v="0"/>
    <n v="0"/>
    <n v="0"/>
    <n v="0"/>
    <n v="0"/>
    <n v="0"/>
    <n v="0"/>
    <n v="0"/>
    <n v="0"/>
    <n v="0"/>
    <n v="0"/>
    <n v="0"/>
    <n v="0"/>
    <n v="0"/>
    <n v="0"/>
    <n v="0"/>
    <n v="0"/>
    <n v="0"/>
    <n v="0"/>
    <n v="13075.432000000001"/>
  </r>
  <r>
    <x v="3"/>
    <x v="19"/>
    <x v="9"/>
    <x v="108"/>
    <x v="3"/>
    <s v="N/A"/>
    <m/>
    <s v="No"/>
    <m/>
    <m/>
    <m/>
    <x v="76"/>
    <n v="120"/>
    <x v="0"/>
    <x v="0"/>
    <x v="6"/>
    <m/>
    <m/>
    <m/>
    <m/>
    <m/>
    <m/>
    <m/>
    <m/>
    <m/>
    <m/>
    <m/>
    <m/>
    <m/>
    <m/>
    <m/>
    <m/>
    <n v="109600"/>
    <n v="420000"/>
    <n v="0"/>
    <n v="0"/>
    <n v="0"/>
    <n v="0"/>
    <n v="0"/>
    <n v="0"/>
    <n v="0"/>
    <n v="0"/>
    <n v="0"/>
    <n v="0"/>
    <n v="0"/>
    <n v="0"/>
    <n v="0"/>
    <n v="0"/>
    <n v="0"/>
    <n v="0"/>
    <n v="0"/>
    <n v="0"/>
    <n v="529600"/>
  </r>
  <r>
    <x v="3"/>
    <x v="19"/>
    <x v="9"/>
    <x v="109"/>
    <x v="3"/>
    <s v="N/A"/>
    <m/>
    <s v="No"/>
    <m/>
    <m/>
    <m/>
    <x v="77"/>
    <n v="60"/>
    <x v="0"/>
    <x v="0"/>
    <x v="6"/>
    <m/>
    <m/>
    <m/>
    <m/>
    <m/>
    <m/>
    <m/>
    <m/>
    <m/>
    <m/>
    <m/>
    <m/>
    <m/>
    <m/>
    <m/>
    <m/>
    <n v="22175"/>
    <n v="210000"/>
    <n v="0"/>
    <n v="0"/>
    <n v="0"/>
    <n v="0"/>
    <n v="0"/>
    <n v="0"/>
    <n v="0"/>
    <n v="0"/>
    <n v="0"/>
    <n v="0"/>
    <n v="0"/>
    <n v="0"/>
    <n v="0"/>
    <n v="0"/>
    <n v="0"/>
    <n v="0"/>
    <n v="0"/>
    <n v="0"/>
    <n v="232175"/>
  </r>
  <r>
    <x v="4"/>
    <x v="20"/>
    <x v="9"/>
    <x v="110"/>
    <x v="4"/>
    <s v="Complete"/>
    <m/>
    <s v="Yes"/>
    <m/>
    <m/>
    <m/>
    <x v="78"/>
    <m/>
    <x v="0"/>
    <x v="0"/>
    <x v="6"/>
    <m/>
    <m/>
    <m/>
    <m/>
    <m/>
    <m/>
    <m/>
    <m/>
    <m/>
    <m/>
    <m/>
    <m/>
    <m/>
    <m/>
    <m/>
    <m/>
    <n v="8690.5170624999992"/>
    <n v="0"/>
    <n v="0"/>
    <n v="0"/>
    <n v="0"/>
    <n v="0"/>
    <n v="0"/>
    <n v="0"/>
    <n v="0"/>
    <n v="0"/>
    <n v="0"/>
    <n v="0"/>
    <n v="0"/>
    <n v="0"/>
    <n v="0"/>
    <n v="0"/>
    <n v="0"/>
    <n v="0"/>
    <n v="0"/>
    <n v="0"/>
    <n v="8690.5170624999992"/>
  </r>
  <r>
    <x v="4"/>
    <x v="21"/>
    <x v="9"/>
    <x v="111"/>
    <x v="3"/>
    <s v="Complete"/>
    <m/>
    <s v="Yes"/>
    <m/>
    <m/>
    <m/>
    <x v="79"/>
    <m/>
    <x v="0"/>
    <x v="0"/>
    <x v="6"/>
    <m/>
    <m/>
    <m/>
    <m/>
    <m/>
    <m/>
    <m/>
    <m/>
    <m/>
    <m/>
    <m/>
    <m/>
    <m/>
    <m/>
    <m/>
    <m/>
    <n v="5416.6215468749997"/>
    <n v="0"/>
    <n v="0"/>
    <n v="0"/>
    <n v="0"/>
    <n v="0"/>
    <n v="0"/>
    <n v="0"/>
    <n v="0"/>
    <n v="0"/>
    <n v="0"/>
    <n v="0"/>
    <n v="0"/>
    <n v="0"/>
    <n v="0"/>
    <n v="0"/>
    <n v="0"/>
    <n v="0"/>
    <n v="0"/>
    <n v="0"/>
    <n v="5416.6215468749997"/>
  </r>
  <r>
    <x v="5"/>
    <x v="22"/>
    <x v="9"/>
    <x v="112"/>
    <x v="1"/>
    <s v="Complete"/>
    <m/>
    <s v="Yes"/>
    <m/>
    <m/>
    <m/>
    <x v="80"/>
    <m/>
    <x v="0"/>
    <x v="0"/>
    <x v="6"/>
    <m/>
    <m/>
    <m/>
    <m/>
    <m/>
    <m/>
    <m/>
    <m/>
    <m/>
    <m/>
    <m/>
    <m/>
    <m/>
    <m/>
    <m/>
    <m/>
    <n v="8423.1262500000012"/>
    <n v="0"/>
    <n v="0"/>
    <n v="0"/>
    <n v="0"/>
    <n v="0"/>
    <n v="0"/>
    <n v="0"/>
    <n v="0"/>
    <n v="0"/>
    <n v="0"/>
    <n v="0"/>
    <n v="0"/>
    <n v="0"/>
    <n v="0"/>
    <n v="0"/>
    <n v="0"/>
    <n v="0"/>
    <n v="0"/>
    <n v="0"/>
    <n v="8423.1262500000012"/>
  </r>
  <r>
    <x v="1"/>
    <x v="21"/>
    <x v="9"/>
    <x v="113"/>
    <x v="1"/>
    <s v="Complete"/>
    <m/>
    <s v="Yes"/>
    <m/>
    <m/>
    <m/>
    <x v="81"/>
    <m/>
    <x v="0"/>
    <x v="0"/>
    <x v="6"/>
    <m/>
    <m/>
    <m/>
    <m/>
    <m/>
    <m/>
    <m/>
    <m/>
    <m/>
    <m/>
    <m/>
    <m/>
    <m/>
    <m/>
    <m/>
    <m/>
    <n v="7075.2825000000003"/>
    <n v="0"/>
    <n v="0"/>
    <n v="0"/>
    <n v="0"/>
    <n v="0"/>
    <n v="0"/>
    <n v="0"/>
    <n v="0"/>
    <n v="0"/>
    <n v="0"/>
    <n v="0"/>
    <n v="0"/>
    <n v="0"/>
    <n v="0"/>
    <n v="0"/>
    <n v="0"/>
    <n v="0"/>
    <n v="0"/>
    <n v="0"/>
    <n v="7075.2825000000003"/>
  </r>
  <r>
    <x v="6"/>
    <x v="21"/>
    <x v="9"/>
    <x v="114"/>
    <x v="6"/>
    <s v="Complete"/>
    <m/>
    <s v="Yes"/>
    <m/>
    <m/>
    <m/>
    <x v="82"/>
    <m/>
    <x v="0"/>
    <x v="0"/>
    <x v="6"/>
    <m/>
    <m/>
    <m/>
    <m/>
    <m/>
    <m/>
    <m/>
    <m/>
    <m/>
    <m/>
    <m/>
    <m/>
    <m/>
    <m/>
    <m/>
    <m/>
    <n v="35000"/>
    <n v="0"/>
    <n v="0"/>
    <n v="0"/>
    <n v="0"/>
    <n v="0"/>
    <n v="0"/>
    <n v="0"/>
    <n v="0"/>
    <n v="0"/>
    <n v="0"/>
    <n v="0"/>
    <n v="0"/>
    <n v="0"/>
    <n v="0"/>
    <n v="0"/>
    <n v="0"/>
    <n v="0"/>
    <n v="0"/>
    <n v="0"/>
    <n v="35000"/>
  </r>
  <r>
    <x v="13"/>
    <x v="22"/>
    <x v="9"/>
    <x v="115"/>
    <x v="2"/>
    <s v="Complete"/>
    <m/>
    <s v="Yes"/>
    <m/>
    <m/>
    <m/>
    <x v="83"/>
    <m/>
    <x v="0"/>
    <x v="0"/>
    <x v="6"/>
    <m/>
    <m/>
    <m/>
    <m/>
    <m/>
    <m/>
    <m/>
    <m/>
    <m/>
    <m/>
    <m/>
    <m/>
    <m/>
    <m/>
    <m/>
    <m/>
    <n v="1093.75"/>
    <n v="0"/>
    <n v="0"/>
    <n v="0"/>
    <n v="0"/>
    <n v="0"/>
    <n v="0"/>
    <n v="0"/>
    <n v="0"/>
    <n v="0"/>
    <n v="0"/>
    <n v="0"/>
    <n v="0"/>
    <n v="0"/>
    <n v="0"/>
    <n v="0"/>
    <n v="0"/>
    <n v="0"/>
    <n v="0"/>
    <n v="0"/>
    <n v="1093.75"/>
  </r>
  <r>
    <x v="14"/>
    <x v="21"/>
    <x v="9"/>
    <x v="116"/>
    <x v="2"/>
    <s v="N/A"/>
    <m/>
    <s v="Yes"/>
    <m/>
    <m/>
    <m/>
    <x v="84"/>
    <m/>
    <x v="0"/>
    <x v="0"/>
    <x v="6"/>
    <m/>
    <m/>
    <m/>
    <m/>
    <m/>
    <m/>
    <m/>
    <m/>
    <m/>
    <m/>
    <m/>
    <m/>
    <m/>
    <m/>
    <m/>
    <m/>
    <n v="42500"/>
    <n v="0"/>
    <n v="0"/>
    <n v="0"/>
    <n v="0"/>
    <n v="0"/>
    <n v="0"/>
    <n v="0"/>
    <n v="0"/>
    <n v="0"/>
    <n v="0"/>
    <n v="0"/>
    <n v="0"/>
    <n v="0"/>
    <n v="0"/>
    <n v="0"/>
    <n v="0"/>
    <n v="0"/>
    <n v="0"/>
    <n v="0"/>
    <n v="42500"/>
  </r>
  <r>
    <x v="14"/>
    <x v="22"/>
    <x v="9"/>
    <x v="117"/>
    <x v="2"/>
    <s v="Complete"/>
    <m/>
    <s v="Yes"/>
    <m/>
    <m/>
    <m/>
    <x v="85"/>
    <m/>
    <x v="0"/>
    <x v="0"/>
    <x v="6"/>
    <m/>
    <m/>
    <m/>
    <m/>
    <m/>
    <m/>
    <m/>
    <m/>
    <m/>
    <m/>
    <m/>
    <m/>
    <m/>
    <m/>
    <m/>
    <m/>
    <n v="679.25"/>
    <n v="0"/>
    <n v="0"/>
    <n v="0"/>
    <n v="0"/>
    <n v="0"/>
    <n v="0"/>
    <n v="0"/>
    <n v="0"/>
    <n v="0"/>
    <n v="0"/>
    <n v="0"/>
    <n v="0"/>
    <n v="0"/>
    <n v="0"/>
    <n v="0"/>
    <n v="0"/>
    <n v="0"/>
    <n v="0"/>
    <n v="0"/>
    <n v="679.25"/>
  </r>
  <r>
    <x v="2"/>
    <x v="23"/>
    <x v="9"/>
    <x v="118"/>
    <x v="2"/>
    <s v="N/A"/>
    <m/>
    <s v="Yes"/>
    <m/>
    <m/>
    <m/>
    <x v="86"/>
    <m/>
    <x v="0"/>
    <x v="0"/>
    <x v="6"/>
    <m/>
    <m/>
    <m/>
    <m/>
    <m/>
    <m/>
    <m/>
    <m/>
    <m/>
    <m/>
    <m/>
    <m/>
    <m/>
    <m/>
    <m/>
    <m/>
    <n v="2875"/>
    <n v="0"/>
    <n v="0"/>
    <n v="0"/>
    <n v="0"/>
    <n v="0"/>
    <n v="0"/>
    <n v="0"/>
    <n v="0"/>
    <n v="0"/>
    <n v="0"/>
    <n v="0"/>
    <n v="0"/>
    <n v="0"/>
    <n v="0"/>
    <n v="0"/>
    <n v="0"/>
    <n v="0"/>
    <n v="0"/>
    <n v="0"/>
    <n v="2875"/>
  </r>
  <r>
    <x v="2"/>
    <x v="23"/>
    <x v="9"/>
    <x v="119"/>
    <x v="2"/>
    <s v="N/A"/>
    <m/>
    <s v="Yes"/>
    <m/>
    <m/>
    <m/>
    <x v="87"/>
    <m/>
    <x v="0"/>
    <x v="0"/>
    <x v="6"/>
    <m/>
    <m/>
    <m/>
    <m/>
    <m/>
    <m/>
    <m/>
    <m/>
    <m/>
    <m/>
    <m/>
    <m/>
    <m/>
    <m/>
    <m/>
    <m/>
    <n v="18750"/>
    <n v="0"/>
    <n v="0"/>
    <n v="0"/>
    <n v="0"/>
    <n v="0"/>
    <n v="0"/>
    <n v="0"/>
    <n v="0"/>
    <n v="0"/>
    <n v="0"/>
    <n v="0"/>
    <n v="0"/>
    <n v="0"/>
    <n v="0"/>
    <n v="0"/>
    <n v="0"/>
    <n v="0"/>
    <n v="0"/>
    <n v="0"/>
    <n v="18750"/>
  </r>
  <r>
    <x v="15"/>
    <x v="21"/>
    <x v="9"/>
    <x v="120"/>
    <x v="8"/>
    <s v="Complete"/>
    <m/>
    <s v="Yes"/>
    <m/>
    <m/>
    <m/>
    <x v="88"/>
    <m/>
    <x v="0"/>
    <x v="0"/>
    <x v="6"/>
    <m/>
    <m/>
    <m/>
    <m/>
    <m/>
    <m/>
    <m/>
    <m/>
    <m/>
    <m/>
    <m/>
    <m/>
    <m/>
    <m/>
    <m/>
    <m/>
    <n v="4711.78125"/>
    <n v="0"/>
    <n v="0"/>
    <n v="0"/>
    <n v="0"/>
    <n v="0"/>
    <n v="0"/>
    <n v="0"/>
    <n v="0"/>
    <n v="0"/>
    <n v="0"/>
    <n v="0"/>
    <n v="0"/>
    <n v="0"/>
    <n v="0"/>
    <n v="0"/>
    <n v="0"/>
    <n v="0"/>
    <n v="0"/>
    <n v="0"/>
    <n v="4711.78125"/>
  </r>
  <r>
    <x v="10"/>
    <x v="24"/>
    <x v="9"/>
    <x v="121"/>
    <x v="9"/>
    <s v="N/A"/>
    <m/>
    <s v="Yes"/>
    <m/>
    <m/>
    <m/>
    <x v="89"/>
    <m/>
    <x v="0"/>
    <x v="0"/>
    <x v="6"/>
    <m/>
    <m/>
    <m/>
    <m/>
    <m/>
    <m/>
    <m/>
    <m/>
    <m/>
    <m/>
    <m/>
    <m/>
    <m/>
    <m/>
    <m/>
    <m/>
    <n v="1625"/>
    <n v="0"/>
    <n v="0"/>
    <n v="0"/>
    <n v="0"/>
    <n v="0"/>
    <n v="0"/>
    <n v="0"/>
    <n v="0"/>
    <n v="0"/>
    <n v="0"/>
    <n v="0"/>
    <n v="0"/>
    <n v="0"/>
    <n v="0"/>
    <n v="0"/>
    <n v="0"/>
    <n v="0"/>
    <n v="0"/>
    <n v="0"/>
    <n v="1625"/>
  </r>
  <r>
    <x v="11"/>
    <x v="25"/>
    <x v="9"/>
    <x v="122"/>
    <x v="8"/>
    <s v="Complete"/>
    <m/>
    <s v="Yes"/>
    <m/>
    <m/>
    <m/>
    <x v="90"/>
    <m/>
    <x v="0"/>
    <x v="0"/>
    <x v="6"/>
    <m/>
    <m/>
    <m/>
    <m/>
    <m/>
    <m/>
    <m/>
    <m/>
    <m/>
    <m/>
    <m/>
    <m/>
    <m/>
    <m/>
    <m/>
    <m/>
    <n v="324"/>
    <n v="0"/>
    <n v="0"/>
    <n v="0"/>
    <n v="0"/>
    <n v="0"/>
    <n v="0"/>
    <n v="0"/>
    <n v="0"/>
    <n v="0"/>
    <n v="0"/>
    <n v="0"/>
    <n v="0"/>
    <n v="0"/>
    <n v="0"/>
    <n v="0"/>
    <n v="0"/>
    <n v="0"/>
    <n v="0"/>
    <n v="0"/>
    <n v="324"/>
  </r>
  <r>
    <x v="11"/>
    <x v="21"/>
    <x v="9"/>
    <x v="123"/>
    <x v="8"/>
    <s v="Complete"/>
    <m/>
    <s v="Yes"/>
    <m/>
    <m/>
    <m/>
    <x v="91"/>
    <m/>
    <x v="0"/>
    <x v="0"/>
    <x v="6"/>
    <m/>
    <m/>
    <m/>
    <m/>
    <m/>
    <m/>
    <m/>
    <m/>
    <m/>
    <m/>
    <m/>
    <m/>
    <m/>
    <m/>
    <m/>
    <m/>
    <n v="3476.487265625"/>
    <n v="0"/>
    <n v="0"/>
    <n v="0"/>
    <n v="0"/>
    <n v="0"/>
    <n v="0"/>
    <n v="0"/>
    <n v="0"/>
    <n v="0"/>
    <n v="0"/>
    <n v="0"/>
    <n v="0"/>
    <n v="0"/>
    <n v="0"/>
    <n v="0"/>
    <n v="0"/>
    <n v="0"/>
    <n v="0"/>
    <n v="0"/>
    <n v="3476.487265625"/>
  </r>
  <r>
    <x v="11"/>
    <x v="22"/>
    <x v="9"/>
    <x v="124"/>
    <x v="8"/>
    <s v="Complete"/>
    <m/>
    <s v="Yes"/>
    <m/>
    <m/>
    <m/>
    <x v="92"/>
    <m/>
    <x v="0"/>
    <x v="0"/>
    <x v="6"/>
    <m/>
    <m/>
    <m/>
    <m/>
    <m/>
    <m/>
    <m/>
    <m/>
    <m/>
    <m/>
    <m/>
    <m/>
    <m/>
    <m/>
    <m/>
    <m/>
    <n v="250"/>
    <n v="0"/>
    <n v="0"/>
    <n v="0"/>
    <n v="0"/>
    <n v="0"/>
    <n v="0"/>
    <n v="0"/>
    <n v="0"/>
    <n v="0"/>
    <n v="0"/>
    <n v="0"/>
    <n v="0"/>
    <n v="0"/>
    <n v="0"/>
    <n v="0"/>
    <n v="0"/>
    <n v="0"/>
    <n v="0"/>
    <n v="0"/>
    <n v="250"/>
  </r>
  <r>
    <x v="1"/>
    <x v="26"/>
    <x v="10"/>
    <x v="125"/>
    <x v="1"/>
    <s v="Complete"/>
    <m/>
    <s v="Yes"/>
    <m/>
    <m/>
    <m/>
    <x v="93"/>
    <n v="111.75810000000001"/>
    <x v="0"/>
    <x v="0"/>
    <x v="56"/>
    <m/>
    <n v="628.101"/>
    <m/>
    <m/>
    <m/>
    <m/>
    <m/>
    <m/>
    <m/>
    <m/>
    <m/>
    <m/>
    <m/>
    <m/>
    <m/>
    <m/>
    <n v="5390.5249999999996"/>
    <n v="391153.35000000003"/>
    <n v="0"/>
    <n v="0"/>
    <n v="774"/>
    <n v="0"/>
    <n v="18843.03"/>
    <n v="0"/>
    <n v="0"/>
    <n v="0"/>
    <n v="0"/>
    <n v="0"/>
    <n v="0"/>
    <n v="0"/>
    <n v="0"/>
    <n v="0"/>
    <n v="0"/>
    <n v="0"/>
    <n v="0"/>
    <n v="0"/>
    <n v="416160.90500000003"/>
  </r>
  <r>
    <x v="2"/>
    <x v="27"/>
    <x v="11"/>
    <x v="126"/>
    <x v="2"/>
    <s v="N/A"/>
    <m/>
    <s v="Yes"/>
    <m/>
    <m/>
    <m/>
    <x v="94"/>
    <m/>
    <x v="0"/>
    <x v="0"/>
    <x v="6"/>
    <m/>
    <n v="40"/>
    <m/>
    <n v="14"/>
    <m/>
    <m/>
    <m/>
    <m/>
    <m/>
    <m/>
    <m/>
    <m/>
    <m/>
    <m/>
    <m/>
    <m/>
    <n v="325"/>
    <n v="0"/>
    <n v="0"/>
    <n v="0"/>
    <n v="0"/>
    <n v="0"/>
    <n v="1200"/>
    <n v="0"/>
    <n v="42000"/>
    <n v="0"/>
    <n v="0"/>
    <n v="0"/>
    <n v="0"/>
    <n v="0"/>
    <n v="0"/>
    <n v="0"/>
    <n v="0"/>
    <n v="0"/>
    <n v="0"/>
    <n v="0"/>
    <n v="43525"/>
  </r>
  <r>
    <x v="2"/>
    <x v="27"/>
    <x v="11"/>
    <x v="127"/>
    <x v="2"/>
    <s v="N/A"/>
    <m/>
    <s v="Yes"/>
    <m/>
    <m/>
    <m/>
    <x v="95"/>
    <m/>
    <x v="0"/>
    <x v="0"/>
    <x v="6"/>
    <m/>
    <n v="85"/>
    <m/>
    <n v="21"/>
    <m/>
    <m/>
    <m/>
    <m/>
    <m/>
    <m/>
    <m/>
    <m/>
    <m/>
    <m/>
    <m/>
    <m/>
    <n v="625"/>
    <n v="0"/>
    <n v="0"/>
    <n v="0"/>
    <n v="0"/>
    <n v="0"/>
    <n v="2550"/>
    <n v="0"/>
    <n v="63000"/>
    <n v="0"/>
    <n v="0"/>
    <n v="0"/>
    <n v="0"/>
    <n v="0"/>
    <n v="0"/>
    <n v="0"/>
    <n v="0"/>
    <n v="0"/>
    <n v="0"/>
    <n v="0"/>
    <n v="66175"/>
  </r>
  <r>
    <x v="2"/>
    <x v="27"/>
    <x v="11"/>
    <x v="128"/>
    <x v="2"/>
    <s v="N/A"/>
    <m/>
    <s v="Yes"/>
    <m/>
    <m/>
    <m/>
    <x v="69"/>
    <m/>
    <x v="0"/>
    <x v="0"/>
    <x v="6"/>
    <m/>
    <n v="120"/>
    <m/>
    <n v="24"/>
    <m/>
    <m/>
    <m/>
    <m/>
    <m/>
    <m/>
    <m/>
    <m/>
    <m/>
    <m/>
    <m/>
    <m/>
    <n v="750"/>
    <n v="0"/>
    <n v="0"/>
    <n v="0"/>
    <n v="0"/>
    <n v="0"/>
    <n v="3600"/>
    <n v="0"/>
    <n v="72000"/>
    <n v="0"/>
    <n v="0"/>
    <n v="0"/>
    <n v="0"/>
    <n v="0"/>
    <n v="0"/>
    <n v="0"/>
    <n v="0"/>
    <n v="0"/>
    <n v="0"/>
    <n v="0"/>
    <n v="76350"/>
  </r>
  <r>
    <x v="2"/>
    <x v="27"/>
    <x v="11"/>
    <x v="129"/>
    <x v="2"/>
    <s v="N/A"/>
    <m/>
    <s v="Yes"/>
    <m/>
    <m/>
    <m/>
    <x v="96"/>
    <m/>
    <x v="0"/>
    <x v="0"/>
    <x v="6"/>
    <m/>
    <n v="150"/>
    <m/>
    <n v="32"/>
    <m/>
    <m/>
    <m/>
    <m/>
    <m/>
    <m/>
    <m/>
    <m/>
    <m/>
    <m/>
    <m/>
    <m/>
    <n v="925"/>
    <n v="0"/>
    <n v="0"/>
    <n v="0"/>
    <n v="0"/>
    <n v="0"/>
    <n v="4500"/>
    <n v="0"/>
    <n v="96000"/>
    <n v="0"/>
    <n v="0"/>
    <n v="0"/>
    <n v="0"/>
    <n v="0"/>
    <n v="0"/>
    <n v="0"/>
    <n v="0"/>
    <n v="0"/>
    <n v="0"/>
    <n v="0"/>
    <n v="101425"/>
  </r>
  <r>
    <x v="2"/>
    <x v="27"/>
    <x v="11"/>
    <x v="130"/>
    <x v="2"/>
    <s v="N/A"/>
    <m/>
    <s v="Yes"/>
    <m/>
    <m/>
    <m/>
    <x v="96"/>
    <m/>
    <x v="0"/>
    <x v="0"/>
    <x v="6"/>
    <m/>
    <n v="150"/>
    <m/>
    <n v="32"/>
    <m/>
    <m/>
    <m/>
    <m/>
    <m/>
    <m/>
    <m/>
    <m/>
    <m/>
    <m/>
    <m/>
    <m/>
    <n v="925"/>
    <n v="0"/>
    <n v="0"/>
    <n v="0"/>
    <n v="0"/>
    <n v="0"/>
    <n v="4500"/>
    <n v="0"/>
    <n v="96000"/>
    <n v="0"/>
    <n v="0"/>
    <n v="0"/>
    <n v="0"/>
    <n v="0"/>
    <n v="0"/>
    <n v="0"/>
    <n v="0"/>
    <n v="0"/>
    <n v="0"/>
    <n v="0"/>
    <n v="101425"/>
  </r>
</pivotCacheRecords>
</file>

<file path=xl/pivotCache/pivotCacheRecords2.xml><?xml version="1.0" encoding="utf-8"?>
<pivotCacheRecords xmlns="http://schemas.openxmlformats.org/spreadsheetml/2006/main" xmlns:r="http://schemas.openxmlformats.org/officeDocument/2006/relationships" count="141">
  <r>
    <s v="DS12"/>
    <s v="Removal of earthen material"/>
    <s v="Excavation"/>
    <s v="DS12_004"/>
    <x v="0"/>
    <n v="29.998232777999998"/>
    <n v="-25.794158332999999"/>
    <s v="29° 59' 53.63&quot;E "/>
    <s v="25° 47' 38.96&quot; S"/>
    <s v="Complete"/>
    <s v="Yes"/>
    <s v="Yes"/>
    <d v="2017-05-29T00:00:00"/>
    <s v="NA"/>
    <s v="NA"/>
    <s v="NA"/>
    <s v="Yes"/>
    <s v="00"/>
    <d v="2018-06-16T00:00:00"/>
    <s v="Phase 2"/>
    <s v="Year 8"/>
    <n v="0"/>
    <n v="0"/>
    <n v="0"/>
    <n v="0"/>
    <n v="0"/>
    <n v="523.01728000000003"/>
    <n v="0"/>
    <n v="0"/>
    <n v="0"/>
    <n v="626.36800000000005"/>
    <n v="523.01728000000003"/>
    <n v="4105.6856479999997"/>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n v="0"/>
    <n v="0"/>
    <n v="0"/>
    <n v="0"/>
    <n v="0"/>
    <n v="44456.468800000002"/>
    <n v="0"/>
    <n v="0"/>
    <n v="0"/>
    <n v="6263.68"/>
    <n v="24634.113888"/>
    <n v="0"/>
    <n v="0"/>
    <n v="0"/>
    <n v="0"/>
    <n v="0"/>
    <n v="0"/>
    <n v="0"/>
    <n v="0"/>
    <n v="0"/>
    <n v="0"/>
    <n v="0"/>
    <n v="0"/>
    <n v="0"/>
    <n v="0"/>
    <n v="0"/>
    <n v="0"/>
    <n v="0"/>
    <n v="0"/>
    <n v="0"/>
    <n v="0"/>
    <n v="0"/>
    <n v="0"/>
    <n v="0"/>
    <n v="0"/>
    <n v="0"/>
    <n v="0"/>
    <n v="0"/>
    <n v="0"/>
    <n v="0"/>
    <n v="0"/>
    <n v="0"/>
    <n v="0"/>
    <n v="0"/>
    <n v="0"/>
    <n v="0"/>
    <n v="0"/>
    <n v="0"/>
    <n v="0"/>
    <n v="0"/>
    <n v="0"/>
    <n v="0"/>
    <n v="0"/>
    <n v="0"/>
    <n v="0"/>
    <n v="0"/>
    <n v="0"/>
    <n v="0"/>
    <n v="75354.262688000003"/>
    <s v=" "/>
    <s v=" "/>
    <s v=" "/>
    <s v=" "/>
    <s v=" "/>
    <s v=" "/>
    <s v=" "/>
    <n v="120103.24649296005"/>
    <s v=" "/>
    <s v=" "/>
    <s v=" "/>
    <s v=" "/>
    <s v=" "/>
    <s v=" "/>
    <s v=" "/>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DS12"/>
    <s v="Excavation of Dam Wall"/>
    <s v="Excavation of Dam Wall"/>
    <s v="DS12_001"/>
    <x v="1"/>
    <n v="30.0003125"/>
    <n v="-25.793885277000001"/>
    <s v="30° 00' 01.12&quot;E "/>
    <s v="25° 47' 37.98&quot; S"/>
    <m/>
    <m/>
    <m/>
    <m/>
    <s v="NA"/>
    <s v="NA"/>
    <s v="NA"/>
    <s v="Yes"/>
    <s v="00"/>
    <d v="2018-06-16T00:00:00"/>
    <s v="Phase 2"/>
    <s v="Year 8"/>
    <n v="1251.4023269063123"/>
    <n v="1419.1099999999997"/>
    <m/>
    <m/>
    <m/>
    <m/>
    <m/>
    <m/>
    <n v="1251.4023269063123"/>
    <n v="1251.4000000000001"/>
    <m/>
    <m/>
    <m/>
    <m/>
    <m/>
    <m/>
    <m/>
    <m/>
    <m/>
    <m/>
    <m/>
    <m/>
    <m/>
    <m/>
    <m/>
    <m/>
    <m/>
    <m/>
    <m/>
    <m/>
    <m/>
    <m/>
    <m/>
    <m/>
    <m/>
    <m/>
    <m/>
    <m/>
    <m/>
    <m/>
    <m/>
    <m/>
    <m/>
    <m/>
    <m/>
    <m/>
    <m/>
    <m/>
    <m/>
    <m/>
    <m/>
    <m/>
    <m/>
    <m/>
    <m/>
    <m/>
    <m/>
    <m/>
    <m/>
    <m/>
    <m/>
    <m/>
    <m/>
    <m/>
    <m/>
    <m/>
    <m/>
    <m/>
    <m/>
    <m/>
    <m/>
    <m/>
    <m/>
    <m/>
    <m/>
    <m/>
    <m/>
    <m/>
    <m/>
    <m/>
    <m/>
    <m/>
    <m/>
    <m/>
    <m/>
    <m/>
    <m/>
    <m/>
    <m/>
    <m/>
    <m/>
    <m/>
    <m/>
    <m/>
    <m/>
    <n v="6257.0116345315619"/>
    <n v="70955.499999999985"/>
    <n v="0"/>
    <n v="0"/>
    <n v="0"/>
    <n v="0"/>
    <n v="0"/>
    <n v="0"/>
    <n v="6257.0116345315619"/>
    <n v="12514"/>
    <n v="0"/>
    <n v="0"/>
    <n v="0"/>
    <n v="0"/>
    <n v="0"/>
    <n v="0"/>
    <n v="0"/>
    <n v="0"/>
    <n v="0"/>
    <n v="0"/>
    <n v="0"/>
    <n v="0"/>
    <n v="0"/>
    <n v="0"/>
    <n v="0"/>
    <n v="0"/>
    <n v="0"/>
    <n v="0"/>
    <n v="0"/>
    <n v="0"/>
    <n v="0"/>
    <n v="0"/>
    <n v="0"/>
    <n v="0"/>
    <n v="0"/>
    <n v="0"/>
    <n v="0"/>
    <n v="0"/>
    <n v="0"/>
    <n v="0"/>
    <n v="0"/>
    <n v="0"/>
    <n v="0"/>
    <n v="0"/>
    <n v="0"/>
    <n v="0"/>
    <n v="0"/>
    <n v="0"/>
    <n v="0"/>
    <n v="0"/>
    <n v="0"/>
    <n v="0"/>
    <n v="0"/>
    <n v="0"/>
    <n v="0"/>
    <n v="0"/>
    <n v="0"/>
    <n v="0"/>
    <n v="95983.523269063109"/>
    <s v=" "/>
    <s v=" "/>
    <s v=" "/>
    <s v=" "/>
    <s v=" "/>
    <s v=" "/>
    <s v=" "/>
    <n v="152983.15374908253"/>
    <s v=" "/>
    <s v=" "/>
    <s v=" "/>
    <s v=" "/>
    <s v=" "/>
    <s v=" "/>
    <s v=" "/>
    <x v="1"/>
    <x v="1"/>
    <x v="0"/>
    <x v="0"/>
    <x v="0"/>
    <x v="1"/>
    <x v="0"/>
    <x v="0"/>
    <x v="1"/>
    <x v="1"/>
    <x v="1"/>
    <x v="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DS12"/>
    <s v="Backfilling Dam"/>
    <s v="Backfilling Dam"/>
    <s v="DS12_002"/>
    <x v="1"/>
    <n v="31.001988999999998"/>
    <n v="-25.793608299999999"/>
    <s v="31° 00' 07.16&quot;E "/>
    <s v="25° 47' 36.98&quot; S"/>
    <m/>
    <m/>
    <m/>
    <m/>
    <s v="NA"/>
    <s v="NA"/>
    <s v="NA"/>
    <s v="Yes"/>
    <s v="00"/>
    <d v="2018-06-16T00:00:00"/>
    <s v="Phase 2"/>
    <s v="Year 8"/>
    <n v="995.48731819158468"/>
    <n v="1723.444675"/>
    <m/>
    <m/>
    <m/>
    <m/>
    <m/>
    <m/>
    <n v="995.48731819158468"/>
    <n v="995.48731819158468"/>
    <m/>
    <m/>
    <m/>
    <m/>
    <m/>
    <m/>
    <m/>
    <m/>
    <m/>
    <m/>
    <m/>
    <m/>
    <m/>
    <m/>
    <m/>
    <m/>
    <m/>
    <m/>
    <m/>
    <m/>
    <m/>
    <m/>
    <m/>
    <m/>
    <m/>
    <m/>
    <m/>
    <m/>
    <m/>
    <m/>
    <m/>
    <m/>
    <m/>
    <m/>
    <m/>
    <m/>
    <m/>
    <m/>
    <m/>
    <m/>
    <m/>
    <m/>
    <m/>
    <m/>
    <m/>
    <m/>
    <m/>
    <m/>
    <m/>
    <m/>
    <m/>
    <m/>
    <m/>
    <m/>
    <m/>
    <m/>
    <m/>
    <m/>
    <m/>
    <m/>
    <m/>
    <m/>
    <m/>
    <m/>
    <m/>
    <m/>
    <m/>
    <m/>
    <m/>
    <m/>
    <m/>
    <m/>
    <m/>
    <m/>
    <m/>
    <m/>
    <m/>
    <m/>
    <m/>
    <m/>
    <m/>
    <m/>
    <m/>
    <m/>
    <m/>
    <n v="4977.4365909579237"/>
    <n v="86172.233749999999"/>
    <n v="0"/>
    <n v="0"/>
    <n v="0"/>
    <n v="0"/>
    <n v="0"/>
    <n v="0"/>
    <n v="4977.4365909579237"/>
    <n v="9954.8731819158475"/>
    <n v="0"/>
    <n v="0"/>
    <n v="0"/>
    <n v="0"/>
    <n v="0"/>
    <n v="0"/>
    <n v="0"/>
    <n v="0"/>
    <n v="0"/>
    <n v="0"/>
    <n v="0"/>
    <n v="0"/>
    <n v="0"/>
    <n v="0"/>
    <n v="0"/>
    <n v="0"/>
    <n v="0"/>
    <n v="0"/>
    <n v="0"/>
    <n v="0"/>
    <n v="0"/>
    <n v="0"/>
    <n v="0"/>
    <n v="0"/>
    <n v="0"/>
    <n v="0"/>
    <n v="0"/>
    <n v="0"/>
    <n v="0"/>
    <n v="0"/>
    <n v="0"/>
    <n v="0"/>
    <n v="0"/>
    <n v="0"/>
    <n v="0"/>
    <n v="0"/>
    <n v="0"/>
    <n v="0"/>
    <n v="0"/>
    <n v="0"/>
    <n v="0"/>
    <n v="0"/>
    <n v="0"/>
    <n v="0"/>
    <n v="0"/>
    <n v="0"/>
    <n v="0"/>
    <n v="0"/>
    <n v="106081.98011383168"/>
    <s v=" "/>
    <s v=" "/>
    <s v=" "/>
    <s v=" "/>
    <s v=" "/>
    <s v=" "/>
    <s v=" "/>
    <n v="169078.55974684973"/>
    <s v=" "/>
    <s v=" "/>
    <s v=" "/>
    <s v=" "/>
    <s v=" "/>
    <s v=" "/>
    <s v=" "/>
    <x v="2"/>
    <x v="2"/>
    <x v="0"/>
    <x v="0"/>
    <x v="0"/>
    <x v="1"/>
    <x v="0"/>
    <x v="0"/>
    <x v="2"/>
    <x v="2"/>
    <x v="1"/>
    <x v="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DS12"/>
    <s v="Excavation of Dam Wall"/>
    <s v="Excavation of Dam Wall"/>
    <s v="DS12_003"/>
    <x v="1"/>
    <n v="31.003015277778001"/>
    <n v="-25.793607776999998"/>
    <s v="31° 00' 10.85&quot;E "/>
    <s v="25° 47' 36.98&quot; S"/>
    <m/>
    <m/>
    <m/>
    <m/>
    <s v="NA"/>
    <s v="NA"/>
    <s v="NA"/>
    <s v="Yes"/>
    <s v="00"/>
    <d v="2018-06-16T00:00:00"/>
    <s v="Phase 2"/>
    <s v="Year 8"/>
    <n v="621.56961147900779"/>
    <n v="659.31400000000008"/>
    <m/>
    <m/>
    <m/>
    <m/>
    <m/>
    <m/>
    <n v="621.56961147900779"/>
    <n v="621.57000000000005"/>
    <m/>
    <m/>
    <m/>
    <m/>
    <m/>
    <m/>
    <m/>
    <m/>
    <m/>
    <m/>
    <m/>
    <m/>
    <m/>
    <m/>
    <m/>
    <m/>
    <m/>
    <m/>
    <m/>
    <m/>
    <m/>
    <m/>
    <m/>
    <m/>
    <m/>
    <m/>
    <m/>
    <m/>
    <m/>
    <m/>
    <m/>
    <m/>
    <m/>
    <m/>
    <m/>
    <m/>
    <m/>
    <m/>
    <m/>
    <m/>
    <m/>
    <m/>
    <m/>
    <m/>
    <m/>
    <m/>
    <m/>
    <m/>
    <m/>
    <m/>
    <m/>
    <m/>
    <m/>
    <m/>
    <m/>
    <m/>
    <m/>
    <m/>
    <m/>
    <m/>
    <m/>
    <m/>
    <m/>
    <m/>
    <m/>
    <m/>
    <m/>
    <m/>
    <m/>
    <m/>
    <m/>
    <m/>
    <m/>
    <m/>
    <m/>
    <m/>
    <m/>
    <m/>
    <m/>
    <m/>
    <m/>
    <m/>
    <m/>
    <m/>
    <m/>
    <n v="3107.8480573950392"/>
    <n v="32965.700000000004"/>
    <n v="0"/>
    <n v="0"/>
    <n v="0"/>
    <n v="0"/>
    <n v="0"/>
    <n v="0"/>
    <n v="3107.8480573950392"/>
    <n v="6215.7000000000007"/>
    <n v="0"/>
    <n v="0"/>
    <n v="0"/>
    <n v="0"/>
    <n v="0"/>
    <n v="0"/>
    <n v="0"/>
    <n v="0"/>
    <n v="0"/>
    <n v="0"/>
    <n v="0"/>
    <n v="0"/>
    <n v="0"/>
    <n v="0"/>
    <n v="0"/>
    <n v="0"/>
    <n v="0"/>
    <n v="0"/>
    <n v="0"/>
    <n v="0"/>
    <n v="0"/>
    <n v="0"/>
    <n v="0"/>
    <n v="0"/>
    <n v="0"/>
    <n v="0"/>
    <n v="0"/>
    <n v="0"/>
    <n v="0"/>
    <n v="0"/>
    <n v="0"/>
    <n v="0"/>
    <n v="0"/>
    <n v="0"/>
    <n v="0"/>
    <n v="0"/>
    <n v="0"/>
    <n v="0"/>
    <n v="0"/>
    <n v="0"/>
    <n v="0"/>
    <n v="0"/>
    <n v="0"/>
    <n v="0"/>
    <n v="0"/>
    <n v="0"/>
    <n v="0"/>
    <n v="0"/>
    <n v="45397.096114790082"/>
    <s v=" "/>
    <s v=" "/>
    <s v=" "/>
    <s v=" "/>
    <s v=" "/>
    <s v=" "/>
    <s v=" "/>
    <n v="72356.074231849736"/>
    <s v=" "/>
    <s v=" "/>
    <s v=" "/>
    <s v=" "/>
    <s v=" "/>
    <s v=" "/>
    <s v=" "/>
    <x v="3"/>
    <x v="3"/>
    <x v="0"/>
    <x v="0"/>
    <x v="0"/>
    <x v="1"/>
    <x v="0"/>
    <x v="0"/>
    <x v="3"/>
    <x v="3"/>
    <x v="1"/>
    <x v="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11"/>
    <s v="Off-take structure"/>
    <s v="Concrete"/>
    <s v="ks11-001"/>
    <x v="1"/>
    <n v="29.966327612000001"/>
    <n v="-25.803679738"/>
    <s v="29° 57' 58.77&quot;E "/>
    <s v="25° 48' 13.24&quot; S"/>
    <s v="Complete"/>
    <s v="Yes"/>
    <s v="Yes"/>
    <d v="1899-12-30T00:00:00"/>
    <s v="YES "/>
    <m/>
    <s v="NBC-GTW-CL-0066"/>
    <s v="Yes"/>
    <s v="00"/>
    <d v="2018-06-16T00:00:00"/>
    <s v="Phase 2"/>
    <s v="Year 8"/>
    <m/>
    <m/>
    <m/>
    <m/>
    <m/>
    <n v="4"/>
    <m/>
    <m/>
    <m/>
    <m/>
    <m/>
    <m/>
    <n v="1.5"/>
    <m/>
    <m/>
    <m/>
    <s v="Ref 395"/>
    <n v="7.5"/>
    <m/>
    <m/>
    <m/>
    <m/>
    <m/>
    <n v="3.0680000000000001"/>
    <m/>
    <m/>
    <m/>
    <m/>
    <m/>
    <m/>
    <n v="4.3160000000000007"/>
    <m/>
    <m/>
    <m/>
    <m/>
    <m/>
    <m/>
    <m/>
    <m/>
    <m/>
    <m/>
    <m/>
    <m/>
    <m/>
    <m/>
    <m/>
    <m/>
    <m/>
    <m/>
    <m/>
    <m/>
    <m/>
    <m/>
    <m/>
    <m/>
    <m/>
    <m/>
    <m/>
    <m/>
    <m/>
    <m/>
    <m/>
    <m/>
    <m/>
    <m/>
    <m/>
    <m/>
    <m/>
    <m/>
    <m/>
    <m/>
    <m/>
    <m/>
    <m/>
    <n v="4.6319999999999997"/>
    <n v="265"/>
    <n v="4"/>
    <n v="265"/>
    <n v="185.5"/>
    <n v="265"/>
    <n v="5"/>
    <n v="0"/>
    <n v="0"/>
    <n v="0"/>
    <n v="0"/>
    <n v="0"/>
    <n v="1"/>
    <n v="2"/>
    <n v="2"/>
    <n v="0.5"/>
    <m/>
    <m/>
    <m/>
    <m/>
    <m/>
    <n v="0"/>
    <n v="0"/>
    <n v="0"/>
    <n v="0"/>
    <n v="0"/>
    <n v="340"/>
    <n v="0"/>
    <n v="0"/>
    <n v="0"/>
    <n v="0"/>
    <n v="0"/>
    <n v="3000"/>
    <n v="0"/>
    <n v="0"/>
    <n v="0"/>
    <n v="150"/>
    <n v="1994.2"/>
    <n v="129.48000000000002"/>
    <n v="0"/>
    <n v="0"/>
    <n v="0"/>
    <n v="0"/>
    <n v="0"/>
    <n v="0"/>
    <n v="0"/>
    <n v="0"/>
    <n v="0"/>
    <n v="0"/>
    <n v="0"/>
    <n v="0"/>
    <n v="0"/>
    <n v="0"/>
    <n v="0"/>
    <n v="0"/>
    <n v="0"/>
    <n v="0"/>
    <n v="0"/>
    <n v="3473.9999999999995"/>
    <n v="132500"/>
    <n v="30000"/>
    <n v="26500"/>
    <n v="2226"/>
    <n v="13250"/>
    <n v="1500"/>
    <n v="0"/>
    <n v="0"/>
    <n v="0"/>
    <n v="0"/>
    <n v="0"/>
    <n v="12500"/>
    <n v="6000"/>
    <n v="3600"/>
    <n v="1500"/>
    <n v="0"/>
    <n v="0"/>
    <n v="0"/>
    <n v="0"/>
    <n v="0"/>
    <n v="238663.67999999999"/>
    <s v=" "/>
    <s v=" "/>
    <s v=" "/>
    <s v=" "/>
    <s v=" "/>
    <s v=" "/>
    <s v=" "/>
    <n v="380393.64682844508"/>
    <s v=" "/>
    <s v=" "/>
    <s v=" "/>
    <s v=" "/>
    <s v=" "/>
    <s v=" "/>
    <s v=" "/>
    <x v="0"/>
    <x v="0"/>
    <x v="0"/>
    <x v="0"/>
    <x v="0"/>
    <x v="2"/>
    <x v="0"/>
    <x v="0"/>
    <x v="0"/>
    <x v="4"/>
    <x v="1"/>
    <x v="1"/>
    <x v="1"/>
    <x v="0"/>
    <x v="0"/>
    <x v="0"/>
    <x v="1"/>
    <x v="0"/>
    <x v="0"/>
    <x v="0"/>
    <x v="0"/>
    <x v="1"/>
    <x v="0"/>
    <x v="0"/>
    <x v="0"/>
    <x v="0"/>
    <x v="0"/>
    <x v="0"/>
    <x v="1"/>
    <x v="0"/>
    <x v="0"/>
    <x v="0"/>
    <x v="0"/>
    <x v="0"/>
    <x v="0"/>
    <x v="0"/>
    <x v="0"/>
    <x v="0"/>
    <x v="0"/>
    <x v="0"/>
    <x v="0"/>
    <x v="0"/>
    <x v="0"/>
    <x v="0"/>
    <x v="0"/>
    <x v="0"/>
    <x v="0"/>
    <x v="0"/>
    <x v="0"/>
    <x v="0"/>
    <x v="0"/>
    <x v="0"/>
    <x v="0"/>
    <x v="0"/>
    <x v="0"/>
    <x v="0"/>
    <x v="0"/>
    <x v="0"/>
    <x v="0"/>
    <x v="0"/>
    <x v="0"/>
    <x v="0"/>
    <x v="0"/>
    <x v="0"/>
    <x v="0"/>
    <x v="0"/>
    <x v="0"/>
    <x v="0"/>
    <x v="0"/>
    <x v="0"/>
    <x v="0"/>
    <x v="0"/>
    <x v="1"/>
    <x v="1"/>
    <x v="1"/>
    <x v="1"/>
    <x v="1"/>
    <x v="1"/>
    <x v="1"/>
    <x v="0"/>
    <x v="0"/>
    <x v="0"/>
    <x v="0"/>
    <x v="0"/>
    <x v="1"/>
    <x v="1"/>
    <x v="1"/>
    <x v="1"/>
    <x v="0"/>
    <x v="0"/>
    <x v="0"/>
    <x v="0"/>
    <x v="0"/>
  </r>
  <r>
    <s v="KS11"/>
    <s v="Concrete Drop Inlet on Dam Wall"/>
    <s v="Concrete Drop Inlet on Dam Wall"/>
    <s v="ks11-002a"/>
    <x v="1"/>
    <n v="29.965357981"/>
    <n v="-25.804119242999999"/>
    <s v="29° 57' 55.28&quot;E "/>
    <s v="25° 48' 14.82&quot; S"/>
    <s v="N/A"/>
    <m/>
    <s v="No"/>
    <m/>
    <s v="YES "/>
    <s v="NA"/>
    <s v="NBC-GTW-CL-0067"/>
    <s v="Yes"/>
    <s v="00"/>
    <d v="2018-06-16T00:00:00"/>
    <s v="Phase 2"/>
    <s v="Year 8"/>
    <n v="31.8"/>
    <m/>
    <m/>
    <m/>
    <m/>
    <n v="394.76519999999999"/>
    <n v="39.476520000000001"/>
    <n v="10.9657"/>
    <n v="31.8"/>
    <n v="31.8"/>
    <m/>
    <m/>
    <n v="94.94319999999999"/>
    <n v="101.63999999999999"/>
    <m/>
    <m/>
    <s v="Ref 888"/>
    <n v="89.69919999999999"/>
    <s v="Ref 943"/>
    <n v="82.174399999999991"/>
    <n v="0"/>
    <n v="124.76995008701984"/>
    <n v="0"/>
    <n v="47"/>
    <n v="0"/>
    <n v="0"/>
    <n v="0"/>
    <n v="0"/>
    <n v="0"/>
    <n v="16"/>
    <n v="15"/>
    <n v="0"/>
    <m/>
    <n v="0"/>
    <n v="25.2498"/>
    <m/>
    <m/>
    <m/>
    <m/>
    <m/>
    <m/>
    <m/>
    <m/>
    <m/>
    <m/>
    <m/>
    <m/>
    <m/>
    <m/>
    <m/>
    <m/>
    <m/>
    <m/>
    <m/>
    <m/>
    <m/>
    <m/>
    <m/>
    <m/>
    <m/>
    <m/>
    <m/>
    <m/>
    <m/>
    <m/>
    <m/>
    <m/>
    <m/>
    <m/>
    <m/>
    <m/>
    <m/>
    <m/>
    <m/>
    <m/>
    <m/>
    <m/>
    <m/>
    <m/>
    <m/>
    <m/>
    <m/>
    <m/>
    <m/>
    <m/>
    <m/>
    <m/>
    <m/>
    <m/>
    <m/>
    <n v="1"/>
    <m/>
    <m/>
    <m/>
    <m/>
    <n v="159"/>
    <n v="0"/>
    <n v="0"/>
    <n v="0"/>
    <n v="0"/>
    <n v="33555.042000000001"/>
    <n v="4934.5650000000005"/>
    <n v="5482.85"/>
    <n v="159"/>
    <n v="318"/>
    <n v="0"/>
    <n v="189886.4"/>
    <n v="30491.999999999996"/>
    <n v="0"/>
    <n v="0"/>
    <n v="3437.4719999999998"/>
    <n v="112130.4675565629"/>
    <n v="450"/>
    <n v="0"/>
    <n v="0"/>
    <n v="3029.9760000000001"/>
    <n v="0"/>
    <n v="0"/>
    <n v="0"/>
    <n v="0"/>
    <n v="0"/>
    <n v="0"/>
    <n v="0"/>
    <n v="0"/>
    <n v="0"/>
    <n v="0"/>
    <n v="0"/>
    <n v="0"/>
    <n v="0"/>
    <n v="0"/>
    <n v="0"/>
    <n v="0"/>
    <n v="0"/>
    <n v="0"/>
    <n v="0"/>
    <n v="0"/>
    <n v="0"/>
    <n v="0"/>
    <n v="0"/>
    <n v="0"/>
    <n v="0"/>
    <n v="0"/>
    <n v="0"/>
    <n v="0"/>
    <n v="0"/>
    <n v="0"/>
    <n v="0"/>
    <n v="0"/>
    <n v="0"/>
    <n v="0"/>
    <n v="0"/>
    <n v="0"/>
    <n v="0"/>
    <n v="384034.77255656291"/>
    <s v=" "/>
    <s v=" "/>
    <s v=" "/>
    <s v=" "/>
    <s v=" "/>
    <s v=" "/>
    <s v=" "/>
    <n v="612093.08279216767"/>
    <s v=" "/>
    <s v=" "/>
    <s v=" "/>
    <s v=" "/>
    <s v=" "/>
    <s v=" "/>
    <s v=" "/>
    <x v="4"/>
    <x v="0"/>
    <x v="0"/>
    <x v="0"/>
    <x v="0"/>
    <x v="3"/>
    <x v="1"/>
    <x v="1"/>
    <x v="4"/>
    <x v="5"/>
    <x v="1"/>
    <x v="1"/>
    <x v="2"/>
    <x v="1"/>
    <x v="0"/>
    <x v="0"/>
    <x v="2"/>
    <x v="1"/>
    <x v="0"/>
    <x v="1"/>
    <x v="0"/>
    <x v="2"/>
    <x v="0"/>
    <x v="0"/>
    <x v="0"/>
    <x v="0"/>
    <x v="0"/>
    <x v="1"/>
    <x v="2"/>
    <x v="0"/>
    <x v="0"/>
    <x v="0"/>
    <x v="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1"/>
    <x v="0"/>
    <x v="0"/>
    <x v="0"/>
    <x v="0"/>
  </r>
  <r>
    <s v="KS11"/>
    <s v="Concrete Splash Through Structure"/>
    <s v="Concrete Splash Through Structure"/>
    <s v="ks11-002b"/>
    <x v="1"/>
    <n v="29.965357981"/>
    <n v="-25.804119242999999"/>
    <s v="29° 57' 55.28&quot;E "/>
    <s v="25° 48' 14.82&quot; S"/>
    <m/>
    <m/>
    <m/>
    <m/>
    <s v="YES"/>
    <m/>
    <s v="NBC-GTW-CL-0067"/>
    <s v="Yes"/>
    <s v="00"/>
    <d v="2018-06-16T00:00:00"/>
    <s v="Phase 2"/>
    <s v="Year 8"/>
    <m/>
    <m/>
    <m/>
    <m/>
    <m/>
    <n v="210"/>
    <m/>
    <m/>
    <m/>
    <m/>
    <m/>
    <m/>
    <m/>
    <n v="64"/>
    <n v="98"/>
    <m/>
    <s v="Ref 617"/>
    <n v="64"/>
    <m/>
    <m/>
    <m/>
    <m/>
    <m/>
    <n v="10.8"/>
    <m/>
    <m/>
    <m/>
    <m/>
    <m/>
    <m/>
    <m/>
    <m/>
    <n v="21.3"/>
    <m/>
    <m/>
    <m/>
    <m/>
    <m/>
    <m/>
    <m/>
    <m/>
    <m/>
    <m/>
    <m/>
    <m/>
    <m/>
    <m/>
    <m/>
    <m/>
    <m/>
    <m/>
    <m/>
    <m/>
    <m/>
    <m/>
    <n v="87"/>
    <m/>
    <m/>
    <m/>
    <m/>
    <m/>
    <n v="24"/>
    <m/>
    <m/>
    <m/>
    <m/>
    <m/>
    <m/>
    <m/>
    <m/>
    <m/>
    <m/>
    <m/>
    <m/>
    <m/>
    <m/>
    <m/>
    <m/>
    <m/>
    <m/>
    <m/>
    <m/>
    <m/>
    <m/>
    <m/>
    <m/>
    <m/>
    <m/>
    <m/>
    <m/>
    <m/>
    <m/>
    <m/>
    <m/>
    <m/>
    <n v="0"/>
    <n v="0"/>
    <n v="0"/>
    <n v="0"/>
    <n v="0"/>
    <n v="17850"/>
    <n v="0"/>
    <n v="0"/>
    <n v="0"/>
    <n v="0"/>
    <n v="0"/>
    <n v="0"/>
    <n v="19200"/>
    <n v="1764"/>
    <n v="0"/>
    <n v="1280"/>
    <n v="7020.0000000000009"/>
    <n v="0"/>
    <n v="69225"/>
    <n v="0"/>
    <n v="0"/>
    <n v="0"/>
    <n v="0"/>
    <n v="0"/>
    <n v="2436"/>
    <n v="12000"/>
    <n v="0"/>
    <n v="0"/>
    <n v="0"/>
    <n v="0"/>
    <n v="0"/>
    <n v="0"/>
    <n v="0"/>
    <n v="0"/>
    <n v="0"/>
    <n v="0"/>
    <n v="0"/>
    <n v="0"/>
    <n v="0"/>
    <n v="0"/>
    <n v="0"/>
    <n v="0"/>
    <n v="0"/>
    <n v="0"/>
    <n v="0"/>
    <n v="0"/>
    <n v="0"/>
    <n v="0"/>
    <n v="0"/>
    <n v="0"/>
    <n v="0"/>
    <n v="0"/>
    <n v="0"/>
    <n v="0"/>
    <n v="0"/>
    <n v="0"/>
    <n v="0"/>
    <n v="0"/>
    <n v="130775"/>
    <s v=" "/>
    <s v=" "/>
    <s v=" "/>
    <s v=" "/>
    <s v=" "/>
    <s v=" "/>
    <s v=" "/>
    <n v="208435.48194677089"/>
    <s v=" "/>
    <s v=" "/>
    <s v=" "/>
    <s v=" "/>
    <s v=" "/>
    <s v=" "/>
    <s v=" "/>
    <x v="0"/>
    <x v="0"/>
    <x v="0"/>
    <x v="0"/>
    <x v="0"/>
    <x v="4"/>
    <x v="0"/>
    <x v="0"/>
    <x v="0"/>
    <x v="4"/>
    <x v="1"/>
    <x v="1"/>
    <x v="0"/>
    <x v="2"/>
    <x v="1"/>
    <x v="0"/>
    <x v="3"/>
    <x v="0"/>
    <x v="0"/>
    <x v="0"/>
    <x v="0"/>
    <x v="3"/>
    <x v="0"/>
    <x v="0"/>
    <x v="0"/>
    <x v="0"/>
    <x v="0"/>
    <x v="0"/>
    <x v="0"/>
    <x v="0"/>
    <x v="1"/>
    <x v="0"/>
    <x v="0"/>
    <x v="0"/>
    <x v="0"/>
    <x v="0"/>
    <x v="0"/>
    <x v="0"/>
    <x v="0"/>
    <x v="0"/>
    <x v="0"/>
    <x v="0"/>
    <x v="0"/>
    <x v="0"/>
    <x v="0"/>
    <x v="0"/>
    <x v="0"/>
    <x v="0"/>
    <x v="0"/>
    <x v="0"/>
    <x v="0"/>
    <x v="0"/>
    <x v="0"/>
    <x v="1"/>
    <x v="0"/>
    <x v="0"/>
    <x v="0"/>
    <x v="0"/>
    <x v="0"/>
    <x v="1"/>
    <x v="0"/>
    <x v="0"/>
    <x v="0"/>
    <x v="0"/>
    <x v="0"/>
    <x v="0"/>
    <x v="0"/>
    <x v="0"/>
    <x v="0"/>
    <x v="0"/>
    <x v="0"/>
    <x v="0"/>
    <x v="0"/>
    <x v="0"/>
    <x v="0"/>
    <x v="0"/>
    <x v="0"/>
    <x v="0"/>
    <x v="0"/>
    <x v="0"/>
    <x v="0"/>
    <x v="0"/>
    <x v="0"/>
    <x v="0"/>
    <x v="0"/>
    <x v="0"/>
    <x v="0"/>
    <x v="0"/>
    <x v="0"/>
    <x v="0"/>
    <x v="0"/>
    <x v="0"/>
    <x v="0"/>
  </r>
  <r>
    <s v="KS11"/>
    <s v="Dam wall excavation"/>
    <s v="Dam wall excavation"/>
    <s v="ks11-002c"/>
    <x v="1"/>
    <n v="29.965357981"/>
    <n v="-25.804119242999999"/>
    <s v="29° 57' 55.28&quot;E "/>
    <s v="25° 48' 14.82&quot; S"/>
    <m/>
    <m/>
    <m/>
    <m/>
    <s v="YES"/>
    <m/>
    <s v="NBC-GTW-CL-0067"/>
    <s v="Yes"/>
    <s v="00"/>
    <d v="2018-06-16T00:00:00"/>
    <s v="Phase 2"/>
    <s v="Year 8"/>
    <n v="1870"/>
    <n v="2651.3666666666668"/>
    <m/>
    <m/>
    <m/>
    <m/>
    <m/>
    <m/>
    <n v="1870"/>
    <n v="1870"/>
    <m/>
    <m/>
    <m/>
    <m/>
    <m/>
    <m/>
    <m/>
    <m/>
    <m/>
    <m/>
    <m/>
    <m/>
    <m/>
    <m/>
    <m/>
    <m/>
    <m/>
    <m/>
    <m/>
    <m/>
    <m/>
    <m/>
    <m/>
    <m/>
    <m/>
    <m/>
    <m/>
    <m/>
    <m/>
    <m/>
    <m/>
    <m/>
    <m/>
    <m/>
    <m/>
    <m/>
    <m/>
    <m/>
    <m/>
    <m/>
    <m/>
    <m/>
    <m/>
    <m/>
    <m/>
    <m/>
    <m/>
    <m/>
    <m/>
    <m/>
    <m/>
    <m/>
    <m/>
    <m/>
    <m/>
    <m/>
    <m/>
    <m/>
    <m/>
    <m/>
    <m/>
    <m/>
    <m/>
    <m/>
    <m/>
    <m/>
    <m/>
    <m/>
    <m/>
    <m/>
    <m/>
    <m/>
    <m/>
    <m/>
    <m/>
    <m/>
    <m/>
    <m/>
    <m/>
    <m/>
    <m/>
    <m/>
    <m/>
    <m/>
    <m/>
    <n v="9350"/>
    <n v="132568.33333333334"/>
    <n v="0"/>
    <n v="0"/>
    <n v="0"/>
    <n v="0"/>
    <n v="0"/>
    <n v="0"/>
    <n v="9350"/>
    <n v="18700"/>
    <n v="0"/>
    <n v="0"/>
    <n v="0"/>
    <n v="0"/>
    <n v="0"/>
    <n v="0"/>
    <n v="0"/>
    <n v="0"/>
    <n v="0"/>
    <n v="0"/>
    <n v="0"/>
    <n v="0"/>
    <n v="0"/>
    <n v="0"/>
    <n v="0"/>
    <n v="0"/>
    <n v="0"/>
    <n v="0"/>
    <n v="0"/>
    <n v="0"/>
    <n v="0"/>
    <n v="0"/>
    <n v="0"/>
    <n v="0"/>
    <n v="0"/>
    <n v="0"/>
    <n v="0"/>
    <n v="0"/>
    <n v="0"/>
    <n v="0"/>
    <n v="0"/>
    <n v="0"/>
    <n v="0"/>
    <n v="0"/>
    <n v="0"/>
    <n v="0"/>
    <n v="0"/>
    <n v="0"/>
    <n v="0"/>
    <n v="0"/>
    <n v="0"/>
    <n v="0"/>
    <n v="0"/>
    <n v="0"/>
    <n v="0"/>
    <n v="0"/>
    <n v="0"/>
    <n v="0"/>
    <n v="169968.33333333334"/>
    <s v=" "/>
    <s v=" "/>
    <s v=" "/>
    <s v=" "/>
    <s v=" "/>
    <s v=" "/>
    <s v=" "/>
    <n v="270903.70081454975"/>
    <s v=" "/>
    <s v=" "/>
    <s v=" "/>
    <s v=" "/>
    <s v=" "/>
    <s v=" "/>
    <s v=" "/>
    <x v="5"/>
    <x v="4"/>
    <x v="0"/>
    <x v="0"/>
    <x v="0"/>
    <x v="1"/>
    <x v="0"/>
    <x v="0"/>
    <x v="5"/>
    <x v="6"/>
    <x v="1"/>
    <x v="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11"/>
    <s v="Backfilling Dam to Create Wetland"/>
    <s v="Backfilling Dam"/>
    <s v="ks11-003"/>
    <x v="1"/>
    <n v="29.964700989000001"/>
    <n v="-25.802941186999998"/>
    <s v="29° 57' 52.92&quot;E "/>
    <s v="25° 48' 10.58&quot; S"/>
    <s v="N/A"/>
    <m/>
    <s v="No"/>
    <m/>
    <s v="YES "/>
    <m/>
    <s v="NBC-GTW-CL-0062"/>
    <m/>
    <s v="00"/>
    <d v="2018-06-16T00:00:00"/>
    <s v="Phase 2"/>
    <s v="Year 8"/>
    <m/>
    <m/>
    <m/>
    <m/>
    <m/>
    <m/>
    <m/>
    <m/>
    <m/>
    <n v="17400"/>
    <m/>
    <m/>
    <m/>
    <m/>
    <m/>
    <m/>
    <m/>
    <m/>
    <m/>
    <m/>
    <m/>
    <m/>
    <m/>
    <m/>
    <m/>
    <m/>
    <m/>
    <m/>
    <m/>
    <m/>
    <m/>
    <m/>
    <m/>
    <m/>
    <n v="24200"/>
    <m/>
    <m/>
    <m/>
    <m/>
    <m/>
    <m/>
    <m/>
    <m/>
    <m/>
    <m/>
    <m/>
    <m/>
    <m/>
    <m/>
    <m/>
    <m/>
    <m/>
    <m/>
    <m/>
    <m/>
    <m/>
    <m/>
    <m/>
    <m/>
    <m/>
    <m/>
    <m/>
    <m/>
    <m/>
    <m/>
    <m/>
    <m/>
    <m/>
    <m/>
    <m/>
    <m/>
    <m/>
    <m/>
    <n v="11500"/>
    <m/>
    <m/>
    <m/>
    <m/>
    <m/>
    <m/>
    <m/>
    <m/>
    <m/>
    <m/>
    <m/>
    <m/>
    <m/>
    <m/>
    <m/>
    <m/>
    <m/>
    <m/>
    <m/>
    <m/>
    <m/>
    <n v="0"/>
    <n v="0"/>
    <n v="0"/>
    <n v="0"/>
    <n v="0"/>
    <n v="0"/>
    <n v="0"/>
    <n v="0"/>
    <n v="0"/>
    <n v="174000"/>
    <n v="0"/>
    <n v="0"/>
    <n v="0"/>
    <n v="0"/>
    <n v="0"/>
    <n v="0"/>
    <n v="0"/>
    <n v="0"/>
    <n v="0"/>
    <n v="0"/>
    <n v="2904000"/>
    <n v="0"/>
    <n v="0"/>
    <n v="0"/>
    <n v="0"/>
    <n v="0"/>
    <n v="0"/>
    <n v="0"/>
    <n v="0"/>
    <n v="0"/>
    <n v="0"/>
    <n v="0"/>
    <n v="0"/>
    <n v="0"/>
    <n v="0"/>
    <n v="0"/>
    <n v="575000"/>
    <n v="0"/>
    <n v="0"/>
    <n v="0"/>
    <n v="0"/>
    <n v="0"/>
    <n v="0"/>
    <n v="0"/>
    <n v="0"/>
    <n v="0"/>
    <n v="0"/>
    <n v="0"/>
    <n v="0"/>
    <n v="0"/>
    <n v="0"/>
    <n v="0"/>
    <n v="0"/>
    <n v="0"/>
    <n v="0"/>
    <n v="0"/>
    <n v="0"/>
    <n v="0"/>
    <n v="3653000"/>
    <s v=" "/>
    <s v=" "/>
    <s v=" "/>
    <s v=" "/>
    <s v=" "/>
    <s v=" "/>
    <s v=" "/>
    <n v="5822327.0162611669"/>
    <s v=" "/>
    <s v=" "/>
    <s v=" "/>
    <s v=" "/>
    <s v=" "/>
    <s v=" "/>
    <s v=" "/>
    <x v="0"/>
    <x v="0"/>
    <x v="0"/>
    <x v="0"/>
    <x v="0"/>
    <x v="1"/>
    <x v="0"/>
    <x v="0"/>
    <x v="0"/>
    <x v="7"/>
    <x v="1"/>
    <x v="1"/>
    <x v="0"/>
    <x v="0"/>
    <x v="0"/>
    <x v="0"/>
    <x v="0"/>
    <x v="0"/>
    <x v="0"/>
    <x v="0"/>
    <x v="0"/>
    <x v="0"/>
    <x v="0"/>
    <x v="0"/>
    <x v="0"/>
    <x v="0"/>
    <x v="0"/>
    <x v="0"/>
    <x v="0"/>
    <x v="0"/>
    <x v="0"/>
    <x v="0"/>
    <x v="2"/>
    <x v="0"/>
    <x v="0"/>
    <x v="0"/>
    <x v="0"/>
    <x v="0"/>
    <x v="0"/>
    <x v="0"/>
    <x v="0"/>
    <x v="0"/>
    <x v="0"/>
    <x v="0"/>
    <x v="0"/>
    <x v="0"/>
    <x v="0"/>
    <x v="0"/>
    <x v="0"/>
    <x v="0"/>
    <x v="0"/>
    <x v="0"/>
    <x v="0"/>
    <x v="0"/>
    <x v="0"/>
    <x v="0"/>
    <x v="0"/>
    <x v="0"/>
    <x v="0"/>
    <x v="0"/>
    <x v="0"/>
    <x v="0"/>
    <x v="0"/>
    <x v="0"/>
    <x v="0"/>
    <x v="0"/>
    <x v="0"/>
    <x v="0"/>
    <x v="0"/>
    <x v="0"/>
    <x v="0"/>
    <x v="1"/>
    <x v="0"/>
    <x v="0"/>
    <x v="0"/>
    <x v="0"/>
    <x v="0"/>
    <x v="0"/>
    <x v="0"/>
    <x v="0"/>
    <x v="0"/>
    <x v="0"/>
    <x v="0"/>
    <x v="0"/>
    <x v="0"/>
    <x v="0"/>
    <x v="0"/>
    <x v="0"/>
    <x v="0"/>
    <x v="0"/>
    <x v="0"/>
    <x v="0"/>
    <x v="0"/>
  </r>
  <r>
    <s v="KS11"/>
    <s v="Concrete Drop Inlet on Dam Wall"/>
    <s v="Concrete Drop Inlet on Dam Wall"/>
    <s v="ks11-004a"/>
    <x v="1"/>
    <n v="29.964891290000001"/>
    <n v="-25.798573317999999"/>
    <s v="29° 57' 53.60&quot;E "/>
    <s v="25° 47' 54.86&quot; S"/>
    <s v="N/A"/>
    <m/>
    <s v="No"/>
    <m/>
    <s v="YES "/>
    <s v="NA"/>
    <s v="NBC-GTW-CL-0068"/>
    <s v="Yes"/>
    <s v="00"/>
    <d v="2018-06-16T00:00:00"/>
    <s v="Phase 2"/>
    <s v="Year 8"/>
    <n v="31.8"/>
    <m/>
    <m/>
    <m/>
    <m/>
    <n v="355.89659999999998"/>
    <n v="26.469660000000001"/>
    <n v="14.235863999999999"/>
    <n v="31.8"/>
    <n v="31.8"/>
    <m/>
    <m/>
    <n v="94.94319999999999"/>
    <n v="101.63999999999999"/>
    <m/>
    <m/>
    <s v="Ref 888"/>
    <n v="89.69919999999999"/>
    <s v="Ref 943"/>
    <n v="82.174399999999991"/>
    <n v="0"/>
    <n v="124.76995008701984"/>
    <n v="0"/>
    <n v="47"/>
    <n v="0"/>
    <n v="0"/>
    <n v="0"/>
    <n v="0"/>
    <n v="0"/>
    <n v="16"/>
    <n v="15"/>
    <n v="0"/>
    <m/>
    <n v="0"/>
    <n v="25.2498"/>
    <m/>
    <m/>
    <m/>
    <m/>
    <m/>
    <m/>
    <m/>
    <m/>
    <m/>
    <m/>
    <m/>
    <m/>
    <m/>
    <m/>
    <m/>
    <m/>
    <m/>
    <m/>
    <m/>
    <m/>
    <m/>
    <m/>
    <m/>
    <m/>
    <m/>
    <m/>
    <m/>
    <m/>
    <m/>
    <m/>
    <m/>
    <m/>
    <m/>
    <m/>
    <m/>
    <m/>
    <m/>
    <m/>
    <m/>
    <m/>
    <m/>
    <m/>
    <m/>
    <m/>
    <m/>
    <m/>
    <m/>
    <m/>
    <m/>
    <m/>
    <m/>
    <m/>
    <m/>
    <m/>
    <m/>
    <n v="1"/>
    <m/>
    <m/>
    <m/>
    <m/>
    <n v="159"/>
    <n v="0"/>
    <n v="0"/>
    <n v="0"/>
    <n v="0"/>
    <n v="30251.210999999999"/>
    <n v="3308.7075"/>
    <n v="7117.9319999999998"/>
    <n v="159"/>
    <n v="318"/>
    <n v="0"/>
    <n v="189886.4"/>
    <n v="30491.999999999996"/>
    <n v="0"/>
    <n v="0"/>
    <n v="3437.4719999999998"/>
    <n v="112130.4675565629"/>
    <n v="450"/>
    <n v="0"/>
    <n v="0"/>
    <n v="3029.9760000000001"/>
    <n v="0"/>
    <n v="0"/>
    <n v="0"/>
    <n v="0"/>
    <n v="0"/>
    <n v="0"/>
    <n v="0"/>
    <n v="0"/>
    <n v="0"/>
    <n v="0"/>
    <n v="0"/>
    <n v="0"/>
    <n v="0"/>
    <n v="0"/>
    <n v="0"/>
    <n v="0"/>
    <n v="0"/>
    <n v="0"/>
    <n v="0"/>
    <n v="0"/>
    <n v="0"/>
    <n v="0"/>
    <n v="0"/>
    <n v="0"/>
    <n v="0"/>
    <n v="0"/>
    <n v="0"/>
    <n v="0"/>
    <n v="0"/>
    <n v="0"/>
    <n v="0"/>
    <n v="0"/>
    <n v="0"/>
    <n v="0"/>
    <n v="0"/>
    <n v="0"/>
    <n v="0"/>
    <n v="380740.16605656291"/>
    <s v=" "/>
    <s v=" "/>
    <s v=" "/>
    <s v=" "/>
    <s v=" "/>
    <s v=" "/>
    <s v=" "/>
    <n v="606841.98056580604"/>
    <s v=" "/>
    <s v=" "/>
    <s v=" "/>
    <s v=" "/>
    <s v=" "/>
    <s v=" "/>
    <s v=" "/>
    <x v="6"/>
    <x v="0"/>
    <x v="0"/>
    <x v="0"/>
    <x v="0"/>
    <x v="5"/>
    <x v="2"/>
    <x v="2"/>
    <x v="6"/>
    <x v="8"/>
    <x v="1"/>
    <x v="1"/>
    <x v="3"/>
    <x v="3"/>
    <x v="0"/>
    <x v="0"/>
    <x v="4"/>
    <x v="2"/>
    <x v="0"/>
    <x v="2"/>
    <x v="0"/>
    <x v="4"/>
    <x v="0"/>
    <x v="0"/>
    <x v="0"/>
    <x v="0"/>
    <x v="0"/>
    <x v="2"/>
    <x v="3"/>
    <x v="0"/>
    <x v="0"/>
    <x v="0"/>
    <x v="3"/>
    <x v="0"/>
    <x v="0"/>
    <x v="0"/>
    <x v="0"/>
    <x v="0"/>
    <x v="0"/>
    <x v="0"/>
    <x v="0"/>
    <x v="0"/>
    <x v="0"/>
    <x v="0"/>
    <x v="0"/>
    <x v="0"/>
    <x v="0"/>
    <x v="0"/>
    <x v="0"/>
    <x v="0"/>
    <x v="0"/>
    <x v="0"/>
    <x v="0"/>
    <x v="0"/>
    <x v="0"/>
    <x v="0"/>
    <x v="0"/>
    <x v="0"/>
    <x v="0"/>
    <x v="0"/>
    <x v="0"/>
    <x v="0"/>
    <x v="0"/>
    <x v="0"/>
    <x v="0"/>
    <x v="0"/>
    <x v="0"/>
    <x v="0"/>
    <x v="0"/>
    <x v="0"/>
    <x v="0"/>
    <x v="0"/>
    <x v="0"/>
    <x v="0"/>
    <x v="0"/>
    <x v="0"/>
    <x v="0"/>
    <x v="0"/>
    <x v="0"/>
    <x v="0"/>
    <x v="0"/>
    <x v="0"/>
    <x v="0"/>
    <x v="0"/>
    <x v="0"/>
    <x v="0"/>
    <x v="0"/>
    <x v="0"/>
    <x v="2"/>
    <x v="0"/>
    <x v="0"/>
    <x v="0"/>
    <x v="0"/>
  </r>
  <r>
    <s v="KS11"/>
    <s v="Concrete Splash Through Structure"/>
    <s v="Concrete Splash Through Structure"/>
    <s v="ks11-004b"/>
    <x v="1"/>
    <n v="29.964891290000001"/>
    <n v="-25.798573317999999"/>
    <s v="29° 57' 53.60&quot;E "/>
    <s v="25° 47' 54.86&quot; S"/>
    <m/>
    <m/>
    <m/>
    <m/>
    <s v="YES"/>
    <m/>
    <s v="NBC-GTW-CL-0068"/>
    <s v="Yes"/>
    <s v="00"/>
    <d v="2018-06-16T00:00:00"/>
    <s v="Phase 2"/>
    <s v="Year 8"/>
    <m/>
    <m/>
    <m/>
    <m/>
    <m/>
    <n v="210"/>
    <m/>
    <m/>
    <m/>
    <m/>
    <m/>
    <m/>
    <m/>
    <n v="64"/>
    <n v="98"/>
    <m/>
    <s v="Ref617"/>
    <n v="64"/>
    <m/>
    <m/>
    <m/>
    <m/>
    <m/>
    <n v="10.8"/>
    <m/>
    <m/>
    <m/>
    <m/>
    <m/>
    <m/>
    <m/>
    <m/>
    <n v="21.3"/>
    <m/>
    <m/>
    <m/>
    <m/>
    <m/>
    <m/>
    <m/>
    <m/>
    <m/>
    <m/>
    <m/>
    <m/>
    <m/>
    <m/>
    <m/>
    <m/>
    <m/>
    <m/>
    <m/>
    <m/>
    <m/>
    <m/>
    <n v="87"/>
    <m/>
    <m/>
    <m/>
    <m/>
    <m/>
    <n v="24"/>
    <m/>
    <m/>
    <m/>
    <m/>
    <m/>
    <m/>
    <m/>
    <m/>
    <m/>
    <m/>
    <m/>
    <m/>
    <m/>
    <m/>
    <m/>
    <m/>
    <m/>
    <m/>
    <m/>
    <m/>
    <m/>
    <m/>
    <m/>
    <m/>
    <m/>
    <m/>
    <m/>
    <m/>
    <m/>
    <m/>
    <m/>
    <m/>
    <m/>
    <n v="0"/>
    <n v="0"/>
    <n v="0"/>
    <n v="0"/>
    <n v="0"/>
    <n v="17850"/>
    <n v="0"/>
    <n v="0"/>
    <n v="0"/>
    <n v="0"/>
    <n v="0"/>
    <n v="0"/>
    <n v="19200"/>
    <n v="1764"/>
    <n v="0"/>
    <n v="1280"/>
    <n v="7020.0000000000009"/>
    <n v="0"/>
    <n v="69225"/>
    <n v="0"/>
    <n v="0"/>
    <n v="0"/>
    <n v="0"/>
    <n v="0"/>
    <n v="2436"/>
    <n v="12000"/>
    <n v="0"/>
    <n v="0"/>
    <n v="0"/>
    <n v="0"/>
    <n v="0"/>
    <n v="0"/>
    <n v="0"/>
    <n v="0"/>
    <n v="0"/>
    <n v="0"/>
    <n v="0"/>
    <n v="0"/>
    <n v="0"/>
    <n v="0"/>
    <n v="0"/>
    <n v="0"/>
    <n v="0"/>
    <n v="0"/>
    <n v="0"/>
    <n v="0"/>
    <n v="0"/>
    <n v="0"/>
    <n v="0"/>
    <n v="0"/>
    <n v="0"/>
    <n v="0"/>
    <n v="0"/>
    <n v="0"/>
    <n v="0"/>
    <n v="0"/>
    <n v="0"/>
    <n v="0"/>
    <n v="130775"/>
    <s v=" "/>
    <s v=" "/>
    <s v=" "/>
    <s v=" "/>
    <s v=" "/>
    <s v=" "/>
    <s v=" "/>
    <n v="208435.48194677089"/>
    <s v=" "/>
    <s v=" "/>
    <s v=" "/>
    <s v=" "/>
    <s v=" "/>
    <s v=" "/>
    <s v=" "/>
    <x v="0"/>
    <x v="0"/>
    <x v="0"/>
    <x v="0"/>
    <x v="0"/>
    <x v="6"/>
    <x v="0"/>
    <x v="0"/>
    <x v="0"/>
    <x v="4"/>
    <x v="1"/>
    <x v="1"/>
    <x v="0"/>
    <x v="4"/>
    <x v="2"/>
    <x v="0"/>
    <x v="5"/>
    <x v="0"/>
    <x v="0"/>
    <x v="0"/>
    <x v="0"/>
    <x v="5"/>
    <x v="0"/>
    <x v="0"/>
    <x v="0"/>
    <x v="0"/>
    <x v="0"/>
    <x v="0"/>
    <x v="0"/>
    <x v="0"/>
    <x v="2"/>
    <x v="0"/>
    <x v="0"/>
    <x v="0"/>
    <x v="0"/>
    <x v="0"/>
    <x v="0"/>
    <x v="0"/>
    <x v="0"/>
    <x v="0"/>
    <x v="0"/>
    <x v="0"/>
    <x v="0"/>
    <x v="0"/>
    <x v="0"/>
    <x v="0"/>
    <x v="0"/>
    <x v="0"/>
    <x v="0"/>
    <x v="0"/>
    <x v="0"/>
    <x v="0"/>
    <x v="0"/>
    <x v="2"/>
    <x v="0"/>
    <x v="0"/>
    <x v="0"/>
    <x v="0"/>
    <x v="0"/>
    <x v="2"/>
    <x v="0"/>
    <x v="0"/>
    <x v="0"/>
    <x v="0"/>
    <x v="0"/>
    <x v="0"/>
    <x v="0"/>
    <x v="0"/>
    <x v="0"/>
    <x v="0"/>
    <x v="0"/>
    <x v="0"/>
    <x v="0"/>
    <x v="0"/>
    <x v="0"/>
    <x v="0"/>
    <x v="0"/>
    <x v="0"/>
    <x v="0"/>
    <x v="0"/>
    <x v="0"/>
    <x v="0"/>
    <x v="0"/>
    <x v="0"/>
    <x v="0"/>
    <x v="0"/>
    <x v="0"/>
    <x v="0"/>
    <x v="0"/>
    <x v="0"/>
    <x v="0"/>
    <x v="0"/>
    <x v="0"/>
  </r>
  <r>
    <s v="KS11"/>
    <s v="Dam wall excavation"/>
    <s v="Dam wall excavation"/>
    <s v="ks11-004c"/>
    <x v="1"/>
    <n v="29.964891290000001"/>
    <n v="-25.798573317999999"/>
    <s v="29° 57' 53.60&quot;E "/>
    <s v="25° 47' 54.86&quot; S"/>
    <m/>
    <m/>
    <m/>
    <m/>
    <s v="YES"/>
    <m/>
    <s v="NBC-GTW-CL-0068"/>
    <s v="Yes"/>
    <s v="00"/>
    <d v="2018-06-16T00:00:00"/>
    <s v="Phase 2"/>
    <s v="Year 8"/>
    <n v="1200"/>
    <n v="665.25"/>
    <m/>
    <m/>
    <m/>
    <m/>
    <m/>
    <m/>
    <n v="1200"/>
    <n v="1200"/>
    <m/>
    <m/>
    <m/>
    <m/>
    <m/>
    <m/>
    <m/>
    <m/>
    <m/>
    <m/>
    <m/>
    <m/>
    <m/>
    <m/>
    <m/>
    <m/>
    <m/>
    <m/>
    <m/>
    <m/>
    <m/>
    <m/>
    <m/>
    <m/>
    <m/>
    <m/>
    <m/>
    <m/>
    <m/>
    <m/>
    <m/>
    <m/>
    <m/>
    <m/>
    <m/>
    <m/>
    <m/>
    <m/>
    <m/>
    <m/>
    <m/>
    <m/>
    <m/>
    <m/>
    <m/>
    <m/>
    <m/>
    <m/>
    <m/>
    <m/>
    <m/>
    <m/>
    <m/>
    <m/>
    <m/>
    <m/>
    <m/>
    <m/>
    <m/>
    <m/>
    <m/>
    <m/>
    <m/>
    <m/>
    <m/>
    <m/>
    <m/>
    <m/>
    <m/>
    <m/>
    <m/>
    <m/>
    <m/>
    <m/>
    <m/>
    <m/>
    <m/>
    <m/>
    <m/>
    <m/>
    <m/>
    <m/>
    <m/>
    <m/>
    <m/>
    <n v="6000"/>
    <n v="33262.5"/>
    <n v="0"/>
    <n v="0"/>
    <n v="0"/>
    <n v="0"/>
    <n v="0"/>
    <n v="0"/>
    <n v="6000"/>
    <n v="12000"/>
    <n v="0"/>
    <n v="0"/>
    <n v="0"/>
    <n v="0"/>
    <n v="0"/>
    <n v="0"/>
    <n v="0"/>
    <n v="0"/>
    <n v="0"/>
    <n v="0"/>
    <n v="0"/>
    <n v="0"/>
    <n v="0"/>
    <n v="0"/>
    <n v="0"/>
    <n v="0"/>
    <n v="0"/>
    <n v="0"/>
    <n v="0"/>
    <n v="0"/>
    <n v="0"/>
    <n v="0"/>
    <n v="0"/>
    <n v="0"/>
    <n v="0"/>
    <n v="0"/>
    <n v="0"/>
    <n v="0"/>
    <n v="0"/>
    <n v="0"/>
    <n v="0"/>
    <n v="0"/>
    <n v="0"/>
    <n v="0"/>
    <n v="0"/>
    <n v="0"/>
    <n v="0"/>
    <n v="0"/>
    <n v="0"/>
    <n v="0"/>
    <n v="0"/>
    <n v="0"/>
    <n v="0"/>
    <n v="0"/>
    <n v="0"/>
    <n v="0"/>
    <n v="0"/>
    <n v="0"/>
    <n v="57262.5"/>
    <s v=" "/>
    <s v=" "/>
    <s v=" "/>
    <s v=" "/>
    <s v=" "/>
    <s v=" "/>
    <s v=" "/>
    <n v="91267.725367822321"/>
    <s v=" "/>
    <s v=" "/>
    <s v=" "/>
    <s v=" "/>
    <s v=" "/>
    <s v=" "/>
    <s v=" "/>
    <x v="7"/>
    <x v="5"/>
    <x v="0"/>
    <x v="0"/>
    <x v="0"/>
    <x v="1"/>
    <x v="0"/>
    <x v="0"/>
    <x v="7"/>
    <x v="9"/>
    <x v="1"/>
    <x v="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11"/>
    <s v="Backfilling Dam to Create Wetland"/>
    <s v="Backfilling Dam"/>
    <s v="ks11-005"/>
    <x v="1"/>
    <n v="29.964619430999999"/>
    <n v="-25.797612748999999"/>
    <s v="29° 57' 52.62&quot;E "/>
    <s v="25° 47' 51.40&quot; S"/>
    <s v="N/A"/>
    <m/>
    <s v="No"/>
    <m/>
    <s v="YES "/>
    <m/>
    <s v="NBC-GTW-CL-0063"/>
    <m/>
    <s v="00"/>
    <d v="2018-06-16T00:00:00"/>
    <s v="Phase 2"/>
    <s v="Year 8"/>
    <m/>
    <m/>
    <m/>
    <m/>
    <m/>
    <m/>
    <m/>
    <m/>
    <m/>
    <n v="38200"/>
    <m/>
    <m/>
    <m/>
    <m/>
    <m/>
    <m/>
    <m/>
    <m/>
    <m/>
    <m/>
    <m/>
    <m/>
    <m/>
    <m/>
    <m/>
    <m/>
    <m/>
    <m/>
    <m/>
    <m/>
    <m/>
    <m/>
    <m/>
    <m/>
    <n v="12300"/>
    <m/>
    <m/>
    <m/>
    <m/>
    <m/>
    <m/>
    <m/>
    <m/>
    <m/>
    <m/>
    <m/>
    <m/>
    <m/>
    <m/>
    <m/>
    <m/>
    <m/>
    <m/>
    <m/>
    <m/>
    <m/>
    <m/>
    <m/>
    <m/>
    <m/>
    <m/>
    <m/>
    <m/>
    <m/>
    <m/>
    <m/>
    <m/>
    <m/>
    <m/>
    <m/>
    <m/>
    <m/>
    <m/>
    <n v="5200"/>
    <m/>
    <m/>
    <m/>
    <m/>
    <m/>
    <m/>
    <m/>
    <m/>
    <m/>
    <m/>
    <m/>
    <m/>
    <m/>
    <m/>
    <m/>
    <m/>
    <m/>
    <m/>
    <m/>
    <m/>
    <m/>
    <n v="0"/>
    <n v="0"/>
    <n v="0"/>
    <n v="0"/>
    <n v="0"/>
    <n v="0"/>
    <n v="0"/>
    <n v="0"/>
    <n v="0"/>
    <n v="382000"/>
    <n v="0"/>
    <n v="0"/>
    <n v="0"/>
    <n v="0"/>
    <n v="0"/>
    <n v="0"/>
    <n v="0"/>
    <n v="0"/>
    <n v="0"/>
    <n v="0"/>
    <n v="1476000"/>
    <n v="0"/>
    <n v="0"/>
    <n v="0"/>
    <n v="0"/>
    <n v="0"/>
    <n v="0"/>
    <n v="0"/>
    <n v="0"/>
    <n v="0"/>
    <n v="0"/>
    <n v="0"/>
    <n v="0"/>
    <n v="0"/>
    <n v="0"/>
    <n v="0"/>
    <n v="260000"/>
    <n v="0"/>
    <n v="0"/>
    <n v="0"/>
    <n v="0"/>
    <n v="0"/>
    <n v="0"/>
    <n v="0"/>
    <n v="0"/>
    <n v="0"/>
    <n v="0"/>
    <n v="0"/>
    <n v="0"/>
    <n v="0"/>
    <n v="0"/>
    <n v="0"/>
    <n v="0"/>
    <n v="0"/>
    <n v="0"/>
    <n v="0"/>
    <n v="0"/>
    <n v="0"/>
    <n v="2118000"/>
    <s v=" "/>
    <s v=" "/>
    <s v=" "/>
    <s v=" "/>
    <s v=" "/>
    <s v=" "/>
    <s v=" "/>
    <n v="3375770.221856324"/>
    <s v=" "/>
    <s v=" "/>
    <s v=" "/>
    <s v=" "/>
    <s v=" "/>
    <s v=" "/>
    <s v=" "/>
    <x v="0"/>
    <x v="0"/>
    <x v="0"/>
    <x v="0"/>
    <x v="0"/>
    <x v="1"/>
    <x v="0"/>
    <x v="0"/>
    <x v="0"/>
    <x v="10"/>
    <x v="1"/>
    <x v="1"/>
    <x v="0"/>
    <x v="0"/>
    <x v="0"/>
    <x v="0"/>
    <x v="0"/>
    <x v="0"/>
    <x v="0"/>
    <x v="0"/>
    <x v="0"/>
    <x v="0"/>
    <x v="0"/>
    <x v="0"/>
    <x v="0"/>
    <x v="0"/>
    <x v="0"/>
    <x v="0"/>
    <x v="0"/>
    <x v="0"/>
    <x v="0"/>
    <x v="0"/>
    <x v="4"/>
    <x v="0"/>
    <x v="0"/>
    <x v="0"/>
    <x v="0"/>
    <x v="0"/>
    <x v="0"/>
    <x v="0"/>
    <x v="0"/>
    <x v="0"/>
    <x v="0"/>
    <x v="0"/>
    <x v="0"/>
    <x v="0"/>
    <x v="0"/>
    <x v="0"/>
    <x v="0"/>
    <x v="0"/>
    <x v="0"/>
    <x v="0"/>
    <x v="0"/>
    <x v="0"/>
    <x v="0"/>
    <x v="0"/>
    <x v="0"/>
    <x v="0"/>
    <x v="0"/>
    <x v="0"/>
    <x v="0"/>
    <x v="0"/>
    <x v="0"/>
    <x v="0"/>
    <x v="0"/>
    <x v="0"/>
    <x v="0"/>
    <x v="0"/>
    <x v="0"/>
    <x v="0"/>
    <x v="0"/>
    <x v="2"/>
    <x v="0"/>
    <x v="0"/>
    <x v="0"/>
    <x v="0"/>
    <x v="0"/>
    <x v="0"/>
    <x v="0"/>
    <x v="0"/>
    <x v="0"/>
    <x v="0"/>
    <x v="0"/>
    <x v="0"/>
    <x v="0"/>
    <x v="0"/>
    <x v="0"/>
    <x v="0"/>
    <x v="0"/>
    <x v="0"/>
    <x v="0"/>
    <x v="0"/>
    <x v="0"/>
  </r>
  <r>
    <s v="KS12"/>
    <s v="Pipe Culvert"/>
    <s v="Concrete"/>
    <s v="KS12_001"/>
    <x v="2"/>
    <n v="29.972529167000001"/>
    <n v="-25.813171389000001"/>
    <s v="29° 58' 21.10&quot;E "/>
    <s v="25° 48' 47.41&quot; S"/>
    <s v="Complete"/>
    <s v="Yes"/>
    <s v="Yes"/>
    <d v="2017-05-31T00:00:00"/>
    <s v="YES"/>
    <s v="NO"/>
    <s v="NBC-GTW-CL-0069"/>
    <s v="Yes"/>
    <s v="00"/>
    <d v="2018-06-16T00:00:00"/>
    <s v="Phase 2"/>
    <s v="Year 1"/>
    <m/>
    <n v="0"/>
    <n v="0"/>
    <n v="0"/>
    <n v="0"/>
    <n v="2"/>
    <m/>
    <n v="0"/>
    <n v="0"/>
    <n v="0"/>
    <n v="0"/>
    <n v="0"/>
    <n v="0"/>
    <n v="0"/>
    <n v="0"/>
    <n v="0"/>
    <s v="Mesh 395"/>
    <n v="3"/>
    <n v="0"/>
    <n v="0"/>
    <n v="0"/>
    <n v="0"/>
    <n v="0"/>
    <n v="0"/>
    <n v="0"/>
    <m/>
    <n v="0"/>
    <m/>
    <n v="0"/>
    <n v="0"/>
    <n v="3"/>
    <n v="0"/>
    <n v="1"/>
    <n v="0"/>
    <n v="0"/>
    <n v="0"/>
    <n v="0"/>
    <n v="0"/>
    <n v="0"/>
    <n v="0"/>
    <n v="0"/>
    <n v="0"/>
    <n v="0"/>
    <n v="0"/>
    <n v="0"/>
    <n v="0"/>
    <n v="0"/>
    <n v="0"/>
    <n v="0"/>
    <n v="0"/>
    <n v="0"/>
    <n v="0"/>
    <n v="0"/>
    <n v="0"/>
    <n v="0"/>
    <n v="0"/>
    <n v="0"/>
    <n v="0"/>
    <n v="0"/>
    <n v="0"/>
    <n v="0"/>
    <n v="0"/>
    <n v="0"/>
    <n v="0"/>
    <n v="0"/>
    <n v="0"/>
    <n v="0"/>
    <n v="0"/>
    <n v="0"/>
    <n v="0"/>
    <n v="0"/>
    <n v="0"/>
    <n v="15"/>
    <n v="0"/>
    <n v="6"/>
    <m/>
    <n v="0"/>
    <n v="11"/>
    <n v="22"/>
    <n v="27"/>
    <n v="4.5"/>
    <n v="0"/>
    <n v="0"/>
    <n v="0"/>
    <n v="0"/>
    <n v="0"/>
    <m/>
    <m/>
    <m/>
    <m/>
    <m/>
    <m/>
    <m/>
    <m/>
    <m/>
    <n v="0"/>
    <n v="0"/>
    <n v="0"/>
    <n v="0"/>
    <n v="0"/>
    <n v="170"/>
    <n v="0"/>
    <n v="0"/>
    <n v="0"/>
    <n v="0"/>
    <n v="0"/>
    <n v="0"/>
    <n v="0"/>
    <n v="0"/>
    <n v="0"/>
    <n v="60"/>
    <n v="0"/>
    <n v="90"/>
    <n v="3250"/>
    <n v="0"/>
    <n v="0"/>
    <n v="0"/>
    <n v="0"/>
    <n v="0"/>
    <n v="0"/>
    <n v="0"/>
    <n v="0"/>
    <n v="0"/>
    <n v="0"/>
    <n v="0"/>
    <n v="0"/>
    <n v="0"/>
    <n v="0"/>
    <n v="0"/>
    <n v="0"/>
    <n v="15000"/>
    <n v="0"/>
    <n v="4500"/>
    <n v="0"/>
    <n v="0"/>
    <n v="1100"/>
    <n v="264"/>
    <n v="1350"/>
    <n v="1350"/>
    <n v="0"/>
    <n v="0"/>
    <n v="0"/>
    <n v="0"/>
    <n v="0"/>
    <n v="0"/>
    <n v="0"/>
    <n v="0"/>
    <n v="0"/>
    <n v="0"/>
    <n v="0"/>
    <n v="0"/>
    <n v="0"/>
    <n v="0"/>
    <n v="27134"/>
    <n v="28762.04"/>
    <s v=" "/>
    <s v=" "/>
    <s v=" "/>
    <s v=" "/>
    <s v=" "/>
    <s v=" "/>
    <s v=" "/>
    <s v=" "/>
    <s v=" "/>
    <s v=" "/>
    <s v=" "/>
    <s v=" "/>
    <s v=" "/>
    <s v=" "/>
    <x v="0"/>
    <x v="0"/>
    <x v="0"/>
    <x v="0"/>
    <x v="0"/>
    <x v="7"/>
    <x v="0"/>
    <x v="0"/>
    <x v="0"/>
    <x v="4"/>
    <x v="1"/>
    <x v="1"/>
    <x v="0"/>
    <x v="0"/>
    <x v="0"/>
    <x v="0"/>
    <x v="6"/>
    <x v="0"/>
    <x v="0"/>
    <x v="0"/>
    <x v="0"/>
    <x v="0"/>
    <x v="0"/>
    <x v="0"/>
    <x v="0"/>
    <x v="0"/>
    <x v="0"/>
    <x v="0"/>
    <x v="4"/>
    <x v="0"/>
    <x v="3"/>
    <x v="0"/>
    <x v="0"/>
    <x v="0"/>
    <x v="0"/>
    <x v="0"/>
    <x v="0"/>
    <x v="0"/>
    <x v="0"/>
    <x v="0"/>
    <x v="0"/>
    <x v="0"/>
    <x v="0"/>
    <x v="0"/>
    <x v="0"/>
    <x v="0"/>
    <x v="0"/>
    <x v="0"/>
    <x v="0"/>
    <x v="0"/>
    <x v="0"/>
    <x v="0"/>
    <x v="0"/>
    <x v="0"/>
    <x v="0"/>
    <x v="0"/>
    <x v="0"/>
    <x v="0"/>
    <x v="0"/>
    <x v="0"/>
    <x v="0"/>
    <x v="0"/>
    <x v="0"/>
    <x v="0"/>
    <x v="0"/>
    <x v="0"/>
    <x v="0"/>
    <x v="0"/>
    <x v="0"/>
    <x v="0"/>
    <x v="1"/>
    <x v="0"/>
    <x v="2"/>
    <x v="0"/>
    <x v="0"/>
    <x v="2"/>
    <x v="2"/>
    <x v="2"/>
    <x v="2"/>
    <x v="0"/>
    <x v="0"/>
    <x v="0"/>
    <x v="0"/>
    <x v="0"/>
    <x v="0"/>
    <x v="0"/>
    <x v="0"/>
    <x v="0"/>
    <x v="0"/>
    <x v="0"/>
    <x v="0"/>
    <x v="0"/>
    <x v="0"/>
  </r>
  <r>
    <s v="KS12"/>
    <s v="Concrete Drop Inlet"/>
    <s v="Concrete"/>
    <s v="KS12_002"/>
    <x v="2"/>
    <n v="29.972318610999999"/>
    <n v="-25.813367499999998"/>
    <s v="29° 58' 20.34&quot;E "/>
    <s v="25° 48' 48.12&quot; S"/>
    <s v="N/A"/>
    <m/>
    <s v="Yes"/>
    <m/>
    <s v="YES"/>
    <m/>
    <s v="NBC-GTW-CL-0002"/>
    <s v="Yes"/>
    <s v="00"/>
    <d v="2018-06-16T00:00:00"/>
    <s v="Phase 2"/>
    <s v="Year 1"/>
    <n v="30"/>
    <m/>
    <m/>
    <m/>
    <m/>
    <n v="37"/>
    <n v="0"/>
    <n v="5.55"/>
    <n v="30"/>
    <n v="30"/>
    <m/>
    <m/>
    <n v="24"/>
    <n v="52"/>
    <n v="30"/>
    <m/>
    <s v="Ref 888"/>
    <n v="23"/>
    <s v="Ref 617"/>
    <n v="38"/>
    <m/>
    <n v="14"/>
    <m/>
    <n v="20.3"/>
    <m/>
    <m/>
    <m/>
    <m/>
    <m/>
    <m/>
    <m/>
    <m/>
    <m/>
    <m/>
    <m/>
    <m/>
    <m/>
    <m/>
    <m/>
    <m/>
    <m/>
    <m/>
    <m/>
    <m/>
    <m/>
    <m/>
    <m/>
    <m/>
    <m/>
    <m/>
    <m/>
    <m/>
    <m/>
    <m/>
    <m/>
    <m/>
    <m/>
    <m/>
    <m/>
    <m/>
    <m/>
    <m/>
    <m/>
    <m/>
    <m/>
    <m/>
    <m/>
    <m/>
    <m/>
    <m/>
    <m/>
    <m/>
    <m/>
    <m/>
    <m/>
    <m/>
    <m/>
    <m/>
    <m/>
    <m/>
    <m/>
    <m/>
    <m/>
    <m/>
    <m/>
    <m/>
    <m/>
    <m/>
    <m/>
    <m/>
    <m/>
    <m/>
    <m/>
    <m/>
    <m/>
    <n v="150"/>
    <n v="0"/>
    <n v="0"/>
    <n v="0"/>
    <n v="0"/>
    <n v="3145"/>
    <n v="0"/>
    <n v="2775"/>
    <n v="150"/>
    <n v="300"/>
    <n v="0"/>
    <n v="48000"/>
    <n v="15600"/>
    <n v="540"/>
    <n v="0"/>
    <n v="1220"/>
    <n v="22295"/>
    <n v="0"/>
    <n v="0"/>
    <n v="0"/>
    <n v="0"/>
    <n v="0"/>
    <n v="0"/>
    <n v="0"/>
    <n v="0"/>
    <n v="0"/>
    <n v="0"/>
    <n v="0"/>
    <n v="0"/>
    <n v="0"/>
    <n v="0"/>
    <n v="0"/>
    <n v="0"/>
    <n v="0"/>
    <n v="0"/>
    <n v="0"/>
    <n v="0"/>
    <n v="0"/>
    <n v="0"/>
    <n v="0"/>
    <n v="0"/>
    <n v="0"/>
    <n v="0"/>
    <n v="0"/>
    <n v="0"/>
    <n v="0"/>
    <n v="0"/>
    <n v="0"/>
    <n v="0"/>
    <n v="0"/>
    <n v="0"/>
    <n v="0"/>
    <n v="0"/>
    <n v="0"/>
    <n v="0"/>
    <n v="0"/>
    <n v="0"/>
    <n v="0"/>
    <n v="94175"/>
    <n v="99825.5"/>
    <s v=" "/>
    <s v=" "/>
    <s v=" "/>
    <s v=" "/>
    <s v=" "/>
    <s v=" "/>
    <s v=" "/>
    <s v=" "/>
    <s v=" "/>
    <s v=" "/>
    <s v=" "/>
    <s v=" "/>
    <s v=" "/>
    <s v=" "/>
    <x v="8"/>
    <x v="0"/>
    <x v="0"/>
    <x v="0"/>
    <x v="0"/>
    <x v="8"/>
    <x v="0"/>
    <x v="3"/>
    <x v="8"/>
    <x v="11"/>
    <x v="1"/>
    <x v="1"/>
    <x v="4"/>
    <x v="5"/>
    <x v="3"/>
    <x v="0"/>
    <x v="7"/>
    <x v="3"/>
    <x v="0"/>
    <x v="3"/>
    <x v="0"/>
    <x v="6"/>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12"/>
    <s v="Removal of Berm and Dam Wall"/>
    <s v="Excavation"/>
    <s v="KS12_003"/>
    <x v="2"/>
    <n v="29.971002777999999"/>
    <n v="-25.812310833000002"/>
    <s v="29° 58' 15.61&quot;E "/>
    <s v="25° 48' 44.31&quot; S"/>
    <s v="Complete"/>
    <s v="Yes"/>
    <s v="Yes"/>
    <d v="2017-05-30T00:00:00"/>
    <s v="NA"/>
    <s v="NA"/>
    <s v="No Drawing"/>
    <s v="Yes"/>
    <s v="00"/>
    <d v="2018-06-16T00:00:00"/>
    <s v="Phase 2"/>
    <s v="Year 1"/>
    <n v="1876.1431578898514"/>
    <n v="801.25656624999999"/>
    <n v="0"/>
    <n v="0"/>
    <n v="0"/>
    <n v="0"/>
    <n v="0"/>
    <n v="0"/>
    <n v="1876.1431578898514"/>
    <n v="1876.1431578898514"/>
    <n v="0"/>
    <n v="0"/>
    <n v="0"/>
    <n v="0"/>
    <n v="0"/>
    <n v="0"/>
    <n v="0"/>
    <n v="0"/>
    <n v="0"/>
    <n v="0"/>
    <n v="0"/>
    <n v="0"/>
    <n v="0"/>
    <n v="0"/>
    <n v="0"/>
    <m/>
    <n v="0"/>
    <m/>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n v="9380.7157894492575"/>
    <n v="40062.828312500002"/>
    <n v="0"/>
    <n v="0"/>
    <n v="0"/>
    <n v="0"/>
    <n v="0"/>
    <n v="0"/>
    <n v="9380.7157894492575"/>
    <n v="18761.431578898515"/>
    <n v="0"/>
    <n v="0"/>
    <n v="0"/>
    <n v="0"/>
    <n v="0"/>
    <n v="0"/>
    <n v="0"/>
    <n v="0"/>
    <n v="0"/>
    <n v="0"/>
    <n v="0"/>
    <n v="0"/>
    <n v="0"/>
    <n v="0"/>
    <n v="0"/>
    <n v="0"/>
    <n v="0"/>
    <n v="0"/>
    <n v="0"/>
    <n v="0"/>
    <n v="0"/>
    <n v="0"/>
    <n v="0"/>
    <n v="0"/>
    <n v="0"/>
    <n v="0"/>
    <n v="0"/>
    <n v="0"/>
    <n v="0"/>
    <n v="0"/>
    <n v="0"/>
    <n v="0"/>
    <n v="0"/>
    <n v="0"/>
    <n v="0"/>
    <n v="0"/>
    <n v="0"/>
    <n v="0"/>
    <n v="0"/>
    <n v="0"/>
    <n v="0"/>
    <n v="0"/>
    <n v="0"/>
    <n v="0"/>
    <n v="0"/>
    <n v="0"/>
    <n v="0"/>
    <n v="0"/>
    <n v="77585.691470297024"/>
    <n v="82240.832958514846"/>
    <s v=" "/>
    <s v=" "/>
    <s v=" "/>
    <s v=" "/>
    <s v=" "/>
    <s v=" "/>
    <s v=" "/>
    <s v=" "/>
    <s v=" "/>
    <s v=" "/>
    <s v=" "/>
    <s v=" "/>
    <s v=" "/>
    <s v=" "/>
    <x v="9"/>
    <x v="6"/>
    <x v="0"/>
    <x v="0"/>
    <x v="0"/>
    <x v="1"/>
    <x v="0"/>
    <x v="0"/>
    <x v="9"/>
    <x v="12"/>
    <x v="1"/>
    <x v="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12"/>
    <s v="Concrete Drop Inlet"/>
    <s v="Concrete"/>
    <s v="KS12_004"/>
    <x v="2"/>
    <n v="29.969593611000001"/>
    <n v="-25.809846666999999"/>
    <s v="29° 58' 10.53&quot;E "/>
    <s v="25° 48' 35.44&quot; S"/>
    <s v="Complete"/>
    <s v="Yes"/>
    <s v="Yes"/>
    <d v="2017-02-06T00:00:00"/>
    <s v="YES"/>
    <m/>
    <s v="NBC-GTW-CL-0003"/>
    <s v="Yes"/>
    <s v="00"/>
    <d v="2018-06-16T00:00:00"/>
    <s v="Phase 1"/>
    <s v="Year 1"/>
    <n v="21.76"/>
    <n v="0"/>
    <n v="0"/>
    <n v="0"/>
    <n v="0"/>
    <n v="36.611099999999993"/>
    <n v="0"/>
    <n v="5.4916649999999985"/>
    <n v="21.76"/>
    <n v="21.76"/>
    <n v="0"/>
    <n v="0"/>
    <n v="32.177999999999997"/>
    <n v="41.52"/>
    <n v="0"/>
    <n v="0"/>
    <s v="Ref 888"/>
    <n v="22.000799999999998"/>
    <s v="Ref 655"/>
    <n v="30.046399999999998"/>
    <n v="0"/>
    <n v="58.407005964995172"/>
    <n v="0"/>
    <n v="7.1999999999999993"/>
    <n v="0"/>
    <m/>
    <n v="0"/>
    <m/>
    <n v="0"/>
    <n v="7"/>
    <n v="7.8599999999999994"/>
    <n v="0"/>
    <n v="0"/>
    <n v="0"/>
    <n v="0"/>
    <n v="0"/>
    <n v="0"/>
    <n v="0"/>
    <n v="0"/>
    <n v="0"/>
    <n v="0"/>
    <n v="0"/>
    <n v="0"/>
    <n v="0"/>
    <n v="0"/>
    <n v="0"/>
    <n v="0"/>
    <n v="0"/>
    <n v="0"/>
    <n v="0"/>
    <n v="0"/>
    <n v="0"/>
    <n v="0"/>
    <n v="0"/>
    <n v="0"/>
    <n v="0"/>
    <n v="0"/>
    <n v="0"/>
    <n v="0"/>
    <n v="0"/>
    <n v="0"/>
    <n v="0"/>
    <n v="0"/>
    <n v="0"/>
    <n v="0"/>
    <n v="0"/>
    <n v="0"/>
    <n v="0"/>
    <n v="0"/>
    <n v="0"/>
    <n v="0"/>
    <n v="0"/>
    <n v="0"/>
    <n v="0"/>
    <m/>
    <m/>
    <m/>
    <m/>
    <m/>
    <m/>
    <m/>
    <m/>
    <m/>
    <m/>
    <m/>
    <m/>
    <m/>
    <m/>
    <m/>
    <m/>
    <m/>
    <m/>
    <m/>
    <m/>
    <m/>
    <n v="108.80000000000001"/>
    <n v="0"/>
    <n v="0"/>
    <n v="0"/>
    <n v="0"/>
    <n v="3111.9434999999994"/>
    <n v="0"/>
    <n v="2745.8324999999991"/>
    <n v="108.80000000000001"/>
    <n v="217.60000000000002"/>
    <n v="0"/>
    <n v="64355.999999999993"/>
    <n v="12456.000000000002"/>
    <n v="0"/>
    <n v="0"/>
    <n v="1040.944"/>
    <n v="42854.553877246864"/>
    <n v="235.79999999999998"/>
    <n v="0"/>
    <n v="0"/>
    <n v="0"/>
    <n v="0"/>
    <n v="0"/>
    <n v="0"/>
    <n v="0"/>
    <n v="0"/>
    <n v="0"/>
    <n v="0"/>
    <n v="0"/>
    <n v="0"/>
    <n v="0"/>
    <n v="0"/>
    <n v="0"/>
    <n v="0"/>
    <n v="0"/>
    <n v="0"/>
    <n v="0"/>
    <n v="0"/>
    <n v="0"/>
    <n v="0"/>
    <n v="0"/>
    <n v="0"/>
    <n v="0"/>
    <n v="0"/>
    <n v="0"/>
    <n v="0"/>
    <n v="0"/>
    <n v="0"/>
    <n v="0"/>
    <n v="0"/>
    <n v="0"/>
    <n v="0"/>
    <n v="0"/>
    <n v="0"/>
    <n v="0"/>
    <n v="0"/>
    <n v="0"/>
    <n v="0"/>
    <n v="127236.27387724687"/>
    <n v="134870.45030988168"/>
    <s v=" "/>
    <s v=" "/>
    <s v=" "/>
    <s v=" "/>
    <s v=" "/>
    <s v=" "/>
    <s v=" "/>
    <s v=" "/>
    <s v=" "/>
    <s v=" "/>
    <s v=" "/>
    <s v=" "/>
    <s v=" "/>
    <s v=" "/>
    <x v="10"/>
    <x v="0"/>
    <x v="0"/>
    <x v="0"/>
    <x v="0"/>
    <x v="9"/>
    <x v="0"/>
    <x v="4"/>
    <x v="10"/>
    <x v="13"/>
    <x v="1"/>
    <x v="1"/>
    <x v="5"/>
    <x v="6"/>
    <x v="0"/>
    <x v="0"/>
    <x v="8"/>
    <x v="4"/>
    <x v="0"/>
    <x v="4"/>
    <x v="0"/>
    <x v="7"/>
    <x v="0"/>
    <x v="0"/>
    <x v="0"/>
    <x v="0"/>
    <x v="0"/>
    <x v="3"/>
    <x v="5"/>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12"/>
    <s v="Concrete Drop Inlet"/>
    <s v="Concrete"/>
    <s v="KS12_005"/>
    <x v="2"/>
    <n v="29.969629722000001"/>
    <n v="-25.809215278"/>
    <s v="29° 58' 10.66&quot;E "/>
    <s v="25° 48' 33.17&quot; S"/>
    <s v="Complete"/>
    <s v="Yes"/>
    <s v="Yes"/>
    <d v="2017-02-06T00:00:00"/>
    <s v="YES"/>
    <m/>
    <s v="NBC-GTW-CL-0004"/>
    <s v="Yes"/>
    <s v="00"/>
    <d v="2018-06-16T00:00:00"/>
    <s v="Phase 1"/>
    <s v="Year 1"/>
    <n v="21.92"/>
    <n v="0"/>
    <n v="0"/>
    <n v="0"/>
    <n v="0"/>
    <n v="36.428620199999997"/>
    <n v="0"/>
    <n v="5.4642930299999994"/>
    <n v="21.92"/>
    <n v="21.92"/>
    <n v="0"/>
    <n v="0"/>
    <n v="30.305420480000002"/>
    <n v="35.8384"/>
    <n v="0"/>
    <n v="0"/>
    <s v="Ref 888"/>
    <n v="17.595592"/>
    <s v="Ref 655"/>
    <n v="24.347520000000003"/>
    <n v="0"/>
    <n v="58.150055671374432"/>
    <n v="0"/>
    <n v="5.58"/>
    <n v="0"/>
    <m/>
    <n v="0"/>
    <m/>
    <n v="0"/>
    <n v="6"/>
    <n v="7.26"/>
    <n v="0"/>
    <n v="0"/>
    <n v="0"/>
    <n v="0"/>
    <n v="0"/>
    <n v="0"/>
    <n v="0"/>
    <n v="0"/>
    <n v="0"/>
    <n v="0"/>
    <n v="0"/>
    <n v="0"/>
    <n v="0"/>
    <n v="0"/>
    <n v="0"/>
    <n v="0"/>
    <n v="0"/>
    <n v="0"/>
    <n v="0"/>
    <n v="0"/>
    <n v="0"/>
    <n v="0"/>
    <n v="0"/>
    <n v="0"/>
    <n v="0"/>
    <n v="0"/>
    <n v="0"/>
    <n v="0"/>
    <n v="0"/>
    <n v="0"/>
    <n v="0"/>
    <n v="0"/>
    <n v="0"/>
    <n v="0"/>
    <n v="0"/>
    <n v="0"/>
    <n v="0"/>
    <n v="0"/>
    <n v="0"/>
    <n v="0"/>
    <n v="0"/>
    <n v="0"/>
    <n v="0"/>
    <m/>
    <m/>
    <m/>
    <m/>
    <m/>
    <m/>
    <m/>
    <m/>
    <m/>
    <m/>
    <m/>
    <m/>
    <m/>
    <m/>
    <m/>
    <m/>
    <m/>
    <m/>
    <m/>
    <m/>
    <m/>
    <n v="109.60000000000001"/>
    <n v="0"/>
    <n v="0"/>
    <n v="0"/>
    <n v="0"/>
    <n v="3096.4327169999997"/>
    <n v="0"/>
    <n v="2732.1465149999999"/>
    <n v="109.60000000000001"/>
    <n v="219.20000000000002"/>
    <n v="0"/>
    <n v="60610.840960000001"/>
    <n v="10751.52"/>
    <n v="0"/>
    <n v="0"/>
    <n v="838.86223999999993"/>
    <n v="41604.536186393379"/>
    <n v="217.79999999999998"/>
    <n v="0"/>
    <n v="0"/>
    <n v="0"/>
    <n v="0"/>
    <n v="0"/>
    <n v="0"/>
    <n v="0"/>
    <n v="0"/>
    <n v="0"/>
    <n v="0"/>
    <n v="0"/>
    <n v="0"/>
    <n v="0"/>
    <n v="0"/>
    <n v="0"/>
    <n v="0"/>
    <n v="0"/>
    <n v="0"/>
    <n v="0"/>
    <n v="0"/>
    <n v="0"/>
    <n v="0"/>
    <n v="0"/>
    <n v="0"/>
    <n v="0"/>
    <n v="0"/>
    <n v="0"/>
    <n v="0"/>
    <n v="0"/>
    <n v="0"/>
    <n v="0"/>
    <n v="0"/>
    <n v="0"/>
    <n v="0"/>
    <n v="0"/>
    <n v="0"/>
    <n v="0"/>
    <n v="0"/>
    <n v="0"/>
    <n v="0"/>
    <n v="120290.53861839339"/>
    <n v="127507.970935497"/>
    <s v=" "/>
    <s v=" "/>
    <s v=" "/>
    <s v=" "/>
    <s v=" "/>
    <s v=" "/>
    <s v=" "/>
    <s v=" "/>
    <s v=" "/>
    <s v=" "/>
    <s v=" "/>
    <s v=" "/>
    <s v=" "/>
    <s v=" "/>
    <x v="11"/>
    <x v="0"/>
    <x v="0"/>
    <x v="0"/>
    <x v="0"/>
    <x v="10"/>
    <x v="0"/>
    <x v="5"/>
    <x v="11"/>
    <x v="14"/>
    <x v="1"/>
    <x v="1"/>
    <x v="6"/>
    <x v="7"/>
    <x v="0"/>
    <x v="0"/>
    <x v="9"/>
    <x v="5"/>
    <x v="0"/>
    <x v="5"/>
    <x v="0"/>
    <x v="8"/>
    <x v="0"/>
    <x v="0"/>
    <x v="0"/>
    <x v="0"/>
    <x v="0"/>
    <x v="4"/>
    <x v="6"/>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12"/>
    <s v="Concrete Drop Inlet"/>
    <s v="Concrete"/>
    <s v="KS12_006"/>
    <x v="2"/>
    <n v="29.969651943999999"/>
    <n v="-25.808685277999999"/>
    <s v="29° 58' 10.74&quot;E "/>
    <s v="25° 48' 31.26&quot; S"/>
    <s v="Complete"/>
    <s v="Yes"/>
    <s v="Yes"/>
    <d v="2017-02-06T00:00:00"/>
    <s v="YES"/>
    <m/>
    <s v="NBC-GTW-CL-0005"/>
    <s v="Yes"/>
    <s v="00"/>
    <d v="2018-06-16T00:00:00"/>
    <s v="Phase 1"/>
    <s v="Year 1"/>
    <n v="21.44"/>
    <n v="0"/>
    <n v="0"/>
    <n v="0"/>
    <n v="0"/>
    <n v="31.948974999999997"/>
    <n v="0"/>
    <n v="4.7923462499999996"/>
    <n v="21.44"/>
    <n v="21.44"/>
    <n v="0"/>
    <n v="0"/>
    <n v="16.51343"/>
    <n v="30.541999999999998"/>
    <n v="0"/>
    <n v="0"/>
    <s v="Ref 888"/>
    <n v="15.6462"/>
    <s v="Ref 617"/>
    <n v="21.466799999999996"/>
    <n v="0"/>
    <n v="30.985232105547801"/>
    <n v="0"/>
    <n v="2.25"/>
    <n v="0"/>
    <m/>
    <n v="0"/>
    <m/>
    <n v="0"/>
    <n v="5"/>
    <n v="7.08"/>
    <n v="0"/>
    <n v="0"/>
    <n v="0"/>
    <n v="14.728999999999997"/>
    <n v="0"/>
    <n v="0"/>
    <n v="0"/>
    <n v="0"/>
    <n v="0"/>
    <n v="0"/>
    <n v="0"/>
    <n v="0"/>
    <n v="0"/>
    <n v="0"/>
    <n v="0"/>
    <n v="0"/>
    <n v="0"/>
    <n v="0"/>
    <n v="0"/>
    <n v="0"/>
    <n v="0"/>
    <n v="0"/>
    <n v="0"/>
    <n v="0"/>
    <n v="0"/>
    <n v="0"/>
    <n v="0"/>
    <n v="0"/>
    <n v="0"/>
    <n v="0"/>
    <n v="0"/>
    <n v="0"/>
    <n v="0"/>
    <n v="0"/>
    <n v="0"/>
    <n v="0"/>
    <n v="0"/>
    <n v="0"/>
    <n v="0"/>
    <n v="0"/>
    <n v="0"/>
    <n v="0"/>
    <n v="0"/>
    <m/>
    <m/>
    <m/>
    <m/>
    <m/>
    <m/>
    <m/>
    <m/>
    <m/>
    <m/>
    <m/>
    <m/>
    <m/>
    <m/>
    <m/>
    <m/>
    <m/>
    <m/>
    <m/>
    <m/>
    <m/>
    <n v="107.2"/>
    <n v="0"/>
    <n v="0"/>
    <n v="0"/>
    <n v="0"/>
    <n v="2715.662875"/>
    <n v="0"/>
    <n v="2396.1731249999998"/>
    <n v="107.2"/>
    <n v="214.4"/>
    <n v="0"/>
    <n v="33026.86"/>
    <n v="9162.5999999999985"/>
    <n v="0"/>
    <n v="0"/>
    <n v="742.26"/>
    <n v="21752.90086860607"/>
    <n v="212.4"/>
    <n v="0"/>
    <n v="0"/>
    <n v="1767.4799999999998"/>
    <n v="0"/>
    <n v="0"/>
    <n v="0"/>
    <n v="0"/>
    <n v="0"/>
    <n v="0"/>
    <n v="0"/>
    <n v="0"/>
    <n v="0"/>
    <n v="0"/>
    <n v="0"/>
    <n v="0"/>
    <n v="0"/>
    <n v="0"/>
    <n v="0"/>
    <n v="0"/>
    <n v="0"/>
    <n v="0"/>
    <n v="0"/>
    <n v="0"/>
    <n v="0"/>
    <n v="0"/>
    <n v="0"/>
    <n v="0"/>
    <n v="0"/>
    <n v="0"/>
    <n v="0"/>
    <n v="0"/>
    <n v="0"/>
    <n v="0"/>
    <n v="0"/>
    <n v="0"/>
    <n v="0"/>
    <n v="0"/>
    <n v="0"/>
    <n v="0"/>
    <n v="0"/>
    <n v="72205.13686860606"/>
    <n v="76537.44508072242"/>
    <s v=" "/>
    <s v=" "/>
    <s v=" "/>
    <s v=" "/>
    <s v=" "/>
    <s v=" "/>
    <s v=" "/>
    <s v=" "/>
    <s v=" "/>
    <s v=" "/>
    <s v=" "/>
    <s v=" "/>
    <s v=" "/>
    <s v=" "/>
    <x v="12"/>
    <x v="0"/>
    <x v="0"/>
    <x v="0"/>
    <x v="0"/>
    <x v="11"/>
    <x v="0"/>
    <x v="6"/>
    <x v="12"/>
    <x v="15"/>
    <x v="1"/>
    <x v="1"/>
    <x v="7"/>
    <x v="8"/>
    <x v="0"/>
    <x v="0"/>
    <x v="10"/>
    <x v="6"/>
    <x v="0"/>
    <x v="6"/>
    <x v="0"/>
    <x v="9"/>
    <x v="0"/>
    <x v="0"/>
    <x v="0"/>
    <x v="0"/>
    <x v="0"/>
    <x v="5"/>
    <x v="7"/>
    <x v="0"/>
    <x v="0"/>
    <x v="0"/>
    <x v="5"/>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12"/>
    <s v="Concrete Drop Inlet"/>
    <s v="Concrete"/>
    <s v="KS12_007"/>
    <x v="2"/>
    <n v="29.969319722000002"/>
    <n v="-25.807899444"/>
    <s v="29° 58' 09.55&quot;E "/>
    <s v="25° 48' 28.43&quot; S"/>
    <s v="Complete"/>
    <s v="Yes"/>
    <s v="Yes"/>
    <d v="2017-02-06T00:00:00"/>
    <s v="YES"/>
    <m/>
    <s v="NBC-GTW-CL-0006"/>
    <s v="Yes"/>
    <s v="00"/>
    <d v="2018-06-16T00:00:00"/>
    <s v="Phase 1"/>
    <s v="Year 1"/>
    <n v="21.92"/>
    <n v="0"/>
    <n v="0"/>
    <n v="0"/>
    <n v="0"/>
    <n v="47.313325000000006"/>
    <n v="0"/>
    <n v="7.0969987500000009"/>
    <n v="21.92"/>
    <n v="21.92"/>
    <n v="0"/>
    <n v="0"/>
    <n v="20.100000000000001"/>
    <n v="33.160000000000004"/>
    <n v="0"/>
    <n v="0"/>
    <s v="Ref 888"/>
    <n v="16"/>
    <s v="Ref 655"/>
    <n v="23.414400000000001"/>
    <n v="0"/>
    <n v="38.926414318335929"/>
    <n v="0"/>
    <n v="3.15"/>
    <n v="0"/>
    <m/>
    <n v="0"/>
    <m/>
    <n v="0"/>
    <n v="5"/>
    <n v="7.35"/>
    <n v="0"/>
    <n v="0"/>
    <n v="0"/>
    <n v="25.978000000000002"/>
    <n v="0"/>
    <n v="0"/>
    <n v="0"/>
    <n v="0"/>
    <n v="0"/>
    <n v="0"/>
    <n v="0"/>
    <n v="0"/>
    <n v="0"/>
    <n v="0"/>
    <n v="0"/>
    <n v="0"/>
    <n v="0"/>
    <n v="0"/>
    <n v="0"/>
    <n v="0"/>
    <n v="0"/>
    <n v="0"/>
    <n v="0"/>
    <n v="0"/>
    <n v="0"/>
    <n v="0"/>
    <n v="0"/>
    <n v="0"/>
    <n v="0"/>
    <n v="0"/>
    <n v="0"/>
    <n v="0"/>
    <n v="0"/>
    <n v="0"/>
    <n v="0"/>
    <n v="0"/>
    <n v="0"/>
    <n v="0"/>
    <n v="0"/>
    <n v="0"/>
    <n v="0"/>
    <n v="0"/>
    <n v="0"/>
    <m/>
    <m/>
    <m/>
    <m/>
    <m/>
    <m/>
    <m/>
    <m/>
    <m/>
    <m/>
    <m/>
    <m/>
    <m/>
    <m/>
    <m/>
    <m/>
    <m/>
    <m/>
    <m/>
    <m/>
    <m/>
    <n v="109.60000000000001"/>
    <n v="0"/>
    <n v="0"/>
    <n v="0"/>
    <n v="0"/>
    <n v="4021.6326250000006"/>
    <n v="0"/>
    <n v="3548.4993750000003"/>
    <n v="109.60000000000001"/>
    <n v="219.20000000000002"/>
    <n v="0"/>
    <n v="40200"/>
    <n v="9948.0000000000018"/>
    <n v="0"/>
    <n v="0"/>
    <n v="788.28800000000001"/>
    <n v="27499.669306918353"/>
    <n v="220.5"/>
    <n v="0"/>
    <n v="0"/>
    <n v="3117.36"/>
    <n v="0"/>
    <n v="0"/>
    <n v="0"/>
    <n v="0"/>
    <n v="0"/>
    <n v="0"/>
    <n v="0"/>
    <n v="0"/>
    <n v="0"/>
    <n v="0"/>
    <n v="0"/>
    <n v="0"/>
    <n v="0"/>
    <n v="0"/>
    <n v="0"/>
    <n v="0"/>
    <n v="0"/>
    <n v="0"/>
    <n v="0"/>
    <n v="0"/>
    <n v="0"/>
    <n v="0"/>
    <n v="0"/>
    <n v="0"/>
    <n v="0"/>
    <n v="0"/>
    <n v="0"/>
    <n v="0"/>
    <n v="0"/>
    <n v="0"/>
    <n v="0"/>
    <n v="0"/>
    <n v="0"/>
    <n v="0"/>
    <n v="0"/>
    <n v="0"/>
    <n v="0"/>
    <n v="89782.349306918346"/>
    <n v="95169.290265333446"/>
    <s v=" "/>
    <s v=" "/>
    <s v=" "/>
    <s v=" "/>
    <s v=" "/>
    <s v=" "/>
    <s v=" "/>
    <s v=" "/>
    <s v=" "/>
    <s v=" "/>
    <s v=" "/>
    <s v=" "/>
    <s v=" "/>
    <s v=" "/>
    <x v="13"/>
    <x v="0"/>
    <x v="0"/>
    <x v="0"/>
    <x v="0"/>
    <x v="12"/>
    <x v="0"/>
    <x v="7"/>
    <x v="13"/>
    <x v="16"/>
    <x v="1"/>
    <x v="1"/>
    <x v="8"/>
    <x v="9"/>
    <x v="0"/>
    <x v="0"/>
    <x v="11"/>
    <x v="7"/>
    <x v="0"/>
    <x v="7"/>
    <x v="0"/>
    <x v="10"/>
    <x v="0"/>
    <x v="0"/>
    <x v="0"/>
    <x v="0"/>
    <x v="0"/>
    <x v="6"/>
    <x v="8"/>
    <x v="0"/>
    <x v="0"/>
    <x v="0"/>
    <x v="6"/>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12"/>
    <s v="Concrete Drop Inlet"/>
    <s v="Concrete"/>
    <s v="KS12_008"/>
    <x v="2"/>
    <n v="29.968745555999998"/>
    <n v="-25.807595833000001"/>
    <s v="29° 58' 07.48&quot;E "/>
    <s v="25° 48' 27.34&quot; S"/>
    <s v="Complete"/>
    <s v="Yes"/>
    <s v="Yes"/>
    <d v="2017-02-06T00:00:00"/>
    <s v="YES"/>
    <m/>
    <s v="NBC-GTW-CL-0007"/>
    <s v="Yes"/>
    <s v="00"/>
    <d v="2018-06-16T00:00:00"/>
    <s v="Phase 1"/>
    <s v="Year 1"/>
    <n v="21.44"/>
    <n v="0"/>
    <n v="0"/>
    <n v="0"/>
    <n v="0"/>
    <n v="33.214089999999999"/>
    <n v="0"/>
    <n v="4.9821134999999996"/>
    <n v="21.44"/>
    <n v="21.44"/>
    <n v="0"/>
    <n v="0"/>
    <n v="15.980680000000001"/>
    <n v="28.491999999999997"/>
    <n v="0"/>
    <n v="0"/>
    <s v="Ref 888"/>
    <n v="12.5"/>
    <s v="Ref 617"/>
    <n v="19.456799999999998"/>
    <n v="0"/>
    <n v="30.685690789532799"/>
    <n v="0"/>
    <n v="2"/>
    <n v="0"/>
    <m/>
    <n v="0"/>
    <m/>
    <n v="0"/>
    <n v="4"/>
    <n v="6.66"/>
    <n v="0"/>
    <n v="0"/>
    <n v="0"/>
    <n v="16.603199999999998"/>
    <n v="0"/>
    <n v="0"/>
    <n v="0"/>
    <n v="0"/>
    <n v="0"/>
    <n v="0"/>
    <n v="0"/>
    <n v="0"/>
    <n v="0"/>
    <n v="0"/>
    <n v="0"/>
    <n v="0"/>
    <n v="0"/>
    <n v="0"/>
    <n v="0"/>
    <n v="0"/>
    <n v="0"/>
    <n v="0"/>
    <n v="0"/>
    <n v="0"/>
    <n v="0"/>
    <n v="0"/>
    <n v="0"/>
    <n v="0"/>
    <n v="0"/>
    <n v="0"/>
    <n v="0"/>
    <n v="0"/>
    <n v="0"/>
    <n v="0"/>
    <n v="0"/>
    <n v="0"/>
    <n v="0"/>
    <n v="0"/>
    <n v="0"/>
    <n v="0"/>
    <n v="0"/>
    <n v="0"/>
    <n v="0"/>
    <m/>
    <m/>
    <m/>
    <m/>
    <m/>
    <m/>
    <m/>
    <m/>
    <m/>
    <m/>
    <m/>
    <m/>
    <m/>
    <m/>
    <m/>
    <m/>
    <m/>
    <m/>
    <m/>
    <m/>
    <m/>
    <n v="107.2"/>
    <n v="0"/>
    <n v="0"/>
    <n v="0"/>
    <n v="0"/>
    <n v="2823.1976500000001"/>
    <n v="0"/>
    <n v="2491.0567499999997"/>
    <n v="107.2"/>
    <n v="214.4"/>
    <n v="0"/>
    <n v="31961.360000000004"/>
    <n v="8547.5999999999985"/>
    <n v="0"/>
    <n v="0"/>
    <n v="639.13599999999997"/>
    <n v="21365.699013196321"/>
    <n v="199.8"/>
    <n v="0"/>
    <n v="0"/>
    <n v="1992.3839999999998"/>
    <n v="0"/>
    <n v="0"/>
    <n v="0"/>
    <n v="0"/>
    <n v="0"/>
    <n v="0"/>
    <n v="0"/>
    <n v="0"/>
    <n v="0"/>
    <n v="0"/>
    <n v="0"/>
    <n v="0"/>
    <n v="0"/>
    <n v="0"/>
    <n v="0"/>
    <n v="0"/>
    <n v="0"/>
    <n v="0"/>
    <n v="0"/>
    <n v="0"/>
    <n v="0"/>
    <n v="0"/>
    <n v="0"/>
    <n v="0"/>
    <n v="0"/>
    <n v="0"/>
    <n v="0"/>
    <n v="0"/>
    <n v="0"/>
    <n v="0"/>
    <n v="0"/>
    <n v="0"/>
    <n v="0"/>
    <n v="0"/>
    <n v="0"/>
    <n v="0"/>
    <n v="0"/>
    <n v="70449.033413196332"/>
    <n v="74675.975417988113"/>
    <s v=" "/>
    <s v=" "/>
    <s v=" "/>
    <s v=" "/>
    <s v=" "/>
    <s v=" "/>
    <s v=" "/>
    <s v=" "/>
    <s v=" "/>
    <s v=" "/>
    <s v=" "/>
    <s v=" "/>
    <s v=" "/>
    <s v=" "/>
    <x v="14"/>
    <x v="0"/>
    <x v="0"/>
    <x v="0"/>
    <x v="0"/>
    <x v="13"/>
    <x v="0"/>
    <x v="8"/>
    <x v="14"/>
    <x v="17"/>
    <x v="1"/>
    <x v="1"/>
    <x v="9"/>
    <x v="10"/>
    <x v="0"/>
    <x v="0"/>
    <x v="12"/>
    <x v="8"/>
    <x v="0"/>
    <x v="8"/>
    <x v="0"/>
    <x v="11"/>
    <x v="0"/>
    <x v="0"/>
    <x v="0"/>
    <x v="0"/>
    <x v="0"/>
    <x v="7"/>
    <x v="9"/>
    <x v="0"/>
    <x v="0"/>
    <x v="0"/>
    <x v="7"/>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12"/>
    <s v="Concrete Drop Inlet"/>
    <s v="Concrete"/>
    <s v="KS12_009"/>
    <x v="2"/>
    <n v="29.968314721999999"/>
    <n v="-25.807385556"/>
    <s v="29° 58' 05.93&quot;E "/>
    <s v="25° 48' 26.58&quot; S"/>
    <s v="Complete"/>
    <s v="Yes"/>
    <s v="Yes"/>
    <d v="2017-02-06T00:00:00"/>
    <s v="YES"/>
    <m/>
    <s v="NBC-GTW-CL-0008"/>
    <s v="Yes"/>
    <s v="00"/>
    <d v="2018-06-16T00:00:00"/>
    <s v="Phase 1"/>
    <s v="Year 1"/>
    <n v="21.44"/>
    <n v="0"/>
    <n v="0"/>
    <n v="0"/>
    <n v="0"/>
    <n v="21.461640000000003"/>
    <n v="0"/>
    <n v="3.2192460000000005"/>
    <n v="21.44"/>
    <n v="21.44"/>
    <n v="0"/>
    <n v="0"/>
    <n v="11"/>
    <n v="23.423999999999999"/>
    <n v="0"/>
    <n v="0"/>
    <s v="Ref 888"/>
    <n v="7.5"/>
    <s v="Ref 617"/>
    <n v="15.115199999999998"/>
    <n v="0"/>
    <n v="23.475241258295846"/>
    <n v="0"/>
    <n v="0.89999999999999991"/>
    <n v="0"/>
    <m/>
    <n v="0"/>
    <m/>
    <n v="0"/>
    <n v="3"/>
    <n v="6.36"/>
    <n v="0"/>
    <n v="0"/>
    <n v="0"/>
    <n v="8.985599999999998"/>
    <n v="0"/>
    <n v="0"/>
    <n v="0"/>
    <n v="0"/>
    <n v="0"/>
    <n v="0"/>
    <n v="0"/>
    <n v="0"/>
    <n v="0"/>
    <n v="0"/>
    <n v="0"/>
    <n v="0"/>
    <n v="0"/>
    <n v="0"/>
    <n v="0"/>
    <n v="0"/>
    <n v="0"/>
    <n v="0"/>
    <n v="0"/>
    <n v="0"/>
    <n v="0"/>
    <n v="0"/>
    <n v="0"/>
    <n v="0"/>
    <n v="0"/>
    <n v="0"/>
    <n v="0"/>
    <n v="0"/>
    <n v="0"/>
    <n v="0"/>
    <n v="0"/>
    <n v="0"/>
    <n v="0"/>
    <n v="0"/>
    <n v="0"/>
    <n v="0"/>
    <n v="0"/>
    <n v="0"/>
    <n v="0"/>
    <m/>
    <m/>
    <m/>
    <m/>
    <m/>
    <m/>
    <m/>
    <m/>
    <m/>
    <m/>
    <m/>
    <m/>
    <m/>
    <m/>
    <m/>
    <m/>
    <m/>
    <m/>
    <m/>
    <m/>
    <m/>
    <n v="107.2"/>
    <n v="0"/>
    <n v="0"/>
    <n v="0"/>
    <n v="0"/>
    <n v="1824.2394000000002"/>
    <n v="0"/>
    <n v="1609.6230000000003"/>
    <n v="107.2"/>
    <n v="214.4"/>
    <n v="0"/>
    <n v="22000"/>
    <n v="7027.2"/>
    <n v="0"/>
    <n v="0"/>
    <n v="452.30399999999997"/>
    <n v="15933.906817892299"/>
    <n v="190.8"/>
    <n v="0"/>
    <n v="0"/>
    <n v="1078.2719999999997"/>
    <n v="0"/>
    <n v="0"/>
    <n v="0"/>
    <n v="0"/>
    <n v="0"/>
    <n v="0"/>
    <n v="0"/>
    <n v="0"/>
    <n v="0"/>
    <n v="0"/>
    <n v="0"/>
    <n v="0"/>
    <n v="0"/>
    <n v="0"/>
    <n v="0"/>
    <n v="0"/>
    <n v="0"/>
    <n v="0"/>
    <n v="0"/>
    <n v="0"/>
    <n v="0"/>
    <n v="0"/>
    <n v="0"/>
    <n v="0"/>
    <n v="0"/>
    <n v="0"/>
    <n v="0"/>
    <n v="0"/>
    <n v="0"/>
    <n v="0"/>
    <n v="0"/>
    <n v="0"/>
    <n v="0"/>
    <n v="0"/>
    <n v="0"/>
    <n v="0"/>
    <n v="0"/>
    <n v="50545.145217892292"/>
    <n v="53577.85393096583"/>
    <s v=" "/>
    <s v=" "/>
    <s v=" "/>
    <s v=" "/>
    <s v=" "/>
    <s v=" "/>
    <s v=" "/>
    <s v=" "/>
    <s v=" "/>
    <s v=" "/>
    <s v=" "/>
    <s v=" "/>
    <s v=" "/>
    <s v=" "/>
    <x v="15"/>
    <x v="0"/>
    <x v="0"/>
    <x v="0"/>
    <x v="0"/>
    <x v="14"/>
    <x v="0"/>
    <x v="9"/>
    <x v="15"/>
    <x v="18"/>
    <x v="1"/>
    <x v="1"/>
    <x v="10"/>
    <x v="11"/>
    <x v="0"/>
    <x v="0"/>
    <x v="13"/>
    <x v="9"/>
    <x v="0"/>
    <x v="9"/>
    <x v="0"/>
    <x v="12"/>
    <x v="0"/>
    <x v="0"/>
    <x v="0"/>
    <x v="0"/>
    <x v="0"/>
    <x v="8"/>
    <x v="10"/>
    <x v="0"/>
    <x v="0"/>
    <x v="0"/>
    <x v="8"/>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12"/>
    <s v="Removal of Dam Wall"/>
    <s v="Excavation"/>
    <s v="KS12_010"/>
    <x v="2"/>
    <n v="29.965773056"/>
    <n v="-25.8051125"/>
    <s v="29° 57' 56.78&quot;E "/>
    <s v="25° 48' 18.40&quot; S"/>
    <s v="Complete"/>
    <s v="Yes"/>
    <s v="Yes"/>
    <d v="2017-05-30T00:00:00"/>
    <s v="NA"/>
    <s v="NA"/>
    <s v="No Drawing"/>
    <s v="Yes"/>
    <s v="00"/>
    <d v="2018-06-16T00:00:00"/>
    <s v="Phase 1"/>
    <s v="Year 1"/>
    <n v="619.18547990530158"/>
    <n v="211.894375"/>
    <n v="0"/>
    <n v="0"/>
    <n v="0"/>
    <n v="0"/>
    <n v="0"/>
    <n v="0"/>
    <n v="619.18547990530158"/>
    <n v="619.18547990530158"/>
    <n v="0"/>
    <n v="0"/>
    <n v="0"/>
    <n v="0"/>
    <n v="0"/>
    <n v="0"/>
    <n v="0"/>
    <n v="0"/>
    <n v="0"/>
    <n v="0"/>
    <n v="0"/>
    <n v="0"/>
    <n v="0"/>
    <n v="0"/>
    <n v="0"/>
    <m/>
    <n v="0"/>
    <m/>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n v="3095.927399526508"/>
    <n v="10594.71875"/>
    <n v="0"/>
    <n v="0"/>
    <n v="0"/>
    <n v="0"/>
    <n v="0"/>
    <n v="0"/>
    <n v="3095.927399526508"/>
    <n v="6191.854799053016"/>
    <n v="0"/>
    <n v="0"/>
    <n v="0"/>
    <n v="0"/>
    <n v="0"/>
    <n v="0"/>
    <n v="0"/>
    <n v="0"/>
    <n v="0"/>
    <n v="0"/>
    <n v="0"/>
    <n v="0"/>
    <n v="0"/>
    <n v="0"/>
    <n v="0"/>
    <n v="0"/>
    <n v="0"/>
    <n v="0"/>
    <n v="0"/>
    <n v="0"/>
    <n v="0"/>
    <n v="0"/>
    <n v="0"/>
    <n v="0"/>
    <n v="0"/>
    <n v="0"/>
    <n v="0"/>
    <n v="0"/>
    <n v="0"/>
    <n v="0"/>
    <n v="0"/>
    <n v="0"/>
    <n v="0"/>
    <n v="0"/>
    <n v="0"/>
    <n v="0"/>
    <n v="0"/>
    <n v="0"/>
    <n v="0"/>
    <n v="0"/>
    <n v="0"/>
    <n v="0"/>
    <n v="0"/>
    <n v="0"/>
    <n v="0"/>
    <n v="0"/>
    <n v="0"/>
    <n v="0"/>
    <n v="22978.428348106034"/>
    <n v="24357.134048992397"/>
    <s v=" "/>
    <s v=" "/>
    <s v=" "/>
    <s v=" "/>
    <s v=" "/>
    <s v=" "/>
    <s v=" "/>
    <s v=" "/>
    <s v=" "/>
    <s v=" "/>
    <s v=" "/>
    <s v=" "/>
    <s v=" "/>
    <s v=" "/>
    <x v="16"/>
    <x v="7"/>
    <x v="0"/>
    <x v="0"/>
    <x v="0"/>
    <x v="1"/>
    <x v="0"/>
    <x v="0"/>
    <x v="16"/>
    <x v="19"/>
    <x v="1"/>
    <x v="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13"/>
    <s v="Infilling of Drains"/>
    <s v="Earthworks"/>
    <s v="KS13_001"/>
    <x v="3"/>
    <n v="29.978719999999999"/>
    <n v="-25.818548056000001"/>
    <s v="29° 58' 43.39&quot;E "/>
    <s v="25° 49' 06.77&quot; S"/>
    <s v="Complete"/>
    <s v="Yes"/>
    <s v="Yes"/>
    <d v="2017-04-21T00:00:00"/>
    <s v="NA"/>
    <s v="NA"/>
    <s v="No Drawing"/>
    <s v="Yes"/>
    <s v="00"/>
    <d v="2018-06-16T00:00:00"/>
    <s v="Phase 1"/>
    <s v="Year 1"/>
    <n v="1148.9399859945058"/>
    <n v="0"/>
    <n v="0"/>
    <n v="0"/>
    <n v="0"/>
    <n v="0"/>
    <n v="0"/>
    <n v="0"/>
    <n v="1148.9399859945058"/>
    <n v="0"/>
    <n v="0"/>
    <n v="0"/>
    <n v="0"/>
    <n v="0"/>
    <n v="0"/>
    <n v="0"/>
    <n v="0"/>
    <n v="0"/>
    <n v="0"/>
    <n v="0"/>
    <n v="0"/>
    <n v="0"/>
    <n v="0"/>
    <n v="0"/>
    <n v="0"/>
    <m/>
    <n v="0"/>
    <m/>
    <n v="0"/>
    <n v="0"/>
    <n v="0"/>
    <n v="0"/>
    <n v="0"/>
    <n v="0"/>
    <n v="215"/>
    <n v="0"/>
    <n v="0"/>
    <n v="0"/>
    <n v="0"/>
    <n v="0"/>
    <n v="0"/>
    <n v="0"/>
    <n v="0"/>
    <n v="0"/>
    <n v="0"/>
    <n v="0"/>
    <n v="0"/>
    <n v="0"/>
    <n v="0"/>
    <n v="0"/>
    <n v="0"/>
    <n v="0"/>
    <n v="0"/>
    <n v="0"/>
    <n v="0"/>
    <n v="0"/>
    <n v="0"/>
    <n v="0"/>
    <n v="0"/>
    <n v="0"/>
    <n v="0"/>
    <n v="0"/>
    <n v="0"/>
    <n v="0"/>
    <n v="0"/>
    <n v="0"/>
    <n v="0"/>
    <n v="0"/>
    <n v="0"/>
    <n v="0"/>
    <n v="0"/>
    <n v="0"/>
    <n v="0"/>
    <n v="0"/>
    <n v="0"/>
    <n v="0"/>
    <n v="0"/>
    <n v="0"/>
    <n v="0"/>
    <n v="0"/>
    <n v="0"/>
    <n v="0"/>
    <n v="0"/>
    <n v="0"/>
    <n v="0"/>
    <n v="0"/>
    <m/>
    <m/>
    <m/>
    <m/>
    <m/>
    <m/>
    <m/>
    <m/>
    <m/>
    <n v="5744.6999299725294"/>
    <n v="0"/>
    <n v="0"/>
    <n v="0"/>
    <n v="0"/>
    <n v="0"/>
    <n v="0"/>
    <n v="0"/>
    <n v="5744.6999299725294"/>
    <n v="0"/>
    <n v="0"/>
    <n v="0"/>
    <n v="0"/>
    <n v="0"/>
    <n v="0"/>
    <n v="0"/>
    <n v="0"/>
    <n v="0"/>
    <n v="0"/>
    <n v="0"/>
    <n v="25800"/>
    <n v="0"/>
    <n v="0"/>
    <n v="0"/>
    <n v="0"/>
    <n v="0"/>
    <n v="0"/>
    <n v="0"/>
    <n v="0"/>
    <n v="0"/>
    <n v="0"/>
    <n v="0"/>
    <n v="0"/>
    <n v="0"/>
    <n v="0"/>
    <n v="0"/>
    <n v="0"/>
    <n v="0"/>
    <n v="0"/>
    <n v="0"/>
    <n v="0"/>
    <n v="0"/>
    <n v="0"/>
    <n v="0"/>
    <n v="0"/>
    <n v="0"/>
    <n v="0"/>
    <n v="0"/>
    <n v="0"/>
    <n v="0"/>
    <n v="0"/>
    <n v="0"/>
    <n v="0"/>
    <n v="0"/>
    <n v="0"/>
    <n v="0"/>
    <n v="0"/>
    <n v="0"/>
    <n v="37289.399859945057"/>
    <n v="39526.763851541764"/>
    <s v=" "/>
    <s v=" "/>
    <s v=" "/>
    <s v=" "/>
    <s v=" "/>
    <s v=" "/>
    <s v=" "/>
    <s v=" "/>
    <s v=" "/>
    <s v=" "/>
    <s v=" "/>
    <s v=" "/>
    <s v=" "/>
    <s v=" "/>
    <x v="17"/>
    <x v="0"/>
    <x v="0"/>
    <x v="0"/>
    <x v="0"/>
    <x v="1"/>
    <x v="0"/>
    <x v="0"/>
    <x v="17"/>
    <x v="4"/>
    <x v="1"/>
    <x v="1"/>
    <x v="0"/>
    <x v="0"/>
    <x v="0"/>
    <x v="0"/>
    <x v="0"/>
    <x v="0"/>
    <x v="0"/>
    <x v="0"/>
    <x v="0"/>
    <x v="0"/>
    <x v="0"/>
    <x v="0"/>
    <x v="0"/>
    <x v="0"/>
    <x v="0"/>
    <x v="0"/>
    <x v="0"/>
    <x v="0"/>
    <x v="0"/>
    <x v="0"/>
    <x v="9"/>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13"/>
    <s v="Infilling of Drains"/>
    <s v="Earthworks"/>
    <s v="KS13_002"/>
    <x v="3"/>
    <n v="29.978751388999999"/>
    <n v="-25.818117778000001"/>
    <s v="29° 58' 43.50&quot;E "/>
    <s v="25° 49' 05.22&quot; S"/>
    <s v="Complete"/>
    <s v="Yes"/>
    <s v="Yes"/>
    <d v="2017-04-25T00:00:00"/>
    <s v="NA"/>
    <s v="NA"/>
    <s v="No Drawing"/>
    <s v="Yes"/>
    <s v="00"/>
    <d v="2018-06-16T00:00:00"/>
    <s v="Phase 1"/>
    <s v="Year 1"/>
    <n v="85.81665382639197"/>
    <n v="0"/>
    <n v="0"/>
    <n v="0"/>
    <n v="0"/>
    <n v="0"/>
    <n v="0"/>
    <n v="0"/>
    <n v="85.81665382639197"/>
    <n v="0"/>
    <n v="0"/>
    <n v="0"/>
    <n v="0"/>
    <n v="0"/>
    <n v="0"/>
    <n v="0"/>
    <n v="0"/>
    <n v="0"/>
    <n v="0"/>
    <n v="0"/>
    <n v="0"/>
    <n v="0"/>
    <n v="0"/>
    <n v="0"/>
    <n v="0"/>
    <m/>
    <n v="0"/>
    <m/>
    <n v="0"/>
    <n v="0"/>
    <n v="0"/>
    <n v="0"/>
    <n v="0"/>
    <n v="0"/>
    <n v="15"/>
    <n v="0"/>
    <n v="0"/>
    <n v="0"/>
    <n v="0"/>
    <n v="0"/>
    <n v="0"/>
    <n v="0"/>
    <n v="0"/>
    <n v="0"/>
    <n v="0"/>
    <n v="0"/>
    <n v="0"/>
    <n v="0"/>
    <n v="0"/>
    <n v="0"/>
    <n v="0"/>
    <n v="0"/>
    <n v="0"/>
    <n v="0"/>
    <n v="0"/>
    <n v="0"/>
    <n v="0"/>
    <n v="0"/>
    <n v="0"/>
    <n v="0"/>
    <n v="0"/>
    <n v="0"/>
    <n v="0"/>
    <n v="0"/>
    <n v="0"/>
    <n v="0"/>
    <n v="0"/>
    <n v="0"/>
    <n v="0"/>
    <n v="0"/>
    <n v="0"/>
    <n v="0"/>
    <n v="0"/>
    <n v="0"/>
    <n v="0"/>
    <n v="0"/>
    <n v="0"/>
    <n v="0"/>
    <n v="0"/>
    <n v="0"/>
    <n v="0"/>
    <n v="0"/>
    <n v="0"/>
    <n v="0"/>
    <n v="0"/>
    <n v="0"/>
    <m/>
    <m/>
    <m/>
    <m/>
    <m/>
    <m/>
    <m/>
    <m/>
    <m/>
    <n v="429.08326913195987"/>
    <n v="0"/>
    <n v="0"/>
    <n v="0"/>
    <n v="0"/>
    <n v="0"/>
    <n v="0"/>
    <n v="0"/>
    <n v="429.08326913195987"/>
    <n v="0"/>
    <n v="0"/>
    <n v="0"/>
    <n v="0"/>
    <n v="0"/>
    <n v="0"/>
    <n v="0"/>
    <n v="0"/>
    <n v="0"/>
    <n v="0"/>
    <n v="0"/>
    <n v="1800"/>
    <n v="0"/>
    <n v="0"/>
    <n v="0"/>
    <n v="0"/>
    <n v="0"/>
    <n v="0"/>
    <n v="0"/>
    <n v="0"/>
    <n v="0"/>
    <n v="0"/>
    <n v="0"/>
    <n v="0"/>
    <n v="0"/>
    <n v="0"/>
    <n v="0"/>
    <n v="0"/>
    <n v="0"/>
    <n v="0"/>
    <n v="0"/>
    <n v="0"/>
    <n v="0"/>
    <n v="0"/>
    <n v="0"/>
    <n v="0"/>
    <n v="0"/>
    <n v="0"/>
    <n v="0"/>
    <n v="0"/>
    <n v="0"/>
    <n v="0"/>
    <n v="0"/>
    <n v="0"/>
    <n v="0"/>
    <n v="0"/>
    <n v="0"/>
    <n v="0"/>
    <n v="0"/>
    <n v="2658.1665382639198"/>
    <n v="2817.6565305597551"/>
    <s v=" "/>
    <s v=" "/>
    <s v=" "/>
    <s v=" "/>
    <s v=" "/>
    <s v=" "/>
    <s v=" "/>
    <s v=" "/>
    <s v=" "/>
    <s v=" "/>
    <s v=" "/>
    <s v=" "/>
    <s v=" "/>
    <s v=" "/>
    <x v="18"/>
    <x v="0"/>
    <x v="0"/>
    <x v="0"/>
    <x v="0"/>
    <x v="1"/>
    <x v="0"/>
    <x v="0"/>
    <x v="18"/>
    <x v="4"/>
    <x v="1"/>
    <x v="1"/>
    <x v="0"/>
    <x v="0"/>
    <x v="0"/>
    <x v="0"/>
    <x v="0"/>
    <x v="0"/>
    <x v="0"/>
    <x v="0"/>
    <x v="0"/>
    <x v="0"/>
    <x v="0"/>
    <x v="0"/>
    <x v="0"/>
    <x v="0"/>
    <x v="0"/>
    <x v="0"/>
    <x v="0"/>
    <x v="0"/>
    <x v="0"/>
    <x v="0"/>
    <x v="1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13"/>
    <s v="Concrete Drop Inlet"/>
    <s v="Concrete"/>
    <s v="KS13_003"/>
    <x v="3"/>
    <n v="29.978856110999999"/>
    <n v="-25.817962221999998"/>
    <s v="29° 58' 43.88&quot;E "/>
    <s v="25° 49' 04.66&quot; S"/>
    <s v="Complete"/>
    <s v="Yes"/>
    <s v="Yes"/>
    <d v="2017-02-01T00:00:00"/>
    <s v="YES"/>
    <d v="2017-02-01T00:00:00"/>
    <s v="NBC-GTW-CL-0009"/>
    <s v="Yes"/>
    <s v="00"/>
    <d v="2018-06-16T00:00:00"/>
    <s v="Phase 1"/>
    <s v="Year 1"/>
    <n v="23.200000000000003"/>
    <n v="0"/>
    <n v="0"/>
    <n v="0"/>
    <n v="0"/>
    <n v="44.032499999999992"/>
    <n v="4.403249999999999"/>
    <n v="2.2016249999999995"/>
    <n v="23.200000000000003"/>
    <n v="23.200000000000003"/>
    <n v="0"/>
    <n v="0"/>
    <n v="27.726599999999998"/>
    <n v="43.7"/>
    <n v="0"/>
    <n v="0"/>
    <s v="Ref 888"/>
    <n v="21.558920000000001"/>
    <s v="Ref 655"/>
    <n v="35.522399999999998"/>
    <n v="0"/>
    <n v="49.822834066672044"/>
    <n v="0"/>
    <n v="16.509999999999998"/>
    <n v="0"/>
    <m/>
    <n v="0"/>
    <m/>
    <n v="0"/>
    <n v="8"/>
    <n v="8.3150000000000013"/>
    <n v="0"/>
    <n v="0"/>
    <n v="0"/>
    <n v="12.734999999999999"/>
    <n v="0"/>
    <n v="0"/>
    <n v="0"/>
    <n v="0"/>
    <n v="0"/>
    <n v="0"/>
    <n v="0"/>
    <n v="0"/>
    <n v="0"/>
    <n v="0"/>
    <n v="0"/>
    <n v="0"/>
    <n v="0"/>
    <n v="0"/>
    <n v="0"/>
    <n v="0"/>
    <n v="0"/>
    <n v="0"/>
    <n v="0"/>
    <n v="0"/>
    <n v="0"/>
    <n v="0"/>
    <n v="0"/>
    <n v="0"/>
    <n v="0"/>
    <n v="0"/>
    <n v="0"/>
    <n v="0"/>
    <n v="0"/>
    <n v="0"/>
    <n v="0"/>
    <n v="0"/>
    <n v="0"/>
    <n v="0"/>
    <n v="0"/>
    <n v="0"/>
    <n v="0"/>
    <n v="0"/>
    <n v="0"/>
    <m/>
    <m/>
    <m/>
    <m/>
    <m/>
    <m/>
    <m/>
    <m/>
    <m/>
    <m/>
    <m/>
    <m/>
    <m/>
    <m/>
    <m/>
    <m/>
    <m/>
    <m/>
    <m/>
    <m/>
    <m/>
    <n v="116.00000000000001"/>
    <n v="0"/>
    <n v="0"/>
    <n v="0"/>
    <n v="0"/>
    <n v="3742.7624999999994"/>
    <n v="550.40624999999989"/>
    <n v="1100.8124999999998"/>
    <n v="116.00000000000001"/>
    <n v="232.00000000000003"/>
    <n v="0"/>
    <n v="55453.2"/>
    <n v="13110"/>
    <n v="0"/>
    <n v="0"/>
    <n v="1141.6263999999999"/>
    <n v="43356.342143336828"/>
    <n v="249.45000000000005"/>
    <n v="0"/>
    <n v="0"/>
    <n v="1528.1999999999998"/>
    <n v="0"/>
    <n v="0"/>
    <n v="0"/>
    <n v="0"/>
    <n v="0"/>
    <n v="0"/>
    <n v="0"/>
    <n v="0"/>
    <n v="0"/>
    <n v="0"/>
    <n v="0"/>
    <n v="0"/>
    <n v="0"/>
    <n v="0"/>
    <n v="0"/>
    <n v="0"/>
    <n v="0"/>
    <n v="0"/>
    <n v="0"/>
    <n v="0"/>
    <n v="0"/>
    <n v="0"/>
    <n v="0"/>
    <n v="0"/>
    <n v="0"/>
    <n v="0"/>
    <n v="0"/>
    <n v="0"/>
    <n v="0"/>
    <n v="0"/>
    <n v="0"/>
    <n v="0"/>
    <n v="0"/>
    <n v="0"/>
    <n v="0"/>
    <n v="0"/>
    <n v="0"/>
    <n v="120696.7997933368"/>
    <n v="127938.60778093702"/>
    <s v=" "/>
    <s v=" "/>
    <s v=" "/>
    <s v=" "/>
    <s v=" "/>
    <s v=" "/>
    <s v=" "/>
    <s v=" "/>
    <s v=" "/>
    <s v=" "/>
    <s v=" "/>
    <s v=" "/>
    <s v=" "/>
    <s v=" "/>
    <x v="19"/>
    <x v="0"/>
    <x v="0"/>
    <x v="0"/>
    <x v="0"/>
    <x v="15"/>
    <x v="3"/>
    <x v="10"/>
    <x v="19"/>
    <x v="20"/>
    <x v="1"/>
    <x v="1"/>
    <x v="11"/>
    <x v="12"/>
    <x v="0"/>
    <x v="0"/>
    <x v="14"/>
    <x v="10"/>
    <x v="0"/>
    <x v="10"/>
    <x v="0"/>
    <x v="13"/>
    <x v="0"/>
    <x v="0"/>
    <x v="0"/>
    <x v="0"/>
    <x v="0"/>
    <x v="9"/>
    <x v="11"/>
    <x v="0"/>
    <x v="0"/>
    <x v="0"/>
    <x v="1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13"/>
    <s v="Concrete Check Wall"/>
    <s v="Concrete Check Wall"/>
    <s v="KS13_004"/>
    <x v="3"/>
    <n v="29.978485555999999"/>
    <n v="-25.817717221999999"/>
    <s v="29° 58' 42.54&quot;E "/>
    <s v="25° 49' 03.78&quot; S"/>
    <s v="Complete"/>
    <s v="Yes"/>
    <s v="Yes"/>
    <d v="2017-01-23T00:00:00"/>
    <s v="YES"/>
    <d v="2017-01-23T00:00:00"/>
    <s v="NBC-GTW-CL-0010"/>
    <s v="Yes"/>
    <s v="01"/>
    <d v="2018-12-07T00:00:00"/>
    <s v="Phase 1"/>
    <s v="Year 1"/>
    <m/>
    <n v="0"/>
    <n v="0"/>
    <n v="0"/>
    <n v="0"/>
    <n v="5.3219999999999992"/>
    <m/>
    <m/>
    <m/>
    <m/>
    <m/>
    <m/>
    <n v="5.3219999999999992"/>
    <m/>
    <m/>
    <m/>
    <m/>
    <m/>
    <m/>
    <m/>
    <m/>
    <m/>
    <m/>
    <m/>
    <m/>
    <m/>
    <m/>
    <m/>
    <m/>
    <m/>
    <n v="3.9"/>
    <m/>
    <m/>
    <m/>
    <m/>
    <n v="0"/>
    <n v="0"/>
    <n v="0"/>
    <n v="0"/>
    <n v="0"/>
    <n v="0"/>
    <n v="0"/>
    <n v="0"/>
    <n v="0"/>
    <n v="0"/>
    <n v="0"/>
    <n v="0"/>
    <n v="0"/>
    <n v="0"/>
    <n v="0"/>
    <n v="0"/>
    <n v="0"/>
    <n v="0"/>
    <n v="0"/>
    <n v="0"/>
    <n v="0"/>
    <n v="0"/>
    <n v="0"/>
    <n v="0"/>
    <n v="0"/>
    <n v="0"/>
    <n v="0"/>
    <n v="0"/>
    <n v="0"/>
    <n v="0"/>
    <n v="0"/>
    <n v="0"/>
    <n v="0"/>
    <n v="0"/>
    <n v="0"/>
    <n v="0"/>
    <n v="0"/>
    <n v="0"/>
    <n v="0"/>
    <m/>
    <m/>
    <m/>
    <m/>
    <m/>
    <m/>
    <m/>
    <m/>
    <m/>
    <m/>
    <m/>
    <m/>
    <m/>
    <m/>
    <m/>
    <m/>
    <m/>
    <m/>
    <m/>
    <m/>
    <m/>
    <n v="0"/>
    <n v="0"/>
    <n v="0"/>
    <n v="0"/>
    <n v="0"/>
    <n v="452.36999999999995"/>
    <n v="0"/>
    <n v="0"/>
    <n v="0"/>
    <n v="0"/>
    <n v="0"/>
    <n v="10643.999999999998"/>
    <n v="0"/>
    <n v="0"/>
    <n v="0"/>
    <n v="0"/>
    <n v="0"/>
    <n v="117"/>
    <n v="0"/>
    <n v="0"/>
    <n v="0"/>
    <n v="0"/>
    <n v="0"/>
    <n v="0"/>
    <n v="0"/>
    <n v="0"/>
    <n v="0"/>
    <n v="0"/>
    <n v="0"/>
    <n v="0"/>
    <n v="0"/>
    <n v="0"/>
    <n v="0"/>
    <n v="0"/>
    <n v="0"/>
    <n v="0"/>
    <n v="0"/>
    <n v="0"/>
    <n v="0"/>
    <n v="0"/>
    <n v="0"/>
    <n v="0"/>
    <n v="0"/>
    <n v="0"/>
    <n v="0"/>
    <n v="0"/>
    <n v="0"/>
    <n v="0"/>
    <n v="0"/>
    <n v="0"/>
    <n v="0"/>
    <n v="0"/>
    <n v="0"/>
    <n v="0"/>
    <n v="0"/>
    <n v="0"/>
    <n v="0"/>
    <n v="0"/>
    <n v="11213.369999999999"/>
    <n v="11886.172199999999"/>
    <s v=" "/>
    <s v=" "/>
    <s v=" "/>
    <s v=" "/>
    <s v=" "/>
    <s v=" "/>
    <s v=" "/>
    <s v=" "/>
    <s v=" "/>
    <s v=" "/>
    <s v=" "/>
    <s v=" "/>
    <s v=" "/>
    <s v=" "/>
    <x v="0"/>
    <x v="0"/>
    <x v="0"/>
    <x v="0"/>
    <x v="0"/>
    <x v="16"/>
    <x v="0"/>
    <x v="0"/>
    <x v="0"/>
    <x v="4"/>
    <x v="1"/>
    <x v="1"/>
    <x v="12"/>
    <x v="0"/>
    <x v="0"/>
    <x v="0"/>
    <x v="0"/>
    <x v="0"/>
    <x v="0"/>
    <x v="0"/>
    <x v="0"/>
    <x v="0"/>
    <x v="0"/>
    <x v="0"/>
    <x v="0"/>
    <x v="0"/>
    <x v="0"/>
    <x v="0"/>
    <x v="12"/>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13"/>
    <s v="Concrete Check Wall"/>
    <s v="Concrete Check Wall"/>
    <s v="KS13_005"/>
    <x v="3"/>
    <n v="29.978326111000001"/>
    <n v="-25.817525278000002"/>
    <s v="29° 58' 41.97&quot;E "/>
    <s v="25° 49' 03.09&quot; S"/>
    <s v="Complete"/>
    <s v="Yes"/>
    <s v="Yes"/>
    <d v="2017-01-23T00:00:00"/>
    <s v="YES"/>
    <d v="2017-01-23T00:00:00"/>
    <s v="NBC-GTW-CL-0011"/>
    <s v="Yes"/>
    <s v="01"/>
    <d v="2018-12-07T00:00:00"/>
    <s v="Phase 1"/>
    <s v="Year 1"/>
    <m/>
    <n v="0"/>
    <n v="0"/>
    <n v="0"/>
    <n v="0"/>
    <n v="7.4819999999999984"/>
    <m/>
    <m/>
    <m/>
    <m/>
    <m/>
    <m/>
    <n v="7.4819999999999984"/>
    <m/>
    <m/>
    <m/>
    <m/>
    <m/>
    <m/>
    <m/>
    <m/>
    <m/>
    <m/>
    <m/>
    <m/>
    <m/>
    <m/>
    <m/>
    <m/>
    <m/>
    <n v="3.9"/>
    <m/>
    <m/>
    <m/>
    <m/>
    <n v="0"/>
    <n v="0"/>
    <n v="0"/>
    <n v="0"/>
    <n v="0"/>
    <n v="0"/>
    <n v="0"/>
    <n v="0"/>
    <n v="0"/>
    <n v="0"/>
    <n v="0"/>
    <n v="0"/>
    <n v="0"/>
    <n v="0"/>
    <n v="0"/>
    <n v="0"/>
    <n v="0"/>
    <n v="0"/>
    <n v="0"/>
    <n v="0"/>
    <n v="0"/>
    <n v="0"/>
    <n v="0"/>
    <n v="0"/>
    <n v="0"/>
    <n v="0"/>
    <n v="0"/>
    <n v="0"/>
    <n v="0"/>
    <n v="0"/>
    <n v="0"/>
    <n v="0"/>
    <n v="0"/>
    <n v="0"/>
    <n v="0"/>
    <n v="0"/>
    <n v="0"/>
    <n v="0"/>
    <n v="0"/>
    <m/>
    <m/>
    <m/>
    <m/>
    <m/>
    <m/>
    <m/>
    <m/>
    <m/>
    <m/>
    <m/>
    <m/>
    <m/>
    <m/>
    <m/>
    <m/>
    <m/>
    <m/>
    <m/>
    <m/>
    <m/>
    <n v="0"/>
    <n v="0"/>
    <n v="0"/>
    <n v="0"/>
    <n v="0"/>
    <n v="635.96999999999991"/>
    <n v="0"/>
    <n v="0"/>
    <n v="0"/>
    <n v="0"/>
    <n v="0"/>
    <n v="14963.999999999996"/>
    <n v="0"/>
    <n v="0"/>
    <n v="0"/>
    <n v="0"/>
    <n v="0"/>
    <n v="117"/>
    <n v="0"/>
    <n v="0"/>
    <n v="0"/>
    <n v="0"/>
    <n v="0"/>
    <n v="0"/>
    <n v="0"/>
    <n v="0"/>
    <n v="0"/>
    <n v="0"/>
    <n v="0"/>
    <n v="0"/>
    <n v="0"/>
    <n v="0"/>
    <n v="0"/>
    <n v="0"/>
    <n v="0"/>
    <n v="0"/>
    <n v="0"/>
    <n v="0"/>
    <n v="0"/>
    <n v="0"/>
    <n v="0"/>
    <n v="0"/>
    <n v="0"/>
    <n v="0"/>
    <n v="0"/>
    <n v="0"/>
    <n v="0"/>
    <n v="0"/>
    <n v="0"/>
    <n v="0"/>
    <n v="0"/>
    <n v="0"/>
    <n v="0"/>
    <n v="0"/>
    <n v="0"/>
    <n v="0"/>
    <n v="0"/>
    <n v="0"/>
    <n v="15716.969999999996"/>
    <n v="16659.988199999996"/>
    <s v=" "/>
    <s v=" "/>
    <s v=" "/>
    <s v=" "/>
    <s v=" "/>
    <s v=" "/>
    <s v=" "/>
    <s v=" "/>
    <s v=" "/>
    <s v=" "/>
    <s v=" "/>
    <s v=" "/>
    <s v=" "/>
    <s v=" "/>
    <x v="0"/>
    <x v="0"/>
    <x v="0"/>
    <x v="0"/>
    <x v="0"/>
    <x v="17"/>
    <x v="0"/>
    <x v="0"/>
    <x v="0"/>
    <x v="4"/>
    <x v="1"/>
    <x v="1"/>
    <x v="13"/>
    <x v="0"/>
    <x v="0"/>
    <x v="0"/>
    <x v="0"/>
    <x v="0"/>
    <x v="0"/>
    <x v="0"/>
    <x v="0"/>
    <x v="0"/>
    <x v="0"/>
    <x v="0"/>
    <x v="0"/>
    <x v="0"/>
    <x v="0"/>
    <x v="0"/>
    <x v="13"/>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13"/>
    <s v="Concrete Check Wall"/>
    <s v="Concrete Check Wall"/>
    <s v="KS13_006"/>
    <x v="3"/>
    <n v="29.977215000000001"/>
    <n v="-25.816548889"/>
    <s v="29° 58' 37.97&quot;E "/>
    <s v="25° 48' 59.57&quot; S"/>
    <s v="Complete"/>
    <s v="Yes"/>
    <s v="Yes"/>
    <d v="2017-01-23T00:00:00"/>
    <s v="YES"/>
    <d v="2017-01-23T00:00:00"/>
    <s v="NBC-GTW-CL-0012"/>
    <s v="Yes"/>
    <s v="01"/>
    <d v="2018-12-07T00:00:00"/>
    <s v="Phase 1"/>
    <s v="Year 1"/>
    <m/>
    <n v="0"/>
    <n v="0"/>
    <n v="0"/>
    <n v="0"/>
    <n v="7.402499999999999"/>
    <m/>
    <m/>
    <m/>
    <m/>
    <m/>
    <m/>
    <n v="7.402499999999999"/>
    <m/>
    <m/>
    <m/>
    <m/>
    <m/>
    <m/>
    <m/>
    <m/>
    <m/>
    <m/>
    <m/>
    <m/>
    <m/>
    <m/>
    <m/>
    <m/>
    <m/>
    <n v="4.2"/>
    <m/>
    <m/>
    <m/>
    <m/>
    <n v="0"/>
    <n v="0"/>
    <n v="0"/>
    <n v="0"/>
    <n v="0"/>
    <n v="0"/>
    <n v="0"/>
    <n v="0"/>
    <n v="0"/>
    <n v="0"/>
    <n v="0"/>
    <n v="0"/>
    <n v="0"/>
    <n v="0"/>
    <n v="0"/>
    <n v="0"/>
    <n v="0"/>
    <n v="0"/>
    <n v="0"/>
    <n v="0"/>
    <n v="0"/>
    <n v="0"/>
    <n v="0"/>
    <n v="0"/>
    <n v="0"/>
    <n v="0"/>
    <n v="0"/>
    <n v="0"/>
    <n v="0"/>
    <n v="0"/>
    <n v="0"/>
    <n v="0"/>
    <n v="0"/>
    <n v="0"/>
    <n v="0"/>
    <n v="0"/>
    <n v="0"/>
    <n v="0"/>
    <n v="0"/>
    <m/>
    <m/>
    <m/>
    <m/>
    <m/>
    <m/>
    <m/>
    <m/>
    <m/>
    <m/>
    <m/>
    <m/>
    <m/>
    <m/>
    <m/>
    <m/>
    <m/>
    <m/>
    <m/>
    <m/>
    <m/>
    <n v="0"/>
    <n v="0"/>
    <n v="0"/>
    <n v="0"/>
    <n v="0"/>
    <n v="629.21249999999986"/>
    <n v="0"/>
    <n v="0"/>
    <n v="0"/>
    <n v="0"/>
    <n v="0"/>
    <n v="14804.999999999998"/>
    <n v="0"/>
    <n v="0"/>
    <n v="0"/>
    <n v="0"/>
    <n v="0"/>
    <n v="126"/>
    <n v="0"/>
    <n v="0"/>
    <n v="0"/>
    <n v="0"/>
    <n v="0"/>
    <n v="0"/>
    <n v="0"/>
    <n v="0"/>
    <n v="0"/>
    <n v="0"/>
    <n v="0"/>
    <n v="0"/>
    <n v="0"/>
    <n v="0"/>
    <n v="0"/>
    <n v="0"/>
    <n v="0"/>
    <n v="0"/>
    <n v="0"/>
    <n v="0"/>
    <n v="0"/>
    <n v="0"/>
    <n v="0"/>
    <n v="0"/>
    <n v="0"/>
    <n v="0"/>
    <n v="0"/>
    <n v="0"/>
    <n v="0"/>
    <n v="0"/>
    <n v="0"/>
    <n v="0"/>
    <n v="0"/>
    <n v="0"/>
    <n v="0"/>
    <n v="0"/>
    <n v="0"/>
    <n v="0"/>
    <n v="0"/>
    <n v="0"/>
    <n v="15560.212499999998"/>
    <n v="16493.825249999998"/>
    <s v=" "/>
    <s v=" "/>
    <s v=" "/>
    <s v=" "/>
    <s v=" "/>
    <s v=" "/>
    <s v=" "/>
    <s v=" "/>
    <s v=" "/>
    <s v=" "/>
    <s v=" "/>
    <s v=" "/>
    <s v=" "/>
    <s v=" "/>
    <x v="0"/>
    <x v="0"/>
    <x v="0"/>
    <x v="0"/>
    <x v="0"/>
    <x v="18"/>
    <x v="0"/>
    <x v="0"/>
    <x v="0"/>
    <x v="4"/>
    <x v="1"/>
    <x v="1"/>
    <x v="14"/>
    <x v="0"/>
    <x v="0"/>
    <x v="0"/>
    <x v="0"/>
    <x v="0"/>
    <x v="0"/>
    <x v="0"/>
    <x v="0"/>
    <x v="0"/>
    <x v="0"/>
    <x v="0"/>
    <x v="0"/>
    <x v="0"/>
    <x v="0"/>
    <x v="0"/>
    <x v="14"/>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13"/>
    <s v="Concrete Check Wall"/>
    <s v="Concrete Check Wall"/>
    <s v="KS13_007"/>
    <x v="3"/>
    <n v="29.976766111"/>
    <n v="-25.816078610999998"/>
    <s v="29° 58' 36.35&quot;E "/>
    <s v="25° 48' 57.88&quot; S"/>
    <s v="Complete"/>
    <s v="Yes"/>
    <s v="Yes"/>
    <d v="2017-01-23T00:00:00"/>
    <s v="YES"/>
    <d v="2017-01-23T00:00:00"/>
    <s v="NBC-GTW-CL-0013"/>
    <s v="Yes"/>
    <s v="01"/>
    <d v="2018-12-07T00:00:00"/>
    <s v="Phase 1"/>
    <s v="Year 1"/>
    <m/>
    <n v="0"/>
    <n v="0"/>
    <n v="0"/>
    <n v="0"/>
    <n v="5.8574999999999999"/>
    <m/>
    <m/>
    <m/>
    <m/>
    <m/>
    <m/>
    <n v="5.8574999999999999"/>
    <m/>
    <m/>
    <m/>
    <m/>
    <m/>
    <m/>
    <m/>
    <m/>
    <m/>
    <m/>
    <m/>
    <m/>
    <m/>
    <m/>
    <m/>
    <m/>
    <m/>
    <n v="4.05"/>
    <m/>
    <m/>
    <m/>
    <m/>
    <n v="0"/>
    <n v="0"/>
    <n v="0"/>
    <n v="0"/>
    <n v="0"/>
    <n v="0"/>
    <n v="0"/>
    <n v="0"/>
    <n v="0"/>
    <n v="0"/>
    <n v="0"/>
    <n v="0"/>
    <n v="0"/>
    <n v="0"/>
    <n v="0"/>
    <n v="0"/>
    <n v="0"/>
    <n v="0"/>
    <n v="0"/>
    <n v="0"/>
    <n v="0"/>
    <n v="0"/>
    <n v="0"/>
    <n v="0"/>
    <n v="0"/>
    <n v="0"/>
    <n v="0"/>
    <n v="0"/>
    <n v="0"/>
    <n v="0"/>
    <n v="0"/>
    <n v="0"/>
    <n v="0"/>
    <n v="0"/>
    <n v="0"/>
    <n v="0"/>
    <n v="0"/>
    <n v="0"/>
    <n v="0"/>
    <m/>
    <m/>
    <m/>
    <m/>
    <m/>
    <m/>
    <m/>
    <m/>
    <m/>
    <m/>
    <m/>
    <m/>
    <m/>
    <m/>
    <m/>
    <m/>
    <m/>
    <m/>
    <m/>
    <m/>
    <m/>
    <n v="0"/>
    <n v="0"/>
    <n v="0"/>
    <n v="0"/>
    <n v="0"/>
    <n v="497.88749999999999"/>
    <n v="0"/>
    <n v="0"/>
    <n v="0"/>
    <n v="0"/>
    <n v="0"/>
    <n v="11715"/>
    <n v="0"/>
    <n v="0"/>
    <n v="0"/>
    <n v="0"/>
    <n v="0"/>
    <n v="121.5"/>
    <n v="0"/>
    <n v="0"/>
    <n v="0"/>
    <n v="0"/>
    <n v="0"/>
    <n v="0"/>
    <n v="0"/>
    <n v="0"/>
    <n v="0"/>
    <n v="0"/>
    <n v="0"/>
    <n v="0"/>
    <n v="0"/>
    <n v="0"/>
    <n v="0"/>
    <n v="0"/>
    <n v="0"/>
    <n v="0"/>
    <n v="0"/>
    <n v="0"/>
    <n v="0"/>
    <n v="0"/>
    <n v="0"/>
    <n v="0"/>
    <n v="0"/>
    <n v="0"/>
    <n v="0"/>
    <n v="0"/>
    <n v="0"/>
    <n v="0"/>
    <n v="0"/>
    <n v="0"/>
    <n v="0"/>
    <n v="0"/>
    <n v="0"/>
    <n v="0"/>
    <n v="0"/>
    <n v="0"/>
    <n v="0"/>
    <n v="0"/>
    <n v="12334.387500000001"/>
    <n v="13074.450750000002"/>
    <s v=" "/>
    <s v=" "/>
    <s v=" "/>
    <s v=" "/>
    <s v=" "/>
    <s v=" "/>
    <s v=" "/>
    <s v=" "/>
    <s v=" "/>
    <s v=" "/>
    <s v=" "/>
    <s v=" "/>
    <s v=" "/>
    <s v=" "/>
    <x v="0"/>
    <x v="0"/>
    <x v="0"/>
    <x v="0"/>
    <x v="0"/>
    <x v="19"/>
    <x v="0"/>
    <x v="0"/>
    <x v="0"/>
    <x v="4"/>
    <x v="1"/>
    <x v="1"/>
    <x v="15"/>
    <x v="0"/>
    <x v="0"/>
    <x v="0"/>
    <x v="0"/>
    <x v="0"/>
    <x v="0"/>
    <x v="0"/>
    <x v="0"/>
    <x v="0"/>
    <x v="0"/>
    <x v="0"/>
    <x v="0"/>
    <x v="0"/>
    <x v="0"/>
    <x v="0"/>
    <x v="15"/>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13"/>
    <s v="Concrete Check Wall"/>
    <s v="Concrete Check Wall"/>
    <s v="KS13_008"/>
    <x v="3"/>
    <n v="29.976378333"/>
    <n v="-25.815808400000002"/>
    <s v="29° 58' 34.96&quot;E "/>
    <s v="25° 48' 56.91&quot; S"/>
    <s v="Complete"/>
    <s v="Yes"/>
    <s v="Yes"/>
    <d v="2017-01-23T00:00:00"/>
    <s v="YES"/>
    <d v="2017-01-23T00:00:00"/>
    <s v="NBC-GTW-CL-0014"/>
    <s v="Yes"/>
    <s v="01"/>
    <d v="2018-12-07T00:00:00"/>
    <s v="Phase 1"/>
    <s v="Year 1"/>
    <m/>
    <n v="0"/>
    <n v="0"/>
    <n v="0"/>
    <n v="0"/>
    <n v="7.5149999999999997"/>
    <m/>
    <m/>
    <m/>
    <m/>
    <m/>
    <m/>
    <n v="7.5149999999999997"/>
    <m/>
    <m/>
    <m/>
    <m/>
    <m/>
    <m/>
    <m/>
    <m/>
    <m/>
    <m/>
    <m/>
    <m/>
    <m/>
    <m/>
    <m/>
    <m/>
    <m/>
    <n v="3.75"/>
    <m/>
    <m/>
    <m/>
    <m/>
    <n v="0"/>
    <n v="0"/>
    <n v="0"/>
    <n v="0"/>
    <n v="0"/>
    <n v="0"/>
    <n v="0"/>
    <n v="0"/>
    <n v="0"/>
    <n v="0"/>
    <n v="0"/>
    <n v="0"/>
    <n v="0"/>
    <n v="0"/>
    <n v="0"/>
    <n v="0"/>
    <n v="0"/>
    <n v="0"/>
    <n v="0"/>
    <n v="0"/>
    <n v="0"/>
    <n v="0"/>
    <n v="0"/>
    <n v="0"/>
    <n v="0"/>
    <n v="0"/>
    <n v="0"/>
    <n v="0"/>
    <n v="0"/>
    <n v="0"/>
    <n v="0"/>
    <n v="0"/>
    <n v="0"/>
    <n v="0"/>
    <n v="0"/>
    <n v="0"/>
    <n v="0"/>
    <n v="0"/>
    <n v="0"/>
    <m/>
    <m/>
    <m/>
    <m/>
    <m/>
    <m/>
    <m/>
    <m/>
    <m/>
    <m/>
    <m/>
    <m/>
    <m/>
    <m/>
    <m/>
    <m/>
    <m/>
    <m/>
    <m/>
    <m/>
    <m/>
    <n v="0"/>
    <n v="0"/>
    <n v="0"/>
    <n v="0"/>
    <n v="0"/>
    <n v="638.77499999999998"/>
    <n v="0"/>
    <n v="0"/>
    <n v="0"/>
    <n v="0"/>
    <n v="0"/>
    <n v="15030"/>
    <n v="0"/>
    <n v="0"/>
    <n v="0"/>
    <n v="0"/>
    <n v="0"/>
    <n v="112.5"/>
    <n v="0"/>
    <n v="0"/>
    <n v="0"/>
    <n v="0"/>
    <n v="0"/>
    <n v="0"/>
    <n v="0"/>
    <n v="0"/>
    <n v="0"/>
    <n v="0"/>
    <n v="0"/>
    <n v="0"/>
    <n v="0"/>
    <n v="0"/>
    <n v="0"/>
    <n v="0"/>
    <n v="0"/>
    <n v="0"/>
    <n v="0"/>
    <n v="0"/>
    <n v="0"/>
    <n v="0"/>
    <n v="0"/>
    <n v="0"/>
    <n v="0"/>
    <n v="0"/>
    <n v="0"/>
    <n v="0"/>
    <n v="0"/>
    <n v="0"/>
    <n v="0"/>
    <n v="0"/>
    <n v="0"/>
    <n v="0"/>
    <n v="0"/>
    <n v="0"/>
    <n v="0"/>
    <n v="0"/>
    <n v="0"/>
    <n v="0"/>
    <n v="15781.275"/>
    <n v="16728.1515"/>
    <s v=" "/>
    <s v=" "/>
    <s v=" "/>
    <s v=" "/>
    <s v=" "/>
    <s v=" "/>
    <s v=" "/>
    <s v=" "/>
    <s v=" "/>
    <s v=" "/>
    <s v=" "/>
    <s v=" "/>
    <s v=" "/>
    <s v=" "/>
    <x v="0"/>
    <x v="0"/>
    <x v="0"/>
    <x v="0"/>
    <x v="0"/>
    <x v="20"/>
    <x v="0"/>
    <x v="0"/>
    <x v="0"/>
    <x v="4"/>
    <x v="1"/>
    <x v="1"/>
    <x v="16"/>
    <x v="0"/>
    <x v="0"/>
    <x v="0"/>
    <x v="0"/>
    <x v="0"/>
    <x v="0"/>
    <x v="0"/>
    <x v="0"/>
    <x v="0"/>
    <x v="0"/>
    <x v="0"/>
    <x v="0"/>
    <x v="0"/>
    <x v="0"/>
    <x v="0"/>
    <x v="16"/>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13"/>
    <s v="Infilling of Drains"/>
    <s v="Earthworks"/>
    <s v="KS13_009"/>
    <x v="3"/>
    <n v="29.976185277999999"/>
    <n v="-25.815637221999999"/>
    <s v="29° 58' 34.26&quot;E "/>
    <s v="25° 48' 56.29&quot; S"/>
    <s v="Complete"/>
    <s v="Yes"/>
    <s v="Yes"/>
    <d v="2017-04-25T00:00:00"/>
    <s v="NA"/>
    <s v="NA"/>
    <s v="No Drawing"/>
    <s v="Yes"/>
    <s v="00"/>
    <d v="2018-06-16T00:00:00"/>
    <s v="Phase 1"/>
    <s v="Year 1"/>
    <n v="78.571670860393255"/>
    <n v="0"/>
    <n v="0"/>
    <n v="0"/>
    <n v="0"/>
    <n v="0"/>
    <n v="0"/>
    <n v="0"/>
    <n v="78.571670860393255"/>
    <n v="78.571670860393255"/>
    <n v="0"/>
    <n v="0"/>
    <n v="0"/>
    <n v="0"/>
    <n v="0"/>
    <n v="0"/>
    <n v="0"/>
    <n v="0"/>
    <n v="0"/>
    <n v="0"/>
    <n v="0"/>
    <n v="0"/>
    <n v="0"/>
    <n v="0"/>
    <n v="0"/>
    <m/>
    <n v="0"/>
    <m/>
    <n v="0"/>
    <n v="0"/>
    <n v="0"/>
    <n v="0"/>
    <n v="0"/>
    <n v="0"/>
    <n v="12.538499999999997"/>
    <n v="0"/>
    <n v="0"/>
    <n v="0"/>
    <n v="0"/>
    <n v="0"/>
    <n v="0"/>
    <n v="0"/>
    <n v="0"/>
    <n v="0"/>
    <n v="0"/>
    <n v="0"/>
    <n v="0"/>
    <n v="0"/>
    <n v="0"/>
    <n v="0"/>
    <n v="0"/>
    <n v="0"/>
    <n v="0"/>
    <n v="0"/>
    <n v="0"/>
    <n v="0"/>
    <n v="0"/>
    <n v="0"/>
    <n v="0"/>
    <n v="0"/>
    <n v="0"/>
    <n v="0"/>
    <n v="0"/>
    <n v="0"/>
    <n v="0"/>
    <n v="0"/>
    <n v="0"/>
    <n v="0"/>
    <n v="0"/>
    <n v="0"/>
    <n v="0"/>
    <n v="0"/>
    <n v="0"/>
    <n v="0"/>
    <n v="0"/>
    <n v="0"/>
    <n v="0"/>
    <n v="0"/>
    <n v="0"/>
    <n v="0"/>
    <n v="0"/>
    <n v="0"/>
    <n v="0"/>
    <n v="0"/>
    <n v="0"/>
    <n v="0"/>
    <m/>
    <m/>
    <m/>
    <m/>
    <m/>
    <m/>
    <m/>
    <m/>
    <m/>
    <n v="392.8583543019663"/>
    <n v="0"/>
    <n v="0"/>
    <n v="0"/>
    <n v="0"/>
    <n v="0"/>
    <n v="0"/>
    <n v="0"/>
    <n v="392.8583543019663"/>
    <n v="785.7167086039326"/>
    <n v="0"/>
    <n v="0"/>
    <n v="0"/>
    <n v="0"/>
    <n v="0"/>
    <n v="0"/>
    <n v="0"/>
    <n v="0"/>
    <n v="0"/>
    <n v="0"/>
    <n v="1504.6199999999997"/>
    <n v="0"/>
    <n v="0"/>
    <n v="0"/>
    <n v="0"/>
    <n v="0"/>
    <n v="0"/>
    <n v="0"/>
    <n v="0"/>
    <n v="0"/>
    <n v="0"/>
    <n v="0"/>
    <n v="0"/>
    <n v="0"/>
    <n v="0"/>
    <n v="0"/>
    <n v="0"/>
    <n v="0"/>
    <n v="0"/>
    <n v="0"/>
    <n v="0"/>
    <n v="0"/>
    <n v="0"/>
    <n v="0"/>
    <n v="0"/>
    <n v="0"/>
    <n v="0"/>
    <n v="0"/>
    <n v="0"/>
    <n v="0"/>
    <n v="0"/>
    <n v="0"/>
    <n v="0"/>
    <n v="0"/>
    <n v="0"/>
    <n v="0"/>
    <n v="0"/>
    <n v="0"/>
    <n v="3076.0534172078651"/>
    <n v="3260.6166222403372"/>
    <s v=" "/>
    <s v=" "/>
    <s v=" "/>
    <s v=" "/>
    <s v=" "/>
    <s v=" "/>
    <s v=" "/>
    <s v=" "/>
    <s v=" "/>
    <s v=" "/>
    <s v=" "/>
    <s v=" "/>
    <s v=" "/>
    <s v=" "/>
    <x v="20"/>
    <x v="0"/>
    <x v="0"/>
    <x v="0"/>
    <x v="0"/>
    <x v="1"/>
    <x v="0"/>
    <x v="0"/>
    <x v="20"/>
    <x v="21"/>
    <x v="1"/>
    <x v="1"/>
    <x v="0"/>
    <x v="0"/>
    <x v="0"/>
    <x v="0"/>
    <x v="0"/>
    <x v="0"/>
    <x v="0"/>
    <x v="0"/>
    <x v="0"/>
    <x v="0"/>
    <x v="0"/>
    <x v="0"/>
    <x v="0"/>
    <x v="0"/>
    <x v="0"/>
    <x v="0"/>
    <x v="0"/>
    <x v="0"/>
    <x v="0"/>
    <x v="0"/>
    <x v="12"/>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13"/>
    <s v="Removal of Berm"/>
    <s v="Excavation"/>
    <s v="KS13_010"/>
    <x v="3"/>
    <n v="29.975885278"/>
    <n v="-25.815651388999999"/>
    <s v="29° 58' 33.18&quot;E "/>
    <s v="25° 48' 56.34&quot; S"/>
    <s v="Complete"/>
    <s v="Yes"/>
    <s v="Yes"/>
    <d v="2017-04-25T00:00:00"/>
    <s v="NA"/>
    <s v="NA"/>
    <s v="No Drawing"/>
    <s v="Yes"/>
    <s v="00"/>
    <d v="2018-06-16T00:00:00"/>
    <s v="Phase 1"/>
    <s v="Year 1"/>
    <n v="1868.0949685772146"/>
    <n v="336.92505000000006"/>
    <n v="0"/>
    <n v="0"/>
    <n v="0"/>
    <n v="0"/>
    <n v="0"/>
    <n v="0"/>
    <n v="1020.985"/>
    <n v="1020.985"/>
    <n v="150"/>
    <n v="0"/>
    <n v="0"/>
    <n v="0"/>
    <n v="0"/>
    <n v="0"/>
    <n v="0"/>
    <n v="0"/>
    <n v="0"/>
    <n v="0"/>
    <n v="0"/>
    <n v="0"/>
    <n v="0"/>
    <n v="0"/>
    <n v="0"/>
    <m/>
    <n v="0"/>
    <m/>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n v="9340.474842886073"/>
    <n v="16846.252500000002"/>
    <n v="0"/>
    <n v="0"/>
    <n v="0"/>
    <n v="0"/>
    <n v="0"/>
    <n v="0"/>
    <n v="5104.9250000000002"/>
    <n v="10209.85"/>
    <n v="0"/>
    <n v="0"/>
    <n v="0"/>
    <n v="0"/>
    <n v="0"/>
    <n v="0"/>
    <n v="0"/>
    <n v="0"/>
    <n v="0"/>
    <n v="0"/>
    <n v="0"/>
    <n v="0"/>
    <n v="0"/>
    <n v="0"/>
    <n v="0"/>
    <n v="0"/>
    <n v="0"/>
    <n v="0"/>
    <n v="0"/>
    <n v="0"/>
    <n v="0"/>
    <n v="0"/>
    <n v="0"/>
    <n v="0"/>
    <n v="0"/>
    <n v="0"/>
    <n v="0"/>
    <n v="0"/>
    <n v="0"/>
    <n v="0"/>
    <n v="0"/>
    <n v="0"/>
    <n v="0"/>
    <n v="0"/>
    <n v="0"/>
    <n v="0"/>
    <n v="0"/>
    <n v="0"/>
    <n v="0"/>
    <n v="0"/>
    <n v="0"/>
    <n v="0"/>
    <n v="0"/>
    <n v="0"/>
    <n v="0"/>
    <n v="0"/>
    <n v="0"/>
    <n v="0"/>
    <n v="41501.502342886073"/>
    <n v="43991.592483459237"/>
    <s v=" "/>
    <s v=" "/>
    <s v=" "/>
    <s v=" "/>
    <s v=" "/>
    <s v=" "/>
    <s v=" "/>
    <s v=" "/>
    <s v=" "/>
    <s v=" "/>
    <s v=" "/>
    <s v=" "/>
    <s v=" "/>
    <s v=" "/>
    <x v="21"/>
    <x v="8"/>
    <x v="0"/>
    <x v="0"/>
    <x v="0"/>
    <x v="1"/>
    <x v="0"/>
    <x v="0"/>
    <x v="21"/>
    <x v="22"/>
    <x v="2"/>
    <x v="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13"/>
    <s v="Concrete Check Wall"/>
    <s v="Concrete Check Wall"/>
    <s v="KS13_011"/>
    <x v="3"/>
    <n v="29.975739443999998"/>
    <n v="-25.815501389000001"/>
    <s v="29° 58' 32.66&quot;E "/>
    <s v="25° 48' 55.80&quot; S"/>
    <s v="Complete"/>
    <s v="Yes"/>
    <s v="Yes"/>
    <d v="2017-02-01T00:00:00"/>
    <s v="YES"/>
    <d v="2017-02-01T00:00:00"/>
    <s v="NBC-GTW-CL-0015"/>
    <s v="Yes"/>
    <s v="01"/>
    <d v="2018-12-07T00:00:00"/>
    <s v="Phase 1"/>
    <s v="Year 1"/>
    <m/>
    <n v="0"/>
    <n v="0"/>
    <n v="0"/>
    <n v="0"/>
    <n v="6.6959999999999997"/>
    <m/>
    <m/>
    <m/>
    <m/>
    <m/>
    <m/>
    <n v="6.6959999999999997"/>
    <m/>
    <m/>
    <m/>
    <m/>
    <m/>
    <m/>
    <m/>
    <m/>
    <m/>
    <m/>
    <m/>
    <m/>
    <m/>
    <m/>
    <m/>
    <m/>
    <m/>
    <n v="4.5"/>
    <n v="0"/>
    <n v="0"/>
    <n v="0"/>
    <m/>
    <n v="0"/>
    <n v="0"/>
    <n v="0"/>
    <n v="0"/>
    <n v="0"/>
    <n v="0"/>
    <n v="0"/>
    <n v="0"/>
    <n v="0"/>
    <n v="0"/>
    <n v="0"/>
    <n v="0"/>
    <n v="0"/>
    <n v="0"/>
    <n v="0"/>
    <n v="0"/>
    <n v="0"/>
    <n v="0"/>
    <n v="0"/>
    <n v="0"/>
    <n v="0"/>
    <n v="0"/>
    <n v="0"/>
    <n v="0"/>
    <n v="0"/>
    <n v="0"/>
    <n v="0"/>
    <n v="0"/>
    <n v="0"/>
    <n v="0"/>
    <n v="0"/>
    <n v="0"/>
    <n v="0"/>
    <n v="0"/>
    <n v="0"/>
    <n v="0"/>
    <n v="0"/>
    <n v="0"/>
    <n v="0"/>
    <m/>
    <m/>
    <m/>
    <m/>
    <m/>
    <m/>
    <m/>
    <m/>
    <m/>
    <m/>
    <m/>
    <m/>
    <m/>
    <m/>
    <m/>
    <m/>
    <m/>
    <m/>
    <m/>
    <m/>
    <m/>
    <n v="0"/>
    <n v="0"/>
    <n v="0"/>
    <n v="0"/>
    <n v="0"/>
    <n v="569.16"/>
    <n v="0"/>
    <n v="0"/>
    <n v="0"/>
    <n v="0"/>
    <n v="0"/>
    <n v="13392"/>
    <n v="0"/>
    <n v="0"/>
    <n v="0"/>
    <n v="0"/>
    <n v="0"/>
    <n v="135"/>
    <n v="0"/>
    <n v="0"/>
    <n v="0"/>
    <n v="0"/>
    <n v="0"/>
    <n v="0"/>
    <n v="0"/>
    <n v="0"/>
    <n v="0"/>
    <n v="0"/>
    <n v="0"/>
    <n v="0"/>
    <n v="0"/>
    <n v="0"/>
    <n v="0"/>
    <n v="0"/>
    <n v="0"/>
    <n v="0"/>
    <n v="0"/>
    <n v="0"/>
    <n v="0"/>
    <n v="0"/>
    <n v="0"/>
    <n v="0"/>
    <n v="0"/>
    <n v="0"/>
    <n v="0"/>
    <n v="0"/>
    <n v="0"/>
    <n v="0"/>
    <n v="0"/>
    <n v="0"/>
    <n v="0"/>
    <n v="0"/>
    <n v="0"/>
    <n v="0"/>
    <n v="0"/>
    <n v="0"/>
    <n v="0"/>
    <n v="0"/>
    <n v="14096.16"/>
    <n v="14941.929600000001"/>
    <s v=" "/>
    <s v=" "/>
    <s v=" "/>
    <s v=" "/>
    <s v=" "/>
    <s v=" "/>
    <s v=" "/>
    <s v=" "/>
    <s v=" "/>
    <s v=" "/>
    <s v=" "/>
    <s v=" "/>
    <s v=" "/>
    <s v=" "/>
    <x v="0"/>
    <x v="0"/>
    <x v="0"/>
    <x v="0"/>
    <x v="0"/>
    <x v="21"/>
    <x v="0"/>
    <x v="0"/>
    <x v="0"/>
    <x v="4"/>
    <x v="1"/>
    <x v="1"/>
    <x v="17"/>
    <x v="0"/>
    <x v="0"/>
    <x v="0"/>
    <x v="0"/>
    <x v="0"/>
    <x v="0"/>
    <x v="0"/>
    <x v="0"/>
    <x v="0"/>
    <x v="0"/>
    <x v="0"/>
    <x v="0"/>
    <x v="0"/>
    <x v="0"/>
    <x v="0"/>
    <x v="17"/>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13"/>
    <s v="Concrete Check Wall"/>
    <s v="Concrete Check Wall"/>
    <s v="KS13_012"/>
    <x v="3"/>
    <n v="29.975463610999999"/>
    <n v="-25.815300277999999"/>
    <s v="29° 58' 31.66&quot;E "/>
    <s v="25° 48' 55.08&quot; S"/>
    <s v="Complete"/>
    <s v="Yes"/>
    <s v="Yes"/>
    <d v="2017-02-01T00:00:00"/>
    <s v="YES"/>
    <d v="2017-02-01T00:00:00"/>
    <s v="NBC-GTW-CL-0016"/>
    <s v="Yes"/>
    <s v="01"/>
    <d v="2018-12-07T00:00:00"/>
    <s v="Phase 1"/>
    <s v="Year 1"/>
    <m/>
    <n v="0"/>
    <n v="0"/>
    <n v="0"/>
    <n v="0"/>
    <n v="6.0120000000000005"/>
    <m/>
    <m/>
    <m/>
    <m/>
    <m/>
    <m/>
    <n v="6.0120000000000005"/>
    <m/>
    <m/>
    <m/>
    <m/>
    <m/>
    <m/>
    <m/>
    <m/>
    <m/>
    <m/>
    <m/>
    <m/>
    <m/>
    <m/>
    <m/>
    <m/>
    <m/>
    <n v="3.5999999999999996"/>
    <n v="0"/>
    <n v="0"/>
    <n v="0"/>
    <m/>
    <n v="0"/>
    <n v="0"/>
    <n v="0"/>
    <n v="0"/>
    <n v="0"/>
    <n v="0"/>
    <n v="0"/>
    <n v="0"/>
    <n v="0"/>
    <n v="0"/>
    <n v="0"/>
    <n v="0"/>
    <n v="0"/>
    <n v="0"/>
    <n v="0"/>
    <n v="0"/>
    <n v="0"/>
    <n v="0"/>
    <n v="0"/>
    <n v="0"/>
    <n v="0"/>
    <n v="0"/>
    <n v="0"/>
    <n v="0"/>
    <n v="0"/>
    <n v="0"/>
    <n v="0"/>
    <n v="0"/>
    <n v="0"/>
    <n v="0"/>
    <n v="0"/>
    <n v="0"/>
    <n v="0"/>
    <n v="0"/>
    <n v="0"/>
    <n v="0"/>
    <n v="0"/>
    <n v="0"/>
    <n v="0"/>
    <m/>
    <m/>
    <m/>
    <m/>
    <m/>
    <m/>
    <m/>
    <m/>
    <m/>
    <m/>
    <m/>
    <m/>
    <m/>
    <m/>
    <m/>
    <m/>
    <m/>
    <m/>
    <m/>
    <m/>
    <m/>
    <n v="0"/>
    <n v="0"/>
    <n v="0"/>
    <n v="0"/>
    <n v="0"/>
    <n v="511.02000000000004"/>
    <n v="0"/>
    <n v="0"/>
    <n v="0"/>
    <n v="0"/>
    <n v="0"/>
    <n v="12024"/>
    <n v="0"/>
    <n v="0"/>
    <n v="0"/>
    <n v="0"/>
    <n v="0"/>
    <n v="107.99999999999999"/>
    <n v="0"/>
    <n v="0"/>
    <n v="0"/>
    <n v="0"/>
    <n v="0"/>
    <n v="0"/>
    <n v="0"/>
    <n v="0"/>
    <n v="0"/>
    <n v="0"/>
    <n v="0"/>
    <n v="0"/>
    <n v="0"/>
    <n v="0"/>
    <n v="0"/>
    <n v="0"/>
    <n v="0"/>
    <n v="0"/>
    <n v="0"/>
    <n v="0"/>
    <n v="0"/>
    <n v="0"/>
    <n v="0"/>
    <n v="0"/>
    <n v="0"/>
    <n v="0"/>
    <n v="0"/>
    <n v="0"/>
    <n v="0"/>
    <n v="0"/>
    <n v="0"/>
    <n v="0"/>
    <n v="0"/>
    <n v="0"/>
    <n v="0"/>
    <n v="0"/>
    <n v="0"/>
    <n v="0"/>
    <n v="0"/>
    <n v="0"/>
    <n v="12643.02"/>
    <n v="13401.601200000001"/>
    <s v=" "/>
    <s v=" "/>
    <s v=" "/>
    <s v=" "/>
    <s v=" "/>
    <s v=" "/>
    <s v=" "/>
    <s v=" "/>
    <s v=" "/>
    <s v=" "/>
    <s v=" "/>
    <s v=" "/>
    <s v=" "/>
    <s v=" "/>
    <x v="0"/>
    <x v="0"/>
    <x v="0"/>
    <x v="0"/>
    <x v="0"/>
    <x v="22"/>
    <x v="0"/>
    <x v="0"/>
    <x v="0"/>
    <x v="4"/>
    <x v="1"/>
    <x v="1"/>
    <x v="18"/>
    <x v="0"/>
    <x v="0"/>
    <x v="0"/>
    <x v="0"/>
    <x v="0"/>
    <x v="0"/>
    <x v="0"/>
    <x v="0"/>
    <x v="0"/>
    <x v="0"/>
    <x v="0"/>
    <x v="0"/>
    <x v="0"/>
    <x v="0"/>
    <x v="0"/>
    <x v="18"/>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13"/>
    <s v="Concrete Check Wall"/>
    <s v="Concrete Check Wall"/>
    <s v="KS13_013"/>
    <x v="3"/>
    <n v="29.974538889000002"/>
    <n v="-25.814845556000002"/>
    <s v="29° 58' 28.34&quot;E "/>
    <s v="25° 48' 53.44&quot; S"/>
    <s v="Complete"/>
    <s v="Yes"/>
    <s v="Yes"/>
    <d v="2017-02-01T00:00:00"/>
    <s v="YES"/>
    <d v="2017-02-01T00:00:00"/>
    <s v="NBC-GTW-CL-0017"/>
    <s v="Yes"/>
    <s v="01"/>
    <d v="2018-12-07T00:00:00"/>
    <s v="Phase 1"/>
    <s v="Year 1"/>
    <m/>
    <n v="0"/>
    <n v="0"/>
    <n v="0"/>
    <n v="0"/>
    <n v="5.1659999999999995"/>
    <m/>
    <m/>
    <m/>
    <m/>
    <m/>
    <m/>
    <n v="5.1659999999999995"/>
    <m/>
    <m/>
    <m/>
    <m/>
    <m/>
    <m/>
    <m/>
    <m/>
    <m/>
    <m/>
    <m/>
    <m/>
    <m/>
    <m/>
    <m/>
    <m/>
    <m/>
    <n v="3.5999999999999996"/>
    <n v="0"/>
    <n v="0"/>
    <n v="0"/>
    <m/>
    <n v="0"/>
    <n v="0"/>
    <n v="0"/>
    <n v="0"/>
    <n v="0"/>
    <n v="0"/>
    <n v="0"/>
    <n v="0"/>
    <n v="0"/>
    <n v="0"/>
    <n v="0"/>
    <n v="0"/>
    <n v="0"/>
    <n v="0"/>
    <n v="0"/>
    <n v="0"/>
    <n v="0"/>
    <n v="0"/>
    <n v="0"/>
    <n v="0"/>
    <n v="0"/>
    <n v="0"/>
    <n v="0"/>
    <n v="0"/>
    <n v="0"/>
    <n v="0"/>
    <n v="0"/>
    <n v="0"/>
    <n v="0"/>
    <n v="0"/>
    <n v="0"/>
    <n v="0"/>
    <n v="0"/>
    <n v="0"/>
    <n v="0"/>
    <n v="0"/>
    <n v="0"/>
    <n v="0"/>
    <n v="0"/>
    <m/>
    <m/>
    <m/>
    <m/>
    <m/>
    <m/>
    <m/>
    <m/>
    <m/>
    <m/>
    <m/>
    <m/>
    <m/>
    <m/>
    <m/>
    <m/>
    <m/>
    <m/>
    <m/>
    <m/>
    <m/>
    <n v="0"/>
    <n v="0"/>
    <n v="0"/>
    <n v="0"/>
    <n v="0"/>
    <n v="439.10999999999996"/>
    <n v="0"/>
    <n v="0"/>
    <n v="0"/>
    <n v="0"/>
    <n v="0"/>
    <n v="10331.999999999998"/>
    <n v="0"/>
    <n v="0"/>
    <n v="0"/>
    <n v="0"/>
    <n v="0"/>
    <n v="107.99999999999999"/>
    <n v="0"/>
    <n v="0"/>
    <n v="0"/>
    <n v="0"/>
    <n v="0"/>
    <n v="0"/>
    <n v="0"/>
    <n v="0"/>
    <n v="0"/>
    <n v="0"/>
    <n v="0"/>
    <n v="0"/>
    <n v="0"/>
    <n v="0"/>
    <n v="0"/>
    <n v="0"/>
    <n v="0"/>
    <n v="0"/>
    <n v="0"/>
    <n v="0"/>
    <n v="0"/>
    <n v="0"/>
    <n v="0"/>
    <n v="0"/>
    <n v="0"/>
    <n v="0"/>
    <n v="0"/>
    <n v="0"/>
    <n v="0"/>
    <n v="0"/>
    <n v="0"/>
    <n v="0"/>
    <n v="0"/>
    <n v="0"/>
    <n v="0"/>
    <n v="0"/>
    <n v="0"/>
    <n v="0"/>
    <n v="0"/>
    <n v="0"/>
    <n v="10879.109999999999"/>
    <n v="11531.856599999999"/>
    <s v=" "/>
    <s v=" "/>
    <s v=" "/>
    <s v=" "/>
    <s v=" "/>
    <s v=" "/>
    <s v=" "/>
    <s v=" "/>
    <s v=" "/>
    <s v=" "/>
    <s v=" "/>
    <s v=" "/>
    <s v=" "/>
    <s v=" "/>
    <x v="0"/>
    <x v="0"/>
    <x v="0"/>
    <x v="0"/>
    <x v="0"/>
    <x v="23"/>
    <x v="0"/>
    <x v="0"/>
    <x v="0"/>
    <x v="4"/>
    <x v="1"/>
    <x v="1"/>
    <x v="19"/>
    <x v="0"/>
    <x v="0"/>
    <x v="0"/>
    <x v="0"/>
    <x v="0"/>
    <x v="0"/>
    <x v="0"/>
    <x v="0"/>
    <x v="0"/>
    <x v="0"/>
    <x v="0"/>
    <x v="0"/>
    <x v="0"/>
    <x v="0"/>
    <x v="0"/>
    <x v="19"/>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13"/>
    <s v="Infilling of Drains"/>
    <s v="Earthworks"/>
    <s v="KS13_014"/>
    <x v="3"/>
    <n v="29.974613889"/>
    <n v="-25.815002499999999"/>
    <s v="29° 58' 28.61&quot;E "/>
    <s v="25° 48' 54.00&quot; S"/>
    <s v="Complete"/>
    <s v="Yes"/>
    <s v="Yes"/>
    <d v="2017-04-25T00:00:00"/>
    <s v="NA"/>
    <s v="NA"/>
    <s v="No Drawing"/>
    <s v="Yes"/>
    <s v="00"/>
    <d v="2018-06-16T00:00:00"/>
    <s v="Phase 1"/>
    <s v="Year 1"/>
    <n v="278.71659832128807"/>
    <n v="0"/>
    <n v="0"/>
    <n v="0"/>
    <n v="0"/>
    <n v="0"/>
    <n v="0"/>
    <n v="0"/>
    <n v="278.71659832128807"/>
    <n v="278.71659832128807"/>
    <n v="0"/>
    <n v="0"/>
    <n v="0"/>
    <n v="0"/>
    <n v="0"/>
    <n v="0"/>
    <n v="0"/>
    <n v="0"/>
    <n v="0"/>
    <n v="0"/>
    <n v="0"/>
    <n v="0"/>
    <n v="0"/>
    <n v="0"/>
    <n v="0"/>
    <m/>
    <n v="0"/>
    <m/>
    <n v="0"/>
    <n v="0"/>
    <n v="0"/>
    <n v="0"/>
    <n v="0"/>
    <n v="0"/>
    <n v="64.842659999999995"/>
    <n v="0"/>
    <n v="0"/>
    <n v="0"/>
    <n v="0"/>
    <n v="0"/>
    <n v="0"/>
    <n v="0"/>
    <n v="0"/>
    <n v="0"/>
    <n v="0"/>
    <n v="0"/>
    <n v="0"/>
    <n v="0"/>
    <n v="0"/>
    <n v="0"/>
    <n v="0"/>
    <n v="0"/>
    <n v="0"/>
    <n v="0"/>
    <n v="0"/>
    <n v="0"/>
    <n v="0"/>
    <n v="0"/>
    <n v="0"/>
    <n v="0"/>
    <n v="0"/>
    <n v="0"/>
    <n v="0"/>
    <n v="0"/>
    <n v="0"/>
    <n v="0"/>
    <n v="0"/>
    <n v="0"/>
    <n v="0"/>
    <n v="0"/>
    <n v="0"/>
    <n v="0"/>
    <n v="0"/>
    <n v="0"/>
    <n v="0"/>
    <n v="0"/>
    <n v="0"/>
    <n v="0"/>
    <n v="0"/>
    <n v="0"/>
    <n v="0"/>
    <n v="0"/>
    <n v="0"/>
    <n v="0"/>
    <n v="0"/>
    <n v="0"/>
    <m/>
    <m/>
    <m/>
    <m/>
    <m/>
    <m/>
    <m/>
    <m/>
    <m/>
    <n v="1393.5829916064404"/>
    <n v="0"/>
    <n v="0"/>
    <n v="0"/>
    <n v="0"/>
    <n v="0"/>
    <n v="0"/>
    <n v="0"/>
    <n v="1393.5829916064404"/>
    <n v="2787.1659832128807"/>
    <n v="0"/>
    <n v="0"/>
    <n v="0"/>
    <n v="0"/>
    <n v="0"/>
    <n v="0"/>
    <n v="0"/>
    <n v="0"/>
    <n v="0"/>
    <n v="0"/>
    <n v="7781.1191999999992"/>
    <n v="0"/>
    <n v="0"/>
    <n v="0"/>
    <n v="0"/>
    <n v="0"/>
    <n v="0"/>
    <n v="0"/>
    <n v="0"/>
    <n v="0"/>
    <n v="0"/>
    <n v="0"/>
    <n v="0"/>
    <n v="0"/>
    <n v="0"/>
    <n v="0"/>
    <n v="0"/>
    <n v="0"/>
    <n v="0"/>
    <n v="0"/>
    <n v="0"/>
    <n v="0"/>
    <n v="0"/>
    <n v="0"/>
    <n v="0"/>
    <n v="0"/>
    <n v="0"/>
    <n v="0"/>
    <n v="0"/>
    <n v="0"/>
    <n v="0"/>
    <n v="0"/>
    <n v="0"/>
    <n v="0"/>
    <n v="0"/>
    <n v="0"/>
    <n v="0"/>
    <n v="0"/>
    <n v="13355.451166425761"/>
    <n v="14156.778236411306"/>
    <s v=" "/>
    <s v=" "/>
    <s v=" "/>
    <s v=" "/>
    <s v=" "/>
    <s v=" "/>
    <s v=" "/>
    <s v=" "/>
    <s v=" "/>
    <s v=" "/>
    <s v=" "/>
    <s v=" "/>
    <s v=" "/>
    <s v=" "/>
    <x v="22"/>
    <x v="0"/>
    <x v="0"/>
    <x v="0"/>
    <x v="0"/>
    <x v="1"/>
    <x v="0"/>
    <x v="0"/>
    <x v="22"/>
    <x v="23"/>
    <x v="1"/>
    <x v="1"/>
    <x v="0"/>
    <x v="0"/>
    <x v="0"/>
    <x v="0"/>
    <x v="0"/>
    <x v="0"/>
    <x v="0"/>
    <x v="0"/>
    <x v="0"/>
    <x v="0"/>
    <x v="0"/>
    <x v="0"/>
    <x v="0"/>
    <x v="0"/>
    <x v="0"/>
    <x v="0"/>
    <x v="0"/>
    <x v="0"/>
    <x v="0"/>
    <x v="0"/>
    <x v="13"/>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13"/>
    <s v="Concrete Check Wall"/>
    <s v="Concrete Check Wall"/>
    <s v="KS13_015"/>
    <x v="3"/>
    <n v="29.973975278000001"/>
    <n v="-25.814560833000002"/>
    <s v="29° 58' 26.31&quot;E "/>
    <s v="25° 48' 52.41&quot; S"/>
    <s v="Complete"/>
    <s v="Yes"/>
    <s v="Yes"/>
    <d v="2017-02-01T00:00:00"/>
    <s v="YES"/>
    <d v="2017-02-01T00:00:00"/>
    <s v="NBC-GTW-CL-0018"/>
    <s v="Yes"/>
    <s v="01"/>
    <d v="2018-12-07T00:00:00"/>
    <s v="Phase 1"/>
    <s v="Year 1"/>
    <m/>
    <n v="0"/>
    <n v="0"/>
    <n v="0"/>
    <n v="0"/>
    <n v="5.3609999999999998"/>
    <m/>
    <m/>
    <m/>
    <m/>
    <m/>
    <m/>
    <n v="5.3609999999999998"/>
    <m/>
    <m/>
    <m/>
    <m/>
    <m/>
    <m/>
    <m/>
    <m/>
    <m/>
    <m/>
    <m/>
    <m/>
    <m/>
    <m/>
    <m/>
    <m/>
    <m/>
    <n v="3.9"/>
    <n v="0"/>
    <n v="0"/>
    <n v="0"/>
    <m/>
    <m/>
    <n v="0"/>
    <n v="0"/>
    <n v="0"/>
    <n v="0"/>
    <n v="0"/>
    <n v="0"/>
    <n v="0"/>
    <n v="0"/>
    <n v="0"/>
    <n v="0"/>
    <n v="0"/>
    <n v="0"/>
    <n v="0"/>
    <n v="0"/>
    <n v="0"/>
    <n v="0"/>
    <n v="0"/>
    <n v="0"/>
    <n v="0"/>
    <n v="0"/>
    <n v="0"/>
    <n v="0"/>
    <n v="0"/>
    <n v="0"/>
    <n v="0"/>
    <n v="0"/>
    <n v="0"/>
    <n v="0"/>
    <n v="0"/>
    <n v="0"/>
    <n v="0"/>
    <n v="0"/>
    <n v="0"/>
    <n v="0"/>
    <n v="0"/>
    <n v="0"/>
    <n v="0"/>
    <n v="0"/>
    <m/>
    <m/>
    <m/>
    <m/>
    <m/>
    <m/>
    <m/>
    <m/>
    <m/>
    <m/>
    <m/>
    <m/>
    <m/>
    <m/>
    <m/>
    <m/>
    <m/>
    <m/>
    <m/>
    <m/>
    <m/>
    <n v="0"/>
    <n v="0"/>
    <n v="0"/>
    <n v="0"/>
    <n v="0"/>
    <n v="455.685"/>
    <n v="0"/>
    <n v="0"/>
    <n v="0"/>
    <n v="0"/>
    <n v="0"/>
    <n v="10722"/>
    <n v="0"/>
    <n v="0"/>
    <n v="0"/>
    <n v="0"/>
    <n v="0"/>
    <n v="117"/>
    <n v="0"/>
    <n v="0"/>
    <n v="0"/>
    <n v="0"/>
    <n v="0"/>
    <n v="0"/>
    <n v="0"/>
    <n v="0"/>
    <n v="0"/>
    <n v="0"/>
    <n v="0"/>
    <n v="0"/>
    <n v="0"/>
    <n v="0"/>
    <n v="0"/>
    <n v="0"/>
    <n v="0"/>
    <n v="0"/>
    <n v="0"/>
    <n v="0"/>
    <n v="0"/>
    <n v="0"/>
    <n v="0"/>
    <n v="0"/>
    <n v="0"/>
    <n v="0"/>
    <n v="0"/>
    <n v="0"/>
    <n v="0"/>
    <n v="0"/>
    <n v="0"/>
    <n v="0"/>
    <n v="0"/>
    <n v="0"/>
    <n v="0"/>
    <n v="0"/>
    <n v="0"/>
    <n v="0"/>
    <n v="0"/>
    <n v="0"/>
    <n v="11294.684999999999"/>
    <n v="11972.366099999999"/>
    <s v=" "/>
    <s v=" "/>
    <s v=" "/>
    <s v=" "/>
    <s v=" "/>
    <s v=" "/>
    <s v=" "/>
    <s v=" "/>
    <s v=" "/>
    <s v=" "/>
    <s v=" "/>
    <s v=" "/>
    <s v=" "/>
    <s v=" "/>
    <x v="0"/>
    <x v="0"/>
    <x v="0"/>
    <x v="0"/>
    <x v="0"/>
    <x v="24"/>
    <x v="0"/>
    <x v="0"/>
    <x v="0"/>
    <x v="4"/>
    <x v="1"/>
    <x v="1"/>
    <x v="20"/>
    <x v="0"/>
    <x v="0"/>
    <x v="0"/>
    <x v="0"/>
    <x v="0"/>
    <x v="0"/>
    <x v="0"/>
    <x v="0"/>
    <x v="0"/>
    <x v="0"/>
    <x v="0"/>
    <x v="0"/>
    <x v="0"/>
    <x v="0"/>
    <x v="0"/>
    <x v="2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13"/>
    <s v="Infilling of Drains"/>
    <s v="Earthworks"/>
    <s v="KS13_016"/>
    <x v="3"/>
    <n v="29.972971944000001"/>
    <n v="-25.814069721999999"/>
    <s v="29° 58' 22.69&quot;E "/>
    <s v="25° 48' 50.65&quot; S"/>
    <s v="Complete"/>
    <s v="Yes"/>
    <s v="Yes"/>
    <d v="2017-04-26T00:00:00"/>
    <s v="NA"/>
    <s v="NA"/>
    <s v="No Drawing"/>
    <s v="Yes"/>
    <s v="00"/>
    <d v="2018-06-16T00:00:00"/>
    <s v="Phase 1"/>
    <s v="Year 1"/>
    <n v="332.18699875975966"/>
    <n v="111.91475"/>
    <n v="0"/>
    <n v="0"/>
    <n v="0"/>
    <n v="0"/>
    <n v="0"/>
    <n v="0"/>
    <n v="332.18699875975966"/>
    <n v="332.18699875975966"/>
    <n v="0"/>
    <n v="0"/>
    <n v="0"/>
    <n v="0"/>
    <n v="0"/>
    <n v="0"/>
    <n v="0"/>
    <n v="0"/>
    <n v="0"/>
    <n v="0"/>
    <n v="0"/>
    <n v="0"/>
    <n v="0"/>
    <n v="0"/>
    <n v="0"/>
    <m/>
    <n v="0"/>
    <m/>
    <n v="0"/>
    <n v="0"/>
    <n v="0"/>
    <n v="0"/>
    <n v="0"/>
    <n v="0"/>
    <n v="111.91475"/>
    <n v="0"/>
    <n v="0"/>
    <n v="0"/>
    <n v="0"/>
    <n v="0"/>
    <n v="0"/>
    <n v="0"/>
    <n v="0"/>
    <n v="0"/>
    <n v="0"/>
    <n v="0"/>
    <n v="0"/>
    <n v="0"/>
    <n v="0"/>
    <n v="0"/>
    <n v="0"/>
    <n v="0"/>
    <n v="0"/>
    <n v="0"/>
    <n v="0"/>
    <n v="0"/>
    <n v="0"/>
    <n v="0"/>
    <n v="0"/>
    <n v="0"/>
    <n v="0"/>
    <n v="0"/>
    <n v="0"/>
    <n v="0"/>
    <n v="0"/>
    <n v="0"/>
    <n v="0"/>
    <n v="0"/>
    <n v="0"/>
    <n v="0"/>
    <n v="0"/>
    <n v="0"/>
    <n v="0"/>
    <n v="0"/>
    <n v="0"/>
    <n v="0"/>
    <n v="0"/>
    <n v="0"/>
    <n v="0"/>
    <n v="0"/>
    <n v="0"/>
    <n v="0"/>
    <n v="0"/>
    <n v="0"/>
    <n v="0"/>
    <n v="0"/>
    <m/>
    <m/>
    <m/>
    <m/>
    <m/>
    <m/>
    <m/>
    <m/>
    <m/>
    <n v="1660.9349937987984"/>
    <n v="5595.7375000000002"/>
    <n v="0"/>
    <n v="0"/>
    <n v="0"/>
    <n v="0"/>
    <n v="0"/>
    <n v="0"/>
    <n v="1660.9349937987984"/>
    <n v="3321.8699875975967"/>
    <n v="0"/>
    <n v="0"/>
    <n v="0"/>
    <n v="0"/>
    <n v="0"/>
    <n v="0"/>
    <n v="0"/>
    <n v="0"/>
    <n v="0"/>
    <n v="0"/>
    <n v="13429.77"/>
    <n v="0"/>
    <n v="0"/>
    <n v="0"/>
    <n v="0"/>
    <n v="0"/>
    <n v="0"/>
    <n v="0"/>
    <n v="0"/>
    <n v="0"/>
    <n v="0"/>
    <n v="0"/>
    <n v="0"/>
    <n v="0"/>
    <n v="0"/>
    <n v="0"/>
    <n v="0"/>
    <n v="0"/>
    <n v="0"/>
    <n v="0"/>
    <n v="0"/>
    <n v="0"/>
    <n v="0"/>
    <n v="0"/>
    <n v="0"/>
    <n v="0"/>
    <n v="0"/>
    <n v="0"/>
    <n v="0"/>
    <n v="0"/>
    <n v="0"/>
    <n v="0"/>
    <n v="0"/>
    <n v="0"/>
    <n v="0"/>
    <n v="0"/>
    <n v="0"/>
    <n v="0"/>
    <n v="25669.247475195196"/>
    <n v="27209.402323706909"/>
    <s v=" "/>
    <s v=" "/>
    <s v=" "/>
    <s v=" "/>
    <s v=" "/>
    <s v=" "/>
    <s v=" "/>
    <s v=" "/>
    <s v=" "/>
    <s v=" "/>
    <s v=" "/>
    <s v=" "/>
    <s v=" "/>
    <s v=" "/>
    <x v="23"/>
    <x v="9"/>
    <x v="0"/>
    <x v="0"/>
    <x v="0"/>
    <x v="1"/>
    <x v="0"/>
    <x v="0"/>
    <x v="23"/>
    <x v="24"/>
    <x v="1"/>
    <x v="1"/>
    <x v="0"/>
    <x v="0"/>
    <x v="0"/>
    <x v="0"/>
    <x v="0"/>
    <x v="0"/>
    <x v="0"/>
    <x v="0"/>
    <x v="0"/>
    <x v="0"/>
    <x v="0"/>
    <x v="0"/>
    <x v="0"/>
    <x v="0"/>
    <x v="0"/>
    <x v="0"/>
    <x v="0"/>
    <x v="0"/>
    <x v="0"/>
    <x v="0"/>
    <x v="14"/>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13"/>
    <s v="Backfilling Main Channel"/>
    <s v="Backfilling Main Channel"/>
    <s v="KS13_017"/>
    <x v="3"/>
    <m/>
    <m/>
    <m/>
    <m/>
    <m/>
    <m/>
    <m/>
    <m/>
    <m/>
    <m/>
    <s v="No Drawing"/>
    <m/>
    <s v="00"/>
    <d v="2018-12-07T00:00:00"/>
    <s v="Phase 1"/>
    <s v="Year 1"/>
    <m/>
    <m/>
    <m/>
    <m/>
    <m/>
    <n v="633.58989245730015"/>
    <m/>
    <m/>
    <n v="4680"/>
    <n v="4680"/>
    <m/>
    <m/>
    <m/>
    <m/>
    <m/>
    <m/>
    <m/>
    <m/>
    <m/>
    <m/>
    <m/>
    <m/>
    <m/>
    <m/>
    <m/>
    <m/>
    <m/>
    <m/>
    <m/>
    <m/>
    <m/>
    <m/>
    <m/>
    <m/>
    <n v="2559.3521264999999"/>
    <m/>
    <m/>
    <m/>
    <m/>
    <m/>
    <m/>
    <m/>
    <m/>
    <m/>
    <m/>
    <m/>
    <m/>
    <m/>
    <m/>
    <m/>
    <m/>
    <m/>
    <m/>
    <m/>
    <m/>
    <m/>
    <m/>
    <m/>
    <m/>
    <m/>
    <m/>
    <m/>
    <m/>
    <m/>
    <m/>
    <m/>
    <m/>
    <m/>
    <m/>
    <m/>
    <m/>
    <m/>
    <m/>
    <m/>
    <m/>
    <m/>
    <m/>
    <m/>
    <m/>
    <m/>
    <m/>
    <m/>
    <m/>
    <m/>
    <m/>
    <m/>
    <m/>
    <m/>
    <m/>
    <m/>
    <m/>
    <m/>
    <m/>
    <m/>
    <m/>
    <n v="0"/>
    <n v="0"/>
    <n v="0"/>
    <n v="0"/>
    <n v="0"/>
    <n v="53855.140858870516"/>
    <n v="0"/>
    <n v="0"/>
    <n v="23400"/>
    <n v="46800"/>
    <n v="0"/>
    <n v="0"/>
    <n v="0"/>
    <n v="0"/>
    <n v="0"/>
    <n v="0"/>
    <n v="0"/>
    <n v="0"/>
    <n v="0"/>
    <n v="0"/>
    <n v="307122.25517999998"/>
    <n v="0"/>
    <n v="0"/>
    <n v="0"/>
    <n v="0"/>
    <n v="0"/>
    <n v="0"/>
    <n v="0"/>
    <n v="0"/>
    <n v="0"/>
    <n v="0"/>
    <n v="0"/>
    <n v="0"/>
    <n v="0"/>
    <n v="0"/>
    <n v="0"/>
    <n v="0"/>
    <n v="0"/>
    <n v="0"/>
    <n v="0"/>
    <n v="0"/>
    <n v="0"/>
    <n v="0"/>
    <n v="0"/>
    <n v="0"/>
    <n v="0"/>
    <n v="0"/>
    <n v="0"/>
    <n v="0"/>
    <n v="0"/>
    <n v="0"/>
    <n v="0"/>
    <n v="0"/>
    <n v="0"/>
    <n v="0"/>
    <n v="0"/>
    <n v="0"/>
    <n v="0"/>
    <n v="431177.3960388705"/>
    <n v="457048.03980120277"/>
    <s v=" "/>
    <s v=" "/>
    <s v=" "/>
    <s v=" "/>
    <s v=" "/>
    <s v=" "/>
    <s v=" "/>
    <s v=" "/>
    <s v=" "/>
    <s v=" "/>
    <s v=" "/>
    <s v=" "/>
    <s v=" "/>
    <s v=" "/>
    <x v="0"/>
    <x v="0"/>
    <x v="0"/>
    <x v="0"/>
    <x v="0"/>
    <x v="25"/>
    <x v="0"/>
    <x v="0"/>
    <x v="24"/>
    <x v="25"/>
    <x v="1"/>
    <x v="1"/>
    <x v="0"/>
    <x v="0"/>
    <x v="0"/>
    <x v="0"/>
    <x v="0"/>
    <x v="0"/>
    <x v="0"/>
    <x v="0"/>
    <x v="0"/>
    <x v="0"/>
    <x v="0"/>
    <x v="0"/>
    <x v="0"/>
    <x v="0"/>
    <x v="0"/>
    <x v="0"/>
    <x v="0"/>
    <x v="0"/>
    <x v="0"/>
    <x v="0"/>
    <x v="15"/>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15"/>
    <s v="Concrete Check Wall"/>
    <s v="Concrete Check Wall"/>
    <s v="KS15_001"/>
    <x v="3"/>
    <n v="29.983797839000001"/>
    <n v="-25.820813322999999"/>
    <s v="29° 59' 01.67&quot;E "/>
    <s v="25° 49' 14.92&quot; S"/>
    <s v="Complete"/>
    <s v="Yes"/>
    <s v="Yes"/>
    <m/>
    <s v="DONE"/>
    <s v="YES"/>
    <s v="NBC-GTH-CL-0001"/>
    <s v="Yes"/>
    <s v="01"/>
    <d v="2018-12-07T00:00:00"/>
    <s v="Phase 1"/>
    <s v="Year 1"/>
    <m/>
    <m/>
    <m/>
    <m/>
    <m/>
    <n v="6.2640000000000002"/>
    <m/>
    <m/>
    <m/>
    <m/>
    <m/>
    <m/>
    <n v="6.2640000000000002"/>
    <m/>
    <m/>
    <m/>
    <m/>
    <m/>
    <m/>
    <m/>
    <m/>
    <m/>
    <m/>
    <m/>
    <m/>
    <m/>
    <m/>
    <m/>
    <m/>
    <m/>
    <m/>
    <m/>
    <m/>
    <m/>
    <m/>
    <m/>
    <m/>
    <m/>
    <m/>
    <m/>
    <m/>
    <m/>
    <m/>
    <m/>
    <m/>
    <m/>
    <m/>
    <m/>
    <m/>
    <m/>
    <m/>
    <m/>
    <m/>
    <m/>
    <m/>
    <m/>
    <m/>
    <m/>
    <m/>
    <m/>
    <m/>
    <m/>
    <m/>
    <m/>
    <m/>
    <m/>
    <m/>
    <m/>
    <m/>
    <m/>
    <m/>
    <m/>
    <m/>
    <m/>
    <m/>
    <m/>
    <m/>
    <m/>
    <m/>
    <m/>
    <m/>
    <m/>
    <m/>
    <m/>
    <m/>
    <m/>
    <m/>
    <m/>
    <m/>
    <m/>
    <m/>
    <m/>
    <m/>
    <m/>
    <m/>
    <n v="0"/>
    <n v="0"/>
    <n v="0"/>
    <n v="0"/>
    <n v="0"/>
    <n v="532.44000000000005"/>
    <n v="0"/>
    <n v="0"/>
    <n v="0"/>
    <n v="0"/>
    <n v="0"/>
    <n v="12528"/>
    <n v="0"/>
    <n v="0"/>
    <n v="0"/>
    <n v="0"/>
    <n v="0"/>
    <n v="0"/>
    <n v="0"/>
    <n v="0"/>
    <n v="0"/>
    <n v="0"/>
    <n v="0"/>
    <n v="0"/>
    <n v="0"/>
    <n v="0"/>
    <n v="0"/>
    <n v="0"/>
    <n v="0"/>
    <n v="0"/>
    <n v="0"/>
    <n v="0"/>
    <n v="0"/>
    <n v="0"/>
    <n v="0"/>
    <n v="0"/>
    <n v="0"/>
    <n v="0"/>
    <n v="0"/>
    <n v="0"/>
    <n v="0"/>
    <n v="0"/>
    <n v="0"/>
    <n v="0"/>
    <n v="0"/>
    <n v="0"/>
    <n v="0"/>
    <n v="0"/>
    <n v="0"/>
    <n v="0"/>
    <n v="0"/>
    <n v="0"/>
    <n v="0"/>
    <n v="0"/>
    <n v="0"/>
    <n v="0"/>
    <n v="0"/>
    <n v="0"/>
    <n v="13060.44"/>
    <n v="13844.066400000002"/>
    <s v=" "/>
    <s v=" "/>
    <s v=" "/>
    <s v=" "/>
    <s v=" "/>
    <s v=" "/>
    <s v=" "/>
    <s v=" "/>
    <s v=" "/>
    <s v=" "/>
    <s v=" "/>
    <s v=" "/>
    <s v=" "/>
    <s v=" "/>
    <x v="0"/>
    <x v="0"/>
    <x v="0"/>
    <x v="0"/>
    <x v="0"/>
    <x v="26"/>
    <x v="0"/>
    <x v="0"/>
    <x v="0"/>
    <x v="4"/>
    <x v="1"/>
    <x v="1"/>
    <x v="2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15"/>
    <s v="Removal of Dam Wall"/>
    <s v="Excavation"/>
    <s v="KS15_003"/>
    <x v="3"/>
    <n v="29.979451110999999"/>
    <n v="-25.818825"/>
    <s v="29° 58' 46.02&quot;E "/>
    <s v="25° 49' 07.77&quot; S"/>
    <s v="Complete"/>
    <s v="Yes"/>
    <s v="Yes"/>
    <d v="2017-05-31T00:00:00"/>
    <s v="NA"/>
    <s v="NA"/>
    <s v="No Drawing"/>
    <s v="Yes"/>
    <s v="00"/>
    <d v="2018-06-16T00:00:00"/>
    <s v="Phase 1"/>
    <s v="Year 1"/>
    <n v="619.28940112107443"/>
    <n v="185.54374999999999"/>
    <n v="0"/>
    <n v="0"/>
    <n v="0"/>
    <n v="0"/>
    <n v="0"/>
    <n v="0"/>
    <n v="619.28940112107443"/>
    <n v="619.28940112107443"/>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n v="3096.4470056053724"/>
    <n v="9277.1875"/>
    <n v="0"/>
    <n v="0"/>
    <n v="0"/>
    <n v="0"/>
    <n v="0"/>
    <n v="0"/>
    <n v="3096.4470056053724"/>
    <n v="6192.8940112107448"/>
    <n v="0"/>
    <n v="0"/>
    <n v="0"/>
    <n v="0"/>
    <n v="0"/>
    <n v="0"/>
    <n v="0"/>
    <n v="0"/>
    <n v="0"/>
    <n v="0"/>
    <n v="0"/>
    <n v="0"/>
    <n v="0"/>
    <n v="0"/>
    <n v="0"/>
    <n v="0"/>
    <n v="0"/>
    <n v="0"/>
    <n v="0"/>
    <n v="0"/>
    <n v="0"/>
    <n v="0"/>
    <n v="0"/>
    <n v="0"/>
    <n v="0"/>
    <n v="0"/>
    <n v="0"/>
    <n v="0"/>
    <n v="0"/>
    <n v="0"/>
    <n v="0"/>
    <n v="0"/>
    <n v="0"/>
    <n v="0"/>
    <n v="0"/>
    <n v="0"/>
    <n v="0"/>
    <n v="0"/>
    <n v="0"/>
    <n v="0"/>
    <n v="0"/>
    <n v="0"/>
    <n v="0"/>
    <n v="0"/>
    <n v="0"/>
    <n v="0"/>
    <n v="0"/>
    <n v="0"/>
    <n v="21662.97552242149"/>
    <n v="22962.754053766781"/>
    <s v=" "/>
    <s v=" "/>
    <s v=" "/>
    <s v=" "/>
    <s v=" "/>
    <s v=" "/>
    <s v=" "/>
    <s v=" "/>
    <s v=" "/>
    <s v=" "/>
    <s v=" "/>
    <s v=" "/>
    <s v=" "/>
    <s v=" "/>
    <x v="24"/>
    <x v="10"/>
    <x v="0"/>
    <x v="0"/>
    <x v="0"/>
    <x v="1"/>
    <x v="0"/>
    <x v="0"/>
    <x v="25"/>
    <x v="26"/>
    <x v="1"/>
    <x v="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15"/>
    <s v="Backfill Main Channel"/>
    <s v="Backfill Channel at Road Crossing"/>
    <s v="KS15-002"/>
    <x v="3"/>
    <n v="29.981869703000001"/>
    <n v="-25.819381408000002"/>
    <s v="29° 58' 54.73&quot;E "/>
    <s v="25° 49' 09.77&quot; S"/>
    <s v="Complete"/>
    <s v="Yes"/>
    <s v="Yes"/>
    <d v="2017-04-10T00:00:00"/>
    <s v="NA"/>
    <s v="NA"/>
    <s v="No Drawing"/>
    <s v="Yes"/>
    <s v="00"/>
    <d v="2018-06-16T00:00:00"/>
    <s v="Phase 1"/>
    <s v="Year 1"/>
    <n v="3846.9783781018737"/>
    <n v="0"/>
    <n v="0"/>
    <n v="0"/>
    <n v="0"/>
    <n v="980"/>
    <n v="0"/>
    <n v="0"/>
    <n v="3846.9783781018737"/>
    <n v="3846.9783781018737"/>
    <n v="0"/>
    <n v="0"/>
    <n v="0"/>
    <n v="0"/>
    <n v="0"/>
    <n v="0"/>
    <n v="0"/>
    <n v="0"/>
    <n v="0"/>
    <n v="0"/>
    <n v="0"/>
    <n v="0"/>
    <n v="0"/>
    <n v="0"/>
    <n v="0"/>
    <n v="0"/>
    <n v="0"/>
    <n v="0"/>
    <n v="0"/>
    <n v="0"/>
    <n v="0"/>
    <n v="0"/>
    <n v="0"/>
    <n v="0"/>
    <n v="3200"/>
    <n v="0"/>
    <n v="0"/>
    <n v="0"/>
    <n v="0"/>
    <n v="0"/>
    <n v="0"/>
    <n v="0"/>
    <n v="0"/>
    <n v="0"/>
    <n v="0"/>
    <n v="0"/>
    <n v="0"/>
    <n v="0"/>
    <n v="0"/>
    <n v="0"/>
    <n v="0"/>
    <n v="0"/>
    <n v="0"/>
    <n v="0"/>
    <n v="0"/>
    <n v="0"/>
    <n v="0"/>
    <n v="0"/>
    <n v="0"/>
    <n v="0"/>
    <n v="0"/>
    <n v="0"/>
    <n v="0"/>
    <n v="0"/>
    <n v="0"/>
    <n v="0"/>
    <n v="0"/>
    <n v="0"/>
    <n v="0"/>
    <n v="0"/>
    <n v="0"/>
    <n v="0"/>
    <n v="0"/>
    <n v="0"/>
    <n v="0"/>
    <m/>
    <m/>
    <m/>
    <m/>
    <m/>
    <m/>
    <m/>
    <m/>
    <m/>
    <m/>
    <m/>
    <m/>
    <m/>
    <m/>
    <m/>
    <m/>
    <m/>
    <m/>
    <m/>
    <m/>
    <n v="19234.891890509367"/>
    <n v="0"/>
    <n v="0"/>
    <n v="0"/>
    <n v="0"/>
    <n v="83300"/>
    <n v="0"/>
    <n v="0"/>
    <n v="19234.891890509367"/>
    <n v="38469.783781018734"/>
    <n v="0"/>
    <n v="0"/>
    <n v="0"/>
    <n v="0"/>
    <n v="0"/>
    <n v="0"/>
    <n v="0"/>
    <n v="0"/>
    <n v="0"/>
    <n v="0"/>
    <n v="384000"/>
    <n v="0"/>
    <n v="0"/>
    <n v="0"/>
    <n v="0"/>
    <n v="0"/>
    <n v="0"/>
    <n v="0"/>
    <n v="0"/>
    <n v="0"/>
    <n v="0"/>
    <n v="0"/>
    <n v="0"/>
    <n v="0"/>
    <n v="0"/>
    <n v="0"/>
    <n v="0"/>
    <n v="0"/>
    <n v="0"/>
    <n v="0"/>
    <n v="0"/>
    <n v="0"/>
    <n v="0"/>
    <n v="0"/>
    <n v="0"/>
    <n v="0"/>
    <n v="0"/>
    <n v="0"/>
    <n v="0"/>
    <n v="0"/>
    <n v="0"/>
    <n v="0"/>
    <n v="0"/>
    <n v="0"/>
    <n v="0"/>
    <n v="0"/>
    <n v="0"/>
    <n v="0"/>
    <n v="544239.5675620375"/>
    <n v="576893.94161575974"/>
    <s v=" "/>
    <s v=" "/>
    <s v=" "/>
    <s v=" "/>
    <s v=" "/>
    <s v=" "/>
    <s v=" "/>
    <s v=" "/>
    <s v=" "/>
    <s v=" "/>
    <s v=" "/>
    <s v=" "/>
    <s v=" "/>
    <s v=" "/>
    <x v="25"/>
    <x v="0"/>
    <x v="0"/>
    <x v="0"/>
    <x v="0"/>
    <x v="27"/>
    <x v="0"/>
    <x v="0"/>
    <x v="26"/>
    <x v="27"/>
    <x v="1"/>
    <x v="1"/>
    <x v="0"/>
    <x v="0"/>
    <x v="0"/>
    <x v="0"/>
    <x v="0"/>
    <x v="0"/>
    <x v="0"/>
    <x v="0"/>
    <x v="0"/>
    <x v="0"/>
    <x v="0"/>
    <x v="0"/>
    <x v="0"/>
    <x v="0"/>
    <x v="0"/>
    <x v="0"/>
    <x v="0"/>
    <x v="0"/>
    <x v="0"/>
    <x v="0"/>
    <x v="16"/>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16"/>
    <s v="Earthen berm"/>
    <s v="Earthworks"/>
    <s v="KS16_001"/>
    <x v="4"/>
    <n v="30.004463610999998"/>
    <n v="-25.827991944000001"/>
    <s v="30° 00' 16.06&quot;E "/>
    <s v="25° 49' 40.77&quot; S"/>
    <s v="Complete"/>
    <s v="Yes"/>
    <s v="Yes"/>
    <d v="2017-04-26T00:00:00"/>
    <s v="NA"/>
    <s v="NA"/>
    <s v="No Drawing"/>
    <s v="Yes"/>
    <s v="00"/>
    <d v="2018-06-16T00:00:00"/>
    <s v="Phase 1"/>
    <s v="Year 1"/>
    <n v="494.87334053189176"/>
    <m/>
    <m/>
    <m/>
    <m/>
    <m/>
    <m/>
    <m/>
    <n v="494.87334053189176"/>
    <n v="494.87334053189176"/>
    <m/>
    <m/>
    <m/>
    <m/>
    <m/>
    <m/>
    <m/>
    <m/>
    <m/>
    <m/>
    <m/>
    <m/>
    <m/>
    <m/>
    <m/>
    <m/>
    <m/>
    <m/>
    <m/>
    <m/>
    <m/>
    <m/>
    <m/>
    <m/>
    <n v="103.38"/>
    <m/>
    <m/>
    <m/>
    <m/>
    <m/>
    <m/>
    <m/>
    <m/>
    <m/>
    <m/>
    <m/>
    <m/>
    <m/>
    <m/>
    <m/>
    <m/>
    <m/>
    <m/>
    <m/>
    <m/>
    <m/>
    <m/>
    <m/>
    <m/>
    <m/>
    <m/>
    <m/>
    <m/>
    <m/>
    <m/>
    <m/>
    <m/>
    <m/>
    <m/>
    <m/>
    <m/>
    <m/>
    <m/>
    <m/>
    <m/>
    <m/>
    <m/>
    <m/>
    <m/>
    <m/>
    <m/>
    <m/>
    <m/>
    <m/>
    <m/>
    <m/>
    <m/>
    <m/>
    <m/>
    <m/>
    <m/>
    <m/>
    <m/>
    <m/>
    <m/>
    <n v="2474.366702659459"/>
    <n v="0"/>
    <n v="0"/>
    <n v="0"/>
    <n v="0"/>
    <n v="0"/>
    <n v="0"/>
    <n v="0"/>
    <n v="2474.366702659459"/>
    <n v="4948.7334053189179"/>
    <n v="0"/>
    <n v="0"/>
    <n v="0"/>
    <n v="0"/>
    <n v="0"/>
    <n v="0"/>
    <n v="0"/>
    <n v="0"/>
    <n v="0"/>
    <n v="0"/>
    <n v="12405.599999999999"/>
    <n v="0"/>
    <n v="0"/>
    <n v="0"/>
    <n v="0"/>
    <n v="0"/>
    <n v="0"/>
    <n v="0"/>
    <n v="0"/>
    <n v="0"/>
    <n v="0"/>
    <n v="0"/>
    <n v="0"/>
    <n v="0"/>
    <n v="0"/>
    <n v="0"/>
    <n v="0"/>
    <n v="0"/>
    <n v="0"/>
    <n v="0"/>
    <n v="0"/>
    <n v="0"/>
    <n v="0"/>
    <n v="0"/>
    <n v="0"/>
    <n v="0"/>
    <n v="0"/>
    <n v="0"/>
    <n v="0"/>
    <n v="0"/>
    <n v="0"/>
    <n v="0"/>
    <n v="0"/>
    <n v="0"/>
    <n v="0"/>
    <n v="0"/>
    <n v="0"/>
    <n v="0"/>
    <n v="22303.066810637836"/>
    <n v="23641.250819276109"/>
    <s v=" "/>
    <s v=" "/>
    <s v=" "/>
    <s v=" "/>
    <s v=" "/>
    <s v=" "/>
    <s v=" "/>
    <s v=" "/>
    <s v=" "/>
    <s v=" "/>
    <s v=" "/>
    <s v=" "/>
    <s v=" "/>
    <s v=" "/>
    <x v="26"/>
    <x v="0"/>
    <x v="0"/>
    <x v="0"/>
    <x v="0"/>
    <x v="1"/>
    <x v="0"/>
    <x v="0"/>
    <x v="27"/>
    <x v="28"/>
    <x v="1"/>
    <x v="1"/>
    <x v="0"/>
    <x v="0"/>
    <x v="0"/>
    <x v="0"/>
    <x v="0"/>
    <x v="0"/>
    <x v="0"/>
    <x v="0"/>
    <x v="0"/>
    <x v="0"/>
    <x v="0"/>
    <x v="0"/>
    <x v="0"/>
    <x v="0"/>
    <x v="0"/>
    <x v="0"/>
    <x v="0"/>
    <x v="0"/>
    <x v="0"/>
    <x v="0"/>
    <x v="17"/>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16"/>
    <s v="Excavate Dam Wall"/>
    <s v="Earthworks"/>
    <s v="KS16_002"/>
    <x v="4"/>
    <n v="30.004084444"/>
    <n v="-25.828354443999999"/>
    <s v="30° 00' 14.70&quot;E "/>
    <s v="25° 49' 42.07&quot; S"/>
    <s v="Complete"/>
    <s v="Yes"/>
    <s v="Yes"/>
    <d v="2017-04-26T00:00:00"/>
    <s v="YES "/>
    <s v="NO"/>
    <s v="No Drawing"/>
    <s v="Yes"/>
    <s v="00"/>
    <d v="2018-06-16T00:00:00"/>
    <s v="Phase 1"/>
    <s v="Year 1"/>
    <n v="400.2"/>
    <n v="89.7"/>
    <n v="0"/>
    <n v="0"/>
    <n v="0"/>
    <n v="0"/>
    <n v="0"/>
    <n v="0"/>
    <n v="283.94775771874447"/>
    <n v="283.94775771874447"/>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n v="2001"/>
    <n v="4485"/>
    <n v="0"/>
    <n v="0"/>
    <n v="0"/>
    <n v="0"/>
    <n v="0"/>
    <n v="0"/>
    <n v="1419.7387885937223"/>
    <n v="2839.4775771874447"/>
    <n v="0"/>
    <n v="0"/>
    <n v="0"/>
    <n v="0"/>
    <n v="0"/>
    <n v="0"/>
    <n v="0"/>
    <n v="0"/>
    <n v="0"/>
    <n v="0"/>
    <n v="0"/>
    <n v="0"/>
    <n v="0"/>
    <n v="0"/>
    <n v="0"/>
    <n v="0"/>
    <n v="0"/>
    <n v="0"/>
    <n v="0"/>
    <n v="0"/>
    <n v="0"/>
    <n v="0"/>
    <n v="0"/>
    <n v="0"/>
    <n v="0"/>
    <n v="0"/>
    <n v="0"/>
    <n v="0"/>
    <n v="0"/>
    <n v="0"/>
    <n v="0"/>
    <n v="0"/>
    <n v="0"/>
    <n v="0"/>
    <n v="0"/>
    <n v="0"/>
    <n v="0"/>
    <n v="0"/>
    <n v="0"/>
    <n v="0"/>
    <n v="0"/>
    <n v="0"/>
    <n v="0"/>
    <n v="0"/>
    <n v="0"/>
    <n v="0"/>
    <n v="0"/>
    <n v="0"/>
    <n v="10745.216365781167"/>
    <n v="11389.929347728037"/>
    <s v=" "/>
    <s v=" "/>
    <s v=" "/>
    <s v=" "/>
    <s v=" "/>
    <s v=" "/>
    <s v=" "/>
    <s v=" "/>
    <s v=" "/>
    <s v=" "/>
    <s v=" "/>
    <s v=" "/>
    <s v=" "/>
    <s v=" "/>
    <x v="27"/>
    <x v="11"/>
    <x v="0"/>
    <x v="0"/>
    <x v="0"/>
    <x v="1"/>
    <x v="0"/>
    <x v="0"/>
    <x v="28"/>
    <x v="29"/>
    <x v="1"/>
    <x v="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16"/>
    <s v="Ecologs"/>
    <s v="Deactivate Drains with Ecologs"/>
    <s v="KS16_003"/>
    <x v="4"/>
    <n v="29.999881943999998"/>
    <n v="-25.827392222"/>
    <s v="29° 59' 59.57&quot;E "/>
    <s v="25° 49' 38.61&quot; S"/>
    <s v="Complete"/>
    <s v="Yes"/>
    <s v="Yes"/>
    <d v="2017-04-26T00:00:00"/>
    <s v="YES "/>
    <m/>
    <s v="NBC-GTW-CL-0052"/>
    <s v="Yes"/>
    <s v="01"/>
    <d v="2018-12-07T00:00:00"/>
    <s v="Phase 1"/>
    <s v="Year 1"/>
    <n v="0"/>
    <n v="0"/>
    <n v="0"/>
    <n v="0"/>
    <n v="0"/>
    <n v="14.219999999999999"/>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79"/>
    <n v="0"/>
    <n v="0"/>
    <n v="0"/>
    <n v="0"/>
    <n v="0"/>
    <n v="0"/>
    <n v="0"/>
    <n v="0"/>
    <n v="0"/>
    <n v="0"/>
    <n v="0"/>
    <n v="0"/>
    <n v="0"/>
    <n v="0"/>
    <n v="0"/>
    <n v="0"/>
    <n v="0"/>
    <n v="0"/>
    <n v="0"/>
    <n v="0"/>
    <n v="0"/>
    <n v="0"/>
    <n v="0"/>
    <m/>
    <m/>
    <m/>
    <m/>
    <m/>
    <m/>
    <m/>
    <m/>
    <m/>
    <n v="0"/>
    <n v="0"/>
    <n v="0"/>
    <n v="0"/>
    <n v="0"/>
    <n v="1208.6999999999998"/>
    <n v="0"/>
    <n v="0"/>
    <n v="0"/>
    <n v="0"/>
    <n v="0"/>
    <n v="0"/>
    <n v="0"/>
    <n v="0"/>
    <n v="0"/>
    <n v="0"/>
    <n v="0"/>
    <n v="0"/>
    <n v="0"/>
    <n v="0"/>
    <n v="0"/>
    <n v="0"/>
    <n v="0"/>
    <n v="0"/>
    <n v="0"/>
    <n v="0"/>
    <n v="71100"/>
    <n v="0"/>
    <n v="0"/>
    <n v="0"/>
    <n v="0"/>
    <n v="0"/>
    <n v="0"/>
    <n v="0"/>
    <n v="0"/>
    <n v="0"/>
    <n v="0"/>
    <n v="0"/>
    <n v="0"/>
    <n v="0"/>
    <n v="0"/>
    <n v="0"/>
    <n v="0"/>
    <n v="0"/>
    <n v="0"/>
    <n v="0"/>
    <n v="0"/>
    <n v="0"/>
    <n v="0"/>
    <n v="0"/>
    <n v="0"/>
    <n v="0"/>
    <n v="0"/>
    <n v="0"/>
    <n v="0"/>
    <n v="0"/>
    <n v="0"/>
    <n v="0"/>
    <n v="72308.7"/>
    <n v="76647.221999999994"/>
    <s v=" "/>
    <s v=" "/>
    <s v=" "/>
    <s v=" "/>
    <s v=" "/>
    <s v=" "/>
    <s v=" "/>
    <s v=" "/>
    <s v=" "/>
    <s v=" "/>
    <s v=" "/>
    <s v=" "/>
    <s v=" "/>
    <s v=" "/>
    <x v="0"/>
    <x v="0"/>
    <x v="0"/>
    <x v="0"/>
    <x v="0"/>
    <x v="28"/>
    <x v="0"/>
    <x v="0"/>
    <x v="0"/>
    <x v="4"/>
    <x v="1"/>
    <x v="1"/>
    <x v="0"/>
    <x v="0"/>
    <x v="0"/>
    <x v="0"/>
    <x v="0"/>
    <x v="0"/>
    <x v="0"/>
    <x v="0"/>
    <x v="0"/>
    <x v="0"/>
    <x v="0"/>
    <x v="0"/>
    <x v="0"/>
    <x v="0"/>
    <x v="0"/>
    <x v="0"/>
    <x v="0"/>
    <x v="0"/>
    <x v="0"/>
    <x v="0"/>
    <x v="0"/>
    <x v="0"/>
    <x v="0"/>
    <x v="0"/>
    <x v="0"/>
    <x v="0"/>
    <x v="0"/>
    <x v="0"/>
    <x v="0"/>
    <x v="0"/>
    <x v="0"/>
    <x v="0"/>
    <x v="0"/>
    <x v="0"/>
    <x v="0"/>
    <x v="0"/>
    <x v="0"/>
    <x v="0"/>
    <x v="0"/>
    <x v="0"/>
    <x v="0"/>
    <x v="0"/>
    <x v="0"/>
    <x v="0"/>
    <x v="0"/>
    <x v="0"/>
    <x v="0"/>
    <x v="0"/>
    <x v="1"/>
    <x v="0"/>
    <x v="0"/>
    <x v="0"/>
    <x v="0"/>
    <x v="0"/>
    <x v="0"/>
    <x v="0"/>
    <x v="0"/>
    <x v="0"/>
    <x v="0"/>
    <x v="0"/>
    <x v="0"/>
    <x v="0"/>
    <x v="0"/>
    <x v="0"/>
    <x v="0"/>
    <x v="0"/>
    <x v="0"/>
    <x v="0"/>
    <x v="0"/>
    <x v="0"/>
    <x v="0"/>
    <x v="0"/>
    <x v="0"/>
    <x v="0"/>
    <x v="0"/>
    <x v="0"/>
    <x v="0"/>
    <x v="0"/>
    <x v="0"/>
    <x v="0"/>
    <x v="0"/>
  </r>
  <r>
    <s v="KS16"/>
    <s v="Earthen berm"/>
    <s v="Earthworks"/>
    <s v="KS16_004"/>
    <x v="4"/>
    <n v="29.999696389"/>
    <n v="-25.827376389000001"/>
    <s v="29° 59' 58.90&quot;E "/>
    <s v="25° 49' 38.55&quot; S"/>
    <s v="Complete"/>
    <s v="Yes"/>
    <s v="Yes"/>
    <d v="2017-04-26T00:00:00"/>
    <s v="NA"/>
    <s v="NA"/>
    <s v="No Drawing"/>
    <s v="Yes"/>
    <s v="00"/>
    <d v="2018-06-16T00:00:00"/>
    <s v="Phase 1"/>
    <s v="Year 1"/>
    <n v="494.08980828513762"/>
    <m/>
    <m/>
    <m/>
    <m/>
    <m/>
    <m/>
    <m/>
    <n v="480"/>
    <n v="480"/>
    <m/>
    <m/>
    <m/>
    <m/>
    <m/>
    <m/>
    <m/>
    <m/>
    <m/>
    <m/>
    <m/>
    <m/>
    <m/>
    <m/>
    <m/>
    <m/>
    <m/>
    <m/>
    <m/>
    <m/>
    <m/>
    <m/>
    <m/>
    <m/>
    <n v="69.080000000000013"/>
    <m/>
    <m/>
    <m/>
    <m/>
    <m/>
    <m/>
    <m/>
    <m/>
    <m/>
    <m/>
    <m/>
    <m/>
    <m/>
    <m/>
    <m/>
    <m/>
    <m/>
    <m/>
    <m/>
    <m/>
    <m/>
    <m/>
    <m/>
    <m/>
    <m/>
    <m/>
    <m/>
    <m/>
    <m/>
    <m/>
    <m/>
    <m/>
    <m/>
    <m/>
    <m/>
    <m/>
    <m/>
    <m/>
    <m/>
    <m/>
    <m/>
    <m/>
    <m/>
    <m/>
    <m/>
    <m/>
    <m/>
    <m/>
    <m/>
    <m/>
    <m/>
    <m/>
    <m/>
    <m/>
    <m/>
    <m/>
    <m/>
    <m/>
    <m/>
    <m/>
    <n v="2470.4490414256879"/>
    <n v="0"/>
    <n v="0"/>
    <n v="0"/>
    <n v="0"/>
    <n v="0"/>
    <n v="0"/>
    <n v="0"/>
    <n v="2400"/>
    <n v="4800"/>
    <n v="0"/>
    <n v="0"/>
    <n v="0"/>
    <n v="0"/>
    <n v="0"/>
    <n v="0"/>
    <n v="0"/>
    <n v="0"/>
    <n v="0"/>
    <n v="0"/>
    <n v="8289.6000000000022"/>
    <n v="0"/>
    <n v="0"/>
    <n v="0"/>
    <n v="0"/>
    <n v="0"/>
    <n v="0"/>
    <n v="0"/>
    <n v="0"/>
    <n v="0"/>
    <n v="0"/>
    <n v="0"/>
    <n v="0"/>
    <n v="0"/>
    <n v="0"/>
    <n v="0"/>
    <n v="0"/>
    <n v="0"/>
    <n v="0"/>
    <n v="0"/>
    <n v="0"/>
    <n v="0"/>
    <n v="0"/>
    <n v="0"/>
    <n v="0"/>
    <n v="0"/>
    <n v="0"/>
    <n v="0"/>
    <n v="0"/>
    <n v="0"/>
    <n v="0"/>
    <n v="0"/>
    <n v="0"/>
    <n v="0"/>
    <n v="0"/>
    <n v="0"/>
    <n v="0"/>
    <n v="0"/>
    <n v="17960.049041425689"/>
    <n v="19037.65198391123"/>
    <s v=" "/>
    <s v=" "/>
    <s v=" "/>
    <s v=" "/>
    <s v=" "/>
    <s v=" "/>
    <s v=" "/>
    <s v=" "/>
    <s v=" "/>
    <s v=" "/>
    <s v=" "/>
    <s v=" "/>
    <s v=" "/>
    <s v=" "/>
    <x v="28"/>
    <x v="0"/>
    <x v="0"/>
    <x v="0"/>
    <x v="0"/>
    <x v="1"/>
    <x v="0"/>
    <x v="0"/>
    <x v="29"/>
    <x v="30"/>
    <x v="1"/>
    <x v="1"/>
    <x v="0"/>
    <x v="0"/>
    <x v="0"/>
    <x v="0"/>
    <x v="0"/>
    <x v="0"/>
    <x v="0"/>
    <x v="0"/>
    <x v="0"/>
    <x v="0"/>
    <x v="0"/>
    <x v="0"/>
    <x v="0"/>
    <x v="0"/>
    <x v="0"/>
    <x v="0"/>
    <x v="0"/>
    <x v="0"/>
    <x v="0"/>
    <x v="0"/>
    <x v="18"/>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16"/>
    <s v="Ecologs"/>
    <s v="Deactivate Drains with Ecologs"/>
    <s v="KS16_005"/>
    <x v="4"/>
    <n v="29.991453611000001"/>
    <n v="-25.825574444000001"/>
    <s v="29° 59' 29.23&quot;E "/>
    <s v="25° 49' 32.06&quot; S"/>
    <s v="Complete"/>
    <s v="Yes"/>
    <s v="Yes"/>
    <d v="2017-04-26T00:00:00"/>
    <s v="YES "/>
    <s v="NO"/>
    <s v="NBC-GTW-CL-0048"/>
    <s v="Yes"/>
    <s v="01"/>
    <d v="2018-12-07T00:00:00"/>
    <s v="Phase 1"/>
    <s v="Year 1"/>
    <n v="0"/>
    <n v="0"/>
    <n v="0"/>
    <n v="0"/>
    <n v="0"/>
    <n v="18.36"/>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102"/>
    <n v="0"/>
    <n v="0"/>
    <n v="0"/>
    <n v="0"/>
    <n v="0"/>
    <n v="0"/>
    <n v="0"/>
    <n v="0"/>
    <n v="0"/>
    <n v="0"/>
    <n v="0"/>
    <n v="0"/>
    <n v="0"/>
    <n v="0"/>
    <n v="0"/>
    <n v="0"/>
    <n v="0"/>
    <n v="0"/>
    <n v="0"/>
    <n v="0"/>
    <n v="0"/>
    <n v="0"/>
    <n v="0"/>
    <m/>
    <m/>
    <m/>
    <m/>
    <m/>
    <m/>
    <m/>
    <m/>
    <m/>
    <n v="0"/>
    <n v="0"/>
    <n v="0"/>
    <n v="0"/>
    <n v="0"/>
    <n v="1560.6"/>
    <n v="0"/>
    <n v="0"/>
    <n v="0"/>
    <n v="0"/>
    <n v="0"/>
    <n v="0"/>
    <n v="0"/>
    <n v="0"/>
    <n v="0"/>
    <n v="0"/>
    <n v="0"/>
    <n v="0"/>
    <n v="0"/>
    <n v="0"/>
    <n v="0"/>
    <n v="0"/>
    <n v="0"/>
    <n v="0"/>
    <n v="0"/>
    <n v="0"/>
    <n v="91800"/>
    <n v="0"/>
    <n v="0"/>
    <n v="0"/>
    <n v="0"/>
    <n v="0"/>
    <n v="0"/>
    <n v="0"/>
    <n v="0"/>
    <n v="0"/>
    <n v="0"/>
    <n v="0"/>
    <n v="0"/>
    <n v="0"/>
    <n v="0"/>
    <n v="0"/>
    <n v="0"/>
    <n v="0"/>
    <n v="0"/>
    <n v="0"/>
    <n v="0"/>
    <n v="0"/>
    <n v="0"/>
    <n v="0"/>
    <n v="0"/>
    <n v="0"/>
    <n v="0"/>
    <n v="0"/>
    <n v="0"/>
    <n v="0"/>
    <n v="0"/>
    <n v="0"/>
    <n v="93360.6"/>
    <n v="98962.236000000004"/>
    <s v=" "/>
    <s v=" "/>
    <s v=" "/>
    <s v=" "/>
    <s v=" "/>
    <s v=" "/>
    <s v=" "/>
    <s v=" "/>
    <s v=" "/>
    <s v=" "/>
    <s v=" "/>
    <s v=" "/>
    <s v=" "/>
    <s v=" "/>
    <x v="0"/>
    <x v="0"/>
    <x v="0"/>
    <x v="0"/>
    <x v="0"/>
    <x v="29"/>
    <x v="0"/>
    <x v="0"/>
    <x v="0"/>
    <x v="4"/>
    <x v="1"/>
    <x v="1"/>
    <x v="0"/>
    <x v="0"/>
    <x v="0"/>
    <x v="0"/>
    <x v="0"/>
    <x v="0"/>
    <x v="0"/>
    <x v="0"/>
    <x v="0"/>
    <x v="0"/>
    <x v="0"/>
    <x v="0"/>
    <x v="0"/>
    <x v="0"/>
    <x v="0"/>
    <x v="0"/>
    <x v="0"/>
    <x v="0"/>
    <x v="0"/>
    <x v="0"/>
    <x v="0"/>
    <x v="0"/>
    <x v="0"/>
    <x v="0"/>
    <x v="0"/>
    <x v="0"/>
    <x v="0"/>
    <x v="0"/>
    <x v="0"/>
    <x v="0"/>
    <x v="0"/>
    <x v="0"/>
    <x v="0"/>
    <x v="0"/>
    <x v="0"/>
    <x v="0"/>
    <x v="0"/>
    <x v="0"/>
    <x v="0"/>
    <x v="0"/>
    <x v="0"/>
    <x v="0"/>
    <x v="0"/>
    <x v="0"/>
    <x v="0"/>
    <x v="0"/>
    <x v="0"/>
    <x v="0"/>
    <x v="2"/>
    <x v="0"/>
    <x v="0"/>
    <x v="0"/>
    <x v="0"/>
    <x v="0"/>
    <x v="0"/>
    <x v="0"/>
    <x v="0"/>
    <x v="0"/>
    <x v="0"/>
    <x v="0"/>
    <x v="0"/>
    <x v="0"/>
    <x v="0"/>
    <x v="0"/>
    <x v="0"/>
    <x v="0"/>
    <x v="0"/>
    <x v="0"/>
    <x v="0"/>
    <x v="0"/>
    <x v="0"/>
    <x v="0"/>
    <x v="0"/>
    <x v="0"/>
    <x v="0"/>
    <x v="0"/>
    <x v="0"/>
    <x v="0"/>
    <x v="0"/>
    <x v="0"/>
    <x v="0"/>
  </r>
  <r>
    <s v="KS18"/>
    <s v="Concrete Check Wall"/>
    <s v="Concrete Check Wall"/>
    <s v="KS18_001"/>
    <x v="5"/>
    <n v="29.993459722000001"/>
    <n v="-25.825414444"/>
    <s v="29° 59' 36.45&quot;E "/>
    <s v="25° 49' 31.49&quot; S"/>
    <s v="Complete"/>
    <s v="Yes"/>
    <s v="Yes"/>
    <d v="2017-02-01T00:00:00"/>
    <s v="YES"/>
    <d v="2017-02-01T00:00:00"/>
    <s v="NBC-GTW-CL-0019"/>
    <s v="Yes"/>
    <s v="00"/>
    <d v="2018-06-16T00:00:00"/>
    <s v="Phase 1"/>
    <s v="Year 1"/>
    <m/>
    <m/>
    <m/>
    <m/>
    <m/>
    <n v="12"/>
    <m/>
    <m/>
    <m/>
    <m/>
    <m/>
    <m/>
    <n v="12"/>
    <m/>
    <m/>
    <m/>
    <m/>
    <m/>
    <m/>
    <m/>
    <m/>
    <m/>
    <m/>
    <m/>
    <m/>
    <m/>
    <m/>
    <m/>
    <m/>
    <m/>
    <n v="5.0999999999999996"/>
    <m/>
    <m/>
    <m/>
    <m/>
    <m/>
    <m/>
    <m/>
    <m/>
    <m/>
    <m/>
    <m/>
    <m/>
    <m/>
    <m/>
    <m/>
    <m/>
    <m/>
    <m/>
    <m/>
    <m/>
    <m/>
    <m/>
    <m/>
    <m/>
    <m/>
    <m/>
    <m/>
    <m/>
    <m/>
    <m/>
    <m/>
    <m/>
    <m/>
    <m/>
    <m/>
    <m/>
    <m/>
    <m/>
    <m/>
    <m/>
    <m/>
    <m/>
    <m/>
    <m/>
    <m/>
    <m/>
    <m/>
    <m/>
    <m/>
    <m/>
    <m/>
    <m/>
    <m/>
    <m/>
    <m/>
    <m/>
    <m/>
    <m/>
    <m/>
    <m/>
    <m/>
    <m/>
    <m/>
    <m/>
    <n v="0"/>
    <n v="0"/>
    <n v="0"/>
    <n v="0"/>
    <n v="0"/>
    <n v="1020"/>
    <n v="0"/>
    <n v="0"/>
    <n v="0"/>
    <n v="0"/>
    <n v="0"/>
    <n v="24000"/>
    <n v="0"/>
    <n v="0"/>
    <n v="0"/>
    <n v="0"/>
    <n v="0"/>
    <n v="153"/>
    <n v="0"/>
    <n v="0"/>
    <n v="0"/>
    <n v="0"/>
    <n v="0"/>
    <n v="0"/>
    <n v="0"/>
    <n v="0"/>
    <n v="0"/>
    <n v="0"/>
    <n v="0"/>
    <n v="0"/>
    <n v="0"/>
    <n v="0"/>
    <n v="0"/>
    <n v="0"/>
    <n v="0"/>
    <n v="0"/>
    <n v="0"/>
    <n v="0"/>
    <n v="0"/>
    <n v="0"/>
    <n v="0"/>
    <n v="0"/>
    <n v="0"/>
    <n v="0"/>
    <n v="0"/>
    <n v="0"/>
    <n v="0"/>
    <n v="0"/>
    <n v="0"/>
    <n v="0"/>
    <n v="0"/>
    <n v="0"/>
    <n v="0"/>
    <n v="0"/>
    <n v="0"/>
    <n v="0"/>
    <n v="0"/>
    <n v="0"/>
    <n v="25173"/>
    <n v="26683.38"/>
    <s v=" "/>
    <s v=" "/>
    <s v=" "/>
    <s v=" "/>
    <s v=" "/>
    <s v=" "/>
    <s v=" "/>
    <s v=" "/>
    <s v=" "/>
    <s v=" "/>
    <s v=" "/>
    <s v=" "/>
    <s v=" "/>
    <s v=" "/>
    <x v="0"/>
    <x v="0"/>
    <x v="0"/>
    <x v="0"/>
    <x v="0"/>
    <x v="30"/>
    <x v="0"/>
    <x v="0"/>
    <x v="0"/>
    <x v="4"/>
    <x v="1"/>
    <x v="1"/>
    <x v="22"/>
    <x v="0"/>
    <x v="0"/>
    <x v="0"/>
    <x v="0"/>
    <x v="0"/>
    <x v="0"/>
    <x v="0"/>
    <x v="0"/>
    <x v="0"/>
    <x v="0"/>
    <x v="0"/>
    <x v="0"/>
    <x v="0"/>
    <x v="0"/>
    <x v="0"/>
    <x v="2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18"/>
    <s v="Concrete Check Wall"/>
    <s v="Concrete Check Wall"/>
    <s v="KS18_002A"/>
    <x v="5"/>
    <n v="29.993099443999998"/>
    <n v="-25.824846389000001"/>
    <s v="29° 59' 35.15&quot;E "/>
    <s v="25° 49' 29.44&quot; S"/>
    <s v="Complete"/>
    <s v="Yes"/>
    <s v="Yes"/>
    <d v="2017-02-01T00:00:00"/>
    <s v="YES"/>
    <m/>
    <s v="NBC-GTW-CL-0020"/>
    <s v="Yes"/>
    <s v="00"/>
    <d v="2018-06-16T00:00:00"/>
    <s v="Phase 1"/>
    <s v="Year 1"/>
    <m/>
    <m/>
    <m/>
    <m/>
    <m/>
    <n v="8"/>
    <m/>
    <m/>
    <m/>
    <m/>
    <m/>
    <m/>
    <n v="8"/>
    <m/>
    <m/>
    <m/>
    <m/>
    <m/>
    <m/>
    <m/>
    <m/>
    <m/>
    <m/>
    <m/>
    <m/>
    <m/>
    <m/>
    <m/>
    <m/>
    <m/>
    <n v="4.2"/>
    <m/>
    <m/>
    <m/>
    <m/>
    <m/>
    <m/>
    <m/>
    <m/>
    <m/>
    <m/>
    <m/>
    <m/>
    <m/>
    <m/>
    <m/>
    <m/>
    <m/>
    <m/>
    <m/>
    <m/>
    <m/>
    <m/>
    <m/>
    <m/>
    <m/>
    <m/>
    <m/>
    <m/>
    <m/>
    <m/>
    <m/>
    <m/>
    <m/>
    <m/>
    <m/>
    <m/>
    <m/>
    <m/>
    <m/>
    <m/>
    <m/>
    <m/>
    <m/>
    <m/>
    <m/>
    <m/>
    <m/>
    <m/>
    <m/>
    <m/>
    <m/>
    <m/>
    <m/>
    <m/>
    <m/>
    <m/>
    <m/>
    <m/>
    <m/>
    <m/>
    <m/>
    <m/>
    <m/>
    <m/>
    <n v="0"/>
    <n v="0"/>
    <n v="0"/>
    <n v="0"/>
    <n v="0"/>
    <n v="680"/>
    <n v="0"/>
    <n v="0"/>
    <n v="0"/>
    <n v="0"/>
    <n v="0"/>
    <n v="16000"/>
    <n v="0"/>
    <n v="0"/>
    <n v="0"/>
    <n v="0"/>
    <n v="0"/>
    <n v="126"/>
    <n v="0"/>
    <n v="0"/>
    <n v="0"/>
    <n v="0"/>
    <n v="0"/>
    <n v="0"/>
    <n v="0"/>
    <n v="0"/>
    <n v="0"/>
    <n v="0"/>
    <n v="0"/>
    <n v="0"/>
    <n v="0"/>
    <n v="0"/>
    <n v="0"/>
    <n v="0"/>
    <n v="0"/>
    <n v="0"/>
    <n v="0"/>
    <n v="0"/>
    <n v="0"/>
    <n v="0"/>
    <n v="0"/>
    <n v="0"/>
    <n v="0"/>
    <n v="0"/>
    <n v="0"/>
    <n v="0"/>
    <n v="0"/>
    <n v="0"/>
    <n v="0"/>
    <n v="0"/>
    <n v="0"/>
    <n v="0"/>
    <n v="0"/>
    <n v="0"/>
    <n v="0"/>
    <n v="0"/>
    <n v="0"/>
    <n v="0"/>
    <n v="16806"/>
    <n v="17814.36"/>
    <s v=" "/>
    <s v=" "/>
    <s v=" "/>
    <s v=" "/>
    <s v=" "/>
    <s v=" "/>
    <s v=" "/>
    <s v=" "/>
    <s v=" "/>
    <s v=" "/>
    <s v=" "/>
    <s v=" "/>
    <s v=" "/>
    <s v=" "/>
    <x v="0"/>
    <x v="0"/>
    <x v="0"/>
    <x v="0"/>
    <x v="0"/>
    <x v="31"/>
    <x v="0"/>
    <x v="0"/>
    <x v="0"/>
    <x v="4"/>
    <x v="1"/>
    <x v="1"/>
    <x v="23"/>
    <x v="0"/>
    <x v="0"/>
    <x v="0"/>
    <x v="0"/>
    <x v="0"/>
    <x v="0"/>
    <x v="0"/>
    <x v="0"/>
    <x v="0"/>
    <x v="0"/>
    <x v="0"/>
    <x v="0"/>
    <x v="0"/>
    <x v="0"/>
    <x v="0"/>
    <x v="22"/>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18"/>
    <s v="Concrete Check Wall"/>
    <s v="Concrete Check Wall"/>
    <s v="KS18_002B"/>
    <x v="5"/>
    <n v="29.993171589999999"/>
    <n v="-25.82515317"/>
    <s v="29° 59' 35.41&quot;E "/>
    <s v="25° 49' 30.55&quot; S"/>
    <m/>
    <m/>
    <m/>
    <m/>
    <m/>
    <m/>
    <m/>
    <m/>
    <m/>
    <m/>
    <m/>
    <m/>
    <m/>
    <m/>
    <m/>
    <m/>
    <m/>
    <n v="6"/>
    <m/>
    <m/>
    <m/>
    <m/>
    <m/>
    <m/>
    <n v="6"/>
    <m/>
    <m/>
    <m/>
    <m/>
    <m/>
    <m/>
    <m/>
    <m/>
    <m/>
    <m/>
    <m/>
    <m/>
    <m/>
    <m/>
    <m/>
    <m/>
    <m/>
    <n v="4.2"/>
    <m/>
    <m/>
    <m/>
    <m/>
    <m/>
    <m/>
    <m/>
    <m/>
    <m/>
    <m/>
    <m/>
    <m/>
    <m/>
    <m/>
    <m/>
    <m/>
    <m/>
    <m/>
    <m/>
    <m/>
    <m/>
    <m/>
    <m/>
    <m/>
    <m/>
    <m/>
    <m/>
    <m/>
    <m/>
    <m/>
    <m/>
    <m/>
    <m/>
    <m/>
    <m/>
    <m/>
    <m/>
    <m/>
    <m/>
    <m/>
    <m/>
    <m/>
    <m/>
    <m/>
    <m/>
    <m/>
    <m/>
    <m/>
    <m/>
    <m/>
    <m/>
    <m/>
    <m/>
    <m/>
    <m/>
    <m/>
    <m/>
    <m/>
    <m/>
    <m/>
    <m/>
    <m/>
    <m/>
    <m/>
    <n v="0"/>
    <n v="0"/>
    <n v="0"/>
    <n v="0"/>
    <n v="0"/>
    <n v="510"/>
    <n v="0"/>
    <n v="0"/>
    <n v="0"/>
    <n v="0"/>
    <n v="0"/>
    <n v="12000"/>
    <n v="0"/>
    <n v="0"/>
    <n v="0"/>
    <n v="0"/>
    <n v="0"/>
    <n v="126"/>
    <n v="0"/>
    <n v="0"/>
    <n v="0"/>
    <n v="0"/>
    <n v="0"/>
    <n v="0"/>
    <n v="0"/>
    <n v="0"/>
    <n v="0"/>
    <n v="0"/>
    <n v="0"/>
    <n v="0"/>
    <n v="0"/>
    <n v="0"/>
    <n v="0"/>
    <n v="0"/>
    <n v="0"/>
    <n v="0"/>
    <n v="0"/>
    <n v="0"/>
    <n v="0"/>
    <n v="0"/>
    <n v="0"/>
    <n v="0"/>
    <n v="0"/>
    <n v="0"/>
    <n v="0"/>
    <n v="0"/>
    <n v="0"/>
    <n v="0"/>
    <n v="0"/>
    <n v="0"/>
    <n v="0"/>
    <n v="0"/>
    <n v="0"/>
    <n v="0"/>
    <n v="0"/>
    <n v="0"/>
    <n v="0"/>
    <n v="0"/>
    <n v="12636"/>
    <s v=" "/>
    <s v=" "/>
    <s v=" "/>
    <s v=" "/>
    <s v=" "/>
    <s v=" "/>
    <s v=" "/>
    <s v=" "/>
    <s v=" "/>
    <s v=" "/>
    <s v=" "/>
    <s v=" "/>
    <s v=" "/>
    <s v=" "/>
    <s v=" "/>
    <x v="0"/>
    <x v="0"/>
    <x v="0"/>
    <x v="0"/>
    <x v="0"/>
    <x v="32"/>
    <x v="0"/>
    <x v="0"/>
    <x v="0"/>
    <x v="4"/>
    <x v="1"/>
    <x v="1"/>
    <x v="24"/>
    <x v="0"/>
    <x v="0"/>
    <x v="0"/>
    <x v="0"/>
    <x v="0"/>
    <x v="0"/>
    <x v="0"/>
    <x v="0"/>
    <x v="0"/>
    <x v="0"/>
    <x v="0"/>
    <x v="0"/>
    <x v="0"/>
    <x v="0"/>
    <x v="0"/>
    <x v="23"/>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18"/>
    <s v="Concrete Check Wall"/>
    <s v="Concrete Check Wall"/>
    <s v="KS18_003"/>
    <x v="6"/>
    <n v="29.992503056"/>
    <n v="-25.824776944"/>
    <s v="29° 59' 33.01&quot;E "/>
    <s v="25° 49' 29.19&quot; S"/>
    <s v="Complete"/>
    <s v="Yes"/>
    <s v="Yes"/>
    <d v="2017-02-08T00:00:00"/>
    <s v="YES"/>
    <m/>
    <s v="NBC-GTW-CL-0045"/>
    <s v="Yes"/>
    <s v="00"/>
    <d v="2018-06-16T00:00:00"/>
    <s v="Phase 1"/>
    <s v="Year 1"/>
    <n v="0"/>
    <n v="0"/>
    <n v="0"/>
    <n v="0"/>
    <n v="0"/>
    <n v="5.7"/>
    <n v="0"/>
    <n v="0"/>
    <n v="0"/>
    <n v="0"/>
    <n v="0"/>
    <n v="0"/>
    <n v="5.7"/>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m/>
    <m/>
    <m/>
    <m/>
    <m/>
    <m/>
    <m/>
    <m/>
    <m/>
    <m/>
    <m/>
    <m/>
    <n v="0"/>
    <n v="0"/>
    <n v="0"/>
    <n v="0"/>
    <n v="0"/>
    <n v="484.5"/>
    <n v="0"/>
    <n v="0"/>
    <n v="0"/>
    <n v="0"/>
    <n v="0"/>
    <n v="11400"/>
    <n v="0"/>
    <n v="0"/>
    <n v="0"/>
    <n v="0"/>
    <n v="0"/>
    <n v="0"/>
    <n v="0"/>
    <n v="0"/>
    <n v="0"/>
    <n v="0"/>
    <n v="0"/>
    <n v="0"/>
    <n v="0"/>
    <n v="0"/>
    <n v="0"/>
    <n v="0"/>
    <n v="0"/>
    <n v="0"/>
    <n v="0"/>
    <n v="0"/>
    <n v="0"/>
    <n v="0"/>
    <n v="0"/>
    <n v="0"/>
    <n v="0"/>
    <n v="0"/>
    <n v="0"/>
    <n v="0"/>
    <n v="0"/>
    <n v="0"/>
    <n v="0"/>
    <n v="0"/>
    <n v="0"/>
    <n v="0"/>
    <n v="0"/>
    <n v="0"/>
    <n v="0"/>
    <n v="0"/>
    <n v="0"/>
    <n v="0"/>
    <n v="0"/>
    <n v="0"/>
    <n v="0"/>
    <n v="0"/>
    <n v="0"/>
    <n v="0"/>
    <n v="11884.5"/>
    <n v="12597.570000000002"/>
    <s v=" "/>
    <s v=" "/>
    <s v=" "/>
    <s v=" "/>
    <s v=" "/>
    <s v=" "/>
    <s v=" "/>
    <s v=" "/>
    <s v=" "/>
    <s v=" "/>
    <s v=" "/>
    <s v=" "/>
    <s v=" "/>
    <s v=" "/>
    <x v="0"/>
    <x v="0"/>
    <x v="0"/>
    <x v="0"/>
    <x v="0"/>
    <x v="33"/>
    <x v="0"/>
    <x v="0"/>
    <x v="0"/>
    <x v="4"/>
    <x v="1"/>
    <x v="1"/>
    <x v="25"/>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18"/>
    <s v="Concrete Check Wall"/>
    <s v="Concrete Check Wall"/>
    <s v="KS18_004"/>
    <x v="6"/>
    <n v="29.9920875"/>
    <n v="-25.824516943999999"/>
    <s v="29° 59' 31.51&quot;E "/>
    <s v="25° 49' 28.26&quot; S"/>
    <s v="Complete"/>
    <s v="Yes"/>
    <s v="Yes"/>
    <d v="2017-02-08T00:00:00"/>
    <s v="YES"/>
    <m/>
    <s v="NBC-GTW-CL-0045"/>
    <s v="Yes"/>
    <s v="00"/>
    <d v="2018-06-16T00:00:00"/>
    <s v="Phase 1"/>
    <s v="Year 1"/>
    <n v="0"/>
    <n v="0"/>
    <n v="0"/>
    <n v="0"/>
    <n v="0"/>
    <n v="5.3550000000000004"/>
    <n v="0"/>
    <n v="0"/>
    <n v="0"/>
    <n v="0"/>
    <n v="0"/>
    <n v="0"/>
    <n v="5.3550000000000004"/>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m/>
    <m/>
    <m/>
    <m/>
    <m/>
    <m/>
    <m/>
    <m/>
    <m/>
    <m/>
    <m/>
    <m/>
    <n v="0"/>
    <n v="0"/>
    <n v="0"/>
    <n v="0"/>
    <n v="0"/>
    <n v="455.17500000000001"/>
    <n v="0"/>
    <n v="0"/>
    <n v="0"/>
    <n v="0"/>
    <n v="0"/>
    <n v="10710"/>
    <n v="0"/>
    <n v="0"/>
    <n v="0"/>
    <n v="0"/>
    <n v="0"/>
    <n v="0"/>
    <n v="0"/>
    <n v="0"/>
    <n v="0"/>
    <n v="0"/>
    <n v="0"/>
    <n v="0"/>
    <n v="0"/>
    <n v="0"/>
    <n v="0"/>
    <n v="0"/>
    <n v="0"/>
    <n v="0"/>
    <n v="0"/>
    <n v="0"/>
    <n v="0"/>
    <n v="0"/>
    <n v="0"/>
    <n v="0"/>
    <n v="0"/>
    <n v="0"/>
    <n v="0"/>
    <n v="0"/>
    <n v="0"/>
    <n v="0"/>
    <n v="0"/>
    <n v="0"/>
    <n v="0"/>
    <n v="0"/>
    <n v="0"/>
    <n v="0"/>
    <n v="0"/>
    <n v="0"/>
    <n v="0"/>
    <n v="0"/>
    <n v="0"/>
    <n v="0"/>
    <n v="0"/>
    <n v="0"/>
    <n v="0"/>
    <n v="0"/>
    <n v="11165.174999999999"/>
    <n v="11835.085499999999"/>
    <s v=" "/>
    <s v=" "/>
    <s v=" "/>
    <s v=" "/>
    <s v=" "/>
    <s v=" "/>
    <s v=" "/>
    <s v=" "/>
    <s v=" "/>
    <s v=" "/>
    <s v=" "/>
    <s v=" "/>
    <s v=" "/>
    <s v=" "/>
    <x v="0"/>
    <x v="0"/>
    <x v="0"/>
    <x v="0"/>
    <x v="0"/>
    <x v="34"/>
    <x v="0"/>
    <x v="0"/>
    <x v="0"/>
    <x v="4"/>
    <x v="1"/>
    <x v="1"/>
    <x v="26"/>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18"/>
    <s v="Concrete Check Wall"/>
    <s v="Concrete Check Wall"/>
    <s v="KS18_005"/>
    <x v="6"/>
    <n v="29.991557778000001"/>
    <n v="-25.824408889000001"/>
    <s v="29° 59' 29.60&quot;E "/>
    <s v="25° 49' 27.87&quot; S"/>
    <s v="Complete"/>
    <s v="Yes"/>
    <s v="Yes"/>
    <d v="2017-02-08T00:00:00"/>
    <s v="YES"/>
    <m/>
    <s v="NBC-GTW-CL-0045"/>
    <s v="Yes"/>
    <s v="00"/>
    <d v="2018-06-16T00:00:00"/>
    <s v="Phase 1"/>
    <s v="Year 1"/>
    <n v="0"/>
    <n v="0"/>
    <n v="0"/>
    <n v="0"/>
    <n v="0"/>
    <n v="6.9300000000000006"/>
    <n v="0"/>
    <n v="0"/>
    <n v="0"/>
    <n v="0"/>
    <n v="0"/>
    <n v="0"/>
    <n v="6.9300000000000006"/>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m/>
    <m/>
    <m/>
    <m/>
    <m/>
    <m/>
    <m/>
    <m/>
    <m/>
    <m/>
    <m/>
    <m/>
    <n v="0"/>
    <n v="0"/>
    <n v="0"/>
    <n v="0"/>
    <n v="0"/>
    <n v="589.05000000000007"/>
    <n v="0"/>
    <n v="0"/>
    <n v="0"/>
    <n v="0"/>
    <n v="0"/>
    <n v="13860.000000000002"/>
    <n v="0"/>
    <n v="0"/>
    <n v="0"/>
    <n v="0"/>
    <n v="0"/>
    <n v="0"/>
    <n v="0"/>
    <n v="0"/>
    <n v="0"/>
    <n v="0"/>
    <n v="0"/>
    <n v="0"/>
    <n v="0"/>
    <n v="0"/>
    <n v="0"/>
    <n v="0"/>
    <n v="0"/>
    <n v="0"/>
    <n v="0"/>
    <n v="0"/>
    <n v="0"/>
    <n v="0"/>
    <n v="0"/>
    <n v="0"/>
    <n v="0"/>
    <n v="0"/>
    <n v="0"/>
    <n v="0"/>
    <n v="0"/>
    <n v="0"/>
    <n v="0"/>
    <n v="0"/>
    <n v="0"/>
    <n v="0"/>
    <n v="0"/>
    <n v="0"/>
    <n v="0"/>
    <n v="0"/>
    <n v="0"/>
    <n v="0"/>
    <n v="0"/>
    <n v="0"/>
    <n v="0"/>
    <n v="0"/>
    <n v="0"/>
    <n v="0"/>
    <n v="14449.050000000001"/>
    <n v="15315.993000000002"/>
    <s v=" "/>
    <s v=" "/>
    <s v=" "/>
    <s v=" "/>
    <s v=" "/>
    <s v=" "/>
    <s v=" "/>
    <s v=" "/>
    <s v=" "/>
    <s v=" "/>
    <s v=" "/>
    <s v=" "/>
    <s v=" "/>
    <s v=" "/>
    <x v="0"/>
    <x v="0"/>
    <x v="0"/>
    <x v="0"/>
    <x v="0"/>
    <x v="35"/>
    <x v="0"/>
    <x v="0"/>
    <x v="0"/>
    <x v="4"/>
    <x v="1"/>
    <x v="1"/>
    <x v="27"/>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18"/>
    <s v="Concrete Check Wall"/>
    <s v="Concrete Check Wall"/>
    <s v="KS18_006"/>
    <x v="6"/>
    <n v="29.990665542999999"/>
    <n v="-25.824166946999998"/>
    <s v="29° 59' 26.39&quot;E "/>
    <s v="25° 49' 27.00&quot; S"/>
    <s v="Complete"/>
    <s v="Yes"/>
    <s v="Yes"/>
    <d v="2017-02-08T00:00:00"/>
    <s v="YES"/>
    <m/>
    <s v="NBC-GTW-CL-0045"/>
    <s v="Yes"/>
    <s v="00"/>
    <d v="2018-06-16T00:00:00"/>
    <s v="Phase 1"/>
    <s v="Year 1"/>
    <n v="0"/>
    <n v="0"/>
    <n v="0"/>
    <n v="0"/>
    <n v="0"/>
    <n v="6.6150000000000002"/>
    <n v="0"/>
    <n v="0"/>
    <n v="0"/>
    <n v="0"/>
    <n v="0"/>
    <n v="0"/>
    <n v="6.6150000000000002"/>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m/>
    <m/>
    <m/>
    <m/>
    <m/>
    <m/>
    <m/>
    <m/>
    <m/>
    <m/>
    <m/>
    <m/>
    <n v="0"/>
    <n v="0"/>
    <n v="0"/>
    <n v="0"/>
    <n v="0"/>
    <n v="562.27499999999998"/>
    <n v="0"/>
    <n v="0"/>
    <n v="0"/>
    <n v="0"/>
    <n v="0"/>
    <n v="13230"/>
    <n v="0"/>
    <n v="0"/>
    <n v="0"/>
    <n v="0"/>
    <n v="0"/>
    <n v="0"/>
    <n v="0"/>
    <n v="0"/>
    <n v="0"/>
    <n v="0"/>
    <n v="0"/>
    <n v="0"/>
    <n v="0"/>
    <n v="0"/>
    <n v="0"/>
    <n v="0"/>
    <n v="0"/>
    <n v="0"/>
    <n v="0"/>
    <n v="0"/>
    <n v="0"/>
    <n v="0"/>
    <n v="0"/>
    <n v="0"/>
    <n v="0"/>
    <n v="0"/>
    <n v="0"/>
    <n v="0"/>
    <n v="0"/>
    <n v="0"/>
    <n v="0"/>
    <n v="0"/>
    <n v="0"/>
    <n v="0"/>
    <n v="0"/>
    <n v="0"/>
    <n v="0"/>
    <n v="0"/>
    <n v="0"/>
    <n v="0"/>
    <n v="0"/>
    <n v="0"/>
    <n v="0"/>
    <n v="0"/>
    <n v="0"/>
    <n v="0"/>
    <n v="13792.275"/>
    <n v="14619.8115"/>
    <s v=" "/>
    <s v=" "/>
    <s v=" "/>
    <s v=" "/>
    <s v=" "/>
    <s v=" "/>
    <s v=" "/>
    <s v=" "/>
    <s v=" "/>
    <s v=" "/>
    <s v=" "/>
    <s v=" "/>
    <s v=" "/>
    <s v=" "/>
    <x v="0"/>
    <x v="0"/>
    <x v="0"/>
    <x v="0"/>
    <x v="0"/>
    <x v="36"/>
    <x v="0"/>
    <x v="0"/>
    <x v="0"/>
    <x v="4"/>
    <x v="1"/>
    <x v="1"/>
    <x v="28"/>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18"/>
    <s v="Concrete Check Wall"/>
    <s v="Concrete Check Wall"/>
    <s v="KS18_007"/>
    <x v="6"/>
    <n v="29.990300000000001"/>
    <n v="-25.823898332999999"/>
    <s v="29° 59' 25.08&quot;E "/>
    <s v="25° 49' 26.03&quot; S"/>
    <s v="Complete"/>
    <s v="Yes"/>
    <s v="Yes"/>
    <d v="2017-02-08T00:00:00"/>
    <s v="YES"/>
    <m/>
    <s v="NBC-GTW-CL-0045"/>
    <s v="Yes"/>
    <s v="00"/>
    <d v="2018-06-16T00:00:00"/>
    <s v="Phase 1"/>
    <s v="Year 1"/>
    <n v="0"/>
    <n v="0"/>
    <n v="0"/>
    <n v="0"/>
    <n v="0"/>
    <n v="5.04"/>
    <n v="0"/>
    <n v="0"/>
    <n v="0"/>
    <n v="0"/>
    <n v="0"/>
    <n v="0"/>
    <n v="5.04"/>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m/>
    <m/>
    <m/>
    <m/>
    <m/>
    <m/>
    <m/>
    <m/>
    <m/>
    <m/>
    <m/>
    <m/>
    <n v="0"/>
    <n v="0"/>
    <n v="0"/>
    <n v="0"/>
    <n v="0"/>
    <n v="428.4"/>
    <n v="0"/>
    <n v="0"/>
    <n v="0"/>
    <n v="0"/>
    <n v="0"/>
    <n v="10080"/>
    <n v="0"/>
    <n v="0"/>
    <n v="0"/>
    <n v="0"/>
    <n v="0"/>
    <n v="0"/>
    <n v="0"/>
    <n v="0"/>
    <n v="0"/>
    <n v="0"/>
    <n v="0"/>
    <n v="0"/>
    <n v="0"/>
    <n v="0"/>
    <n v="0"/>
    <n v="0"/>
    <n v="0"/>
    <n v="0"/>
    <n v="0"/>
    <n v="0"/>
    <n v="0"/>
    <n v="0"/>
    <n v="0"/>
    <n v="0"/>
    <n v="0"/>
    <n v="0"/>
    <n v="0"/>
    <n v="0"/>
    <n v="0"/>
    <n v="0"/>
    <n v="0"/>
    <n v="0"/>
    <n v="0"/>
    <n v="0"/>
    <n v="0"/>
    <n v="0"/>
    <n v="0"/>
    <n v="0"/>
    <n v="0"/>
    <n v="0"/>
    <n v="0"/>
    <n v="0"/>
    <n v="0"/>
    <n v="0"/>
    <n v="0"/>
    <n v="0"/>
    <n v="10508.4"/>
    <n v="11138.904"/>
    <s v=" "/>
    <s v=" "/>
    <s v=" "/>
    <s v=" "/>
    <s v=" "/>
    <s v=" "/>
    <s v=" "/>
    <s v=" "/>
    <s v=" "/>
    <s v=" "/>
    <s v=" "/>
    <s v=" "/>
    <s v=" "/>
    <s v=" "/>
    <x v="0"/>
    <x v="0"/>
    <x v="0"/>
    <x v="0"/>
    <x v="0"/>
    <x v="37"/>
    <x v="0"/>
    <x v="0"/>
    <x v="0"/>
    <x v="4"/>
    <x v="1"/>
    <x v="1"/>
    <x v="29"/>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18"/>
    <s v="Concrete Check Wall"/>
    <s v="Concrete Check Wall"/>
    <s v="KS18_008"/>
    <x v="6"/>
    <n v="29.989851111"/>
    <n v="-25.823658610999999"/>
    <s v="29° 59' 23.46&quot;E "/>
    <s v="25° 49' 25.17&quot; S"/>
    <s v="Complete"/>
    <s v="Yes"/>
    <s v="Yes"/>
    <d v="2017-02-08T00:00:00"/>
    <s v="YES"/>
    <m/>
    <s v="NBC-GTW-CL-0045"/>
    <s v="Yes"/>
    <s v="00"/>
    <d v="2018-06-16T00:00:00"/>
    <s v="Phase 1"/>
    <s v="Year 1"/>
    <n v="0"/>
    <n v="0"/>
    <n v="0"/>
    <n v="0"/>
    <n v="0"/>
    <n v="5.7600000000000007"/>
    <n v="0"/>
    <n v="0"/>
    <n v="0"/>
    <n v="0"/>
    <n v="0"/>
    <n v="0"/>
    <n v="5.7600000000000007"/>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m/>
    <m/>
    <m/>
    <m/>
    <m/>
    <m/>
    <m/>
    <m/>
    <m/>
    <m/>
    <m/>
    <m/>
    <n v="0"/>
    <n v="0"/>
    <n v="0"/>
    <n v="0"/>
    <n v="0"/>
    <n v="489.60000000000008"/>
    <n v="0"/>
    <n v="0"/>
    <n v="0"/>
    <n v="0"/>
    <n v="0"/>
    <n v="11520.000000000002"/>
    <n v="0"/>
    <n v="0"/>
    <n v="0"/>
    <n v="0"/>
    <n v="0"/>
    <n v="0"/>
    <n v="0"/>
    <n v="0"/>
    <n v="0"/>
    <n v="0"/>
    <n v="0"/>
    <n v="0"/>
    <n v="0"/>
    <n v="0"/>
    <n v="0"/>
    <n v="0"/>
    <n v="0"/>
    <n v="0"/>
    <n v="0"/>
    <n v="0"/>
    <n v="0"/>
    <n v="0"/>
    <n v="0"/>
    <n v="0"/>
    <n v="0"/>
    <n v="0"/>
    <n v="0"/>
    <n v="0"/>
    <n v="0"/>
    <n v="0"/>
    <n v="0"/>
    <n v="0"/>
    <n v="0"/>
    <n v="0"/>
    <n v="0"/>
    <n v="0"/>
    <n v="0"/>
    <n v="0"/>
    <n v="0"/>
    <n v="0"/>
    <n v="0"/>
    <n v="0"/>
    <n v="0"/>
    <n v="0"/>
    <n v="0"/>
    <n v="0"/>
    <n v="12009.600000000002"/>
    <n v="12730.176000000003"/>
    <s v=" "/>
    <s v=" "/>
    <s v=" "/>
    <s v=" "/>
    <s v=" "/>
    <s v=" "/>
    <s v=" "/>
    <s v=" "/>
    <s v=" "/>
    <s v=" "/>
    <s v=" "/>
    <s v=" "/>
    <s v=" "/>
    <s v=" "/>
    <x v="0"/>
    <x v="0"/>
    <x v="0"/>
    <x v="0"/>
    <x v="0"/>
    <x v="38"/>
    <x v="0"/>
    <x v="0"/>
    <x v="0"/>
    <x v="4"/>
    <x v="1"/>
    <x v="1"/>
    <x v="3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18"/>
    <s v="Concrete Check Wall"/>
    <s v="Concrete Check Wall"/>
    <s v="KS18_009"/>
    <x v="6"/>
    <n v="29.989338332999999"/>
    <n v="-25.823435278000002"/>
    <s v="29° 59' 21.61&quot;E "/>
    <s v="25° 49' 24.36&quot; S"/>
    <s v="Complete"/>
    <s v="Yes"/>
    <s v="Yes"/>
    <d v="2017-02-08T00:00:00"/>
    <s v="YES"/>
    <m/>
    <s v="NBC-GTW-CL-0045"/>
    <s v="Yes"/>
    <s v="00"/>
    <d v="2018-06-16T00:00:00"/>
    <s v="Phase 1"/>
    <s v="Year 1"/>
    <n v="0"/>
    <n v="0"/>
    <n v="0"/>
    <n v="0"/>
    <n v="0"/>
    <n v="5.7749999999999995"/>
    <n v="0"/>
    <n v="0"/>
    <n v="0"/>
    <n v="0"/>
    <n v="0"/>
    <n v="0"/>
    <n v="5.7749999999999995"/>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m/>
    <m/>
    <m/>
    <m/>
    <m/>
    <m/>
    <m/>
    <m/>
    <m/>
    <m/>
    <m/>
    <m/>
    <n v="0"/>
    <n v="0"/>
    <n v="0"/>
    <n v="0"/>
    <n v="0"/>
    <n v="490.87499999999994"/>
    <n v="0"/>
    <n v="0"/>
    <n v="0"/>
    <n v="0"/>
    <n v="0"/>
    <n v="11549.999999999998"/>
    <n v="0"/>
    <n v="0"/>
    <n v="0"/>
    <n v="0"/>
    <n v="0"/>
    <n v="0"/>
    <n v="0"/>
    <n v="0"/>
    <n v="0"/>
    <n v="0"/>
    <n v="0"/>
    <n v="0"/>
    <n v="0"/>
    <n v="0"/>
    <n v="0"/>
    <n v="0"/>
    <n v="0"/>
    <n v="0"/>
    <n v="0"/>
    <n v="0"/>
    <n v="0"/>
    <n v="0"/>
    <n v="0"/>
    <n v="0"/>
    <n v="0"/>
    <n v="0"/>
    <n v="0"/>
    <n v="0"/>
    <n v="0"/>
    <n v="0"/>
    <n v="0"/>
    <n v="0"/>
    <n v="0"/>
    <n v="0"/>
    <n v="0"/>
    <n v="0"/>
    <n v="0"/>
    <n v="0"/>
    <n v="0"/>
    <n v="0"/>
    <n v="0"/>
    <n v="0"/>
    <n v="0"/>
    <n v="0"/>
    <n v="0"/>
    <n v="0"/>
    <n v="12040.874999999998"/>
    <n v="12763.327499999999"/>
    <s v=" "/>
    <s v=" "/>
    <s v=" "/>
    <s v=" "/>
    <s v=" "/>
    <s v=" "/>
    <s v=" "/>
    <s v=" "/>
    <s v=" "/>
    <s v=" "/>
    <s v=" "/>
    <s v=" "/>
    <s v=" "/>
    <s v=" "/>
    <x v="0"/>
    <x v="0"/>
    <x v="0"/>
    <x v="0"/>
    <x v="0"/>
    <x v="39"/>
    <x v="0"/>
    <x v="0"/>
    <x v="0"/>
    <x v="4"/>
    <x v="1"/>
    <x v="1"/>
    <x v="3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18"/>
    <s v="Concrete Check Wall"/>
    <s v="Concrete Check Wall"/>
    <s v="KS18_010"/>
    <x v="6"/>
    <n v="29.988861098000001"/>
    <n v="-25.823188834"/>
    <s v="29° 59' 19.89&quot;E "/>
    <s v="25° 49' 23.47&quot; S"/>
    <s v="Complete"/>
    <s v="Yes"/>
    <s v="Yes"/>
    <d v="2017-02-08T00:00:00"/>
    <s v="YES"/>
    <m/>
    <s v="NBC-GTW-CL-0045"/>
    <s v="Yes"/>
    <s v="00"/>
    <d v="2018-06-16T00:00:00"/>
    <s v="Phase 1"/>
    <s v="Year 1"/>
    <n v="0"/>
    <n v="0"/>
    <n v="0"/>
    <n v="0"/>
    <n v="0"/>
    <n v="6.9300000000000006"/>
    <n v="0"/>
    <n v="0"/>
    <n v="0"/>
    <n v="0"/>
    <n v="0"/>
    <n v="0"/>
    <n v="6.9300000000000006"/>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m/>
    <m/>
    <m/>
    <m/>
    <m/>
    <m/>
    <m/>
    <m/>
    <m/>
    <m/>
    <m/>
    <m/>
    <n v="0"/>
    <n v="0"/>
    <n v="0"/>
    <n v="0"/>
    <n v="0"/>
    <n v="589.05000000000007"/>
    <n v="0"/>
    <n v="0"/>
    <n v="0"/>
    <n v="0"/>
    <n v="0"/>
    <n v="13860.000000000002"/>
    <n v="0"/>
    <n v="0"/>
    <n v="0"/>
    <n v="0"/>
    <n v="0"/>
    <n v="0"/>
    <n v="0"/>
    <n v="0"/>
    <n v="0"/>
    <n v="0"/>
    <n v="0"/>
    <n v="0"/>
    <n v="0"/>
    <n v="0"/>
    <n v="0"/>
    <n v="0"/>
    <n v="0"/>
    <n v="0"/>
    <n v="0"/>
    <n v="0"/>
    <n v="0"/>
    <n v="0"/>
    <n v="0"/>
    <n v="0"/>
    <n v="0"/>
    <n v="0"/>
    <n v="0"/>
    <n v="0"/>
    <n v="0"/>
    <n v="0"/>
    <n v="0"/>
    <n v="0"/>
    <n v="0"/>
    <n v="0"/>
    <n v="0"/>
    <n v="0"/>
    <n v="0"/>
    <n v="0"/>
    <n v="0"/>
    <n v="0"/>
    <n v="0"/>
    <n v="0"/>
    <n v="0"/>
    <n v="0"/>
    <n v="0"/>
    <n v="0"/>
    <n v="14449.050000000001"/>
    <n v="15315.993000000002"/>
    <s v=" "/>
    <s v=" "/>
    <s v=" "/>
    <s v=" "/>
    <s v=" "/>
    <s v=" "/>
    <s v=" "/>
    <s v=" "/>
    <s v=" "/>
    <s v=" "/>
    <s v=" "/>
    <s v=" "/>
    <s v=" "/>
    <s v=" "/>
    <x v="0"/>
    <x v="0"/>
    <x v="0"/>
    <x v="0"/>
    <x v="0"/>
    <x v="40"/>
    <x v="0"/>
    <x v="0"/>
    <x v="0"/>
    <x v="4"/>
    <x v="1"/>
    <x v="1"/>
    <x v="32"/>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18"/>
    <s v="Concrete Check Wall"/>
    <s v="Concrete Check Wall"/>
    <s v="KS18_011"/>
    <x v="6"/>
    <n v="29.988361076"/>
    <n v="-25.823007194999999"/>
    <s v="29° 59' 18.09&quot;E "/>
    <s v="25° 49' 22.82&quot; S"/>
    <s v="Complete"/>
    <s v="Yes"/>
    <s v="Yes"/>
    <d v="2017-02-08T00:00:00"/>
    <s v="YES"/>
    <m/>
    <s v="NBC-GTW-CL-0045"/>
    <s v="Yes"/>
    <s v="00"/>
    <d v="2018-06-16T00:00:00"/>
    <s v="Phase 1"/>
    <s v="Year 1"/>
    <n v="0"/>
    <n v="0"/>
    <n v="0"/>
    <n v="0"/>
    <n v="0"/>
    <n v="6"/>
    <n v="0"/>
    <n v="0"/>
    <n v="0"/>
    <n v="0"/>
    <n v="0"/>
    <n v="0"/>
    <n v="6"/>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m/>
    <m/>
    <m/>
    <m/>
    <m/>
    <m/>
    <m/>
    <m/>
    <m/>
    <m/>
    <m/>
    <m/>
    <n v="0"/>
    <n v="0"/>
    <n v="0"/>
    <n v="0"/>
    <n v="0"/>
    <n v="510"/>
    <n v="0"/>
    <n v="0"/>
    <n v="0"/>
    <n v="0"/>
    <n v="0"/>
    <n v="12000"/>
    <n v="0"/>
    <n v="0"/>
    <n v="0"/>
    <n v="0"/>
    <n v="0"/>
    <n v="0"/>
    <n v="0"/>
    <n v="0"/>
    <n v="0"/>
    <n v="0"/>
    <n v="0"/>
    <n v="0"/>
    <n v="0"/>
    <n v="0"/>
    <n v="0"/>
    <n v="0"/>
    <n v="0"/>
    <n v="0"/>
    <n v="0"/>
    <n v="0"/>
    <n v="0"/>
    <n v="0"/>
    <n v="0"/>
    <n v="0"/>
    <n v="0"/>
    <n v="0"/>
    <n v="0"/>
    <n v="0"/>
    <n v="0"/>
    <n v="0"/>
    <n v="0"/>
    <n v="0"/>
    <n v="0"/>
    <n v="0"/>
    <n v="0"/>
    <n v="0"/>
    <n v="0"/>
    <n v="0"/>
    <n v="0"/>
    <n v="0"/>
    <n v="0"/>
    <n v="0"/>
    <n v="0"/>
    <n v="0"/>
    <n v="0"/>
    <n v="0"/>
    <n v="12510"/>
    <n v="13260.6"/>
    <s v=" "/>
    <s v=" "/>
    <s v=" "/>
    <s v=" "/>
    <s v=" "/>
    <s v=" "/>
    <s v=" "/>
    <s v=" "/>
    <s v=" "/>
    <s v=" "/>
    <s v=" "/>
    <s v=" "/>
    <s v=" "/>
    <s v=" "/>
    <x v="0"/>
    <x v="0"/>
    <x v="0"/>
    <x v="0"/>
    <x v="0"/>
    <x v="41"/>
    <x v="0"/>
    <x v="0"/>
    <x v="0"/>
    <x v="4"/>
    <x v="1"/>
    <x v="1"/>
    <x v="33"/>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18"/>
    <s v="Concrete Check Wall"/>
    <s v="Concrete Check Wall"/>
    <s v="KS18_012"/>
    <x v="6"/>
    <n v="29.987974167000001"/>
    <n v="-25.822902778"/>
    <s v="29° 59' 16.70&quot;E "/>
    <s v="25° 49' 22.45&quot; S"/>
    <s v="Complete"/>
    <s v="Yes"/>
    <s v="Yes"/>
    <d v="2017-02-08T00:00:00"/>
    <s v="YES"/>
    <m/>
    <s v="NBC-GTW-CL-0045"/>
    <s v="Yes"/>
    <s v="00"/>
    <d v="2018-06-16T00:00:00"/>
    <s v="Phase 1"/>
    <s v="Year 1"/>
    <n v="0"/>
    <n v="0"/>
    <n v="0"/>
    <n v="0"/>
    <n v="0"/>
    <n v="6.6"/>
    <n v="0"/>
    <n v="0"/>
    <n v="0"/>
    <n v="0"/>
    <n v="0"/>
    <n v="0"/>
    <n v="6.6"/>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m/>
    <m/>
    <m/>
    <m/>
    <m/>
    <m/>
    <m/>
    <m/>
    <m/>
    <m/>
    <m/>
    <m/>
    <n v="0"/>
    <n v="0"/>
    <n v="0"/>
    <n v="0"/>
    <n v="0"/>
    <n v="561"/>
    <n v="0"/>
    <n v="0"/>
    <n v="0"/>
    <n v="0"/>
    <n v="0"/>
    <n v="13200"/>
    <n v="0"/>
    <n v="0"/>
    <n v="0"/>
    <n v="0"/>
    <n v="0"/>
    <n v="0"/>
    <n v="0"/>
    <n v="0"/>
    <n v="0"/>
    <n v="0"/>
    <n v="0"/>
    <n v="0"/>
    <n v="0"/>
    <n v="0"/>
    <n v="0"/>
    <n v="0"/>
    <n v="0"/>
    <n v="0"/>
    <n v="0"/>
    <n v="0"/>
    <n v="0"/>
    <n v="0"/>
    <n v="0"/>
    <n v="0"/>
    <n v="0"/>
    <n v="0"/>
    <n v="0"/>
    <n v="0"/>
    <n v="0"/>
    <n v="0"/>
    <n v="0"/>
    <n v="0"/>
    <n v="0"/>
    <n v="0"/>
    <n v="0"/>
    <n v="0"/>
    <n v="0"/>
    <n v="0"/>
    <n v="0"/>
    <n v="0"/>
    <n v="0"/>
    <n v="0"/>
    <n v="0"/>
    <n v="0"/>
    <n v="0"/>
    <n v="0"/>
    <n v="13761"/>
    <n v="14586.66"/>
    <s v=" "/>
    <s v=" "/>
    <s v=" "/>
    <s v=" "/>
    <s v=" "/>
    <s v=" "/>
    <s v=" "/>
    <s v=" "/>
    <s v=" "/>
    <s v=" "/>
    <s v=" "/>
    <s v=" "/>
    <s v=" "/>
    <s v=" "/>
    <x v="0"/>
    <x v="0"/>
    <x v="0"/>
    <x v="0"/>
    <x v="0"/>
    <x v="42"/>
    <x v="0"/>
    <x v="0"/>
    <x v="0"/>
    <x v="4"/>
    <x v="1"/>
    <x v="1"/>
    <x v="34"/>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18"/>
    <s v="Concrete Check Wall"/>
    <s v="Concrete Check Wall"/>
    <s v="KS18_013"/>
    <x v="6"/>
    <n v="29.987517778000001"/>
    <n v="-25.822854444000001"/>
    <s v="29° 59' 15.06&quot;E "/>
    <s v="25° 49' 22.27&quot; S"/>
    <s v="Complete"/>
    <s v="Yes"/>
    <s v="Yes"/>
    <d v="2017-02-08T00:00:00"/>
    <s v="YES"/>
    <m/>
    <s v="NBC-GTW-CL-0045"/>
    <s v="Yes"/>
    <s v="00"/>
    <d v="2018-06-16T00:00:00"/>
    <s v="Phase 1"/>
    <s v="Year 1"/>
    <n v="0"/>
    <n v="0"/>
    <n v="0"/>
    <n v="0"/>
    <n v="0"/>
    <n v="6"/>
    <n v="0"/>
    <n v="0"/>
    <n v="0"/>
    <n v="0"/>
    <n v="0"/>
    <n v="0"/>
    <n v="6"/>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m/>
    <m/>
    <m/>
    <m/>
    <m/>
    <m/>
    <m/>
    <m/>
    <m/>
    <m/>
    <m/>
    <m/>
    <n v="0"/>
    <n v="0"/>
    <n v="0"/>
    <n v="0"/>
    <n v="0"/>
    <n v="510"/>
    <n v="0"/>
    <n v="0"/>
    <n v="0"/>
    <n v="0"/>
    <n v="0"/>
    <n v="12000"/>
    <n v="0"/>
    <n v="0"/>
    <n v="0"/>
    <n v="0"/>
    <n v="0"/>
    <n v="0"/>
    <n v="0"/>
    <n v="0"/>
    <n v="0"/>
    <n v="0"/>
    <n v="0"/>
    <n v="0"/>
    <n v="0"/>
    <n v="0"/>
    <n v="0"/>
    <n v="0"/>
    <n v="0"/>
    <n v="0"/>
    <n v="0"/>
    <n v="0"/>
    <n v="0"/>
    <n v="0"/>
    <n v="0"/>
    <n v="0"/>
    <n v="0"/>
    <n v="0"/>
    <n v="0"/>
    <n v="0"/>
    <n v="0"/>
    <n v="0"/>
    <n v="0"/>
    <n v="0"/>
    <n v="0"/>
    <n v="0"/>
    <n v="0"/>
    <n v="0"/>
    <n v="0"/>
    <n v="0"/>
    <n v="0"/>
    <n v="0"/>
    <n v="0"/>
    <n v="0"/>
    <n v="0"/>
    <n v="0"/>
    <n v="0"/>
    <n v="0"/>
    <n v="12510"/>
    <n v="13260.6"/>
    <s v=" "/>
    <s v=" "/>
    <s v=" "/>
    <s v=" "/>
    <s v=" "/>
    <s v=" "/>
    <s v=" "/>
    <s v=" "/>
    <s v=" "/>
    <s v=" "/>
    <s v=" "/>
    <s v=" "/>
    <s v=" "/>
    <s v=" "/>
    <x v="0"/>
    <x v="0"/>
    <x v="0"/>
    <x v="0"/>
    <x v="0"/>
    <x v="43"/>
    <x v="0"/>
    <x v="0"/>
    <x v="0"/>
    <x v="4"/>
    <x v="1"/>
    <x v="1"/>
    <x v="35"/>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18"/>
    <s v="Concrete Check Wall"/>
    <s v="Concrete Check Wall"/>
    <s v="KS18_015"/>
    <x v="3"/>
    <n v="29.985955556"/>
    <n v="-25.822139167"/>
    <s v="29° 59' 09.44&quot;E "/>
    <s v="25° 49' 19.70&quot; S"/>
    <s v="Complete"/>
    <s v="Yes"/>
    <s v="Yes"/>
    <d v="2017-02-01T00:00:00"/>
    <s v="YES"/>
    <d v="2017-02-01T00:00:00"/>
    <s v="NBC-GTW-CL-0021"/>
    <s v="Yes"/>
    <s v="01"/>
    <d v="2018-12-07T00:00:00"/>
    <s v="Phase 1"/>
    <s v="Year 1"/>
    <m/>
    <n v="0"/>
    <n v="0"/>
    <n v="0"/>
    <n v="0"/>
    <n v="7.7399999999999993"/>
    <m/>
    <m/>
    <m/>
    <m/>
    <m/>
    <m/>
    <n v="7.7399999999999993"/>
    <m/>
    <m/>
    <m/>
    <m/>
    <m/>
    <m/>
    <m/>
    <m/>
    <m/>
    <m/>
    <m/>
    <m/>
    <m/>
    <m/>
    <m/>
    <m/>
    <m/>
    <n v="3.9"/>
    <n v="0"/>
    <n v="0"/>
    <n v="0"/>
    <m/>
    <n v="0"/>
    <n v="0"/>
    <n v="0"/>
    <n v="0"/>
    <n v="0"/>
    <n v="0"/>
    <n v="0"/>
    <n v="0"/>
    <n v="0"/>
    <n v="0"/>
    <n v="0"/>
    <n v="0"/>
    <n v="0"/>
    <n v="0"/>
    <n v="0"/>
    <n v="0"/>
    <n v="0"/>
    <n v="0"/>
    <n v="0"/>
    <n v="0"/>
    <n v="0"/>
    <n v="0"/>
    <n v="0"/>
    <n v="0"/>
    <n v="0"/>
    <n v="0"/>
    <n v="0"/>
    <n v="0"/>
    <n v="0"/>
    <n v="0"/>
    <n v="0"/>
    <n v="0"/>
    <n v="0"/>
    <n v="0"/>
    <n v="0"/>
    <n v="0"/>
    <n v="0"/>
    <n v="0"/>
    <n v="0"/>
    <m/>
    <m/>
    <m/>
    <m/>
    <m/>
    <m/>
    <m/>
    <m/>
    <m/>
    <m/>
    <m/>
    <m/>
    <m/>
    <m/>
    <m/>
    <m/>
    <m/>
    <m/>
    <m/>
    <m/>
    <m/>
    <n v="0"/>
    <n v="0"/>
    <n v="0"/>
    <n v="0"/>
    <n v="0"/>
    <n v="657.9"/>
    <n v="0"/>
    <n v="0"/>
    <n v="0"/>
    <n v="0"/>
    <n v="0"/>
    <n v="15479.999999999998"/>
    <n v="0"/>
    <n v="0"/>
    <n v="0"/>
    <n v="0"/>
    <n v="0"/>
    <n v="117"/>
    <n v="0"/>
    <n v="0"/>
    <n v="0"/>
    <n v="0"/>
    <n v="0"/>
    <n v="0"/>
    <n v="0"/>
    <n v="0"/>
    <n v="0"/>
    <n v="0"/>
    <n v="0"/>
    <n v="0"/>
    <n v="0"/>
    <n v="0"/>
    <n v="0"/>
    <n v="0"/>
    <n v="0"/>
    <n v="0"/>
    <n v="0"/>
    <n v="0"/>
    <n v="0"/>
    <n v="0"/>
    <n v="0"/>
    <n v="0"/>
    <n v="0"/>
    <n v="0"/>
    <n v="0"/>
    <n v="0"/>
    <n v="0"/>
    <n v="0"/>
    <n v="0"/>
    <n v="0"/>
    <n v="0"/>
    <n v="0"/>
    <n v="0"/>
    <n v="0"/>
    <n v="0"/>
    <n v="0"/>
    <n v="0"/>
    <n v="0"/>
    <n v="16254.899999999998"/>
    <n v="17230.194"/>
    <s v=" "/>
    <s v=" "/>
    <s v=" "/>
    <s v=" "/>
    <s v=" "/>
    <s v=" "/>
    <s v=" "/>
    <s v=" "/>
    <s v=" "/>
    <s v=" "/>
    <s v=" "/>
    <s v=" "/>
    <s v=" "/>
    <s v=" "/>
    <x v="0"/>
    <x v="0"/>
    <x v="0"/>
    <x v="0"/>
    <x v="0"/>
    <x v="44"/>
    <x v="0"/>
    <x v="0"/>
    <x v="0"/>
    <x v="4"/>
    <x v="1"/>
    <x v="1"/>
    <x v="36"/>
    <x v="0"/>
    <x v="0"/>
    <x v="0"/>
    <x v="0"/>
    <x v="0"/>
    <x v="0"/>
    <x v="0"/>
    <x v="0"/>
    <x v="0"/>
    <x v="0"/>
    <x v="0"/>
    <x v="0"/>
    <x v="0"/>
    <x v="0"/>
    <x v="0"/>
    <x v="24"/>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18"/>
    <s v="Concrete Check Wall"/>
    <s v="Concrete Check Wall"/>
    <s v="KS18_016"/>
    <x v="3"/>
    <n v="29.985339444000001"/>
    <n v="-25.821870000000001"/>
    <s v="29° 59' 07.22&quot;E "/>
    <s v="25° 49' 18.73&quot; S"/>
    <s v="Complete"/>
    <s v="Yes"/>
    <s v="Yes"/>
    <d v="2017-02-02T00:00:00"/>
    <s v="YES"/>
    <d v="2017-02-02T00:00:00"/>
    <s v="NBC-GTW-CL-0022"/>
    <s v="Yes"/>
    <s v="01"/>
    <d v="2018-12-07T00:00:00"/>
    <s v="Phase 1"/>
    <s v="Year 1"/>
    <m/>
    <n v="0"/>
    <n v="0"/>
    <n v="0"/>
    <n v="0"/>
    <n v="6.8039999999999994"/>
    <m/>
    <m/>
    <m/>
    <m/>
    <m/>
    <m/>
    <n v="6.8039999999999994"/>
    <m/>
    <m/>
    <m/>
    <m/>
    <m/>
    <m/>
    <m/>
    <m/>
    <m/>
    <m/>
    <m/>
    <m/>
    <m/>
    <m/>
    <m/>
    <m/>
    <m/>
    <n v="3.5999999999999996"/>
    <n v="0"/>
    <n v="0"/>
    <n v="0"/>
    <m/>
    <n v="0"/>
    <n v="0"/>
    <n v="0"/>
    <n v="0"/>
    <n v="0"/>
    <n v="0"/>
    <n v="0"/>
    <n v="0"/>
    <n v="0"/>
    <n v="0"/>
    <n v="0"/>
    <n v="0"/>
    <n v="0"/>
    <n v="0"/>
    <n v="0"/>
    <n v="0"/>
    <n v="0"/>
    <n v="0"/>
    <n v="0"/>
    <n v="0"/>
    <n v="0"/>
    <n v="0"/>
    <n v="0"/>
    <n v="0"/>
    <n v="0"/>
    <n v="0"/>
    <n v="0"/>
    <n v="0"/>
    <n v="0"/>
    <n v="0"/>
    <n v="0"/>
    <n v="0"/>
    <n v="0"/>
    <n v="0"/>
    <n v="0"/>
    <n v="0"/>
    <n v="0"/>
    <n v="0"/>
    <n v="0"/>
    <m/>
    <m/>
    <m/>
    <m/>
    <m/>
    <m/>
    <m/>
    <m/>
    <m/>
    <m/>
    <m/>
    <m/>
    <m/>
    <m/>
    <m/>
    <m/>
    <m/>
    <m/>
    <m/>
    <m/>
    <m/>
    <n v="0"/>
    <n v="0"/>
    <n v="0"/>
    <n v="0"/>
    <n v="0"/>
    <n v="578.33999999999992"/>
    <n v="0"/>
    <n v="0"/>
    <n v="0"/>
    <n v="0"/>
    <n v="0"/>
    <n v="13607.999999999998"/>
    <n v="0"/>
    <n v="0"/>
    <n v="0"/>
    <n v="0"/>
    <n v="0"/>
    <n v="107.99999999999999"/>
    <n v="0"/>
    <n v="0"/>
    <n v="0"/>
    <n v="0"/>
    <n v="0"/>
    <n v="0"/>
    <n v="0"/>
    <n v="0"/>
    <n v="0"/>
    <n v="0"/>
    <n v="0"/>
    <n v="0"/>
    <n v="0"/>
    <n v="0"/>
    <n v="0"/>
    <n v="0"/>
    <n v="0"/>
    <n v="0"/>
    <n v="0"/>
    <n v="0"/>
    <n v="0"/>
    <n v="0"/>
    <n v="0"/>
    <n v="0"/>
    <n v="0"/>
    <n v="0"/>
    <n v="0"/>
    <n v="0"/>
    <n v="0"/>
    <n v="0"/>
    <n v="0"/>
    <n v="0"/>
    <n v="0"/>
    <n v="0"/>
    <n v="0"/>
    <n v="0"/>
    <n v="0"/>
    <n v="0"/>
    <n v="0"/>
    <n v="0"/>
    <n v="14294.339999999998"/>
    <n v="15152.000399999999"/>
    <s v=" "/>
    <s v=" "/>
    <s v=" "/>
    <s v=" "/>
    <s v=" "/>
    <s v=" "/>
    <s v=" "/>
    <s v=" "/>
    <s v=" "/>
    <s v=" "/>
    <s v=" "/>
    <s v=" "/>
    <s v=" "/>
    <s v=" "/>
    <x v="0"/>
    <x v="0"/>
    <x v="0"/>
    <x v="0"/>
    <x v="0"/>
    <x v="45"/>
    <x v="0"/>
    <x v="0"/>
    <x v="0"/>
    <x v="4"/>
    <x v="1"/>
    <x v="1"/>
    <x v="37"/>
    <x v="0"/>
    <x v="0"/>
    <x v="0"/>
    <x v="0"/>
    <x v="0"/>
    <x v="0"/>
    <x v="0"/>
    <x v="0"/>
    <x v="0"/>
    <x v="0"/>
    <x v="0"/>
    <x v="0"/>
    <x v="0"/>
    <x v="0"/>
    <x v="0"/>
    <x v="25"/>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18"/>
    <s v="Concrete Check Wall"/>
    <s v="Concrete Check Wall"/>
    <s v="KS18_017"/>
    <x v="3"/>
    <n v="29.984988333"/>
    <n v="-25.821386944"/>
    <s v="29° 59' 05.95&quot;E "/>
    <s v="25° 49' 16.99&quot; S"/>
    <s v="Complete"/>
    <s v="Yes"/>
    <s v="Yes"/>
    <d v="2017-02-02T00:00:00"/>
    <s v="YES"/>
    <d v="2017-02-02T00:00:00"/>
    <s v="NBC-GTW-CL-0023"/>
    <s v="Yes"/>
    <s v="01"/>
    <d v="2018-12-07T00:00:00"/>
    <s v="Phase 1"/>
    <s v="Year 1"/>
    <m/>
    <n v="0"/>
    <n v="0"/>
    <n v="0"/>
    <n v="0"/>
    <n v="5.9399999999999995"/>
    <m/>
    <m/>
    <m/>
    <m/>
    <m/>
    <m/>
    <n v="5.9399999999999995"/>
    <m/>
    <m/>
    <m/>
    <m/>
    <m/>
    <m/>
    <m/>
    <m/>
    <m/>
    <m/>
    <m/>
    <m/>
    <m/>
    <m/>
    <m/>
    <m/>
    <m/>
    <n v="3.5999999999999996"/>
    <n v="0"/>
    <n v="0"/>
    <n v="0"/>
    <m/>
    <n v="0"/>
    <n v="0"/>
    <n v="0"/>
    <n v="0"/>
    <n v="0"/>
    <n v="0"/>
    <n v="0"/>
    <n v="0"/>
    <n v="0"/>
    <n v="0"/>
    <n v="0"/>
    <n v="0"/>
    <n v="0"/>
    <n v="0"/>
    <n v="0"/>
    <n v="0"/>
    <n v="0"/>
    <n v="0"/>
    <n v="0"/>
    <n v="0"/>
    <n v="0"/>
    <n v="0"/>
    <n v="0"/>
    <n v="0"/>
    <n v="0"/>
    <n v="0"/>
    <n v="0"/>
    <n v="0"/>
    <n v="0"/>
    <n v="0"/>
    <n v="0"/>
    <n v="0"/>
    <n v="0"/>
    <n v="0"/>
    <n v="0"/>
    <n v="0"/>
    <n v="0"/>
    <n v="0"/>
    <n v="0"/>
    <m/>
    <m/>
    <m/>
    <m/>
    <m/>
    <m/>
    <m/>
    <m/>
    <m/>
    <m/>
    <m/>
    <m/>
    <m/>
    <m/>
    <m/>
    <m/>
    <m/>
    <m/>
    <m/>
    <m/>
    <m/>
    <n v="0"/>
    <n v="0"/>
    <n v="0"/>
    <n v="0"/>
    <n v="0"/>
    <n v="504.9"/>
    <n v="0"/>
    <n v="0"/>
    <n v="0"/>
    <n v="0"/>
    <n v="0"/>
    <n v="11879.999999999998"/>
    <n v="0"/>
    <n v="0"/>
    <n v="0"/>
    <n v="0"/>
    <n v="0"/>
    <n v="107.99999999999999"/>
    <n v="0"/>
    <n v="0"/>
    <n v="0"/>
    <n v="0"/>
    <n v="0"/>
    <n v="0"/>
    <n v="0"/>
    <n v="0"/>
    <n v="0"/>
    <n v="0"/>
    <n v="0"/>
    <n v="0"/>
    <n v="0"/>
    <n v="0"/>
    <n v="0"/>
    <n v="0"/>
    <n v="0"/>
    <n v="0"/>
    <n v="0"/>
    <n v="0"/>
    <n v="0"/>
    <n v="0"/>
    <n v="0"/>
    <n v="0"/>
    <n v="0"/>
    <n v="0"/>
    <n v="0"/>
    <n v="0"/>
    <n v="0"/>
    <n v="0"/>
    <n v="0"/>
    <n v="0"/>
    <n v="0"/>
    <n v="0"/>
    <n v="0"/>
    <n v="0"/>
    <n v="0"/>
    <n v="0"/>
    <n v="0"/>
    <n v="0"/>
    <n v="12492.899999999998"/>
    <n v="13242.473999999998"/>
    <s v=" "/>
    <s v=" "/>
    <s v=" "/>
    <s v=" "/>
    <s v=" "/>
    <s v=" "/>
    <s v=" "/>
    <s v=" "/>
    <s v=" "/>
    <s v=" "/>
    <s v=" "/>
    <s v=" "/>
    <s v=" "/>
    <s v=" "/>
    <x v="0"/>
    <x v="0"/>
    <x v="0"/>
    <x v="0"/>
    <x v="0"/>
    <x v="46"/>
    <x v="0"/>
    <x v="0"/>
    <x v="0"/>
    <x v="4"/>
    <x v="1"/>
    <x v="1"/>
    <x v="38"/>
    <x v="0"/>
    <x v="0"/>
    <x v="0"/>
    <x v="0"/>
    <x v="0"/>
    <x v="0"/>
    <x v="0"/>
    <x v="0"/>
    <x v="0"/>
    <x v="0"/>
    <x v="0"/>
    <x v="0"/>
    <x v="0"/>
    <x v="0"/>
    <x v="0"/>
    <x v="26"/>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18"/>
    <s v="Concrete Check Wall"/>
    <s v="Concrete Check Wall"/>
    <s v="KS18_018"/>
    <x v="3"/>
    <n v="29.984711666999999"/>
    <n v="-25.821154444000001"/>
    <s v="29° 59' 04.96&quot;E "/>
    <s v="25° 49' 16.15&quot; S"/>
    <s v="Complete"/>
    <s v="Yes"/>
    <s v="Yes"/>
    <d v="2017-02-02T00:00:00"/>
    <s v="YES"/>
    <d v="2017-02-02T00:00:00"/>
    <s v="NBC-GTW-CL-0024"/>
    <s v="Yes"/>
    <s v="01"/>
    <d v="2018-12-07T00:00:00"/>
    <s v="Phase 1"/>
    <s v="Year 1"/>
    <m/>
    <n v="0"/>
    <n v="0"/>
    <n v="0"/>
    <n v="0"/>
    <n v="4.9979999999999993"/>
    <m/>
    <m/>
    <m/>
    <m/>
    <m/>
    <m/>
    <n v="4.9979999999999993"/>
    <m/>
    <m/>
    <m/>
    <m/>
    <m/>
    <m/>
    <m/>
    <m/>
    <m/>
    <m/>
    <m/>
    <m/>
    <m/>
    <m/>
    <m/>
    <m/>
    <m/>
    <n v="3.4499999999999997"/>
    <n v="0"/>
    <n v="0"/>
    <n v="0"/>
    <m/>
    <n v="0"/>
    <n v="0"/>
    <n v="0"/>
    <n v="0"/>
    <n v="0"/>
    <n v="0"/>
    <n v="0"/>
    <n v="0"/>
    <n v="0"/>
    <n v="0"/>
    <n v="0"/>
    <n v="0"/>
    <n v="0"/>
    <n v="0"/>
    <n v="0"/>
    <n v="0"/>
    <n v="0"/>
    <n v="0"/>
    <n v="0"/>
    <n v="0"/>
    <n v="0"/>
    <n v="0"/>
    <n v="0"/>
    <n v="0"/>
    <n v="0"/>
    <n v="0"/>
    <n v="0"/>
    <n v="0"/>
    <n v="0"/>
    <n v="0"/>
    <n v="0"/>
    <n v="0"/>
    <n v="0"/>
    <n v="0"/>
    <n v="0"/>
    <n v="0"/>
    <n v="0"/>
    <n v="0"/>
    <n v="0"/>
    <m/>
    <m/>
    <m/>
    <m/>
    <m/>
    <m/>
    <m/>
    <m/>
    <m/>
    <m/>
    <m/>
    <m/>
    <m/>
    <m/>
    <m/>
    <m/>
    <m/>
    <m/>
    <m/>
    <m/>
    <m/>
    <n v="0"/>
    <n v="0"/>
    <n v="0"/>
    <n v="0"/>
    <n v="0"/>
    <n v="424.82999999999993"/>
    <n v="0"/>
    <n v="0"/>
    <n v="0"/>
    <n v="0"/>
    <n v="0"/>
    <n v="9995.9999999999982"/>
    <n v="0"/>
    <n v="0"/>
    <n v="0"/>
    <n v="0"/>
    <n v="0"/>
    <n v="103.49999999999999"/>
    <n v="0"/>
    <n v="0"/>
    <n v="0"/>
    <n v="0"/>
    <n v="0"/>
    <n v="0"/>
    <n v="0"/>
    <n v="0"/>
    <n v="0"/>
    <n v="0"/>
    <n v="0"/>
    <n v="0"/>
    <n v="0"/>
    <n v="0"/>
    <n v="0"/>
    <n v="0"/>
    <n v="0"/>
    <n v="0"/>
    <n v="0"/>
    <n v="0"/>
    <n v="0"/>
    <n v="0"/>
    <n v="0"/>
    <n v="0"/>
    <n v="0"/>
    <n v="0"/>
    <n v="0"/>
    <n v="0"/>
    <n v="0"/>
    <n v="0"/>
    <n v="0"/>
    <n v="0"/>
    <n v="0"/>
    <n v="0"/>
    <n v="0"/>
    <n v="0"/>
    <n v="0"/>
    <n v="0"/>
    <n v="0"/>
    <n v="0"/>
    <n v="10524.329999999998"/>
    <n v="11155.789799999999"/>
    <s v=" "/>
    <s v=" "/>
    <s v=" "/>
    <s v=" "/>
    <s v=" "/>
    <s v=" "/>
    <s v=" "/>
    <s v=" "/>
    <s v=" "/>
    <s v=" "/>
    <s v=" "/>
    <s v=" "/>
    <s v=" "/>
    <s v=" "/>
    <x v="0"/>
    <x v="0"/>
    <x v="0"/>
    <x v="0"/>
    <x v="0"/>
    <x v="47"/>
    <x v="0"/>
    <x v="0"/>
    <x v="0"/>
    <x v="4"/>
    <x v="1"/>
    <x v="1"/>
    <x v="39"/>
    <x v="0"/>
    <x v="0"/>
    <x v="0"/>
    <x v="0"/>
    <x v="0"/>
    <x v="0"/>
    <x v="0"/>
    <x v="0"/>
    <x v="0"/>
    <x v="0"/>
    <x v="0"/>
    <x v="0"/>
    <x v="0"/>
    <x v="0"/>
    <x v="0"/>
    <x v="27"/>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18"/>
    <s v="Concrete Check Wall"/>
    <s v="Concrete Check Wall"/>
    <s v="KS18_019"/>
    <x v="3"/>
    <n v="29.984324167"/>
    <n v="-25.820989999999998"/>
    <s v="29° 59' 03.56&quot;E "/>
    <s v="25° 49' 15.56&quot; S"/>
    <s v="Complete"/>
    <s v="Yes"/>
    <s v="Yes"/>
    <d v="2017-02-06T00:00:00"/>
    <s v="YES"/>
    <d v="2017-02-06T00:00:00"/>
    <s v="NBC-GTW-CL-0025"/>
    <s v="Yes"/>
    <s v="01"/>
    <d v="2018-12-07T00:00:00"/>
    <s v="Phase 1"/>
    <s v="Year 1"/>
    <m/>
    <n v="0"/>
    <n v="0"/>
    <n v="0"/>
    <n v="0"/>
    <n v="6.6239999999999997"/>
    <m/>
    <m/>
    <m/>
    <m/>
    <m/>
    <m/>
    <n v="6.6239999999999997"/>
    <m/>
    <m/>
    <m/>
    <m/>
    <m/>
    <m/>
    <m/>
    <m/>
    <m/>
    <m/>
    <m/>
    <m/>
    <m/>
    <m/>
    <m/>
    <m/>
    <m/>
    <n v="3.5999999999999996"/>
    <n v="0"/>
    <n v="0"/>
    <n v="0"/>
    <m/>
    <n v="0"/>
    <n v="0"/>
    <n v="0"/>
    <n v="0"/>
    <n v="0"/>
    <n v="0"/>
    <n v="0"/>
    <n v="0"/>
    <n v="0"/>
    <n v="0"/>
    <n v="0"/>
    <n v="0"/>
    <n v="0"/>
    <n v="0"/>
    <n v="0"/>
    <n v="0"/>
    <n v="0"/>
    <n v="0"/>
    <n v="0"/>
    <n v="0"/>
    <n v="0"/>
    <n v="0"/>
    <n v="0"/>
    <n v="0"/>
    <n v="0"/>
    <n v="0"/>
    <n v="0"/>
    <n v="0"/>
    <n v="0"/>
    <n v="0"/>
    <n v="0"/>
    <n v="0"/>
    <n v="0"/>
    <n v="0"/>
    <n v="0"/>
    <n v="0"/>
    <n v="0"/>
    <n v="0"/>
    <n v="0"/>
    <m/>
    <m/>
    <m/>
    <m/>
    <m/>
    <m/>
    <m/>
    <m/>
    <m/>
    <m/>
    <m/>
    <m/>
    <m/>
    <m/>
    <m/>
    <m/>
    <m/>
    <m/>
    <m/>
    <m/>
    <m/>
    <n v="0"/>
    <n v="0"/>
    <n v="0"/>
    <n v="0"/>
    <n v="0"/>
    <n v="563.04"/>
    <n v="0"/>
    <n v="0"/>
    <n v="0"/>
    <n v="0"/>
    <n v="0"/>
    <n v="13248"/>
    <n v="0"/>
    <n v="0"/>
    <n v="0"/>
    <n v="0"/>
    <n v="0"/>
    <n v="107.99999999999999"/>
    <n v="0"/>
    <n v="0"/>
    <n v="0"/>
    <n v="0"/>
    <n v="0"/>
    <n v="0"/>
    <n v="0"/>
    <n v="0"/>
    <n v="0"/>
    <n v="0"/>
    <n v="0"/>
    <n v="0"/>
    <n v="0"/>
    <n v="0"/>
    <n v="0"/>
    <n v="0"/>
    <n v="0"/>
    <n v="0"/>
    <n v="0"/>
    <n v="0"/>
    <n v="0"/>
    <n v="0"/>
    <n v="0"/>
    <n v="0"/>
    <n v="0"/>
    <n v="0"/>
    <n v="0"/>
    <n v="0"/>
    <n v="0"/>
    <n v="0"/>
    <n v="0"/>
    <n v="0"/>
    <n v="0"/>
    <n v="0"/>
    <n v="0"/>
    <n v="0"/>
    <n v="0"/>
    <n v="0"/>
    <n v="0"/>
    <n v="0"/>
    <n v="13919.04"/>
    <n v="14754.182400000002"/>
    <s v=" "/>
    <s v=" "/>
    <s v=" "/>
    <s v=" "/>
    <s v=" "/>
    <s v=" "/>
    <s v=" "/>
    <s v=" "/>
    <s v=" "/>
    <s v=" "/>
    <s v=" "/>
    <s v=" "/>
    <s v=" "/>
    <s v=" "/>
    <x v="0"/>
    <x v="0"/>
    <x v="0"/>
    <x v="0"/>
    <x v="0"/>
    <x v="48"/>
    <x v="0"/>
    <x v="0"/>
    <x v="0"/>
    <x v="4"/>
    <x v="1"/>
    <x v="1"/>
    <x v="40"/>
    <x v="0"/>
    <x v="0"/>
    <x v="0"/>
    <x v="0"/>
    <x v="0"/>
    <x v="0"/>
    <x v="0"/>
    <x v="0"/>
    <x v="0"/>
    <x v="0"/>
    <x v="0"/>
    <x v="0"/>
    <x v="0"/>
    <x v="0"/>
    <x v="0"/>
    <x v="28"/>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18"/>
    <s v="Concrete Check Wall"/>
    <s v="Concrete Check Wall"/>
    <s v="KS18_020"/>
    <x v="3"/>
    <n v="29.983982222000002"/>
    <n v="-25.820874721999999"/>
    <s v="29° 59' 02.33&quot;E "/>
    <s v="25° 49' 15.14&quot; S"/>
    <s v="Complete"/>
    <n v="0"/>
    <s v="Yes"/>
    <d v="2017-02-06T00:00:00"/>
    <s v="DONE"/>
    <d v="2017-02-06T00:00:00"/>
    <s v="NBC-GTH-CL-0002"/>
    <s v="Yes"/>
    <s v="01"/>
    <d v="2018-12-07T00:00:00"/>
    <s v="Phase 1"/>
    <s v="Year 1"/>
    <m/>
    <n v="0"/>
    <n v="0"/>
    <n v="0"/>
    <n v="0"/>
    <n v="6.7574999999999994"/>
    <m/>
    <m/>
    <m/>
    <m/>
    <m/>
    <m/>
    <n v="6.7574999999999994"/>
    <m/>
    <m/>
    <m/>
    <m/>
    <m/>
    <m/>
    <m/>
    <m/>
    <m/>
    <m/>
    <m/>
    <m/>
    <m/>
    <m/>
    <m/>
    <m/>
    <m/>
    <n v="3.75"/>
    <n v="0"/>
    <n v="0"/>
    <n v="0"/>
    <m/>
    <n v="0"/>
    <n v="0"/>
    <n v="0"/>
    <n v="0"/>
    <n v="0"/>
    <n v="0"/>
    <n v="0"/>
    <n v="0"/>
    <n v="0"/>
    <n v="0"/>
    <n v="0"/>
    <n v="0"/>
    <n v="0"/>
    <n v="0"/>
    <n v="0"/>
    <n v="0"/>
    <n v="0"/>
    <n v="0"/>
    <n v="0"/>
    <n v="0"/>
    <n v="0"/>
    <n v="0"/>
    <n v="0"/>
    <n v="0"/>
    <n v="0"/>
    <n v="0"/>
    <n v="0"/>
    <n v="0"/>
    <n v="0"/>
    <n v="0"/>
    <n v="0"/>
    <n v="0"/>
    <n v="0"/>
    <n v="0"/>
    <n v="0"/>
    <n v="0"/>
    <n v="0"/>
    <n v="0"/>
    <n v="0"/>
    <m/>
    <m/>
    <m/>
    <m/>
    <m/>
    <m/>
    <m/>
    <m/>
    <m/>
    <m/>
    <m/>
    <m/>
    <m/>
    <m/>
    <m/>
    <m/>
    <m/>
    <m/>
    <m/>
    <m/>
    <m/>
    <n v="0"/>
    <n v="0"/>
    <n v="0"/>
    <n v="0"/>
    <n v="0"/>
    <n v="574.38749999999993"/>
    <n v="0"/>
    <n v="0"/>
    <n v="0"/>
    <n v="0"/>
    <n v="0"/>
    <n v="13514.999999999998"/>
    <n v="0"/>
    <n v="0"/>
    <n v="0"/>
    <n v="0"/>
    <n v="0"/>
    <n v="112.5"/>
    <n v="0"/>
    <n v="0"/>
    <n v="0"/>
    <n v="0"/>
    <n v="0"/>
    <n v="0"/>
    <n v="0"/>
    <n v="0"/>
    <n v="0"/>
    <n v="0"/>
    <n v="0"/>
    <n v="0"/>
    <n v="0"/>
    <n v="0"/>
    <n v="0"/>
    <n v="0"/>
    <n v="0"/>
    <n v="0"/>
    <n v="0"/>
    <n v="0"/>
    <n v="0"/>
    <n v="0"/>
    <n v="0"/>
    <n v="0"/>
    <n v="0"/>
    <n v="0"/>
    <n v="0"/>
    <n v="0"/>
    <n v="0"/>
    <n v="0"/>
    <n v="0"/>
    <n v="0"/>
    <n v="0"/>
    <n v="0"/>
    <n v="0"/>
    <n v="0"/>
    <n v="0"/>
    <n v="0"/>
    <n v="0"/>
    <n v="0"/>
    <n v="14201.887499999999"/>
    <n v="15054.000749999999"/>
    <s v=" "/>
    <s v=" "/>
    <s v=" "/>
    <s v=" "/>
    <s v=" "/>
    <s v=" "/>
    <s v=" "/>
    <s v=" "/>
    <s v=" "/>
    <s v=" "/>
    <s v=" "/>
    <s v=" "/>
    <s v=" "/>
    <s v=" "/>
    <x v="0"/>
    <x v="0"/>
    <x v="0"/>
    <x v="0"/>
    <x v="0"/>
    <x v="49"/>
    <x v="0"/>
    <x v="0"/>
    <x v="0"/>
    <x v="4"/>
    <x v="1"/>
    <x v="1"/>
    <x v="41"/>
    <x v="0"/>
    <x v="0"/>
    <x v="0"/>
    <x v="0"/>
    <x v="0"/>
    <x v="0"/>
    <x v="0"/>
    <x v="0"/>
    <x v="0"/>
    <x v="0"/>
    <x v="0"/>
    <x v="0"/>
    <x v="0"/>
    <x v="0"/>
    <x v="0"/>
    <x v="29"/>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18"/>
    <s v="Concrete Check Wall"/>
    <s v="Concrete Check Wall"/>
    <s v="KS18_014"/>
    <x v="6"/>
    <n v="29.986772221999999"/>
    <n v="-25.822881943999999"/>
    <s v="29° 59' 12.37&quot;E "/>
    <s v="25° 49' 22.37&quot; S"/>
    <s v="Complete"/>
    <s v="Yes"/>
    <s v="Yes"/>
    <s v="Yes"/>
    <s v="YES"/>
    <s v="NO"/>
    <s v="NBC-GTW-CL-0001"/>
    <s v="Yes"/>
    <s v="01"/>
    <d v="2018-12-07T00:00:00"/>
    <s v="Phase 1"/>
    <s v="Year 1"/>
    <m/>
    <m/>
    <m/>
    <m/>
    <m/>
    <n v="6.6599999999999993"/>
    <m/>
    <m/>
    <m/>
    <m/>
    <m/>
    <m/>
    <n v="6.6599999999999993"/>
    <m/>
    <m/>
    <m/>
    <m/>
    <m/>
    <m/>
    <m/>
    <m/>
    <m/>
    <m/>
    <m/>
    <m/>
    <m/>
    <m/>
    <m/>
    <m/>
    <m/>
    <n v="3.5999999999999996"/>
    <m/>
    <m/>
    <m/>
    <m/>
    <m/>
    <m/>
    <m/>
    <m/>
    <m/>
    <m/>
    <m/>
    <m/>
    <m/>
    <m/>
    <m/>
    <m/>
    <m/>
    <m/>
    <m/>
    <m/>
    <m/>
    <m/>
    <m/>
    <m/>
    <m/>
    <m/>
    <m/>
    <m/>
    <m/>
    <m/>
    <m/>
    <m/>
    <m/>
    <n v="0"/>
    <n v="0"/>
    <n v="0"/>
    <n v="0"/>
    <n v="0"/>
    <n v="0"/>
    <n v="0"/>
    <n v="0"/>
    <n v="0"/>
    <n v="0"/>
    <n v="0"/>
    <m/>
    <m/>
    <m/>
    <m/>
    <m/>
    <m/>
    <m/>
    <m/>
    <m/>
    <m/>
    <m/>
    <m/>
    <m/>
    <m/>
    <m/>
    <m/>
    <m/>
    <m/>
    <m/>
    <m/>
    <n v="0"/>
    <n v="0"/>
    <n v="0"/>
    <n v="0"/>
    <n v="0"/>
    <n v="566.09999999999991"/>
    <n v="0"/>
    <n v="0"/>
    <n v="0"/>
    <n v="0"/>
    <n v="0"/>
    <n v="13319.999999999998"/>
    <n v="0"/>
    <n v="0"/>
    <n v="0"/>
    <n v="0"/>
    <n v="0"/>
    <n v="107.99999999999999"/>
    <n v="0"/>
    <n v="0"/>
    <n v="0"/>
    <n v="0"/>
    <n v="0"/>
    <n v="0"/>
    <n v="0"/>
    <n v="0"/>
    <n v="0"/>
    <n v="0"/>
    <n v="0"/>
    <n v="0"/>
    <n v="0"/>
    <n v="0"/>
    <n v="0"/>
    <n v="0"/>
    <n v="0"/>
    <n v="0"/>
    <n v="0"/>
    <n v="0"/>
    <n v="0"/>
    <n v="0"/>
    <n v="0"/>
    <n v="0"/>
    <n v="0"/>
    <n v="0"/>
    <n v="0"/>
    <n v="0"/>
    <n v="0"/>
    <n v="0"/>
    <n v="0"/>
    <n v="0"/>
    <n v="0"/>
    <n v="0"/>
    <n v="0"/>
    <n v="0"/>
    <n v="0"/>
    <n v="0"/>
    <n v="0"/>
    <n v="0"/>
    <n v="13994.099999999999"/>
    <n v="14833.745999999999"/>
    <s v=" "/>
    <s v=" "/>
    <s v=" "/>
    <s v=" "/>
    <s v=" "/>
    <s v=" "/>
    <s v=" "/>
    <s v=" "/>
    <s v=" "/>
    <s v=" "/>
    <s v=" "/>
    <s v=" "/>
    <s v=" "/>
    <s v=" "/>
    <x v="0"/>
    <x v="0"/>
    <x v="0"/>
    <x v="0"/>
    <x v="0"/>
    <x v="50"/>
    <x v="0"/>
    <x v="0"/>
    <x v="0"/>
    <x v="4"/>
    <x v="1"/>
    <x v="1"/>
    <x v="42"/>
    <x v="0"/>
    <x v="0"/>
    <x v="0"/>
    <x v="0"/>
    <x v="0"/>
    <x v="0"/>
    <x v="0"/>
    <x v="0"/>
    <x v="0"/>
    <x v="0"/>
    <x v="0"/>
    <x v="0"/>
    <x v="0"/>
    <x v="0"/>
    <x v="0"/>
    <x v="3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18"/>
    <s v="Backfill Main Channel"/>
    <s v="Backfill Channel "/>
    <s v="KS18-021"/>
    <x v="6"/>
    <n v="29.98665025"/>
    <n v="-25.822639479999999"/>
    <s v="29° 59' 11.94&quot;E "/>
    <s v="25° 49' 21.50&quot; S"/>
    <s v="Complete"/>
    <s v="Yes"/>
    <s v="Yes"/>
    <d v="2017-04-10T00:00:00"/>
    <s v="NA"/>
    <s v="NA"/>
    <s v="No Drawing"/>
    <s v="Yes"/>
    <s v="00"/>
    <d v="2018-06-16T00:00:00"/>
    <s v="Phase 1"/>
    <s v="Year 1"/>
    <n v="3294.95"/>
    <m/>
    <m/>
    <m/>
    <m/>
    <n v="1098"/>
    <m/>
    <m/>
    <n v="3294.95"/>
    <n v="3294.95"/>
    <m/>
    <m/>
    <m/>
    <m/>
    <m/>
    <m/>
    <m/>
    <m/>
    <m/>
    <m/>
    <m/>
    <m/>
    <m/>
    <m/>
    <m/>
    <n v="0"/>
    <n v="0"/>
    <n v="0"/>
    <n v="0"/>
    <n v="0"/>
    <n v="0"/>
    <n v="0"/>
    <n v="0"/>
    <n v="0"/>
    <n v="1879.7535"/>
    <n v="0"/>
    <n v="0"/>
    <n v="0"/>
    <n v="0"/>
    <n v="0"/>
    <n v="0"/>
    <n v="0"/>
    <n v="0"/>
    <n v="0"/>
    <n v="0"/>
    <n v="0"/>
    <n v="0"/>
    <n v="0"/>
    <n v="0"/>
    <n v="0"/>
    <n v="0"/>
    <n v="0"/>
    <n v="0"/>
    <n v="0"/>
    <n v="0"/>
    <n v="0"/>
    <n v="0"/>
    <n v="0"/>
    <n v="0"/>
    <n v="0"/>
    <n v="0"/>
    <n v="0"/>
    <n v="0"/>
    <n v="0"/>
    <n v="0"/>
    <n v="0"/>
    <n v="0"/>
    <n v="0"/>
    <n v="0"/>
    <n v="0"/>
    <n v="0"/>
    <n v="0"/>
    <n v="0"/>
    <n v="0"/>
    <n v="0"/>
    <m/>
    <m/>
    <m/>
    <m/>
    <m/>
    <m/>
    <m/>
    <m/>
    <m/>
    <m/>
    <m/>
    <m/>
    <m/>
    <m/>
    <m/>
    <m/>
    <m/>
    <m/>
    <m/>
    <m/>
    <n v="16474.75"/>
    <n v="0"/>
    <n v="0"/>
    <n v="0"/>
    <n v="0"/>
    <n v="93330"/>
    <n v="0"/>
    <n v="0"/>
    <n v="16474.75"/>
    <n v="32949.5"/>
    <n v="0"/>
    <n v="0"/>
    <n v="0"/>
    <n v="0"/>
    <n v="0"/>
    <n v="0"/>
    <n v="0"/>
    <n v="0"/>
    <n v="0"/>
    <n v="0"/>
    <n v="225570.42"/>
    <n v="0"/>
    <n v="0"/>
    <n v="0"/>
    <n v="0"/>
    <n v="0"/>
    <n v="0"/>
    <n v="0"/>
    <n v="0"/>
    <n v="0"/>
    <n v="0"/>
    <n v="0"/>
    <n v="0"/>
    <n v="0"/>
    <n v="0"/>
    <n v="0"/>
    <n v="0"/>
    <n v="0"/>
    <n v="0"/>
    <n v="0"/>
    <n v="0"/>
    <n v="0"/>
    <n v="0"/>
    <n v="0"/>
    <n v="0"/>
    <n v="0"/>
    <n v="0"/>
    <n v="0"/>
    <n v="0"/>
    <n v="0"/>
    <n v="0"/>
    <n v="0"/>
    <n v="0"/>
    <n v="0"/>
    <n v="0"/>
    <n v="0"/>
    <n v="0"/>
    <n v="0"/>
    <n v="384799.42000000004"/>
    <n v="407887.38520000008"/>
    <s v=" "/>
    <s v=" "/>
    <s v=" "/>
    <s v=" "/>
    <s v=" "/>
    <s v=" "/>
    <s v=" "/>
    <s v=" "/>
    <s v=" "/>
    <s v=" "/>
    <s v=" "/>
    <s v=" "/>
    <s v=" "/>
    <s v=" "/>
    <x v="29"/>
    <x v="0"/>
    <x v="0"/>
    <x v="0"/>
    <x v="0"/>
    <x v="51"/>
    <x v="0"/>
    <x v="0"/>
    <x v="30"/>
    <x v="31"/>
    <x v="1"/>
    <x v="1"/>
    <x v="0"/>
    <x v="0"/>
    <x v="0"/>
    <x v="0"/>
    <x v="0"/>
    <x v="0"/>
    <x v="0"/>
    <x v="0"/>
    <x v="0"/>
    <x v="0"/>
    <x v="0"/>
    <x v="0"/>
    <x v="0"/>
    <x v="0"/>
    <x v="0"/>
    <x v="0"/>
    <x v="0"/>
    <x v="0"/>
    <x v="0"/>
    <x v="0"/>
    <x v="19"/>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19"/>
    <s v="Ecologs"/>
    <s v="Deactivate Drains with Ecologs"/>
    <s v="KS19_001"/>
    <x v="0"/>
    <n v="29.991269721999998"/>
    <n v="-25.821991110999999"/>
    <s v="29° 59' 28.57&quot;E "/>
    <s v="25° 49' 19.16&quot; S"/>
    <s v="Complete"/>
    <s v="Yes"/>
    <s v="Yes"/>
    <d v="2017-04-28T00:00:00"/>
    <s v="YES "/>
    <m/>
    <s v="NBC-GTW-CL-0053"/>
    <s v="Yes"/>
    <s v="00"/>
    <d v="2018-06-16T00:00:00"/>
    <s v="Phase 2"/>
    <s v="Year 1"/>
    <m/>
    <m/>
    <m/>
    <m/>
    <m/>
    <n v="5"/>
    <m/>
    <m/>
    <m/>
    <m/>
    <m/>
    <m/>
    <m/>
    <m/>
    <m/>
    <m/>
    <m/>
    <m/>
    <m/>
    <m/>
    <m/>
    <m/>
    <m/>
    <m/>
    <m/>
    <m/>
    <m/>
    <m/>
    <m/>
    <m/>
    <m/>
    <m/>
    <m/>
    <m/>
    <n v="0"/>
    <m/>
    <m/>
    <m/>
    <m/>
    <m/>
    <m/>
    <m/>
    <m/>
    <m/>
    <m/>
    <m/>
    <m/>
    <m/>
    <m/>
    <m/>
    <m/>
    <m/>
    <m/>
    <m/>
    <m/>
    <m/>
    <m/>
    <m/>
    <m/>
    <m/>
    <m/>
    <m/>
    <n v="20"/>
    <m/>
    <m/>
    <m/>
    <m/>
    <m/>
    <m/>
    <m/>
    <m/>
    <m/>
    <m/>
    <m/>
    <m/>
    <m/>
    <m/>
    <n v="0"/>
    <n v="0"/>
    <n v="0"/>
    <n v="0"/>
    <n v="0"/>
    <n v="0"/>
    <n v="0"/>
    <n v="0"/>
    <n v="0"/>
    <m/>
    <m/>
    <m/>
    <m/>
    <m/>
    <m/>
    <m/>
    <m/>
    <m/>
    <n v="0"/>
    <n v="0"/>
    <n v="0"/>
    <n v="0"/>
    <n v="0"/>
    <n v="425"/>
    <n v="0"/>
    <n v="0"/>
    <n v="0"/>
    <n v="0"/>
    <n v="0"/>
    <n v="0"/>
    <n v="0"/>
    <n v="0"/>
    <n v="0"/>
    <n v="0"/>
    <n v="0"/>
    <n v="0"/>
    <n v="0"/>
    <n v="0"/>
    <n v="0"/>
    <n v="0"/>
    <n v="0"/>
    <n v="0"/>
    <n v="0"/>
    <n v="0"/>
    <n v="18000"/>
    <n v="0"/>
    <n v="0"/>
    <n v="0"/>
    <n v="0"/>
    <n v="0"/>
    <n v="0"/>
    <n v="0"/>
    <n v="0"/>
    <n v="0"/>
    <n v="0"/>
    <n v="0"/>
    <n v="0"/>
    <n v="0"/>
    <n v="0"/>
    <n v="0"/>
    <n v="0"/>
    <n v="0"/>
    <n v="0"/>
    <n v="0"/>
    <n v="0"/>
    <n v="0"/>
    <n v="0"/>
    <n v="0"/>
    <n v="0"/>
    <n v="0"/>
    <n v="0"/>
    <n v="0"/>
    <n v="0"/>
    <n v="0"/>
    <n v="0"/>
    <n v="0"/>
    <n v="18425"/>
    <n v="19530.5"/>
    <s v=" "/>
    <s v=" "/>
    <s v=" "/>
    <s v=" "/>
    <s v=" "/>
    <s v=" "/>
    <s v=" "/>
    <s v=" "/>
    <s v=" "/>
    <s v=" "/>
    <s v=" "/>
    <s v=" "/>
    <s v=" "/>
    <s v=" "/>
    <x v="0"/>
    <x v="0"/>
    <x v="0"/>
    <x v="0"/>
    <x v="0"/>
    <x v="52"/>
    <x v="0"/>
    <x v="0"/>
    <x v="0"/>
    <x v="4"/>
    <x v="1"/>
    <x v="1"/>
    <x v="0"/>
    <x v="0"/>
    <x v="0"/>
    <x v="0"/>
    <x v="0"/>
    <x v="0"/>
    <x v="0"/>
    <x v="0"/>
    <x v="0"/>
    <x v="0"/>
    <x v="0"/>
    <x v="0"/>
    <x v="0"/>
    <x v="0"/>
    <x v="0"/>
    <x v="0"/>
    <x v="0"/>
    <x v="0"/>
    <x v="0"/>
    <x v="0"/>
    <x v="0"/>
    <x v="0"/>
    <x v="0"/>
    <x v="0"/>
    <x v="0"/>
    <x v="0"/>
    <x v="0"/>
    <x v="0"/>
    <x v="0"/>
    <x v="0"/>
    <x v="0"/>
    <x v="0"/>
    <x v="0"/>
    <x v="0"/>
    <x v="0"/>
    <x v="0"/>
    <x v="0"/>
    <x v="0"/>
    <x v="0"/>
    <x v="0"/>
    <x v="0"/>
    <x v="0"/>
    <x v="0"/>
    <x v="0"/>
    <x v="0"/>
    <x v="0"/>
    <x v="0"/>
    <x v="0"/>
    <x v="3"/>
    <x v="0"/>
    <x v="0"/>
    <x v="0"/>
    <x v="0"/>
    <x v="0"/>
    <x v="0"/>
    <x v="0"/>
    <x v="0"/>
    <x v="0"/>
    <x v="0"/>
    <x v="0"/>
    <x v="0"/>
    <x v="0"/>
    <x v="0"/>
    <x v="0"/>
    <x v="0"/>
    <x v="0"/>
    <x v="0"/>
    <x v="0"/>
    <x v="0"/>
    <x v="0"/>
    <x v="0"/>
    <x v="0"/>
    <x v="0"/>
    <x v="0"/>
    <x v="0"/>
    <x v="0"/>
    <x v="0"/>
    <x v="0"/>
    <x v="0"/>
    <x v="0"/>
    <x v="0"/>
  </r>
  <r>
    <s v="KS19"/>
    <s v="Concrete Drop Inlet"/>
    <s v="Concrete"/>
    <s v="KS19_002"/>
    <x v="0"/>
    <n v="29.992018610999999"/>
    <n v="-25.820953332999999"/>
    <s v="29° 59' 31.26&quot;E "/>
    <s v="25° 49' 15.43&quot; S"/>
    <s v="Complete"/>
    <s v="Yes"/>
    <s v="Yes"/>
    <d v="2017-02-06T00:00:00"/>
    <s v="YES"/>
    <d v="1899-12-30T00:00:00"/>
    <s v="NBC-GTW-CL-0026"/>
    <s v="Yes"/>
    <s v="00"/>
    <d v="2018-06-16T00:00:00"/>
    <s v="Phase 2"/>
    <s v="Year 1"/>
    <n v="20.96"/>
    <n v="0"/>
    <n v="0"/>
    <n v="0"/>
    <n v="0"/>
    <n v="38.760037999999994"/>
    <n v="3.8760037999999994"/>
    <n v="1.9380018999999997"/>
    <n v="20.96"/>
    <n v="20.96"/>
    <n v="0"/>
    <n v="0"/>
    <n v="27.321751200000001"/>
    <n v="38.552"/>
    <n v="0"/>
    <n v="0"/>
    <s v="Ref 888"/>
    <n v="22.335280000000001"/>
    <s v="Ref 655"/>
    <n v="27.825600000000001"/>
    <n v="0"/>
    <n v="46.089202790819932"/>
    <n v="0"/>
    <n v="6.42"/>
    <n v="0"/>
    <m/>
    <n v="0"/>
    <m/>
    <n v="0"/>
    <n v="6"/>
    <n v="8.0039999999999996"/>
    <n v="0"/>
    <n v="0"/>
    <n v="0"/>
    <n v="10.8096"/>
    <n v="0"/>
    <n v="0"/>
    <n v="0"/>
    <n v="0"/>
    <n v="0"/>
    <n v="0"/>
    <n v="0"/>
    <n v="0"/>
    <n v="0"/>
    <n v="0"/>
    <n v="0"/>
    <n v="0"/>
    <n v="0"/>
    <n v="0"/>
    <n v="0"/>
    <n v="0"/>
    <n v="0"/>
    <n v="0"/>
    <n v="0"/>
    <n v="0"/>
    <n v="0"/>
    <n v="0"/>
    <n v="0"/>
    <n v="0"/>
    <n v="0"/>
    <n v="0"/>
    <n v="0"/>
    <n v="0"/>
    <n v="0"/>
    <n v="0"/>
    <n v="0"/>
    <n v="0"/>
    <n v="0"/>
    <n v="0"/>
    <n v="0"/>
    <n v="0"/>
    <n v="0"/>
    <n v="0"/>
    <n v="0"/>
    <m/>
    <m/>
    <m/>
    <m/>
    <m/>
    <m/>
    <m/>
    <m/>
    <m/>
    <m/>
    <m/>
    <m/>
    <m/>
    <m/>
    <m/>
    <m/>
    <m/>
    <m/>
    <m/>
    <m/>
    <m/>
    <n v="104.80000000000001"/>
    <n v="0"/>
    <n v="0"/>
    <n v="0"/>
    <n v="0"/>
    <n v="3294.6032299999997"/>
    <n v="484.50047499999994"/>
    <n v="969.00094999999988"/>
    <n v="104.80000000000001"/>
    <n v="209.60000000000002"/>
    <n v="0"/>
    <n v="54643.502400000005"/>
    <n v="11565.6"/>
    <n v="0"/>
    <n v="0"/>
    <n v="1003.2176000000002"/>
    <n v="34310.981814032959"/>
    <n v="240.11999999999998"/>
    <n v="0"/>
    <n v="0"/>
    <n v="1297.152"/>
    <n v="0"/>
    <n v="0"/>
    <n v="0"/>
    <n v="0"/>
    <n v="0"/>
    <n v="0"/>
    <n v="0"/>
    <n v="0"/>
    <n v="0"/>
    <n v="0"/>
    <n v="0"/>
    <n v="0"/>
    <n v="0"/>
    <n v="0"/>
    <n v="0"/>
    <n v="0"/>
    <n v="0"/>
    <n v="0"/>
    <n v="0"/>
    <n v="0"/>
    <n v="0"/>
    <n v="0"/>
    <n v="0"/>
    <n v="0"/>
    <n v="0"/>
    <n v="0"/>
    <n v="0"/>
    <n v="0"/>
    <n v="0"/>
    <n v="0"/>
    <n v="0"/>
    <n v="0"/>
    <n v="0"/>
    <n v="0"/>
    <n v="0"/>
    <n v="0"/>
    <n v="0"/>
    <n v="108227.87846903296"/>
    <n v="114721.55117717494"/>
    <s v=" "/>
    <s v=" "/>
    <s v=" "/>
    <s v=" "/>
    <s v=" "/>
    <s v=" "/>
    <s v=" "/>
    <s v=" "/>
    <s v=" "/>
    <s v=" "/>
    <s v=" "/>
    <s v=" "/>
    <s v=" "/>
    <s v=" "/>
    <x v="30"/>
    <x v="0"/>
    <x v="0"/>
    <x v="0"/>
    <x v="0"/>
    <x v="53"/>
    <x v="4"/>
    <x v="11"/>
    <x v="31"/>
    <x v="32"/>
    <x v="1"/>
    <x v="1"/>
    <x v="43"/>
    <x v="13"/>
    <x v="0"/>
    <x v="0"/>
    <x v="15"/>
    <x v="11"/>
    <x v="0"/>
    <x v="11"/>
    <x v="0"/>
    <x v="14"/>
    <x v="0"/>
    <x v="0"/>
    <x v="0"/>
    <x v="0"/>
    <x v="0"/>
    <x v="10"/>
    <x v="31"/>
    <x v="0"/>
    <x v="0"/>
    <x v="0"/>
    <x v="2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19"/>
    <s v="Ecologs"/>
    <s v="Deactivate Drains with Ecologs"/>
    <s v="KS19_003"/>
    <x v="0"/>
    <n v="29.992279167"/>
    <n v="-25.820230278"/>
    <s v="29° 59' 32.20&quot;E "/>
    <s v="25° 49' 12.82&quot; S"/>
    <s v="Complete"/>
    <s v="Yes"/>
    <s v="Yes"/>
    <d v="2017-04-28T00:00:00"/>
    <s v="YES "/>
    <m/>
    <s v="NBC-GTW-CL-0054"/>
    <s v="Yes"/>
    <s v="00"/>
    <d v="2018-06-16T00:00:00"/>
    <s v="Phase 2"/>
    <s v="Year 1"/>
    <n v="0"/>
    <n v="0"/>
    <n v="0"/>
    <n v="0"/>
    <n v="0"/>
    <n v="5.3159999999999998"/>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8"/>
    <n v="0"/>
    <n v="0"/>
    <n v="0"/>
    <n v="0"/>
    <n v="0"/>
    <n v="0"/>
    <n v="0"/>
    <n v="0"/>
    <n v="0"/>
    <n v="0"/>
    <n v="0"/>
    <n v="0"/>
    <n v="0"/>
    <n v="0"/>
    <n v="0"/>
    <n v="0"/>
    <n v="0"/>
    <n v="0"/>
    <n v="0"/>
    <n v="0"/>
    <n v="0"/>
    <n v="0"/>
    <n v="0"/>
    <m/>
    <m/>
    <m/>
    <m/>
    <m/>
    <m/>
    <m/>
    <m/>
    <m/>
    <n v="0"/>
    <n v="0"/>
    <n v="0"/>
    <n v="0"/>
    <n v="0"/>
    <n v="451.86"/>
    <n v="0"/>
    <n v="0"/>
    <n v="0"/>
    <n v="0"/>
    <n v="0"/>
    <n v="0"/>
    <n v="0"/>
    <n v="0"/>
    <n v="0"/>
    <n v="0"/>
    <n v="0"/>
    <n v="0"/>
    <n v="0"/>
    <n v="0"/>
    <n v="0"/>
    <n v="0"/>
    <n v="0"/>
    <n v="0"/>
    <n v="0"/>
    <n v="0"/>
    <n v="7200"/>
    <n v="0"/>
    <n v="0"/>
    <n v="0"/>
    <n v="0"/>
    <n v="0"/>
    <n v="0"/>
    <n v="0"/>
    <n v="0"/>
    <n v="0"/>
    <n v="0"/>
    <n v="0"/>
    <n v="0"/>
    <n v="0"/>
    <n v="0"/>
    <n v="0"/>
    <n v="0"/>
    <n v="0"/>
    <n v="0"/>
    <n v="0"/>
    <n v="0"/>
    <n v="0"/>
    <n v="0"/>
    <n v="0"/>
    <n v="0"/>
    <n v="0"/>
    <n v="0"/>
    <n v="0"/>
    <n v="0"/>
    <n v="0"/>
    <n v="0"/>
    <n v="0"/>
    <n v="7651.86"/>
    <n v="8110.9715999999999"/>
    <s v=" "/>
    <s v=" "/>
    <s v=" "/>
    <s v=" "/>
    <s v=" "/>
    <s v=" "/>
    <s v=" "/>
    <s v=" "/>
    <s v=" "/>
    <s v=" "/>
    <s v=" "/>
    <s v=" "/>
    <s v=" "/>
    <s v=" "/>
    <x v="0"/>
    <x v="0"/>
    <x v="0"/>
    <x v="0"/>
    <x v="0"/>
    <x v="54"/>
    <x v="0"/>
    <x v="0"/>
    <x v="0"/>
    <x v="4"/>
    <x v="1"/>
    <x v="1"/>
    <x v="0"/>
    <x v="0"/>
    <x v="0"/>
    <x v="0"/>
    <x v="0"/>
    <x v="0"/>
    <x v="0"/>
    <x v="0"/>
    <x v="0"/>
    <x v="0"/>
    <x v="0"/>
    <x v="0"/>
    <x v="0"/>
    <x v="0"/>
    <x v="0"/>
    <x v="0"/>
    <x v="0"/>
    <x v="0"/>
    <x v="0"/>
    <x v="0"/>
    <x v="0"/>
    <x v="0"/>
    <x v="0"/>
    <x v="0"/>
    <x v="0"/>
    <x v="0"/>
    <x v="0"/>
    <x v="0"/>
    <x v="0"/>
    <x v="0"/>
    <x v="0"/>
    <x v="0"/>
    <x v="0"/>
    <x v="0"/>
    <x v="0"/>
    <x v="0"/>
    <x v="0"/>
    <x v="0"/>
    <x v="0"/>
    <x v="0"/>
    <x v="0"/>
    <x v="0"/>
    <x v="0"/>
    <x v="0"/>
    <x v="0"/>
    <x v="0"/>
    <x v="0"/>
    <x v="0"/>
    <x v="4"/>
    <x v="0"/>
    <x v="0"/>
    <x v="0"/>
    <x v="0"/>
    <x v="0"/>
    <x v="0"/>
    <x v="0"/>
    <x v="0"/>
    <x v="0"/>
    <x v="0"/>
    <x v="0"/>
    <x v="0"/>
    <x v="0"/>
    <x v="0"/>
    <x v="0"/>
    <x v="0"/>
    <x v="0"/>
    <x v="0"/>
    <x v="0"/>
    <x v="0"/>
    <x v="0"/>
    <x v="0"/>
    <x v="0"/>
    <x v="0"/>
    <x v="0"/>
    <x v="0"/>
    <x v="0"/>
    <x v="0"/>
    <x v="0"/>
    <x v="0"/>
    <x v="0"/>
    <x v="0"/>
  </r>
  <r>
    <s v="KS19"/>
    <s v="Ecologs"/>
    <s v="Deactivate Drains with Ecologs"/>
    <s v="KS19_004"/>
    <x v="0"/>
    <n v="29.992724166999999"/>
    <n v="-25.818730833"/>
    <s v="29° 59' 33.80&quot;E "/>
    <s v="25° 49' 07.43&quot; S"/>
    <s v="Complete"/>
    <s v="Yes"/>
    <s v="Yes"/>
    <d v="2017-04-28T00:00:00"/>
    <s v="YES "/>
    <m/>
    <s v="NBC-GTW-CL-0055"/>
    <s v="Yes"/>
    <s v="00"/>
    <d v="2018-06-16T00:00:00"/>
    <s v="Phase 2"/>
    <s v="Year 1"/>
    <n v="0"/>
    <n v="0"/>
    <n v="0"/>
    <n v="0"/>
    <n v="0"/>
    <n v="4.5"/>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25"/>
    <n v="0"/>
    <n v="0"/>
    <n v="0"/>
    <n v="0"/>
    <n v="0"/>
    <n v="0"/>
    <n v="0"/>
    <n v="0"/>
    <n v="0"/>
    <n v="0"/>
    <n v="0"/>
    <n v="0"/>
    <n v="0"/>
    <n v="0"/>
    <n v="0"/>
    <n v="0"/>
    <n v="0"/>
    <n v="0"/>
    <n v="0"/>
    <n v="0"/>
    <n v="0"/>
    <n v="0"/>
    <n v="0"/>
    <m/>
    <m/>
    <m/>
    <m/>
    <m/>
    <m/>
    <m/>
    <m/>
    <m/>
    <n v="0"/>
    <n v="0"/>
    <n v="0"/>
    <n v="0"/>
    <n v="0"/>
    <n v="382.5"/>
    <n v="0"/>
    <n v="0"/>
    <n v="0"/>
    <n v="0"/>
    <n v="0"/>
    <n v="0"/>
    <n v="0"/>
    <n v="0"/>
    <n v="0"/>
    <n v="0"/>
    <n v="0"/>
    <n v="0"/>
    <n v="0"/>
    <n v="0"/>
    <n v="0"/>
    <n v="0"/>
    <n v="0"/>
    <n v="0"/>
    <n v="0"/>
    <n v="0"/>
    <n v="22500"/>
    <n v="0"/>
    <n v="0"/>
    <n v="0"/>
    <n v="0"/>
    <n v="0"/>
    <n v="0"/>
    <n v="0"/>
    <n v="0"/>
    <n v="0"/>
    <n v="0"/>
    <n v="0"/>
    <n v="0"/>
    <n v="0"/>
    <n v="0"/>
    <n v="0"/>
    <n v="0"/>
    <n v="0"/>
    <n v="0"/>
    <n v="0"/>
    <n v="0"/>
    <n v="0"/>
    <n v="0"/>
    <n v="0"/>
    <n v="0"/>
    <n v="0"/>
    <n v="0"/>
    <n v="0"/>
    <n v="0"/>
    <n v="0"/>
    <n v="0"/>
    <n v="0"/>
    <n v="22882.5"/>
    <n v="24255.45"/>
    <s v=" "/>
    <s v=" "/>
    <s v=" "/>
    <s v=" "/>
    <s v=" "/>
    <s v=" "/>
    <s v=" "/>
    <s v=" "/>
    <s v=" "/>
    <s v=" "/>
    <s v=" "/>
    <s v=" "/>
    <s v=" "/>
    <s v=" "/>
    <x v="0"/>
    <x v="0"/>
    <x v="0"/>
    <x v="0"/>
    <x v="0"/>
    <x v="55"/>
    <x v="0"/>
    <x v="0"/>
    <x v="0"/>
    <x v="4"/>
    <x v="1"/>
    <x v="1"/>
    <x v="0"/>
    <x v="0"/>
    <x v="0"/>
    <x v="0"/>
    <x v="0"/>
    <x v="0"/>
    <x v="0"/>
    <x v="0"/>
    <x v="0"/>
    <x v="0"/>
    <x v="0"/>
    <x v="0"/>
    <x v="0"/>
    <x v="0"/>
    <x v="0"/>
    <x v="0"/>
    <x v="0"/>
    <x v="0"/>
    <x v="0"/>
    <x v="0"/>
    <x v="0"/>
    <x v="0"/>
    <x v="0"/>
    <x v="0"/>
    <x v="0"/>
    <x v="0"/>
    <x v="0"/>
    <x v="0"/>
    <x v="0"/>
    <x v="0"/>
    <x v="0"/>
    <x v="0"/>
    <x v="0"/>
    <x v="0"/>
    <x v="0"/>
    <x v="0"/>
    <x v="0"/>
    <x v="0"/>
    <x v="0"/>
    <x v="0"/>
    <x v="0"/>
    <x v="0"/>
    <x v="0"/>
    <x v="0"/>
    <x v="0"/>
    <x v="0"/>
    <x v="0"/>
    <x v="0"/>
    <x v="5"/>
    <x v="0"/>
    <x v="0"/>
    <x v="0"/>
    <x v="0"/>
    <x v="0"/>
    <x v="0"/>
    <x v="0"/>
    <x v="0"/>
    <x v="0"/>
    <x v="0"/>
    <x v="0"/>
    <x v="0"/>
    <x v="0"/>
    <x v="0"/>
    <x v="0"/>
    <x v="0"/>
    <x v="0"/>
    <x v="0"/>
    <x v="0"/>
    <x v="0"/>
    <x v="0"/>
    <x v="0"/>
    <x v="0"/>
    <x v="0"/>
    <x v="0"/>
    <x v="0"/>
    <x v="0"/>
    <x v="0"/>
    <x v="0"/>
    <x v="0"/>
    <x v="0"/>
    <x v="0"/>
  </r>
  <r>
    <s v="KS19"/>
    <s v="Ecologs"/>
    <s v="Deactivate Drains with Ecologs"/>
    <s v="KS19_005"/>
    <x v="0"/>
    <n v="29.992811667000002"/>
    <n v="-25.817050278"/>
    <s v="29° 59' 34.12&quot;E "/>
    <s v="25° 49' 01.38&quot; S"/>
    <s v="Complete"/>
    <s v="Yes"/>
    <s v="Yes"/>
    <d v="2017-04-28T00:00:00"/>
    <s v="YES "/>
    <m/>
    <s v="NBC-GTW-CL-0056"/>
    <s v="Yes"/>
    <s v="00"/>
    <d v="2018-06-16T00:00:00"/>
    <s v="Phase 2"/>
    <s v="Year 1"/>
    <n v="0"/>
    <n v="0"/>
    <n v="0"/>
    <n v="0"/>
    <n v="0"/>
    <n v="4.68"/>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26"/>
    <n v="0"/>
    <n v="0"/>
    <n v="0"/>
    <n v="0"/>
    <n v="0"/>
    <n v="0"/>
    <n v="0"/>
    <n v="0"/>
    <n v="0"/>
    <n v="0"/>
    <n v="0"/>
    <n v="0"/>
    <n v="0"/>
    <n v="0"/>
    <n v="0"/>
    <n v="0"/>
    <n v="0"/>
    <n v="0"/>
    <n v="0"/>
    <n v="0"/>
    <n v="0"/>
    <n v="0"/>
    <n v="0"/>
    <m/>
    <m/>
    <m/>
    <m/>
    <m/>
    <m/>
    <m/>
    <m/>
    <m/>
    <n v="0"/>
    <n v="0"/>
    <n v="0"/>
    <n v="0"/>
    <n v="0"/>
    <n v="397.79999999999995"/>
    <n v="0"/>
    <n v="0"/>
    <n v="0"/>
    <n v="0"/>
    <n v="0"/>
    <n v="0"/>
    <n v="0"/>
    <n v="0"/>
    <n v="0"/>
    <n v="0"/>
    <n v="0"/>
    <n v="0"/>
    <n v="0"/>
    <n v="0"/>
    <n v="0"/>
    <n v="0"/>
    <n v="0"/>
    <n v="0"/>
    <n v="0"/>
    <n v="0"/>
    <n v="23400"/>
    <n v="0"/>
    <n v="0"/>
    <n v="0"/>
    <n v="0"/>
    <n v="0"/>
    <n v="0"/>
    <n v="0"/>
    <n v="0"/>
    <n v="0"/>
    <n v="0"/>
    <n v="0"/>
    <n v="0"/>
    <n v="0"/>
    <n v="0"/>
    <n v="0"/>
    <n v="0"/>
    <n v="0"/>
    <n v="0"/>
    <n v="0"/>
    <n v="0"/>
    <n v="0"/>
    <n v="0"/>
    <n v="0"/>
    <n v="0"/>
    <n v="0"/>
    <n v="0"/>
    <n v="0"/>
    <n v="0"/>
    <n v="0"/>
    <n v="0"/>
    <n v="0"/>
    <n v="23797.8"/>
    <n v="25225.668000000001"/>
    <s v=" "/>
    <s v=" "/>
    <s v=" "/>
    <s v=" "/>
    <s v=" "/>
    <s v=" "/>
    <s v=" "/>
    <s v=" "/>
    <s v=" "/>
    <s v=" "/>
    <s v=" "/>
    <s v=" "/>
    <s v=" "/>
    <s v=" "/>
    <x v="0"/>
    <x v="0"/>
    <x v="0"/>
    <x v="0"/>
    <x v="0"/>
    <x v="56"/>
    <x v="0"/>
    <x v="0"/>
    <x v="0"/>
    <x v="4"/>
    <x v="1"/>
    <x v="1"/>
    <x v="0"/>
    <x v="0"/>
    <x v="0"/>
    <x v="0"/>
    <x v="0"/>
    <x v="0"/>
    <x v="0"/>
    <x v="0"/>
    <x v="0"/>
    <x v="0"/>
    <x v="0"/>
    <x v="0"/>
    <x v="0"/>
    <x v="0"/>
    <x v="0"/>
    <x v="0"/>
    <x v="0"/>
    <x v="0"/>
    <x v="0"/>
    <x v="0"/>
    <x v="0"/>
    <x v="0"/>
    <x v="0"/>
    <x v="0"/>
    <x v="0"/>
    <x v="0"/>
    <x v="0"/>
    <x v="0"/>
    <x v="0"/>
    <x v="0"/>
    <x v="0"/>
    <x v="0"/>
    <x v="0"/>
    <x v="0"/>
    <x v="0"/>
    <x v="0"/>
    <x v="0"/>
    <x v="0"/>
    <x v="0"/>
    <x v="0"/>
    <x v="0"/>
    <x v="0"/>
    <x v="0"/>
    <x v="0"/>
    <x v="0"/>
    <x v="0"/>
    <x v="0"/>
    <x v="0"/>
    <x v="6"/>
    <x v="0"/>
    <x v="0"/>
    <x v="0"/>
    <x v="0"/>
    <x v="0"/>
    <x v="0"/>
    <x v="0"/>
    <x v="0"/>
    <x v="0"/>
    <x v="0"/>
    <x v="0"/>
    <x v="0"/>
    <x v="0"/>
    <x v="0"/>
    <x v="0"/>
    <x v="0"/>
    <x v="0"/>
    <x v="0"/>
    <x v="0"/>
    <x v="0"/>
    <x v="0"/>
    <x v="0"/>
    <x v="0"/>
    <x v="0"/>
    <x v="0"/>
    <x v="0"/>
    <x v="0"/>
    <x v="0"/>
    <x v="0"/>
    <x v="0"/>
    <x v="0"/>
    <x v="0"/>
  </r>
  <r>
    <s v="KS19"/>
    <s v="Removal of Dam Wall"/>
    <s v="Excavation"/>
    <s v="KS19_006"/>
    <x v="0"/>
    <n v="29.992483888999999"/>
    <n v="-25.814825833"/>
    <s v="29° 59' 32.94&quot;E "/>
    <s v="25° 48' 53.37&quot; S"/>
    <s v="Complete"/>
    <s v="Yes"/>
    <s v="Yes"/>
    <d v="2017-02-09T00:00:00"/>
    <s v="NA"/>
    <s v="NA"/>
    <s v="No Drawing"/>
    <s v="Yes"/>
    <s v="00"/>
    <d v="2018-06-16T00:00:00"/>
    <s v="Phase 2"/>
    <s v="Year 1"/>
    <n v="3134.04"/>
    <n v="1385.03125"/>
    <n v="0"/>
    <n v="0"/>
    <n v="0"/>
    <n v="0"/>
    <n v="0"/>
    <n v="0"/>
    <n v="3134.04"/>
    <n v="3134.04"/>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m/>
    <m/>
    <m/>
    <m/>
    <m/>
    <m/>
    <m/>
    <m/>
    <m/>
    <m/>
    <m/>
    <m/>
    <n v="15670.2"/>
    <n v="69251.5625"/>
    <n v="0"/>
    <n v="0"/>
    <n v="0"/>
    <n v="0"/>
    <n v="0"/>
    <n v="0"/>
    <n v="15670.2"/>
    <n v="31340.400000000001"/>
    <n v="0"/>
    <n v="0"/>
    <n v="0"/>
    <n v="0"/>
    <n v="0"/>
    <n v="0"/>
    <n v="0"/>
    <n v="0"/>
    <n v="0"/>
    <n v="0"/>
    <n v="0"/>
    <n v="0"/>
    <n v="0"/>
    <n v="0"/>
    <n v="0"/>
    <n v="0"/>
    <n v="0"/>
    <n v="0"/>
    <n v="0"/>
    <n v="0"/>
    <n v="0"/>
    <n v="0"/>
    <n v="0"/>
    <n v="0"/>
    <n v="0"/>
    <n v="0"/>
    <n v="0"/>
    <n v="0"/>
    <n v="0"/>
    <n v="0"/>
    <n v="0"/>
    <n v="0"/>
    <n v="0"/>
    <n v="0"/>
    <n v="0"/>
    <n v="0"/>
    <n v="0"/>
    <n v="0"/>
    <n v="0"/>
    <n v="0"/>
    <n v="0"/>
    <n v="0"/>
    <n v="0"/>
    <n v="0"/>
    <n v="0"/>
    <n v="0"/>
    <n v="0"/>
    <n v="0"/>
    <n v="131932.36249999999"/>
    <n v="139848.30424999999"/>
    <s v=" "/>
    <s v=" "/>
    <s v=" "/>
    <s v=" "/>
    <s v=" "/>
    <s v=" "/>
    <s v=" "/>
    <s v=" "/>
    <s v=" "/>
    <s v=" "/>
    <s v=" "/>
    <s v=" "/>
    <s v=" "/>
    <s v=" "/>
    <x v="31"/>
    <x v="12"/>
    <x v="0"/>
    <x v="0"/>
    <x v="0"/>
    <x v="1"/>
    <x v="0"/>
    <x v="0"/>
    <x v="32"/>
    <x v="33"/>
    <x v="1"/>
    <x v="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19"/>
    <s v="Infilling of Drains"/>
    <s v="Earthworks"/>
    <s v="KS19_007"/>
    <x v="0"/>
    <n v="29.990699444000001"/>
    <n v="-25.822886110999999"/>
    <s v="29° 59' 26.51&quot;E "/>
    <s v="25° 49' 22.38&quot; S"/>
    <s v="Complete"/>
    <s v="Yes"/>
    <s v="Yes"/>
    <d v="2017-04-28T00:00:00"/>
    <s v="NA"/>
    <s v="NA"/>
    <s v="No Drawing"/>
    <s v="Yes"/>
    <s v="00"/>
    <d v="2018-06-16T00:00:00"/>
    <s v="Phase 2"/>
    <s v="Year 1"/>
    <n v="191.41985973821238"/>
    <n v="0"/>
    <n v="0"/>
    <n v="0"/>
    <n v="0"/>
    <n v="0"/>
    <n v="0"/>
    <n v="0"/>
    <n v="179.75150000000002"/>
    <n v="179.75150000000002"/>
    <n v="0"/>
    <n v="0"/>
    <n v="0"/>
    <n v="0"/>
    <n v="0"/>
    <n v="0"/>
    <n v="0"/>
    <n v="0"/>
    <n v="0"/>
    <n v="0"/>
    <n v="0"/>
    <n v="0"/>
    <n v="0"/>
    <n v="0"/>
    <n v="0"/>
    <n v="0"/>
    <n v="0"/>
    <n v="0"/>
    <n v="0"/>
    <n v="0"/>
    <n v="0"/>
    <n v="0"/>
    <n v="0"/>
    <n v="0"/>
    <n v="38"/>
    <n v="0"/>
    <n v="0"/>
    <n v="0"/>
    <n v="0"/>
    <n v="0"/>
    <n v="0"/>
    <n v="0"/>
    <n v="0"/>
    <n v="0"/>
    <n v="0"/>
    <n v="0"/>
    <n v="0"/>
    <n v="0"/>
    <n v="0"/>
    <n v="0"/>
    <n v="0"/>
    <n v="0"/>
    <n v="0"/>
    <n v="0"/>
    <n v="0"/>
    <n v="0"/>
    <n v="0"/>
    <n v="0"/>
    <n v="0"/>
    <n v="0"/>
    <n v="0"/>
    <n v="0"/>
    <n v="0"/>
    <n v="0"/>
    <n v="0"/>
    <n v="0"/>
    <n v="0"/>
    <n v="0"/>
    <n v="0"/>
    <n v="0"/>
    <n v="0"/>
    <n v="0"/>
    <n v="0"/>
    <n v="0"/>
    <n v="0"/>
    <n v="0"/>
    <n v="0"/>
    <n v="0"/>
    <n v="0"/>
    <n v="0"/>
    <n v="0"/>
    <n v="0"/>
    <n v="0"/>
    <n v="0"/>
    <n v="0"/>
    <n v="0"/>
    <m/>
    <m/>
    <m/>
    <m/>
    <m/>
    <m/>
    <m/>
    <m/>
    <m/>
    <n v="957.0992986910619"/>
    <n v="0"/>
    <n v="0"/>
    <n v="0"/>
    <n v="0"/>
    <n v="0"/>
    <n v="0"/>
    <n v="0"/>
    <n v="898.75750000000016"/>
    <n v="1797.5150000000003"/>
    <n v="0"/>
    <n v="0"/>
    <n v="0"/>
    <n v="0"/>
    <n v="0"/>
    <n v="0"/>
    <n v="0"/>
    <n v="0"/>
    <n v="0"/>
    <n v="0"/>
    <n v="4560"/>
    <n v="0"/>
    <n v="0"/>
    <n v="0"/>
    <n v="0"/>
    <n v="0"/>
    <n v="0"/>
    <n v="0"/>
    <n v="0"/>
    <n v="0"/>
    <n v="0"/>
    <n v="0"/>
    <n v="0"/>
    <n v="0"/>
    <n v="0"/>
    <n v="0"/>
    <n v="0"/>
    <n v="0"/>
    <n v="0"/>
    <n v="0"/>
    <n v="0"/>
    <n v="0"/>
    <n v="0"/>
    <n v="0"/>
    <n v="0"/>
    <n v="0"/>
    <n v="0"/>
    <n v="0"/>
    <n v="0"/>
    <n v="0"/>
    <n v="0"/>
    <n v="0"/>
    <n v="0"/>
    <n v="0"/>
    <n v="0"/>
    <n v="0"/>
    <n v="0"/>
    <n v="0"/>
    <n v="8213.3717986910633"/>
    <n v="8706.1741066125269"/>
    <s v=" "/>
    <s v=" "/>
    <s v=" "/>
    <s v=" "/>
    <s v=" "/>
    <s v=" "/>
    <s v=" "/>
    <s v=" "/>
    <s v=" "/>
    <s v=" "/>
    <s v=" "/>
    <s v=" "/>
    <s v=" "/>
    <s v=" "/>
    <x v="32"/>
    <x v="0"/>
    <x v="0"/>
    <x v="0"/>
    <x v="0"/>
    <x v="1"/>
    <x v="0"/>
    <x v="0"/>
    <x v="33"/>
    <x v="34"/>
    <x v="1"/>
    <x v="1"/>
    <x v="0"/>
    <x v="0"/>
    <x v="0"/>
    <x v="0"/>
    <x v="0"/>
    <x v="0"/>
    <x v="0"/>
    <x v="0"/>
    <x v="0"/>
    <x v="0"/>
    <x v="0"/>
    <x v="0"/>
    <x v="0"/>
    <x v="0"/>
    <x v="0"/>
    <x v="0"/>
    <x v="0"/>
    <x v="0"/>
    <x v="0"/>
    <x v="0"/>
    <x v="2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20"/>
    <s v="Concrete Drop Inlet"/>
    <s v="Concrete"/>
    <s v="KS20_001"/>
    <x v="5"/>
    <n v="29.998442222000001"/>
    <n v="-25.825638055999999"/>
    <s v="29° 59' 54.39&quot;E "/>
    <s v="25° 49' 32.29&quot; S"/>
    <s v="Complete"/>
    <s v="Yes"/>
    <s v="Yes"/>
    <d v="2017-02-06T00:00:00"/>
    <s v="YES"/>
    <d v="2017-02-06T00:00:00"/>
    <s v="NBC-GTW-CL-0027"/>
    <s v="Yes"/>
    <s v="00"/>
    <d v="2018-06-16T00:00:00"/>
    <s v="Phase 1"/>
    <s v="Year 1"/>
    <n v="23.520000000000003"/>
    <n v="0"/>
    <n v="0"/>
    <n v="0"/>
    <n v="0"/>
    <n v="51.93327"/>
    <n v="5.193327"/>
    <n v="2.5966635"/>
    <n v="23.520000000000003"/>
    <n v="23.520000000000003"/>
    <n v="0"/>
    <n v="51.93327"/>
    <n v="20.395350000000001"/>
    <n v="37.752000000000002"/>
    <n v="0"/>
    <n v="0"/>
    <s v="Ref 888"/>
    <n v="16.468920000000001"/>
    <s v="Ref 655"/>
    <n v="30.617600000000003"/>
    <n v="0"/>
    <n v="38.079465846731672"/>
    <n v="0"/>
    <n v="2.3850000000000002"/>
    <n v="0"/>
    <m/>
    <n v="0"/>
    <m/>
    <n v="0"/>
    <n v="7"/>
    <n v="7.9049999999999994"/>
    <n v="0"/>
    <n v="0"/>
    <n v="0"/>
    <n v="32.727600000000002"/>
    <n v="0"/>
    <n v="0"/>
    <n v="0"/>
    <n v="0"/>
    <n v="0"/>
    <n v="0"/>
    <n v="0"/>
    <n v="0"/>
    <n v="0"/>
    <n v="0"/>
    <n v="0"/>
    <n v="0"/>
    <n v="0"/>
    <n v="0"/>
    <n v="0"/>
    <n v="0"/>
    <n v="0"/>
    <n v="0"/>
    <n v="0"/>
    <n v="0"/>
    <n v="0"/>
    <n v="0"/>
    <n v="0"/>
    <n v="0"/>
    <n v="0"/>
    <n v="0"/>
    <n v="0"/>
    <n v="0"/>
    <n v="0"/>
    <n v="0"/>
    <n v="0"/>
    <n v="0"/>
    <n v="0"/>
    <n v="0"/>
    <n v="0"/>
    <n v="0"/>
    <n v="0"/>
    <n v="0"/>
    <n v="0"/>
    <m/>
    <m/>
    <m/>
    <m/>
    <m/>
    <m/>
    <m/>
    <m/>
    <m/>
    <m/>
    <m/>
    <m/>
    <m/>
    <m/>
    <m/>
    <m/>
    <m/>
    <m/>
    <m/>
    <m/>
    <m/>
    <n v="117.60000000000002"/>
    <n v="0"/>
    <n v="0"/>
    <n v="0"/>
    <n v="0"/>
    <n v="4414.3279499999999"/>
    <n v="649.16587500000003"/>
    <n v="1298.3317500000001"/>
    <n v="117.60000000000002"/>
    <n v="235.20000000000005"/>
    <n v="311.59962000000002"/>
    <n v="40790.700000000004"/>
    <n v="11325.6"/>
    <n v="0"/>
    <n v="0"/>
    <n v="941.73040000000015"/>
    <n v="26511.902800375588"/>
    <n v="237.14999999999998"/>
    <n v="0"/>
    <n v="0"/>
    <n v="3927.3120000000004"/>
    <n v="0"/>
    <n v="0"/>
    <n v="0"/>
    <n v="0"/>
    <n v="0"/>
    <n v="0"/>
    <n v="0"/>
    <n v="0"/>
    <n v="0"/>
    <n v="0"/>
    <n v="0"/>
    <n v="0"/>
    <n v="0"/>
    <n v="0"/>
    <n v="0"/>
    <n v="0"/>
    <n v="0"/>
    <n v="0"/>
    <n v="0"/>
    <n v="0"/>
    <n v="0"/>
    <n v="0"/>
    <n v="0"/>
    <n v="0"/>
    <n v="0"/>
    <n v="0"/>
    <n v="0"/>
    <n v="0"/>
    <n v="0"/>
    <n v="0"/>
    <n v="0"/>
    <n v="0"/>
    <n v="0"/>
    <n v="0"/>
    <n v="0"/>
    <n v="0"/>
    <n v="0"/>
    <n v="90878.220395375596"/>
    <n v="96330.913619098137"/>
    <s v=" "/>
    <s v=" "/>
    <s v=" "/>
    <s v=" "/>
    <s v=" "/>
    <s v=" "/>
    <s v=" "/>
    <s v=" "/>
    <s v=" "/>
    <s v=" "/>
    <s v=" "/>
    <s v=" "/>
    <s v=" "/>
    <s v=" "/>
    <x v="33"/>
    <x v="0"/>
    <x v="0"/>
    <x v="0"/>
    <x v="0"/>
    <x v="57"/>
    <x v="5"/>
    <x v="12"/>
    <x v="34"/>
    <x v="35"/>
    <x v="1"/>
    <x v="2"/>
    <x v="44"/>
    <x v="14"/>
    <x v="0"/>
    <x v="0"/>
    <x v="16"/>
    <x v="12"/>
    <x v="0"/>
    <x v="12"/>
    <x v="0"/>
    <x v="15"/>
    <x v="0"/>
    <x v="0"/>
    <x v="0"/>
    <x v="0"/>
    <x v="0"/>
    <x v="11"/>
    <x v="32"/>
    <x v="0"/>
    <x v="0"/>
    <x v="0"/>
    <x v="22"/>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20"/>
    <s v="Concrete Check Wall"/>
    <s v="Concrete Check Wall"/>
    <s v="KS20_002"/>
    <x v="5"/>
    <n v="29.997646667000001"/>
    <n v="-25.825318056"/>
    <s v="29° 59' 51.52&quot;E "/>
    <s v="25° 49' 31.14&quot; S"/>
    <s v="Complete"/>
    <s v="Yes"/>
    <s v="Yes"/>
    <d v="2017-02-06T00:00:00"/>
    <s v="YES"/>
    <d v="2017-02-06T00:00:00"/>
    <s v="NBC-GTW-CL-0028"/>
    <s v="Yes"/>
    <s v="01"/>
    <d v="2018-12-07T00:00:00"/>
    <s v="Phase 1"/>
    <s v="Year 1"/>
    <m/>
    <m/>
    <m/>
    <m/>
    <m/>
    <n v="6.4530000000000003"/>
    <m/>
    <m/>
    <m/>
    <m/>
    <m/>
    <m/>
    <n v="6.4530000000000003"/>
    <m/>
    <m/>
    <m/>
    <m/>
    <m/>
    <m/>
    <m/>
    <m/>
    <m/>
    <m/>
    <m/>
    <m/>
    <m/>
    <m/>
    <m/>
    <m/>
    <m/>
    <n v="3.5999999999999996"/>
    <n v="0"/>
    <m/>
    <n v="0"/>
    <m/>
    <m/>
    <m/>
    <m/>
    <m/>
    <m/>
    <m/>
    <m/>
    <m/>
    <m/>
    <m/>
    <m/>
    <m/>
    <m/>
    <m/>
    <m/>
    <m/>
    <m/>
    <m/>
    <m/>
    <m/>
    <m/>
    <m/>
    <m/>
    <m/>
    <m/>
    <m/>
    <m/>
    <m/>
    <m/>
    <m/>
    <m/>
    <m/>
    <m/>
    <m/>
    <m/>
    <m/>
    <m/>
    <m/>
    <n v="0"/>
    <m/>
    <m/>
    <m/>
    <m/>
    <m/>
    <m/>
    <m/>
    <m/>
    <m/>
    <m/>
    <m/>
    <m/>
    <m/>
    <m/>
    <m/>
    <m/>
    <m/>
    <m/>
    <m/>
    <m/>
    <m/>
    <n v="0"/>
    <n v="0"/>
    <n v="0"/>
    <n v="0"/>
    <n v="0"/>
    <n v="548.505"/>
    <n v="0"/>
    <n v="0"/>
    <n v="0"/>
    <n v="0"/>
    <n v="0"/>
    <n v="12906"/>
    <n v="0"/>
    <n v="0"/>
    <n v="0"/>
    <n v="0"/>
    <n v="0"/>
    <n v="107.99999999999999"/>
    <n v="0"/>
    <n v="0"/>
    <n v="0"/>
    <n v="0"/>
    <n v="0"/>
    <n v="0"/>
    <n v="0"/>
    <n v="0"/>
    <n v="0"/>
    <n v="0"/>
    <n v="0"/>
    <n v="0"/>
    <n v="0"/>
    <n v="0"/>
    <n v="0"/>
    <n v="0"/>
    <n v="0"/>
    <n v="0"/>
    <n v="0"/>
    <n v="0"/>
    <n v="0"/>
    <n v="0"/>
    <n v="0"/>
    <n v="0"/>
    <n v="0"/>
    <n v="0"/>
    <n v="0"/>
    <n v="0"/>
    <n v="0"/>
    <n v="0"/>
    <n v="0"/>
    <n v="0"/>
    <n v="0"/>
    <n v="0"/>
    <n v="0"/>
    <n v="0"/>
    <n v="0"/>
    <n v="0"/>
    <n v="0"/>
    <n v="0"/>
    <n v="13562.504999999999"/>
    <n v="14376.255300000001"/>
    <s v=" "/>
    <s v=" "/>
    <s v=" "/>
    <s v=" "/>
    <s v=" "/>
    <s v=" "/>
    <s v=" "/>
    <s v=" "/>
    <s v=" "/>
    <s v=" "/>
    <s v=" "/>
    <s v=" "/>
    <s v=" "/>
    <s v=" "/>
    <x v="0"/>
    <x v="0"/>
    <x v="0"/>
    <x v="0"/>
    <x v="0"/>
    <x v="58"/>
    <x v="0"/>
    <x v="0"/>
    <x v="0"/>
    <x v="4"/>
    <x v="1"/>
    <x v="1"/>
    <x v="45"/>
    <x v="0"/>
    <x v="0"/>
    <x v="0"/>
    <x v="0"/>
    <x v="0"/>
    <x v="0"/>
    <x v="0"/>
    <x v="0"/>
    <x v="0"/>
    <x v="0"/>
    <x v="0"/>
    <x v="0"/>
    <x v="0"/>
    <x v="0"/>
    <x v="0"/>
    <x v="33"/>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20"/>
    <s v="Concrete Check Wall"/>
    <s v="Concrete Check Wall"/>
    <s v="KS20_003"/>
    <x v="5"/>
    <n v="29.997078333000001"/>
    <n v="-25.825081666999999"/>
    <s v="29° 59' 49.48&quot;E "/>
    <s v="25° 49' 30.29&quot; S"/>
    <s v="Complete"/>
    <s v="Yes"/>
    <s v="Yes"/>
    <d v="2017-02-06T00:00:00"/>
    <s v="YES"/>
    <m/>
    <s v="NBC-GTW-CL-0029"/>
    <s v="Yes"/>
    <s v="01"/>
    <d v="2018-12-07T00:00:00"/>
    <s v="Phase 1"/>
    <s v="Year 1"/>
    <m/>
    <n v="0"/>
    <n v="0"/>
    <n v="0"/>
    <n v="0"/>
    <n v="9.8550000000000004"/>
    <m/>
    <m/>
    <m/>
    <m/>
    <m/>
    <m/>
    <n v="9.8550000000000004"/>
    <m/>
    <n v="0"/>
    <n v="0"/>
    <m/>
    <m/>
    <m/>
    <m/>
    <m/>
    <m/>
    <m/>
    <m/>
    <m/>
    <m/>
    <m/>
    <m/>
    <m/>
    <m/>
    <n v="3.9"/>
    <n v="0"/>
    <n v="0"/>
    <n v="0"/>
    <m/>
    <n v="0"/>
    <n v="0"/>
    <n v="0"/>
    <n v="0"/>
    <n v="0"/>
    <n v="0"/>
    <n v="0"/>
    <n v="0"/>
    <n v="0"/>
    <n v="0"/>
    <n v="0"/>
    <n v="0"/>
    <n v="0"/>
    <n v="0"/>
    <n v="0"/>
    <n v="0"/>
    <n v="0"/>
    <n v="0"/>
    <n v="0"/>
    <n v="0"/>
    <n v="0"/>
    <n v="0"/>
    <n v="0"/>
    <n v="0"/>
    <n v="0"/>
    <n v="0"/>
    <n v="0"/>
    <n v="0"/>
    <n v="0"/>
    <n v="0"/>
    <n v="0"/>
    <n v="0"/>
    <n v="0"/>
    <n v="0"/>
    <n v="0"/>
    <n v="0"/>
    <n v="0"/>
    <n v="0"/>
    <n v="0"/>
    <m/>
    <m/>
    <m/>
    <m/>
    <m/>
    <m/>
    <m/>
    <m/>
    <m/>
    <m/>
    <m/>
    <m/>
    <m/>
    <m/>
    <m/>
    <m/>
    <m/>
    <m/>
    <m/>
    <m/>
    <m/>
    <n v="0"/>
    <n v="0"/>
    <n v="0"/>
    <n v="0"/>
    <n v="0"/>
    <n v="837.67500000000007"/>
    <n v="0"/>
    <n v="0"/>
    <n v="0"/>
    <n v="0"/>
    <n v="0"/>
    <n v="19710"/>
    <n v="0"/>
    <n v="0"/>
    <n v="0"/>
    <n v="0"/>
    <n v="0"/>
    <n v="117"/>
    <n v="0"/>
    <n v="0"/>
    <n v="0"/>
    <n v="0"/>
    <n v="0"/>
    <n v="0"/>
    <n v="0"/>
    <n v="0"/>
    <n v="0"/>
    <n v="0"/>
    <n v="0"/>
    <n v="0"/>
    <n v="0"/>
    <n v="0"/>
    <n v="0"/>
    <n v="0"/>
    <n v="0"/>
    <n v="0"/>
    <n v="0"/>
    <n v="0"/>
    <n v="0"/>
    <n v="0"/>
    <n v="0"/>
    <n v="0"/>
    <n v="0"/>
    <n v="0"/>
    <n v="0"/>
    <n v="0"/>
    <n v="0"/>
    <n v="0"/>
    <n v="0"/>
    <n v="0"/>
    <n v="0"/>
    <n v="0"/>
    <n v="0"/>
    <n v="0"/>
    <n v="0"/>
    <n v="0"/>
    <n v="0"/>
    <n v="0"/>
    <n v="20664.674999999999"/>
    <n v="21904.555499999999"/>
    <s v=" "/>
    <s v=" "/>
    <s v=" "/>
    <s v=" "/>
    <s v=" "/>
    <s v=" "/>
    <s v=" "/>
    <s v=" "/>
    <s v=" "/>
    <s v=" "/>
    <s v=" "/>
    <s v=" "/>
    <s v=" "/>
    <s v=" "/>
    <x v="0"/>
    <x v="0"/>
    <x v="0"/>
    <x v="0"/>
    <x v="0"/>
    <x v="59"/>
    <x v="0"/>
    <x v="0"/>
    <x v="0"/>
    <x v="4"/>
    <x v="1"/>
    <x v="1"/>
    <x v="46"/>
    <x v="0"/>
    <x v="0"/>
    <x v="0"/>
    <x v="0"/>
    <x v="0"/>
    <x v="0"/>
    <x v="0"/>
    <x v="0"/>
    <x v="0"/>
    <x v="0"/>
    <x v="0"/>
    <x v="0"/>
    <x v="0"/>
    <x v="0"/>
    <x v="0"/>
    <x v="34"/>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20"/>
    <s v="Concrete Check Wall"/>
    <s v="Concrete Check Wall"/>
    <s v="KS20_004"/>
    <x v="5"/>
    <n v="29.996781943999999"/>
    <n v="-25.824954443999999"/>
    <s v="29° 59' 48.41&quot;E "/>
    <s v="25° 49' 29.83&quot; S"/>
    <s v="Complete"/>
    <s v="Yes"/>
    <s v="Yes"/>
    <d v="2017-02-06T00:00:00"/>
    <s v="YES"/>
    <m/>
    <s v="NBC-GTW-CL-0030"/>
    <s v="Yes"/>
    <s v="01"/>
    <d v="2018-12-07T00:00:00"/>
    <s v="Phase 1"/>
    <s v="Year 1"/>
    <m/>
    <n v="0"/>
    <n v="0"/>
    <n v="0"/>
    <n v="0"/>
    <n v="9.4049999999999994"/>
    <m/>
    <m/>
    <m/>
    <m/>
    <m/>
    <m/>
    <n v="9.4049999999999994"/>
    <m/>
    <n v="0"/>
    <n v="0"/>
    <m/>
    <m/>
    <m/>
    <m/>
    <m/>
    <m/>
    <m/>
    <m/>
    <m/>
    <m/>
    <m/>
    <m/>
    <m/>
    <m/>
    <n v="4.5"/>
    <n v="0"/>
    <n v="0"/>
    <n v="0"/>
    <m/>
    <n v="0"/>
    <n v="0"/>
    <n v="0"/>
    <n v="0"/>
    <n v="0"/>
    <n v="0"/>
    <n v="0"/>
    <n v="0"/>
    <n v="0"/>
    <n v="0"/>
    <n v="0"/>
    <n v="0"/>
    <n v="0"/>
    <n v="0"/>
    <n v="0"/>
    <n v="0"/>
    <n v="0"/>
    <n v="0"/>
    <n v="0"/>
    <n v="0"/>
    <n v="0"/>
    <n v="0"/>
    <n v="0"/>
    <n v="0"/>
    <n v="0"/>
    <n v="0"/>
    <n v="0"/>
    <n v="0"/>
    <n v="0"/>
    <n v="0"/>
    <n v="0"/>
    <n v="0"/>
    <n v="0"/>
    <n v="0"/>
    <n v="0"/>
    <n v="0"/>
    <n v="0"/>
    <n v="0"/>
    <n v="0"/>
    <m/>
    <m/>
    <m/>
    <m/>
    <m/>
    <m/>
    <m/>
    <m/>
    <m/>
    <m/>
    <m/>
    <m/>
    <m/>
    <m/>
    <m/>
    <m/>
    <m/>
    <m/>
    <m/>
    <m/>
    <m/>
    <n v="0"/>
    <n v="0"/>
    <n v="0"/>
    <n v="0"/>
    <n v="0"/>
    <n v="799.42499999999995"/>
    <n v="0"/>
    <n v="0"/>
    <n v="0"/>
    <n v="0"/>
    <n v="0"/>
    <n v="18810"/>
    <n v="0"/>
    <n v="0"/>
    <n v="0"/>
    <n v="0"/>
    <n v="0"/>
    <n v="135"/>
    <n v="0"/>
    <n v="0"/>
    <n v="0"/>
    <n v="0"/>
    <n v="0"/>
    <n v="0"/>
    <n v="0"/>
    <n v="0"/>
    <n v="0"/>
    <n v="0"/>
    <n v="0"/>
    <n v="0"/>
    <n v="0"/>
    <n v="0"/>
    <n v="0"/>
    <n v="0"/>
    <n v="0"/>
    <n v="0"/>
    <n v="0"/>
    <n v="0"/>
    <n v="0"/>
    <n v="0"/>
    <n v="0"/>
    <n v="0"/>
    <n v="0"/>
    <n v="0"/>
    <n v="0"/>
    <n v="0"/>
    <n v="0"/>
    <n v="0"/>
    <n v="0"/>
    <n v="0"/>
    <n v="0"/>
    <n v="0"/>
    <n v="0"/>
    <n v="0"/>
    <n v="0"/>
    <n v="0"/>
    <n v="0"/>
    <n v="0"/>
    <n v="19744.424999999999"/>
    <n v="20929.090500000002"/>
    <s v=" "/>
    <s v=" "/>
    <s v=" "/>
    <s v=" "/>
    <s v=" "/>
    <s v=" "/>
    <s v=" "/>
    <s v=" "/>
    <s v=" "/>
    <s v=" "/>
    <s v=" "/>
    <s v=" "/>
    <s v=" "/>
    <s v=" "/>
    <x v="0"/>
    <x v="0"/>
    <x v="0"/>
    <x v="0"/>
    <x v="0"/>
    <x v="60"/>
    <x v="0"/>
    <x v="0"/>
    <x v="0"/>
    <x v="4"/>
    <x v="1"/>
    <x v="1"/>
    <x v="47"/>
    <x v="0"/>
    <x v="0"/>
    <x v="0"/>
    <x v="0"/>
    <x v="0"/>
    <x v="0"/>
    <x v="0"/>
    <x v="0"/>
    <x v="0"/>
    <x v="0"/>
    <x v="0"/>
    <x v="0"/>
    <x v="0"/>
    <x v="0"/>
    <x v="0"/>
    <x v="35"/>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20"/>
    <s v="Concrete Check Wall"/>
    <s v="Concrete Check Wall"/>
    <s v="KS20_005"/>
    <x v="5"/>
    <n v="29.996286667"/>
    <n v="-25.824942778"/>
    <s v="29° 59' 46.63&quot;E "/>
    <s v="25° 49' 29.79&quot; S"/>
    <s v="Complete"/>
    <s v="Yes"/>
    <s v="Yes"/>
    <d v="2017-02-06T00:00:00"/>
    <s v="YES"/>
    <m/>
    <s v="NBC-GTW-CL-0031"/>
    <s v="Yes"/>
    <s v="01"/>
    <d v="2018-12-07T00:00:00"/>
    <s v="Phase 1"/>
    <s v="Year 1"/>
    <m/>
    <n v="0"/>
    <n v="0"/>
    <n v="0"/>
    <n v="0"/>
    <n v="10.032"/>
    <m/>
    <m/>
    <m/>
    <m/>
    <m/>
    <m/>
    <n v="10.032"/>
    <m/>
    <n v="0"/>
    <n v="0"/>
    <m/>
    <m/>
    <m/>
    <m/>
    <m/>
    <m/>
    <m/>
    <m/>
    <m/>
    <m/>
    <m/>
    <m/>
    <m/>
    <m/>
    <n v="4.5"/>
    <n v="0"/>
    <n v="0"/>
    <n v="0"/>
    <m/>
    <n v="0"/>
    <n v="0"/>
    <n v="0"/>
    <n v="0"/>
    <n v="0"/>
    <n v="0"/>
    <n v="0"/>
    <n v="0"/>
    <n v="0"/>
    <n v="0"/>
    <n v="0"/>
    <n v="0"/>
    <n v="0"/>
    <n v="0"/>
    <n v="0"/>
    <n v="0"/>
    <n v="0"/>
    <n v="0"/>
    <n v="0"/>
    <n v="0"/>
    <n v="0"/>
    <n v="0"/>
    <n v="0"/>
    <n v="0"/>
    <n v="0"/>
    <n v="0"/>
    <n v="0"/>
    <n v="0"/>
    <n v="0"/>
    <n v="0"/>
    <n v="0"/>
    <n v="0"/>
    <n v="0"/>
    <n v="0"/>
    <n v="0"/>
    <n v="0"/>
    <n v="0"/>
    <n v="0"/>
    <n v="0"/>
    <m/>
    <m/>
    <m/>
    <m/>
    <m/>
    <m/>
    <m/>
    <m/>
    <m/>
    <m/>
    <m/>
    <m/>
    <m/>
    <m/>
    <m/>
    <m/>
    <m/>
    <m/>
    <m/>
    <m/>
    <m/>
    <n v="0"/>
    <n v="0"/>
    <n v="0"/>
    <n v="0"/>
    <n v="0"/>
    <n v="852.72"/>
    <n v="0"/>
    <n v="0"/>
    <n v="0"/>
    <n v="0"/>
    <n v="0"/>
    <n v="20064"/>
    <n v="0"/>
    <n v="0"/>
    <n v="0"/>
    <n v="0"/>
    <n v="0"/>
    <n v="135"/>
    <n v="0"/>
    <n v="0"/>
    <n v="0"/>
    <n v="0"/>
    <n v="0"/>
    <n v="0"/>
    <n v="0"/>
    <n v="0"/>
    <n v="0"/>
    <n v="0"/>
    <n v="0"/>
    <n v="0"/>
    <n v="0"/>
    <n v="0"/>
    <n v="0"/>
    <n v="0"/>
    <n v="0"/>
    <n v="0"/>
    <n v="0"/>
    <n v="0"/>
    <n v="0"/>
    <n v="0"/>
    <n v="0"/>
    <n v="0"/>
    <n v="0"/>
    <n v="0"/>
    <n v="0"/>
    <n v="0"/>
    <n v="0"/>
    <n v="0"/>
    <n v="0"/>
    <n v="0"/>
    <n v="0"/>
    <n v="0"/>
    <n v="0"/>
    <n v="0"/>
    <n v="0"/>
    <n v="0"/>
    <n v="0"/>
    <n v="0"/>
    <n v="21051.72"/>
    <n v="22314.823200000003"/>
    <s v=" "/>
    <s v=" "/>
    <s v=" "/>
    <s v=" "/>
    <s v=" "/>
    <s v=" "/>
    <s v=" "/>
    <s v=" "/>
    <s v=" "/>
    <s v=" "/>
    <s v=" "/>
    <s v=" "/>
    <s v=" "/>
    <s v=" "/>
    <x v="0"/>
    <x v="0"/>
    <x v="0"/>
    <x v="0"/>
    <x v="0"/>
    <x v="61"/>
    <x v="0"/>
    <x v="0"/>
    <x v="0"/>
    <x v="4"/>
    <x v="1"/>
    <x v="1"/>
    <x v="48"/>
    <x v="0"/>
    <x v="0"/>
    <x v="0"/>
    <x v="0"/>
    <x v="0"/>
    <x v="0"/>
    <x v="0"/>
    <x v="0"/>
    <x v="0"/>
    <x v="0"/>
    <x v="0"/>
    <x v="0"/>
    <x v="0"/>
    <x v="0"/>
    <x v="0"/>
    <x v="36"/>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20"/>
    <s v="Concrete Check Wall"/>
    <s v="Concrete Check Wall"/>
    <s v="KS20_006"/>
    <x v="5"/>
    <n v="29.995710833"/>
    <n v="-25.824953055999998"/>
    <s v="29° 59' 44.55&quot;E "/>
    <s v="25° 49' 29.83&quot; S"/>
    <s v="Complete"/>
    <s v="Yes"/>
    <s v="Yes"/>
    <d v="2017-02-06T00:00:00"/>
    <s v="YES"/>
    <m/>
    <s v="NBC-GTW-CL-0032"/>
    <s v="Yes"/>
    <s v="01"/>
    <d v="2018-12-07T00:00:00"/>
    <s v="Phase 1"/>
    <s v="Year 1"/>
    <m/>
    <n v="0"/>
    <n v="0"/>
    <n v="0"/>
    <n v="0"/>
    <n v="10.035"/>
    <m/>
    <m/>
    <m/>
    <m/>
    <m/>
    <m/>
    <n v="10.035"/>
    <m/>
    <m/>
    <m/>
    <m/>
    <m/>
    <m/>
    <m/>
    <m/>
    <m/>
    <m/>
    <m/>
    <m/>
    <m/>
    <m/>
    <m/>
    <m/>
    <m/>
    <n v="4.8"/>
    <n v="0"/>
    <m/>
    <n v="0"/>
    <m/>
    <n v="0"/>
    <n v="0"/>
    <n v="0"/>
    <n v="0"/>
    <n v="0"/>
    <n v="0"/>
    <n v="0"/>
    <n v="0"/>
    <n v="0"/>
    <n v="0"/>
    <n v="0"/>
    <n v="0"/>
    <n v="0"/>
    <n v="0"/>
    <n v="0"/>
    <n v="0"/>
    <n v="0"/>
    <n v="0"/>
    <n v="0"/>
    <n v="0"/>
    <n v="0"/>
    <n v="0"/>
    <n v="0"/>
    <n v="0"/>
    <n v="0"/>
    <n v="0"/>
    <n v="0"/>
    <n v="0"/>
    <n v="0"/>
    <n v="0"/>
    <n v="0"/>
    <n v="0"/>
    <n v="0"/>
    <n v="0"/>
    <n v="0"/>
    <n v="0"/>
    <n v="0"/>
    <n v="0"/>
    <n v="0"/>
    <m/>
    <m/>
    <m/>
    <m/>
    <m/>
    <m/>
    <m/>
    <m/>
    <m/>
    <m/>
    <m/>
    <m/>
    <m/>
    <m/>
    <m/>
    <m/>
    <m/>
    <m/>
    <m/>
    <m/>
    <m/>
    <n v="0"/>
    <n v="0"/>
    <n v="0"/>
    <n v="0"/>
    <n v="0"/>
    <n v="852.97500000000002"/>
    <n v="0"/>
    <n v="0"/>
    <n v="0"/>
    <n v="0"/>
    <n v="0"/>
    <n v="20070"/>
    <n v="0"/>
    <n v="0"/>
    <n v="0"/>
    <n v="0"/>
    <n v="0"/>
    <n v="144"/>
    <n v="0"/>
    <n v="0"/>
    <n v="0"/>
    <n v="0"/>
    <n v="0"/>
    <n v="0"/>
    <n v="0"/>
    <n v="0"/>
    <n v="0"/>
    <n v="0"/>
    <n v="0"/>
    <n v="0"/>
    <n v="0"/>
    <n v="0"/>
    <n v="0"/>
    <n v="0"/>
    <n v="0"/>
    <n v="0"/>
    <n v="0"/>
    <n v="0"/>
    <n v="0"/>
    <n v="0"/>
    <n v="0"/>
    <n v="0"/>
    <n v="0"/>
    <n v="0"/>
    <n v="0"/>
    <n v="0"/>
    <n v="0"/>
    <n v="0"/>
    <n v="0"/>
    <n v="0"/>
    <n v="0"/>
    <n v="0"/>
    <n v="0"/>
    <n v="0"/>
    <n v="0"/>
    <n v="0"/>
    <n v="0"/>
    <n v="0"/>
    <n v="21066.974999999999"/>
    <n v="22330.9935"/>
    <s v=" "/>
    <s v=" "/>
    <s v=" "/>
    <s v=" "/>
    <s v=" "/>
    <s v=" "/>
    <s v=" "/>
    <s v=" "/>
    <s v=" "/>
    <s v=" "/>
    <s v=" "/>
    <s v=" "/>
    <s v=" "/>
    <s v=" "/>
    <x v="0"/>
    <x v="0"/>
    <x v="0"/>
    <x v="0"/>
    <x v="0"/>
    <x v="62"/>
    <x v="0"/>
    <x v="0"/>
    <x v="0"/>
    <x v="4"/>
    <x v="1"/>
    <x v="1"/>
    <x v="49"/>
    <x v="0"/>
    <x v="0"/>
    <x v="0"/>
    <x v="0"/>
    <x v="0"/>
    <x v="0"/>
    <x v="0"/>
    <x v="0"/>
    <x v="0"/>
    <x v="0"/>
    <x v="0"/>
    <x v="0"/>
    <x v="0"/>
    <x v="0"/>
    <x v="0"/>
    <x v="37"/>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20"/>
    <s v="Concrete Check Wall"/>
    <s v="Concrete Check Wall"/>
    <s v="KS20_007"/>
    <x v="5"/>
    <n v="29.995286389"/>
    <n v="-25.824939167"/>
    <s v="29° 59' 43.03&quot;E "/>
    <s v="25° 49' 29.78&quot; S"/>
    <s v="Complete"/>
    <s v="Yes"/>
    <s v="Yes"/>
    <d v="2017-02-06T00:00:00"/>
    <s v="YES"/>
    <m/>
    <s v="NBC-GTW-CL-0033"/>
    <s v="Yes"/>
    <s v="01"/>
    <d v="2018-12-07T00:00:00"/>
    <s v="Phase 1"/>
    <s v="Year 1"/>
    <m/>
    <n v="0"/>
    <n v="0"/>
    <n v="0"/>
    <n v="0"/>
    <n v="8.2890000000000015"/>
    <m/>
    <m/>
    <m/>
    <m/>
    <m/>
    <m/>
    <n v="8.2890000000000015"/>
    <m/>
    <n v="0"/>
    <n v="0"/>
    <m/>
    <m/>
    <m/>
    <m/>
    <m/>
    <m/>
    <m/>
    <m/>
    <m/>
    <m/>
    <m/>
    <m/>
    <m/>
    <m/>
    <n v="4.5"/>
    <n v="0"/>
    <n v="0"/>
    <n v="0"/>
    <m/>
    <n v="0"/>
    <n v="0"/>
    <n v="0"/>
    <n v="0"/>
    <n v="0"/>
    <n v="0"/>
    <n v="0"/>
    <n v="0"/>
    <n v="0"/>
    <n v="0"/>
    <n v="0"/>
    <n v="0"/>
    <n v="0"/>
    <n v="0"/>
    <n v="0"/>
    <n v="0"/>
    <n v="0"/>
    <n v="0"/>
    <n v="0"/>
    <n v="0"/>
    <n v="0"/>
    <n v="0"/>
    <n v="0"/>
    <n v="0"/>
    <n v="0"/>
    <n v="0"/>
    <n v="0"/>
    <n v="0"/>
    <n v="0"/>
    <n v="0"/>
    <n v="0"/>
    <n v="0"/>
    <n v="0"/>
    <n v="0"/>
    <n v="0"/>
    <n v="0"/>
    <n v="0"/>
    <n v="0"/>
    <n v="0"/>
    <m/>
    <m/>
    <m/>
    <m/>
    <m/>
    <m/>
    <m/>
    <m/>
    <m/>
    <m/>
    <m/>
    <m/>
    <m/>
    <m/>
    <m/>
    <m/>
    <m/>
    <m/>
    <m/>
    <m/>
    <m/>
    <n v="0"/>
    <n v="0"/>
    <n v="0"/>
    <n v="0"/>
    <n v="0"/>
    <n v="704.56500000000017"/>
    <n v="0"/>
    <n v="0"/>
    <n v="0"/>
    <n v="0"/>
    <n v="0"/>
    <n v="16578.000000000004"/>
    <n v="0"/>
    <n v="0"/>
    <n v="0"/>
    <n v="0"/>
    <n v="0"/>
    <n v="135"/>
    <n v="0"/>
    <n v="0"/>
    <n v="0"/>
    <n v="0"/>
    <n v="0"/>
    <n v="0"/>
    <n v="0"/>
    <n v="0"/>
    <n v="0"/>
    <n v="0"/>
    <n v="0"/>
    <n v="0"/>
    <n v="0"/>
    <n v="0"/>
    <n v="0"/>
    <n v="0"/>
    <n v="0"/>
    <n v="0"/>
    <n v="0"/>
    <n v="0"/>
    <n v="0"/>
    <n v="0"/>
    <n v="0"/>
    <n v="0"/>
    <n v="0"/>
    <n v="0"/>
    <n v="0"/>
    <n v="0"/>
    <n v="0"/>
    <n v="0"/>
    <n v="0"/>
    <n v="0"/>
    <n v="0"/>
    <n v="0"/>
    <n v="0"/>
    <n v="0"/>
    <n v="0"/>
    <n v="0"/>
    <n v="0"/>
    <n v="0"/>
    <n v="17417.565000000002"/>
    <n v="18462.618900000005"/>
    <s v=" "/>
    <s v=" "/>
    <s v=" "/>
    <s v=" "/>
    <s v=" "/>
    <s v=" "/>
    <s v=" "/>
    <s v=" "/>
    <s v=" "/>
    <s v=" "/>
    <s v=" "/>
    <s v=" "/>
    <s v=" "/>
    <s v=" "/>
    <x v="0"/>
    <x v="0"/>
    <x v="0"/>
    <x v="0"/>
    <x v="0"/>
    <x v="63"/>
    <x v="0"/>
    <x v="0"/>
    <x v="0"/>
    <x v="4"/>
    <x v="1"/>
    <x v="1"/>
    <x v="50"/>
    <x v="0"/>
    <x v="0"/>
    <x v="0"/>
    <x v="0"/>
    <x v="0"/>
    <x v="0"/>
    <x v="0"/>
    <x v="0"/>
    <x v="0"/>
    <x v="0"/>
    <x v="0"/>
    <x v="0"/>
    <x v="0"/>
    <x v="0"/>
    <x v="0"/>
    <x v="38"/>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20"/>
    <s v="Concrete Check Wall"/>
    <s v="Concrete Check Wall"/>
    <s v="KS20_008"/>
    <x v="5"/>
    <n v="29.994923332999999"/>
    <n v="-25.825090555999999"/>
    <s v="29° 59' 41.72&quot;E "/>
    <s v="25° 49' 30.32&quot; S"/>
    <s v="Complete"/>
    <s v="Yes"/>
    <s v="Yes"/>
    <d v="2017-02-06T00:00:00"/>
    <s v="YES"/>
    <m/>
    <s v="NBC-GTW-CL-0034"/>
    <s v="Yes"/>
    <s v="01"/>
    <d v="2018-12-07T00:00:00"/>
    <s v="Phase 1"/>
    <s v="Year 1"/>
    <m/>
    <n v="0"/>
    <n v="0"/>
    <n v="0"/>
    <n v="0"/>
    <n v="10.799999999999999"/>
    <m/>
    <m/>
    <m/>
    <m/>
    <m/>
    <m/>
    <n v="10.799999999999999"/>
    <m/>
    <n v="0"/>
    <n v="0"/>
    <m/>
    <m/>
    <m/>
    <m/>
    <m/>
    <m/>
    <m/>
    <m/>
    <m/>
    <m/>
    <m/>
    <m/>
    <m/>
    <m/>
    <n v="4.3499999999999996"/>
    <n v="0"/>
    <n v="0"/>
    <n v="0"/>
    <m/>
    <n v="0"/>
    <n v="0"/>
    <n v="0"/>
    <n v="0"/>
    <n v="0"/>
    <n v="0"/>
    <n v="0"/>
    <n v="0"/>
    <n v="0"/>
    <n v="0"/>
    <n v="0"/>
    <n v="0"/>
    <n v="0"/>
    <n v="0"/>
    <n v="0"/>
    <n v="0"/>
    <n v="0"/>
    <n v="0"/>
    <n v="0"/>
    <n v="0"/>
    <n v="0"/>
    <n v="0"/>
    <n v="0"/>
    <n v="0"/>
    <n v="0"/>
    <n v="0"/>
    <n v="0"/>
    <n v="0"/>
    <n v="0"/>
    <n v="0"/>
    <n v="0"/>
    <n v="0"/>
    <n v="0"/>
    <n v="0"/>
    <n v="0"/>
    <n v="0"/>
    <n v="0"/>
    <n v="0"/>
    <n v="0"/>
    <m/>
    <m/>
    <m/>
    <m/>
    <m/>
    <m/>
    <m/>
    <m/>
    <m/>
    <m/>
    <m/>
    <m/>
    <m/>
    <m/>
    <m/>
    <m/>
    <m/>
    <m/>
    <m/>
    <m/>
    <m/>
    <n v="0"/>
    <n v="0"/>
    <n v="0"/>
    <n v="0"/>
    <n v="0"/>
    <n v="917.99999999999989"/>
    <n v="0"/>
    <n v="0"/>
    <n v="0"/>
    <n v="0"/>
    <n v="0"/>
    <n v="21599.999999999996"/>
    <n v="0"/>
    <n v="0"/>
    <n v="0"/>
    <n v="0"/>
    <n v="0"/>
    <n v="130.5"/>
    <n v="0"/>
    <n v="0"/>
    <n v="0"/>
    <n v="0"/>
    <n v="0"/>
    <n v="0"/>
    <n v="0"/>
    <n v="0"/>
    <n v="0"/>
    <n v="0"/>
    <n v="0"/>
    <n v="0"/>
    <n v="0"/>
    <n v="0"/>
    <n v="0"/>
    <n v="0"/>
    <n v="0"/>
    <n v="0"/>
    <n v="0"/>
    <n v="0"/>
    <n v="0"/>
    <n v="0"/>
    <n v="0"/>
    <n v="0"/>
    <n v="0"/>
    <n v="0"/>
    <n v="0"/>
    <n v="0"/>
    <n v="0"/>
    <n v="0"/>
    <n v="0"/>
    <n v="0"/>
    <n v="0"/>
    <n v="0"/>
    <n v="0"/>
    <n v="0"/>
    <n v="0"/>
    <n v="0"/>
    <n v="0"/>
    <n v="0"/>
    <n v="22648.499999999996"/>
    <n v="24007.409999999996"/>
    <s v=" "/>
    <s v=" "/>
    <s v=" "/>
    <s v=" "/>
    <s v=" "/>
    <s v=" "/>
    <s v=" "/>
    <s v=" "/>
    <s v=" "/>
    <s v=" "/>
    <s v=" "/>
    <s v=" "/>
    <s v=" "/>
    <s v=" "/>
    <x v="0"/>
    <x v="0"/>
    <x v="0"/>
    <x v="0"/>
    <x v="0"/>
    <x v="64"/>
    <x v="0"/>
    <x v="0"/>
    <x v="0"/>
    <x v="4"/>
    <x v="1"/>
    <x v="1"/>
    <x v="51"/>
    <x v="0"/>
    <x v="0"/>
    <x v="0"/>
    <x v="0"/>
    <x v="0"/>
    <x v="0"/>
    <x v="0"/>
    <x v="0"/>
    <x v="0"/>
    <x v="0"/>
    <x v="0"/>
    <x v="0"/>
    <x v="0"/>
    <x v="0"/>
    <x v="0"/>
    <x v="39"/>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20"/>
    <s v="Concrete Check Wall"/>
    <s v="Concrete"/>
    <s v="KS20_009_a"/>
    <x v="5"/>
    <n v="29.994457499999999"/>
    <n v="-25.825408888999998"/>
    <s v="29° 59' 40.04&quot;E "/>
    <s v="25° 49' 31.47&quot; S"/>
    <s v="Complete"/>
    <s v="Yes"/>
    <s v="Yes"/>
    <d v="2017-02-06T00:00:00"/>
    <s v="YES"/>
    <m/>
    <s v="NBC-GTW-CL-0035"/>
    <s v="Yes"/>
    <s v="00"/>
    <d v="2018-06-16T00:00:00"/>
    <s v="Phase 1"/>
    <s v="Year 1"/>
    <m/>
    <m/>
    <m/>
    <m/>
    <m/>
    <n v="27"/>
    <m/>
    <m/>
    <m/>
    <m/>
    <m/>
    <m/>
    <n v="29.408000000000001"/>
    <m/>
    <m/>
    <m/>
    <m/>
    <m/>
    <m/>
    <m/>
    <m/>
    <m/>
    <m/>
    <n v="11"/>
    <m/>
    <m/>
    <m/>
    <m/>
    <m/>
    <m/>
    <n v="15"/>
    <m/>
    <m/>
    <m/>
    <m/>
    <m/>
    <m/>
    <m/>
    <m/>
    <m/>
    <m/>
    <m/>
    <m/>
    <m/>
    <m/>
    <m/>
    <m/>
    <m/>
    <m/>
    <m/>
    <m/>
    <m/>
    <m/>
    <m/>
    <m/>
    <m/>
    <m/>
    <m/>
    <m/>
    <m/>
    <m/>
    <m/>
    <m/>
    <m/>
    <m/>
    <m/>
    <m/>
    <m/>
    <m/>
    <m/>
    <m/>
    <m/>
    <m/>
    <m/>
    <m/>
    <m/>
    <m/>
    <m/>
    <m/>
    <m/>
    <m/>
    <m/>
    <m/>
    <m/>
    <m/>
    <m/>
    <m/>
    <m/>
    <m/>
    <m/>
    <m/>
    <m/>
    <m/>
    <m/>
    <m/>
    <n v="0"/>
    <n v="0"/>
    <n v="0"/>
    <n v="0"/>
    <n v="0"/>
    <n v="2295"/>
    <n v="0"/>
    <n v="0"/>
    <n v="0"/>
    <n v="0"/>
    <n v="0"/>
    <n v="58816"/>
    <n v="0"/>
    <n v="0"/>
    <n v="0"/>
    <n v="0"/>
    <n v="7150"/>
    <n v="450"/>
    <n v="0"/>
    <n v="0"/>
    <n v="0"/>
    <n v="0"/>
    <n v="0"/>
    <n v="0"/>
    <n v="0"/>
    <n v="0"/>
    <n v="0"/>
    <n v="0"/>
    <n v="0"/>
    <n v="0"/>
    <n v="0"/>
    <n v="0"/>
    <n v="0"/>
    <n v="0"/>
    <n v="0"/>
    <n v="0"/>
    <n v="0"/>
    <n v="0"/>
    <n v="0"/>
    <n v="0"/>
    <n v="0"/>
    <n v="0"/>
    <n v="0"/>
    <n v="0"/>
    <n v="0"/>
    <n v="0"/>
    <n v="0"/>
    <n v="0"/>
    <n v="0"/>
    <n v="0"/>
    <n v="0"/>
    <n v="0"/>
    <n v="0"/>
    <n v="0"/>
    <n v="0"/>
    <n v="0"/>
    <n v="0"/>
    <n v="0"/>
    <n v="68711"/>
    <n v="72833.66"/>
    <s v=" "/>
    <s v=" "/>
    <s v=" "/>
    <s v=" "/>
    <s v=" "/>
    <s v=" "/>
    <s v=" "/>
    <s v=" "/>
    <s v=" "/>
    <s v=" "/>
    <s v=" "/>
    <s v=" "/>
    <s v=" "/>
    <s v=" "/>
    <x v="0"/>
    <x v="0"/>
    <x v="0"/>
    <x v="0"/>
    <x v="0"/>
    <x v="65"/>
    <x v="0"/>
    <x v="0"/>
    <x v="0"/>
    <x v="4"/>
    <x v="1"/>
    <x v="1"/>
    <x v="52"/>
    <x v="0"/>
    <x v="0"/>
    <x v="0"/>
    <x v="0"/>
    <x v="0"/>
    <x v="0"/>
    <x v="0"/>
    <x v="0"/>
    <x v="16"/>
    <x v="0"/>
    <x v="0"/>
    <x v="0"/>
    <x v="0"/>
    <x v="0"/>
    <x v="0"/>
    <x v="4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20"/>
    <s v="Concrete Check Wall"/>
    <s v="Concrete"/>
    <s v="KS20_009_b"/>
    <x v="5"/>
    <n v="29.994457499999999"/>
    <n v="-25.825408888999998"/>
    <s v="29° 59' 40.04&quot;E "/>
    <s v="25° 49' 31.47&quot; S"/>
    <s v="Complete"/>
    <s v="Yes"/>
    <s v="Yes"/>
    <d v="2017-02-06T00:00:00"/>
    <s v="YES"/>
    <m/>
    <s v="NBC-GTW-CL-0035"/>
    <s v="Yes"/>
    <s v="00"/>
    <d v="2018-06-16T00:00:00"/>
    <s v="Phase 1"/>
    <s v="Year 1"/>
    <n v="60"/>
    <m/>
    <m/>
    <m/>
    <m/>
    <n v="16"/>
    <m/>
    <m/>
    <n v="60"/>
    <n v="60"/>
    <m/>
    <m/>
    <n v="4.0319999999999991"/>
    <m/>
    <m/>
    <m/>
    <m/>
    <m/>
    <m/>
    <m/>
    <m/>
    <m/>
    <m/>
    <m/>
    <m/>
    <m/>
    <m/>
    <m/>
    <m/>
    <m/>
    <n v="2"/>
    <m/>
    <m/>
    <m/>
    <m/>
    <m/>
    <m/>
    <m/>
    <m/>
    <m/>
    <m/>
    <m/>
    <m/>
    <m/>
    <m/>
    <m/>
    <m/>
    <m/>
    <m/>
    <m/>
    <m/>
    <m/>
    <m/>
    <m/>
    <m/>
    <m/>
    <m/>
    <m/>
    <m/>
    <m/>
    <m/>
    <m/>
    <m/>
    <m/>
    <m/>
    <m/>
    <m/>
    <m/>
    <m/>
    <m/>
    <m/>
    <m/>
    <m/>
    <m/>
    <m/>
    <m/>
    <m/>
    <m/>
    <m/>
    <m/>
    <m/>
    <m/>
    <m/>
    <m/>
    <m/>
    <m/>
    <m/>
    <m/>
    <m/>
    <m/>
    <m/>
    <m/>
    <m/>
    <m/>
    <m/>
    <n v="300"/>
    <n v="0"/>
    <n v="0"/>
    <n v="0"/>
    <n v="0"/>
    <n v="1360"/>
    <n v="0"/>
    <n v="0"/>
    <n v="300"/>
    <n v="600"/>
    <n v="0"/>
    <n v="8063.9999999999982"/>
    <n v="0"/>
    <n v="0"/>
    <n v="0"/>
    <n v="0"/>
    <n v="0"/>
    <n v="60"/>
    <n v="0"/>
    <n v="0"/>
    <n v="0"/>
    <n v="0"/>
    <n v="0"/>
    <n v="0"/>
    <n v="0"/>
    <n v="0"/>
    <n v="0"/>
    <n v="0"/>
    <n v="0"/>
    <n v="0"/>
    <n v="0"/>
    <n v="0"/>
    <n v="0"/>
    <n v="0"/>
    <n v="0"/>
    <n v="0"/>
    <n v="0"/>
    <n v="0"/>
    <n v="0"/>
    <n v="0"/>
    <n v="0"/>
    <n v="0"/>
    <n v="0"/>
    <n v="0"/>
    <n v="0"/>
    <n v="0"/>
    <n v="0"/>
    <n v="0"/>
    <n v="0"/>
    <n v="0"/>
    <n v="0"/>
    <n v="0"/>
    <n v="0"/>
    <n v="0"/>
    <n v="0"/>
    <n v="0"/>
    <n v="0"/>
    <n v="0"/>
    <n v="10683.999999999998"/>
    <n v="11325.039999999999"/>
    <s v=" "/>
    <s v=" "/>
    <s v=" "/>
    <s v=" "/>
    <s v=" "/>
    <s v=" "/>
    <s v=" "/>
    <s v=" "/>
    <s v=" "/>
    <s v=" "/>
    <s v=" "/>
    <s v=" "/>
    <s v=" "/>
    <s v=" "/>
    <x v="34"/>
    <x v="0"/>
    <x v="0"/>
    <x v="0"/>
    <x v="0"/>
    <x v="66"/>
    <x v="0"/>
    <x v="0"/>
    <x v="35"/>
    <x v="36"/>
    <x v="1"/>
    <x v="1"/>
    <x v="53"/>
    <x v="0"/>
    <x v="0"/>
    <x v="0"/>
    <x v="0"/>
    <x v="0"/>
    <x v="0"/>
    <x v="0"/>
    <x v="0"/>
    <x v="0"/>
    <x v="0"/>
    <x v="0"/>
    <x v="0"/>
    <x v="0"/>
    <x v="0"/>
    <x v="0"/>
    <x v="4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20"/>
    <s v="Removal of Earthen Berm"/>
    <s v="Earthworks"/>
    <s v="KS20_009_c"/>
    <x v="5"/>
    <n v="29.994295832999999"/>
    <n v="-25.825085556000001"/>
    <s v="29° 59' 39.46&quot;E "/>
    <s v="25° 49' 30.30&quot; S"/>
    <s v="Complete"/>
    <s v="Yes"/>
    <s v="Yes"/>
    <d v="2017-02-06T00:00:00"/>
    <s v="YES"/>
    <m/>
    <s v="NBC-GTW-CL-0035"/>
    <s v="Yes"/>
    <s v="00"/>
    <d v="2018-06-16T00:00:00"/>
    <s v="Phase 1"/>
    <s v="Year 1"/>
    <n v="69"/>
    <n v="0"/>
    <n v="0"/>
    <n v="0"/>
    <n v="0"/>
    <n v="0"/>
    <n v="0"/>
    <n v="0"/>
    <n v="69"/>
    <n v="69"/>
    <n v="0"/>
    <n v="0"/>
    <n v="0"/>
    <n v="0"/>
    <n v="0"/>
    <n v="0"/>
    <n v="0"/>
    <n v="0"/>
    <n v="0"/>
    <n v="0"/>
    <n v="0"/>
    <n v="0"/>
    <n v="0"/>
    <n v="0"/>
    <n v="0"/>
    <m/>
    <n v="0"/>
    <m/>
    <n v="0"/>
    <n v="0"/>
    <n v="0"/>
    <n v="0"/>
    <n v="0"/>
    <n v="0"/>
    <n v="0"/>
    <n v="0"/>
    <n v="0"/>
    <n v="0"/>
    <n v="0"/>
    <n v="0"/>
    <n v="0"/>
    <n v="0"/>
    <n v="0"/>
    <n v="0"/>
    <n v="0"/>
    <n v="0"/>
    <n v="0"/>
    <n v="0"/>
    <n v="0"/>
    <n v="0"/>
    <n v="0"/>
    <n v="0"/>
    <n v="0"/>
    <n v="0"/>
    <n v="0"/>
    <n v="0"/>
    <n v="0"/>
    <n v="0"/>
    <n v="0"/>
    <n v="0"/>
    <n v="0"/>
    <n v="0"/>
    <n v="0"/>
    <n v="0"/>
    <n v="0"/>
    <n v="0"/>
    <n v="0"/>
    <n v="0"/>
    <n v="0"/>
    <n v="0"/>
    <n v="0"/>
    <n v="0"/>
    <n v="0"/>
    <n v="0"/>
    <m/>
    <m/>
    <m/>
    <m/>
    <m/>
    <m/>
    <m/>
    <m/>
    <m/>
    <m/>
    <m/>
    <m/>
    <m/>
    <m/>
    <m/>
    <m/>
    <m/>
    <m/>
    <m/>
    <m/>
    <m/>
    <n v="345"/>
    <n v="0"/>
    <n v="0"/>
    <n v="0"/>
    <n v="0"/>
    <n v="0"/>
    <n v="0"/>
    <n v="0"/>
    <n v="345"/>
    <n v="690"/>
    <n v="0"/>
    <n v="0"/>
    <n v="0"/>
    <n v="0"/>
    <n v="0"/>
    <n v="0"/>
    <n v="0"/>
    <n v="0"/>
    <n v="0"/>
    <n v="0"/>
    <n v="0"/>
    <n v="0"/>
    <n v="0"/>
    <n v="0"/>
    <n v="0"/>
    <n v="0"/>
    <n v="0"/>
    <n v="0"/>
    <n v="0"/>
    <n v="0"/>
    <n v="0"/>
    <n v="0"/>
    <n v="0"/>
    <n v="0"/>
    <n v="0"/>
    <n v="0"/>
    <n v="0"/>
    <n v="0"/>
    <n v="0"/>
    <n v="0"/>
    <n v="0"/>
    <n v="0"/>
    <n v="0"/>
    <n v="0"/>
    <n v="0"/>
    <n v="0"/>
    <n v="0"/>
    <n v="0"/>
    <n v="0"/>
    <n v="0"/>
    <n v="0"/>
    <n v="0"/>
    <n v="0"/>
    <n v="0"/>
    <n v="0"/>
    <n v="0"/>
    <n v="0"/>
    <n v="0"/>
    <n v="1380"/>
    <n v="1462.8000000000002"/>
    <s v=" "/>
    <s v=" "/>
    <s v=" "/>
    <s v=" "/>
    <s v=" "/>
    <s v=" "/>
    <s v=" "/>
    <s v=" "/>
    <s v=" "/>
    <s v=" "/>
    <s v=" "/>
    <s v=" "/>
    <s v=" "/>
    <s v=" "/>
    <x v="35"/>
    <x v="0"/>
    <x v="0"/>
    <x v="0"/>
    <x v="0"/>
    <x v="1"/>
    <x v="0"/>
    <x v="0"/>
    <x v="36"/>
    <x v="37"/>
    <x v="1"/>
    <x v="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20"/>
    <s v="Ecologs"/>
    <s v="Ecologs"/>
    <s v="KS20_010"/>
    <x v="5"/>
    <n v="29.994059167"/>
    <n v="-25.825518611"/>
    <s v="29° 59' 38.61&quot;E "/>
    <s v="25° 49' 31.86&quot; S"/>
    <s v="Complete"/>
    <s v="Yes"/>
    <s v="Yes"/>
    <d v="2017-04-28T00:00:00"/>
    <s v="YES "/>
    <m/>
    <s v="NBC-GTW-CL-0057"/>
    <s v="Yes"/>
    <s v="00"/>
    <d v="2018-06-16T00:00:00"/>
    <s v="Phase 1"/>
    <s v="Year 1"/>
    <n v="0"/>
    <n v="0"/>
    <n v="0"/>
    <n v="0"/>
    <n v="0"/>
    <n v="3.5999999999999996"/>
    <n v="0"/>
    <m/>
    <n v="0"/>
    <n v="0"/>
    <n v="0"/>
    <n v="3.5999999999999996"/>
    <n v="0"/>
    <n v="0"/>
    <n v="0"/>
    <n v="0"/>
    <n v="0"/>
    <n v="0"/>
    <n v="0"/>
    <n v="0"/>
    <n v="0"/>
    <n v="0"/>
    <n v="0"/>
    <n v="0"/>
    <n v="0"/>
    <m/>
    <n v="0"/>
    <m/>
    <n v="0"/>
    <n v="0"/>
    <n v="0"/>
    <n v="0"/>
    <n v="0"/>
    <n v="0"/>
    <n v="0"/>
    <n v="0"/>
    <n v="0"/>
    <n v="0"/>
    <n v="0"/>
    <n v="0"/>
    <n v="0"/>
    <n v="0"/>
    <n v="0"/>
    <n v="0"/>
    <n v="0"/>
    <n v="0"/>
    <n v="0"/>
    <n v="0"/>
    <n v="0"/>
    <n v="0"/>
    <n v="0"/>
    <n v="0"/>
    <n v="0"/>
    <n v="0"/>
    <n v="0"/>
    <n v="0"/>
    <n v="0"/>
    <n v="0"/>
    <n v="0"/>
    <n v="0"/>
    <n v="0"/>
    <n v="0"/>
    <n v="20"/>
    <n v="0"/>
    <n v="0"/>
    <n v="0"/>
    <n v="0"/>
    <n v="0"/>
    <n v="0"/>
    <n v="0"/>
    <n v="0"/>
    <n v="0"/>
    <n v="0"/>
    <n v="0"/>
    <n v="0"/>
    <n v="0"/>
    <n v="0"/>
    <n v="0"/>
    <n v="0"/>
    <n v="0"/>
    <n v="0"/>
    <n v="0"/>
    <n v="0"/>
    <n v="0"/>
    <n v="0"/>
    <n v="0"/>
    <m/>
    <m/>
    <m/>
    <m/>
    <m/>
    <m/>
    <m/>
    <m/>
    <m/>
    <n v="0"/>
    <n v="0"/>
    <n v="0"/>
    <n v="0"/>
    <n v="0"/>
    <n v="305.99999999999994"/>
    <n v="0"/>
    <n v="0"/>
    <n v="0"/>
    <n v="0"/>
    <n v="21.599999999999998"/>
    <n v="0"/>
    <n v="0"/>
    <n v="0"/>
    <n v="0"/>
    <n v="0"/>
    <n v="0"/>
    <n v="0"/>
    <n v="0"/>
    <n v="0"/>
    <n v="0"/>
    <n v="0"/>
    <n v="0"/>
    <n v="0"/>
    <n v="0"/>
    <n v="0"/>
    <n v="18000"/>
    <n v="0"/>
    <n v="0"/>
    <n v="0"/>
    <n v="0"/>
    <n v="0"/>
    <n v="0"/>
    <n v="0"/>
    <n v="0"/>
    <n v="0"/>
    <n v="0"/>
    <n v="0"/>
    <n v="0"/>
    <n v="0"/>
    <n v="0"/>
    <n v="0"/>
    <n v="0"/>
    <n v="0"/>
    <n v="0"/>
    <n v="0"/>
    <n v="0"/>
    <n v="0"/>
    <n v="0"/>
    <n v="0"/>
    <n v="0"/>
    <n v="0"/>
    <n v="0"/>
    <n v="0"/>
    <n v="0"/>
    <n v="0"/>
    <n v="0"/>
    <n v="0"/>
    <n v="18327.599999999999"/>
    <n v="19427.256000000001"/>
    <s v=" "/>
    <s v=" "/>
    <s v=" "/>
    <s v=" "/>
    <s v=" "/>
    <s v=" "/>
    <s v=" "/>
    <s v=" "/>
    <s v=" "/>
    <s v=" "/>
    <s v=" "/>
    <s v=" "/>
    <s v=" "/>
    <s v=" "/>
    <x v="0"/>
    <x v="0"/>
    <x v="0"/>
    <x v="0"/>
    <x v="0"/>
    <x v="67"/>
    <x v="0"/>
    <x v="0"/>
    <x v="0"/>
    <x v="4"/>
    <x v="1"/>
    <x v="3"/>
    <x v="0"/>
    <x v="0"/>
    <x v="0"/>
    <x v="0"/>
    <x v="0"/>
    <x v="0"/>
    <x v="0"/>
    <x v="0"/>
    <x v="0"/>
    <x v="0"/>
    <x v="0"/>
    <x v="0"/>
    <x v="0"/>
    <x v="0"/>
    <x v="0"/>
    <x v="0"/>
    <x v="0"/>
    <x v="0"/>
    <x v="0"/>
    <x v="0"/>
    <x v="0"/>
    <x v="0"/>
    <x v="0"/>
    <x v="0"/>
    <x v="0"/>
    <x v="0"/>
    <x v="0"/>
    <x v="0"/>
    <x v="0"/>
    <x v="0"/>
    <x v="0"/>
    <x v="0"/>
    <x v="0"/>
    <x v="0"/>
    <x v="0"/>
    <x v="0"/>
    <x v="0"/>
    <x v="0"/>
    <x v="0"/>
    <x v="0"/>
    <x v="0"/>
    <x v="0"/>
    <x v="0"/>
    <x v="0"/>
    <x v="0"/>
    <x v="0"/>
    <x v="0"/>
    <x v="0"/>
    <x v="7"/>
    <x v="0"/>
    <x v="0"/>
    <x v="0"/>
    <x v="0"/>
    <x v="0"/>
    <x v="0"/>
    <x v="0"/>
    <x v="0"/>
    <x v="0"/>
    <x v="0"/>
    <x v="0"/>
    <x v="0"/>
    <x v="0"/>
    <x v="0"/>
    <x v="0"/>
    <x v="0"/>
    <x v="0"/>
    <x v="0"/>
    <x v="0"/>
    <x v="0"/>
    <x v="0"/>
    <x v="0"/>
    <x v="0"/>
    <x v="0"/>
    <x v="0"/>
    <x v="0"/>
    <x v="0"/>
    <x v="0"/>
    <x v="0"/>
    <x v="0"/>
    <x v="0"/>
    <x v="0"/>
  </r>
  <r>
    <s v="KS20"/>
    <s v="Backfilling Main Channel"/>
    <s v="Backfilling Main Channel"/>
    <s v="KS20_011"/>
    <x v="5"/>
    <m/>
    <m/>
    <m/>
    <m/>
    <m/>
    <m/>
    <m/>
    <m/>
    <m/>
    <m/>
    <s v="No Drawing"/>
    <m/>
    <s v="00"/>
    <d v="2018-12-07T00:00:00"/>
    <s v="Phase 1"/>
    <s v="Year 1"/>
    <m/>
    <m/>
    <m/>
    <m/>
    <m/>
    <n v="950"/>
    <m/>
    <m/>
    <n v="6700"/>
    <n v="6700"/>
    <m/>
    <m/>
    <m/>
    <m/>
    <m/>
    <m/>
    <m/>
    <m/>
    <m/>
    <m/>
    <m/>
    <m/>
    <m/>
    <m/>
    <m/>
    <m/>
    <m/>
    <m/>
    <m/>
    <m/>
    <m/>
    <m/>
    <m/>
    <m/>
    <n v="5730"/>
    <m/>
    <m/>
    <m/>
    <m/>
    <m/>
    <m/>
    <m/>
    <m/>
    <m/>
    <m/>
    <m/>
    <m/>
    <m/>
    <m/>
    <m/>
    <m/>
    <m/>
    <m/>
    <m/>
    <m/>
    <m/>
    <m/>
    <m/>
    <m/>
    <m/>
    <m/>
    <m/>
    <m/>
    <m/>
    <m/>
    <m/>
    <m/>
    <m/>
    <m/>
    <m/>
    <m/>
    <m/>
    <m/>
    <m/>
    <m/>
    <m/>
    <m/>
    <m/>
    <m/>
    <m/>
    <m/>
    <m/>
    <m/>
    <m/>
    <m/>
    <m/>
    <m/>
    <m/>
    <m/>
    <m/>
    <m/>
    <m/>
    <m/>
    <m/>
    <m/>
    <n v="0"/>
    <n v="0"/>
    <n v="0"/>
    <n v="0"/>
    <n v="0"/>
    <n v="80750"/>
    <n v="0"/>
    <n v="0"/>
    <n v="33500"/>
    <n v="67000"/>
    <n v="0"/>
    <n v="0"/>
    <n v="0"/>
    <n v="0"/>
    <n v="0"/>
    <n v="0"/>
    <n v="0"/>
    <n v="0"/>
    <n v="0"/>
    <n v="0"/>
    <n v="687600"/>
    <n v="0"/>
    <n v="0"/>
    <n v="0"/>
    <n v="0"/>
    <n v="0"/>
    <n v="0"/>
    <n v="0"/>
    <n v="0"/>
    <n v="0"/>
    <n v="0"/>
    <n v="0"/>
    <n v="0"/>
    <n v="0"/>
    <n v="0"/>
    <n v="0"/>
    <n v="0"/>
    <n v="0"/>
    <n v="0"/>
    <n v="0"/>
    <n v="0"/>
    <n v="0"/>
    <n v="0"/>
    <n v="0"/>
    <n v="0"/>
    <n v="0"/>
    <n v="0"/>
    <n v="0"/>
    <n v="0"/>
    <n v="0"/>
    <n v="0"/>
    <n v="0"/>
    <n v="0"/>
    <n v="0"/>
    <n v="0"/>
    <n v="0"/>
    <n v="0"/>
    <n v="0"/>
    <n v="868850"/>
    <n v="920981"/>
    <s v=" "/>
    <s v=" "/>
    <s v=" "/>
    <s v=" "/>
    <s v=" "/>
    <s v=" "/>
    <s v=" "/>
    <s v=" "/>
    <s v=" "/>
    <s v=" "/>
    <s v=" "/>
    <s v=" "/>
    <s v=" "/>
    <s v=" "/>
    <x v="0"/>
    <x v="0"/>
    <x v="0"/>
    <x v="0"/>
    <x v="0"/>
    <x v="68"/>
    <x v="0"/>
    <x v="0"/>
    <x v="37"/>
    <x v="38"/>
    <x v="1"/>
    <x v="1"/>
    <x v="0"/>
    <x v="0"/>
    <x v="0"/>
    <x v="0"/>
    <x v="0"/>
    <x v="0"/>
    <x v="0"/>
    <x v="0"/>
    <x v="0"/>
    <x v="0"/>
    <x v="0"/>
    <x v="0"/>
    <x v="0"/>
    <x v="0"/>
    <x v="0"/>
    <x v="0"/>
    <x v="0"/>
    <x v="0"/>
    <x v="0"/>
    <x v="0"/>
    <x v="23"/>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21"/>
    <s v="10° sloped Grouted Pitching (Light)"/>
    <s v="Grouted Pitched Chute"/>
    <s v="KS21_001"/>
    <x v="5"/>
    <n v="30.006223842000001"/>
    <n v="-25.827724391"/>
    <s v="30° 00' 22.40&quot;E "/>
    <s v="25° 49' 39.80&quot; S"/>
    <s v="Complete"/>
    <s v="Yes"/>
    <s v="Yes"/>
    <d v="2017-02-03T00:00:00"/>
    <s v="YES"/>
    <m/>
    <s v="NBC-GTW-CL-0038"/>
    <s v="Yes"/>
    <s v="00"/>
    <d v="2018-06-16T00:00:00"/>
    <s v="Phase 1"/>
    <s v="Year 1"/>
    <n v="38"/>
    <n v="0"/>
    <n v="0"/>
    <n v="0"/>
    <n v="0"/>
    <n v="20"/>
    <n v="0"/>
    <n v="1"/>
    <n v="0"/>
    <n v="0"/>
    <n v="0"/>
    <n v="20"/>
    <n v="0"/>
    <n v="0"/>
    <n v="0"/>
    <n v="0"/>
    <n v="0"/>
    <n v="0"/>
    <n v="0"/>
    <n v="0"/>
    <n v="0"/>
    <n v="0"/>
    <n v="0"/>
    <n v="0"/>
    <n v="0"/>
    <m/>
    <n v="0"/>
    <m/>
    <n v="0"/>
    <n v="0"/>
    <n v="0"/>
    <n v="0"/>
    <n v="0"/>
    <n v="0"/>
    <n v="0"/>
    <n v="0"/>
    <n v="0"/>
    <n v="0"/>
    <n v="0"/>
    <n v="0"/>
    <n v="0"/>
    <n v="0"/>
    <n v="0"/>
    <n v="0"/>
    <n v="0"/>
    <n v="0"/>
    <n v="0"/>
    <n v="0"/>
    <n v="0"/>
    <n v="0"/>
    <n v="0"/>
    <n v="0"/>
    <n v="0"/>
    <n v="0"/>
    <n v="0"/>
    <n v="0"/>
    <n v="0"/>
    <n v="0"/>
    <n v="50"/>
    <n v="0"/>
    <n v="0"/>
    <n v="0"/>
    <n v="0"/>
    <n v="0"/>
    <n v="0"/>
    <n v="0"/>
    <n v="0"/>
    <n v="0"/>
    <n v="0"/>
    <n v="0"/>
    <n v="0"/>
    <n v="0"/>
    <n v="0"/>
    <n v="0"/>
    <m/>
    <m/>
    <m/>
    <m/>
    <m/>
    <m/>
    <m/>
    <m/>
    <m/>
    <m/>
    <m/>
    <m/>
    <m/>
    <m/>
    <m/>
    <m/>
    <m/>
    <m/>
    <m/>
    <m/>
    <m/>
    <n v="190"/>
    <n v="0"/>
    <n v="0"/>
    <n v="0"/>
    <n v="0"/>
    <n v="1700"/>
    <n v="0"/>
    <n v="500"/>
    <n v="0"/>
    <n v="0"/>
    <n v="120"/>
    <n v="0"/>
    <n v="0"/>
    <n v="0"/>
    <n v="0"/>
    <n v="0"/>
    <n v="0"/>
    <n v="0"/>
    <n v="0"/>
    <n v="0"/>
    <n v="0"/>
    <n v="0"/>
    <n v="0"/>
    <n v="37500"/>
    <n v="0"/>
    <n v="0"/>
    <n v="0"/>
    <n v="0"/>
    <n v="0"/>
    <n v="0"/>
    <n v="0"/>
    <n v="0"/>
    <n v="0"/>
    <n v="0"/>
    <n v="0"/>
    <n v="0"/>
    <n v="0"/>
    <n v="0"/>
    <n v="0"/>
    <n v="0"/>
    <n v="0"/>
    <n v="0"/>
    <n v="0"/>
    <n v="0"/>
    <n v="0"/>
    <n v="0"/>
    <n v="0"/>
    <n v="0"/>
    <n v="0"/>
    <n v="0"/>
    <n v="0"/>
    <n v="0"/>
    <n v="0"/>
    <n v="0"/>
    <n v="0"/>
    <n v="0"/>
    <n v="0"/>
    <n v="0"/>
    <n v="40010"/>
    <n v="42410.6"/>
    <s v=" "/>
    <s v=" "/>
    <s v=" "/>
    <s v=" "/>
    <s v=" "/>
    <s v=" "/>
    <s v=" "/>
    <s v=" "/>
    <s v=" "/>
    <s v=" "/>
    <s v=" "/>
    <s v=" "/>
    <s v=" "/>
    <s v=" "/>
    <x v="36"/>
    <x v="0"/>
    <x v="0"/>
    <x v="0"/>
    <x v="0"/>
    <x v="69"/>
    <x v="0"/>
    <x v="13"/>
    <x v="0"/>
    <x v="4"/>
    <x v="1"/>
    <x v="4"/>
    <x v="0"/>
    <x v="0"/>
    <x v="0"/>
    <x v="0"/>
    <x v="0"/>
    <x v="0"/>
    <x v="0"/>
    <x v="0"/>
    <x v="0"/>
    <x v="0"/>
    <x v="0"/>
    <x v="0"/>
    <x v="0"/>
    <x v="0"/>
    <x v="0"/>
    <x v="0"/>
    <x v="0"/>
    <x v="0"/>
    <x v="0"/>
    <x v="0"/>
    <x v="0"/>
    <x v="0"/>
    <x v="0"/>
    <x v="0"/>
    <x v="0"/>
    <x v="0"/>
    <x v="0"/>
    <x v="0"/>
    <x v="0"/>
    <x v="0"/>
    <x v="0"/>
    <x v="0"/>
    <x v="0"/>
    <x v="0"/>
    <x v="0"/>
    <x v="0"/>
    <x v="0"/>
    <x v="0"/>
    <x v="0"/>
    <x v="0"/>
    <x v="0"/>
    <x v="0"/>
    <x v="0"/>
    <x v="0"/>
    <x v="1"/>
    <x v="0"/>
    <x v="0"/>
    <x v="0"/>
    <x v="0"/>
    <x v="0"/>
    <x v="0"/>
    <x v="0"/>
    <x v="0"/>
    <x v="0"/>
    <x v="0"/>
    <x v="0"/>
    <x v="0"/>
    <x v="0"/>
    <x v="0"/>
    <x v="0"/>
    <x v="0"/>
    <x v="0"/>
    <x v="0"/>
    <x v="0"/>
    <x v="0"/>
    <x v="0"/>
    <x v="0"/>
    <x v="0"/>
    <x v="0"/>
    <x v="0"/>
    <x v="0"/>
    <x v="0"/>
    <x v="0"/>
    <x v="0"/>
    <x v="0"/>
    <x v="0"/>
    <x v="0"/>
    <x v="0"/>
    <x v="0"/>
    <x v="0"/>
    <x v="0"/>
  </r>
  <r>
    <s v="KS21"/>
    <s v="Concrete Drop Inlet"/>
    <s v="Concrete"/>
    <s v="KS21_003"/>
    <x v="5"/>
    <n v="30.005540703000001"/>
    <n v="-25.827672228000001"/>
    <s v="30° 00' 19.94&quot;E "/>
    <s v="25° 49' 39.62&quot; S"/>
    <s v="Complete"/>
    <s v="Yes"/>
    <s v="Yes"/>
    <d v="2017-02-06T00:00:00"/>
    <s v="YES"/>
    <m/>
    <s v="NBC-GTW-CL-0039"/>
    <s v="Yes"/>
    <s v="00"/>
    <d v="2018-06-16T00:00:00"/>
    <s v="Phase 1"/>
    <s v="Year 1"/>
    <n v="22.240000000000002"/>
    <n v="0"/>
    <n v="0"/>
    <n v="0"/>
    <n v="0"/>
    <n v="25.787750000000003"/>
    <n v="2.5787750000000003"/>
    <n v="1.2893875000000001"/>
    <n v="22.240000000000002"/>
    <n v="22.240000000000002"/>
    <n v="0"/>
    <n v="25.787750000000003"/>
    <n v="24.792749999999998"/>
    <n v="52.660000000000004"/>
    <n v="0"/>
    <n v="0"/>
    <s v="Ref 888"/>
    <n v="23.832599999999999"/>
    <s v="Ref 655"/>
    <n v="42.578400000000002"/>
    <n v="0"/>
    <n v="40.887319357676404"/>
    <n v="0"/>
    <n v="4.25"/>
    <n v="0"/>
    <m/>
    <n v="0"/>
    <m/>
    <n v="0"/>
    <n v="0"/>
    <n v="9.5449999999999999"/>
    <n v="0"/>
    <n v="0"/>
    <n v="0"/>
    <n v="0"/>
    <n v="0"/>
    <n v="0"/>
    <n v="0"/>
    <n v="0"/>
    <n v="0"/>
    <n v="0"/>
    <n v="0"/>
    <n v="0"/>
    <n v="0"/>
    <n v="0"/>
    <n v="0"/>
    <n v="0"/>
    <n v="0"/>
    <n v="0"/>
    <n v="0"/>
    <n v="0"/>
    <n v="0"/>
    <n v="0"/>
    <n v="0"/>
    <n v="0"/>
    <n v="0"/>
    <n v="0"/>
    <n v="0"/>
    <n v="0"/>
    <n v="0"/>
    <n v="0"/>
    <n v="0"/>
    <n v="0"/>
    <n v="0"/>
    <n v="0"/>
    <n v="0"/>
    <n v="0"/>
    <n v="0"/>
    <n v="0"/>
    <n v="0"/>
    <n v="0"/>
    <n v="0"/>
    <n v="0"/>
    <n v="0"/>
    <m/>
    <m/>
    <m/>
    <m/>
    <m/>
    <m/>
    <m/>
    <m/>
    <m/>
    <m/>
    <m/>
    <m/>
    <m/>
    <m/>
    <m/>
    <m/>
    <m/>
    <m/>
    <m/>
    <m/>
    <m/>
    <n v="111.20000000000002"/>
    <n v="0"/>
    <n v="0"/>
    <n v="0"/>
    <n v="0"/>
    <n v="2191.9587500000002"/>
    <n v="322.34687500000001"/>
    <n v="644.69375000000002"/>
    <n v="111.20000000000002"/>
    <n v="222.40000000000003"/>
    <n v="154.72650000000002"/>
    <n v="49585.499999999993"/>
    <n v="15798.000000000002"/>
    <n v="0"/>
    <n v="0"/>
    <n v="1328.22"/>
    <n v="29339.257582489663"/>
    <n v="286.35000000000002"/>
    <n v="0"/>
    <n v="0"/>
    <n v="0"/>
    <n v="0"/>
    <n v="0"/>
    <n v="0"/>
    <n v="0"/>
    <n v="0"/>
    <n v="0"/>
    <n v="0"/>
    <n v="0"/>
    <n v="0"/>
    <n v="0"/>
    <n v="0"/>
    <n v="0"/>
    <n v="0"/>
    <n v="0"/>
    <n v="0"/>
    <n v="0"/>
    <n v="0"/>
    <n v="0"/>
    <n v="0"/>
    <n v="0"/>
    <n v="0"/>
    <n v="0"/>
    <n v="0"/>
    <n v="0"/>
    <n v="0"/>
    <n v="0"/>
    <n v="0"/>
    <n v="0"/>
    <n v="0"/>
    <n v="0"/>
    <n v="0"/>
    <n v="0"/>
    <n v="0"/>
    <n v="0"/>
    <n v="0"/>
    <n v="0"/>
    <n v="0"/>
    <n v="100095.85345748966"/>
    <n v="106101.60466493905"/>
    <s v=" "/>
    <s v=" "/>
    <s v=" "/>
    <s v=" "/>
    <s v=" "/>
    <s v=" "/>
    <s v=" "/>
    <s v=" "/>
    <s v=" "/>
    <s v=" "/>
    <s v=" "/>
    <s v=" "/>
    <s v=" "/>
    <s v=" "/>
    <x v="37"/>
    <x v="0"/>
    <x v="0"/>
    <x v="0"/>
    <x v="0"/>
    <x v="70"/>
    <x v="6"/>
    <x v="14"/>
    <x v="38"/>
    <x v="39"/>
    <x v="1"/>
    <x v="5"/>
    <x v="54"/>
    <x v="15"/>
    <x v="0"/>
    <x v="0"/>
    <x v="17"/>
    <x v="13"/>
    <x v="0"/>
    <x v="13"/>
    <x v="0"/>
    <x v="17"/>
    <x v="0"/>
    <x v="0"/>
    <x v="0"/>
    <x v="0"/>
    <x v="0"/>
    <x v="0"/>
    <x v="42"/>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21"/>
    <s v="Concrete Drop Inlet"/>
    <s v="Concrete"/>
    <s v="KS21_005"/>
    <x v="5"/>
    <n v="30.004772316"/>
    <n v="-25.827668378999999"/>
    <s v="30° 00' 17.18&quot;E "/>
    <s v="25° 49' 39.60&quot; S"/>
    <s v="Complete"/>
    <s v="Yes"/>
    <s v="Yes"/>
    <d v="2017-02-06T00:00:00"/>
    <s v="YES"/>
    <m/>
    <s v="NBC-GTW-CL-0040"/>
    <s v="Yes"/>
    <s v="00"/>
    <d v="2018-06-16T00:00:00"/>
    <s v="Phase 1"/>
    <s v="Year 1"/>
    <n v="22.240000000000002"/>
    <n v="0"/>
    <n v="0"/>
    <n v="0"/>
    <n v="0"/>
    <n v="25.787750000000003"/>
    <n v="2.5787750000000003"/>
    <n v="1.2893875000000001"/>
    <n v="22.240000000000002"/>
    <n v="22.240000000000002"/>
    <n v="0"/>
    <n v="25.787750000000003"/>
    <n v="24.792749999999998"/>
    <n v="52.660000000000004"/>
    <n v="0"/>
    <n v="0"/>
    <s v="Ref 888"/>
    <n v="23.832599999999999"/>
    <s v="Ref 655"/>
    <n v="42.578400000000002"/>
    <n v="0"/>
    <n v="40.887319357676404"/>
    <n v="0"/>
    <n v="4.25"/>
    <n v="0"/>
    <m/>
    <n v="0"/>
    <m/>
    <n v="0"/>
    <n v="0"/>
    <n v="9.5449999999999999"/>
    <n v="0"/>
    <n v="0"/>
    <n v="0"/>
    <n v="0"/>
    <n v="0"/>
    <n v="0"/>
    <n v="0"/>
    <n v="0"/>
    <n v="0"/>
    <n v="0"/>
    <n v="0"/>
    <n v="0"/>
    <n v="0"/>
    <n v="0"/>
    <n v="0"/>
    <n v="0"/>
    <n v="0"/>
    <n v="0"/>
    <n v="0"/>
    <n v="0"/>
    <n v="0"/>
    <n v="0"/>
    <n v="0"/>
    <n v="0"/>
    <n v="0"/>
    <n v="0"/>
    <n v="0"/>
    <n v="0"/>
    <n v="0"/>
    <m/>
    <m/>
    <m/>
    <m/>
    <m/>
    <m/>
    <m/>
    <m/>
    <m/>
    <m/>
    <m/>
    <m/>
    <m/>
    <m/>
    <m/>
    <m/>
    <m/>
    <m/>
    <m/>
    <m/>
    <m/>
    <m/>
    <m/>
    <m/>
    <m/>
    <m/>
    <m/>
    <m/>
    <m/>
    <m/>
    <m/>
    <m/>
    <m/>
    <m/>
    <m/>
    <n v="111.20000000000002"/>
    <n v="0"/>
    <n v="0"/>
    <n v="0"/>
    <n v="0"/>
    <n v="2191.9587500000002"/>
    <n v="322.34687500000001"/>
    <n v="644.69375000000002"/>
    <n v="111.20000000000002"/>
    <n v="222.40000000000003"/>
    <n v="154.72650000000002"/>
    <n v="49585.499999999993"/>
    <n v="15798.000000000002"/>
    <n v="0"/>
    <n v="0"/>
    <n v="1328.22"/>
    <n v="29339.257582489663"/>
    <n v="286.35000000000002"/>
    <n v="0"/>
    <n v="0"/>
    <n v="0"/>
    <n v="0"/>
    <n v="0"/>
    <n v="0"/>
    <n v="0"/>
    <n v="0"/>
    <n v="0"/>
    <n v="0"/>
    <n v="0"/>
    <n v="0"/>
    <n v="0"/>
    <n v="0"/>
    <n v="0"/>
    <n v="0"/>
    <n v="0"/>
    <n v="0"/>
    <n v="0"/>
    <n v="0"/>
    <n v="0"/>
    <n v="0"/>
    <n v="0"/>
    <n v="0"/>
    <n v="0"/>
    <n v="0"/>
    <n v="0"/>
    <n v="0"/>
    <n v="0"/>
    <n v="0"/>
    <n v="0"/>
    <n v="0"/>
    <n v="0"/>
    <n v="0"/>
    <n v="0"/>
    <n v="0"/>
    <n v="0"/>
    <n v="0"/>
    <n v="0"/>
    <n v="0"/>
    <n v="100095.85345748966"/>
    <n v="106101.60466493905"/>
    <s v=" "/>
    <s v=" "/>
    <s v=" "/>
    <s v=" "/>
    <s v=" "/>
    <s v=" "/>
    <s v=" "/>
    <s v=" "/>
    <s v=" "/>
    <s v=" "/>
    <s v=" "/>
    <s v=" "/>
    <s v=" "/>
    <s v=" "/>
    <x v="38"/>
    <x v="0"/>
    <x v="0"/>
    <x v="0"/>
    <x v="0"/>
    <x v="71"/>
    <x v="7"/>
    <x v="15"/>
    <x v="39"/>
    <x v="40"/>
    <x v="1"/>
    <x v="6"/>
    <x v="55"/>
    <x v="16"/>
    <x v="0"/>
    <x v="0"/>
    <x v="18"/>
    <x v="14"/>
    <x v="0"/>
    <x v="14"/>
    <x v="0"/>
    <x v="18"/>
    <x v="0"/>
    <x v="0"/>
    <x v="0"/>
    <x v="0"/>
    <x v="0"/>
    <x v="0"/>
    <x v="43"/>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21"/>
    <s v="Concrete Check Wall"/>
    <s v="Concrete"/>
    <s v="KS21_006"/>
    <x v="5"/>
    <n v="30.003629429"/>
    <n v="-25.827472712999999"/>
    <s v="30° 00' 13.06&quot;E "/>
    <s v="25° 49' 38.90&quot; S"/>
    <s v="Complete"/>
    <s v="Yes"/>
    <s v="Yes"/>
    <d v="2017-02-06T00:00:00"/>
    <s v="YES"/>
    <m/>
    <s v="NBC-GTW-CL-0041"/>
    <s v="Yes"/>
    <s v="00"/>
    <d v="2018-06-16T00:00:00"/>
    <s v="Phase 1"/>
    <s v="Year 1"/>
    <m/>
    <m/>
    <m/>
    <m/>
    <m/>
    <n v="7.9799999999999986"/>
    <m/>
    <m/>
    <m/>
    <m/>
    <m/>
    <m/>
    <n v="7.9799999999999986"/>
    <m/>
    <m/>
    <m/>
    <m/>
    <m/>
    <m/>
    <m/>
    <m/>
    <m/>
    <m/>
    <m/>
    <m/>
    <m/>
    <m/>
    <m/>
    <m/>
    <m/>
    <m/>
    <m/>
    <m/>
    <m/>
    <m/>
    <m/>
    <m/>
    <m/>
    <m/>
    <m/>
    <m/>
    <m/>
    <m/>
    <m/>
    <m/>
    <m/>
    <m/>
    <m/>
    <m/>
    <m/>
    <m/>
    <m/>
    <m/>
    <m/>
    <m/>
    <m/>
    <m/>
    <m/>
    <m/>
    <m/>
    <m/>
    <m/>
    <m/>
    <m/>
    <m/>
    <m/>
    <m/>
    <m/>
    <m/>
    <m/>
    <m/>
    <m/>
    <m/>
    <m/>
    <m/>
    <m/>
    <m/>
    <m/>
    <m/>
    <m/>
    <m/>
    <m/>
    <m/>
    <m/>
    <m/>
    <m/>
    <m/>
    <m/>
    <m/>
    <m/>
    <m/>
    <m/>
    <m/>
    <m/>
    <m/>
    <n v="0"/>
    <n v="0"/>
    <n v="0"/>
    <n v="0"/>
    <n v="0"/>
    <n v="678.29999999999984"/>
    <n v="0"/>
    <n v="0"/>
    <n v="0"/>
    <n v="0"/>
    <n v="0"/>
    <n v="15959.999999999998"/>
    <n v="0"/>
    <n v="0"/>
    <n v="0"/>
    <n v="0"/>
    <n v="0"/>
    <n v="0"/>
    <n v="0"/>
    <n v="0"/>
    <n v="0"/>
    <n v="0"/>
    <n v="0"/>
    <n v="0"/>
    <n v="0"/>
    <n v="0"/>
    <n v="0"/>
    <n v="0"/>
    <n v="0"/>
    <n v="0"/>
    <n v="0"/>
    <n v="0"/>
    <n v="0"/>
    <n v="0"/>
    <n v="0"/>
    <n v="0"/>
    <n v="0"/>
    <n v="0"/>
    <n v="0"/>
    <n v="0"/>
    <n v="0"/>
    <n v="0"/>
    <n v="0"/>
    <n v="0"/>
    <n v="0"/>
    <n v="0"/>
    <n v="0"/>
    <n v="0"/>
    <n v="0"/>
    <n v="0"/>
    <n v="0"/>
    <n v="0"/>
    <n v="0"/>
    <n v="0"/>
    <n v="0"/>
    <n v="0"/>
    <n v="0"/>
    <n v="0"/>
    <n v="16638.3"/>
    <n v="17636.598000000002"/>
    <s v=" "/>
    <s v=" "/>
    <s v=" "/>
    <s v=" "/>
    <s v=" "/>
    <s v=" "/>
    <s v=" "/>
    <s v=" "/>
    <s v=" "/>
    <s v=" "/>
    <s v=" "/>
    <s v=" "/>
    <s v=" "/>
    <s v=" "/>
    <x v="0"/>
    <x v="0"/>
    <x v="0"/>
    <x v="0"/>
    <x v="0"/>
    <x v="72"/>
    <x v="0"/>
    <x v="0"/>
    <x v="0"/>
    <x v="4"/>
    <x v="1"/>
    <x v="1"/>
    <x v="56"/>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21"/>
    <s v="Concrete Check Wall"/>
    <s v="Concrete"/>
    <s v="KS21_007"/>
    <x v="5"/>
    <n v="30.003219906000002"/>
    <n v="-25.827183586"/>
    <s v="30° 00' 11.59&quot;E "/>
    <s v="25° 49' 37.86&quot; S"/>
    <s v="Complete"/>
    <s v="Yes"/>
    <s v="Yes"/>
    <d v="2017-02-06T00:00:00"/>
    <s v="YES"/>
    <m/>
    <s v="NBC-GTW-CL-0042"/>
    <s v="Yes"/>
    <s v="00"/>
    <d v="2018-06-16T00:00:00"/>
    <s v="Phase 1"/>
    <s v="Year 1"/>
    <m/>
    <m/>
    <m/>
    <m/>
    <m/>
    <n v="7.9799999999999986"/>
    <m/>
    <m/>
    <m/>
    <m/>
    <m/>
    <m/>
    <n v="7.9799999999999986"/>
    <m/>
    <m/>
    <m/>
    <m/>
    <m/>
    <m/>
    <m/>
    <m/>
    <m/>
    <m/>
    <m/>
    <m/>
    <m/>
    <m/>
    <m/>
    <m/>
    <m/>
    <m/>
    <m/>
    <m/>
    <m/>
    <m/>
    <m/>
    <m/>
    <m/>
    <m/>
    <m/>
    <m/>
    <m/>
    <m/>
    <m/>
    <m/>
    <m/>
    <m/>
    <m/>
    <m/>
    <m/>
    <m/>
    <m/>
    <m/>
    <m/>
    <m/>
    <m/>
    <m/>
    <m/>
    <m/>
    <m/>
    <m/>
    <m/>
    <m/>
    <m/>
    <m/>
    <m/>
    <m/>
    <m/>
    <m/>
    <m/>
    <m/>
    <m/>
    <m/>
    <m/>
    <m/>
    <m/>
    <m/>
    <m/>
    <m/>
    <m/>
    <m/>
    <m/>
    <m/>
    <m/>
    <m/>
    <m/>
    <m/>
    <m/>
    <m/>
    <m/>
    <m/>
    <m/>
    <m/>
    <m/>
    <m/>
    <n v="0"/>
    <n v="0"/>
    <n v="0"/>
    <n v="0"/>
    <n v="0"/>
    <n v="678.29999999999984"/>
    <n v="0"/>
    <n v="0"/>
    <n v="0"/>
    <n v="0"/>
    <n v="0"/>
    <n v="15959.999999999998"/>
    <n v="0"/>
    <n v="0"/>
    <n v="0"/>
    <n v="0"/>
    <n v="0"/>
    <n v="0"/>
    <n v="0"/>
    <n v="0"/>
    <n v="0"/>
    <n v="0"/>
    <n v="0"/>
    <n v="0"/>
    <n v="0"/>
    <n v="0"/>
    <n v="0"/>
    <n v="0"/>
    <n v="0"/>
    <n v="0"/>
    <n v="0"/>
    <n v="0"/>
    <n v="0"/>
    <n v="0"/>
    <n v="0"/>
    <n v="0"/>
    <n v="0"/>
    <n v="0"/>
    <n v="0"/>
    <n v="0"/>
    <n v="0"/>
    <n v="0"/>
    <n v="0"/>
    <n v="0"/>
    <n v="0"/>
    <n v="0"/>
    <n v="0"/>
    <n v="0"/>
    <n v="0"/>
    <n v="0"/>
    <n v="0"/>
    <n v="0"/>
    <n v="0"/>
    <n v="0"/>
    <n v="0"/>
    <n v="0"/>
    <n v="0"/>
    <n v="0"/>
    <n v="16638.3"/>
    <n v="17636.598000000002"/>
    <s v=" "/>
    <s v=" "/>
    <s v=" "/>
    <s v=" "/>
    <s v=" "/>
    <s v=" "/>
    <s v=" "/>
    <s v=" "/>
    <s v=" "/>
    <s v=" "/>
    <s v=" "/>
    <s v=" "/>
    <s v=" "/>
    <s v=" "/>
    <x v="0"/>
    <x v="0"/>
    <x v="0"/>
    <x v="0"/>
    <x v="0"/>
    <x v="73"/>
    <x v="0"/>
    <x v="0"/>
    <x v="0"/>
    <x v="4"/>
    <x v="1"/>
    <x v="1"/>
    <x v="57"/>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21"/>
    <s v="Concrete Check Wall"/>
    <s v="Concrete"/>
    <s v="KS21_009"/>
    <x v="5"/>
    <n v="30.002610442000002"/>
    <n v="-25.826997409000001"/>
    <s v="30° 00' 09.39&quot;E "/>
    <s v="25° 49' 37.19&quot; S"/>
    <s v="Complete"/>
    <s v="Yes"/>
    <s v="Yes"/>
    <d v="2017-02-06T00:00:00"/>
    <s v="YES"/>
    <m/>
    <s v="NBC-GTW-CL-0043"/>
    <s v="Yes"/>
    <s v="00"/>
    <d v="2018-06-16T00:00:00"/>
    <s v="Phase 1"/>
    <s v="Year 1"/>
    <m/>
    <m/>
    <m/>
    <m/>
    <m/>
    <n v="7.9799999999999986"/>
    <m/>
    <m/>
    <m/>
    <m/>
    <m/>
    <m/>
    <n v="7.9799999999999986"/>
    <m/>
    <m/>
    <m/>
    <m/>
    <m/>
    <m/>
    <m/>
    <m/>
    <m/>
    <m/>
    <m/>
    <m/>
    <m/>
    <m/>
    <m/>
    <m/>
    <m/>
    <m/>
    <m/>
    <m/>
    <m/>
    <m/>
    <m/>
    <m/>
    <m/>
    <m/>
    <m/>
    <m/>
    <m/>
    <m/>
    <m/>
    <m/>
    <m/>
    <m/>
    <m/>
    <m/>
    <m/>
    <m/>
    <m/>
    <m/>
    <m/>
    <m/>
    <m/>
    <m/>
    <m/>
    <m/>
    <m/>
    <m/>
    <m/>
    <m/>
    <m/>
    <m/>
    <m/>
    <m/>
    <m/>
    <m/>
    <m/>
    <m/>
    <m/>
    <m/>
    <m/>
    <m/>
    <m/>
    <m/>
    <m/>
    <m/>
    <m/>
    <m/>
    <m/>
    <m/>
    <m/>
    <m/>
    <m/>
    <m/>
    <m/>
    <m/>
    <m/>
    <m/>
    <m/>
    <m/>
    <m/>
    <m/>
    <n v="0"/>
    <n v="0"/>
    <n v="0"/>
    <n v="0"/>
    <n v="0"/>
    <n v="678.29999999999984"/>
    <n v="0"/>
    <n v="0"/>
    <n v="0"/>
    <n v="0"/>
    <n v="0"/>
    <n v="15959.999999999998"/>
    <n v="0"/>
    <n v="0"/>
    <n v="0"/>
    <n v="0"/>
    <n v="0"/>
    <n v="0"/>
    <n v="0"/>
    <n v="0"/>
    <n v="0"/>
    <n v="0"/>
    <n v="0"/>
    <n v="0"/>
    <n v="0"/>
    <n v="0"/>
    <n v="0"/>
    <n v="0"/>
    <n v="0"/>
    <n v="0"/>
    <n v="0"/>
    <n v="0"/>
    <n v="0"/>
    <n v="0"/>
    <n v="0"/>
    <n v="0"/>
    <n v="0"/>
    <n v="0"/>
    <n v="0"/>
    <n v="0"/>
    <n v="0"/>
    <n v="0"/>
    <n v="0"/>
    <n v="0"/>
    <n v="0"/>
    <n v="0"/>
    <n v="0"/>
    <n v="0"/>
    <n v="0"/>
    <n v="0"/>
    <n v="0"/>
    <n v="0"/>
    <n v="0"/>
    <n v="0"/>
    <n v="0"/>
    <n v="0"/>
    <n v="0"/>
    <n v="0"/>
    <n v="16638.3"/>
    <n v="17636.598000000002"/>
    <s v=" "/>
    <s v=" "/>
    <s v=" "/>
    <s v=" "/>
    <s v=" "/>
    <s v=" "/>
    <s v=" "/>
    <s v=" "/>
    <s v=" "/>
    <s v=" "/>
    <s v=" "/>
    <s v=" "/>
    <s v=" "/>
    <s v=" "/>
    <x v="0"/>
    <x v="0"/>
    <x v="0"/>
    <x v="0"/>
    <x v="0"/>
    <x v="74"/>
    <x v="0"/>
    <x v="0"/>
    <x v="0"/>
    <x v="4"/>
    <x v="1"/>
    <x v="1"/>
    <x v="58"/>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21"/>
    <s v="Backfilling Main Channel"/>
    <s v="Backfilling Main Channel"/>
    <s v="KS21-010"/>
    <x v="5"/>
    <n v="30.002139047"/>
    <n v="-25.826973612"/>
    <s v="30° 00' 00.08&quot;E "/>
    <s v="25° 49' 00.37&quot; S"/>
    <s v="Complete"/>
    <s v="Yes"/>
    <s v="Yes"/>
    <d v="2017-02-06T00:00:00"/>
    <s v="YES"/>
    <m/>
    <s v="No Drawing"/>
    <s v="Yes"/>
    <s v="00"/>
    <d v="2018-06-16T00:00:00"/>
    <s v="Phase 1"/>
    <s v="Year 1"/>
    <n v="2320.5501703847049"/>
    <m/>
    <m/>
    <m/>
    <m/>
    <m/>
    <m/>
    <m/>
    <n v="2320.5501703847049"/>
    <n v="2320.5501703847049"/>
    <m/>
    <m/>
    <m/>
    <m/>
    <m/>
    <m/>
    <m/>
    <m/>
    <m/>
    <m/>
    <m/>
    <m/>
    <m/>
    <m/>
    <m/>
    <m/>
    <m/>
    <m/>
    <m/>
    <m/>
    <m/>
    <m/>
    <m/>
    <m/>
    <n v="2347.1999999999998"/>
    <m/>
    <m/>
    <m/>
    <m/>
    <m/>
    <m/>
    <m/>
    <m/>
    <m/>
    <m/>
    <m/>
    <m/>
    <m/>
    <m/>
    <m/>
    <m/>
    <m/>
    <m/>
    <m/>
    <m/>
    <m/>
    <m/>
    <m/>
    <m/>
    <m/>
    <m/>
    <m/>
    <m/>
    <m/>
    <m/>
    <m/>
    <m/>
    <m/>
    <m/>
    <m/>
    <m/>
    <m/>
    <m/>
    <m/>
    <m/>
    <m/>
    <m/>
    <m/>
    <m/>
    <m/>
    <m/>
    <m/>
    <m/>
    <m/>
    <m/>
    <m/>
    <m/>
    <m/>
    <m/>
    <m/>
    <m/>
    <m/>
    <m/>
    <m/>
    <m/>
    <n v="11602.750851923523"/>
    <n v="0"/>
    <n v="0"/>
    <n v="0"/>
    <n v="0"/>
    <n v="0"/>
    <n v="0"/>
    <n v="0"/>
    <n v="11602.750851923523"/>
    <n v="23205.501703847047"/>
    <n v="0"/>
    <n v="0"/>
    <n v="0"/>
    <n v="0"/>
    <n v="0"/>
    <n v="0"/>
    <n v="0"/>
    <n v="0"/>
    <n v="0"/>
    <n v="0"/>
    <n v="281664"/>
    <n v="0"/>
    <n v="0"/>
    <n v="0"/>
    <n v="0"/>
    <n v="0"/>
    <n v="0"/>
    <n v="0"/>
    <n v="0"/>
    <n v="0"/>
    <n v="0"/>
    <n v="0"/>
    <n v="0"/>
    <n v="0"/>
    <n v="0"/>
    <n v="0"/>
    <n v="0"/>
    <n v="0"/>
    <n v="0"/>
    <n v="0"/>
    <n v="0"/>
    <n v="0"/>
    <n v="0"/>
    <n v="0"/>
    <n v="0"/>
    <n v="0"/>
    <n v="0"/>
    <n v="0"/>
    <n v="0"/>
    <n v="0"/>
    <n v="0"/>
    <n v="0"/>
    <n v="0"/>
    <n v="0"/>
    <n v="0"/>
    <n v="0"/>
    <n v="0"/>
    <n v="0"/>
    <n v="328075.00340769411"/>
    <n v="347759.50361215579"/>
    <s v=" "/>
    <s v=" "/>
    <s v=" "/>
    <s v=" "/>
    <s v=" "/>
    <s v=" "/>
    <s v=" "/>
    <s v=" "/>
    <s v=" "/>
    <s v=" "/>
    <s v=" "/>
    <s v=" "/>
    <s v=" "/>
    <s v=" "/>
    <x v="39"/>
    <x v="0"/>
    <x v="0"/>
    <x v="0"/>
    <x v="0"/>
    <x v="1"/>
    <x v="0"/>
    <x v="0"/>
    <x v="40"/>
    <x v="41"/>
    <x v="1"/>
    <x v="1"/>
    <x v="0"/>
    <x v="0"/>
    <x v="0"/>
    <x v="0"/>
    <x v="0"/>
    <x v="0"/>
    <x v="0"/>
    <x v="0"/>
    <x v="0"/>
    <x v="0"/>
    <x v="0"/>
    <x v="0"/>
    <x v="0"/>
    <x v="0"/>
    <x v="0"/>
    <x v="0"/>
    <x v="0"/>
    <x v="0"/>
    <x v="0"/>
    <x v="0"/>
    <x v="24"/>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21"/>
    <s v="Earthworks"/>
    <s v="Earthworks"/>
    <s v="KS21-002"/>
    <x v="5"/>
    <n v="30.005597159000001"/>
    <n v="-25.827519839000001"/>
    <s v="30° 00' 20.14&quot;E "/>
    <s v="25° 49' 39.07&quot; S"/>
    <s v="Complete"/>
    <s v="Yes"/>
    <s v="Yes"/>
    <d v="2017-04-28T00:00:00"/>
    <s v="YES "/>
    <s v="NO"/>
    <s v="NBC-GTW-CL-0049"/>
    <s v="Yes"/>
    <s v="00"/>
    <d v="2018-06-16T00:00:00"/>
    <s v="Phase 1"/>
    <s v="Year 1"/>
    <n v="340"/>
    <n v="0"/>
    <n v="0"/>
    <n v="0"/>
    <n v="0"/>
    <n v="191.4"/>
    <n v="0"/>
    <n v="0"/>
    <n v="850"/>
    <n v="85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n v="1700"/>
    <n v="0"/>
    <n v="0"/>
    <n v="0"/>
    <n v="0"/>
    <n v="16269"/>
    <n v="0"/>
    <n v="0"/>
    <n v="4250"/>
    <n v="8500"/>
    <n v="0"/>
    <n v="0"/>
    <n v="0"/>
    <n v="0"/>
    <n v="0"/>
    <n v="0"/>
    <n v="0"/>
    <n v="0"/>
    <n v="0"/>
    <n v="0"/>
    <n v="0"/>
    <n v="0"/>
    <n v="0"/>
    <n v="0"/>
    <n v="0"/>
    <n v="0"/>
    <n v="0"/>
    <n v="0"/>
    <n v="0"/>
    <n v="0"/>
    <n v="0"/>
    <n v="0"/>
    <n v="0"/>
    <n v="0"/>
    <n v="0"/>
    <n v="0"/>
    <n v="0"/>
    <n v="0"/>
    <n v="0"/>
    <n v="0"/>
    <n v="0"/>
    <n v="0"/>
    <n v="0"/>
    <n v="0"/>
    <n v="0"/>
    <n v="0"/>
    <n v="0"/>
    <n v="0"/>
    <n v="0"/>
    <n v="0"/>
    <n v="0"/>
    <n v="0"/>
    <n v="0"/>
    <n v="0"/>
    <n v="0"/>
    <n v="0"/>
    <n v="0"/>
    <n v="0"/>
    <n v="30719"/>
    <n v="32562.140000000003"/>
    <s v=" "/>
    <s v=" "/>
    <s v=" "/>
    <s v=" "/>
    <s v=" "/>
    <s v=" "/>
    <s v=" "/>
    <s v=" "/>
    <s v=" "/>
    <s v=" "/>
    <s v=" "/>
    <s v=" "/>
    <s v=" "/>
    <s v=" "/>
    <x v="40"/>
    <x v="0"/>
    <x v="0"/>
    <x v="0"/>
    <x v="0"/>
    <x v="75"/>
    <x v="0"/>
    <x v="0"/>
    <x v="41"/>
    <x v="42"/>
    <x v="1"/>
    <x v="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21"/>
    <s v="Infilling of drain"/>
    <s v="Earthworks"/>
    <s v="KS21-004"/>
    <x v="5"/>
    <n v="30.005006688999998"/>
    <n v="-25.827464141"/>
    <s v="30° 00' 18.02&quot;E "/>
    <s v="25° 49' 38.87&quot; S"/>
    <s v="Complete"/>
    <s v="Yes"/>
    <s v="Yes"/>
    <d v="2017-04-28T00:00:00"/>
    <s v="NA"/>
    <s v="NA"/>
    <s v="No Drawing"/>
    <s v="Yes"/>
    <s v="00"/>
    <d v="2018-06-16T00:00:00"/>
    <s v="Phase 1"/>
    <s v="Year 1"/>
    <n v="112.30532212699565"/>
    <n v="0"/>
    <n v="0"/>
    <n v="0"/>
    <n v="0"/>
    <n v="0"/>
    <n v="0"/>
    <n v="0"/>
    <n v="111"/>
    <n v="111"/>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n v="561.52661063497828"/>
    <n v="0"/>
    <n v="0"/>
    <n v="0"/>
    <n v="0"/>
    <n v="0"/>
    <n v="0"/>
    <n v="0"/>
    <n v="555"/>
    <n v="1110"/>
    <n v="0"/>
    <n v="0"/>
    <n v="0"/>
    <n v="0"/>
    <n v="0"/>
    <n v="0"/>
    <n v="0"/>
    <n v="0"/>
    <n v="0"/>
    <n v="0"/>
    <n v="0"/>
    <n v="0"/>
    <n v="0"/>
    <n v="0"/>
    <n v="0"/>
    <n v="0"/>
    <n v="0"/>
    <n v="0"/>
    <n v="0"/>
    <n v="0"/>
    <n v="0"/>
    <n v="0"/>
    <n v="0"/>
    <n v="0"/>
    <n v="0"/>
    <n v="0"/>
    <n v="0"/>
    <n v="0"/>
    <n v="0"/>
    <n v="0"/>
    <n v="0"/>
    <n v="0"/>
    <n v="0"/>
    <n v="0"/>
    <n v="0"/>
    <n v="0"/>
    <n v="0"/>
    <n v="0"/>
    <n v="0"/>
    <n v="0"/>
    <n v="0"/>
    <n v="0"/>
    <n v="0"/>
    <n v="0"/>
    <n v="0"/>
    <n v="0"/>
    <n v="0"/>
    <n v="0"/>
    <n v="2226.5266106349782"/>
    <n v="2360.1182072730771"/>
    <s v=" "/>
    <s v=" "/>
    <s v=" "/>
    <s v=" "/>
    <s v=" "/>
    <s v=" "/>
    <s v=" "/>
    <s v=" "/>
    <s v=" "/>
    <s v=" "/>
    <s v=" "/>
    <s v=" "/>
    <s v=" "/>
    <s v=" "/>
    <x v="41"/>
    <x v="0"/>
    <x v="0"/>
    <x v="0"/>
    <x v="0"/>
    <x v="1"/>
    <x v="0"/>
    <x v="0"/>
    <x v="42"/>
    <x v="43"/>
    <x v="1"/>
    <x v="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21"/>
    <s v="Infilling of drain"/>
    <s v="Earthworks"/>
    <s v="KS21-008"/>
    <x v="5"/>
    <n v="30.002714326"/>
    <n v="-25.826893125000002"/>
    <s v="30° 00' 09.77&quot;E "/>
    <s v="25° 49' 36.81&quot; S"/>
    <s v="Complete"/>
    <s v="Yes"/>
    <s v="Yes"/>
    <d v="2017-04-28T00:00:00"/>
    <s v="NA"/>
    <s v="NA"/>
    <s v="No Drawing"/>
    <s v="Yes"/>
    <s v="00"/>
    <d v="2018-06-16T00:00:00"/>
    <s v="Phase 1"/>
    <s v="Year 1"/>
    <n v="110.10336213336291"/>
    <n v="0"/>
    <n v="0"/>
    <n v="0"/>
    <n v="0"/>
    <n v="0"/>
    <n v="0"/>
    <n v="0"/>
    <n v="129.19999999999999"/>
    <n v="129.19999999999999"/>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n v="550.51681066681454"/>
    <n v="0"/>
    <n v="0"/>
    <n v="0"/>
    <n v="0"/>
    <n v="0"/>
    <n v="0"/>
    <n v="0"/>
    <n v="646"/>
    <n v="1292"/>
    <n v="0"/>
    <n v="0"/>
    <n v="0"/>
    <n v="0"/>
    <n v="0"/>
    <n v="0"/>
    <n v="0"/>
    <n v="0"/>
    <n v="0"/>
    <n v="0"/>
    <n v="0"/>
    <n v="0"/>
    <n v="0"/>
    <n v="0"/>
    <n v="0"/>
    <n v="0"/>
    <n v="0"/>
    <n v="0"/>
    <n v="0"/>
    <n v="0"/>
    <n v="0"/>
    <n v="0"/>
    <n v="0"/>
    <n v="0"/>
    <n v="0"/>
    <n v="0"/>
    <n v="0"/>
    <n v="0"/>
    <n v="0"/>
    <n v="0"/>
    <n v="0"/>
    <n v="0"/>
    <n v="0"/>
    <n v="0"/>
    <n v="0"/>
    <n v="0"/>
    <n v="0"/>
    <n v="0"/>
    <n v="0"/>
    <n v="0"/>
    <n v="0"/>
    <n v="0"/>
    <n v="0"/>
    <n v="0"/>
    <n v="0"/>
    <n v="0"/>
    <n v="0"/>
    <n v="0"/>
    <n v="2488.5168106668143"/>
    <n v="2637.8278193068231"/>
    <s v=" "/>
    <s v=" "/>
    <s v=" "/>
    <s v=" "/>
    <s v=" "/>
    <s v=" "/>
    <s v=" "/>
    <s v=" "/>
    <s v=" "/>
    <s v=" "/>
    <s v=" "/>
    <s v=" "/>
    <s v=" "/>
    <s v=" "/>
    <x v="42"/>
    <x v="0"/>
    <x v="0"/>
    <x v="0"/>
    <x v="0"/>
    <x v="1"/>
    <x v="0"/>
    <x v="0"/>
    <x v="43"/>
    <x v="44"/>
    <x v="1"/>
    <x v="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LS08"/>
    <s v="Removal of Berm"/>
    <s v="Excavation"/>
    <s v="LS08_001"/>
    <x v="7"/>
    <n v="29.940713611"/>
    <n v="-25.809147778"/>
    <s v="29° 56' 26.56&quot;E "/>
    <s v="25° 48' 32.93&quot; S"/>
    <s v="Complete"/>
    <s v="Yes"/>
    <s v="Yes"/>
    <d v="2017-05-30T00:00:00"/>
    <s v="NA"/>
    <s v="NA"/>
    <s v="No Drawing"/>
    <s v="Yes"/>
    <s v="00"/>
    <d v="2018-06-16T00:00:00"/>
    <s v="Phase 2"/>
    <s v="Year 3"/>
    <n v="148.53277807866851"/>
    <n v="43.75"/>
    <n v="0"/>
    <n v="0"/>
    <n v="0"/>
    <n v="0"/>
    <n v="0"/>
    <n v="0"/>
    <n v="148.53277807866851"/>
    <n v="148.53277807866851"/>
    <n v="21.875"/>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n v="742.66389039334263"/>
    <n v="2187.5"/>
    <n v="0"/>
    <n v="0"/>
    <n v="0"/>
    <n v="0"/>
    <n v="0"/>
    <n v="0"/>
    <n v="742.66389039334263"/>
    <n v="1485.3277807866853"/>
    <n v="0"/>
    <n v="0"/>
    <n v="0"/>
    <n v="0"/>
    <n v="0"/>
    <n v="0"/>
    <n v="0"/>
    <n v="0"/>
    <n v="0"/>
    <n v="0"/>
    <n v="0"/>
    <n v="0"/>
    <n v="0"/>
    <n v="0"/>
    <n v="0"/>
    <n v="0"/>
    <n v="0"/>
    <n v="0"/>
    <n v="0"/>
    <n v="0"/>
    <n v="0"/>
    <n v="0"/>
    <n v="0"/>
    <n v="0"/>
    <n v="0"/>
    <n v="0"/>
    <n v="0"/>
    <n v="0"/>
    <n v="0"/>
    <n v="0"/>
    <n v="0"/>
    <n v="0"/>
    <n v="0"/>
    <n v="0"/>
    <n v="0"/>
    <n v="0"/>
    <n v="0"/>
    <n v="0"/>
    <n v="0"/>
    <n v="0"/>
    <n v="0"/>
    <n v="0"/>
    <n v="0"/>
    <n v="0"/>
    <n v="0"/>
    <n v="0"/>
    <n v="0"/>
    <n v="0"/>
    <n v="5158.1555615733705"/>
    <s v=" "/>
    <s v=" "/>
    <n v="6143.4458043228706"/>
    <s v=" "/>
    <s v=" "/>
    <s v=" "/>
    <s v=" "/>
    <s v=" "/>
    <s v=" "/>
    <s v=" "/>
    <s v=" "/>
    <s v=" "/>
    <s v=" "/>
    <s v=" "/>
    <s v=" "/>
    <x v="43"/>
    <x v="13"/>
    <x v="0"/>
    <x v="0"/>
    <x v="0"/>
    <x v="1"/>
    <x v="0"/>
    <x v="0"/>
    <x v="44"/>
    <x v="45"/>
    <x v="3"/>
    <x v="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LS12"/>
    <s v="Removal of Dam Wall"/>
    <s v="Excavation"/>
    <s v="LS12_001"/>
    <x v="7"/>
    <n v="29.942104722"/>
    <n v="-25.818853611000002"/>
    <s v="29° 56' 31.57&quot;E "/>
    <s v="25° 49' 07.87&quot; S"/>
    <s v="Complete"/>
    <s v="Yes"/>
    <s v="Yes"/>
    <d v="2017-05-31T00:00:00"/>
    <s v="NA"/>
    <s v="NA"/>
    <s v="No Drawing"/>
    <s v="Yes"/>
    <s v="00"/>
    <d v="2018-06-16T00:00:00"/>
    <s v="Phase 2"/>
    <s v="Year 3"/>
    <n v="2917.7039345374437"/>
    <n v="1696.4739999999999"/>
    <n v="0"/>
    <n v="0"/>
    <n v="0"/>
    <n v="0"/>
    <n v="0"/>
    <n v="0"/>
    <n v="2917.7039345374437"/>
    <n v="2917.7039345374437"/>
    <n v="848.23699999999997"/>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n v="14588.519672687218"/>
    <n v="84823.7"/>
    <n v="0"/>
    <n v="0"/>
    <n v="0"/>
    <n v="0"/>
    <n v="0"/>
    <n v="0"/>
    <n v="14588.519672687218"/>
    <n v="29177.039345374436"/>
    <n v="0"/>
    <n v="0"/>
    <n v="0"/>
    <n v="0"/>
    <n v="0"/>
    <n v="0"/>
    <n v="0"/>
    <n v="0"/>
    <n v="0"/>
    <n v="0"/>
    <n v="0"/>
    <n v="0"/>
    <n v="0"/>
    <n v="0"/>
    <n v="0"/>
    <n v="0"/>
    <n v="0"/>
    <n v="0"/>
    <n v="0"/>
    <n v="0"/>
    <n v="0"/>
    <n v="0"/>
    <n v="0"/>
    <n v="0"/>
    <n v="0"/>
    <n v="0"/>
    <n v="0"/>
    <n v="0"/>
    <n v="0"/>
    <n v="0"/>
    <n v="0"/>
    <n v="0"/>
    <n v="0"/>
    <n v="0"/>
    <n v="0"/>
    <n v="0"/>
    <n v="0"/>
    <n v="0"/>
    <n v="0"/>
    <n v="0"/>
    <n v="0"/>
    <n v="0"/>
    <n v="0"/>
    <n v="0"/>
    <n v="0"/>
    <n v="0"/>
    <n v="0"/>
    <n v="0"/>
    <n v="143177.77869074888"/>
    <s v=" "/>
    <s v=" "/>
    <n v="170527.02526514095"/>
    <s v=" "/>
    <s v=" "/>
    <s v=" "/>
    <s v=" "/>
    <s v=" "/>
    <s v=" "/>
    <s v=" "/>
    <s v=" "/>
    <s v=" "/>
    <s v=" "/>
    <s v=" "/>
    <s v=" "/>
    <x v="44"/>
    <x v="14"/>
    <x v="0"/>
    <x v="0"/>
    <x v="0"/>
    <x v="1"/>
    <x v="0"/>
    <x v="0"/>
    <x v="45"/>
    <x v="46"/>
    <x v="4"/>
    <x v="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LS12"/>
    <s v="Removal of Berm"/>
    <s v="Excavation"/>
    <s v="LS12_002"/>
    <x v="7"/>
    <n v="29.943088611"/>
    <n v="-25.818615277999999"/>
    <s v="29° 56' 35.11&quot;E "/>
    <s v="25° 49' 07.01&quot; S"/>
    <s v="Complete"/>
    <s v="Yes"/>
    <s v="Yes"/>
    <d v="2017-05-31T00:00:00"/>
    <s v="NA"/>
    <s v="NA"/>
    <s v="No Drawing"/>
    <s v="Yes"/>
    <s v="00"/>
    <d v="2018-06-16T00:00:00"/>
    <s v="Phase 2"/>
    <s v="Year 3"/>
    <n v="133.15811403466702"/>
    <n v="27.169999999999998"/>
    <n v="0"/>
    <n v="0"/>
    <n v="0"/>
    <n v="0"/>
    <n v="0"/>
    <n v="0"/>
    <n v="76"/>
    <n v="76"/>
    <n v="13.584999999999999"/>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n v="665.79057017333514"/>
    <n v="1358.5"/>
    <n v="0"/>
    <n v="0"/>
    <n v="0"/>
    <n v="0"/>
    <n v="0"/>
    <n v="0"/>
    <n v="380"/>
    <n v="760"/>
    <n v="0"/>
    <n v="0"/>
    <n v="0"/>
    <n v="0"/>
    <n v="0"/>
    <n v="0"/>
    <n v="0"/>
    <n v="0"/>
    <n v="0"/>
    <n v="0"/>
    <n v="0"/>
    <n v="0"/>
    <n v="0"/>
    <n v="0"/>
    <n v="0"/>
    <n v="0"/>
    <n v="0"/>
    <n v="0"/>
    <n v="0"/>
    <n v="0"/>
    <n v="0"/>
    <n v="0"/>
    <n v="0"/>
    <n v="0"/>
    <n v="0"/>
    <n v="0"/>
    <n v="0"/>
    <n v="0"/>
    <n v="0"/>
    <n v="0"/>
    <n v="0"/>
    <n v="0"/>
    <n v="0"/>
    <n v="0"/>
    <n v="0"/>
    <n v="0"/>
    <n v="0"/>
    <n v="0"/>
    <n v="0"/>
    <n v="0"/>
    <n v="0"/>
    <n v="0"/>
    <n v="0"/>
    <n v="0"/>
    <n v="0"/>
    <n v="0"/>
    <n v="0"/>
    <n v="0"/>
    <n v="3164.2905701733353"/>
    <s v=" "/>
    <s v=" "/>
    <n v="3768.7206977255655"/>
    <s v=" "/>
    <s v=" "/>
    <s v=" "/>
    <s v=" "/>
    <s v=" "/>
    <s v=" "/>
    <s v=" "/>
    <s v=" "/>
    <s v=" "/>
    <s v=" "/>
    <s v=" "/>
    <s v=" "/>
    <x v="45"/>
    <x v="15"/>
    <x v="0"/>
    <x v="0"/>
    <x v="0"/>
    <x v="1"/>
    <x v="0"/>
    <x v="0"/>
    <x v="46"/>
    <x v="47"/>
    <x v="5"/>
    <x v="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LS16"/>
    <s v="Concrete Cut-Off Walls"/>
    <s v="Concrete Cut-off Wall"/>
    <s v="LS16_001"/>
    <x v="8"/>
    <n v="29.949038055999999"/>
    <n v="-25.830849722"/>
    <s v="29° 56' 56.53&quot;E "/>
    <s v="25° 49' 51.05&quot; S"/>
    <s v="Complete"/>
    <s v="Yes"/>
    <s v="Yes"/>
    <d v="2017-02-08T00:00:00"/>
    <s v="YES "/>
    <m/>
    <s v="NBC-GTW-CL-0046"/>
    <s v="Yes"/>
    <s v="00"/>
    <d v="2018-06-16T00:00:00"/>
    <s v="Phase 2"/>
    <s v="Year 3"/>
    <n v="0"/>
    <n v="0"/>
    <n v="0"/>
    <n v="0"/>
    <n v="0"/>
    <n v="5.0399999999999991"/>
    <n v="0"/>
    <n v="0"/>
    <n v="0"/>
    <n v="0"/>
    <n v="0"/>
    <n v="0"/>
    <n v="5.0399999999999991"/>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m/>
    <m/>
    <m/>
    <m/>
    <m/>
    <m/>
    <m/>
    <m/>
    <m/>
    <m/>
    <m/>
    <m/>
    <n v="0"/>
    <n v="0"/>
    <n v="0"/>
    <n v="0"/>
    <n v="0"/>
    <n v="428.39999999999992"/>
    <n v="0"/>
    <n v="0"/>
    <n v="0"/>
    <n v="0"/>
    <n v="0"/>
    <n v="10079.999999999998"/>
    <n v="0"/>
    <n v="0"/>
    <n v="0"/>
    <n v="0"/>
    <n v="0"/>
    <n v="0"/>
    <n v="0"/>
    <n v="0"/>
    <n v="0"/>
    <n v="0"/>
    <n v="0"/>
    <n v="0"/>
    <n v="0"/>
    <n v="0"/>
    <n v="0"/>
    <n v="0"/>
    <n v="0"/>
    <n v="0"/>
    <n v="0"/>
    <n v="0"/>
    <n v="0"/>
    <n v="0"/>
    <n v="0"/>
    <n v="0"/>
    <n v="0"/>
    <n v="0"/>
    <n v="0"/>
    <n v="0"/>
    <n v="0"/>
    <n v="0"/>
    <n v="0"/>
    <n v="0"/>
    <n v="0"/>
    <n v="0"/>
    <n v="0"/>
    <n v="0"/>
    <n v="0"/>
    <n v="0"/>
    <n v="0"/>
    <n v="0"/>
    <n v="0"/>
    <n v="0"/>
    <n v="0"/>
    <n v="0"/>
    <n v="0"/>
    <n v="0"/>
    <n v="10508.399999999998"/>
    <s v=" "/>
    <s v=" "/>
    <n v="12515.672534399999"/>
    <s v=" "/>
    <s v=" "/>
    <s v=" "/>
    <s v=" "/>
    <s v=" "/>
    <s v=" "/>
    <s v=" "/>
    <s v=" "/>
    <s v=" "/>
    <s v=" "/>
    <s v=" "/>
    <s v=" "/>
    <x v="0"/>
    <x v="0"/>
    <x v="0"/>
    <x v="0"/>
    <x v="0"/>
    <x v="76"/>
    <x v="0"/>
    <x v="0"/>
    <x v="0"/>
    <x v="4"/>
    <x v="1"/>
    <x v="1"/>
    <x v="59"/>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LS16"/>
    <s v="Concrete Cut-Off Walls"/>
    <s v="Concrete Cut-off Wall"/>
    <s v="LS16_002"/>
    <x v="8"/>
    <n v="29.949395555999999"/>
    <n v="-25.830631110999999"/>
    <s v="29° 56' 57.82&quot;E "/>
    <s v="25° 49' 50.27&quot; S"/>
    <s v="Complete"/>
    <s v="Yes"/>
    <s v="Yes"/>
    <d v="2017-02-08T00:00:00"/>
    <s v="YES "/>
    <m/>
    <s v="NBC-GTW-CL-0046"/>
    <s v="Yes"/>
    <s v="00"/>
    <d v="2018-06-16T00:00:00"/>
    <s v="Phase 2"/>
    <s v="Year 3"/>
    <n v="0"/>
    <n v="0"/>
    <n v="0"/>
    <n v="0"/>
    <n v="0"/>
    <n v="4.8"/>
    <n v="0"/>
    <n v="0"/>
    <n v="0"/>
    <n v="0"/>
    <n v="0"/>
    <n v="0"/>
    <n v="4.8"/>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m/>
    <m/>
    <m/>
    <m/>
    <m/>
    <m/>
    <m/>
    <m/>
    <m/>
    <m/>
    <m/>
    <m/>
    <n v="0"/>
    <n v="0"/>
    <n v="0"/>
    <n v="0"/>
    <n v="0"/>
    <n v="408"/>
    <n v="0"/>
    <n v="0"/>
    <n v="0"/>
    <n v="0"/>
    <n v="0"/>
    <n v="9600"/>
    <n v="0"/>
    <n v="0"/>
    <n v="0"/>
    <n v="0"/>
    <n v="0"/>
    <n v="0"/>
    <n v="0"/>
    <n v="0"/>
    <n v="0"/>
    <n v="0"/>
    <n v="0"/>
    <n v="0"/>
    <n v="0"/>
    <n v="0"/>
    <n v="0"/>
    <n v="0"/>
    <n v="0"/>
    <n v="0"/>
    <n v="0"/>
    <n v="0"/>
    <n v="0"/>
    <n v="0"/>
    <n v="0"/>
    <n v="0"/>
    <n v="0"/>
    <n v="0"/>
    <n v="0"/>
    <n v="0"/>
    <n v="0"/>
    <n v="0"/>
    <n v="0"/>
    <n v="0"/>
    <n v="0"/>
    <n v="0"/>
    <n v="0"/>
    <n v="0"/>
    <n v="0"/>
    <n v="0"/>
    <n v="0"/>
    <n v="0"/>
    <n v="0"/>
    <n v="0"/>
    <n v="0"/>
    <n v="0"/>
    <n v="0"/>
    <n v="0"/>
    <n v="10008"/>
    <s v=" "/>
    <s v=" "/>
    <n v="11919.688128000003"/>
    <s v=" "/>
    <s v=" "/>
    <s v=" "/>
    <s v=" "/>
    <s v=" "/>
    <s v=" "/>
    <s v=" "/>
    <s v=" "/>
    <s v=" "/>
    <s v=" "/>
    <s v=" "/>
    <s v=" "/>
    <x v="0"/>
    <x v="0"/>
    <x v="0"/>
    <x v="0"/>
    <x v="0"/>
    <x v="77"/>
    <x v="0"/>
    <x v="0"/>
    <x v="0"/>
    <x v="4"/>
    <x v="1"/>
    <x v="1"/>
    <x v="6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LS16"/>
    <s v="Concrete Cut-Off Walls"/>
    <s v="Concrete Cut-off Wall"/>
    <s v="LS16_003"/>
    <x v="8"/>
    <n v="29.949776944"/>
    <n v="-25.830583055999998"/>
    <s v="29° 56' 59.19&quot;E "/>
    <s v="25° 49' 50.09&quot; S"/>
    <s v="Complete"/>
    <s v="Yes"/>
    <s v="Yes"/>
    <d v="2017-02-08T00:00:00"/>
    <s v="YES "/>
    <m/>
    <s v="NBC-GTW-CL-0046"/>
    <s v="Yes"/>
    <s v="00"/>
    <d v="2018-06-16T00:00:00"/>
    <s v="Phase 2"/>
    <s v="Year 3"/>
    <n v="0"/>
    <n v="0"/>
    <n v="0"/>
    <n v="0"/>
    <n v="0"/>
    <n v="2.1"/>
    <n v="0"/>
    <n v="0"/>
    <n v="0"/>
    <n v="0"/>
    <n v="0"/>
    <n v="0"/>
    <n v="2.1"/>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m/>
    <m/>
    <m/>
    <m/>
    <m/>
    <m/>
    <m/>
    <m/>
    <m/>
    <m/>
    <m/>
    <m/>
    <n v="0"/>
    <n v="0"/>
    <n v="0"/>
    <n v="0"/>
    <n v="0"/>
    <n v="178.5"/>
    <n v="0"/>
    <n v="0"/>
    <n v="0"/>
    <n v="0"/>
    <n v="0"/>
    <n v="4200"/>
    <n v="0"/>
    <n v="0"/>
    <n v="0"/>
    <n v="0"/>
    <n v="0"/>
    <n v="0"/>
    <n v="0"/>
    <n v="0"/>
    <n v="0"/>
    <n v="0"/>
    <n v="0"/>
    <n v="0"/>
    <n v="0"/>
    <n v="0"/>
    <n v="0"/>
    <n v="0"/>
    <n v="0"/>
    <n v="0"/>
    <n v="0"/>
    <n v="0"/>
    <n v="0"/>
    <n v="0"/>
    <n v="0"/>
    <n v="0"/>
    <n v="0"/>
    <n v="0"/>
    <n v="0"/>
    <n v="0"/>
    <n v="0"/>
    <n v="0"/>
    <n v="0"/>
    <n v="0"/>
    <n v="0"/>
    <n v="0"/>
    <n v="0"/>
    <n v="0"/>
    <n v="0"/>
    <n v="0"/>
    <n v="0"/>
    <n v="0"/>
    <n v="0"/>
    <n v="0"/>
    <n v="0"/>
    <n v="0"/>
    <n v="0"/>
    <n v="0"/>
    <n v="4378.5"/>
    <s v=" "/>
    <s v=" "/>
    <n v="5214.8635560000002"/>
    <s v=" "/>
    <s v=" "/>
    <s v=" "/>
    <s v=" "/>
    <s v=" "/>
    <s v=" "/>
    <s v=" "/>
    <s v=" "/>
    <s v=" "/>
    <s v=" "/>
    <s v=" "/>
    <s v=" "/>
    <x v="0"/>
    <x v="0"/>
    <x v="0"/>
    <x v="0"/>
    <x v="0"/>
    <x v="78"/>
    <x v="0"/>
    <x v="0"/>
    <x v="0"/>
    <x v="4"/>
    <x v="1"/>
    <x v="1"/>
    <x v="6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LS16"/>
    <s v="Concrete Cut-Off Walls"/>
    <s v="Concrete Cut-off Wall"/>
    <s v="LS16_004"/>
    <x v="8"/>
    <n v="29.949981111"/>
    <n v="-25.830569444000002"/>
    <s v="29° 56' 59.93&quot;E "/>
    <s v="25° 49' 50.04&quot; S"/>
    <s v="Complete"/>
    <s v="Yes"/>
    <s v="Yes"/>
    <d v="2017-02-08T00:00:00"/>
    <s v="YES "/>
    <m/>
    <s v="NBC-GTW-CL-0046"/>
    <s v="Yes"/>
    <s v="00"/>
    <d v="2018-06-16T00:00:00"/>
    <s v="Phase 2"/>
    <s v="Year 3"/>
    <n v="0"/>
    <n v="0"/>
    <n v="0"/>
    <n v="0"/>
    <n v="0"/>
    <n v="2.4"/>
    <n v="0"/>
    <n v="0"/>
    <n v="0"/>
    <n v="0"/>
    <n v="0"/>
    <n v="0"/>
    <n v="2.4"/>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m/>
    <m/>
    <m/>
    <m/>
    <m/>
    <m/>
    <m/>
    <m/>
    <m/>
    <m/>
    <m/>
    <m/>
    <n v="0"/>
    <n v="0"/>
    <n v="0"/>
    <n v="0"/>
    <n v="0"/>
    <n v="204"/>
    <n v="0"/>
    <n v="0"/>
    <n v="0"/>
    <n v="0"/>
    <n v="0"/>
    <n v="4800"/>
    <n v="0"/>
    <n v="0"/>
    <n v="0"/>
    <n v="0"/>
    <n v="0"/>
    <n v="0"/>
    <n v="0"/>
    <n v="0"/>
    <n v="0"/>
    <n v="0"/>
    <n v="0"/>
    <n v="0"/>
    <n v="0"/>
    <n v="0"/>
    <n v="0"/>
    <n v="0"/>
    <n v="0"/>
    <n v="0"/>
    <n v="0"/>
    <n v="0"/>
    <n v="0"/>
    <n v="0"/>
    <n v="0"/>
    <n v="0"/>
    <n v="0"/>
    <n v="0"/>
    <n v="0"/>
    <n v="0"/>
    <n v="0"/>
    <n v="0"/>
    <n v="0"/>
    <n v="0"/>
    <n v="0"/>
    <n v="0"/>
    <n v="0"/>
    <n v="0"/>
    <n v="0"/>
    <n v="0"/>
    <n v="0"/>
    <n v="0"/>
    <n v="0"/>
    <n v="0"/>
    <n v="0"/>
    <n v="0"/>
    <n v="0"/>
    <n v="0"/>
    <n v="5004"/>
    <s v=" "/>
    <s v=" "/>
    <n v="5959.8440640000017"/>
    <s v=" "/>
    <s v=" "/>
    <s v=" "/>
    <s v=" "/>
    <s v=" "/>
    <s v=" "/>
    <s v=" "/>
    <s v=" "/>
    <s v=" "/>
    <s v=" "/>
    <s v=" "/>
    <s v=" "/>
    <x v="0"/>
    <x v="0"/>
    <x v="0"/>
    <x v="0"/>
    <x v="0"/>
    <x v="79"/>
    <x v="0"/>
    <x v="0"/>
    <x v="0"/>
    <x v="4"/>
    <x v="1"/>
    <x v="1"/>
    <x v="62"/>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LS16"/>
    <s v="Concrete Cut-Off Walls"/>
    <s v="Concrete Cut-off Wall"/>
    <s v="LS16_005"/>
    <x v="8"/>
    <n v="29.950567222"/>
    <n v="-25.830575555999999"/>
    <s v="29° 57' 02.04&quot;E "/>
    <s v="25° 49' 50.07&quot; S"/>
    <s v="Complete"/>
    <s v="Yes"/>
    <s v="Yes"/>
    <d v="2017-02-08T00:00:00"/>
    <s v="YES "/>
    <m/>
    <s v="NBC-GTW-CL-0046"/>
    <s v="Yes"/>
    <s v="00"/>
    <d v="2018-06-16T00:00:00"/>
    <s v="Phase 2"/>
    <s v="Year 3"/>
    <n v="0"/>
    <n v="0"/>
    <n v="0"/>
    <n v="0"/>
    <n v="0"/>
    <n v="3.5999999999999996"/>
    <n v="0"/>
    <n v="0"/>
    <n v="0"/>
    <n v="0"/>
    <n v="0"/>
    <n v="0"/>
    <n v="3.5999999999999996"/>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m/>
    <m/>
    <m/>
    <m/>
    <m/>
    <m/>
    <m/>
    <m/>
    <m/>
    <m/>
    <m/>
    <m/>
    <n v="0"/>
    <n v="0"/>
    <n v="0"/>
    <n v="0"/>
    <n v="0"/>
    <n v="305.99999999999994"/>
    <n v="0"/>
    <n v="0"/>
    <n v="0"/>
    <n v="0"/>
    <n v="0"/>
    <n v="7199.9999999999991"/>
    <n v="0"/>
    <n v="0"/>
    <n v="0"/>
    <n v="0"/>
    <n v="0"/>
    <n v="0"/>
    <n v="0"/>
    <n v="0"/>
    <n v="0"/>
    <n v="0"/>
    <n v="0"/>
    <n v="0"/>
    <n v="0"/>
    <n v="0"/>
    <n v="0"/>
    <n v="0"/>
    <n v="0"/>
    <n v="0"/>
    <n v="0"/>
    <n v="0"/>
    <n v="0"/>
    <n v="0"/>
    <n v="0"/>
    <n v="0"/>
    <n v="0"/>
    <n v="0"/>
    <n v="0"/>
    <n v="0"/>
    <n v="0"/>
    <n v="0"/>
    <n v="0"/>
    <n v="0"/>
    <n v="0"/>
    <n v="0"/>
    <n v="0"/>
    <n v="0"/>
    <n v="0"/>
    <n v="0"/>
    <n v="0"/>
    <n v="0"/>
    <n v="0"/>
    <n v="0"/>
    <n v="0"/>
    <n v="0"/>
    <n v="0"/>
    <n v="0"/>
    <n v="7505.9999999999991"/>
    <s v=" "/>
    <s v=" "/>
    <n v="8939.7660959999994"/>
    <s v=" "/>
    <s v=" "/>
    <s v=" "/>
    <s v=" "/>
    <s v=" "/>
    <s v=" "/>
    <s v=" "/>
    <s v=" "/>
    <s v=" "/>
    <s v=" "/>
    <s v=" "/>
    <s v=" "/>
    <x v="0"/>
    <x v="0"/>
    <x v="0"/>
    <x v="0"/>
    <x v="0"/>
    <x v="80"/>
    <x v="0"/>
    <x v="0"/>
    <x v="0"/>
    <x v="4"/>
    <x v="1"/>
    <x v="1"/>
    <x v="63"/>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LS16"/>
    <s v="Concrete Cut-Off Walls"/>
    <s v="Concrete Cut-off Wall"/>
    <s v="LS16_006"/>
    <x v="8"/>
    <n v="29.949362222000001"/>
    <n v="-25.830436388999999"/>
    <s v="29° 56' 57.70&quot;E "/>
    <s v="25° 49' 49.57&quot; S"/>
    <s v="Complete"/>
    <s v="Yes"/>
    <s v="Yes"/>
    <d v="2017-02-08T00:00:00"/>
    <s v="YES "/>
    <m/>
    <s v="NBC-GTW-CL-0046"/>
    <s v="Yes"/>
    <s v="00"/>
    <d v="2018-06-16T00:00:00"/>
    <s v="Phase 2"/>
    <s v="Year 3"/>
    <n v="0"/>
    <n v="0"/>
    <n v="0"/>
    <n v="0"/>
    <n v="0"/>
    <n v="6.48"/>
    <n v="0"/>
    <n v="0"/>
    <n v="0"/>
    <n v="0"/>
    <n v="0"/>
    <n v="0"/>
    <n v="6.48"/>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m/>
    <m/>
    <m/>
    <m/>
    <m/>
    <m/>
    <m/>
    <m/>
    <m/>
    <m/>
    <m/>
    <m/>
    <n v="0"/>
    <n v="0"/>
    <n v="0"/>
    <n v="0"/>
    <n v="0"/>
    <n v="550.80000000000007"/>
    <n v="0"/>
    <n v="0"/>
    <n v="0"/>
    <n v="0"/>
    <n v="0"/>
    <n v="12960"/>
    <n v="0"/>
    <n v="0"/>
    <n v="0"/>
    <n v="0"/>
    <n v="0"/>
    <n v="0"/>
    <n v="0"/>
    <n v="0"/>
    <n v="0"/>
    <n v="0"/>
    <n v="0"/>
    <n v="0"/>
    <n v="0"/>
    <n v="0"/>
    <n v="0"/>
    <n v="0"/>
    <n v="0"/>
    <n v="0"/>
    <n v="0"/>
    <n v="0"/>
    <n v="0"/>
    <n v="0"/>
    <n v="0"/>
    <n v="0"/>
    <n v="0"/>
    <n v="0"/>
    <n v="0"/>
    <n v="0"/>
    <n v="0"/>
    <n v="0"/>
    <n v="0"/>
    <n v="0"/>
    <n v="0"/>
    <n v="0"/>
    <n v="0"/>
    <n v="0"/>
    <n v="0"/>
    <n v="0"/>
    <n v="0"/>
    <n v="0"/>
    <n v="0"/>
    <n v="0"/>
    <n v="0"/>
    <n v="0"/>
    <n v="0"/>
    <n v="0"/>
    <n v="13510.8"/>
    <s v=" "/>
    <s v=" "/>
    <n v="16091.578972800004"/>
    <s v=" "/>
    <s v=" "/>
    <s v=" "/>
    <s v=" "/>
    <s v=" "/>
    <s v=" "/>
    <s v=" "/>
    <s v=" "/>
    <s v=" "/>
    <s v=" "/>
    <s v=" "/>
    <s v=" "/>
    <x v="0"/>
    <x v="0"/>
    <x v="0"/>
    <x v="0"/>
    <x v="0"/>
    <x v="81"/>
    <x v="0"/>
    <x v="0"/>
    <x v="0"/>
    <x v="4"/>
    <x v="1"/>
    <x v="1"/>
    <x v="64"/>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LS16"/>
    <s v="Concrete Cut-Off Walls"/>
    <s v="Concrete Cut-off Wall"/>
    <s v="LS16_007"/>
    <x v="8"/>
    <n v="29.949496110999998"/>
    <n v="-25.830259000000002"/>
    <s v="29° 56' 58.18&quot;E "/>
    <s v="25° 49' 48.93&quot; S"/>
    <s v="Complete"/>
    <s v="Yes"/>
    <s v="Yes"/>
    <d v="2017-02-08T00:00:00"/>
    <s v="YES "/>
    <m/>
    <s v="NBC-GTW-CL-0046"/>
    <s v="Yes"/>
    <s v="00"/>
    <d v="2018-06-16T00:00:00"/>
    <s v="Phase 2"/>
    <s v="Year 3"/>
    <n v="0"/>
    <n v="0"/>
    <n v="0"/>
    <n v="0"/>
    <n v="0"/>
    <n v="5.94"/>
    <n v="0"/>
    <n v="0"/>
    <n v="0"/>
    <n v="0"/>
    <n v="0"/>
    <n v="0"/>
    <n v="5.94"/>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m/>
    <m/>
    <m/>
    <m/>
    <m/>
    <m/>
    <m/>
    <m/>
    <m/>
    <m/>
    <m/>
    <m/>
    <n v="0"/>
    <n v="0"/>
    <n v="0"/>
    <n v="0"/>
    <n v="0"/>
    <n v="504.90000000000003"/>
    <n v="0"/>
    <n v="0"/>
    <n v="0"/>
    <n v="0"/>
    <n v="0"/>
    <n v="11880"/>
    <n v="0"/>
    <n v="0"/>
    <n v="0"/>
    <n v="0"/>
    <n v="0"/>
    <n v="0"/>
    <n v="0"/>
    <n v="0"/>
    <n v="0"/>
    <n v="0"/>
    <n v="0"/>
    <n v="0"/>
    <n v="0"/>
    <n v="0"/>
    <n v="0"/>
    <n v="0"/>
    <n v="0"/>
    <n v="0"/>
    <n v="0"/>
    <n v="0"/>
    <n v="0"/>
    <n v="0"/>
    <n v="0"/>
    <n v="0"/>
    <n v="0"/>
    <n v="0"/>
    <n v="0"/>
    <n v="0"/>
    <n v="0"/>
    <n v="0"/>
    <n v="0"/>
    <n v="0"/>
    <n v="0"/>
    <n v="0"/>
    <n v="0"/>
    <n v="0"/>
    <n v="0"/>
    <n v="0"/>
    <n v="0"/>
    <n v="0"/>
    <n v="0"/>
    <n v="0"/>
    <n v="0"/>
    <n v="0"/>
    <n v="0"/>
    <n v="0"/>
    <n v="12384.9"/>
    <s v=" "/>
    <s v=" "/>
    <n v="14750.614058400002"/>
    <s v=" "/>
    <s v=" "/>
    <s v=" "/>
    <s v=" "/>
    <s v=" "/>
    <s v=" "/>
    <s v=" "/>
    <s v=" "/>
    <s v=" "/>
    <s v=" "/>
    <s v=" "/>
    <s v=" "/>
    <x v="0"/>
    <x v="0"/>
    <x v="0"/>
    <x v="0"/>
    <x v="0"/>
    <x v="82"/>
    <x v="0"/>
    <x v="0"/>
    <x v="0"/>
    <x v="4"/>
    <x v="1"/>
    <x v="1"/>
    <x v="65"/>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LS16"/>
    <s v="Concrete Cut-Off Walls"/>
    <s v="Concrete Cut-off Wall"/>
    <s v="LS16_008"/>
    <x v="8"/>
    <n v="29.949641667000002"/>
    <n v="-25.830011667000001"/>
    <s v="29° 56' 58.71&quot;E "/>
    <s v="25° 49' 48.04&quot; S"/>
    <s v="Complete"/>
    <s v="Yes"/>
    <s v="Yes"/>
    <d v="2017-02-08T00:00:00"/>
    <s v="YES "/>
    <m/>
    <s v="NBC-GTW-CL-0046"/>
    <s v="Yes"/>
    <s v="00"/>
    <d v="2018-06-16T00:00:00"/>
    <s v="Phase 2"/>
    <s v="Year 3"/>
    <n v="0"/>
    <n v="0"/>
    <n v="0"/>
    <n v="0"/>
    <n v="0"/>
    <n v="4.1325000000000003"/>
    <n v="0"/>
    <n v="0"/>
    <n v="0"/>
    <n v="0"/>
    <n v="0"/>
    <n v="0"/>
    <n v="4.1325000000000003"/>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m/>
    <m/>
    <m/>
    <m/>
    <m/>
    <m/>
    <m/>
    <m/>
    <m/>
    <m/>
    <m/>
    <m/>
    <n v="0"/>
    <n v="0"/>
    <n v="0"/>
    <n v="0"/>
    <n v="0"/>
    <n v="351.26250000000005"/>
    <n v="0"/>
    <n v="0"/>
    <n v="0"/>
    <n v="0"/>
    <n v="0"/>
    <n v="8265"/>
    <n v="0"/>
    <n v="0"/>
    <n v="0"/>
    <n v="0"/>
    <n v="0"/>
    <n v="0"/>
    <n v="0"/>
    <n v="0"/>
    <n v="0"/>
    <n v="0"/>
    <n v="0"/>
    <n v="0"/>
    <n v="0"/>
    <n v="0"/>
    <n v="0"/>
    <n v="0"/>
    <n v="0"/>
    <n v="0"/>
    <n v="0"/>
    <n v="0"/>
    <n v="0"/>
    <n v="0"/>
    <n v="0"/>
    <n v="0"/>
    <n v="0"/>
    <n v="0"/>
    <n v="0"/>
    <n v="0"/>
    <n v="0"/>
    <n v="0"/>
    <n v="0"/>
    <n v="0"/>
    <n v="0"/>
    <n v="0"/>
    <n v="0"/>
    <n v="0"/>
    <n v="0"/>
    <n v="0"/>
    <n v="0"/>
    <n v="0"/>
    <n v="0"/>
    <n v="0"/>
    <n v="0"/>
    <n v="0"/>
    <n v="0"/>
    <n v="0"/>
    <n v="8616.2625000000007"/>
    <s v=" "/>
    <s v=" "/>
    <n v="10262.106497700001"/>
    <s v=" "/>
    <s v=" "/>
    <s v=" "/>
    <s v=" "/>
    <s v=" "/>
    <s v=" "/>
    <s v=" "/>
    <s v=" "/>
    <s v=" "/>
    <s v=" "/>
    <s v=" "/>
    <s v=" "/>
    <x v="0"/>
    <x v="0"/>
    <x v="0"/>
    <x v="0"/>
    <x v="0"/>
    <x v="83"/>
    <x v="0"/>
    <x v="0"/>
    <x v="0"/>
    <x v="4"/>
    <x v="1"/>
    <x v="1"/>
    <x v="66"/>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LS16"/>
    <s v="Concrete Cut-Off Walls"/>
    <s v="Concrete Cut-off Wall"/>
    <s v="LS16_009"/>
    <x v="8"/>
    <n v="29.949866944"/>
    <n v="-25.829684722"/>
    <s v="29° 56' 59.52&quot;E "/>
    <s v="25° 49' 46.86&quot; S"/>
    <s v="Complete"/>
    <s v="Yes"/>
    <s v="Yes"/>
    <d v="2017-02-08T00:00:00"/>
    <s v="YES "/>
    <m/>
    <s v="NBC-GTW-CL-0046"/>
    <s v="Yes"/>
    <s v="00"/>
    <d v="2018-06-16T00:00:00"/>
    <s v="Phase 2"/>
    <s v="Year 3"/>
    <n v="0"/>
    <n v="0"/>
    <n v="0"/>
    <n v="0"/>
    <n v="0"/>
    <n v="4.3499999999999996"/>
    <n v="0"/>
    <n v="0"/>
    <n v="0"/>
    <n v="0"/>
    <n v="0"/>
    <n v="0"/>
    <n v="4.3499999999999996"/>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m/>
    <m/>
    <m/>
    <m/>
    <m/>
    <m/>
    <m/>
    <m/>
    <m/>
    <m/>
    <m/>
    <m/>
    <n v="0"/>
    <n v="0"/>
    <n v="0"/>
    <n v="0"/>
    <n v="0"/>
    <n v="369.74999999999994"/>
    <n v="0"/>
    <n v="0"/>
    <n v="0"/>
    <n v="0"/>
    <n v="0"/>
    <n v="8700"/>
    <n v="0"/>
    <n v="0"/>
    <n v="0"/>
    <n v="0"/>
    <n v="0"/>
    <n v="0"/>
    <n v="0"/>
    <n v="0"/>
    <n v="0"/>
    <n v="0"/>
    <n v="0"/>
    <n v="0"/>
    <n v="0"/>
    <n v="0"/>
    <n v="0"/>
    <n v="0"/>
    <n v="0"/>
    <n v="0"/>
    <n v="0"/>
    <n v="0"/>
    <n v="0"/>
    <n v="0"/>
    <n v="0"/>
    <n v="0"/>
    <n v="0"/>
    <n v="0"/>
    <n v="0"/>
    <n v="0"/>
    <n v="0"/>
    <n v="0"/>
    <n v="0"/>
    <n v="0"/>
    <n v="0"/>
    <n v="0"/>
    <n v="0"/>
    <n v="0"/>
    <n v="0"/>
    <n v="0"/>
    <n v="0"/>
    <n v="0"/>
    <n v="0"/>
    <n v="0"/>
    <n v="0"/>
    <n v="0"/>
    <n v="0"/>
    <n v="0"/>
    <n v="9069.75"/>
    <s v=" "/>
    <s v=" "/>
    <n v="10802.217366000003"/>
    <s v=" "/>
    <s v=" "/>
    <s v=" "/>
    <s v=" "/>
    <s v=" "/>
    <s v=" "/>
    <s v=" "/>
    <s v=" "/>
    <s v=" "/>
    <s v=" "/>
    <s v=" "/>
    <s v=" "/>
    <x v="0"/>
    <x v="0"/>
    <x v="0"/>
    <x v="0"/>
    <x v="0"/>
    <x v="84"/>
    <x v="0"/>
    <x v="0"/>
    <x v="0"/>
    <x v="4"/>
    <x v="1"/>
    <x v="1"/>
    <x v="67"/>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LS16"/>
    <s v="Concrete Cut-Off Walls"/>
    <s v="Concrete Cut-off Wall"/>
    <s v="LS16_010"/>
    <x v="8"/>
    <n v="29.950084722"/>
    <n v="-25.829402221999999"/>
    <s v="29° 57' 00.30&quot;E "/>
    <s v="25° 49' 45.84&quot; S"/>
    <s v="Complete"/>
    <s v="Yes"/>
    <s v="Yes"/>
    <d v="2017-02-08T00:00:00"/>
    <s v="YES "/>
    <m/>
    <s v="NBC-GTW-CL-0046"/>
    <s v="Yes"/>
    <s v="00"/>
    <d v="2018-06-16T00:00:00"/>
    <s v="Phase 2"/>
    <s v="Year 3"/>
    <n v="0"/>
    <n v="0"/>
    <n v="0"/>
    <n v="0"/>
    <n v="0"/>
    <n v="5.0999999999999996"/>
    <n v="0"/>
    <n v="0"/>
    <n v="0"/>
    <n v="0"/>
    <n v="0"/>
    <n v="0"/>
    <n v="5.0999999999999996"/>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m/>
    <m/>
    <m/>
    <m/>
    <m/>
    <m/>
    <m/>
    <m/>
    <m/>
    <m/>
    <m/>
    <m/>
    <n v="0"/>
    <n v="0"/>
    <n v="0"/>
    <n v="0"/>
    <n v="0"/>
    <n v="433.49999999999994"/>
    <n v="0"/>
    <n v="0"/>
    <n v="0"/>
    <n v="0"/>
    <n v="0"/>
    <n v="10200"/>
    <n v="0"/>
    <n v="0"/>
    <n v="0"/>
    <n v="0"/>
    <n v="0"/>
    <n v="0"/>
    <n v="0"/>
    <n v="0"/>
    <n v="0"/>
    <n v="0"/>
    <n v="0"/>
    <n v="0"/>
    <n v="0"/>
    <n v="0"/>
    <n v="0"/>
    <n v="0"/>
    <n v="0"/>
    <n v="0"/>
    <n v="0"/>
    <n v="0"/>
    <n v="0"/>
    <n v="0"/>
    <n v="0"/>
    <n v="0"/>
    <n v="0"/>
    <n v="0"/>
    <n v="0"/>
    <n v="0"/>
    <n v="0"/>
    <n v="0"/>
    <n v="0"/>
    <n v="0"/>
    <n v="0"/>
    <n v="0"/>
    <n v="0"/>
    <n v="0"/>
    <n v="0"/>
    <n v="0"/>
    <n v="0"/>
    <n v="0"/>
    <n v="0"/>
    <n v="0"/>
    <n v="0"/>
    <n v="0"/>
    <n v="0"/>
    <n v="0"/>
    <n v="10633.5"/>
    <s v=" "/>
    <s v=" "/>
    <n v="12664.668636"/>
    <s v=" "/>
    <s v=" "/>
    <s v=" "/>
    <s v=" "/>
    <s v=" "/>
    <s v=" "/>
    <s v=" "/>
    <s v=" "/>
    <s v=" "/>
    <s v=" "/>
    <s v=" "/>
    <s v=" "/>
    <x v="0"/>
    <x v="0"/>
    <x v="0"/>
    <x v="0"/>
    <x v="0"/>
    <x v="85"/>
    <x v="0"/>
    <x v="0"/>
    <x v="0"/>
    <x v="4"/>
    <x v="1"/>
    <x v="1"/>
    <x v="68"/>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LS16"/>
    <s v="Concrete Cut-Off Walls"/>
    <s v="Concrete Cut-off Wall"/>
    <s v="LS16_011"/>
    <x v="8"/>
    <n v="29.950328611"/>
    <n v="-25.829112500000001"/>
    <s v="29° 57' 01.18&quot;E "/>
    <s v="25° 49' 44.80&quot; S"/>
    <s v="Complete"/>
    <s v="Yes"/>
    <s v="Yes"/>
    <d v="2017-02-08T00:00:00"/>
    <s v="YES "/>
    <m/>
    <s v="NBC-GTW-CL-0046"/>
    <s v="Yes"/>
    <s v="00"/>
    <d v="2018-06-16T00:00:00"/>
    <s v="Phase 2"/>
    <s v="Year 3"/>
    <n v="0"/>
    <n v="0"/>
    <n v="0"/>
    <n v="0"/>
    <n v="0"/>
    <n v="3.3"/>
    <n v="0"/>
    <n v="0"/>
    <n v="0"/>
    <n v="0"/>
    <n v="0"/>
    <n v="0"/>
    <n v="3.3"/>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m/>
    <m/>
    <m/>
    <m/>
    <m/>
    <m/>
    <m/>
    <m/>
    <m/>
    <m/>
    <m/>
    <m/>
    <n v="0"/>
    <n v="0"/>
    <n v="0"/>
    <n v="0"/>
    <n v="0"/>
    <n v="280.5"/>
    <n v="0"/>
    <n v="0"/>
    <n v="0"/>
    <n v="0"/>
    <n v="0"/>
    <n v="6600"/>
    <n v="0"/>
    <n v="0"/>
    <n v="0"/>
    <n v="0"/>
    <n v="0"/>
    <n v="0"/>
    <n v="0"/>
    <n v="0"/>
    <n v="0"/>
    <n v="0"/>
    <n v="0"/>
    <n v="0"/>
    <n v="0"/>
    <n v="0"/>
    <n v="0"/>
    <n v="0"/>
    <n v="0"/>
    <n v="0"/>
    <n v="0"/>
    <n v="0"/>
    <n v="0"/>
    <n v="0"/>
    <n v="0"/>
    <n v="0"/>
    <n v="0"/>
    <n v="0"/>
    <n v="0"/>
    <n v="0"/>
    <n v="0"/>
    <n v="0"/>
    <n v="0"/>
    <n v="0"/>
    <n v="0"/>
    <n v="0"/>
    <n v="0"/>
    <n v="0"/>
    <n v="0"/>
    <n v="0"/>
    <n v="0"/>
    <n v="0"/>
    <n v="0"/>
    <n v="0"/>
    <n v="0"/>
    <n v="0"/>
    <n v="0"/>
    <n v="0"/>
    <n v="6880.5"/>
    <s v=" "/>
    <s v=" "/>
    <n v="8194.7855880000006"/>
    <s v=" "/>
    <s v=" "/>
    <s v=" "/>
    <s v=" "/>
    <s v=" "/>
    <s v=" "/>
    <s v=" "/>
    <s v=" "/>
    <s v=" "/>
    <s v=" "/>
    <s v=" "/>
    <s v=" "/>
    <x v="0"/>
    <x v="0"/>
    <x v="0"/>
    <x v="0"/>
    <x v="0"/>
    <x v="86"/>
    <x v="0"/>
    <x v="0"/>
    <x v="0"/>
    <x v="4"/>
    <x v="1"/>
    <x v="1"/>
    <x v="69"/>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LS16"/>
    <s v="Removal of Road"/>
    <s v="Excavation"/>
    <s v="LS16_012"/>
    <x v="7"/>
    <n v="29.950989444000001"/>
    <n v="-25.827819999999999"/>
    <s v="29° 57' 03.56&quot;E "/>
    <s v="25° 49' 40.15&quot; S"/>
    <s v="Complete"/>
    <s v="Yes"/>
    <s v="Yes"/>
    <d v="2017-05-31T00:00:00"/>
    <s v="NA"/>
    <s v="NA"/>
    <s v="No Drawing"/>
    <s v="Yes"/>
    <s v="00"/>
    <d v="2018-06-16T00:00:00"/>
    <s v="Phase 2"/>
    <s v="Year 3"/>
    <n v="0"/>
    <n v="161.54999999999998"/>
    <n v="0"/>
    <n v="0"/>
    <n v="0"/>
    <n v="0"/>
    <n v="0"/>
    <n v="0"/>
    <n v="360"/>
    <n v="360"/>
    <n v="80.774999999999991"/>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n v="0"/>
    <n v="8077.4999999999991"/>
    <n v="0"/>
    <n v="0"/>
    <n v="0"/>
    <n v="0"/>
    <n v="0"/>
    <n v="0"/>
    <n v="1800"/>
    <n v="3600"/>
    <n v="0"/>
    <n v="0"/>
    <n v="0"/>
    <n v="0"/>
    <n v="0"/>
    <n v="0"/>
    <n v="0"/>
    <n v="0"/>
    <n v="0"/>
    <n v="0"/>
    <n v="0"/>
    <n v="0"/>
    <n v="0"/>
    <n v="0"/>
    <n v="0"/>
    <n v="0"/>
    <n v="0"/>
    <n v="0"/>
    <n v="0"/>
    <n v="0"/>
    <n v="0"/>
    <n v="0"/>
    <n v="0"/>
    <n v="0"/>
    <n v="0"/>
    <n v="0"/>
    <n v="0"/>
    <n v="0"/>
    <n v="0"/>
    <n v="0"/>
    <n v="0"/>
    <n v="0"/>
    <n v="0"/>
    <n v="0"/>
    <n v="0"/>
    <n v="0"/>
    <n v="0"/>
    <n v="0"/>
    <n v="0"/>
    <n v="0"/>
    <n v="0"/>
    <n v="0"/>
    <n v="0"/>
    <n v="0"/>
    <n v="0"/>
    <n v="0"/>
    <n v="0"/>
    <n v="0"/>
    <n v="13477.5"/>
    <s v=" "/>
    <s v=" "/>
    <n v="16051.918140000003"/>
    <s v=" "/>
    <s v=" "/>
    <s v=" "/>
    <s v=" "/>
    <s v=" "/>
    <s v=" "/>
    <s v=" "/>
    <s v=" "/>
    <s v=" "/>
    <s v=" "/>
    <s v=" "/>
    <s v=" "/>
    <x v="0"/>
    <x v="16"/>
    <x v="0"/>
    <x v="0"/>
    <x v="0"/>
    <x v="1"/>
    <x v="0"/>
    <x v="0"/>
    <x v="47"/>
    <x v="48"/>
    <x v="6"/>
    <x v="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LS16"/>
    <s v="Gabion energy breaker"/>
    <s v="Gabions"/>
    <s v="LS16_013"/>
    <x v="7"/>
    <n v="29.951478889000001"/>
    <n v="-25.827539999999999"/>
    <s v="29° 57' 05.32&quot;E "/>
    <s v="25° 49' 39.14&quot; S"/>
    <s v="YES"/>
    <s v="Yes"/>
    <s v="Yes"/>
    <d v="2017-01-31T00:00:00"/>
    <s v="YES "/>
    <s v="NO"/>
    <s v="NBC-GTW-CL-0059"/>
    <s v="Yes"/>
    <s v="00"/>
    <d v="2018-06-16T00:00:00"/>
    <s v="Phase 2"/>
    <s v="Year 3"/>
    <m/>
    <m/>
    <m/>
    <m/>
    <m/>
    <n v="13.68"/>
    <m/>
    <m/>
    <m/>
    <m/>
    <n v="13.68"/>
    <m/>
    <m/>
    <m/>
    <m/>
    <m/>
    <m/>
    <m/>
    <m/>
    <m/>
    <m/>
    <m/>
    <m/>
    <m/>
    <m/>
    <m/>
    <m/>
    <m/>
    <m/>
    <m/>
    <m/>
    <m/>
    <m/>
    <m/>
    <m/>
    <m/>
    <m/>
    <n v="1"/>
    <n v="0"/>
    <n v="0"/>
    <n v="9"/>
    <n v="0"/>
    <n v="0"/>
    <n v="0"/>
    <n v="4.5"/>
    <n v="0"/>
    <n v="0"/>
    <n v="0"/>
    <n v="0"/>
    <n v="0"/>
    <n v="0"/>
    <n v="0"/>
    <n v="0"/>
    <n v="0"/>
    <m/>
    <n v="44.900000000000006"/>
    <m/>
    <m/>
    <m/>
    <m/>
    <m/>
    <m/>
    <m/>
    <m/>
    <m/>
    <m/>
    <m/>
    <m/>
    <m/>
    <m/>
    <m/>
    <m/>
    <m/>
    <m/>
    <m/>
    <m/>
    <m/>
    <m/>
    <m/>
    <m/>
    <m/>
    <m/>
    <m/>
    <m/>
    <m/>
    <m/>
    <m/>
    <m/>
    <m/>
    <m/>
    <m/>
    <m/>
    <m/>
    <m/>
    <m/>
    <n v="0"/>
    <n v="0"/>
    <n v="0"/>
    <n v="0"/>
    <n v="0"/>
    <n v="1162.8"/>
    <n v="0"/>
    <n v="0"/>
    <n v="0"/>
    <n v="0"/>
    <n v="0"/>
    <n v="0"/>
    <n v="0"/>
    <n v="0"/>
    <n v="0"/>
    <n v="0"/>
    <n v="0"/>
    <n v="0"/>
    <n v="0"/>
    <n v="0"/>
    <n v="0"/>
    <n v="0"/>
    <n v="23700"/>
    <n v="0"/>
    <n v="1257.2000000000003"/>
    <n v="0"/>
    <n v="0"/>
    <n v="0"/>
    <n v="0"/>
    <n v="0"/>
    <n v="0"/>
    <n v="0"/>
    <n v="0"/>
    <n v="0"/>
    <n v="0"/>
    <n v="0"/>
    <n v="0"/>
    <n v="0"/>
    <n v="0"/>
    <n v="0"/>
    <n v="0"/>
    <n v="0"/>
    <n v="0"/>
    <n v="0"/>
    <n v="0"/>
    <n v="0"/>
    <n v="0"/>
    <n v="0"/>
    <n v="0"/>
    <n v="0"/>
    <n v="0"/>
    <n v="0"/>
    <n v="0"/>
    <n v="0"/>
    <n v="0"/>
    <n v="0"/>
    <n v="0"/>
    <n v="0"/>
    <n v="26120"/>
    <s v=" "/>
    <s v=" "/>
    <n v="31109.337920000002"/>
    <s v=" "/>
    <s v=" "/>
    <s v=" "/>
    <s v=" "/>
    <s v=" "/>
    <s v=" "/>
    <s v=" "/>
    <s v=" "/>
    <s v=" "/>
    <s v=" "/>
    <s v=" "/>
    <s v=" "/>
    <x v="0"/>
    <x v="0"/>
    <x v="0"/>
    <x v="0"/>
    <x v="0"/>
    <x v="87"/>
    <x v="0"/>
    <x v="0"/>
    <x v="0"/>
    <x v="4"/>
    <x v="7"/>
    <x v="1"/>
    <x v="0"/>
    <x v="0"/>
    <x v="0"/>
    <x v="0"/>
    <x v="0"/>
    <x v="0"/>
    <x v="0"/>
    <x v="0"/>
    <x v="0"/>
    <x v="0"/>
    <x v="0"/>
    <x v="0"/>
    <x v="0"/>
    <x v="0"/>
    <x v="0"/>
    <x v="0"/>
    <x v="0"/>
    <x v="0"/>
    <x v="0"/>
    <x v="0"/>
    <x v="0"/>
    <x v="0"/>
    <x v="0"/>
    <x v="1"/>
    <x v="0"/>
    <x v="0"/>
    <x v="1"/>
    <x v="0"/>
    <x v="0"/>
    <x v="0"/>
    <x v="1"/>
    <x v="0"/>
    <x v="0"/>
    <x v="0"/>
    <x v="0"/>
    <x v="0"/>
    <x v="0"/>
    <x v="0"/>
    <x v="0"/>
    <x v="0"/>
    <x v="0"/>
    <x v="3"/>
    <x v="0"/>
    <x v="0"/>
    <x v="0"/>
    <x v="0"/>
    <x v="0"/>
    <x v="0"/>
    <x v="0"/>
    <x v="0"/>
    <x v="0"/>
    <x v="0"/>
    <x v="0"/>
    <x v="0"/>
    <x v="0"/>
    <x v="0"/>
    <x v="0"/>
    <x v="0"/>
    <x v="0"/>
    <x v="0"/>
    <x v="0"/>
    <x v="0"/>
    <x v="0"/>
    <x v="0"/>
    <x v="0"/>
    <x v="0"/>
    <x v="0"/>
    <x v="0"/>
    <x v="0"/>
    <x v="0"/>
    <x v="0"/>
    <x v="0"/>
    <x v="0"/>
    <x v="0"/>
    <x v="0"/>
    <x v="0"/>
    <x v="0"/>
    <x v="0"/>
    <x v="0"/>
    <x v="0"/>
    <x v="0"/>
  </r>
  <r>
    <s v="LS16"/>
    <s v="Ecologs"/>
    <s v="Ecologs"/>
    <s v="LS16_014"/>
    <x v="7"/>
    <n v="29.951548611"/>
    <n v="-25.827376666999999"/>
    <s v="29° 57' 05.57&quot;E "/>
    <s v="25° 49' 38.55&quot; S"/>
    <s v="Complete"/>
    <s v="Yes"/>
    <s v="Yes"/>
    <d v="2017-04-28T00:00:00"/>
    <s v="YES "/>
    <m/>
    <s v="NBC-GTW-CL-0058"/>
    <s v="Yes"/>
    <s v="00"/>
    <d v="2018-06-16T00:00:00"/>
    <s v="Phase 2"/>
    <s v="Year 3"/>
    <n v="0"/>
    <n v="0"/>
    <n v="0"/>
    <n v="0"/>
    <n v="0"/>
    <n v="1.6199999999999999"/>
    <n v="0"/>
    <n v="0"/>
    <n v="0"/>
    <n v="0"/>
    <n v="0"/>
    <n v="0"/>
    <n v="0"/>
    <n v="0"/>
    <n v="0"/>
    <n v="0"/>
    <n v="0"/>
    <n v="0"/>
    <n v="0"/>
    <n v="0"/>
    <n v="0"/>
    <n v="0"/>
    <n v="0"/>
    <n v="0"/>
    <n v="0"/>
    <n v="0"/>
    <n v="0"/>
    <n v="0"/>
    <n v="0"/>
    <n v="0"/>
    <n v="0"/>
    <n v="0"/>
    <n v="0"/>
    <n v="0"/>
    <n v="1.2723450247038663"/>
    <n v="0"/>
    <n v="0"/>
    <n v="0"/>
    <n v="0"/>
    <n v="0"/>
    <n v="0"/>
    <n v="0"/>
    <n v="0"/>
    <n v="0"/>
    <n v="0"/>
    <n v="0"/>
    <n v="0"/>
    <n v="0"/>
    <n v="0"/>
    <n v="0"/>
    <n v="0"/>
    <n v="0"/>
    <n v="0"/>
    <n v="0"/>
    <n v="0"/>
    <n v="0"/>
    <n v="0"/>
    <n v="0"/>
    <n v="0"/>
    <n v="0"/>
    <n v="0"/>
    <n v="0"/>
    <n v="9"/>
    <n v="0"/>
    <n v="0"/>
    <n v="0"/>
    <n v="0"/>
    <n v="0"/>
    <n v="0"/>
    <n v="0"/>
    <n v="0"/>
    <n v="0"/>
    <n v="0"/>
    <n v="0"/>
    <n v="0"/>
    <n v="0"/>
    <n v="0"/>
    <n v="0"/>
    <n v="0"/>
    <n v="0"/>
    <n v="0"/>
    <n v="0"/>
    <n v="0"/>
    <n v="0"/>
    <n v="0"/>
    <n v="0"/>
    <m/>
    <m/>
    <m/>
    <m/>
    <m/>
    <m/>
    <m/>
    <m/>
    <m/>
    <n v="0"/>
    <n v="0"/>
    <n v="0"/>
    <n v="0"/>
    <n v="0"/>
    <n v="137.69999999999999"/>
    <n v="0"/>
    <n v="0"/>
    <n v="0"/>
    <n v="0"/>
    <n v="0"/>
    <n v="0"/>
    <n v="0"/>
    <n v="0"/>
    <n v="0"/>
    <n v="0"/>
    <n v="0"/>
    <n v="0"/>
    <n v="0"/>
    <n v="0"/>
    <n v="152.68140296446396"/>
    <n v="0"/>
    <n v="0"/>
    <n v="0"/>
    <n v="0"/>
    <n v="0"/>
    <n v="8100"/>
    <n v="0"/>
    <n v="0"/>
    <n v="0"/>
    <n v="0"/>
    <n v="0"/>
    <n v="0"/>
    <n v="0"/>
    <n v="0"/>
    <n v="0"/>
    <n v="0"/>
    <n v="0"/>
    <n v="0"/>
    <n v="0"/>
    <n v="0"/>
    <n v="0"/>
    <n v="0"/>
    <n v="0"/>
    <n v="0"/>
    <n v="0"/>
    <n v="0"/>
    <n v="0"/>
    <n v="0"/>
    <n v="0"/>
    <n v="0"/>
    <n v="0"/>
    <n v="0"/>
    <n v="0"/>
    <n v="0"/>
    <n v="0"/>
    <n v="0"/>
    <n v="0"/>
    <n v="8390.3814029644636"/>
    <s v=" "/>
    <s v=" "/>
    <n v="9993.0784970331242"/>
    <s v=" "/>
    <s v=" "/>
    <s v=" "/>
    <s v=" "/>
    <s v=" "/>
    <s v=" "/>
    <s v=" "/>
    <s v=" "/>
    <s v=" "/>
    <s v=" "/>
    <s v=" "/>
    <s v=" "/>
    <x v="0"/>
    <x v="0"/>
    <x v="0"/>
    <x v="0"/>
    <x v="0"/>
    <x v="88"/>
    <x v="0"/>
    <x v="0"/>
    <x v="0"/>
    <x v="4"/>
    <x v="1"/>
    <x v="1"/>
    <x v="0"/>
    <x v="0"/>
    <x v="0"/>
    <x v="0"/>
    <x v="0"/>
    <x v="0"/>
    <x v="0"/>
    <x v="0"/>
    <x v="0"/>
    <x v="0"/>
    <x v="0"/>
    <x v="0"/>
    <x v="0"/>
    <x v="0"/>
    <x v="0"/>
    <x v="0"/>
    <x v="0"/>
    <x v="0"/>
    <x v="0"/>
    <x v="0"/>
    <x v="25"/>
    <x v="0"/>
    <x v="0"/>
    <x v="0"/>
    <x v="0"/>
    <x v="0"/>
    <x v="0"/>
    <x v="0"/>
    <x v="0"/>
    <x v="0"/>
    <x v="0"/>
    <x v="0"/>
    <x v="0"/>
    <x v="0"/>
    <x v="0"/>
    <x v="0"/>
    <x v="0"/>
    <x v="0"/>
    <x v="0"/>
    <x v="0"/>
    <x v="0"/>
    <x v="0"/>
    <x v="0"/>
    <x v="0"/>
    <x v="0"/>
    <x v="0"/>
    <x v="0"/>
    <x v="0"/>
    <x v="8"/>
    <x v="0"/>
    <x v="0"/>
    <x v="0"/>
    <x v="0"/>
    <x v="0"/>
    <x v="0"/>
    <x v="0"/>
    <x v="0"/>
    <x v="0"/>
    <x v="0"/>
    <x v="0"/>
    <x v="0"/>
    <x v="0"/>
    <x v="0"/>
    <x v="0"/>
    <x v="0"/>
    <x v="0"/>
    <x v="0"/>
    <x v="0"/>
    <x v="0"/>
    <x v="0"/>
    <x v="0"/>
    <x v="0"/>
    <x v="0"/>
    <x v="0"/>
    <x v="0"/>
    <x v="0"/>
    <x v="0"/>
    <x v="0"/>
    <x v="0"/>
    <x v="0"/>
    <x v="0"/>
  </r>
  <r>
    <s v="LS16"/>
    <s v="Earthworks (Reinforce Dam Wall)"/>
    <s v="Earthworks (Reinforce Dam Wall)"/>
    <s v="LS16_015"/>
    <x v="7"/>
    <n v="29.952021111000001"/>
    <n v="-25.826996944000001"/>
    <s v="29° 57' 07.27&quot;E "/>
    <s v="25° 49' 37.18&quot; S"/>
    <s v="Complete"/>
    <s v="Yes"/>
    <s v="Yes"/>
    <d v="2017-05-29T00:00:00"/>
    <s v="YES "/>
    <s v="NO"/>
    <s v="NBC-GTW-CL-0050"/>
    <s v="Yes"/>
    <s v="00"/>
    <d v="2018-06-16T00:00:00"/>
    <s v="Phase 2"/>
    <s v="Year 3"/>
    <n v="567"/>
    <n v="0"/>
    <n v="0"/>
    <n v="0"/>
    <n v="0"/>
    <n v="0"/>
    <n v="0"/>
    <n v="0"/>
    <n v="567"/>
    <n v="567"/>
    <n v="0"/>
    <n v="0"/>
    <n v="0"/>
    <n v="0"/>
    <n v="0"/>
    <n v="0"/>
    <n v="0"/>
    <n v="0"/>
    <n v="0"/>
    <n v="0"/>
    <n v="0"/>
    <n v="0"/>
    <n v="0"/>
    <n v="0"/>
    <n v="0"/>
    <n v="0"/>
    <n v="0"/>
    <n v="0"/>
    <n v="0"/>
    <n v="0"/>
    <n v="0"/>
    <n v="0"/>
    <n v="0"/>
    <n v="0"/>
    <n v="198.45"/>
    <n v="0"/>
    <n v="0"/>
    <n v="0"/>
    <n v="0"/>
    <n v="0"/>
    <n v="0"/>
    <n v="0"/>
    <n v="0"/>
    <n v="0"/>
    <n v="0"/>
    <n v="0"/>
    <n v="0"/>
    <n v="0"/>
    <n v="0"/>
    <n v="0"/>
    <n v="0"/>
    <n v="0"/>
    <n v="0"/>
    <n v="0"/>
    <n v="0"/>
    <n v="0"/>
    <n v="0"/>
    <n v="0"/>
    <n v="0"/>
    <n v="0"/>
    <n v="0"/>
    <n v="0"/>
    <n v="0"/>
    <n v="0"/>
    <n v="0"/>
    <n v="0"/>
    <n v="0"/>
    <n v="0"/>
    <n v="0"/>
    <n v="0"/>
    <n v="0"/>
    <n v="0"/>
    <n v="0"/>
    <n v="0"/>
    <n v="0"/>
    <n v="0"/>
    <n v="0"/>
    <n v="0"/>
    <n v="0"/>
    <n v="0"/>
    <n v="0"/>
    <n v="0"/>
    <n v="0"/>
    <n v="0"/>
    <n v="0"/>
    <n v="0"/>
    <m/>
    <m/>
    <m/>
    <m/>
    <m/>
    <m/>
    <m/>
    <m/>
    <m/>
    <n v="2835"/>
    <n v="0"/>
    <n v="0"/>
    <n v="0"/>
    <n v="0"/>
    <n v="0"/>
    <n v="0"/>
    <n v="0"/>
    <n v="2835"/>
    <n v="5670"/>
    <n v="0"/>
    <n v="0"/>
    <n v="0"/>
    <n v="0"/>
    <n v="0"/>
    <n v="0"/>
    <n v="0"/>
    <n v="0"/>
    <n v="0"/>
    <n v="0"/>
    <n v="23814"/>
    <n v="0"/>
    <n v="0"/>
    <n v="0"/>
    <n v="0"/>
    <n v="0"/>
    <n v="0"/>
    <n v="0"/>
    <n v="0"/>
    <n v="0"/>
    <n v="0"/>
    <n v="0"/>
    <n v="0"/>
    <n v="0"/>
    <n v="0"/>
    <n v="0"/>
    <n v="0"/>
    <n v="0"/>
    <n v="0"/>
    <n v="0"/>
    <n v="0"/>
    <n v="0"/>
    <n v="0"/>
    <n v="0"/>
    <n v="0"/>
    <n v="0"/>
    <n v="0"/>
    <n v="0"/>
    <n v="0"/>
    <n v="0"/>
    <n v="0"/>
    <n v="0"/>
    <n v="0"/>
    <n v="0"/>
    <n v="0"/>
    <n v="0"/>
    <n v="0"/>
    <n v="0"/>
    <n v="35154"/>
    <s v=" "/>
    <s v=" "/>
    <n v="41868.976464000007"/>
    <s v=" "/>
    <s v=" "/>
    <s v=" "/>
    <s v=" "/>
    <s v=" "/>
    <s v=" "/>
    <s v=" "/>
    <s v=" "/>
    <s v=" "/>
    <s v=" "/>
    <s v=" "/>
    <s v=" "/>
    <x v="46"/>
    <x v="0"/>
    <x v="0"/>
    <x v="0"/>
    <x v="0"/>
    <x v="1"/>
    <x v="0"/>
    <x v="0"/>
    <x v="48"/>
    <x v="49"/>
    <x v="1"/>
    <x v="1"/>
    <x v="0"/>
    <x v="0"/>
    <x v="0"/>
    <x v="0"/>
    <x v="0"/>
    <x v="0"/>
    <x v="0"/>
    <x v="0"/>
    <x v="0"/>
    <x v="0"/>
    <x v="0"/>
    <x v="0"/>
    <x v="0"/>
    <x v="0"/>
    <x v="0"/>
    <x v="0"/>
    <x v="0"/>
    <x v="0"/>
    <x v="0"/>
    <x v="0"/>
    <x v="26"/>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LS16"/>
    <s v="Gabion energy breaker"/>
    <s v="Gabions"/>
    <s v="LS16_016"/>
    <x v="7"/>
    <n v="29.953134444"/>
    <n v="-25.826765000000002"/>
    <s v="29° 57' 11.28&quot;E "/>
    <s v="25° 49' 36.35&quot; S"/>
    <s v="YES"/>
    <s v="Yes"/>
    <s v="Yes"/>
    <d v="2017-01-31T00:00:00"/>
    <s v="YES "/>
    <s v="NO"/>
    <s v="NBC-GTW-CL-0060"/>
    <s v="Yes"/>
    <s v="00"/>
    <d v="2018-06-16T00:00:00"/>
    <s v="Phase 2"/>
    <s v="Year 3"/>
    <m/>
    <m/>
    <m/>
    <m/>
    <m/>
    <n v="20"/>
    <m/>
    <m/>
    <m/>
    <m/>
    <n v="20"/>
    <m/>
    <m/>
    <m/>
    <m/>
    <m/>
    <m/>
    <m/>
    <m/>
    <m/>
    <m/>
    <m/>
    <m/>
    <m/>
    <m/>
    <m/>
    <m/>
    <m/>
    <m/>
    <m/>
    <m/>
    <m/>
    <m/>
    <m/>
    <n v="2.4000000000000004"/>
    <n v="2"/>
    <m/>
    <n v="1"/>
    <n v="0"/>
    <n v="0"/>
    <n v="12"/>
    <n v="0"/>
    <n v="0"/>
    <n v="0"/>
    <n v="7.2"/>
    <n v="0"/>
    <n v="0"/>
    <n v="0"/>
    <n v="0"/>
    <n v="0"/>
    <n v="0"/>
    <n v="0"/>
    <n v="0"/>
    <n v="0"/>
    <m/>
    <n v="62.900000000000006"/>
    <m/>
    <m/>
    <m/>
    <m/>
    <m/>
    <m/>
    <m/>
    <m/>
    <m/>
    <m/>
    <m/>
    <m/>
    <m/>
    <m/>
    <m/>
    <m/>
    <m/>
    <m/>
    <m/>
    <m/>
    <m/>
    <m/>
    <m/>
    <m/>
    <m/>
    <m/>
    <m/>
    <m/>
    <m/>
    <m/>
    <m/>
    <m/>
    <m/>
    <m/>
    <m/>
    <m/>
    <m/>
    <m/>
    <m/>
    <n v="0"/>
    <n v="0"/>
    <n v="0"/>
    <n v="0"/>
    <n v="0"/>
    <n v="1700"/>
    <n v="0"/>
    <n v="0"/>
    <n v="0"/>
    <n v="0"/>
    <n v="0"/>
    <n v="0"/>
    <n v="0"/>
    <n v="0"/>
    <n v="0"/>
    <n v="0"/>
    <n v="0"/>
    <n v="0"/>
    <n v="0"/>
    <n v="0"/>
    <n v="288.00000000000006"/>
    <n v="600"/>
    <n v="33675"/>
    <n v="0"/>
    <n v="1761.2000000000003"/>
    <n v="0"/>
    <n v="0"/>
    <n v="0"/>
    <n v="0"/>
    <n v="0"/>
    <n v="0"/>
    <n v="0"/>
    <n v="0"/>
    <n v="0"/>
    <n v="0"/>
    <n v="0"/>
    <n v="0"/>
    <n v="0"/>
    <n v="0"/>
    <n v="0"/>
    <n v="0"/>
    <n v="0"/>
    <n v="0"/>
    <n v="0"/>
    <n v="0"/>
    <n v="0"/>
    <n v="0"/>
    <n v="0"/>
    <n v="0"/>
    <n v="0"/>
    <n v="0"/>
    <n v="0"/>
    <n v="0"/>
    <n v="0"/>
    <n v="0"/>
    <n v="0"/>
    <n v="0"/>
    <n v="0"/>
    <n v="38024.199999999997"/>
    <s v=" "/>
    <s v=" "/>
    <n v="45287.430587200011"/>
    <s v=" "/>
    <s v=" "/>
    <s v=" "/>
    <s v=" "/>
    <s v=" "/>
    <s v=" "/>
    <s v=" "/>
    <s v=" "/>
    <s v=" "/>
    <s v=" "/>
    <s v=" "/>
    <s v=" "/>
    <x v="0"/>
    <x v="0"/>
    <x v="0"/>
    <x v="0"/>
    <x v="0"/>
    <x v="89"/>
    <x v="0"/>
    <x v="0"/>
    <x v="0"/>
    <x v="4"/>
    <x v="8"/>
    <x v="1"/>
    <x v="0"/>
    <x v="0"/>
    <x v="0"/>
    <x v="0"/>
    <x v="0"/>
    <x v="0"/>
    <x v="0"/>
    <x v="0"/>
    <x v="0"/>
    <x v="0"/>
    <x v="0"/>
    <x v="0"/>
    <x v="0"/>
    <x v="0"/>
    <x v="0"/>
    <x v="0"/>
    <x v="0"/>
    <x v="0"/>
    <x v="0"/>
    <x v="0"/>
    <x v="27"/>
    <x v="1"/>
    <x v="0"/>
    <x v="2"/>
    <x v="0"/>
    <x v="0"/>
    <x v="2"/>
    <x v="0"/>
    <x v="0"/>
    <x v="0"/>
    <x v="2"/>
    <x v="0"/>
    <x v="0"/>
    <x v="0"/>
    <x v="0"/>
    <x v="0"/>
    <x v="0"/>
    <x v="0"/>
    <x v="0"/>
    <x v="0"/>
    <x v="0"/>
    <x v="4"/>
    <x v="0"/>
    <x v="0"/>
    <x v="0"/>
    <x v="0"/>
    <x v="0"/>
    <x v="0"/>
    <x v="0"/>
    <x v="0"/>
    <x v="0"/>
    <x v="0"/>
    <x v="0"/>
    <x v="0"/>
    <x v="0"/>
    <x v="0"/>
    <x v="0"/>
    <x v="0"/>
    <x v="0"/>
    <x v="0"/>
    <x v="0"/>
    <x v="0"/>
    <x v="0"/>
    <x v="0"/>
    <x v="0"/>
    <x v="0"/>
    <x v="0"/>
    <x v="0"/>
    <x v="0"/>
    <x v="0"/>
    <x v="0"/>
    <x v="0"/>
    <x v="0"/>
    <x v="0"/>
    <x v="0"/>
    <x v="0"/>
    <x v="0"/>
    <x v="0"/>
    <x v="0"/>
    <x v="0"/>
    <x v="0"/>
  </r>
  <r>
    <s v="LS16"/>
    <s v="Gabion energy breaker"/>
    <s v="Gabions"/>
    <s v="LS16_017"/>
    <x v="7"/>
    <n v="29.953437222000002"/>
    <n v="-25.826683889000002"/>
    <s v="29° 57' 12.37&quot;E "/>
    <s v="25° 49' 36.06&quot; S"/>
    <s v="YES"/>
    <s v="Yes"/>
    <s v="Yes"/>
    <d v="2017-01-31T00:00:00"/>
    <s v="YES "/>
    <s v="NO"/>
    <s v="NBC-GTW-CL-0061"/>
    <s v="Yes"/>
    <s v="00"/>
    <d v="2018-06-16T00:00:00"/>
    <s v="Phase 2"/>
    <s v="Year 3"/>
    <m/>
    <m/>
    <m/>
    <m/>
    <m/>
    <n v="25"/>
    <m/>
    <m/>
    <m/>
    <m/>
    <n v="25"/>
    <m/>
    <m/>
    <m/>
    <m/>
    <m/>
    <m/>
    <m/>
    <m/>
    <m/>
    <m/>
    <m/>
    <m/>
    <m/>
    <m/>
    <m/>
    <m/>
    <m/>
    <m/>
    <m/>
    <m/>
    <m/>
    <m/>
    <m/>
    <n v="2.8000000000000003"/>
    <n v="0.66666666666666674"/>
    <m/>
    <n v="1"/>
    <n v="0"/>
    <n v="8"/>
    <n v="6"/>
    <n v="0"/>
    <n v="0"/>
    <n v="0"/>
    <n v="9"/>
    <n v="0"/>
    <n v="0"/>
    <n v="0"/>
    <n v="0"/>
    <n v="0"/>
    <n v="0"/>
    <n v="0"/>
    <n v="0"/>
    <n v="0"/>
    <m/>
    <n v="74.900000000000006"/>
    <m/>
    <m/>
    <m/>
    <m/>
    <m/>
    <m/>
    <m/>
    <m/>
    <m/>
    <m/>
    <m/>
    <m/>
    <m/>
    <m/>
    <m/>
    <m/>
    <m/>
    <m/>
    <m/>
    <m/>
    <m/>
    <m/>
    <m/>
    <m/>
    <m/>
    <m/>
    <m/>
    <m/>
    <m/>
    <m/>
    <m/>
    <m/>
    <m/>
    <m/>
    <m/>
    <m/>
    <m/>
    <m/>
    <m/>
    <n v="0"/>
    <n v="0"/>
    <n v="0"/>
    <n v="0"/>
    <n v="0"/>
    <n v="2125"/>
    <n v="0"/>
    <n v="0"/>
    <n v="0"/>
    <n v="0"/>
    <n v="0"/>
    <n v="0"/>
    <n v="0"/>
    <n v="0"/>
    <n v="0"/>
    <n v="0"/>
    <n v="0"/>
    <n v="0"/>
    <n v="0"/>
    <n v="0"/>
    <n v="336.00000000000006"/>
    <n v="200.00000000000003"/>
    <n v="40325"/>
    <n v="0"/>
    <n v="2097.2000000000003"/>
    <n v="0"/>
    <n v="0"/>
    <n v="0"/>
    <n v="0"/>
    <n v="0"/>
    <n v="0"/>
    <n v="0"/>
    <n v="0"/>
    <n v="0"/>
    <n v="0"/>
    <n v="0"/>
    <n v="0"/>
    <n v="0"/>
    <n v="0"/>
    <n v="0"/>
    <n v="0"/>
    <n v="0"/>
    <n v="0"/>
    <n v="0"/>
    <n v="0"/>
    <n v="0"/>
    <n v="0"/>
    <n v="0"/>
    <n v="0"/>
    <n v="0"/>
    <n v="0"/>
    <n v="0"/>
    <n v="0"/>
    <n v="0"/>
    <n v="0"/>
    <n v="0"/>
    <n v="0"/>
    <n v="0"/>
    <n v="45083.199999999997"/>
    <s v=" "/>
    <s v=" "/>
    <n v="53694.812531200012"/>
    <s v=" "/>
    <s v=" "/>
    <s v=" "/>
    <s v=" "/>
    <s v=" "/>
    <s v=" "/>
    <s v=" "/>
    <s v=" "/>
    <s v=" "/>
    <s v=" "/>
    <s v=" "/>
    <s v=" "/>
    <x v="0"/>
    <x v="0"/>
    <x v="0"/>
    <x v="0"/>
    <x v="0"/>
    <x v="90"/>
    <x v="0"/>
    <x v="0"/>
    <x v="0"/>
    <x v="4"/>
    <x v="9"/>
    <x v="1"/>
    <x v="0"/>
    <x v="0"/>
    <x v="0"/>
    <x v="0"/>
    <x v="0"/>
    <x v="0"/>
    <x v="0"/>
    <x v="0"/>
    <x v="0"/>
    <x v="0"/>
    <x v="0"/>
    <x v="0"/>
    <x v="0"/>
    <x v="0"/>
    <x v="0"/>
    <x v="0"/>
    <x v="0"/>
    <x v="0"/>
    <x v="0"/>
    <x v="0"/>
    <x v="28"/>
    <x v="2"/>
    <x v="0"/>
    <x v="3"/>
    <x v="0"/>
    <x v="1"/>
    <x v="3"/>
    <x v="0"/>
    <x v="0"/>
    <x v="0"/>
    <x v="3"/>
    <x v="0"/>
    <x v="0"/>
    <x v="0"/>
    <x v="0"/>
    <x v="0"/>
    <x v="0"/>
    <x v="0"/>
    <x v="0"/>
    <x v="0"/>
    <x v="0"/>
    <x v="5"/>
    <x v="0"/>
    <x v="0"/>
    <x v="0"/>
    <x v="0"/>
    <x v="0"/>
    <x v="0"/>
    <x v="0"/>
    <x v="0"/>
    <x v="0"/>
    <x v="0"/>
    <x v="0"/>
    <x v="0"/>
    <x v="0"/>
    <x v="0"/>
    <x v="0"/>
    <x v="0"/>
    <x v="0"/>
    <x v="0"/>
    <x v="0"/>
    <x v="0"/>
    <x v="0"/>
    <x v="0"/>
    <x v="0"/>
    <x v="0"/>
    <x v="0"/>
    <x v="0"/>
    <x v="0"/>
    <x v="0"/>
    <x v="0"/>
    <x v="0"/>
    <x v="0"/>
    <x v="0"/>
    <x v="0"/>
    <x v="0"/>
    <x v="0"/>
    <x v="0"/>
    <x v="0"/>
    <x v="0"/>
    <x v="0"/>
  </r>
  <r>
    <s v="LS16"/>
    <s v="Gabion energy breaker"/>
    <s v="Gabions"/>
    <s v="LS16_018"/>
    <x v="7"/>
    <n v="29.953675832999998"/>
    <n v="-25.826637000000002"/>
    <s v="29° 57' 13.23&quot;E "/>
    <s v="25° 49' 35.89&quot; S"/>
    <s v="YES"/>
    <s v="Yes"/>
    <s v="Yes"/>
    <d v="2017-01-31T00:00:00"/>
    <s v="YES "/>
    <s v="NO"/>
    <s v="NBC-GTW-CL-0062"/>
    <s v="Yes"/>
    <s v="00"/>
    <d v="2018-06-16T00:00:00"/>
    <s v="Phase 2"/>
    <s v="Year 3"/>
    <m/>
    <m/>
    <m/>
    <m/>
    <m/>
    <n v="22.08"/>
    <m/>
    <m/>
    <m/>
    <m/>
    <n v="22.08"/>
    <m/>
    <m/>
    <m/>
    <m/>
    <m/>
    <m/>
    <m/>
    <m/>
    <m/>
    <m/>
    <m/>
    <m/>
    <m/>
    <m/>
    <m/>
    <m/>
    <m/>
    <m/>
    <m/>
    <m/>
    <m/>
    <m/>
    <m/>
    <n v="0"/>
    <n v="3.0000000000000004"/>
    <m/>
    <n v="1"/>
    <n v="0"/>
    <n v="0"/>
    <n v="15"/>
    <n v="0"/>
    <n v="0"/>
    <n v="0"/>
    <n v="9.9"/>
    <n v="0"/>
    <n v="0"/>
    <n v="0"/>
    <n v="0"/>
    <n v="0"/>
    <n v="0"/>
    <n v="0"/>
    <n v="0"/>
    <n v="0"/>
    <m/>
    <n v="80.900000000000006"/>
    <m/>
    <m/>
    <m/>
    <m/>
    <m/>
    <m/>
    <m/>
    <m/>
    <m/>
    <m/>
    <m/>
    <m/>
    <m/>
    <m/>
    <m/>
    <m/>
    <m/>
    <m/>
    <m/>
    <m/>
    <m/>
    <m/>
    <m/>
    <m/>
    <m/>
    <m/>
    <m/>
    <m/>
    <m/>
    <m/>
    <m/>
    <m/>
    <m/>
    <m/>
    <m/>
    <m/>
    <m/>
    <m/>
    <m/>
    <n v="0"/>
    <n v="0"/>
    <n v="0"/>
    <n v="0"/>
    <n v="0"/>
    <n v="1876.8"/>
    <n v="0"/>
    <n v="0"/>
    <n v="0"/>
    <n v="0"/>
    <n v="0"/>
    <n v="0"/>
    <n v="0"/>
    <n v="0"/>
    <n v="0"/>
    <n v="0"/>
    <n v="0"/>
    <n v="0"/>
    <n v="0"/>
    <n v="0"/>
    <n v="0"/>
    <n v="900.00000000000011"/>
    <n v="43650"/>
    <n v="0"/>
    <n v="2265.2000000000003"/>
    <n v="0"/>
    <n v="0"/>
    <n v="0"/>
    <n v="0"/>
    <n v="0"/>
    <n v="0"/>
    <n v="0"/>
    <n v="0"/>
    <n v="0"/>
    <n v="0"/>
    <n v="0"/>
    <n v="0"/>
    <n v="0"/>
    <n v="0"/>
    <n v="0"/>
    <n v="0"/>
    <n v="0"/>
    <n v="0"/>
    <n v="0"/>
    <n v="0"/>
    <n v="0"/>
    <n v="0"/>
    <n v="0"/>
    <n v="0"/>
    <n v="0"/>
    <n v="0"/>
    <n v="0"/>
    <n v="0"/>
    <n v="0"/>
    <n v="0"/>
    <n v="0"/>
    <n v="0"/>
    <n v="0"/>
    <n v="48692"/>
    <s v=" "/>
    <s v=" "/>
    <n v="57992.951072000011"/>
    <s v=" "/>
    <s v=" "/>
    <s v=" "/>
    <s v=" "/>
    <s v=" "/>
    <s v=" "/>
    <s v=" "/>
    <s v=" "/>
    <s v=" "/>
    <s v=" "/>
    <s v=" "/>
    <s v=" "/>
    <x v="0"/>
    <x v="0"/>
    <x v="0"/>
    <x v="0"/>
    <x v="0"/>
    <x v="91"/>
    <x v="0"/>
    <x v="0"/>
    <x v="0"/>
    <x v="4"/>
    <x v="10"/>
    <x v="1"/>
    <x v="0"/>
    <x v="0"/>
    <x v="0"/>
    <x v="0"/>
    <x v="0"/>
    <x v="0"/>
    <x v="0"/>
    <x v="0"/>
    <x v="0"/>
    <x v="0"/>
    <x v="0"/>
    <x v="0"/>
    <x v="0"/>
    <x v="0"/>
    <x v="0"/>
    <x v="0"/>
    <x v="0"/>
    <x v="0"/>
    <x v="0"/>
    <x v="0"/>
    <x v="0"/>
    <x v="3"/>
    <x v="0"/>
    <x v="4"/>
    <x v="0"/>
    <x v="0"/>
    <x v="4"/>
    <x v="0"/>
    <x v="0"/>
    <x v="0"/>
    <x v="4"/>
    <x v="0"/>
    <x v="0"/>
    <x v="0"/>
    <x v="0"/>
    <x v="0"/>
    <x v="0"/>
    <x v="0"/>
    <x v="0"/>
    <x v="0"/>
    <x v="0"/>
    <x v="6"/>
    <x v="0"/>
    <x v="0"/>
    <x v="0"/>
    <x v="0"/>
    <x v="0"/>
    <x v="0"/>
    <x v="0"/>
    <x v="0"/>
    <x v="0"/>
    <x v="0"/>
    <x v="0"/>
    <x v="0"/>
    <x v="0"/>
    <x v="0"/>
    <x v="0"/>
    <x v="0"/>
    <x v="0"/>
    <x v="0"/>
    <x v="0"/>
    <x v="0"/>
    <x v="0"/>
    <x v="0"/>
    <x v="0"/>
    <x v="0"/>
    <x v="0"/>
    <x v="0"/>
    <x v="0"/>
    <x v="0"/>
    <x v="0"/>
    <x v="0"/>
    <x v="0"/>
    <x v="0"/>
    <x v="0"/>
    <x v="0"/>
    <x v="0"/>
    <x v="0"/>
    <x v="0"/>
    <x v="0"/>
    <x v="0"/>
  </r>
  <r>
    <s v="LS16"/>
    <s v="Gabion energy breaker"/>
    <s v="Gabions"/>
    <s v="LS16_019"/>
    <x v="7"/>
    <n v="29.954265555999999"/>
    <n v="-25.826652778"/>
    <s v="29° 57' 15.35&quot;E "/>
    <s v="25° 49' 35.95&quot; S"/>
    <s v="YES"/>
    <s v="Yes"/>
    <s v="Yes"/>
    <d v="2017-01-31T00:00:00"/>
    <s v="YES "/>
    <s v="NO"/>
    <s v="NBC-GTW-CL-0063"/>
    <s v="Yes"/>
    <s v="00"/>
    <d v="2018-06-16T00:00:00"/>
    <s v="Phase 2"/>
    <s v="Year 3"/>
    <m/>
    <m/>
    <m/>
    <m/>
    <m/>
    <n v="24.48"/>
    <m/>
    <m/>
    <m/>
    <m/>
    <n v="24.48"/>
    <m/>
    <m/>
    <m/>
    <m/>
    <m/>
    <m/>
    <m/>
    <m/>
    <m/>
    <m/>
    <m/>
    <m/>
    <m/>
    <m/>
    <m/>
    <m/>
    <m/>
    <m/>
    <m/>
    <m/>
    <m/>
    <m/>
    <m/>
    <n v="0"/>
    <n v="1.0083333333333335"/>
    <m/>
    <n v="1"/>
    <n v="0"/>
    <n v="4"/>
    <n v="12"/>
    <n v="0"/>
    <n v="0"/>
    <n v="0"/>
    <n v="10.8"/>
    <n v="0"/>
    <n v="0"/>
    <n v="0"/>
    <n v="0"/>
    <n v="0"/>
    <n v="0"/>
    <n v="0"/>
    <n v="0"/>
    <n v="0"/>
    <m/>
    <n v="83.9"/>
    <m/>
    <m/>
    <m/>
    <m/>
    <m/>
    <m/>
    <m/>
    <m/>
    <m/>
    <m/>
    <m/>
    <m/>
    <m/>
    <m/>
    <m/>
    <m/>
    <m/>
    <m/>
    <m/>
    <m/>
    <m/>
    <m/>
    <m/>
    <m/>
    <m/>
    <m/>
    <m/>
    <m/>
    <m/>
    <m/>
    <m/>
    <m/>
    <m/>
    <m/>
    <m/>
    <m/>
    <m/>
    <m/>
    <m/>
    <n v="0"/>
    <n v="0"/>
    <n v="0"/>
    <n v="0"/>
    <n v="0"/>
    <n v="2080.8000000000002"/>
    <n v="0"/>
    <n v="0"/>
    <n v="0"/>
    <n v="0"/>
    <n v="0"/>
    <n v="0"/>
    <n v="0"/>
    <n v="0"/>
    <n v="0"/>
    <n v="0"/>
    <n v="0"/>
    <n v="0"/>
    <n v="0"/>
    <n v="0"/>
    <n v="0"/>
    <n v="302.50000000000006"/>
    <n v="46975"/>
    <n v="0"/>
    <n v="2349.2000000000003"/>
    <n v="0"/>
    <n v="0"/>
    <n v="0"/>
    <n v="0"/>
    <n v="0"/>
    <n v="0"/>
    <n v="0"/>
    <n v="0"/>
    <n v="0"/>
    <n v="0"/>
    <n v="0"/>
    <n v="0"/>
    <n v="0"/>
    <n v="0"/>
    <n v="0"/>
    <n v="0"/>
    <n v="0"/>
    <n v="0"/>
    <n v="0"/>
    <n v="0"/>
    <n v="0"/>
    <n v="0"/>
    <n v="0"/>
    <n v="0"/>
    <n v="0"/>
    <n v="0"/>
    <n v="0"/>
    <n v="0"/>
    <n v="0"/>
    <n v="0"/>
    <n v="0"/>
    <n v="0"/>
    <n v="0"/>
    <n v="51707.5"/>
    <s v=" "/>
    <s v=" "/>
    <n v="61584.459820000011"/>
    <s v=" "/>
    <s v=" "/>
    <s v=" "/>
    <s v=" "/>
    <s v=" "/>
    <s v=" "/>
    <s v=" "/>
    <s v=" "/>
    <s v=" "/>
    <s v=" "/>
    <s v=" "/>
    <s v=" "/>
    <x v="0"/>
    <x v="0"/>
    <x v="0"/>
    <x v="0"/>
    <x v="0"/>
    <x v="92"/>
    <x v="0"/>
    <x v="0"/>
    <x v="0"/>
    <x v="4"/>
    <x v="11"/>
    <x v="1"/>
    <x v="0"/>
    <x v="0"/>
    <x v="0"/>
    <x v="0"/>
    <x v="0"/>
    <x v="0"/>
    <x v="0"/>
    <x v="0"/>
    <x v="0"/>
    <x v="0"/>
    <x v="0"/>
    <x v="0"/>
    <x v="0"/>
    <x v="0"/>
    <x v="0"/>
    <x v="0"/>
    <x v="0"/>
    <x v="0"/>
    <x v="0"/>
    <x v="0"/>
    <x v="0"/>
    <x v="4"/>
    <x v="0"/>
    <x v="5"/>
    <x v="0"/>
    <x v="2"/>
    <x v="5"/>
    <x v="0"/>
    <x v="0"/>
    <x v="0"/>
    <x v="5"/>
    <x v="0"/>
    <x v="0"/>
    <x v="0"/>
    <x v="0"/>
    <x v="0"/>
    <x v="0"/>
    <x v="0"/>
    <x v="0"/>
    <x v="0"/>
    <x v="0"/>
    <x v="7"/>
    <x v="0"/>
    <x v="0"/>
    <x v="0"/>
    <x v="0"/>
    <x v="0"/>
    <x v="0"/>
    <x v="0"/>
    <x v="0"/>
    <x v="0"/>
    <x v="0"/>
    <x v="0"/>
    <x v="0"/>
    <x v="0"/>
    <x v="0"/>
    <x v="0"/>
    <x v="0"/>
    <x v="0"/>
    <x v="0"/>
    <x v="0"/>
    <x v="0"/>
    <x v="0"/>
    <x v="0"/>
    <x v="0"/>
    <x v="0"/>
    <x v="0"/>
    <x v="0"/>
    <x v="0"/>
    <x v="0"/>
    <x v="0"/>
    <x v="0"/>
    <x v="0"/>
    <x v="0"/>
    <x v="0"/>
    <x v="0"/>
    <x v="0"/>
    <x v="0"/>
    <x v="0"/>
    <x v="0"/>
    <x v="0"/>
  </r>
  <r>
    <s v="LS16"/>
    <s v="Removal of Road"/>
    <s v="Excavation"/>
    <s v="LS16_020"/>
    <x v="7"/>
    <n v="29.955486944"/>
    <n v="-25.826356944"/>
    <s v="29° 57' 19.75&quot;E "/>
    <s v="25° 49' 34.88&quot; S"/>
    <s v="Complete"/>
    <s v="Yes"/>
    <s v="Yes"/>
    <d v="2017-05-31T00:00:00"/>
    <s v="NA"/>
    <s v="NA"/>
    <s v="No Drawing"/>
    <s v="Yes"/>
    <s v="00"/>
    <d v="2018-06-16T00:00:00"/>
    <s v="Phase 2"/>
    <s v="Year 3"/>
    <n v="0"/>
    <n v="744.23250000000007"/>
    <n v="0"/>
    <n v="0"/>
    <n v="0"/>
    <n v="0"/>
    <n v="0"/>
    <n v="0"/>
    <n v="1782"/>
    <n v="1782"/>
    <n v="372.11625000000004"/>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n v="0"/>
    <n v="37211.625"/>
    <n v="0"/>
    <n v="0"/>
    <n v="0"/>
    <n v="0"/>
    <n v="0"/>
    <n v="0"/>
    <n v="8910"/>
    <n v="17820"/>
    <n v="0"/>
    <n v="0"/>
    <n v="0"/>
    <n v="0"/>
    <n v="0"/>
    <n v="0"/>
    <n v="0"/>
    <n v="0"/>
    <n v="0"/>
    <n v="0"/>
    <n v="0"/>
    <n v="0"/>
    <n v="0"/>
    <n v="0"/>
    <n v="0"/>
    <n v="0"/>
    <n v="0"/>
    <n v="0"/>
    <n v="0"/>
    <n v="0"/>
    <n v="0"/>
    <n v="0"/>
    <n v="0"/>
    <n v="0"/>
    <n v="0"/>
    <n v="0"/>
    <n v="0"/>
    <n v="0"/>
    <n v="0"/>
    <n v="0"/>
    <n v="0"/>
    <n v="0"/>
    <n v="0"/>
    <n v="0"/>
    <n v="0"/>
    <n v="0"/>
    <n v="0"/>
    <n v="0"/>
    <n v="0"/>
    <n v="0"/>
    <n v="0"/>
    <n v="0"/>
    <n v="0"/>
    <n v="0"/>
    <n v="0"/>
    <n v="0"/>
    <n v="0"/>
    <n v="0"/>
    <n v="63941.625"/>
    <s v=" "/>
    <s v=" "/>
    <n v="76155.498441000003"/>
    <s v=" "/>
    <s v=" "/>
    <s v=" "/>
    <s v=" "/>
    <s v=" "/>
    <s v=" "/>
    <s v=" "/>
    <s v=" "/>
    <s v=" "/>
    <s v=" "/>
    <s v=" "/>
    <s v=" "/>
    <x v="0"/>
    <x v="17"/>
    <x v="0"/>
    <x v="0"/>
    <x v="0"/>
    <x v="1"/>
    <x v="0"/>
    <x v="0"/>
    <x v="49"/>
    <x v="50"/>
    <x v="12"/>
    <x v="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LS16"/>
    <s v="Backfill Main Channel and reshaping"/>
    <s v="Backfill Leeuwbankspruit"/>
    <s v="LS16_021"/>
    <x v="7"/>
    <n v="29.950704900000002"/>
    <n v="-25.830577399999999"/>
    <s v="29° 57' 02.53&quot;E "/>
    <s v="25° 49' 50.07&quot; S"/>
    <s v="Complete"/>
    <n v="0"/>
    <s v="Yes"/>
    <d v="1899-12-30T00:00:00"/>
    <s v="NA"/>
    <s v="NA"/>
    <s v="No Drawing"/>
    <s v="Yes"/>
    <s v="00"/>
    <d v="2018-06-16T00:00:00"/>
    <s v="Phase 2"/>
    <s v="Year 3"/>
    <n v="6032.3099999999995"/>
    <n v="0"/>
    <n v="0"/>
    <n v="0"/>
    <n v="0"/>
    <n v="500"/>
    <n v="0"/>
    <n v="0"/>
    <n v="6032.3099999999995"/>
    <n v="6032.3099999999995"/>
    <n v="0"/>
    <n v="0"/>
    <n v="0"/>
    <n v="0"/>
    <n v="0"/>
    <n v="0"/>
    <n v="0"/>
    <n v="0"/>
    <n v="0"/>
    <n v="0"/>
    <n v="0"/>
    <n v="0"/>
    <n v="0"/>
    <n v="0"/>
    <n v="0"/>
    <n v="0"/>
    <n v="0"/>
    <n v="0"/>
    <n v="0"/>
    <n v="0"/>
    <n v="0"/>
    <n v="0"/>
    <n v="0"/>
    <n v="0"/>
    <n v="3454"/>
    <n v="0"/>
    <n v="0"/>
    <n v="0"/>
    <n v="0"/>
    <n v="0"/>
    <n v="0"/>
    <n v="0"/>
    <n v="0"/>
    <n v="0"/>
    <n v="0"/>
    <n v="0"/>
    <n v="0"/>
    <n v="0"/>
    <n v="0"/>
    <n v="0"/>
    <n v="0"/>
    <n v="0"/>
    <n v="0"/>
    <n v="0"/>
    <n v="0"/>
    <n v="0"/>
    <n v="0"/>
    <n v="0"/>
    <n v="0"/>
    <n v="0"/>
    <n v="0"/>
    <n v="0"/>
    <n v="0"/>
    <n v="0"/>
    <n v="0"/>
    <n v="0"/>
    <n v="0"/>
    <n v="0"/>
    <n v="0"/>
    <n v="0"/>
    <n v="0"/>
    <n v="0"/>
    <n v="0"/>
    <n v="0"/>
    <m/>
    <m/>
    <m/>
    <m/>
    <m/>
    <m/>
    <m/>
    <m/>
    <m/>
    <m/>
    <m/>
    <m/>
    <m/>
    <m/>
    <m/>
    <m/>
    <m/>
    <m/>
    <m/>
    <m/>
    <m/>
    <n v="30161.549999999996"/>
    <n v="0"/>
    <n v="0"/>
    <n v="0"/>
    <n v="0"/>
    <n v="42500"/>
    <n v="0"/>
    <n v="0"/>
    <n v="30161.549999999996"/>
    <n v="60323.099999999991"/>
    <n v="0"/>
    <n v="0"/>
    <n v="0"/>
    <n v="0"/>
    <n v="0"/>
    <n v="0"/>
    <n v="0"/>
    <n v="0"/>
    <n v="0"/>
    <n v="0"/>
    <n v="414480"/>
    <n v="0"/>
    <n v="0"/>
    <n v="0"/>
    <n v="0"/>
    <n v="0"/>
    <n v="0"/>
    <n v="0"/>
    <n v="0"/>
    <n v="0"/>
    <n v="0"/>
    <n v="0"/>
    <n v="0"/>
    <n v="0"/>
    <n v="0"/>
    <n v="0"/>
    <n v="0"/>
    <n v="0"/>
    <n v="0"/>
    <n v="0"/>
    <n v="0"/>
    <n v="0"/>
    <n v="0"/>
    <n v="0"/>
    <n v="0"/>
    <n v="0"/>
    <n v="0"/>
    <n v="0"/>
    <n v="0"/>
    <n v="0"/>
    <n v="0"/>
    <n v="0"/>
    <n v="0"/>
    <n v="0"/>
    <n v="0"/>
    <n v="0"/>
    <n v="0"/>
    <n v="0"/>
    <n v="577626.19999999995"/>
    <s v=" "/>
    <s v=" "/>
    <n v="687962.04621920013"/>
    <s v=" "/>
    <s v=" "/>
    <s v=" "/>
    <s v=" "/>
    <s v=" "/>
    <s v=" "/>
    <s v=" "/>
    <s v=" "/>
    <s v=" "/>
    <s v=" "/>
    <s v=" "/>
    <s v=" "/>
    <x v="47"/>
    <x v="0"/>
    <x v="0"/>
    <x v="0"/>
    <x v="0"/>
    <x v="93"/>
    <x v="0"/>
    <x v="0"/>
    <x v="50"/>
    <x v="51"/>
    <x v="1"/>
    <x v="1"/>
    <x v="0"/>
    <x v="0"/>
    <x v="0"/>
    <x v="0"/>
    <x v="0"/>
    <x v="0"/>
    <x v="0"/>
    <x v="0"/>
    <x v="0"/>
    <x v="0"/>
    <x v="0"/>
    <x v="0"/>
    <x v="0"/>
    <x v="0"/>
    <x v="0"/>
    <x v="0"/>
    <x v="0"/>
    <x v="0"/>
    <x v="0"/>
    <x v="0"/>
    <x v="29"/>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Pan 09"/>
    <s v="Removal of Dam Wall"/>
    <s v="Excavation"/>
    <s v="Pan09_001"/>
    <x v="4"/>
    <n v="29.997084167000001"/>
    <n v="-25.814247777999999"/>
    <s v="29° 59' 49.50&quot;E "/>
    <s v="25° 48' 51.29&quot; S"/>
    <s v="Complete"/>
    <s v="Yes"/>
    <s v="Yes"/>
    <d v="2017-05-31T00:00:00"/>
    <s v="NA"/>
    <s v="NA"/>
    <s v="No Drawing"/>
    <s v="Yes"/>
    <s v="00"/>
    <d v="2018-06-16T00:00:00"/>
    <s v="Phase 2"/>
    <s v="Year 1"/>
    <n v="977.74475386160645"/>
    <n v="188"/>
    <n v="0"/>
    <n v="0"/>
    <n v="0"/>
    <n v="0"/>
    <n v="0"/>
    <n v="0"/>
    <n v="594"/>
    <n v="594"/>
    <n v="188"/>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n v="4888.7237693080324"/>
    <n v="9400"/>
    <n v="0"/>
    <n v="0"/>
    <n v="0"/>
    <n v="0"/>
    <n v="0"/>
    <n v="0"/>
    <n v="2970"/>
    <n v="5940"/>
    <n v="0"/>
    <n v="0"/>
    <n v="0"/>
    <n v="0"/>
    <n v="0"/>
    <n v="0"/>
    <n v="0"/>
    <n v="0"/>
    <n v="0"/>
    <n v="0"/>
    <n v="0"/>
    <n v="0"/>
    <n v="0"/>
    <n v="0"/>
    <n v="0"/>
    <n v="0"/>
    <n v="0"/>
    <n v="0"/>
    <n v="0"/>
    <n v="0"/>
    <n v="0"/>
    <n v="0"/>
    <n v="0"/>
    <n v="0"/>
    <n v="0"/>
    <n v="0"/>
    <n v="0"/>
    <n v="0"/>
    <n v="0"/>
    <n v="0"/>
    <n v="0"/>
    <n v="0"/>
    <n v="0"/>
    <n v="0"/>
    <n v="0"/>
    <n v="0"/>
    <n v="0"/>
    <n v="0"/>
    <n v="0"/>
    <n v="0"/>
    <n v="0"/>
    <n v="0"/>
    <n v="0"/>
    <n v="0"/>
    <n v="0"/>
    <n v="0"/>
    <n v="0"/>
    <n v="0"/>
    <n v="23198.723769308031"/>
    <n v="24590.647195466514"/>
    <s v=" "/>
    <s v=" "/>
    <s v=" "/>
    <s v=" "/>
    <s v=" "/>
    <s v=" "/>
    <s v=" "/>
    <s v=" "/>
    <s v=" "/>
    <s v=" "/>
    <s v=" "/>
    <s v=" "/>
    <s v=" "/>
    <s v=" "/>
    <x v="48"/>
    <x v="18"/>
    <x v="0"/>
    <x v="0"/>
    <x v="0"/>
    <x v="1"/>
    <x v="0"/>
    <x v="0"/>
    <x v="51"/>
    <x v="52"/>
    <x v="13"/>
    <x v="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Pan 14"/>
    <s v="Infilling of Drains"/>
    <s v="Earthworks"/>
    <s v="Pan14_004"/>
    <x v="9"/>
    <n v="29.969008333000001"/>
    <n v="-25.813643889000002"/>
    <s v="29° 58' 08.42&quot;E "/>
    <s v="25° 48' 49.11&quot; S"/>
    <s v="Complete"/>
    <s v="Yes"/>
    <s v="Yes"/>
    <d v="2017-05-29T00:00:00"/>
    <s v="NA"/>
    <s v="NA"/>
    <s v="No Drawing"/>
    <s v="Yes"/>
    <s v="00"/>
    <d v="2018-06-16T00:00:00"/>
    <s v="Phase 2"/>
    <s v="Year 3"/>
    <n v="380"/>
    <n v="0"/>
    <n v="0"/>
    <n v="0"/>
    <n v="0"/>
    <n v="0"/>
    <n v="0"/>
    <n v="0"/>
    <n v="180"/>
    <n v="180"/>
    <n v="0"/>
    <n v="0"/>
    <n v="0"/>
    <n v="0"/>
    <n v="0"/>
    <n v="0"/>
    <n v="0"/>
    <n v="0"/>
    <n v="0"/>
    <n v="0"/>
    <n v="0"/>
    <n v="0"/>
    <n v="0"/>
    <n v="0"/>
    <n v="0"/>
    <n v="0"/>
    <n v="0"/>
    <n v="0"/>
    <n v="0"/>
    <n v="0"/>
    <n v="0"/>
    <n v="0"/>
    <n v="0"/>
    <n v="0"/>
    <n v="90"/>
    <n v="0"/>
    <n v="0"/>
    <n v="0"/>
    <n v="0"/>
    <n v="0"/>
    <n v="0"/>
    <n v="0"/>
    <n v="0"/>
    <n v="0"/>
    <n v="0"/>
    <n v="0"/>
    <n v="0"/>
    <n v="0"/>
    <n v="0"/>
    <n v="0"/>
    <n v="0"/>
    <n v="0"/>
    <n v="0"/>
    <n v="0"/>
    <n v="0"/>
    <n v="0"/>
    <n v="0"/>
    <n v="0"/>
    <n v="0"/>
    <n v="0"/>
    <n v="0"/>
    <n v="0"/>
    <n v="0"/>
    <n v="0"/>
    <n v="0"/>
    <n v="0"/>
    <n v="0"/>
    <n v="0"/>
    <n v="0"/>
    <n v="0"/>
    <n v="0"/>
    <n v="0"/>
    <n v="0"/>
    <n v="0"/>
    <n v="0"/>
    <n v="0"/>
    <n v="0"/>
    <n v="0"/>
    <n v="0"/>
    <n v="0"/>
    <n v="0"/>
    <n v="0"/>
    <n v="0"/>
    <n v="0"/>
    <n v="0"/>
    <n v="0"/>
    <m/>
    <m/>
    <m/>
    <m/>
    <m/>
    <m/>
    <m/>
    <m/>
    <m/>
    <n v="1900"/>
    <n v="0"/>
    <n v="0"/>
    <n v="0"/>
    <n v="0"/>
    <n v="0"/>
    <n v="0"/>
    <n v="0"/>
    <n v="900"/>
    <n v="1800"/>
    <n v="0"/>
    <n v="0"/>
    <n v="0"/>
    <n v="0"/>
    <n v="0"/>
    <n v="0"/>
    <n v="0"/>
    <n v="0"/>
    <n v="0"/>
    <n v="0"/>
    <n v="10800"/>
    <n v="0"/>
    <n v="0"/>
    <n v="0"/>
    <n v="0"/>
    <n v="0"/>
    <n v="0"/>
    <n v="0"/>
    <n v="0"/>
    <n v="0"/>
    <n v="0"/>
    <n v="0"/>
    <n v="0"/>
    <n v="0"/>
    <n v="0"/>
    <n v="0"/>
    <n v="0"/>
    <n v="0"/>
    <n v="0"/>
    <n v="0"/>
    <n v="0"/>
    <n v="0"/>
    <n v="0"/>
    <n v="0"/>
    <n v="0"/>
    <n v="0"/>
    <n v="0"/>
    <n v="0"/>
    <n v="0"/>
    <n v="0"/>
    <n v="0"/>
    <n v="0"/>
    <n v="0"/>
    <n v="0"/>
    <n v="0"/>
    <n v="0"/>
    <n v="0"/>
    <n v="0"/>
    <n v="15400"/>
    <s v=" "/>
    <s v=" "/>
    <n v="18341.646400000005"/>
    <s v=" "/>
    <s v=" "/>
    <s v=" "/>
    <s v=" "/>
    <s v=" "/>
    <s v=" "/>
    <s v=" "/>
    <s v=" "/>
    <s v=" "/>
    <s v=" "/>
    <s v=" "/>
    <s v=" "/>
    <x v="49"/>
    <x v="0"/>
    <x v="0"/>
    <x v="0"/>
    <x v="0"/>
    <x v="1"/>
    <x v="0"/>
    <x v="0"/>
    <x v="52"/>
    <x v="53"/>
    <x v="1"/>
    <x v="1"/>
    <x v="0"/>
    <x v="0"/>
    <x v="0"/>
    <x v="0"/>
    <x v="0"/>
    <x v="0"/>
    <x v="0"/>
    <x v="0"/>
    <x v="0"/>
    <x v="0"/>
    <x v="0"/>
    <x v="0"/>
    <x v="0"/>
    <x v="0"/>
    <x v="0"/>
    <x v="0"/>
    <x v="0"/>
    <x v="0"/>
    <x v="0"/>
    <x v="0"/>
    <x v="3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Pan 14"/>
    <s v="Infilling of Drains"/>
    <s v="Earthworks"/>
    <s v="Pan14_005"/>
    <x v="9"/>
    <n v="29.969159999999999"/>
    <n v="-25.813644444000001"/>
    <s v="29° 58' 08.97&quot;E "/>
    <s v="25° 48' 49.11&quot; S"/>
    <s v="Complete"/>
    <s v="Yes"/>
    <s v="Yes"/>
    <d v="2017-05-29T00:00:00"/>
    <s v="NA"/>
    <s v="NA"/>
    <s v="No Drawing"/>
    <s v="Yes"/>
    <s v="00"/>
    <d v="2018-06-16T00:00:00"/>
    <s v="Phase 2"/>
    <s v="Year 3"/>
    <n v="461.04092228712886"/>
    <n v="0"/>
    <n v="0"/>
    <n v="0"/>
    <n v="0"/>
    <n v="0"/>
    <n v="0"/>
    <n v="0"/>
    <n v="450"/>
    <n v="450"/>
    <n v="0"/>
    <n v="0"/>
    <n v="0"/>
    <n v="0"/>
    <n v="0"/>
    <n v="0"/>
    <n v="0"/>
    <n v="0"/>
    <n v="0"/>
    <n v="0"/>
    <n v="0"/>
    <n v="0"/>
    <n v="0"/>
    <n v="0"/>
    <n v="0"/>
    <n v="0"/>
    <n v="0"/>
    <n v="0"/>
    <n v="0"/>
    <n v="0"/>
    <n v="0"/>
    <n v="0"/>
    <n v="0"/>
    <n v="0"/>
    <n v="81.899999999999991"/>
    <n v="0"/>
    <n v="0"/>
    <n v="0"/>
    <n v="0"/>
    <n v="0"/>
    <n v="0"/>
    <n v="0"/>
    <n v="0"/>
    <n v="0"/>
    <n v="0"/>
    <n v="0"/>
    <n v="0"/>
    <n v="0"/>
    <n v="0"/>
    <n v="0"/>
    <n v="0"/>
    <n v="0"/>
    <n v="0"/>
    <n v="0"/>
    <n v="0"/>
    <n v="0"/>
    <n v="0"/>
    <n v="0"/>
    <n v="0"/>
    <n v="0"/>
    <n v="0"/>
    <n v="0"/>
    <n v="0"/>
    <n v="0"/>
    <n v="0"/>
    <n v="0"/>
    <n v="0"/>
    <n v="0"/>
    <n v="0"/>
    <n v="0"/>
    <n v="0"/>
    <n v="0"/>
    <n v="0"/>
    <n v="0"/>
    <n v="0"/>
    <n v="0"/>
    <n v="0"/>
    <n v="0"/>
    <n v="0"/>
    <n v="0"/>
    <n v="0"/>
    <n v="0"/>
    <n v="0"/>
    <n v="0"/>
    <n v="0"/>
    <n v="0"/>
    <m/>
    <m/>
    <m/>
    <m/>
    <m/>
    <m/>
    <m/>
    <m/>
    <m/>
    <n v="2305.2046114356444"/>
    <n v="0"/>
    <n v="0"/>
    <n v="0"/>
    <n v="0"/>
    <n v="0"/>
    <n v="0"/>
    <n v="0"/>
    <n v="2250"/>
    <n v="4500"/>
    <n v="0"/>
    <n v="0"/>
    <n v="0"/>
    <n v="0"/>
    <n v="0"/>
    <n v="0"/>
    <n v="0"/>
    <n v="0"/>
    <n v="0"/>
    <n v="0"/>
    <n v="9827.9999999999982"/>
    <n v="0"/>
    <n v="0"/>
    <n v="0"/>
    <n v="0"/>
    <n v="0"/>
    <n v="0"/>
    <n v="0"/>
    <n v="0"/>
    <n v="0"/>
    <n v="0"/>
    <n v="0"/>
    <n v="0"/>
    <n v="0"/>
    <n v="0"/>
    <n v="0"/>
    <n v="0"/>
    <n v="0"/>
    <n v="0"/>
    <n v="0"/>
    <n v="0"/>
    <n v="0"/>
    <n v="0"/>
    <n v="0"/>
    <n v="0"/>
    <n v="0"/>
    <n v="0"/>
    <n v="0"/>
    <n v="0"/>
    <n v="0"/>
    <n v="0"/>
    <n v="0"/>
    <n v="0"/>
    <n v="0"/>
    <n v="0"/>
    <n v="0"/>
    <n v="0"/>
    <n v="0"/>
    <n v="18883.204611435642"/>
    <s v=" "/>
    <s v=" "/>
    <n v="22490.198823493636"/>
    <s v=" "/>
    <s v=" "/>
    <s v=" "/>
    <s v=" "/>
    <s v=" "/>
    <s v=" "/>
    <s v=" "/>
    <s v=" "/>
    <s v=" "/>
    <s v=" "/>
    <s v=" "/>
    <s v=" "/>
    <x v="50"/>
    <x v="0"/>
    <x v="0"/>
    <x v="0"/>
    <x v="0"/>
    <x v="1"/>
    <x v="0"/>
    <x v="0"/>
    <x v="53"/>
    <x v="54"/>
    <x v="1"/>
    <x v="1"/>
    <x v="0"/>
    <x v="0"/>
    <x v="0"/>
    <x v="0"/>
    <x v="0"/>
    <x v="0"/>
    <x v="0"/>
    <x v="0"/>
    <x v="0"/>
    <x v="0"/>
    <x v="0"/>
    <x v="0"/>
    <x v="0"/>
    <x v="0"/>
    <x v="0"/>
    <x v="0"/>
    <x v="0"/>
    <x v="0"/>
    <x v="0"/>
    <x v="0"/>
    <x v="3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Pan 14"/>
    <s v="Earthen Berms"/>
    <s v="Earthworks"/>
    <s v="Pan14_006"/>
    <x v="9"/>
    <n v="29.970862222000001"/>
    <n v="-25.813888056"/>
    <s v="29° 58' 15.10&quot;E "/>
    <s v="25° 48' 49.99&quot; S"/>
    <s v="Complete"/>
    <s v="Yes"/>
    <s v="Yes"/>
    <d v="2017-05-29T00:00:00"/>
    <s v="YES "/>
    <s v="NO"/>
    <s v="NBC-GTW-CL-0051"/>
    <s v="Yes"/>
    <s v="00"/>
    <d v="2018-06-16T00:00:00"/>
    <s v="Phase 2"/>
    <s v="Year 3"/>
    <n v="190.75533221704055"/>
    <n v="0"/>
    <n v="0"/>
    <n v="0"/>
    <n v="0"/>
    <n v="0"/>
    <n v="0"/>
    <n v="0"/>
    <n v="190.75533221704055"/>
    <n v="190.75533221704055"/>
    <n v="0"/>
    <n v="0"/>
    <n v="0"/>
    <n v="0"/>
    <n v="0"/>
    <n v="0"/>
    <n v="0"/>
    <n v="0"/>
    <n v="0"/>
    <n v="0"/>
    <n v="0"/>
    <n v="0"/>
    <n v="0"/>
    <n v="0"/>
    <n v="0"/>
    <n v="0"/>
    <n v="0"/>
    <n v="0"/>
    <n v="0"/>
    <n v="0"/>
    <n v="0"/>
    <n v="0"/>
    <n v="0"/>
    <n v="0"/>
    <n v="57.375"/>
    <n v="0"/>
    <n v="0"/>
    <n v="0"/>
    <n v="0"/>
    <n v="0"/>
    <n v="0"/>
    <n v="0"/>
    <n v="0"/>
    <n v="0"/>
    <n v="0"/>
    <n v="0"/>
    <n v="0"/>
    <n v="0"/>
    <n v="0"/>
    <n v="0"/>
    <n v="0"/>
    <n v="0"/>
    <n v="0"/>
    <n v="0"/>
    <n v="0"/>
    <n v="0"/>
    <n v="0"/>
    <n v="0"/>
    <n v="0"/>
    <n v="0"/>
    <n v="0"/>
    <n v="0"/>
    <n v="0"/>
    <n v="0"/>
    <n v="0"/>
    <n v="0"/>
    <n v="0"/>
    <n v="0"/>
    <n v="0"/>
    <n v="0"/>
    <n v="0"/>
    <n v="0"/>
    <n v="0"/>
    <n v="0"/>
    <n v="0"/>
    <n v="0"/>
    <n v="0"/>
    <n v="0"/>
    <n v="0"/>
    <n v="0"/>
    <n v="0"/>
    <n v="0"/>
    <n v="0"/>
    <m/>
    <m/>
    <m/>
    <m/>
    <m/>
    <m/>
    <m/>
    <m/>
    <m/>
    <m/>
    <m/>
    <m/>
    <n v="953.7766610852027"/>
    <n v="0"/>
    <n v="0"/>
    <n v="0"/>
    <n v="0"/>
    <n v="0"/>
    <n v="0"/>
    <n v="0"/>
    <n v="953.7766610852027"/>
    <n v="1907.5533221704054"/>
    <n v="0"/>
    <n v="0"/>
    <n v="0"/>
    <n v="0"/>
    <n v="0"/>
    <n v="0"/>
    <n v="0"/>
    <n v="0"/>
    <n v="0"/>
    <n v="0"/>
    <n v="6885"/>
    <n v="0"/>
    <n v="0"/>
    <n v="0"/>
    <n v="0"/>
    <n v="0"/>
    <n v="0"/>
    <n v="0"/>
    <n v="0"/>
    <n v="0"/>
    <n v="0"/>
    <n v="0"/>
    <n v="0"/>
    <n v="0"/>
    <n v="0"/>
    <n v="0"/>
    <n v="0"/>
    <n v="0"/>
    <n v="0"/>
    <n v="0"/>
    <n v="0"/>
    <n v="0"/>
    <n v="0"/>
    <n v="0"/>
    <n v="0"/>
    <n v="0"/>
    <n v="0"/>
    <n v="0"/>
    <n v="0"/>
    <n v="0"/>
    <n v="0"/>
    <n v="0"/>
    <n v="0"/>
    <n v="0"/>
    <n v="0"/>
    <n v="0"/>
    <n v="0"/>
    <n v="0"/>
    <n v="10700.106644340811"/>
    <s v=" "/>
    <s v=" "/>
    <n v="12743.998215116217"/>
    <s v=" "/>
    <s v=" "/>
    <s v=" "/>
    <s v=" "/>
    <s v=" "/>
    <s v=" "/>
    <s v=" "/>
    <s v=" "/>
    <s v=" "/>
    <s v=" "/>
    <s v=" "/>
    <s v=" "/>
    <x v="51"/>
    <x v="0"/>
    <x v="0"/>
    <x v="0"/>
    <x v="0"/>
    <x v="1"/>
    <x v="0"/>
    <x v="0"/>
    <x v="54"/>
    <x v="55"/>
    <x v="1"/>
    <x v="1"/>
    <x v="0"/>
    <x v="0"/>
    <x v="0"/>
    <x v="0"/>
    <x v="0"/>
    <x v="0"/>
    <x v="0"/>
    <x v="0"/>
    <x v="0"/>
    <x v="0"/>
    <x v="0"/>
    <x v="0"/>
    <x v="0"/>
    <x v="0"/>
    <x v="0"/>
    <x v="0"/>
    <x v="0"/>
    <x v="0"/>
    <x v="0"/>
    <x v="0"/>
    <x v="32"/>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Pan 14"/>
    <s v="Infilling of Drains"/>
    <s v="Earthworks"/>
    <s v="Pan14_007"/>
    <x v="9"/>
    <n v="29.968357222000002"/>
    <n v="-25.813337499999999"/>
    <s v="29° 58' 06.08&quot;E "/>
    <s v="25° 48' 48.01&quot; S"/>
    <s v="Complete"/>
    <s v="Yes"/>
    <s v="Yes"/>
    <d v="2017-05-29T00:00:00"/>
    <s v="NA"/>
    <s v="NA"/>
    <s v="No Drawing"/>
    <s v="Yes"/>
    <s v="00"/>
    <d v="2018-06-16T00:00:00"/>
    <s v="Phase 2"/>
    <s v="Year 3"/>
    <n v="168.28023074035519"/>
    <n v="0"/>
    <n v="0"/>
    <n v="0"/>
    <n v="0"/>
    <n v="18.600000000000001"/>
    <n v="0"/>
    <n v="0"/>
    <n v="76"/>
    <n v="76"/>
    <n v="0"/>
    <n v="0"/>
    <n v="0"/>
    <n v="0"/>
    <n v="0"/>
    <n v="0"/>
    <n v="0"/>
    <n v="0"/>
    <n v="0"/>
    <n v="0"/>
    <n v="0"/>
    <n v="0"/>
    <n v="0"/>
    <n v="0"/>
    <n v="0"/>
    <n v="0"/>
    <n v="0"/>
    <n v="0"/>
    <n v="0"/>
    <n v="0"/>
    <n v="0"/>
    <n v="0"/>
    <n v="0"/>
    <n v="0"/>
    <n v="47.88"/>
    <n v="0"/>
    <n v="0"/>
    <n v="0"/>
    <n v="0"/>
    <n v="0"/>
    <n v="0"/>
    <n v="0"/>
    <n v="0"/>
    <n v="0"/>
    <n v="0"/>
    <n v="0"/>
    <n v="0"/>
    <n v="0"/>
    <n v="0"/>
    <n v="0"/>
    <n v="0"/>
    <n v="0"/>
    <n v="0"/>
    <n v="0"/>
    <n v="0"/>
    <n v="0"/>
    <n v="0"/>
    <n v="0"/>
    <n v="0"/>
    <n v="0"/>
    <n v="0"/>
    <n v="0"/>
    <n v="0"/>
    <n v="0"/>
    <n v="0"/>
    <n v="0"/>
    <n v="0"/>
    <n v="0"/>
    <n v="0"/>
    <n v="0"/>
    <n v="0"/>
    <n v="0"/>
    <n v="0"/>
    <n v="0"/>
    <n v="0"/>
    <n v="0"/>
    <n v="0"/>
    <n v="0"/>
    <n v="0"/>
    <n v="0"/>
    <n v="0"/>
    <n v="0"/>
    <n v="0"/>
    <n v="0"/>
    <n v="0"/>
    <n v="0"/>
    <m/>
    <m/>
    <m/>
    <m/>
    <m/>
    <m/>
    <m/>
    <m/>
    <m/>
    <n v="841.40115370177591"/>
    <n v="0"/>
    <n v="0"/>
    <n v="0"/>
    <n v="0"/>
    <n v="1581.0000000000002"/>
    <n v="0"/>
    <n v="0"/>
    <n v="380"/>
    <n v="760"/>
    <n v="0"/>
    <n v="0"/>
    <n v="0"/>
    <n v="0"/>
    <n v="0"/>
    <n v="0"/>
    <n v="0"/>
    <n v="0"/>
    <n v="0"/>
    <n v="0"/>
    <n v="5745.6"/>
    <n v="0"/>
    <n v="0"/>
    <n v="0"/>
    <n v="0"/>
    <n v="0"/>
    <n v="0"/>
    <n v="0"/>
    <n v="0"/>
    <n v="0"/>
    <n v="0"/>
    <n v="0"/>
    <n v="0"/>
    <n v="0"/>
    <n v="0"/>
    <n v="0"/>
    <n v="0"/>
    <n v="0"/>
    <n v="0"/>
    <n v="0"/>
    <n v="0"/>
    <n v="0"/>
    <n v="0"/>
    <n v="0"/>
    <n v="0"/>
    <n v="0"/>
    <n v="0"/>
    <n v="0"/>
    <n v="0"/>
    <n v="0"/>
    <n v="0"/>
    <n v="0"/>
    <n v="0"/>
    <n v="0"/>
    <n v="0"/>
    <n v="0"/>
    <n v="0"/>
    <n v="0"/>
    <n v="9308.0011537017763"/>
    <s v=" "/>
    <s v=" "/>
    <n v="11085.978302077277"/>
    <s v=" "/>
    <s v=" "/>
    <s v=" "/>
    <s v=" "/>
    <s v=" "/>
    <s v=" "/>
    <s v=" "/>
    <s v=" "/>
    <s v=" "/>
    <s v=" "/>
    <s v=" "/>
    <s v=" "/>
    <x v="52"/>
    <x v="0"/>
    <x v="0"/>
    <x v="0"/>
    <x v="0"/>
    <x v="94"/>
    <x v="0"/>
    <x v="0"/>
    <x v="55"/>
    <x v="56"/>
    <x v="1"/>
    <x v="1"/>
    <x v="0"/>
    <x v="0"/>
    <x v="0"/>
    <x v="0"/>
    <x v="0"/>
    <x v="0"/>
    <x v="0"/>
    <x v="0"/>
    <x v="0"/>
    <x v="0"/>
    <x v="0"/>
    <x v="0"/>
    <x v="0"/>
    <x v="0"/>
    <x v="0"/>
    <x v="0"/>
    <x v="0"/>
    <x v="0"/>
    <x v="0"/>
    <x v="0"/>
    <x v="33"/>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Pan 14"/>
    <s v="Infilling of Drains"/>
    <s v="Earthworks"/>
    <s v="Pan14_008"/>
    <x v="9"/>
    <n v="29.967205556"/>
    <n v="-25.813318333000002"/>
    <s v="29° 58' 01.94&quot;E "/>
    <s v="25° 48' 47.94&quot; S"/>
    <s v="Complete"/>
    <s v="Yes"/>
    <s v="Yes"/>
    <d v="2017-05-29T00:00:00"/>
    <s v="NA"/>
    <s v="NA"/>
    <s v="No Drawing"/>
    <s v="Yes"/>
    <s v="00"/>
    <d v="2018-06-16T00:00:00"/>
    <s v="Phase 2"/>
    <s v="Year 3"/>
    <n v="108"/>
    <n v="73.439999999999984"/>
    <n v="0"/>
    <n v="0"/>
    <n v="0"/>
    <n v="48.6"/>
    <n v="0"/>
    <n v="0"/>
    <n v="108"/>
    <n v="108"/>
    <n v="0"/>
    <n v="0"/>
    <n v="0"/>
    <n v="0"/>
    <n v="0"/>
    <n v="0"/>
    <n v="0"/>
    <n v="0"/>
    <n v="0"/>
    <n v="0"/>
    <n v="0"/>
    <n v="0"/>
    <n v="0"/>
    <n v="0"/>
    <n v="0"/>
    <n v="0"/>
    <n v="0"/>
    <n v="0"/>
    <n v="0"/>
    <n v="0"/>
    <n v="0"/>
    <n v="0"/>
    <n v="0"/>
    <n v="0"/>
    <n v="18.359999999999996"/>
    <n v="0"/>
    <n v="0"/>
    <n v="0"/>
    <n v="0"/>
    <n v="0"/>
    <n v="0"/>
    <n v="0"/>
    <n v="0"/>
    <n v="0"/>
    <n v="0"/>
    <n v="0"/>
    <n v="0"/>
    <n v="0"/>
    <n v="0"/>
    <n v="0"/>
    <n v="0"/>
    <n v="0"/>
    <n v="0"/>
    <n v="0"/>
    <n v="0"/>
    <n v="0"/>
    <n v="0"/>
    <n v="0"/>
    <n v="0"/>
    <n v="0"/>
    <n v="0"/>
    <n v="0"/>
    <n v="0"/>
    <n v="0"/>
    <n v="0"/>
    <n v="0"/>
    <n v="0"/>
    <n v="0"/>
    <n v="0"/>
    <n v="0"/>
    <n v="0"/>
    <n v="0"/>
    <n v="0"/>
    <n v="0"/>
    <n v="0"/>
    <n v="0"/>
    <n v="0"/>
    <n v="0"/>
    <n v="0"/>
    <n v="0"/>
    <n v="0"/>
    <n v="0"/>
    <n v="0"/>
    <n v="0"/>
    <n v="0"/>
    <n v="0"/>
    <m/>
    <m/>
    <m/>
    <m/>
    <m/>
    <m/>
    <m/>
    <m/>
    <m/>
    <n v="540"/>
    <n v="3671.9999999999991"/>
    <n v="0"/>
    <n v="0"/>
    <n v="0"/>
    <n v="4131"/>
    <n v="0"/>
    <n v="0"/>
    <n v="540"/>
    <n v="1080"/>
    <n v="0"/>
    <n v="0"/>
    <n v="0"/>
    <n v="0"/>
    <n v="0"/>
    <n v="0"/>
    <n v="0"/>
    <n v="0"/>
    <n v="0"/>
    <n v="0"/>
    <n v="2203.1999999999994"/>
    <n v="0"/>
    <n v="0"/>
    <n v="0"/>
    <n v="0"/>
    <n v="0"/>
    <n v="0"/>
    <n v="0"/>
    <n v="0"/>
    <n v="0"/>
    <n v="0"/>
    <n v="0"/>
    <n v="0"/>
    <n v="0"/>
    <n v="0"/>
    <n v="0"/>
    <n v="0"/>
    <n v="0"/>
    <n v="0"/>
    <n v="0"/>
    <n v="0"/>
    <n v="0"/>
    <n v="0"/>
    <n v="0"/>
    <n v="0"/>
    <n v="0"/>
    <n v="0"/>
    <n v="0"/>
    <n v="0"/>
    <n v="0"/>
    <n v="0"/>
    <n v="0"/>
    <n v="0"/>
    <n v="0"/>
    <n v="0"/>
    <n v="0"/>
    <n v="0"/>
    <n v="0"/>
    <n v="12166.199999999999"/>
    <s v=" "/>
    <s v=" "/>
    <n v="14490.1388592"/>
    <s v=" "/>
    <s v=" "/>
    <s v=" "/>
    <s v=" "/>
    <s v=" "/>
    <s v=" "/>
    <s v=" "/>
    <s v=" "/>
    <s v=" "/>
    <s v=" "/>
    <s v=" "/>
    <s v=" "/>
    <x v="53"/>
    <x v="19"/>
    <x v="0"/>
    <x v="0"/>
    <x v="0"/>
    <x v="95"/>
    <x v="0"/>
    <x v="0"/>
    <x v="56"/>
    <x v="57"/>
    <x v="1"/>
    <x v="1"/>
    <x v="0"/>
    <x v="0"/>
    <x v="0"/>
    <x v="0"/>
    <x v="0"/>
    <x v="0"/>
    <x v="0"/>
    <x v="0"/>
    <x v="0"/>
    <x v="0"/>
    <x v="0"/>
    <x v="0"/>
    <x v="0"/>
    <x v="0"/>
    <x v="0"/>
    <x v="0"/>
    <x v="0"/>
    <x v="0"/>
    <x v="0"/>
    <x v="0"/>
    <x v="34"/>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Pan 14"/>
    <s v="Infilling of Drains"/>
    <s v="Earthworks"/>
    <s v="Pan14_009"/>
    <x v="9"/>
    <n v="29.967326389"/>
    <n v="-25.815248333"/>
    <s v="29° 58' 02.37&quot;E "/>
    <s v="25° 48' 54.89&quot; S"/>
    <s v="Complete"/>
    <s v="Yes"/>
    <s v="Yes"/>
    <d v="2017-05-29T00:00:00"/>
    <s v="NA"/>
    <s v="NA"/>
    <s v="No Drawing"/>
    <s v="Yes"/>
    <s v="00"/>
    <d v="2018-06-16T00:00:00"/>
    <s v="Phase 2"/>
    <s v="Year 3"/>
    <n v="139.61287026210616"/>
    <n v="0"/>
    <n v="0"/>
    <n v="0"/>
    <n v="0"/>
    <n v="0"/>
    <n v="0"/>
    <n v="0"/>
    <n v="78.400000000000006"/>
    <n v="78.400000000000006"/>
    <n v="0"/>
    <n v="0"/>
    <n v="0"/>
    <n v="0"/>
    <n v="0"/>
    <n v="0"/>
    <n v="0"/>
    <n v="0"/>
    <n v="0"/>
    <n v="0"/>
    <n v="0"/>
    <n v="0"/>
    <n v="0"/>
    <n v="0"/>
    <n v="0"/>
    <n v="0"/>
    <n v="0"/>
    <n v="0"/>
    <n v="0"/>
    <n v="0"/>
    <n v="0"/>
    <n v="0"/>
    <n v="0"/>
    <n v="0"/>
    <n v="27.439999999999998"/>
    <n v="0"/>
    <n v="0"/>
    <n v="0"/>
    <n v="0"/>
    <n v="0"/>
    <n v="0"/>
    <n v="0"/>
    <n v="0"/>
    <n v="0"/>
    <n v="0"/>
    <n v="0"/>
    <n v="0"/>
    <n v="0"/>
    <n v="0"/>
    <n v="0"/>
    <n v="0"/>
    <n v="0"/>
    <n v="0"/>
    <n v="0"/>
    <n v="0"/>
    <n v="0"/>
    <n v="0"/>
    <n v="0"/>
    <n v="0"/>
    <n v="0"/>
    <n v="0"/>
    <n v="0"/>
    <n v="0"/>
    <n v="0"/>
    <n v="0"/>
    <n v="0"/>
    <n v="0"/>
    <n v="0"/>
    <n v="0"/>
    <n v="0"/>
    <n v="0"/>
    <n v="0"/>
    <n v="0"/>
    <n v="0"/>
    <n v="0"/>
    <n v="0"/>
    <n v="0"/>
    <n v="0"/>
    <n v="0"/>
    <n v="0"/>
    <n v="0"/>
    <n v="0"/>
    <n v="0"/>
    <n v="0"/>
    <n v="0"/>
    <n v="0"/>
    <m/>
    <m/>
    <m/>
    <m/>
    <m/>
    <m/>
    <m/>
    <m/>
    <m/>
    <n v="698.06435131053081"/>
    <n v="0"/>
    <n v="0"/>
    <n v="0"/>
    <n v="0"/>
    <n v="0"/>
    <n v="0"/>
    <n v="0"/>
    <n v="392"/>
    <n v="784"/>
    <n v="0"/>
    <n v="0"/>
    <n v="0"/>
    <n v="0"/>
    <n v="0"/>
    <n v="0"/>
    <n v="0"/>
    <n v="0"/>
    <n v="0"/>
    <n v="0"/>
    <n v="3292.7999999999997"/>
    <n v="0"/>
    <n v="0"/>
    <n v="0"/>
    <n v="0"/>
    <n v="0"/>
    <n v="0"/>
    <n v="0"/>
    <n v="0"/>
    <n v="0"/>
    <n v="0"/>
    <n v="0"/>
    <n v="0"/>
    <n v="0"/>
    <n v="0"/>
    <n v="0"/>
    <n v="0"/>
    <n v="0"/>
    <n v="0"/>
    <n v="0"/>
    <n v="0"/>
    <n v="0"/>
    <n v="0"/>
    <n v="0"/>
    <n v="0"/>
    <n v="0"/>
    <n v="0"/>
    <n v="0"/>
    <n v="0"/>
    <n v="0"/>
    <n v="0"/>
    <n v="0"/>
    <n v="0"/>
    <n v="0"/>
    <n v="0"/>
    <n v="0"/>
    <n v="0"/>
    <n v="0"/>
    <n v="5166.8643513105308"/>
    <s v=" "/>
    <s v=" "/>
    <n v="6153.818112240464"/>
    <s v=" "/>
    <s v=" "/>
    <s v=" "/>
    <s v=" "/>
    <s v=" "/>
    <s v=" "/>
    <s v=" "/>
    <s v=" "/>
    <s v=" "/>
    <s v=" "/>
    <s v=" "/>
    <s v=" "/>
    <x v="54"/>
    <x v="0"/>
    <x v="0"/>
    <x v="0"/>
    <x v="0"/>
    <x v="1"/>
    <x v="0"/>
    <x v="0"/>
    <x v="57"/>
    <x v="58"/>
    <x v="1"/>
    <x v="1"/>
    <x v="0"/>
    <x v="0"/>
    <x v="0"/>
    <x v="0"/>
    <x v="0"/>
    <x v="0"/>
    <x v="0"/>
    <x v="0"/>
    <x v="0"/>
    <x v="0"/>
    <x v="0"/>
    <x v="0"/>
    <x v="0"/>
    <x v="0"/>
    <x v="0"/>
    <x v="0"/>
    <x v="0"/>
    <x v="0"/>
    <x v="0"/>
    <x v="0"/>
    <x v="35"/>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Pan 14"/>
    <s v="Infilling of Drains"/>
    <s v="Earthworks"/>
    <s v="Pan14_010"/>
    <x v="9"/>
    <n v="29.966897778"/>
    <n v="-25.816143611000001"/>
    <s v="29° 58' 00.83&quot;E "/>
    <s v="25° 48' 58.11&quot; S"/>
    <s v="Complete"/>
    <s v="Yes"/>
    <s v="Yes"/>
    <d v="2017-05-29T00:00:00"/>
    <s v="NA"/>
    <s v="NA"/>
    <s v="No Drawing"/>
    <s v="Yes"/>
    <s v="00"/>
    <d v="2018-06-16T00:00:00"/>
    <s v="Phase 2"/>
    <s v="Year 3"/>
    <n v="0"/>
    <n v="0"/>
    <n v="0"/>
    <n v="0"/>
    <n v="0"/>
    <n v="0"/>
    <n v="0"/>
    <n v="0"/>
    <n v="0"/>
    <n v="3437.5"/>
    <n v="0"/>
    <n v="0"/>
    <n v="0"/>
    <n v="0"/>
    <n v="0"/>
    <n v="0"/>
    <n v="0"/>
    <n v="0"/>
    <n v="0"/>
    <n v="0"/>
    <n v="0"/>
    <n v="0"/>
    <n v="0"/>
    <n v="0"/>
    <n v="0"/>
    <n v="0"/>
    <n v="0"/>
    <n v="0"/>
    <n v="0"/>
    <n v="0"/>
    <n v="0"/>
    <n v="0"/>
    <n v="0"/>
    <n v="0"/>
    <n v="1312.4999999999998"/>
    <n v="0"/>
    <n v="0"/>
    <n v="0"/>
    <n v="0"/>
    <n v="0"/>
    <n v="0"/>
    <n v="0"/>
    <n v="0"/>
    <n v="0"/>
    <n v="0"/>
    <n v="0"/>
    <n v="0"/>
    <n v="0"/>
    <n v="0"/>
    <n v="0"/>
    <n v="0"/>
    <n v="0"/>
    <n v="0"/>
    <n v="0"/>
    <n v="0"/>
    <n v="0"/>
    <n v="0"/>
    <n v="0"/>
    <n v="0"/>
    <n v="0"/>
    <n v="0"/>
    <n v="0"/>
    <n v="0"/>
    <n v="0"/>
    <n v="0"/>
    <n v="0"/>
    <n v="0"/>
    <n v="0"/>
    <n v="0"/>
    <n v="0"/>
    <n v="0"/>
    <n v="0"/>
    <n v="0"/>
    <n v="0"/>
    <n v="0"/>
    <n v="0"/>
    <n v="0"/>
    <n v="0"/>
    <n v="0"/>
    <n v="0"/>
    <n v="0"/>
    <n v="0"/>
    <n v="0"/>
    <n v="0"/>
    <n v="0"/>
    <n v="0"/>
    <m/>
    <m/>
    <m/>
    <m/>
    <m/>
    <m/>
    <m/>
    <m/>
    <m/>
    <n v="0"/>
    <n v="0"/>
    <n v="0"/>
    <n v="0"/>
    <n v="0"/>
    <n v="0"/>
    <n v="0"/>
    <n v="0"/>
    <n v="0"/>
    <n v="34375"/>
    <n v="0"/>
    <n v="0"/>
    <n v="0"/>
    <n v="0"/>
    <n v="0"/>
    <n v="0"/>
    <n v="0"/>
    <n v="0"/>
    <n v="0"/>
    <n v="0"/>
    <n v="157499.99999999997"/>
    <n v="0"/>
    <n v="0"/>
    <n v="0"/>
    <n v="0"/>
    <n v="0"/>
    <n v="0"/>
    <n v="0"/>
    <n v="0"/>
    <n v="0"/>
    <n v="0"/>
    <n v="0"/>
    <n v="0"/>
    <n v="0"/>
    <n v="0"/>
    <n v="0"/>
    <n v="0"/>
    <n v="0"/>
    <n v="0"/>
    <n v="0"/>
    <n v="0"/>
    <n v="0"/>
    <n v="0"/>
    <n v="0"/>
    <n v="0"/>
    <n v="0"/>
    <n v="0"/>
    <n v="0"/>
    <n v="0"/>
    <n v="0"/>
    <n v="0"/>
    <n v="0"/>
    <n v="0"/>
    <n v="0"/>
    <n v="0"/>
    <n v="0"/>
    <n v="0"/>
    <n v="0"/>
    <n v="191874.99999999997"/>
    <s v=" "/>
    <s v=" "/>
    <n v="228526.19499999998"/>
    <s v=" "/>
    <s v=" "/>
    <s v=" "/>
    <s v=" "/>
    <s v=" "/>
    <s v=" "/>
    <s v=" "/>
    <s v=" "/>
    <s v=" "/>
    <s v=" "/>
    <s v=" "/>
    <s v=" "/>
    <x v="0"/>
    <x v="0"/>
    <x v="0"/>
    <x v="0"/>
    <x v="0"/>
    <x v="1"/>
    <x v="0"/>
    <x v="0"/>
    <x v="0"/>
    <x v="59"/>
    <x v="1"/>
    <x v="1"/>
    <x v="0"/>
    <x v="0"/>
    <x v="0"/>
    <x v="0"/>
    <x v="0"/>
    <x v="0"/>
    <x v="0"/>
    <x v="0"/>
    <x v="0"/>
    <x v="0"/>
    <x v="0"/>
    <x v="0"/>
    <x v="0"/>
    <x v="0"/>
    <x v="0"/>
    <x v="0"/>
    <x v="0"/>
    <x v="0"/>
    <x v="0"/>
    <x v="0"/>
    <x v="36"/>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Pan 14"/>
    <s v="Infilling of Drains"/>
    <s v="Earthworks"/>
    <s v="Pan14_011"/>
    <x v="9"/>
    <n v="29.966433889000001"/>
    <n v="-25.816707222000002"/>
    <s v="29° 57' 59.16&quot;E "/>
    <s v="25° 49' 00.14&quot; S"/>
    <s v="Complete"/>
    <s v="Yes"/>
    <s v="Yes"/>
    <d v="2017-05-29T00:00:00"/>
    <s v="NA"/>
    <s v="NA"/>
    <s v="No Drawing"/>
    <s v="Yes"/>
    <s v="00"/>
    <d v="2018-06-16T00:00:00"/>
    <s v="Phase 2"/>
    <s v="Year 3"/>
    <n v="4365"/>
    <m/>
    <n v="0"/>
    <n v="0"/>
    <n v="0"/>
    <n v="582"/>
    <n v="0"/>
    <n v="0"/>
    <n v="4365"/>
    <n v="4365"/>
    <n v="0"/>
    <n v="0"/>
    <n v="0"/>
    <n v="0"/>
    <n v="0"/>
    <n v="0"/>
    <n v="0"/>
    <n v="0"/>
    <n v="0"/>
    <n v="0"/>
    <n v="0"/>
    <n v="0"/>
    <n v="0"/>
    <n v="0"/>
    <n v="0"/>
    <n v="0"/>
    <n v="0"/>
    <n v="0"/>
    <n v="0"/>
    <n v="0"/>
    <n v="0"/>
    <n v="0"/>
    <n v="0"/>
    <n v="0"/>
    <n v="582"/>
    <n v="0"/>
    <n v="0"/>
    <n v="0"/>
    <n v="0"/>
    <n v="0"/>
    <n v="0"/>
    <n v="0"/>
    <n v="0"/>
    <n v="0"/>
    <n v="0"/>
    <n v="0"/>
    <n v="0"/>
    <n v="0"/>
    <n v="0"/>
    <n v="0"/>
    <n v="0"/>
    <n v="0"/>
    <n v="0"/>
    <n v="0"/>
    <n v="0"/>
    <n v="0"/>
    <n v="0"/>
    <n v="0"/>
    <n v="0"/>
    <n v="0"/>
    <n v="0"/>
    <n v="0"/>
    <n v="0"/>
    <n v="0"/>
    <n v="0"/>
    <n v="0"/>
    <n v="0"/>
    <n v="0"/>
    <n v="0"/>
    <n v="0"/>
    <n v="0"/>
    <n v="0"/>
    <n v="0"/>
    <n v="0"/>
    <n v="0"/>
    <n v="0"/>
    <n v="0"/>
    <n v="0"/>
    <n v="0"/>
    <n v="0"/>
    <n v="0"/>
    <n v="0"/>
    <n v="0"/>
    <n v="0"/>
    <n v="0"/>
    <n v="0"/>
    <m/>
    <m/>
    <m/>
    <m/>
    <m/>
    <m/>
    <m/>
    <m/>
    <m/>
    <n v="21825"/>
    <n v="0"/>
    <n v="0"/>
    <n v="0"/>
    <n v="0"/>
    <n v="49470"/>
    <n v="0"/>
    <n v="0"/>
    <n v="21825"/>
    <n v="43650"/>
    <n v="0"/>
    <n v="0"/>
    <n v="0"/>
    <n v="0"/>
    <n v="0"/>
    <n v="0"/>
    <n v="0"/>
    <n v="0"/>
    <n v="0"/>
    <n v="0"/>
    <n v="69840"/>
    <n v="0"/>
    <n v="0"/>
    <n v="0"/>
    <n v="0"/>
    <n v="0"/>
    <n v="0"/>
    <n v="0"/>
    <n v="0"/>
    <n v="0"/>
    <n v="0"/>
    <n v="0"/>
    <n v="0"/>
    <n v="0"/>
    <n v="0"/>
    <n v="0"/>
    <n v="0"/>
    <n v="0"/>
    <n v="0"/>
    <n v="0"/>
    <n v="0"/>
    <n v="0"/>
    <n v="0"/>
    <n v="0"/>
    <n v="0"/>
    <n v="0"/>
    <n v="0"/>
    <n v="0"/>
    <n v="0"/>
    <n v="0"/>
    <n v="0"/>
    <n v="0"/>
    <n v="0"/>
    <n v="0"/>
    <n v="0"/>
    <n v="0"/>
    <n v="0"/>
    <n v="0"/>
    <n v="206610"/>
    <s v=" "/>
    <s v=" "/>
    <n v="246075.81576000003"/>
    <s v=" "/>
    <s v=" "/>
    <s v=" "/>
    <s v=" "/>
    <s v=" "/>
    <s v=" "/>
    <s v=" "/>
    <s v=" "/>
    <s v=" "/>
    <s v=" "/>
    <s v=" "/>
    <s v=" "/>
    <x v="55"/>
    <x v="0"/>
    <x v="0"/>
    <x v="0"/>
    <x v="0"/>
    <x v="96"/>
    <x v="0"/>
    <x v="0"/>
    <x v="58"/>
    <x v="60"/>
    <x v="1"/>
    <x v="1"/>
    <x v="0"/>
    <x v="0"/>
    <x v="0"/>
    <x v="0"/>
    <x v="0"/>
    <x v="0"/>
    <x v="0"/>
    <x v="0"/>
    <x v="0"/>
    <x v="0"/>
    <x v="0"/>
    <x v="0"/>
    <x v="0"/>
    <x v="0"/>
    <x v="0"/>
    <x v="0"/>
    <x v="0"/>
    <x v="0"/>
    <x v="0"/>
    <x v="0"/>
    <x v="37"/>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Pan 14"/>
    <s v="Reinstate Pan Edge"/>
    <s v="Earthworks"/>
    <s v="Pan14-001"/>
    <x v="9"/>
    <n v="29.967020000000002"/>
    <n v="-25.815358"/>
    <s v="29° 58' 01.27&quot;E "/>
    <s v="25° 48' 55.28&quot; S"/>
    <s v="Complete"/>
    <s v="Yes"/>
    <s v="Yes"/>
    <d v="2017-05-29T00:00:00"/>
    <s v="NA"/>
    <s v="NA"/>
    <s v="No Drawing"/>
    <s v="Yes"/>
    <s v="00"/>
    <d v="2018-06-16T00:00:00"/>
    <s v="Phase 2"/>
    <s v="Year 3"/>
    <n v="367.23072507056656"/>
    <m/>
    <n v="0"/>
    <n v="0"/>
    <n v="0"/>
    <n v="0"/>
    <n v="0"/>
    <n v="0"/>
    <n v="360"/>
    <n v="360"/>
    <n v="0"/>
    <n v="0"/>
    <n v="0"/>
    <n v="0"/>
    <n v="0"/>
    <n v="0"/>
    <n v="0"/>
    <n v="0"/>
    <n v="0"/>
    <n v="0"/>
    <n v="0"/>
    <n v="0"/>
    <n v="0"/>
    <n v="0"/>
    <n v="0"/>
    <n v="0"/>
    <n v="0"/>
    <n v="0"/>
    <n v="0"/>
    <n v="0"/>
    <n v="0"/>
    <n v="0"/>
    <n v="0"/>
    <n v="0"/>
    <n v="92"/>
    <n v="0"/>
    <n v="0"/>
    <n v="0"/>
    <n v="0"/>
    <n v="0"/>
    <n v="0"/>
    <n v="0"/>
    <n v="0"/>
    <n v="0"/>
    <n v="0"/>
    <n v="0"/>
    <n v="0"/>
    <n v="0"/>
    <n v="0"/>
    <n v="0"/>
    <n v="0"/>
    <n v="0"/>
    <n v="0"/>
    <n v="0"/>
    <n v="0"/>
    <n v="0"/>
    <n v="0"/>
    <n v="0"/>
    <n v="0"/>
    <n v="0"/>
    <n v="0"/>
    <n v="0"/>
    <n v="0"/>
    <n v="0"/>
    <n v="0"/>
    <n v="0"/>
    <n v="0"/>
    <n v="0"/>
    <n v="0"/>
    <n v="0"/>
    <n v="0"/>
    <n v="0"/>
    <n v="0"/>
    <n v="0"/>
    <n v="0"/>
    <n v="0"/>
    <n v="0"/>
    <n v="0"/>
    <n v="0"/>
    <n v="0"/>
    <n v="0"/>
    <n v="0"/>
    <n v="0"/>
    <n v="0"/>
    <n v="0"/>
    <n v="0"/>
    <m/>
    <m/>
    <m/>
    <m/>
    <m/>
    <m/>
    <m/>
    <m/>
    <m/>
    <n v="1836.1536253528329"/>
    <n v="0"/>
    <n v="0"/>
    <n v="0"/>
    <n v="0"/>
    <n v="0"/>
    <n v="0"/>
    <n v="0"/>
    <n v="1800"/>
    <n v="3600"/>
    <n v="0"/>
    <n v="0"/>
    <n v="0"/>
    <n v="0"/>
    <n v="0"/>
    <n v="0"/>
    <n v="0"/>
    <n v="0"/>
    <n v="0"/>
    <n v="0"/>
    <n v="11040"/>
    <n v="0"/>
    <n v="0"/>
    <n v="0"/>
    <n v="0"/>
    <n v="0"/>
    <n v="0"/>
    <n v="0"/>
    <n v="0"/>
    <n v="0"/>
    <n v="0"/>
    <n v="0"/>
    <n v="0"/>
    <n v="0"/>
    <n v="0"/>
    <n v="0"/>
    <n v="0"/>
    <n v="0"/>
    <n v="0"/>
    <n v="0"/>
    <n v="0"/>
    <n v="0"/>
    <n v="0"/>
    <n v="0"/>
    <n v="0"/>
    <n v="0"/>
    <n v="0"/>
    <n v="0"/>
    <n v="0"/>
    <n v="0"/>
    <n v="0"/>
    <n v="0"/>
    <n v="0"/>
    <n v="0"/>
    <n v="0"/>
    <n v="0"/>
    <n v="0"/>
    <n v="0"/>
    <n v="18276.153625352832"/>
    <s v=" "/>
    <s v=" "/>
    <n v="21767.191386253231"/>
    <s v=" "/>
    <s v=" "/>
    <s v=" "/>
    <s v=" "/>
    <s v=" "/>
    <s v=" "/>
    <s v=" "/>
    <s v=" "/>
    <s v=" "/>
    <s v=" "/>
    <s v=" "/>
    <s v=" "/>
    <x v="56"/>
    <x v="0"/>
    <x v="0"/>
    <x v="0"/>
    <x v="0"/>
    <x v="1"/>
    <x v="0"/>
    <x v="0"/>
    <x v="59"/>
    <x v="61"/>
    <x v="1"/>
    <x v="1"/>
    <x v="0"/>
    <x v="0"/>
    <x v="0"/>
    <x v="0"/>
    <x v="0"/>
    <x v="0"/>
    <x v="0"/>
    <x v="0"/>
    <x v="0"/>
    <x v="0"/>
    <x v="0"/>
    <x v="0"/>
    <x v="0"/>
    <x v="0"/>
    <x v="0"/>
    <x v="0"/>
    <x v="0"/>
    <x v="0"/>
    <x v="0"/>
    <x v="0"/>
    <x v="38"/>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Pan 14"/>
    <s v="Remove Berm"/>
    <s v="Excavation"/>
    <s v="Pan14-002"/>
    <x v="9"/>
    <n v="29.967040556000001"/>
    <n v="-25.815475833000001"/>
    <s v="29° 58' 01.34&quot;E "/>
    <s v="25° 48' 55.71&quot; S"/>
    <s v="Complete"/>
    <s v="Yes"/>
    <s v="Yes"/>
    <d v="2017-05-29T00:00:00"/>
    <s v="NA"/>
    <s v="NA"/>
    <s v="No Drawing"/>
    <s v="Yes"/>
    <s v="00"/>
    <d v="2018-06-16T00:00:00"/>
    <s v="Phase 2"/>
    <s v="Year 3"/>
    <n v="198"/>
    <m/>
    <n v="0"/>
    <n v="0"/>
    <n v="0"/>
    <n v="49.410000000000004"/>
    <n v="0"/>
    <n v="0"/>
    <n v="198"/>
    <n v="198"/>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n v="990"/>
    <n v="0"/>
    <n v="0"/>
    <n v="0"/>
    <n v="0"/>
    <n v="4199.8500000000004"/>
    <n v="0"/>
    <n v="0"/>
    <n v="990"/>
    <n v="1980"/>
    <n v="0"/>
    <n v="0"/>
    <n v="0"/>
    <n v="0"/>
    <n v="0"/>
    <n v="0"/>
    <n v="0"/>
    <n v="0"/>
    <n v="0"/>
    <n v="0"/>
    <n v="0"/>
    <n v="0"/>
    <n v="0"/>
    <n v="0"/>
    <n v="0"/>
    <n v="0"/>
    <n v="0"/>
    <n v="0"/>
    <n v="0"/>
    <n v="0"/>
    <n v="0"/>
    <n v="0"/>
    <n v="0"/>
    <n v="0"/>
    <n v="0"/>
    <n v="0"/>
    <n v="0"/>
    <n v="0"/>
    <n v="0"/>
    <n v="0"/>
    <n v="0"/>
    <n v="0"/>
    <n v="0"/>
    <n v="0"/>
    <n v="0"/>
    <n v="0"/>
    <n v="0"/>
    <n v="0"/>
    <n v="0"/>
    <n v="0"/>
    <n v="0"/>
    <n v="0"/>
    <n v="0"/>
    <n v="0"/>
    <n v="0"/>
    <n v="0"/>
    <n v="0"/>
    <n v="0"/>
    <n v="8159.85"/>
    <s v=" "/>
    <s v=" "/>
    <n v="9718.511907600001"/>
    <s v=" "/>
    <s v=" "/>
    <s v=" "/>
    <s v=" "/>
    <s v=" "/>
    <s v=" "/>
    <s v=" "/>
    <s v=" "/>
    <s v=" "/>
    <s v=" "/>
    <s v=" "/>
    <s v=" "/>
    <x v="57"/>
    <x v="0"/>
    <x v="0"/>
    <x v="0"/>
    <x v="0"/>
    <x v="97"/>
    <x v="0"/>
    <x v="0"/>
    <x v="60"/>
    <x v="62"/>
    <x v="1"/>
    <x v="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Pan 14"/>
    <s v="Remove berm and backfill drain"/>
    <s v="Earthworks"/>
    <s v="Pan14-003"/>
    <x v="9"/>
    <n v="29.967370278000001"/>
    <n v="-25.815128889"/>
    <s v="29° 58' 02.53&quot;E "/>
    <s v="25° 48' 54.46&quot; S"/>
    <s v="Complete"/>
    <s v="Yes"/>
    <s v="Yes"/>
    <d v="2017-05-29T00:00:00"/>
    <s v="NA"/>
    <s v="NA"/>
    <s v="No Drawing"/>
    <s v="Yes"/>
    <s v="00"/>
    <d v="2018-06-16T00:00:00"/>
    <s v="Phase 2"/>
    <s v="Year 3"/>
    <n v="2365"/>
    <n v="435.81999999999994"/>
    <n v="0"/>
    <n v="0"/>
    <n v="0"/>
    <n v="0"/>
    <n v="0"/>
    <n v="0"/>
    <n v="2365"/>
    <n v="2365"/>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n v="11825"/>
    <n v="21790.999999999996"/>
    <n v="0"/>
    <n v="0"/>
    <n v="0"/>
    <n v="0"/>
    <n v="0"/>
    <n v="0"/>
    <n v="11825"/>
    <n v="23650"/>
    <n v="0"/>
    <n v="0"/>
    <n v="0"/>
    <n v="0"/>
    <n v="0"/>
    <n v="0"/>
    <n v="0"/>
    <n v="0"/>
    <n v="0"/>
    <n v="0"/>
    <n v="0"/>
    <n v="0"/>
    <n v="0"/>
    <n v="0"/>
    <n v="0"/>
    <n v="0"/>
    <n v="0"/>
    <n v="0"/>
    <n v="0"/>
    <n v="0"/>
    <n v="0"/>
    <n v="0"/>
    <n v="0"/>
    <n v="0"/>
    <n v="0"/>
    <n v="0"/>
    <n v="0"/>
    <n v="0"/>
    <n v="0"/>
    <n v="0"/>
    <n v="0"/>
    <n v="0"/>
    <n v="0"/>
    <n v="0"/>
    <n v="0"/>
    <n v="0"/>
    <n v="0"/>
    <n v="0"/>
    <n v="0"/>
    <n v="0"/>
    <n v="0"/>
    <n v="0"/>
    <n v="0"/>
    <n v="0"/>
    <n v="0"/>
    <n v="0"/>
    <n v="0"/>
    <n v="0"/>
    <n v="69091"/>
    <s v=" "/>
    <s v=" "/>
    <n v="82288.486456000013"/>
    <s v=" "/>
    <s v=" "/>
    <s v=" "/>
    <s v=" "/>
    <s v=" "/>
    <s v=" "/>
    <s v=" "/>
    <s v=" "/>
    <s v=" "/>
    <s v=" "/>
    <s v=" "/>
    <s v=" "/>
    <x v="58"/>
    <x v="20"/>
    <x v="0"/>
    <x v="0"/>
    <x v="0"/>
    <x v="1"/>
    <x v="0"/>
    <x v="0"/>
    <x v="61"/>
    <x v="63"/>
    <x v="1"/>
    <x v="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Pan 08"/>
    <s v="Foreign Materials"/>
    <s v="Excavation"/>
    <s v="Pan8_001"/>
    <x v="4"/>
    <n v="29.983048888999999"/>
    <n v="-25.834729721999999"/>
    <s v="29° 58' 58.97&quot;E "/>
    <s v="25° 50' 05.02&quot; S"/>
    <s v="Complete"/>
    <s v="Yes"/>
    <s v="Yes"/>
    <d v="2017-05-29T00:00:00"/>
    <s v="NA"/>
    <s v="NA"/>
    <s v="No Drawing"/>
    <s v="Yes"/>
    <s v="00"/>
    <d v="2018-06-16T00:00:00"/>
    <s v="Phase 2"/>
    <s v="Year 1"/>
    <n v="0"/>
    <m/>
    <n v="0"/>
    <n v="0"/>
    <n v="0"/>
    <n v="18.900000000000002"/>
    <n v="0"/>
    <n v="0"/>
    <n v="54"/>
    <n v="54"/>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n v="0"/>
    <n v="0"/>
    <n v="0"/>
    <n v="0"/>
    <n v="0"/>
    <n v="1606.5000000000002"/>
    <n v="0"/>
    <n v="0"/>
    <n v="270"/>
    <n v="540"/>
    <n v="0"/>
    <n v="0"/>
    <n v="0"/>
    <n v="0"/>
    <n v="0"/>
    <n v="0"/>
    <n v="0"/>
    <n v="0"/>
    <n v="0"/>
    <n v="0"/>
    <n v="0"/>
    <n v="0"/>
    <n v="0"/>
    <n v="0"/>
    <n v="0"/>
    <n v="0"/>
    <n v="0"/>
    <n v="0"/>
    <n v="0"/>
    <n v="0"/>
    <n v="0"/>
    <n v="0"/>
    <n v="0"/>
    <n v="0"/>
    <n v="0"/>
    <n v="0"/>
    <n v="0"/>
    <n v="0"/>
    <n v="0"/>
    <n v="0"/>
    <n v="0"/>
    <n v="0"/>
    <n v="0"/>
    <n v="0"/>
    <n v="0"/>
    <n v="0"/>
    <n v="0"/>
    <n v="0"/>
    <n v="0"/>
    <n v="0"/>
    <n v="0"/>
    <n v="0"/>
    <n v="0"/>
    <n v="0"/>
    <n v="0"/>
    <n v="0"/>
    <n v="0"/>
    <n v="0"/>
    <n v="2416.5"/>
    <n v="2561.4900000000002"/>
    <s v=" "/>
    <s v=" "/>
    <s v=" "/>
    <s v=" "/>
    <s v=" "/>
    <s v=" "/>
    <s v=" "/>
    <s v=" "/>
    <s v=" "/>
    <s v=" "/>
    <s v=" "/>
    <s v=" "/>
    <s v=" "/>
    <s v=" "/>
    <x v="0"/>
    <x v="0"/>
    <x v="0"/>
    <x v="0"/>
    <x v="0"/>
    <x v="98"/>
    <x v="0"/>
    <x v="0"/>
    <x v="62"/>
    <x v="64"/>
    <x v="1"/>
    <x v="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Pan 08"/>
    <s v="Infilling of Drains"/>
    <s v="Earthworks"/>
    <s v="Pan8_002"/>
    <x v="4"/>
    <n v="29.983106943999999"/>
    <n v="-25.834318888999999"/>
    <s v="29° 58' 59.18&quot;E "/>
    <s v="25° 50' 03.54&quot; S"/>
    <s v="Complete"/>
    <s v="Yes"/>
    <s v="Yes"/>
    <d v="2017-05-29T00:00:00"/>
    <s v="NA"/>
    <s v="NA"/>
    <s v="No Drawing"/>
    <s v="Yes"/>
    <s v="00"/>
    <d v="2018-06-16T00:00:00"/>
    <s v="Phase 2"/>
    <s v="Year 1"/>
    <n v="320"/>
    <n v="0"/>
    <n v="0"/>
    <n v="0"/>
    <n v="0"/>
    <n v="64"/>
    <n v="0"/>
    <n v="0"/>
    <n v="320"/>
    <n v="320"/>
    <n v="0"/>
    <n v="0"/>
    <n v="0"/>
    <n v="0"/>
    <n v="0"/>
    <n v="0"/>
    <n v="0"/>
    <n v="0"/>
    <n v="0"/>
    <n v="0"/>
    <n v="0"/>
    <n v="0"/>
    <n v="0"/>
    <n v="0"/>
    <n v="0"/>
    <n v="0"/>
    <n v="0"/>
    <n v="0"/>
    <n v="0"/>
    <n v="0"/>
    <n v="0"/>
    <n v="0"/>
    <n v="0"/>
    <n v="0"/>
    <n v="93"/>
    <n v="0"/>
    <n v="0"/>
    <n v="0"/>
    <n v="0"/>
    <n v="0"/>
    <n v="0"/>
    <n v="0"/>
    <n v="0"/>
    <n v="0"/>
    <n v="0"/>
    <n v="0"/>
    <n v="0"/>
    <n v="0"/>
    <n v="0"/>
    <n v="0"/>
    <n v="0"/>
    <n v="0"/>
    <n v="0"/>
    <n v="0"/>
    <n v="0"/>
    <n v="0"/>
    <n v="0"/>
    <n v="0"/>
    <n v="0"/>
    <n v="0"/>
    <n v="0"/>
    <n v="0"/>
    <n v="0"/>
    <n v="0"/>
    <n v="0"/>
    <n v="0"/>
    <n v="0"/>
    <n v="0"/>
    <n v="0"/>
    <n v="0"/>
    <n v="0"/>
    <n v="0"/>
    <n v="0"/>
    <n v="0"/>
    <n v="0"/>
    <n v="0"/>
    <n v="0"/>
    <n v="0"/>
    <n v="0"/>
    <n v="0"/>
    <n v="0"/>
    <n v="0"/>
    <n v="0"/>
    <n v="0"/>
    <n v="0"/>
    <n v="0"/>
    <m/>
    <m/>
    <m/>
    <m/>
    <m/>
    <m/>
    <m/>
    <m/>
    <m/>
    <n v="1600"/>
    <n v="0"/>
    <n v="0"/>
    <n v="0"/>
    <n v="0"/>
    <n v="5440"/>
    <n v="0"/>
    <n v="0"/>
    <n v="1600"/>
    <n v="3200"/>
    <n v="0"/>
    <n v="0"/>
    <n v="0"/>
    <n v="0"/>
    <n v="0"/>
    <n v="0"/>
    <n v="0"/>
    <n v="0"/>
    <n v="0"/>
    <n v="0"/>
    <n v="11160"/>
    <n v="0"/>
    <n v="0"/>
    <n v="0"/>
    <n v="0"/>
    <n v="0"/>
    <n v="0"/>
    <n v="0"/>
    <n v="0"/>
    <n v="0"/>
    <n v="0"/>
    <n v="0"/>
    <n v="0"/>
    <n v="0"/>
    <n v="0"/>
    <n v="0"/>
    <n v="0"/>
    <n v="0"/>
    <n v="0"/>
    <n v="0"/>
    <n v="0"/>
    <n v="0"/>
    <n v="0"/>
    <n v="0"/>
    <n v="0"/>
    <n v="0"/>
    <n v="0"/>
    <n v="0"/>
    <n v="0"/>
    <n v="0"/>
    <n v="0"/>
    <n v="0"/>
    <n v="0"/>
    <n v="0"/>
    <n v="0"/>
    <n v="0"/>
    <n v="0"/>
    <n v="0"/>
    <n v="23000"/>
    <n v="24380"/>
    <s v=" "/>
    <s v=" "/>
    <s v=" "/>
    <s v=" "/>
    <s v=" "/>
    <s v=" "/>
    <s v=" "/>
    <s v=" "/>
    <s v=" "/>
    <s v=" "/>
    <s v=" "/>
    <s v=" "/>
    <s v=" "/>
    <s v=" "/>
    <x v="59"/>
    <x v="0"/>
    <x v="0"/>
    <x v="0"/>
    <x v="0"/>
    <x v="99"/>
    <x v="0"/>
    <x v="0"/>
    <x v="63"/>
    <x v="65"/>
    <x v="1"/>
    <x v="1"/>
    <x v="0"/>
    <x v="0"/>
    <x v="0"/>
    <x v="0"/>
    <x v="0"/>
    <x v="0"/>
    <x v="0"/>
    <x v="0"/>
    <x v="0"/>
    <x v="0"/>
    <x v="0"/>
    <x v="0"/>
    <x v="0"/>
    <x v="0"/>
    <x v="0"/>
    <x v="0"/>
    <x v="0"/>
    <x v="0"/>
    <x v="0"/>
    <x v="0"/>
    <x v="39"/>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Pan 08"/>
    <s v="Removal of Dam Wall"/>
    <s v="Excavation"/>
    <s v="Pan8_003"/>
    <x v="4"/>
    <n v="29.983264722000001"/>
    <n v="-25.834601388999999"/>
    <s v="29° 58' 59.75&quot;E "/>
    <s v="25° 50' 04.56&quot; S"/>
    <s v="Complete"/>
    <s v="Yes"/>
    <s v="Yes"/>
    <d v="2017-05-30T00:00:00"/>
    <s v="NA"/>
    <s v="NA"/>
    <s v="No Drawing"/>
    <s v="Yes"/>
    <s v="00"/>
    <d v="2018-06-16T00:00:00"/>
    <s v="Phase 2"/>
    <s v="Year 1"/>
    <n v="0"/>
    <m/>
    <n v="32.435749999999999"/>
    <n v="0"/>
    <n v="0"/>
    <n v="324.35749999999996"/>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1700"/>
    <n v="5"/>
    <n v="0"/>
    <n v="0"/>
    <n v="0"/>
    <m/>
    <m/>
    <m/>
    <m/>
    <m/>
    <m/>
    <m/>
    <m/>
    <m/>
    <n v="0"/>
    <n v="0"/>
    <n v="2432.6812500000001"/>
    <n v="0"/>
    <n v="0"/>
    <n v="27570.387499999997"/>
    <n v="0"/>
    <n v="0"/>
    <n v="0"/>
    <n v="0"/>
    <n v="0"/>
    <n v="0"/>
    <n v="0"/>
    <n v="0"/>
    <n v="0"/>
    <n v="0"/>
    <n v="0"/>
    <n v="0"/>
    <n v="0"/>
    <n v="0"/>
    <n v="0"/>
    <n v="0"/>
    <n v="0"/>
    <n v="0"/>
    <n v="0"/>
    <n v="0"/>
    <n v="0"/>
    <n v="0"/>
    <n v="0"/>
    <n v="0"/>
    <n v="0"/>
    <n v="0"/>
    <n v="0"/>
    <n v="0"/>
    <n v="0"/>
    <n v="0"/>
    <n v="0"/>
    <n v="0"/>
    <n v="0"/>
    <n v="0"/>
    <n v="0"/>
    <n v="0"/>
    <n v="0"/>
    <n v="0"/>
    <n v="17000"/>
    <n v="7500"/>
    <n v="0"/>
    <n v="0"/>
    <n v="0"/>
    <n v="0"/>
    <n v="0"/>
    <n v="0"/>
    <n v="0"/>
    <n v="0"/>
    <n v="0"/>
    <n v="0"/>
    <n v="0"/>
    <n v="0"/>
    <n v="54503.068749999999"/>
    <n v="57773.252874999998"/>
    <s v=" "/>
    <s v=" "/>
    <s v=" "/>
    <s v=" "/>
    <s v=" "/>
    <s v=" "/>
    <s v=" "/>
    <s v=" "/>
    <s v=" "/>
    <s v=" "/>
    <s v=" "/>
    <s v=" "/>
    <s v=" "/>
    <s v=" "/>
    <x v="0"/>
    <x v="0"/>
    <x v="1"/>
    <x v="0"/>
    <x v="0"/>
    <x v="100"/>
    <x v="0"/>
    <x v="0"/>
    <x v="0"/>
    <x v="4"/>
    <x v="1"/>
    <x v="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1"/>
    <x v="1"/>
    <x v="0"/>
    <x v="0"/>
    <x v="0"/>
    <x v="0"/>
    <x v="0"/>
    <x v="0"/>
    <x v="0"/>
    <x v="0"/>
    <x v="0"/>
    <x v="0"/>
    <x v="0"/>
    <x v="0"/>
  </r>
  <r>
    <s v="Pan 08"/>
    <s v="Removal of Berm"/>
    <s v="Excavation"/>
    <s v="Pan8_004"/>
    <x v="4"/>
    <n v="29.983300556"/>
    <n v="-25.834511667000001"/>
    <s v="29° 58' 59.88&quot;E "/>
    <s v="25° 50' 04.24&quot; S"/>
    <s v="Complete"/>
    <s v="Yes"/>
    <s v="Yes"/>
    <d v="1899-12-30T00:00:00"/>
    <s v="NA"/>
    <s v="NA"/>
    <s v="No Drawing"/>
    <s v="Yes"/>
    <s v="00"/>
    <d v="2018-06-16T00:00:00"/>
    <s v="Phase 2"/>
    <s v="Year 1"/>
    <n v="34.98116603770189"/>
    <m/>
    <n v="0"/>
    <n v="0"/>
    <n v="0"/>
    <n v="5.3999999999999995"/>
    <n v="0"/>
    <n v="0"/>
    <n v="18"/>
    <n v="18"/>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n v="174.90583018850944"/>
    <n v="0"/>
    <n v="0"/>
    <n v="0"/>
    <n v="0"/>
    <n v="458.99999999999994"/>
    <n v="0"/>
    <n v="0"/>
    <n v="90"/>
    <n v="180"/>
    <n v="0"/>
    <n v="0"/>
    <n v="0"/>
    <n v="0"/>
    <n v="0"/>
    <n v="0"/>
    <n v="0"/>
    <n v="0"/>
    <n v="0"/>
    <n v="0"/>
    <n v="0"/>
    <n v="0"/>
    <n v="0"/>
    <n v="0"/>
    <n v="0"/>
    <n v="0"/>
    <n v="0"/>
    <n v="0"/>
    <n v="0"/>
    <n v="0"/>
    <n v="0"/>
    <n v="0"/>
    <n v="0"/>
    <n v="0"/>
    <n v="0"/>
    <n v="0"/>
    <n v="0"/>
    <n v="0"/>
    <n v="0"/>
    <n v="0"/>
    <n v="0"/>
    <n v="0"/>
    <n v="0"/>
    <n v="0"/>
    <n v="0"/>
    <n v="0"/>
    <n v="0"/>
    <n v="0"/>
    <n v="0"/>
    <n v="0"/>
    <n v="0"/>
    <n v="0"/>
    <n v="0"/>
    <n v="0"/>
    <n v="0"/>
    <n v="0"/>
    <n v="0"/>
    <n v="0"/>
    <n v="903.90583018850941"/>
    <n v="958.14017999982002"/>
    <s v=" "/>
    <s v=" "/>
    <s v=" "/>
    <s v=" "/>
    <s v=" "/>
    <s v=" "/>
    <s v=" "/>
    <s v=" "/>
    <s v=" "/>
    <s v=" "/>
    <s v=" "/>
    <s v=" "/>
    <s v=" "/>
    <s v=" "/>
    <x v="60"/>
    <x v="0"/>
    <x v="0"/>
    <x v="0"/>
    <x v="0"/>
    <x v="101"/>
    <x v="0"/>
    <x v="0"/>
    <x v="64"/>
    <x v="66"/>
    <x v="1"/>
    <x v="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Road 1"/>
    <s v="Maintain Road"/>
    <s v="Maintain Road"/>
    <s v="Road 1 - Cluster 1"/>
    <x v="10"/>
    <m/>
    <m/>
    <m/>
    <m/>
    <m/>
    <m/>
    <m/>
    <m/>
    <m/>
    <m/>
    <m/>
    <m/>
    <m/>
    <m/>
    <m/>
    <s v="Year 5"/>
    <m/>
    <m/>
    <m/>
    <m/>
    <m/>
    <m/>
    <m/>
    <m/>
    <m/>
    <m/>
    <m/>
    <m/>
    <m/>
    <m/>
    <m/>
    <m/>
    <m/>
    <m/>
    <m/>
    <m/>
    <m/>
    <m/>
    <m/>
    <m/>
    <m/>
    <m/>
    <m/>
    <m/>
    <m/>
    <m/>
    <m/>
    <m/>
    <m/>
    <m/>
    <m/>
    <m/>
    <m/>
    <m/>
    <m/>
    <m/>
    <m/>
    <m/>
    <m/>
    <m/>
    <m/>
    <m/>
    <m/>
    <m/>
    <m/>
    <m/>
    <m/>
    <m/>
    <m/>
    <m/>
    <m/>
    <m/>
    <m/>
    <m/>
    <m/>
    <m/>
    <m/>
    <m/>
    <m/>
    <m/>
    <m/>
    <m/>
    <m/>
    <m/>
    <m/>
    <m/>
    <m/>
    <m/>
    <m/>
    <m/>
    <m/>
    <m/>
    <m/>
    <m/>
    <m/>
    <m/>
    <m/>
    <m/>
    <m/>
    <m/>
    <m/>
    <n v="6440.9"/>
    <m/>
    <m/>
    <m/>
    <m/>
    <m/>
    <m/>
    <m/>
    <m/>
    <m/>
    <n v="0"/>
    <n v="0"/>
    <n v="0"/>
    <n v="0"/>
    <n v="0"/>
    <n v="0"/>
    <n v="0"/>
    <n v="0"/>
    <n v="0"/>
    <n v="0"/>
    <n v="0"/>
    <n v="0"/>
    <n v="0"/>
    <n v="0"/>
    <n v="0"/>
    <n v="0"/>
    <n v="0"/>
    <n v="0"/>
    <n v="0"/>
    <n v="0"/>
    <n v="0"/>
    <n v="0"/>
    <n v="0"/>
    <n v="0"/>
    <n v="0"/>
    <n v="0"/>
    <n v="0"/>
    <n v="0"/>
    <n v="0"/>
    <n v="0"/>
    <n v="0"/>
    <n v="0"/>
    <n v="0"/>
    <n v="0"/>
    <n v="0"/>
    <n v="0"/>
    <n v="0"/>
    <n v="0"/>
    <n v="0"/>
    <n v="0"/>
    <n v="0"/>
    <n v="0"/>
    <n v="0"/>
    <n v="0"/>
    <n v="0"/>
    <n v="0"/>
    <n v="0"/>
    <n v="0"/>
    <n v="32204.5"/>
    <n v="0"/>
    <n v="0"/>
    <n v="0"/>
    <n v="0"/>
    <n v="0"/>
    <n v="0"/>
    <n v="0"/>
    <n v="0"/>
    <n v="0"/>
    <n v="32204.5"/>
    <s v=" "/>
    <s v=" "/>
    <s v=" "/>
    <s v=" "/>
    <n v="43096.885613819213"/>
    <s v=" "/>
    <s v=" "/>
    <s v=" "/>
    <s v=" "/>
    <s v=" "/>
    <s v=" "/>
    <s v=" "/>
    <s v=" "/>
    <s v=" "/>
    <s v=" "/>
    <x v="0"/>
    <x v="0"/>
    <x v="0"/>
    <x v="0"/>
    <x v="0"/>
    <x v="1"/>
    <x v="0"/>
    <x v="0"/>
    <x v="0"/>
    <x v="4"/>
    <x v="1"/>
    <x v="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1"/>
    <x v="0"/>
    <x v="0"/>
    <x v="0"/>
    <x v="0"/>
    <x v="0"/>
    <x v="0"/>
    <x v="0"/>
    <x v="0"/>
    <x v="0"/>
  </r>
</pivotCacheRecords>
</file>

<file path=xl/pivotCache/pivotCacheRecords3.xml><?xml version="1.0" encoding="utf-8"?>
<pivotCacheRecords xmlns="http://schemas.openxmlformats.org/spreadsheetml/2006/main" xmlns:r="http://schemas.openxmlformats.org/officeDocument/2006/relationships" count="140">
  <r>
    <s v="DS12"/>
    <s v="Removal of earthen material"/>
    <s v="Excavation"/>
    <s v="DS12_004"/>
    <x v="0"/>
    <n v="29.998232777999998"/>
    <n v="-25.794158332999999"/>
    <s v="29° 59' 53.63&quot;E "/>
    <s v="25° 47' 38.96&quot; S"/>
    <s v="Complete"/>
    <s v="Yes"/>
    <s v="Yes"/>
    <d v="2017-05-29T00:00:00"/>
    <s v="NA"/>
    <s v="NA"/>
    <s v="NA"/>
    <s v="Yes"/>
    <s v="00"/>
    <d v="2018-06-16T00:00:00"/>
    <s v="Phase 2"/>
    <s v="Year 8"/>
    <n v="0"/>
    <n v="0"/>
    <n v="0"/>
    <n v="0"/>
    <n v="0"/>
    <n v="523.01728000000003"/>
    <n v="0"/>
    <n v="0"/>
    <n v="0"/>
    <n v="626.36800000000005"/>
    <n v="523.01728000000003"/>
    <n v="4105.6856479999997"/>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n v="0"/>
    <n v="0"/>
    <n v="0"/>
    <n v="0"/>
    <n v="0"/>
    <n v="44456.468800000002"/>
    <n v="0"/>
    <n v="0"/>
    <n v="0"/>
    <n v="6263.68"/>
    <n v="24634.113888"/>
    <n v="0"/>
    <n v="0"/>
    <n v="0"/>
    <n v="0"/>
    <n v="0"/>
    <n v="0"/>
    <n v="0"/>
    <n v="0"/>
    <n v="0"/>
    <n v="0"/>
    <n v="0"/>
    <n v="0"/>
    <n v="0"/>
    <n v="0"/>
    <n v="0"/>
    <n v="0"/>
    <n v="0"/>
    <n v="0"/>
    <n v="0"/>
    <n v="0"/>
    <n v="0"/>
    <n v="0"/>
    <n v="0"/>
    <n v="0"/>
    <n v="0"/>
    <n v="0"/>
    <n v="0"/>
    <n v="0"/>
    <n v="0"/>
    <n v="0"/>
    <n v="0"/>
    <n v="0"/>
    <n v="0"/>
    <n v="0"/>
    <n v="0"/>
    <n v="0"/>
    <n v="0"/>
    <n v="0"/>
    <n v="0"/>
    <n v="0"/>
    <n v="0"/>
    <n v="0"/>
    <n v="0"/>
    <n v="0"/>
    <n v="0"/>
    <n v="0"/>
    <n v="0"/>
    <n v="75354.262688000003"/>
    <s v=" "/>
    <s v=" "/>
    <s v=" "/>
    <s v=" "/>
    <s v=" "/>
    <s v=" "/>
    <s v=" "/>
    <n v="120103.24649296005"/>
    <s v=" "/>
    <s v=" "/>
    <s v=" "/>
    <s v=" "/>
    <s v=" "/>
    <s v=" "/>
    <s v=" "/>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DS12"/>
    <s v="Excavation of Dam Wall"/>
    <s v="Excavation of Dam Wall"/>
    <s v="DS12_001"/>
    <x v="1"/>
    <n v="30.0003125"/>
    <n v="-25.793885277000001"/>
    <s v="30° 00' 01.12&quot;E "/>
    <s v="25° 47' 37.98&quot; S"/>
    <m/>
    <m/>
    <m/>
    <m/>
    <s v="NA"/>
    <s v="NA"/>
    <s v="NA"/>
    <s v="Yes"/>
    <s v="00"/>
    <d v="2018-06-16T00:00:00"/>
    <s v="Phase 2"/>
    <s v="Year 8"/>
    <n v="1251.4023269063123"/>
    <n v="1419.1099999999997"/>
    <m/>
    <m/>
    <m/>
    <m/>
    <m/>
    <m/>
    <n v="1251.4023269063123"/>
    <n v="1251.4000000000001"/>
    <m/>
    <m/>
    <m/>
    <m/>
    <m/>
    <m/>
    <m/>
    <m/>
    <m/>
    <m/>
    <m/>
    <m/>
    <m/>
    <m/>
    <m/>
    <m/>
    <m/>
    <m/>
    <m/>
    <m/>
    <m/>
    <m/>
    <m/>
    <m/>
    <m/>
    <m/>
    <m/>
    <m/>
    <m/>
    <m/>
    <m/>
    <m/>
    <m/>
    <m/>
    <m/>
    <m/>
    <m/>
    <m/>
    <m/>
    <m/>
    <m/>
    <m/>
    <m/>
    <m/>
    <m/>
    <m/>
    <m/>
    <m/>
    <m/>
    <m/>
    <m/>
    <m/>
    <m/>
    <m/>
    <m/>
    <m/>
    <m/>
    <m/>
    <m/>
    <m/>
    <m/>
    <m/>
    <m/>
    <m/>
    <m/>
    <m/>
    <m/>
    <m/>
    <m/>
    <m/>
    <m/>
    <m/>
    <m/>
    <m/>
    <m/>
    <m/>
    <m/>
    <m/>
    <m/>
    <m/>
    <m/>
    <m/>
    <m/>
    <m/>
    <m/>
    <n v="6257.0116345315619"/>
    <n v="70955.499999999985"/>
    <n v="0"/>
    <n v="0"/>
    <n v="0"/>
    <n v="0"/>
    <n v="0"/>
    <n v="0"/>
    <n v="6257.0116345315619"/>
    <n v="12514"/>
    <n v="0"/>
    <n v="0"/>
    <n v="0"/>
    <n v="0"/>
    <n v="0"/>
    <n v="0"/>
    <n v="0"/>
    <n v="0"/>
    <n v="0"/>
    <n v="0"/>
    <n v="0"/>
    <n v="0"/>
    <n v="0"/>
    <n v="0"/>
    <n v="0"/>
    <n v="0"/>
    <n v="0"/>
    <n v="0"/>
    <n v="0"/>
    <n v="0"/>
    <n v="0"/>
    <n v="0"/>
    <n v="0"/>
    <n v="0"/>
    <n v="0"/>
    <n v="0"/>
    <n v="0"/>
    <n v="0"/>
    <n v="0"/>
    <n v="0"/>
    <n v="0"/>
    <n v="0"/>
    <n v="0"/>
    <n v="0"/>
    <n v="0"/>
    <n v="0"/>
    <n v="0"/>
    <n v="0"/>
    <n v="0"/>
    <n v="0"/>
    <n v="0"/>
    <n v="0"/>
    <n v="0"/>
    <n v="0"/>
    <n v="0"/>
    <n v="0"/>
    <n v="0"/>
    <n v="0"/>
    <n v="95983.523269063109"/>
    <s v=" "/>
    <s v=" "/>
    <s v=" "/>
    <s v=" "/>
    <s v=" "/>
    <s v=" "/>
    <s v=" "/>
    <n v="152983.15374908253"/>
    <s v=" "/>
    <s v=" "/>
    <s v=" "/>
    <s v=" "/>
    <s v=" "/>
    <s v=" "/>
    <s v=" "/>
    <x v="1"/>
    <x v="1"/>
    <x v="0"/>
    <x v="0"/>
    <x v="0"/>
    <x v="1"/>
    <x v="0"/>
    <x v="0"/>
    <x v="1"/>
    <x v="1"/>
    <x v="1"/>
    <x v="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DS12"/>
    <s v="Backfilling Dam"/>
    <s v="Backfilling Dam"/>
    <s v="DS12_002"/>
    <x v="1"/>
    <n v="31.001988999999998"/>
    <n v="-25.793608299999999"/>
    <s v="31° 00' 07.16&quot;E "/>
    <s v="25° 47' 36.98&quot; S"/>
    <m/>
    <m/>
    <m/>
    <m/>
    <s v="NA"/>
    <s v="NA"/>
    <s v="NA"/>
    <s v="Yes"/>
    <s v="00"/>
    <d v="2018-06-16T00:00:00"/>
    <s v="Phase 2"/>
    <s v="Year 8"/>
    <n v="995.48731819158468"/>
    <n v="1723.444675"/>
    <m/>
    <m/>
    <m/>
    <m/>
    <m/>
    <m/>
    <n v="995.48731819158468"/>
    <n v="995.48731819158468"/>
    <m/>
    <m/>
    <m/>
    <m/>
    <m/>
    <m/>
    <m/>
    <m/>
    <m/>
    <m/>
    <m/>
    <m/>
    <m/>
    <m/>
    <m/>
    <m/>
    <m/>
    <m/>
    <m/>
    <m/>
    <m/>
    <m/>
    <m/>
    <m/>
    <m/>
    <m/>
    <m/>
    <m/>
    <m/>
    <m/>
    <m/>
    <m/>
    <m/>
    <m/>
    <m/>
    <m/>
    <m/>
    <m/>
    <m/>
    <m/>
    <m/>
    <m/>
    <m/>
    <m/>
    <m/>
    <m/>
    <m/>
    <m/>
    <m/>
    <m/>
    <m/>
    <m/>
    <m/>
    <m/>
    <m/>
    <m/>
    <m/>
    <m/>
    <m/>
    <m/>
    <m/>
    <m/>
    <m/>
    <m/>
    <m/>
    <m/>
    <m/>
    <m/>
    <m/>
    <m/>
    <m/>
    <m/>
    <m/>
    <m/>
    <m/>
    <m/>
    <m/>
    <m/>
    <m/>
    <m/>
    <m/>
    <m/>
    <m/>
    <m/>
    <m/>
    <n v="4977.4365909579237"/>
    <n v="86172.233749999999"/>
    <n v="0"/>
    <n v="0"/>
    <n v="0"/>
    <n v="0"/>
    <n v="0"/>
    <n v="0"/>
    <n v="4977.4365909579237"/>
    <n v="9954.8731819158475"/>
    <n v="0"/>
    <n v="0"/>
    <n v="0"/>
    <n v="0"/>
    <n v="0"/>
    <n v="0"/>
    <n v="0"/>
    <n v="0"/>
    <n v="0"/>
    <n v="0"/>
    <n v="0"/>
    <n v="0"/>
    <n v="0"/>
    <n v="0"/>
    <n v="0"/>
    <n v="0"/>
    <n v="0"/>
    <n v="0"/>
    <n v="0"/>
    <n v="0"/>
    <n v="0"/>
    <n v="0"/>
    <n v="0"/>
    <n v="0"/>
    <n v="0"/>
    <n v="0"/>
    <n v="0"/>
    <n v="0"/>
    <n v="0"/>
    <n v="0"/>
    <n v="0"/>
    <n v="0"/>
    <n v="0"/>
    <n v="0"/>
    <n v="0"/>
    <n v="0"/>
    <n v="0"/>
    <n v="0"/>
    <n v="0"/>
    <n v="0"/>
    <n v="0"/>
    <n v="0"/>
    <n v="0"/>
    <n v="0"/>
    <n v="0"/>
    <n v="0"/>
    <n v="0"/>
    <n v="0"/>
    <n v="106081.98011383168"/>
    <s v=" "/>
    <s v=" "/>
    <s v=" "/>
    <s v=" "/>
    <s v=" "/>
    <s v=" "/>
    <s v=" "/>
    <n v="169078.55974684973"/>
    <s v=" "/>
    <s v=" "/>
    <s v=" "/>
    <s v=" "/>
    <s v=" "/>
    <s v=" "/>
    <s v=" "/>
    <x v="2"/>
    <x v="2"/>
    <x v="0"/>
    <x v="0"/>
    <x v="0"/>
    <x v="1"/>
    <x v="0"/>
    <x v="0"/>
    <x v="2"/>
    <x v="2"/>
    <x v="1"/>
    <x v="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DS12"/>
    <s v="Excavation of Dam Wall"/>
    <s v="Excavation of Dam Wall"/>
    <s v="DS12_003"/>
    <x v="1"/>
    <n v="31.003015277778001"/>
    <n v="-25.793607776999998"/>
    <s v="31° 00' 10.85&quot;E "/>
    <s v="25° 47' 36.98&quot; S"/>
    <m/>
    <m/>
    <m/>
    <m/>
    <s v="NA"/>
    <s v="NA"/>
    <s v="NA"/>
    <s v="Yes"/>
    <s v="00"/>
    <d v="2018-06-16T00:00:00"/>
    <s v="Phase 2"/>
    <s v="Year 8"/>
    <n v="621.56961147900779"/>
    <n v="659.31400000000008"/>
    <m/>
    <m/>
    <m/>
    <m/>
    <m/>
    <m/>
    <n v="621.56961147900779"/>
    <n v="621.57000000000005"/>
    <m/>
    <m/>
    <m/>
    <m/>
    <m/>
    <m/>
    <m/>
    <m/>
    <m/>
    <m/>
    <m/>
    <m/>
    <m/>
    <m/>
    <m/>
    <m/>
    <m/>
    <m/>
    <m/>
    <m/>
    <m/>
    <m/>
    <m/>
    <m/>
    <m/>
    <m/>
    <m/>
    <m/>
    <m/>
    <m/>
    <m/>
    <m/>
    <m/>
    <m/>
    <m/>
    <m/>
    <m/>
    <m/>
    <m/>
    <m/>
    <m/>
    <m/>
    <m/>
    <m/>
    <m/>
    <m/>
    <m/>
    <m/>
    <m/>
    <m/>
    <m/>
    <m/>
    <m/>
    <m/>
    <m/>
    <m/>
    <m/>
    <m/>
    <m/>
    <m/>
    <m/>
    <m/>
    <m/>
    <m/>
    <m/>
    <m/>
    <m/>
    <m/>
    <m/>
    <m/>
    <m/>
    <m/>
    <m/>
    <m/>
    <m/>
    <m/>
    <m/>
    <m/>
    <m/>
    <m/>
    <m/>
    <m/>
    <m/>
    <m/>
    <m/>
    <n v="3107.8480573950392"/>
    <n v="32965.700000000004"/>
    <n v="0"/>
    <n v="0"/>
    <n v="0"/>
    <n v="0"/>
    <n v="0"/>
    <n v="0"/>
    <n v="3107.8480573950392"/>
    <n v="6215.7000000000007"/>
    <n v="0"/>
    <n v="0"/>
    <n v="0"/>
    <n v="0"/>
    <n v="0"/>
    <n v="0"/>
    <n v="0"/>
    <n v="0"/>
    <n v="0"/>
    <n v="0"/>
    <n v="0"/>
    <n v="0"/>
    <n v="0"/>
    <n v="0"/>
    <n v="0"/>
    <n v="0"/>
    <n v="0"/>
    <n v="0"/>
    <n v="0"/>
    <n v="0"/>
    <n v="0"/>
    <n v="0"/>
    <n v="0"/>
    <n v="0"/>
    <n v="0"/>
    <n v="0"/>
    <n v="0"/>
    <n v="0"/>
    <n v="0"/>
    <n v="0"/>
    <n v="0"/>
    <n v="0"/>
    <n v="0"/>
    <n v="0"/>
    <n v="0"/>
    <n v="0"/>
    <n v="0"/>
    <n v="0"/>
    <n v="0"/>
    <n v="0"/>
    <n v="0"/>
    <n v="0"/>
    <n v="0"/>
    <n v="0"/>
    <n v="0"/>
    <n v="0"/>
    <n v="0"/>
    <n v="0"/>
    <n v="45397.096114790082"/>
    <s v=" "/>
    <s v=" "/>
    <s v=" "/>
    <s v=" "/>
    <s v=" "/>
    <s v=" "/>
    <s v=" "/>
    <n v="72356.074231849736"/>
    <s v=" "/>
    <s v=" "/>
    <s v=" "/>
    <s v=" "/>
    <s v=" "/>
    <s v=" "/>
    <s v=" "/>
    <x v="3"/>
    <x v="3"/>
    <x v="0"/>
    <x v="0"/>
    <x v="0"/>
    <x v="1"/>
    <x v="0"/>
    <x v="0"/>
    <x v="3"/>
    <x v="3"/>
    <x v="1"/>
    <x v="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11"/>
    <s v="Off-take structure"/>
    <s v="Concrete"/>
    <s v="ks11-001"/>
    <x v="1"/>
    <n v="29.966327612000001"/>
    <n v="-25.803679738"/>
    <s v="29° 57' 58.77&quot;E "/>
    <s v="25° 48' 13.24&quot; S"/>
    <s v="Complete"/>
    <s v="Yes"/>
    <s v="Yes"/>
    <d v="1899-12-30T00:00:00"/>
    <s v="YES "/>
    <m/>
    <s v="NBC-GTW-CL-0066"/>
    <s v="Yes"/>
    <s v="00"/>
    <d v="2018-06-16T00:00:00"/>
    <s v="Phase 2"/>
    <s v="Year 8"/>
    <m/>
    <m/>
    <m/>
    <m/>
    <m/>
    <n v="4"/>
    <m/>
    <m/>
    <m/>
    <m/>
    <m/>
    <m/>
    <n v="1.5"/>
    <m/>
    <m/>
    <m/>
    <s v="Ref 395"/>
    <n v="7.5"/>
    <m/>
    <m/>
    <m/>
    <m/>
    <m/>
    <n v="3.0680000000000001"/>
    <m/>
    <m/>
    <m/>
    <m/>
    <m/>
    <m/>
    <n v="4.3160000000000007"/>
    <m/>
    <m/>
    <m/>
    <m/>
    <m/>
    <m/>
    <m/>
    <m/>
    <m/>
    <m/>
    <m/>
    <m/>
    <m/>
    <m/>
    <m/>
    <m/>
    <m/>
    <m/>
    <m/>
    <m/>
    <m/>
    <m/>
    <m/>
    <m/>
    <m/>
    <m/>
    <m/>
    <m/>
    <m/>
    <m/>
    <m/>
    <m/>
    <m/>
    <m/>
    <m/>
    <m/>
    <m/>
    <m/>
    <m/>
    <m/>
    <m/>
    <m/>
    <m/>
    <n v="4.6319999999999997"/>
    <n v="265"/>
    <n v="4"/>
    <n v="265"/>
    <n v="185.5"/>
    <n v="265"/>
    <n v="5"/>
    <n v="0"/>
    <n v="0"/>
    <n v="0"/>
    <n v="0"/>
    <n v="0"/>
    <n v="1"/>
    <n v="2"/>
    <n v="2"/>
    <n v="0.5"/>
    <m/>
    <m/>
    <m/>
    <m/>
    <m/>
    <n v="0"/>
    <n v="0"/>
    <n v="0"/>
    <n v="0"/>
    <n v="0"/>
    <n v="340"/>
    <n v="0"/>
    <n v="0"/>
    <n v="0"/>
    <n v="0"/>
    <n v="0"/>
    <n v="3000"/>
    <n v="0"/>
    <n v="0"/>
    <n v="0"/>
    <n v="150"/>
    <n v="1994.2"/>
    <n v="129.48000000000002"/>
    <n v="0"/>
    <n v="0"/>
    <n v="0"/>
    <n v="0"/>
    <n v="0"/>
    <n v="0"/>
    <n v="0"/>
    <n v="0"/>
    <n v="0"/>
    <n v="0"/>
    <n v="0"/>
    <n v="0"/>
    <n v="0"/>
    <n v="0"/>
    <n v="0"/>
    <n v="0"/>
    <n v="0"/>
    <n v="0"/>
    <n v="0"/>
    <n v="3473.9999999999995"/>
    <n v="132500"/>
    <n v="30000"/>
    <n v="26500"/>
    <n v="2226"/>
    <n v="13250"/>
    <n v="1500"/>
    <n v="0"/>
    <n v="0"/>
    <n v="0"/>
    <n v="0"/>
    <n v="0"/>
    <n v="12500"/>
    <n v="6000"/>
    <n v="3600"/>
    <n v="1500"/>
    <n v="0"/>
    <n v="0"/>
    <n v="0"/>
    <n v="0"/>
    <n v="0"/>
    <n v="238663.67999999999"/>
    <s v=" "/>
    <s v=" "/>
    <s v=" "/>
    <s v=" "/>
    <s v=" "/>
    <s v=" "/>
    <s v=" "/>
    <n v="380393.64682844508"/>
    <s v=" "/>
    <s v=" "/>
    <s v=" "/>
    <s v=" "/>
    <s v=" "/>
    <s v=" "/>
    <s v=" "/>
    <x v="0"/>
    <x v="0"/>
    <x v="0"/>
    <x v="0"/>
    <x v="0"/>
    <x v="2"/>
    <x v="0"/>
    <x v="0"/>
    <x v="0"/>
    <x v="4"/>
    <x v="1"/>
    <x v="1"/>
    <x v="1"/>
    <x v="0"/>
    <x v="0"/>
    <x v="0"/>
    <x v="1"/>
    <x v="0"/>
    <x v="0"/>
    <x v="0"/>
    <x v="0"/>
    <x v="1"/>
    <x v="0"/>
    <x v="0"/>
    <x v="0"/>
    <x v="0"/>
    <x v="0"/>
    <x v="0"/>
    <x v="1"/>
    <x v="0"/>
    <x v="0"/>
    <x v="0"/>
    <x v="0"/>
    <x v="0"/>
    <x v="0"/>
    <x v="0"/>
    <x v="0"/>
    <x v="0"/>
    <x v="0"/>
    <x v="0"/>
    <x v="0"/>
    <x v="0"/>
    <x v="0"/>
    <x v="0"/>
    <x v="0"/>
    <x v="0"/>
    <x v="0"/>
    <x v="0"/>
    <x v="0"/>
    <x v="0"/>
    <x v="0"/>
    <x v="0"/>
    <x v="0"/>
    <x v="0"/>
    <x v="0"/>
    <x v="0"/>
    <x v="0"/>
    <x v="0"/>
    <x v="0"/>
    <x v="0"/>
    <x v="0"/>
    <x v="0"/>
    <x v="0"/>
    <x v="0"/>
    <x v="0"/>
    <x v="0"/>
    <x v="0"/>
    <x v="0"/>
    <x v="0"/>
    <x v="0"/>
    <x v="0"/>
    <x v="0"/>
    <x v="1"/>
    <x v="1"/>
    <x v="1"/>
    <x v="1"/>
    <x v="1"/>
    <x v="1"/>
    <x v="1"/>
    <x v="0"/>
    <x v="0"/>
    <x v="0"/>
    <x v="0"/>
    <x v="0"/>
    <x v="1"/>
    <x v="1"/>
    <x v="1"/>
    <x v="1"/>
    <x v="0"/>
    <x v="0"/>
    <x v="0"/>
    <x v="0"/>
    <x v="0"/>
  </r>
  <r>
    <s v="KS11"/>
    <s v="Concrete Drop Inlet on Dam Wall"/>
    <s v="Concrete Drop Inlet on Dam Wall"/>
    <s v="ks11-002a"/>
    <x v="1"/>
    <n v="29.965357981"/>
    <n v="-25.804119242999999"/>
    <s v="29° 57' 55.28&quot;E "/>
    <s v="25° 48' 14.82&quot; S"/>
    <s v="N/A"/>
    <m/>
    <s v="No"/>
    <m/>
    <s v="YES "/>
    <s v="NA"/>
    <s v="NBC-GTW-CL-0067"/>
    <s v="Yes"/>
    <s v="00"/>
    <d v="2018-06-16T00:00:00"/>
    <s v="Phase 2"/>
    <s v="Year 8"/>
    <n v="31.8"/>
    <m/>
    <m/>
    <m/>
    <m/>
    <n v="394.76519999999999"/>
    <n v="39.476520000000001"/>
    <n v="10.9657"/>
    <n v="31.8"/>
    <n v="31.8"/>
    <m/>
    <m/>
    <n v="94.94319999999999"/>
    <n v="101.63999999999999"/>
    <m/>
    <m/>
    <s v="Ref 888"/>
    <n v="89.69919999999999"/>
    <s v="Ref 943"/>
    <n v="82.174399999999991"/>
    <n v="0"/>
    <n v="124.76995008701984"/>
    <n v="0"/>
    <n v="47"/>
    <n v="0"/>
    <n v="0"/>
    <n v="0"/>
    <n v="0"/>
    <n v="0"/>
    <n v="16"/>
    <n v="15"/>
    <n v="0"/>
    <m/>
    <n v="0"/>
    <n v="25.2498"/>
    <m/>
    <m/>
    <m/>
    <m/>
    <m/>
    <m/>
    <m/>
    <m/>
    <m/>
    <m/>
    <m/>
    <m/>
    <m/>
    <m/>
    <m/>
    <m/>
    <m/>
    <m/>
    <m/>
    <m/>
    <m/>
    <m/>
    <m/>
    <m/>
    <m/>
    <m/>
    <m/>
    <m/>
    <m/>
    <m/>
    <m/>
    <m/>
    <m/>
    <m/>
    <m/>
    <m/>
    <m/>
    <m/>
    <m/>
    <m/>
    <m/>
    <m/>
    <m/>
    <m/>
    <m/>
    <m/>
    <m/>
    <m/>
    <m/>
    <m/>
    <m/>
    <m/>
    <m/>
    <m/>
    <m/>
    <n v="1"/>
    <m/>
    <m/>
    <m/>
    <m/>
    <n v="159"/>
    <n v="0"/>
    <n v="0"/>
    <n v="0"/>
    <n v="0"/>
    <n v="33555.042000000001"/>
    <n v="4934.5650000000005"/>
    <n v="5482.85"/>
    <n v="159"/>
    <n v="318"/>
    <n v="0"/>
    <n v="189886.4"/>
    <n v="30491.999999999996"/>
    <n v="0"/>
    <n v="0"/>
    <n v="3437.4719999999998"/>
    <n v="112130.4675565629"/>
    <n v="450"/>
    <n v="0"/>
    <n v="0"/>
    <n v="3029.9760000000001"/>
    <n v="0"/>
    <n v="0"/>
    <n v="0"/>
    <n v="0"/>
    <n v="0"/>
    <n v="0"/>
    <n v="0"/>
    <n v="0"/>
    <n v="0"/>
    <n v="0"/>
    <n v="0"/>
    <n v="0"/>
    <n v="0"/>
    <n v="0"/>
    <n v="0"/>
    <n v="0"/>
    <n v="0"/>
    <n v="0"/>
    <n v="0"/>
    <n v="0"/>
    <n v="0"/>
    <n v="0"/>
    <n v="0"/>
    <n v="0"/>
    <n v="0"/>
    <n v="0"/>
    <n v="0"/>
    <n v="0"/>
    <n v="0"/>
    <n v="0"/>
    <n v="0"/>
    <n v="0"/>
    <n v="0"/>
    <n v="0"/>
    <n v="0"/>
    <n v="0"/>
    <n v="0"/>
    <n v="384034.77255656291"/>
    <s v=" "/>
    <s v=" "/>
    <s v=" "/>
    <s v=" "/>
    <s v=" "/>
    <s v=" "/>
    <s v=" "/>
    <n v="612093.08279216767"/>
    <s v=" "/>
    <s v=" "/>
    <s v=" "/>
    <s v=" "/>
    <s v=" "/>
    <s v=" "/>
    <s v=" "/>
    <x v="4"/>
    <x v="0"/>
    <x v="0"/>
    <x v="0"/>
    <x v="0"/>
    <x v="3"/>
    <x v="1"/>
    <x v="1"/>
    <x v="4"/>
    <x v="5"/>
    <x v="1"/>
    <x v="1"/>
    <x v="2"/>
    <x v="1"/>
    <x v="0"/>
    <x v="0"/>
    <x v="2"/>
    <x v="1"/>
    <x v="0"/>
    <x v="1"/>
    <x v="0"/>
    <x v="2"/>
    <x v="0"/>
    <x v="0"/>
    <x v="0"/>
    <x v="0"/>
    <x v="0"/>
    <x v="1"/>
    <x v="2"/>
    <x v="0"/>
    <x v="0"/>
    <x v="0"/>
    <x v="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1"/>
    <x v="0"/>
    <x v="0"/>
    <x v="0"/>
    <x v="0"/>
  </r>
  <r>
    <s v="KS11"/>
    <s v="Concrete Splash Through Structure"/>
    <s v="Concrete Splash Through Structure"/>
    <s v="ks11-002b"/>
    <x v="1"/>
    <n v="29.965357981"/>
    <n v="-25.804119242999999"/>
    <s v="29° 57' 55.28&quot;E "/>
    <s v="25° 48' 14.82&quot; S"/>
    <m/>
    <m/>
    <m/>
    <m/>
    <s v="YES"/>
    <m/>
    <s v="NBC-GTW-CL-0067"/>
    <s v="Yes"/>
    <s v="00"/>
    <d v="2018-06-16T00:00:00"/>
    <s v="Phase 2"/>
    <s v="Year 8"/>
    <m/>
    <m/>
    <m/>
    <m/>
    <m/>
    <n v="210"/>
    <m/>
    <m/>
    <m/>
    <m/>
    <m/>
    <m/>
    <m/>
    <n v="64"/>
    <n v="98"/>
    <m/>
    <s v="Ref 617"/>
    <n v="64"/>
    <m/>
    <m/>
    <m/>
    <m/>
    <m/>
    <n v="10.8"/>
    <m/>
    <m/>
    <m/>
    <m/>
    <m/>
    <m/>
    <m/>
    <m/>
    <n v="21.3"/>
    <m/>
    <m/>
    <m/>
    <m/>
    <m/>
    <m/>
    <m/>
    <m/>
    <m/>
    <m/>
    <m/>
    <m/>
    <m/>
    <m/>
    <m/>
    <m/>
    <m/>
    <m/>
    <m/>
    <m/>
    <m/>
    <m/>
    <n v="87"/>
    <m/>
    <m/>
    <m/>
    <m/>
    <m/>
    <n v="24"/>
    <m/>
    <m/>
    <m/>
    <m/>
    <m/>
    <m/>
    <m/>
    <m/>
    <m/>
    <m/>
    <m/>
    <m/>
    <m/>
    <m/>
    <m/>
    <m/>
    <m/>
    <m/>
    <m/>
    <m/>
    <m/>
    <m/>
    <m/>
    <m/>
    <m/>
    <m/>
    <m/>
    <m/>
    <m/>
    <m/>
    <m/>
    <m/>
    <m/>
    <n v="0"/>
    <n v="0"/>
    <n v="0"/>
    <n v="0"/>
    <n v="0"/>
    <n v="17850"/>
    <n v="0"/>
    <n v="0"/>
    <n v="0"/>
    <n v="0"/>
    <n v="0"/>
    <n v="0"/>
    <n v="19200"/>
    <n v="1764"/>
    <n v="0"/>
    <n v="1280"/>
    <n v="7020.0000000000009"/>
    <n v="0"/>
    <n v="69225"/>
    <n v="0"/>
    <n v="0"/>
    <n v="0"/>
    <n v="0"/>
    <n v="0"/>
    <n v="2436"/>
    <n v="12000"/>
    <n v="0"/>
    <n v="0"/>
    <n v="0"/>
    <n v="0"/>
    <n v="0"/>
    <n v="0"/>
    <n v="0"/>
    <n v="0"/>
    <n v="0"/>
    <n v="0"/>
    <n v="0"/>
    <n v="0"/>
    <n v="0"/>
    <n v="0"/>
    <n v="0"/>
    <n v="0"/>
    <n v="0"/>
    <n v="0"/>
    <n v="0"/>
    <n v="0"/>
    <n v="0"/>
    <n v="0"/>
    <n v="0"/>
    <n v="0"/>
    <n v="0"/>
    <n v="0"/>
    <n v="0"/>
    <n v="0"/>
    <n v="0"/>
    <n v="0"/>
    <n v="0"/>
    <n v="0"/>
    <n v="130775"/>
    <s v=" "/>
    <s v=" "/>
    <s v=" "/>
    <s v=" "/>
    <s v=" "/>
    <s v=" "/>
    <s v=" "/>
    <n v="208435.48194677089"/>
    <s v=" "/>
    <s v=" "/>
    <s v=" "/>
    <s v=" "/>
    <s v=" "/>
    <s v=" "/>
    <s v=" "/>
    <x v="0"/>
    <x v="0"/>
    <x v="0"/>
    <x v="0"/>
    <x v="0"/>
    <x v="4"/>
    <x v="0"/>
    <x v="0"/>
    <x v="0"/>
    <x v="4"/>
    <x v="1"/>
    <x v="1"/>
    <x v="0"/>
    <x v="2"/>
    <x v="1"/>
    <x v="0"/>
    <x v="3"/>
    <x v="0"/>
    <x v="0"/>
    <x v="0"/>
    <x v="0"/>
    <x v="3"/>
    <x v="0"/>
    <x v="0"/>
    <x v="0"/>
    <x v="0"/>
    <x v="0"/>
    <x v="0"/>
    <x v="0"/>
    <x v="0"/>
    <x v="1"/>
    <x v="0"/>
    <x v="0"/>
    <x v="0"/>
    <x v="0"/>
    <x v="0"/>
    <x v="0"/>
    <x v="0"/>
    <x v="0"/>
    <x v="0"/>
    <x v="0"/>
    <x v="0"/>
    <x v="0"/>
    <x v="0"/>
    <x v="0"/>
    <x v="0"/>
    <x v="0"/>
    <x v="0"/>
    <x v="0"/>
    <x v="0"/>
    <x v="0"/>
    <x v="0"/>
    <x v="0"/>
    <x v="1"/>
    <x v="0"/>
    <x v="0"/>
    <x v="0"/>
    <x v="0"/>
    <x v="0"/>
    <x v="1"/>
    <x v="0"/>
    <x v="0"/>
    <x v="0"/>
    <x v="0"/>
    <x v="0"/>
    <x v="0"/>
    <x v="0"/>
    <x v="0"/>
    <x v="0"/>
    <x v="0"/>
    <x v="0"/>
    <x v="0"/>
    <x v="0"/>
    <x v="0"/>
    <x v="0"/>
    <x v="0"/>
    <x v="0"/>
    <x v="0"/>
    <x v="0"/>
    <x v="0"/>
    <x v="0"/>
    <x v="0"/>
    <x v="0"/>
    <x v="0"/>
    <x v="0"/>
    <x v="0"/>
    <x v="0"/>
    <x v="0"/>
    <x v="0"/>
    <x v="0"/>
    <x v="0"/>
    <x v="0"/>
    <x v="0"/>
  </r>
  <r>
    <s v="KS11"/>
    <s v="Dam wall excavation"/>
    <s v="Dam wall excavation"/>
    <s v="ks11-002c"/>
    <x v="1"/>
    <n v="29.965357981"/>
    <n v="-25.804119242999999"/>
    <s v="29° 57' 55.28&quot;E "/>
    <s v="25° 48' 14.82&quot; S"/>
    <m/>
    <m/>
    <m/>
    <m/>
    <s v="YES"/>
    <m/>
    <s v="NBC-GTW-CL-0067"/>
    <s v="Yes"/>
    <s v="00"/>
    <d v="2018-06-16T00:00:00"/>
    <s v="Phase 2"/>
    <s v="Year 8"/>
    <n v="1870"/>
    <n v="2651.3666666666668"/>
    <m/>
    <m/>
    <m/>
    <m/>
    <m/>
    <m/>
    <n v="1870"/>
    <n v="1870"/>
    <m/>
    <m/>
    <m/>
    <m/>
    <m/>
    <m/>
    <m/>
    <m/>
    <m/>
    <m/>
    <m/>
    <m/>
    <m/>
    <m/>
    <m/>
    <m/>
    <m/>
    <m/>
    <m/>
    <m/>
    <m/>
    <m/>
    <m/>
    <m/>
    <m/>
    <m/>
    <m/>
    <m/>
    <m/>
    <m/>
    <m/>
    <m/>
    <m/>
    <m/>
    <m/>
    <m/>
    <m/>
    <m/>
    <m/>
    <m/>
    <m/>
    <m/>
    <m/>
    <m/>
    <m/>
    <m/>
    <m/>
    <m/>
    <m/>
    <m/>
    <m/>
    <m/>
    <m/>
    <m/>
    <m/>
    <m/>
    <m/>
    <m/>
    <m/>
    <m/>
    <m/>
    <m/>
    <m/>
    <m/>
    <m/>
    <m/>
    <m/>
    <m/>
    <m/>
    <m/>
    <m/>
    <m/>
    <m/>
    <m/>
    <m/>
    <m/>
    <m/>
    <m/>
    <m/>
    <m/>
    <m/>
    <m/>
    <m/>
    <m/>
    <m/>
    <n v="9350"/>
    <n v="132568.33333333334"/>
    <n v="0"/>
    <n v="0"/>
    <n v="0"/>
    <n v="0"/>
    <n v="0"/>
    <n v="0"/>
    <n v="9350"/>
    <n v="18700"/>
    <n v="0"/>
    <n v="0"/>
    <n v="0"/>
    <n v="0"/>
    <n v="0"/>
    <n v="0"/>
    <n v="0"/>
    <n v="0"/>
    <n v="0"/>
    <n v="0"/>
    <n v="0"/>
    <n v="0"/>
    <n v="0"/>
    <n v="0"/>
    <n v="0"/>
    <n v="0"/>
    <n v="0"/>
    <n v="0"/>
    <n v="0"/>
    <n v="0"/>
    <n v="0"/>
    <n v="0"/>
    <n v="0"/>
    <n v="0"/>
    <n v="0"/>
    <n v="0"/>
    <n v="0"/>
    <n v="0"/>
    <n v="0"/>
    <n v="0"/>
    <n v="0"/>
    <n v="0"/>
    <n v="0"/>
    <n v="0"/>
    <n v="0"/>
    <n v="0"/>
    <n v="0"/>
    <n v="0"/>
    <n v="0"/>
    <n v="0"/>
    <n v="0"/>
    <n v="0"/>
    <n v="0"/>
    <n v="0"/>
    <n v="0"/>
    <n v="0"/>
    <n v="0"/>
    <n v="0"/>
    <n v="169968.33333333334"/>
    <s v=" "/>
    <s v=" "/>
    <s v=" "/>
    <s v=" "/>
    <s v=" "/>
    <s v=" "/>
    <s v=" "/>
    <n v="270903.70081454975"/>
    <s v=" "/>
    <s v=" "/>
    <s v=" "/>
    <s v=" "/>
    <s v=" "/>
    <s v=" "/>
    <s v=" "/>
    <x v="5"/>
    <x v="4"/>
    <x v="0"/>
    <x v="0"/>
    <x v="0"/>
    <x v="1"/>
    <x v="0"/>
    <x v="0"/>
    <x v="5"/>
    <x v="6"/>
    <x v="1"/>
    <x v="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11"/>
    <s v="Backfilling Dam to Create Wetland"/>
    <s v="Backfilling Dam"/>
    <s v="ks11-003"/>
    <x v="1"/>
    <n v="29.964700989000001"/>
    <n v="-25.802941186999998"/>
    <s v="29° 57' 52.92&quot;E "/>
    <s v="25° 48' 10.58&quot; S"/>
    <s v="N/A"/>
    <m/>
    <s v="No"/>
    <m/>
    <s v="YES "/>
    <m/>
    <s v="NBC-GTW-CL-0062"/>
    <m/>
    <s v="00"/>
    <d v="2018-06-16T00:00:00"/>
    <s v="Phase 2"/>
    <s v="Year 8"/>
    <m/>
    <m/>
    <m/>
    <m/>
    <m/>
    <m/>
    <m/>
    <m/>
    <m/>
    <n v="17400"/>
    <m/>
    <m/>
    <m/>
    <m/>
    <m/>
    <m/>
    <m/>
    <m/>
    <m/>
    <m/>
    <m/>
    <m/>
    <m/>
    <m/>
    <m/>
    <m/>
    <m/>
    <m/>
    <m/>
    <m/>
    <m/>
    <m/>
    <m/>
    <m/>
    <n v="24200"/>
    <m/>
    <m/>
    <m/>
    <m/>
    <m/>
    <m/>
    <m/>
    <m/>
    <m/>
    <m/>
    <m/>
    <m/>
    <m/>
    <m/>
    <m/>
    <m/>
    <m/>
    <m/>
    <m/>
    <m/>
    <m/>
    <m/>
    <m/>
    <m/>
    <m/>
    <m/>
    <m/>
    <m/>
    <m/>
    <m/>
    <m/>
    <m/>
    <m/>
    <m/>
    <m/>
    <m/>
    <m/>
    <m/>
    <n v="11500"/>
    <m/>
    <m/>
    <m/>
    <m/>
    <m/>
    <m/>
    <m/>
    <m/>
    <m/>
    <m/>
    <m/>
    <m/>
    <m/>
    <m/>
    <m/>
    <m/>
    <m/>
    <m/>
    <m/>
    <m/>
    <m/>
    <n v="0"/>
    <n v="0"/>
    <n v="0"/>
    <n v="0"/>
    <n v="0"/>
    <n v="0"/>
    <n v="0"/>
    <n v="0"/>
    <n v="0"/>
    <n v="174000"/>
    <n v="0"/>
    <n v="0"/>
    <n v="0"/>
    <n v="0"/>
    <n v="0"/>
    <n v="0"/>
    <n v="0"/>
    <n v="0"/>
    <n v="0"/>
    <n v="0"/>
    <n v="2904000"/>
    <n v="0"/>
    <n v="0"/>
    <n v="0"/>
    <n v="0"/>
    <n v="0"/>
    <n v="0"/>
    <n v="0"/>
    <n v="0"/>
    <n v="0"/>
    <n v="0"/>
    <n v="0"/>
    <n v="0"/>
    <n v="0"/>
    <n v="0"/>
    <n v="0"/>
    <n v="575000"/>
    <n v="0"/>
    <n v="0"/>
    <n v="0"/>
    <n v="0"/>
    <n v="0"/>
    <n v="0"/>
    <n v="0"/>
    <n v="0"/>
    <n v="0"/>
    <n v="0"/>
    <n v="0"/>
    <n v="0"/>
    <n v="0"/>
    <n v="0"/>
    <n v="0"/>
    <n v="0"/>
    <n v="0"/>
    <n v="0"/>
    <n v="0"/>
    <n v="0"/>
    <n v="0"/>
    <n v="3653000"/>
    <s v=" "/>
    <s v=" "/>
    <s v=" "/>
    <s v=" "/>
    <s v=" "/>
    <s v=" "/>
    <s v=" "/>
    <n v="5822327.0162611669"/>
    <s v=" "/>
    <s v=" "/>
    <s v=" "/>
    <s v=" "/>
    <s v=" "/>
    <s v=" "/>
    <s v=" "/>
    <x v="0"/>
    <x v="0"/>
    <x v="0"/>
    <x v="0"/>
    <x v="0"/>
    <x v="1"/>
    <x v="0"/>
    <x v="0"/>
    <x v="0"/>
    <x v="7"/>
    <x v="1"/>
    <x v="1"/>
    <x v="0"/>
    <x v="0"/>
    <x v="0"/>
    <x v="0"/>
    <x v="0"/>
    <x v="0"/>
    <x v="0"/>
    <x v="0"/>
    <x v="0"/>
    <x v="0"/>
    <x v="0"/>
    <x v="0"/>
    <x v="0"/>
    <x v="0"/>
    <x v="0"/>
    <x v="0"/>
    <x v="0"/>
    <x v="0"/>
    <x v="0"/>
    <x v="0"/>
    <x v="2"/>
    <x v="0"/>
    <x v="0"/>
    <x v="0"/>
    <x v="0"/>
    <x v="0"/>
    <x v="0"/>
    <x v="0"/>
    <x v="0"/>
    <x v="0"/>
    <x v="0"/>
    <x v="0"/>
    <x v="0"/>
    <x v="0"/>
    <x v="0"/>
    <x v="0"/>
    <x v="0"/>
    <x v="0"/>
    <x v="0"/>
    <x v="0"/>
    <x v="0"/>
    <x v="0"/>
    <x v="0"/>
    <x v="0"/>
    <x v="0"/>
    <x v="0"/>
    <x v="0"/>
    <x v="0"/>
    <x v="0"/>
    <x v="0"/>
    <x v="0"/>
    <x v="0"/>
    <x v="0"/>
    <x v="0"/>
    <x v="0"/>
    <x v="0"/>
    <x v="0"/>
    <x v="0"/>
    <x v="0"/>
    <x v="1"/>
    <x v="0"/>
    <x v="0"/>
    <x v="0"/>
    <x v="0"/>
    <x v="0"/>
    <x v="0"/>
    <x v="0"/>
    <x v="0"/>
    <x v="0"/>
    <x v="0"/>
    <x v="0"/>
    <x v="0"/>
    <x v="0"/>
    <x v="0"/>
    <x v="0"/>
    <x v="0"/>
    <x v="0"/>
    <x v="0"/>
    <x v="0"/>
    <x v="0"/>
    <x v="0"/>
  </r>
  <r>
    <s v="KS11"/>
    <s v="Concrete Drop Inlet on Dam Wall"/>
    <s v="Concrete Drop Inlet on Dam Wall"/>
    <s v="ks11-004a"/>
    <x v="1"/>
    <n v="29.964891290000001"/>
    <n v="-25.798573317999999"/>
    <s v="29° 57' 53.60&quot;E "/>
    <s v="25° 47' 54.86&quot; S"/>
    <s v="N/A"/>
    <m/>
    <s v="No"/>
    <m/>
    <s v="YES "/>
    <s v="NA"/>
    <s v="NBC-GTW-CL-0068"/>
    <s v="Yes"/>
    <s v="00"/>
    <d v="2018-06-16T00:00:00"/>
    <s v="Phase 2"/>
    <s v="Year 8"/>
    <n v="31.8"/>
    <m/>
    <m/>
    <m/>
    <m/>
    <n v="355.89659999999998"/>
    <n v="26.469660000000001"/>
    <n v="14.235863999999999"/>
    <n v="31.8"/>
    <n v="31.8"/>
    <m/>
    <m/>
    <n v="94.94319999999999"/>
    <n v="101.63999999999999"/>
    <m/>
    <m/>
    <s v="Ref 888"/>
    <n v="89.69919999999999"/>
    <s v="Ref 943"/>
    <n v="82.174399999999991"/>
    <n v="0"/>
    <n v="124.76995008701984"/>
    <n v="0"/>
    <n v="47"/>
    <n v="0"/>
    <n v="0"/>
    <n v="0"/>
    <n v="0"/>
    <n v="0"/>
    <n v="16"/>
    <n v="15"/>
    <n v="0"/>
    <m/>
    <n v="0"/>
    <n v="25.2498"/>
    <m/>
    <m/>
    <m/>
    <m/>
    <m/>
    <m/>
    <m/>
    <m/>
    <m/>
    <m/>
    <m/>
    <m/>
    <m/>
    <m/>
    <m/>
    <m/>
    <m/>
    <m/>
    <m/>
    <m/>
    <m/>
    <m/>
    <m/>
    <m/>
    <m/>
    <m/>
    <m/>
    <m/>
    <m/>
    <m/>
    <m/>
    <m/>
    <m/>
    <m/>
    <m/>
    <m/>
    <m/>
    <m/>
    <m/>
    <m/>
    <m/>
    <m/>
    <m/>
    <m/>
    <m/>
    <m/>
    <m/>
    <m/>
    <m/>
    <m/>
    <m/>
    <m/>
    <m/>
    <m/>
    <m/>
    <n v="1"/>
    <m/>
    <m/>
    <m/>
    <m/>
    <n v="159"/>
    <n v="0"/>
    <n v="0"/>
    <n v="0"/>
    <n v="0"/>
    <n v="30251.210999999999"/>
    <n v="3308.7075"/>
    <n v="7117.9319999999998"/>
    <n v="159"/>
    <n v="318"/>
    <n v="0"/>
    <n v="189886.4"/>
    <n v="30491.999999999996"/>
    <n v="0"/>
    <n v="0"/>
    <n v="3437.4719999999998"/>
    <n v="112130.4675565629"/>
    <n v="450"/>
    <n v="0"/>
    <n v="0"/>
    <n v="3029.9760000000001"/>
    <n v="0"/>
    <n v="0"/>
    <n v="0"/>
    <n v="0"/>
    <n v="0"/>
    <n v="0"/>
    <n v="0"/>
    <n v="0"/>
    <n v="0"/>
    <n v="0"/>
    <n v="0"/>
    <n v="0"/>
    <n v="0"/>
    <n v="0"/>
    <n v="0"/>
    <n v="0"/>
    <n v="0"/>
    <n v="0"/>
    <n v="0"/>
    <n v="0"/>
    <n v="0"/>
    <n v="0"/>
    <n v="0"/>
    <n v="0"/>
    <n v="0"/>
    <n v="0"/>
    <n v="0"/>
    <n v="0"/>
    <n v="0"/>
    <n v="0"/>
    <n v="0"/>
    <n v="0"/>
    <n v="0"/>
    <n v="0"/>
    <n v="0"/>
    <n v="0"/>
    <n v="0"/>
    <n v="380740.16605656291"/>
    <s v=" "/>
    <s v=" "/>
    <s v=" "/>
    <s v=" "/>
    <s v=" "/>
    <s v=" "/>
    <s v=" "/>
    <n v="606841.98056580604"/>
    <s v=" "/>
    <s v=" "/>
    <s v=" "/>
    <s v=" "/>
    <s v=" "/>
    <s v=" "/>
    <s v=" "/>
    <x v="6"/>
    <x v="0"/>
    <x v="0"/>
    <x v="0"/>
    <x v="0"/>
    <x v="5"/>
    <x v="2"/>
    <x v="2"/>
    <x v="6"/>
    <x v="8"/>
    <x v="1"/>
    <x v="1"/>
    <x v="3"/>
    <x v="3"/>
    <x v="0"/>
    <x v="0"/>
    <x v="4"/>
    <x v="2"/>
    <x v="0"/>
    <x v="2"/>
    <x v="0"/>
    <x v="4"/>
    <x v="0"/>
    <x v="0"/>
    <x v="0"/>
    <x v="0"/>
    <x v="0"/>
    <x v="2"/>
    <x v="3"/>
    <x v="0"/>
    <x v="0"/>
    <x v="0"/>
    <x v="3"/>
    <x v="0"/>
    <x v="0"/>
    <x v="0"/>
    <x v="0"/>
    <x v="0"/>
    <x v="0"/>
    <x v="0"/>
    <x v="0"/>
    <x v="0"/>
    <x v="0"/>
    <x v="0"/>
    <x v="0"/>
    <x v="0"/>
    <x v="0"/>
    <x v="0"/>
    <x v="0"/>
    <x v="0"/>
    <x v="0"/>
    <x v="0"/>
    <x v="0"/>
    <x v="0"/>
    <x v="0"/>
    <x v="0"/>
    <x v="0"/>
    <x v="0"/>
    <x v="0"/>
    <x v="0"/>
    <x v="0"/>
    <x v="0"/>
    <x v="0"/>
    <x v="0"/>
    <x v="0"/>
    <x v="0"/>
    <x v="0"/>
    <x v="0"/>
    <x v="0"/>
    <x v="0"/>
    <x v="0"/>
    <x v="0"/>
    <x v="0"/>
    <x v="0"/>
    <x v="0"/>
    <x v="0"/>
    <x v="0"/>
    <x v="0"/>
    <x v="0"/>
    <x v="0"/>
    <x v="0"/>
    <x v="0"/>
    <x v="0"/>
    <x v="0"/>
    <x v="0"/>
    <x v="0"/>
    <x v="0"/>
    <x v="0"/>
    <x v="2"/>
    <x v="0"/>
    <x v="0"/>
    <x v="0"/>
    <x v="0"/>
  </r>
  <r>
    <s v="KS11"/>
    <s v="Concrete Splash Through Structure"/>
    <s v="Concrete Splash Through Structure"/>
    <s v="ks11-004b"/>
    <x v="1"/>
    <n v="29.964891290000001"/>
    <n v="-25.798573317999999"/>
    <s v="29° 57' 53.60&quot;E "/>
    <s v="25° 47' 54.86&quot; S"/>
    <m/>
    <m/>
    <m/>
    <m/>
    <s v="YES"/>
    <m/>
    <s v="NBC-GTW-CL-0068"/>
    <s v="Yes"/>
    <s v="00"/>
    <d v="2018-06-16T00:00:00"/>
    <s v="Phase 2"/>
    <s v="Year 8"/>
    <m/>
    <m/>
    <m/>
    <m/>
    <m/>
    <n v="210"/>
    <m/>
    <m/>
    <m/>
    <m/>
    <m/>
    <m/>
    <m/>
    <n v="64"/>
    <n v="98"/>
    <m/>
    <s v="Ref617"/>
    <n v="64"/>
    <m/>
    <m/>
    <m/>
    <m/>
    <m/>
    <n v="10.8"/>
    <m/>
    <m/>
    <m/>
    <m/>
    <m/>
    <m/>
    <m/>
    <m/>
    <n v="21.3"/>
    <m/>
    <m/>
    <m/>
    <m/>
    <m/>
    <m/>
    <m/>
    <m/>
    <m/>
    <m/>
    <m/>
    <m/>
    <m/>
    <m/>
    <m/>
    <m/>
    <m/>
    <m/>
    <m/>
    <m/>
    <m/>
    <m/>
    <n v="87"/>
    <m/>
    <m/>
    <m/>
    <m/>
    <m/>
    <n v="24"/>
    <m/>
    <m/>
    <m/>
    <m/>
    <m/>
    <m/>
    <m/>
    <m/>
    <m/>
    <m/>
    <m/>
    <m/>
    <m/>
    <m/>
    <m/>
    <m/>
    <m/>
    <m/>
    <m/>
    <m/>
    <m/>
    <m/>
    <m/>
    <m/>
    <m/>
    <m/>
    <m/>
    <m/>
    <m/>
    <m/>
    <m/>
    <m/>
    <m/>
    <n v="0"/>
    <n v="0"/>
    <n v="0"/>
    <n v="0"/>
    <n v="0"/>
    <n v="17850"/>
    <n v="0"/>
    <n v="0"/>
    <n v="0"/>
    <n v="0"/>
    <n v="0"/>
    <n v="0"/>
    <n v="19200"/>
    <n v="1764"/>
    <n v="0"/>
    <n v="1280"/>
    <n v="7020.0000000000009"/>
    <n v="0"/>
    <n v="69225"/>
    <n v="0"/>
    <n v="0"/>
    <n v="0"/>
    <n v="0"/>
    <n v="0"/>
    <n v="2436"/>
    <n v="12000"/>
    <n v="0"/>
    <n v="0"/>
    <n v="0"/>
    <n v="0"/>
    <n v="0"/>
    <n v="0"/>
    <n v="0"/>
    <n v="0"/>
    <n v="0"/>
    <n v="0"/>
    <n v="0"/>
    <n v="0"/>
    <n v="0"/>
    <n v="0"/>
    <n v="0"/>
    <n v="0"/>
    <n v="0"/>
    <n v="0"/>
    <n v="0"/>
    <n v="0"/>
    <n v="0"/>
    <n v="0"/>
    <n v="0"/>
    <n v="0"/>
    <n v="0"/>
    <n v="0"/>
    <n v="0"/>
    <n v="0"/>
    <n v="0"/>
    <n v="0"/>
    <n v="0"/>
    <n v="0"/>
    <n v="130775"/>
    <s v=" "/>
    <s v=" "/>
    <s v=" "/>
    <s v=" "/>
    <s v=" "/>
    <s v=" "/>
    <s v=" "/>
    <n v="208435.48194677089"/>
    <s v=" "/>
    <s v=" "/>
    <s v=" "/>
    <s v=" "/>
    <s v=" "/>
    <s v=" "/>
    <s v=" "/>
    <x v="0"/>
    <x v="0"/>
    <x v="0"/>
    <x v="0"/>
    <x v="0"/>
    <x v="6"/>
    <x v="0"/>
    <x v="0"/>
    <x v="0"/>
    <x v="4"/>
    <x v="1"/>
    <x v="1"/>
    <x v="0"/>
    <x v="4"/>
    <x v="2"/>
    <x v="0"/>
    <x v="5"/>
    <x v="0"/>
    <x v="0"/>
    <x v="0"/>
    <x v="0"/>
    <x v="5"/>
    <x v="0"/>
    <x v="0"/>
    <x v="0"/>
    <x v="0"/>
    <x v="0"/>
    <x v="0"/>
    <x v="0"/>
    <x v="0"/>
    <x v="2"/>
    <x v="0"/>
    <x v="0"/>
    <x v="0"/>
    <x v="0"/>
    <x v="0"/>
    <x v="0"/>
    <x v="0"/>
    <x v="0"/>
    <x v="0"/>
    <x v="0"/>
    <x v="0"/>
    <x v="0"/>
    <x v="0"/>
    <x v="0"/>
    <x v="0"/>
    <x v="0"/>
    <x v="0"/>
    <x v="0"/>
    <x v="0"/>
    <x v="0"/>
    <x v="0"/>
    <x v="0"/>
    <x v="2"/>
    <x v="0"/>
    <x v="0"/>
    <x v="0"/>
    <x v="0"/>
    <x v="0"/>
    <x v="2"/>
    <x v="0"/>
    <x v="0"/>
    <x v="0"/>
    <x v="0"/>
    <x v="0"/>
    <x v="0"/>
    <x v="0"/>
    <x v="0"/>
    <x v="0"/>
    <x v="0"/>
    <x v="0"/>
    <x v="0"/>
    <x v="0"/>
    <x v="0"/>
    <x v="0"/>
    <x v="0"/>
    <x v="0"/>
    <x v="0"/>
    <x v="0"/>
    <x v="0"/>
    <x v="0"/>
    <x v="0"/>
    <x v="0"/>
    <x v="0"/>
    <x v="0"/>
    <x v="0"/>
    <x v="0"/>
    <x v="0"/>
    <x v="0"/>
    <x v="0"/>
    <x v="0"/>
    <x v="0"/>
    <x v="0"/>
  </r>
  <r>
    <s v="KS11"/>
    <s v="Dam wall excavation"/>
    <s v="Dam wall excavation"/>
    <s v="ks11-004c"/>
    <x v="1"/>
    <n v="29.964891290000001"/>
    <n v="-25.798573317999999"/>
    <s v="29° 57' 53.60&quot;E "/>
    <s v="25° 47' 54.86&quot; S"/>
    <m/>
    <m/>
    <m/>
    <m/>
    <s v="YES"/>
    <m/>
    <s v="NBC-GTW-CL-0068"/>
    <s v="Yes"/>
    <s v="00"/>
    <d v="2018-06-16T00:00:00"/>
    <s v="Phase 2"/>
    <s v="Year 8"/>
    <n v="1200"/>
    <n v="665.25"/>
    <m/>
    <m/>
    <m/>
    <m/>
    <m/>
    <m/>
    <n v="1200"/>
    <n v="1200"/>
    <m/>
    <m/>
    <m/>
    <m/>
    <m/>
    <m/>
    <m/>
    <m/>
    <m/>
    <m/>
    <m/>
    <m/>
    <m/>
    <m/>
    <m/>
    <m/>
    <m/>
    <m/>
    <m/>
    <m/>
    <m/>
    <m/>
    <m/>
    <m/>
    <m/>
    <m/>
    <m/>
    <m/>
    <m/>
    <m/>
    <m/>
    <m/>
    <m/>
    <m/>
    <m/>
    <m/>
    <m/>
    <m/>
    <m/>
    <m/>
    <m/>
    <m/>
    <m/>
    <m/>
    <m/>
    <m/>
    <m/>
    <m/>
    <m/>
    <m/>
    <m/>
    <m/>
    <m/>
    <m/>
    <m/>
    <m/>
    <m/>
    <m/>
    <m/>
    <m/>
    <m/>
    <m/>
    <m/>
    <m/>
    <m/>
    <m/>
    <m/>
    <m/>
    <m/>
    <m/>
    <m/>
    <m/>
    <m/>
    <m/>
    <m/>
    <m/>
    <m/>
    <m/>
    <m/>
    <m/>
    <m/>
    <m/>
    <m/>
    <m/>
    <m/>
    <n v="6000"/>
    <n v="33262.5"/>
    <n v="0"/>
    <n v="0"/>
    <n v="0"/>
    <n v="0"/>
    <n v="0"/>
    <n v="0"/>
    <n v="6000"/>
    <n v="12000"/>
    <n v="0"/>
    <n v="0"/>
    <n v="0"/>
    <n v="0"/>
    <n v="0"/>
    <n v="0"/>
    <n v="0"/>
    <n v="0"/>
    <n v="0"/>
    <n v="0"/>
    <n v="0"/>
    <n v="0"/>
    <n v="0"/>
    <n v="0"/>
    <n v="0"/>
    <n v="0"/>
    <n v="0"/>
    <n v="0"/>
    <n v="0"/>
    <n v="0"/>
    <n v="0"/>
    <n v="0"/>
    <n v="0"/>
    <n v="0"/>
    <n v="0"/>
    <n v="0"/>
    <n v="0"/>
    <n v="0"/>
    <n v="0"/>
    <n v="0"/>
    <n v="0"/>
    <n v="0"/>
    <n v="0"/>
    <n v="0"/>
    <n v="0"/>
    <n v="0"/>
    <n v="0"/>
    <n v="0"/>
    <n v="0"/>
    <n v="0"/>
    <n v="0"/>
    <n v="0"/>
    <n v="0"/>
    <n v="0"/>
    <n v="0"/>
    <n v="0"/>
    <n v="0"/>
    <n v="0"/>
    <n v="57262.5"/>
    <s v=" "/>
    <s v=" "/>
    <s v=" "/>
    <s v=" "/>
    <s v=" "/>
    <s v=" "/>
    <s v=" "/>
    <n v="91267.725367822321"/>
    <s v=" "/>
    <s v=" "/>
    <s v=" "/>
    <s v=" "/>
    <s v=" "/>
    <s v=" "/>
    <s v=" "/>
    <x v="7"/>
    <x v="5"/>
    <x v="0"/>
    <x v="0"/>
    <x v="0"/>
    <x v="1"/>
    <x v="0"/>
    <x v="0"/>
    <x v="7"/>
    <x v="9"/>
    <x v="1"/>
    <x v="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11"/>
    <s v="Backfilling Dam to Create Wetland"/>
    <s v="Backfilling Dam"/>
    <s v="ks11-005"/>
    <x v="1"/>
    <n v="29.964619430999999"/>
    <n v="-25.797612748999999"/>
    <s v="29° 57' 52.62&quot;E "/>
    <s v="25° 47' 51.40&quot; S"/>
    <s v="N/A"/>
    <m/>
    <s v="No"/>
    <m/>
    <s v="YES "/>
    <m/>
    <s v="NBC-GTW-CL-0063"/>
    <m/>
    <s v="00"/>
    <d v="2018-06-16T00:00:00"/>
    <s v="Phase 2"/>
    <s v="Year 8"/>
    <m/>
    <m/>
    <m/>
    <m/>
    <m/>
    <m/>
    <m/>
    <m/>
    <m/>
    <n v="38200"/>
    <m/>
    <m/>
    <m/>
    <m/>
    <m/>
    <m/>
    <m/>
    <m/>
    <m/>
    <m/>
    <m/>
    <m/>
    <m/>
    <m/>
    <m/>
    <m/>
    <m/>
    <m/>
    <m/>
    <m/>
    <m/>
    <m/>
    <m/>
    <m/>
    <n v="12300"/>
    <m/>
    <m/>
    <m/>
    <m/>
    <m/>
    <m/>
    <m/>
    <m/>
    <m/>
    <m/>
    <m/>
    <m/>
    <m/>
    <m/>
    <m/>
    <m/>
    <m/>
    <m/>
    <m/>
    <m/>
    <m/>
    <m/>
    <m/>
    <m/>
    <m/>
    <m/>
    <m/>
    <m/>
    <m/>
    <m/>
    <m/>
    <m/>
    <m/>
    <m/>
    <m/>
    <m/>
    <m/>
    <m/>
    <n v="5200"/>
    <m/>
    <m/>
    <m/>
    <m/>
    <m/>
    <m/>
    <m/>
    <m/>
    <m/>
    <m/>
    <m/>
    <m/>
    <m/>
    <m/>
    <m/>
    <m/>
    <m/>
    <m/>
    <m/>
    <m/>
    <m/>
    <n v="0"/>
    <n v="0"/>
    <n v="0"/>
    <n v="0"/>
    <n v="0"/>
    <n v="0"/>
    <n v="0"/>
    <n v="0"/>
    <n v="0"/>
    <n v="382000"/>
    <n v="0"/>
    <n v="0"/>
    <n v="0"/>
    <n v="0"/>
    <n v="0"/>
    <n v="0"/>
    <n v="0"/>
    <n v="0"/>
    <n v="0"/>
    <n v="0"/>
    <n v="1476000"/>
    <n v="0"/>
    <n v="0"/>
    <n v="0"/>
    <n v="0"/>
    <n v="0"/>
    <n v="0"/>
    <n v="0"/>
    <n v="0"/>
    <n v="0"/>
    <n v="0"/>
    <n v="0"/>
    <n v="0"/>
    <n v="0"/>
    <n v="0"/>
    <n v="0"/>
    <n v="260000"/>
    <n v="0"/>
    <n v="0"/>
    <n v="0"/>
    <n v="0"/>
    <n v="0"/>
    <n v="0"/>
    <n v="0"/>
    <n v="0"/>
    <n v="0"/>
    <n v="0"/>
    <n v="0"/>
    <n v="0"/>
    <n v="0"/>
    <n v="0"/>
    <n v="0"/>
    <n v="0"/>
    <n v="0"/>
    <n v="0"/>
    <n v="0"/>
    <n v="0"/>
    <n v="0"/>
    <n v="2118000"/>
    <s v=" "/>
    <s v=" "/>
    <s v=" "/>
    <s v=" "/>
    <s v=" "/>
    <s v=" "/>
    <s v=" "/>
    <n v="3375770.221856324"/>
    <s v=" "/>
    <s v=" "/>
    <s v=" "/>
    <s v=" "/>
    <s v=" "/>
    <s v=" "/>
    <s v=" "/>
    <x v="0"/>
    <x v="0"/>
    <x v="0"/>
    <x v="0"/>
    <x v="0"/>
    <x v="1"/>
    <x v="0"/>
    <x v="0"/>
    <x v="0"/>
    <x v="10"/>
    <x v="1"/>
    <x v="1"/>
    <x v="0"/>
    <x v="0"/>
    <x v="0"/>
    <x v="0"/>
    <x v="0"/>
    <x v="0"/>
    <x v="0"/>
    <x v="0"/>
    <x v="0"/>
    <x v="0"/>
    <x v="0"/>
    <x v="0"/>
    <x v="0"/>
    <x v="0"/>
    <x v="0"/>
    <x v="0"/>
    <x v="0"/>
    <x v="0"/>
    <x v="0"/>
    <x v="0"/>
    <x v="4"/>
    <x v="0"/>
    <x v="0"/>
    <x v="0"/>
    <x v="0"/>
    <x v="0"/>
    <x v="0"/>
    <x v="0"/>
    <x v="0"/>
    <x v="0"/>
    <x v="0"/>
    <x v="0"/>
    <x v="0"/>
    <x v="0"/>
    <x v="0"/>
    <x v="0"/>
    <x v="0"/>
    <x v="0"/>
    <x v="0"/>
    <x v="0"/>
    <x v="0"/>
    <x v="0"/>
    <x v="0"/>
    <x v="0"/>
    <x v="0"/>
    <x v="0"/>
    <x v="0"/>
    <x v="0"/>
    <x v="0"/>
    <x v="0"/>
    <x v="0"/>
    <x v="0"/>
    <x v="0"/>
    <x v="0"/>
    <x v="0"/>
    <x v="0"/>
    <x v="0"/>
    <x v="0"/>
    <x v="0"/>
    <x v="2"/>
    <x v="0"/>
    <x v="0"/>
    <x v="0"/>
    <x v="0"/>
    <x v="0"/>
    <x v="0"/>
    <x v="0"/>
    <x v="0"/>
    <x v="0"/>
    <x v="0"/>
    <x v="0"/>
    <x v="0"/>
    <x v="0"/>
    <x v="0"/>
    <x v="0"/>
    <x v="0"/>
    <x v="0"/>
    <x v="0"/>
    <x v="0"/>
    <x v="0"/>
    <x v="0"/>
  </r>
  <r>
    <s v="KS12"/>
    <s v="Pipe Culvert"/>
    <s v="Concrete"/>
    <s v="KS12_001"/>
    <x v="2"/>
    <n v="29.972529167000001"/>
    <n v="-25.813171389000001"/>
    <s v="29° 58' 21.10&quot;E "/>
    <s v="25° 48' 47.41&quot; S"/>
    <s v="Complete"/>
    <s v="Yes"/>
    <s v="Yes"/>
    <d v="2017-05-31T00:00:00"/>
    <s v="YES"/>
    <s v="NO"/>
    <s v="NBC-GTW-CL-0069"/>
    <s v="Yes"/>
    <s v="00"/>
    <d v="2018-06-16T00:00:00"/>
    <s v="Phase 2"/>
    <s v="Year 1"/>
    <m/>
    <n v="0"/>
    <n v="0"/>
    <n v="0"/>
    <n v="0"/>
    <n v="2"/>
    <m/>
    <n v="0"/>
    <n v="0"/>
    <n v="0"/>
    <n v="0"/>
    <n v="0"/>
    <n v="0"/>
    <n v="0"/>
    <n v="0"/>
    <n v="0"/>
    <s v="Mesh 395"/>
    <n v="3"/>
    <n v="0"/>
    <n v="0"/>
    <n v="0"/>
    <n v="0"/>
    <n v="0"/>
    <n v="0"/>
    <n v="0"/>
    <m/>
    <n v="0"/>
    <m/>
    <n v="0"/>
    <n v="0"/>
    <n v="3"/>
    <n v="0"/>
    <n v="1"/>
    <n v="0"/>
    <n v="0"/>
    <n v="0"/>
    <n v="0"/>
    <n v="0"/>
    <n v="0"/>
    <n v="0"/>
    <n v="0"/>
    <n v="0"/>
    <n v="0"/>
    <n v="0"/>
    <n v="0"/>
    <n v="0"/>
    <n v="0"/>
    <n v="0"/>
    <n v="0"/>
    <n v="0"/>
    <n v="0"/>
    <n v="0"/>
    <n v="0"/>
    <n v="0"/>
    <n v="0"/>
    <n v="0"/>
    <n v="0"/>
    <n v="0"/>
    <n v="0"/>
    <n v="0"/>
    <n v="0"/>
    <n v="0"/>
    <n v="0"/>
    <n v="0"/>
    <n v="0"/>
    <n v="0"/>
    <n v="0"/>
    <n v="0"/>
    <n v="0"/>
    <n v="0"/>
    <n v="0"/>
    <n v="0"/>
    <n v="15"/>
    <n v="0"/>
    <n v="6"/>
    <m/>
    <n v="0"/>
    <n v="11"/>
    <n v="22"/>
    <n v="27"/>
    <n v="4.5"/>
    <n v="0"/>
    <n v="0"/>
    <n v="0"/>
    <n v="0"/>
    <n v="0"/>
    <m/>
    <m/>
    <m/>
    <m/>
    <m/>
    <m/>
    <m/>
    <m/>
    <m/>
    <n v="0"/>
    <n v="0"/>
    <n v="0"/>
    <n v="0"/>
    <n v="0"/>
    <n v="170"/>
    <n v="0"/>
    <n v="0"/>
    <n v="0"/>
    <n v="0"/>
    <n v="0"/>
    <n v="0"/>
    <n v="0"/>
    <n v="0"/>
    <n v="0"/>
    <n v="60"/>
    <n v="0"/>
    <n v="90"/>
    <n v="3250"/>
    <n v="0"/>
    <n v="0"/>
    <n v="0"/>
    <n v="0"/>
    <n v="0"/>
    <n v="0"/>
    <n v="0"/>
    <n v="0"/>
    <n v="0"/>
    <n v="0"/>
    <n v="0"/>
    <n v="0"/>
    <n v="0"/>
    <n v="0"/>
    <n v="0"/>
    <n v="0"/>
    <n v="15000"/>
    <n v="0"/>
    <n v="4500"/>
    <n v="0"/>
    <n v="0"/>
    <n v="1100"/>
    <n v="264"/>
    <n v="1350"/>
    <n v="1350"/>
    <n v="0"/>
    <n v="0"/>
    <n v="0"/>
    <n v="0"/>
    <n v="0"/>
    <n v="0"/>
    <n v="0"/>
    <n v="0"/>
    <n v="0"/>
    <n v="0"/>
    <n v="0"/>
    <n v="0"/>
    <n v="0"/>
    <n v="0"/>
    <n v="27134"/>
    <n v="28762.04"/>
    <s v=" "/>
    <s v=" "/>
    <s v=" "/>
    <s v=" "/>
    <s v=" "/>
    <s v=" "/>
    <s v=" "/>
    <s v=" "/>
    <s v=" "/>
    <s v=" "/>
    <s v=" "/>
    <s v=" "/>
    <s v=" "/>
    <s v=" "/>
    <x v="0"/>
    <x v="0"/>
    <x v="0"/>
    <x v="0"/>
    <x v="0"/>
    <x v="7"/>
    <x v="0"/>
    <x v="0"/>
    <x v="0"/>
    <x v="4"/>
    <x v="1"/>
    <x v="1"/>
    <x v="0"/>
    <x v="0"/>
    <x v="0"/>
    <x v="0"/>
    <x v="6"/>
    <x v="0"/>
    <x v="0"/>
    <x v="0"/>
    <x v="0"/>
    <x v="0"/>
    <x v="0"/>
    <x v="0"/>
    <x v="0"/>
    <x v="0"/>
    <x v="0"/>
    <x v="0"/>
    <x v="4"/>
    <x v="0"/>
    <x v="3"/>
    <x v="0"/>
    <x v="0"/>
    <x v="0"/>
    <x v="0"/>
    <x v="0"/>
    <x v="0"/>
    <x v="0"/>
    <x v="0"/>
    <x v="0"/>
    <x v="0"/>
    <x v="0"/>
    <x v="0"/>
    <x v="0"/>
    <x v="0"/>
    <x v="0"/>
    <x v="0"/>
    <x v="0"/>
    <x v="0"/>
    <x v="0"/>
    <x v="0"/>
    <x v="0"/>
    <x v="0"/>
    <x v="0"/>
    <x v="0"/>
    <x v="0"/>
    <x v="0"/>
    <x v="0"/>
    <x v="0"/>
    <x v="0"/>
    <x v="0"/>
    <x v="0"/>
    <x v="0"/>
    <x v="0"/>
    <x v="0"/>
    <x v="0"/>
    <x v="0"/>
    <x v="0"/>
    <x v="0"/>
    <x v="0"/>
    <x v="1"/>
    <x v="0"/>
    <x v="2"/>
    <x v="0"/>
    <x v="0"/>
    <x v="2"/>
    <x v="2"/>
    <x v="2"/>
    <x v="2"/>
    <x v="0"/>
    <x v="0"/>
    <x v="0"/>
    <x v="0"/>
    <x v="0"/>
    <x v="0"/>
    <x v="0"/>
    <x v="0"/>
    <x v="0"/>
    <x v="0"/>
    <x v="0"/>
    <x v="0"/>
    <x v="0"/>
    <x v="0"/>
  </r>
  <r>
    <s v="KS12"/>
    <s v="Concrete Drop Inlet"/>
    <s v="Concrete"/>
    <s v="KS12_002"/>
    <x v="2"/>
    <n v="29.972318610999999"/>
    <n v="-25.813367499999998"/>
    <s v="29° 58' 20.34&quot;E "/>
    <s v="25° 48' 48.12&quot; S"/>
    <s v="N/A"/>
    <m/>
    <s v="Yes"/>
    <m/>
    <s v="YES"/>
    <m/>
    <s v="NBC-GTW-CL-0002"/>
    <s v="Yes"/>
    <s v="00"/>
    <d v="2018-06-16T00:00:00"/>
    <s v="Phase 2"/>
    <s v="Year 1"/>
    <n v="30"/>
    <m/>
    <m/>
    <m/>
    <m/>
    <n v="37"/>
    <n v="0"/>
    <n v="5.55"/>
    <n v="30"/>
    <n v="30"/>
    <m/>
    <m/>
    <n v="24"/>
    <n v="52"/>
    <n v="30"/>
    <m/>
    <s v="Ref 888"/>
    <n v="23"/>
    <s v="Ref 617"/>
    <n v="38"/>
    <m/>
    <n v="14"/>
    <m/>
    <n v="20.3"/>
    <m/>
    <m/>
    <m/>
    <m/>
    <m/>
    <m/>
    <m/>
    <m/>
    <m/>
    <m/>
    <m/>
    <m/>
    <m/>
    <m/>
    <m/>
    <m/>
    <m/>
    <m/>
    <m/>
    <m/>
    <m/>
    <m/>
    <m/>
    <m/>
    <m/>
    <m/>
    <m/>
    <m/>
    <m/>
    <m/>
    <m/>
    <m/>
    <m/>
    <m/>
    <m/>
    <m/>
    <m/>
    <m/>
    <m/>
    <m/>
    <m/>
    <m/>
    <m/>
    <m/>
    <m/>
    <m/>
    <m/>
    <m/>
    <m/>
    <m/>
    <m/>
    <m/>
    <m/>
    <m/>
    <m/>
    <m/>
    <m/>
    <m/>
    <m/>
    <m/>
    <m/>
    <m/>
    <m/>
    <m/>
    <m/>
    <m/>
    <m/>
    <m/>
    <m/>
    <m/>
    <m/>
    <n v="150"/>
    <n v="0"/>
    <n v="0"/>
    <n v="0"/>
    <n v="0"/>
    <n v="3145"/>
    <n v="0"/>
    <n v="2775"/>
    <n v="150"/>
    <n v="300"/>
    <n v="0"/>
    <n v="48000"/>
    <n v="15600"/>
    <n v="540"/>
    <n v="0"/>
    <n v="1220"/>
    <n v="22295"/>
    <n v="0"/>
    <n v="0"/>
    <n v="0"/>
    <n v="0"/>
    <n v="0"/>
    <n v="0"/>
    <n v="0"/>
    <n v="0"/>
    <n v="0"/>
    <n v="0"/>
    <n v="0"/>
    <n v="0"/>
    <n v="0"/>
    <n v="0"/>
    <n v="0"/>
    <n v="0"/>
    <n v="0"/>
    <n v="0"/>
    <n v="0"/>
    <n v="0"/>
    <n v="0"/>
    <n v="0"/>
    <n v="0"/>
    <n v="0"/>
    <n v="0"/>
    <n v="0"/>
    <n v="0"/>
    <n v="0"/>
    <n v="0"/>
    <n v="0"/>
    <n v="0"/>
    <n v="0"/>
    <n v="0"/>
    <n v="0"/>
    <n v="0"/>
    <n v="0"/>
    <n v="0"/>
    <n v="0"/>
    <n v="0"/>
    <n v="0"/>
    <n v="0"/>
    <n v="94175"/>
    <n v="99825.5"/>
    <s v=" "/>
    <s v=" "/>
    <s v=" "/>
    <s v=" "/>
    <s v=" "/>
    <s v=" "/>
    <s v=" "/>
    <s v=" "/>
    <s v=" "/>
    <s v=" "/>
    <s v=" "/>
    <s v=" "/>
    <s v=" "/>
    <s v=" "/>
    <x v="8"/>
    <x v="0"/>
    <x v="0"/>
    <x v="0"/>
    <x v="0"/>
    <x v="8"/>
    <x v="0"/>
    <x v="3"/>
    <x v="8"/>
    <x v="11"/>
    <x v="1"/>
    <x v="1"/>
    <x v="4"/>
    <x v="5"/>
    <x v="3"/>
    <x v="0"/>
    <x v="7"/>
    <x v="3"/>
    <x v="0"/>
    <x v="3"/>
    <x v="0"/>
    <x v="6"/>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12"/>
    <s v="Removal of Berm and Dam Wall"/>
    <s v="Excavation"/>
    <s v="KS12_003"/>
    <x v="2"/>
    <n v="29.971002777999999"/>
    <n v="-25.812310833000002"/>
    <s v="29° 58' 15.61&quot;E "/>
    <s v="25° 48' 44.31&quot; S"/>
    <s v="Complete"/>
    <s v="Yes"/>
    <s v="Yes"/>
    <d v="2017-05-30T00:00:00"/>
    <s v="NA"/>
    <s v="NA"/>
    <s v="No Drawing"/>
    <s v="Yes"/>
    <s v="00"/>
    <d v="2018-06-16T00:00:00"/>
    <s v="Phase 2"/>
    <s v="Year 1"/>
    <n v="1876.1431578898514"/>
    <n v="801.25656624999999"/>
    <n v="0"/>
    <n v="0"/>
    <n v="0"/>
    <n v="0"/>
    <n v="0"/>
    <n v="0"/>
    <n v="1876.1431578898514"/>
    <n v="1876.1431578898514"/>
    <n v="0"/>
    <n v="0"/>
    <n v="0"/>
    <n v="0"/>
    <n v="0"/>
    <n v="0"/>
    <n v="0"/>
    <n v="0"/>
    <n v="0"/>
    <n v="0"/>
    <n v="0"/>
    <n v="0"/>
    <n v="0"/>
    <n v="0"/>
    <n v="0"/>
    <m/>
    <n v="0"/>
    <m/>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n v="9380.7157894492575"/>
    <n v="40062.828312500002"/>
    <n v="0"/>
    <n v="0"/>
    <n v="0"/>
    <n v="0"/>
    <n v="0"/>
    <n v="0"/>
    <n v="9380.7157894492575"/>
    <n v="18761.431578898515"/>
    <n v="0"/>
    <n v="0"/>
    <n v="0"/>
    <n v="0"/>
    <n v="0"/>
    <n v="0"/>
    <n v="0"/>
    <n v="0"/>
    <n v="0"/>
    <n v="0"/>
    <n v="0"/>
    <n v="0"/>
    <n v="0"/>
    <n v="0"/>
    <n v="0"/>
    <n v="0"/>
    <n v="0"/>
    <n v="0"/>
    <n v="0"/>
    <n v="0"/>
    <n v="0"/>
    <n v="0"/>
    <n v="0"/>
    <n v="0"/>
    <n v="0"/>
    <n v="0"/>
    <n v="0"/>
    <n v="0"/>
    <n v="0"/>
    <n v="0"/>
    <n v="0"/>
    <n v="0"/>
    <n v="0"/>
    <n v="0"/>
    <n v="0"/>
    <n v="0"/>
    <n v="0"/>
    <n v="0"/>
    <n v="0"/>
    <n v="0"/>
    <n v="0"/>
    <n v="0"/>
    <n v="0"/>
    <n v="0"/>
    <n v="0"/>
    <n v="0"/>
    <n v="0"/>
    <n v="0"/>
    <n v="77585.691470297024"/>
    <n v="82240.832958514846"/>
    <s v=" "/>
    <s v=" "/>
    <s v=" "/>
    <s v=" "/>
    <s v=" "/>
    <s v=" "/>
    <s v=" "/>
    <s v=" "/>
    <s v=" "/>
    <s v=" "/>
    <s v=" "/>
    <s v=" "/>
    <s v=" "/>
    <s v=" "/>
    <x v="9"/>
    <x v="6"/>
    <x v="0"/>
    <x v="0"/>
    <x v="0"/>
    <x v="1"/>
    <x v="0"/>
    <x v="0"/>
    <x v="9"/>
    <x v="12"/>
    <x v="1"/>
    <x v="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12"/>
    <s v="Concrete Drop Inlet"/>
    <s v="Concrete"/>
    <s v="KS12_004"/>
    <x v="2"/>
    <n v="29.969593611000001"/>
    <n v="-25.809846666999999"/>
    <s v="29° 58' 10.53&quot;E "/>
    <s v="25° 48' 35.44&quot; S"/>
    <s v="Complete"/>
    <s v="Yes"/>
    <s v="Yes"/>
    <d v="2017-02-06T00:00:00"/>
    <s v="YES"/>
    <m/>
    <s v="NBC-GTW-CL-0003"/>
    <s v="Yes"/>
    <s v="00"/>
    <d v="2018-06-16T00:00:00"/>
    <s v="Phase 1"/>
    <s v="Year 1"/>
    <n v="21.76"/>
    <n v="0"/>
    <n v="0"/>
    <n v="0"/>
    <n v="0"/>
    <n v="36.611099999999993"/>
    <n v="0"/>
    <n v="5.4916649999999985"/>
    <n v="21.76"/>
    <n v="21.76"/>
    <n v="0"/>
    <n v="0"/>
    <n v="32.177999999999997"/>
    <n v="41.52"/>
    <n v="0"/>
    <n v="0"/>
    <s v="Ref 888"/>
    <n v="22.000799999999998"/>
    <s v="Ref 655"/>
    <n v="30.046399999999998"/>
    <n v="0"/>
    <n v="58.407005964995172"/>
    <n v="0"/>
    <n v="7.1999999999999993"/>
    <n v="0"/>
    <m/>
    <n v="0"/>
    <m/>
    <n v="0"/>
    <n v="7"/>
    <n v="7.8599999999999994"/>
    <n v="0"/>
    <n v="0"/>
    <n v="0"/>
    <n v="0"/>
    <n v="0"/>
    <n v="0"/>
    <n v="0"/>
    <n v="0"/>
    <n v="0"/>
    <n v="0"/>
    <n v="0"/>
    <n v="0"/>
    <n v="0"/>
    <n v="0"/>
    <n v="0"/>
    <n v="0"/>
    <n v="0"/>
    <n v="0"/>
    <n v="0"/>
    <n v="0"/>
    <n v="0"/>
    <n v="0"/>
    <n v="0"/>
    <n v="0"/>
    <n v="0"/>
    <n v="0"/>
    <n v="0"/>
    <n v="0"/>
    <n v="0"/>
    <n v="0"/>
    <n v="0"/>
    <n v="0"/>
    <n v="0"/>
    <n v="0"/>
    <n v="0"/>
    <n v="0"/>
    <n v="0"/>
    <n v="0"/>
    <n v="0"/>
    <n v="0"/>
    <n v="0"/>
    <n v="0"/>
    <n v="0"/>
    <m/>
    <m/>
    <m/>
    <m/>
    <m/>
    <m/>
    <m/>
    <m/>
    <m/>
    <m/>
    <m/>
    <m/>
    <m/>
    <m/>
    <m/>
    <m/>
    <m/>
    <m/>
    <m/>
    <m/>
    <m/>
    <n v="108.80000000000001"/>
    <n v="0"/>
    <n v="0"/>
    <n v="0"/>
    <n v="0"/>
    <n v="3111.9434999999994"/>
    <n v="0"/>
    <n v="2745.8324999999991"/>
    <n v="108.80000000000001"/>
    <n v="217.60000000000002"/>
    <n v="0"/>
    <n v="64355.999999999993"/>
    <n v="12456.000000000002"/>
    <n v="0"/>
    <n v="0"/>
    <n v="1040.944"/>
    <n v="42854.553877246864"/>
    <n v="235.79999999999998"/>
    <n v="0"/>
    <n v="0"/>
    <n v="0"/>
    <n v="0"/>
    <n v="0"/>
    <n v="0"/>
    <n v="0"/>
    <n v="0"/>
    <n v="0"/>
    <n v="0"/>
    <n v="0"/>
    <n v="0"/>
    <n v="0"/>
    <n v="0"/>
    <n v="0"/>
    <n v="0"/>
    <n v="0"/>
    <n v="0"/>
    <n v="0"/>
    <n v="0"/>
    <n v="0"/>
    <n v="0"/>
    <n v="0"/>
    <n v="0"/>
    <n v="0"/>
    <n v="0"/>
    <n v="0"/>
    <n v="0"/>
    <n v="0"/>
    <n v="0"/>
    <n v="0"/>
    <n v="0"/>
    <n v="0"/>
    <n v="0"/>
    <n v="0"/>
    <n v="0"/>
    <n v="0"/>
    <n v="0"/>
    <n v="0"/>
    <n v="0"/>
    <n v="127236.27387724687"/>
    <n v="134870.45030988168"/>
    <s v=" "/>
    <s v=" "/>
    <s v=" "/>
    <s v=" "/>
    <s v=" "/>
    <s v=" "/>
    <s v=" "/>
    <s v=" "/>
    <s v=" "/>
    <s v=" "/>
    <s v=" "/>
    <s v=" "/>
    <s v=" "/>
    <s v=" "/>
    <x v="10"/>
    <x v="0"/>
    <x v="0"/>
    <x v="0"/>
    <x v="0"/>
    <x v="9"/>
    <x v="0"/>
    <x v="4"/>
    <x v="10"/>
    <x v="13"/>
    <x v="1"/>
    <x v="1"/>
    <x v="5"/>
    <x v="6"/>
    <x v="0"/>
    <x v="0"/>
    <x v="8"/>
    <x v="4"/>
    <x v="0"/>
    <x v="4"/>
    <x v="0"/>
    <x v="7"/>
    <x v="0"/>
    <x v="0"/>
    <x v="0"/>
    <x v="0"/>
    <x v="0"/>
    <x v="3"/>
    <x v="5"/>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12"/>
    <s v="Concrete Drop Inlet"/>
    <s v="Concrete"/>
    <s v="KS12_005"/>
    <x v="2"/>
    <n v="29.969629722000001"/>
    <n v="-25.809215278"/>
    <s v="29° 58' 10.66&quot;E "/>
    <s v="25° 48' 33.17&quot; S"/>
    <s v="Complete"/>
    <s v="Yes"/>
    <s v="Yes"/>
    <d v="2017-02-06T00:00:00"/>
    <s v="YES"/>
    <m/>
    <s v="NBC-GTW-CL-0004"/>
    <s v="Yes"/>
    <s v="00"/>
    <d v="2018-06-16T00:00:00"/>
    <s v="Phase 1"/>
    <s v="Year 1"/>
    <n v="21.92"/>
    <n v="0"/>
    <n v="0"/>
    <n v="0"/>
    <n v="0"/>
    <n v="36.428620199999997"/>
    <n v="0"/>
    <n v="5.4642930299999994"/>
    <n v="21.92"/>
    <n v="21.92"/>
    <n v="0"/>
    <n v="0"/>
    <n v="30.305420480000002"/>
    <n v="35.8384"/>
    <n v="0"/>
    <n v="0"/>
    <s v="Ref 888"/>
    <n v="17.595592"/>
    <s v="Ref 655"/>
    <n v="24.347520000000003"/>
    <n v="0"/>
    <n v="58.150055671374432"/>
    <n v="0"/>
    <n v="5.58"/>
    <n v="0"/>
    <m/>
    <n v="0"/>
    <m/>
    <n v="0"/>
    <n v="6"/>
    <n v="7.26"/>
    <n v="0"/>
    <n v="0"/>
    <n v="0"/>
    <n v="0"/>
    <n v="0"/>
    <n v="0"/>
    <n v="0"/>
    <n v="0"/>
    <n v="0"/>
    <n v="0"/>
    <n v="0"/>
    <n v="0"/>
    <n v="0"/>
    <n v="0"/>
    <n v="0"/>
    <n v="0"/>
    <n v="0"/>
    <n v="0"/>
    <n v="0"/>
    <n v="0"/>
    <n v="0"/>
    <n v="0"/>
    <n v="0"/>
    <n v="0"/>
    <n v="0"/>
    <n v="0"/>
    <n v="0"/>
    <n v="0"/>
    <n v="0"/>
    <n v="0"/>
    <n v="0"/>
    <n v="0"/>
    <n v="0"/>
    <n v="0"/>
    <n v="0"/>
    <n v="0"/>
    <n v="0"/>
    <n v="0"/>
    <n v="0"/>
    <n v="0"/>
    <n v="0"/>
    <n v="0"/>
    <n v="0"/>
    <m/>
    <m/>
    <m/>
    <m/>
    <m/>
    <m/>
    <m/>
    <m/>
    <m/>
    <m/>
    <m/>
    <m/>
    <m/>
    <m/>
    <m/>
    <m/>
    <m/>
    <m/>
    <m/>
    <m/>
    <m/>
    <n v="109.60000000000001"/>
    <n v="0"/>
    <n v="0"/>
    <n v="0"/>
    <n v="0"/>
    <n v="3096.4327169999997"/>
    <n v="0"/>
    <n v="2732.1465149999999"/>
    <n v="109.60000000000001"/>
    <n v="219.20000000000002"/>
    <n v="0"/>
    <n v="60610.840960000001"/>
    <n v="10751.52"/>
    <n v="0"/>
    <n v="0"/>
    <n v="838.86223999999993"/>
    <n v="41604.536186393379"/>
    <n v="217.79999999999998"/>
    <n v="0"/>
    <n v="0"/>
    <n v="0"/>
    <n v="0"/>
    <n v="0"/>
    <n v="0"/>
    <n v="0"/>
    <n v="0"/>
    <n v="0"/>
    <n v="0"/>
    <n v="0"/>
    <n v="0"/>
    <n v="0"/>
    <n v="0"/>
    <n v="0"/>
    <n v="0"/>
    <n v="0"/>
    <n v="0"/>
    <n v="0"/>
    <n v="0"/>
    <n v="0"/>
    <n v="0"/>
    <n v="0"/>
    <n v="0"/>
    <n v="0"/>
    <n v="0"/>
    <n v="0"/>
    <n v="0"/>
    <n v="0"/>
    <n v="0"/>
    <n v="0"/>
    <n v="0"/>
    <n v="0"/>
    <n v="0"/>
    <n v="0"/>
    <n v="0"/>
    <n v="0"/>
    <n v="0"/>
    <n v="0"/>
    <n v="0"/>
    <n v="120290.53861839339"/>
    <n v="127507.970935497"/>
    <s v=" "/>
    <s v=" "/>
    <s v=" "/>
    <s v=" "/>
    <s v=" "/>
    <s v=" "/>
    <s v=" "/>
    <s v=" "/>
    <s v=" "/>
    <s v=" "/>
    <s v=" "/>
    <s v=" "/>
    <s v=" "/>
    <s v=" "/>
    <x v="11"/>
    <x v="0"/>
    <x v="0"/>
    <x v="0"/>
    <x v="0"/>
    <x v="10"/>
    <x v="0"/>
    <x v="5"/>
    <x v="11"/>
    <x v="14"/>
    <x v="1"/>
    <x v="1"/>
    <x v="6"/>
    <x v="7"/>
    <x v="0"/>
    <x v="0"/>
    <x v="9"/>
    <x v="5"/>
    <x v="0"/>
    <x v="5"/>
    <x v="0"/>
    <x v="8"/>
    <x v="0"/>
    <x v="0"/>
    <x v="0"/>
    <x v="0"/>
    <x v="0"/>
    <x v="4"/>
    <x v="6"/>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12"/>
    <s v="Concrete Drop Inlet"/>
    <s v="Concrete"/>
    <s v="KS12_006"/>
    <x v="2"/>
    <n v="29.969651943999999"/>
    <n v="-25.808685277999999"/>
    <s v="29° 58' 10.74&quot;E "/>
    <s v="25° 48' 31.26&quot; S"/>
    <s v="Complete"/>
    <s v="Yes"/>
    <s v="Yes"/>
    <d v="2017-02-06T00:00:00"/>
    <s v="YES"/>
    <m/>
    <s v="NBC-GTW-CL-0005"/>
    <s v="Yes"/>
    <s v="00"/>
    <d v="2018-06-16T00:00:00"/>
    <s v="Phase 1"/>
    <s v="Year 1"/>
    <n v="21.44"/>
    <n v="0"/>
    <n v="0"/>
    <n v="0"/>
    <n v="0"/>
    <n v="31.948974999999997"/>
    <n v="0"/>
    <n v="4.7923462499999996"/>
    <n v="21.44"/>
    <n v="21.44"/>
    <n v="0"/>
    <n v="0"/>
    <n v="16.51343"/>
    <n v="30.541999999999998"/>
    <n v="0"/>
    <n v="0"/>
    <s v="Ref 888"/>
    <n v="15.6462"/>
    <s v="Ref 617"/>
    <n v="21.466799999999996"/>
    <n v="0"/>
    <n v="30.985232105547801"/>
    <n v="0"/>
    <n v="2.25"/>
    <n v="0"/>
    <m/>
    <n v="0"/>
    <m/>
    <n v="0"/>
    <n v="5"/>
    <n v="7.08"/>
    <n v="0"/>
    <n v="0"/>
    <n v="0"/>
    <n v="14.728999999999997"/>
    <n v="0"/>
    <n v="0"/>
    <n v="0"/>
    <n v="0"/>
    <n v="0"/>
    <n v="0"/>
    <n v="0"/>
    <n v="0"/>
    <n v="0"/>
    <n v="0"/>
    <n v="0"/>
    <n v="0"/>
    <n v="0"/>
    <n v="0"/>
    <n v="0"/>
    <n v="0"/>
    <n v="0"/>
    <n v="0"/>
    <n v="0"/>
    <n v="0"/>
    <n v="0"/>
    <n v="0"/>
    <n v="0"/>
    <n v="0"/>
    <n v="0"/>
    <n v="0"/>
    <n v="0"/>
    <n v="0"/>
    <n v="0"/>
    <n v="0"/>
    <n v="0"/>
    <n v="0"/>
    <n v="0"/>
    <n v="0"/>
    <n v="0"/>
    <n v="0"/>
    <n v="0"/>
    <n v="0"/>
    <n v="0"/>
    <m/>
    <m/>
    <m/>
    <m/>
    <m/>
    <m/>
    <m/>
    <m/>
    <m/>
    <m/>
    <m/>
    <m/>
    <m/>
    <m/>
    <m/>
    <m/>
    <m/>
    <m/>
    <m/>
    <m/>
    <m/>
    <n v="107.2"/>
    <n v="0"/>
    <n v="0"/>
    <n v="0"/>
    <n v="0"/>
    <n v="2715.662875"/>
    <n v="0"/>
    <n v="2396.1731249999998"/>
    <n v="107.2"/>
    <n v="214.4"/>
    <n v="0"/>
    <n v="33026.86"/>
    <n v="9162.5999999999985"/>
    <n v="0"/>
    <n v="0"/>
    <n v="742.26"/>
    <n v="21752.90086860607"/>
    <n v="212.4"/>
    <n v="0"/>
    <n v="0"/>
    <n v="1767.4799999999998"/>
    <n v="0"/>
    <n v="0"/>
    <n v="0"/>
    <n v="0"/>
    <n v="0"/>
    <n v="0"/>
    <n v="0"/>
    <n v="0"/>
    <n v="0"/>
    <n v="0"/>
    <n v="0"/>
    <n v="0"/>
    <n v="0"/>
    <n v="0"/>
    <n v="0"/>
    <n v="0"/>
    <n v="0"/>
    <n v="0"/>
    <n v="0"/>
    <n v="0"/>
    <n v="0"/>
    <n v="0"/>
    <n v="0"/>
    <n v="0"/>
    <n v="0"/>
    <n v="0"/>
    <n v="0"/>
    <n v="0"/>
    <n v="0"/>
    <n v="0"/>
    <n v="0"/>
    <n v="0"/>
    <n v="0"/>
    <n v="0"/>
    <n v="0"/>
    <n v="0"/>
    <n v="0"/>
    <n v="72205.13686860606"/>
    <n v="76537.44508072242"/>
    <s v=" "/>
    <s v=" "/>
    <s v=" "/>
    <s v=" "/>
    <s v=" "/>
    <s v=" "/>
    <s v=" "/>
    <s v=" "/>
    <s v=" "/>
    <s v=" "/>
    <s v=" "/>
    <s v=" "/>
    <s v=" "/>
    <s v=" "/>
    <x v="12"/>
    <x v="0"/>
    <x v="0"/>
    <x v="0"/>
    <x v="0"/>
    <x v="11"/>
    <x v="0"/>
    <x v="6"/>
    <x v="12"/>
    <x v="15"/>
    <x v="1"/>
    <x v="1"/>
    <x v="7"/>
    <x v="8"/>
    <x v="0"/>
    <x v="0"/>
    <x v="10"/>
    <x v="6"/>
    <x v="0"/>
    <x v="6"/>
    <x v="0"/>
    <x v="9"/>
    <x v="0"/>
    <x v="0"/>
    <x v="0"/>
    <x v="0"/>
    <x v="0"/>
    <x v="5"/>
    <x v="7"/>
    <x v="0"/>
    <x v="0"/>
    <x v="0"/>
    <x v="5"/>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12"/>
    <s v="Concrete Drop Inlet"/>
    <s v="Concrete"/>
    <s v="KS12_007"/>
    <x v="2"/>
    <n v="29.969319722000002"/>
    <n v="-25.807899444"/>
    <s v="29° 58' 09.55&quot;E "/>
    <s v="25° 48' 28.43&quot; S"/>
    <s v="Complete"/>
    <s v="Yes"/>
    <s v="Yes"/>
    <d v="2017-02-06T00:00:00"/>
    <s v="YES"/>
    <m/>
    <s v="NBC-GTW-CL-0006"/>
    <s v="Yes"/>
    <s v="00"/>
    <d v="2018-06-16T00:00:00"/>
    <s v="Phase 1"/>
    <s v="Year 1"/>
    <n v="21.92"/>
    <n v="0"/>
    <n v="0"/>
    <n v="0"/>
    <n v="0"/>
    <n v="47.313325000000006"/>
    <n v="0"/>
    <n v="7.0969987500000009"/>
    <n v="21.92"/>
    <n v="21.92"/>
    <n v="0"/>
    <n v="0"/>
    <n v="20.100000000000001"/>
    <n v="33.160000000000004"/>
    <n v="0"/>
    <n v="0"/>
    <s v="Ref 888"/>
    <n v="16"/>
    <s v="Ref 655"/>
    <n v="23.414400000000001"/>
    <n v="0"/>
    <n v="38.926414318335929"/>
    <n v="0"/>
    <n v="3.15"/>
    <n v="0"/>
    <m/>
    <n v="0"/>
    <m/>
    <n v="0"/>
    <n v="5"/>
    <n v="7.35"/>
    <n v="0"/>
    <n v="0"/>
    <n v="0"/>
    <n v="25.978000000000002"/>
    <n v="0"/>
    <n v="0"/>
    <n v="0"/>
    <n v="0"/>
    <n v="0"/>
    <n v="0"/>
    <n v="0"/>
    <n v="0"/>
    <n v="0"/>
    <n v="0"/>
    <n v="0"/>
    <n v="0"/>
    <n v="0"/>
    <n v="0"/>
    <n v="0"/>
    <n v="0"/>
    <n v="0"/>
    <n v="0"/>
    <n v="0"/>
    <n v="0"/>
    <n v="0"/>
    <n v="0"/>
    <n v="0"/>
    <n v="0"/>
    <n v="0"/>
    <n v="0"/>
    <n v="0"/>
    <n v="0"/>
    <n v="0"/>
    <n v="0"/>
    <n v="0"/>
    <n v="0"/>
    <n v="0"/>
    <n v="0"/>
    <n v="0"/>
    <n v="0"/>
    <n v="0"/>
    <n v="0"/>
    <n v="0"/>
    <m/>
    <m/>
    <m/>
    <m/>
    <m/>
    <m/>
    <m/>
    <m/>
    <m/>
    <m/>
    <m/>
    <m/>
    <m/>
    <m/>
    <m/>
    <m/>
    <m/>
    <m/>
    <m/>
    <m/>
    <m/>
    <n v="109.60000000000001"/>
    <n v="0"/>
    <n v="0"/>
    <n v="0"/>
    <n v="0"/>
    <n v="4021.6326250000006"/>
    <n v="0"/>
    <n v="3548.4993750000003"/>
    <n v="109.60000000000001"/>
    <n v="219.20000000000002"/>
    <n v="0"/>
    <n v="40200"/>
    <n v="9948.0000000000018"/>
    <n v="0"/>
    <n v="0"/>
    <n v="788.28800000000001"/>
    <n v="27499.669306918353"/>
    <n v="220.5"/>
    <n v="0"/>
    <n v="0"/>
    <n v="3117.36"/>
    <n v="0"/>
    <n v="0"/>
    <n v="0"/>
    <n v="0"/>
    <n v="0"/>
    <n v="0"/>
    <n v="0"/>
    <n v="0"/>
    <n v="0"/>
    <n v="0"/>
    <n v="0"/>
    <n v="0"/>
    <n v="0"/>
    <n v="0"/>
    <n v="0"/>
    <n v="0"/>
    <n v="0"/>
    <n v="0"/>
    <n v="0"/>
    <n v="0"/>
    <n v="0"/>
    <n v="0"/>
    <n v="0"/>
    <n v="0"/>
    <n v="0"/>
    <n v="0"/>
    <n v="0"/>
    <n v="0"/>
    <n v="0"/>
    <n v="0"/>
    <n v="0"/>
    <n v="0"/>
    <n v="0"/>
    <n v="0"/>
    <n v="0"/>
    <n v="0"/>
    <n v="0"/>
    <n v="89782.349306918346"/>
    <n v="95169.290265333446"/>
    <s v=" "/>
    <s v=" "/>
    <s v=" "/>
    <s v=" "/>
    <s v=" "/>
    <s v=" "/>
    <s v=" "/>
    <s v=" "/>
    <s v=" "/>
    <s v=" "/>
    <s v=" "/>
    <s v=" "/>
    <s v=" "/>
    <s v=" "/>
    <x v="13"/>
    <x v="0"/>
    <x v="0"/>
    <x v="0"/>
    <x v="0"/>
    <x v="12"/>
    <x v="0"/>
    <x v="7"/>
    <x v="13"/>
    <x v="16"/>
    <x v="1"/>
    <x v="1"/>
    <x v="8"/>
    <x v="9"/>
    <x v="0"/>
    <x v="0"/>
    <x v="11"/>
    <x v="7"/>
    <x v="0"/>
    <x v="7"/>
    <x v="0"/>
    <x v="10"/>
    <x v="0"/>
    <x v="0"/>
    <x v="0"/>
    <x v="0"/>
    <x v="0"/>
    <x v="6"/>
    <x v="8"/>
    <x v="0"/>
    <x v="0"/>
    <x v="0"/>
    <x v="6"/>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12"/>
    <s v="Concrete Drop Inlet"/>
    <s v="Concrete"/>
    <s v="KS12_008"/>
    <x v="2"/>
    <n v="29.968745555999998"/>
    <n v="-25.807595833000001"/>
    <s v="29° 58' 07.48&quot;E "/>
    <s v="25° 48' 27.34&quot; S"/>
    <s v="Complete"/>
    <s v="Yes"/>
    <s v="Yes"/>
    <d v="2017-02-06T00:00:00"/>
    <s v="YES"/>
    <m/>
    <s v="NBC-GTW-CL-0007"/>
    <s v="Yes"/>
    <s v="00"/>
    <d v="2018-06-16T00:00:00"/>
    <s v="Phase 1"/>
    <s v="Year 1"/>
    <n v="21.44"/>
    <n v="0"/>
    <n v="0"/>
    <n v="0"/>
    <n v="0"/>
    <n v="33.214089999999999"/>
    <n v="0"/>
    <n v="4.9821134999999996"/>
    <n v="21.44"/>
    <n v="21.44"/>
    <n v="0"/>
    <n v="0"/>
    <n v="15.980680000000001"/>
    <n v="28.491999999999997"/>
    <n v="0"/>
    <n v="0"/>
    <s v="Ref 888"/>
    <n v="12.5"/>
    <s v="Ref 617"/>
    <n v="19.456799999999998"/>
    <n v="0"/>
    <n v="30.685690789532799"/>
    <n v="0"/>
    <n v="2"/>
    <n v="0"/>
    <m/>
    <n v="0"/>
    <m/>
    <n v="0"/>
    <n v="4"/>
    <n v="6.66"/>
    <n v="0"/>
    <n v="0"/>
    <n v="0"/>
    <n v="16.603199999999998"/>
    <n v="0"/>
    <n v="0"/>
    <n v="0"/>
    <n v="0"/>
    <n v="0"/>
    <n v="0"/>
    <n v="0"/>
    <n v="0"/>
    <n v="0"/>
    <n v="0"/>
    <n v="0"/>
    <n v="0"/>
    <n v="0"/>
    <n v="0"/>
    <n v="0"/>
    <n v="0"/>
    <n v="0"/>
    <n v="0"/>
    <n v="0"/>
    <n v="0"/>
    <n v="0"/>
    <n v="0"/>
    <n v="0"/>
    <n v="0"/>
    <n v="0"/>
    <n v="0"/>
    <n v="0"/>
    <n v="0"/>
    <n v="0"/>
    <n v="0"/>
    <n v="0"/>
    <n v="0"/>
    <n v="0"/>
    <n v="0"/>
    <n v="0"/>
    <n v="0"/>
    <n v="0"/>
    <n v="0"/>
    <n v="0"/>
    <m/>
    <m/>
    <m/>
    <m/>
    <m/>
    <m/>
    <m/>
    <m/>
    <m/>
    <m/>
    <m/>
    <m/>
    <m/>
    <m/>
    <m/>
    <m/>
    <m/>
    <m/>
    <m/>
    <m/>
    <m/>
    <n v="107.2"/>
    <n v="0"/>
    <n v="0"/>
    <n v="0"/>
    <n v="0"/>
    <n v="2823.1976500000001"/>
    <n v="0"/>
    <n v="2491.0567499999997"/>
    <n v="107.2"/>
    <n v="214.4"/>
    <n v="0"/>
    <n v="31961.360000000004"/>
    <n v="8547.5999999999985"/>
    <n v="0"/>
    <n v="0"/>
    <n v="639.13599999999997"/>
    <n v="21365.699013196321"/>
    <n v="199.8"/>
    <n v="0"/>
    <n v="0"/>
    <n v="1992.3839999999998"/>
    <n v="0"/>
    <n v="0"/>
    <n v="0"/>
    <n v="0"/>
    <n v="0"/>
    <n v="0"/>
    <n v="0"/>
    <n v="0"/>
    <n v="0"/>
    <n v="0"/>
    <n v="0"/>
    <n v="0"/>
    <n v="0"/>
    <n v="0"/>
    <n v="0"/>
    <n v="0"/>
    <n v="0"/>
    <n v="0"/>
    <n v="0"/>
    <n v="0"/>
    <n v="0"/>
    <n v="0"/>
    <n v="0"/>
    <n v="0"/>
    <n v="0"/>
    <n v="0"/>
    <n v="0"/>
    <n v="0"/>
    <n v="0"/>
    <n v="0"/>
    <n v="0"/>
    <n v="0"/>
    <n v="0"/>
    <n v="0"/>
    <n v="0"/>
    <n v="0"/>
    <n v="0"/>
    <n v="70449.033413196332"/>
    <n v="74675.975417988113"/>
    <s v=" "/>
    <s v=" "/>
    <s v=" "/>
    <s v=" "/>
    <s v=" "/>
    <s v=" "/>
    <s v=" "/>
    <s v=" "/>
    <s v=" "/>
    <s v=" "/>
    <s v=" "/>
    <s v=" "/>
    <s v=" "/>
    <s v=" "/>
    <x v="14"/>
    <x v="0"/>
    <x v="0"/>
    <x v="0"/>
    <x v="0"/>
    <x v="13"/>
    <x v="0"/>
    <x v="8"/>
    <x v="14"/>
    <x v="17"/>
    <x v="1"/>
    <x v="1"/>
    <x v="9"/>
    <x v="10"/>
    <x v="0"/>
    <x v="0"/>
    <x v="12"/>
    <x v="8"/>
    <x v="0"/>
    <x v="8"/>
    <x v="0"/>
    <x v="11"/>
    <x v="0"/>
    <x v="0"/>
    <x v="0"/>
    <x v="0"/>
    <x v="0"/>
    <x v="7"/>
    <x v="9"/>
    <x v="0"/>
    <x v="0"/>
    <x v="0"/>
    <x v="7"/>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12"/>
    <s v="Concrete Drop Inlet"/>
    <s v="Concrete"/>
    <s v="KS12_009"/>
    <x v="2"/>
    <n v="29.968314721999999"/>
    <n v="-25.807385556"/>
    <s v="29° 58' 05.93&quot;E "/>
    <s v="25° 48' 26.58&quot; S"/>
    <s v="Complete"/>
    <s v="Yes"/>
    <s v="Yes"/>
    <d v="2017-02-06T00:00:00"/>
    <s v="YES"/>
    <m/>
    <s v="NBC-GTW-CL-0008"/>
    <s v="Yes"/>
    <s v="00"/>
    <d v="2018-06-16T00:00:00"/>
    <s v="Phase 1"/>
    <s v="Year 1"/>
    <n v="21.44"/>
    <n v="0"/>
    <n v="0"/>
    <n v="0"/>
    <n v="0"/>
    <n v="21.461640000000003"/>
    <n v="0"/>
    <n v="3.2192460000000005"/>
    <n v="21.44"/>
    <n v="21.44"/>
    <n v="0"/>
    <n v="0"/>
    <n v="11"/>
    <n v="23.423999999999999"/>
    <n v="0"/>
    <n v="0"/>
    <s v="Ref 888"/>
    <n v="7.5"/>
    <s v="Ref 617"/>
    <n v="15.115199999999998"/>
    <n v="0"/>
    <n v="23.475241258295846"/>
    <n v="0"/>
    <n v="0.89999999999999991"/>
    <n v="0"/>
    <m/>
    <n v="0"/>
    <m/>
    <n v="0"/>
    <n v="3"/>
    <n v="6.36"/>
    <n v="0"/>
    <n v="0"/>
    <n v="0"/>
    <n v="8.985599999999998"/>
    <n v="0"/>
    <n v="0"/>
    <n v="0"/>
    <n v="0"/>
    <n v="0"/>
    <n v="0"/>
    <n v="0"/>
    <n v="0"/>
    <n v="0"/>
    <n v="0"/>
    <n v="0"/>
    <n v="0"/>
    <n v="0"/>
    <n v="0"/>
    <n v="0"/>
    <n v="0"/>
    <n v="0"/>
    <n v="0"/>
    <n v="0"/>
    <n v="0"/>
    <n v="0"/>
    <n v="0"/>
    <n v="0"/>
    <n v="0"/>
    <n v="0"/>
    <n v="0"/>
    <n v="0"/>
    <n v="0"/>
    <n v="0"/>
    <n v="0"/>
    <n v="0"/>
    <n v="0"/>
    <n v="0"/>
    <n v="0"/>
    <n v="0"/>
    <n v="0"/>
    <n v="0"/>
    <n v="0"/>
    <n v="0"/>
    <m/>
    <m/>
    <m/>
    <m/>
    <m/>
    <m/>
    <m/>
    <m/>
    <m/>
    <m/>
    <m/>
    <m/>
    <m/>
    <m/>
    <m/>
    <m/>
    <m/>
    <m/>
    <m/>
    <m/>
    <m/>
    <n v="107.2"/>
    <n v="0"/>
    <n v="0"/>
    <n v="0"/>
    <n v="0"/>
    <n v="1824.2394000000002"/>
    <n v="0"/>
    <n v="1609.6230000000003"/>
    <n v="107.2"/>
    <n v="214.4"/>
    <n v="0"/>
    <n v="22000"/>
    <n v="7027.2"/>
    <n v="0"/>
    <n v="0"/>
    <n v="452.30399999999997"/>
    <n v="15933.906817892299"/>
    <n v="190.8"/>
    <n v="0"/>
    <n v="0"/>
    <n v="1078.2719999999997"/>
    <n v="0"/>
    <n v="0"/>
    <n v="0"/>
    <n v="0"/>
    <n v="0"/>
    <n v="0"/>
    <n v="0"/>
    <n v="0"/>
    <n v="0"/>
    <n v="0"/>
    <n v="0"/>
    <n v="0"/>
    <n v="0"/>
    <n v="0"/>
    <n v="0"/>
    <n v="0"/>
    <n v="0"/>
    <n v="0"/>
    <n v="0"/>
    <n v="0"/>
    <n v="0"/>
    <n v="0"/>
    <n v="0"/>
    <n v="0"/>
    <n v="0"/>
    <n v="0"/>
    <n v="0"/>
    <n v="0"/>
    <n v="0"/>
    <n v="0"/>
    <n v="0"/>
    <n v="0"/>
    <n v="0"/>
    <n v="0"/>
    <n v="0"/>
    <n v="0"/>
    <n v="0"/>
    <n v="50545.145217892292"/>
    <n v="53577.85393096583"/>
    <s v=" "/>
    <s v=" "/>
    <s v=" "/>
    <s v=" "/>
    <s v=" "/>
    <s v=" "/>
    <s v=" "/>
    <s v=" "/>
    <s v=" "/>
    <s v=" "/>
    <s v=" "/>
    <s v=" "/>
    <s v=" "/>
    <s v=" "/>
    <x v="15"/>
    <x v="0"/>
    <x v="0"/>
    <x v="0"/>
    <x v="0"/>
    <x v="14"/>
    <x v="0"/>
    <x v="9"/>
    <x v="15"/>
    <x v="18"/>
    <x v="1"/>
    <x v="1"/>
    <x v="10"/>
    <x v="11"/>
    <x v="0"/>
    <x v="0"/>
    <x v="13"/>
    <x v="9"/>
    <x v="0"/>
    <x v="9"/>
    <x v="0"/>
    <x v="12"/>
    <x v="0"/>
    <x v="0"/>
    <x v="0"/>
    <x v="0"/>
    <x v="0"/>
    <x v="8"/>
    <x v="10"/>
    <x v="0"/>
    <x v="0"/>
    <x v="0"/>
    <x v="8"/>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12"/>
    <s v="Removal of Dam Wall"/>
    <s v="Excavation"/>
    <s v="KS12_010"/>
    <x v="2"/>
    <n v="29.965773056"/>
    <n v="-25.8051125"/>
    <s v="29° 57' 56.78&quot;E "/>
    <s v="25° 48' 18.40&quot; S"/>
    <s v="Complete"/>
    <s v="Yes"/>
    <s v="Yes"/>
    <d v="2017-05-30T00:00:00"/>
    <s v="NA"/>
    <s v="NA"/>
    <s v="No Drawing"/>
    <s v="Yes"/>
    <s v="00"/>
    <d v="2018-06-16T00:00:00"/>
    <s v="Phase 1"/>
    <s v="Year 1"/>
    <n v="619.18547990530158"/>
    <n v="211.894375"/>
    <n v="0"/>
    <n v="0"/>
    <n v="0"/>
    <n v="0"/>
    <n v="0"/>
    <n v="0"/>
    <n v="619.18547990530158"/>
    <n v="619.18547990530158"/>
    <n v="0"/>
    <n v="0"/>
    <n v="0"/>
    <n v="0"/>
    <n v="0"/>
    <n v="0"/>
    <n v="0"/>
    <n v="0"/>
    <n v="0"/>
    <n v="0"/>
    <n v="0"/>
    <n v="0"/>
    <n v="0"/>
    <n v="0"/>
    <n v="0"/>
    <m/>
    <n v="0"/>
    <m/>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n v="3095.927399526508"/>
    <n v="10594.71875"/>
    <n v="0"/>
    <n v="0"/>
    <n v="0"/>
    <n v="0"/>
    <n v="0"/>
    <n v="0"/>
    <n v="3095.927399526508"/>
    <n v="6191.854799053016"/>
    <n v="0"/>
    <n v="0"/>
    <n v="0"/>
    <n v="0"/>
    <n v="0"/>
    <n v="0"/>
    <n v="0"/>
    <n v="0"/>
    <n v="0"/>
    <n v="0"/>
    <n v="0"/>
    <n v="0"/>
    <n v="0"/>
    <n v="0"/>
    <n v="0"/>
    <n v="0"/>
    <n v="0"/>
    <n v="0"/>
    <n v="0"/>
    <n v="0"/>
    <n v="0"/>
    <n v="0"/>
    <n v="0"/>
    <n v="0"/>
    <n v="0"/>
    <n v="0"/>
    <n v="0"/>
    <n v="0"/>
    <n v="0"/>
    <n v="0"/>
    <n v="0"/>
    <n v="0"/>
    <n v="0"/>
    <n v="0"/>
    <n v="0"/>
    <n v="0"/>
    <n v="0"/>
    <n v="0"/>
    <n v="0"/>
    <n v="0"/>
    <n v="0"/>
    <n v="0"/>
    <n v="0"/>
    <n v="0"/>
    <n v="0"/>
    <n v="0"/>
    <n v="0"/>
    <n v="0"/>
    <n v="22978.428348106034"/>
    <n v="24357.134048992397"/>
    <s v=" "/>
    <s v=" "/>
    <s v=" "/>
    <s v=" "/>
    <s v=" "/>
    <s v=" "/>
    <s v=" "/>
    <s v=" "/>
    <s v=" "/>
    <s v=" "/>
    <s v=" "/>
    <s v=" "/>
    <s v=" "/>
    <s v=" "/>
    <x v="16"/>
    <x v="7"/>
    <x v="0"/>
    <x v="0"/>
    <x v="0"/>
    <x v="1"/>
    <x v="0"/>
    <x v="0"/>
    <x v="16"/>
    <x v="19"/>
    <x v="1"/>
    <x v="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13"/>
    <s v="Infilling of Drains"/>
    <s v="Earthworks"/>
    <s v="KS13_001"/>
    <x v="3"/>
    <n v="29.978719999999999"/>
    <n v="-25.818548056000001"/>
    <s v="29° 58' 43.39&quot;E "/>
    <s v="25° 49' 06.77&quot; S"/>
    <s v="Complete"/>
    <s v="Yes"/>
    <s v="Yes"/>
    <d v="2017-04-21T00:00:00"/>
    <s v="NA"/>
    <s v="NA"/>
    <s v="No Drawing"/>
    <s v="Yes"/>
    <s v="00"/>
    <d v="2018-06-16T00:00:00"/>
    <s v="Phase 1"/>
    <s v="Year 1"/>
    <n v="1148.9399859945058"/>
    <n v="0"/>
    <n v="0"/>
    <n v="0"/>
    <n v="0"/>
    <n v="0"/>
    <n v="0"/>
    <n v="0"/>
    <n v="1148.9399859945058"/>
    <n v="0"/>
    <n v="0"/>
    <n v="0"/>
    <n v="0"/>
    <n v="0"/>
    <n v="0"/>
    <n v="0"/>
    <n v="0"/>
    <n v="0"/>
    <n v="0"/>
    <n v="0"/>
    <n v="0"/>
    <n v="0"/>
    <n v="0"/>
    <n v="0"/>
    <n v="0"/>
    <m/>
    <n v="0"/>
    <m/>
    <n v="0"/>
    <n v="0"/>
    <n v="0"/>
    <n v="0"/>
    <n v="0"/>
    <n v="0"/>
    <n v="215"/>
    <n v="0"/>
    <n v="0"/>
    <n v="0"/>
    <n v="0"/>
    <n v="0"/>
    <n v="0"/>
    <n v="0"/>
    <n v="0"/>
    <n v="0"/>
    <n v="0"/>
    <n v="0"/>
    <n v="0"/>
    <n v="0"/>
    <n v="0"/>
    <n v="0"/>
    <n v="0"/>
    <n v="0"/>
    <n v="0"/>
    <n v="0"/>
    <n v="0"/>
    <n v="0"/>
    <n v="0"/>
    <n v="0"/>
    <n v="0"/>
    <n v="0"/>
    <n v="0"/>
    <n v="0"/>
    <n v="0"/>
    <n v="0"/>
    <n v="0"/>
    <n v="0"/>
    <n v="0"/>
    <n v="0"/>
    <n v="0"/>
    <n v="0"/>
    <n v="0"/>
    <n v="0"/>
    <n v="0"/>
    <n v="0"/>
    <n v="0"/>
    <n v="0"/>
    <n v="0"/>
    <n v="0"/>
    <n v="0"/>
    <n v="0"/>
    <n v="0"/>
    <n v="0"/>
    <n v="0"/>
    <n v="0"/>
    <n v="0"/>
    <n v="0"/>
    <m/>
    <m/>
    <m/>
    <m/>
    <m/>
    <m/>
    <m/>
    <m/>
    <m/>
    <n v="5744.6999299725294"/>
    <n v="0"/>
    <n v="0"/>
    <n v="0"/>
    <n v="0"/>
    <n v="0"/>
    <n v="0"/>
    <n v="0"/>
    <n v="5744.6999299725294"/>
    <n v="0"/>
    <n v="0"/>
    <n v="0"/>
    <n v="0"/>
    <n v="0"/>
    <n v="0"/>
    <n v="0"/>
    <n v="0"/>
    <n v="0"/>
    <n v="0"/>
    <n v="0"/>
    <n v="25800"/>
    <n v="0"/>
    <n v="0"/>
    <n v="0"/>
    <n v="0"/>
    <n v="0"/>
    <n v="0"/>
    <n v="0"/>
    <n v="0"/>
    <n v="0"/>
    <n v="0"/>
    <n v="0"/>
    <n v="0"/>
    <n v="0"/>
    <n v="0"/>
    <n v="0"/>
    <n v="0"/>
    <n v="0"/>
    <n v="0"/>
    <n v="0"/>
    <n v="0"/>
    <n v="0"/>
    <n v="0"/>
    <n v="0"/>
    <n v="0"/>
    <n v="0"/>
    <n v="0"/>
    <n v="0"/>
    <n v="0"/>
    <n v="0"/>
    <n v="0"/>
    <n v="0"/>
    <n v="0"/>
    <n v="0"/>
    <n v="0"/>
    <n v="0"/>
    <n v="0"/>
    <n v="0"/>
    <n v="37289.399859945057"/>
    <n v="39526.763851541764"/>
    <s v=" "/>
    <s v=" "/>
    <s v=" "/>
    <s v=" "/>
    <s v=" "/>
    <s v=" "/>
    <s v=" "/>
    <s v=" "/>
    <s v=" "/>
    <s v=" "/>
    <s v=" "/>
    <s v=" "/>
    <s v=" "/>
    <s v=" "/>
    <x v="17"/>
    <x v="0"/>
    <x v="0"/>
    <x v="0"/>
    <x v="0"/>
    <x v="1"/>
    <x v="0"/>
    <x v="0"/>
    <x v="17"/>
    <x v="4"/>
    <x v="1"/>
    <x v="1"/>
    <x v="0"/>
    <x v="0"/>
    <x v="0"/>
    <x v="0"/>
    <x v="0"/>
    <x v="0"/>
    <x v="0"/>
    <x v="0"/>
    <x v="0"/>
    <x v="0"/>
    <x v="0"/>
    <x v="0"/>
    <x v="0"/>
    <x v="0"/>
    <x v="0"/>
    <x v="0"/>
    <x v="0"/>
    <x v="0"/>
    <x v="0"/>
    <x v="0"/>
    <x v="9"/>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13"/>
    <s v="Infilling of Drains"/>
    <s v="Earthworks"/>
    <s v="KS13_002"/>
    <x v="3"/>
    <n v="29.978751388999999"/>
    <n v="-25.818117778000001"/>
    <s v="29° 58' 43.50&quot;E "/>
    <s v="25° 49' 05.22&quot; S"/>
    <s v="Complete"/>
    <s v="Yes"/>
    <s v="Yes"/>
    <d v="2017-04-25T00:00:00"/>
    <s v="NA"/>
    <s v="NA"/>
    <s v="No Drawing"/>
    <s v="Yes"/>
    <s v="00"/>
    <d v="2018-06-16T00:00:00"/>
    <s v="Phase 1"/>
    <s v="Year 1"/>
    <n v="85.81665382639197"/>
    <n v="0"/>
    <n v="0"/>
    <n v="0"/>
    <n v="0"/>
    <n v="0"/>
    <n v="0"/>
    <n v="0"/>
    <n v="85.81665382639197"/>
    <n v="0"/>
    <n v="0"/>
    <n v="0"/>
    <n v="0"/>
    <n v="0"/>
    <n v="0"/>
    <n v="0"/>
    <n v="0"/>
    <n v="0"/>
    <n v="0"/>
    <n v="0"/>
    <n v="0"/>
    <n v="0"/>
    <n v="0"/>
    <n v="0"/>
    <n v="0"/>
    <m/>
    <n v="0"/>
    <m/>
    <n v="0"/>
    <n v="0"/>
    <n v="0"/>
    <n v="0"/>
    <n v="0"/>
    <n v="0"/>
    <n v="15"/>
    <n v="0"/>
    <n v="0"/>
    <n v="0"/>
    <n v="0"/>
    <n v="0"/>
    <n v="0"/>
    <n v="0"/>
    <n v="0"/>
    <n v="0"/>
    <n v="0"/>
    <n v="0"/>
    <n v="0"/>
    <n v="0"/>
    <n v="0"/>
    <n v="0"/>
    <n v="0"/>
    <n v="0"/>
    <n v="0"/>
    <n v="0"/>
    <n v="0"/>
    <n v="0"/>
    <n v="0"/>
    <n v="0"/>
    <n v="0"/>
    <n v="0"/>
    <n v="0"/>
    <n v="0"/>
    <n v="0"/>
    <n v="0"/>
    <n v="0"/>
    <n v="0"/>
    <n v="0"/>
    <n v="0"/>
    <n v="0"/>
    <n v="0"/>
    <n v="0"/>
    <n v="0"/>
    <n v="0"/>
    <n v="0"/>
    <n v="0"/>
    <n v="0"/>
    <n v="0"/>
    <n v="0"/>
    <n v="0"/>
    <n v="0"/>
    <n v="0"/>
    <n v="0"/>
    <n v="0"/>
    <n v="0"/>
    <n v="0"/>
    <n v="0"/>
    <m/>
    <m/>
    <m/>
    <m/>
    <m/>
    <m/>
    <m/>
    <m/>
    <m/>
    <n v="429.08326913195987"/>
    <n v="0"/>
    <n v="0"/>
    <n v="0"/>
    <n v="0"/>
    <n v="0"/>
    <n v="0"/>
    <n v="0"/>
    <n v="429.08326913195987"/>
    <n v="0"/>
    <n v="0"/>
    <n v="0"/>
    <n v="0"/>
    <n v="0"/>
    <n v="0"/>
    <n v="0"/>
    <n v="0"/>
    <n v="0"/>
    <n v="0"/>
    <n v="0"/>
    <n v="1800"/>
    <n v="0"/>
    <n v="0"/>
    <n v="0"/>
    <n v="0"/>
    <n v="0"/>
    <n v="0"/>
    <n v="0"/>
    <n v="0"/>
    <n v="0"/>
    <n v="0"/>
    <n v="0"/>
    <n v="0"/>
    <n v="0"/>
    <n v="0"/>
    <n v="0"/>
    <n v="0"/>
    <n v="0"/>
    <n v="0"/>
    <n v="0"/>
    <n v="0"/>
    <n v="0"/>
    <n v="0"/>
    <n v="0"/>
    <n v="0"/>
    <n v="0"/>
    <n v="0"/>
    <n v="0"/>
    <n v="0"/>
    <n v="0"/>
    <n v="0"/>
    <n v="0"/>
    <n v="0"/>
    <n v="0"/>
    <n v="0"/>
    <n v="0"/>
    <n v="0"/>
    <n v="0"/>
    <n v="2658.1665382639198"/>
    <n v="2817.6565305597551"/>
    <s v=" "/>
    <s v=" "/>
    <s v=" "/>
    <s v=" "/>
    <s v=" "/>
    <s v=" "/>
    <s v=" "/>
    <s v=" "/>
    <s v=" "/>
    <s v=" "/>
    <s v=" "/>
    <s v=" "/>
    <s v=" "/>
    <s v=" "/>
    <x v="18"/>
    <x v="0"/>
    <x v="0"/>
    <x v="0"/>
    <x v="0"/>
    <x v="1"/>
    <x v="0"/>
    <x v="0"/>
    <x v="18"/>
    <x v="4"/>
    <x v="1"/>
    <x v="1"/>
    <x v="0"/>
    <x v="0"/>
    <x v="0"/>
    <x v="0"/>
    <x v="0"/>
    <x v="0"/>
    <x v="0"/>
    <x v="0"/>
    <x v="0"/>
    <x v="0"/>
    <x v="0"/>
    <x v="0"/>
    <x v="0"/>
    <x v="0"/>
    <x v="0"/>
    <x v="0"/>
    <x v="0"/>
    <x v="0"/>
    <x v="0"/>
    <x v="0"/>
    <x v="1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13"/>
    <s v="Concrete Drop Inlet"/>
    <s v="Concrete"/>
    <s v="KS13_003"/>
    <x v="3"/>
    <n v="29.978856110999999"/>
    <n v="-25.817962221999998"/>
    <s v="29° 58' 43.88&quot;E "/>
    <s v="25° 49' 04.66&quot; S"/>
    <s v="Complete"/>
    <s v="Yes"/>
    <s v="Yes"/>
    <d v="2017-02-01T00:00:00"/>
    <s v="YES"/>
    <d v="2017-02-01T00:00:00"/>
    <s v="NBC-GTW-CL-0009"/>
    <s v="Yes"/>
    <s v="00"/>
    <d v="2018-06-16T00:00:00"/>
    <s v="Phase 1"/>
    <s v="Year 1"/>
    <n v="23.200000000000003"/>
    <n v="0"/>
    <n v="0"/>
    <n v="0"/>
    <n v="0"/>
    <n v="44.032499999999992"/>
    <n v="4.403249999999999"/>
    <n v="2.2016249999999995"/>
    <n v="23.200000000000003"/>
    <n v="23.200000000000003"/>
    <n v="0"/>
    <n v="0"/>
    <n v="27.726599999999998"/>
    <n v="43.7"/>
    <n v="0"/>
    <n v="0"/>
    <s v="Ref 888"/>
    <n v="21.558920000000001"/>
    <s v="Ref 655"/>
    <n v="35.522399999999998"/>
    <n v="0"/>
    <n v="49.822834066672044"/>
    <n v="0"/>
    <n v="16.509999999999998"/>
    <n v="0"/>
    <m/>
    <n v="0"/>
    <m/>
    <n v="0"/>
    <n v="8"/>
    <n v="8.3150000000000013"/>
    <n v="0"/>
    <n v="0"/>
    <n v="0"/>
    <n v="12.734999999999999"/>
    <n v="0"/>
    <n v="0"/>
    <n v="0"/>
    <n v="0"/>
    <n v="0"/>
    <n v="0"/>
    <n v="0"/>
    <n v="0"/>
    <n v="0"/>
    <n v="0"/>
    <n v="0"/>
    <n v="0"/>
    <n v="0"/>
    <n v="0"/>
    <n v="0"/>
    <n v="0"/>
    <n v="0"/>
    <n v="0"/>
    <n v="0"/>
    <n v="0"/>
    <n v="0"/>
    <n v="0"/>
    <n v="0"/>
    <n v="0"/>
    <n v="0"/>
    <n v="0"/>
    <n v="0"/>
    <n v="0"/>
    <n v="0"/>
    <n v="0"/>
    <n v="0"/>
    <n v="0"/>
    <n v="0"/>
    <n v="0"/>
    <n v="0"/>
    <n v="0"/>
    <n v="0"/>
    <n v="0"/>
    <n v="0"/>
    <m/>
    <m/>
    <m/>
    <m/>
    <m/>
    <m/>
    <m/>
    <m/>
    <m/>
    <m/>
    <m/>
    <m/>
    <m/>
    <m/>
    <m/>
    <m/>
    <m/>
    <m/>
    <m/>
    <m/>
    <m/>
    <n v="116.00000000000001"/>
    <n v="0"/>
    <n v="0"/>
    <n v="0"/>
    <n v="0"/>
    <n v="3742.7624999999994"/>
    <n v="550.40624999999989"/>
    <n v="1100.8124999999998"/>
    <n v="116.00000000000001"/>
    <n v="232.00000000000003"/>
    <n v="0"/>
    <n v="55453.2"/>
    <n v="13110"/>
    <n v="0"/>
    <n v="0"/>
    <n v="1141.6263999999999"/>
    <n v="43356.342143336828"/>
    <n v="249.45000000000005"/>
    <n v="0"/>
    <n v="0"/>
    <n v="1528.1999999999998"/>
    <n v="0"/>
    <n v="0"/>
    <n v="0"/>
    <n v="0"/>
    <n v="0"/>
    <n v="0"/>
    <n v="0"/>
    <n v="0"/>
    <n v="0"/>
    <n v="0"/>
    <n v="0"/>
    <n v="0"/>
    <n v="0"/>
    <n v="0"/>
    <n v="0"/>
    <n v="0"/>
    <n v="0"/>
    <n v="0"/>
    <n v="0"/>
    <n v="0"/>
    <n v="0"/>
    <n v="0"/>
    <n v="0"/>
    <n v="0"/>
    <n v="0"/>
    <n v="0"/>
    <n v="0"/>
    <n v="0"/>
    <n v="0"/>
    <n v="0"/>
    <n v="0"/>
    <n v="0"/>
    <n v="0"/>
    <n v="0"/>
    <n v="0"/>
    <n v="0"/>
    <n v="0"/>
    <n v="120696.7997933368"/>
    <n v="127938.60778093702"/>
    <s v=" "/>
    <s v=" "/>
    <s v=" "/>
    <s v=" "/>
    <s v=" "/>
    <s v=" "/>
    <s v=" "/>
    <s v=" "/>
    <s v=" "/>
    <s v=" "/>
    <s v=" "/>
    <s v=" "/>
    <s v=" "/>
    <s v=" "/>
    <x v="19"/>
    <x v="0"/>
    <x v="0"/>
    <x v="0"/>
    <x v="0"/>
    <x v="15"/>
    <x v="3"/>
    <x v="10"/>
    <x v="19"/>
    <x v="20"/>
    <x v="1"/>
    <x v="1"/>
    <x v="11"/>
    <x v="12"/>
    <x v="0"/>
    <x v="0"/>
    <x v="14"/>
    <x v="10"/>
    <x v="0"/>
    <x v="10"/>
    <x v="0"/>
    <x v="13"/>
    <x v="0"/>
    <x v="0"/>
    <x v="0"/>
    <x v="0"/>
    <x v="0"/>
    <x v="9"/>
    <x v="11"/>
    <x v="0"/>
    <x v="0"/>
    <x v="0"/>
    <x v="1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13"/>
    <s v="Concrete Check Wall"/>
    <s v="Concrete Check Wall"/>
    <s v="KS13_004"/>
    <x v="3"/>
    <n v="29.978485555999999"/>
    <n v="-25.817717221999999"/>
    <s v="29° 58' 42.54&quot;E "/>
    <s v="25° 49' 03.78&quot; S"/>
    <s v="Complete"/>
    <s v="Yes"/>
    <s v="Yes"/>
    <d v="2017-01-23T00:00:00"/>
    <s v="YES"/>
    <d v="2017-01-23T00:00:00"/>
    <s v="NBC-GTW-CL-0010"/>
    <s v="Yes"/>
    <s v="01"/>
    <d v="2018-12-07T00:00:00"/>
    <s v="Phase 1"/>
    <s v="Year 1"/>
    <m/>
    <n v="0"/>
    <n v="0"/>
    <n v="0"/>
    <n v="0"/>
    <n v="5.3219999999999992"/>
    <m/>
    <m/>
    <m/>
    <m/>
    <m/>
    <m/>
    <n v="5.3219999999999992"/>
    <m/>
    <m/>
    <m/>
    <m/>
    <m/>
    <m/>
    <m/>
    <m/>
    <m/>
    <m/>
    <m/>
    <m/>
    <m/>
    <m/>
    <m/>
    <m/>
    <m/>
    <n v="3.9"/>
    <m/>
    <m/>
    <m/>
    <m/>
    <n v="0"/>
    <n v="0"/>
    <n v="0"/>
    <n v="0"/>
    <n v="0"/>
    <n v="0"/>
    <n v="0"/>
    <n v="0"/>
    <n v="0"/>
    <n v="0"/>
    <n v="0"/>
    <n v="0"/>
    <n v="0"/>
    <n v="0"/>
    <n v="0"/>
    <n v="0"/>
    <n v="0"/>
    <n v="0"/>
    <n v="0"/>
    <n v="0"/>
    <n v="0"/>
    <n v="0"/>
    <n v="0"/>
    <n v="0"/>
    <n v="0"/>
    <n v="0"/>
    <n v="0"/>
    <n v="0"/>
    <n v="0"/>
    <n v="0"/>
    <n v="0"/>
    <n v="0"/>
    <n v="0"/>
    <n v="0"/>
    <n v="0"/>
    <n v="0"/>
    <n v="0"/>
    <n v="0"/>
    <n v="0"/>
    <m/>
    <m/>
    <m/>
    <m/>
    <m/>
    <m/>
    <m/>
    <m/>
    <m/>
    <m/>
    <m/>
    <m/>
    <m/>
    <m/>
    <m/>
    <m/>
    <m/>
    <m/>
    <m/>
    <m/>
    <m/>
    <n v="0"/>
    <n v="0"/>
    <n v="0"/>
    <n v="0"/>
    <n v="0"/>
    <n v="452.36999999999995"/>
    <n v="0"/>
    <n v="0"/>
    <n v="0"/>
    <n v="0"/>
    <n v="0"/>
    <n v="10643.999999999998"/>
    <n v="0"/>
    <n v="0"/>
    <n v="0"/>
    <n v="0"/>
    <n v="0"/>
    <n v="117"/>
    <n v="0"/>
    <n v="0"/>
    <n v="0"/>
    <n v="0"/>
    <n v="0"/>
    <n v="0"/>
    <n v="0"/>
    <n v="0"/>
    <n v="0"/>
    <n v="0"/>
    <n v="0"/>
    <n v="0"/>
    <n v="0"/>
    <n v="0"/>
    <n v="0"/>
    <n v="0"/>
    <n v="0"/>
    <n v="0"/>
    <n v="0"/>
    <n v="0"/>
    <n v="0"/>
    <n v="0"/>
    <n v="0"/>
    <n v="0"/>
    <n v="0"/>
    <n v="0"/>
    <n v="0"/>
    <n v="0"/>
    <n v="0"/>
    <n v="0"/>
    <n v="0"/>
    <n v="0"/>
    <n v="0"/>
    <n v="0"/>
    <n v="0"/>
    <n v="0"/>
    <n v="0"/>
    <n v="0"/>
    <n v="0"/>
    <n v="0"/>
    <n v="11213.369999999999"/>
    <n v="11886.172199999999"/>
    <s v=" "/>
    <s v=" "/>
    <s v=" "/>
    <s v=" "/>
    <s v=" "/>
    <s v=" "/>
    <s v=" "/>
    <s v=" "/>
    <s v=" "/>
    <s v=" "/>
    <s v=" "/>
    <s v=" "/>
    <s v=" "/>
    <s v=" "/>
    <x v="0"/>
    <x v="0"/>
    <x v="0"/>
    <x v="0"/>
    <x v="0"/>
    <x v="16"/>
    <x v="0"/>
    <x v="0"/>
    <x v="0"/>
    <x v="4"/>
    <x v="1"/>
    <x v="1"/>
    <x v="12"/>
    <x v="0"/>
    <x v="0"/>
    <x v="0"/>
    <x v="0"/>
    <x v="0"/>
    <x v="0"/>
    <x v="0"/>
    <x v="0"/>
    <x v="0"/>
    <x v="0"/>
    <x v="0"/>
    <x v="0"/>
    <x v="0"/>
    <x v="0"/>
    <x v="0"/>
    <x v="12"/>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13"/>
    <s v="Concrete Check Wall"/>
    <s v="Concrete Check Wall"/>
    <s v="KS13_005"/>
    <x v="3"/>
    <n v="29.978326111000001"/>
    <n v="-25.817525278000002"/>
    <s v="29° 58' 41.97&quot;E "/>
    <s v="25° 49' 03.09&quot; S"/>
    <s v="Complete"/>
    <s v="Yes"/>
    <s v="Yes"/>
    <d v="2017-01-23T00:00:00"/>
    <s v="YES"/>
    <d v="2017-01-23T00:00:00"/>
    <s v="NBC-GTW-CL-0011"/>
    <s v="Yes"/>
    <s v="01"/>
    <d v="2018-12-07T00:00:00"/>
    <s v="Phase 1"/>
    <s v="Year 1"/>
    <m/>
    <n v="0"/>
    <n v="0"/>
    <n v="0"/>
    <n v="0"/>
    <n v="7.4819999999999984"/>
    <m/>
    <m/>
    <m/>
    <m/>
    <m/>
    <m/>
    <n v="7.4819999999999984"/>
    <m/>
    <m/>
    <m/>
    <m/>
    <m/>
    <m/>
    <m/>
    <m/>
    <m/>
    <m/>
    <m/>
    <m/>
    <m/>
    <m/>
    <m/>
    <m/>
    <m/>
    <n v="3.9"/>
    <m/>
    <m/>
    <m/>
    <m/>
    <n v="0"/>
    <n v="0"/>
    <n v="0"/>
    <n v="0"/>
    <n v="0"/>
    <n v="0"/>
    <n v="0"/>
    <n v="0"/>
    <n v="0"/>
    <n v="0"/>
    <n v="0"/>
    <n v="0"/>
    <n v="0"/>
    <n v="0"/>
    <n v="0"/>
    <n v="0"/>
    <n v="0"/>
    <n v="0"/>
    <n v="0"/>
    <n v="0"/>
    <n v="0"/>
    <n v="0"/>
    <n v="0"/>
    <n v="0"/>
    <n v="0"/>
    <n v="0"/>
    <n v="0"/>
    <n v="0"/>
    <n v="0"/>
    <n v="0"/>
    <n v="0"/>
    <n v="0"/>
    <n v="0"/>
    <n v="0"/>
    <n v="0"/>
    <n v="0"/>
    <n v="0"/>
    <n v="0"/>
    <n v="0"/>
    <m/>
    <m/>
    <m/>
    <m/>
    <m/>
    <m/>
    <m/>
    <m/>
    <m/>
    <m/>
    <m/>
    <m/>
    <m/>
    <m/>
    <m/>
    <m/>
    <m/>
    <m/>
    <m/>
    <m/>
    <m/>
    <n v="0"/>
    <n v="0"/>
    <n v="0"/>
    <n v="0"/>
    <n v="0"/>
    <n v="635.96999999999991"/>
    <n v="0"/>
    <n v="0"/>
    <n v="0"/>
    <n v="0"/>
    <n v="0"/>
    <n v="14963.999999999996"/>
    <n v="0"/>
    <n v="0"/>
    <n v="0"/>
    <n v="0"/>
    <n v="0"/>
    <n v="117"/>
    <n v="0"/>
    <n v="0"/>
    <n v="0"/>
    <n v="0"/>
    <n v="0"/>
    <n v="0"/>
    <n v="0"/>
    <n v="0"/>
    <n v="0"/>
    <n v="0"/>
    <n v="0"/>
    <n v="0"/>
    <n v="0"/>
    <n v="0"/>
    <n v="0"/>
    <n v="0"/>
    <n v="0"/>
    <n v="0"/>
    <n v="0"/>
    <n v="0"/>
    <n v="0"/>
    <n v="0"/>
    <n v="0"/>
    <n v="0"/>
    <n v="0"/>
    <n v="0"/>
    <n v="0"/>
    <n v="0"/>
    <n v="0"/>
    <n v="0"/>
    <n v="0"/>
    <n v="0"/>
    <n v="0"/>
    <n v="0"/>
    <n v="0"/>
    <n v="0"/>
    <n v="0"/>
    <n v="0"/>
    <n v="0"/>
    <n v="0"/>
    <n v="15716.969999999996"/>
    <n v="16659.988199999996"/>
    <s v=" "/>
    <s v=" "/>
    <s v=" "/>
    <s v=" "/>
    <s v=" "/>
    <s v=" "/>
    <s v=" "/>
    <s v=" "/>
    <s v=" "/>
    <s v=" "/>
    <s v=" "/>
    <s v=" "/>
    <s v=" "/>
    <s v=" "/>
    <x v="0"/>
    <x v="0"/>
    <x v="0"/>
    <x v="0"/>
    <x v="0"/>
    <x v="17"/>
    <x v="0"/>
    <x v="0"/>
    <x v="0"/>
    <x v="4"/>
    <x v="1"/>
    <x v="1"/>
    <x v="13"/>
    <x v="0"/>
    <x v="0"/>
    <x v="0"/>
    <x v="0"/>
    <x v="0"/>
    <x v="0"/>
    <x v="0"/>
    <x v="0"/>
    <x v="0"/>
    <x v="0"/>
    <x v="0"/>
    <x v="0"/>
    <x v="0"/>
    <x v="0"/>
    <x v="0"/>
    <x v="13"/>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13"/>
    <s v="Concrete Check Wall"/>
    <s v="Concrete Check Wall"/>
    <s v="KS13_006"/>
    <x v="3"/>
    <n v="29.977215000000001"/>
    <n v="-25.816548889"/>
    <s v="29° 58' 37.97&quot;E "/>
    <s v="25° 48' 59.57&quot; S"/>
    <s v="Complete"/>
    <s v="Yes"/>
    <s v="Yes"/>
    <d v="2017-01-23T00:00:00"/>
    <s v="YES"/>
    <d v="2017-01-23T00:00:00"/>
    <s v="NBC-GTW-CL-0012"/>
    <s v="Yes"/>
    <s v="01"/>
    <d v="2018-12-07T00:00:00"/>
    <s v="Phase 1"/>
    <s v="Year 1"/>
    <m/>
    <n v="0"/>
    <n v="0"/>
    <n v="0"/>
    <n v="0"/>
    <n v="7.402499999999999"/>
    <m/>
    <m/>
    <m/>
    <m/>
    <m/>
    <m/>
    <n v="7.402499999999999"/>
    <m/>
    <m/>
    <m/>
    <m/>
    <m/>
    <m/>
    <m/>
    <m/>
    <m/>
    <m/>
    <m/>
    <m/>
    <m/>
    <m/>
    <m/>
    <m/>
    <m/>
    <n v="4.2"/>
    <m/>
    <m/>
    <m/>
    <m/>
    <n v="0"/>
    <n v="0"/>
    <n v="0"/>
    <n v="0"/>
    <n v="0"/>
    <n v="0"/>
    <n v="0"/>
    <n v="0"/>
    <n v="0"/>
    <n v="0"/>
    <n v="0"/>
    <n v="0"/>
    <n v="0"/>
    <n v="0"/>
    <n v="0"/>
    <n v="0"/>
    <n v="0"/>
    <n v="0"/>
    <n v="0"/>
    <n v="0"/>
    <n v="0"/>
    <n v="0"/>
    <n v="0"/>
    <n v="0"/>
    <n v="0"/>
    <n v="0"/>
    <n v="0"/>
    <n v="0"/>
    <n v="0"/>
    <n v="0"/>
    <n v="0"/>
    <n v="0"/>
    <n v="0"/>
    <n v="0"/>
    <n v="0"/>
    <n v="0"/>
    <n v="0"/>
    <n v="0"/>
    <n v="0"/>
    <m/>
    <m/>
    <m/>
    <m/>
    <m/>
    <m/>
    <m/>
    <m/>
    <m/>
    <m/>
    <m/>
    <m/>
    <m/>
    <m/>
    <m/>
    <m/>
    <m/>
    <m/>
    <m/>
    <m/>
    <m/>
    <n v="0"/>
    <n v="0"/>
    <n v="0"/>
    <n v="0"/>
    <n v="0"/>
    <n v="629.21249999999986"/>
    <n v="0"/>
    <n v="0"/>
    <n v="0"/>
    <n v="0"/>
    <n v="0"/>
    <n v="14804.999999999998"/>
    <n v="0"/>
    <n v="0"/>
    <n v="0"/>
    <n v="0"/>
    <n v="0"/>
    <n v="126"/>
    <n v="0"/>
    <n v="0"/>
    <n v="0"/>
    <n v="0"/>
    <n v="0"/>
    <n v="0"/>
    <n v="0"/>
    <n v="0"/>
    <n v="0"/>
    <n v="0"/>
    <n v="0"/>
    <n v="0"/>
    <n v="0"/>
    <n v="0"/>
    <n v="0"/>
    <n v="0"/>
    <n v="0"/>
    <n v="0"/>
    <n v="0"/>
    <n v="0"/>
    <n v="0"/>
    <n v="0"/>
    <n v="0"/>
    <n v="0"/>
    <n v="0"/>
    <n v="0"/>
    <n v="0"/>
    <n v="0"/>
    <n v="0"/>
    <n v="0"/>
    <n v="0"/>
    <n v="0"/>
    <n v="0"/>
    <n v="0"/>
    <n v="0"/>
    <n v="0"/>
    <n v="0"/>
    <n v="0"/>
    <n v="0"/>
    <n v="0"/>
    <n v="15560.212499999998"/>
    <n v="16493.825249999998"/>
    <s v=" "/>
    <s v=" "/>
    <s v=" "/>
    <s v=" "/>
    <s v=" "/>
    <s v=" "/>
    <s v=" "/>
    <s v=" "/>
    <s v=" "/>
    <s v=" "/>
    <s v=" "/>
    <s v=" "/>
    <s v=" "/>
    <s v=" "/>
    <x v="0"/>
    <x v="0"/>
    <x v="0"/>
    <x v="0"/>
    <x v="0"/>
    <x v="18"/>
    <x v="0"/>
    <x v="0"/>
    <x v="0"/>
    <x v="4"/>
    <x v="1"/>
    <x v="1"/>
    <x v="14"/>
    <x v="0"/>
    <x v="0"/>
    <x v="0"/>
    <x v="0"/>
    <x v="0"/>
    <x v="0"/>
    <x v="0"/>
    <x v="0"/>
    <x v="0"/>
    <x v="0"/>
    <x v="0"/>
    <x v="0"/>
    <x v="0"/>
    <x v="0"/>
    <x v="0"/>
    <x v="14"/>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13"/>
    <s v="Concrete Check Wall"/>
    <s v="Concrete Check Wall"/>
    <s v="KS13_007"/>
    <x v="3"/>
    <n v="29.976766111"/>
    <n v="-25.816078610999998"/>
    <s v="29° 58' 36.35&quot;E "/>
    <s v="25° 48' 57.88&quot; S"/>
    <s v="Complete"/>
    <s v="Yes"/>
    <s v="Yes"/>
    <d v="2017-01-23T00:00:00"/>
    <s v="YES"/>
    <d v="2017-01-23T00:00:00"/>
    <s v="NBC-GTW-CL-0013"/>
    <s v="Yes"/>
    <s v="01"/>
    <d v="2018-12-07T00:00:00"/>
    <s v="Phase 1"/>
    <s v="Year 1"/>
    <m/>
    <n v="0"/>
    <n v="0"/>
    <n v="0"/>
    <n v="0"/>
    <n v="5.8574999999999999"/>
    <m/>
    <m/>
    <m/>
    <m/>
    <m/>
    <m/>
    <n v="5.8574999999999999"/>
    <m/>
    <m/>
    <m/>
    <m/>
    <m/>
    <m/>
    <m/>
    <m/>
    <m/>
    <m/>
    <m/>
    <m/>
    <m/>
    <m/>
    <m/>
    <m/>
    <m/>
    <n v="4.05"/>
    <m/>
    <m/>
    <m/>
    <m/>
    <n v="0"/>
    <n v="0"/>
    <n v="0"/>
    <n v="0"/>
    <n v="0"/>
    <n v="0"/>
    <n v="0"/>
    <n v="0"/>
    <n v="0"/>
    <n v="0"/>
    <n v="0"/>
    <n v="0"/>
    <n v="0"/>
    <n v="0"/>
    <n v="0"/>
    <n v="0"/>
    <n v="0"/>
    <n v="0"/>
    <n v="0"/>
    <n v="0"/>
    <n v="0"/>
    <n v="0"/>
    <n v="0"/>
    <n v="0"/>
    <n v="0"/>
    <n v="0"/>
    <n v="0"/>
    <n v="0"/>
    <n v="0"/>
    <n v="0"/>
    <n v="0"/>
    <n v="0"/>
    <n v="0"/>
    <n v="0"/>
    <n v="0"/>
    <n v="0"/>
    <n v="0"/>
    <n v="0"/>
    <n v="0"/>
    <m/>
    <m/>
    <m/>
    <m/>
    <m/>
    <m/>
    <m/>
    <m/>
    <m/>
    <m/>
    <m/>
    <m/>
    <m/>
    <m/>
    <m/>
    <m/>
    <m/>
    <m/>
    <m/>
    <m/>
    <m/>
    <n v="0"/>
    <n v="0"/>
    <n v="0"/>
    <n v="0"/>
    <n v="0"/>
    <n v="497.88749999999999"/>
    <n v="0"/>
    <n v="0"/>
    <n v="0"/>
    <n v="0"/>
    <n v="0"/>
    <n v="11715"/>
    <n v="0"/>
    <n v="0"/>
    <n v="0"/>
    <n v="0"/>
    <n v="0"/>
    <n v="121.5"/>
    <n v="0"/>
    <n v="0"/>
    <n v="0"/>
    <n v="0"/>
    <n v="0"/>
    <n v="0"/>
    <n v="0"/>
    <n v="0"/>
    <n v="0"/>
    <n v="0"/>
    <n v="0"/>
    <n v="0"/>
    <n v="0"/>
    <n v="0"/>
    <n v="0"/>
    <n v="0"/>
    <n v="0"/>
    <n v="0"/>
    <n v="0"/>
    <n v="0"/>
    <n v="0"/>
    <n v="0"/>
    <n v="0"/>
    <n v="0"/>
    <n v="0"/>
    <n v="0"/>
    <n v="0"/>
    <n v="0"/>
    <n v="0"/>
    <n v="0"/>
    <n v="0"/>
    <n v="0"/>
    <n v="0"/>
    <n v="0"/>
    <n v="0"/>
    <n v="0"/>
    <n v="0"/>
    <n v="0"/>
    <n v="0"/>
    <n v="0"/>
    <n v="12334.387500000001"/>
    <n v="13074.450750000002"/>
    <s v=" "/>
    <s v=" "/>
    <s v=" "/>
    <s v=" "/>
    <s v=" "/>
    <s v=" "/>
    <s v=" "/>
    <s v=" "/>
    <s v=" "/>
    <s v=" "/>
    <s v=" "/>
    <s v=" "/>
    <s v=" "/>
    <s v=" "/>
    <x v="0"/>
    <x v="0"/>
    <x v="0"/>
    <x v="0"/>
    <x v="0"/>
    <x v="19"/>
    <x v="0"/>
    <x v="0"/>
    <x v="0"/>
    <x v="4"/>
    <x v="1"/>
    <x v="1"/>
    <x v="15"/>
    <x v="0"/>
    <x v="0"/>
    <x v="0"/>
    <x v="0"/>
    <x v="0"/>
    <x v="0"/>
    <x v="0"/>
    <x v="0"/>
    <x v="0"/>
    <x v="0"/>
    <x v="0"/>
    <x v="0"/>
    <x v="0"/>
    <x v="0"/>
    <x v="0"/>
    <x v="15"/>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13"/>
    <s v="Concrete Check Wall"/>
    <s v="Concrete Check Wall"/>
    <s v="KS13_008"/>
    <x v="3"/>
    <n v="29.976378333"/>
    <n v="-25.815808400000002"/>
    <s v="29° 58' 34.96&quot;E "/>
    <s v="25° 48' 56.91&quot; S"/>
    <s v="Complete"/>
    <s v="Yes"/>
    <s v="Yes"/>
    <d v="2017-01-23T00:00:00"/>
    <s v="YES"/>
    <d v="2017-01-23T00:00:00"/>
    <s v="NBC-GTW-CL-0014"/>
    <s v="Yes"/>
    <s v="01"/>
    <d v="2018-12-07T00:00:00"/>
    <s v="Phase 1"/>
    <s v="Year 1"/>
    <m/>
    <n v="0"/>
    <n v="0"/>
    <n v="0"/>
    <n v="0"/>
    <n v="7.5149999999999997"/>
    <m/>
    <m/>
    <m/>
    <m/>
    <m/>
    <m/>
    <n v="7.5149999999999997"/>
    <m/>
    <m/>
    <m/>
    <m/>
    <m/>
    <m/>
    <m/>
    <m/>
    <m/>
    <m/>
    <m/>
    <m/>
    <m/>
    <m/>
    <m/>
    <m/>
    <m/>
    <n v="3.75"/>
    <m/>
    <m/>
    <m/>
    <m/>
    <n v="0"/>
    <n v="0"/>
    <n v="0"/>
    <n v="0"/>
    <n v="0"/>
    <n v="0"/>
    <n v="0"/>
    <n v="0"/>
    <n v="0"/>
    <n v="0"/>
    <n v="0"/>
    <n v="0"/>
    <n v="0"/>
    <n v="0"/>
    <n v="0"/>
    <n v="0"/>
    <n v="0"/>
    <n v="0"/>
    <n v="0"/>
    <n v="0"/>
    <n v="0"/>
    <n v="0"/>
    <n v="0"/>
    <n v="0"/>
    <n v="0"/>
    <n v="0"/>
    <n v="0"/>
    <n v="0"/>
    <n v="0"/>
    <n v="0"/>
    <n v="0"/>
    <n v="0"/>
    <n v="0"/>
    <n v="0"/>
    <n v="0"/>
    <n v="0"/>
    <n v="0"/>
    <n v="0"/>
    <n v="0"/>
    <m/>
    <m/>
    <m/>
    <m/>
    <m/>
    <m/>
    <m/>
    <m/>
    <m/>
    <m/>
    <m/>
    <m/>
    <m/>
    <m/>
    <m/>
    <m/>
    <m/>
    <m/>
    <m/>
    <m/>
    <m/>
    <n v="0"/>
    <n v="0"/>
    <n v="0"/>
    <n v="0"/>
    <n v="0"/>
    <n v="638.77499999999998"/>
    <n v="0"/>
    <n v="0"/>
    <n v="0"/>
    <n v="0"/>
    <n v="0"/>
    <n v="15030"/>
    <n v="0"/>
    <n v="0"/>
    <n v="0"/>
    <n v="0"/>
    <n v="0"/>
    <n v="112.5"/>
    <n v="0"/>
    <n v="0"/>
    <n v="0"/>
    <n v="0"/>
    <n v="0"/>
    <n v="0"/>
    <n v="0"/>
    <n v="0"/>
    <n v="0"/>
    <n v="0"/>
    <n v="0"/>
    <n v="0"/>
    <n v="0"/>
    <n v="0"/>
    <n v="0"/>
    <n v="0"/>
    <n v="0"/>
    <n v="0"/>
    <n v="0"/>
    <n v="0"/>
    <n v="0"/>
    <n v="0"/>
    <n v="0"/>
    <n v="0"/>
    <n v="0"/>
    <n v="0"/>
    <n v="0"/>
    <n v="0"/>
    <n v="0"/>
    <n v="0"/>
    <n v="0"/>
    <n v="0"/>
    <n v="0"/>
    <n v="0"/>
    <n v="0"/>
    <n v="0"/>
    <n v="0"/>
    <n v="0"/>
    <n v="0"/>
    <n v="0"/>
    <n v="15781.275"/>
    <n v="16728.1515"/>
    <s v=" "/>
    <s v=" "/>
    <s v=" "/>
    <s v=" "/>
    <s v=" "/>
    <s v=" "/>
    <s v=" "/>
    <s v=" "/>
    <s v=" "/>
    <s v=" "/>
    <s v=" "/>
    <s v=" "/>
    <s v=" "/>
    <s v=" "/>
    <x v="0"/>
    <x v="0"/>
    <x v="0"/>
    <x v="0"/>
    <x v="0"/>
    <x v="20"/>
    <x v="0"/>
    <x v="0"/>
    <x v="0"/>
    <x v="4"/>
    <x v="1"/>
    <x v="1"/>
    <x v="16"/>
    <x v="0"/>
    <x v="0"/>
    <x v="0"/>
    <x v="0"/>
    <x v="0"/>
    <x v="0"/>
    <x v="0"/>
    <x v="0"/>
    <x v="0"/>
    <x v="0"/>
    <x v="0"/>
    <x v="0"/>
    <x v="0"/>
    <x v="0"/>
    <x v="0"/>
    <x v="16"/>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13"/>
    <s v="Infilling of Drains"/>
    <s v="Earthworks"/>
    <s v="KS13_009"/>
    <x v="3"/>
    <n v="29.976185277999999"/>
    <n v="-25.815637221999999"/>
    <s v="29° 58' 34.26&quot;E "/>
    <s v="25° 48' 56.29&quot; S"/>
    <s v="Complete"/>
    <s v="Yes"/>
    <s v="Yes"/>
    <d v="2017-04-25T00:00:00"/>
    <s v="NA"/>
    <s v="NA"/>
    <s v="No Drawing"/>
    <s v="Yes"/>
    <s v="00"/>
    <d v="2018-06-16T00:00:00"/>
    <s v="Phase 1"/>
    <s v="Year 1"/>
    <n v="78.571670860393255"/>
    <n v="0"/>
    <n v="0"/>
    <n v="0"/>
    <n v="0"/>
    <n v="0"/>
    <n v="0"/>
    <n v="0"/>
    <n v="78.571670860393255"/>
    <n v="78.571670860393255"/>
    <n v="0"/>
    <n v="0"/>
    <n v="0"/>
    <n v="0"/>
    <n v="0"/>
    <n v="0"/>
    <n v="0"/>
    <n v="0"/>
    <n v="0"/>
    <n v="0"/>
    <n v="0"/>
    <n v="0"/>
    <n v="0"/>
    <n v="0"/>
    <n v="0"/>
    <m/>
    <n v="0"/>
    <m/>
    <n v="0"/>
    <n v="0"/>
    <n v="0"/>
    <n v="0"/>
    <n v="0"/>
    <n v="0"/>
    <n v="12.538499999999997"/>
    <n v="0"/>
    <n v="0"/>
    <n v="0"/>
    <n v="0"/>
    <n v="0"/>
    <n v="0"/>
    <n v="0"/>
    <n v="0"/>
    <n v="0"/>
    <n v="0"/>
    <n v="0"/>
    <n v="0"/>
    <n v="0"/>
    <n v="0"/>
    <n v="0"/>
    <n v="0"/>
    <n v="0"/>
    <n v="0"/>
    <n v="0"/>
    <n v="0"/>
    <n v="0"/>
    <n v="0"/>
    <n v="0"/>
    <n v="0"/>
    <n v="0"/>
    <n v="0"/>
    <n v="0"/>
    <n v="0"/>
    <n v="0"/>
    <n v="0"/>
    <n v="0"/>
    <n v="0"/>
    <n v="0"/>
    <n v="0"/>
    <n v="0"/>
    <n v="0"/>
    <n v="0"/>
    <n v="0"/>
    <n v="0"/>
    <n v="0"/>
    <n v="0"/>
    <n v="0"/>
    <n v="0"/>
    <n v="0"/>
    <n v="0"/>
    <n v="0"/>
    <n v="0"/>
    <n v="0"/>
    <n v="0"/>
    <n v="0"/>
    <n v="0"/>
    <m/>
    <m/>
    <m/>
    <m/>
    <m/>
    <m/>
    <m/>
    <m/>
    <m/>
    <n v="392.8583543019663"/>
    <n v="0"/>
    <n v="0"/>
    <n v="0"/>
    <n v="0"/>
    <n v="0"/>
    <n v="0"/>
    <n v="0"/>
    <n v="392.8583543019663"/>
    <n v="785.7167086039326"/>
    <n v="0"/>
    <n v="0"/>
    <n v="0"/>
    <n v="0"/>
    <n v="0"/>
    <n v="0"/>
    <n v="0"/>
    <n v="0"/>
    <n v="0"/>
    <n v="0"/>
    <n v="1504.6199999999997"/>
    <n v="0"/>
    <n v="0"/>
    <n v="0"/>
    <n v="0"/>
    <n v="0"/>
    <n v="0"/>
    <n v="0"/>
    <n v="0"/>
    <n v="0"/>
    <n v="0"/>
    <n v="0"/>
    <n v="0"/>
    <n v="0"/>
    <n v="0"/>
    <n v="0"/>
    <n v="0"/>
    <n v="0"/>
    <n v="0"/>
    <n v="0"/>
    <n v="0"/>
    <n v="0"/>
    <n v="0"/>
    <n v="0"/>
    <n v="0"/>
    <n v="0"/>
    <n v="0"/>
    <n v="0"/>
    <n v="0"/>
    <n v="0"/>
    <n v="0"/>
    <n v="0"/>
    <n v="0"/>
    <n v="0"/>
    <n v="0"/>
    <n v="0"/>
    <n v="0"/>
    <n v="0"/>
    <n v="3076.0534172078651"/>
    <n v="3260.6166222403372"/>
    <s v=" "/>
    <s v=" "/>
    <s v=" "/>
    <s v=" "/>
    <s v=" "/>
    <s v=" "/>
    <s v=" "/>
    <s v=" "/>
    <s v=" "/>
    <s v=" "/>
    <s v=" "/>
    <s v=" "/>
    <s v=" "/>
    <s v=" "/>
    <x v="20"/>
    <x v="0"/>
    <x v="0"/>
    <x v="0"/>
    <x v="0"/>
    <x v="1"/>
    <x v="0"/>
    <x v="0"/>
    <x v="20"/>
    <x v="21"/>
    <x v="1"/>
    <x v="1"/>
    <x v="0"/>
    <x v="0"/>
    <x v="0"/>
    <x v="0"/>
    <x v="0"/>
    <x v="0"/>
    <x v="0"/>
    <x v="0"/>
    <x v="0"/>
    <x v="0"/>
    <x v="0"/>
    <x v="0"/>
    <x v="0"/>
    <x v="0"/>
    <x v="0"/>
    <x v="0"/>
    <x v="0"/>
    <x v="0"/>
    <x v="0"/>
    <x v="0"/>
    <x v="12"/>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13"/>
    <s v="Removal of Berm"/>
    <s v="Excavation"/>
    <s v="KS13_010"/>
    <x v="3"/>
    <n v="29.975885278"/>
    <n v="-25.815651388999999"/>
    <s v="29° 58' 33.18&quot;E "/>
    <s v="25° 48' 56.34&quot; S"/>
    <s v="Complete"/>
    <s v="Yes"/>
    <s v="Yes"/>
    <d v="2017-04-25T00:00:00"/>
    <s v="NA"/>
    <s v="NA"/>
    <s v="No Drawing"/>
    <s v="Yes"/>
    <s v="00"/>
    <d v="2018-06-16T00:00:00"/>
    <s v="Phase 1"/>
    <s v="Year 1"/>
    <n v="1868.0949685772146"/>
    <n v="336.92505000000006"/>
    <n v="0"/>
    <n v="0"/>
    <n v="0"/>
    <n v="0"/>
    <n v="0"/>
    <n v="0"/>
    <n v="1020.985"/>
    <n v="1020.985"/>
    <n v="150"/>
    <n v="0"/>
    <n v="0"/>
    <n v="0"/>
    <n v="0"/>
    <n v="0"/>
    <n v="0"/>
    <n v="0"/>
    <n v="0"/>
    <n v="0"/>
    <n v="0"/>
    <n v="0"/>
    <n v="0"/>
    <n v="0"/>
    <n v="0"/>
    <m/>
    <n v="0"/>
    <m/>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n v="9340.474842886073"/>
    <n v="16846.252500000002"/>
    <n v="0"/>
    <n v="0"/>
    <n v="0"/>
    <n v="0"/>
    <n v="0"/>
    <n v="0"/>
    <n v="5104.9250000000002"/>
    <n v="10209.85"/>
    <n v="0"/>
    <n v="0"/>
    <n v="0"/>
    <n v="0"/>
    <n v="0"/>
    <n v="0"/>
    <n v="0"/>
    <n v="0"/>
    <n v="0"/>
    <n v="0"/>
    <n v="0"/>
    <n v="0"/>
    <n v="0"/>
    <n v="0"/>
    <n v="0"/>
    <n v="0"/>
    <n v="0"/>
    <n v="0"/>
    <n v="0"/>
    <n v="0"/>
    <n v="0"/>
    <n v="0"/>
    <n v="0"/>
    <n v="0"/>
    <n v="0"/>
    <n v="0"/>
    <n v="0"/>
    <n v="0"/>
    <n v="0"/>
    <n v="0"/>
    <n v="0"/>
    <n v="0"/>
    <n v="0"/>
    <n v="0"/>
    <n v="0"/>
    <n v="0"/>
    <n v="0"/>
    <n v="0"/>
    <n v="0"/>
    <n v="0"/>
    <n v="0"/>
    <n v="0"/>
    <n v="0"/>
    <n v="0"/>
    <n v="0"/>
    <n v="0"/>
    <n v="0"/>
    <n v="0"/>
    <n v="41501.502342886073"/>
    <n v="43991.592483459237"/>
    <s v=" "/>
    <s v=" "/>
    <s v=" "/>
    <s v=" "/>
    <s v=" "/>
    <s v=" "/>
    <s v=" "/>
    <s v=" "/>
    <s v=" "/>
    <s v=" "/>
    <s v=" "/>
    <s v=" "/>
    <s v=" "/>
    <s v=" "/>
    <x v="21"/>
    <x v="8"/>
    <x v="0"/>
    <x v="0"/>
    <x v="0"/>
    <x v="1"/>
    <x v="0"/>
    <x v="0"/>
    <x v="21"/>
    <x v="22"/>
    <x v="2"/>
    <x v="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13"/>
    <s v="Concrete Check Wall"/>
    <s v="Concrete Check Wall"/>
    <s v="KS13_011"/>
    <x v="3"/>
    <n v="29.975739443999998"/>
    <n v="-25.815501389000001"/>
    <s v="29° 58' 32.66&quot;E "/>
    <s v="25° 48' 55.80&quot; S"/>
    <s v="Complete"/>
    <s v="Yes"/>
    <s v="Yes"/>
    <d v="2017-02-01T00:00:00"/>
    <s v="YES"/>
    <d v="2017-02-01T00:00:00"/>
    <s v="NBC-GTW-CL-0015"/>
    <s v="Yes"/>
    <s v="01"/>
    <d v="2018-12-07T00:00:00"/>
    <s v="Phase 1"/>
    <s v="Year 1"/>
    <m/>
    <n v="0"/>
    <n v="0"/>
    <n v="0"/>
    <n v="0"/>
    <n v="6.6959999999999997"/>
    <m/>
    <m/>
    <m/>
    <m/>
    <m/>
    <m/>
    <n v="6.6959999999999997"/>
    <m/>
    <m/>
    <m/>
    <m/>
    <m/>
    <m/>
    <m/>
    <m/>
    <m/>
    <m/>
    <m/>
    <m/>
    <m/>
    <m/>
    <m/>
    <m/>
    <m/>
    <n v="4.5"/>
    <n v="0"/>
    <n v="0"/>
    <n v="0"/>
    <m/>
    <n v="0"/>
    <n v="0"/>
    <n v="0"/>
    <n v="0"/>
    <n v="0"/>
    <n v="0"/>
    <n v="0"/>
    <n v="0"/>
    <n v="0"/>
    <n v="0"/>
    <n v="0"/>
    <n v="0"/>
    <n v="0"/>
    <n v="0"/>
    <n v="0"/>
    <n v="0"/>
    <n v="0"/>
    <n v="0"/>
    <n v="0"/>
    <n v="0"/>
    <n v="0"/>
    <n v="0"/>
    <n v="0"/>
    <n v="0"/>
    <n v="0"/>
    <n v="0"/>
    <n v="0"/>
    <n v="0"/>
    <n v="0"/>
    <n v="0"/>
    <n v="0"/>
    <n v="0"/>
    <n v="0"/>
    <n v="0"/>
    <n v="0"/>
    <n v="0"/>
    <n v="0"/>
    <n v="0"/>
    <n v="0"/>
    <m/>
    <m/>
    <m/>
    <m/>
    <m/>
    <m/>
    <m/>
    <m/>
    <m/>
    <m/>
    <m/>
    <m/>
    <m/>
    <m/>
    <m/>
    <m/>
    <m/>
    <m/>
    <m/>
    <m/>
    <m/>
    <n v="0"/>
    <n v="0"/>
    <n v="0"/>
    <n v="0"/>
    <n v="0"/>
    <n v="569.16"/>
    <n v="0"/>
    <n v="0"/>
    <n v="0"/>
    <n v="0"/>
    <n v="0"/>
    <n v="13392"/>
    <n v="0"/>
    <n v="0"/>
    <n v="0"/>
    <n v="0"/>
    <n v="0"/>
    <n v="135"/>
    <n v="0"/>
    <n v="0"/>
    <n v="0"/>
    <n v="0"/>
    <n v="0"/>
    <n v="0"/>
    <n v="0"/>
    <n v="0"/>
    <n v="0"/>
    <n v="0"/>
    <n v="0"/>
    <n v="0"/>
    <n v="0"/>
    <n v="0"/>
    <n v="0"/>
    <n v="0"/>
    <n v="0"/>
    <n v="0"/>
    <n v="0"/>
    <n v="0"/>
    <n v="0"/>
    <n v="0"/>
    <n v="0"/>
    <n v="0"/>
    <n v="0"/>
    <n v="0"/>
    <n v="0"/>
    <n v="0"/>
    <n v="0"/>
    <n v="0"/>
    <n v="0"/>
    <n v="0"/>
    <n v="0"/>
    <n v="0"/>
    <n v="0"/>
    <n v="0"/>
    <n v="0"/>
    <n v="0"/>
    <n v="0"/>
    <n v="0"/>
    <n v="14096.16"/>
    <n v="14941.929600000001"/>
    <s v=" "/>
    <s v=" "/>
    <s v=" "/>
    <s v=" "/>
    <s v=" "/>
    <s v=" "/>
    <s v=" "/>
    <s v=" "/>
    <s v=" "/>
    <s v=" "/>
    <s v=" "/>
    <s v=" "/>
    <s v=" "/>
    <s v=" "/>
    <x v="0"/>
    <x v="0"/>
    <x v="0"/>
    <x v="0"/>
    <x v="0"/>
    <x v="21"/>
    <x v="0"/>
    <x v="0"/>
    <x v="0"/>
    <x v="4"/>
    <x v="1"/>
    <x v="1"/>
    <x v="17"/>
    <x v="0"/>
    <x v="0"/>
    <x v="0"/>
    <x v="0"/>
    <x v="0"/>
    <x v="0"/>
    <x v="0"/>
    <x v="0"/>
    <x v="0"/>
    <x v="0"/>
    <x v="0"/>
    <x v="0"/>
    <x v="0"/>
    <x v="0"/>
    <x v="0"/>
    <x v="17"/>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13"/>
    <s v="Concrete Check Wall"/>
    <s v="Concrete Check Wall"/>
    <s v="KS13_012"/>
    <x v="3"/>
    <n v="29.975463610999999"/>
    <n v="-25.815300277999999"/>
    <s v="29° 58' 31.66&quot;E "/>
    <s v="25° 48' 55.08&quot; S"/>
    <s v="Complete"/>
    <s v="Yes"/>
    <s v="Yes"/>
    <d v="2017-02-01T00:00:00"/>
    <s v="YES"/>
    <d v="2017-02-01T00:00:00"/>
    <s v="NBC-GTW-CL-0016"/>
    <s v="Yes"/>
    <s v="01"/>
    <d v="2018-12-07T00:00:00"/>
    <s v="Phase 1"/>
    <s v="Year 1"/>
    <m/>
    <n v="0"/>
    <n v="0"/>
    <n v="0"/>
    <n v="0"/>
    <n v="6.0120000000000005"/>
    <m/>
    <m/>
    <m/>
    <m/>
    <m/>
    <m/>
    <n v="6.0120000000000005"/>
    <m/>
    <m/>
    <m/>
    <m/>
    <m/>
    <m/>
    <m/>
    <m/>
    <m/>
    <m/>
    <m/>
    <m/>
    <m/>
    <m/>
    <m/>
    <m/>
    <m/>
    <n v="3.5999999999999996"/>
    <n v="0"/>
    <n v="0"/>
    <n v="0"/>
    <m/>
    <n v="0"/>
    <n v="0"/>
    <n v="0"/>
    <n v="0"/>
    <n v="0"/>
    <n v="0"/>
    <n v="0"/>
    <n v="0"/>
    <n v="0"/>
    <n v="0"/>
    <n v="0"/>
    <n v="0"/>
    <n v="0"/>
    <n v="0"/>
    <n v="0"/>
    <n v="0"/>
    <n v="0"/>
    <n v="0"/>
    <n v="0"/>
    <n v="0"/>
    <n v="0"/>
    <n v="0"/>
    <n v="0"/>
    <n v="0"/>
    <n v="0"/>
    <n v="0"/>
    <n v="0"/>
    <n v="0"/>
    <n v="0"/>
    <n v="0"/>
    <n v="0"/>
    <n v="0"/>
    <n v="0"/>
    <n v="0"/>
    <n v="0"/>
    <n v="0"/>
    <n v="0"/>
    <n v="0"/>
    <n v="0"/>
    <m/>
    <m/>
    <m/>
    <m/>
    <m/>
    <m/>
    <m/>
    <m/>
    <m/>
    <m/>
    <m/>
    <m/>
    <m/>
    <m/>
    <m/>
    <m/>
    <m/>
    <m/>
    <m/>
    <m/>
    <m/>
    <n v="0"/>
    <n v="0"/>
    <n v="0"/>
    <n v="0"/>
    <n v="0"/>
    <n v="511.02000000000004"/>
    <n v="0"/>
    <n v="0"/>
    <n v="0"/>
    <n v="0"/>
    <n v="0"/>
    <n v="12024"/>
    <n v="0"/>
    <n v="0"/>
    <n v="0"/>
    <n v="0"/>
    <n v="0"/>
    <n v="107.99999999999999"/>
    <n v="0"/>
    <n v="0"/>
    <n v="0"/>
    <n v="0"/>
    <n v="0"/>
    <n v="0"/>
    <n v="0"/>
    <n v="0"/>
    <n v="0"/>
    <n v="0"/>
    <n v="0"/>
    <n v="0"/>
    <n v="0"/>
    <n v="0"/>
    <n v="0"/>
    <n v="0"/>
    <n v="0"/>
    <n v="0"/>
    <n v="0"/>
    <n v="0"/>
    <n v="0"/>
    <n v="0"/>
    <n v="0"/>
    <n v="0"/>
    <n v="0"/>
    <n v="0"/>
    <n v="0"/>
    <n v="0"/>
    <n v="0"/>
    <n v="0"/>
    <n v="0"/>
    <n v="0"/>
    <n v="0"/>
    <n v="0"/>
    <n v="0"/>
    <n v="0"/>
    <n v="0"/>
    <n v="0"/>
    <n v="0"/>
    <n v="0"/>
    <n v="12643.02"/>
    <n v="13401.601200000001"/>
    <s v=" "/>
    <s v=" "/>
    <s v=" "/>
    <s v=" "/>
    <s v=" "/>
    <s v=" "/>
    <s v=" "/>
    <s v=" "/>
    <s v=" "/>
    <s v=" "/>
    <s v=" "/>
    <s v=" "/>
    <s v=" "/>
    <s v=" "/>
    <x v="0"/>
    <x v="0"/>
    <x v="0"/>
    <x v="0"/>
    <x v="0"/>
    <x v="22"/>
    <x v="0"/>
    <x v="0"/>
    <x v="0"/>
    <x v="4"/>
    <x v="1"/>
    <x v="1"/>
    <x v="18"/>
    <x v="0"/>
    <x v="0"/>
    <x v="0"/>
    <x v="0"/>
    <x v="0"/>
    <x v="0"/>
    <x v="0"/>
    <x v="0"/>
    <x v="0"/>
    <x v="0"/>
    <x v="0"/>
    <x v="0"/>
    <x v="0"/>
    <x v="0"/>
    <x v="0"/>
    <x v="18"/>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13"/>
    <s v="Concrete Check Wall"/>
    <s v="Concrete Check Wall"/>
    <s v="KS13_013"/>
    <x v="3"/>
    <n v="29.974538889000002"/>
    <n v="-25.814845556000002"/>
    <s v="29° 58' 28.34&quot;E "/>
    <s v="25° 48' 53.44&quot; S"/>
    <s v="Complete"/>
    <s v="Yes"/>
    <s v="Yes"/>
    <d v="2017-02-01T00:00:00"/>
    <s v="YES"/>
    <d v="2017-02-01T00:00:00"/>
    <s v="NBC-GTW-CL-0017"/>
    <s v="Yes"/>
    <s v="01"/>
    <d v="2018-12-07T00:00:00"/>
    <s v="Phase 1"/>
    <s v="Year 1"/>
    <m/>
    <n v="0"/>
    <n v="0"/>
    <n v="0"/>
    <n v="0"/>
    <n v="5.1659999999999995"/>
    <m/>
    <m/>
    <m/>
    <m/>
    <m/>
    <m/>
    <n v="5.1659999999999995"/>
    <m/>
    <m/>
    <m/>
    <m/>
    <m/>
    <m/>
    <m/>
    <m/>
    <m/>
    <m/>
    <m/>
    <m/>
    <m/>
    <m/>
    <m/>
    <m/>
    <m/>
    <n v="3.5999999999999996"/>
    <n v="0"/>
    <n v="0"/>
    <n v="0"/>
    <m/>
    <n v="0"/>
    <n v="0"/>
    <n v="0"/>
    <n v="0"/>
    <n v="0"/>
    <n v="0"/>
    <n v="0"/>
    <n v="0"/>
    <n v="0"/>
    <n v="0"/>
    <n v="0"/>
    <n v="0"/>
    <n v="0"/>
    <n v="0"/>
    <n v="0"/>
    <n v="0"/>
    <n v="0"/>
    <n v="0"/>
    <n v="0"/>
    <n v="0"/>
    <n v="0"/>
    <n v="0"/>
    <n v="0"/>
    <n v="0"/>
    <n v="0"/>
    <n v="0"/>
    <n v="0"/>
    <n v="0"/>
    <n v="0"/>
    <n v="0"/>
    <n v="0"/>
    <n v="0"/>
    <n v="0"/>
    <n v="0"/>
    <n v="0"/>
    <n v="0"/>
    <n v="0"/>
    <n v="0"/>
    <n v="0"/>
    <m/>
    <m/>
    <m/>
    <m/>
    <m/>
    <m/>
    <m/>
    <m/>
    <m/>
    <m/>
    <m/>
    <m/>
    <m/>
    <m/>
    <m/>
    <m/>
    <m/>
    <m/>
    <m/>
    <m/>
    <m/>
    <n v="0"/>
    <n v="0"/>
    <n v="0"/>
    <n v="0"/>
    <n v="0"/>
    <n v="439.10999999999996"/>
    <n v="0"/>
    <n v="0"/>
    <n v="0"/>
    <n v="0"/>
    <n v="0"/>
    <n v="10331.999999999998"/>
    <n v="0"/>
    <n v="0"/>
    <n v="0"/>
    <n v="0"/>
    <n v="0"/>
    <n v="107.99999999999999"/>
    <n v="0"/>
    <n v="0"/>
    <n v="0"/>
    <n v="0"/>
    <n v="0"/>
    <n v="0"/>
    <n v="0"/>
    <n v="0"/>
    <n v="0"/>
    <n v="0"/>
    <n v="0"/>
    <n v="0"/>
    <n v="0"/>
    <n v="0"/>
    <n v="0"/>
    <n v="0"/>
    <n v="0"/>
    <n v="0"/>
    <n v="0"/>
    <n v="0"/>
    <n v="0"/>
    <n v="0"/>
    <n v="0"/>
    <n v="0"/>
    <n v="0"/>
    <n v="0"/>
    <n v="0"/>
    <n v="0"/>
    <n v="0"/>
    <n v="0"/>
    <n v="0"/>
    <n v="0"/>
    <n v="0"/>
    <n v="0"/>
    <n v="0"/>
    <n v="0"/>
    <n v="0"/>
    <n v="0"/>
    <n v="0"/>
    <n v="0"/>
    <n v="10879.109999999999"/>
    <n v="11531.856599999999"/>
    <s v=" "/>
    <s v=" "/>
    <s v=" "/>
    <s v=" "/>
    <s v=" "/>
    <s v=" "/>
    <s v=" "/>
    <s v=" "/>
    <s v=" "/>
    <s v=" "/>
    <s v=" "/>
    <s v=" "/>
    <s v=" "/>
    <s v=" "/>
    <x v="0"/>
    <x v="0"/>
    <x v="0"/>
    <x v="0"/>
    <x v="0"/>
    <x v="23"/>
    <x v="0"/>
    <x v="0"/>
    <x v="0"/>
    <x v="4"/>
    <x v="1"/>
    <x v="1"/>
    <x v="19"/>
    <x v="0"/>
    <x v="0"/>
    <x v="0"/>
    <x v="0"/>
    <x v="0"/>
    <x v="0"/>
    <x v="0"/>
    <x v="0"/>
    <x v="0"/>
    <x v="0"/>
    <x v="0"/>
    <x v="0"/>
    <x v="0"/>
    <x v="0"/>
    <x v="0"/>
    <x v="19"/>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13"/>
    <s v="Infilling of Drains"/>
    <s v="Earthworks"/>
    <s v="KS13_014"/>
    <x v="3"/>
    <n v="29.974613889"/>
    <n v="-25.815002499999999"/>
    <s v="29° 58' 28.61&quot;E "/>
    <s v="25° 48' 54.00&quot; S"/>
    <s v="Complete"/>
    <s v="Yes"/>
    <s v="Yes"/>
    <d v="2017-04-25T00:00:00"/>
    <s v="NA"/>
    <s v="NA"/>
    <s v="No Drawing"/>
    <s v="Yes"/>
    <s v="00"/>
    <d v="2018-06-16T00:00:00"/>
    <s v="Phase 1"/>
    <s v="Year 1"/>
    <n v="278.71659832128807"/>
    <n v="0"/>
    <n v="0"/>
    <n v="0"/>
    <n v="0"/>
    <n v="0"/>
    <n v="0"/>
    <n v="0"/>
    <n v="278.71659832128807"/>
    <n v="278.71659832128807"/>
    <n v="0"/>
    <n v="0"/>
    <n v="0"/>
    <n v="0"/>
    <n v="0"/>
    <n v="0"/>
    <n v="0"/>
    <n v="0"/>
    <n v="0"/>
    <n v="0"/>
    <n v="0"/>
    <n v="0"/>
    <n v="0"/>
    <n v="0"/>
    <n v="0"/>
    <m/>
    <n v="0"/>
    <m/>
    <n v="0"/>
    <n v="0"/>
    <n v="0"/>
    <n v="0"/>
    <n v="0"/>
    <n v="0"/>
    <n v="64.842659999999995"/>
    <n v="0"/>
    <n v="0"/>
    <n v="0"/>
    <n v="0"/>
    <n v="0"/>
    <n v="0"/>
    <n v="0"/>
    <n v="0"/>
    <n v="0"/>
    <n v="0"/>
    <n v="0"/>
    <n v="0"/>
    <n v="0"/>
    <n v="0"/>
    <n v="0"/>
    <n v="0"/>
    <n v="0"/>
    <n v="0"/>
    <n v="0"/>
    <n v="0"/>
    <n v="0"/>
    <n v="0"/>
    <n v="0"/>
    <n v="0"/>
    <n v="0"/>
    <n v="0"/>
    <n v="0"/>
    <n v="0"/>
    <n v="0"/>
    <n v="0"/>
    <n v="0"/>
    <n v="0"/>
    <n v="0"/>
    <n v="0"/>
    <n v="0"/>
    <n v="0"/>
    <n v="0"/>
    <n v="0"/>
    <n v="0"/>
    <n v="0"/>
    <n v="0"/>
    <n v="0"/>
    <n v="0"/>
    <n v="0"/>
    <n v="0"/>
    <n v="0"/>
    <n v="0"/>
    <n v="0"/>
    <n v="0"/>
    <n v="0"/>
    <n v="0"/>
    <m/>
    <m/>
    <m/>
    <m/>
    <m/>
    <m/>
    <m/>
    <m/>
    <m/>
    <n v="1393.5829916064404"/>
    <n v="0"/>
    <n v="0"/>
    <n v="0"/>
    <n v="0"/>
    <n v="0"/>
    <n v="0"/>
    <n v="0"/>
    <n v="1393.5829916064404"/>
    <n v="2787.1659832128807"/>
    <n v="0"/>
    <n v="0"/>
    <n v="0"/>
    <n v="0"/>
    <n v="0"/>
    <n v="0"/>
    <n v="0"/>
    <n v="0"/>
    <n v="0"/>
    <n v="0"/>
    <n v="7781.1191999999992"/>
    <n v="0"/>
    <n v="0"/>
    <n v="0"/>
    <n v="0"/>
    <n v="0"/>
    <n v="0"/>
    <n v="0"/>
    <n v="0"/>
    <n v="0"/>
    <n v="0"/>
    <n v="0"/>
    <n v="0"/>
    <n v="0"/>
    <n v="0"/>
    <n v="0"/>
    <n v="0"/>
    <n v="0"/>
    <n v="0"/>
    <n v="0"/>
    <n v="0"/>
    <n v="0"/>
    <n v="0"/>
    <n v="0"/>
    <n v="0"/>
    <n v="0"/>
    <n v="0"/>
    <n v="0"/>
    <n v="0"/>
    <n v="0"/>
    <n v="0"/>
    <n v="0"/>
    <n v="0"/>
    <n v="0"/>
    <n v="0"/>
    <n v="0"/>
    <n v="0"/>
    <n v="0"/>
    <n v="13355.451166425761"/>
    <n v="14156.778236411306"/>
    <s v=" "/>
    <s v=" "/>
    <s v=" "/>
    <s v=" "/>
    <s v=" "/>
    <s v=" "/>
    <s v=" "/>
    <s v=" "/>
    <s v=" "/>
    <s v=" "/>
    <s v=" "/>
    <s v=" "/>
    <s v=" "/>
    <s v=" "/>
    <x v="22"/>
    <x v="0"/>
    <x v="0"/>
    <x v="0"/>
    <x v="0"/>
    <x v="1"/>
    <x v="0"/>
    <x v="0"/>
    <x v="22"/>
    <x v="23"/>
    <x v="1"/>
    <x v="1"/>
    <x v="0"/>
    <x v="0"/>
    <x v="0"/>
    <x v="0"/>
    <x v="0"/>
    <x v="0"/>
    <x v="0"/>
    <x v="0"/>
    <x v="0"/>
    <x v="0"/>
    <x v="0"/>
    <x v="0"/>
    <x v="0"/>
    <x v="0"/>
    <x v="0"/>
    <x v="0"/>
    <x v="0"/>
    <x v="0"/>
    <x v="0"/>
    <x v="0"/>
    <x v="13"/>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13"/>
    <s v="Concrete Check Wall"/>
    <s v="Concrete Check Wall"/>
    <s v="KS13_015"/>
    <x v="3"/>
    <n v="29.973975278000001"/>
    <n v="-25.814560833000002"/>
    <s v="29° 58' 26.31&quot;E "/>
    <s v="25° 48' 52.41&quot; S"/>
    <s v="Complete"/>
    <s v="Yes"/>
    <s v="Yes"/>
    <d v="2017-02-01T00:00:00"/>
    <s v="YES"/>
    <d v="2017-02-01T00:00:00"/>
    <s v="NBC-GTW-CL-0018"/>
    <s v="Yes"/>
    <s v="01"/>
    <d v="2018-12-07T00:00:00"/>
    <s v="Phase 1"/>
    <s v="Year 1"/>
    <m/>
    <n v="0"/>
    <n v="0"/>
    <n v="0"/>
    <n v="0"/>
    <n v="5.3609999999999998"/>
    <m/>
    <m/>
    <m/>
    <m/>
    <m/>
    <m/>
    <n v="5.3609999999999998"/>
    <m/>
    <m/>
    <m/>
    <m/>
    <m/>
    <m/>
    <m/>
    <m/>
    <m/>
    <m/>
    <m/>
    <m/>
    <m/>
    <m/>
    <m/>
    <m/>
    <m/>
    <n v="3.9"/>
    <n v="0"/>
    <n v="0"/>
    <n v="0"/>
    <m/>
    <m/>
    <n v="0"/>
    <n v="0"/>
    <n v="0"/>
    <n v="0"/>
    <n v="0"/>
    <n v="0"/>
    <n v="0"/>
    <n v="0"/>
    <n v="0"/>
    <n v="0"/>
    <n v="0"/>
    <n v="0"/>
    <n v="0"/>
    <n v="0"/>
    <n v="0"/>
    <n v="0"/>
    <n v="0"/>
    <n v="0"/>
    <n v="0"/>
    <n v="0"/>
    <n v="0"/>
    <n v="0"/>
    <n v="0"/>
    <n v="0"/>
    <n v="0"/>
    <n v="0"/>
    <n v="0"/>
    <n v="0"/>
    <n v="0"/>
    <n v="0"/>
    <n v="0"/>
    <n v="0"/>
    <n v="0"/>
    <n v="0"/>
    <n v="0"/>
    <n v="0"/>
    <n v="0"/>
    <n v="0"/>
    <m/>
    <m/>
    <m/>
    <m/>
    <m/>
    <m/>
    <m/>
    <m/>
    <m/>
    <m/>
    <m/>
    <m/>
    <m/>
    <m/>
    <m/>
    <m/>
    <m/>
    <m/>
    <m/>
    <m/>
    <m/>
    <n v="0"/>
    <n v="0"/>
    <n v="0"/>
    <n v="0"/>
    <n v="0"/>
    <n v="455.685"/>
    <n v="0"/>
    <n v="0"/>
    <n v="0"/>
    <n v="0"/>
    <n v="0"/>
    <n v="10722"/>
    <n v="0"/>
    <n v="0"/>
    <n v="0"/>
    <n v="0"/>
    <n v="0"/>
    <n v="117"/>
    <n v="0"/>
    <n v="0"/>
    <n v="0"/>
    <n v="0"/>
    <n v="0"/>
    <n v="0"/>
    <n v="0"/>
    <n v="0"/>
    <n v="0"/>
    <n v="0"/>
    <n v="0"/>
    <n v="0"/>
    <n v="0"/>
    <n v="0"/>
    <n v="0"/>
    <n v="0"/>
    <n v="0"/>
    <n v="0"/>
    <n v="0"/>
    <n v="0"/>
    <n v="0"/>
    <n v="0"/>
    <n v="0"/>
    <n v="0"/>
    <n v="0"/>
    <n v="0"/>
    <n v="0"/>
    <n v="0"/>
    <n v="0"/>
    <n v="0"/>
    <n v="0"/>
    <n v="0"/>
    <n v="0"/>
    <n v="0"/>
    <n v="0"/>
    <n v="0"/>
    <n v="0"/>
    <n v="0"/>
    <n v="0"/>
    <n v="0"/>
    <n v="11294.684999999999"/>
    <n v="11972.366099999999"/>
    <s v=" "/>
    <s v=" "/>
    <s v=" "/>
    <s v=" "/>
    <s v=" "/>
    <s v=" "/>
    <s v=" "/>
    <s v=" "/>
    <s v=" "/>
    <s v=" "/>
    <s v=" "/>
    <s v=" "/>
    <s v=" "/>
    <s v=" "/>
    <x v="0"/>
    <x v="0"/>
    <x v="0"/>
    <x v="0"/>
    <x v="0"/>
    <x v="24"/>
    <x v="0"/>
    <x v="0"/>
    <x v="0"/>
    <x v="4"/>
    <x v="1"/>
    <x v="1"/>
    <x v="20"/>
    <x v="0"/>
    <x v="0"/>
    <x v="0"/>
    <x v="0"/>
    <x v="0"/>
    <x v="0"/>
    <x v="0"/>
    <x v="0"/>
    <x v="0"/>
    <x v="0"/>
    <x v="0"/>
    <x v="0"/>
    <x v="0"/>
    <x v="0"/>
    <x v="0"/>
    <x v="2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13"/>
    <s v="Infilling of Drains"/>
    <s v="Earthworks"/>
    <s v="KS13_016"/>
    <x v="3"/>
    <n v="29.972971944000001"/>
    <n v="-25.814069721999999"/>
    <s v="29° 58' 22.69&quot;E "/>
    <s v="25° 48' 50.65&quot; S"/>
    <s v="Complete"/>
    <s v="Yes"/>
    <s v="Yes"/>
    <d v="2017-04-26T00:00:00"/>
    <s v="NA"/>
    <s v="NA"/>
    <s v="No Drawing"/>
    <s v="Yes"/>
    <s v="00"/>
    <d v="2018-06-16T00:00:00"/>
    <s v="Phase 1"/>
    <s v="Year 1"/>
    <n v="332.18699875975966"/>
    <n v="111.91475"/>
    <n v="0"/>
    <n v="0"/>
    <n v="0"/>
    <n v="0"/>
    <n v="0"/>
    <n v="0"/>
    <n v="332.18699875975966"/>
    <n v="332.18699875975966"/>
    <n v="0"/>
    <n v="0"/>
    <n v="0"/>
    <n v="0"/>
    <n v="0"/>
    <n v="0"/>
    <n v="0"/>
    <n v="0"/>
    <n v="0"/>
    <n v="0"/>
    <n v="0"/>
    <n v="0"/>
    <n v="0"/>
    <n v="0"/>
    <n v="0"/>
    <m/>
    <n v="0"/>
    <m/>
    <n v="0"/>
    <n v="0"/>
    <n v="0"/>
    <n v="0"/>
    <n v="0"/>
    <n v="0"/>
    <n v="111.91475"/>
    <n v="0"/>
    <n v="0"/>
    <n v="0"/>
    <n v="0"/>
    <n v="0"/>
    <n v="0"/>
    <n v="0"/>
    <n v="0"/>
    <n v="0"/>
    <n v="0"/>
    <n v="0"/>
    <n v="0"/>
    <n v="0"/>
    <n v="0"/>
    <n v="0"/>
    <n v="0"/>
    <n v="0"/>
    <n v="0"/>
    <n v="0"/>
    <n v="0"/>
    <n v="0"/>
    <n v="0"/>
    <n v="0"/>
    <n v="0"/>
    <n v="0"/>
    <n v="0"/>
    <n v="0"/>
    <n v="0"/>
    <n v="0"/>
    <n v="0"/>
    <n v="0"/>
    <n v="0"/>
    <n v="0"/>
    <n v="0"/>
    <n v="0"/>
    <n v="0"/>
    <n v="0"/>
    <n v="0"/>
    <n v="0"/>
    <n v="0"/>
    <n v="0"/>
    <n v="0"/>
    <n v="0"/>
    <n v="0"/>
    <n v="0"/>
    <n v="0"/>
    <n v="0"/>
    <n v="0"/>
    <n v="0"/>
    <n v="0"/>
    <n v="0"/>
    <m/>
    <m/>
    <m/>
    <m/>
    <m/>
    <m/>
    <m/>
    <m/>
    <m/>
    <n v="1660.9349937987984"/>
    <n v="5595.7375000000002"/>
    <n v="0"/>
    <n v="0"/>
    <n v="0"/>
    <n v="0"/>
    <n v="0"/>
    <n v="0"/>
    <n v="1660.9349937987984"/>
    <n v="3321.8699875975967"/>
    <n v="0"/>
    <n v="0"/>
    <n v="0"/>
    <n v="0"/>
    <n v="0"/>
    <n v="0"/>
    <n v="0"/>
    <n v="0"/>
    <n v="0"/>
    <n v="0"/>
    <n v="13429.77"/>
    <n v="0"/>
    <n v="0"/>
    <n v="0"/>
    <n v="0"/>
    <n v="0"/>
    <n v="0"/>
    <n v="0"/>
    <n v="0"/>
    <n v="0"/>
    <n v="0"/>
    <n v="0"/>
    <n v="0"/>
    <n v="0"/>
    <n v="0"/>
    <n v="0"/>
    <n v="0"/>
    <n v="0"/>
    <n v="0"/>
    <n v="0"/>
    <n v="0"/>
    <n v="0"/>
    <n v="0"/>
    <n v="0"/>
    <n v="0"/>
    <n v="0"/>
    <n v="0"/>
    <n v="0"/>
    <n v="0"/>
    <n v="0"/>
    <n v="0"/>
    <n v="0"/>
    <n v="0"/>
    <n v="0"/>
    <n v="0"/>
    <n v="0"/>
    <n v="0"/>
    <n v="0"/>
    <n v="25669.247475195196"/>
    <n v="27209.402323706909"/>
    <s v=" "/>
    <s v=" "/>
    <s v=" "/>
    <s v=" "/>
    <s v=" "/>
    <s v=" "/>
    <s v=" "/>
    <s v=" "/>
    <s v=" "/>
    <s v=" "/>
    <s v=" "/>
    <s v=" "/>
    <s v=" "/>
    <s v=" "/>
    <x v="23"/>
    <x v="9"/>
    <x v="0"/>
    <x v="0"/>
    <x v="0"/>
    <x v="1"/>
    <x v="0"/>
    <x v="0"/>
    <x v="23"/>
    <x v="24"/>
    <x v="1"/>
    <x v="1"/>
    <x v="0"/>
    <x v="0"/>
    <x v="0"/>
    <x v="0"/>
    <x v="0"/>
    <x v="0"/>
    <x v="0"/>
    <x v="0"/>
    <x v="0"/>
    <x v="0"/>
    <x v="0"/>
    <x v="0"/>
    <x v="0"/>
    <x v="0"/>
    <x v="0"/>
    <x v="0"/>
    <x v="0"/>
    <x v="0"/>
    <x v="0"/>
    <x v="0"/>
    <x v="14"/>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13"/>
    <s v="Backfilling Main Channel"/>
    <s v="Backfilling Main Channel"/>
    <s v="KS13_017"/>
    <x v="3"/>
    <m/>
    <m/>
    <m/>
    <m/>
    <m/>
    <m/>
    <m/>
    <m/>
    <m/>
    <m/>
    <s v="No Drawing"/>
    <m/>
    <s v="00"/>
    <d v="2018-12-07T00:00:00"/>
    <s v="Phase 1"/>
    <s v="Year 1"/>
    <m/>
    <m/>
    <m/>
    <m/>
    <m/>
    <n v="633.58989245730015"/>
    <m/>
    <m/>
    <n v="4680"/>
    <n v="4680"/>
    <m/>
    <m/>
    <m/>
    <m/>
    <m/>
    <m/>
    <m/>
    <m/>
    <m/>
    <m/>
    <m/>
    <m/>
    <m/>
    <m/>
    <m/>
    <m/>
    <m/>
    <m/>
    <m/>
    <m/>
    <m/>
    <m/>
    <m/>
    <m/>
    <n v="2559.3521264999999"/>
    <m/>
    <m/>
    <m/>
    <m/>
    <m/>
    <m/>
    <m/>
    <m/>
    <m/>
    <m/>
    <m/>
    <m/>
    <m/>
    <m/>
    <m/>
    <m/>
    <m/>
    <m/>
    <m/>
    <m/>
    <m/>
    <m/>
    <m/>
    <m/>
    <m/>
    <m/>
    <m/>
    <m/>
    <m/>
    <m/>
    <m/>
    <m/>
    <m/>
    <m/>
    <m/>
    <m/>
    <m/>
    <m/>
    <m/>
    <m/>
    <m/>
    <m/>
    <m/>
    <m/>
    <m/>
    <m/>
    <m/>
    <m/>
    <m/>
    <m/>
    <m/>
    <m/>
    <m/>
    <m/>
    <m/>
    <m/>
    <m/>
    <m/>
    <m/>
    <m/>
    <n v="0"/>
    <n v="0"/>
    <n v="0"/>
    <n v="0"/>
    <n v="0"/>
    <n v="53855.140858870516"/>
    <n v="0"/>
    <n v="0"/>
    <n v="23400"/>
    <n v="46800"/>
    <n v="0"/>
    <n v="0"/>
    <n v="0"/>
    <n v="0"/>
    <n v="0"/>
    <n v="0"/>
    <n v="0"/>
    <n v="0"/>
    <n v="0"/>
    <n v="0"/>
    <n v="307122.25517999998"/>
    <n v="0"/>
    <n v="0"/>
    <n v="0"/>
    <n v="0"/>
    <n v="0"/>
    <n v="0"/>
    <n v="0"/>
    <n v="0"/>
    <n v="0"/>
    <n v="0"/>
    <n v="0"/>
    <n v="0"/>
    <n v="0"/>
    <n v="0"/>
    <n v="0"/>
    <n v="0"/>
    <n v="0"/>
    <n v="0"/>
    <n v="0"/>
    <n v="0"/>
    <n v="0"/>
    <n v="0"/>
    <n v="0"/>
    <n v="0"/>
    <n v="0"/>
    <n v="0"/>
    <n v="0"/>
    <n v="0"/>
    <n v="0"/>
    <n v="0"/>
    <n v="0"/>
    <n v="0"/>
    <n v="0"/>
    <n v="0"/>
    <n v="0"/>
    <n v="0"/>
    <n v="0"/>
    <n v="431177.3960388705"/>
    <n v="457048.03980120277"/>
    <s v=" "/>
    <s v=" "/>
    <s v=" "/>
    <s v=" "/>
    <s v=" "/>
    <s v=" "/>
    <s v=" "/>
    <s v=" "/>
    <s v=" "/>
    <s v=" "/>
    <s v=" "/>
    <s v=" "/>
    <s v=" "/>
    <s v=" "/>
    <x v="0"/>
    <x v="0"/>
    <x v="0"/>
    <x v="0"/>
    <x v="0"/>
    <x v="25"/>
    <x v="0"/>
    <x v="0"/>
    <x v="24"/>
    <x v="25"/>
    <x v="1"/>
    <x v="1"/>
    <x v="0"/>
    <x v="0"/>
    <x v="0"/>
    <x v="0"/>
    <x v="0"/>
    <x v="0"/>
    <x v="0"/>
    <x v="0"/>
    <x v="0"/>
    <x v="0"/>
    <x v="0"/>
    <x v="0"/>
    <x v="0"/>
    <x v="0"/>
    <x v="0"/>
    <x v="0"/>
    <x v="0"/>
    <x v="0"/>
    <x v="0"/>
    <x v="0"/>
    <x v="15"/>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15"/>
    <s v="Concrete Check Wall"/>
    <s v="Concrete Check Wall"/>
    <s v="KS15_001"/>
    <x v="3"/>
    <n v="29.983797839000001"/>
    <n v="-25.820813322999999"/>
    <s v="29° 59' 01.67&quot;E "/>
    <s v="25° 49' 14.92&quot; S"/>
    <s v="Complete"/>
    <s v="Yes"/>
    <s v="Yes"/>
    <m/>
    <s v="DONE"/>
    <s v="YES"/>
    <s v="NBC-GTH-CL-0001"/>
    <s v="Yes"/>
    <s v="01"/>
    <d v="2018-12-07T00:00:00"/>
    <s v="Phase 1"/>
    <s v="Year 1"/>
    <m/>
    <m/>
    <m/>
    <m/>
    <m/>
    <n v="6.2640000000000002"/>
    <m/>
    <m/>
    <m/>
    <m/>
    <m/>
    <m/>
    <n v="6.2640000000000002"/>
    <m/>
    <m/>
    <m/>
    <m/>
    <m/>
    <m/>
    <m/>
    <m/>
    <m/>
    <m/>
    <m/>
    <m/>
    <m/>
    <m/>
    <m/>
    <m/>
    <m/>
    <m/>
    <m/>
    <m/>
    <m/>
    <m/>
    <m/>
    <m/>
    <m/>
    <m/>
    <m/>
    <m/>
    <m/>
    <m/>
    <m/>
    <m/>
    <m/>
    <m/>
    <m/>
    <m/>
    <m/>
    <m/>
    <m/>
    <m/>
    <m/>
    <m/>
    <m/>
    <m/>
    <m/>
    <m/>
    <m/>
    <m/>
    <m/>
    <m/>
    <m/>
    <m/>
    <m/>
    <m/>
    <m/>
    <m/>
    <m/>
    <m/>
    <m/>
    <m/>
    <m/>
    <m/>
    <m/>
    <m/>
    <m/>
    <m/>
    <m/>
    <m/>
    <m/>
    <m/>
    <m/>
    <m/>
    <m/>
    <m/>
    <m/>
    <m/>
    <m/>
    <m/>
    <m/>
    <m/>
    <m/>
    <m/>
    <n v="0"/>
    <n v="0"/>
    <n v="0"/>
    <n v="0"/>
    <n v="0"/>
    <n v="532.44000000000005"/>
    <n v="0"/>
    <n v="0"/>
    <n v="0"/>
    <n v="0"/>
    <n v="0"/>
    <n v="12528"/>
    <n v="0"/>
    <n v="0"/>
    <n v="0"/>
    <n v="0"/>
    <n v="0"/>
    <n v="0"/>
    <n v="0"/>
    <n v="0"/>
    <n v="0"/>
    <n v="0"/>
    <n v="0"/>
    <n v="0"/>
    <n v="0"/>
    <n v="0"/>
    <n v="0"/>
    <n v="0"/>
    <n v="0"/>
    <n v="0"/>
    <n v="0"/>
    <n v="0"/>
    <n v="0"/>
    <n v="0"/>
    <n v="0"/>
    <n v="0"/>
    <n v="0"/>
    <n v="0"/>
    <n v="0"/>
    <n v="0"/>
    <n v="0"/>
    <n v="0"/>
    <n v="0"/>
    <n v="0"/>
    <n v="0"/>
    <n v="0"/>
    <n v="0"/>
    <n v="0"/>
    <n v="0"/>
    <n v="0"/>
    <n v="0"/>
    <n v="0"/>
    <n v="0"/>
    <n v="0"/>
    <n v="0"/>
    <n v="0"/>
    <n v="0"/>
    <n v="0"/>
    <n v="13060.44"/>
    <n v="13844.066400000002"/>
    <s v=" "/>
    <s v=" "/>
    <s v=" "/>
    <s v=" "/>
    <s v=" "/>
    <s v=" "/>
    <s v=" "/>
    <s v=" "/>
    <s v=" "/>
    <s v=" "/>
    <s v=" "/>
    <s v=" "/>
    <s v=" "/>
    <s v=" "/>
    <x v="0"/>
    <x v="0"/>
    <x v="0"/>
    <x v="0"/>
    <x v="0"/>
    <x v="26"/>
    <x v="0"/>
    <x v="0"/>
    <x v="0"/>
    <x v="4"/>
    <x v="1"/>
    <x v="1"/>
    <x v="2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15"/>
    <s v="Removal of Dam Wall"/>
    <s v="Excavation"/>
    <s v="KS15_003"/>
    <x v="3"/>
    <n v="29.979451110999999"/>
    <n v="-25.818825"/>
    <s v="29° 58' 46.02&quot;E "/>
    <s v="25° 49' 07.77&quot; S"/>
    <s v="Complete"/>
    <s v="Yes"/>
    <s v="Yes"/>
    <d v="2017-05-31T00:00:00"/>
    <s v="NA"/>
    <s v="NA"/>
    <s v="No Drawing"/>
    <s v="Yes"/>
    <s v="00"/>
    <d v="2018-06-16T00:00:00"/>
    <s v="Phase 1"/>
    <s v="Year 1"/>
    <n v="619.28940112107443"/>
    <n v="185.54374999999999"/>
    <n v="0"/>
    <n v="0"/>
    <n v="0"/>
    <n v="0"/>
    <n v="0"/>
    <n v="0"/>
    <n v="619.28940112107443"/>
    <n v="619.28940112107443"/>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n v="3096.4470056053724"/>
    <n v="9277.1875"/>
    <n v="0"/>
    <n v="0"/>
    <n v="0"/>
    <n v="0"/>
    <n v="0"/>
    <n v="0"/>
    <n v="3096.4470056053724"/>
    <n v="6192.8940112107448"/>
    <n v="0"/>
    <n v="0"/>
    <n v="0"/>
    <n v="0"/>
    <n v="0"/>
    <n v="0"/>
    <n v="0"/>
    <n v="0"/>
    <n v="0"/>
    <n v="0"/>
    <n v="0"/>
    <n v="0"/>
    <n v="0"/>
    <n v="0"/>
    <n v="0"/>
    <n v="0"/>
    <n v="0"/>
    <n v="0"/>
    <n v="0"/>
    <n v="0"/>
    <n v="0"/>
    <n v="0"/>
    <n v="0"/>
    <n v="0"/>
    <n v="0"/>
    <n v="0"/>
    <n v="0"/>
    <n v="0"/>
    <n v="0"/>
    <n v="0"/>
    <n v="0"/>
    <n v="0"/>
    <n v="0"/>
    <n v="0"/>
    <n v="0"/>
    <n v="0"/>
    <n v="0"/>
    <n v="0"/>
    <n v="0"/>
    <n v="0"/>
    <n v="0"/>
    <n v="0"/>
    <n v="0"/>
    <n v="0"/>
    <n v="0"/>
    <n v="0"/>
    <n v="0"/>
    <n v="0"/>
    <n v="21662.97552242149"/>
    <n v="22962.754053766781"/>
    <s v=" "/>
    <s v=" "/>
    <s v=" "/>
    <s v=" "/>
    <s v=" "/>
    <s v=" "/>
    <s v=" "/>
    <s v=" "/>
    <s v=" "/>
    <s v=" "/>
    <s v=" "/>
    <s v=" "/>
    <s v=" "/>
    <s v=" "/>
    <x v="24"/>
    <x v="10"/>
    <x v="0"/>
    <x v="0"/>
    <x v="0"/>
    <x v="1"/>
    <x v="0"/>
    <x v="0"/>
    <x v="25"/>
    <x v="26"/>
    <x v="1"/>
    <x v="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15"/>
    <s v="Backfill Main Channel"/>
    <s v="Backfill Channel at Road Crossing"/>
    <s v="KS15-002"/>
    <x v="3"/>
    <n v="29.981869703000001"/>
    <n v="-25.819381408000002"/>
    <s v="29° 58' 54.73&quot;E "/>
    <s v="25° 49' 09.77&quot; S"/>
    <s v="Complete"/>
    <s v="Yes"/>
    <s v="Yes"/>
    <d v="2017-04-10T00:00:00"/>
    <s v="NA"/>
    <s v="NA"/>
    <s v="No Drawing"/>
    <s v="Yes"/>
    <s v="00"/>
    <d v="2018-06-16T00:00:00"/>
    <s v="Phase 1"/>
    <s v="Year 1"/>
    <n v="3846.9783781018737"/>
    <n v="0"/>
    <n v="0"/>
    <n v="0"/>
    <n v="0"/>
    <n v="980"/>
    <n v="0"/>
    <n v="0"/>
    <n v="3846.9783781018737"/>
    <n v="3846.9783781018737"/>
    <n v="0"/>
    <n v="0"/>
    <n v="0"/>
    <n v="0"/>
    <n v="0"/>
    <n v="0"/>
    <n v="0"/>
    <n v="0"/>
    <n v="0"/>
    <n v="0"/>
    <n v="0"/>
    <n v="0"/>
    <n v="0"/>
    <n v="0"/>
    <n v="0"/>
    <n v="0"/>
    <n v="0"/>
    <n v="0"/>
    <n v="0"/>
    <n v="0"/>
    <n v="0"/>
    <n v="0"/>
    <n v="0"/>
    <n v="0"/>
    <n v="3200"/>
    <n v="0"/>
    <n v="0"/>
    <n v="0"/>
    <n v="0"/>
    <n v="0"/>
    <n v="0"/>
    <n v="0"/>
    <n v="0"/>
    <n v="0"/>
    <n v="0"/>
    <n v="0"/>
    <n v="0"/>
    <n v="0"/>
    <n v="0"/>
    <n v="0"/>
    <n v="0"/>
    <n v="0"/>
    <n v="0"/>
    <n v="0"/>
    <n v="0"/>
    <n v="0"/>
    <n v="0"/>
    <n v="0"/>
    <n v="0"/>
    <n v="0"/>
    <n v="0"/>
    <n v="0"/>
    <n v="0"/>
    <n v="0"/>
    <n v="0"/>
    <n v="0"/>
    <n v="0"/>
    <n v="0"/>
    <n v="0"/>
    <n v="0"/>
    <n v="0"/>
    <n v="0"/>
    <n v="0"/>
    <n v="0"/>
    <n v="0"/>
    <m/>
    <m/>
    <m/>
    <m/>
    <m/>
    <m/>
    <m/>
    <m/>
    <m/>
    <m/>
    <m/>
    <m/>
    <m/>
    <m/>
    <m/>
    <m/>
    <m/>
    <m/>
    <m/>
    <m/>
    <n v="19234.891890509367"/>
    <n v="0"/>
    <n v="0"/>
    <n v="0"/>
    <n v="0"/>
    <n v="83300"/>
    <n v="0"/>
    <n v="0"/>
    <n v="19234.891890509367"/>
    <n v="38469.783781018734"/>
    <n v="0"/>
    <n v="0"/>
    <n v="0"/>
    <n v="0"/>
    <n v="0"/>
    <n v="0"/>
    <n v="0"/>
    <n v="0"/>
    <n v="0"/>
    <n v="0"/>
    <n v="384000"/>
    <n v="0"/>
    <n v="0"/>
    <n v="0"/>
    <n v="0"/>
    <n v="0"/>
    <n v="0"/>
    <n v="0"/>
    <n v="0"/>
    <n v="0"/>
    <n v="0"/>
    <n v="0"/>
    <n v="0"/>
    <n v="0"/>
    <n v="0"/>
    <n v="0"/>
    <n v="0"/>
    <n v="0"/>
    <n v="0"/>
    <n v="0"/>
    <n v="0"/>
    <n v="0"/>
    <n v="0"/>
    <n v="0"/>
    <n v="0"/>
    <n v="0"/>
    <n v="0"/>
    <n v="0"/>
    <n v="0"/>
    <n v="0"/>
    <n v="0"/>
    <n v="0"/>
    <n v="0"/>
    <n v="0"/>
    <n v="0"/>
    <n v="0"/>
    <n v="0"/>
    <n v="0"/>
    <n v="544239.5675620375"/>
    <n v="576893.94161575974"/>
    <s v=" "/>
    <s v=" "/>
    <s v=" "/>
    <s v=" "/>
    <s v=" "/>
    <s v=" "/>
    <s v=" "/>
    <s v=" "/>
    <s v=" "/>
    <s v=" "/>
    <s v=" "/>
    <s v=" "/>
    <s v=" "/>
    <s v=" "/>
    <x v="25"/>
    <x v="0"/>
    <x v="0"/>
    <x v="0"/>
    <x v="0"/>
    <x v="27"/>
    <x v="0"/>
    <x v="0"/>
    <x v="26"/>
    <x v="27"/>
    <x v="1"/>
    <x v="1"/>
    <x v="0"/>
    <x v="0"/>
    <x v="0"/>
    <x v="0"/>
    <x v="0"/>
    <x v="0"/>
    <x v="0"/>
    <x v="0"/>
    <x v="0"/>
    <x v="0"/>
    <x v="0"/>
    <x v="0"/>
    <x v="0"/>
    <x v="0"/>
    <x v="0"/>
    <x v="0"/>
    <x v="0"/>
    <x v="0"/>
    <x v="0"/>
    <x v="0"/>
    <x v="16"/>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16"/>
    <s v="Earthen berm"/>
    <s v="Earthworks"/>
    <s v="KS16_001"/>
    <x v="4"/>
    <n v="30.004463610999998"/>
    <n v="-25.827991944000001"/>
    <s v="30° 00' 16.06&quot;E "/>
    <s v="25° 49' 40.77&quot; S"/>
    <s v="Complete"/>
    <s v="Yes"/>
    <s v="Yes"/>
    <d v="2017-04-26T00:00:00"/>
    <s v="NA"/>
    <s v="NA"/>
    <s v="No Drawing"/>
    <s v="Yes"/>
    <s v="00"/>
    <d v="2018-06-16T00:00:00"/>
    <s v="Phase 1"/>
    <s v="Year 1"/>
    <n v="494.87334053189176"/>
    <m/>
    <m/>
    <m/>
    <m/>
    <m/>
    <m/>
    <m/>
    <n v="494.87334053189176"/>
    <n v="494.87334053189176"/>
    <m/>
    <m/>
    <m/>
    <m/>
    <m/>
    <m/>
    <m/>
    <m/>
    <m/>
    <m/>
    <m/>
    <m/>
    <m/>
    <m/>
    <m/>
    <m/>
    <m/>
    <m/>
    <m/>
    <m/>
    <m/>
    <m/>
    <m/>
    <m/>
    <n v="103.38"/>
    <m/>
    <m/>
    <m/>
    <m/>
    <m/>
    <m/>
    <m/>
    <m/>
    <m/>
    <m/>
    <m/>
    <m/>
    <m/>
    <m/>
    <m/>
    <m/>
    <m/>
    <m/>
    <m/>
    <m/>
    <m/>
    <m/>
    <m/>
    <m/>
    <m/>
    <m/>
    <m/>
    <m/>
    <m/>
    <m/>
    <m/>
    <m/>
    <m/>
    <m/>
    <m/>
    <m/>
    <m/>
    <m/>
    <m/>
    <m/>
    <m/>
    <m/>
    <m/>
    <m/>
    <m/>
    <m/>
    <m/>
    <m/>
    <m/>
    <m/>
    <m/>
    <m/>
    <m/>
    <m/>
    <m/>
    <m/>
    <m/>
    <m/>
    <m/>
    <m/>
    <n v="2474.366702659459"/>
    <n v="0"/>
    <n v="0"/>
    <n v="0"/>
    <n v="0"/>
    <n v="0"/>
    <n v="0"/>
    <n v="0"/>
    <n v="2474.366702659459"/>
    <n v="4948.7334053189179"/>
    <n v="0"/>
    <n v="0"/>
    <n v="0"/>
    <n v="0"/>
    <n v="0"/>
    <n v="0"/>
    <n v="0"/>
    <n v="0"/>
    <n v="0"/>
    <n v="0"/>
    <n v="12405.599999999999"/>
    <n v="0"/>
    <n v="0"/>
    <n v="0"/>
    <n v="0"/>
    <n v="0"/>
    <n v="0"/>
    <n v="0"/>
    <n v="0"/>
    <n v="0"/>
    <n v="0"/>
    <n v="0"/>
    <n v="0"/>
    <n v="0"/>
    <n v="0"/>
    <n v="0"/>
    <n v="0"/>
    <n v="0"/>
    <n v="0"/>
    <n v="0"/>
    <n v="0"/>
    <n v="0"/>
    <n v="0"/>
    <n v="0"/>
    <n v="0"/>
    <n v="0"/>
    <n v="0"/>
    <n v="0"/>
    <n v="0"/>
    <n v="0"/>
    <n v="0"/>
    <n v="0"/>
    <n v="0"/>
    <n v="0"/>
    <n v="0"/>
    <n v="0"/>
    <n v="0"/>
    <n v="0"/>
    <n v="22303.066810637836"/>
    <n v="23641.250819276109"/>
    <s v=" "/>
    <s v=" "/>
    <s v=" "/>
    <s v=" "/>
    <s v=" "/>
    <s v=" "/>
    <s v=" "/>
    <s v=" "/>
    <s v=" "/>
    <s v=" "/>
    <s v=" "/>
    <s v=" "/>
    <s v=" "/>
    <s v=" "/>
    <x v="26"/>
    <x v="0"/>
    <x v="0"/>
    <x v="0"/>
    <x v="0"/>
    <x v="1"/>
    <x v="0"/>
    <x v="0"/>
    <x v="27"/>
    <x v="28"/>
    <x v="1"/>
    <x v="1"/>
    <x v="0"/>
    <x v="0"/>
    <x v="0"/>
    <x v="0"/>
    <x v="0"/>
    <x v="0"/>
    <x v="0"/>
    <x v="0"/>
    <x v="0"/>
    <x v="0"/>
    <x v="0"/>
    <x v="0"/>
    <x v="0"/>
    <x v="0"/>
    <x v="0"/>
    <x v="0"/>
    <x v="0"/>
    <x v="0"/>
    <x v="0"/>
    <x v="0"/>
    <x v="17"/>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16"/>
    <s v="Excavate Dam Wall"/>
    <s v="Earthworks"/>
    <s v="KS16_002"/>
    <x v="4"/>
    <n v="30.004084444"/>
    <n v="-25.828354443999999"/>
    <s v="30° 00' 14.70&quot;E "/>
    <s v="25° 49' 42.07&quot; S"/>
    <s v="Complete"/>
    <s v="Yes"/>
    <s v="Yes"/>
    <d v="2017-04-26T00:00:00"/>
    <s v="YES "/>
    <s v="NO"/>
    <s v="No Drawing"/>
    <s v="Yes"/>
    <s v="00"/>
    <d v="2018-06-16T00:00:00"/>
    <s v="Phase 1"/>
    <s v="Year 1"/>
    <n v="400.2"/>
    <n v="89.7"/>
    <n v="0"/>
    <n v="0"/>
    <n v="0"/>
    <n v="0"/>
    <n v="0"/>
    <n v="0"/>
    <n v="283.94775771874447"/>
    <n v="283.94775771874447"/>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n v="2001"/>
    <n v="4485"/>
    <n v="0"/>
    <n v="0"/>
    <n v="0"/>
    <n v="0"/>
    <n v="0"/>
    <n v="0"/>
    <n v="1419.7387885937223"/>
    <n v="2839.4775771874447"/>
    <n v="0"/>
    <n v="0"/>
    <n v="0"/>
    <n v="0"/>
    <n v="0"/>
    <n v="0"/>
    <n v="0"/>
    <n v="0"/>
    <n v="0"/>
    <n v="0"/>
    <n v="0"/>
    <n v="0"/>
    <n v="0"/>
    <n v="0"/>
    <n v="0"/>
    <n v="0"/>
    <n v="0"/>
    <n v="0"/>
    <n v="0"/>
    <n v="0"/>
    <n v="0"/>
    <n v="0"/>
    <n v="0"/>
    <n v="0"/>
    <n v="0"/>
    <n v="0"/>
    <n v="0"/>
    <n v="0"/>
    <n v="0"/>
    <n v="0"/>
    <n v="0"/>
    <n v="0"/>
    <n v="0"/>
    <n v="0"/>
    <n v="0"/>
    <n v="0"/>
    <n v="0"/>
    <n v="0"/>
    <n v="0"/>
    <n v="0"/>
    <n v="0"/>
    <n v="0"/>
    <n v="0"/>
    <n v="0"/>
    <n v="0"/>
    <n v="0"/>
    <n v="0"/>
    <n v="0"/>
    <n v="10745.216365781167"/>
    <n v="11389.929347728037"/>
    <s v=" "/>
    <s v=" "/>
    <s v=" "/>
    <s v=" "/>
    <s v=" "/>
    <s v=" "/>
    <s v=" "/>
    <s v=" "/>
    <s v=" "/>
    <s v=" "/>
    <s v=" "/>
    <s v=" "/>
    <s v=" "/>
    <s v=" "/>
    <x v="27"/>
    <x v="11"/>
    <x v="0"/>
    <x v="0"/>
    <x v="0"/>
    <x v="1"/>
    <x v="0"/>
    <x v="0"/>
    <x v="28"/>
    <x v="29"/>
    <x v="1"/>
    <x v="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16"/>
    <s v="Ecologs"/>
    <s v="Deactivate Drains with Ecologs"/>
    <s v="KS16_003"/>
    <x v="4"/>
    <n v="29.999881943999998"/>
    <n v="-25.827392222"/>
    <s v="29° 59' 59.57&quot;E "/>
    <s v="25° 49' 38.61&quot; S"/>
    <s v="Complete"/>
    <s v="Yes"/>
    <s v="Yes"/>
    <d v="2017-04-26T00:00:00"/>
    <s v="YES "/>
    <m/>
    <s v="NBC-GTW-CL-0052"/>
    <s v="Yes"/>
    <s v="01"/>
    <d v="2018-12-07T00:00:00"/>
    <s v="Phase 1"/>
    <s v="Year 1"/>
    <n v="0"/>
    <n v="0"/>
    <n v="0"/>
    <n v="0"/>
    <n v="0"/>
    <n v="14.219999999999999"/>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79"/>
    <n v="0"/>
    <n v="0"/>
    <n v="0"/>
    <n v="0"/>
    <n v="0"/>
    <n v="0"/>
    <n v="0"/>
    <n v="0"/>
    <n v="0"/>
    <n v="0"/>
    <n v="0"/>
    <n v="0"/>
    <n v="0"/>
    <n v="0"/>
    <n v="0"/>
    <n v="0"/>
    <n v="0"/>
    <n v="0"/>
    <n v="0"/>
    <n v="0"/>
    <n v="0"/>
    <n v="0"/>
    <n v="0"/>
    <m/>
    <m/>
    <m/>
    <m/>
    <m/>
    <m/>
    <m/>
    <m/>
    <m/>
    <n v="0"/>
    <n v="0"/>
    <n v="0"/>
    <n v="0"/>
    <n v="0"/>
    <n v="1208.6999999999998"/>
    <n v="0"/>
    <n v="0"/>
    <n v="0"/>
    <n v="0"/>
    <n v="0"/>
    <n v="0"/>
    <n v="0"/>
    <n v="0"/>
    <n v="0"/>
    <n v="0"/>
    <n v="0"/>
    <n v="0"/>
    <n v="0"/>
    <n v="0"/>
    <n v="0"/>
    <n v="0"/>
    <n v="0"/>
    <n v="0"/>
    <n v="0"/>
    <n v="0"/>
    <n v="71100"/>
    <n v="0"/>
    <n v="0"/>
    <n v="0"/>
    <n v="0"/>
    <n v="0"/>
    <n v="0"/>
    <n v="0"/>
    <n v="0"/>
    <n v="0"/>
    <n v="0"/>
    <n v="0"/>
    <n v="0"/>
    <n v="0"/>
    <n v="0"/>
    <n v="0"/>
    <n v="0"/>
    <n v="0"/>
    <n v="0"/>
    <n v="0"/>
    <n v="0"/>
    <n v="0"/>
    <n v="0"/>
    <n v="0"/>
    <n v="0"/>
    <n v="0"/>
    <n v="0"/>
    <n v="0"/>
    <n v="0"/>
    <n v="0"/>
    <n v="0"/>
    <n v="0"/>
    <n v="72308.7"/>
    <n v="76647.221999999994"/>
    <s v=" "/>
    <s v=" "/>
    <s v=" "/>
    <s v=" "/>
    <s v=" "/>
    <s v=" "/>
    <s v=" "/>
    <s v=" "/>
    <s v=" "/>
    <s v=" "/>
    <s v=" "/>
    <s v=" "/>
    <s v=" "/>
    <s v=" "/>
    <x v="0"/>
    <x v="0"/>
    <x v="0"/>
    <x v="0"/>
    <x v="0"/>
    <x v="28"/>
    <x v="0"/>
    <x v="0"/>
    <x v="0"/>
    <x v="4"/>
    <x v="1"/>
    <x v="1"/>
    <x v="0"/>
    <x v="0"/>
    <x v="0"/>
    <x v="0"/>
    <x v="0"/>
    <x v="0"/>
    <x v="0"/>
    <x v="0"/>
    <x v="0"/>
    <x v="0"/>
    <x v="0"/>
    <x v="0"/>
    <x v="0"/>
    <x v="0"/>
    <x v="0"/>
    <x v="0"/>
    <x v="0"/>
    <x v="0"/>
    <x v="0"/>
    <x v="0"/>
    <x v="0"/>
    <x v="0"/>
    <x v="0"/>
    <x v="0"/>
    <x v="0"/>
    <x v="0"/>
    <x v="0"/>
    <x v="0"/>
    <x v="0"/>
    <x v="0"/>
    <x v="0"/>
    <x v="0"/>
    <x v="0"/>
    <x v="0"/>
    <x v="0"/>
    <x v="0"/>
    <x v="0"/>
    <x v="0"/>
    <x v="0"/>
    <x v="0"/>
    <x v="0"/>
    <x v="0"/>
    <x v="0"/>
    <x v="0"/>
    <x v="0"/>
    <x v="0"/>
    <x v="0"/>
    <x v="0"/>
    <x v="1"/>
    <x v="0"/>
    <x v="0"/>
    <x v="0"/>
    <x v="0"/>
    <x v="0"/>
    <x v="0"/>
    <x v="0"/>
    <x v="0"/>
    <x v="0"/>
    <x v="0"/>
    <x v="0"/>
    <x v="0"/>
    <x v="0"/>
    <x v="0"/>
    <x v="0"/>
    <x v="0"/>
    <x v="0"/>
    <x v="0"/>
    <x v="0"/>
    <x v="0"/>
    <x v="0"/>
    <x v="0"/>
    <x v="0"/>
    <x v="0"/>
    <x v="0"/>
    <x v="0"/>
    <x v="0"/>
    <x v="0"/>
    <x v="0"/>
    <x v="0"/>
    <x v="0"/>
    <x v="0"/>
  </r>
  <r>
    <s v="KS16"/>
    <s v="Earthen berm"/>
    <s v="Earthworks"/>
    <s v="KS16_004"/>
    <x v="4"/>
    <n v="29.999696389"/>
    <n v="-25.827376389000001"/>
    <s v="29° 59' 58.90&quot;E "/>
    <s v="25° 49' 38.55&quot; S"/>
    <s v="Complete"/>
    <s v="Yes"/>
    <s v="Yes"/>
    <d v="2017-04-26T00:00:00"/>
    <s v="NA"/>
    <s v="NA"/>
    <s v="No Drawing"/>
    <s v="Yes"/>
    <s v="00"/>
    <d v="2018-06-16T00:00:00"/>
    <s v="Phase 1"/>
    <s v="Year 1"/>
    <n v="494.08980828513762"/>
    <m/>
    <m/>
    <m/>
    <m/>
    <m/>
    <m/>
    <m/>
    <n v="480"/>
    <n v="480"/>
    <m/>
    <m/>
    <m/>
    <m/>
    <m/>
    <m/>
    <m/>
    <m/>
    <m/>
    <m/>
    <m/>
    <m/>
    <m/>
    <m/>
    <m/>
    <m/>
    <m/>
    <m/>
    <m/>
    <m/>
    <m/>
    <m/>
    <m/>
    <m/>
    <n v="69.080000000000013"/>
    <m/>
    <m/>
    <m/>
    <m/>
    <m/>
    <m/>
    <m/>
    <m/>
    <m/>
    <m/>
    <m/>
    <m/>
    <m/>
    <m/>
    <m/>
    <m/>
    <m/>
    <m/>
    <m/>
    <m/>
    <m/>
    <m/>
    <m/>
    <m/>
    <m/>
    <m/>
    <m/>
    <m/>
    <m/>
    <m/>
    <m/>
    <m/>
    <m/>
    <m/>
    <m/>
    <m/>
    <m/>
    <m/>
    <m/>
    <m/>
    <m/>
    <m/>
    <m/>
    <m/>
    <m/>
    <m/>
    <m/>
    <m/>
    <m/>
    <m/>
    <m/>
    <m/>
    <m/>
    <m/>
    <m/>
    <m/>
    <m/>
    <m/>
    <m/>
    <m/>
    <n v="2470.4490414256879"/>
    <n v="0"/>
    <n v="0"/>
    <n v="0"/>
    <n v="0"/>
    <n v="0"/>
    <n v="0"/>
    <n v="0"/>
    <n v="2400"/>
    <n v="4800"/>
    <n v="0"/>
    <n v="0"/>
    <n v="0"/>
    <n v="0"/>
    <n v="0"/>
    <n v="0"/>
    <n v="0"/>
    <n v="0"/>
    <n v="0"/>
    <n v="0"/>
    <n v="8289.6000000000022"/>
    <n v="0"/>
    <n v="0"/>
    <n v="0"/>
    <n v="0"/>
    <n v="0"/>
    <n v="0"/>
    <n v="0"/>
    <n v="0"/>
    <n v="0"/>
    <n v="0"/>
    <n v="0"/>
    <n v="0"/>
    <n v="0"/>
    <n v="0"/>
    <n v="0"/>
    <n v="0"/>
    <n v="0"/>
    <n v="0"/>
    <n v="0"/>
    <n v="0"/>
    <n v="0"/>
    <n v="0"/>
    <n v="0"/>
    <n v="0"/>
    <n v="0"/>
    <n v="0"/>
    <n v="0"/>
    <n v="0"/>
    <n v="0"/>
    <n v="0"/>
    <n v="0"/>
    <n v="0"/>
    <n v="0"/>
    <n v="0"/>
    <n v="0"/>
    <n v="0"/>
    <n v="0"/>
    <n v="17960.049041425689"/>
    <n v="19037.65198391123"/>
    <s v=" "/>
    <s v=" "/>
    <s v=" "/>
    <s v=" "/>
    <s v=" "/>
    <s v=" "/>
    <s v=" "/>
    <s v=" "/>
    <s v=" "/>
    <s v=" "/>
    <s v=" "/>
    <s v=" "/>
    <s v=" "/>
    <s v=" "/>
    <x v="28"/>
    <x v="0"/>
    <x v="0"/>
    <x v="0"/>
    <x v="0"/>
    <x v="1"/>
    <x v="0"/>
    <x v="0"/>
    <x v="29"/>
    <x v="30"/>
    <x v="1"/>
    <x v="1"/>
    <x v="0"/>
    <x v="0"/>
    <x v="0"/>
    <x v="0"/>
    <x v="0"/>
    <x v="0"/>
    <x v="0"/>
    <x v="0"/>
    <x v="0"/>
    <x v="0"/>
    <x v="0"/>
    <x v="0"/>
    <x v="0"/>
    <x v="0"/>
    <x v="0"/>
    <x v="0"/>
    <x v="0"/>
    <x v="0"/>
    <x v="0"/>
    <x v="0"/>
    <x v="18"/>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16"/>
    <s v="Ecologs"/>
    <s v="Deactivate Drains with Ecologs"/>
    <s v="KS16_005"/>
    <x v="4"/>
    <n v="29.991453611000001"/>
    <n v="-25.825574444000001"/>
    <s v="29° 59' 29.23&quot;E "/>
    <s v="25° 49' 32.06&quot; S"/>
    <s v="Complete"/>
    <s v="Yes"/>
    <s v="Yes"/>
    <d v="2017-04-26T00:00:00"/>
    <s v="YES "/>
    <s v="NO"/>
    <s v="NBC-GTW-CL-0048"/>
    <s v="Yes"/>
    <s v="01"/>
    <d v="2018-12-07T00:00:00"/>
    <s v="Phase 1"/>
    <s v="Year 1"/>
    <n v="0"/>
    <n v="0"/>
    <n v="0"/>
    <n v="0"/>
    <n v="0"/>
    <n v="18.36"/>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102"/>
    <n v="0"/>
    <n v="0"/>
    <n v="0"/>
    <n v="0"/>
    <n v="0"/>
    <n v="0"/>
    <n v="0"/>
    <n v="0"/>
    <n v="0"/>
    <n v="0"/>
    <n v="0"/>
    <n v="0"/>
    <n v="0"/>
    <n v="0"/>
    <n v="0"/>
    <n v="0"/>
    <n v="0"/>
    <n v="0"/>
    <n v="0"/>
    <n v="0"/>
    <n v="0"/>
    <n v="0"/>
    <n v="0"/>
    <m/>
    <m/>
    <m/>
    <m/>
    <m/>
    <m/>
    <m/>
    <m/>
    <m/>
    <n v="0"/>
    <n v="0"/>
    <n v="0"/>
    <n v="0"/>
    <n v="0"/>
    <n v="1560.6"/>
    <n v="0"/>
    <n v="0"/>
    <n v="0"/>
    <n v="0"/>
    <n v="0"/>
    <n v="0"/>
    <n v="0"/>
    <n v="0"/>
    <n v="0"/>
    <n v="0"/>
    <n v="0"/>
    <n v="0"/>
    <n v="0"/>
    <n v="0"/>
    <n v="0"/>
    <n v="0"/>
    <n v="0"/>
    <n v="0"/>
    <n v="0"/>
    <n v="0"/>
    <n v="91800"/>
    <n v="0"/>
    <n v="0"/>
    <n v="0"/>
    <n v="0"/>
    <n v="0"/>
    <n v="0"/>
    <n v="0"/>
    <n v="0"/>
    <n v="0"/>
    <n v="0"/>
    <n v="0"/>
    <n v="0"/>
    <n v="0"/>
    <n v="0"/>
    <n v="0"/>
    <n v="0"/>
    <n v="0"/>
    <n v="0"/>
    <n v="0"/>
    <n v="0"/>
    <n v="0"/>
    <n v="0"/>
    <n v="0"/>
    <n v="0"/>
    <n v="0"/>
    <n v="0"/>
    <n v="0"/>
    <n v="0"/>
    <n v="0"/>
    <n v="0"/>
    <n v="0"/>
    <n v="93360.6"/>
    <n v="98962.236000000004"/>
    <s v=" "/>
    <s v=" "/>
    <s v=" "/>
    <s v=" "/>
    <s v=" "/>
    <s v=" "/>
    <s v=" "/>
    <s v=" "/>
    <s v=" "/>
    <s v=" "/>
    <s v=" "/>
    <s v=" "/>
    <s v=" "/>
    <s v=" "/>
    <x v="0"/>
    <x v="0"/>
    <x v="0"/>
    <x v="0"/>
    <x v="0"/>
    <x v="29"/>
    <x v="0"/>
    <x v="0"/>
    <x v="0"/>
    <x v="4"/>
    <x v="1"/>
    <x v="1"/>
    <x v="0"/>
    <x v="0"/>
    <x v="0"/>
    <x v="0"/>
    <x v="0"/>
    <x v="0"/>
    <x v="0"/>
    <x v="0"/>
    <x v="0"/>
    <x v="0"/>
    <x v="0"/>
    <x v="0"/>
    <x v="0"/>
    <x v="0"/>
    <x v="0"/>
    <x v="0"/>
    <x v="0"/>
    <x v="0"/>
    <x v="0"/>
    <x v="0"/>
    <x v="0"/>
    <x v="0"/>
    <x v="0"/>
    <x v="0"/>
    <x v="0"/>
    <x v="0"/>
    <x v="0"/>
    <x v="0"/>
    <x v="0"/>
    <x v="0"/>
    <x v="0"/>
    <x v="0"/>
    <x v="0"/>
    <x v="0"/>
    <x v="0"/>
    <x v="0"/>
    <x v="0"/>
    <x v="0"/>
    <x v="0"/>
    <x v="0"/>
    <x v="0"/>
    <x v="0"/>
    <x v="0"/>
    <x v="0"/>
    <x v="0"/>
    <x v="0"/>
    <x v="0"/>
    <x v="0"/>
    <x v="2"/>
    <x v="0"/>
    <x v="0"/>
    <x v="0"/>
    <x v="0"/>
    <x v="0"/>
    <x v="0"/>
    <x v="0"/>
    <x v="0"/>
    <x v="0"/>
    <x v="0"/>
    <x v="0"/>
    <x v="0"/>
    <x v="0"/>
    <x v="0"/>
    <x v="0"/>
    <x v="0"/>
    <x v="0"/>
    <x v="0"/>
    <x v="0"/>
    <x v="0"/>
    <x v="0"/>
    <x v="0"/>
    <x v="0"/>
    <x v="0"/>
    <x v="0"/>
    <x v="0"/>
    <x v="0"/>
    <x v="0"/>
    <x v="0"/>
    <x v="0"/>
    <x v="0"/>
    <x v="0"/>
  </r>
  <r>
    <s v="KS18"/>
    <s v="Concrete Check Wall"/>
    <s v="Concrete Check Wall"/>
    <s v="KS18_001"/>
    <x v="5"/>
    <n v="29.993459722000001"/>
    <n v="-25.825414444"/>
    <s v="29° 59' 36.45&quot;E "/>
    <s v="25° 49' 31.49&quot; S"/>
    <s v="Complete"/>
    <s v="Yes"/>
    <s v="Yes"/>
    <d v="2017-02-01T00:00:00"/>
    <s v="YES"/>
    <d v="2017-02-01T00:00:00"/>
    <s v="NBC-GTW-CL-0019"/>
    <s v="Yes"/>
    <s v="00"/>
    <d v="2018-06-16T00:00:00"/>
    <s v="Phase 1"/>
    <s v="Year 1"/>
    <m/>
    <m/>
    <m/>
    <m/>
    <m/>
    <n v="12"/>
    <m/>
    <m/>
    <m/>
    <m/>
    <m/>
    <m/>
    <n v="12"/>
    <m/>
    <m/>
    <m/>
    <m/>
    <m/>
    <m/>
    <m/>
    <m/>
    <m/>
    <m/>
    <m/>
    <m/>
    <m/>
    <m/>
    <m/>
    <m/>
    <m/>
    <n v="5.0999999999999996"/>
    <m/>
    <m/>
    <m/>
    <m/>
    <m/>
    <m/>
    <m/>
    <m/>
    <m/>
    <m/>
    <m/>
    <m/>
    <m/>
    <m/>
    <m/>
    <m/>
    <m/>
    <m/>
    <m/>
    <m/>
    <m/>
    <m/>
    <m/>
    <m/>
    <m/>
    <m/>
    <m/>
    <m/>
    <m/>
    <m/>
    <m/>
    <m/>
    <m/>
    <m/>
    <m/>
    <m/>
    <m/>
    <m/>
    <m/>
    <m/>
    <m/>
    <m/>
    <m/>
    <m/>
    <m/>
    <m/>
    <m/>
    <m/>
    <m/>
    <m/>
    <m/>
    <m/>
    <m/>
    <m/>
    <m/>
    <m/>
    <m/>
    <m/>
    <m/>
    <m/>
    <m/>
    <m/>
    <m/>
    <m/>
    <n v="0"/>
    <n v="0"/>
    <n v="0"/>
    <n v="0"/>
    <n v="0"/>
    <n v="1020"/>
    <n v="0"/>
    <n v="0"/>
    <n v="0"/>
    <n v="0"/>
    <n v="0"/>
    <n v="24000"/>
    <n v="0"/>
    <n v="0"/>
    <n v="0"/>
    <n v="0"/>
    <n v="0"/>
    <n v="153"/>
    <n v="0"/>
    <n v="0"/>
    <n v="0"/>
    <n v="0"/>
    <n v="0"/>
    <n v="0"/>
    <n v="0"/>
    <n v="0"/>
    <n v="0"/>
    <n v="0"/>
    <n v="0"/>
    <n v="0"/>
    <n v="0"/>
    <n v="0"/>
    <n v="0"/>
    <n v="0"/>
    <n v="0"/>
    <n v="0"/>
    <n v="0"/>
    <n v="0"/>
    <n v="0"/>
    <n v="0"/>
    <n v="0"/>
    <n v="0"/>
    <n v="0"/>
    <n v="0"/>
    <n v="0"/>
    <n v="0"/>
    <n v="0"/>
    <n v="0"/>
    <n v="0"/>
    <n v="0"/>
    <n v="0"/>
    <n v="0"/>
    <n v="0"/>
    <n v="0"/>
    <n v="0"/>
    <n v="0"/>
    <n v="0"/>
    <n v="0"/>
    <n v="25173"/>
    <n v="26683.38"/>
    <s v=" "/>
    <s v=" "/>
    <s v=" "/>
    <s v=" "/>
    <s v=" "/>
    <s v=" "/>
    <s v=" "/>
    <s v=" "/>
    <s v=" "/>
    <s v=" "/>
    <s v=" "/>
    <s v=" "/>
    <s v=" "/>
    <s v=" "/>
    <x v="0"/>
    <x v="0"/>
    <x v="0"/>
    <x v="0"/>
    <x v="0"/>
    <x v="30"/>
    <x v="0"/>
    <x v="0"/>
    <x v="0"/>
    <x v="4"/>
    <x v="1"/>
    <x v="1"/>
    <x v="22"/>
    <x v="0"/>
    <x v="0"/>
    <x v="0"/>
    <x v="0"/>
    <x v="0"/>
    <x v="0"/>
    <x v="0"/>
    <x v="0"/>
    <x v="0"/>
    <x v="0"/>
    <x v="0"/>
    <x v="0"/>
    <x v="0"/>
    <x v="0"/>
    <x v="0"/>
    <x v="2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18"/>
    <s v="Concrete Check Wall"/>
    <s v="Concrete Check Wall"/>
    <s v="KS18_002A"/>
    <x v="5"/>
    <n v="29.993099443999998"/>
    <n v="-25.824846389000001"/>
    <s v="29° 59' 35.15&quot;E "/>
    <s v="25° 49' 29.44&quot; S"/>
    <s v="Complete"/>
    <s v="Yes"/>
    <s v="Yes"/>
    <d v="2017-02-01T00:00:00"/>
    <s v="YES"/>
    <m/>
    <s v="NBC-GTW-CL-0020"/>
    <s v="Yes"/>
    <s v="00"/>
    <d v="2018-06-16T00:00:00"/>
    <s v="Phase 1"/>
    <s v="Year 1"/>
    <m/>
    <m/>
    <m/>
    <m/>
    <m/>
    <n v="8"/>
    <m/>
    <m/>
    <m/>
    <m/>
    <m/>
    <m/>
    <n v="8"/>
    <m/>
    <m/>
    <m/>
    <m/>
    <m/>
    <m/>
    <m/>
    <m/>
    <m/>
    <m/>
    <m/>
    <m/>
    <m/>
    <m/>
    <m/>
    <m/>
    <m/>
    <n v="4.2"/>
    <m/>
    <m/>
    <m/>
    <m/>
    <m/>
    <m/>
    <m/>
    <m/>
    <m/>
    <m/>
    <m/>
    <m/>
    <m/>
    <m/>
    <m/>
    <m/>
    <m/>
    <m/>
    <m/>
    <m/>
    <m/>
    <m/>
    <m/>
    <m/>
    <m/>
    <m/>
    <m/>
    <m/>
    <m/>
    <m/>
    <m/>
    <m/>
    <m/>
    <m/>
    <m/>
    <m/>
    <m/>
    <m/>
    <m/>
    <m/>
    <m/>
    <m/>
    <m/>
    <m/>
    <m/>
    <m/>
    <m/>
    <m/>
    <m/>
    <m/>
    <m/>
    <m/>
    <m/>
    <m/>
    <m/>
    <m/>
    <m/>
    <m/>
    <m/>
    <m/>
    <m/>
    <m/>
    <m/>
    <m/>
    <n v="0"/>
    <n v="0"/>
    <n v="0"/>
    <n v="0"/>
    <n v="0"/>
    <n v="680"/>
    <n v="0"/>
    <n v="0"/>
    <n v="0"/>
    <n v="0"/>
    <n v="0"/>
    <n v="16000"/>
    <n v="0"/>
    <n v="0"/>
    <n v="0"/>
    <n v="0"/>
    <n v="0"/>
    <n v="126"/>
    <n v="0"/>
    <n v="0"/>
    <n v="0"/>
    <n v="0"/>
    <n v="0"/>
    <n v="0"/>
    <n v="0"/>
    <n v="0"/>
    <n v="0"/>
    <n v="0"/>
    <n v="0"/>
    <n v="0"/>
    <n v="0"/>
    <n v="0"/>
    <n v="0"/>
    <n v="0"/>
    <n v="0"/>
    <n v="0"/>
    <n v="0"/>
    <n v="0"/>
    <n v="0"/>
    <n v="0"/>
    <n v="0"/>
    <n v="0"/>
    <n v="0"/>
    <n v="0"/>
    <n v="0"/>
    <n v="0"/>
    <n v="0"/>
    <n v="0"/>
    <n v="0"/>
    <n v="0"/>
    <n v="0"/>
    <n v="0"/>
    <n v="0"/>
    <n v="0"/>
    <n v="0"/>
    <n v="0"/>
    <n v="0"/>
    <n v="0"/>
    <n v="16806"/>
    <n v="17814.36"/>
    <s v=" "/>
    <s v=" "/>
    <s v=" "/>
    <s v=" "/>
    <s v=" "/>
    <s v=" "/>
    <s v=" "/>
    <s v=" "/>
    <s v=" "/>
    <s v=" "/>
    <s v=" "/>
    <s v=" "/>
    <s v=" "/>
    <s v=" "/>
    <x v="0"/>
    <x v="0"/>
    <x v="0"/>
    <x v="0"/>
    <x v="0"/>
    <x v="31"/>
    <x v="0"/>
    <x v="0"/>
    <x v="0"/>
    <x v="4"/>
    <x v="1"/>
    <x v="1"/>
    <x v="23"/>
    <x v="0"/>
    <x v="0"/>
    <x v="0"/>
    <x v="0"/>
    <x v="0"/>
    <x v="0"/>
    <x v="0"/>
    <x v="0"/>
    <x v="0"/>
    <x v="0"/>
    <x v="0"/>
    <x v="0"/>
    <x v="0"/>
    <x v="0"/>
    <x v="0"/>
    <x v="22"/>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18"/>
    <s v="Concrete Check Wall"/>
    <s v="Concrete Check Wall"/>
    <s v="KS18_002B"/>
    <x v="5"/>
    <n v="29.993171589999999"/>
    <n v="-25.82515317"/>
    <s v="29° 59' 35.41&quot;E "/>
    <s v="25° 49' 30.55&quot; S"/>
    <m/>
    <m/>
    <m/>
    <m/>
    <m/>
    <m/>
    <m/>
    <m/>
    <m/>
    <m/>
    <m/>
    <m/>
    <m/>
    <m/>
    <m/>
    <m/>
    <m/>
    <n v="6"/>
    <m/>
    <m/>
    <m/>
    <m/>
    <m/>
    <m/>
    <n v="6"/>
    <m/>
    <m/>
    <m/>
    <m/>
    <m/>
    <m/>
    <m/>
    <m/>
    <m/>
    <m/>
    <m/>
    <m/>
    <m/>
    <m/>
    <m/>
    <m/>
    <m/>
    <n v="4.2"/>
    <m/>
    <m/>
    <m/>
    <m/>
    <m/>
    <m/>
    <m/>
    <m/>
    <m/>
    <m/>
    <m/>
    <m/>
    <m/>
    <m/>
    <m/>
    <m/>
    <m/>
    <m/>
    <m/>
    <m/>
    <m/>
    <m/>
    <m/>
    <m/>
    <m/>
    <m/>
    <m/>
    <m/>
    <m/>
    <m/>
    <m/>
    <m/>
    <m/>
    <m/>
    <m/>
    <m/>
    <m/>
    <m/>
    <m/>
    <m/>
    <m/>
    <m/>
    <m/>
    <m/>
    <m/>
    <m/>
    <m/>
    <m/>
    <m/>
    <m/>
    <m/>
    <m/>
    <m/>
    <m/>
    <m/>
    <m/>
    <m/>
    <m/>
    <m/>
    <m/>
    <m/>
    <m/>
    <m/>
    <m/>
    <n v="0"/>
    <n v="0"/>
    <n v="0"/>
    <n v="0"/>
    <n v="0"/>
    <n v="510"/>
    <n v="0"/>
    <n v="0"/>
    <n v="0"/>
    <n v="0"/>
    <n v="0"/>
    <n v="12000"/>
    <n v="0"/>
    <n v="0"/>
    <n v="0"/>
    <n v="0"/>
    <n v="0"/>
    <n v="126"/>
    <n v="0"/>
    <n v="0"/>
    <n v="0"/>
    <n v="0"/>
    <n v="0"/>
    <n v="0"/>
    <n v="0"/>
    <n v="0"/>
    <n v="0"/>
    <n v="0"/>
    <n v="0"/>
    <n v="0"/>
    <n v="0"/>
    <n v="0"/>
    <n v="0"/>
    <n v="0"/>
    <n v="0"/>
    <n v="0"/>
    <n v="0"/>
    <n v="0"/>
    <n v="0"/>
    <n v="0"/>
    <n v="0"/>
    <n v="0"/>
    <n v="0"/>
    <n v="0"/>
    <n v="0"/>
    <n v="0"/>
    <n v="0"/>
    <n v="0"/>
    <n v="0"/>
    <n v="0"/>
    <n v="0"/>
    <n v="0"/>
    <n v="0"/>
    <n v="0"/>
    <n v="0"/>
    <n v="0"/>
    <n v="0"/>
    <n v="0"/>
    <n v="12636"/>
    <s v=" "/>
    <s v=" "/>
    <s v=" "/>
    <s v=" "/>
    <s v=" "/>
    <s v=" "/>
    <s v=" "/>
    <s v=" "/>
    <s v=" "/>
    <s v=" "/>
    <s v=" "/>
    <s v=" "/>
    <s v=" "/>
    <s v=" "/>
    <s v=" "/>
    <x v="0"/>
    <x v="0"/>
    <x v="0"/>
    <x v="0"/>
    <x v="0"/>
    <x v="32"/>
    <x v="0"/>
    <x v="0"/>
    <x v="0"/>
    <x v="4"/>
    <x v="1"/>
    <x v="1"/>
    <x v="24"/>
    <x v="0"/>
    <x v="0"/>
    <x v="0"/>
    <x v="0"/>
    <x v="0"/>
    <x v="0"/>
    <x v="0"/>
    <x v="0"/>
    <x v="0"/>
    <x v="0"/>
    <x v="0"/>
    <x v="0"/>
    <x v="0"/>
    <x v="0"/>
    <x v="0"/>
    <x v="23"/>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18"/>
    <s v="Concrete Check Wall"/>
    <s v="Concrete Check Wall"/>
    <s v="KS18_003"/>
    <x v="6"/>
    <n v="29.992503056"/>
    <n v="-25.824776944"/>
    <s v="29° 59' 33.01&quot;E "/>
    <s v="25° 49' 29.19&quot; S"/>
    <s v="Complete"/>
    <s v="Yes"/>
    <s v="Yes"/>
    <d v="2017-02-08T00:00:00"/>
    <s v="YES"/>
    <m/>
    <s v="NBC-GTW-CL-0045"/>
    <s v="Yes"/>
    <s v="00"/>
    <d v="2018-06-16T00:00:00"/>
    <s v="Phase 1"/>
    <s v="Year 1"/>
    <n v="0"/>
    <n v="0"/>
    <n v="0"/>
    <n v="0"/>
    <n v="0"/>
    <n v="5.7"/>
    <n v="0"/>
    <n v="0"/>
    <n v="0"/>
    <n v="0"/>
    <n v="0"/>
    <n v="0"/>
    <n v="5.7"/>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m/>
    <m/>
    <m/>
    <m/>
    <m/>
    <m/>
    <m/>
    <m/>
    <m/>
    <m/>
    <m/>
    <m/>
    <n v="0"/>
    <n v="0"/>
    <n v="0"/>
    <n v="0"/>
    <n v="0"/>
    <n v="484.5"/>
    <n v="0"/>
    <n v="0"/>
    <n v="0"/>
    <n v="0"/>
    <n v="0"/>
    <n v="11400"/>
    <n v="0"/>
    <n v="0"/>
    <n v="0"/>
    <n v="0"/>
    <n v="0"/>
    <n v="0"/>
    <n v="0"/>
    <n v="0"/>
    <n v="0"/>
    <n v="0"/>
    <n v="0"/>
    <n v="0"/>
    <n v="0"/>
    <n v="0"/>
    <n v="0"/>
    <n v="0"/>
    <n v="0"/>
    <n v="0"/>
    <n v="0"/>
    <n v="0"/>
    <n v="0"/>
    <n v="0"/>
    <n v="0"/>
    <n v="0"/>
    <n v="0"/>
    <n v="0"/>
    <n v="0"/>
    <n v="0"/>
    <n v="0"/>
    <n v="0"/>
    <n v="0"/>
    <n v="0"/>
    <n v="0"/>
    <n v="0"/>
    <n v="0"/>
    <n v="0"/>
    <n v="0"/>
    <n v="0"/>
    <n v="0"/>
    <n v="0"/>
    <n v="0"/>
    <n v="0"/>
    <n v="0"/>
    <n v="0"/>
    <n v="0"/>
    <n v="0"/>
    <n v="11884.5"/>
    <n v="12597.570000000002"/>
    <s v=" "/>
    <s v=" "/>
    <s v=" "/>
    <s v=" "/>
    <s v=" "/>
    <s v=" "/>
    <s v=" "/>
    <s v=" "/>
    <s v=" "/>
    <s v=" "/>
    <s v=" "/>
    <s v=" "/>
    <s v=" "/>
    <s v=" "/>
    <x v="0"/>
    <x v="0"/>
    <x v="0"/>
    <x v="0"/>
    <x v="0"/>
    <x v="33"/>
    <x v="0"/>
    <x v="0"/>
    <x v="0"/>
    <x v="4"/>
    <x v="1"/>
    <x v="1"/>
    <x v="25"/>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18"/>
    <s v="Concrete Check Wall"/>
    <s v="Concrete Check Wall"/>
    <s v="KS18_004"/>
    <x v="6"/>
    <n v="29.9920875"/>
    <n v="-25.824516943999999"/>
    <s v="29° 59' 31.51&quot;E "/>
    <s v="25° 49' 28.26&quot; S"/>
    <s v="Complete"/>
    <s v="Yes"/>
    <s v="Yes"/>
    <d v="2017-02-08T00:00:00"/>
    <s v="YES"/>
    <m/>
    <s v="NBC-GTW-CL-0045"/>
    <s v="Yes"/>
    <s v="00"/>
    <d v="2018-06-16T00:00:00"/>
    <s v="Phase 1"/>
    <s v="Year 1"/>
    <n v="0"/>
    <n v="0"/>
    <n v="0"/>
    <n v="0"/>
    <n v="0"/>
    <n v="5.3550000000000004"/>
    <n v="0"/>
    <n v="0"/>
    <n v="0"/>
    <n v="0"/>
    <n v="0"/>
    <n v="0"/>
    <n v="5.3550000000000004"/>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m/>
    <m/>
    <m/>
    <m/>
    <m/>
    <m/>
    <m/>
    <m/>
    <m/>
    <m/>
    <m/>
    <m/>
    <n v="0"/>
    <n v="0"/>
    <n v="0"/>
    <n v="0"/>
    <n v="0"/>
    <n v="455.17500000000001"/>
    <n v="0"/>
    <n v="0"/>
    <n v="0"/>
    <n v="0"/>
    <n v="0"/>
    <n v="10710"/>
    <n v="0"/>
    <n v="0"/>
    <n v="0"/>
    <n v="0"/>
    <n v="0"/>
    <n v="0"/>
    <n v="0"/>
    <n v="0"/>
    <n v="0"/>
    <n v="0"/>
    <n v="0"/>
    <n v="0"/>
    <n v="0"/>
    <n v="0"/>
    <n v="0"/>
    <n v="0"/>
    <n v="0"/>
    <n v="0"/>
    <n v="0"/>
    <n v="0"/>
    <n v="0"/>
    <n v="0"/>
    <n v="0"/>
    <n v="0"/>
    <n v="0"/>
    <n v="0"/>
    <n v="0"/>
    <n v="0"/>
    <n v="0"/>
    <n v="0"/>
    <n v="0"/>
    <n v="0"/>
    <n v="0"/>
    <n v="0"/>
    <n v="0"/>
    <n v="0"/>
    <n v="0"/>
    <n v="0"/>
    <n v="0"/>
    <n v="0"/>
    <n v="0"/>
    <n v="0"/>
    <n v="0"/>
    <n v="0"/>
    <n v="0"/>
    <n v="0"/>
    <n v="11165.174999999999"/>
    <n v="11835.085499999999"/>
    <s v=" "/>
    <s v=" "/>
    <s v=" "/>
    <s v=" "/>
    <s v=" "/>
    <s v=" "/>
    <s v=" "/>
    <s v=" "/>
    <s v=" "/>
    <s v=" "/>
    <s v=" "/>
    <s v=" "/>
    <s v=" "/>
    <s v=" "/>
    <x v="0"/>
    <x v="0"/>
    <x v="0"/>
    <x v="0"/>
    <x v="0"/>
    <x v="34"/>
    <x v="0"/>
    <x v="0"/>
    <x v="0"/>
    <x v="4"/>
    <x v="1"/>
    <x v="1"/>
    <x v="26"/>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18"/>
    <s v="Concrete Check Wall"/>
    <s v="Concrete Check Wall"/>
    <s v="KS18_005"/>
    <x v="6"/>
    <n v="29.991557778000001"/>
    <n v="-25.824408889000001"/>
    <s v="29° 59' 29.60&quot;E "/>
    <s v="25° 49' 27.87&quot; S"/>
    <s v="Complete"/>
    <s v="Yes"/>
    <s v="Yes"/>
    <d v="2017-02-08T00:00:00"/>
    <s v="YES"/>
    <m/>
    <s v="NBC-GTW-CL-0045"/>
    <s v="Yes"/>
    <s v="00"/>
    <d v="2018-06-16T00:00:00"/>
    <s v="Phase 1"/>
    <s v="Year 1"/>
    <n v="0"/>
    <n v="0"/>
    <n v="0"/>
    <n v="0"/>
    <n v="0"/>
    <n v="6.9300000000000006"/>
    <n v="0"/>
    <n v="0"/>
    <n v="0"/>
    <n v="0"/>
    <n v="0"/>
    <n v="0"/>
    <n v="6.9300000000000006"/>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m/>
    <m/>
    <m/>
    <m/>
    <m/>
    <m/>
    <m/>
    <m/>
    <m/>
    <m/>
    <m/>
    <m/>
    <n v="0"/>
    <n v="0"/>
    <n v="0"/>
    <n v="0"/>
    <n v="0"/>
    <n v="589.05000000000007"/>
    <n v="0"/>
    <n v="0"/>
    <n v="0"/>
    <n v="0"/>
    <n v="0"/>
    <n v="13860.000000000002"/>
    <n v="0"/>
    <n v="0"/>
    <n v="0"/>
    <n v="0"/>
    <n v="0"/>
    <n v="0"/>
    <n v="0"/>
    <n v="0"/>
    <n v="0"/>
    <n v="0"/>
    <n v="0"/>
    <n v="0"/>
    <n v="0"/>
    <n v="0"/>
    <n v="0"/>
    <n v="0"/>
    <n v="0"/>
    <n v="0"/>
    <n v="0"/>
    <n v="0"/>
    <n v="0"/>
    <n v="0"/>
    <n v="0"/>
    <n v="0"/>
    <n v="0"/>
    <n v="0"/>
    <n v="0"/>
    <n v="0"/>
    <n v="0"/>
    <n v="0"/>
    <n v="0"/>
    <n v="0"/>
    <n v="0"/>
    <n v="0"/>
    <n v="0"/>
    <n v="0"/>
    <n v="0"/>
    <n v="0"/>
    <n v="0"/>
    <n v="0"/>
    <n v="0"/>
    <n v="0"/>
    <n v="0"/>
    <n v="0"/>
    <n v="0"/>
    <n v="0"/>
    <n v="14449.050000000001"/>
    <n v="15315.993000000002"/>
    <s v=" "/>
    <s v=" "/>
    <s v=" "/>
    <s v=" "/>
    <s v=" "/>
    <s v=" "/>
    <s v=" "/>
    <s v=" "/>
    <s v=" "/>
    <s v=" "/>
    <s v=" "/>
    <s v=" "/>
    <s v=" "/>
    <s v=" "/>
    <x v="0"/>
    <x v="0"/>
    <x v="0"/>
    <x v="0"/>
    <x v="0"/>
    <x v="35"/>
    <x v="0"/>
    <x v="0"/>
    <x v="0"/>
    <x v="4"/>
    <x v="1"/>
    <x v="1"/>
    <x v="27"/>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18"/>
    <s v="Concrete Check Wall"/>
    <s v="Concrete Check Wall"/>
    <s v="KS18_006"/>
    <x v="6"/>
    <n v="29.990665542999999"/>
    <n v="-25.824166946999998"/>
    <s v="29° 59' 26.39&quot;E "/>
    <s v="25° 49' 27.00&quot; S"/>
    <s v="Complete"/>
    <s v="Yes"/>
    <s v="Yes"/>
    <d v="2017-02-08T00:00:00"/>
    <s v="YES"/>
    <m/>
    <s v="NBC-GTW-CL-0045"/>
    <s v="Yes"/>
    <s v="00"/>
    <d v="2018-06-16T00:00:00"/>
    <s v="Phase 1"/>
    <s v="Year 1"/>
    <n v="0"/>
    <n v="0"/>
    <n v="0"/>
    <n v="0"/>
    <n v="0"/>
    <n v="6.6150000000000002"/>
    <n v="0"/>
    <n v="0"/>
    <n v="0"/>
    <n v="0"/>
    <n v="0"/>
    <n v="0"/>
    <n v="6.6150000000000002"/>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m/>
    <m/>
    <m/>
    <m/>
    <m/>
    <m/>
    <m/>
    <m/>
    <m/>
    <m/>
    <m/>
    <m/>
    <n v="0"/>
    <n v="0"/>
    <n v="0"/>
    <n v="0"/>
    <n v="0"/>
    <n v="562.27499999999998"/>
    <n v="0"/>
    <n v="0"/>
    <n v="0"/>
    <n v="0"/>
    <n v="0"/>
    <n v="13230"/>
    <n v="0"/>
    <n v="0"/>
    <n v="0"/>
    <n v="0"/>
    <n v="0"/>
    <n v="0"/>
    <n v="0"/>
    <n v="0"/>
    <n v="0"/>
    <n v="0"/>
    <n v="0"/>
    <n v="0"/>
    <n v="0"/>
    <n v="0"/>
    <n v="0"/>
    <n v="0"/>
    <n v="0"/>
    <n v="0"/>
    <n v="0"/>
    <n v="0"/>
    <n v="0"/>
    <n v="0"/>
    <n v="0"/>
    <n v="0"/>
    <n v="0"/>
    <n v="0"/>
    <n v="0"/>
    <n v="0"/>
    <n v="0"/>
    <n v="0"/>
    <n v="0"/>
    <n v="0"/>
    <n v="0"/>
    <n v="0"/>
    <n v="0"/>
    <n v="0"/>
    <n v="0"/>
    <n v="0"/>
    <n v="0"/>
    <n v="0"/>
    <n v="0"/>
    <n v="0"/>
    <n v="0"/>
    <n v="0"/>
    <n v="0"/>
    <n v="0"/>
    <n v="13792.275"/>
    <n v="14619.8115"/>
    <s v=" "/>
    <s v=" "/>
    <s v=" "/>
    <s v=" "/>
    <s v=" "/>
    <s v=" "/>
    <s v=" "/>
    <s v=" "/>
    <s v=" "/>
    <s v=" "/>
    <s v=" "/>
    <s v=" "/>
    <s v=" "/>
    <s v=" "/>
    <x v="0"/>
    <x v="0"/>
    <x v="0"/>
    <x v="0"/>
    <x v="0"/>
    <x v="36"/>
    <x v="0"/>
    <x v="0"/>
    <x v="0"/>
    <x v="4"/>
    <x v="1"/>
    <x v="1"/>
    <x v="28"/>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18"/>
    <s v="Concrete Check Wall"/>
    <s v="Concrete Check Wall"/>
    <s v="KS18_007"/>
    <x v="6"/>
    <n v="29.990300000000001"/>
    <n v="-25.823898332999999"/>
    <s v="29° 59' 25.08&quot;E "/>
    <s v="25° 49' 26.03&quot; S"/>
    <s v="Complete"/>
    <s v="Yes"/>
    <s v="Yes"/>
    <d v="2017-02-08T00:00:00"/>
    <s v="YES"/>
    <m/>
    <s v="NBC-GTW-CL-0045"/>
    <s v="Yes"/>
    <s v="00"/>
    <d v="2018-06-16T00:00:00"/>
    <s v="Phase 1"/>
    <s v="Year 1"/>
    <n v="0"/>
    <n v="0"/>
    <n v="0"/>
    <n v="0"/>
    <n v="0"/>
    <n v="5.04"/>
    <n v="0"/>
    <n v="0"/>
    <n v="0"/>
    <n v="0"/>
    <n v="0"/>
    <n v="0"/>
    <n v="5.04"/>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m/>
    <m/>
    <m/>
    <m/>
    <m/>
    <m/>
    <m/>
    <m/>
    <m/>
    <m/>
    <m/>
    <m/>
    <n v="0"/>
    <n v="0"/>
    <n v="0"/>
    <n v="0"/>
    <n v="0"/>
    <n v="428.4"/>
    <n v="0"/>
    <n v="0"/>
    <n v="0"/>
    <n v="0"/>
    <n v="0"/>
    <n v="10080"/>
    <n v="0"/>
    <n v="0"/>
    <n v="0"/>
    <n v="0"/>
    <n v="0"/>
    <n v="0"/>
    <n v="0"/>
    <n v="0"/>
    <n v="0"/>
    <n v="0"/>
    <n v="0"/>
    <n v="0"/>
    <n v="0"/>
    <n v="0"/>
    <n v="0"/>
    <n v="0"/>
    <n v="0"/>
    <n v="0"/>
    <n v="0"/>
    <n v="0"/>
    <n v="0"/>
    <n v="0"/>
    <n v="0"/>
    <n v="0"/>
    <n v="0"/>
    <n v="0"/>
    <n v="0"/>
    <n v="0"/>
    <n v="0"/>
    <n v="0"/>
    <n v="0"/>
    <n v="0"/>
    <n v="0"/>
    <n v="0"/>
    <n v="0"/>
    <n v="0"/>
    <n v="0"/>
    <n v="0"/>
    <n v="0"/>
    <n v="0"/>
    <n v="0"/>
    <n v="0"/>
    <n v="0"/>
    <n v="0"/>
    <n v="0"/>
    <n v="0"/>
    <n v="10508.4"/>
    <n v="11138.904"/>
    <s v=" "/>
    <s v=" "/>
    <s v=" "/>
    <s v=" "/>
    <s v=" "/>
    <s v=" "/>
    <s v=" "/>
    <s v=" "/>
    <s v=" "/>
    <s v=" "/>
    <s v=" "/>
    <s v=" "/>
    <s v=" "/>
    <s v=" "/>
    <x v="0"/>
    <x v="0"/>
    <x v="0"/>
    <x v="0"/>
    <x v="0"/>
    <x v="37"/>
    <x v="0"/>
    <x v="0"/>
    <x v="0"/>
    <x v="4"/>
    <x v="1"/>
    <x v="1"/>
    <x v="29"/>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18"/>
    <s v="Concrete Check Wall"/>
    <s v="Concrete Check Wall"/>
    <s v="KS18_008"/>
    <x v="6"/>
    <n v="29.989851111"/>
    <n v="-25.823658610999999"/>
    <s v="29° 59' 23.46&quot;E "/>
    <s v="25° 49' 25.17&quot; S"/>
    <s v="Complete"/>
    <s v="Yes"/>
    <s v="Yes"/>
    <d v="2017-02-08T00:00:00"/>
    <s v="YES"/>
    <m/>
    <s v="NBC-GTW-CL-0045"/>
    <s v="Yes"/>
    <s v="00"/>
    <d v="2018-06-16T00:00:00"/>
    <s v="Phase 1"/>
    <s v="Year 1"/>
    <n v="0"/>
    <n v="0"/>
    <n v="0"/>
    <n v="0"/>
    <n v="0"/>
    <n v="5.7600000000000007"/>
    <n v="0"/>
    <n v="0"/>
    <n v="0"/>
    <n v="0"/>
    <n v="0"/>
    <n v="0"/>
    <n v="5.7600000000000007"/>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m/>
    <m/>
    <m/>
    <m/>
    <m/>
    <m/>
    <m/>
    <m/>
    <m/>
    <m/>
    <m/>
    <m/>
    <n v="0"/>
    <n v="0"/>
    <n v="0"/>
    <n v="0"/>
    <n v="0"/>
    <n v="489.60000000000008"/>
    <n v="0"/>
    <n v="0"/>
    <n v="0"/>
    <n v="0"/>
    <n v="0"/>
    <n v="11520.000000000002"/>
    <n v="0"/>
    <n v="0"/>
    <n v="0"/>
    <n v="0"/>
    <n v="0"/>
    <n v="0"/>
    <n v="0"/>
    <n v="0"/>
    <n v="0"/>
    <n v="0"/>
    <n v="0"/>
    <n v="0"/>
    <n v="0"/>
    <n v="0"/>
    <n v="0"/>
    <n v="0"/>
    <n v="0"/>
    <n v="0"/>
    <n v="0"/>
    <n v="0"/>
    <n v="0"/>
    <n v="0"/>
    <n v="0"/>
    <n v="0"/>
    <n v="0"/>
    <n v="0"/>
    <n v="0"/>
    <n v="0"/>
    <n v="0"/>
    <n v="0"/>
    <n v="0"/>
    <n v="0"/>
    <n v="0"/>
    <n v="0"/>
    <n v="0"/>
    <n v="0"/>
    <n v="0"/>
    <n v="0"/>
    <n v="0"/>
    <n v="0"/>
    <n v="0"/>
    <n v="0"/>
    <n v="0"/>
    <n v="0"/>
    <n v="0"/>
    <n v="0"/>
    <n v="12009.600000000002"/>
    <n v="12730.176000000003"/>
    <s v=" "/>
    <s v=" "/>
    <s v=" "/>
    <s v=" "/>
    <s v=" "/>
    <s v=" "/>
    <s v=" "/>
    <s v=" "/>
    <s v=" "/>
    <s v=" "/>
    <s v=" "/>
    <s v=" "/>
    <s v=" "/>
    <s v=" "/>
    <x v="0"/>
    <x v="0"/>
    <x v="0"/>
    <x v="0"/>
    <x v="0"/>
    <x v="38"/>
    <x v="0"/>
    <x v="0"/>
    <x v="0"/>
    <x v="4"/>
    <x v="1"/>
    <x v="1"/>
    <x v="3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18"/>
    <s v="Concrete Check Wall"/>
    <s v="Concrete Check Wall"/>
    <s v="KS18_009"/>
    <x v="6"/>
    <n v="29.989338332999999"/>
    <n v="-25.823435278000002"/>
    <s v="29° 59' 21.61&quot;E "/>
    <s v="25° 49' 24.36&quot; S"/>
    <s v="Complete"/>
    <s v="Yes"/>
    <s v="Yes"/>
    <d v="2017-02-08T00:00:00"/>
    <s v="YES"/>
    <m/>
    <s v="NBC-GTW-CL-0045"/>
    <s v="Yes"/>
    <s v="00"/>
    <d v="2018-06-16T00:00:00"/>
    <s v="Phase 1"/>
    <s v="Year 1"/>
    <n v="0"/>
    <n v="0"/>
    <n v="0"/>
    <n v="0"/>
    <n v="0"/>
    <n v="5.7749999999999995"/>
    <n v="0"/>
    <n v="0"/>
    <n v="0"/>
    <n v="0"/>
    <n v="0"/>
    <n v="0"/>
    <n v="5.7749999999999995"/>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m/>
    <m/>
    <m/>
    <m/>
    <m/>
    <m/>
    <m/>
    <m/>
    <m/>
    <m/>
    <m/>
    <m/>
    <n v="0"/>
    <n v="0"/>
    <n v="0"/>
    <n v="0"/>
    <n v="0"/>
    <n v="490.87499999999994"/>
    <n v="0"/>
    <n v="0"/>
    <n v="0"/>
    <n v="0"/>
    <n v="0"/>
    <n v="11549.999999999998"/>
    <n v="0"/>
    <n v="0"/>
    <n v="0"/>
    <n v="0"/>
    <n v="0"/>
    <n v="0"/>
    <n v="0"/>
    <n v="0"/>
    <n v="0"/>
    <n v="0"/>
    <n v="0"/>
    <n v="0"/>
    <n v="0"/>
    <n v="0"/>
    <n v="0"/>
    <n v="0"/>
    <n v="0"/>
    <n v="0"/>
    <n v="0"/>
    <n v="0"/>
    <n v="0"/>
    <n v="0"/>
    <n v="0"/>
    <n v="0"/>
    <n v="0"/>
    <n v="0"/>
    <n v="0"/>
    <n v="0"/>
    <n v="0"/>
    <n v="0"/>
    <n v="0"/>
    <n v="0"/>
    <n v="0"/>
    <n v="0"/>
    <n v="0"/>
    <n v="0"/>
    <n v="0"/>
    <n v="0"/>
    <n v="0"/>
    <n v="0"/>
    <n v="0"/>
    <n v="0"/>
    <n v="0"/>
    <n v="0"/>
    <n v="0"/>
    <n v="0"/>
    <n v="12040.874999999998"/>
    <n v="12763.327499999999"/>
    <s v=" "/>
    <s v=" "/>
    <s v=" "/>
    <s v=" "/>
    <s v=" "/>
    <s v=" "/>
    <s v=" "/>
    <s v=" "/>
    <s v=" "/>
    <s v=" "/>
    <s v=" "/>
    <s v=" "/>
    <s v=" "/>
    <s v=" "/>
    <x v="0"/>
    <x v="0"/>
    <x v="0"/>
    <x v="0"/>
    <x v="0"/>
    <x v="39"/>
    <x v="0"/>
    <x v="0"/>
    <x v="0"/>
    <x v="4"/>
    <x v="1"/>
    <x v="1"/>
    <x v="3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18"/>
    <s v="Concrete Check Wall"/>
    <s v="Concrete Check Wall"/>
    <s v="KS18_010"/>
    <x v="6"/>
    <n v="29.988861098000001"/>
    <n v="-25.823188834"/>
    <s v="29° 59' 19.89&quot;E "/>
    <s v="25° 49' 23.47&quot; S"/>
    <s v="Complete"/>
    <s v="Yes"/>
    <s v="Yes"/>
    <d v="2017-02-08T00:00:00"/>
    <s v="YES"/>
    <m/>
    <s v="NBC-GTW-CL-0045"/>
    <s v="Yes"/>
    <s v="00"/>
    <d v="2018-06-16T00:00:00"/>
    <s v="Phase 1"/>
    <s v="Year 1"/>
    <n v="0"/>
    <n v="0"/>
    <n v="0"/>
    <n v="0"/>
    <n v="0"/>
    <n v="6.9300000000000006"/>
    <n v="0"/>
    <n v="0"/>
    <n v="0"/>
    <n v="0"/>
    <n v="0"/>
    <n v="0"/>
    <n v="6.9300000000000006"/>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m/>
    <m/>
    <m/>
    <m/>
    <m/>
    <m/>
    <m/>
    <m/>
    <m/>
    <m/>
    <m/>
    <m/>
    <n v="0"/>
    <n v="0"/>
    <n v="0"/>
    <n v="0"/>
    <n v="0"/>
    <n v="589.05000000000007"/>
    <n v="0"/>
    <n v="0"/>
    <n v="0"/>
    <n v="0"/>
    <n v="0"/>
    <n v="13860.000000000002"/>
    <n v="0"/>
    <n v="0"/>
    <n v="0"/>
    <n v="0"/>
    <n v="0"/>
    <n v="0"/>
    <n v="0"/>
    <n v="0"/>
    <n v="0"/>
    <n v="0"/>
    <n v="0"/>
    <n v="0"/>
    <n v="0"/>
    <n v="0"/>
    <n v="0"/>
    <n v="0"/>
    <n v="0"/>
    <n v="0"/>
    <n v="0"/>
    <n v="0"/>
    <n v="0"/>
    <n v="0"/>
    <n v="0"/>
    <n v="0"/>
    <n v="0"/>
    <n v="0"/>
    <n v="0"/>
    <n v="0"/>
    <n v="0"/>
    <n v="0"/>
    <n v="0"/>
    <n v="0"/>
    <n v="0"/>
    <n v="0"/>
    <n v="0"/>
    <n v="0"/>
    <n v="0"/>
    <n v="0"/>
    <n v="0"/>
    <n v="0"/>
    <n v="0"/>
    <n v="0"/>
    <n v="0"/>
    <n v="0"/>
    <n v="0"/>
    <n v="0"/>
    <n v="14449.050000000001"/>
    <n v="15315.993000000002"/>
    <s v=" "/>
    <s v=" "/>
    <s v=" "/>
    <s v=" "/>
    <s v=" "/>
    <s v=" "/>
    <s v=" "/>
    <s v=" "/>
    <s v=" "/>
    <s v=" "/>
    <s v=" "/>
    <s v=" "/>
    <s v=" "/>
    <s v=" "/>
    <x v="0"/>
    <x v="0"/>
    <x v="0"/>
    <x v="0"/>
    <x v="0"/>
    <x v="40"/>
    <x v="0"/>
    <x v="0"/>
    <x v="0"/>
    <x v="4"/>
    <x v="1"/>
    <x v="1"/>
    <x v="32"/>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18"/>
    <s v="Concrete Check Wall"/>
    <s v="Concrete Check Wall"/>
    <s v="KS18_011"/>
    <x v="6"/>
    <n v="29.988361076"/>
    <n v="-25.823007194999999"/>
    <s v="29° 59' 18.09&quot;E "/>
    <s v="25° 49' 22.82&quot; S"/>
    <s v="Complete"/>
    <s v="Yes"/>
    <s v="Yes"/>
    <d v="2017-02-08T00:00:00"/>
    <s v="YES"/>
    <m/>
    <s v="NBC-GTW-CL-0045"/>
    <s v="Yes"/>
    <s v="00"/>
    <d v="2018-06-16T00:00:00"/>
    <s v="Phase 1"/>
    <s v="Year 1"/>
    <n v="0"/>
    <n v="0"/>
    <n v="0"/>
    <n v="0"/>
    <n v="0"/>
    <n v="6"/>
    <n v="0"/>
    <n v="0"/>
    <n v="0"/>
    <n v="0"/>
    <n v="0"/>
    <n v="0"/>
    <n v="6"/>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m/>
    <m/>
    <m/>
    <m/>
    <m/>
    <m/>
    <m/>
    <m/>
    <m/>
    <m/>
    <m/>
    <m/>
    <n v="0"/>
    <n v="0"/>
    <n v="0"/>
    <n v="0"/>
    <n v="0"/>
    <n v="510"/>
    <n v="0"/>
    <n v="0"/>
    <n v="0"/>
    <n v="0"/>
    <n v="0"/>
    <n v="12000"/>
    <n v="0"/>
    <n v="0"/>
    <n v="0"/>
    <n v="0"/>
    <n v="0"/>
    <n v="0"/>
    <n v="0"/>
    <n v="0"/>
    <n v="0"/>
    <n v="0"/>
    <n v="0"/>
    <n v="0"/>
    <n v="0"/>
    <n v="0"/>
    <n v="0"/>
    <n v="0"/>
    <n v="0"/>
    <n v="0"/>
    <n v="0"/>
    <n v="0"/>
    <n v="0"/>
    <n v="0"/>
    <n v="0"/>
    <n v="0"/>
    <n v="0"/>
    <n v="0"/>
    <n v="0"/>
    <n v="0"/>
    <n v="0"/>
    <n v="0"/>
    <n v="0"/>
    <n v="0"/>
    <n v="0"/>
    <n v="0"/>
    <n v="0"/>
    <n v="0"/>
    <n v="0"/>
    <n v="0"/>
    <n v="0"/>
    <n v="0"/>
    <n v="0"/>
    <n v="0"/>
    <n v="0"/>
    <n v="0"/>
    <n v="0"/>
    <n v="0"/>
    <n v="12510"/>
    <n v="13260.6"/>
    <s v=" "/>
    <s v=" "/>
    <s v=" "/>
    <s v=" "/>
    <s v=" "/>
    <s v=" "/>
    <s v=" "/>
    <s v=" "/>
    <s v=" "/>
    <s v=" "/>
    <s v=" "/>
    <s v=" "/>
    <s v=" "/>
    <s v=" "/>
    <x v="0"/>
    <x v="0"/>
    <x v="0"/>
    <x v="0"/>
    <x v="0"/>
    <x v="41"/>
    <x v="0"/>
    <x v="0"/>
    <x v="0"/>
    <x v="4"/>
    <x v="1"/>
    <x v="1"/>
    <x v="33"/>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18"/>
    <s v="Concrete Check Wall"/>
    <s v="Concrete Check Wall"/>
    <s v="KS18_012"/>
    <x v="6"/>
    <n v="29.987974167000001"/>
    <n v="-25.822902778"/>
    <s v="29° 59' 16.70&quot;E "/>
    <s v="25° 49' 22.45&quot; S"/>
    <s v="Complete"/>
    <s v="Yes"/>
    <s v="Yes"/>
    <d v="2017-02-08T00:00:00"/>
    <s v="YES"/>
    <m/>
    <s v="NBC-GTW-CL-0045"/>
    <s v="Yes"/>
    <s v="00"/>
    <d v="2018-06-16T00:00:00"/>
    <s v="Phase 1"/>
    <s v="Year 1"/>
    <n v="0"/>
    <n v="0"/>
    <n v="0"/>
    <n v="0"/>
    <n v="0"/>
    <n v="6.6"/>
    <n v="0"/>
    <n v="0"/>
    <n v="0"/>
    <n v="0"/>
    <n v="0"/>
    <n v="0"/>
    <n v="6.6"/>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m/>
    <m/>
    <m/>
    <m/>
    <m/>
    <m/>
    <m/>
    <m/>
    <m/>
    <m/>
    <m/>
    <m/>
    <n v="0"/>
    <n v="0"/>
    <n v="0"/>
    <n v="0"/>
    <n v="0"/>
    <n v="561"/>
    <n v="0"/>
    <n v="0"/>
    <n v="0"/>
    <n v="0"/>
    <n v="0"/>
    <n v="13200"/>
    <n v="0"/>
    <n v="0"/>
    <n v="0"/>
    <n v="0"/>
    <n v="0"/>
    <n v="0"/>
    <n v="0"/>
    <n v="0"/>
    <n v="0"/>
    <n v="0"/>
    <n v="0"/>
    <n v="0"/>
    <n v="0"/>
    <n v="0"/>
    <n v="0"/>
    <n v="0"/>
    <n v="0"/>
    <n v="0"/>
    <n v="0"/>
    <n v="0"/>
    <n v="0"/>
    <n v="0"/>
    <n v="0"/>
    <n v="0"/>
    <n v="0"/>
    <n v="0"/>
    <n v="0"/>
    <n v="0"/>
    <n v="0"/>
    <n v="0"/>
    <n v="0"/>
    <n v="0"/>
    <n v="0"/>
    <n v="0"/>
    <n v="0"/>
    <n v="0"/>
    <n v="0"/>
    <n v="0"/>
    <n v="0"/>
    <n v="0"/>
    <n v="0"/>
    <n v="0"/>
    <n v="0"/>
    <n v="0"/>
    <n v="0"/>
    <n v="0"/>
    <n v="13761"/>
    <n v="14586.66"/>
    <s v=" "/>
    <s v=" "/>
    <s v=" "/>
    <s v=" "/>
    <s v=" "/>
    <s v=" "/>
    <s v=" "/>
    <s v=" "/>
    <s v=" "/>
    <s v=" "/>
    <s v=" "/>
    <s v=" "/>
    <s v=" "/>
    <s v=" "/>
    <x v="0"/>
    <x v="0"/>
    <x v="0"/>
    <x v="0"/>
    <x v="0"/>
    <x v="42"/>
    <x v="0"/>
    <x v="0"/>
    <x v="0"/>
    <x v="4"/>
    <x v="1"/>
    <x v="1"/>
    <x v="34"/>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18"/>
    <s v="Concrete Check Wall"/>
    <s v="Concrete Check Wall"/>
    <s v="KS18_013"/>
    <x v="6"/>
    <n v="29.987517778000001"/>
    <n v="-25.822854444000001"/>
    <s v="29° 59' 15.06&quot;E "/>
    <s v="25° 49' 22.27&quot; S"/>
    <s v="Complete"/>
    <s v="Yes"/>
    <s v="Yes"/>
    <d v="2017-02-08T00:00:00"/>
    <s v="YES"/>
    <m/>
    <s v="NBC-GTW-CL-0045"/>
    <s v="Yes"/>
    <s v="00"/>
    <d v="2018-06-16T00:00:00"/>
    <s v="Phase 1"/>
    <s v="Year 1"/>
    <n v="0"/>
    <n v="0"/>
    <n v="0"/>
    <n v="0"/>
    <n v="0"/>
    <n v="6"/>
    <n v="0"/>
    <n v="0"/>
    <n v="0"/>
    <n v="0"/>
    <n v="0"/>
    <n v="0"/>
    <n v="6"/>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m/>
    <m/>
    <m/>
    <m/>
    <m/>
    <m/>
    <m/>
    <m/>
    <m/>
    <m/>
    <m/>
    <m/>
    <n v="0"/>
    <n v="0"/>
    <n v="0"/>
    <n v="0"/>
    <n v="0"/>
    <n v="510"/>
    <n v="0"/>
    <n v="0"/>
    <n v="0"/>
    <n v="0"/>
    <n v="0"/>
    <n v="12000"/>
    <n v="0"/>
    <n v="0"/>
    <n v="0"/>
    <n v="0"/>
    <n v="0"/>
    <n v="0"/>
    <n v="0"/>
    <n v="0"/>
    <n v="0"/>
    <n v="0"/>
    <n v="0"/>
    <n v="0"/>
    <n v="0"/>
    <n v="0"/>
    <n v="0"/>
    <n v="0"/>
    <n v="0"/>
    <n v="0"/>
    <n v="0"/>
    <n v="0"/>
    <n v="0"/>
    <n v="0"/>
    <n v="0"/>
    <n v="0"/>
    <n v="0"/>
    <n v="0"/>
    <n v="0"/>
    <n v="0"/>
    <n v="0"/>
    <n v="0"/>
    <n v="0"/>
    <n v="0"/>
    <n v="0"/>
    <n v="0"/>
    <n v="0"/>
    <n v="0"/>
    <n v="0"/>
    <n v="0"/>
    <n v="0"/>
    <n v="0"/>
    <n v="0"/>
    <n v="0"/>
    <n v="0"/>
    <n v="0"/>
    <n v="0"/>
    <n v="0"/>
    <n v="12510"/>
    <n v="13260.6"/>
    <s v=" "/>
    <s v=" "/>
    <s v=" "/>
    <s v=" "/>
    <s v=" "/>
    <s v=" "/>
    <s v=" "/>
    <s v=" "/>
    <s v=" "/>
    <s v=" "/>
    <s v=" "/>
    <s v=" "/>
    <s v=" "/>
    <s v=" "/>
    <x v="0"/>
    <x v="0"/>
    <x v="0"/>
    <x v="0"/>
    <x v="0"/>
    <x v="43"/>
    <x v="0"/>
    <x v="0"/>
    <x v="0"/>
    <x v="4"/>
    <x v="1"/>
    <x v="1"/>
    <x v="35"/>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18"/>
    <s v="Concrete Check Wall"/>
    <s v="Concrete Check Wall"/>
    <s v="KS18_015"/>
    <x v="3"/>
    <n v="29.985955556"/>
    <n v="-25.822139167"/>
    <s v="29° 59' 09.44&quot;E "/>
    <s v="25° 49' 19.70&quot; S"/>
    <s v="Complete"/>
    <s v="Yes"/>
    <s v="Yes"/>
    <d v="2017-02-01T00:00:00"/>
    <s v="YES"/>
    <d v="2017-02-01T00:00:00"/>
    <s v="NBC-GTW-CL-0021"/>
    <s v="Yes"/>
    <s v="01"/>
    <d v="2018-12-07T00:00:00"/>
    <s v="Phase 1"/>
    <s v="Year 1"/>
    <m/>
    <n v="0"/>
    <n v="0"/>
    <n v="0"/>
    <n v="0"/>
    <n v="7.7399999999999993"/>
    <m/>
    <m/>
    <m/>
    <m/>
    <m/>
    <m/>
    <n v="7.7399999999999993"/>
    <m/>
    <m/>
    <m/>
    <m/>
    <m/>
    <m/>
    <m/>
    <m/>
    <m/>
    <m/>
    <m/>
    <m/>
    <m/>
    <m/>
    <m/>
    <m/>
    <m/>
    <n v="3.9"/>
    <n v="0"/>
    <n v="0"/>
    <n v="0"/>
    <m/>
    <n v="0"/>
    <n v="0"/>
    <n v="0"/>
    <n v="0"/>
    <n v="0"/>
    <n v="0"/>
    <n v="0"/>
    <n v="0"/>
    <n v="0"/>
    <n v="0"/>
    <n v="0"/>
    <n v="0"/>
    <n v="0"/>
    <n v="0"/>
    <n v="0"/>
    <n v="0"/>
    <n v="0"/>
    <n v="0"/>
    <n v="0"/>
    <n v="0"/>
    <n v="0"/>
    <n v="0"/>
    <n v="0"/>
    <n v="0"/>
    <n v="0"/>
    <n v="0"/>
    <n v="0"/>
    <n v="0"/>
    <n v="0"/>
    <n v="0"/>
    <n v="0"/>
    <n v="0"/>
    <n v="0"/>
    <n v="0"/>
    <n v="0"/>
    <n v="0"/>
    <n v="0"/>
    <n v="0"/>
    <n v="0"/>
    <m/>
    <m/>
    <m/>
    <m/>
    <m/>
    <m/>
    <m/>
    <m/>
    <m/>
    <m/>
    <m/>
    <m/>
    <m/>
    <m/>
    <m/>
    <m/>
    <m/>
    <m/>
    <m/>
    <m/>
    <m/>
    <n v="0"/>
    <n v="0"/>
    <n v="0"/>
    <n v="0"/>
    <n v="0"/>
    <n v="657.9"/>
    <n v="0"/>
    <n v="0"/>
    <n v="0"/>
    <n v="0"/>
    <n v="0"/>
    <n v="15479.999999999998"/>
    <n v="0"/>
    <n v="0"/>
    <n v="0"/>
    <n v="0"/>
    <n v="0"/>
    <n v="117"/>
    <n v="0"/>
    <n v="0"/>
    <n v="0"/>
    <n v="0"/>
    <n v="0"/>
    <n v="0"/>
    <n v="0"/>
    <n v="0"/>
    <n v="0"/>
    <n v="0"/>
    <n v="0"/>
    <n v="0"/>
    <n v="0"/>
    <n v="0"/>
    <n v="0"/>
    <n v="0"/>
    <n v="0"/>
    <n v="0"/>
    <n v="0"/>
    <n v="0"/>
    <n v="0"/>
    <n v="0"/>
    <n v="0"/>
    <n v="0"/>
    <n v="0"/>
    <n v="0"/>
    <n v="0"/>
    <n v="0"/>
    <n v="0"/>
    <n v="0"/>
    <n v="0"/>
    <n v="0"/>
    <n v="0"/>
    <n v="0"/>
    <n v="0"/>
    <n v="0"/>
    <n v="0"/>
    <n v="0"/>
    <n v="0"/>
    <n v="0"/>
    <n v="16254.899999999998"/>
    <n v="17230.194"/>
    <s v=" "/>
    <s v=" "/>
    <s v=" "/>
    <s v=" "/>
    <s v=" "/>
    <s v=" "/>
    <s v=" "/>
    <s v=" "/>
    <s v=" "/>
    <s v=" "/>
    <s v=" "/>
    <s v=" "/>
    <s v=" "/>
    <s v=" "/>
    <x v="0"/>
    <x v="0"/>
    <x v="0"/>
    <x v="0"/>
    <x v="0"/>
    <x v="44"/>
    <x v="0"/>
    <x v="0"/>
    <x v="0"/>
    <x v="4"/>
    <x v="1"/>
    <x v="1"/>
    <x v="36"/>
    <x v="0"/>
    <x v="0"/>
    <x v="0"/>
    <x v="0"/>
    <x v="0"/>
    <x v="0"/>
    <x v="0"/>
    <x v="0"/>
    <x v="0"/>
    <x v="0"/>
    <x v="0"/>
    <x v="0"/>
    <x v="0"/>
    <x v="0"/>
    <x v="0"/>
    <x v="24"/>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18"/>
    <s v="Concrete Check Wall"/>
    <s v="Concrete Check Wall"/>
    <s v="KS18_016"/>
    <x v="3"/>
    <n v="29.985339444000001"/>
    <n v="-25.821870000000001"/>
    <s v="29° 59' 07.22&quot;E "/>
    <s v="25° 49' 18.73&quot; S"/>
    <s v="Complete"/>
    <s v="Yes"/>
    <s v="Yes"/>
    <d v="2017-02-02T00:00:00"/>
    <s v="YES"/>
    <d v="2017-02-02T00:00:00"/>
    <s v="NBC-GTW-CL-0022"/>
    <s v="Yes"/>
    <s v="01"/>
    <d v="2018-12-07T00:00:00"/>
    <s v="Phase 1"/>
    <s v="Year 1"/>
    <m/>
    <n v="0"/>
    <n v="0"/>
    <n v="0"/>
    <n v="0"/>
    <n v="6.8039999999999994"/>
    <m/>
    <m/>
    <m/>
    <m/>
    <m/>
    <m/>
    <n v="6.8039999999999994"/>
    <m/>
    <m/>
    <m/>
    <m/>
    <m/>
    <m/>
    <m/>
    <m/>
    <m/>
    <m/>
    <m/>
    <m/>
    <m/>
    <m/>
    <m/>
    <m/>
    <m/>
    <n v="3.5999999999999996"/>
    <n v="0"/>
    <n v="0"/>
    <n v="0"/>
    <m/>
    <n v="0"/>
    <n v="0"/>
    <n v="0"/>
    <n v="0"/>
    <n v="0"/>
    <n v="0"/>
    <n v="0"/>
    <n v="0"/>
    <n v="0"/>
    <n v="0"/>
    <n v="0"/>
    <n v="0"/>
    <n v="0"/>
    <n v="0"/>
    <n v="0"/>
    <n v="0"/>
    <n v="0"/>
    <n v="0"/>
    <n v="0"/>
    <n v="0"/>
    <n v="0"/>
    <n v="0"/>
    <n v="0"/>
    <n v="0"/>
    <n v="0"/>
    <n v="0"/>
    <n v="0"/>
    <n v="0"/>
    <n v="0"/>
    <n v="0"/>
    <n v="0"/>
    <n v="0"/>
    <n v="0"/>
    <n v="0"/>
    <n v="0"/>
    <n v="0"/>
    <n v="0"/>
    <n v="0"/>
    <n v="0"/>
    <m/>
    <m/>
    <m/>
    <m/>
    <m/>
    <m/>
    <m/>
    <m/>
    <m/>
    <m/>
    <m/>
    <m/>
    <m/>
    <m/>
    <m/>
    <m/>
    <m/>
    <m/>
    <m/>
    <m/>
    <m/>
    <n v="0"/>
    <n v="0"/>
    <n v="0"/>
    <n v="0"/>
    <n v="0"/>
    <n v="578.33999999999992"/>
    <n v="0"/>
    <n v="0"/>
    <n v="0"/>
    <n v="0"/>
    <n v="0"/>
    <n v="13607.999999999998"/>
    <n v="0"/>
    <n v="0"/>
    <n v="0"/>
    <n v="0"/>
    <n v="0"/>
    <n v="107.99999999999999"/>
    <n v="0"/>
    <n v="0"/>
    <n v="0"/>
    <n v="0"/>
    <n v="0"/>
    <n v="0"/>
    <n v="0"/>
    <n v="0"/>
    <n v="0"/>
    <n v="0"/>
    <n v="0"/>
    <n v="0"/>
    <n v="0"/>
    <n v="0"/>
    <n v="0"/>
    <n v="0"/>
    <n v="0"/>
    <n v="0"/>
    <n v="0"/>
    <n v="0"/>
    <n v="0"/>
    <n v="0"/>
    <n v="0"/>
    <n v="0"/>
    <n v="0"/>
    <n v="0"/>
    <n v="0"/>
    <n v="0"/>
    <n v="0"/>
    <n v="0"/>
    <n v="0"/>
    <n v="0"/>
    <n v="0"/>
    <n v="0"/>
    <n v="0"/>
    <n v="0"/>
    <n v="0"/>
    <n v="0"/>
    <n v="0"/>
    <n v="0"/>
    <n v="14294.339999999998"/>
    <n v="15152.000399999999"/>
    <s v=" "/>
    <s v=" "/>
    <s v=" "/>
    <s v=" "/>
    <s v=" "/>
    <s v=" "/>
    <s v=" "/>
    <s v=" "/>
    <s v=" "/>
    <s v=" "/>
    <s v=" "/>
    <s v=" "/>
    <s v=" "/>
    <s v=" "/>
    <x v="0"/>
    <x v="0"/>
    <x v="0"/>
    <x v="0"/>
    <x v="0"/>
    <x v="45"/>
    <x v="0"/>
    <x v="0"/>
    <x v="0"/>
    <x v="4"/>
    <x v="1"/>
    <x v="1"/>
    <x v="37"/>
    <x v="0"/>
    <x v="0"/>
    <x v="0"/>
    <x v="0"/>
    <x v="0"/>
    <x v="0"/>
    <x v="0"/>
    <x v="0"/>
    <x v="0"/>
    <x v="0"/>
    <x v="0"/>
    <x v="0"/>
    <x v="0"/>
    <x v="0"/>
    <x v="0"/>
    <x v="25"/>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18"/>
    <s v="Concrete Check Wall"/>
    <s v="Concrete Check Wall"/>
    <s v="KS18_017"/>
    <x v="3"/>
    <n v="29.984988333"/>
    <n v="-25.821386944"/>
    <s v="29° 59' 05.95&quot;E "/>
    <s v="25° 49' 16.99&quot; S"/>
    <s v="Complete"/>
    <s v="Yes"/>
    <s v="Yes"/>
    <d v="2017-02-02T00:00:00"/>
    <s v="YES"/>
    <d v="2017-02-02T00:00:00"/>
    <s v="NBC-GTW-CL-0023"/>
    <s v="Yes"/>
    <s v="01"/>
    <d v="2018-12-07T00:00:00"/>
    <s v="Phase 1"/>
    <s v="Year 1"/>
    <m/>
    <n v="0"/>
    <n v="0"/>
    <n v="0"/>
    <n v="0"/>
    <n v="5.9399999999999995"/>
    <m/>
    <m/>
    <m/>
    <m/>
    <m/>
    <m/>
    <n v="5.9399999999999995"/>
    <m/>
    <m/>
    <m/>
    <m/>
    <m/>
    <m/>
    <m/>
    <m/>
    <m/>
    <m/>
    <m/>
    <m/>
    <m/>
    <m/>
    <m/>
    <m/>
    <m/>
    <n v="3.5999999999999996"/>
    <n v="0"/>
    <n v="0"/>
    <n v="0"/>
    <m/>
    <n v="0"/>
    <n v="0"/>
    <n v="0"/>
    <n v="0"/>
    <n v="0"/>
    <n v="0"/>
    <n v="0"/>
    <n v="0"/>
    <n v="0"/>
    <n v="0"/>
    <n v="0"/>
    <n v="0"/>
    <n v="0"/>
    <n v="0"/>
    <n v="0"/>
    <n v="0"/>
    <n v="0"/>
    <n v="0"/>
    <n v="0"/>
    <n v="0"/>
    <n v="0"/>
    <n v="0"/>
    <n v="0"/>
    <n v="0"/>
    <n v="0"/>
    <n v="0"/>
    <n v="0"/>
    <n v="0"/>
    <n v="0"/>
    <n v="0"/>
    <n v="0"/>
    <n v="0"/>
    <n v="0"/>
    <n v="0"/>
    <n v="0"/>
    <n v="0"/>
    <n v="0"/>
    <n v="0"/>
    <n v="0"/>
    <m/>
    <m/>
    <m/>
    <m/>
    <m/>
    <m/>
    <m/>
    <m/>
    <m/>
    <m/>
    <m/>
    <m/>
    <m/>
    <m/>
    <m/>
    <m/>
    <m/>
    <m/>
    <m/>
    <m/>
    <m/>
    <n v="0"/>
    <n v="0"/>
    <n v="0"/>
    <n v="0"/>
    <n v="0"/>
    <n v="504.9"/>
    <n v="0"/>
    <n v="0"/>
    <n v="0"/>
    <n v="0"/>
    <n v="0"/>
    <n v="11879.999999999998"/>
    <n v="0"/>
    <n v="0"/>
    <n v="0"/>
    <n v="0"/>
    <n v="0"/>
    <n v="107.99999999999999"/>
    <n v="0"/>
    <n v="0"/>
    <n v="0"/>
    <n v="0"/>
    <n v="0"/>
    <n v="0"/>
    <n v="0"/>
    <n v="0"/>
    <n v="0"/>
    <n v="0"/>
    <n v="0"/>
    <n v="0"/>
    <n v="0"/>
    <n v="0"/>
    <n v="0"/>
    <n v="0"/>
    <n v="0"/>
    <n v="0"/>
    <n v="0"/>
    <n v="0"/>
    <n v="0"/>
    <n v="0"/>
    <n v="0"/>
    <n v="0"/>
    <n v="0"/>
    <n v="0"/>
    <n v="0"/>
    <n v="0"/>
    <n v="0"/>
    <n v="0"/>
    <n v="0"/>
    <n v="0"/>
    <n v="0"/>
    <n v="0"/>
    <n v="0"/>
    <n v="0"/>
    <n v="0"/>
    <n v="0"/>
    <n v="0"/>
    <n v="0"/>
    <n v="12492.899999999998"/>
    <n v="13242.473999999998"/>
    <s v=" "/>
    <s v=" "/>
    <s v=" "/>
    <s v=" "/>
    <s v=" "/>
    <s v=" "/>
    <s v=" "/>
    <s v=" "/>
    <s v=" "/>
    <s v=" "/>
    <s v=" "/>
    <s v=" "/>
    <s v=" "/>
    <s v=" "/>
    <x v="0"/>
    <x v="0"/>
    <x v="0"/>
    <x v="0"/>
    <x v="0"/>
    <x v="46"/>
    <x v="0"/>
    <x v="0"/>
    <x v="0"/>
    <x v="4"/>
    <x v="1"/>
    <x v="1"/>
    <x v="38"/>
    <x v="0"/>
    <x v="0"/>
    <x v="0"/>
    <x v="0"/>
    <x v="0"/>
    <x v="0"/>
    <x v="0"/>
    <x v="0"/>
    <x v="0"/>
    <x v="0"/>
    <x v="0"/>
    <x v="0"/>
    <x v="0"/>
    <x v="0"/>
    <x v="0"/>
    <x v="26"/>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18"/>
    <s v="Concrete Check Wall"/>
    <s v="Concrete Check Wall"/>
    <s v="KS18_018"/>
    <x v="3"/>
    <n v="29.984711666999999"/>
    <n v="-25.821154444000001"/>
    <s v="29° 59' 04.96&quot;E "/>
    <s v="25° 49' 16.15&quot; S"/>
    <s v="Complete"/>
    <s v="Yes"/>
    <s v="Yes"/>
    <d v="2017-02-02T00:00:00"/>
    <s v="YES"/>
    <d v="2017-02-02T00:00:00"/>
    <s v="NBC-GTW-CL-0024"/>
    <s v="Yes"/>
    <s v="01"/>
    <d v="2018-12-07T00:00:00"/>
    <s v="Phase 1"/>
    <s v="Year 1"/>
    <m/>
    <n v="0"/>
    <n v="0"/>
    <n v="0"/>
    <n v="0"/>
    <n v="4.9979999999999993"/>
    <m/>
    <m/>
    <m/>
    <m/>
    <m/>
    <m/>
    <n v="4.9979999999999993"/>
    <m/>
    <m/>
    <m/>
    <m/>
    <m/>
    <m/>
    <m/>
    <m/>
    <m/>
    <m/>
    <m/>
    <m/>
    <m/>
    <m/>
    <m/>
    <m/>
    <m/>
    <n v="3.4499999999999997"/>
    <n v="0"/>
    <n v="0"/>
    <n v="0"/>
    <m/>
    <n v="0"/>
    <n v="0"/>
    <n v="0"/>
    <n v="0"/>
    <n v="0"/>
    <n v="0"/>
    <n v="0"/>
    <n v="0"/>
    <n v="0"/>
    <n v="0"/>
    <n v="0"/>
    <n v="0"/>
    <n v="0"/>
    <n v="0"/>
    <n v="0"/>
    <n v="0"/>
    <n v="0"/>
    <n v="0"/>
    <n v="0"/>
    <n v="0"/>
    <n v="0"/>
    <n v="0"/>
    <n v="0"/>
    <n v="0"/>
    <n v="0"/>
    <n v="0"/>
    <n v="0"/>
    <n v="0"/>
    <n v="0"/>
    <n v="0"/>
    <n v="0"/>
    <n v="0"/>
    <n v="0"/>
    <n v="0"/>
    <n v="0"/>
    <n v="0"/>
    <n v="0"/>
    <n v="0"/>
    <n v="0"/>
    <m/>
    <m/>
    <m/>
    <m/>
    <m/>
    <m/>
    <m/>
    <m/>
    <m/>
    <m/>
    <m/>
    <m/>
    <m/>
    <m/>
    <m/>
    <m/>
    <m/>
    <m/>
    <m/>
    <m/>
    <m/>
    <n v="0"/>
    <n v="0"/>
    <n v="0"/>
    <n v="0"/>
    <n v="0"/>
    <n v="424.82999999999993"/>
    <n v="0"/>
    <n v="0"/>
    <n v="0"/>
    <n v="0"/>
    <n v="0"/>
    <n v="9995.9999999999982"/>
    <n v="0"/>
    <n v="0"/>
    <n v="0"/>
    <n v="0"/>
    <n v="0"/>
    <n v="103.49999999999999"/>
    <n v="0"/>
    <n v="0"/>
    <n v="0"/>
    <n v="0"/>
    <n v="0"/>
    <n v="0"/>
    <n v="0"/>
    <n v="0"/>
    <n v="0"/>
    <n v="0"/>
    <n v="0"/>
    <n v="0"/>
    <n v="0"/>
    <n v="0"/>
    <n v="0"/>
    <n v="0"/>
    <n v="0"/>
    <n v="0"/>
    <n v="0"/>
    <n v="0"/>
    <n v="0"/>
    <n v="0"/>
    <n v="0"/>
    <n v="0"/>
    <n v="0"/>
    <n v="0"/>
    <n v="0"/>
    <n v="0"/>
    <n v="0"/>
    <n v="0"/>
    <n v="0"/>
    <n v="0"/>
    <n v="0"/>
    <n v="0"/>
    <n v="0"/>
    <n v="0"/>
    <n v="0"/>
    <n v="0"/>
    <n v="0"/>
    <n v="0"/>
    <n v="10524.329999999998"/>
    <n v="11155.789799999999"/>
    <s v=" "/>
    <s v=" "/>
    <s v=" "/>
    <s v=" "/>
    <s v=" "/>
    <s v=" "/>
    <s v=" "/>
    <s v=" "/>
    <s v=" "/>
    <s v=" "/>
    <s v=" "/>
    <s v=" "/>
    <s v=" "/>
    <s v=" "/>
    <x v="0"/>
    <x v="0"/>
    <x v="0"/>
    <x v="0"/>
    <x v="0"/>
    <x v="47"/>
    <x v="0"/>
    <x v="0"/>
    <x v="0"/>
    <x v="4"/>
    <x v="1"/>
    <x v="1"/>
    <x v="39"/>
    <x v="0"/>
    <x v="0"/>
    <x v="0"/>
    <x v="0"/>
    <x v="0"/>
    <x v="0"/>
    <x v="0"/>
    <x v="0"/>
    <x v="0"/>
    <x v="0"/>
    <x v="0"/>
    <x v="0"/>
    <x v="0"/>
    <x v="0"/>
    <x v="0"/>
    <x v="27"/>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18"/>
    <s v="Concrete Check Wall"/>
    <s v="Concrete Check Wall"/>
    <s v="KS18_019"/>
    <x v="3"/>
    <n v="29.984324167"/>
    <n v="-25.820989999999998"/>
    <s v="29° 59' 03.56&quot;E "/>
    <s v="25° 49' 15.56&quot; S"/>
    <s v="Complete"/>
    <s v="Yes"/>
    <s v="Yes"/>
    <d v="2017-02-06T00:00:00"/>
    <s v="YES"/>
    <d v="2017-02-06T00:00:00"/>
    <s v="NBC-GTW-CL-0025"/>
    <s v="Yes"/>
    <s v="01"/>
    <d v="2018-12-07T00:00:00"/>
    <s v="Phase 1"/>
    <s v="Year 1"/>
    <m/>
    <n v="0"/>
    <n v="0"/>
    <n v="0"/>
    <n v="0"/>
    <n v="6.6239999999999997"/>
    <m/>
    <m/>
    <m/>
    <m/>
    <m/>
    <m/>
    <n v="6.6239999999999997"/>
    <m/>
    <m/>
    <m/>
    <m/>
    <m/>
    <m/>
    <m/>
    <m/>
    <m/>
    <m/>
    <m/>
    <m/>
    <m/>
    <m/>
    <m/>
    <m/>
    <m/>
    <n v="3.5999999999999996"/>
    <n v="0"/>
    <n v="0"/>
    <n v="0"/>
    <m/>
    <n v="0"/>
    <n v="0"/>
    <n v="0"/>
    <n v="0"/>
    <n v="0"/>
    <n v="0"/>
    <n v="0"/>
    <n v="0"/>
    <n v="0"/>
    <n v="0"/>
    <n v="0"/>
    <n v="0"/>
    <n v="0"/>
    <n v="0"/>
    <n v="0"/>
    <n v="0"/>
    <n v="0"/>
    <n v="0"/>
    <n v="0"/>
    <n v="0"/>
    <n v="0"/>
    <n v="0"/>
    <n v="0"/>
    <n v="0"/>
    <n v="0"/>
    <n v="0"/>
    <n v="0"/>
    <n v="0"/>
    <n v="0"/>
    <n v="0"/>
    <n v="0"/>
    <n v="0"/>
    <n v="0"/>
    <n v="0"/>
    <n v="0"/>
    <n v="0"/>
    <n v="0"/>
    <n v="0"/>
    <n v="0"/>
    <m/>
    <m/>
    <m/>
    <m/>
    <m/>
    <m/>
    <m/>
    <m/>
    <m/>
    <m/>
    <m/>
    <m/>
    <m/>
    <m/>
    <m/>
    <m/>
    <m/>
    <m/>
    <m/>
    <m/>
    <m/>
    <n v="0"/>
    <n v="0"/>
    <n v="0"/>
    <n v="0"/>
    <n v="0"/>
    <n v="563.04"/>
    <n v="0"/>
    <n v="0"/>
    <n v="0"/>
    <n v="0"/>
    <n v="0"/>
    <n v="13248"/>
    <n v="0"/>
    <n v="0"/>
    <n v="0"/>
    <n v="0"/>
    <n v="0"/>
    <n v="107.99999999999999"/>
    <n v="0"/>
    <n v="0"/>
    <n v="0"/>
    <n v="0"/>
    <n v="0"/>
    <n v="0"/>
    <n v="0"/>
    <n v="0"/>
    <n v="0"/>
    <n v="0"/>
    <n v="0"/>
    <n v="0"/>
    <n v="0"/>
    <n v="0"/>
    <n v="0"/>
    <n v="0"/>
    <n v="0"/>
    <n v="0"/>
    <n v="0"/>
    <n v="0"/>
    <n v="0"/>
    <n v="0"/>
    <n v="0"/>
    <n v="0"/>
    <n v="0"/>
    <n v="0"/>
    <n v="0"/>
    <n v="0"/>
    <n v="0"/>
    <n v="0"/>
    <n v="0"/>
    <n v="0"/>
    <n v="0"/>
    <n v="0"/>
    <n v="0"/>
    <n v="0"/>
    <n v="0"/>
    <n v="0"/>
    <n v="0"/>
    <n v="0"/>
    <n v="13919.04"/>
    <n v="14754.182400000002"/>
    <s v=" "/>
    <s v=" "/>
    <s v=" "/>
    <s v=" "/>
    <s v=" "/>
    <s v=" "/>
    <s v=" "/>
    <s v=" "/>
    <s v=" "/>
    <s v=" "/>
    <s v=" "/>
    <s v=" "/>
    <s v=" "/>
    <s v=" "/>
    <x v="0"/>
    <x v="0"/>
    <x v="0"/>
    <x v="0"/>
    <x v="0"/>
    <x v="48"/>
    <x v="0"/>
    <x v="0"/>
    <x v="0"/>
    <x v="4"/>
    <x v="1"/>
    <x v="1"/>
    <x v="40"/>
    <x v="0"/>
    <x v="0"/>
    <x v="0"/>
    <x v="0"/>
    <x v="0"/>
    <x v="0"/>
    <x v="0"/>
    <x v="0"/>
    <x v="0"/>
    <x v="0"/>
    <x v="0"/>
    <x v="0"/>
    <x v="0"/>
    <x v="0"/>
    <x v="0"/>
    <x v="28"/>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18"/>
    <s v="Concrete Check Wall"/>
    <s v="Concrete Check Wall"/>
    <s v="KS18_020"/>
    <x v="3"/>
    <n v="29.983982222000002"/>
    <n v="-25.820874721999999"/>
    <s v="29° 59' 02.33&quot;E "/>
    <s v="25° 49' 15.14&quot; S"/>
    <s v="Complete"/>
    <n v="0"/>
    <s v="Yes"/>
    <d v="2017-02-06T00:00:00"/>
    <s v="DONE"/>
    <d v="2017-02-06T00:00:00"/>
    <s v="NBC-GTH-CL-0002"/>
    <s v="Yes"/>
    <s v="01"/>
    <d v="2018-12-07T00:00:00"/>
    <s v="Phase 1"/>
    <s v="Year 1"/>
    <m/>
    <n v="0"/>
    <n v="0"/>
    <n v="0"/>
    <n v="0"/>
    <n v="6.7574999999999994"/>
    <m/>
    <m/>
    <m/>
    <m/>
    <m/>
    <m/>
    <n v="6.7574999999999994"/>
    <m/>
    <m/>
    <m/>
    <m/>
    <m/>
    <m/>
    <m/>
    <m/>
    <m/>
    <m/>
    <m/>
    <m/>
    <m/>
    <m/>
    <m/>
    <m/>
    <m/>
    <n v="3.75"/>
    <n v="0"/>
    <n v="0"/>
    <n v="0"/>
    <m/>
    <n v="0"/>
    <n v="0"/>
    <n v="0"/>
    <n v="0"/>
    <n v="0"/>
    <n v="0"/>
    <n v="0"/>
    <n v="0"/>
    <n v="0"/>
    <n v="0"/>
    <n v="0"/>
    <n v="0"/>
    <n v="0"/>
    <n v="0"/>
    <n v="0"/>
    <n v="0"/>
    <n v="0"/>
    <n v="0"/>
    <n v="0"/>
    <n v="0"/>
    <n v="0"/>
    <n v="0"/>
    <n v="0"/>
    <n v="0"/>
    <n v="0"/>
    <n v="0"/>
    <n v="0"/>
    <n v="0"/>
    <n v="0"/>
    <n v="0"/>
    <n v="0"/>
    <n v="0"/>
    <n v="0"/>
    <n v="0"/>
    <n v="0"/>
    <n v="0"/>
    <n v="0"/>
    <n v="0"/>
    <n v="0"/>
    <m/>
    <m/>
    <m/>
    <m/>
    <m/>
    <m/>
    <m/>
    <m/>
    <m/>
    <m/>
    <m/>
    <m/>
    <m/>
    <m/>
    <m/>
    <m/>
    <m/>
    <m/>
    <m/>
    <m/>
    <m/>
    <n v="0"/>
    <n v="0"/>
    <n v="0"/>
    <n v="0"/>
    <n v="0"/>
    <n v="574.38749999999993"/>
    <n v="0"/>
    <n v="0"/>
    <n v="0"/>
    <n v="0"/>
    <n v="0"/>
    <n v="13514.999999999998"/>
    <n v="0"/>
    <n v="0"/>
    <n v="0"/>
    <n v="0"/>
    <n v="0"/>
    <n v="112.5"/>
    <n v="0"/>
    <n v="0"/>
    <n v="0"/>
    <n v="0"/>
    <n v="0"/>
    <n v="0"/>
    <n v="0"/>
    <n v="0"/>
    <n v="0"/>
    <n v="0"/>
    <n v="0"/>
    <n v="0"/>
    <n v="0"/>
    <n v="0"/>
    <n v="0"/>
    <n v="0"/>
    <n v="0"/>
    <n v="0"/>
    <n v="0"/>
    <n v="0"/>
    <n v="0"/>
    <n v="0"/>
    <n v="0"/>
    <n v="0"/>
    <n v="0"/>
    <n v="0"/>
    <n v="0"/>
    <n v="0"/>
    <n v="0"/>
    <n v="0"/>
    <n v="0"/>
    <n v="0"/>
    <n v="0"/>
    <n v="0"/>
    <n v="0"/>
    <n v="0"/>
    <n v="0"/>
    <n v="0"/>
    <n v="0"/>
    <n v="0"/>
    <n v="14201.887499999999"/>
    <n v="15054.000749999999"/>
    <s v=" "/>
    <s v=" "/>
    <s v=" "/>
    <s v=" "/>
    <s v=" "/>
    <s v=" "/>
    <s v=" "/>
    <s v=" "/>
    <s v=" "/>
    <s v=" "/>
    <s v=" "/>
    <s v=" "/>
    <s v=" "/>
    <s v=" "/>
    <x v="0"/>
    <x v="0"/>
    <x v="0"/>
    <x v="0"/>
    <x v="0"/>
    <x v="49"/>
    <x v="0"/>
    <x v="0"/>
    <x v="0"/>
    <x v="4"/>
    <x v="1"/>
    <x v="1"/>
    <x v="41"/>
    <x v="0"/>
    <x v="0"/>
    <x v="0"/>
    <x v="0"/>
    <x v="0"/>
    <x v="0"/>
    <x v="0"/>
    <x v="0"/>
    <x v="0"/>
    <x v="0"/>
    <x v="0"/>
    <x v="0"/>
    <x v="0"/>
    <x v="0"/>
    <x v="0"/>
    <x v="29"/>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18"/>
    <s v="Concrete Check Wall"/>
    <s v="Concrete Check Wall"/>
    <s v="KS18_014"/>
    <x v="6"/>
    <n v="29.986772221999999"/>
    <n v="-25.822881943999999"/>
    <s v="29° 59' 12.37&quot;E "/>
    <s v="25° 49' 22.37&quot; S"/>
    <s v="Complete"/>
    <s v="Yes"/>
    <s v="Yes"/>
    <s v="Yes"/>
    <s v="YES"/>
    <s v="NO"/>
    <s v="NBC-GTW-CL-0001"/>
    <s v="Yes"/>
    <s v="01"/>
    <d v="2018-12-07T00:00:00"/>
    <s v="Phase 1"/>
    <s v="Year 1"/>
    <m/>
    <m/>
    <m/>
    <m/>
    <m/>
    <n v="6.6599999999999993"/>
    <m/>
    <m/>
    <m/>
    <m/>
    <m/>
    <m/>
    <n v="6.6599999999999993"/>
    <m/>
    <m/>
    <m/>
    <m/>
    <m/>
    <m/>
    <m/>
    <m/>
    <m/>
    <m/>
    <m/>
    <m/>
    <m/>
    <m/>
    <m/>
    <m/>
    <m/>
    <n v="3.5999999999999996"/>
    <m/>
    <m/>
    <m/>
    <m/>
    <m/>
    <m/>
    <m/>
    <m/>
    <m/>
    <m/>
    <m/>
    <m/>
    <m/>
    <m/>
    <m/>
    <m/>
    <m/>
    <m/>
    <m/>
    <m/>
    <m/>
    <m/>
    <m/>
    <m/>
    <m/>
    <m/>
    <m/>
    <m/>
    <m/>
    <m/>
    <m/>
    <m/>
    <m/>
    <n v="0"/>
    <n v="0"/>
    <n v="0"/>
    <n v="0"/>
    <n v="0"/>
    <n v="0"/>
    <n v="0"/>
    <n v="0"/>
    <n v="0"/>
    <n v="0"/>
    <n v="0"/>
    <m/>
    <m/>
    <m/>
    <m/>
    <m/>
    <m/>
    <m/>
    <m/>
    <m/>
    <m/>
    <m/>
    <m/>
    <m/>
    <m/>
    <m/>
    <m/>
    <m/>
    <m/>
    <m/>
    <m/>
    <n v="0"/>
    <n v="0"/>
    <n v="0"/>
    <n v="0"/>
    <n v="0"/>
    <n v="566.09999999999991"/>
    <n v="0"/>
    <n v="0"/>
    <n v="0"/>
    <n v="0"/>
    <n v="0"/>
    <n v="13319.999999999998"/>
    <n v="0"/>
    <n v="0"/>
    <n v="0"/>
    <n v="0"/>
    <n v="0"/>
    <n v="107.99999999999999"/>
    <n v="0"/>
    <n v="0"/>
    <n v="0"/>
    <n v="0"/>
    <n v="0"/>
    <n v="0"/>
    <n v="0"/>
    <n v="0"/>
    <n v="0"/>
    <n v="0"/>
    <n v="0"/>
    <n v="0"/>
    <n v="0"/>
    <n v="0"/>
    <n v="0"/>
    <n v="0"/>
    <n v="0"/>
    <n v="0"/>
    <n v="0"/>
    <n v="0"/>
    <n v="0"/>
    <n v="0"/>
    <n v="0"/>
    <n v="0"/>
    <n v="0"/>
    <n v="0"/>
    <n v="0"/>
    <n v="0"/>
    <n v="0"/>
    <n v="0"/>
    <n v="0"/>
    <n v="0"/>
    <n v="0"/>
    <n v="0"/>
    <n v="0"/>
    <n v="0"/>
    <n v="0"/>
    <n v="0"/>
    <n v="0"/>
    <n v="0"/>
    <n v="13994.099999999999"/>
    <n v="14833.745999999999"/>
    <s v=" "/>
    <s v=" "/>
    <s v=" "/>
    <s v=" "/>
    <s v=" "/>
    <s v=" "/>
    <s v=" "/>
    <s v=" "/>
    <s v=" "/>
    <s v=" "/>
    <s v=" "/>
    <s v=" "/>
    <s v=" "/>
    <s v=" "/>
    <x v="0"/>
    <x v="0"/>
    <x v="0"/>
    <x v="0"/>
    <x v="0"/>
    <x v="50"/>
    <x v="0"/>
    <x v="0"/>
    <x v="0"/>
    <x v="4"/>
    <x v="1"/>
    <x v="1"/>
    <x v="42"/>
    <x v="0"/>
    <x v="0"/>
    <x v="0"/>
    <x v="0"/>
    <x v="0"/>
    <x v="0"/>
    <x v="0"/>
    <x v="0"/>
    <x v="0"/>
    <x v="0"/>
    <x v="0"/>
    <x v="0"/>
    <x v="0"/>
    <x v="0"/>
    <x v="0"/>
    <x v="3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18"/>
    <s v="Backfill Main Channel"/>
    <s v="Backfill Channel "/>
    <s v="KS18-021"/>
    <x v="6"/>
    <n v="29.98665025"/>
    <n v="-25.822639479999999"/>
    <s v="29° 59' 11.94&quot;E "/>
    <s v="25° 49' 21.50&quot; S"/>
    <s v="Complete"/>
    <s v="Yes"/>
    <s v="Yes"/>
    <d v="2017-04-10T00:00:00"/>
    <s v="NA"/>
    <s v="NA"/>
    <s v="No Drawing"/>
    <s v="Yes"/>
    <s v="00"/>
    <d v="2018-06-16T00:00:00"/>
    <s v="Phase 1"/>
    <s v="Year 1"/>
    <n v="3294.95"/>
    <m/>
    <m/>
    <m/>
    <m/>
    <n v="1098"/>
    <m/>
    <m/>
    <n v="3294.95"/>
    <n v="3294.95"/>
    <m/>
    <m/>
    <m/>
    <m/>
    <m/>
    <m/>
    <m/>
    <m/>
    <m/>
    <m/>
    <m/>
    <m/>
    <m/>
    <m/>
    <m/>
    <n v="0"/>
    <n v="0"/>
    <n v="0"/>
    <n v="0"/>
    <n v="0"/>
    <n v="0"/>
    <n v="0"/>
    <n v="0"/>
    <n v="0"/>
    <n v="1879.7535"/>
    <n v="0"/>
    <n v="0"/>
    <n v="0"/>
    <n v="0"/>
    <n v="0"/>
    <n v="0"/>
    <n v="0"/>
    <n v="0"/>
    <n v="0"/>
    <n v="0"/>
    <n v="0"/>
    <n v="0"/>
    <n v="0"/>
    <n v="0"/>
    <n v="0"/>
    <n v="0"/>
    <n v="0"/>
    <n v="0"/>
    <n v="0"/>
    <n v="0"/>
    <n v="0"/>
    <n v="0"/>
    <n v="0"/>
    <n v="0"/>
    <n v="0"/>
    <n v="0"/>
    <n v="0"/>
    <n v="0"/>
    <n v="0"/>
    <n v="0"/>
    <n v="0"/>
    <n v="0"/>
    <n v="0"/>
    <n v="0"/>
    <n v="0"/>
    <n v="0"/>
    <n v="0"/>
    <n v="0"/>
    <n v="0"/>
    <n v="0"/>
    <m/>
    <m/>
    <m/>
    <m/>
    <m/>
    <m/>
    <m/>
    <m/>
    <m/>
    <m/>
    <m/>
    <m/>
    <m/>
    <m/>
    <m/>
    <m/>
    <m/>
    <m/>
    <m/>
    <m/>
    <n v="16474.75"/>
    <n v="0"/>
    <n v="0"/>
    <n v="0"/>
    <n v="0"/>
    <n v="93330"/>
    <n v="0"/>
    <n v="0"/>
    <n v="16474.75"/>
    <n v="32949.5"/>
    <n v="0"/>
    <n v="0"/>
    <n v="0"/>
    <n v="0"/>
    <n v="0"/>
    <n v="0"/>
    <n v="0"/>
    <n v="0"/>
    <n v="0"/>
    <n v="0"/>
    <n v="225570.42"/>
    <n v="0"/>
    <n v="0"/>
    <n v="0"/>
    <n v="0"/>
    <n v="0"/>
    <n v="0"/>
    <n v="0"/>
    <n v="0"/>
    <n v="0"/>
    <n v="0"/>
    <n v="0"/>
    <n v="0"/>
    <n v="0"/>
    <n v="0"/>
    <n v="0"/>
    <n v="0"/>
    <n v="0"/>
    <n v="0"/>
    <n v="0"/>
    <n v="0"/>
    <n v="0"/>
    <n v="0"/>
    <n v="0"/>
    <n v="0"/>
    <n v="0"/>
    <n v="0"/>
    <n v="0"/>
    <n v="0"/>
    <n v="0"/>
    <n v="0"/>
    <n v="0"/>
    <n v="0"/>
    <n v="0"/>
    <n v="0"/>
    <n v="0"/>
    <n v="0"/>
    <n v="0"/>
    <n v="384799.42000000004"/>
    <n v="407887.38520000008"/>
    <s v=" "/>
    <s v=" "/>
    <s v=" "/>
    <s v=" "/>
    <s v=" "/>
    <s v=" "/>
    <s v=" "/>
    <s v=" "/>
    <s v=" "/>
    <s v=" "/>
    <s v=" "/>
    <s v=" "/>
    <s v=" "/>
    <s v=" "/>
    <x v="29"/>
    <x v="0"/>
    <x v="0"/>
    <x v="0"/>
    <x v="0"/>
    <x v="51"/>
    <x v="0"/>
    <x v="0"/>
    <x v="30"/>
    <x v="31"/>
    <x v="1"/>
    <x v="1"/>
    <x v="0"/>
    <x v="0"/>
    <x v="0"/>
    <x v="0"/>
    <x v="0"/>
    <x v="0"/>
    <x v="0"/>
    <x v="0"/>
    <x v="0"/>
    <x v="0"/>
    <x v="0"/>
    <x v="0"/>
    <x v="0"/>
    <x v="0"/>
    <x v="0"/>
    <x v="0"/>
    <x v="0"/>
    <x v="0"/>
    <x v="0"/>
    <x v="0"/>
    <x v="19"/>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19"/>
    <s v="Ecologs"/>
    <s v="Deactivate Drains with Ecologs"/>
    <s v="KS19_001"/>
    <x v="0"/>
    <n v="29.991269721999998"/>
    <n v="-25.821991110999999"/>
    <s v="29° 59' 28.57&quot;E "/>
    <s v="25° 49' 19.16&quot; S"/>
    <s v="Complete"/>
    <s v="Yes"/>
    <s v="Yes"/>
    <d v="2017-04-28T00:00:00"/>
    <s v="YES "/>
    <m/>
    <s v="NBC-GTW-CL-0053"/>
    <s v="Yes"/>
    <s v="00"/>
    <d v="2018-06-16T00:00:00"/>
    <s v="Phase 2"/>
    <s v="Year 1"/>
    <m/>
    <m/>
    <m/>
    <m/>
    <m/>
    <n v="5"/>
    <m/>
    <m/>
    <m/>
    <m/>
    <m/>
    <m/>
    <m/>
    <m/>
    <m/>
    <m/>
    <m/>
    <m/>
    <m/>
    <m/>
    <m/>
    <m/>
    <m/>
    <m/>
    <m/>
    <m/>
    <m/>
    <m/>
    <m/>
    <m/>
    <m/>
    <m/>
    <m/>
    <m/>
    <n v="0"/>
    <m/>
    <m/>
    <m/>
    <m/>
    <m/>
    <m/>
    <m/>
    <m/>
    <m/>
    <m/>
    <m/>
    <m/>
    <m/>
    <m/>
    <m/>
    <m/>
    <m/>
    <m/>
    <m/>
    <m/>
    <m/>
    <m/>
    <m/>
    <m/>
    <m/>
    <m/>
    <m/>
    <n v="20"/>
    <m/>
    <m/>
    <m/>
    <m/>
    <m/>
    <m/>
    <m/>
    <m/>
    <m/>
    <m/>
    <m/>
    <m/>
    <m/>
    <m/>
    <n v="0"/>
    <n v="0"/>
    <n v="0"/>
    <n v="0"/>
    <n v="0"/>
    <n v="0"/>
    <n v="0"/>
    <n v="0"/>
    <n v="0"/>
    <m/>
    <m/>
    <m/>
    <m/>
    <m/>
    <m/>
    <m/>
    <m/>
    <m/>
    <n v="0"/>
    <n v="0"/>
    <n v="0"/>
    <n v="0"/>
    <n v="0"/>
    <n v="425"/>
    <n v="0"/>
    <n v="0"/>
    <n v="0"/>
    <n v="0"/>
    <n v="0"/>
    <n v="0"/>
    <n v="0"/>
    <n v="0"/>
    <n v="0"/>
    <n v="0"/>
    <n v="0"/>
    <n v="0"/>
    <n v="0"/>
    <n v="0"/>
    <n v="0"/>
    <n v="0"/>
    <n v="0"/>
    <n v="0"/>
    <n v="0"/>
    <n v="0"/>
    <n v="18000"/>
    <n v="0"/>
    <n v="0"/>
    <n v="0"/>
    <n v="0"/>
    <n v="0"/>
    <n v="0"/>
    <n v="0"/>
    <n v="0"/>
    <n v="0"/>
    <n v="0"/>
    <n v="0"/>
    <n v="0"/>
    <n v="0"/>
    <n v="0"/>
    <n v="0"/>
    <n v="0"/>
    <n v="0"/>
    <n v="0"/>
    <n v="0"/>
    <n v="0"/>
    <n v="0"/>
    <n v="0"/>
    <n v="0"/>
    <n v="0"/>
    <n v="0"/>
    <n v="0"/>
    <n v="0"/>
    <n v="0"/>
    <n v="0"/>
    <n v="0"/>
    <n v="0"/>
    <n v="18425"/>
    <n v="19530.5"/>
    <s v=" "/>
    <s v=" "/>
    <s v=" "/>
    <s v=" "/>
    <s v=" "/>
    <s v=" "/>
    <s v=" "/>
    <s v=" "/>
    <s v=" "/>
    <s v=" "/>
    <s v=" "/>
    <s v=" "/>
    <s v=" "/>
    <s v=" "/>
    <x v="0"/>
    <x v="0"/>
    <x v="0"/>
    <x v="0"/>
    <x v="0"/>
    <x v="52"/>
    <x v="0"/>
    <x v="0"/>
    <x v="0"/>
    <x v="4"/>
    <x v="1"/>
    <x v="1"/>
    <x v="0"/>
    <x v="0"/>
    <x v="0"/>
    <x v="0"/>
    <x v="0"/>
    <x v="0"/>
    <x v="0"/>
    <x v="0"/>
    <x v="0"/>
    <x v="0"/>
    <x v="0"/>
    <x v="0"/>
    <x v="0"/>
    <x v="0"/>
    <x v="0"/>
    <x v="0"/>
    <x v="0"/>
    <x v="0"/>
    <x v="0"/>
    <x v="0"/>
    <x v="0"/>
    <x v="0"/>
    <x v="0"/>
    <x v="0"/>
    <x v="0"/>
    <x v="0"/>
    <x v="0"/>
    <x v="0"/>
    <x v="0"/>
    <x v="0"/>
    <x v="0"/>
    <x v="0"/>
    <x v="0"/>
    <x v="0"/>
    <x v="0"/>
    <x v="0"/>
    <x v="0"/>
    <x v="0"/>
    <x v="0"/>
    <x v="0"/>
    <x v="0"/>
    <x v="0"/>
    <x v="0"/>
    <x v="0"/>
    <x v="0"/>
    <x v="0"/>
    <x v="0"/>
    <x v="0"/>
    <x v="3"/>
    <x v="0"/>
    <x v="0"/>
    <x v="0"/>
    <x v="0"/>
    <x v="0"/>
    <x v="0"/>
    <x v="0"/>
    <x v="0"/>
    <x v="0"/>
    <x v="0"/>
    <x v="0"/>
    <x v="0"/>
    <x v="0"/>
    <x v="0"/>
    <x v="0"/>
    <x v="0"/>
    <x v="0"/>
    <x v="0"/>
    <x v="0"/>
    <x v="0"/>
    <x v="0"/>
    <x v="0"/>
    <x v="0"/>
    <x v="0"/>
    <x v="0"/>
    <x v="0"/>
    <x v="0"/>
    <x v="0"/>
    <x v="0"/>
    <x v="0"/>
    <x v="0"/>
    <x v="0"/>
  </r>
  <r>
    <s v="KS19"/>
    <s v="Concrete Drop Inlet"/>
    <s v="Concrete"/>
    <s v="KS19_002"/>
    <x v="0"/>
    <n v="29.992018610999999"/>
    <n v="-25.820953332999999"/>
    <s v="29° 59' 31.26&quot;E "/>
    <s v="25° 49' 15.43&quot; S"/>
    <s v="Complete"/>
    <s v="Yes"/>
    <s v="Yes"/>
    <d v="2017-02-06T00:00:00"/>
    <s v="YES"/>
    <d v="1899-12-30T00:00:00"/>
    <s v="NBC-GTW-CL-0026"/>
    <s v="Yes"/>
    <s v="00"/>
    <d v="2018-06-16T00:00:00"/>
    <s v="Phase 2"/>
    <s v="Year 1"/>
    <n v="20.96"/>
    <n v="0"/>
    <n v="0"/>
    <n v="0"/>
    <n v="0"/>
    <n v="38.760037999999994"/>
    <n v="3.8760037999999994"/>
    <n v="1.9380018999999997"/>
    <n v="20.96"/>
    <n v="20.96"/>
    <n v="0"/>
    <n v="0"/>
    <n v="27.321751200000001"/>
    <n v="38.552"/>
    <n v="0"/>
    <n v="0"/>
    <s v="Ref 888"/>
    <n v="22.335280000000001"/>
    <s v="Ref 655"/>
    <n v="27.825600000000001"/>
    <n v="0"/>
    <n v="46.089202790819932"/>
    <n v="0"/>
    <n v="6.42"/>
    <n v="0"/>
    <m/>
    <n v="0"/>
    <m/>
    <n v="0"/>
    <n v="6"/>
    <n v="8.0039999999999996"/>
    <n v="0"/>
    <n v="0"/>
    <n v="0"/>
    <n v="10.8096"/>
    <n v="0"/>
    <n v="0"/>
    <n v="0"/>
    <n v="0"/>
    <n v="0"/>
    <n v="0"/>
    <n v="0"/>
    <n v="0"/>
    <n v="0"/>
    <n v="0"/>
    <n v="0"/>
    <n v="0"/>
    <n v="0"/>
    <n v="0"/>
    <n v="0"/>
    <n v="0"/>
    <n v="0"/>
    <n v="0"/>
    <n v="0"/>
    <n v="0"/>
    <n v="0"/>
    <n v="0"/>
    <n v="0"/>
    <n v="0"/>
    <n v="0"/>
    <n v="0"/>
    <n v="0"/>
    <n v="0"/>
    <n v="0"/>
    <n v="0"/>
    <n v="0"/>
    <n v="0"/>
    <n v="0"/>
    <n v="0"/>
    <n v="0"/>
    <n v="0"/>
    <n v="0"/>
    <n v="0"/>
    <n v="0"/>
    <m/>
    <m/>
    <m/>
    <m/>
    <m/>
    <m/>
    <m/>
    <m/>
    <m/>
    <m/>
    <m/>
    <m/>
    <m/>
    <m/>
    <m/>
    <m/>
    <m/>
    <m/>
    <m/>
    <m/>
    <m/>
    <n v="104.80000000000001"/>
    <n v="0"/>
    <n v="0"/>
    <n v="0"/>
    <n v="0"/>
    <n v="3294.6032299999997"/>
    <n v="484.50047499999994"/>
    <n v="969.00094999999988"/>
    <n v="104.80000000000001"/>
    <n v="209.60000000000002"/>
    <n v="0"/>
    <n v="54643.502400000005"/>
    <n v="11565.6"/>
    <n v="0"/>
    <n v="0"/>
    <n v="1003.2176000000002"/>
    <n v="34310.981814032959"/>
    <n v="240.11999999999998"/>
    <n v="0"/>
    <n v="0"/>
    <n v="1297.152"/>
    <n v="0"/>
    <n v="0"/>
    <n v="0"/>
    <n v="0"/>
    <n v="0"/>
    <n v="0"/>
    <n v="0"/>
    <n v="0"/>
    <n v="0"/>
    <n v="0"/>
    <n v="0"/>
    <n v="0"/>
    <n v="0"/>
    <n v="0"/>
    <n v="0"/>
    <n v="0"/>
    <n v="0"/>
    <n v="0"/>
    <n v="0"/>
    <n v="0"/>
    <n v="0"/>
    <n v="0"/>
    <n v="0"/>
    <n v="0"/>
    <n v="0"/>
    <n v="0"/>
    <n v="0"/>
    <n v="0"/>
    <n v="0"/>
    <n v="0"/>
    <n v="0"/>
    <n v="0"/>
    <n v="0"/>
    <n v="0"/>
    <n v="0"/>
    <n v="0"/>
    <n v="0"/>
    <n v="108227.87846903296"/>
    <n v="114721.55117717494"/>
    <s v=" "/>
    <s v=" "/>
    <s v=" "/>
    <s v=" "/>
    <s v=" "/>
    <s v=" "/>
    <s v=" "/>
    <s v=" "/>
    <s v=" "/>
    <s v=" "/>
    <s v=" "/>
    <s v=" "/>
    <s v=" "/>
    <s v=" "/>
    <x v="30"/>
    <x v="0"/>
    <x v="0"/>
    <x v="0"/>
    <x v="0"/>
    <x v="53"/>
    <x v="4"/>
    <x v="11"/>
    <x v="31"/>
    <x v="32"/>
    <x v="1"/>
    <x v="1"/>
    <x v="43"/>
    <x v="13"/>
    <x v="0"/>
    <x v="0"/>
    <x v="15"/>
    <x v="11"/>
    <x v="0"/>
    <x v="11"/>
    <x v="0"/>
    <x v="14"/>
    <x v="0"/>
    <x v="0"/>
    <x v="0"/>
    <x v="0"/>
    <x v="0"/>
    <x v="10"/>
    <x v="31"/>
    <x v="0"/>
    <x v="0"/>
    <x v="0"/>
    <x v="2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19"/>
    <s v="Ecologs"/>
    <s v="Deactivate Drains with Ecologs"/>
    <s v="KS19_003"/>
    <x v="0"/>
    <n v="29.992279167"/>
    <n v="-25.820230278"/>
    <s v="29° 59' 32.20&quot;E "/>
    <s v="25° 49' 12.82&quot; S"/>
    <s v="Complete"/>
    <s v="Yes"/>
    <s v="Yes"/>
    <d v="2017-04-28T00:00:00"/>
    <s v="YES "/>
    <m/>
    <s v="NBC-GTW-CL-0054"/>
    <s v="Yes"/>
    <s v="00"/>
    <d v="2018-06-16T00:00:00"/>
    <s v="Phase 2"/>
    <s v="Year 1"/>
    <n v="0"/>
    <n v="0"/>
    <n v="0"/>
    <n v="0"/>
    <n v="0"/>
    <n v="5.3159999999999998"/>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8"/>
    <n v="0"/>
    <n v="0"/>
    <n v="0"/>
    <n v="0"/>
    <n v="0"/>
    <n v="0"/>
    <n v="0"/>
    <n v="0"/>
    <n v="0"/>
    <n v="0"/>
    <n v="0"/>
    <n v="0"/>
    <n v="0"/>
    <n v="0"/>
    <n v="0"/>
    <n v="0"/>
    <n v="0"/>
    <n v="0"/>
    <n v="0"/>
    <n v="0"/>
    <n v="0"/>
    <n v="0"/>
    <n v="0"/>
    <m/>
    <m/>
    <m/>
    <m/>
    <m/>
    <m/>
    <m/>
    <m/>
    <m/>
    <n v="0"/>
    <n v="0"/>
    <n v="0"/>
    <n v="0"/>
    <n v="0"/>
    <n v="451.86"/>
    <n v="0"/>
    <n v="0"/>
    <n v="0"/>
    <n v="0"/>
    <n v="0"/>
    <n v="0"/>
    <n v="0"/>
    <n v="0"/>
    <n v="0"/>
    <n v="0"/>
    <n v="0"/>
    <n v="0"/>
    <n v="0"/>
    <n v="0"/>
    <n v="0"/>
    <n v="0"/>
    <n v="0"/>
    <n v="0"/>
    <n v="0"/>
    <n v="0"/>
    <n v="7200"/>
    <n v="0"/>
    <n v="0"/>
    <n v="0"/>
    <n v="0"/>
    <n v="0"/>
    <n v="0"/>
    <n v="0"/>
    <n v="0"/>
    <n v="0"/>
    <n v="0"/>
    <n v="0"/>
    <n v="0"/>
    <n v="0"/>
    <n v="0"/>
    <n v="0"/>
    <n v="0"/>
    <n v="0"/>
    <n v="0"/>
    <n v="0"/>
    <n v="0"/>
    <n v="0"/>
    <n v="0"/>
    <n v="0"/>
    <n v="0"/>
    <n v="0"/>
    <n v="0"/>
    <n v="0"/>
    <n v="0"/>
    <n v="0"/>
    <n v="0"/>
    <n v="0"/>
    <n v="7651.86"/>
    <n v="8110.9715999999999"/>
    <s v=" "/>
    <s v=" "/>
    <s v=" "/>
    <s v=" "/>
    <s v=" "/>
    <s v=" "/>
    <s v=" "/>
    <s v=" "/>
    <s v=" "/>
    <s v=" "/>
    <s v=" "/>
    <s v=" "/>
    <s v=" "/>
    <s v=" "/>
    <x v="0"/>
    <x v="0"/>
    <x v="0"/>
    <x v="0"/>
    <x v="0"/>
    <x v="54"/>
    <x v="0"/>
    <x v="0"/>
    <x v="0"/>
    <x v="4"/>
    <x v="1"/>
    <x v="1"/>
    <x v="0"/>
    <x v="0"/>
    <x v="0"/>
    <x v="0"/>
    <x v="0"/>
    <x v="0"/>
    <x v="0"/>
    <x v="0"/>
    <x v="0"/>
    <x v="0"/>
    <x v="0"/>
    <x v="0"/>
    <x v="0"/>
    <x v="0"/>
    <x v="0"/>
    <x v="0"/>
    <x v="0"/>
    <x v="0"/>
    <x v="0"/>
    <x v="0"/>
    <x v="0"/>
    <x v="0"/>
    <x v="0"/>
    <x v="0"/>
    <x v="0"/>
    <x v="0"/>
    <x v="0"/>
    <x v="0"/>
    <x v="0"/>
    <x v="0"/>
    <x v="0"/>
    <x v="0"/>
    <x v="0"/>
    <x v="0"/>
    <x v="0"/>
    <x v="0"/>
    <x v="0"/>
    <x v="0"/>
    <x v="0"/>
    <x v="0"/>
    <x v="0"/>
    <x v="0"/>
    <x v="0"/>
    <x v="0"/>
    <x v="0"/>
    <x v="0"/>
    <x v="0"/>
    <x v="0"/>
    <x v="4"/>
    <x v="0"/>
    <x v="0"/>
    <x v="0"/>
    <x v="0"/>
    <x v="0"/>
    <x v="0"/>
    <x v="0"/>
    <x v="0"/>
    <x v="0"/>
    <x v="0"/>
    <x v="0"/>
    <x v="0"/>
    <x v="0"/>
    <x v="0"/>
    <x v="0"/>
    <x v="0"/>
    <x v="0"/>
    <x v="0"/>
    <x v="0"/>
    <x v="0"/>
    <x v="0"/>
    <x v="0"/>
    <x v="0"/>
    <x v="0"/>
    <x v="0"/>
    <x v="0"/>
    <x v="0"/>
    <x v="0"/>
    <x v="0"/>
    <x v="0"/>
    <x v="0"/>
    <x v="0"/>
  </r>
  <r>
    <s v="KS19"/>
    <s v="Ecologs"/>
    <s v="Deactivate Drains with Ecologs"/>
    <s v="KS19_004"/>
    <x v="0"/>
    <n v="29.992724166999999"/>
    <n v="-25.818730833"/>
    <s v="29° 59' 33.80&quot;E "/>
    <s v="25° 49' 07.43&quot; S"/>
    <s v="Complete"/>
    <s v="Yes"/>
    <s v="Yes"/>
    <d v="2017-04-28T00:00:00"/>
    <s v="YES "/>
    <m/>
    <s v="NBC-GTW-CL-0055"/>
    <s v="Yes"/>
    <s v="00"/>
    <d v="2018-06-16T00:00:00"/>
    <s v="Phase 2"/>
    <s v="Year 1"/>
    <n v="0"/>
    <n v="0"/>
    <n v="0"/>
    <n v="0"/>
    <n v="0"/>
    <n v="4.5"/>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25"/>
    <n v="0"/>
    <n v="0"/>
    <n v="0"/>
    <n v="0"/>
    <n v="0"/>
    <n v="0"/>
    <n v="0"/>
    <n v="0"/>
    <n v="0"/>
    <n v="0"/>
    <n v="0"/>
    <n v="0"/>
    <n v="0"/>
    <n v="0"/>
    <n v="0"/>
    <n v="0"/>
    <n v="0"/>
    <n v="0"/>
    <n v="0"/>
    <n v="0"/>
    <n v="0"/>
    <n v="0"/>
    <n v="0"/>
    <m/>
    <m/>
    <m/>
    <m/>
    <m/>
    <m/>
    <m/>
    <m/>
    <m/>
    <n v="0"/>
    <n v="0"/>
    <n v="0"/>
    <n v="0"/>
    <n v="0"/>
    <n v="382.5"/>
    <n v="0"/>
    <n v="0"/>
    <n v="0"/>
    <n v="0"/>
    <n v="0"/>
    <n v="0"/>
    <n v="0"/>
    <n v="0"/>
    <n v="0"/>
    <n v="0"/>
    <n v="0"/>
    <n v="0"/>
    <n v="0"/>
    <n v="0"/>
    <n v="0"/>
    <n v="0"/>
    <n v="0"/>
    <n v="0"/>
    <n v="0"/>
    <n v="0"/>
    <n v="22500"/>
    <n v="0"/>
    <n v="0"/>
    <n v="0"/>
    <n v="0"/>
    <n v="0"/>
    <n v="0"/>
    <n v="0"/>
    <n v="0"/>
    <n v="0"/>
    <n v="0"/>
    <n v="0"/>
    <n v="0"/>
    <n v="0"/>
    <n v="0"/>
    <n v="0"/>
    <n v="0"/>
    <n v="0"/>
    <n v="0"/>
    <n v="0"/>
    <n v="0"/>
    <n v="0"/>
    <n v="0"/>
    <n v="0"/>
    <n v="0"/>
    <n v="0"/>
    <n v="0"/>
    <n v="0"/>
    <n v="0"/>
    <n v="0"/>
    <n v="0"/>
    <n v="0"/>
    <n v="22882.5"/>
    <n v="24255.45"/>
    <s v=" "/>
    <s v=" "/>
    <s v=" "/>
    <s v=" "/>
    <s v=" "/>
    <s v=" "/>
    <s v=" "/>
    <s v=" "/>
    <s v=" "/>
    <s v=" "/>
    <s v=" "/>
    <s v=" "/>
    <s v=" "/>
    <s v=" "/>
    <x v="0"/>
    <x v="0"/>
    <x v="0"/>
    <x v="0"/>
    <x v="0"/>
    <x v="55"/>
    <x v="0"/>
    <x v="0"/>
    <x v="0"/>
    <x v="4"/>
    <x v="1"/>
    <x v="1"/>
    <x v="0"/>
    <x v="0"/>
    <x v="0"/>
    <x v="0"/>
    <x v="0"/>
    <x v="0"/>
    <x v="0"/>
    <x v="0"/>
    <x v="0"/>
    <x v="0"/>
    <x v="0"/>
    <x v="0"/>
    <x v="0"/>
    <x v="0"/>
    <x v="0"/>
    <x v="0"/>
    <x v="0"/>
    <x v="0"/>
    <x v="0"/>
    <x v="0"/>
    <x v="0"/>
    <x v="0"/>
    <x v="0"/>
    <x v="0"/>
    <x v="0"/>
    <x v="0"/>
    <x v="0"/>
    <x v="0"/>
    <x v="0"/>
    <x v="0"/>
    <x v="0"/>
    <x v="0"/>
    <x v="0"/>
    <x v="0"/>
    <x v="0"/>
    <x v="0"/>
    <x v="0"/>
    <x v="0"/>
    <x v="0"/>
    <x v="0"/>
    <x v="0"/>
    <x v="0"/>
    <x v="0"/>
    <x v="0"/>
    <x v="0"/>
    <x v="0"/>
    <x v="0"/>
    <x v="0"/>
    <x v="5"/>
    <x v="0"/>
    <x v="0"/>
    <x v="0"/>
    <x v="0"/>
    <x v="0"/>
    <x v="0"/>
    <x v="0"/>
    <x v="0"/>
    <x v="0"/>
    <x v="0"/>
    <x v="0"/>
    <x v="0"/>
    <x v="0"/>
    <x v="0"/>
    <x v="0"/>
    <x v="0"/>
    <x v="0"/>
    <x v="0"/>
    <x v="0"/>
    <x v="0"/>
    <x v="0"/>
    <x v="0"/>
    <x v="0"/>
    <x v="0"/>
    <x v="0"/>
    <x v="0"/>
    <x v="0"/>
    <x v="0"/>
    <x v="0"/>
    <x v="0"/>
    <x v="0"/>
    <x v="0"/>
  </r>
  <r>
    <s v="KS19"/>
    <s v="Ecologs"/>
    <s v="Deactivate Drains with Ecologs"/>
    <s v="KS19_005"/>
    <x v="0"/>
    <n v="29.992811667000002"/>
    <n v="-25.817050278"/>
    <s v="29° 59' 34.12&quot;E "/>
    <s v="25° 49' 01.38&quot; S"/>
    <s v="Complete"/>
    <s v="Yes"/>
    <s v="Yes"/>
    <d v="2017-04-28T00:00:00"/>
    <s v="YES "/>
    <m/>
    <s v="NBC-GTW-CL-0056"/>
    <s v="Yes"/>
    <s v="00"/>
    <d v="2018-06-16T00:00:00"/>
    <s v="Phase 2"/>
    <s v="Year 1"/>
    <n v="0"/>
    <n v="0"/>
    <n v="0"/>
    <n v="0"/>
    <n v="0"/>
    <n v="4.68"/>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26"/>
    <n v="0"/>
    <n v="0"/>
    <n v="0"/>
    <n v="0"/>
    <n v="0"/>
    <n v="0"/>
    <n v="0"/>
    <n v="0"/>
    <n v="0"/>
    <n v="0"/>
    <n v="0"/>
    <n v="0"/>
    <n v="0"/>
    <n v="0"/>
    <n v="0"/>
    <n v="0"/>
    <n v="0"/>
    <n v="0"/>
    <n v="0"/>
    <n v="0"/>
    <n v="0"/>
    <n v="0"/>
    <n v="0"/>
    <m/>
    <m/>
    <m/>
    <m/>
    <m/>
    <m/>
    <m/>
    <m/>
    <m/>
    <n v="0"/>
    <n v="0"/>
    <n v="0"/>
    <n v="0"/>
    <n v="0"/>
    <n v="397.79999999999995"/>
    <n v="0"/>
    <n v="0"/>
    <n v="0"/>
    <n v="0"/>
    <n v="0"/>
    <n v="0"/>
    <n v="0"/>
    <n v="0"/>
    <n v="0"/>
    <n v="0"/>
    <n v="0"/>
    <n v="0"/>
    <n v="0"/>
    <n v="0"/>
    <n v="0"/>
    <n v="0"/>
    <n v="0"/>
    <n v="0"/>
    <n v="0"/>
    <n v="0"/>
    <n v="23400"/>
    <n v="0"/>
    <n v="0"/>
    <n v="0"/>
    <n v="0"/>
    <n v="0"/>
    <n v="0"/>
    <n v="0"/>
    <n v="0"/>
    <n v="0"/>
    <n v="0"/>
    <n v="0"/>
    <n v="0"/>
    <n v="0"/>
    <n v="0"/>
    <n v="0"/>
    <n v="0"/>
    <n v="0"/>
    <n v="0"/>
    <n v="0"/>
    <n v="0"/>
    <n v="0"/>
    <n v="0"/>
    <n v="0"/>
    <n v="0"/>
    <n v="0"/>
    <n v="0"/>
    <n v="0"/>
    <n v="0"/>
    <n v="0"/>
    <n v="0"/>
    <n v="0"/>
    <n v="23797.8"/>
    <n v="25225.668000000001"/>
    <s v=" "/>
    <s v=" "/>
    <s v=" "/>
    <s v=" "/>
    <s v=" "/>
    <s v=" "/>
    <s v=" "/>
    <s v=" "/>
    <s v=" "/>
    <s v=" "/>
    <s v=" "/>
    <s v=" "/>
    <s v=" "/>
    <s v=" "/>
    <x v="0"/>
    <x v="0"/>
    <x v="0"/>
    <x v="0"/>
    <x v="0"/>
    <x v="56"/>
    <x v="0"/>
    <x v="0"/>
    <x v="0"/>
    <x v="4"/>
    <x v="1"/>
    <x v="1"/>
    <x v="0"/>
    <x v="0"/>
    <x v="0"/>
    <x v="0"/>
    <x v="0"/>
    <x v="0"/>
    <x v="0"/>
    <x v="0"/>
    <x v="0"/>
    <x v="0"/>
    <x v="0"/>
    <x v="0"/>
    <x v="0"/>
    <x v="0"/>
    <x v="0"/>
    <x v="0"/>
    <x v="0"/>
    <x v="0"/>
    <x v="0"/>
    <x v="0"/>
    <x v="0"/>
    <x v="0"/>
    <x v="0"/>
    <x v="0"/>
    <x v="0"/>
    <x v="0"/>
    <x v="0"/>
    <x v="0"/>
    <x v="0"/>
    <x v="0"/>
    <x v="0"/>
    <x v="0"/>
    <x v="0"/>
    <x v="0"/>
    <x v="0"/>
    <x v="0"/>
    <x v="0"/>
    <x v="0"/>
    <x v="0"/>
    <x v="0"/>
    <x v="0"/>
    <x v="0"/>
    <x v="0"/>
    <x v="0"/>
    <x v="0"/>
    <x v="0"/>
    <x v="0"/>
    <x v="0"/>
    <x v="6"/>
    <x v="0"/>
    <x v="0"/>
    <x v="0"/>
    <x v="0"/>
    <x v="0"/>
    <x v="0"/>
    <x v="0"/>
    <x v="0"/>
    <x v="0"/>
    <x v="0"/>
    <x v="0"/>
    <x v="0"/>
    <x v="0"/>
    <x v="0"/>
    <x v="0"/>
    <x v="0"/>
    <x v="0"/>
    <x v="0"/>
    <x v="0"/>
    <x v="0"/>
    <x v="0"/>
    <x v="0"/>
    <x v="0"/>
    <x v="0"/>
    <x v="0"/>
    <x v="0"/>
    <x v="0"/>
    <x v="0"/>
    <x v="0"/>
    <x v="0"/>
    <x v="0"/>
    <x v="0"/>
  </r>
  <r>
    <s v="KS19"/>
    <s v="Removal of Dam Wall"/>
    <s v="Excavation"/>
    <s v="KS19_006"/>
    <x v="0"/>
    <n v="29.992483888999999"/>
    <n v="-25.814825833"/>
    <s v="29° 59' 32.94&quot;E "/>
    <s v="25° 48' 53.37&quot; S"/>
    <s v="Complete"/>
    <s v="Yes"/>
    <s v="Yes"/>
    <d v="2017-02-09T00:00:00"/>
    <s v="NA"/>
    <s v="NA"/>
    <s v="No Drawing"/>
    <s v="Yes"/>
    <s v="00"/>
    <d v="2018-06-16T00:00:00"/>
    <s v="Phase 2"/>
    <s v="Year 1"/>
    <n v="3134.04"/>
    <n v="1385.03125"/>
    <n v="0"/>
    <n v="0"/>
    <n v="0"/>
    <n v="0"/>
    <n v="0"/>
    <n v="0"/>
    <n v="3134.04"/>
    <n v="3134.04"/>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m/>
    <m/>
    <m/>
    <m/>
    <m/>
    <m/>
    <m/>
    <m/>
    <m/>
    <m/>
    <m/>
    <m/>
    <n v="15670.2"/>
    <n v="69251.5625"/>
    <n v="0"/>
    <n v="0"/>
    <n v="0"/>
    <n v="0"/>
    <n v="0"/>
    <n v="0"/>
    <n v="15670.2"/>
    <n v="31340.400000000001"/>
    <n v="0"/>
    <n v="0"/>
    <n v="0"/>
    <n v="0"/>
    <n v="0"/>
    <n v="0"/>
    <n v="0"/>
    <n v="0"/>
    <n v="0"/>
    <n v="0"/>
    <n v="0"/>
    <n v="0"/>
    <n v="0"/>
    <n v="0"/>
    <n v="0"/>
    <n v="0"/>
    <n v="0"/>
    <n v="0"/>
    <n v="0"/>
    <n v="0"/>
    <n v="0"/>
    <n v="0"/>
    <n v="0"/>
    <n v="0"/>
    <n v="0"/>
    <n v="0"/>
    <n v="0"/>
    <n v="0"/>
    <n v="0"/>
    <n v="0"/>
    <n v="0"/>
    <n v="0"/>
    <n v="0"/>
    <n v="0"/>
    <n v="0"/>
    <n v="0"/>
    <n v="0"/>
    <n v="0"/>
    <n v="0"/>
    <n v="0"/>
    <n v="0"/>
    <n v="0"/>
    <n v="0"/>
    <n v="0"/>
    <n v="0"/>
    <n v="0"/>
    <n v="0"/>
    <n v="0"/>
    <n v="131932.36249999999"/>
    <n v="139848.30424999999"/>
    <s v=" "/>
    <s v=" "/>
    <s v=" "/>
    <s v=" "/>
    <s v=" "/>
    <s v=" "/>
    <s v=" "/>
    <s v=" "/>
    <s v=" "/>
    <s v=" "/>
    <s v=" "/>
    <s v=" "/>
    <s v=" "/>
    <s v=" "/>
    <x v="31"/>
    <x v="12"/>
    <x v="0"/>
    <x v="0"/>
    <x v="0"/>
    <x v="1"/>
    <x v="0"/>
    <x v="0"/>
    <x v="32"/>
    <x v="33"/>
    <x v="1"/>
    <x v="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19"/>
    <s v="Infilling of Drains"/>
    <s v="Earthworks"/>
    <s v="KS19_007"/>
    <x v="0"/>
    <n v="29.990699444000001"/>
    <n v="-25.822886110999999"/>
    <s v="29° 59' 26.51&quot;E "/>
    <s v="25° 49' 22.38&quot; S"/>
    <s v="Complete"/>
    <s v="Yes"/>
    <s v="Yes"/>
    <d v="2017-04-28T00:00:00"/>
    <s v="NA"/>
    <s v="NA"/>
    <s v="No Drawing"/>
    <s v="Yes"/>
    <s v="00"/>
    <d v="2018-06-16T00:00:00"/>
    <s v="Phase 2"/>
    <s v="Year 1"/>
    <n v="191.41985973821238"/>
    <n v="0"/>
    <n v="0"/>
    <n v="0"/>
    <n v="0"/>
    <n v="0"/>
    <n v="0"/>
    <n v="0"/>
    <n v="179.75150000000002"/>
    <n v="179.75150000000002"/>
    <n v="0"/>
    <n v="0"/>
    <n v="0"/>
    <n v="0"/>
    <n v="0"/>
    <n v="0"/>
    <n v="0"/>
    <n v="0"/>
    <n v="0"/>
    <n v="0"/>
    <n v="0"/>
    <n v="0"/>
    <n v="0"/>
    <n v="0"/>
    <n v="0"/>
    <n v="0"/>
    <n v="0"/>
    <n v="0"/>
    <n v="0"/>
    <n v="0"/>
    <n v="0"/>
    <n v="0"/>
    <n v="0"/>
    <n v="0"/>
    <n v="38"/>
    <n v="0"/>
    <n v="0"/>
    <n v="0"/>
    <n v="0"/>
    <n v="0"/>
    <n v="0"/>
    <n v="0"/>
    <n v="0"/>
    <n v="0"/>
    <n v="0"/>
    <n v="0"/>
    <n v="0"/>
    <n v="0"/>
    <n v="0"/>
    <n v="0"/>
    <n v="0"/>
    <n v="0"/>
    <n v="0"/>
    <n v="0"/>
    <n v="0"/>
    <n v="0"/>
    <n v="0"/>
    <n v="0"/>
    <n v="0"/>
    <n v="0"/>
    <n v="0"/>
    <n v="0"/>
    <n v="0"/>
    <n v="0"/>
    <n v="0"/>
    <n v="0"/>
    <n v="0"/>
    <n v="0"/>
    <n v="0"/>
    <n v="0"/>
    <n v="0"/>
    <n v="0"/>
    <n v="0"/>
    <n v="0"/>
    <n v="0"/>
    <n v="0"/>
    <n v="0"/>
    <n v="0"/>
    <n v="0"/>
    <n v="0"/>
    <n v="0"/>
    <n v="0"/>
    <n v="0"/>
    <n v="0"/>
    <n v="0"/>
    <n v="0"/>
    <m/>
    <m/>
    <m/>
    <m/>
    <m/>
    <m/>
    <m/>
    <m/>
    <m/>
    <n v="957.0992986910619"/>
    <n v="0"/>
    <n v="0"/>
    <n v="0"/>
    <n v="0"/>
    <n v="0"/>
    <n v="0"/>
    <n v="0"/>
    <n v="898.75750000000016"/>
    <n v="1797.5150000000003"/>
    <n v="0"/>
    <n v="0"/>
    <n v="0"/>
    <n v="0"/>
    <n v="0"/>
    <n v="0"/>
    <n v="0"/>
    <n v="0"/>
    <n v="0"/>
    <n v="0"/>
    <n v="4560"/>
    <n v="0"/>
    <n v="0"/>
    <n v="0"/>
    <n v="0"/>
    <n v="0"/>
    <n v="0"/>
    <n v="0"/>
    <n v="0"/>
    <n v="0"/>
    <n v="0"/>
    <n v="0"/>
    <n v="0"/>
    <n v="0"/>
    <n v="0"/>
    <n v="0"/>
    <n v="0"/>
    <n v="0"/>
    <n v="0"/>
    <n v="0"/>
    <n v="0"/>
    <n v="0"/>
    <n v="0"/>
    <n v="0"/>
    <n v="0"/>
    <n v="0"/>
    <n v="0"/>
    <n v="0"/>
    <n v="0"/>
    <n v="0"/>
    <n v="0"/>
    <n v="0"/>
    <n v="0"/>
    <n v="0"/>
    <n v="0"/>
    <n v="0"/>
    <n v="0"/>
    <n v="0"/>
    <n v="8213.3717986910633"/>
    <n v="8706.1741066125269"/>
    <s v=" "/>
    <s v=" "/>
    <s v=" "/>
    <s v=" "/>
    <s v=" "/>
    <s v=" "/>
    <s v=" "/>
    <s v=" "/>
    <s v=" "/>
    <s v=" "/>
    <s v=" "/>
    <s v=" "/>
    <s v=" "/>
    <s v=" "/>
    <x v="32"/>
    <x v="0"/>
    <x v="0"/>
    <x v="0"/>
    <x v="0"/>
    <x v="1"/>
    <x v="0"/>
    <x v="0"/>
    <x v="33"/>
    <x v="34"/>
    <x v="1"/>
    <x v="1"/>
    <x v="0"/>
    <x v="0"/>
    <x v="0"/>
    <x v="0"/>
    <x v="0"/>
    <x v="0"/>
    <x v="0"/>
    <x v="0"/>
    <x v="0"/>
    <x v="0"/>
    <x v="0"/>
    <x v="0"/>
    <x v="0"/>
    <x v="0"/>
    <x v="0"/>
    <x v="0"/>
    <x v="0"/>
    <x v="0"/>
    <x v="0"/>
    <x v="0"/>
    <x v="2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20"/>
    <s v="Concrete Drop Inlet"/>
    <s v="Concrete"/>
    <s v="KS20_001"/>
    <x v="5"/>
    <n v="29.998442222000001"/>
    <n v="-25.825638055999999"/>
    <s v="29° 59' 54.39&quot;E "/>
    <s v="25° 49' 32.29&quot; S"/>
    <s v="Complete"/>
    <s v="Yes"/>
    <s v="Yes"/>
    <d v="2017-02-06T00:00:00"/>
    <s v="YES"/>
    <d v="2017-02-06T00:00:00"/>
    <s v="NBC-GTW-CL-0027"/>
    <s v="Yes"/>
    <s v="00"/>
    <d v="2018-06-16T00:00:00"/>
    <s v="Phase 1"/>
    <s v="Year 1"/>
    <n v="23.520000000000003"/>
    <n v="0"/>
    <n v="0"/>
    <n v="0"/>
    <n v="0"/>
    <n v="51.93327"/>
    <n v="5.193327"/>
    <n v="2.5966635"/>
    <n v="23.520000000000003"/>
    <n v="23.520000000000003"/>
    <n v="0"/>
    <n v="51.93327"/>
    <n v="20.395350000000001"/>
    <n v="37.752000000000002"/>
    <n v="0"/>
    <n v="0"/>
    <s v="Ref 888"/>
    <n v="16.468920000000001"/>
    <s v="Ref 655"/>
    <n v="30.617600000000003"/>
    <n v="0"/>
    <n v="38.079465846731672"/>
    <n v="0"/>
    <n v="2.3850000000000002"/>
    <n v="0"/>
    <m/>
    <n v="0"/>
    <m/>
    <n v="0"/>
    <n v="7"/>
    <n v="7.9049999999999994"/>
    <n v="0"/>
    <n v="0"/>
    <n v="0"/>
    <n v="32.727600000000002"/>
    <n v="0"/>
    <n v="0"/>
    <n v="0"/>
    <n v="0"/>
    <n v="0"/>
    <n v="0"/>
    <n v="0"/>
    <n v="0"/>
    <n v="0"/>
    <n v="0"/>
    <n v="0"/>
    <n v="0"/>
    <n v="0"/>
    <n v="0"/>
    <n v="0"/>
    <n v="0"/>
    <n v="0"/>
    <n v="0"/>
    <n v="0"/>
    <n v="0"/>
    <n v="0"/>
    <n v="0"/>
    <n v="0"/>
    <n v="0"/>
    <n v="0"/>
    <n v="0"/>
    <n v="0"/>
    <n v="0"/>
    <n v="0"/>
    <n v="0"/>
    <n v="0"/>
    <n v="0"/>
    <n v="0"/>
    <n v="0"/>
    <n v="0"/>
    <n v="0"/>
    <n v="0"/>
    <n v="0"/>
    <n v="0"/>
    <m/>
    <m/>
    <m/>
    <m/>
    <m/>
    <m/>
    <m/>
    <m/>
    <m/>
    <m/>
    <m/>
    <m/>
    <m/>
    <m/>
    <m/>
    <m/>
    <m/>
    <m/>
    <m/>
    <m/>
    <m/>
    <n v="117.60000000000002"/>
    <n v="0"/>
    <n v="0"/>
    <n v="0"/>
    <n v="0"/>
    <n v="4414.3279499999999"/>
    <n v="649.16587500000003"/>
    <n v="1298.3317500000001"/>
    <n v="117.60000000000002"/>
    <n v="235.20000000000005"/>
    <n v="311.59962000000002"/>
    <n v="40790.700000000004"/>
    <n v="11325.6"/>
    <n v="0"/>
    <n v="0"/>
    <n v="941.73040000000015"/>
    <n v="26511.902800375588"/>
    <n v="237.14999999999998"/>
    <n v="0"/>
    <n v="0"/>
    <n v="3927.3120000000004"/>
    <n v="0"/>
    <n v="0"/>
    <n v="0"/>
    <n v="0"/>
    <n v="0"/>
    <n v="0"/>
    <n v="0"/>
    <n v="0"/>
    <n v="0"/>
    <n v="0"/>
    <n v="0"/>
    <n v="0"/>
    <n v="0"/>
    <n v="0"/>
    <n v="0"/>
    <n v="0"/>
    <n v="0"/>
    <n v="0"/>
    <n v="0"/>
    <n v="0"/>
    <n v="0"/>
    <n v="0"/>
    <n v="0"/>
    <n v="0"/>
    <n v="0"/>
    <n v="0"/>
    <n v="0"/>
    <n v="0"/>
    <n v="0"/>
    <n v="0"/>
    <n v="0"/>
    <n v="0"/>
    <n v="0"/>
    <n v="0"/>
    <n v="0"/>
    <n v="0"/>
    <n v="0"/>
    <n v="90878.220395375596"/>
    <n v="96330.913619098137"/>
    <s v=" "/>
    <s v=" "/>
    <s v=" "/>
    <s v=" "/>
    <s v=" "/>
    <s v=" "/>
    <s v=" "/>
    <s v=" "/>
    <s v=" "/>
    <s v=" "/>
    <s v=" "/>
    <s v=" "/>
    <s v=" "/>
    <s v=" "/>
    <x v="33"/>
    <x v="0"/>
    <x v="0"/>
    <x v="0"/>
    <x v="0"/>
    <x v="57"/>
    <x v="5"/>
    <x v="12"/>
    <x v="34"/>
    <x v="35"/>
    <x v="1"/>
    <x v="2"/>
    <x v="44"/>
    <x v="14"/>
    <x v="0"/>
    <x v="0"/>
    <x v="16"/>
    <x v="12"/>
    <x v="0"/>
    <x v="12"/>
    <x v="0"/>
    <x v="15"/>
    <x v="0"/>
    <x v="0"/>
    <x v="0"/>
    <x v="0"/>
    <x v="0"/>
    <x v="11"/>
    <x v="32"/>
    <x v="0"/>
    <x v="0"/>
    <x v="0"/>
    <x v="22"/>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20"/>
    <s v="Concrete Check Wall"/>
    <s v="Concrete Check Wall"/>
    <s v="KS20_002"/>
    <x v="5"/>
    <n v="29.997646667000001"/>
    <n v="-25.825318056"/>
    <s v="29° 59' 51.52&quot;E "/>
    <s v="25° 49' 31.14&quot; S"/>
    <s v="Complete"/>
    <s v="Yes"/>
    <s v="Yes"/>
    <d v="2017-02-06T00:00:00"/>
    <s v="YES"/>
    <d v="2017-02-06T00:00:00"/>
    <s v="NBC-GTW-CL-0028"/>
    <s v="Yes"/>
    <s v="01"/>
    <d v="2018-12-07T00:00:00"/>
    <s v="Phase 1"/>
    <s v="Year 1"/>
    <m/>
    <m/>
    <m/>
    <m/>
    <m/>
    <n v="6.4530000000000003"/>
    <m/>
    <m/>
    <m/>
    <m/>
    <m/>
    <m/>
    <n v="6.4530000000000003"/>
    <m/>
    <m/>
    <m/>
    <m/>
    <m/>
    <m/>
    <m/>
    <m/>
    <m/>
    <m/>
    <m/>
    <m/>
    <m/>
    <m/>
    <m/>
    <m/>
    <m/>
    <n v="3.5999999999999996"/>
    <n v="0"/>
    <m/>
    <n v="0"/>
    <m/>
    <m/>
    <m/>
    <m/>
    <m/>
    <m/>
    <m/>
    <m/>
    <m/>
    <m/>
    <m/>
    <m/>
    <m/>
    <m/>
    <m/>
    <m/>
    <m/>
    <m/>
    <m/>
    <m/>
    <m/>
    <m/>
    <m/>
    <m/>
    <m/>
    <m/>
    <m/>
    <m/>
    <m/>
    <m/>
    <m/>
    <m/>
    <m/>
    <m/>
    <m/>
    <m/>
    <m/>
    <m/>
    <m/>
    <n v="0"/>
    <m/>
    <m/>
    <m/>
    <m/>
    <m/>
    <m/>
    <m/>
    <m/>
    <m/>
    <m/>
    <m/>
    <m/>
    <m/>
    <m/>
    <m/>
    <m/>
    <m/>
    <m/>
    <m/>
    <m/>
    <m/>
    <n v="0"/>
    <n v="0"/>
    <n v="0"/>
    <n v="0"/>
    <n v="0"/>
    <n v="548.505"/>
    <n v="0"/>
    <n v="0"/>
    <n v="0"/>
    <n v="0"/>
    <n v="0"/>
    <n v="12906"/>
    <n v="0"/>
    <n v="0"/>
    <n v="0"/>
    <n v="0"/>
    <n v="0"/>
    <n v="107.99999999999999"/>
    <n v="0"/>
    <n v="0"/>
    <n v="0"/>
    <n v="0"/>
    <n v="0"/>
    <n v="0"/>
    <n v="0"/>
    <n v="0"/>
    <n v="0"/>
    <n v="0"/>
    <n v="0"/>
    <n v="0"/>
    <n v="0"/>
    <n v="0"/>
    <n v="0"/>
    <n v="0"/>
    <n v="0"/>
    <n v="0"/>
    <n v="0"/>
    <n v="0"/>
    <n v="0"/>
    <n v="0"/>
    <n v="0"/>
    <n v="0"/>
    <n v="0"/>
    <n v="0"/>
    <n v="0"/>
    <n v="0"/>
    <n v="0"/>
    <n v="0"/>
    <n v="0"/>
    <n v="0"/>
    <n v="0"/>
    <n v="0"/>
    <n v="0"/>
    <n v="0"/>
    <n v="0"/>
    <n v="0"/>
    <n v="0"/>
    <n v="0"/>
    <n v="13562.504999999999"/>
    <n v="14376.255300000001"/>
    <s v=" "/>
    <s v=" "/>
    <s v=" "/>
    <s v=" "/>
    <s v=" "/>
    <s v=" "/>
    <s v=" "/>
    <s v=" "/>
    <s v=" "/>
    <s v=" "/>
    <s v=" "/>
    <s v=" "/>
    <s v=" "/>
    <s v=" "/>
    <x v="0"/>
    <x v="0"/>
    <x v="0"/>
    <x v="0"/>
    <x v="0"/>
    <x v="58"/>
    <x v="0"/>
    <x v="0"/>
    <x v="0"/>
    <x v="4"/>
    <x v="1"/>
    <x v="1"/>
    <x v="45"/>
    <x v="0"/>
    <x v="0"/>
    <x v="0"/>
    <x v="0"/>
    <x v="0"/>
    <x v="0"/>
    <x v="0"/>
    <x v="0"/>
    <x v="0"/>
    <x v="0"/>
    <x v="0"/>
    <x v="0"/>
    <x v="0"/>
    <x v="0"/>
    <x v="0"/>
    <x v="33"/>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20"/>
    <s v="Concrete Check Wall"/>
    <s v="Concrete Check Wall"/>
    <s v="KS20_003"/>
    <x v="5"/>
    <n v="29.997078333000001"/>
    <n v="-25.825081666999999"/>
    <s v="29° 59' 49.48&quot;E "/>
    <s v="25° 49' 30.29&quot; S"/>
    <s v="Complete"/>
    <s v="Yes"/>
    <s v="Yes"/>
    <d v="2017-02-06T00:00:00"/>
    <s v="YES"/>
    <m/>
    <s v="NBC-GTW-CL-0029"/>
    <s v="Yes"/>
    <s v="01"/>
    <d v="2018-12-07T00:00:00"/>
    <s v="Phase 1"/>
    <s v="Year 1"/>
    <m/>
    <n v="0"/>
    <n v="0"/>
    <n v="0"/>
    <n v="0"/>
    <n v="9.8550000000000004"/>
    <m/>
    <m/>
    <m/>
    <m/>
    <m/>
    <m/>
    <n v="9.8550000000000004"/>
    <m/>
    <n v="0"/>
    <n v="0"/>
    <m/>
    <m/>
    <m/>
    <m/>
    <m/>
    <m/>
    <m/>
    <m/>
    <m/>
    <m/>
    <m/>
    <m/>
    <m/>
    <m/>
    <n v="3.9"/>
    <n v="0"/>
    <n v="0"/>
    <n v="0"/>
    <m/>
    <n v="0"/>
    <n v="0"/>
    <n v="0"/>
    <n v="0"/>
    <n v="0"/>
    <n v="0"/>
    <n v="0"/>
    <n v="0"/>
    <n v="0"/>
    <n v="0"/>
    <n v="0"/>
    <n v="0"/>
    <n v="0"/>
    <n v="0"/>
    <n v="0"/>
    <n v="0"/>
    <n v="0"/>
    <n v="0"/>
    <n v="0"/>
    <n v="0"/>
    <n v="0"/>
    <n v="0"/>
    <n v="0"/>
    <n v="0"/>
    <n v="0"/>
    <n v="0"/>
    <n v="0"/>
    <n v="0"/>
    <n v="0"/>
    <n v="0"/>
    <n v="0"/>
    <n v="0"/>
    <n v="0"/>
    <n v="0"/>
    <n v="0"/>
    <n v="0"/>
    <n v="0"/>
    <n v="0"/>
    <n v="0"/>
    <m/>
    <m/>
    <m/>
    <m/>
    <m/>
    <m/>
    <m/>
    <m/>
    <m/>
    <m/>
    <m/>
    <m/>
    <m/>
    <m/>
    <m/>
    <m/>
    <m/>
    <m/>
    <m/>
    <m/>
    <m/>
    <n v="0"/>
    <n v="0"/>
    <n v="0"/>
    <n v="0"/>
    <n v="0"/>
    <n v="837.67500000000007"/>
    <n v="0"/>
    <n v="0"/>
    <n v="0"/>
    <n v="0"/>
    <n v="0"/>
    <n v="19710"/>
    <n v="0"/>
    <n v="0"/>
    <n v="0"/>
    <n v="0"/>
    <n v="0"/>
    <n v="117"/>
    <n v="0"/>
    <n v="0"/>
    <n v="0"/>
    <n v="0"/>
    <n v="0"/>
    <n v="0"/>
    <n v="0"/>
    <n v="0"/>
    <n v="0"/>
    <n v="0"/>
    <n v="0"/>
    <n v="0"/>
    <n v="0"/>
    <n v="0"/>
    <n v="0"/>
    <n v="0"/>
    <n v="0"/>
    <n v="0"/>
    <n v="0"/>
    <n v="0"/>
    <n v="0"/>
    <n v="0"/>
    <n v="0"/>
    <n v="0"/>
    <n v="0"/>
    <n v="0"/>
    <n v="0"/>
    <n v="0"/>
    <n v="0"/>
    <n v="0"/>
    <n v="0"/>
    <n v="0"/>
    <n v="0"/>
    <n v="0"/>
    <n v="0"/>
    <n v="0"/>
    <n v="0"/>
    <n v="0"/>
    <n v="0"/>
    <n v="0"/>
    <n v="20664.674999999999"/>
    <n v="21904.555499999999"/>
    <s v=" "/>
    <s v=" "/>
    <s v=" "/>
    <s v=" "/>
    <s v=" "/>
    <s v=" "/>
    <s v=" "/>
    <s v=" "/>
    <s v=" "/>
    <s v=" "/>
    <s v=" "/>
    <s v=" "/>
    <s v=" "/>
    <s v=" "/>
    <x v="0"/>
    <x v="0"/>
    <x v="0"/>
    <x v="0"/>
    <x v="0"/>
    <x v="59"/>
    <x v="0"/>
    <x v="0"/>
    <x v="0"/>
    <x v="4"/>
    <x v="1"/>
    <x v="1"/>
    <x v="46"/>
    <x v="0"/>
    <x v="0"/>
    <x v="0"/>
    <x v="0"/>
    <x v="0"/>
    <x v="0"/>
    <x v="0"/>
    <x v="0"/>
    <x v="0"/>
    <x v="0"/>
    <x v="0"/>
    <x v="0"/>
    <x v="0"/>
    <x v="0"/>
    <x v="0"/>
    <x v="34"/>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20"/>
    <s v="Concrete Check Wall"/>
    <s v="Concrete Check Wall"/>
    <s v="KS20_004"/>
    <x v="5"/>
    <n v="29.996781943999999"/>
    <n v="-25.824954443999999"/>
    <s v="29° 59' 48.41&quot;E "/>
    <s v="25° 49' 29.83&quot; S"/>
    <s v="Complete"/>
    <s v="Yes"/>
    <s v="Yes"/>
    <d v="2017-02-06T00:00:00"/>
    <s v="YES"/>
    <m/>
    <s v="NBC-GTW-CL-0030"/>
    <s v="Yes"/>
    <s v="01"/>
    <d v="2018-12-07T00:00:00"/>
    <s v="Phase 1"/>
    <s v="Year 1"/>
    <m/>
    <n v="0"/>
    <n v="0"/>
    <n v="0"/>
    <n v="0"/>
    <n v="9.4049999999999994"/>
    <m/>
    <m/>
    <m/>
    <m/>
    <m/>
    <m/>
    <n v="9.4049999999999994"/>
    <m/>
    <n v="0"/>
    <n v="0"/>
    <m/>
    <m/>
    <m/>
    <m/>
    <m/>
    <m/>
    <m/>
    <m/>
    <m/>
    <m/>
    <m/>
    <m/>
    <m/>
    <m/>
    <n v="4.5"/>
    <n v="0"/>
    <n v="0"/>
    <n v="0"/>
    <m/>
    <n v="0"/>
    <n v="0"/>
    <n v="0"/>
    <n v="0"/>
    <n v="0"/>
    <n v="0"/>
    <n v="0"/>
    <n v="0"/>
    <n v="0"/>
    <n v="0"/>
    <n v="0"/>
    <n v="0"/>
    <n v="0"/>
    <n v="0"/>
    <n v="0"/>
    <n v="0"/>
    <n v="0"/>
    <n v="0"/>
    <n v="0"/>
    <n v="0"/>
    <n v="0"/>
    <n v="0"/>
    <n v="0"/>
    <n v="0"/>
    <n v="0"/>
    <n v="0"/>
    <n v="0"/>
    <n v="0"/>
    <n v="0"/>
    <n v="0"/>
    <n v="0"/>
    <n v="0"/>
    <n v="0"/>
    <n v="0"/>
    <n v="0"/>
    <n v="0"/>
    <n v="0"/>
    <n v="0"/>
    <n v="0"/>
    <m/>
    <m/>
    <m/>
    <m/>
    <m/>
    <m/>
    <m/>
    <m/>
    <m/>
    <m/>
    <m/>
    <m/>
    <m/>
    <m/>
    <m/>
    <m/>
    <m/>
    <m/>
    <m/>
    <m/>
    <m/>
    <n v="0"/>
    <n v="0"/>
    <n v="0"/>
    <n v="0"/>
    <n v="0"/>
    <n v="799.42499999999995"/>
    <n v="0"/>
    <n v="0"/>
    <n v="0"/>
    <n v="0"/>
    <n v="0"/>
    <n v="18810"/>
    <n v="0"/>
    <n v="0"/>
    <n v="0"/>
    <n v="0"/>
    <n v="0"/>
    <n v="135"/>
    <n v="0"/>
    <n v="0"/>
    <n v="0"/>
    <n v="0"/>
    <n v="0"/>
    <n v="0"/>
    <n v="0"/>
    <n v="0"/>
    <n v="0"/>
    <n v="0"/>
    <n v="0"/>
    <n v="0"/>
    <n v="0"/>
    <n v="0"/>
    <n v="0"/>
    <n v="0"/>
    <n v="0"/>
    <n v="0"/>
    <n v="0"/>
    <n v="0"/>
    <n v="0"/>
    <n v="0"/>
    <n v="0"/>
    <n v="0"/>
    <n v="0"/>
    <n v="0"/>
    <n v="0"/>
    <n v="0"/>
    <n v="0"/>
    <n v="0"/>
    <n v="0"/>
    <n v="0"/>
    <n v="0"/>
    <n v="0"/>
    <n v="0"/>
    <n v="0"/>
    <n v="0"/>
    <n v="0"/>
    <n v="0"/>
    <n v="0"/>
    <n v="19744.424999999999"/>
    <n v="20929.090500000002"/>
    <s v=" "/>
    <s v=" "/>
    <s v=" "/>
    <s v=" "/>
    <s v=" "/>
    <s v=" "/>
    <s v=" "/>
    <s v=" "/>
    <s v=" "/>
    <s v=" "/>
    <s v=" "/>
    <s v=" "/>
    <s v=" "/>
    <s v=" "/>
    <x v="0"/>
    <x v="0"/>
    <x v="0"/>
    <x v="0"/>
    <x v="0"/>
    <x v="60"/>
    <x v="0"/>
    <x v="0"/>
    <x v="0"/>
    <x v="4"/>
    <x v="1"/>
    <x v="1"/>
    <x v="47"/>
    <x v="0"/>
    <x v="0"/>
    <x v="0"/>
    <x v="0"/>
    <x v="0"/>
    <x v="0"/>
    <x v="0"/>
    <x v="0"/>
    <x v="0"/>
    <x v="0"/>
    <x v="0"/>
    <x v="0"/>
    <x v="0"/>
    <x v="0"/>
    <x v="0"/>
    <x v="35"/>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20"/>
    <s v="Concrete Check Wall"/>
    <s v="Concrete Check Wall"/>
    <s v="KS20_005"/>
    <x v="5"/>
    <n v="29.996286667"/>
    <n v="-25.824942778"/>
    <s v="29° 59' 46.63&quot;E "/>
    <s v="25° 49' 29.79&quot; S"/>
    <s v="Complete"/>
    <s v="Yes"/>
    <s v="Yes"/>
    <d v="2017-02-06T00:00:00"/>
    <s v="YES"/>
    <m/>
    <s v="NBC-GTW-CL-0031"/>
    <s v="Yes"/>
    <s v="01"/>
    <d v="2018-12-07T00:00:00"/>
    <s v="Phase 1"/>
    <s v="Year 1"/>
    <m/>
    <n v="0"/>
    <n v="0"/>
    <n v="0"/>
    <n v="0"/>
    <n v="10.032"/>
    <m/>
    <m/>
    <m/>
    <m/>
    <m/>
    <m/>
    <n v="10.032"/>
    <m/>
    <n v="0"/>
    <n v="0"/>
    <m/>
    <m/>
    <m/>
    <m/>
    <m/>
    <m/>
    <m/>
    <m/>
    <m/>
    <m/>
    <m/>
    <m/>
    <m/>
    <m/>
    <n v="4.5"/>
    <n v="0"/>
    <n v="0"/>
    <n v="0"/>
    <m/>
    <n v="0"/>
    <n v="0"/>
    <n v="0"/>
    <n v="0"/>
    <n v="0"/>
    <n v="0"/>
    <n v="0"/>
    <n v="0"/>
    <n v="0"/>
    <n v="0"/>
    <n v="0"/>
    <n v="0"/>
    <n v="0"/>
    <n v="0"/>
    <n v="0"/>
    <n v="0"/>
    <n v="0"/>
    <n v="0"/>
    <n v="0"/>
    <n v="0"/>
    <n v="0"/>
    <n v="0"/>
    <n v="0"/>
    <n v="0"/>
    <n v="0"/>
    <n v="0"/>
    <n v="0"/>
    <n v="0"/>
    <n v="0"/>
    <n v="0"/>
    <n v="0"/>
    <n v="0"/>
    <n v="0"/>
    <n v="0"/>
    <n v="0"/>
    <n v="0"/>
    <n v="0"/>
    <n v="0"/>
    <n v="0"/>
    <m/>
    <m/>
    <m/>
    <m/>
    <m/>
    <m/>
    <m/>
    <m/>
    <m/>
    <m/>
    <m/>
    <m/>
    <m/>
    <m/>
    <m/>
    <m/>
    <m/>
    <m/>
    <m/>
    <m/>
    <m/>
    <n v="0"/>
    <n v="0"/>
    <n v="0"/>
    <n v="0"/>
    <n v="0"/>
    <n v="852.72"/>
    <n v="0"/>
    <n v="0"/>
    <n v="0"/>
    <n v="0"/>
    <n v="0"/>
    <n v="20064"/>
    <n v="0"/>
    <n v="0"/>
    <n v="0"/>
    <n v="0"/>
    <n v="0"/>
    <n v="135"/>
    <n v="0"/>
    <n v="0"/>
    <n v="0"/>
    <n v="0"/>
    <n v="0"/>
    <n v="0"/>
    <n v="0"/>
    <n v="0"/>
    <n v="0"/>
    <n v="0"/>
    <n v="0"/>
    <n v="0"/>
    <n v="0"/>
    <n v="0"/>
    <n v="0"/>
    <n v="0"/>
    <n v="0"/>
    <n v="0"/>
    <n v="0"/>
    <n v="0"/>
    <n v="0"/>
    <n v="0"/>
    <n v="0"/>
    <n v="0"/>
    <n v="0"/>
    <n v="0"/>
    <n v="0"/>
    <n v="0"/>
    <n v="0"/>
    <n v="0"/>
    <n v="0"/>
    <n v="0"/>
    <n v="0"/>
    <n v="0"/>
    <n v="0"/>
    <n v="0"/>
    <n v="0"/>
    <n v="0"/>
    <n v="0"/>
    <n v="0"/>
    <n v="21051.72"/>
    <n v="22314.823200000003"/>
    <s v=" "/>
    <s v=" "/>
    <s v=" "/>
    <s v=" "/>
    <s v=" "/>
    <s v=" "/>
    <s v=" "/>
    <s v=" "/>
    <s v=" "/>
    <s v=" "/>
    <s v=" "/>
    <s v=" "/>
    <s v=" "/>
    <s v=" "/>
    <x v="0"/>
    <x v="0"/>
    <x v="0"/>
    <x v="0"/>
    <x v="0"/>
    <x v="61"/>
    <x v="0"/>
    <x v="0"/>
    <x v="0"/>
    <x v="4"/>
    <x v="1"/>
    <x v="1"/>
    <x v="48"/>
    <x v="0"/>
    <x v="0"/>
    <x v="0"/>
    <x v="0"/>
    <x v="0"/>
    <x v="0"/>
    <x v="0"/>
    <x v="0"/>
    <x v="0"/>
    <x v="0"/>
    <x v="0"/>
    <x v="0"/>
    <x v="0"/>
    <x v="0"/>
    <x v="0"/>
    <x v="36"/>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20"/>
    <s v="Concrete Check Wall"/>
    <s v="Concrete Check Wall"/>
    <s v="KS20_006"/>
    <x v="5"/>
    <n v="29.995710833"/>
    <n v="-25.824953055999998"/>
    <s v="29° 59' 44.55&quot;E "/>
    <s v="25° 49' 29.83&quot; S"/>
    <s v="Complete"/>
    <s v="Yes"/>
    <s v="Yes"/>
    <d v="2017-02-06T00:00:00"/>
    <s v="YES"/>
    <m/>
    <s v="NBC-GTW-CL-0032"/>
    <s v="Yes"/>
    <s v="01"/>
    <d v="2018-12-07T00:00:00"/>
    <s v="Phase 1"/>
    <s v="Year 1"/>
    <m/>
    <n v="0"/>
    <n v="0"/>
    <n v="0"/>
    <n v="0"/>
    <n v="10.035"/>
    <m/>
    <m/>
    <m/>
    <m/>
    <m/>
    <m/>
    <n v="10.035"/>
    <m/>
    <m/>
    <m/>
    <m/>
    <m/>
    <m/>
    <m/>
    <m/>
    <m/>
    <m/>
    <m/>
    <m/>
    <m/>
    <m/>
    <m/>
    <m/>
    <m/>
    <n v="4.8"/>
    <n v="0"/>
    <m/>
    <n v="0"/>
    <m/>
    <n v="0"/>
    <n v="0"/>
    <n v="0"/>
    <n v="0"/>
    <n v="0"/>
    <n v="0"/>
    <n v="0"/>
    <n v="0"/>
    <n v="0"/>
    <n v="0"/>
    <n v="0"/>
    <n v="0"/>
    <n v="0"/>
    <n v="0"/>
    <n v="0"/>
    <n v="0"/>
    <n v="0"/>
    <n v="0"/>
    <n v="0"/>
    <n v="0"/>
    <n v="0"/>
    <n v="0"/>
    <n v="0"/>
    <n v="0"/>
    <n v="0"/>
    <n v="0"/>
    <n v="0"/>
    <n v="0"/>
    <n v="0"/>
    <n v="0"/>
    <n v="0"/>
    <n v="0"/>
    <n v="0"/>
    <n v="0"/>
    <n v="0"/>
    <n v="0"/>
    <n v="0"/>
    <n v="0"/>
    <n v="0"/>
    <m/>
    <m/>
    <m/>
    <m/>
    <m/>
    <m/>
    <m/>
    <m/>
    <m/>
    <m/>
    <m/>
    <m/>
    <m/>
    <m/>
    <m/>
    <m/>
    <m/>
    <m/>
    <m/>
    <m/>
    <m/>
    <n v="0"/>
    <n v="0"/>
    <n v="0"/>
    <n v="0"/>
    <n v="0"/>
    <n v="852.97500000000002"/>
    <n v="0"/>
    <n v="0"/>
    <n v="0"/>
    <n v="0"/>
    <n v="0"/>
    <n v="20070"/>
    <n v="0"/>
    <n v="0"/>
    <n v="0"/>
    <n v="0"/>
    <n v="0"/>
    <n v="144"/>
    <n v="0"/>
    <n v="0"/>
    <n v="0"/>
    <n v="0"/>
    <n v="0"/>
    <n v="0"/>
    <n v="0"/>
    <n v="0"/>
    <n v="0"/>
    <n v="0"/>
    <n v="0"/>
    <n v="0"/>
    <n v="0"/>
    <n v="0"/>
    <n v="0"/>
    <n v="0"/>
    <n v="0"/>
    <n v="0"/>
    <n v="0"/>
    <n v="0"/>
    <n v="0"/>
    <n v="0"/>
    <n v="0"/>
    <n v="0"/>
    <n v="0"/>
    <n v="0"/>
    <n v="0"/>
    <n v="0"/>
    <n v="0"/>
    <n v="0"/>
    <n v="0"/>
    <n v="0"/>
    <n v="0"/>
    <n v="0"/>
    <n v="0"/>
    <n v="0"/>
    <n v="0"/>
    <n v="0"/>
    <n v="0"/>
    <n v="0"/>
    <n v="21066.974999999999"/>
    <n v="22330.9935"/>
    <s v=" "/>
    <s v=" "/>
    <s v=" "/>
    <s v=" "/>
    <s v=" "/>
    <s v=" "/>
    <s v=" "/>
    <s v=" "/>
    <s v=" "/>
    <s v=" "/>
    <s v=" "/>
    <s v=" "/>
    <s v=" "/>
    <s v=" "/>
    <x v="0"/>
    <x v="0"/>
    <x v="0"/>
    <x v="0"/>
    <x v="0"/>
    <x v="62"/>
    <x v="0"/>
    <x v="0"/>
    <x v="0"/>
    <x v="4"/>
    <x v="1"/>
    <x v="1"/>
    <x v="49"/>
    <x v="0"/>
    <x v="0"/>
    <x v="0"/>
    <x v="0"/>
    <x v="0"/>
    <x v="0"/>
    <x v="0"/>
    <x v="0"/>
    <x v="0"/>
    <x v="0"/>
    <x v="0"/>
    <x v="0"/>
    <x v="0"/>
    <x v="0"/>
    <x v="0"/>
    <x v="37"/>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20"/>
    <s v="Concrete Check Wall"/>
    <s v="Concrete Check Wall"/>
    <s v="KS20_007"/>
    <x v="5"/>
    <n v="29.995286389"/>
    <n v="-25.824939167"/>
    <s v="29° 59' 43.03&quot;E "/>
    <s v="25° 49' 29.78&quot; S"/>
    <s v="Complete"/>
    <s v="Yes"/>
    <s v="Yes"/>
    <d v="2017-02-06T00:00:00"/>
    <s v="YES"/>
    <m/>
    <s v="NBC-GTW-CL-0033"/>
    <s v="Yes"/>
    <s v="01"/>
    <d v="2018-12-07T00:00:00"/>
    <s v="Phase 1"/>
    <s v="Year 1"/>
    <m/>
    <n v="0"/>
    <n v="0"/>
    <n v="0"/>
    <n v="0"/>
    <n v="8.2890000000000015"/>
    <m/>
    <m/>
    <m/>
    <m/>
    <m/>
    <m/>
    <n v="8.2890000000000015"/>
    <m/>
    <n v="0"/>
    <n v="0"/>
    <m/>
    <m/>
    <m/>
    <m/>
    <m/>
    <m/>
    <m/>
    <m/>
    <m/>
    <m/>
    <m/>
    <m/>
    <m/>
    <m/>
    <n v="4.5"/>
    <n v="0"/>
    <n v="0"/>
    <n v="0"/>
    <m/>
    <n v="0"/>
    <n v="0"/>
    <n v="0"/>
    <n v="0"/>
    <n v="0"/>
    <n v="0"/>
    <n v="0"/>
    <n v="0"/>
    <n v="0"/>
    <n v="0"/>
    <n v="0"/>
    <n v="0"/>
    <n v="0"/>
    <n v="0"/>
    <n v="0"/>
    <n v="0"/>
    <n v="0"/>
    <n v="0"/>
    <n v="0"/>
    <n v="0"/>
    <n v="0"/>
    <n v="0"/>
    <n v="0"/>
    <n v="0"/>
    <n v="0"/>
    <n v="0"/>
    <n v="0"/>
    <n v="0"/>
    <n v="0"/>
    <n v="0"/>
    <n v="0"/>
    <n v="0"/>
    <n v="0"/>
    <n v="0"/>
    <n v="0"/>
    <n v="0"/>
    <n v="0"/>
    <n v="0"/>
    <n v="0"/>
    <m/>
    <m/>
    <m/>
    <m/>
    <m/>
    <m/>
    <m/>
    <m/>
    <m/>
    <m/>
    <m/>
    <m/>
    <m/>
    <m/>
    <m/>
    <m/>
    <m/>
    <m/>
    <m/>
    <m/>
    <m/>
    <n v="0"/>
    <n v="0"/>
    <n v="0"/>
    <n v="0"/>
    <n v="0"/>
    <n v="704.56500000000017"/>
    <n v="0"/>
    <n v="0"/>
    <n v="0"/>
    <n v="0"/>
    <n v="0"/>
    <n v="16578.000000000004"/>
    <n v="0"/>
    <n v="0"/>
    <n v="0"/>
    <n v="0"/>
    <n v="0"/>
    <n v="135"/>
    <n v="0"/>
    <n v="0"/>
    <n v="0"/>
    <n v="0"/>
    <n v="0"/>
    <n v="0"/>
    <n v="0"/>
    <n v="0"/>
    <n v="0"/>
    <n v="0"/>
    <n v="0"/>
    <n v="0"/>
    <n v="0"/>
    <n v="0"/>
    <n v="0"/>
    <n v="0"/>
    <n v="0"/>
    <n v="0"/>
    <n v="0"/>
    <n v="0"/>
    <n v="0"/>
    <n v="0"/>
    <n v="0"/>
    <n v="0"/>
    <n v="0"/>
    <n v="0"/>
    <n v="0"/>
    <n v="0"/>
    <n v="0"/>
    <n v="0"/>
    <n v="0"/>
    <n v="0"/>
    <n v="0"/>
    <n v="0"/>
    <n v="0"/>
    <n v="0"/>
    <n v="0"/>
    <n v="0"/>
    <n v="0"/>
    <n v="0"/>
    <n v="17417.565000000002"/>
    <n v="18462.618900000005"/>
    <s v=" "/>
    <s v=" "/>
    <s v=" "/>
    <s v=" "/>
    <s v=" "/>
    <s v=" "/>
    <s v=" "/>
    <s v=" "/>
    <s v=" "/>
    <s v=" "/>
    <s v=" "/>
    <s v=" "/>
    <s v=" "/>
    <s v=" "/>
    <x v="0"/>
    <x v="0"/>
    <x v="0"/>
    <x v="0"/>
    <x v="0"/>
    <x v="63"/>
    <x v="0"/>
    <x v="0"/>
    <x v="0"/>
    <x v="4"/>
    <x v="1"/>
    <x v="1"/>
    <x v="50"/>
    <x v="0"/>
    <x v="0"/>
    <x v="0"/>
    <x v="0"/>
    <x v="0"/>
    <x v="0"/>
    <x v="0"/>
    <x v="0"/>
    <x v="0"/>
    <x v="0"/>
    <x v="0"/>
    <x v="0"/>
    <x v="0"/>
    <x v="0"/>
    <x v="0"/>
    <x v="38"/>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20"/>
    <s v="Concrete Check Wall"/>
    <s v="Concrete Check Wall"/>
    <s v="KS20_008"/>
    <x v="5"/>
    <n v="29.994923332999999"/>
    <n v="-25.825090555999999"/>
    <s v="29° 59' 41.72&quot;E "/>
    <s v="25° 49' 30.32&quot; S"/>
    <s v="Complete"/>
    <s v="Yes"/>
    <s v="Yes"/>
    <d v="2017-02-06T00:00:00"/>
    <s v="YES"/>
    <m/>
    <s v="NBC-GTW-CL-0034"/>
    <s v="Yes"/>
    <s v="01"/>
    <d v="2018-12-07T00:00:00"/>
    <s v="Phase 1"/>
    <s v="Year 1"/>
    <m/>
    <n v="0"/>
    <n v="0"/>
    <n v="0"/>
    <n v="0"/>
    <n v="10.799999999999999"/>
    <m/>
    <m/>
    <m/>
    <m/>
    <m/>
    <m/>
    <n v="10.799999999999999"/>
    <m/>
    <n v="0"/>
    <n v="0"/>
    <m/>
    <m/>
    <m/>
    <m/>
    <m/>
    <m/>
    <m/>
    <m/>
    <m/>
    <m/>
    <m/>
    <m/>
    <m/>
    <m/>
    <n v="4.3499999999999996"/>
    <n v="0"/>
    <n v="0"/>
    <n v="0"/>
    <m/>
    <n v="0"/>
    <n v="0"/>
    <n v="0"/>
    <n v="0"/>
    <n v="0"/>
    <n v="0"/>
    <n v="0"/>
    <n v="0"/>
    <n v="0"/>
    <n v="0"/>
    <n v="0"/>
    <n v="0"/>
    <n v="0"/>
    <n v="0"/>
    <n v="0"/>
    <n v="0"/>
    <n v="0"/>
    <n v="0"/>
    <n v="0"/>
    <n v="0"/>
    <n v="0"/>
    <n v="0"/>
    <n v="0"/>
    <n v="0"/>
    <n v="0"/>
    <n v="0"/>
    <n v="0"/>
    <n v="0"/>
    <n v="0"/>
    <n v="0"/>
    <n v="0"/>
    <n v="0"/>
    <n v="0"/>
    <n v="0"/>
    <n v="0"/>
    <n v="0"/>
    <n v="0"/>
    <n v="0"/>
    <n v="0"/>
    <m/>
    <m/>
    <m/>
    <m/>
    <m/>
    <m/>
    <m/>
    <m/>
    <m/>
    <m/>
    <m/>
    <m/>
    <m/>
    <m/>
    <m/>
    <m/>
    <m/>
    <m/>
    <m/>
    <m/>
    <m/>
    <n v="0"/>
    <n v="0"/>
    <n v="0"/>
    <n v="0"/>
    <n v="0"/>
    <n v="917.99999999999989"/>
    <n v="0"/>
    <n v="0"/>
    <n v="0"/>
    <n v="0"/>
    <n v="0"/>
    <n v="21599.999999999996"/>
    <n v="0"/>
    <n v="0"/>
    <n v="0"/>
    <n v="0"/>
    <n v="0"/>
    <n v="130.5"/>
    <n v="0"/>
    <n v="0"/>
    <n v="0"/>
    <n v="0"/>
    <n v="0"/>
    <n v="0"/>
    <n v="0"/>
    <n v="0"/>
    <n v="0"/>
    <n v="0"/>
    <n v="0"/>
    <n v="0"/>
    <n v="0"/>
    <n v="0"/>
    <n v="0"/>
    <n v="0"/>
    <n v="0"/>
    <n v="0"/>
    <n v="0"/>
    <n v="0"/>
    <n v="0"/>
    <n v="0"/>
    <n v="0"/>
    <n v="0"/>
    <n v="0"/>
    <n v="0"/>
    <n v="0"/>
    <n v="0"/>
    <n v="0"/>
    <n v="0"/>
    <n v="0"/>
    <n v="0"/>
    <n v="0"/>
    <n v="0"/>
    <n v="0"/>
    <n v="0"/>
    <n v="0"/>
    <n v="0"/>
    <n v="0"/>
    <n v="0"/>
    <n v="22648.499999999996"/>
    <n v="24007.409999999996"/>
    <s v=" "/>
    <s v=" "/>
    <s v=" "/>
    <s v=" "/>
    <s v=" "/>
    <s v=" "/>
    <s v=" "/>
    <s v=" "/>
    <s v=" "/>
    <s v=" "/>
    <s v=" "/>
    <s v=" "/>
    <s v=" "/>
    <s v=" "/>
    <x v="0"/>
    <x v="0"/>
    <x v="0"/>
    <x v="0"/>
    <x v="0"/>
    <x v="64"/>
    <x v="0"/>
    <x v="0"/>
    <x v="0"/>
    <x v="4"/>
    <x v="1"/>
    <x v="1"/>
    <x v="51"/>
    <x v="0"/>
    <x v="0"/>
    <x v="0"/>
    <x v="0"/>
    <x v="0"/>
    <x v="0"/>
    <x v="0"/>
    <x v="0"/>
    <x v="0"/>
    <x v="0"/>
    <x v="0"/>
    <x v="0"/>
    <x v="0"/>
    <x v="0"/>
    <x v="0"/>
    <x v="39"/>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20"/>
    <s v="Concrete Check Wall"/>
    <s v="Concrete"/>
    <s v="KS20_009_a"/>
    <x v="5"/>
    <n v="29.994457499999999"/>
    <n v="-25.825408888999998"/>
    <s v="29° 59' 40.04&quot;E "/>
    <s v="25° 49' 31.47&quot; S"/>
    <s v="Complete"/>
    <s v="Yes"/>
    <s v="Yes"/>
    <d v="2017-02-06T00:00:00"/>
    <s v="YES"/>
    <m/>
    <s v="NBC-GTW-CL-0035"/>
    <s v="Yes"/>
    <s v="00"/>
    <d v="2018-06-16T00:00:00"/>
    <s v="Phase 1"/>
    <s v="Year 1"/>
    <m/>
    <m/>
    <m/>
    <m/>
    <m/>
    <n v="27"/>
    <m/>
    <m/>
    <m/>
    <m/>
    <m/>
    <m/>
    <n v="29.408000000000001"/>
    <m/>
    <m/>
    <m/>
    <m/>
    <m/>
    <m/>
    <m/>
    <m/>
    <m/>
    <m/>
    <n v="11"/>
    <m/>
    <m/>
    <m/>
    <m/>
    <m/>
    <m/>
    <n v="15"/>
    <m/>
    <m/>
    <m/>
    <m/>
    <m/>
    <m/>
    <m/>
    <m/>
    <m/>
    <m/>
    <m/>
    <m/>
    <m/>
    <m/>
    <m/>
    <m/>
    <m/>
    <m/>
    <m/>
    <m/>
    <m/>
    <m/>
    <m/>
    <m/>
    <m/>
    <m/>
    <m/>
    <m/>
    <m/>
    <m/>
    <m/>
    <m/>
    <m/>
    <m/>
    <m/>
    <m/>
    <m/>
    <m/>
    <m/>
    <m/>
    <m/>
    <m/>
    <m/>
    <m/>
    <m/>
    <m/>
    <m/>
    <m/>
    <m/>
    <m/>
    <m/>
    <m/>
    <m/>
    <m/>
    <m/>
    <m/>
    <m/>
    <m/>
    <m/>
    <m/>
    <m/>
    <m/>
    <m/>
    <m/>
    <n v="0"/>
    <n v="0"/>
    <n v="0"/>
    <n v="0"/>
    <n v="0"/>
    <n v="2295"/>
    <n v="0"/>
    <n v="0"/>
    <n v="0"/>
    <n v="0"/>
    <n v="0"/>
    <n v="58816"/>
    <n v="0"/>
    <n v="0"/>
    <n v="0"/>
    <n v="0"/>
    <n v="7150"/>
    <n v="450"/>
    <n v="0"/>
    <n v="0"/>
    <n v="0"/>
    <n v="0"/>
    <n v="0"/>
    <n v="0"/>
    <n v="0"/>
    <n v="0"/>
    <n v="0"/>
    <n v="0"/>
    <n v="0"/>
    <n v="0"/>
    <n v="0"/>
    <n v="0"/>
    <n v="0"/>
    <n v="0"/>
    <n v="0"/>
    <n v="0"/>
    <n v="0"/>
    <n v="0"/>
    <n v="0"/>
    <n v="0"/>
    <n v="0"/>
    <n v="0"/>
    <n v="0"/>
    <n v="0"/>
    <n v="0"/>
    <n v="0"/>
    <n v="0"/>
    <n v="0"/>
    <n v="0"/>
    <n v="0"/>
    <n v="0"/>
    <n v="0"/>
    <n v="0"/>
    <n v="0"/>
    <n v="0"/>
    <n v="0"/>
    <n v="0"/>
    <n v="0"/>
    <n v="68711"/>
    <n v="72833.66"/>
    <s v=" "/>
    <s v=" "/>
    <s v=" "/>
    <s v=" "/>
    <s v=" "/>
    <s v=" "/>
    <s v=" "/>
    <s v=" "/>
    <s v=" "/>
    <s v=" "/>
    <s v=" "/>
    <s v=" "/>
    <s v=" "/>
    <s v=" "/>
    <x v="0"/>
    <x v="0"/>
    <x v="0"/>
    <x v="0"/>
    <x v="0"/>
    <x v="65"/>
    <x v="0"/>
    <x v="0"/>
    <x v="0"/>
    <x v="4"/>
    <x v="1"/>
    <x v="1"/>
    <x v="52"/>
    <x v="0"/>
    <x v="0"/>
    <x v="0"/>
    <x v="0"/>
    <x v="0"/>
    <x v="0"/>
    <x v="0"/>
    <x v="0"/>
    <x v="16"/>
    <x v="0"/>
    <x v="0"/>
    <x v="0"/>
    <x v="0"/>
    <x v="0"/>
    <x v="0"/>
    <x v="4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20"/>
    <s v="Concrete Check Wall"/>
    <s v="Concrete"/>
    <s v="KS20_009_b"/>
    <x v="5"/>
    <n v="29.994457499999999"/>
    <n v="-25.825408888999998"/>
    <s v="29° 59' 40.04&quot;E "/>
    <s v="25° 49' 31.47&quot; S"/>
    <s v="Complete"/>
    <s v="Yes"/>
    <s v="Yes"/>
    <d v="2017-02-06T00:00:00"/>
    <s v="YES"/>
    <m/>
    <s v="NBC-GTW-CL-0035"/>
    <s v="Yes"/>
    <s v="00"/>
    <d v="2018-06-16T00:00:00"/>
    <s v="Phase 1"/>
    <s v="Year 1"/>
    <n v="60"/>
    <m/>
    <m/>
    <m/>
    <m/>
    <n v="16"/>
    <m/>
    <m/>
    <n v="60"/>
    <n v="60"/>
    <m/>
    <m/>
    <n v="4.0319999999999991"/>
    <m/>
    <m/>
    <m/>
    <m/>
    <m/>
    <m/>
    <m/>
    <m/>
    <m/>
    <m/>
    <m/>
    <m/>
    <m/>
    <m/>
    <m/>
    <m/>
    <m/>
    <n v="2"/>
    <m/>
    <m/>
    <m/>
    <m/>
    <m/>
    <m/>
    <m/>
    <m/>
    <m/>
    <m/>
    <m/>
    <m/>
    <m/>
    <m/>
    <m/>
    <m/>
    <m/>
    <m/>
    <m/>
    <m/>
    <m/>
    <m/>
    <m/>
    <m/>
    <m/>
    <m/>
    <m/>
    <m/>
    <m/>
    <m/>
    <m/>
    <m/>
    <m/>
    <m/>
    <m/>
    <m/>
    <m/>
    <m/>
    <m/>
    <m/>
    <m/>
    <m/>
    <m/>
    <m/>
    <m/>
    <m/>
    <m/>
    <m/>
    <m/>
    <m/>
    <m/>
    <m/>
    <m/>
    <m/>
    <m/>
    <m/>
    <m/>
    <m/>
    <m/>
    <m/>
    <m/>
    <m/>
    <m/>
    <m/>
    <n v="300"/>
    <n v="0"/>
    <n v="0"/>
    <n v="0"/>
    <n v="0"/>
    <n v="1360"/>
    <n v="0"/>
    <n v="0"/>
    <n v="300"/>
    <n v="600"/>
    <n v="0"/>
    <n v="8063.9999999999982"/>
    <n v="0"/>
    <n v="0"/>
    <n v="0"/>
    <n v="0"/>
    <n v="0"/>
    <n v="60"/>
    <n v="0"/>
    <n v="0"/>
    <n v="0"/>
    <n v="0"/>
    <n v="0"/>
    <n v="0"/>
    <n v="0"/>
    <n v="0"/>
    <n v="0"/>
    <n v="0"/>
    <n v="0"/>
    <n v="0"/>
    <n v="0"/>
    <n v="0"/>
    <n v="0"/>
    <n v="0"/>
    <n v="0"/>
    <n v="0"/>
    <n v="0"/>
    <n v="0"/>
    <n v="0"/>
    <n v="0"/>
    <n v="0"/>
    <n v="0"/>
    <n v="0"/>
    <n v="0"/>
    <n v="0"/>
    <n v="0"/>
    <n v="0"/>
    <n v="0"/>
    <n v="0"/>
    <n v="0"/>
    <n v="0"/>
    <n v="0"/>
    <n v="0"/>
    <n v="0"/>
    <n v="0"/>
    <n v="0"/>
    <n v="0"/>
    <n v="0"/>
    <n v="10683.999999999998"/>
    <n v="11325.039999999999"/>
    <s v=" "/>
    <s v=" "/>
    <s v=" "/>
    <s v=" "/>
    <s v=" "/>
    <s v=" "/>
    <s v=" "/>
    <s v=" "/>
    <s v=" "/>
    <s v=" "/>
    <s v=" "/>
    <s v=" "/>
    <s v=" "/>
    <s v=" "/>
    <x v="34"/>
    <x v="0"/>
    <x v="0"/>
    <x v="0"/>
    <x v="0"/>
    <x v="66"/>
    <x v="0"/>
    <x v="0"/>
    <x v="35"/>
    <x v="36"/>
    <x v="1"/>
    <x v="1"/>
    <x v="53"/>
    <x v="0"/>
    <x v="0"/>
    <x v="0"/>
    <x v="0"/>
    <x v="0"/>
    <x v="0"/>
    <x v="0"/>
    <x v="0"/>
    <x v="0"/>
    <x v="0"/>
    <x v="0"/>
    <x v="0"/>
    <x v="0"/>
    <x v="0"/>
    <x v="0"/>
    <x v="4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20"/>
    <s v="Removal of Earthen Berm"/>
    <s v="Earthworks"/>
    <s v="KS20_009_c"/>
    <x v="5"/>
    <n v="29.994295832999999"/>
    <n v="-25.825085556000001"/>
    <s v="29° 59' 39.46&quot;E "/>
    <s v="25° 49' 30.30&quot; S"/>
    <s v="Complete"/>
    <s v="Yes"/>
    <s v="Yes"/>
    <d v="2017-02-06T00:00:00"/>
    <s v="YES"/>
    <m/>
    <s v="NBC-GTW-CL-0035"/>
    <s v="Yes"/>
    <s v="00"/>
    <d v="2018-06-16T00:00:00"/>
    <s v="Phase 1"/>
    <s v="Year 1"/>
    <n v="69"/>
    <n v="0"/>
    <n v="0"/>
    <n v="0"/>
    <n v="0"/>
    <n v="0"/>
    <n v="0"/>
    <n v="0"/>
    <n v="69"/>
    <n v="69"/>
    <n v="0"/>
    <n v="0"/>
    <n v="0"/>
    <n v="0"/>
    <n v="0"/>
    <n v="0"/>
    <n v="0"/>
    <n v="0"/>
    <n v="0"/>
    <n v="0"/>
    <n v="0"/>
    <n v="0"/>
    <n v="0"/>
    <n v="0"/>
    <n v="0"/>
    <m/>
    <n v="0"/>
    <m/>
    <n v="0"/>
    <n v="0"/>
    <n v="0"/>
    <n v="0"/>
    <n v="0"/>
    <n v="0"/>
    <n v="0"/>
    <n v="0"/>
    <n v="0"/>
    <n v="0"/>
    <n v="0"/>
    <n v="0"/>
    <n v="0"/>
    <n v="0"/>
    <n v="0"/>
    <n v="0"/>
    <n v="0"/>
    <n v="0"/>
    <n v="0"/>
    <n v="0"/>
    <n v="0"/>
    <n v="0"/>
    <n v="0"/>
    <n v="0"/>
    <n v="0"/>
    <n v="0"/>
    <n v="0"/>
    <n v="0"/>
    <n v="0"/>
    <n v="0"/>
    <n v="0"/>
    <n v="0"/>
    <n v="0"/>
    <n v="0"/>
    <n v="0"/>
    <n v="0"/>
    <n v="0"/>
    <n v="0"/>
    <n v="0"/>
    <n v="0"/>
    <n v="0"/>
    <n v="0"/>
    <n v="0"/>
    <n v="0"/>
    <n v="0"/>
    <n v="0"/>
    <m/>
    <m/>
    <m/>
    <m/>
    <m/>
    <m/>
    <m/>
    <m/>
    <m/>
    <m/>
    <m/>
    <m/>
    <m/>
    <m/>
    <m/>
    <m/>
    <m/>
    <m/>
    <m/>
    <m/>
    <m/>
    <n v="345"/>
    <n v="0"/>
    <n v="0"/>
    <n v="0"/>
    <n v="0"/>
    <n v="0"/>
    <n v="0"/>
    <n v="0"/>
    <n v="345"/>
    <n v="690"/>
    <n v="0"/>
    <n v="0"/>
    <n v="0"/>
    <n v="0"/>
    <n v="0"/>
    <n v="0"/>
    <n v="0"/>
    <n v="0"/>
    <n v="0"/>
    <n v="0"/>
    <n v="0"/>
    <n v="0"/>
    <n v="0"/>
    <n v="0"/>
    <n v="0"/>
    <n v="0"/>
    <n v="0"/>
    <n v="0"/>
    <n v="0"/>
    <n v="0"/>
    <n v="0"/>
    <n v="0"/>
    <n v="0"/>
    <n v="0"/>
    <n v="0"/>
    <n v="0"/>
    <n v="0"/>
    <n v="0"/>
    <n v="0"/>
    <n v="0"/>
    <n v="0"/>
    <n v="0"/>
    <n v="0"/>
    <n v="0"/>
    <n v="0"/>
    <n v="0"/>
    <n v="0"/>
    <n v="0"/>
    <n v="0"/>
    <n v="0"/>
    <n v="0"/>
    <n v="0"/>
    <n v="0"/>
    <n v="0"/>
    <n v="0"/>
    <n v="0"/>
    <n v="0"/>
    <n v="0"/>
    <n v="1380"/>
    <n v="1462.8000000000002"/>
    <s v=" "/>
    <s v=" "/>
    <s v=" "/>
    <s v=" "/>
    <s v=" "/>
    <s v=" "/>
    <s v=" "/>
    <s v=" "/>
    <s v=" "/>
    <s v=" "/>
    <s v=" "/>
    <s v=" "/>
    <s v=" "/>
    <s v=" "/>
    <x v="35"/>
    <x v="0"/>
    <x v="0"/>
    <x v="0"/>
    <x v="0"/>
    <x v="1"/>
    <x v="0"/>
    <x v="0"/>
    <x v="36"/>
    <x v="37"/>
    <x v="1"/>
    <x v="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20"/>
    <s v="Ecologs"/>
    <s v="Ecologs"/>
    <s v="KS20_010"/>
    <x v="5"/>
    <n v="29.994059167"/>
    <n v="-25.825518611"/>
    <s v="29° 59' 38.61&quot;E "/>
    <s v="25° 49' 31.86&quot; S"/>
    <s v="Complete"/>
    <s v="Yes"/>
    <s v="Yes"/>
    <d v="2017-04-28T00:00:00"/>
    <s v="YES "/>
    <m/>
    <s v="NBC-GTW-CL-0057"/>
    <s v="Yes"/>
    <s v="00"/>
    <d v="2018-06-16T00:00:00"/>
    <s v="Phase 1"/>
    <s v="Year 1"/>
    <n v="0"/>
    <n v="0"/>
    <n v="0"/>
    <n v="0"/>
    <n v="0"/>
    <n v="3.5999999999999996"/>
    <n v="0"/>
    <m/>
    <n v="0"/>
    <n v="0"/>
    <n v="0"/>
    <n v="3.5999999999999996"/>
    <n v="0"/>
    <n v="0"/>
    <n v="0"/>
    <n v="0"/>
    <n v="0"/>
    <n v="0"/>
    <n v="0"/>
    <n v="0"/>
    <n v="0"/>
    <n v="0"/>
    <n v="0"/>
    <n v="0"/>
    <n v="0"/>
    <m/>
    <n v="0"/>
    <m/>
    <n v="0"/>
    <n v="0"/>
    <n v="0"/>
    <n v="0"/>
    <n v="0"/>
    <n v="0"/>
    <n v="0"/>
    <n v="0"/>
    <n v="0"/>
    <n v="0"/>
    <n v="0"/>
    <n v="0"/>
    <n v="0"/>
    <n v="0"/>
    <n v="0"/>
    <n v="0"/>
    <n v="0"/>
    <n v="0"/>
    <n v="0"/>
    <n v="0"/>
    <n v="0"/>
    <n v="0"/>
    <n v="0"/>
    <n v="0"/>
    <n v="0"/>
    <n v="0"/>
    <n v="0"/>
    <n v="0"/>
    <n v="0"/>
    <n v="0"/>
    <n v="0"/>
    <n v="0"/>
    <n v="0"/>
    <n v="0"/>
    <n v="20"/>
    <n v="0"/>
    <n v="0"/>
    <n v="0"/>
    <n v="0"/>
    <n v="0"/>
    <n v="0"/>
    <n v="0"/>
    <n v="0"/>
    <n v="0"/>
    <n v="0"/>
    <n v="0"/>
    <n v="0"/>
    <n v="0"/>
    <n v="0"/>
    <n v="0"/>
    <n v="0"/>
    <n v="0"/>
    <n v="0"/>
    <n v="0"/>
    <n v="0"/>
    <n v="0"/>
    <n v="0"/>
    <n v="0"/>
    <m/>
    <m/>
    <m/>
    <m/>
    <m/>
    <m/>
    <m/>
    <m/>
    <m/>
    <n v="0"/>
    <n v="0"/>
    <n v="0"/>
    <n v="0"/>
    <n v="0"/>
    <n v="305.99999999999994"/>
    <n v="0"/>
    <n v="0"/>
    <n v="0"/>
    <n v="0"/>
    <n v="21.599999999999998"/>
    <n v="0"/>
    <n v="0"/>
    <n v="0"/>
    <n v="0"/>
    <n v="0"/>
    <n v="0"/>
    <n v="0"/>
    <n v="0"/>
    <n v="0"/>
    <n v="0"/>
    <n v="0"/>
    <n v="0"/>
    <n v="0"/>
    <n v="0"/>
    <n v="0"/>
    <n v="18000"/>
    <n v="0"/>
    <n v="0"/>
    <n v="0"/>
    <n v="0"/>
    <n v="0"/>
    <n v="0"/>
    <n v="0"/>
    <n v="0"/>
    <n v="0"/>
    <n v="0"/>
    <n v="0"/>
    <n v="0"/>
    <n v="0"/>
    <n v="0"/>
    <n v="0"/>
    <n v="0"/>
    <n v="0"/>
    <n v="0"/>
    <n v="0"/>
    <n v="0"/>
    <n v="0"/>
    <n v="0"/>
    <n v="0"/>
    <n v="0"/>
    <n v="0"/>
    <n v="0"/>
    <n v="0"/>
    <n v="0"/>
    <n v="0"/>
    <n v="0"/>
    <n v="0"/>
    <n v="18327.599999999999"/>
    <n v="19427.256000000001"/>
    <s v=" "/>
    <s v=" "/>
    <s v=" "/>
    <s v=" "/>
    <s v=" "/>
    <s v=" "/>
    <s v=" "/>
    <s v=" "/>
    <s v=" "/>
    <s v=" "/>
    <s v=" "/>
    <s v=" "/>
    <s v=" "/>
    <s v=" "/>
    <x v="0"/>
    <x v="0"/>
    <x v="0"/>
    <x v="0"/>
    <x v="0"/>
    <x v="67"/>
    <x v="0"/>
    <x v="0"/>
    <x v="0"/>
    <x v="4"/>
    <x v="1"/>
    <x v="3"/>
    <x v="0"/>
    <x v="0"/>
    <x v="0"/>
    <x v="0"/>
    <x v="0"/>
    <x v="0"/>
    <x v="0"/>
    <x v="0"/>
    <x v="0"/>
    <x v="0"/>
    <x v="0"/>
    <x v="0"/>
    <x v="0"/>
    <x v="0"/>
    <x v="0"/>
    <x v="0"/>
    <x v="0"/>
    <x v="0"/>
    <x v="0"/>
    <x v="0"/>
    <x v="0"/>
    <x v="0"/>
    <x v="0"/>
    <x v="0"/>
    <x v="0"/>
    <x v="0"/>
    <x v="0"/>
    <x v="0"/>
    <x v="0"/>
    <x v="0"/>
    <x v="0"/>
    <x v="0"/>
    <x v="0"/>
    <x v="0"/>
    <x v="0"/>
    <x v="0"/>
    <x v="0"/>
    <x v="0"/>
    <x v="0"/>
    <x v="0"/>
    <x v="0"/>
    <x v="0"/>
    <x v="0"/>
    <x v="0"/>
    <x v="0"/>
    <x v="0"/>
    <x v="0"/>
    <x v="0"/>
    <x v="7"/>
    <x v="0"/>
    <x v="0"/>
    <x v="0"/>
    <x v="0"/>
    <x v="0"/>
    <x v="0"/>
    <x v="0"/>
    <x v="0"/>
    <x v="0"/>
    <x v="0"/>
    <x v="0"/>
    <x v="0"/>
    <x v="0"/>
    <x v="0"/>
    <x v="0"/>
    <x v="0"/>
    <x v="0"/>
    <x v="0"/>
    <x v="0"/>
    <x v="0"/>
    <x v="0"/>
    <x v="0"/>
    <x v="0"/>
    <x v="0"/>
    <x v="0"/>
    <x v="0"/>
    <x v="0"/>
    <x v="0"/>
    <x v="0"/>
    <x v="0"/>
    <x v="0"/>
    <x v="0"/>
  </r>
  <r>
    <s v="KS20"/>
    <s v="Backfilling Main Channel"/>
    <s v="Backfilling Main Channel"/>
    <s v="KS20_011"/>
    <x v="5"/>
    <m/>
    <m/>
    <m/>
    <m/>
    <m/>
    <m/>
    <m/>
    <m/>
    <m/>
    <m/>
    <s v="No Drawing"/>
    <m/>
    <s v="00"/>
    <d v="2018-12-07T00:00:00"/>
    <s v="Phase 1"/>
    <s v="Year 1"/>
    <m/>
    <m/>
    <m/>
    <m/>
    <m/>
    <n v="950"/>
    <m/>
    <m/>
    <n v="6700"/>
    <n v="6700"/>
    <m/>
    <m/>
    <m/>
    <m/>
    <m/>
    <m/>
    <m/>
    <m/>
    <m/>
    <m/>
    <m/>
    <m/>
    <m/>
    <m/>
    <m/>
    <m/>
    <m/>
    <m/>
    <m/>
    <m/>
    <m/>
    <m/>
    <m/>
    <m/>
    <n v="5730"/>
    <m/>
    <m/>
    <m/>
    <m/>
    <m/>
    <m/>
    <m/>
    <m/>
    <m/>
    <m/>
    <m/>
    <m/>
    <m/>
    <m/>
    <m/>
    <m/>
    <m/>
    <m/>
    <m/>
    <m/>
    <m/>
    <m/>
    <m/>
    <m/>
    <m/>
    <m/>
    <m/>
    <m/>
    <m/>
    <m/>
    <m/>
    <m/>
    <m/>
    <m/>
    <m/>
    <m/>
    <m/>
    <m/>
    <m/>
    <m/>
    <m/>
    <m/>
    <m/>
    <m/>
    <m/>
    <m/>
    <m/>
    <m/>
    <m/>
    <m/>
    <m/>
    <m/>
    <m/>
    <m/>
    <m/>
    <m/>
    <m/>
    <m/>
    <m/>
    <m/>
    <n v="0"/>
    <n v="0"/>
    <n v="0"/>
    <n v="0"/>
    <n v="0"/>
    <n v="80750"/>
    <n v="0"/>
    <n v="0"/>
    <n v="33500"/>
    <n v="67000"/>
    <n v="0"/>
    <n v="0"/>
    <n v="0"/>
    <n v="0"/>
    <n v="0"/>
    <n v="0"/>
    <n v="0"/>
    <n v="0"/>
    <n v="0"/>
    <n v="0"/>
    <n v="687600"/>
    <n v="0"/>
    <n v="0"/>
    <n v="0"/>
    <n v="0"/>
    <n v="0"/>
    <n v="0"/>
    <n v="0"/>
    <n v="0"/>
    <n v="0"/>
    <n v="0"/>
    <n v="0"/>
    <n v="0"/>
    <n v="0"/>
    <n v="0"/>
    <n v="0"/>
    <n v="0"/>
    <n v="0"/>
    <n v="0"/>
    <n v="0"/>
    <n v="0"/>
    <n v="0"/>
    <n v="0"/>
    <n v="0"/>
    <n v="0"/>
    <n v="0"/>
    <n v="0"/>
    <n v="0"/>
    <n v="0"/>
    <n v="0"/>
    <n v="0"/>
    <n v="0"/>
    <n v="0"/>
    <n v="0"/>
    <n v="0"/>
    <n v="0"/>
    <n v="0"/>
    <n v="0"/>
    <n v="868850"/>
    <n v="920981"/>
    <s v=" "/>
    <s v=" "/>
    <s v=" "/>
    <s v=" "/>
    <s v=" "/>
    <s v=" "/>
    <s v=" "/>
    <s v=" "/>
    <s v=" "/>
    <s v=" "/>
    <s v=" "/>
    <s v=" "/>
    <s v=" "/>
    <s v=" "/>
    <x v="0"/>
    <x v="0"/>
    <x v="0"/>
    <x v="0"/>
    <x v="0"/>
    <x v="68"/>
    <x v="0"/>
    <x v="0"/>
    <x v="37"/>
    <x v="38"/>
    <x v="1"/>
    <x v="1"/>
    <x v="0"/>
    <x v="0"/>
    <x v="0"/>
    <x v="0"/>
    <x v="0"/>
    <x v="0"/>
    <x v="0"/>
    <x v="0"/>
    <x v="0"/>
    <x v="0"/>
    <x v="0"/>
    <x v="0"/>
    <x v="0"/>
    <x v="0"/>
    <x v="0"/>
    <x v="0"/>
    <x v="0"/>
    <x v="0"/>
    <x v="0"/>
    <x v="0"/>
    <x v="23"/>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21"/>
    <s v="10° sloped Grouted Pitching (Light)"/>
    <s v="Grouted Pitched Chute"/>
    <s v="KS21_001"/>
    <x v="5"/>
    <n v="30.006223842000001"/>
    <n v="-25.827724391"/>
    <s v="30° 00' 22.40&quot;E "/>
    <s v="25° 49' 39.80&quot; S"/>
    <s v="Complete"/>
    <s v="Yes"/>
    <s v="Yes"/>
    <d v="2017-02-03T00:00:00"/>
    <s v="YES"/>
    <m/>
    <s v="NBC-GTW-CL-0038"/>
    <s v="Yes"/>
    <s v="00"/>
    <d v="2018-06-16T00:00:00"/>
    <s v="Phase 1"/>
    <s v="Year 1"/>
    <n v="38"/>
    <n v="0"/>
    <n v="0"/>
    <n v="0"/>
    <n v="0"/>
    <n v="20"/>
    <n v="0"/>
    <n v="1"/>
    <n v="0"/>
    <n v="0"/>
    <n v="0"/>
    <n v="20"/>
    <n v="0"/>
    <n v="0"/>
    <n v="0"/>
    <n v="0"/>
    <n v="0"/>
    <n v="0"/>
    <n v="0"/>
    <n v="0"/>
    <n v="0"/>
    <n v="0"/>
    <n v="0"/>
    <n v="0"/>
    <n v="0"/>
    <m/>
    <n v="0"/>
    <m/>
    <n v="0"/>
    <n v="0"/>
    <n v="0"/>
    <n v="0"/>
    <n v="0"/>
    <n v="0"/>
    <n v="0"/>
    <n v="0"/>
    <n v="0"/>
    <n v="0"/>
    <n v="0"/>
    <n v="0"/>
    <n v="0"/>
    <n v="0"/>
    <n v="0"/>
    <n v="0"/>
    <n v="0"/>
    <n v="0"/>
    <n v="0"/>
    <n v="0"/>
    <n v="0"/>
    <n v="0"/>
    <n v="0"/>
    <n v="0"/>
    <n v="0"/>
    <n v="0"/>
    <n v="0"/>
    <n v="0"/>
    <n v="0"/>
    <n v="0"/>
    <n v="50"/>
    <n v="0"/>
    <n v="0"/>
    <n v="0"/>
    <n v="0"/>
    <n v="0"/>
    <n v="0"/>
    <n v="0"/>
    <n v="0"/>
    <n v="0"/>
    <n v="0"/>
    <n v="0"/>
    <n v="0"/>
    <n v="0"/>
    <n v="0"/>
    <n v="0"/>
    <m/>
    <m/>
    <m/>
    <m/>
    <m/>
    <m/>
    <m/>
    <m/>
    <m/>
    <m/>
    <m/>
    <m/>
    <m/>
    <m/>
    <m/>
    <m/>
    <m/>
    <m/>
    <m/>
    <m/>
    <m/>
    <n v="190"/>
    <n v="0"/>
    <n v="0"/>
    <n v="0"/>
    <n v="0"/>
    <n v="1700"/>
    <n v="0"/>
    <n v="500"/>
    <n v="0"/>
    <n v="0"/>
    <n v="120"/>
    <n v="0"/>
    <n v="0"/>
    <n v="0"/>
    <n v="0"/>
    <n v="0"/>
    <n v="0"/>
    <n v="0"/>
    <n v="0"/>
    <n v="0"/>
    <n v="0"/>
    <n v="0"/>
    <n v="0"/>
    <n v="37500"/>
    <n v="0"/>
    <n v="0"/>
    <n v="0"/>
    <n v="0"/>
    <n v="0"/>
    <n v="0"/>
    <n v="0"/>
    <n v="0"/>
    <n v="0"/>
    <n v="0"/>
    <n v="0"/>
    <n v="0"/>
    <n v="0"/>
    <n v="0"/>
    <n v="0"/>
    <n v="0"/>
    <n v="0"/>
    <n v="0"/>
    <n v="0"/>
    <n v="0"/>
    <n v="0"/>
    <n v="0"/>
    <n v="0"/>
    <n v="0"/>
    <n v="0"/>
    <n v="0"/>
    <n v="0"/>
    <n v="0"/>
    <n v="0"/>
    <n v="0"/>
    <n v="0"/>
    <n v="0"/>
    <n v="0"/>
    <n v="0"/>
    <n v="40010"/>
    <n v="42410.6"/>
    <s v=" "/>
    <s v=" "/>
    <s v=" "/>
    <s v=" "/>
    <s v=" "/>
    <s v=" "/>
    <s v=" "/>
    <s v=" "/>
    <s v=" "/>
    <s v=" "/>
    <s v=" "/>
    <s v=" "/>
    <s v=" "/>
    <s v=" "/>
    <x v="36"/>
    <x v="0"/>
    <x v="0"/>
    <x v="0"/>
    <x v="0"/>
    <x v="69"/>
    <x v="0"/>
    <x v="13"/>
    <x v="0"/>
    <x v="4"/>
    <x v="1"/>
    <x v="4"/>
    <x v="0"/>
    <x v="0"/>
    <x v="0"/>
    <x v="0"/>
    <x v="0"/>
    <x v="0"/>
    <x v="0"/>
    <x v="0"/>
    <x v="0"/>
    <x v="0"/>
    <x v="0"/>
    <x v="0"/>
    <x v="0"/>
    <x v="0"/>
    <x v="0"/>
    <x v="0"/>
    <x v="0"/>
    <x v="0"/>
    <x v="0"/>
    <x v="0"/>
    <x v="0"/>
    <x v="0"/>
    <x v="0"/>
    <x v="0"/>
    <x v="0"/>
    <x v="0"/>
    <x v="0"/>
    <x v="0"/>
    <x v="0"/>
    <x v="0"/>
    <x v="0"/>
    <x v="0"/>
    <x v="0"/>
    <x v="0"/>
    <x v="0"/>
    <x v="0"/>
    <x v="0"/>
    <x v="0"/>
    <x v="0"/>
    <x v="0"/>
    <x v="0"/>
    <x v="0"/>
    <x v="0"/>
    <x v="0"/>
    <x v="1"/>
    <x v="0"/>
    <x v="0"/>
    <x v="0"/>
    <x v="0"/>
    <x v="0"/>
    <x v="0"/>
    <x v="0"/>
    <x v="0"/>
    <x v="0"/>
    <x v="0"/>
    <x v="0"/>
    <x v="0"/>
    <x v="0"/>
    <x v="0"/>
    <x v="0"/>
    <x v="0"/>
    <x v="0"/>
    <x v="0"/>
    <x v="0"/>
    <x v="0"/>
    <x v="0"/>
    <x v="0"/>
    <x v="0"/>
    <x v="0"/>
    <x v="0"/>
    <x v="0"/>
    <x v="0"/>
    <x v="0"/>
    <x v="0"/>
    <x v="0"/>
    <x v="0"/>
    <x v="0"/>
    <x v="0"/>
    <x v="0"/>
    <x v="0"/>
    <x v="0"/>
  </r>
  <r>
    <s v="KS21"/>
    <s v="Concrete Drop Inlet"/>
    <s v="Concrete"/>
    <s v="KS21_003"/>
    <x v="5"/>
    <n v="30.005540703000001"/>
    <n v="-25.827672228000001"/>
    <s v="30° 00' 19.94&quot;E "/>
    <s v="25° 49' 39.62&quot; S"/>
    <s v="Complete"/>
    <s v="Yes"/>
    <s v="Yes"/>
    <d v="2017-02-06T00:00:00"/>
    <s v="YES"/>
    <m/>
    <s v="NBC-GTW-CL-0039"/>
    <s v="Yes"/>
    <s v="00"/>
    <d v="2018-06-16T00:00:00"/>
    <s v="Phase 1"/>
    <s v="Year 1"/>
    <n v="22.240000000000002"/>
    <n v="0"/>
    <n v="0"/>
    <n v="0"/>
    <n v="0"/>
    <n v="25.787750000000003"/>
    <n v="2.5787750000000003"/>
    <n v="1.2893875000000001"/>
    <n v="22.240000000000002"/>
    <n v="22.240000000000002"/>
    <n v="0"/>
    <n v="25.787750000000003"/>
    <n v="24.792749999999998"/>
    <n v="52.660000000000004"/>
    <n v="0"/>
    <n v="0"/>
    <s v="Ref 888"/>
    <n v="23.832599999999999"/>
    <s v="Ref 655"/>
    <n v="42.578400000000002"/>
    <n v="0"/>
    <n v="40.887319357676404"/>
    <n v="0"/>
    <n v="4.25"/>
    <n v="0"/>
    <m/>
    <n v="0"/>
    <m/>
    <n v="0"/>
    <n v="0"/>
    <n v="9.5449999999999999"/>
    <n v="0"/>
    <n v="0"/>
    <n v="0"/>
    <n v="0"/>
    <n v="0"/>
    <n v="0"/>
    <n v="0"/>
    <n v="0"/>
    <n v="0"/>
    <n v="0"/>
    <n v="0"/>
    <n v="0"/>
    <n v="0"/>
    <n v="0"/>
    <n v="0"/>
    <n v="0"/>
    <n v="0"/>
    <n v="0"/>
    <n v="0"/>
    <n v="0"/>
    <n v="0"/>
    <n v="0"/>
    <n v="0"/>
    <n v="0"/>
    <n v="0"/>
    <n v="0"/>
    <n v="0"/>
    <n v="0"/>
    <n v="0"/>
    <n v="0"/>
    <n v="0"/>
    <n v="0"/>
    <n v="0"/>
    <n v="0"/>
    <n v="0"/>
    <n v="0"/>
    <n v="0"/>
    <n v="0"/>
    <n v="0"/>
    <n v="0"/>
    <n v="0"/>
    <n v="0"/>
    <n v="0"/>
    <m/>
    <m/>
    <m/>
    <m/>
    <m/>
    <m/>
    <m/>
    <m/>
    <m/>
    <m/>
    <m/>
    <m/>
    <m/>
    <m/>
    <m/>
    <m/>
    <m/>
    <m/>
    <m/>
    <m/>
    <m/>
    <n v="111.20000000000002"/>
    <n v="0"/>
    <n v="0"/>
    <n v="0"/>
    <n v="0"/>
    <n v="2191.9587500000002"/>
    <n v="322.34687500000001"/>
    <n v="644.69375000000002"/>
    <n v="111.20000000000002"/>
    <n v="222.40000000000003"/>
    <n v="154.72650000000002"/>
    <n v="49585.499999999993"/>
    <n v="15798.000000000002"/>
    <n v="0"/>
    <n v="0"/>
    <n v="1328.22"/>
    <n v="29339.257582489663"/>
    <n v="286.35000000000002"/>
    <n v="0"/>
    <n v="0"/>
    <n v="0"/>
    <n v="0"/>
    <n v="0"/>
    <n v="0"/>
    <n v="0"/>
    <n v="0"/>
    <n v="0"/>
    <n v="0"/>
    <n v="0"/>
    <n v="0"/>
    <n v="0"/>
    <n v="0"/>
    <n v="0"/>
    <n v="0"/>
    <n v="0"/>
    <n v="0"/>
    <n v="0"/>
    <n v="0"/>
    <n v="0"/>
    <n v="0"/>
    <n v="0"/>
    <n v="0"/>
    <n v="0"/>
    <n v="0"/>
    <n v="0"/>
    <n v="0"/>
    <n v="0"/>
    <n v="0"/>
    <n v="0"/>
    <n v="0"/>
    <n v="0"/>
    <n v="0"/>
    <n v="0"/>
    <n v="0"/>
    <n v="0"/>
    <n v="0"/>
    <n v="0"/>
    <n v="0"/>
    <n v="100095.85345748966"/>
    <n v="106101.60466493905"/>
    <s v=" "/>
    <s v=" "/>
    <s v=" "/>
    <s v=" "/>
    <s v=" "/>
    <s v=" "/>
    <s v=" "/>
    <s v=" "/>
    <s v=" "/>
    <s v=" "/>
    <s v=" "/>
    <s v=" "/>
    <s v=" "/>
    <s v=" "/>
    <x v="37"/>
    <x v="0"/>
    <x v="0"/>
    <x v="0"/>
    <x v="0"/>
    <x v="70"/>
    <x v="6"/>
    <x v="14"/>
    <x v="38"/>
    <x v="39"/>
    <x v="1"/>
    <x v="5"/>
    <x v="54"/>
    <x v="15"/>
    <x v="0"/>
    <x v="0"/>
    <x v="17"/>
    <x v="13"/>
    <x v="0"/>
    <x v="13"/>
    <x v="0"/>
    <x v="17"/>
    <x v="0"/>
    <x v="0"/>
    <x v="0"/>
    <x v="0"/>
    <x v="0"/>
    <x v="0"/>
    <x v="42"/>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21"/>
    <s v="Concrete Drop Inlet"/>
    <s v="Concrete"/>
    <s v="KS21_005"/>
    <x v="5"/>
    <n v="30.004772316"/>
    <n v="-25.827668378999999"/>
    <s v="30° 00' 17.18&quot;E "/>
    <s v="25° 49' 39.60&quot; S"/>
    <s v="Complete"/>
    <s v="Yes"/>
    <s v="Yes"/>
    <d v="2017-02-06T00:00:00"/>
    <s v="YES"/>
    <m/>
    <s v="NBC-GTW-CL-0040"/>
    <s v="Yes"/>
    <s v="00"/>
    <d v="2018-06-16T00:00:00"/>
    <s v="Phase 1"/>
    <s v="Year 1"/>
    <n v="22.240000000000002"/>
    <n v="0"/>
    <n v="0"/>
    <n v="0"/>
    <n v="0"/>
    <n v="25.787750000000003"/>
    <n v="2.5787750000000003"/>
    <n v="1.2893875000000001"/>
    <n v="22.240000000000002"/>
    <n v="22.240000000000002"/>
    <n v="0"/>
    <n v="25.787750000000003"/>
    <n v="24.792749999999998"/>
    <n v="52.660000000000004"/>
    <n v="0"/>
    <n v="0"/>
    <s v="Ref 888"/>
    <n v="23.832599999999999"/>
    <s v="Ref 655"/>
    <n v="42.578400000000002"/>
    <n v="0"/>
    <n v="40.887319357676404"/>
    <n v="0"/>
    <n v="4.25"/>
    <n v="0"/>
    <m/>
    <n v="0"/>
    <m/>
    <n v="0"/>
    <n v="0"/>
    <n v="9.5449999999999999"/>
    <n v="0"/>
    <n v="0"/>
    <n v="0"/>
    <n v="0"/>
    <n v="0"/>
    <n v="0"/>
    <n v="0"/>
    <n v="0"/>
    <n v="0"/>
    <n v="0"/>
    <n v="0"/>
    <n v="0"/>
    <n v="0"/>
    <n v="0"/>
    <n v="0"/>
    <n v="0"/>
    <n v="0"/>
    <n v="0"/>
    <n v="0"/>
    <n v="0"/>
    <n v="0"/>
    <n v="0"/>
    <n v="0"/>
    <n v="0"/>
    <n v="0"/>
    <n v="0"/>
    <n v="0"/>
    <n v="0"/>
    <n v="0"/>
    <m/>
    <m/>
    <m/>
    <m/>
    <m/>
    <m/>
    <m/>
    <m/>
    <m/>
    <m/>
    <m/>
    <m/>
    <m/>
    <m/>
    <m/>
    <m/>
    <m/>
    <m/>
    <m/>
    <m/>
    <m/>
    <m/>
    <m/>
    <m/>
    <m/>
    <m/>
    <m/>
    <m/>
    <m/>
    <m/>
    <m/>
    <m/>
    <m/>
    <m/>
    <m/>
    <n v="111.20000000000002"/>
    <n v="0"/>
    <n v="0"/>
    <n v="0"/>
    <n v="0"/>
    <n v="2191.9587500000002"/>
    <n v="322.34687500000001"/>
    <n v="644.69375000000002"/>
    <n v="111.20000000000002"/>
    <n v="222.40000000000003"/>
    <n v="154.72650000000002"/>
    <n v="49585.499999999993"/>
    <n v="15798.000000000002"/>
    <n v="0"/>
    <n v="0"/>
    <n v="1328.22"/>
    <n v="29339.257582489663"/>
    <n v="286.35000000000002"/>
    <n v="0"/>
    <n v="0"/>
    <n v="0"/>
    <n v="0"/>
    <n v="0"/>
    <n v="0"/>
    <n v="0"/>
    <n v="0"/>
    <n v="0"/>
    <n v="0"/>
    <n v="0"/>
    <n v="0"/>
    <n v="0"/>
    <n v="0"/>
    <n v="0"/>
    <n v="0"/>
    <n v="0"/>
    <n v="0"/>
    <n v="0"/>
    <n v="0"/>
    <n v="0"/>
    <n v="0"/>
    <n v="0"/>
    <n v="0"/>
    <n v="0"/>
    <n v="0"/>
    <n v="0"/>
    <n v="0"/>
    <n v="0"/>
    <n v="0"/>
    <n v="0"/>
    <n v="0"/>
    <n v="0"/>
    <n v="0"/>
    <n v="0"/>
    <n v="0"/>
    <n v="0"/>
    <n v="0"/>
    <n v="0"/>
    <n v="0"/>
    <n v="100095.85345748966"/>
    <n v="106101.60466493905"/>
    <s v=" "/>
    <s v=" "/>
    <s v=" "/>
    <s v=" "/>
    <s v=" "/>
    <s v=" "/>
    <s v=" "/>
    <s v=" "/>
    <s v=" "/>
    <s v=" "/>
    <s v=" "/>
    <s v=" "/>
    <s v=" "/>
    <s v=" "/>
    <x v="38"/>
    <x v="0"/>
    <x v="0"/>
    <x v="0"/>
    <x v="0"/>
    <x v="71"/>
    <x v="7"/>
    <x v="15"/>
    <x v="39"/>
    <x v="40"/>
    <x v="1"/>
    <x v="6"/>
    <x v="55"/>
    <x v="16"/>
    <x v="0"/>
    <x v="0"/>
    <x v="18"/>
    <x v="14"/>
    <x v="0"/>
    <x v="14"/>
    <x v="0"/>
    <x v="18"/>
    <x v="0"/>
    <x v="0"/>
    <x v="0"/>
    <x v="0"/>
    <x v="0"/>
    <x v="0"/>
    <x v="43"/>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21"/>
    <s v="Concrete Check Wall"/>
    <s v="Concrete"/>
    <s v="KS21_006"/>
    <x v="5"/>
    <n v="30.003629429"/>
    <n v="-25.827472712999999"/>
    <s v="30° 00' 13.06&quot;E "/>
    <s v="25° 49' 38.90&quot; S"/>
    <s v="Complete"/>
    <s v="Yes"/>
    <s v="Yes"/>
    <d v="2017-02-06T00:00:00"/>
    <s v="YES"/>
    <m/>
    <s v="NBC-GTW-CL-0041"/>
    <s v="Yes"/>
    <s v="00"/>
    <d v="2018-06-16T00:00:00"/>
    <s v="Phase 1"/>
    <s v="Year 1"/>
    <m/>
    <m/>
    <m/>
    <m/>
    <m/>
    <n v="7.9799999999999986"/>
    <m/>
    <m/>
    <m/>
    <m/>
    <m/>
    <m/>
    <n v="7.9799999999999986"/>
    <m/>
    <m/>
    <m/>
    <m/>
    <m/>
    <m/>
    <m/>
    <m/>
    <m/>
    <m/>
    <m/>
    <m/>
    <m/>
    <m/>
    <m/>
    <m/>
    <m/>
    <m/>
    <m/>
    <m/>
    <m/>
    <m/>
    <m/>
    <m/>
    <m/>
    <m/>
    <m/>
    <m/>
    <m/>
    <m/>
    <m/>
    <m/>
    <m/>
    <m/>
    <m/>
    <m/>
    <m/>
    <m/>
    <m/>
    <m/>
    <m/>
    <m/>
    <m/>
    <m/>
    <m/>
    <m/>
    <m/>
    <m/>
    <m/>
    <m/>
    <m/>
    <m/>
    <m/>
    <m/>
    <m/>
    <m/>
    <m/>
    <m/>
    <m/>
    <m/>
    <m/>
    <m/>
    <m/>
    <m/>
    <m/>
    <m/>
    <m/>
    <m/>
    <m/>
    <m/>
    <m/>
    <m/>
    <m/>
    <m/>
    <m/>
    <m/>
    <m/>
    <m/>
    <m/>
    <m/>
    <m/>
    <m/>
    <n v="0"/>
    <n v="0"/>
    <n v="0"/>
    <n v="0"/>
    <n v="0"/>
    <n v="678.29999999999984"/>
    <n v="0"/>
    <n v="0"/>
    <n v="0"/>
    <n v="0"/>
    <n v="0"/>
    <n v="15959.999999999998"/>
    <n v="0"/>
    <n v="0"/>
    <n v="0"/>
    <n v="0"/>
    <n v="0"/>
    <n v="0"/>
    <n v="0"/>
    <n v="0"/>
    <n v="0"/>
    <n v="0"/>
    <n v="0"/>
    <n v="0"/>
    <n v="0"/>
    <n v="0"/>
    <n v="0"/>
    <n v="0"/>
    <n v="0"/>
    <n v="0"/>
    <n v="0"/>
    <n v="0"/>
    <n v="0"/>
    <n v="0"/>
    <n v="0"/>
    <n v="0"/>
    <n v="0"/>
    <n v="0"/>
    <n v="0"/>
    <n v="0"/>
    <n v="0"/>
    <n v="0"/>
    <n v="0"/>
    <n v="0"/>
    <n v="0"/>
    <n v="0"/>
    <n v="0"/>
    <n v="0"/>
    <n v="0"/>
    <n v="0"/>
    <n v="0"/>
    <n v="0"/>
    <n v="0"/>
    <n v="0"/>
    <n v="0"/>
    <n v="0"/>
    <n v="0"/>
    <n v="0"/>
    <n v="16638.3"/>
    <n v="17636.598000000002"/>
    <s v=" "/>
    <s v=" "/>
    <s v=" "/>
    <s v=" "/>
    <s v=" "/>
    <s v=" "/>
    <s v=" "/>
    <s v=" "/>
    <s v=" "/>
    <s v=" "/>
    <s v=" "/>
    <s v=" "/>
    <s v=" "/>
    <s v=" "/>
    <x v="0"/>
    <x v="0"/>
    <x v="0"/>
    <x v="0"/>
    <x v="0"/>
    <x v="72"/>
    <x v="0"/>
    <x v="0"/>
    <x v="0"/>
    <x v="4"/>
    <x v="1"/>
    <x v="1"/>
    <x v="56"/>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21"/>
    <s v="Concrete Check Wall"/>
    <s v="Concrete"/>
    <s v="KS21_007"/>
    <x v="5"/>
    <n v="30.003219906000002"/>
    <n v="-25.827183586"/>
    <s v="30° 00' 11.59&quot;E "/>
    <s v="25° 49' 37.86&quot; S"/>
    <s v="Complete"/>
    <s v="Yes"/>
    <s v="Yes"/>
    <d v="2017-02-06T00:00:00"/>
    <s v="YES"/>
    <m/>
    <s v="NBC-GTW-CL-0042"/>
    <s v="Yes"/>
    <s v="00"/>
    <d v="2018-06-16T00:00:00"/>
    <s v="Phase 1"/>
    <s v="Year 1"/>
    <m/>
    <m/>
    <m/>
    <m/>
    <m/>
    <n v="7.9799999999999986"/>
    <m/>
    <m/>
    <m/>
    <m/>
    <m/>
    <m/>
    <n v="7.9799999999999986"/>
    <m/>
    <m/>
    <m/>
    <m/>
    <m/>
    <m/>
    <m/>
    <m/>
    <m/>
    <m/>
    <m/>
    <m/>
    <m/>
    <m/>
    <m/>
    <m/>
    <m/>
    <m/>
    <m/>
    <m/>
    <m/>
    <m/>
    <m/>
    <m/>
    <m/>
    <m/>
    <m/>
    <m/>
    <m/>
    <m/>
    <m/>
    <m/>
    <m/>
    <m/>
    <m/>
    <m/>
    <m/>
    <m/>
    <m/>
    <m/>
    <m/>
    <m/>
    <m/>
    <m/>
    <m/>
    <m/>
    <m/>
    <m/>
    <m/>
    <m/>
    <m/>
    <m/>
    <m/>
    <m/>
    <m/>
    <m/>
    <m/>
    <m/>
    <m/>
    <m/>
    <m/>
    <m/>
    <m/>
    <m/>
    <m/>
    <m/>
    <m/>
    <m/>
    <m/>
    <m/>
    <m/>
    <m/>
    <m/>
    <m/>
    <m/>
    <m/>
    <m/>
    <m/>
    <m/>
    <m/>
    <m/>
    <m/>
    <n v="0"/>
    <n v="0"/>
    <n v="0"/>
    <n v="0"/>
    <n v="0"/>
    <n v="678.29999999999984"/>
    <n v="0"/>
    <n v="0"/>
    <n v="0"/>
    <n v="0"/>
    <n v="0"/>
    <n v="15959.999999999998"/>
    <n v="0"/>
    <n v="0"/>
    <n v="0"/>
    <n v="0"/>
    <n v="0"/>
    <n v="0"/>
    <n v="0"/>
    <n v="0"/>
    <n v="0"/>
    <n v="0"/>
    <n v="0"/>
    <n v="0"/>
    <n v="0"/>
    <n v="0"/>
    <n v="0"/>
    <n v="0"/>
    <n v="0"/>
    <n v="0"/>
    <n v="0"/>
    <n v="0"/>
    <n v="0"/>
    <n v="0"/>
    <n v="0"/>
    <n v="0"/>
    <n v="0"/>
    <n v="0"/>
    <n v="0"/>
    <n v="0"/>
    <n v="0"/>
    <n v="0"/>
    <n v="0"/>
    <n v="0"/>
    <n v="0"/>
    <n v="0"/>
    <n v="0"/>
    <n v="0"/>
    <n v="0"/>
    <n v="0"/>
    <n v="0"/>
    <n v="0"/>
    <n v="0"/>
    <n v="0"/>
    <n v="0"/>
    <n v="0"/>
    <n v="0"/>
    <n v="0"/>
    <n v="16638.3"/>
    <n v="17636.598000000002"/>
    <s v=" "/>
    <s v=" "/>
    <s v=" "/>
    <s v=" "/>
    <s v=" "/>
    <s v=" "/>
    <s v=" "/>
    <s v=" "/>
    <s v=" "/>
    <s v=" "/>
    <s v=" "/>
    <s v=" "/>
    <s v=" "/>
    <s v=" "/>
    <x v="0"/>
    <x v="0"/>
    <x v="0"/>
    <x v="0"/>
    <x v="0"/>
    <x v="73"/>
    <x v="0"/>
    <x v="0"/>
    <x v="0"/>
    <x v="4"/>
    <x v="1"/>
    <x v="1"/>
    <x v="57"/>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21"/>
    <s v="Concrete Check Wall"/>
    <s v="Concrete"/>
    <s v="KS21_009"/>
    <x v="5"/>
    <n v="30.002610442000002"/>
    <n v="-25.826997409000001"/>
    <s v="30° 00' 09.39&quot;E "/>
    <s v="25° 49' 37.19&quot; S"/>
    <s v="Complete"/>
    <s v="Yes"/>
    <s v="Yes"/>
    <d v="2017-02-06T00:00:00"/>
    <s v="YES"/>
    <m/>
    <s v="NBC-GTW-CL-0043"/>
    <s v="Yes"/>
    <s v="00"/>
    <d v="2018-06-16T00:00:00"/>
    <s v="Phase 1"/>
    <s v="Year 1"/>
    <m/>
    <m/>
    <m/>
    <m/>
    <m/>
    <n v="7.9799999999999986"/>
    <m/>
    <m/>
    <m/>
    <m/>
    <m/>
    <m/>
    <n v="7.9799999999999986"/>
    <m/>
    <m/>
    <m/>
    <m/>
    <m/>
    <m/>
    <m/>
    <m/>
    <m/>
    <m/>
    <m/>
    <m/>
    <m/>
    <m/>
    <m/>
    <m/>
    <m/>
    <m/>
    <m/>
    <m/>
    <m/>
    <m/>
    <m/>
    <m/>
    <m/>
    <m/>
    <m/>
    <m/>
    <m/>
    <m/>
    <m/>
    <m/>
    <m/>
    <m/>
    <m/>
    <m/>
    <m/>
    <m/>
    <m/>
    <m/>
    <m/>
    <m/>
    <m/>
    <m/>
    <m/>
    <m/>
    <m/>
    <m/>
    <m/>
    <m/>
    <m/>
    <m/>
    <m/>
    <m/>
    <m/>
    <m/>
    <m/>
    <m/>
    <m/>
    <m/>
    <m/>
    <m/>
    <m/>
    <m/>
    <m/>
    <m/>
    <m/>
    <m/>
    <m/>
    <m/>
    <m/>
    <m/>
    <m/>
    <m/>
    <m/>
    <m/>
    <m/>
    <m/>
    <m/>
    <m/>
    <m/>
    <m/>
    <n v="0"/>
    <n v="0"/>
    <n v="0"/>
    <n v="0"/>
    <n v="0"/>
    <n v="678.29999999999984"/>
    <n v="0"/>
    <n v="0"/>
    <n v="0"/>
    <n v="0"/>
    <n v="0"/>
    <n v="15959.999999999998"/>
    <n v="0"/>
    <n v="0"/>
    <n v="0"/>
    <n v="0"/>
    <n v="0"/>
    <n v="0"/>
    <n v="0"/>
    <n v="0"/>
    <n v="0"/>
    <n v="0"/>
    <n v="0"/>
    <n v="0"/>
    <n v="0"/>
    <n v="0"/>
    <n v="0"/>
    <n v="0"/>
    <n v="0"/>
    <n v="0"/>
    <n v="0"/>
    <n v="0"/>
    <n v="0"/>
    <n v="0"/>
    <n v="0"/>
    <n v="0"/>
    <n v="0"/>
    <n v="0"/>
    <n v="0"/>
    <n v="0"/>
    <n v="0"/>
    <n v="0"/>
    <n v="0"/>
    <n v="0"/>
    <n v="0"/>
    <n v="0"/>
    <n v="0"/>
    <n v="0"/>
    <n v="0"/>
    <n v="0"/>
    <n v="0"/>
    <n v="0"/>
    <n v="0"/>
    <n v="0"/>
    <n v="0"/>
    <n v="0"/>
    <n v="0"/>
    <n v="0"/>
    <n v="16638.3"/>
    <n v="17636.598000000002"/>
    <s v=" "/>
    <s v=" "/>
    <s v=" "/>
    <s v=" "/>
    <s v=" "/>
    <s v=" "/>
    <s v=" "/>
    <s v=" "/>
    <s v=" "/>
    <s v=" "/>
    <s v=" "/>
    <s v=" "/>
    <s v=" "/>
    <s v=" "/>
    <x v="0"/>
    <x v="0"/>
    <x v="0"/>
    <x v="0"/>
    <x v="0"/>
    <x v="74"/>
    <x v="0"/>
    <x v="0"/>
    <x v="0"/>
    <x v="4"/>
    <x v="1"/>
    <x v="1"/>
    <x v="58"/>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21"/>
    <s v="Backfilling Main Channel"/>
    <s v="Backfilling Main Channel"/>
    <s v="KS21-010"/>
    <x v="5"/>
    <n v="30.002139047"/>
    <n v="-25.826973612"/>
    <s v="30° 00' 00.08&quot;E "/>
    <s v="25° 49' 00.37&quot; S"/>
    <s v="Complete"/>
    <s v="Yes"/>
    <s v="Yes"/>
    <d v="2017-02-06T00:00:00"/>
    <s v="YES"/>
    <m/>
    <s v="No Drawing"/>
    <s v="Yes"/>
    <s v="00"/>
    <d v="2018-06-16T00:00:00"/>
    <s v="Phase 1"/>
    <s v="Year 1"/>
    <n v="2320.5501703847049"/>
    <m/>
    <m/>
    <m/>
    <m/>
    <m/>
    <m/>
    <m/>
    <n v="2320.5501703847049"/>
    <n v="2320.5501703847049"/>
    <m/>
    <m/>
    <m/>
    <m/>
    <m/>
    <m/>
    <m/>
    <m/>
    <m/>
    <m/>
    <m/>
    <m/>
    <m/>
    <m/>
    <m/>
    <m/>
    <m/>
    <m/>
    <m/>
    <m/>
    <m/>
    <m/>
    <m/>
    <m/>
    <n v="2347.1999999999998"/>
    <m/>
    <m/>
    <m/>
    <m/>
    <m/>
    <m/>
    <m/>
    <m/>
    <m/>
    <m/>
    <m/>
    <m/>
    <m/>
    <m/>
    <m/>
    <m/>
    <m/>
    <m/>
    <m/>
    <m/>
    <m/>
    <m/>
    <m/>
    <m/>
    <m/>
    <m/>
    <m/>
    <m/>
    <m/>
    <m/>
    <m/>
    <m/>
    <m/>
    <m/>
    <m/>
    <m/>
    <m/>
    <m/>
    <m/>
    <m/>
    <m/>
    <m/>
    <m/>
    <m/>
    <m/>
    <m/>
    <m/>
    <m/>
    <m/>
    <m/>
    <m/>
    <m/>
    <m/>
    <m/>
    <m/>
    <m/>
    <m/>
    <m/>
    <m/>
    <m/>
    <n v="11602.750851923523"/>
    <n v="0"/>
    <n v="0"/>
    <n v="0"/>
    <n v="0"/>
    <n v="0"/>
    <n v="0"/>
    <n v="0"/>
    <n v="11602.750851923523"/>
    <n v="23205.501703847047"/>
    <n v="0"/>
    <n v="0"/>
    <n v="0"/>
    <n v="0"/>
    <n v="0"/>
    <n v="0"/>
    <n v="0"/>
    <n v="0"/>
    <n v="0"/>
    <n v="0"/>
    <n v="281664"/>
    <n v="0"/>
    <n v="0"/>
    <n v="0"/>
    <n v="0"/>
    <n v="0"/>
    <n v="0"/>
    <n v="0"/>
    <n v="0"/>
    <n v="0"/>
    <n v="0"/>
    <n v="0"/>
    <n v="0"/>
    <n v="0"/>
    <n v="0"/>
    <n v="0"/>
    <n v="0"/>
    <n v="0"/>
    <n v="0"/>
    <n v="0"/>
    <n v="0"/>
    <n v="0"/>
    <n v="0"/>
    <n v="0"/>
    <n v="0"/>
    <n v="0"/>
    <n v="0"/>
    <n v="0"/>
    <n v="0"/>
    <n v="0"/>
    <n v="0"/>
    <n v="0"/>
    <n v="0"/>
    <n v="0"/>
    <n v="0"/>
    <n v="0"/>
    <n v="0"/>
    <n v="0"/>
    <n v="328075.00340769411"/>
    <n v="347759.50361215579"/>
    <s v=" "/>
    <s v=" "/>
    <s v=" "/>
    <s v=" "/>
    <s v=" "/>
    <s v=" "/>
    <s v=" "/>
    <s v=" "/>
    <s v=" "/>
    <s v=" "/>
    <s v=" "/>
    <s v=" "/>
    <s v=" "/>
    <s v=" "/>
    <x v="39"/>
    <x v="0"/>
    <x v="0"/>
    <x v="0"/>
    <x v="0"/>
    <x v="1"/>
    <x v="0"/>
    <x v="0"/>
    <x v="40"/>
    <x v="41"/>
    <x v="1"/>
    <x v="1"/>
    <x v="0"/>
    <x v="0"/>
    <x v="0"/>
    <x v="0"/>
    <x v="0"/>
    <x v="0"/>
    <x v="0"/>
    <x v="0"/>
    <x v="0"/>
    <x v="0"/>
    <x v="0"/>
    <x v="0"/>
    <x v="0"/>
    <x v="0"/>
    <x v="0"/>
    <x v="0"/>
    <x v="0"/>
    <x v="0"/>
    <x v="0"/>
    <x v="0"/>
    <x v="24"/>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21"/>
    <s v="Earthworks"/>
    <s v="Earthworks"/>
    <s v="KS21-002"/>
    <x v="5"/>
    <n v="30.005597159000001"/>
    <n v="-25.827519839000001"/>
    <s v="30° 00' 20.14&quot;E "/>
    <s v="25° 49' 39.07&quot; S"/>
    <s v="Complete"/>
    <s v="Yes"/>
    <s v="Yes"/>
    <d v="2017-04-28T00:00:00"/>
    <s v="YES "/>
    <s v="NO"/>
    <s v="NBC-GTW-CL-0049"/>
    <s v="Yes"/>
    <s v="00"/>
    <d v="2018-06-16T00:00:00"/>
    <s v="Phase 1"/>
    <s v="Year 1"/>
    <n v="340"/>
    <n v="0"/>
    <n v="0"/>
    <n v="0"/>
    <n v="0"/>
    <n v="191.4"/>
    <n v="0"/>
    <n v="0"/>
    <n v="850"/>
    <n v="85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n v="1700"/>
    <n v="0"/>
    <n v="0"/>
    <n v="0"/>
    <n v="0"/>
    <n v="16269"/>
    <n v="0"/>
    <n v="0"/>
    <n v="4250"/>
    <n v="8500"/>
    <n v="0"/>
    <n v="0"/>
    <n v="0"/>
    <n v="0"/>
    <n v="0"/>
    <n v="0"/>
    <n v="0"/>
    <n v="0"/>
    <n v="0"/>
    <n v="0"/>
    <n v="0"/>
    <n v="0"/>
    <n v="0"/>
    <n v="0"/>
    <n v="0"/>
    <n v="0"/>
    <n v="0"/>
    <n v="0"/>
    <n v="0"/>
    <n v="0"/>
    <n v="0"/>
    <n v="0"/>
    <n v="0"/>
    <n v="0"/>
    <n v="0"/>
    <n v="0"/>
    <n v="0"/>
    <n v="0"/>
    <n v="0"/>
    <n v="0"/>
    <n v="0"/>
    <n v="0"/>
    <n v="0"/>
    <n v="0"/>
    <n v="0"/>
    <n v="0"/>
    <n v="0"/>
    <n v="0"/>
    <n v="0"/>
    <n v="0"/>
    <n v="0"/>
    <n v="0"/>
    <n v="0"/>
    <n v="0"/>
    <n v="0"/>
    <n v="0"/>
    <n v="0"/>
    <n v="0"/>
    <n v="30719"/>
    <n v="32562.140000000003"/>
    <s v=" "/>
    <s v=" "/>
    <s v=" "/>
    <s v=" "/>
    <s v=" "/>
    <s v=" "/>
    <s v=" "/>
    <s v=" "/>
    <s v=" "/>
    <s v=" "/>
    <s v=" "/>
    <s v=" "/>
    <s v=" "/>
    <s v=" "/>
    <x v="40"/>
    <x v="0"/>
    <x v="0"/>
    <x v="0"/>
    <x v="0"/>
    <x v="75"/>
    <x v="0"/>
    <x v="0"/>
    <x v="41"/>
    <x v="42"/>
    <x v="1"/>
    <x v="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21"/>
    <s v="Infilling of drain"/>
    <s v="Earthworks"/>
    <s v="KS21-004"/>
    <x v="5"/>
    <n v="30.005006688999998"/>
    <n v="-25.827464141"/>
    <s v="30° 00' 18.02&quot;E "/>
    <s v="25° 49' 38.87&quot; S"/>
    <s v="Complete"/>
    <s v="Yes"/>
    <s v="Yes"/>
    <d v="2017-04-28T00:00:00"/>
    <s v="NA"/>
    <s v="NA"/>
    <s v="No Drawing"/>
    <s v="Yes"/>
    <s v="00"/>
    <d v="2018-06-16T00:00:00"/>
    <s v="Phase 1"/>
    <s v="Year 1"/>
    <n v="112.30532212699565"/>
    <n v="0"/>
    <n v="0"/>
    <n v="0"/>
    <n v="0"/>
    <n v="0"/>
    <n v="0"/>
    <n v="0"/>
    <n v="111"/>
    <n v="111"/>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n v="561.52661063497828"/>
    <n v="0"/>
    <n v="0"/>
    <n v="0"/>
    <n v="0"/>
    <n v="0"/>
    <n v="0"/>
    <n v="0"/>
    <n v="555"/>
    <n v="1110"/>
    <n v="0"/>
    <n v="0"/>
    <n v="0"/>
    <n v="0"/>
    <n v="0"/>
    <n v="0"/>
    <n v="0"/>
    <n v="0"/>
    <n v="0"/>
    <n v="0"/>
    <n v="0"/>
    <n v="0"/>
    <n v="0"/>
    <n v="0"/>
    <n v="0"/>
    <n v="0"/>
    <n v="0"/>
    <n v="0"/>
    <n v="0"/>
    <n v="0"/>
    <n v="0"/>
    <n v="0"/>
    <n v="0"/>
    <n v="0"/>
    <n v="0"/>
    <n v="0"/>
    <n v="0"/>
    <n v="0"/>
    <n v="0"/>
    <n v="0"/>
    <n v="0"/>
    <n v="0"/>
    <n v="0"/>
    <n v="0"/>
    <n v="0"/>
    <n v="0"/>
    <n v="0"/>
    <n v="0"/>
    <n v="0"/>
    <n v="0"/>
    <n v="0"/>
    <n v="0"/>
    <n v="0"/>
    <n v="0"/>
    <n v="0"/>
    <n v="0"/>
    <n v="0"/>
    <n v="0"/>
    <n v="2226.5266106349782"/>
    <n v="2360.1182072730771"/>
    <s v=" "/>
    <s v=" "/>
    <s v=" "/>
    <s v=" "/>
    <s v=" "/>
    <s v=" "/>
    <s v=" "/>
    <s v=" "/>
    <s v=" "/>
    <s v=" "/>
    <s v=" "/>
    <s v=" "/>
    <s v=" "/>
    <s v=" "/>
    <x v="41"/>
    <x v="0"/>
    <x v="0"/>
    <x v="0"/>
    <x v="0"/>
    <x v="1"/>
    <x v="0"/>
    <x v="0"/>
    <x v="42"/>
    <x v="43"/>
    <x v="1"/>
    <x v="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21"/>
    <s v="Infilling of drain"/>
    <s v="Earthworks"/>
    <s v="KS21-008"/>
    <x v="5"/>
    <n v="30.002714326"/>
    <n v="-25.826893125000002"/>
    <s v="30° 00' 09.77&quot;E "/>
    <s v="25° 49' 36.81&quot; S"/>
    <s v="Complete"/>
    <s v="Yes"/>
    <s v="Yes"/>
    <d v="2017-04-28T00:00:00"/>
    <s v="NA"/>
    <s v="NA"/>
    <s v="No Drawing"/>
    <s v="Yes"/>
    <s v="00"/>
    <d v="2018-06-16T00:00:00"/>
    <s v="Phase 1"/>
    <s v="Year 1"/>
    <n v="110.10336213336291"/>
    <n v="0"/>
    <n v="0"/>
    <n v="0"/>
    <n v="0"/>
    <n v="0"/>
    <n v="0"/>
    <n v="0"/>
    <n v="129.19999999999999"/>
    <n v="129.19999999999999"/>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n v="550.51681066681454"/>
    <n v="0"/>
    <n v="0"/>
    <n v="0"/>
    <n v="0"/>
    <n v="0"/>
    <n v="0"/>
    <n v="0"/>
    <n v="646"/>
    <n v="1292"/>
    <n v="0"/>
    <n v="0"/>
    <n v="0"/>
    <n v="0"/>
    <n v="0"/>
    <n v="0"/>
    <n v="0"/>
    <n v="0"/>
    <n v="0"/>
    <n v="0"/>
    <n v="0"/>
    <n v="0"/>
    <n v="0"/>
    <n v="0"/>
    <n v="0"/>
    <n v="0"/>
    <n v="0"/>
    <n v="0"/>
    <n v="0"/>
    <n v="0"/>
    <n v="0"/>
    <n v="0"/>
    <n v="0"/>
    <n v="0"/>
    <n v="0"/>
    <n v="0"/>
    <n v="0"/>
    <n v="0"/>
    <n v="0"/>
    <n v="0"/>
    <n v="0"/>
    <n v="0"/>
    <n v="0"/>
    <n v="0"/>
    <n v="0"/>
    <n v="0"/>
    <n v="0"/>
    <n v="0"/>
    <n v="0"/>
    <n v="0"/>
    <n v="0"/>
    <n v="0"/>
    <n v="0"/>
    <n v="0"/>
    <n v="0"/>
    <n v="0"/>
    <n v="0"/>
    <n v="0"/>
    <n v="2488.5168106668143"/>
    <n v="2637.8278193068231"/>
    <s v=" "/>
    <s v=" "/>
    <s v=" "/>
    <s v=" "/>
    <s v=" "/>
    <s v=" "/>
    <s v=" "/>
    <s v=" "/>
    <s v=" "/>
    <s v=" "/>
    <s v=" "/>
    <s v=" "/>
    <s v=" "/>
    <s v=" "/>
    <x v="42"/>
    <x v="0"/>
    <x v="0"/>
    <x v="0"/>
    <x v="0"/>
    <x v="1"/>
    <x v="0"/>
    <x v="0"/>
    <x v="43"/>
    <x v="44"/>
    <x v="1"/>
    <x v="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LS08"/>
    <s v="Removal of Berm"/>
    <s v="Excavation"/>
    <s v="LS08_001"/>
    <x v="7"/>
    <n v="29.940713611"/>
    <n v="-25.809147778"/>
    <s v="29° 56' 26.56&quot;E "/>
    <s v="25° 48' 32.93&quot; S"/>
    <s v="Complete"/>
    <s v="Yes"/>
    <s v="Yes"/>
    <d v="2017-05-30T00:00:00"/>
    <s v="NA"/>
    <s v="NA"/>
    <s v="No Drawing"/>
    <s v="Yes"/>
    <s v="00"/>
    <d v="2018-06-16T00:00:00"/>
    <s v="Phase 2"/>
    <s v="Year 3"/>
    <n v="148.53277807866851"/>
    <n v="43.75"/>
    <n v="0"/>
    <n v="0"/>
    <n v="0"/>
    <n v="0"/>
    <n v="0"/>
    <n v="0"/>
    <n v="148.53277807866851"/>
    <n v="148.53277807866851"/>
    <n v="21.875"/>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n v="742.66389039334263"/>
    <n v="2187.5"/>
    <n v="0"/>
    <n v="0"/>
    <n v="0"/>
    <n v="0"/>
    <n v="0"/>
    <n v="0"/>
    <n v="742.66389039334263"/>
    <n v="1485.3277807866853"/>
    <n v="0"/>
    <n v="0"/>
    <n v="0"/>
    <n v="0"/>
    <n v="0"/>
    <n v="0"/>
    <n v="0"/>
    <n v="0"/>
    <n v="0"/>
    <n v="0"/>
    <n v="0"/>
    <n v="0"/>
    <n v="0"/>
    <n v="0"/>
    <n v="0"/>
    <n v="0"/>
    <n v="0"/>
    <n v="0"/>
    <n v="0"/>
    <n v="0"/>
    <n v="0"/>
    <n v="0"/>
    <n v="0"/>
    <n v="0"/>
    <n v="0"/>
    <n v="0"/>
    <n v="0"/>
    <n v="0"/>
    <n v="0"/>
    <n v="0"/>
    <n v="0"/>
    <n v="0"/>
    <n v="0"/>
    <n v="0"/>
    <n v="0"/>
    <n v="0"/>
    <n v="0"/>
    <n v="0"/>
    <n v="0"/>
    <n v="0"/>
    <n v="0"/>
    <n v="0"/>
    <n v="0"/>
    <n v="0"/>
    <n v="0"/>
    <n v="0"/>
    <n v="0"/>
    <n v="0"/>
    <n v="5158.1555615733705"/>
    <s v=" "/>
    <s v=" "/>
    <n v="6143.4458043228706"/>
    <s v=" "/>
    <s v=" "/>
    <s v=" "/>
    <s v=" "/>
    <s v=" "/>
    <s v=" "/>
    <s v=" "/>
    <s v=" "/>
    <s v=" "/>
    <s v=" "/>
    <s v=" "/>
    <s v=" "/>
    <x v="43"/>
    <x v="13"/>
    <x v="0"/>
    <x v="0"/>
    <x v="0"/>
    <x v="1"/>
    <x v="0"/>
    <x v="0"/>
    <x v="44"/>
    <x v="45"/>
    <x v="3"/>
    <x v="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LS12"/>
    <s v="Removal of Dam Wall"/>
    <s v="Excavation"/>
    <s v="LS12_001"/>
    <x v="7"/>
    <n v="29.942104722"/>
    <n v="-25.818853611000002"/>
    <s v="29° 56' 31.57&quot;E "/>
    <s v="25° 49' 07.87&quot; S"/>
    <s v="Complete"/>
    <s v="Yes"/>
    <s v="Yes"/>
    <d v="2017-05-31T00:00:00"/>
    <s v="NA"/>
    <s v="NA"/>
    <s v="No Drawing"/>
    <s v="Yes"/>
    <s v="00"/>
    <d v="2018-06-16T00:00:00"/>
    <s v="Phase 2"/>
    <s v="Year 3"/>
    <n v="2917.7039345374437"/>
    <n v="1696.4739999999999"/>
    <n v="0"/>
    <n v="0"/>
    <n v="0"/>
    <n v="0"/>
    <n v="0"/>
    <n v="0"/>
    <n v="2917.7039345374437"/>
    <n v="2917.7039345374437"/>
    <n v="848.23699999999997"/>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n v="14588.519672687218"/>
    <n v="84823.7"/>
    <n v="0"/>
    <n v="0"/>
    <n v="0"/>
    <n v="0"/>
    <n v="0"/>
    <n v="0"/>
    <n v="14588.519672687218"/>
    <n v="29177.039345374436"/>
    <n v="0"/>
    <n v="0"/>
    <n v="0"/>
    <n v="0"/>
    <n v="0"/>
    <n v="0"/>
    <n v="0"/>
    <n v="0"/>
    <n v="0"/>
    <n v="0"/>
    <n v="0"/>
    <n v="0"/>
    <n v="0"/>
    <n v="0"/>
    <n v="0"/>
    <n v="0"/>
    <n v="0"/>
    <n v="0"/>
    <n v="0"/>
    <n v="0"/>
    <n v="0"/>
    <n v="0"/>
    <n v="0"/>
    <n v="0"/>
    <n v="0"/>
    <n v="0"/>
    <n v="0"/>
    <n v="0"/>
    <n v="0"/>
    <n v="0"/>
    <n v="0"/>
    <n v="0"/>
    <n v="0"/>
    <n v="0"/>
    <n v="0"/>
    <n v="0"/>
    <n v="0"/>
    <n v="0"/>
    <n v="0"/>
    <n v="0"/>
    <n v="0"/>
    <n v="0"/>
    <n v="0"/>
    <n v="0"/>
    <n v="0"/>
    <n v="0"/>
    <n v="0"/>
    <n v="0"/>
    <n v="143177.77869074888"/>
    <s v=" "/>
    <s v=" "/>
    <n v="170527.02526514095"/>
    <s v=" "/>
    <s v=" "/>
    <s v=" "/>
    <s v=" "/>
    <s v=" "/>
    <s v=" "/>
    <s v=" "/>
    <s v=" "/>
    <s v=" "/>
    <s v=" "/>
    <s v=" "/>
    <s v=" "/>
    <x v="44"/>
    <x v="14"/>
    <x v="0"/>
    <x v="0"/>
    <x v="0"/>
    <x v="1"/>
    <x v="0"/>
    <x v="0"/>
    <x v="45"/>
    <x v="46"/>
    <x v="4"/>
    <x v="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LS12"/>
    <s v="Removal of Berm"/>
    <s v="Excavation"/>
    <s v="LS12_002"/>
    <x v="7"/>
    <n v="29.943088611"/>
    <n v="-25.818615277999999"/>
    <s v="29° 56' 35.11&quot;E "/>
    <s v="25° 49' 07.01&quot; S"/>
    <s v="Complete"/>
    <s v="Yes"/>
    <s v="Yes"/>
    <d v="2017-05-31T00:00:00"/>
    <s v="NA"/>
    <s v="NA"/>
    <s v="No Drawing"/>
    <s v="Yes"/>
    <s v="00"/>
    <d v="2018-06-16T00:00:00"/>
    <s v="Phase 2"/>
    <s v="Year 3"/>
    <n v="133.15811403466702"/>
    <n v="27.169999999999998"/>
    <n v="0"/>
    <n v="0"/>
    <n v="0"/>
    <n v="0"/>
    <n v="0"/>
    <n v="0"/>
    <n v="76"/>
    <n v="76"/>
    <n v="13.584999999999999"/>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n v="665.79057017333514"/>
    <n v="1358.5"/>
    <n v="0"/>
    <n v="0"/>
    <n v="0"/>
    <n v="0"/>
    <n v="0"/>
    <n v="0"/>
    <n v="380"/>
    <n v="760"/>
    <n v="0"/>
    <n v="0"/>
    <n v="0"/>
    <n v="0"/>
    <n v="0"/>
    <n v="0"/>
    <n v="0"/>
    <n v="0"/>
    <n v="0"/>
    <n v="0"/>
    <n v="0"/>
    <n v="0"/>
    <n v="0"/>
    <n v="0"/>
    <n v="0"/>
    <n v="0"/>
    <n v="0"/>
    <n v="0"/>
    <n v="0"/>
    <n v="0"/>
    <n v="0"/>
    <n v="0"/>
    <n v="0"/>
    <n v="0"/>
    <n v="0"/>
    <n v="0"/>
    <n v="0"/>
    <n v="0"/>
    <n v="0"/>
    <n v="0"/>
    <n v="0"/>
    <n v="0"/>
    <n v="0"/>
    <n v="0"/>
    <n v="0"/>
    <n v="0"/>
    <n v="0"/>
    <n v="0"/>
    <n v="0"/>
    <n v="0"/>
    <n v="0"/>
    <n v="0"/>
    <n v="0"/>
    <n v="0"/>
    <n v="0"/>
    <n v="0"/>
    <n v="0"/>
    <n v="0"/>
    <n v="3164.2905701733353"/>
    <s v=" "/>
    <s v=" "/>
    <n v="3768.7206977255655"/>
    <s v=" "/>
    <s v=" "/>
    <s v=" "/>
    <s v=" "/>
    <s v=" "/>
    <s v=" "/>
    <s v=" "/>
    <s v=" "/>
    <s v=" "/>
    <s v=" "/>
    <s v=" "/>
    <s v=" "/>
    <x v="45"/>
    <x v="15"/>
    <x v="0"/>
    <x v="0"/>
    <x v="0"/>
    <x v="1"/>
    <x v="0"/>
    <x v="0"/>
    <x v="46"/>
    <x v="47"/>
    <x v="5"/>
    <x v="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LS16"/>
    <s v="Concrete Cut-Off Walls"/>
    <s v="Concrete Cut-off Wall"/>
    <s v="LS16_001"/>
    <x v="8"/>
    <n v="29.949038055999999"/>
    <n v="-25.830849722"/>
    <s v="29° 56' 56.53&quot;E "/>
    <s v="25° 49' 51.05&quot; S"/>
    <s v="Complete"/>
    <s v="Yes"/>
    <s v="Yes"/>
    <d v="2017-02-08T00:00:00"/>
    <s v="YES "/>
    <m/>
    <s v="NBC-GTW-CL-0046"/>
    <s v="Yes"/>
    <s v="00"/>
    <d v="2018-06-16T00:00:00"/>
    <s v="Phase 2"/>
    <s v="Year 3"/>
    <n v="0"/>
    <n v="0"/>
    <n v="0"/>
    <n v="0"/>
    <n v="0"/>
    <n v="5.0399999999999991"/>
    <n v="0"/>
    <n v="0"/>
    <n v="0"/>
    <n v="0"/>
    <n v="0"/>
    <n v="0"/>
    <n v="5.0399999999999991"/>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m/>
    <m/>
    <m/>
    <m/>
    <m/>
    <m/>
    <m/>
    <m/>
    <m/>
    <m/>
    <m/>
    <m/>
    <n v="0"/>
    <n v="0"/>
    <n v="0"/>
    <n v="0"/>
    <n v="0"/>
    <n v="428.39999999999992"/>
    <n v="0"/>
    <n v="0"/>
    <n v="0"/>
    <n v="0"/>
    <n v="0"/>
    <n v="10079.999999999998"/>
    <n v="0"/>
    <n v="0"/>
    <n v="0"/>
    <n v="0"/>
    <n v="0"/>
    <n v="0"/>
    <n v="0"/>
    <n v="0"/>
    <n v="0"/>
    <n v="0"/>
    <n v="0"/>
    <n v="0"/>
    <n v="0"/>
    <n v="0"/>
    <n v="0"/>
    <n v="0"/>
    <n v="0"/>
    <n v="0"/>
    <n v="0"/>
    <n v="0"/>
    <n v="0"/>
    <n v="0"/>
    <n v="0"/>
    <n v="0"/>
    <n v="0"/>
    <n v="0"/>
    <n v="0"/>
    <n v="0"/>
    <n v="0"/>
    <n v="0"/>
    <n v="0"/>
    <n v="0"/>
    <n v="0"/>
    <n v="0"/>
    <n v="0"/>
    <n v="0"/>
    <n v="0"/>
    <n v="0"/>
    <n v="0"/>
    <n v="0"/>
    <n v="0"/>
    <n v="0"/>
    <n v="0"/>
    <n v="0"/>
    <n v="0"/>
    <n v="0"/>
    <n v="10508.399999999998"/>
    <s v=" "/>
    <s v=" "/>
    <n v="12515.672534399999"/>
    <s v=" "/>
    <s v=" "/>
    <s v=" "/>
    <s v=" "/>
    <s v=" "/>
    <s v=" "/>
    <s v=" "/>
    <s v=" "/>
    <s v=" "/>
    <s v=" "/>
    <s v=" "/>
    <s v=" "/>
    <x v="0"/>
    <x v="0"/>
    <x v="0"/>
    <x v="0"/>
    <x v="0"/>
    <x v="76"/>
    <x v="0"/>
    <x v="0"/>
    <x v="0"/>
    <x v="4"/>
    <x v="1"/>
    <x v="1"/>
    <x v="59"/>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LS16"/>
    <s v="Concrete Cut-Off Walls"/>
    <s v="Concrete Cut-off Wall"/>
    <s v="LS16_002"/>
    <x v="8"/>
    <n v="29.949395555999999"/>
    <n v="-25.830631110999999"/>
    <s v="29° 56' 57.82&quot;E "/>
    <s v="25° 49' 50.27&quot; S"/>
    <s v="Complete"/>
    <s v="Yes"/>
    <s v="Yes"/>
    <d v="2017-02-08T00:00:00"/>
    <s v="YES "/>
    <m/>
    <s v="NBC-GTW-CL-0046"/>
    <s v="Yes"/>
    <s v="00"/>
    <d v="2018-06-16T00:00:00"/>
    <s v="Phase 2"/>
    <s v="Year 3"/>
    <n v="0"/>
    <n v="0"/>
    <n v="0"/>
    <n v="0"/>
    <n v="0"/>
    <n v="4.8"/>
    <n v="0"/>
    <n v="0"/>
    <n v="0"/>
    <n v="0"/>
    <n v="0"/>
    <n v="0"/>
    <n v="4.8"/>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m/>
    <m/>
    <m/>
    <m/>
    <m/>
    <m/>
    <m/>
    <m/>
    <m/>
    <m/>
    <m/>
    <m/>
    <n v="0"/>
    <n v="0"/>
    <n v="0"/>
    <n v="0"/>
    <n v="0"/>
    <n v="408"/>
    <n v="0"/>
    <n v="0"/>
    <n v="0"/>
    <n v="0"/>
    <n v="0"/>
    <n v="9600"/>
    <n v="0"/>
    <n v="0"/>
    <n v="0"/>
    <n v="0"/>
    <n v="0"/>
    <n v="0"/>
    <n v="0"/>
    <n v="0"/>
    <n v="0"/>
    <n v="0"/>
    <n v="0"/>
    <n v="0"/>
    <n v="0"/>
    <n v="0"/>
    <n v="0"/>
    <n v="0"/>
    <n v="0"/>
    <n v="0"/>
    <n v="0"/>
    <n v="0"/>
    <n v="0"/>
    <n v="0"/>
    <n v="0"/>
    <n v="0"/>
    <n v="0"/>
    <n v="0"/>
    <n v="0"/>
    <n v="0"/>
    <n v="0"/>
    <n v="0"/>
    <n v="0"/>
    <n v="0"/>
    <n v="0"/>
    <n v="0"/>
    <n v="0"/>
    <n v="0"/>
    <n v="0"/>
    <n v="0"/>
    <n v="0"/>
    <n v="0"/>
    <n v="0"/>
    <n v="0"/>
    <n v="0"/>
    <n v="0"/>
    <n v="0"/>
    <n v="0"/>
    <n v="10008"/>
    <s v=" "/>
    <s v=" "/>
    <n v="11919.688128000003"/>
    <s v=" "/>
    <s v=" "/>
    <s v=" "/>
    <s v=" "/>
    <s v=" "/>
    <s v=" "/>
    <s v=" "/>
    <s v=" "/>
    <s v=" "/>
    <s v=" "/>
    <s v=" "/>
    <s v=" "/>
    <x v="0"/>
    <x v="0"/>
    <x v="0"/>
    <x v="0"/>
    <x v="0"/>
    <x v="77"/>
    <x v="0"/>
    <x v="0"/>
    <x v="0"/>
    <x v="4"/>
    <x v="1"/>
    <x v="1"/>
    <x v="6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LS16"/>
    <s v="Concrete Cut-Off Walls"/>
    <s v="Concrete Cut-off Wall"/>
    <s v="LS16_003"/>
    <x v="8"/>
    <n v="29.949776944"/>
    <n v="-25.830583055999998"/>
    <s v="29° 56' 59.19&quot;E "/>
    <s v="25° 49' 50.09&quot; S"/>
    <s v="Complete"/>
    <s v="Yes"/>
    <s v="Yes"/>
    <d v="2017-02-08T00:00:00"/>
    <s v="YES "/>
    <m/>
    <s v="NBC-GTW-CL-0046"/>
    <s v="Yes"/>
    <s v="00"/>
    <d v="2018-06-16T00:00:00"/>
    <s v="Phase 2"/>
    <s v="Year 3"/>
    <n v="0"/>
    <n v="0"/>
    <n v="0"/>
    <n v="0"/>
    <n v="0"/>
    <n v="2.1"/>
    <n v="0"/>
    <n v="0"/>
    <n v="0"/>
    <n v="0"/>
    <n v="0"/>
    <n v="0"/>
    <n v="2.1"/>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m/>
    <m/>
    <m/>
    <m/>
    <m/>
    <m/>
    <m/>
    <m/>
    <m/>
    <m/>
    <m/>
    <m/>
    <n v="0"/>
    <n v="0"/>
    <n v="0"/>
    <n v="0"/>
    <n v="0"/>
    <n v="178.5"/>
    <n v="0"/>
    <n v="0"/>
    <n v="0"/>
    <n v="0"/>
    <n v="0"/>
    <n v="4200"/>
    <n v="0"/>
    <n v="0"/>
    <n v="0"/>
    <n v="0"/>
    <n v="0"/>
    <n v="0"/>
    <n v="0"/>
    <n v="0"/>
    <n v="0"/>
    <n v="0"/>
    <n v="0"/>
    <n v="0"/>
    <n v="0"/>
    <n v="0"/>
    <n v="0"/>
    <n v="0"/>
    <n v="0"/>
    <n v="0"/>
    <n v="0"/>
    <n v="0"/>
    <n v="0"/>
    <n v="0"/>
    <n v="0"/>
    <n v="0"/>
    <n v="0"/>
    <n v="0"/>
    <n v="0"/>
    <n v="0"/>
    <n v="0"/>
    <n v="0"/>
    <n v="0"/>
    <n v="0"/>
    <n v="0"/>
    <n v="0"/>
    <n v="0"/>
    <n v="0"/>
    <n v="0"/>
    <n v="0"/>
    <n v="0"/>
    <n v="0"/>
    <n v="0"/>
    <n v="0"/>
    <n v="0"/>
    <n v="0"/>
    <n v="0"/>
    <n v="0"/>
    <n v="4378.5"/>
    <s v=" "/>
    <s v=" "/>
    <n v="5214.8635560000002"/>
    <s v=" "/>
    <s v=" "/>
    <s v=" "/>
    <s v=" "/>
    <s v=" "/>
    <s v=" "/>
    <s v=" "/>
    <s v=" "/>
    <s v=" "/>
    <s v=" "/>
    <s v=" "/>
    <s v=" "/>
    <x v="0"/>
    <x v="0"/>
    <x v="0"/>
    <x v="0"/>
    <x v="0"/>
    <x v="78"/>
    <x v="0"/>
    <x v="0"/>
    <x v="0"/>
    <x v="4"/>
    <x v="1"/>
    <x v="1"/>
    <x v="6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LS16"/>
    <s v="Concrete Cut-Off Walls"/>
    <s v="Concrete Cut-off Wall"/>
    <s v="LS16_004"/>
    <x v="8"/>
    <n v="29.949981111"/>
    <n v="-25.830569444000002"/>
    <s v="29° 56' 59.93&quot;E "/>
    <s v="25° 49' 50.04&quot; S"/>
    <s v="Complete"/>
    <s v="Yes"/>
    <s v="Yes"/>
    <d v="2017-02-08T00:00:00"/>
    <s v="YES "/>
    <m/>
    <s v="NBC-GTW-CL-0046"/>
    <s v="Yes"/>
    <s v="00"/>
    <d v="2018-06-16T00:00:00"/>
    <s v="Phase 2"/>
    <s v="Year 3"/>
    <n v="0"/>
    <n v="0"/>
    <n v="0"/>
    <n v="0"/>
    <n v="0"/>
    <n v="2.4"/>
    <n v="0"/>
    <n v="0"/>
    <n v="0"/>
    <n v="0"/>
    <n v="0"/>
    <n v="0"/>
    <n v="2.4"/>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m/>
    <m/>
    <m/>
    <m/>
    <m/>
    <m/>
    <m/>
    <m/>
    <m/>
    <m/>
    <m/>
    <m/>
    <n v="0"/>
    <n v="0"/>
    <n v="0"/>
    <n v="0"/>
    <n v="0"/>
    <n v="204"/>
    <n v="0"/>
    <n v="0"/>
    <n v="0"/>
    <n v="0"/>
    <n v="0"/>
    <n v="4800"/>
    <n v="0"/>
    <n v="0"/>
    <n v="0"/>
    <n v="0"/>
    <n v="0"/>
    <n v="0"/>
    <n v="0"/>
    <n v="0"/>
    <n v="0"/>
    <n v="0"/>
    <n v="0"/>
    <n v="0"/>
    <n v="0"/>
    <n v="0"/>
    <n v="0"/>
    <n v="0"/>
    <n v="0"/>
    <n v="0"/>
    <n v="0"/>
    <n v="0"/>
    <n v="0"/>
    <n v="0"/>
    <n v="0"/>
    <n v="0"/>
    <n v="0"/>
    <n v="0"/>
    <n v="0"/>
    <n v="0"/>
    <n v="0"/>
    <n v="0"/>
    <n v="0"/>
    <n v="0"/>
    <n v="0"/>
    <n v="0"/>
    <n v="0"/>
    <n v="0"/>
    <n v="0"/>
    <n v="0"/>
    <n v="0"/>
    <n v="0"/>
    <n v="0"/>
    <n v="0"/>
    <n v="0"/>
    <n v="0"/>
    <n v="0"/>
    <n v="0"/>
    <n v="5004"/>
    <s v=" "/>
    <s v=" "/>
    <n v="5959.8440640000017"/>
    <s v=" "/>
    <s v=" "/>
    <s v=" "/>
    <s v=" "/>
    <s v=" "/>
    <s v=" "/>
    <s v=" "/>
    <s v=" "/>
    <s v=" "/>
    <s v=" "/>
    <s v=" "/>
    <s v=" "/>
    <x v="0"/>
    <x v="0"/>
    <x v="0"/>
    <x v="0"/>
    <x v="0"/>
    <x v="79"/>
    <x v="0"/>
    <x v="0"/>
    <x v="0"/>
    <x v="4"/>
    <x v="1"/>
    <x v="1"/>
    <x v="62"/>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LS16"/>
    <s v="Concrete Cut-Off Walls"/>
    <s v="Concrete Cut-off Wall"/>
    <s v="LS16_005"/>
    <x v="8"/>
    <n v="29.950567222"/>
    <n v="-25.830575555999999"/>
    <s v="29° 57' 02.04&quot;E "/>
    <s v="25° 49' 50.07&quot; S"/>
    <s v="Complete"/>
    <s v="Yes"/>
    <s v="Yes"/>
    <d v="2017-02-08T00:00:00"/>
    <s v="YES "/>
    <m/>
    <s v="NBC-GTW-CL-0046"/>
    <s v="Yes"/>
    <s v="00"/>
    <d v="2018-06-16T00:00:00"/>
    <s v="Phase 2"/>
    <s v="Year 3"/>
    <n v="0"/>
    <n v="0"/>
    <n v="0"/>
    <n v="0"/>
    <n v="0"/>
    <n v="3.5999999999999996"/>
    <n v="0"/>
    <n v="0"/>
    <n v="0"/>
    <n v="0"/>
    <n v="0"/>
    <n v="0"/>
    <n v="3.5999999999999996"/>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m/>
    <m/>
    <m/>
    <m/>
    <m/>
    <m/>
    <m/>
    <m/>
    <m/>
    <m/>
    <m/>
    <m/>
    <n v="0"/>
    <n v="0"/>
    <n v="0"/>
    <n v="0"/>
    <n v="0"/>
    <n v="305.99999999999994"/>
    <n v="0"/>
    <n v="0"/>
    <n v="0"/>
    <n v="0"/>
    <n v="0"/>
    <n v="7199.9999999999991"/>
    <n v="0"/>
    <n v="0"/>
    <n v="0"/>
    <n v="0"/>
    <n v="0"/>
    <n v="0"/>
    <n v="0"/>
    <n v="0"/>
    <n v="0"/>
    <n v="0"/>
    <n v="0"/>
    <n v="0"/>
    <n v="0"/>
    <n v="0"/>
    <n v="0"/>
    <n v="0"/>
    <n v="0"/>
    <n v="0"/>
    <n v="0"/>
    <n v="0"/>
    <n v="0"/>
    <n v="0"/>
    <n v="0"/>
    <n v="0"/>
    <n v="0"/>
    <n v="0"/>
    <n v="0"/>
    <n v="0"/>
    <n v="0"/>
    <n v="0"/>
    <n v="0"/>
    <n v="0"/>
    <n v="0"/>
    <n v="0"/>
    <n v="0"/>
    <n v="0"/>
    <n v="0"/>
    <n v="0"/>
    <n v="0"/>
    <n v="0"/>
    <n v="0"/>
    <n v="0"/>
    <n v="0"/>
    <n v="0"/>
    <n v="0"/>
    <n v="0"/>
    <n v="7505.9999999999991"/>
    <s v=" "/>
    <s v=" "/>
    <n v="8939.7660959999994"/>
    <s v=" "/>
    <s v=" "/>
    <s v=" "/>
    <s v=" "/>
    <s v=" "/>
    <s v=" "/>
    <s v=" "/>
    <s v=" "/>
    <s v=" "/>
    <s v=" "/>
    <s v=" "/>
    <s v=" "/>
    <x v="0"/>
    <x v="0"/>
    <x v="0"/>
    <x v="0"/>
    <x v="0"/>
    <x v="80"/>
    <x v="0"/>
    <x v="0"/>
    <x v="0"/>
    <x v="4"/>
    <x v="1"/>
    <x v="1"/>
    <x v="63"/>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LS16"/>
    <s v="Concrete Cut-Off Walls"/>
    <s v="Concrete Cut-off Wall"/>
    <s v="LS16_006"/>
    <x v="8"/>
    <n v="29.949362222000001"/>
    <n v="-25.830436388999999"/>
    <s v="29° 56' 57.70&quot;E "/>
    <s v="25° 49' 49.57&quot; S"/>
    <s v="Complete"/>
    <s v="Yes"/>
    <s v="Yes"/>
    <d v="2017-02-08T00:00:00"/>
    <s v="YES "/>
    <m/>
    <s v="NBC-GTW-CL-0046"/>
    <s v="Yes"/>
    <s v="00"/>
    <d v="2018-06-16T00:00:00"/>
    <s v="Phase 2"/>
    <s v="Year 3"/>
    <n v="0"/>
    <n v="0"/>
    <n v="0"/>
    <n v="0"/>
    <n v="0"/>
    <n v="6.48"/>
    <n v="0"/>
    <n v="0"/>
    <n v="0"/>
    <n v="0"/>
    <n v="0"/>
    <n v="0"/>
    <n v="6.48"/>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m/>
    <m/>
    <m/>
    <m/>
    <m/>
    <m/>
    <m/>
    <m/>
    <m/>
    <m/>
    <m/>
    <m/>
    <n v="0"/>
    <n v="0"/>
    <n v="0"/>
    <n v="0"/>
    <n v="0"/>
    <n v="550.80000000000007"/>
    <n v="0"/>
    <n v="0"/>
    <n v="0"/>
    <n v="0"/>
    <n v="0"/>
    <n v="12960"/>
    <n v="0"/>
    <n v="0"/>
    <n v="0"/>
    <n v="0"/>
    <n v="0"/>
    <n v="0"/>
    <n v="0"/>
    <n v="0"/>
    <n v="0"/>
    <n v="0"/>
    <n v="0"/>
    <n v="0"/>
    <n v="0"/>
    <n v="0"/>
    <n v="0"/>
    <n v="0"/>
    <n v="0"/>
    <n v="0"/>
    <n v="0"/>
    <n v="0"/>
    <n v="0"/>
    <n v="0"/>
    <n v="0"/>
    <n v="0"/>
    <n v="0"/>
    <n v="0"/>
    <n v="0"/>
    <n v="0"/>
    <n v="0"/>
    <n v="0"/>
    <n v="0"/>
    <n v="0"/>
    <n v="0"/>
    <n v="0"/>
    <n v="0"/>
    <n v="0"/>
    <n v="0"/>
    <n v="0"/>
    <n v="0"/>
    <n v="0"/>
    <n v="0"/>
    <n v="0"/>
    <n v="0"/>
    <n v="0"/>
    <n v="0"/>
    <n v="0"/>
    <n v="13510.8"/>
    <s v=" "/>
    <s v=" "/>
    <n v="16091.578972800004"/>
    <s v=" "/>
    <s v=" "/>
    <s v=" "/>
    <s v=" "/>
    <s v=" "/>
    <s v=" "/>
    <s v=" "/>
    <s v=" "/>
    <s v=" "/>
    <s v=" "/>
    <s v=" "/>
    <s v=" "/>
    <x v="0"/>
    <x v="0"/>
    <x v="0"/>
    <x v="0"/>
    <x v="0"/>
    <x v="81"/>
    <x v="0"/>
    <x v="0"/>
    <x v="0"/>
    <x v="4"/>
    <x v="1"/>
    <x v="1"/>
    <x v="64"/>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LS16"/>
    <s v="Concrete Cut-Off Walls"/>
    <s v="Concrete Cut-off Wall"/>
    <s v="LS16_007"/>
    <x v="8"/>
    <n v="29.949496110999998"/>
    <n v="-25.830259000000002"/>
    <s v="29° 56' 58.18&quot;E "/>
    <s v="25° 49' 48.93&quot; S"/>
    <s v="Complete"/>
    <s v="Yes"/>
    <s v="Yes"/>
    <d v="2017-02-08T00:00:00"/>
    <s v="YES "/>
    <m/>
    <s v="NBC-GTW-CL-0046"/>
    <s v="Yes"/>
    <s v="00"/>
    <d v="2018-06-16T00:00:00"/>
    <s v="Phase 2"/>
    <s v="Year 3"/>
    <n v="0"/>
    <n v="0"/>
    <n v="0"/>
    <n v="0"/>
    <n v="0"/>
    <n v="5.94"/>
    <n v="0"/>
    <n v="0"/>
    <n v="0"/>
    <n v="0"/>
    <n v="0"/>
    <n v="0"/>
    <n v="5.94"/>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m/>
    <m/>
    <m/>
    <m/>
    <m/>
    <m/>
    <m/>
    <m/>
    <m/>
    <m/>
    <m/>
    <m/>
    <n v="0"/>
    <n v="0"/>
    <n v="0"/>
    <n v="0"/>
    <n v="0"/>
    <n v="504.90000000000003"/>
    <n v="0"/>
    <n v="0"/>
    <n v="0"/>
    <n v="0"/>
    <n v="0"/>
    <n v="11880"/>
    <n v="0"/>
    <n v="0"/>
    <n v="0"/>
    <n v="0"/>
    <n v="0"/>
    <n v="0"/>
    <n v="0"/>
    <n v="0"/>
    <n v="0"/>
    <n v="0"/>
    <n v="0"/>
    <n v="0"/>
    <n v="0"/>
    <n v="0"/>
    <n v="0"/>
    <n v="0"/>
    <n v="0"/>
    <n v="0"/>
    <n v="0"/>
    <n v="0"/>
    <n v="0"/>
    <n v="0"/>
    <n v="0"/>
    <n v="0"/>
    <n v="0"/>
    <n v="0"/>
    <n v="0"/>
    <n v="0"/>
    <n v="0"/>
    <n v="0"/>
    <n v="0"/>
    <n v="0"/>
    <n v="0"/>
    <n v="0"/>
    <n v="0"/>
    <n v="0"/>
    <n v="0"/>
    <n v="0"/>
    <n v="0"/>
    <n v="0"/>
    <n v="0"/>
    <n v="0"/>
    <n v="0"/>
    <n v="0"/>
    <n v="0"/>
    <n v="0"/>
    <n v="12384.9"/>
    <s v=" "/>
    <s v=" "/>
    <n v="14750.614058400002"/>
    <s v=" "/>
    <s v=" "/>
    <s v=" "/>
    <s v=" "/>
    <s v=" "/>
    <s v=" "/>
    <s v=" "/>
    <s v=" "/>
    <s v=" "/>
    <s v=" "/>
    <s v=" "/>
    <s v=" "/>
    <x v="0"/>
    <x v="0"/>
    <x v="0"/>
    <x v="0"/>
    <x v="0"/>
    <x v="82"/>
    <x v="0"/>
    <x v="0"/>
    <x v="0"/>
    <x v="4"/>
    <x v="1"/>
    <x v="1"/>
    <x v="65"/>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LS16"/>
    <s v="Concrete Cut-Off Walls"/>
    <s v="Concrete Cut-off Wall"/>
    <s v="LS16_008"/>
    <x v="8"/>
    <n v="29.949641667000002"/>
    <n v="-25.830011667000001"/>
    <s v="29° 56' 58.71&quot;E "/>
    <s v="25° 49' 48.04&quot; S"/>
    <s v="Complete"/>
    <s v="Yes"/>
    <s v="Yes"/>
    <d v="2017-02-08T00:00:00"/>
    <s v="YES "/>
    <m/>
    <s v="NBC-GTW-CL-0046"/>
    <s v="Yes"/>
    <s v="00"/>
    <d v="2018-06-16T00:00:00"/>
    <s v="Phase 2"/>
    <s v="Year 3"/>
    <n v="0"/>
    <n v="0"/>
    <n v="0"/>
    <n v="0"/>
    <n v="0"/>
    <n v="4.1325000000000003"/>
    <n v="0"/>
    <n v="0"/>
    <n v="0"/>
    <n v="0"/>
    <n v="0"/>
    <n v="0"/>
    <n v="4.1325000000000003"/>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m/>
    <m/>
    <m/>
    <m/>
    <m/>
    <m/>
    <m/>
    <m/>
    <m/>
    <m/>
    <m/>
    <m/>
    <n v="0"/>
    <n v="0"/>
    <n v="0"/>
    <n v="0"/>
    <n v="0"/>
    <n v="351.26250000000005"/>
    <n v="0"/>
    <n v="0"/>
    <n v="0"/>
    <n v="0"/>
    <n v="0"/>
    <n v="8265"/>
    <n v="0"/>
    <n v="0"/>
    <n v="0"/>
    <n v="0"/>
    <n v="0"/>
    <n v="0"/>
    <n v="0"/>
    <n v="0"/>
    <n v="0"/>
    <n v="0"/>
    <n v="0"/>
    <n v="0"/>
    <n v="0"/>
    <n v="0"/>
    <n v="0"/>
    <n v="0"/>
    <n v="0"/>
    <n v="0"/>
    <n v="0"/>
    <n v="0"/>
    <n v="0"/>
    <n v="0"/>
    <n v="0"/>
    <n v="0"/>
    <n v="0"/>
    <n v="0"/>
    <n v="0"/>
    <n v="0"/>
    <n v="0"/>
    <n v="0"/>
    <n v="0"/>
    <n v="0"/>
    <n v="0"/>
    <n v="0"/>
    <n v="0"/>
    <n v="0"/>
    <n v="0"/>
    <n v="0"/>
    <n v="0"/>
    <n v="0"/>
    <n v="0"/>
    <n v="0"/>
    <n v="0"/>
    <n v="0"/>
    <n v="0"/>
    <n v="0"/>
    <n v="8616.2625000000007"/>
    <s v=" "/>
    <s v=" "/>
    <n v="10262.106497700001"/>
    <s v=" "/>
    <s v=" "/>
    <s v=" "/>
    <s v=" "/>
    <s v=" "/>
    <s v=" "/>
    <s v=" "/>
    <s v=" "/>
    <s v=" "/>
    <s v=" "/>
    <s v=" "/>
    <s v=" "/>
    <x v="0"/>
    <x v="0"/>
    <x v="0"/>
    <x v="0"/>
    <x v="0"/>
    <x v="83"/>
    <x v="0"/>
    <x v="0"/>
    <x v="0"/>
    <x v="4"/>
    <x v="1"/>
    <x v="1"/>
    <x v="66"/>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LS16"/>
    <s v="Concrete Cut-Off Walls"/>
    <s v="Concrete Cut-off Wall"/>
    <s v="LS16_009"/>
    <x v="8"/>
    <n v="29.949866944"/>
    <n v="-25.829684722"/>
    <s v="29° 56' 59.52&quot;E "/>
    <s v="25° 49' 46.86&quot; S"/>
    <s v="Complete"/>
    <s v="Yes"/>
    <s v="Yes"/>
    <d v="2017-02-08T00:00:00"/>
    <s v="YES "/>
    <m/>
    <s v="NBC-GTW-CL-0046"/>
    <s v="Yes"/>
    <s v="00"/>
    <d v="2018-06-16T00:00:00"/>
    <s v="Phase 2"/>
    <s v="Year 3"/>
    <n v="0"/>
    <n v="0"/>
    <n v="0"/>
    <n v="0"/>
    <n v="0"/>
    <n v="4.3499999999999996"/>
    <n v="0"/>
    <n v="0"/>
    <n v="0"/>
    <n v="0"/>
    <n v="0"/>
    <n v="0"/>
    <n v="4.3499999999999996"/>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m/>
    <m/>
    <m/>
    <m/>
    <m/>
    <m/>
    <m/>
    <m/>
    <m/>
    <m/>
    <m/>
    <m/>
    <n v="0"/>
    <n v="0"/>
    <n v="0"/>
    <n v="0"/>
    <n v="0"/>
    <n v="369.74999999999994"/>
    <n v="0"/>
    <n v="0"/>
    <n v="0"/>
    <n v="0"/>
    <n v="0"/>
    <n v="8700"/>
    <n v="0"/>
    <n v="0"/>
    <n v="0"/>
    <n v="0"/>
    <n v="0"/>
    <n v="0"/>
    <n v="0"/>
    <n v="0"/>
    <n v="0"/>
    <n v="0"/>
    <n v="0"/>
    <n v="0"/>
    <n v="0"/>
    <n v="0"/>
    <n v="0"/>
    <n v="0"/>
    <n v="0"/>
    <n v="0"/>
    <n v="0"/>
    <n v="0"/>
    <n v="0"/>
    <n v="0"/>
    <n v="0"/>
    <n v="0"/>
    <n v="0"/>
    <n v="0"/>
    <n v="0"/>
    <n v="0"/>
    <n v="0"/>
    <n v="0"/>
    <n v="0"/>
    <n v="0"/>
    <n v="0"/>
    <n v="0"/>
    <n v="0"/>
    <n v="0"/>
    <n v="0"/>
    <n v="0"/>
    <n v="0"/>
    <n v="0"/>
    <n v="0"/>
    <n v="0"/>
    <n v="0"/>
    <n v="0"/>
    <n v="0"/>
    <n v="0"/>
    <n v="9069.75"/>
    <s v=" "/>
    <s v=" "/>
    <n v="10802.217366000003"/>
    <s v=" "/>
    <s v=" "/>
    <s v=" "/>
    <s v=" "/>
    <s v=" "/>
    <s v=" "/>
    <s v=" "/>
    <s v=" "/>
    <s v=" "/>
    <s v=" "/>
    <s v=" "/>
    <s v=" "/>
    <x v="0"/>
    <x v="0"/>
    <x v="0"/>
    <x v="0"/>
    <x v="0"/>
    <x v="84"/>
    <x v="0"/>
    <x v="0"/>
    <x v="0"/>
    <x v="4"/>
    <x v="1"/>
    <x v="1"/>
    <x v="67"/>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LS16"/>
    <s v="Concrete Cut-Off Walls"/>
    <s v="Concrete Cut-off Wall"/>
    <s v="LS16_010"/>
    <x v="8"/>
    <n v="29.950084722"/>
    <n v="-25.829402221999999"/>
    <s v="29° 57' 00.30&quot;E "/>
    <s v="25° 49' 45.84&quot; S"/>
    <s v="Complete"/>
    <s v="Yes"/>
    <s v="Yes"/>
    <d v="2017-02-08T00:00:00"/>
    <s v="YES "/>
    <m/>
    <s v="NBC-GTW-CL-0046"/>
    <s v="Yes"/>
    <s v="00"/>
    <d v="2018-06-16T00:00:00"/>
    <s v="Phase 2"/>
    <s v="Year 3"/>
    <n v="0"/>
    <n v="0"/>
    <n v="0"/>
    <n v="0"/>
    <n v="0"/>
    <n v="5.0999999999999996"/>
    <n v="0"/>
    <n v="0"/>
    <n v="0"/>
    <n v="0"/>
    <n v="0"/>
    <n v="0"/>
    <n v="5.0999999999999996"/>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m/>
    <m/>
    <m/>
    <m/>
    <m/>
    <m/>
    <m/>
    <m/>
    <m/>
    <m/>
    <m/>
    <m/>
    <n v="0"/>
    <n v="0"/>
    <n v="0"/>
    <n v="0"/>
    <n v="0"/>
    <n v="433.49999999999994"/>
    <n v="0"/>
    <n v="0"/>
    <n v="0"/>
    <n v="0"/>
    <n v="0"/>
    <n v="10200"/>
    <n v="0"/>
    <n v="0"/>
    <n v="0"/>
    <n v="0"/>
    <n v="0"/>
    <n v="0"/>
    <n v="0"/>
    <n v="0"/>
    <n v="0"/>
    <n v="0"/>
    <n v="0"/>
    <n v="0"/>
    <n v="0"/>
    <n v="0"/>
    <n v="0"/>
    <n v="0"/>
    <n v="0"/>
    <n v="0"/>
    <n v="0"/>
    <n v="0"/>
    <n v="0"/>
    <n v="0"/>
    <n v="0"/>
    <n v="0"/>
    <n v="0"/>
    <n v="0"/>
    <n v="0"/>
    <n v="0"/>
    <n v="0"/>
    <n v="0"/>
    <n v="0"/>
    <n v="0"/>
    <n v="0"/>
    <n v="0"/>
    <n v="0"/>
    <n v="0"/>
    <n v="0"/>
    <n v="0"/>
    <n v="0"/>
    <n v="0"/>
    <n v="0"/>
    <n v="0"/>
    <n v="0"/>
    <n v="0"/>
    <n v="0"/>
    <n v="0"/>
    <n v="10633.5"/>
    <s v=" "/>
    <s v=" "/>
    <n v="12664.668636"/>
    <s v=" "/>
    <s v=" "/>
    <s v=" "/>
    <s v=" "/>
    <s v=" "/>
    <s v=" "/>
    <s v=" "/>
    <s v=" "/>
    <s v=" "/>
    <s v=" "/>
    <s v=" "/>
    <s v=" "/>
    <x v="0"/>
    <x v="0"/>
    <x v="0"/>
    <x v="0"/>
    <x v="0"/>
    <x v="85"/>
    <x v="0"/>
    <x v="0"/>
    <x v="0"/>
    <x v="4"/>
    <x v="1"/>
    <x v="1"/>
    <x v="68"/>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LS16"/>
    <s v="Concrete Cut-Off Walls"/>
    <s v="Concrete Cut-off Wall"/>
    <s v="LS16_011"/>
    <x v="8"/>
    <n v="29.950328611"/>
    <n v="-25.829112500000001"/>
    <s v="29° 57' 01.18&quot;E "/>
    <s v="25° 49' 44.80&quot; S"/>
    <s v="Complete"/>
    <s v="Yes"/>
    <s v="Yes"/>
    <d v="2017-02-08T00:00:00"/>
    <s v="YES "/>
    <m/>
    <s v="NBC-GTW-CL-0046"/>
    <s v="Yes"/>
    <s v="00"/>
    <d v="2018-06-16T00:00:00"/>
    <s v="Phase 2"/>
    <s v="Year 3"/>
    <n v="0"/>
    <n v="0"/>
    <n v="0"/>
    <n v="0"/>
    <n v="0"/>
    <n v="3.3"/>
    <n v="0"/>
    <n v="0"/>
    <n v="0"/>
    <n v="0"/>
    <n v="0"/>
    <n v="0"/>
    <n v="3.3"/>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m/>
    <m/>
    <m/>
    <m/>
    <m/>
    <m/>
    <m/>
    <m/>
    <m/>
    <m/>
    <m/>
    <m/>
    <n v="0"/>
    <n v="0"/>
    <n v="0"/>
    <n v="0"/>
    <n v="0"/>
    <n v="280.5"/>
    <n v="0"/>
    <n v="0"/>
    <n v="0"/>
    <n v="0"/>
    <n v="0"/>
    <n v="6600"/>
    <n v="0"/>
    <n v="0"/>
    <n v="0"/>
    <n v="0"/>
    <n v="0"/>
    <n v="0"/>
    <n v="0"/>
    <n v="0"/>
    <n v="0"/>
    <n v="0"/>
    <n v="0"/>
    <n v="0"/>
    <n v="0"/>
    <n v="0"/>
    <n v="0"/>
    <n v="0"/>
    <n v="0"/>
    <n v="0"/>
    <n v="0"/>
    <n v="0"/>
    <n v="0"/>
    <n v="0"/>
    <n v="0"/>
    <n v="0"/>
    <n v="0"/>
    <n v="0"/>
    <n v="0"/>
    <n v="0"/>
    <n v="0"/>
    <n v="0"/>
    <n v="0"/>
    <n v="0"/>
    <n v="0"/>
    <n v="0"/>
    <n v="0"/>
    <n v="0"/>
    <n v="0"/>
    <n v="0"/>
    <n v="0"/>
    <n v="0"/>
    <n v="0"/>
    <n v="0"/>
    <n v="0"/>
    <n v="0"/>
    <n v="0"/>
    <n v="0"/>
    <n v="6880.5"/>
    <s v=" "/>
    <s v=" "/>
    <n v="8194.7855880000006"/>
    <s v=" "/>
    <s v=" "/>
    <s v=" "/>
    <s v=" "/>
    <s v=" "/>
    <s v=" "/>
    <s v=" "/>
    <s v=" "/>
    <s v=" "/>
    <s v=" "/>
    <s v=" "/>
    <s v=" "/>
    <x v="0"/>
    <x v="0"/>
    <x v="0"/>
    <x v="0"/>
    <x v="0"/>
    <x v="86"/>
    <x v="0"/>
    <x v="0"/>
    <x v="0"/>
    <x v="4"/>
    <x v="1"/>
    <x v="1"/>
    <x v="69"/>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LS16"/>
    <s v="Removal of Road"/>
    <s v="Excavation"/>
    <s v="LS16_012"/>
    <x v="7"/>
    <n v="29.950989444000001"/>
    <n v="-25.827819999999999"/>
    <s v="29° 57' 03.56&quot;E "/>
    <s v="25° 49' 40.15&quot; S"/>
    <s v="Complete"/>
    <s v="Yes"/>
    <s v="Yes"/>
    <d v="2017-05-31T00:00:00"/>
    <s v="NA"/>
    <s v="NA"/>
    <s v="No Drawing"/>
    <s v="Yes"/>
    <s v="00"/>
    <d v="2018-06-16T00:00:00"/>
    <s v="Phase 2"/>
    <s v="Year 3"/>
    <n v="0"/>
    <n v="161.54999999999998"/>
    <n v="0"/>
    <n v="0"/>
    <n v="0"/>
    <n v="0"/>
    <n v="0"/>
    <n v="0"/>
    <n v="360"/>
    <n v="360"/>
    <n v="80.774999999999991"/>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n v="0"/>
    <n v="8077.4999999999991"/>
    <n v="0"/>
    <n v="0"/>
    <n v="0"/>
    <n v="0"/>
    <n v="0"/>
    <n v="0"/>
    <n v="1800"/>
    <n v="3600"/>
    <n v="0"/>
    <n v="0"/>
    <n v="0"/>
    <n v="0"/>
    <n v="0"/>
    <n v="0"/>
    <n v="0"/>
    <n v="0"/>
    <n v="0"/>
    <n v="0"/>
    <n v="0"/>
    <n v="0"/>
    <n v="0"/>
    <n v="0"/>
    <n v="0"/>
    <n v="0"/>
    <n v="0"/>
    <n v="0"/>
    <n v="0"/>
    <n v="0"/>
    <n v="0"/>
    <n v="0"/>
    <n v="0"/>
    <n v="0"/>
    <n v="0"/>
    <n v="0"/>
    <n v="0"/>
    <n v="0"/>
    <n v="0"/>
    <n v="0"/>
    <n v="0"/>
    <n v="0"/>
    <n v="0"/>
    <n v="0"/>
    <n v="0"/>
    <n v="0"/>
    <n v="0"/>
    <n v="0"/>
    <n v="0"/>
    <n v="0"/>
    <n v="0"/>
    <n v="0"/>
    <n v="0"/>
    <n v="0"/>
    <n v="0"/>
    <n v="0"/>
    <n v="0"/>
    <n v="0"/>
    <n v="13477.5"/>
    <s v=" "/>
    <s v=" "/>
    <n v="16051.918140000003"/>
    <s v=" "/>
    <s v=" "/>
    <s v=" "/>
    <s v=" "/>
    <s v=" "/>
    <s v=" "/>
    <s v=" "/>
    <s v=" "/>
    <s v=" "/>
    <s v=" "/>
    <s v=" "/>
    <s v=" "/>
    <x v="0"/>
    <x v="16"/>
    <x v="0"/>
    <x v="0"/>
    <x v="0"/>
    <x v="1"/>
    <x v="0"/>
    <x v="0"/>
    <x v="47"/>
    <x v="48"/>
    <x v="6"/>
    <x v="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LS16"/>
    <s v="Gabion energy breaker"/>
    <s v="Gabions"/>
    <s v="LS16_013"/>
    <x v="7"/>
    <n v="29.951478889000001"/>
    <n v="-25.827539999999999"/>
    <s v="29° 57' 05.32&quot;E "/>
    <s v="25° 49' 39.14&quot; S"/>
    <s v="YES"/>
    <s v="Yes"/>
    <s v="Yes"/>
    <d v="2017-01-31T00:00:00"/>
    <s v="YES "/>
    <s v="NO"/>
    <s v="NBC-GTW-CL-0059"/>
    <s v="Yes"/>
    <s v="00"/>
    <d v="2018-06-16T00:00:00"/>
    <s v="Phase 2"/>
    <s v="Year 3"/>
    <m/>
    <m/>
    <m/>
    <m/>
    <m/>
    <n v="13.68"/>
    <m/>
    <m/>
    <m/>
    <m/>
    <n v="13.68"/>
    <m/>
    <m/>
    <m/>
    <m/>
    <m/>
    <m/>
    <m/>
    <m/>
    <m/>
    <m/>
    <m/>
    <m/>
    <m/>
    <m/>
    <m/>
    <m/>
    <m/>
    <m/>
    <m/>
    <m/>
    <m/>
    <m/>
    <m/>
    <m/>
    <m/>
    <m/>
    <n v="1"/>
    <n v="0"/>
    <n v="0"/>
    <n v="9"/>
    <n v="0"/>
    <n v="0"/>
    <n v="0"/>
    <n v="4.5"/>
    <n v="0"/>
    <n v="0"/>
    <n v="0"/>
    <n v="0"/>
    <n v="0"/>
    <n v="0"/>
    <n v="0"/>
    <n v="0"/>
    <n v="0"/>
    <m/>
    <n v="44.900000000000006"/>
    <m/>
    <m/>
    <m/>
    <m/>
    <m/>
    <m/>
    <m/>
    <m/>
    <m/>
    <m/>
    <m/>
    <m/>
    <m/>
    <m/>
    <m/>
    <m/>
    <m/>
    <m/>
    <m/>
    <m/>
    <m/>
    <m/>
    <m/>
    <m/>
    <m/>
    <m/>
    <m/>
    <m/>
    <m/>
    <m/>
    <m/>
    <m/>
    <m/>
    <m/>
    <m/>
    <m/>
    <m/>
    <m/>
    <m/>
    <n v="0"/>
    <n v="0"/>
    <n v="0"/>
    <n v="0"/>
    <n v="0"/>
    <n v="1162.8"/>
    <n v="0"/>
    <n v="0"/>
    <n v="0"/>
    <n v="0"/>
    <n v="0"/>
    <n v="0"/>
    <n v="0"/>
    <n v="0"/>
    <n v="0"/>
    <n v="0"/>
    <n v="0"/>
    <n v="0"/>
    <n v="0"/>
    <n v="0"/>
    <n v="0"/>
    <n v="0"/>
    <n v="23700"/>
    <n v="0"/>
    <n v="1257.2000000000003"/>
    <n v="0"/>
    <n v="0"/>
    <n v="0"/>
    <n v="0"/>
    <n v="0"/>
    <n v="0"/>
    <n v="0"/>
    <n v="0"/>
    <n v="0"/>
    <n v="0"/>
    <n v="0"/>
    <n v="0"/>
    <n v="0"/>
    <n v="0"/>
    <n v="0"/>
    <n v="0"/>
    <n v="0"/>
    <n v="0"/>
    <n v="0"/>
    <n v="0"/>
    <n v="0"/>
    <n v="0"/>
    <n v="0"/>
    <n v="0"/>
    <n v="0"/>
    <n v="0"/>
    <n v="0"/>
    <n v="0"/>
    <n v="0"/>
    <n v="0"/>
    <n v="0"/>
    <n v="0"/>
    <n v="0"/>
    <n v="26120"/>
    <s v=" "/>
    <s v=" "/>
    <n v="31109.337920000002"/>
    <s v=" "/>
    <s v=" "/>
    <s v=" "/>
    <s v=" "/>
    <s v=" "/>
    <s v=" "/>
    <s v=" "/>
    <s v=" "/>
    <s v=" "/>
    <s v=" "/>
    <s v=" "/>
    <s v=" "/>
    <x v="0"/>
    <x v="0"/>
    <x v="0"/>
    <x v="0"/>
    <x v="0"/>
    <x v="87"/>
    <x v="0"/>
    <x v="0"/>
    <x v="0"/>
    <x v="4"/>
    <x v="7"/>
    <x v="1"/>
    <x v="0"/>
    <x v="0"/>
    <x v="0"/>
    <x v="0"/>
    <x v="0"/>
    <x v="0"/>
    <x v="0"/>
    <x v="0"/>
    <x v="0"/>
    <x v="0"/>
    <x v="0"/>
    <x v="0"/>
    <x v="0"/>
    <x v="0"/>
    <x v="0"/>
    <x v="0"/>
    <x v="0"/>
    <x v="0"/>
    <x v="0"/>
    <x v="0"/>
    <x v="0"/>
    <x v="0"/>
    <x v="0"/>
    <x v="1"/>
    <x v="0"/>
    <x v="0"/>
    <x v="1"/>
    <x v="0"/>
    <x v="0"/>
    <x v="0"/>
    <x v="1"/>
    <x v="0"/>
    <x v="0"/>
    <x v="0"/>
    <x v="0"/>
    <x v="0"/>
    <x v="0"/>
    <x v="0"/>
    <x v="0"/>
    <x v="0"/>
    <x v="0"/>
    <x v="3"/>
    <x v="0"/>
    <x v="0"/>
    <x v="0"/>
    <x v="0"/>
    <x v="0"/>
    <x v="0"/>
    <x v="0"/>
    <x v="0"/>
    <x v="0"/>
    <x v="0"/>
    <x v="0"/>
    <x v="0"/>
    <x v="0"/>
    <x v="0"/>
    <x v="0"/>
    <x v="0"/>
    <x v="0"/>
    <x v="0"/>
    <x v="0"/>
    <x v="0"/>
    <x v="0"/>
    <x v="0"/>
    <x v="0"/>
    <x v="0"/>
    <x v="0"/>
    <x v="0"/>
    <x v="0"/>
    <x v="0"/>
    <x v="0"/>
    <x v="0"/>
    <x v="0"/>
    <x v="0"/>
    <x v="0"/>
    <x v="0"/>
    <x v="0"/>
    <x v="0"/>
    <x v="0"/>
    <x v="0"/>
    <x v="0"/>
  </r>
  <r>
    <s v="LS16"/>
    <s v="Ecologs"/>
    <s v="Ecologs"/>
    <s v="LS16_014"/>
    <x v="7"/>
    <n v="29.951548611"/>
    <n v="-25.827376666999999"/>
    <s v="29° 57' 05.57&quot;E "/>
    <s v="25° 49' 38.55&quot; S"/>
    <s v="Complete"/>
    <s v="Yes"/>
    <s v="Yes"/>
    <d v="2017-04-28T00:00:00"/>
    <s v="YES "/>
    <m/>
    <s v="NBC-GTW-CL-0058"/>
    <s v="Yes"/>
    <s v="00"/>
    <d v="2018-06-16T00:00:00"/>
    <s v="Phase 2"/>
    <s v="Year 3"/>
    <n v="0"/>
    <n v="0"/>
    <n v="0"/>
    <n v="0"/>
    <n v="0"/>
    <n v="1.6199999999999999"/>
    <n v="0"/>
    <n v="0"/>
    <n v="0"/>
    <n v="0"/>
    <n v="0"/>
    <n v="0"/>
    <n v="0"/>
    <n v="0"/>
    <n v="0"/>
    <n v="0"/>
    <n v="0"/>
    <n v="0"/>
    <n v="0"/>
    <n v="0"/>
    <n v="0"/>
    <n v="0"/>
    <n v="0"/>
    <n v="0"/>
    <n v="0"/>
    <n v="0"/>
    <n v="0"/>
    <n v="0"/>
    <n v="0"/>
    <n v="0"/>
    <n v="0"/>
    <n v="0"/>
    <n v="0"/>
    <n v="0"/>
    <n v="1.2723450247038663"/>
    <n v="0"/>
    <n v="0"/>
    <n v="0"/>
    <n v="0"/>
    <n v="0"/>
    <n v="0"/>
    <n v="0"/>
    <n v="0"/>
    <n v="0"/>
    <n v="0"/>
    <n v="0"/>
    <n v="0"/>
    <n v="0"/>
    <n v="0"/>
    <n v="0"/>
    <n v="0"/>
    <n v="0"/>
    <n v="0"/>
    <n v="0"/>
    <n v="0"/>
    <n v="0"/>
    <n v="0"/>
    <n v="0"/>
    <n v="0"/>
    <n v="0"/>
    <n v="0"/>
    <n v="0"/>
    <n v="9"/>
    <n v="0"/>
    <n v="0"/>
    <n v="0"/>
    <n v="0"/>
    <n v="0"/>
    <n v="0"/>
    <n v="0"/>
    <n v="0"/>
    <n v="0"/>
    <n v="0"/>
    <n v="0"/>
    <n v="0"/>
    <n v="0"/>
    <n v="0"/>
    <n v="0"/>
    <n v="0"/>
    <n v="0"/>
    <n v="0"/>
    <n v="0"/>
    <n v="0"/>
    <n v="0"/>
    <n v="0"/>
    <n v="0"/>
    <m/>
    <m/>
    <m/>
    <m/>
    <m/>
    <m/>
    <m/>
    <m/>
    <m/>
    <n v="0"/>
    <n v="0"/>
    <n v="0"/>
    <n v="0"/>
    <n v="0"/>
    <n v="137.69999999999999"/>
    <n v="0"/>
    <n v="0"/>
    <n v="0"/>
    <n v="0"/>
    <n v="0"/>
    <n v="0"/>
    <n v="0"/>
    <n v="0"/>
    <n v="0"/>
    <n v="0"/>
    <n v="0"/>
    <n v="0"/>
    <n v="0"/>
    <n v="0"/>
    <n v="152.68140296446396"/>
    <n v="0"/>
    <n v="0"/>
    <n v="0"/>
    <n v="0"/>
    <n v="0"/>
    <n v="8100"/>
    <n v="0"/>
    <n v="0"/>
    <n v="0"/>
    <n v="0"/>
    <n v="0"/>
    <n v="0"/>
    <n v="0"/>
    <n v="0"/>
    <n v="0"/>
    <n v="0"/>
    <n v="0"/>
    <n v="0"/>
    <n v="0"/>
    <n v="0"/>
    <n v="0"/>
    <n v="0"/>
    <n v="0"/>
    <n v="0"/>
    <n v="0"/>
    <n v="0"/>
    <n v="0"/>
    <n v="0"/>
    <n v="0"/>
    <n v="0"/>
    <n v="0"/>
    <n v="0"/>
    <n v="0"/>
    <n v="0"/>
    <n v="0"/>
    <n v="0"/>
    <n v="0"/>
    <n v="8390.3814029644636"/>
    <s v=" "/>
    <s v=" "/>
    <n v="9993.0784970331242"/>
    <s v=" "/>
    <s v=" "/>
    <s v=" "/>
    <s v=" "/>
    <s v=" "/>
    <s v=" "/>
    <s v=" "/>
    <s v=" "/>
    <s v=" "/>
    <s v=" "/>
    <s v=" "/>
    <s v=" "/>
    <x v="0"/>
    <x v="0"/>
    <x v="0"/>
    <x v="0"/>
    <x v="0"/>
    <x v="88"/>
    <x v="0"/>
    <x v="0"/>
    <x v="0"/>
    <x v="4"/>
    <x v="1"/>
    <x v="1"/>
    <x v="0"/>
    <x v="0"/>
    <x v="0"/>
    <x v="0"/>
    <x v="0"/>
    <x v="0"/>
    <x v="0"/>
    <x v="0"/>
    <x v="0"/>
    <x v="0"/>
    <x v="0"/>
    <x v="0"/>
    <x v="0"/>
    <x v="0"/>
    <x v="0"/>
    <x v="0"/>
    <x v="0"/>
    <x v="0"/>
    <x v="0"/>
    <x v="0"/>
    <x v="25"/>
    <x v="0"/>
    <x v="0"/>
    <x v="0"/>
    <x v="0"/>
    <x v="0"/>
    <x v="0"/>
    <x v="0"/>
    <x v="0"/>
    <x v="0"/>
    <x v="0"/>
    <x v="0"/>
    <x v="0"/>
    <x v="0"/>
    <x v="0"/>
    <x v="0"/>
    <x v="0"/>
    <x v="0"/>
    <x v="0"/>
    <x v="0"/>
    <x v="0"/>
    <x v="0"/>
    <x v="0"/>
    <x v="0"/>
    <x v="0"/>
    <x v="0"/>
    <x v="0"/>
    <x v="0"/>
    <x v="8"/>
    <x v="0"/>
    <x v="0"/>
    <x v="0"/>
    <x v="0"/>
    <x v="0"/>
    <x v="0"/>
    <x v="0"/>
    <x v="0"/>
    <x v="0"/>
    <x v="0"/>
    <x v="0"/>
    <x v="0"/>
    <x v="0"/>
    <x v="0"/>
    <x v="0"/>
    <x v="0"/>
    <x v="0"/>
    <x v="0"/>
    <x v="0"/>
    <x v="0"/>
    <x v="0"/>
    <x v="0"/>
    <x v="0"/>
    <x v="0"/>
    <x v="0"/>
    <x v="0"/>
    <x v="0"/>
    <x v="0"/>
    <x v="0"/>
    <x v="0"/>
    <x v="0"/>
    <x v="0"/>
  </r>
  <r>
    <s v="LS16"/>
    <s v="Earthworks (Reinforce Dam Wall)"/>
    <s v="Earthworks (Reinforce Dam Wall)"/>
    <s v="LS16_015"/>
    <x v="7"/>
    <n v="29.952021111000001"/>
    <n v="-25.826996944000001"/>
    <s v="29° 57' 07.27&quot;E "/>
    <s v="25° 49' 37.18&quot; S"/>
    <s v="Complete"/>
    <s v="Yes"/>
    <s v="Yes"/>
    <d v="2017-05-29T00:00:00"/>
    <s v="YES "/>
    <s v="NO"/>
    <s v="NBC-GTW-CL-0050"/>
    <s v="Yes"/>
    <s v="00"/>
    <d v="2018-06-16T00:00:00"/>
    <s v="Phase 2"/>
    <s v="Year 3"/>
    <n v="567"/>
    <n v="0"/>
    <n v="0"/>
    <n v="0"/>
    <n v="0"/>
    <n v="0"/>
    <n v="0"/>
    <n v="0"/>
    <n v="567"/>
    <n v="567"/>
    <n v="0"/>
    <n v="0"/>
    <n v="0"/>
    <n v="0"/>
    <n v="0"/>
    <n v="0"/>
    <n v="0"/>
    <n v="0"/>
    <n v="0"/>
    <n v="0"/>
    <n v="0"/>
    <n v="0"/>
    <n v="0"/>
    <n v="0"/>
    <n v="0"/>
    <n v="0"/>
    <n v="0"/>
    <n v="0"/>
    <n v="0"/>
    <n v="0"/>
    <n v="0"/>
    <n v="0"/>
    <n v="0"/>
    <n v="0"/>
    <n v="198.45"/>
    <n v="0"/>
    <n v="0"/>
    <n v="0"/>
    <n v="0"/>
    <n v="0"/>
    <n v="0"/>
    <n v="0"/>
    <n v="0"/>
    <n v="0"/>
    <n v="0"/>
    <n v="0"/>
    <n v="0"/>
    <n v="0"/>
    <n v="0"/>
    <n v="0"/>
    <n v="0"/>
    <n v="0"/>
    <n v="0"/>
    <n v="0"/>
    <n v="0"/>
    <n v="0"/>
    <n v="0"/>
    <n v="0"/>
    <n v="0"/>
    <n v="0"/>
    <n v="0"/>
    <n v="0"/>
    <n v="0"/>
    <n v="0"/>
    <n v="0"/>
    <n v="0"/>
    <n v="0"/>
    <n v="0"/>
    <n v="0"/>
    <n v="0"/>
    <n v="0"/>
    <n v="0"/>
    <n v="0"/>
    <n v="0"/>
    <n v="0"/>
    <n v="0"/>
    <n v="0"/>
    <n v="0"/>
    <n v="0"/>
    <n v="0"/>
    <n v="0"/>
    <n v="0"/>
    <n v="0"/>
    <n v="0"/>
    <n v="0"/>
    <n v="0"/>
    <m/>
    <m/>
    <m/>
    <m/>
    <m/>
    <m/>
    <m/>
    <m/>
    <m/>
    <n v="2835"/>
    <n v="0"/>
    <n v="0"/>
    <n v="0"/>
    <n v="0"/>
    <n v="0"/>
    <n v="0"/>
    <n v="0"/>
    <n v="2835"/>
    <n v="5670"/>
    <n v="0"/>
    <n v="0"/>
    <n v="0"/>
    <n v="0"/>
    <n v="0"/>
    <n v="0"/>
    <n v="0"/>
    <n v="0"/>
    <n v="0"/>
    <n v="0"/>
    <n v="23814"/>
    <n v="0"/>
    <n v="0"/>
    <n v="0"/>
    <n v="0"/>
    <n v="0"/>
    <n v="0"/>
    <n v="0"/>
    <n v="0"/>
    <n v="0"/>
    <n v="0"/>
    <n v="0"/>
    <n v="0"/>
    <n v="0"/>
    <n v="0"/>
    <n v="0"/>
    <n v="0"/>
    <n v="0"/>
    <n v="0"/>
    <n v="0"/>
    <n v="0"/>
    <n v="0"/>
    <n v="0"/>
    <n v="0"/>
    <n v="0"/>
    <n v="0"/>
    <n v="0"/>
    <n v="0"/>
    <n v="0"/>
    <n v="0"/>
    <n v="0"/>
    <n v="0"/>
    <n v="0"/>
    <n v="0"/>
    <n v="0"/>
    <n v="0"/>
    <n v="0"/>
    <n v="0"/>
    <n v="35154"/>
    <s v=" "/>
    <s v=" "/>
    <n v="41868.976464000007"/>
    <s v=" "/>
    <s v=" "/>
    <s v=" "/>
    <s v=" "/>
    <s v=" "/>
    <s v=" "/>
    <s v=" "/>
    <s v=" "/>
    <s v=" "/>
    <s v=" "/>
    <s v=" "/>
    <s v=" "/>
    <x v="46"/>
    <x v="0"/>
    <x v="0"/>
    <x v="0"/>
    <x v="0"/>
    <x v="1"/>
    <x v="0"/>
    <x v="0"/>
    <x v="48"/>
    <x v="49"/>
    <x v="1"/>
    <x v="1"/>
    <x v="0"/>
    <x v="0"/>
    <x v="0"/>
    <x v="0"/>
    <x v="0"/>
    <x v="0"/>
    <x v="0"/>
    <x v="0"/>
    <x v="0"/>
    <x v="0"/>
    <x v="0"/>
    <x v="0"/>
    <x v="0"/>
    <x v="0"/>
    <x v="0"/>
    <x v="0"/>
    <x v="0"/>
    <x v="0"/>
    <x v="0"/>
    <x v="0"/>
    <x v="26"/>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LS16"/>
    <s v="Gabion energy breaker"/>
    <s v="Gabions"/>
    <s v="LS16_016"/>
    <x v="7"/>
    <n v="29.953134444"/>
    <n v="-25.826765000000002"/>
    <s v="29° 57' 11.28&quot;E "/>
    <s v="25° 49' 36.35&quot; S"/>
    <s v="YES"/>
    <s v="Yes"/>
    <s v="Yes"/>
    <d v="2017-01-31T00:00:00"/>
    <s v="YES "/>
    <s v="NO"/>
    <s v="NBC-GTW-CL-0060"/>
    <s v="Yes"/>
    <s v="00"/>
    <d v="2018-06-16T00:00:00"/>
    <s v="Phase 2"/>
    <s v="Year 3"/>
    <m/>
    <m/>
    <m/>
    <m/>
    <m/>
    <n v="20"/>
    <m/>
    <m/>
    <m/>
    <m/>
    <n v="20"/>
    <m/>
    <m/>
    <m/>
    <m/>
    <m/>
    <m/>
    <m/>
    <m/>
    <m/>
    <m/>
    <m/>
    <m/>
    <m/>
    <m/>
    <m/>
    <m/>
    <m/>
    <m/>
    <m/>
    <m/>
    <m/>
    <m/>
    <m/>
    <n v="2.4000000000000004"/>
    <n v="2"/>
    <m/>
    <n v="1"/>
    <n v="0"/>
    <n v="0"/>
    <n v="12"/>
    <n v="0"/>
    <n v="0"/>
    <n v="0"/>
    <n v="7.2"/>
    <n v="0"/>
    <n v="0"/>
    <n v="0"/>
    <n v="0"/>
    <n v="0"/>
    <n v="0"/>
    <n v="0"/>
    <n v="0"/>
    <n v="0"/>
    <m/>
    <n v="62.900000000000006"/>
    <m/>
    <m/>
    <m/>
    <m/>
    <m/>
    <m/>
    <m/>
    <m/>
    <m/>
    <m/>
    <m/>
    <m/>
    <m/>
    <m/>
    <m/>
    <m/>
    <m/>
    <m/>
    <m/>
    <m/>
    <m/>
    <m/>
    <m/>
    <m/>
    <m/>
    <m/>
    <m/>
    <m/>
    <m/>
    <m/>
    <m/>
    <m/>
    <m/>
    <m/>
    <m/>
    <m/>
    <m/>
    <m/>
    <m/>
    <n v="0"/>
    <n v="0"/>
    <n v="0"/>
    <n v="0"/>
    <n v="0"/>
    <n v="1700"/>
    <n v="0"/>
    <n v="0"/>
    <n v="0"/>
    <n v="0"/>
    <n v="0"/>
    <n v="0"/>
    <n v="0"/>
    <n v="0"/>
    <n v="0"/>
    <n v="0"/>
    <n v="0"/>
    <n v="0"/>
    <n v="0"/>
    <n v="0"/>
    <n v="288.00000000000006"/>
    <n v="600"/>
    <n v="33675"/>
    <n v="0"/>
    <n v="1761.2000000000003"/>
    <n v="0"/>
    <n v="0"/>
    <n v="0"/>
    <n v="0"/>
    <n v="0"/>
    <n v="0"/>
    <n v="0"/>
    <n v="0"/>
    <n v="0"/>
    <n v="0"/>
    <n v="0"/>
    <n v="0"/>
    <n v="0"/>
    <n v="0"/>
    <n v="0"/>
    <n v="0"/>
    <n v="0"/>
    <n v="0"/>
    <n v="0"/>
    <n v="0"/>
    <n v="0"/>
    <n v="0"/>
    <n v="0"/>
    <n v="0"/>
    <n v="0"/>
    <n v="0"/>
    <n v="0"/>
    <n v="0"/>
    <n v="0"/>
    <n v="0"/>
    <n v="0"/>
    <n v="0"/>
    <n v="0"/>
    <n v="38024.199999999997"/>
    <s v=" "/>
    <s v=" "/>
    <n v="45287.430587200011"/>
    <s v=" "/>
    <s v=" "/>
    <s v=" "/>
    <s v=" "/>
    <s v=" "/>
    <s v=" "/>
    <s v=" "/>
    <s v=" "/>
    <s v=" "/>
    <s v=" "/>
    <s v=" "/>
    <s v=" "/>
    <x v="0"/>
    <x v="0"/>
    <x v="0"/>
    <x v="0"/>
    <x v="0"/>
    <x v="89"/>
    <x v="0"/>
    <x v="0"/>
    <x v="0"/>
    <x v="4"/>
    <x v="8"/>
    <x v="1"/>
    <x v="0"/>
    <x v="0"/>
    <x v="0"/>
    <x v="0"/>
    <x v="0"/>
    <x v="0"/>
    <x v="0"/>
    <x v="0"/>
    <x v="0"/>
    <x v="0"/>
    <x v="0"/>
    <x v="0"/>
    <x v="0"/>
    <x v="0"/>
    <x v="0"/>
    <x v="0"/>
    <x v="0"/>
    <x v="0"/>
    <x v="0"/>
    <x v="0"/>
    <x v="27"/>
    <x v="1"/>
    <x v="0"/>
    <x v="2"/>
    <x v="0"/>
    <x v="0"/>
    <x v="2"/>
    <x v="0"/>
    <x v="0"/>
    <x v="0"/>
    <x v="2"/>
    <x v="0"/>
    <x v="0"/>
    <x v="0"/>
    <x v="0"/>
    <x v="0"/>
    <x v="0"/>
    <x v="0"/>
    <x v="0"/>
    <x v="0"/>
    <x v="0"/>
    <x v="4"/>
    <x v="0"/>
    <x v="0"/>
    <x v="0"/>
    <x v="0"/>
    <x v="0"/>
    <x v="0"/>
    <x v="0"/>
    <x v="0"/>
    <x v="0"/>
    <x v="0"/>
    <x v="0"/>
    <x v="0"/>
    <x v="0"/>
    <x v="0"/>
    <x v="0"/>
    <x v="0"/>
    <x v="0"/>
    <x v="0"/>
    <x v="0"/>
    <x v="0"/>
    <x v="0"/>
    <x v="0"/>
    <x v="0"/>
    <x v="0"/>
    <x v="0"/>
    <x v="0"/>
    <x v="0"/>
    <x v="0"/>
    <x v="0"/>
    <x v="0"/>
    <x v="0"/>
    <x v="0"/>
    <x v="0"/>
    <x v="0"/>
    <x v="0"/>
    <x v="0"/>
    <x v="0"/>
    <x v="0"/>
    <x v="0"/>
  </r>
  <r>
    <s v="LS16"/>
    <s v="Gabion energy breaker"/>
    <s v="Gabions"/>
    <s v="LS16_017"/>
    <x v="7"/>
    <n v="29.953437222000002"/>
    <n v="-25.826683889000002"/>
    <s v="29° 57' 12.37&quot;E "/>
    <s v="25° 49' 36.06&quot; S"/>
    <s v="YES"/>
    <s v="Yes"/>
    <s v="Yes"/>
    <d v="2017-01-31T00:00:00"/>
    <s v="YES "/>
    <s v="NO"/>
    <s v="NBC-GTW-CL-0061"/>
    <s v="Yes"/>
    <s v="00"/>
    <d v="2018-06-16T00:00:00"/>
    <s v="Phase 2"/>
    <s v="Year 3"/>
    <m/>
    <m/>
    <m/>
    <m/>
    <m/>
    <n v="25"/>
    <m/>
    <m/>
    <m/>
    <m/>
    <n v="25"/>
    <m/>
    <m/>
    <m/>
    <m/>
    <m/>
    <m/>
    <m/>
    <m/>
    <m/>
    <m/>
    <m/>
    <m/>
    <m/>
    <m/>
    <m/>
    <m/>
    <m/>
    <m/>
    <m/>
    <m/>
    <m/>
    <m/>
    <m/>
    <n v="2.8000000000000003"/>
    <n v="0.66666666666666674"/>
    <m/>
    <n v="1"/>
    <n v="0"/>
    <n v="8"/>
    <n v="6"/>
    <n v="0"/>
    <n v="0"/>
    <n v="0"/>
    <n v="9"/>
    <n v="0"/>
    <n v="0"/>
    <n v="0"/>
    <n v="0"/>
    <n v="0"/>
    <n v="0"/>
    <n v="0"/>
    <n v="0"/>
    <n v="0"/>
    <m/>
    <n v="74.900000000000006"/>
    <m/>
    <m/>
    <m/>
    <m/>
    <m/>
    <m/>
    <m/>
    <m/>
    <m/>
    <m/>
    <m/>
    <m/>
    <m/>
    <m/>
    <m/>
    <m/>
    <m/>
    <m/>
    <m/>
    <m/>
    <m/>
    <m/>
    <m/>
    <m/>
    <m/>
    <m/>
    <m/>
    <m/>
    <m/>
    <m/>
    <m/>
    <m/>
    <m/>
    <m/>
    <m/>
    <m/>
    <m/>
    <m/>
    <m/>
    <n v="0"/>
    <n v="0"/>
    <n v="0"/>
    <n v="0"/>
    <n v="0"/>
    <n v="2125"/>
    <n v="0"/>
    <n v="0"/>
    <n v="0"/>
    <n v="0"/>
    <n v="0"/>
    <n v="0"/>
    <n v="0"/>
    <n v="0"/>
    <n v="0"/>
    <n v="0"/>
    <n v="0"/>
    <n v="0"/>
    <n v="0"/>
    <n v="0"/>
    <n v="336.00000000000006"/>
    <n v="200.00000000000003"/>
    <n v="40325"/>
    <n v="0"/>
    <n v="2097.2000000000003"/>
    <n v="0"/>
    <n v="0"/>
    <n v="0"/>
    <n v="0"/>
    <n v="0"/>
    <n v="0"/>
    <n v="0"/>
    <n v="0"/>
    <n v="0"/>
    <n v="0"/>
    <n v="0"/>
    <n v="0"/>
    <n v="0"/>
    <n v="0"/>
    <n v="0"/>
    <n v="0"/>
    <n v="0"/>
    <n v="0"/>
    <n v="0"/>
    <n v="0"/>
    <n v="0"/>
    <n v="0"/>
    <n v="0"/>
    <n v="0"/>
    <n v="0"/>
    <n v="0"/>
    <n v="0"/>
    <n v="0"/>
    <n v="0"/>
    <n v="0"/>
    <n v="0"/>
    <n v="0"/>
    <n v="0"/>
    <n v="45083.199999999997"/>
    <s v=" "/>
    <s v=" "/>
    <n v="53694.812531200012"/>
    <s v=" "/>
    <s v=" "/>
    <s v=" "/>
    <s v=" "/>
    <s v=" "/>
    <s v=" "/>
    <s v=" "/>
    <s v=" "/>
    <s v=" "/>
    <s v=" "/>
    <s v=" "/>
    <s v=" "/>
    <x v="0"/>
    <x v="0"/>
    <x v="0"/>
    <x v="0"/>
    <x v="0"/>
    <x v="90"/>
    <x v="0"/>
    <x v="0"/>
    <x v="0"/>
    <x v="4"/>
    <x v="9"/>
    <x v="1"/>
    <x v="0"/>
    <x v="0"/>
    <x v="0"/>
    <x v="0"/>
    <x v="0"/>
    <x v="0"/>
    <x v="0"/>
    <x v="0"/>
    <x v="0"/>
    <x v="0"/>
    <x v="0"/>
    <x v="0"/>
    <x v="0"/>
    <x v="0"/>
    <x v="0"/>
    <x v="0"/>
    <x v="0"/>
    <x v="0"/>
    <x v="0"/>
    <x v="0"/>
    <x v="28"/>
    <x v="2"/>
    <x v="0"/>
    <x v="3"/>
    <x v="0"/>
    <x v="1"/>
    <x v="3"/>
    <x v="0"/>
    <x v="0"/>
    <x v="0"/>
    <x v="3"/>
    <x v="0"/>
    <x v="0"/>
    <x v="0"/>
    <x v="0"/>
    <x v="0"/>
    <x v="0"/>
    <x v="0"/>
    <x v="0"/>
    <x v="0"/>
    <x v="0"/>
    <x v="5"/>
    <x v="0"/>
    <x v="0"/>
    <x v="0"/>
    <x v="0"/>
    <x v="0"/>
    <x v="0"/>
    <x v="0"/>
    <x v="0"/>
    <x v="0"/>
    <x v="0"/>
    <x v="0"/>
    <x v="0"/>
    <x v="0"/>
    <x v="0"/>
    <x v="0"/>
    <x v="0"/>
    <x v="0"/>
    <x v="0"/>
    <x v="0"/>
    <x v="0"/>
    <x v="0"/>
    <x v="0"/>
    <x v="0"/>
    <x v="0"/>
    <x v="0"/>
    <x v="0"/>
    <x v="0"/>
    <x v="0"/>
    <x v="0"/>
    <x v="0"/>
    <x v="0"/>
    <x v="0"/>
    <x v="0"/>
    <x v="0"/>
    <x v="0"/>
    <x v="0"/>
    <x v="0"/>
    <x v="0"/>
    <x v="0"/>
  </r>
  <r>
    <s v="LS16"/>
    <s v="Gabion energy breaker"/>
    <s v="Gabions"/>
    <s v="LS16_018"/>
    <x v="7"/>
    <n v="29.953675832999998"/>
    <n v="-25.826637000000002"/>
    <s v="29° 57' 13.23&quot;E "/>
    <s v="25° 49' 35.89&quot; S"/>
    <s v="YES"/>
    <s v="Yes"/>
    <s v="Yes"/>
    <d v="2017-01-31T00:00:00"/>
    <s v="YES "/>
    <s v="NO"/>
    <s v="NBC-GTW-CL-0062"/>
    <s v="Yes"/>
    <s v="00"/>
    <d v="2018-06-16T00:00:00"/>
    <s v="Phase 2"/>
    <s v="Year 3"/>
    <m/>
    <m/>
    <m/>
    <m/>
    <m/>
    <n v="22.08"/>
    <m/>
    <m/>
    <m/>
    <m/>
    <n v="22.08"/>
    <m/>
    <m/>
    <m/>
    <m/>
    <m/>
    <m/>
    <m/>
    <m/>
    <m/>
    <m/>
    <m/>
    <m/>
    <m/>
    <m/>
    <m/>
    <m/>
    <m/>
    <m/>
    <m/>
    <m/>
    <m/>
    <m/>
    <m/>
    <n v="0"/>
    <n v="3.0000000000000004"/>
    <m/>
    <n v="1"/>
    <n v="0"/>
    <n v="0"/>
    <n v="15"/>
    <n v="0"/>
    <n v="0"/>
    <n v="0"/>
    <n v="9.9"/>
    <n v="0"/>
    <n v="0"/>
    <n v="0"/>
    <n v="0"/>
    <n v="0"/>
    <n v="0"/>
    <n v="0"/>
    <n v="0"/>
    <n v="0"/>
    <m/>
    <n v="80.900000000000006"/>
    <m/>
    <m/>
    <m/>
    <m/>
    <m/>
    <m/>
    <m/>
    <m/>
    <m/>
    <m/>
    <m/>
    <m/>
    <m/>
    <m/>
    <m/>
    <m/>
    <m/>
    <m/>
    <m/>
    <m/>
    <m/>
    <m/>
    <m/>
    <m/>
    <m/>
    <m/>
    <m/>
    <m/>
    <m/>
    <m/>
    <m/>
    <m/>
    <m/>
    <m/>
    <m/>
    <m/>
    <m/>
    <m/>
    <m/>
    <n v="0"/>
    <n v="0"/>
    <n v="0"/>
    <n v="0"/>
    <n v="0"/>
    <n v="1876.8"/>
    <n v="0"/>
    <n v="0"/>
    <n v="0"/>
    <n v="0"/>
    <n v="0"/>
    <n v="0"/>
    <n v="0"/>
    <n v="0"/>
    <n v="0"/>
    <n v="0"/>
    <n v="0"/>
    <n v="0"/>
    <n v="0"/>
    <n v="0"/>
    <n v="0"/>
    <n v="900.00000000000011"/>
    <n v="43650"/>
    <n v="0"/>
    <n v="2265.2000000000003"/>
    <n v="0"/>
    <n v="0"/>
    <n v="0"/>
    <n v="0"/>
    <n v="0"/>
    <n v="0"/>
    <n v="0"/>
    <n v="0"/>
    <n v="0"/>
    <n v="0"/>
    <n v="0"/>
    <n v="0"/>
    <n v="0"/>
    <n v="0"/>
    <n v="0"/>
    <n v="0"/>
    <n v="0"/>
    <n v="0"/>
    <n v="0"/>
    <n v="0"/>
    <n v="0"/>
    <n v="0"/>
    <n v="0"/>
    <n v="0"/>
    <n v="0"/>
    <n v="0"/>
    <n v="0"/>
    <n v="0"/>
    <n v="0"/>
    <n v="0"/>
    <n v="0"/>
    <n v="0"/>
    <n v="0"/>
    <n v="48692"/>
    <s v=" "/>
    <s v=" "/>
    <n v="57992.951072000011"/>
    <s v=" "/>
    <s v=" "/>
    <s v=" "/>
    <s v=" "/>
    <s v=" "/>
    <s v=" "/>
    <s v=" "/>
    <s v=" "/>
    <s v=" "/>
    <s v=" "/>
    <s v=" "/>
    <s v=" "/>
    <x v="0"/>
    <x v="0"/>
    <x v="0"/>
    <x v="0"/>
    <x v="0"/>
    <x v="91"/>
    <x v="0"/>
    <x v="0"/>
    <x v="0"/>
    <x v="4"/>
    <x v="10"/>
    <x v="1"/>
    <x v="0"/>
    <x v="0"/>
    <x v="0"/>
    <x v="0"/>
    <x v="0"/>
    <x v="0"/>
    <x v="0"/>
    <x v="0"/>
    <x v="0"/>
    <x v="0"/>
    <x v="0"/>
    <x v="0"/>
    <x v="0"/>
    <x v="0"/>
    <x v="0"/>
    <x v="0"/>
    <x v="0"/>
    <x v="0"/>
    <x v="0"/>
    <x v="0"/>
    <x v="0"/>
    <x v="3"/>
    <x v="0"/>
    <x v="4"/>
    <x v="0"/>
    <x v="0"/>
    <x v="4"/>
    <x v="0"/>
    <x v="0"/>
    <x v="0"/>
    <x v="4"/>
    <x v="0"/>
    <x v="0"/>
    <x v="0"/>
    <x v="0"/>
    <x v="0"/>
    <x v="0"/>
    <x v="0"/>
    <x v="0"/>
    <x v="0"/>
    <x v="0"/>
    <x v="6"/>
    <x v="0"/>
    <x v="0"/>
    <x v="0"/>
    <x v="0"/>
    <x v="0"/>
    <x v="0"/>
    <x v="0"/>
    <x v="0"/>
    <x v="0"/>
    <x v="0"/>
    <x v="0"/>
    <x v="0"/>
    <x v="0"/>
    <x v="0"/>
    <x v="0"/>
    <x v="0"/>
    <x v="0"/>
    <x v="0"/>
    <x v="0"/>
    <x v="0"/>
    <x v="0"/>
    <x v="0"/>
    <x v="0"/>
    <x v="0"/>
    <x v="0"/>
    <x v="0"/>
    <x v="0"/>
    <x v="0"/>
    <x v="0"/>
    <x v="0"/>
    <x v="0"/>
    <x v="0"/>
    <x v="0"/>
    <x v="0"/>
    <x v="0"/>
    <x v="0"/>
    <x v="0"/>
    <x v="0"/>
    <x v="0"/>
  </r>
  <r>
    <s v="LS16"/>
    <s v="Gabion energy breaker"/>
    <s v="Gabions"/>
    <s v="LS16_019"/>
    <x v="7"/>
    <n v="29.954265555999999"/>
    <n v="-25.826652778"/>
    <s v="29° 57' 15.35&quot;E "/>
    <s v="25° 49' 35.95&quot; S"/>
    <s v="YES"/>
    <s v="Yes"/>
    <s v="Yes"/>
    <d v="2017-01-31T00:00:00"/>
    <s v="YES "/>
    <s v="NO"/>
    <s v="NBC-GTW-CL-0063"/>
    <s v="Yes"/>
    <s v="00"/>
    <d v="2018-06-16T00:00:00"/>
    <s v="Phase 2"/>
    <s v="Year 3"/>
    <m/>
    <m/>
    <m/>
    <m/>
    <m/>
    <n v="24.48"/>
    <m/>
    <m/>
    <m/>
    <m/>
    <n v="24.48"/>
    <m/>
    <m/>
    <m/>
    <m/>
    <m/>
    <m/>
    <m/>
    <m/>
    <m/>
    <m/>
    <m/>
    <m/>
    <m/>
    <m/>
    <m/>
    <m/>
    <m/>
    <m/>
    <m/>
    <m/>
    <m/>
    <m/>
    <m/>
    <n v="0"/>
    <n v="1.0083333333333335"/>
    <m/>
    <n v="1"/>
    <n v="0"/>
    <n v="4"/>
    <n v="12"/>
    <n v="0"/>
    <n v="0"/>
    <n v="0"/>
    <n v="10.8"/>
    <n v="0"/>
    <n v="0"/>
    <n v="0"/>
    <n v="0"/>
    <n v="0"/>
    <n v="0"/>
    <n v="0"/>
    <n v="0"/>
    <n v="0"/>
    <m/>
    <n v="83.9"/>
    <m/>
    <m/>
    <m/>
    <m/>
    <m/>
    <m/>
    <m/>
    <m/>
    <m/>
    <m/>
    <m/>
    <m/>
    <m/>
    <m/>
    <m/>
    <m/>
    <m/>
    <m/>
    <m/>
    <m/>
    <m/>
    <m/>
    <m/>
    <m/>
    <m/>
    <m/>
    <m/>
    <m/>
    <m/>
    <m/>
    <m/>
    <m/>
    <m/>
    <m/>
    <m/>
    <m/>
    <m/>
    <m/>
    <m/>
    <n v="0"/>
    <n v="0"/>
    <n v="0"/>
    <n v="0"/>
    <n v="0"/>
    <n v="2080.8000000000002"/>
    <n v="0"/>
    <n v="0"/>
    <n v="0"/>
    <n v="0"/>
    <n v="0"/>
    <n v="0"/>
    <n v="0"/>
    <n v="0"/>
    <n v="0"/>
    <n v="0"/>
    <n v="0"/>
    <n v="0"/>
    <n v="0"/>
    <n v="0"/>
    <n v="0"/>
    <n v="302.50000000000006"/>
    <n v="46975"/>
    <n v="0"/>
    <n v="2349.2000000000003"/>
    <n v="0"/>
    <n v="0"/>
    <n v="0"/>
    <n v="0"/>
    <n v="0"/>
    <n v="0"/>
    <n v="0"/>
    <n v="0"/>
    <n v="0"/>
    <n v="0"/>
    <n v="0"/>
    <n v="0"/>
    <n v="0"/>
    <n v="0"/>
    <n v="0"/>
    <n v="0"/>
    <n v="0"/>
    <n v="0"/>
    <n v="0"/>
    <n v="0"/>
    <n v="0"/>
    <n v="0"/>
    <n v="0"/>
    <n v="0"/>
    <n v="0"/>
    <n v="0"/>
    <n v="0"/>
    <n v="0"/>
    <n v="0"/>
    <n v="0"/>
    <n v="0"/>
    <n v="0"/>
    <n v="0"/>
    <n v="51707.5"/>
    <s v=" "/>
    <s v=" "/>
    <n v="61584.459820000011"/>
    <s v=" "/>
    <s v=" "/>
    <s v=" "/>
    <s v=" "/>
    <s v=" "/>
    <s v=" "/>
    <s v=" "/>
    <s v=" "/>
    <s v=" "/>
    <s v=" "/>
    <s v=" "/>
    <s v=" "/>
    <x v="0"/>
    <x v="0"/>
    <x v="0"/>
    <x v="0"/>
    <x v="0"/>
    <x v="92"/>
    <x v="0"/>
    <x v="0"/>
    <x v="0"/>
    <x v="4"/>
    <x v="11"/>
    <x v="1"/>
    <x v="0"/>
    <x v="0"/>
    <x v="0"/>
    <x v="0"/>
    <x v="0"/>
    <x v="0"/>
    <x v="0"/>
    <x v="0"/>
    <x v="0"/>
    <x v="0"/>
    <x v="0"/>
    <x v="0"/>
    <x v="0"/>
    <x v="0"/>
    <x v="0"/>
    <x v="0"/>
    <x v="0"/>
    <x v="0"/>
    <x v="0"/>
    <x v="0"/>
    <x v="0"/>
    <x v="4"/>
    <x v="0"/>
    <x v="5"/>
    <x v="0"/>
    <x v="2"/>
    <x v="5"/>
    <x v="0"/>
    <x v="0"/>
    <x v="0"/>
    <x v="5"/>
    <x v="0"/>
    <x v="0"/>
    <x v="0"/>
    <x v="0"/>
    <x v="0"/>
    <x v="0"/>
    <x v="0"/>
    <x v="0"/>
    <x v="0"/>
    <x v="0"/>
    <x v="7"/>
    <x v="0"/>
    <x v="0"/>
    <x v="0"/>
    <x v="0"/>
    <x v="0"/>
    <x v="0"/>
    <x v="0"/>
    <x v="0"/>
    <x v="0"/>
    <x v="0"/>
    <x v="0"/>
    <x v="0"/>
    <x v="0"/>
    <x v="0"/>
    <x v="0"/>
    <x v="0"/>
    <x v="0"/>
    <x v="0"/>
    <x v="0"/>
    <x v="0"/>
    <x v="0"/>
    <x v="0"/>
    <x v="0"/>
    <x v="0"/>
    <x v="0"/>
    <x v="0"/>
    <x v="0"/>
    <x v="0"/>
    <x v="0"/>
    <x v="0"/>
    <x v="0"/>
    <x v="0"/>
    <x v="0"/>
    <x v="0"/>
    <x v="0"/>
    <x v="0"/>
    <x v="0"/>
    <x v="0"/>
    <x v="0"/>
  </r>
  <r>
    <s v="LS16"/>
    <s v="Removal of Road"/>
    <s v="Excavation"/>
    <s v="LS16_020"/>
    <x v="7"/>
    <n v="29.955486944"/>
    <n v="-25.826356944"/>
    <s v="29° 57' 19.75&quot;E "/>
    <s v="25° 49' 34.88&quot; S"/>
    <s v="Complete"/>
    <s v="Yes"/>
    <s v="Yes"/>
    <d v="2017-05-31T00:00:00"/>
    <s v="NA"/>
    <s v="NA"/>
    <s v="No Drawing"/>
    <s v="Yes"/>
    <s v="00"/>
    <d v="2018-06-16T00:00:00"/>
    <s v="Phase 2"/>
    <s v="Year 3"/>
    <n v="0"/>
    <n v="744.23250000000007"/>
    <n v="0"/>
    <n v="0"/>
    <n v="0"/>
    <n v="0"/>
    <n v="0"/>
    <n v="0"/>
    <n v="1782"/>
    <n v="1782"/>
    <n v="372.11625000000004"/>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n v="0"/>
    <n v="37211.625"/>
    <n v="0"/>
    <n v="0"/>
    <n v="0"/>
    <n v="0"/>
    <n v="0"/>
    <n v="0"/>
    <n v="8910"/>
    <n v="17820"/>
    <n v="0"/>
    <n v="0"/>
    <n v="0"/>
    <n v="0"/>
    <n v="0"/>
    <n v="0"/>
    <n v="0"/>
    <n v="0"/>
    <n v="0"/>
    <n v="0"/>
    <n v="0"/>
    <n v="0"/>
    <n v="0"/>
    <n v="0"/>
    <n v="0"/>
    <n v="0"/>
    <n v="0"/>
    <n v="0"/>
    <n v="0"/>
    <n v="0"/>
    <n v="0"/>
    <n v="0"/>
    <n v="0"/>
    <n v="0"/>
    <n v="0"/>
    <n v="0"/>
    <n v="0"/>
    <n v="0"/>
    <n v="0"/>
    <n v="0"/>
    <n v="0"/>
    <n v="0"/>
    <n v="0"/>
    <n v="0"/>
    <n v="0"/>
    <n v="0"/>
    <n v="0"/>
    <n v="0"/>
    <n v="0"/>
    <n v="0"/>
    <n v="0"/>
    <n v="0"/>
    <n v="0"/>
    <n v="0"/>
    <n v="0"/>
    <n v="0"/>
    <n v="0"/>
    <n v="0"/>
    <n v="63941.625"/>
    <s v=" "/>
    <s v=" "/>
    <n v="76155.498441000003"/>
    <s v=" "/>
    <s v=" "/>
    <s v=" "/>
    <s v=" "/>
    <s v=" "/>
    <s v=" "/>
    <s v=" "/>
    <s v=" "/>
    <s v=" "/>
    <s v=" "/>
    <s v=" "/>
    <s v=" "/>
    <x v="0"/>
    <x v="17"/>
    <x v="0"/>
    <x v="0"/>
    <x v="0"/>
    <x v="1"/>
    <x v="0"/>
    <x v="0"/>
    <x v="49"/>
    <x v="50"/>
    <x v="12"/>
    <x v="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LS16"/>
    <s v="Backfill Main Channel and reshaping"/>
    <s v="Backfill Leeuwbankspruit"/>
    <s v="LS16_021"/>
    <x v="7"/>
    <n v="29.950704900000002"/>
    <n v="-25.830577399999999"/>
    <s v="29° 57' 02.53&quot;E "/>
    <s v="25° 49' 50.07&quot; S"/>
    <s v="Complete"/>
    <n v="0"/>
    <s v="Yes"/>
    <d v="1899-12-30T00:00:00"/>
    <s v="NA"/>
    <s v="NA"/>
    <s v="No Drawing"/>
    <s v="Yes"/>
    <s v="00"/>
    <d v="2018-06-16T00:00:00"/>
    <s v="Phase 2"/>
    <s v="Year 3"/>
    <n v="6032.3099999999995"/>
    <n v="0"/>
    <n v="0"/>
    <n v="0"/>
    <n v="0"/>
    <n v="500"/>
    <n v="0"/>
    <n v="0"/>
    <n v="6032.3099999999995"/>
    <n v="6032.3099999999995"/>
    <n v="0"/>
    <n v="0"/>
    <n v="0"/>
    <n v="0"/>
    <n v="0"/>
    <n v="0"/>
    <n v="0"/>
    <n v="0"/>
    <n v="0"/>
    <n v="0"/>
    <n v="0"/>
    <n v="0"/>
    <n v="0"/>
    <n v="0"/>
    <n v="0"/>
    <n v="0"/>
    <n v="0"/>
    <n v="0"/>
    <n v="0"/>
    <n v="0"/>
    <n v="0"/>
    <n v="0"/>
    <n v="0"/>
    <n v="0"/>
    <n v="3454"/>
    <n v="0"/>
    <n v="0"/>
    <n v="0"/>
    <n v="0"/>
    <n v="0"/>
    <n v="0"/>
    <n v="0"/>
    <n v="0"/>
    <n v="0"/>
    <n v="0"/>
    <n v="0"/>
    <n v="0"/>
    <n v="0"/>
    <n v="0"/>
    <n v="0"/>
    <n v="0"/>
    <n v="0"/>
    <n v="0"/>
    <n v="0"/>
    <n v="0"/>
    <n v="0"/>
    <n v="0"/>
    <n v="0"/>
    <n v="0"/>
    <n v="0"/>
    <n v="0"/>
    <n v="0"/>
    <n v="0"/>
    <n v="0"/>
    <n v="0"/>
    <n v="0"/>
    <n v="0"/>
    <n v="0"/>
    <n v="0"/>
    <n v="0"/>
    <n v="0"/>
    <n v="0"/>
    <n v="0"/>
    <n v="0"/>
    <m/>
    <m/>
    <m/>
    <m/>
    <m/>
    <m/>
    <m/>
    <m/>
    <m/>
    <m/>
    <m/>
    <m/>
    <m/>
    <m/>
    <m/>
    <m/>
    <m/>
    <m/>
    <m/>
    <m/>
    <m/>
    <n v="30161.549999999996"/>
    <n v="0"/>
    <n v="0"/>
    <n v="0"/>
    <n v="0"/>
    <n v="42500"/>
    <n v="0"/>
    <n v="0"/>
    <n v="30161.549999999996"/>
    <n v="60323.099999999991"/>
    <n v="0"/>
    <n v="0"/>
    <n v="0"/>
    <n v="0"/>
    <n v="0"/>
    <n v="0"/>
    <n v="0"/>
    <n v="0"/>
    <n v="0"/>
    <n v="0"/>
    <n v="414480"/>
    <n v="0"/>
    <n v="0"/>
    <n v="0"/>
    <n v="0"/>
    <n v="0"/>
    <n v="0"/>
    <n v="0"/>
    <n v="0"/>
    <n v="0"/>
    <n v="0"/>
    <n v="0"/>
    <n v="0"/>
    <n v="0"/>
    <n v="0"/>
    <n v="0"/>
    <n v="0"/>
    <n v="0"/>
    <n v="0"/>
    <n v="0"/>
    <n v="0"/>
    <n v="0"/>
    <n v="0"/>
    <n v="0"/>
    <n v="0"/>
    <n v="0"/>
    <n v="0"/>
    <n v="0"/>
    <n v="0"/>
    <n v="0"/>
    <n v="0"/>
    <n v="0"/>
    <n v="0"/>
    <n v="0"/>
    <n v="0"/>
    <n v="0"/>
    <n v="0"/>
    <n v="0"/>
    <n v="577626.19999999995"/>
    <s v=" "/>
    <s v=" "/>
    <n v="687962.04621920013"/>
    <s v=" "/>
    <s v=" "/>
    <s v=" "/>
    <s v=" "/>
    <s v=" "/>
    <s v=" "/>
    <s v=" "/>
    <s v=" "/>
    <s v=" "/>
    <s v=" "/>
    <s v=" "/>
    <s v=" "/>
    <x v="47"/>
    <x v="0"/>
    <x v="0"/>
    <x v="0"/>
    <x v="0"/>
    <x v="93"/>
    <x v="0"/>
    <x v="0"/>
    <x v="50"/>
    <x v="51"/>
    <x v="1"/>
    <x v="1"/>
    <x v="0"/>
    <x v="0"/>
    <x v="0"/>
    <x v="0"/>
    <x v="0"/>
    <x v="0"/>
    <x v="0"/>
    <x v="0"/>
    <x v="0"/>
    <x v="0"/>
    <x v="0"/>
    <x v="0"/>
    <x v="0"/>
    <x v="0"/>
    <x v="0"/>
    <x v="0"/>
    <x v="0"/>
    <x v="0"/>
    <x v="0"/>
    <x v="0"/>
    <x v="29"/>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Pan 09"/>
    <s v="Removal of Dam Wall"/>
    <s v="Excavation"/>
    <s v="Pan09_001"/>
    <x v="4"/>
    <n v="29.997084167000001"/>
    <n v="-25.814247777999999"/>
    <s v="29° 59' 49.50&quot;E "/>
    <s v="25° 48' 51.29&quot; S"/>
    <s v="Complete"/>
    <s v="Yes"/>
    <s v="Yes"/>
    <d v="2017-05-31T00:00:00"/>
    <s v="NA"/>
    <s v="NA"/>
    <s v="No Drawing"/>
    <s v="Yes"/>
    <s v="00"/>
    <d v="2018-06-16T00:00:00"/>
    <s v="Phase 2"/>
    <s v="Year 1"/>
    <n v="977.74475386160645"/>
    <n v="188"/>
    <n v="0"/>
    <n v="0"/>
    <n v="0"/>
    <n v="0"/>
    <n v="0"/>
    <n v="0"/>
    <n v="594"/>
    <n v="594"/>
    <n v="188"/>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n v="4888.7237693080324"/>
    <n v="9400"/>
    <n v="0"/>
    <n v="0"/>
    <n v="0"/>
    <n v="0"/>
    <n v="0"/>
    <n v="0"/>
    <n v="2970"/>
    <n v="5940"/>
    <n v="0"/>
    <n v="0"/>
    <n v="0"/>
    <n v="0"/>
    <n v="0"/>
    <n v="0"/>
    <n v="0"/>
    <n v="0"/>
    <n v="0"/>
    <n v="0"/>
    <n v="0"/>
    <n v="0"/>
    <n v="0"/>
    <n v="0"/>
    <n v="0"/>
    <n v="0"/>
    <n v="0"/>
    <n v="0"/>
    <n v="0"/>
    <n v="0"/>
    <n v="0"/>
    <n v="0"/>
    <n v="0"/>
    <n v="0"/>
    <n v="0"/>
    <n v="0"/>
    <n v="0"/>
    <n v="0"/>
    <n v="0"/>
    <n v="0"/>
    <n v="0"/>
    <n v="0"/>
    <n v="0"/>
    <n v="0"/>
    <n v="0"/>
    <n v="0"/>
    <n v="0"/>
    <n v="0"/>
    <n v="0"/>
    <n v="0"/>
    <n v="0"/>
    <n v="0"/>
    <n v="0"/>
    <n v="0"/>
    <n v="0"/>
    <n v="0"/>
    <n v="0"/>
    <n v="0"/>
    <n v="23198.723769308031"/>
    <n v="24590.647195466514"/>
    <s v=" "/>
    <s v=" "/>
    <s v=" "/>
    <s v=" "/>
    <s v=" "/>
    <s v=" "/>
    <s v=" "/>
    <s v=" "/>
    <s v=" "/>
    <s v=" "/>
    <s v=" "/>
    <s v=" "/>
    <s v=" "/>
    <s v=" "/>
    <x v="48"/>
    <x v="18"/>
    <x v="0"/>
    <x v="0"/>
    <x v="0"/>
    <x v="1"/>
    <x v="0"/>
    <x v="0"/>
    <x v="51"/>
    <x v="52"/>
    <x v="13"/>
    <x v="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Pan 14"/>
    <s v="Infilling of Drains"/>
    <s v="Earthworks"/>
    <s v="Pan14_004"/>
    <x v="9"/>
    <n v="29.969008333000001"/>
    <n v="-25.813643889000002"/>
    <s v="29° 58' 08.42&quot;E "/>
    <s v="25° 48' 49.11&quot; S"/>
    <s v="Complete"/>
    <s v="Yes"/>
    <s v="Yes"/>
    <d v="2017-05-29T00:00:00"/>
    <s v="NA"/>
    <s v="NA"/>
    <s v="No Drawing"/>
    <s v="Yes"/>
    <s v="00"/>
    <d v="2018-06-16T00:00:00"/>
    <s v="Phase 2"/>
    <s v="Year 3"/>
    <n v="380"/>
    <n v="0"/>
    <n v="0"/>
    <n v="0"/>
    <n v="0"/>
    <n v="0"/>
    <n v="0"/>
    <n v="0"/>
    <n v="180"/>
    <n v="180"/>
    <n v="0"/>
    <n v="0"/>
    <n v="0"/>
    <n v="0"/>
    <n v="0"/>
    <n v="0"/>
    <n v="0"/>
    <n v="0"/>
    <n v="0"/>
    <n v="0"/>
    <n v="0"/>
    <n v="0"/>
    <n v="0"/>
    <n v="0"/>
    <n v="0"/>
    <n v="0"/>
    <n v="0"/>
    <n v="0"/>
    <n v="0"/>
    <n v="0"/>
    <n v="0"/>
    <n v="0"/>
    <n v="0"/>
    <n v="0"/>
    <n v="90"/>
    <n v="0"/>
    <n v="0"/>
    <n v="0"/>
    <n v="0"/>
    <n v="0"/>
    <n v="0"/>
    <n v="0"/>
    <n v="0"/>
    <n v="0"/>
    <n v="0"/>
    <n v="0"/>
    <n v="0"/>
    <n v="0"/>
    <n v="0"/>
    <n v="0"/>
    <n v="0"/>
    <n v="0"/>
    <n v="0"/>
    <n v="0"/>
    <n v="0"/>
    <n v="0"/>
    <n v="0"/>
    <n v="0"/>
    <n v="0"/>
    <n v="0"/>
    <n v="0"/>
    <n v="0"/>
    <n v="0"/>
    <n v="0"/>
    <n v="0"/>
    <n v="0"/>
    <n v="0"/>
    <n v="0"/>
    <n v="0"/>
    <n v="0"/>
    <n v="0"/>
    <n v="0"/>
    <n v="0"/>
    <n v="0"/>
    <n v="0"/>
    <n v="0"/>
    <n v="0"/>
    <n v="0"/>
    <n v="0"/>
    <n v="0"/>
    <n v="0"/>
    <n v="0"/>
    <n v="0"/>
    <n v="0"/>
    <n v="0"/>
    <n v="0"/>
    <m/>
    <m/>
    <m/>
    <m/>
    <m/>
    <m/>
    <m/>
    <m/>
    <m/>
    <n v="1900"/>
    <n v="0"/>
    <n v="0"/>
    <n v="0"/>
    <n v="0"/>
    <n v="0"/>
    <n v="0"/>
    <n v="0"/>
    <n v="900"/>
    <n v="1800"/>
    <n v="0"/>
    <n v="0"/>
    <n v="0"/>
    <n v="0"/>
    <n v="0"/>
    <n v="0"/>
    <n v="0"/>
    <n v="0"/>
    <n v="0"/>
    <n v="0"/>
    <n v="10800"/>
    <n v="0"/>
    <n v="0"/>
    <n v="0"/>
    <n v="0"/>
    <n v="0"/>
    <n v="0"/>
    <n v="0"/>
    <n v="0"/>
    <n v="0"/>
    <n v="0"/>
    <n v="0"/>
    <n v="0"/>
    <n v="0"/>
    <n v="0"/>
    <n v="0"/>
    <n v="0"/>
    <n v="0"/>
    <n v="0"/>
    <n v="0"/>
    <n v="0"/>
    <n v="0"/>
    <n v="0"/>
    <n v="0"/>
    <n v="0"/>
    <n v="0"/>
    <n v="0"/>
    <n v="0"/>
    <n v="0"/>
    <n v="0"/>
    <n v="0"/>
    <n v="0"/>
    <n v="0"/>
    <n v="0"/>
    <n v="0"/>
    <n v="0"/>
    <n v="0"/>
    <n v="0"/>
    <n v="15400"/>
    <s v=" "/>
    <s v=" "/>
    <n v="18341.646400000005"/>
    <s v=" "/>
    <s v=" "/>
    <s v=" "/>
    <s v=" "/>
    <s v=" "/>
    <s v=" "/>
    <s v=" "/>
    <s v=" "/>
    <s v=" "/>
    <s v=" "/>
    <s v=" "/>
    <s v=" "/>
    <x v="49"/>
    <x v="0"/>
    <x v="0"/>
    <x v="0"/>
    <x v="0"/>
    <x v="1"/>
    <x v="0"/>
    <x v="0"/>
    <x v="52"/>
    <x v="53"/>
    <x v="1"/>
    <x v="1"/>
    <x v="0"/>
    <x v="0"/>
    <x v="0"/>
    <x v="0"/>
    <x v="0"/>
    <x v="0"/>
    <x v="0"/>
    <x v="0"/>
    <x v="0"/>
    <x v="0"/>
    <x v="0"/>
    <x v="0"/>
    <x v="0"/>
    <x v="0"/>
    <x v="0"/>
    <x v="0"/>
    <x v="0"/>
    <x v="0"/>
    <x v="0"/>
    <x v="0"/>
    <x v="3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Pan 14"/>
    <s v="Infilling of Drains"/>
    <s v="Earthworks"/>
    <s v="Pan14_005"/>
    <x v="9"/>
    <n v="29.969159999999999"/>
    <n v="-25.813644444000001"/>
    <s v="29° 58' 08.97&quot;E "/>
    <s v="25° 48' 49.11&quot; S"/>
    <s v="Complete"/>
    <s v="Yes"/>
    <s v="Yes"/>
    <d v="2017-05-29T00:00:00"/>
    <s v="NA"/>
    <s v="NA"/>
    <s v="No Drawing"/>
    <s v="Yes"/>
    <s v="00"/>
    <d v="2018-06-16T00:00:00"/>
    <s v="Phase 2"/>
    <s v="Year 3"/>
    <n v="461.04092228712886"/>
    <n v="0"/>
    <n v="0"/>
    <n v="0"/>
    <n v="0"/>
    <n v="0"/>
    <n v="0"/>
    <n v="0"/>
    <n v="450"/>
    <n v="450"/>
    <n v="0"/>
    <n v="0"/>
    <n v="0"/>
    <n v="0"/>
    <n v="0"/>
    <n v="0"/>
    <n v="0"/>
    <n v="0"/>
    <n v="0"/>
    <n v="0"/>
    <n v="0"/>
    <n v="0"/>
    <n v="0"/>
    <n v="0"/>
    <n v="0"/>
    <n v="0"/>
    <n v="0"/>
    <n v="0"/>
    <n v="0"/>
    <n v="0"/>
    <n v="0"/>
    <n v="0"/>
    <n v="0"/>
    <n v="0"/>
    <n v="81.899999999999991"/>
    <n v="0"/>
    <n v="0"/>
    <n v="0"/>
    <n v="0"/>
    <n v="0"/>
    <n v="0"/>
    <n v="0"/>
    <n v="0"/>
    <n v="0"/>
    <n v="0"/>
    <n v="0"/>
    <n v="0"/>
    <n v="0"/>
    <n v="0"/>
    <n v="0"/>
    <n v="0"/>
    <n v="0"/>
    <n v="0"/>
    <n v="0"/>
    <n v="0"/>
    <n v="0"/>
    <n v="0"/>
    <n v="0"/>
    <n v="0"/>
    <n v="0"/>
    <n v="0"/>
    <n v="0"/>
    <n v="0"/>
    <n v="0"/>
    <n v="0"/>
    <n v="0"/>
    <n v="0"/>
    <n v="0"/>
    <n v="0"/>
    <n v="0"/>
    <n v="0"/>
    <n v="0"/>
    <n v="0"/>
    <n v="0"/>
    <n v="0"/>
    <n v="0"/>
    <n v="0"/>
    <n v="0"/>
    <n v="0"/>
    <n v="0"/>
    <n v="0"/>
    <n v="0"/>
    <n v="0"/>
    <n v="0"/>
    <n v="0"/>
    <n v="0"/>
    <m/>
    <m/>
    <m/>
    <m/>
    <m/>
    <m/>
    <m/>
    <m/>
    <m/>
    <n v="2305.2046114356444"/>
    <n v="0"/>
    <n v="0"/>
    <n v="0"/>
    <n v="0"/>
    <n v="0"/>
    <n v="0"/>
    <n v="0"/>
    <n v="2250"/>
    <n v="4500"/>
    <n v="0"/>
    <n v="0"/>
    <n v="0"/>
    <n v="0"/>
    <n v="0"/>
    <n v="0"/>
    <n v="0"/>
    <n v="0"/>
    <n v="0"/>
    <n v="0"/>
    <n v="9827.9999999999982"/>
    <n v="0"/>
    <n v="0"/>
    <n v="0"/>
    <n v="0"/>
    <n v="0"/>
    <n v="0"/>
    <n v="0"/>
    <n v="0"/>
    <n v="0"/>
    <n v="0"/>
    <n v="0"/>
    <n v="0"/>
    <n v="0"/>
    <n v="0"/>
    <n v="0"/>
    <n v="0"/>
    <n v="0"/>
    <n v="0"/>
    <n v="0"/>
    <n v="0"/>
    <n v="0"/>
    <n v="0"/>
    <n v="0"/>
    <n v="0"/>
    <n v="0"/>
    <n v="0"/>
    <n v="0"/>
    <n v="0"/>
    <n v="0"/>
    <n v="0"/>
    <n v="0"/>
    <n v="0"/>
    <n v="0"/>
    <n v="0"/>
    <n v="0"/>
    <n v="0"/>
    <n v="0"/>
    <n v="18883.204611435642"/>
    <s v=" "/>
    <s v=" "/>
    <n v="22490.198823493636"/>
    <s v=" "/>
    <s v=" "/>
    <s v=" "/>
    <s v=" "/>
    <s v=" "/>
    <s v=" "/>
    <s v=" "/>
    <s v=" "/>
    <s v=" "/>
    <s v=" "/>
    <s v=" "/>
    <s v=" "/>
    <x v="50"/>
    <x v="0"/>
    <x v="0"/>
    <x v="0"/>
    <x v="0"/>
    <x v="1"/>
    <x v="0"/>
    <x v="0"/>
    <x v="53"/>
    <x v="54"/>
    <x v="1"/>
    <x v="1"/>
    <x v="0"/>
    <x v="0"/>
    <x v="0"/>
    <x v="0"/>
    <x v="0"/>
    <x v="0"/>
    <x v="0"/>
    <x v="0"/>
    <x v="0"/>
    <x v="0"/>
    <x v="0"/>
    <x v="0"/>
    <x v="0"/>
    <x v="0"/>
    <x v="0"/>
    <x v="0"/>
    <x v="0"/>
    <x v="0"/>
    <x v="0"/>
    <x v="0"/>
    <x v="3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Pan 14"/>
    <s v="Earthen Berms"/>
    <s v="Earthworks"/>
    <s v="Pan14_006"/>
    <x v="9"/>
    <n v="29.970862222000001"/>
    <n v="-25.813888056"/>
    <s v="29° 58' 15.10&quot;E "/>
    <s v="25° 48' 49.99&quot; S"/>
    <s v="Complete"/>
    <s v="Yes"/>
    <s v="Yes"/>
    <d v="2017-05-29T00:00:00"/>
    <s v="YES "/>
    <s v="NO"/>
    <s v="NBC-GTW-CL-0051"/>
    <s v="Yes"/>
    <s v="00"/>
    <d v="2018-06-16T00:00:00"/>
    <s v="Phase 2"/>
    <s v="Year 3"/>
    <n v="190.75533221704055"/>
    <n v="0"/>
    <n v="0"/>
    <n v="0"/>
    <n v="0"/>
    <n v="0"/>
    <n v="0"/>
    <n v="0"/>
    <n v="190.75533221704055"/>
    <n v="190.75533221704055"/>
    <n v="0"/>
    <n v="0"/>
    <n v="0"/>
    <n v="0"/>
    <n v="0"/>
    <n v="0"/>
    <n v="0"/>
    <n v="0"/>
    <n v="0"/>
    <n v="0"/>
    <n v="0"/>
    <n v="0"/>
    <n v="0"/>
    <n v="0"/>
    <n v="0"/>
    <n v="0"/>
    <n v="0"/>
    <n v="0"/>
    <n v="0"/>
    <n v="0"/>
    <n v="0"/>
    <n v="0"/>
    <n v="0"/>
    <n v="0"/>
    <n v="57.375"/>
    <n v="0"/>
    <n v="0"/>
    <n v="0"/>
    <n v="0"/>
    <n v="0"/>
    <n v="0"/>
    <n v="0"/>
    <n v="0"/>
    <n v="0"/>
    <n v="0"/>
    <n v="0"/>
    <n v="0"/>
    <n v="0"/>
    <n v="0"/>
    <n v="0"/>
    <n v="0"/>
    <n v="0"/>
    <n v="0"/>
    <n v="0"/>
    <n v="0"/>
    <n v="0"/>
    <n v="0"/>
    <n v="0"/>
    <n v="0"/>
    <n v="0"/>
    <n v="0"/>
    <n v="0"/>
    <n v="0"/>
    <n v="0"/>
    <n v="0"/>
    <n v="0"/>
    <n v="0"/>
    <n v="0"/>
    <n v="0"/>
    <n v="0"/>
    <n v="0"/>
    <n v="0"/>
    <n v="0"/>
    <n v="0"/>
    <n v="0"/>
    <n v="0"/>
    <n v="0"/>
    <n v="0"/>
    <n v="0"/>
    <n v="0"/>
    <n v="0"/>
    <n v="0"/>
    <n v="0"/>
    <m/>
    <m/>
    <m/>
    <m/>
    <m/>
    <m/>
    <m/>
    <m/>
    <m/>
    <m/>
    <m/>
    <m/>
    <n v="953.7766610852027"/>
    <n v="0"/>
    <n v="0"/>
    <n v="0"/>
    <n v="0"/>
    <n v="0"/>
    <n v="0"/>
    <n v="0"/>
    <n v="953.7766610852027"/>
    <n v="1907.5533221704054"/>
    <n v="0"/>
    <n v="0"/>
    <n v="0"/>
    <n v="0"/>
    <n v="0"/>
    <n v="0"/>
    <n v="0"/>
    <n v="0"/>
    <n v="0"/>
    <n v="0"/>
    <n v="6885"/>
    <n v="0"/>
    <n v="0"/>
    <n v="0"/>
    <n v="0"/>
    <n v="0"/>
    <n v="0"/>
    <n v="0"/>
    <n v="0"/>
    <n v="0"/>
    <n v="0"/>
    <n v="0"/>
    <n v="0"/>
    <n v="0"/>
    <n v="0"/>
    <n v="0"/>
    <n v="0"/>
    <n v="0"/>
    <n v="0"/>
    <n v="0"/>
    <n v="0"/>
    <n v="0"/>
    <n v="0"/>
    <n v="0"/>
    <n v="0"/>
    <n v="0"/>
    <n v="0"/>
    <n v="0"/>
    <n v="0"/>
    <n v="0"/>
    <n v="0"/>
    <n v="0"/>
    <n v="0"/>
    <n v="0"/>
    <n v="0"/>
    <n v="0"/>
    <n v="0"/>
    <n v="0"/>
    <n v="10700.106644340811"/>
    <s v=" "/>
    <s v=" "/>
    <n v="12743.998215116217"/>
    <s v=" "/>
    <s v=" "/>
    <s v=" "/>
    <s v=" "/>
    <s v=" "/>
    <s v=" "/>
    <s v=" "/>
    <s v=" "/>
    <s v=" "/>
    <s v=" "/>
    <s v=" "/>
    <s v=" "/>
    <x v="51"/>
    <x v="0"/>
    <x v="0"/>
    <x v="0"/>
    <x v="0"/>
    <x v="1"/>
    <x v="0"/>
    <x v="0"/>
    <x v="54"/>
    <x v="55"/>
    <x v="1"/>
    <x v="1"/>
    <x v="0"/>
    <x v="0"/>
    <x v="0"/>
    <x v="0"/>
    <x v="0"/>
    <x v="0"/>
    <x v="0"/>
    <x v="0"/>
    <x v="0"/>
    <x v="0"/>
    <x v="0"/>
    <x v="0"/>
    <x v="0"/>
    <x v="0"/>
    <x v="0"/>
    <x v="0"/>
    <x v="0"/>
    <x v="0"/>
    <x v="0"/>
    <x v="0"/>
    <x v="32"/>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Pan 14"/>
    <s v="Infilling of Drains"/>
    <s v="Earthworks"/>
    <s v="Pan14_007"/>
    <x v="9"/>
    <n v="29.968357222000002"/>
    <n v="-25.813337499999999"/>
    <s v="29° 58' 06.08&quot;E "/>
    <s v="25° 48' 48.01&quot; S"/>
    <s v="Complete"/>
    <s v="Yes"/>
    <s v="Yes"/>
    <d v="2017-05-29T00:00:00"/>
    <s v="NA"/>
    <s v="NA"/>
    <s v="No Drawing"/>
    <s v="Yes"/>
    <s v="00"/>
    <d v="2018-06-16T00:00:00"/>
    <s v="Phase 2"/>
    <s v="Year 3"/>
    <n v="168.28023074035519"/>
    <n v="0"/>
    <n v="0"/>
    <n v="0"/>
    <n v="0"/>
    <n v="18.600000000000001"/>
    <n v="0"/>
    <n v="0"/>
    <n v="76"/>
    <n v="76"/>
    <n v="0"/>
    <n v="0"/>
    <n v="0"/>
    <n v="0"/>
    <n v="0"/>
    <n v="0"/>
    <n v="0"/>
    <n v="0"/>
    <n v="0"/>
    <n v="0"/>
    <n v="0"/>
    <n v="0"/>
    <n v="0"/>
    <n v="0"/>
    <n v="0"/>
    <n v="0"/>
    <n v="0"/>
    <n v="0"/>
    <n v="0"/>
    <n v="0"/>
    <n v="0"/>
    <n v="0"/>
    <n v="0"/>
    <n v="0"/>
    <n v="47.88"/>
    <n v="0"/>
    <n v="0"/>
    <n v="0"/>
    <n v="0"/>
    <n v="0"/>
    <n v="0"/>
    <n v="0"/>
    <n v="0"/>
    <n v="0"/>
    <n v="0"/>
    <n v="0"/>
    <n v="0"/>
    <n v="0"/>
    <n v="0"/>
    <n v="0"/>
    <n v="0"/>
    <n v="0"/>
    <n v="0"/>
    <n v="0"/>
    <n v="0"/>
    <n v="0"/>
    <n v="0"/>
    <n v="0"/>
    <n v="0"/>
    <n v="0"/>
    <n v="0"/>
    <n v="0"/>
    <n v="0"/>
    <n v="0"/>
    <n v="0"/>
    <n v="0"/>
    <n v="0"/>
    <n v="0"/>
    <n v="0"/>
    <n v="0"/>
    <n v="0"/>
    <n v="0"/>
    <n v="0"/>
    <n v="0"/>
    <n v="0"/>
    <n v="0"/>
    <n v="0"/>
    <n v="0"/>
    <n v="0"/>
    <n v="0"/>
    <n v="0"/>
    <n v="0"/>
    <n v="0"/>
    <n v="0"/>
    <n v="0"/>
    <n v="0"/>
    <m/>
    <m/>
    <m/>
    <m/>
    <m/>
    <m/>
    <m/>
    <m/>
    <m/>
    <n v="841.40115370177591"/>
    <n v="0"/>
    <n v="0"/>
    <n v="0"/>
    <n v="0"/>
    <n v="1581.0000000000002"/>
    <n v="0"/>
    <n v="0"/>
    <n v="380"/>
    <n v="760"/>
    <n v="0"/>
    <n v="0"/>
    <n v="0"/>
    <n v="0"/>
    <n v="0"/>
    <n v="0"/>
    <n v="0"/>
    <n v="0"/>
    <n v="0"/>
    <n v="0"/>
    <n v="5745.6"/>
    <n v="0"/>
    <n v="0"/>
    <n v="0"/>
    <n v="0"/>
    <n v="0"/>
    <n v="0"/>
    <n v="0"/>
    <n v="0"/>
    <n v="0"/>
    <n v="0"/>
    <n v="0"/>
    <n v="0"/>
    <n v="0"/>
    <n v="0"/>
    <n v="0"/>
    <n v="0"/>
    <n v="0"/>
    <n v="0"/>
    <n v="0"/>
    <n v="0"/>
    <n v="0"/>
    <n v="0"/>
    <n v="0"/>
    <n v="0"/>
    <n v="0"/>
    <n v="0"/>
    <n v="0"/>
    <n v="0"/>
    <n v="0"/>
    <n v="0"/>
    <n v="0"/>
    <n v="0"/>
    <n v="0"/>
    <n v="0"/>
    <n v="0"/>
    <n v="0"/>
    <n v="0"/>
    <n v="9308.0011537017763"/>
    <s v=" "/>
    <s v=" "/>
    <n v="11085.978302077277"/>
    <s v=" "/>
    <s v=" "/>
    <s v=" "/>
    <s v=" "/>
    <s v=" "/>
    <s v=" "/>
    <s v=" "/>
    <s v=" "/>
    <s v=" "/>
    <s v=" "/>
    <s v=" "/>
    <s v=" "/>
    <x v="52"/>
    <x v="0"/>
    <x v="0"/>
    <x v="0"/>
    <x v="0"/>
    <x v="94"/>
    <x v="0"/>
    <x v="0"/>
    <x v="55"/>
    <x v="56"/>
    <x v="1"/>
    <x v="1"/>
    <x v="0"/>
    <x v="0"/>
    <x v="0"/>
    <x v="0"/>
    <x v="0"/>
    <x v="0"/>
    <x v="0"/>
    <x v="0"/>
    <x v="0"/>
    <x v="0"/>
    <x v="0"/>
    <x v="0"/>
    <x v="0"/>
    <x v="0"/>
    <x v="0"/>
    <x v="0"/>
    <x v="0"/>
    <x v="0"/>
    <x v="0"/>
    <x v="0"/>
    <x v="33"/>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Pan 14"/>
    <s v="Infilling of Drains"/>
    <s v="Earthworks"/>
    <s v="Pan14_008"/>
    <x v="9"/>
    <n v="29.967205556"/>
    <n v="-25.813318333000002"/>
    <s v="29° 58' 01.94&quot;E "/>
    <s v="25° 48' 47.94&quot; S"/>
    <s v="Complete"/>
    <s v="Yes"/>
    <s v="Yes"/>
    <d v="2017-05-29T00:00:00"/>
    <s v="NA"/>
    <s v="NA"/>
    <s v="No Drawing"/>
    <s v="Yes"/>
    <s v="00"/>
    <d v="2018-06-16T00:00:00"/>
    <s v="Phase 2"/>
    <s v="Year 3"/>
    <n v="108"/>
    <n v="73.439999999999984"/>
    <n v="0"/>
    <n v="0"/>
    <n v="0"/>
    <n v="48.6"/>
    <n v="0"/>
    <n v="0"/>
    <n v="108"/>
    <n v="108"/>
    <n v="0"/>
    <n v="0"/>
    <n v="0"/>
    <n v="0"/>
    <n v="0"/>
    <n v="0"/>
    <n v="0"/>
    <n v="0"/>
    <n v="0"/>
    <n v="0"/>
    <n v="0"/>
    <n v="0"/>
    <n v="0"/>
    <n v="0"/>
    <n v="0"/>
    <n v="0"/>
    <n v="0"/>
    <n v="0"/>
    <n v="0"/>
    <n v="0"/>
    <n v="0"/>
    <n v="0"/>
    <n v="0"/>
    <n v="0"/>
    <n v="18.359999999999996"/>
    <n v="0"/>
    <n v="0"/>
    <n v="0"/>
    <n v="0"/>
    <n v="0"/>
    <n v="0"/>
    <n v="0"/>
    <n v="0"/>
    <n v="0"/>
    <n v="0"/>
    <n v="0"/>
    <n v="0"/>
    <n v="0"/>
    <n v="0"/>
    <n v="0"/>
    <n v="0"/>
    <n v="0"/>
    <n v="0"/>
    <n v="0"/>
    <n v="0"/>
    <n v="0"/>
    <n v="0"/>
    <n v="0"/>
    <n v="0"/>
    <n v="0"/>
    <n v="0"/>
    <n v="0"/>
    <n v="0"/>
    <n v="0"/>
    <n v="0"/>
    <n v="0"/>
    <n v="0"/>
    <n v="0"/>
    <n v="0"/>
    <n v="0"/>
    <n v="0"/>
    <n v="0"/>
    <n v="0"/>
    <n v="0"/>
    <n v="0"/>
    <n v="0"/>
    <n v="0"/>
    <n v="0"/>
    <n v="0"/>
    <n v="0"/>
    <n v="0"/>
    <n v="0"/>
    <n v="0"/>
    <n v="0"/>
    <n v="0"/>
    <n v="0"/>
    <m/>
    <m/>
    <m/>
    <m/>
    <m/>
    <m/>
    <m/>
    <m/>
    <m/>
    <n v="540"/>
    <n v="3671.9999999999991"/>
    <n v="0"/>
    <n v="0"/>
    <n v="0"/>
    <n v="4131"/>
    <n v="0"/>
    <n v="0"/>
    <n v="540"/>
    <n v="1080"/>
    <n v="0"/>
    <n v="0"/>
    <n v="0"/>
    <n v="0"/>
    <n v="0"/>
    <n v="0"/>
    <n v="0"/>
    <n v="0"/>
    <n v="0"/>
    <n v="0"/>
    <n v="2203.1999999999994"/>
    <n v="0"/>
    <n v="0"/>
    <n v="0"/>
    <n v="0"/>
    <n v="0"/>
    <n v="0"/>
    <n v="0"/>
    <n v="0"/>
    <n v="0"/>
    <n v="0"/>
    <n v="0"/>
    <n v="0"/>
    <n v="0"/>
    <n v="0"/>
    <n v="0"/>
    <n v="0"/>
    <n v="0"/>
    <n v="0"/>
    <n v="0"/>
    <n v="0"/>
    <n v="0"/>
    <n v="0"/>
    <n v="0"/>
    <n v="0"/>
    <n v="0"/>
    <n v="0"/>
    <n v="0"/>
    <n v="0"/>
    <n v="0"/>
    <n v="0"/>
    <n v="0"/>
    <n v="0"/>
    <n v="0"/>
    <n v="0"/>
    <n v="0"/>
    <n v="0"/>
    <n v="0"/>
    <n v="12166.199999999999"/>
    <s v=" "/>
    <s v=" "/>
    <n v="14490.1388592"/>
    <s v=" "/>
    <s v=" "/>
    <s v=" "/>
    <s v=" "/>
    <s v=" "/>
    <s v=" "/>
    <s v=" "/>
    <s v=" "/>
    <s v=" "/>
    <s v=" "/>
    <s v=" "/>
    <s v=" "/>
    <x v="53"/>
    <x v="19"/>
    <x v="0"/>
    <x v="0"/>
    <x v="0"/>
    <x v="95"/>
    <x v="0"/>
    <x v="0"/>
    <x v="56"/>
    <x v="57"/>
    <x v="1"/>
    <x v="1"/>
    <x v="0"/>
    <x v="0"/>
    <x v="0"/>
    <x v="0"/>
    <x v="0"/>
    <x v="0"/>
    <x v="0"/>
    <x v="0"/>
    <x v="0"/>
    <x v="0"/>
    <x v="0"/>
    <x v="0"/>
    <x v="0"/>
    <x v="0"/>
    <x v="0"/>
    <x v="0"/>
    <x v="0"/>
    <x v="0"/>
    <x v="0"/>
    <x v="0"/>
    <x v="34"/>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Pan 14"/>
    <s v="Infilling of Drains"/>
    <s v="Earthworks"/>
    <s v="Pan14_009"/>
    <x v="9"/>
    <n v="29.967326389"/>
    <n v="-25.815248333"/>
    <s v="29° 58' 02.37&quot;E "/>
    <s v="25° 48' 54.89&quot; S"/>
    <s v="Complete"/>
    <s v="Yes"/>
    <s v="Yes"/>
    <d v="2017-05-29T00:00:00"/>
    <s v="NA"/>
    <s v="NA"/>
    <s v="No Drawing"/>
    <s v="Yes"/>
    <s v="00"/>
    <d v="2018-06-16T00:00:00"/>
    <s v="Phase 2"/>
    <s v="Year 3"/>
    <n v="139.61287026210616"/>
    <n v="0"/>
    <n v="0"/>
    <n v="0"/>
    <n v="0"/>
    <n v="0"/>
    <n v="0"/>
    <n v="0"/>
    <n v="78.400000000000006"/>
    <n v="78.400000000000006"/>
    <n v="0"/>
    <n v="0"/>
    <n v="0"/>
    <n v="0"/>
    <n v="0"/>
    <n v="0"/>
    <n v="0"/>
    <n v="0"/>
    <n v="0"/>
    <n v="0"/>
    <n v="0"/>
    <n v="0"/>
    <n v="0"/>
    <n v="0"/>
    <n v="0"/>
    <n v="0"/>
    <n v="0"/>
    <n v="0"/>
    <n v="0"/>
    <n v="0"/>
    <n v="0"/>
    <n v="0"/>
    <n v="0"/>
    <n v="0"/>
    <n v="27.439999999999998"/>
    <n v="0"/>
    <n v="0"/>
    <n v="0"/>
    <n v="0"/>
    <n v="0"/>
    <n v="0"/>
    <n v="0"/>
    <n v="0"/>
    <n v="0"/>
    <n v="0"/>
    <n v="0"/>
    <n v="0"/>
    <n v="0"/>
    <n v="0"/>
    <n v="0"/>
    <n v="0"/>
    <n v="0"/>
    <n v="0"/>
    <n v="0"/>
    <n v="0"/>
    <n v="0"/>
    <n v="0"/>
    <n v="0"/>
    <n v="0"/>
    <n v="0"/>
    <n v="0"/>
    <n v="0"/>
    <n v="0"/>
    <n v="0"/>
    <n v="0"/>
    <n v="0"/>
    <n v="0"/>
    <n v="0"/>
    <n v="0"/>
    <n v="0"/>
    <n v="0"/>
    <n v="0"/>
    <n v="0"/>
    <n v="0"/>
    <n v="0"/>
    <n v="0"/>
    <n v="0"/>
    <n v="0"/>
    <n v="0"/>
    <n v="0"/>
    <n v="0"/>
    <n v="0"/>
    <n v="0"/>
    <n v="0"/>
    <n v="0"/>
    <n v="0"/>
    <m/>
    <m/>
    <m/>
    <m/>
    <m/>
    <m/>
    <m/>
    <m/>
    <m/>
    <n v="698.06435131053081"/>
    <n v="0"/>
    <n v="0"/>
    <n v="0"/>
    <n v="0"/>
    <n v="0"/>
    <n v="0"/>
    <n v="0"/>
    <n v="392"/>
    <n v="784"/>
    <n v="0"/>
    <n v="0"/>
    <n v="0"/>
    <n v="0"/>
    <n v="0"/>
    <n v="0"/>
    <n v="0"/>
    <n v="0"/>
    <n v="0"/>
    <n v="0"/>
    <n v="3292.7999999999997"/>
    <n v="0"/>
    <n v="0"/>
    <n v="0"/>
    <n v="0"/>
    <n v="0"/>
    <n v="0"/>
    <n v="0"/>
    <n v="0"/>
    <n v="0"/>
    <n v="0"/>
    <n v="0"/>
    <n v="0"/>
    <n v="0"/>
    <n v="0"/>
    <n v="0"/>
    <n v="0"/>
    <n v="0"/>
    <n v="0"/>
    <n v="0"/>
    <n v="0"/>
    <n v="0"/>
    <n v="0"/>
    <n v="0"/>
    <n v="0"/>
    <n v="0"/>
    <n v="0"/>
    <n v="0"/>
    <n v="0"/>
    <n v="0"/>
    <n v="0"/>
    <n v="0"/>
    <n v="0"/>
    <n v="0"/>
    <n v="0"/>
    <n v="0"/>
    <n v="0"/>
    <n v="0"/>
    <n v="5166.8643513105308"/>
    <s v=" "/>
    <s v=" "/>
    <n v="6153.818112240464"/>
    <s v=" "/>
    <s v=" "/>
    <s v=" "/>
    <s v=" "/>
    <s v=" "/>
    <s v=" "/>
    <s v=" "/>
    <s v=" "/>
    <s v=" "/>
    <s v=" "/>
    <s v=" "/>
    <s v=" "/>
    <x v="54"/>
    <x v="0"/>
    <x v="0"/>
    <x v="0"/>
    <x v="0"/>
    <x v="1"/>
    <x v="0"/>
    <x v="0"/>
    <x v="57"/>
    <x v="58"/>
    <x v="1"/>
    <x v="1"/>
    <x v="0"/>
    <x v="0"/>
    <x v="0"/>
    <x v="0"/>
    <x v="0"/>
    <x v="0"/>
    <x v="0"/>
    <x v="0"/>
    <x v="0"/>
    <x v="0"/>
    <x v="0"/>
    <x v="0"/>
    <x v="0"/>
    <x v="0"/>
    <x v="0"/>
    <x v="0"/>
    <x v="0"/>
    <x v="0"/>
    <x v="0"/>
    <x v="0"/>
    <x v="35"/>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Pan 14"/>
    <s v="Infilling of Drains"/>
    <s v="Earthworks"/>
    <s v="Pan14_010"/>
    <x v="9"/>
    <n v="29.966897778"/>
    <n v="-25.816143611000001"/>
    <s v="29° 58' 00.83&quot;E "/>
    <s v="25° 48' 58.11&quot; S"/>
    <s v="Complete"/>
    <s v="Yes"/>
    <s v="Yes"/>
    <d v="2017-05-29T00:00:00"/>
    <s v="NA"/>
    <s v="NA"/>
    <s v="No Drawing"/>
    <s v="Yes"/>
    <s v="00"/>
    <d v="2018-06-16T00:00:00"/>
    <s v="Phase 2"/>
    <s v="Year 3"/>
    <n v="0"/>
    <n v="0"/>
    <n v="0"/>
    <n v="0"/>
    <n v="0"/>
    <n v="0"/>
    <n v="0"/>
    <n v="0"/>
    <n v="0"/>
    <n v="3437.5"/>
    <n v="0"/>
    <n v="0"/>
    <n v="0"/>
    <n v="0"/>
    <n v="0"/>
    <n v="0"/>
    <n v="0"/>
    <n v="0"/>
    <n v="0"/>
    <n v="0"/>
    <n v="0"/>
    <n v="0"/>
    <n v="0"/>
    <n v="0"/>
    <n v="0"/>
    <n v="0"/>
    <n v="0"/>
    <n v="0"/>
    <n v="0"/>
    <n v="0"/>
    <n v="0"/>
    <n v="0"/>
    <n v="0"/>
    <n v="0"/>
    <n v="1312.4999999999998"/>
    <n v="0"/>
    <n v="0"/>
    <n v="0"/>
    <n v="0"/>
    <n v="0"/>
    <n v="0"/>
    <n v="0"/>
    <n v="0"/>
    <n v="0"/>
    <n v="0"/>
    <n v="0"/>
    <n v="0"/>
    <n v="0"/>
    <n v="0"/>
    <n v="0"/>
    <n v="0"/>
    <n v="0"/>
    <n v="0"/>
    <n v="0"/>
    <n v="0"/>
    <n v="0"/>
    <n v="0"/>
    <n v="0"/>
    <n v="0"/>
    <n v="0"/>
    <n v="0"/>
    <n v="0"/>
    <n v="0"/>
    <n v="0"/>
    <n v="0"/>
    <n v="0"/>
    <n v="0"/>
    <n v="0"/>
    <n v="0"/>
    <n v="0"/>
    <n v="0"/>
    <n v="0"/>
    <n v="0"/>
    <n v="0"/>
    <n v="0"/>
    <n v="0"/>
    <n v="0"/>
    <n v="0"/>
    <n v="0"/>
    <n v="0"/>
    <n v="0"/>
    <n v="0"/>
    <n v="0"/>
    <n v="0"/>
    <n v="0"/>
    <n v="0"/>
    <m/>
    <m/>
    <m/>
    <m/>
    <m/>
    <m/>
    <m/>
    <m/>
    <m/>
    <n v="0"/>
    <n v="0"/>
    <n v="0"/>
    <n v="0"/>
    <n v="0"/>
    <n v="0"/>
    <n v="0"/>
    <n v="0"/>
    <n v="0"/>
    <n v="34375"/>
    <n v="0"/>
    <n v="0"/>
    <n v="0"/>
    <n v="0"/>
    <n v="0"/>
    <n v="0"/>
    <n v="0"/>
    <n v="0"/>
    <n v="0"/>
    <n v="0"/>
    <n v="157499.99999999997"/>
    <n v="0"/>
    <n v="0"/>
    <n v="0"/>
    <n v="0"/>
    <n v="0"/>
    <n v="0"/>
    <n v="0"/>
    <n v="0"/>
    <n v="0"/>
    <n v="0"/>
    <n v="0"/>
    <n v="0"/>
    <n v="0"/>
    <n v="0"/>
    <n v="0"/>
    <n v="0"/>
    <n v="0"/>
    <n v="0"/>
    <n v="0"/>
    <n v="0"/>
    <n v="0"/>
    <n v="0"/>
    <n v="0"/>
    <n v="0"/>
    <n v="0"/>
    <n v="0"/>
    <n v="0"/>
    <n v="0"/>
    <n v="0"/>
    <n v="0"/>
    <n v="0"/>
    <n v="0"/>
    <n v="0"/>
    <n v="0"/>
    <n v="0"/>
    <n v="0"/>
    <n v="0"/>
    <n v="191874.99999999997"/>
    <s v=" "/>
    <s v=" "/>
    <n v="228526.19499999998"/>
    <s v=" "/>
    <s v=" "/>
    <s v=" "/>
    <s v=" "/>
    <s v=" "/>
    <s v=" "/>
    <s v=" "/>
    <s v=" "/>
    <s v=" "/>
    <s v=" "/>
    <s v=" "/>
    <s v=" "/>
    <x v="0"/>
    <x v="0"/>
    <x v="0"/>
    <x v="0"/>
    <x v="0"/>
    <x v="1"/>
    <x v="0"/>
    <x v="0"/>
    <x v="0"/>
    <x v="59"/>
    <x v="1"/>
    <x v="1"/>
    <x v="0"/>
    <x v="0"/>
    <x v="0"/>
    <x v="0"/>
    <x v="0"/>
    <x v="0"/>
    <x v="0"/>
    <x v="0"/>
    <x v="0"/>
    <x v="0"/>
    <x v="0"/>
    <x v="0"/>
    <x v="0"/>
    <x v="0"/>
    <x v="0"/>
    <x v="0"/>
    <x v="0"/>
    <x v="0"/>
    <x v="0"/>
    <x v="0"/>
    <x v="36"/>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Pan 14"/>
    <s v="Infilling of Drains"/>
    <s v="Earthworks"/>
    <s v="Pan14_011"/>
    <x v="9"/>
    <n v="29.966433889000001"/>
    <n v="-25.816707222000002"/>
    <s v="29° 57' 59.16&quot;E "/>
    <s v="25° 49' 00.14&quot; S"/>
    <s v="Complete"/>
    <s v="Yes"/>
    <s v="Yes"/>
    <d v="2017-05-29T00:00:00"/>
    <s v="NA"/>
    <s v="NA"/>
    <s v="No Drawing"/>
    <s v="Yes"/>
    <s v="00"/>
    <d v="2018-06-16T00:00:00"/>
    <s v="Phase 2"/>
    <s v="Year 3"/>
    <n v="4365"/>
    <m/>
    <n v="0"/>
    <n v="0"/>
    <n v="0"/>
    <n v="582"/>
    <n v="0"/>
    <n v="0"/>
    <n v="4365"/>
    <n v="4365"/>
    <n v="0"/>
    <n v="0"/>
    <n v="0"/>
    <n v="0"/>
    <n v="0"/>
    <n v="0"/>
    <n v="0"/>
    <n v="0"/>
    <n v="0"/>
    <n v="0"/>
    <n v="0"/>
    <n v="0"/>
    <n v="0"/>
    <n v="0"/>
    <n v="0"/>
    <n v="0"/>
    <n v="0"/>
    <n v="0"/>
    <n v="0"/>
    <n v="0"/>
    <n v="0"/>
    <n v="0"/>
    <n v="0"/>
    <n v="0"/>
    <n v="582"/>
    <n v="0"/>
    <n v="0"/>
    <n v="0"/>
    <n v="0"/>
    <n v="0"/>
    <n v="0"/>
    <n v="0"/>
    <n v="0"/>
    <n v="0"/>
    <n v="0"/>
    <n v="0"/>
    <n v="0"/>
    <n v="0"/>
    <n v="0"/>
    <n v="0"/>
    <n v="0"/>
    <n v="0"/>
    <n v="0"/>
    <n v="0"/>
    <n v="0"/>
    <n v="0"/>
    <n v="0"/>
    <n v="0"/>
    <n v="0"/>
    <n v="0"/>
    <n v="0"/>
    <n v="0"/>
    <n v="0"/>
    <n v="0"/>
    <n v="0"/>
    <n v="0"/>
    <n v="0"/>
    <n v="0"/>
    <n v="0"/>
    <n v="0"/>
    <n v="0"/>
    <n v="0"/>
    <n v="0"/>
    <n v="0"/>
    <n v="0"/>
    <n v="0"/>
    <n v="0"/>
    <n v="0"/>
    <n v="0"/>
    <n v="0"/>
    <n v="0"/>
    <n v="0"/>
    <n v="0"/>
    <n v="0"/>
    <n v="0"/>
    <n v="0"/>
    <m/>
    <m/>
    <m/>
    <m/>
    <m/>
    <m/>
    <m/>
    <m/>
    <m/>
    <n v="21825"/>
    <n v="0"/>
    <n v="0"/>
    <n v="0"/>
    <n v="0"/>
    <n v="49470"/>
    <n v="0"/>
    <n v="0"/>
    <n v="21825"/>
    <n v="43650"/>
    <n v="0"/>
    <n v="0"/>
    <n v="0"/>
    <n v="0"/>
    <n v="0"/>
    <n v="0"/>
    <n v="0"/>
    <n v="0"/>
    <n v="0"/>
    <n v="0"/>
    <n v="69840"/>
    <n v="0"/>
    <n v="0"/>
    <n v="0"/>
    <n v="0"/>
    <n v="0"/>
    <n v="0"/>
    <n v="0"/>
    <n v="0"/>
    <n v="0"/>
    <n v="0"/>
    <n v="0"/>
    <n v="0"/>
    <n v="0"/>
    <n v="0"/>
    <n v="0"/>
    <n v="0"/>
    <n v="0"/>
    <n v="0"/>
    <n v="0"/>
    <n v="0"/>
    <n v="0"/>
    <n v="0"/>
    <n v="0"/>
    <n v="0"/>
    <n v="0"/>
    <n v="0"/>
    <n v="0"/>
    <n v="0"/>
    <n v="0"/>
    <n v="0"/>
    <n v="0"/>
    <n v="0"/>
    <n v="0"/>
    <n v="0"/>
    <n v="0"/>
    <n v="0"/>
    <n v="0"/>
    <n v="206610"/>
    <s v=" "/>
    <s v=" "/>
    <n v="246075.81576000003"/>
    <s v=" "/>
    <s v=" "/>
    <s v=" "/>
    <s v=" "/>
    <s v=" "/>
    <s v=" "/>
    <s v=" "/>
    <s v=" "/>
    <s v=" "/>
    <s v=" "/>
    <s v=" "/>
    <s v=" "/>
    <x v="55"/>
    <x v="0"/>
    <x v="0"/>
    <x v="0"/>
    <x v="0"/>
    <x v="96"/>
    <x v="0"/>
    <x v="0"/>
    <x v="58"/>
    <x v="60"/>
    <x v="1"/>
    <x v="1"/>
    <x v="0"/>
    <x v="0"/>
    <x v="0"/>
    <x v="0"/>
    <x v="0"/>
    <x v="0"/>
    <x v="0"/>
    <x v="0"/>
    <x v="0"/>
    <x v="0"/>
    <x v="0"/>
    <x v="0"/>
    <x v="0"/>
    <x v="0"/>
    <x v="0"/>
    <x v="0"/>
    <x v="0"/>
    <x v="0"/>
    <x v="0"/>
    <x v="0"/>
    <x v="37"/>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Pan 14"/>
    <s v="Reinstate Pan Edge"/>
    <s v="Earthworks"/>
    <s v="Pan14-001"/>
    <x v="9"/>
    <n v="29.967020000000002"/>
    <n v="-25.815358"/>
    <s v="29° 58' 01.27&quot;E "/>
    <s v="25° 48' 55.28&quot; S"/>
    <s v="Complete"/>
    <s v="Yes"/>
    <s v="Yes"/>
    <d v="2017-05-29T00:00:00"/>
    <s v="NA"/>
    <s v="NA"/>
    <s v="No Drawing"/>
    <s v="Yes"/>
    <s v="00"/>
    <d v="2018-06-16T00:00:00"/>
    <s v="Phase 2"/>
    <s v="Year 3"/>
    <n v="367.23072507056656"/>
    <m/>
    <n v="0"/>
    <n v="0"/>
    <n v="0"/>
    <n v="0"/>
    <n v="0"/>
    <n v="0"/>
    <n v="360"/>
    <n v="360"/>
    <n v="0"/>
    <n v="0"/>
    <n v="0"/>
    <n v="0"/>
    <n v="0"/>
    <n v="0"/>
    <n v="0"/>
    <n v="0"/>
    <n v="0"/>
    <n v="0"/>
    <n v="0"/>
    <n v="0"/>
    <n v="0"/>
    <n v="0"/>
    <n v="0"/>
    <n v="0"/>
    <n v="0"/>
    <n v="0"/>
    <n v="0"/>
    <n v="0"/>
    <n v="0"/>
    <n v="0"/>
    <n v="0"/>
    <n v="0"/>
    <n v="92"/>
    <n v="0"/>
    <n v="0"/>
    <n v="0"/>
    <n v="0"/>
    <n v="0"/>
    <n v="0"/>
    <n v="0"/>
    <n v="0"/>
    <n v="0"/>
    <n v="0"/>
    <n v="0"/>
    <n v="0"/>
    <n v="0"/>
    <n v="0"/>
    <n v="0"/>
    <n v="0"/>
    <n v="0"/>
    <n v="0"/>
    <n v="0"/>
    <n v="0"/>
    <n v="0"/>
    <n v="0"/>
    <n v="0"/>
    <n v="0"/>
    <n v="0"/>
    <n v="0"/>
    <n v="0"/>
    <n v="0"/>
    <n v="0"/>
    <n v="0"/>
    <n v="0"/>
    <n v="0"/>
    <n v="0"/>
    <n v="0"/>
    <n v="0"/>
    <n v="0"/>
    <n v="0"/>
    <n v="0"/>
    <n v="0"/>
    <n v="0"/>
    <n v="0"/>
    <n v="0"/>
    <n v="0"/>
    <n v="0"/>
    <n v="0"/>
    <n v="0"/>
    <n v="0"/>
    <n v="0"/>
    <n v="0"/>
    <n v="0"/>
    <n v="0"/>
    <m/>
    <m/>
    <m/>
    <m/>
    <m/>
    <m/>
    <m/>
    <m/>
    <m/>
    <n v="1836.1536253528329"/>
    <n v="0"/>
    <n v="0"/>
    <n v="0"/>
    <n v="0"/>
    <n v="0"/>
    <n v="0"/>
    <n v="0"/>
    <n v="1800"/>
    <n v="3600"/>
    <n v="0"/>
    <n v="0"/>
    <n v="0"/>
    <n v="0"/>
    <n v="0"/>
    <n v="0"/>
    <n v="0"/>
    <n v="0"/>
    <n v="0"/>
    <n v="0"/>
    <n v="11040"/>
    <n v="0"/>
    <n v="0"/>
    <n v="0"/>
    <n v="0"/>
    <n v="0"/>
    <n v="0"/>
    <n v="0"/>
    <n v="0"/>
    <n v="0"/>
    <n v="0"/>
    <n v="0"/>
    <n v="0"/>
    <n v="0"/>
    <n v="0"/>
    <n v="0"/>
    <n v="0"/>
    <n v="0"/>
    <n v="0"/>
    <n v="0"/>
    <n v="0"/>
    <n v="0"/>
    <n v="0"/>
    <n v="0"/>
    <n v="0"/>
    <n v="0"/>
    <n v="0"/>
    <n v="0"/>
    <n v="0"/>
    <n v="0"/>
    <n v="0"/>
    <n v="0"/>
    <n v="0"/>
    <n v="0"/>
    <n v="0"/>
    <n v="0"/>
    <n v="0"/>
    <n v="0"/>
    <n v="18276.153625352832"/>
    <s v=" "/>
    <s v=" "/>
    <n v="21767.191386253231"/>
    <s v=" "/>
    <s v=" "/>
    <s v=" "/>
    <s v=" "/>
    <s v=" "/>
    <s v=" "/>
    <s v=" "/>
    <s v=" "/>
    <s v=" "/>
    <s v=" "/>
    <s v=" "/>
    <s v=" "/>
    <x v="56"/>
    <x v="0"/>
    <x v="0"/>
    <x v="0"/>
    <x v="0"/>
    <x v="1"/>
    <x v="0"/>
    <x v="0"/>
    <x v="59"/>
    <x v="61"/>
    <x v="1"/>
    <x v="1"/>
    <x v="0"/>
    <x v="0"/>
    <x v="0"/>
    <x v="0"/>
    <x v="0"/>
    <x v="0"/>
    <x v="0"/>
    <x v="0"/>
    <x v="0"/>
    <x v="0"/>
    <x v="0"/>
    <x v="0"/>
    <x v="0"/>
    <x v="0"/>
    <x v="0"/>
    <x v="0"/>
    <x v="0"/>
    <x v="0"/>
    <x v="0"/>
    <x v="0"/>
    <x v="38"/>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Pan 14"/>
    <s v="Remove Berm"/>
    <s v="Excavation"/>
    <s v="Pan14-002"/>
    <x v="9"/>
    <n v="29.967040556000001"/>
    <n v="-25.815475833000001"/>
    <s v="29° 58' 01.34&quot;E "/>
    <s v="25° 48' 55.71&quot; S"/>
    <s v="Complete"/>
    <s v="Yes"/>
    <s v="Yes"/>
    <d v="2017-05-29T00:00:00"/>
    <s v="NA"/>
    <s v="NA"/>
    <s v="No Drawing"/>
    <s v="Yes"/>
    <s v="00"/>
    <d v="2018-06-16T00:00:00"/>
    <s v="Phase 2"/>
    <s v="Year 3"/>
    <n v="198"/>
    <m/>
    <n v="0"/>
    <n v="0"/>
    <n v="0"/>
    <n v="49.410000000000004"/>
    <n v="0"/>
    <n v="0"/>
    <n v="198"/>
    <n v="198"/>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n v="990"/>
    <n v="0"/>
    <n v="0"/>
    <n v="0"/>
    <n v="0"/>
    <n v="4199.8500000000004"/>
    <n v="0"/>
    <n v="0"/>
    <n v="990"/>
    <n v="1980"/>
    <n v="0"/>
    <n v="0"/>
    <n v="0"/>
    <n v="0"/>
    <n v="0"/>
    <n v="0"/>
    <n v="0"/>
    <n v="0"/>
    <n v="0"/>
    <n v="0"/>
    <n v="0"/>
    <n v="0"/>
    <n v="0"/>
    <n v="0"/>
    <n v="0"/>
    <n v="0"/>
    <n v="0"/>
    <n v="0"/>
    <n v="0"/>
    <n v="0"/>
    <n v="0"/>
    <n v="0"/>
    <n v="0"/>
    <n v="0"/>
    <n v="0"/>
    <n v="0"/>
    <n v="0"/>
    <n v="0"/>
    <n v="0"/>
    <n v="0"/>
    <n v="0"/>
    <n v="0"/>
    <n v="0"/>
    <n v="0"/>
    <n v="0"/>
    <n v="0"/>
    <n v="0"/>
    <n v="0"/>
    <n v="0"/>
    <n v="0"/>
    <n v="0"/>
    <n v="0"/>
    <n v="0"/>
    <n v="0"/>
    <n v="0"/>
    <n v="0"/>
    <n v="0"/>
    <n v="0"/>
    <n v="8159.85"/>
    <s v=" "/>
    <s v=" "/>
    <n v="9718.511907600001"/>
    <s v=" "/>
    <s v=" "/>
    <s v=" "/>
    <s v=" "/>
    <s v=" "/>
    <s v=" "/>
    <s v=" "/>
    <s v=" "/>
    <s v=" "/>
    <s v=" "/>
    <s v=" "/>
    <s v=" "/>
    <x v="57"/>
    <x v="0"/>
    <x v="0"/>
    <x v="0"/>
    <x v="0"/>
    <x v="97"/>
    <x v="0"/>
    <x v="0"/>
    <x v="60"/>
    <x v="62"/>
    <x v="1"/>
    <x v="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Pan 14"/>
    <s v="Remove berm and backfill drain"/>
    <s v="Earthworks"/>
    <s v="Pan14-003"/>
    <x v="9"/>
    <n v="29.967370278000001"/>
    <n v="-25.815128889"/>
    <s v="29° 58' 02.53&quot;E "/>
    <s v="25° 48' 54.46&quot; S"/>
    <s v="Complete"/>
    <s v="Yes"/>
    <s v="Yes"/>
    <d v="2017-05-29T00:00:00"/>
    <s v="NA"/>
    <s v="NA"/>
    <s v="No Drawing"/>
    <s v="Yes"/>
    <s v="00"/>
    <d v="2018-06-16T00:00:00"/>
    <s v="Phase 2"/>
    <s v="Year 3"/>
    <n v="2365"/>
    <n v="435.81999999999994"/>
    <n v="0"/>
    <n v="0"/>
    <n v="0"/>
    <n v="0"/>
    <n v="0"/>
    <n v="0"/>
    <n v="2365"/>
    <n v="2365"/>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n v="11825"/>
    <n v="21790.999999999996"/>
    <n v="0"/>
    <n v="0"/>
    <n v="0"/>
    <n v="0"/>
    <n v="0"/>
    <n v="0"/>
    <n v="11825"/>
    <n v="23650"/>
    <n v="0"/>
    <n v="0"/>
    <n v="0"/>
    <n v="0"/>
    <n v="0"/>
    <n v="0"/>
    <n v="0"/>
    <n v="0"/>
    <n v="0"/>
    <n v="0"/>
    <n v="0"/>
    <n v="0"/>
    <n v="0"/>
    <n v="0"/>
    <n v="0"/>
    <n v="0"/>
    <n v="0"/>
    <n v="0"/>
    <n v="0"/>
    <n v="0"/>
    <n v="0"/>
    <n v="0"/>
    <n v="0"/>
    <n v="0"/>
    <n v="0"/>
    <n v="0"/>
    <n v="0"/>
    <n v="0"/>
    <n v="0"/>
    <n v="0"/>
    <n v="0"/>
    <n v="0"/>
    <n v="0"/>
    <n v="0"/>
    <n v="0"/>
    <n v="0"/>
    <n v="0"/>
    <n v="0"/>
    <n v="0"/>
    <n v="0"/>
    <n v="0"/>
    <n v="0"/>
    <n v="0"/>
    <n v="0"/>
    <n v="0"/>
    <n v="0"/>
    <n v="0"/>
    <n v="0"/>
    <n v="69091"/>
    <s v=" "/>
    <s v=" "/>
    <n v="82288.486456000013"/>
    <s v=" "/>
    <s v=" "/>
    <s v=" "/>
    <s v=" "/>
    <s v=" "/>
    <s v=" "/>
    <s v=" "/>
    <s v=" "/>
    <s v=" "/>
    <s v=" "/>
    <s v=" "/>
    <s v=" "/>
    <x v="58"/>
    <x v="20"/>
    <x v="0"/>
    <x v="0"/>
    <x v="0"/>
    <x v="1"/>
    <x v="0"/>
    <x v="0"/>
    <x v="61"/>
    <x v="63"/>
    <x v="1"/>
    <x v="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Pan 08"/>
    <s v="Foreign Materials"/>
    <s v="Excavation"/>
    <s v="Pan8_001"/>
    <x v="4"/>
    <n v="29.983048888999999"/>
    <n v="-25.834729721999999"/>
    <s v="29° 58' 58.97&quot;E "/>
    <s v="25° 50' 05.02&quot; S"/>
    <s v="Complete"/>
    <s v="Yes"/>
    <s v="Yes"/>
    <d v="2017-05-29T00:00:00"/>
    <s v="NA"/>
    <s v="NA"/>
    <s v="No Drawing"/>
    <s v="Yes"/>
    <s v="00"/>
    <d v="2018-06-16T00:00:00"/>
    <s v="Phase 2"/>
    <s v="Year 1"/>
    <n v="0"/>
    <m/>
    <n v="0"/>
    <n v="0"/>
    <n v="0"/>
    <n v="18.900000000000002"/>
    <n v="0"/>
    <n v="0"/>
    <n v="54"/>
    <n v="54"/>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n v="0"/>
    <n v="0"/>
    <n v="0"/>
    <n v="0"/>
    <n v="0"/>
    <n v="1606.5000000000002"/>
    <n v="0"/>
    <n v="0"/>
    <n v="270"/>
    <n v="540"/>
    <n v="0"/>
    <n v="0"/>
    <n v="0"/>
    <n v="0"/>
    <n v="0"/>
    <n v="0"/>
    <n v="0"/>
    <n v="0"/>
    <n v="0"/>
    <n v="0"/>
    <n v="0"/>
    <n v="0"/>
    <n v="0"/>
    <n v="0"/>
    <n v="0"/>
    <n v="0"/>
    <n v="0"/>
    <n v="0"/>
    <n v="0"/>
    <n v="0"/>
    <n v="0"/>
    <n v="0"/>
    <n v="0"/>
    <n v="0"/>
    <n v="0"/>
    <n v="0"/>
    <n v="0"/>
    <n v="0"/>
    <n v="0"/>
    <n v="0"/>
    <n v="0"/>
    <n v="0"/>
    <n v="0"/>
    <n v="0"/>
    <n v="0"/>
    <n v="0"/>
    <n v="0"/>
    <n v="0"/>
    <n v="0"/>
    <n v="0"/>
    <n v="0"/>
    <n v="0"/>
    <n v="0"/>
    <n v="0"/>
    <n v="0"/>
    <n v="0"/>
    <n v="0"/>
    <n v="0"/>
    <n v="2416.5"/>
    <n v="2561.4900000000002"/>
    <s v=" "/>
    <s v=" "/>
    <s v=" "/>
    <s v=" "/>
    <s v=" "/>
    <s v=" "/>
    <s v=" "/>
    <s v=" "/>
    <s v=" "/>
    <s v=" "/>
    <s v=" "/>
    <s v=" "/>
    <s v=" "/>
    <s v=" "/>
    <x v="0"/>
    <x v="0"/>
    <x v="0"/>
    <x v="0"/>
    <x v="0"/>
    <x v="98"/>
    <x v="0"/>
    <x v="0"/>
    <x v="62"/>
    <x v="64"/>
    <x v="1"/>
    <x v="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Pan 08"/>
    <s v="Infilling of Drains"/>
    <s v="Earthworks"/>
    <s v="Pan8_002"/>
    <x v="4"/>
    <n v="29.983106943999999"/>
    <n v="-25.834318888999999"/>
    <s v="29° 58' 59.18&quot;E "/>
    <s v="25° 50' 03.54&quot; S"/>
    <s v="Complete"/>
    <s v="Yes"/>
    <s v="Yes"/>
    <d v="2017-05-29T00:00:00"/>
    <s v="NA"/>
    <s v="NA"/>
    <s v="No Drawing"/>
    <s v="Yes"/>
    <s v="00"/>
    <d v="2018-06-16T00:00:00"/>
    <s v="Phase 2"/>
    <s v="Year 1"/>
    <n v="320"/>
    <n v="0"/>
    <n v="0"/>
    <n v="0"/>
    <n v="0"/>
    <n v="64"/>
    <n v="0"/>
    <n v="0"/>
    <n v="320"/>
    <n v="320"/>
    <n v="0"/>
    <n v="0"/>
    <n v="0"/>
    <n v="0"/>
    <n v="0"/>
    <n v="0"/>
    <n v="0"/>
    <n v="0"/>
    <n v="0"/>
    <n v="0"/>
    <n v="0"/>
    <n v="0"/>
    <n v="0"/>
    <n v="0"/>
    <n v="0"/>
    <n v="0"/>
    <n v="0"/>
    <n v="0"/>
    <n v="0"/>
    <n v="0"/>
    <n v="0"/>
    <n v="0"/>
    <n v="0"/>
    <n v="0"/>
    <n v="93"/>
    <n v="0"/>
    <n v="0"/>
    <n v="0"/>
    <n v="0"/>
    <n v="0"/>
    <n v="0"/>
    <n v="0"/>
    <n v="0"/>
    <n v="0"/>
    <n v="0"/>
    <n v="0"/>
    <n v="0"/>
    <n v="0"/>
    <n v="0"/>
    <n v="0"/>
    <n v="0"/>
    <n v="0"/>
    <n v="0"/>
    <n v="0"/>
    <n v="0"/>
    <n v="0"/>
    <n v="0"/>
    <n v="0"/>
    <n v="0"/>
    <n v="0"/>
    <n v="0"/>
    <n v="0"/>
    <n v="0"/>
    <n v="0"/>
    <n v="0"/>
    <n v="0"/>
    <n v="0"/>
    <n v="0"/>
    <n v="0"/>
    <n v="0"/>
    <n v="0"/>
    <n v="0"/>
    <n v="0"/>
    <n v="0"/>
    <n v="0"/>
    <n v="0"/>
    <n v="0"/>
    <n v="0"/>
    <n v="0"/>
    <n v="0"/>
    <n v="0"/>
    <n v="0"/>
    <n v="0"/>
    <n v="0"/>
    <n v="0"/>
    <n v="0"/>
    <m/>
    <m/>
    <m/>
    <m/>
    <m/>
    <m/>
    <m/>
    <m/>
    <m/>
    <n v="1600"/>
    <n v="0"/>
    <n v="0"/>
    <n v="0"/>
    <n v="0"/>
    <n v="5440"/>
    <n v="0"/>
    <n v="0"/>
    <n v="1600"/>
    <n v="3200"/>
    <n v="0"/>
    <n v="0"/>
    <n v="0"/>
    <n v="0"/>
    <n v="0"/>
    <n v="0"/>
    <n v="0"/>
    <n v="0"/>
    <n v="0"/>
    <n v="0"/>
    <n v="11160"/>
    <n v="0"/>
    <n v="0"/>
    <n v="0"/>
    <n v="0"/>
    <n v="0"/>
    <n v="0"/>
    <n v="0"/>
    <n v="0"/>
    <n v="0"/>
    <n v="0"/>
    <n v="0"/>
    <n v="0"/>
    <n v="0"/>
    <n v="0"/>
    <n v="0"/>
    <n v="0"/>
    <n v="0"/>
    <n v="0"/>
    <n v="0"/>
    <n v="0"/>
    <n v="0"/>
    <n v="0"/>
    <n v="0"/>
    <n v="0"/>
    <n v="0"/>
    <n v="0"/>
    <n v="0"/>
    <n v="0"/>
    <n v="0"/>
    <n v="0"/>
    <n v="0"/>
    <n v="0"/>
    <n v="0"/>
    <n v="0"/>
    <n v="0"/>
    <n v="0"/>
    <n v="0"/>
    <n v="23000"/>
    <n v="24380"/>
    <s v=" "/>
    <s v=" "/>
    <s v=" "/>
    <s v=" "/>
    <s v=" "/>
    <s v=" "/>
    <s v=" "/>
    <s v=" "/>
    <s v=" "/>
    <s v=" "/>
    <s v=" "/>
    <s v=" "/>
    <s v=" "/>
    <s v=" "/>
    <x v="59"/>
    <x v="0"/>
    <x v="0"/>
    <x v="0"/>
    <x v="0"/>
    <x v="99"/>
    <x v="0"/>
    <x v="0"/>
    <x v="63"/>
    <x v="65"/>
    <x v="1"/>
    <x v="1"/>
    <x v="0"/>
    <x v="0"/>
    <x v="0"/>
    <x v="0"/>
    <x v="0"/>
    <x v="0"/>
    <x v="0"/>
    <x v="0"/>
    <x v="0"/>
    <x v="0"/>
    <x v="0"/>
    <x v="0"/>
    <x v="0"/>
    <x v="0"/>
    <x v="0"/>
    <x v="0"/>
    <x v="0"/>
    <x v="0"/>
    <x v="0"/>
    <x v="0"/>
    <x v="39"/>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Pan 08"/>
    <s v="Removal of Dam Wall"/>
    <s v="Excavation"/>
    <s v="Pan8_003"/>
    <x v="4"/>
    <n v="29.983264722000001"/>
    <n v="-25.834601388999999"/>
    <s v="29° 58' 59.75&quot;E "/>
    <s v="25° 50' 04.56&quot; S"/>
    <s v="Complete"/>
    <s v="Yes"/>
    <s v="Yes"/>
    <d v="2017-05-30T00:00:00"/>
    <s v="NA"/>
    <s v="NA"/>
    <s v="No Drawing"/>
    <s v="Yes"/>
    <s v="00"/>
    <d v="2018-06-16T00:00:00"/>
    <s v="Phase 2"/>
    <s v="Year 1"/>
    <n v="0"/>
    <m/>
    <n v="32.435749999999999"/>
    <n v="0"/>
    <n v="0"/>
    <n v="324.35749999999996"/>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1700"/>
    <n v="5"/>
    <n v="0"/>
    <n v="0"/>
    <n v="0"/>
    <m/>
    <m/>
    <m/>
    <m/>
    <m/>
    <m/>
    <m/>
    <m/>
    <m/>
    <n v="0"/>
    <n v="0"/>
    <n v="2432.6812500000001"/>
    <n v="0"/>
    <n v="0"/>
    <n v="27570.387499999997"/>
    <n v="0"/>
    <n v="0"/>
    <n v="0"/>
    <n v="0"/>
    <n v="0"/>
    <n v="0"/>
    <n v="0"/>
    <n v="0"/>
    <n v="0"/>
    <n v="0"/>
    <n v="0"/>
    <n v="0"/>
    <n v="0"/>
    <n v="0"/>
    <n v="0"/>
    <n v="0"/>
    <n v="0"/>
    <n v="0"/>
    <n v="0"/>
    <n v="0"/>
    <n v="0"/>
    <n v="0"/>
    <n v="0"/>
    <n v="0"/>
    <n v="0"/>
    <n v="0"/>
    <n v="0"/>
    <n v="0"/>
    <n v="0"/>
    <n v="0"/>
    <n v="0"/>
    <n v="0"/>
    <n v="0"/>
    <n v="0"/>
    <n v="0"/>
    <n v="0"/>
    <n v="0"/>
    <n v="0"/>
    <n v="17000"/>
    <n v="7500"/>
    <n v="0"/>
    <n v="0"/>
    <n v="0"/>
    <n v="0"/>
    <n v="0"/>
    <n v="0"/>
    <n v="0"/>
    <n v="0"/>
    <n v="0"/>
    <n v="0"/>
    <n v="0"/>
    <n v="0"/>
    <n v="54503.068749999999"/>
    <n v="57773.252874999998"/>
    <s v=" "/>
    <s v=" "/>
    <s v=" "/>
    <s v=" "/>
    <s v=" "/>
    <s v=" "/>
    <s v=" "/>
    <s v=" "/>
    <s v=" "/>
    <s v=" "/>
    <s v=" "/>
    <s v=" "/>
    <s v=" "/>
    <s v=" "/>
    <x v="0"/>
    <x v="0"/>
    <x v="1"/>
    <x v="0"/>
    <x v="0"/>
    <x v="100"/>
    <x v="0"/>
    <x v="0"/>
    <x v="0"/>
    <x v="4"/>
    <x v="1"/>
    <x v="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1"/>
    <x v="1"/>
    <x v="0"/>
    <x v="0"/>
    <x v="0"/>
    <x v="0"/>
    <x v="0"/>
    <x v="0"/>
    <x v="0"/>
    <x v="0"/>
    <x v="0"/>
    <x v="0"/>
    <x v="0"/>
    <x v="0"/>
  </r>
  <r>
    <s v="Pan 08"/>
    <s v="Removal of Berm"/>
    <s v="Excavation"/>
    <s v="Pan8_004"/>
    <x v="4"/>
    <n v="29.983300556"/>
    <n v="-25.834511667000001"/>
    <s v="29° 58' 59.88&quot;E "/>
    <s v="25° 50' 04.24&quot; S"/>
    <s v="Complete"/>
    <s v="Yes"/>
    <s v="Yes"/>
    <d v="1899-12-30T00:00:00"/>
    <s v="NA"/>
    <s v="NA"/>
    <s v="No Drawing"/>
    <s v="Yes"/>
    <s v="00"/>
    <d v="2018-06-16T00:00:00"/>
    <s v="Phase 2"/>
    <s v="Year 1"/>
    <n v="34.98116603770189"/>
    <m/>
    <n v="0"/>
    <n v="0"/>
    <n v="0"/>
    <n v="5.3999999999999995"/>
    <n v="0"/>
    <n v="0"/>
    <n v="18"/>
    <n v="18"/>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n v="174.90583018850944"/>
    <n v="0"/>
    <n v="0"/>
    <n v="0"/>
    <n v="0"/>
    <n v="458.99999999999994"/>
    <n v="0"/>
    <n v="0"/>
    <n v="90"/>
    <n v="180"/>
    <n v="0"/>
    <n v="0"/>
    <n v="0"/>
    <n v="0"/>
    <n v="0"/>
    <n v="0"/>
    <n v="0"/>
    <n v="0"/>
    <n v="0"/>
    <n v="0"/>
    <n v="0"/>
    <n v="0"/>
    <n v="0"/>
    <n v="0"/>
    <n v="0"/>
    <n v="0"/>
    <n v="0"/>
    <n v="0"/>
    <n v="0"/>
    <n v="0"/>
    <n v="0"/>
    <n v="0"/>
    <n v="0"/>
    <n v="0"/>
    <n v="0"/>
    <n v="0"/>
    <n v="0"/>
    <n v="0"/>
    <n v="0"/>
    <n v="0"/>
    <n v="0"/>
    <n v="0"/>
    <n v="0"/>
    <n v="0"/>
    <n v="0"/>
    <n v="0"/>
    <n v="0"/>
    <n v="0"/>
    <n v="0"/>
    <n v="0"/>
    <n v="0"/>
    <n v="0"/>
    <n v="0"/>
    <n v="0"/>
    <n v="0"/>
    <n v="0"/>
    <n v="0"/>
    <n v="0"/>
    <n v="903.90583018850941"/>
    <n v="958.14017999982002"/>
    <s v=" "/>
    <s v=" "/>
    <s v=" "/>
    <s v=" "/>
    <s v=" "/>
    <s v=" "/>
    <s v=" "/>
    <s v=" "/>
    <s v=" "/>
    <s v=" "/>
    <s v=" "/>
    <s v=" "/>
    <s v=" "/>
    <s v=" "/>
    <x v="60"/>
    <x v="0"/>
    <x v="0"/>
    <x v="0"/>
    <x v="0"/>
    <x v="101"/>
    <x v="0"/>
    <x v="0"/>
    <x v="64"/>
    <x v="66"/>
    <x v="1"/>
    <x v="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pivotCacheRecords>
</file>

<file path=xl/pivotCache/pivotCacheRecords4.xml><?xml version="1.0" encoding="utf-8"?>
<pivotCacheRecords xmlns="http://schemas.openxmlformats.org/spreadsheetml/2006/main" xmlns:r="http://schemas.openxmlformats.org/officeDocument/2006/relationships" count="129">
  <r>
    <s v="DS12"/>
    <s v="Removal of earthen material"/>
    <s v="Excavation"/>
    <s v="DS12_004"/>
    <x v="0"/>
    <n v="29.998232777999998"/>
    <n v="-25.794158332999999"/>
    <s v="29° 59' 53.63&quot;E "/>
    <s v="25° 47' 38.96&quot; S"/>
    <s v="Complete"/>
    <s v="Yes"/>
    <s v="Yes"/>
    <d v="2017-05-29T00:00:00"/>
    <s v="NA"/>
    <s v="NA"/>
    <s v="NA"/>
    <s v="Yes"/>
    <s v="00"/>
    <d v="2018-06-16T00:00:00"/>
    <s v="Phase 2"/>
    <s v="Year 8"/>
    <n v="0"/>
    <n v="0"/>
    <n v="0"/>
    <n v="0"/>
    <n v="0"/>
    <n v="523.01728000000003"/>
    <n v="0"/>
    <n v="0"/>
    <n v="0"/>
    <n v="626.36800000000005"/>
    <n v="523.01728000000003"/>
    <n v="4105.6856479999997"/>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n v="0"/>
    <n v="0"/>
    <n v="0"/>
    <n v="0"/>
    <n v="0"/>
    <n v="44456.468800000002"/>
    <n v="0"/>
    <n v="0"/>
    <n v="0"/>
    <n v="6263.68"/>
    <n v="24634.113888"/>
    <n v="0"/>
    <n v="0"/>
    <n v="0"/>
    <n v="0"/>
    <n v="0"/>
    <n v="0"/>
    <n v="0"/>
    <n v="0"/>
    <n v="0"/>
    <n v="0"/>
    <n v="0"/>
    <n v="0"/>
    <n v="0"/>
    <n v="0"/>
    <n v="0"/>
    <n v="0"/>
    <n v="0"/>
    <n v="0"/>
    <n v="0"/>
    <n v="0"/>
    <n v="0"/>
    <n v="0"/>
    <n v="0"/>
    <n v="0"/>
    <n v="0"/>
    <n v="0"/>
    <n v="0"/>
    <n v="0"/>
    <n v="0"/>
    <n v="0"/>
    <n v="0"/>
    <n v="0"/>
    <n v="0"/>
    <n v="0"/>
    <n v="0"/>
    <n v="0"/>
    <n v="0"/>
    <n v="0"/>
    <n v="0"/>
    <n v="0"/>
    <n v="0"/>
    <n v="0"/>
    <n v="0"/>
    <n v="0"/>
    <n v="0"/>
    <n v="0"/>
    <n v="0"/>
    <n v="75354.262688000003"/>
    <s v=" "/>
    <s v=" "/>
    <s v=" "/>
    <s v=" "/>
    <s v=" "/>
    <s v=" "/>
    <s v=" "/>
    <n v="120103.24649296005"/>
    <s v=" "/>
    <s v=" "/>
    <s v=" "/>
    <s v=" "/>
    <s v=" "/>
    <s v=" "/>
    <s v=" "/>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DS12"/>
    <s v="Excavation of Dam Wall"/>
    <s v="Excavation of Dam Wall"/>
    <s v="DS12_001"/>
    <x v="1"/>
    <n v="30.0003125"/>
    <n v="-25.793885277000001"/>
    <s v="30° 00' 01.12&quot;E "/>
    <s v="25° 47' 37.98&quot; S"/>
    <m/>
    <m/>
    <m/>
    <m/>
    <s v="NA"/>
    <s v="NA"/>
    <s v="NA"/>
    <s v="Yes"/>
    <s v="00"/>
    <d v="2018-06-16T00:00:00"/>
    <s v="Phase 2"/>
    <s v="Year 8"/>
    <n v="1251.4023269063123"/>
    <n v="1419.1099999999997"/>
    <m/>
    <m/>
    <m/>
    <m/>
    <m/>
    <m/>
    <n v="1251.4023269063123"/>
    <n v="1251.4000000000001"/>
    <m/>
    <m/>
    <m/>
    <m/>
    <m/>
    <m/>
    <m/>
    <m/>
    <m/>
    <m/>
    <m/>
    <m/>
    <m/>
    <m/>
    <m/>
    <m/>
    <m/>
    <m/>
    <m/>
    <m/>
    <m/>
    <m/>
    <m/>
    <m/>
    <m/>
    <m/>
    <m/>
    <m/>
    <m/>
    <m/>
    <m/>
    <m/>
    <m/>
    <m/>
    <m/>
    <m/>
    <m/>
    <m/>
    <m/>
    <m/>
    <m/>
    <m/>
    <m/>
    <m/>
    <m/>
    <m/>
    <m/>
    <m/>
    <m/>
    <m/>
    <m/>
    <m/>
    <m/>
    <m/>
    <m/>
    <m/>
    <m/>
    <m/>
    <m/>
    <m/>
    <m/>
    <m/>
    <m/>
    <m/>
    <m/>
    <m/>
    <m/>
    <m/>
    <m/>
    <m/>
    <m/>
    <m/>
    <m/>
    <m/>
    <m/>
    <m/>
    <m/>
    <m/>
    <m/>
    <m/>
    <m/>
    <m/>
    <m/>
    <m/>
    <m/>
    <n v="6257.0116345315619"/>
    <n v="70955.499999999985"/>
    <n v="0"/>
    <n v="0"/>
    <n v="0"/>
    <n v="0"/>
    <n v="0"/>
    <n v="0"/>
    <n v="6257.0116345315619"/>
    <n v="12514"/>
    <n v="0"/>
    <n v="0"/>
    <n v="0"/>
    <n v="0"/>
    <n v="0"/>
    <n v="0"/>
    <n v="0"/>
    <n v="0"/>
    <n v="0"/>
    <n v="0"/>
    <n v="0"/>
    <n v="0"/>
    <n v="0"/>
    <n v="0"/>
    <n v="0"/>
    <n v="0"/>
    <n v="0"/>
    <n v="0"/>
    <n v="0"/>
    <n v="0"/>
    <n v="0"/>
    <n v="0"/>
    <n v="0"/>
    <n v="0"/>
    <n v="0"/>
    <n v="0"/>
    <n v="0"/>
    <n v="0"/>
    <n v="0"/>
    <n v="0"/>
    <n v="0"/>
    <n v="0"/>
    <n v="0"/>
    <n v="0"/>
    <n v="0"/>
    <n v="0"/>
    <n v="0"/>
    <n v="0"/>
    <n v="0"/>
    <n v="0"/>
    <n v="0"/>
    <n v="0"/>
    <n v="0"/>
    <n v="0"/>
    <n v="0"/>
    <n v="0"/>
    <n v="0"/>
    <n v="0"/>
    <n v="95983.523269063109"/>
    <s v=" "/>
    <s v=" "/>
    <s v=" "/>
    <s v=" "/>
    <s v=" "/>
    <s v=" "/>
    <s v=" "/>
    <n v="152983.15374908253"/>
    <s v=" "/>
    <s v=" "/>
    <s v=" "/>
    <s v=" "/>
    <s v=" "/>
    <s v=" "/>
    <s v=" "/>
    <x v="1"/>
    <x v="1"/>
    <x v="0"/>
    <x v="0"/>
    <x v="0"/>
    <x v="1"/>
    <x v="0"/>
    <x v="0"/>
    <x v="1"/>
    <x v="1"/>
    <x v="1"/>
    <x v="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DS12"/>
    <s v="Backfilling Dam"/>
    <s v="Backfilling Dam"/>
    <s v="DS12_002"/>
    <x v="1"/>
    <n v="31.001988999999998"/>
    <n v="-25.793608299999999"/>
    <s v="31° 00' 07.16&quot;E "/>
    <s v="25° 47' 36.98&quot; S"/>
    <m/>
    <m/>
    <m/>
    <m/>
    <s v="NA"/>
    <s v="NA"/>
    <s v="NA"/>
    <s v="Yes"/>
    <s v="00"/>
    <d v="2018-06-16T00:00:00"/>
    <s v="Phase 2"/>
    <s v="Year 8"/>
    <n v="995.48731819158468"/>
    <n v="1723.444675"/>
    <m/>
    <m/>
    <m/>
    <m/>
    <m/>
    <m/>
    <n v="995.48731819158468"/>
    <n v="995.48731819158468"/>
    <m/>
    <m/>
    <m/>
    <m/>
    <m/>
    <m/>
    <m/>
    <m/>
    <m/>
    <m/>
    <m/>
    <m/>
    <m/>
    <m/>
    <m/>
    <m/>
    <m/>
    <m/>
    <m/>
    <m/>
    <m/>
    <m/>
    <m/>
    <m/>
    <m/>
    <m/>
    <m/>
    <m/>
    <m/>
    <m/>
    <m/>
    <m/>
    <m/>
    <m/>
    <m/>
    <m/>
    <m/>
    <m/>
    <m/>
    <m/>
    <m/>
    <m/>
    <m/>
    <m/>
    <m/>
    <m/>
    <m/>
    <m/>
    <m/>
    <m/>
    <m/>
    <m/>
    <m/>
    <m/>
    <m/>
    <m/>
    <m/>
    <m/>
    <m/>
    <m/>
    <m/>
    <m/>
    <m/>
    <m/>
    <m/>
    <m/>
    <m/>
    <m/>
    <m/>
    <m/>
    <m/>
    <m/>
    <m/>
    <m/>
    <m/>
    <m/>
    <m/>
    <m/>
    <m/>
    <m/>
    <m/>
    <m/>
    <m/>
    <m/>
    <m/>
    <n v="4977.4365909579237"/>
    <n v="86172.233749999999"/>
    <n v="0"/>
    <n v="0"/>
    <n v="0"/>
    <n v="0"/>
    <n v="0"/>
    <n v="0"/>
    <n v="4977.4365909579237"/>
    <n v="9954.8731819158475"/>
    <n v="0"/>
    <n v="0"/>
    <n v="0"/>
    <n v="0"/>
    <n v="0"/>
    <n v="0"/>
    <n v="0"/>
    <n v="0"/>
    <n v="0"/>
    <n v="0"/>
    <n v="0"/>
    <n v="0"/>
    <n v="0"/>
    <n v="0"/>
    <n v="0"/>
    <n v="0"/>
    <n v="0"/>
    <n v="0"/>
    <n v="0"/>
    <n v="0"/>
    <n v="0"/>
    <n v="0"/>
    <n v="0"/>
    <n v="0"/>
    <n v="0"/>
    <n v="0"/>
    <n v="0"/>
    <n v="0"/>
    <n v="0"/>
    <n v="0"/>
    <n v="0"/>
    <n v="0"/>
    <n v="0"/>
    <n v="0"/>
    <n v="0"/>
    <n v="0"/>
    <n v="0"/>
    <n v="0"/>
    <n v="0"/>
    <n v="0"/>
    <n v="0"/>
    <n v="0"/>
    <n v="0"/>
    <n v="0"/>
    <n v="0"/>
    <n v="0"/>
    <n v="0"/>
    <n v="0"/>
    <n v="106081.98011383168"/>
    <s v=" "/>
    <s v=" "/>
    <s v=" "/>
    <s v=" "/>
    <s v=" "/>
    <s v=" "/>
    <s v=" "/>
    <n v="169078.55974684973"/>
    <s v=" "/>
    <s v=" "/>
    <s v=" "/>
    <s v=" "/>
    <s v=" "/>
    <s v=" "/>
    <s v=" "/>
    <x v="2"/>
    <x v="2"/>
    <x v="0"/>
    <x v="0"/>
    <x v="0"/>
    <x v="1"/>
    <x v="0"/>
    <x v="0"/>
    <x v="2"/>
    <x v="2"/>
    <x v="1"/>
    <x v="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DS12"/>
    <s v="Excavation of Dam Wall"/>
    <s v="Excavation of Dam Wall"/>
    <s v="DS12_003"/>
    <x v="1"/>
    <n v="31.003015277778001"/>
    <n v="-25.793607776999998"/>
    <s v="31° 00' 10.85&quot;E "/>
    <s v="25° 47' 36.98&quot; S"/>
    <m/>
    <m/>
    <m/>
    <m/>
    <s v="NA"/>
    <s v="NA"/>
    <s v="NA"/>
    <s v="Yes"/>
    <s v="00"/>
    <d v="2018-06-16T00:00:00"/>
    <s v="Phase 2"/>
    <s v="Year 8"/>
    <n v="621.56961147900779"/>
    <n v="659.31400000000008"/>
    <m/>
    <m/>
    <m/>
    <m/>
    <m/>
    <m/>
    <n v="621.56961147900779"/>
    <n v="621.57000000000005"/>
    <m/>
    <m/>
    <m/>
    <m/>
    <m/>
    <m/>
    <m/>
    <m/>
    <m/>
    <m/>
    <m/>
    <m/>
    <m/>
    <m/>
    <m/>
    <m/>
    <m/>
    <m/>
    <m/>
    <m/>
    <m/>
    <m/>
    <m/>
    <m/>
    <m/>
    <m/>
    <m/>
    <m/>
    <m/>
    <m/>
    <m/>
    <m/>
    <m/>
    <m/>
    <m/>
    <m/>
    <m/>
    <m/>
    <m/>
    <m/>
    <m/>
    <m/>
    <m/>
    <m/>
    <m/>
    <m/>
    <m/>
    <m/>
    <m/>
    <m/>
    <m/>
    <m/>
    <m/>
    <m/>
    <m/>
    <m/>
    <m/>
    <m/>
    <m/>
    <m/>
    <m/>
    <m/>
    <m/>
    <m/>
    <m/>
    <m/>
    <m/>
    <m/>
    <m/>
    <m/>
    <m/>
    <m/>
    <m/>
    <m/>
    <m/>
    <m/>
    <m/>
    <m/>
    <m/>
    <m/>
    <m/>
    <m/>
    <m/>
    <m/>
    <m/>
    <n v="3107.8480573950392"/>
    <n v="32965.700000000004"/>
    <n v="0"/>
    <n v="0"/>
    <n v="0"/>
    <n v="0"/>
    <n v="0"/>
    <n v="0"/>
    <n v="3107.8480573950392"/>
    <n v="6215.7000000000007"/>
    <n v="0"/>
    <n v="0"/>
    <n v="0"/>
    <n v="0"/>
    <n v="0"/>
    <n v="0"/>
    <n v="0"/>
    <n v="0"/>
    <n v="0"/>
    <n v="0"/>
    <n v="0"/>
    <n v="0"/>
    <n v="0"/>
    <n v="0"/>
    <n v="0"/>
    <n v="0"/>
    <n v="0"/>
    <n v="0"/>
    <n v="0"/>
    <n v="0"/>
    <n v="0"/>
    <n v="0"/>
    <n v="0"/>
    <n v="0"/>
    <n v="0"/>
    <n v="0"/>
    <n v="0"/>
    <n v="0"/>
    <n v="0"/>
    <n v="0"/>
    <n v="0"/>
    <n v="0"/>
    <n v="0"/>
    <n v="0"/>
    <n v="0"/>
    <n v="0"/>
    <n v="0"/>
    <n v="0"/>
    <n v="0"/>
    <n v="0"/>
    <n v="0"/>
    <n v="0"/>
    <n v="0"/>
    <n v="0"/>
    <n v="0"/>
    <n v="0"/>
    <n v="0"/>
    <n v="0"/>
    <n v="45397.096114790082"/>
    <s v=" "/>
    <s v=" "/>
    <s v=" "/>
    <s v=" "/>
    <s v=" "/>
    <s v=" "/>
    <s v=" "/>
    <n v="72356.074231849736"/>
    <s v=" "/>
    <s v=" "/>
    <s v=" "/>
    <s v=" "/>
    <s v=" "/>
    <s v=" "/>
    <s v=" "/>
    <x v="3"/>
    <x v="3"/>
    <x v="0"/>
    <x v="0"/>
    <x v="0"/>
    <x v="1"/>
    <x v="0"/>
    <x v="0"/>
    <x v="3"/>
    <x v="3"/>
    <x v="1"/>
    <x v="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11"/>
    <s v="Off-take structure"/>
    <s v="Concrete"/>
    <s v="ks11-001"/>
    <x v="1"/>
    <n v="29.966327612000001"/>
    <n v="-25.803679738"/>
    <s v="29° 57' 58.77&quot;E "/>
    <s v="25° 48' 13.24&quot; S"/>
    <s v="Complete"/>
    <s v="Yes"/>
    <s v="Yes"/>
    <d v="1899-12-30T00:00:00"/>
    <s v="YES "/>
    <m/>
    <s v="NBC-GTW-CL-0066"/>
    <s v="Yes"/>
    <s v="00"/>
    <d v="2018-06-16T00:00:00"/>
    <s v="Phase 2"/>
    <s v="Year 8"/>
    <m/>
    <m/>
    <m/>
    <m/>
    <m/>
    <n v="4"/>
    <m/>
    <m/>
    <m/>
    <m/>
    <m/>
    <m/>
    <n v="1.5"/>
    <m/>
    <m/>
    <m/>
    <s v="Ref 395"/>
    <n v="7.5"/>
    <m/>
    <m/>
    <m/>
    <m/>
    <m/>
    <n v="3.0680000000000001"/>
    <m/>
    <m/>
    <m/>
    <m/>
    <m/>
    <m/>
    <n v="4.3160000000000007"/>
    <m/>
    <m/>
    <m/>
    <m/>
    <m/>
    <m/>
    <m/>
    <m/>
    <m/>
    <m/>
    <m/>
    <m/>
    <m/>
    <m/>
    <m/>
    <m/>
    <m/>
    <m/>
    <m/>
    <m/>
    <m/>
    <m/>
    <m/>
    <m/>
    <m/>
    <m/>
    <m/>
    <m/>
    <m/>
    <m/>
    <m/>
    <m/>
    <m/>
    <m/>
    <m/>
    <m/>
    <m/>
    <m/>
    <m/>
    <m/>
    <m/>
    <m/>
    <m/>
    <n v="4.6319999999999997"/>
    <n v="265"/>
    <n v="4"/>
    <n v="265"/>
    <n v="185.5"/>
    <n v="265"/>
    <n v="5"/>
    <n v="0"/>
    <n v="0"/>
    <n v="0"/>
    <n v="0"/>
    <n v="0"/>
    <n v="1"/>
    <n v="2"/>
    <n v="2"/>
    <n v="0.5"/>
    <m/>
    <m/>
    <m/>
    <m/>
    <m/>
    <n v="0"/>
    <n v="0"/>
    <n v="0"/>
    <n v="0"/>
    <n v="0"/>
    <n v="340"/>
    <n v="0"/>
    <n v="0"/>
    <n v="0"/>
    <n v="0"/>
    <n v="0"/>
    <n v="3000"/>
    <n v="0"/>
    <n v="0"/>
    <n v="0"/>
    <n v="150"/>
    <n v="1994.2"/>
    <n v="129.48000000000002"/>
    <n v="0"/>
    <n v="0"/>
    <n v="0"/>
    <n v="0"/>
    <n v="0"/>
    <n v="0"/>
    <n v="0"/>
    <n v="0"/>
    <n v="0"/>
    <n v="0"/>
    <n v="0"/>
    <n v="0"/>
    <n v="0"/>
    <n v="0"/>
    <n v="0"/>
    <n v="0"/>
    <n v="0"/>
    <n v="0"/>
    <n v="0"/>
    <n v="3473.9999999999995"/>
    <n v="132500"/>
    <n v="30000"/>
    <n v="26500"/>
    <n v="2226"/>
    <n v="13250"/>
    <n v="1500"/>
    <n v="0"/>
    <n v="0"/>
    <n v="0"/>
    <n v="0"/>
    <n v="0"/>
    <n v="12500"/>
    <n v="6000"/>
    <n v="3600"/>
    <n v="1500"/>
    <n v="0"/>
    <n v="0"/>
    <n v="0"/>
    <n v="0"/>
    <n v="0"/>
    <n v="238663.67999999999"/>
    <s v=" "/>
    <s v=" "/>
    <s v=" "/>
    <s v=" "/>
    <s v=" "/>
    <s v=" "/>
    <s v=" "/>
    <n v="380393.64682844508"/>
    <s v=" "/>
    <s v=" "/>
    <s v=" "/>
    <s v=" "/>
    <s v=" "/>
    <s v=" "/>
    <s v=" "/>
    <x v="0"/>
    <x v="0"/>
    <x v="0"/>
    <x v="0"/>
    <x v="0"/>
    <x v="2"/>
    <x v="0"/>
    <x v="0"/>
    <x v="0"/>
    <x v="4"/>
    <x v="1"/>
    <x v="1"/>
    <x v="1"/>
    <x v="0"/>
    <x v="0"/>
    <x v="0"/>
    <x v="1"/>
    <x v="0"/>
    <x v="0"/>
    <x v="0"/>
    <x v="0"/>
    <x v="1"/>
    <x v="0"/>
    <x v="0"/>
    <x v="0"/>
    <x v="0"/>
    <x v="0"/>
    <x v="0"/>
    <x v="1"/>
    <x v="0"/>
    <x v="0"/>
    <x v="0"/>
    <x v="0"/>
    <x v="0"/>
    <x v="0"/>
    <x v="0"/>
    <x v="0"/>
    <x v="0"/>
    <x v="0"/>
    <x v="0"/>
    <x v="0"/>
    <x v="0"/>
    <x v="0"/>
    <x v="0"/>
    <x v="0"/>
    <x v="0"/>
    <x v="0"/>
    <x v="0"/>
    <x v="0"/>
    <x v="0"/>
    <x v="0"/>
    <x v="0"/>
    <x v="0"/>
    <x v="0"/>
    <x v="0"/>
    <x v="0"/>
    <x v="0"/>
    <x v="0"/>
    <x v="0"/>
    <x v="0"/>
    <x v="0"/>
    <x v="0"/>
    <x v="0"/>
    <x v="0"/>
    <x v="0"/>
    <x v="0"/>
    <x v="0"/>
    <x v="0"/>
    <x v="0"/>
    <x v="0"/>
    <x v="0"/>
    <x v="0"/>
    <x v="1"/>
  </r>
  <r>
    <s v="KS11"/>
    <s v="Concrete Drop Inlet on Dam Wall"/>
    <s v="Concrete Drop Inlet on Dam Wall"/>
    <s v="ks11-002a"/>
    <x v="1"/>
    <n v="29.965357981"/>
    <n v="-25.804119242999999"/>
    <s v="29° 57' 55.28&quot;E "/>
    <s v="25° 48' 14.82&quot; S"/>
    <s v="N/A"/>
    <m/>
    <s v="No"/>
    <m/>
    <s v="YES "/>
    <s v="NA"/>
    <s v="NBC-GTW-CL-0067"/>
    <s v="Yes"/>
    <s v="00"/>
    <d v="2018-06-16T00:00:00"/>
    <s v="Phase 2"/>
    <s v="Year 8"/>
    <n v="31.8"/>
    <m/>
    <m/>
    <m/>
    <m/>
    <n v="394.76519999999999"/>
    <n v="39.476520000000001"/>
    <n v="10.9657"/>
    <n v="31.8"/>
    <n v="31.8"/>
    <m/>
    <m/>
    <n v="94.94319999999999"/>
    <n v="101.63999999999999"/>
    <m/>
    <m/>
    <s v="Ref 888"/>
    <n v="89.69919999999999"/>
    <s v="Ref 943"/>
    <n v="82.174399999999991"/>
    <n v="0"/>
    <n v="124.76995008701984"/>
    <n v="0"/>
    <n v="47"/>
    <n v="0"/>
    <n v="0"/>
    <n v="0"/>
    <n v="0"/>
    <n v="0"/>
    <n v="16"/>
    <n v="15"/>
    <n v="0"/>
    <m/>
    <n v="0"/>
    <n v="25.2498"/>
    <m/>
    <m/>
    <m/>
    <m/>
    <m/>
    <m/>
    <m/>
    <m/>
    <m/>
    <m/>
    <m/>
    <m/>
    <m/>
    <m/>
    <m/>
    <m/>
    <m/>
    <m/>
    <m/>
    <m/>
    <m/>
    <m/>
    <m/>
    <m/>
    <m/>
    <m/>
    <m/>
    <m/>
    <m/>
    <m/>
    <m/>
    <m/>
    <m/>
    <m/>
    <m/>
    <m/>
    <m/>
    <m/>
    <m/>
    <m/>
    <m/>
    <m/>
    <m/>
    <m/>
    <m/>
    <m/>
    <m/>
    <m/>
    <m/>
    <m/>
    <m/>
    <m/>
    <m/>
    <m/>
    <m/>
    <n v="1"/>
    <m/>
    <m/>
    <m/>
    <m/>
    <n v="159"/>
    <n v="0"/>
    <n v="0"/>
    <n v="0"/>
    <n v="0"/>
    <n v="33555.042000000001"/>
    <n v="4934.5650000000005"/>
    <n v="5482.85"/>
    <n v="159"/>
    <n v="318"/>
    <n v="0"/>
    <n v="189886.4"/>
    <n v="30491.999999999996"/>
    <n v="0"/>
    <n v="0"/>
    <n v="3437.4719999999998"/>
    <n v="112130.4675565629"/>
    <n v="450"/>
    <n v="0"/>
    <n v="0"/>
    <n v="3029.9760000000001"/>
    <n v="0"/>
    <n v="0"/>
    <n v="0"/>
    <n v="0"/>
    <n v="0"/>
    <n v="0"/>
    <n v="0"/>
    <n v="0"/>
    <n v="0"/>
    <n v="0"/>
    <n v="0"/>
    <n v="0"/>
    <n v="0"/>
    <n v="0"/>
    <n v="0"/>
    <n v="0"/>
    <n v="0"/>
    <n v="0"/>
    <n v="0"/>
    <n v="0"/>
    <n v="0"/>
    <n v="0"/>
    <n v="0"/>
    <n v="0"/>
    <n v="0"/>
    <n v="0"/>
    <n v="0"/>
    <n v="0"/>
    <n v="0"/>
    <n v="0"/>
    <n v="0"/>
    <n v="0"/>
    <n v="0"/>
    <n v="0"/>
    <n v="0"/>
    <n v="0"/>
    <n v="0"/>
    <n v="384034.77255656291"/>
    <s v=" "/>
    <s v=" "/>
    <s v=" "/>
    <s v=" "/>
    <s v=" "/>
    <s v=" "/>
    <s v=" "/>
    <n v="612093.08279216767"/>
    <s v=" "/>
    <s v=" "/>
    <s v=" "/>
    <s v=" "/>
    <s v=" "/>
    <s v=" "/>
    <s v=" "/>
    <x v="4"/>
    <x v="0"/>
    <x v="0"/>
    <x v="0"/>
    <x v="0"/>
    <x v="3"/>
    <x v="1"/>
    <x v="1"/>
    <x v="4"/>
    <x v="5"/>
    <x v="1"/>
    <x v="1"/>
    <x v="2"/>
    <x v="1"/>
    <x v="0"/>
    <x v="0"/>
    <x v="2"/>
    <x v="1"/>
    <x v="0"/>
    <x v="1"/>
    <x v="0"/>
    <x v="2"/>
    <x v="0"/>
    <x v="0"/>
    <x v="0"/>
    <x v="0"/>
    <x v="0"/>
    <x v="1"/>
    <x v="2"/>
    <x v="0"/>
    <x v="0"/>
    <x v="0"/>
    <x v="1"/>
    <x v="0"/>
    <x v="0"/>
    <x v="0"/>
    <x v="0"/>
    <x v="0"/>
    <x v="0"/>
    <x v="0"/>
    <x v="0"/>
    <x v="0"/>
    <x v="0"/>
    <x v="0"/>
    <x v="0"/>
    <x v="0"/>
    <x v="0"/>
    <x v="0"/>
    <x v="0"/>
    <x v="0"/>
    <x v="0"/>
    <x v="0"/>
    <x v="0"/>
    <x v="0"/>
    <x v="0"/>
    <x v="0"/>
    <x v="0"/>
    <x v="0"/>
    <x v="0"/>
    <x v="0"/>
    <x v="0"/>
    <x v="0"/>
    <x v="0"/>
    <x v="0"/>
    <x v="0"/>
    <x v="0"/>
    <x v="0"/>
    <x v="0"/>
    <x v="0"/>
    <x v="0"/>
    <x v="0"/>
    <x v="0"/>
    <x v="0"/>
  </r>
  <r>
    <s v="KS11"/>
    <s v="Concrete Splash Through Structure"/>
    <s v="Concrete Splash Through Structure"/>
    <s v="ks11-002b"/>
    <x v="1"/>
    <n v="29.965357981"/>
    <n v="-25.804119242999999"/>
    <s v="29° 57' 55.28&quot;E "/>
    <s v="25° 48' 14.82&quot; S"/>
    <m/>
    <m/>
    <m/>
    <m/>
    <s v="YES"/>
    <m/>
    <s v="NBC-GTW-CL-0067"/>
    <s v="Yes"/>
    <s v="00"/>
    <d v="2018-06-16T00:00:00"/>
    <s v="Phase 2"/>
    <s v="Year 8"/>
    <m/>
    <m/>
    <m/>
    <m/>
    <m/>
    <n v="210"/>
    <m/>
    <m/>
    <m/>
    <m/>
    <m/>
    <m/>
    <m/>
    <n v="64"/>
    <n v="98"/>
    <m/>
    <s v="Ref 617"/>
    <n v="64"/>
    <m/>
    <m/>
    <m/>
    <m/>
    <m/>
    <n v="10.8"/>
    <m/>
    <m/>
    <m/>
    <m/>
    <m/>
    <m/>
    <m/>
    <m/>
    <n v="21.3"/>
    <m/>
    <m/>
    <m/>
    <m/>
    <m/>
    <m/>
    <m/>
    <m/>
    <m/>
    <m/>
    <m/>
    <m/>
    <m/>
    <m/>
    <m/>
    <m/>
    <m/>
    <m/>
    <m/>
    <m/>
    <m/>
    <m/>
    <n v="87"/>
    <m/>
    <m/>
    <m/>
    <m/>
    <m/>
    <n v="24"/>
    <m/>
    <m/>
    <m/>
    <m/>
    <m/>
    <m/>
    <m/>
    <m/>
    <m/>
    <m/>
    <m/>
    <m/>
    <m/>
    <m/>
    <m/>
    <m/>
    <m/>
    <m/>
    <m/>
    <m/>
    <m/>
    <m/>
    <m/>
    <m/>
    <m/>
    <m/>
    <m/>
    <m/>
    <m/>
    <m/>
    <m/>
    <m/>
    <m/>
    <n v="0"/>
    <n v="0"/>
    <n v="0"/>
    <n v="0"/>
    <n v="0"/>
    <n v="17850"/>
    <n v="0"/>
    <n v="0"/>
    <n v="0"/>
    <n v="0"/>
    <n v="0"/>
    <n v="0"/>
    <n v="19200"/>
    <n v="1764"/>
    <n v="0"/>
    <n v="1280"/>
    <n v="7020.0000000000009"/>
    <n v="0"/>
    <n v="69225"/>
    <n v="0"/>
    <n v="0"/>
    <n v="0"/>
    <n v="0"/>
    <n v="0"/>
    <n v="2436"/>
    <n v="12000"/>
    <n v="0"/>
    <n v="0"/>
    <n v="0"/>
    <n v="0"/>
    <n v="0"/>
    <n v="0"/>
    <n v="0"/>
    <n v="0"/>
    <n v="0"/>
    <n v="0"/>
    <n v="0"/>
    <n v="0"/>
    <n v="0"/>
    <n v="0"/>
    <n v="0"/>
    <n v="0"/>
    <n v="0"/>
    <n v="0"/>
    <n v="0"/>
    <n v="0"/>
    <n v="0"/>
    <n v="0"/>
    <n v="0"/>
    <n v="0"/>
    <n v="0"/>
    <n v="0"/>
    <n v="0"/>
    <n v="0"/>
    <n v="0"/>
    <n v="0"/>
    <n v="0"/>
    <n v="0"/>
    <n v="130775"/>
    <s v=" "/>
    <s v=" "/>
    <s v=" "/>
    <s v=" "/>
    <s v=" "/>
    <s v=" "/>
    <s v=" "/>
    <n v="208435.48194677089"/>
    <s v=" "/>
    <s v=" "/>
    <s v=" "/>
    <s v=" "/>
    <s v=" "/>
    <s v=" "/>
    <s v=" "/>
    <x v="0"/>
    <x v="0"/>
    <x v="0"/>
    <x v="0"/>
    <x v="0"/>
    <x v="4"/>
    <x v="0"/>
    <x v="0"/>
    <x v="0"/>
    <x v="4"/>
    <x v="1"/>
    <x v="1"/>
    <x v="0"/>
    <x v="2"/>
    <x v="1"/>
    <x v="0"/>
    <x v="3"/>
    <x v="0"/>
    <x v="0"/>
    <x v="0"/>
    <x v="0"/>
    <x v="3"/>
    <x v="0"/>
    <x v="0"/>
    <x v="0"/>
    <x v="0"/>
    <x v="0"/>
    <x v="0"/>
    <x v="0"/>
    <x v="0"/>
    <x v="1"/>
    <x v="0"/>
    <x v="0"/>
    <x v="0"/>
    <x v="0"/>
    <x v="0"/>
    <x v="0"/>
    <x v="0"/>
    <x v="0"/>
    <x v="0"/>
    <x v="0"/>
    <x v="0"/>
    <x v="0"/>
    <x v="0"/>
    <x v="0"/>
    <x v="0"/>
    <x v="0"/>
    <x v="0"/>
    <x v="0"/>
    <x v="0"/>
    <x v="0"/>
    <x v="0"/>
    <x v="0"/>
    <x v="1"/>
    <x v="0"/>
    <x v="0"/>
    <x v="0"/>
    <x v="0"/>
    <x v="0"/>
    <x v="1"/>
    <x v="0"/>
    <x v="0"/>
    <x v="0"/>
    <x v="0"/>
    <x v="0"/>
    <x v="0"/>
    <x v="0"/>
    <x v="0"/>
    <x v="0"/>
    <x v="0"/>
    <x v="0"/>
    <x v="0"/>
    <x v="0"/>
  </r>
  <r>
    <s v="KS11"/>
    <s v="Dam wall excavation"/>
    <s v="Dam wall excavation"/>
    <s v="ks11-002c"/>
    <x v="1"/>
    <n v="29.965357981"/>
    <n v="-25.804119242999999"/>
    <s v="29° 57' 55.28&quot;E "/>
    <s v="25° 48' 14.82&quot; S"/>
    <m/>
    <m/>
    <m/>
    <m/>
    <s v="YES"/>
    <m/>
    <s v="NBC-GTW-CL-0067"/>
    <s v="Yes"/>
    <s v="00"/>
    <d v="2018-06-16T00:00:00"/>
    <s v="Phase 2"/>
    <s v="Year 8"/>
    <n v="1870"/>
    <n v="2651.3666666666668"/>
    <m/>
    <m/>
    <m/>
    <m/>
    <m/>
    <m/>
    <n v="1870"/>
    <n v="1870"/>
    <m/>
    <m/>
    <m/>
    <m/>
    <m/>
    <m/>
    <m/>
    <m/>
    <m/>
    <m/>
    <m/>
    <m/>
    <m/>
    <m/>
    <m/>
    <m/>
    <m/>
    <m/>
    <m/>
    <m/>
    <m/>
    <m/>
    <m/>
    <m/>
    <m/>
    <m/>
    <m/>
    <m/>
    <m/>
    <m/>
    <m/>
    <m/>
    <m/>
    <m/>
    <m/>
    <m/>
    <m/>
    <m/>
    <m/>
    <m/>
    <m/>
    <m/>
    <m/>
    <m/>
    <m/>
    <m/>
    <m/>
    <m/>
    <m/>
    <m/>
    <m/>
    <m/>
    <m/>
    <m/>
    <m/>
    <m/>
    <m/>
    <m/>
    <m/>
    <m/>
    <m/>
    <m/>
    <m/>
    <m/>
    <m/>
    <m/>
    <m/>
    <m/>
    <m/>
    <m/>
    <m/>
    <m/>
    <m/>
    <m/>
    <m/>
    <m/>
    <m/>
    <m/>
    <m/>
    <m/>
    <m/>
    <m/>
    <m/>
    <m/>
    <m/>
    <n v="9350"/>
    <n v="132568.33333333334"/>
    <n v="0"/>
    <n v="0"/>
    <n v="0"/>
    <n v="0"/>
    <n v="0"/>
    <n v="0"/>
    <n v="9350"/>
    <n v="18700"/>
    <n v="0"/>
    <n v="0"/>
    <n v="0"/>
    <n v="0"/>
    <n v="0"/>
    <n v="0"/>
    <n v="0"/>
    <n v="0"/>
    <n v="0"/>
    <n v="0"/>
    <n v="0"/>
    <n v="0"/>
    <n v="0"/>
    <n v="0"/>
    <n v="0"/>
    <n v="0"/>
    <n v="0"/>
    <n v="0"/>
    <n v="0"/>
    <n v="0"/>
    <n v="0"/>
    <n v="0"/>
    <n v="0"/>
    <n v="0"/>
    <n v="0"/>
    <n v="0"/>
    <n v="0"/>
    <n v="0"/>
    <n v="0"/>
    <n v="0"/>
    <n v="0"/>
    <n v="0"/>
    <n v="0"/>
    <n v="0"/>
    <n v="0"/>
    <n v="0"/>
    <n v="0"/>
    <n v="0"/>
    <n v="0"/>
    <n v="0"/>
    <n v="0"/>
    <n v="0"/>
    <n v="0"/>
    <n v="0"/>
    <n v="0"/>
    <n v="0"/>
    <n v="0"/>
    <n v="0"/>
    <n v="169968.33333333334"/>
    <s v=" "/>
    <s v=" "/>
    <s v=" "/>
    <s v=" "/>
    <s v=" "/>
    <s v=" "/>
    <s v=" "/>
    <n v="270903.70081454975"/>
    <s v=" "/>
    <s v=" "/>
    <s v=" "/>
    <s v=" "/>
    <s v=" "/>
    <s v=" "/>
    <s v=" "/>
    <x v="5"/>
    <x v="4"/>
    <x v="0"/>
    <x v="0"/>
    <x v="0"/>
    <x v="1"/>
    <x v="0"/>
    <x v="0"/>
    <x v="5"/>
    <x v="6"/>
    <x v="1"/>
    <x v="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11"/>
    <s v="Backfilling Dam to Create Wetland"/>
    <s v="Backfilling Dam"/>
    <s v="ks11-003"/>
    <x v="1"/>
    <n v="29.964700989000001"/>
    <n v="-25.802941186999998"/>
    <s v="29° 57' 52.92&quot;E "/>
    <s v="25° 48' 10.58&quot; S"/>
    <s v="N/A"/>
    <m/>
    <s v="No"/>
    <m/>
    <s v="YES "/>
    <m/>
    <s v="NBC-GTW-CL-0062"/>
    <m/>
    <s v="00"/>
    <d v="2018-06-16T00:00:00"/>
    <s v="Phase 2"/>
    <s v="Year 8"/>
    <m/>
    <m/>
    <m/>
    <m/>
    <m/>
    <m/>
    <m/>
    <m/>
    <m/>
    <n v="17400"/>
    <m/>
    <m/>
    <m/>
    <m/>
    <m/>
    <m/>
    <m/>
    <m/>
    <m/>
    <m/>
    <m/>
    <m/>
    <m/>
    <m/>
    <m/>
    <m/>
    <m/>
    <m/>
    <m/>
    <m/>
    <m/>
    <m/>
    <m/>
    <m/>
    <n v="24200"/>
    <m/>
    <m/>
    <m/>
    <m/>
    <m/>
    <m/>
    <m/>
    <m/>
    <m/>
    <m/>
    <m/>
    <m/>
    <m/>
    <m/>
    <m/>
    <m/>
    <m/>
    <m/>
    <m/>
    <m/>
    <m/>
    <m/>
    <m/>
    <m/>
    <m/>
    <m/>
    <m/>
    <m/>
    <m/>
    <m/>
    <m/>
    <m/>
    <m/>
    <m/>
    <m/>
    <m/>
    <m/>
    <m/>
    <n v="11500"/>
    <m/>
    <m/>
    <m/>
    <m/>
    <m/>
    <m/>
    <m/>
    <m/>
    <m/>
    <m/>
    <m/>
    <m/>
    <m/>
    <m/>
    <m/>
    <m/>
    <m/>
    <m/>
    <m/>
    <m/>
    <m/>
    <n v="0"/>
    <n v="0"/>
    <n v="0"/>
    <n v="0"/>
    <n v="0"/>
    <n v="0"/>
    <n v="0"/>
    <n v="0"/>
    <n v="0"/>
    <n v="174000"/>
    <n v="0"/>
    <n v="0"/>
    <n v="0"/>
    <n v="0"/>
    <n v="0"/>
    <n v="0"/>
    <n v="0"/>
    <n v="0"/>
    <n v="0"/>
    <n v="0"/>
    <n v="2904000"/>
    <n v="0"/>
    <n v="0"/>
    <n v="0"/>
    <n v="0"/>
    <n v="0"/>
    <n v="0"/>
    <n v="0"/>
    <n v="0"/>
    <n v="0"/>
    <n v="0"/>
    <n v="0"/>
    <n v="0"/>
    <n v="0"/>
    <n v="0"/>
    <n v="0"/>
    <n v="575000"/>
    <n v="0"/>
    <n v="0"/>
    <n v="0"/>
    <n v="0"/>
    <n v="0"/>
    <n v="0"/>
    <n v="0"/>
    <n v="0"/>
    <n v="0"/>
    <n v="0"/>
    <n v="0"/>
    <n v="0"/>
    <n v="0"/>
    <n v="0"/>
    <n v="0"/>
    <n v="0"/>
    <n v="0"/>
    <n v="0"/>
    <n v="0"/>
    <n v="0"/>
    <n v="0"/>
    <n v="3653000"/>
    <s v=" "/>
    <s v=" "/>
    <s v=" "/>
    <s v=" "/>
    <s v=" "/>
    <s v=" "/>
    <s v=" "/>
    <n v="5822327.0162611669"/>
    <s v=" "/>
    <s v=" "/>
    <s v=" "/>
    <s v=" "/>
    <s v=" "/>
    <s v=" "/>
    <s v=" "/>
    <x v="0"/>
    <x v="0"/>
    <x v="0"/>
    <x v="0"/>
    <x v="0"/>
    <x v="1"/>
    <x v="0"/>
    <x v="0"/>
    <x v="0"/>
    <x v="7"/>
    <x v="1"/>
    <x v="1"/>
    <x v="0"/>
    <x v="0"/>
    <x v="0"/>
    <x v="0"/>
    <x v="0"/>
    <x v="0"/>
    <x v="0"/>
    <x v="0"/>
    <x v="0"/>
    <x v="0"/>
    <x v="0"/>
    <x v="0"/>
    <x v="0"/>
    <x v="0"/>
    <x v="0"/>
    <x v="0"/>
    <x v="0"/>
    <x v="0"/>
    <x v="0"/>
    <x v="0"/>
    <x v="2"/>
    <x v="0"/>
    <x v="0"/>
    <x v="0"/>
    <x v="0"/>
    <x v="0"/>
    <x v="0"/>
    <x v="0"/>
    <x v="0"/>
    <x v="0"/>
    <x v="0"/>
    <x v="0"/>
    <x v="0"/>
    <x v="0"/>
    <x v="0"/>
    <x v="0"/>
    <x v="0"/>
    <x v="0"/>
    <x v="0"/>
    <x v="0"/>
    <x v="0"/>
    <x v="0"/>
    <x v="0"/>
    <x v="0"/>
    <x v="0"/>
    <x v="0"/>
    <x v="0"/>
    <x v="0"/>
    <x v="0"/>
    <x v="0"/>
    <x v="0"/>
    <x v="0"/>
    <x v="0"/>
    <x v="0"/>
    <x v="0"/>
    <x v="0"/>
    <x v="0"/>
    <x v="0"/>
    <x v="0"/>
    <x v="1"/>
    <x v="0"/>
  </r>
  <r>
    <s v="KS11"/>
    <s v="Concrete Drop Inlet on Dam Wall"/>
    <s v="Concrete Drop Inlet on Dam Wall"/>
    <s v="ks11-004a"/>
    <x v="1"/>
    <n v="29.964891290000001"/>
    <n v="-25.798573317999999"/>
    <s v="29° 57' 53.60&quot;E "/>
    <s v="25° 47' 54.86&quot; S"/>
    <s v="N/A"/>
    <m/>
    <s v="No"/>
    <m/>
    <s v="YES "/>
    <s v="NA"/>
    <s v="NBC-GTW-CL-0068"/>
    <s v="Yes"/>
    <s v="00"/>
    <d v="2018-06-16T00:00:00"/>
    <s v="Phase 2"/>
    <s v="Year 8"/>
    <n v="31.8"/>
    <m/>
    <m/>
    <m/>
    <m/>
    <n v="355.89659999999998"/>
    <n v="26.469660000000001"/>
    <n v="14.235863999999999"/>
    <n v="31.8"/>
    <n v="31.8"/>
    <m/>
    <m/>
    <n v="94.94319999999999"/>
    <n v="101.63999999999999"/>
    <m/>
    <m/>
    <s v="Ref 888"/>
    <n v="89.69919999999999"/>
    <s v="Ref 943"/>
    <n v="82.174399999999991"/>
    <n v="0"/>
    <n v="124.76995008701984"/>
    <n v="0"/>
    <n v="47"/>
    <n v="0"/>
    <n v="0"/>
    <n v="0"/>
    <n v="0"/>
    <n v="0"/>
    <n v="16"/>
    <n v="15"/>
    <n v="0"/>
    <m/>
    <n v="0"/>
    <n v="25.2498"/>
    <m/>
    <m/>
    <m/>
    <m/>
    <m/>
    <m/>
    <m/>
    <m/>
    <m/>
    <m/>
    <m/>
    <m/>
    <m/>
    <m/>
    <m/>
    <m/>
    <m/>
    <m/>
    <m/>
    <m/>
    <m/>
    <m/>
    <m/>
    <m/>
    <m/>
    <m/>
    <m/>
    <m/>
    <m/>
    <m/>
    <m/>
    <m/>
    <m/>
    <m/>
    <m/>
    <m/>
    <m/>
    <m/>
    <m/>
    <m/>
    <m/>
    <m/>
    <m/>
    <m/>
    <m/>
    <m/>
    <m/>
    <m/>
    <m/>
    <m/>
    <m/>
    <m/>
    <m/>
    <m/>
    <m/>
    <n v="1"/>
    <m/>
    <m/>
    <m/>
    <m/>
    <n v="159"/>
    <n v="0"/>
    <n v="0"/>
    <n v="0"/>
    <n v="0"/>
    <n v="30251.210999999999"/>
    <n v="3308.7075"/>
    <n v="7117.9319999999998"/>
    <n v="159"/>
    <n v="318"/>
    <n v="0"/>
    <n v="189886.4"/>
    <n v="30491.999999999996"/>
    <n v="0"/>
    <n v="0"/>
    <n v="3437.4719999999998"/>
    <n v="112130.4675565629"/>
    <n v="450"/>
    <n v="0"/>
    <n v="0"/>
    <n v="3029.9760000000001"/>
    <n v="0"/>
    <n v="0"/>
    <n v="0"/>
    <n v="0"/>
    <n v="0"/>
    <n v="0"/>
    <n v="0"/>
    <n v="0"/>
    <n v="0"/>
    <n v="0"/>
    <n v="0"/>
    <n v="0"/>
    <n v="0"/>
    <n v="0"/>
    <n v="0"/>
    <n v="0"/>
    <n v="0"/>
    <n v="0"/>
    <n v="0"/>
    <n v="0"/>
    <n v="0"/>
    <n v="0"/>
    <n v="0"/>
    <n v="0"/>
    <n v="0"/>
    <n v="0"/>
    <n v="0"/>
    <n v="0"/>
    <n v="0"/>
    <n v="0"/>
    <n v="0"/>
    <n v="0"/>
    <n v="0"/>
    <n v="0"/>
    <n v="0"/>
    <n v="0"/>
    <n v="0"/>
    <n v="380740.16605656291"/>
    <s v=" "/>
    <s v=" "/>
    <s v=" "/>
    <s v=" "/>
    <s v=" "/>
    <s v=" "/>
    <s v=" "/>
    <n v="606841.98056580604"/>
    <s v=" "/>
    <s v=" "/>
    <s v=" "/>
    <s v=" "/>
    <s v=" "/>
    <s v=" "/>
    <s v=" "/>
    <x v="6"/>
    <x v="0"/>
    <x v="0"/>
    <x v="0"/>
    <x v="0"/>
    <x v="5"/>
    <x v="2"/>
    <x v="2"/>
    <x v="6"/>
    <x v="8"/>
    <x v="1"/>
    <x v="1"/>
    <x v="3"/>
    <x v="3"/>
    <x v="0"/>
    <x v="0"/>
    <x v="4"/>
    <x v="2"/>
    <x v="0"/>
    <x v="2"/>
    <x v="0"/>
    <x v="4"/>
    <x v="0"/>
    <x v="0"/>
    <x v="0"/>
    <x v="0"/>
    <x v="0"/>
    <x v="2"/>
    <x v="3"/>
    <x v="0"/>
    <x v="0"/>
    <x v="0"/>
    <x v="3"/>
    <x v="0"/>
    <x v="0"/>
    <x v="0"/>
    <x v="0"/>
    <x v="0"/>
    <x v="0"/>
    <x v="0"/>
    <x v="0"/>
    <x v="0"/>
    <x v="0"/>
    <x v="0"/>
    <x v="0"/>
    <x v="0"/>
    <x v="0"/>
    <x v="0"/>
    <x v="0"/>
    <x v="0"/>
    <x v="0"/>
    <x v="0"/>
    <x v="0"/>
    <x v="0"/>
    <x v="0"/>
    <x v="0"/>
    <x v="0"/>
    <x v="0"/>
    <x v="0"/>
    <x v="0"/>
    <x v="0"/>
    <x v="0"/>
    <x v="0"/>
    <x v="0"/>
    <x v="0"/>
    <x v="0"/>
    <x v="0"/>
    <x v="0"/>
    <x v="0"/>
    <x v="0"/>
    <x v="0"/>
    <x v="0"/>
    <x v="0"/>
  </r>
  <r>
    <s v="KS11"/>
    <s v="Concrete Splash Through Structure"/>
    <s v="Concrete Splash Through Structure"/>
    <s v="ks11-004b"/>
    <x v="1"/>
    <n v="29.964891290000001"/>
    <n v="-25.798573317999999"/>
    <s v="29° 57' 53.60&quot;E "/>
    <s v="25° 47' 54.86&quot; S"/>
    <m/>
    <m/>
    <m/>
    <m/>
    <s v="YES"/>
    <m/>
    <s v="NBC-GTW-CL-0068"/>
    <s v="Yes"/>
    <s v="00"/>
    <d v="2018-06-16T00:00:00"/>
    <s v="Phase 2"/>
    <s v="Year 8"/>
    <m/>
    <m/>
    <m/>
    <m/>
    <m/>
    <n v="210"/>
    <m/>
    <m/>
    <m/>
    <m/>
    <m/>
    <m/>
    <m/>
    <n v="64"/>
    <n v="98"/>
    <m/>
    <s v="Ref617"/>
    <n v="64"/>
    <m/>
    <m/>
    <m/>
    <m/>
    <m/>
    <n v="10.8"/>
    <m/>
    <m/>
    <m/>
    <m/>
    <m/>
    <m/>
    <m/>
    <m/>
    <n v="21.3"/>
    <m/>
    <m/>
    <m/>
    <m/>
    <m/>
    <m/>
    <m/>
    <m/>
    <m/>
    <m/>
    <m/>
    <m/>
    <m/>
    <m/>
    <m/>
    <m/>
    <m/>
    <m/>
    <m/>
    <m/>
    <m/>
    <m/>
    <n v="87"/>
    <m/>
    <m/>
    <m/>
    <m/>
    <m/>
    <n v="24"/>
    <m/>
    <m/>
    <m/>
    <m/>
    <m/>
    <m/>
    <m/>
    <m/>
    <m/>
    <m/>
    <m/>
    <m/>
    <m/>
    <m/>
    <m/>
    <m/>
    <m/>
    <m/>
    <m/>
    <m/>
    <m/>
    <m/>
    <m/>
    <m/>
    <m/>
    <m/>
    <m/>
    <m/>
    <m/>
    <m/>
    <m/>
    <m/>
    <m/>
    <n v="0"/>
    <n v="0"/>
    <n v="0"/>
    <n v="0"/>
    <n v="0"/>
    <n v="17850"/>
    <n v="0"/>
    <n v="0"/>
    <n v="0"/>
    <n v="0"/>
    <n v="0"/>
    <n v="0"/>
    <n v="19200"/>
    <n v="1764"/>
    <n v="0"/>
    <n v="1280"/>
    <n v="7020.0000000000009"/>
    <n v="0"/>
    <n v="69225"/>
    <n v="0"/>
    <n v="0"/>
    <n v="0"/>
    <n v="0"/>
    <n v="0"/>
    <n v="2436"/>
    <n v="12000"/>
    <n v="0"/>
    <n v="0"/>
    <n v="0"/>
    <n v="0"/>
    <n v="0"/>
    <n v="0"/>
    <n v="0"/>
    <n v="0"/>
    <n v="0"/>
    <n v="0"/>
    <n v="0"/>
    <n v="0"/>
    <n v="0"/>
    <n v="0"/>
    <n v="0"/>
    <n v="0"/>
    <n v="0"/>
    <n v="0"/>
    <n v="0"/>
    <n v="0"/>
    <n v="0"/>
    <n v="0"/>
    <n v="0"/>
    <n v="0"/>
    <n v="0"/>
    <n v="0"/>
    <n v="0"/>
    <n v="0"/>
    <n v="0"/>
    <n v="0"/>
    <n v="0"/>
    <n v="0"/>
    <n v="130775"/>
    <s v=" "/>
    <s v=" "/>
    <s v=" "/>
    <s v=" "/>
    <s v=" "/>
    <s v=" "/>
    <s v=" "/>
    <n v="208435.48194677089"/>
    <s v=" "/>
    <s v=" "/>
    <s v=" "/>
    <s v=" "/>
    <s v=" "/>
    <s v=" "/>
    <s v=" "/>
    <x v="0"/>
    <x v="0"/>
    <x v="0"/>
    <x v="0"/>
    <x v="0"/>
    <x v="6"/>
    <x v="0"/>
    <x v="0"/>
    <x v="0"/>
    <x v="4"/>
    <x v="1"/>
    <x v="1"/>
    <x v="0"/>
    <x v="4"/>
    <x v="2"/>
    <x v="0"/>
    <x v="5"/>
    <x v="0"/>
    <x v="0"/>
    <x v="0"/>
    <x v="0"/>
    <x v="5"/>
    <x v="0"/>
    <x v="0"/>
    <x v="0"/>
    <x v="0"/>
    <x v="0"/>
    <x v="0"/>
    <x v="0"/>
    <x v="0"/>
    <x v="2"/>
    <x v="0"/>
    <x v="0"/>
    <x v="0"/>
    <x v="0"/>
    <x v="0"/>
    <x v="0"/>
    <x v="0"/>
    <x v="0"/>
    <x v="0"/>
    <x v="0"/>
    <x v="0"/>
    <x v="0"/>
    <x v="0"/>
    <x v="0"/>
    <x v="0"/>
    <x v="0"/>
    <x v="0"/>
    <x v="0"/>
    <x v="0"/>
    <x v="0"/>
    <x v="0"/>
    <x v="0"/>
    <x v="2"/>
    <x v="0"/>
    <x v="0"/>
    <x v="0"/>
    <x v="0"/>
    <x v="0"/>
    <x v="2"/>
    <x v="0"/>
    <x v="0"/>
    <x v="0"/>
    <x v="0"/>
    <x v="0"/>
    <x v="0"/>
    <x v="0"/>
    <x v="0"/>
    <x v="0"/>
    <x v="0"/>
    <x v="0"/>
    <x v="0"/>
    <x v="0"/>
  </r>
  <r>
    <s v="KS11"/>
    <s v="Dam wall excavation"/>
    <s v="Dam wall excavation"/>
    <s v="ks11-004c"/>
    <x v="1"/>
    <n v="29.964891290000001"/>
    <n v="-25.798573317999999"/>
    <s v="29° 57' 53.60&quot;E "/>
    <s v="25° 47' 54.86&quot; S"/>
    <m/>
    <m/>
    <m/>
    <m/>
    <s v="YES"/>
    <m/>
    <s v="NBC-GTW-CL-0068"/>
    <s v="Yes"/>
    <s v="00"/>
    <d v="2018-06-16T00:00:00"/>
    <s v="Phase 2"/>
    <s v="Year 8"/>
    <n v="1200"/>
    <n v="665.25"/>
    <m/>
    <m/>
    <m/>
    <m/>
    <m/>
    <m/>
    <n v="1200"/>
    <n v="1200"/>
    <m/>
    <m/>
    <m/>
    <m/>
    <m/>
    <m/>
    <m/>
    <m/>
    <m/>
    <m/>
    <m/>
    <m/>
    <m/>
    <m/>
    <m/>
    <m/>
    <m/>
    <m/>
    <m/>
    <m/>
    <m/>
    <m/>
    <m/>
    <m/>
    <m/>
    <m/>
    <m/>
    <m/>
    <m/>
    <m/>
    <m/>
    <m/>
    <m/>
    <m/>
    <m/>
    <m/>
    <m/>
    <m/>
    <m/>
    <m/>
    <m/>
    <m/>
    <m/>
    <m/>
    <m/>
    <m/>
    <m/>
    <m/>
    <m/>
    <m/>
    <m/>
    <m/>
    <m/>
    <m/>
    <m/>
    <m/>
    <m/>
    <m/>
    <m/>
    <m/>
    <m/>
    <m/>
    <m/>
    <m/>
    <m/>
    <m/>
    <m/>
    <m/>
    <m/>
    <m/>
    <m/>
    <m/>
    <m/>
    <m/>
    <m/>
    <m/>
    <m/>
    <m/>
    <m/>
    <m/>
    <m/>
    <m/>
    <m/>
    <m/>
    <m/>
    <n v="6000"/>
    <n v="33262.5"/>
    <n v="0"/>
    <n v="0"/>
    <n v="0"/>
    <n v="0"/>
    <n v="0"/>
    <n v="0"/>
    <n v="6000"/>
    <n v="12000"/>
    <n v="0"/>
    <n v="0"/>
    <n v="0"/>
    <n v="0"/>
    <n v="0"/>
    <n v="0"/>
    <n v="0"/>
    <n v="0"/>
    <n v="0"/>
    <n v="0"/>
    <n v="0"/>
    <n v="0"/>
    <n v="0"/>
    <n v="0"/>
    <n v="0"/>
    <n v="0"/>
    <n v="0"/>
    <n v="0"/>
    <n v="0"/>
    <n v="0"/>
    <n v="0"/>
    <n v="0"/>
    <n v="0"/>
    <n v="0"/>
    <n v="0"/>
    <n v="0"/>
    <n v="0"/>
    <n v="0"/>
    <n v="0"/>
    <n v="0"/>
    <n v="0"/>
    <n v="0"/>
    <n v="0"/>
    <n v="0"/>
    <n v="0"/>
    <n v="0"/>
    <n v="0"/>
    <n v="0"/>
    <n v="0"/>
    <n v="0"/>
    <n v="0"/>
    <n v="0"/>
    <n v="0"/>
    <n v="0"/>
    <n v="0"/>
    <n v="0"/>
    <n v="0"/>
    <n v="0"/>
    <n v="57262.5"/>
    <s v=" "/>
    <s v=" "/>
    <s v=" "/>
    <s v=" "/>
    <s v=" "/>
    <s v=" "/>
    <s v=" "/>
    <n v="91267.725367822321"/>
    <s v=" "/>
    <s v=" "/>
    <s v=" "/>
    <s v=" "/>
    <s v=" "/>
    <s v=" "/>
    <s v=" "/>
    <x v="7"/>
    <x v="5"/>
    <x v="0"/>
    <x v="0"/>
    <x v="0"/>
    <x v="1"/>
    <x v="0"/>
    <x v="0"/>
    <x v="7"/>
    <x v="9"/>
    <x v="1"/>
    <x v="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11"/>
    <s v="Backfilling Dam to Create Wetland"/>
    <s v="Backfilling Dam"/>
    <s v="ks11-005"/>
    <x v="1"/>
    <n v="29.964619430999999"/>
    <n v="-25.797612748999999"/>
    <s v="29° 57' 52.62&quot;E "/>
    <s v="25° 47' 51.40&quot; S"/>
    <s v="N/A"/>
    <m/>
    <s v="No"/>
    <m/>
    <s v="YES "/>
    <m/>
    <s v="NBC-GTW-CL-0063"/>
    <m/>
    <s v="00"/>
    <d v="2018-06-16T00:00:00"/>
    <s v="Phase 2"/>
    <s v="Year 8"/>
    <m/>
    <m/>
    <m/>
    <m/>
    <m/>
    <m/>
    <m/>
    <m/>
    <m/>
    <n v="38200"/>
    <m/>
    <m/>
    <m/>
    <m/>
    <m/>
    <m/>
    <m/>
    <m/>
    <m/>
    <m/>
    <m/>
    <m/>
    <m/>
    <m/>
    <m/>
    <m/>
    <m/>
    <m/>
    <m/>
    <m/>
    <m/>
    <m/>
    <m/>
    <m/>
    <n v="12300"/>
    <m/>
    <m/>
    <m/>
    <m/>
    <m/>
    <m/>
    <m/>
    <m/>
    <m/>
    <m/>
    <m/>
    <m/>
    <m/>
    <m/>
    <m/>
    <m/>
    <m/>
    <m/>
    <m/>
    <m/>
    <m/>
    <m/>
    <m/>
    <m/>
    <m/>
    <m/>
    <m/>
    <m/>
    <m/>
    <m/>
    <m/>
    <m/>
    <m/>
    <m/>
    <m/>
    <m/>
    <m/>
    <m/>
    <n v="5200"/>
    <m/>
    <m/>
    <m/>
    <m/>
    <m/>
    <m/>
    <m/>
    <m/>
    <m/>
    <m/>
    <m/>
    <m/>
    <m/>
    <m/>
    <m/>
    <m/>
    <m/>
    <m/>
    <m/>
    <m/>
    <m/>
    <n v="0"/>
    <n v="0"/>
    <n v="0"/>
    <n v="0"/>
    <n v="0"/>
    <n v="0"/>
    <n v="0"/>
    <n v="0"/>
    <n v="0"/>
    <n v="382000"/>
    <n v="0"/>
    <n v="0"/>
    <n v="0"/>
    <n v="0"/>
    <n v="0"/>
    <n v="0"/>
    <n v="0"/>
    <n v="0"/>
    <n v="0"/>
    <n v="0"/>
    <n v="1476000"/>
    <n v="0"/>
    <n v="0"/>
    <n v="0"/>
    <n v="0"/>
    <n v="0"/>
    <n v="0"/>
    <n v="0"/>
    <n v="0"/>
    <n v="0"/>
    <n v="0"/>
    <n v="0"/>
    <n v="0"/>
    <n v="0"/>
    <n v="0"/>
    <n v="0"/>
    <n v="260000"/>
    <n v="0"/>
    <n v="0"/>
    <n v="0"/>
    <n v="0"/>
    <n v="0"/>
    <n v="0"/>
    <n v="0"/>
    <n v="0"/>
    <n v="0"/>
    <n v="0"/>
    <n v="0"/>
    <n v="0"/>
    <n v="0"/>
    <n v="0"/>
    <n v="0"/>
    <n v="0"/>
    <n v="0"/>
    <n v="0"/>
    <n v="0"/>
    <n v="0"/>
    <n v="0"/>
    <n v="2118000"/>
    <s v=" "/>
    <s v=" "/>
    <s v=" "/>
    <s v=" "/>
    <s v=" "/>
    <s v=" "/>
    <s v=" "/>
    <n v="3375770.221856324"/>
    <s v=" "/>
    <s v=" "/>
    <s v=" "/>
    <s v=" "/>
    <s v=" "/>
    <s v=" "/>
    <s v=" "/>
    <x v="0"/>
    <x v="0"/>
    <x v="0"/>
    <x v="0"/>
    <x v="0"/>
    <x v="1"/>
    <x v="0"/>
    <x v="0"/>
    <x v="0"/>
    <x v="10"/>
    <x v="1"/>
    <x v="1"/>
    <x v="0"/>
    <x v="0"/>
    <x v="0"/>
    <x v="0"/>
    <x v="0"/>
    <x v="0"/>
    <x v="0"/>
    <x v="0"/>
    <x v="0"/>
    <x v="0"/>
    <x v="0"/>
    <x v="0"/>
    <x v="0"/>
    <x v="0"/>
    <x v="0"/>
    <x v="0"/>
    <x v="0"/>
    <x v="0"/>
    <x v="0"/>
    <x v="0"/>
    <x v="4"/>
    <x v="0"/>
    <x v="0"/>
    <x v="0"/>
    <x v="0"/>
    <x v="0"/>
    <x v="0"/>
    <x v="0"/>
    <x v="0"/>
    <x v="0"/>
    <x v="0"/>
    <x v="0"/>
    <x v="0"/>
    <x v="0"/>
    <x v="0"/>
    <x v="0"/>
    <x v="0"/>
    <x v="0"/>
    <x v="0"/>
    <x v="0"/>
    <x v="0"/>
    <x v="0"/>
    <x v="0"/>
    <x v="0"/>
    <x v="0"/>
    <x v="0"/>
    <x v="0"/>
    <x v="0"/>
    <x v="0"/>
    <x v="0"/>
    <x v="0"/>
    <x v="0"/>
    <x v="0"/>
    <x v="0"/>
    <x v="0"/>
    <x v="0"/>
    <x v="0"/>
    <x v="0"/>
    <x v="0"/>
    <x v="2"/>
    <x v="0"/>
  </r>
  <r>
    <s v="KS12"/>
    <s v="Pipe Culvert"/>
    <s v="Concrete"/>
    <s v="KS12_001"/>
    <x v="2"/>
    <n v="29.972529167000001"/>
    <n v="-25.813171389000001"/>
    <s v="29° 58' 21.10&quot;E "/>
    <s v="25° 48' 47.41&quot; S"/>
    <s v="Complete"/>
    <s v="Yes"/>
    <s v="Yes"/>
    <d v="2017-05-31T00:00:00"/>
    <s v="YES"/>
    <s v="NO"/>
    <s v="NBC-GTW-CL-0069"/>
    <s v="Yes"/>
    <s v="00"/>
    <d v="2018-06-16T00:00:00"/>
    <s v="Phase 2"/>
    <s v="Year 1"/>
    <m/>
    <n v="0"/>
    <n v="0"/>
    <n v="0"/>
    <n v="0"/>
    <n v="2"/>
    <m/>
    <n v="0"/>
    <n v="0"/>
    <n v="0"/>
    <n v="0"/>
    <n v="0"/>
    <n v="0"/>
    <n v="0"/>
    <n v="0"/>
    <n v="0"/>
    <s v="Mesh 395"/>
    <n v="3"/>
    <n v="0"/>
    <n v="0"/>
    <n v="0"/>
    <n v="0"/>
    <n v="0"/>
    <n v="0"/>
    <n v="0"/>
    <m/>
    <n v="0"/>
    <m/>
    <n v="0"/>
    <n v="0"/>
    <n v="3"/>
    <n v="0"/>
    <n v="1"/>
    <n v="0"/>
    <n v="0"/>
    <n v="0"/>
    <n v="0"/>
    <n v="0"/>
    <n v="0"/>
    <n v="0"/>
    <n v="0"/>
    <n v="0"/>
    <n v="0"/>
    <n v="0"/>
    <n v="0"/>
    <n v="0"/>
    <n v="0"/>
    <n v="0"/>
    <n v="0"/>
    <n v="0"/>
    <n v="0"/>
    <n v="0"/>
    <n v="0"/>
    <n v="0"/>
    <n v="0"/>
    <n v="0"/>
    <n v="0"/>
    <n v="0"/>
    <n v="0"/>
    <n v="0"/>
    <n v="0"/>
    <n v="0"/>
    <n v="0"/>
    <n v="0"/>
    <n v="0"/>
    <n v="0"/>
    <n v="0"/>
    <n v="0"/>
    <n v="0"/>
    <n v="0"/>
    <n v="0"/>
    <n v="0"/>
    <n v="15"/>
    <n v="0"/>
    <n v="6"/>
    <m/>
    <n v="0"/>
    <n v="11"/>
    <n v="22"/>
    <n v="27"/>
    <n v="4.5"/>
    <n v="0"/>
    <n v="0"/>
    <n v="0"/>
    <n v="0"/>
    <n v="0"/>
    <m/>
    <m/>
    <m/>
    <m/>
    <m/>
    <m/>
    <m/>
    <m/>
    <m/>
    <n v="0"/>
    <n v="0"/>
    <n v="0"/>
    <n v="0"/>
    <n v="0"/>
    <n v="170"/>
    <n v="0"/>
    <n v="0"/>
    <n v="0"/>
    <n v="0"/>
    <n v="0"/>
    <n v="0"/>
    <n v="0"/>
    <n v="0"/>
    <n v="0"/>
    <n v="60"/>
    <n v="0"/>
    <n v="90"/>
    <n v="3250"/>
    <n v="0"/>
    <n v="0"/>
    <n v="0"/>
    <n v="0"/>
    <n v="0"/>
    <n v="0"/>
    <n v="0"/>
    <n v="0"/>
    <n v="0"/>
    <n v="0"/>
    <n v="0"/>
    <n v="0"/>
    <n v="0"/>
    <n v="0"/>
    <n v="0"/>
    <n v="0"/>
    <n v="15000"/>
    <n v="0"/>
    <n v="4500"/>
    <n v="0"/>
    <n v="0"/>
    <n v="1100"/>
    <n v="264"/>
    <n v="1350"/>
    <n v="1350"/>
    <n v="0"/>
    <n v="0"/>
    <n v="0"/>
    <n v="0"/>
    <n v="0"/>
    <n v="0"/>
    <n v="0"/>
    <n v="0"/>
    <n v="0"/>
    <n v="0"/>
    <n v="0"/>
    <n v="0"/>
    <n v="0"/>
    <n v="0"/>
    <n v="27134"/>
    <n v="28762.04"/>
    <s v=" "/>
    <s v=" "/>
    <s v=" "/>
    <s v=" "/>
    <s v=" "/>
    <s v=" "/>
    <s v=" "/>
    <s v=" "/>
    <s v=" "/>
    <s v=" "/>
    <s v=" "/>
    <s v=" "/>
    <s v=" "/>
    <s v=" "/>
    <x v="0"/>
    <x v="0"/>
    <x v="0"/>
    <x v="0"/>
    <x v="0"/>
    <x v="7"/>
    <x v="0"/>
    <x v="0"/>
    <x v="0"/>
    <x v="4"/>
    <x v="1"/>
    <x v="1"/>
    <x v="0"/>
    <x v="0"/>
    <x v="0"/>
    <x v="0"/>
    <x v="6"/>
    <x v="0"/>
    <x v="0"/>
    <x v="0"/>
    <x v="0"/>
    <x v="0"/>
    <x v="0"/>
    <x v="0"/>
    <x v="0"/>
    <x v="0"/>
    <x v="0"/>
    <x v="0"/>
    <x v="4"/>
    <x v="0"/>
    <x v="3"/>
    <x v="0"/>
    <x v="0"/>
    <x v="0"/>
    <x v="0"/>
    <x v="0"/>
    <x v="0"/>
    <x v="0"/>
    <x v="0"/>
    <x v="0"/>
    <x v="0"/>
    <x v="0"/>
    <x v="0"/>
    <x v="0"/>
    <x v="0"/>
    <x v="0"/>
    <x v="0"/>
    <x v="0"/>
    <x v="0"/>
    <x v="0"/>
    <x v="0"/>
    <x v="0"/>
    <x v="0"/>
    <x v="0"/>
    <x v="0"/>
    <x v="0"/>
    <x v="0"/>
    <x v="0"/>
    <x v="0"/>
    <x v="0"/>
    <x v="0"/>
    <x v="0"/>
    <x v="0"/>
    <x v="0"/>
    <x v="0"/>
    <x v="0"/>
    <x v="0"/>
    <x v="0"/>
    <x v="0"/>
    <x v="0"/>
    <x v="1"/>
    <x v="0"/>
    <x v="2"/>
  </r>
  <r>
    <s v="KS12"/>
    <s v="Concrete Drop Inlet"/>
    <s v="Concrete"/>
    <s v="KS12_002"/>
    <x v="2"/>
    <n v="29.972318610999999"/>
    <n v="-25.813367499999998"/>
    <s v="29° 58' 20.34&quot;E "/>
    <s v="25° 48' 48.12&quot; S"/>
    <s v="N/A"/>
    <m/>
    <s v="Yes"/>
    <m/>
    <s v="YES"/>
    <m/>
    <s v="NBC-GTW-CL-0002"/>
    <s v="Yes"/>
    <s v="00"/>
    <d v="2018-06-16T00:00:00"/>
    <s v="Phase 2"/>
    <s v="Year 1"/>
    <n v="30"/>
    <m/>
    <m/>
    <m/>
    <m/>
    <n v="37"/>
    <n v="0"/>
    <n v="5.55"/>
    <n v="30"/>
    <n v="30"/>
    <m/>
    <m/>
    <n v="24"/>
    <n v="52"/>
    <n v="30"/>
    <m/>
    <s v="Ref 888"/>
    <n v="23"/>
    <s v="Ref 617"/>
    <n v="38"/>
    <m/>
    <n v="14"/>
    <m/>
    <n v="20.3"/>
    <m/>
    <m/>
    <m/>
    <m/>
    <m/>
    <m/>
    <m/>
    <m/>
    <m/>
    <m/>
    <m/>
    <m/>
    <m/>
    <m/>
    <m/>
    <m/>
    <m/>
    <m/>
    <m/>
    <m/>
    <m/>
    <m/>
    <m/>
    <m/>
    <m/>
    <m/>
    <m/>
    <m/>
    <m/>
    <m/>
    <m/>
    <m/>
    <m/>
    <m/>
    <m/>
    <m/>
    <m/>
    <m/>
    <m/>
    <m/>
    <m/>
    <m/>
    <m/>
    <m/>
    <m/>
    <m/>
    <m/>
    <m/>
    <m/>
    <m/>
    <m/>
    <m/>
    <m/>
    <m/>
    <m/>
    <m/>
    <m/>
    <m/>
    <m/>
    <m/>
    <m/>
    <m/>
    <m/>
    <m/>
    <m/>
    <m/>
    <m/>
    <m/>
    <m/>
    <m/>
    <m/>
    <n v="150"/>
    <n v="0"/>
    <n v="0"/>
    <n v="0"/>
    <n v="0"/>
    <n v="3145"/>
    <n v="0"/>
    <n v="2775"/>
    <n v="150"/>
    <n v="300"/>
    <n v="0"/>
    <n v="48000"/>
    <n v="15600"/>
    <n v="540"/>
    <n v="0"/>
    <n v="1220"/>
    <n v="22295"/>
    <n v="0"/>
    <n v="0"/>
    <n v="0"/>
    <n v="0"/>
    <n v="0"/>
    <n v="0"/>
    <n v="0"/>
    <n v="0"/>
    <n v="0"/>
    <n v="0"/>
    <n v="0"/>
    <n v="0"/>
    <n v="0"/>
    <n v="0"/>
    <n v="0"/>
    <n v="0"/>
    <n v="0"/>
    <n v="0"/>
    <n v="0"/>
    <n v="0"/>
    <n v="0"/>
    <n v="0"/>
    <n v="0"/>
    <n v="0"/>
    <n v="0"/>
    <n v="0"/>
    <n v="0"/>
    <n v="0"/>
    <n v="0"/>
    <n v="0"/>
    <n v="0"/>
    <n v="0"/>
    <n v="0"/>
    <n v="0"/>
    <n v="0"/>
    <n v="0"/>
    <n v="0"/>
    <n v="0"/>
    <n v="0"/>
    <n v="0"/>
    <n v="0"/>
    <n v="94175"/>
    <n v="99825.5"/>
    <s v=" "/>
    <s v=" "/>
    <s v=" "/>
    <s v=" "/>
    <s v=" "/>
    <s v=" "/>
    <s v=" "/>
    <s v=" "/>
    <s v=" "/>
    <s v=" "/>
    <s v=" "/>
    <s v=" "/>
    <s v=" "/>
    <s v=" "/>
    <x v="8"/>
    <x v="0"/>
    <x v="0"/>
    <x v="0"/>
    <x v="0"/>
    <x v="8"/>
    <x v="0"/>
    <x v="3"/>
    <x v="8"/>
    <x v="11"/>
    <x v="1"/>
    <x v="1"/>
    <x v="4"/>
    <x v="5"/>
    <x v="3"/>
    <x v="0"/>
    <x v="7"/>
    <x v="3"/>
    <x v="0"/>
    <x v="3"/>
    <x v="0"/>
    <x v="6"/>
    <x v="0"/>
    <x v="0"/>
    <x v="0"/>
    <x v="0"/>
    <x v="0"/>
    <x v="0"/>
    <x v="0"/>
    <x v="0"/>
    <x v="0"/>
    <x v="0"/>
    <x v="0"/>
    <x v="0"/>
    <x v="0"/>
    <x v="0"/>
    <x v="0"/>
    <x v="0"/>
    <x v="0"/>
    <x v="0"/>
    <x v="0"/>
    <x v="0"/>
    <x v="0"/>
    <x v="0"/>
    <x v="0"/>
    <x v="0"/>
    <x v="0"/>
    <x v="0"/>
    <x v="0"/>
    <x v="0"/>
    <x v="0"/>
    <x v="0"/>
    <x v="0"/>
    <x v="0"/>
    <x v="0"/>
    <x v="0"/>
    <x v="0"/>
    <x v="0"/>
    <x v="0"/>
    <x v="0"/>
    <x v="0"/>
    <x v="0"/>
    <x v="0"/>
    <x v="0"/>
    <x v="0"/>
    <x v="0"/>
    <x v="0"/>
    <x v="0"/>
    <x v="0"/>
    <x v="0"/>
    <x v="0"/>
    <x v="0"/>
    <x v="0"/>
  </r>
  <r>
    <s v="KS12"/>
    <s v="Removal of Berm and Dam Wall"/>
    <s v="Excavation"/>
    <s v="KS12_003"/>
    <x v="2"/>
    <n v="29.971002777999999"/>
    <n v="-25.812310833000002"/>
    <s v="29° 58' 15.61&quot;E "/>
    <s v="25° 48' 44.31&quot; S"/>
    <s v="Complete"/>
    <s v="Yes"/>
    <s v="Yes"/>
    <d v="2017-05-30T00:00:00"/>
    <s v="NA"/>
    <s v="NA"/>
    <s v="No Drawing"/>
    <s v="Yes"/>
    <s v="00"/>
    <d v="2018-06-16T00:00:00"/>
    <s v="Phase 2"/>
    <s v="Year 1"/>
    <n v="1876.1431578898514"/>
    <n v="801.25656624999999"/>
    <n v="0"/>
    <n v="0"/>
    <n v="0"/>
    <n v="0"/>
    <n v="0"/>
    <n v="0"/>
    <n v="1876.1431578898514"/>
    <n v="1876.1431578898514"/>
    <n v="0"/>
    <n v="0"/>
    <n v="0"/>
    <n v="0"/>
    <n v="0"/>
    <n v="0"/>
    <n v="0"/>
    <n v="0"/>
    <n v="0"/>
    <n v="0"/>
    <n v="0"/>
    <n v="0"/>
    <n v="0"/>
    <n v="0"/>
    <n v="0"/>
    <m/>
    <n v="0"/>
    <m/>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n v="9380.7157894492575"/>
    <n v="40062.828312500002"/>
    <n v="0"/>
    <n v="0"/>
    <n v="0"/>
    <n v="0"/>
    <n v="0"/>
    <n v="0"/>
    <n v="9380.7157894492575"/>
    <n v="18761.431578898515"/>
    <n v="0"/>
    <n v="0"/>
    <n v="0"/>
    <n v="0"/>
    <n v="0"/>
    <n v="0"/>
    <n v="0"/>
    <n v="0"/>
    <n v="0"/>
    <n v="0"/>
    <n v="0"/>
    <n v="0"/>
    <n v="0"/>
    <n v="0"/>
    <n v="0"/>
    <n v="0"/>
    <n v="0"/>
    <n v="0"/>
    <n v="0"/>
    <n v="0"/>
    <n v="0"/>
    <n v="0"/>
    <n v="0"/>
    <n v="0"/>
    <n v="0"/>
    <n v="0"/>
    <n v="0"/>
    <n v="0"/>
    <n v="0"/>
    <n v="0"/>
    <n v="0"/>
    <n v="0"/>
    <n v="0"/>
    <n v="0"/>
    <n v="0"/>
    <n v="0"/>
    <n v="0"/>
    <n v="0"/>
    <n v="0"/>
    <n v="0"/>
    <n v="0"/>
    <n v="0"/>
    <n v="0"/>
    <n v="0"/>
    <n v="0"/>
    <n v="0"/>
    <n v="0"/>
    <n v="0"/>
    <n v="77585.691470297024"/>
    <n v="82240.832958514846"/>
    <s v=" "/>
    <s v=" "/>
    <s v=" "/>
    <s v=" "/>
    <s v=" "/>
    <s v=" "/>
    <s v=" "/>
    <s v=" "/>
    <s v=" "/>
    <s v=" "/>
    <s v=" "/>
    <s v=" "/>
    <s v=" "/>
    <s v=" "/>
    <x v="9"/>
    <x v="6"/>
    <x v="0"/>
    <x v="0"/>
    <x v="0"/>
    <x v="1"/>
    <x v="0"/>
    <x v="0"/>
    <x v="9"/>
    <x v="12"/>
    <x v="1"/>
    <x v="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12"/>
    <s v="Concrete Drop Inlet"/>
    <s v="Concrete"/>
    <s v="KS12_004"/>
    <x v="2"/>
    <n v="29.969593611000001"/>
    <n v="-25.809846666999999"/>
    <s v="29° 58' 10.53&quot;E "/>
    <s v="25° 48' 35.44&quot; S"/>
    <s v="Complete"/>
    <s v="Yes"/>
    <s v="Yes"/>
    <d v="2017-02-06T00:00:00"/>
    <s v="YES"/>
    <m/>
    <s v="NBC-GTW-CL-0003"/>
    <s v="Yes"/>
    <s v="00"/>
    <d v="2018-06-16T00:00:00"/>
    <s v="Phase 1"/>
    <s v="Year 1"/>
    <n v="21.76"/>
    <n v="0"/>
    <n v="0"/>
    <n v="0"/>
    <n v="0"/>
    <n v="36.611099999999993"/>
    <n v="0"/>
    <n v="5.4916649999999985"/>
    <n v="21.76"/>
    <n v="21.76"/>
    <n v="0"/>
    <n v="0"/>
    <n v="32.177999999999997"/>
    <n v="41.52"/>
    <n v="0"/>
    <n v="0"/>
    <s v="Ref 888"/>
    <n v="22.000799999999998"/>
    <s v="Ref 655"/>
    <n v="30.046399999999998"/>
    <n v="0"/>
    <n v="58.407005964995172"/>
    <n v="0"/>
    <n v="7.1999999999999993"/>
    <n v="0"/>
    <m/>
    <n v="0"/>
    <m/>
    <n v="0"/>
    <n v="7"/>
    <n v="7.8599999999999994"/>
    <n v="0"/>
    <n v="0"/>
    <n v="0"/>
    <n v="0"/>
    <n v="0"/>
    <n v="0"/>
    <n v="0"/>
    <n v="0"/>
    <n v="0"/>
    <n v="0"/>
    <n v="0"/>
    <n v="0"/>
    <n v="0"/>
    <n v="0"/>
    <n v="0"/>
    <n v="0"/>
    <n v="0"/>
    <n v="0"/>
    <n v="0"/>
    <n v="0"/>
    <n v="0"/>
    <n v="0"/>
    <n v="0"/>
    <n v="0"/>
    <n v="0"/>
    <n v="0"/>
    <n v="0"/>
    <n v="0"/>
    <n v="0"/>
    <n v="0"/>
    <n v="0"/>
    <n v="0"/>
    <n v="0"/>
    <n v="0"/>
    <n v="0"/>
    <n v="0"/>
    <n v="0"/>
    <n v="0"/>
    <n v="0"/>
    <n v="0"/>
    <n v="0"/>
    <n v="0"/>
    <n v="0"/>
    <m/>
    <m/>
    <m/>
    <m/>
    <m/>
    <m/>
    <m/>
    <m/>
    <m/>
    <m/>
    <m/>
    <m/>
    <m/>
    <m/>
    <m/>
    <m/>
    <m/>
    <m/>
    <m/>
    <m/>
    <m/>
    <n v="108.80000000000001"/>
    <n v="0"/>
    <n v="0"/>
    <n v="0"/>
    <n v="0"/>
    <n v="3111.9434999999994"/>
    <n v="0"/>
    <n v="2745.8324999999991"/>
    <n v="108.80000000000001"/>
    <n v="217.60000000000002"/>
    <n v="0"/>
    <n v="64355.999999999993"/>
    <n v="12456.000000000002"/>
    <n v="0"/>
    <n v="0"/>
    <n v="1040.944"/>
    <n v="42854.553877246864"/>
    <n v="235.79999999999998"/>
    <n v="0"/>
    <n v="0"/>
    <n v="0"/>
    <n v="0"/>
    <n v="0"/>
    <n v="0"/>
    <n v="0"/>
    <n v="0"/>
    <n v="0"/>
    <n v="0"/>
    <n v="0"/>
    <n v="0"/>
    <n v="0"/>
    <n v="0"/>
    <n v="0"/>
    <n v="0"/>
    <n v="0"/>
    <n v="0"/>
    <n v="0"/>
    <n v="0"/>
    <n v="0"/>
    <n v="0"/>
    <n v="0"/>
    <n v="0"/>
    <n v="0"/>
    <n v="0"/>
    <n v="0"/>
    <n v="0"/>
    <n v="0"/>
    <n v="0"/>
    <n v="0"/>
    <n v="0"/>
    <n v="0"/>
    <n v="0"/>
    <n v="0"/>
    <n v="0"/>
    <n v="0"/>
    <n v="0"/>
    <n v="0"/>
    <n v="0"/>
    <n v="127236.27387724687"/>
    <n v="134870.45030988168"/>
    <s v=" "/>
    <s v=" "/>
    <s v=" "/>
    <s v=" "/>
    <s v=" "/>
    <s v=" "/>
    <s v=" "/>
    <s v=" "/>
    <s v=" "/>
    <s v=" "/>
    <s v=" "/>
    <s v=" "/>
    <s v=" "/>
    <s v=" "/>
    <x v="10"/>
    <x v="0"/>
    <x v="0"/>
    <x v="0"/>
    <x v="0"/>
    <x v="9"/>
    <x v="0"/>
    <x v="4"/>
    <x v="10"/>
    <x v="13"/>
    <x v="1"/>
    <x v="1"/>
    <x v="5"/>
    <x v="6"/>
    <x v="0"/>
    <x v="0"/>
    <x v="8"/>
    <x v="4"/>
    <x v="0"/>
    <x v="4"/>
    <x v="0"/>
    <x v="7"/>
    <x v="0"/>
    <x v="0"/>
    <x v="0"/>
    <x v="0"/>
    <x v="0"/>
    <x v="3"/>
    <x v="5"/>
    <x v="0"/>
    <x v="0"/>
    <x v="0"/>
    <x v="0"/>
    <x v="0"/>
    <x v="0"/>
    <x v="0"/>
    <x v="0"/>
    <x v="0"/>
    <x v="0"/>
    <x v="0"/>
    <x v="0"/>
    <x v="0"/>
    <x v="0"/>
    <x v="0"/>
    <x v="0"/>
    <x v="0"/>
    <x v="0"/>
    <x v="0"/>
    <x v="0"/>
    <x v="0"/>
    <x v="0"/>
    <x v="0"/>
    <x v="0"/>
    <x v="0"/>
    <x v="0"/>
    <x v="0"/>
    <x v="0"/>
    <x v="0"/>
    <x v="0"/>
    <x v="0"/>
    <x v="0"/>
    <x v="0"/>
    <x v="0"/>
    <x v="0"/>
    <x v="0"/>
    <x v="0"/>
    <x v="0"/>
    <x v="0"/>
    <x v="0"/>
    <x v="0"/>
    <x v="0"/>
    <x v="0"/>
    <x v="0"/>
  </r>
  <r>
    <s v="KS12"/>
    <s v="Concrete Drop Inlet"/>
    <s v="Concrete"/>
    <s v="KS12_005"/>
    <x v="2"/>
    <n v="29.969629722000001"/>
    <n v="-25.809215278"/>
    <s v="29° 58' 10.66&quot;E "/>
    <s v="25° 48' 33.17&quot; S"/>
    <s v="Complete"/>
    <s v="Yes"/>
    <s v="Yes"/>
    <d v="2017-02-06T00:00:00"/>
    <s v="YES"/>
    <m/>
    <s v="NBC-GTW-CL-0004"/>
    <s v="Yes"/>
    <s v="00"/>
    <d v="2018-06-16T00:00:00"/>
    <s v="Phase 1"/>
    <s v="Year 1"/>
    <n v="21.92"/>
    <n v="0"/>
    <n v="0"/>
    <n v="0"/>
    <n v="0"/>
    <n v="36.428620199999997"/>
    <n v="0"/>
    <n v="5.4642930299999994"/>
    <n v="21.92"/>
    <n v="21.92"/>
    <n v="0"/>
    <n v="0"/>
    <n v="30.305420480000002"/>
    <n v="35.8384"/>
    <n v="0"/>
    <n v="0"/>
    <s v="Ref 888"/>
    <n v="17.595592"/>
    <s v="Ref 655"/>
    <n v="24.347520000000003"/>
    <n v="0"/>
    <n v="58.150055671374432"/>
    <n v="0"/>
    <n v="5.58"/>
    <n v="0"/>
    <m/>
    <n v="0"/>
    <m/>
    <n v="0"/>
    <n v="6"/>
    <n v="7.26"/>
    <n v="0"/>
    <n v="0"/>
    <n v="0"/>
    <n v="0"/>
    <n v="0"/>
    <n v="0"/>
    <n v="0"/>
    <n v="0"/>
    <n v="0"/>
    <n v="0"/>
    <n v="0"/>
    <n v="0"/>
    <n v="0"/>
    <n v="0"/>
    <n v="0"/>
    <n v="0"/>
    <n v="0"/>
    <n v="0"/>
    <n v="0"/>
    <n v="0"/>
    <n v="0"/>
    <n v="0"/>
    <n v="0"/>
    <n v="0"/>
    <n v="0"/>
    <n v="0"/>
    <n v="0"/>
    <n v="0"/>
    <n v="0"/>
    <n v="0"/>
    <n v="0"/>
    <n v="0"/>
    <n v="0"/>
    <n v="0"/>
    <n v="0"/>
    <n v="0"/>
    <n v="0"/>
    <n v="0"/>
    <n v="0"/>
    <n v="0"/>
    <n v="0"/>
    <n v="0"/>
    <n v="0"/>
    <m/>
    <m/>
    <m/>
    <m/>
    <m/>
    <m/>
    <m/>
    <m/>
    <m/>
    <m/>
    <m/>
    <m/>
    <m/>
    <m/>
    <m/>
    <m/>
    <m/>
    <m/>
    <m/>
    <m/>
    <m/>
    <n v="109.60000000000001"/>
    <n v="0"/>
    <n v="0"/>
    <n v="0"/>
    <n v="0"/>
    <n v="3096.4327169999997"/>
    <n v="0"/>
    <n v="2732.1465149999999"/>
    <n v="109.60000000000001"/>
    <n v="219.20000000000002"/>
    <n v="0"/>
    <n v="60610.840960000001"/>
    <n v="10751.52"/>
    <n v="0"/>
    <n v="0"/>
    <n v="838.86223999999993"/>
    <n v="41604.536186393379"/>
    <n v="217.79999999999998"/>
    <n v="0"/>
    <n v="0"/>
    <n v="0"/>
    <n v="0"/>
    <n v="0"/>
    <n v="0"/>
    <n v="0"/>
    <n v="0"/>
    <n v="0"/>
    <n v="0"/>
    <n v="0"/>
    <n v="0"/>
    <n v="0"/>
    <n v="0"/>
    <n v="0"/>
    <n v="0"/>
    <n v="0"/>
    <n v="0"/>
    <n v="0"/>
    <n v="0"/>
    <n v="0"/>
    <n v="0"/>
    <n v="0"/>
    <n v="0"/>
    <n v="0"/>
    <n v="0"/>
    <n v="0"/>
    <n v="0"/>
    <n v="0"/>
    <n v="0"/>
    <n v="0"/>
    <n v="0"/>
    <n v="0"/>
    <n v="0"/>
    <n v="0"/>
    <n v="0"/>
    <n v="0"/>
    <n v="0"/>
    <n v="0"/>
    <n v="0"/>
    <n v="120290.53861839339"/>
    <n v="127507.970935497"/>
    <s v=" "/>
    <s v=" "/>
    <s v=" "/>
    <s v=" "/>
    <s v=" "/>
    <s v=" "/>
    <s v=" "/>
    <s v=" "/>
    <s v=" "/>
    <s v=" "/>
    <s v=" "/>
    <s v=" "/>
    <s v=" "/>
    <s v=" "/>
    <x v="11"/>
    <x v="0"/>
    <x v="0"/>
    <x v="0"/>
    <x v="0"/>
    <x v="10"/>
    <x v="0"/>
    <x v="5"/>
    <x v="11"/>
    <x v="14"/>
    <x v="1"/>
    <x v="1"/>
    <x v="6"/>
    <x v="7"/>
    <x v="0"/>
    <x v="0"/>
    <x v="9"/>
    <x v="5"/>
    <x v="0"/>
    <x v="5"/>
    <x v="0"/>
    <x v="8"/>
    <x v="0"/>
    <x v="0"/>
    <x v="0"/>
    <x v="0"/>
    <x v="0"/>
    <x v="4"/>
    <x v="6"/>
    <x v="0"/>
    <x v="0"/>
    <x v="0"/>
    <x v="0"/>
    <x v="0"/>
    <x v="0"/>
    <x v="0"/>
    <x v="0"/>
    <x v="0"/>
    <x v="0"/>
    <x v="0"/>
    <x v="0"/>
    <x v="0"/>
    <x v="0"/>
    <x v="0"/>
    <x v="0"/>
    <x v="0"/>
    <x v="0"/>
    <x v="0"/>
    <x v="0"/>
    <x v="0"/>
    <x v="0"/>
    <x v="0"/>
    <x v="0"/>
    <x v="0"/>
    <x v="0"/>
    <x v="0"/>
    <x v="0"/>
    <x v="0"/>
    <x v="0"/>
    <x v="0"/>
    <x v="0"/>
    <x v="0"/>
    <x v="0"/>
    <x v="0"/>
    <x v="0"/>
    <x v="0"/>
    <x v="0"/>
    <x v="0"/>
    <x v="0"/>
    <x v="0"/>
    <x v="0"/>
    <x v="0"/>
    <x v="0"/>
  </r>
  <r>
    <s v="KS12"/>
    <s v="Concrete Drop Inlet"/>
    <s v="Concrete"/>
    <s v="KS12_006"/>
    <x v="2"/>
    <n v="29.969651943999999"/>
    <n v="-25.808685277999999"/>
    <s v="29° 58' 10.74&quot;E "/>
    <s v="25° 48' 31.26&quot; S"/>
    <s v="Complete"/>
    <s v="Yes"/>
    <s v="Yes"/>
    <d v="2017-02-06T00:00:00"/>
    <s v="YES"/>
    <m/>
    <s v="NBC-GTW-CL-0005"/>
    <s v="Yes"/>
    <s v="00"/>
    <d v="2018-06-16T00:00:00"/>
    <s v="Phase 1"/>
    <s v="Year 1"/>
    <n v="21.44"/>
    <n v="0"/>
    <n v="0"/>
    <n v="0"/>
    <n v="0"/>
    <n v="31.948974999999997"/>
    <n v="0"/>
    <n v="4.7923462499999996"/>
    <n v="21.44"/>
    <n v="21.44"/>
    <n v="0"/>
    <n v="0"/>
    <n v="16.51343"/>
    <n v="30.541999999999998"/>
    <n v="0"/>
    <n v="0"/>
    <s v="Ref 888"/>
    <n v="15.6462"/>
    <s v="Ref 617"/>
    <n v="21.466799999999996"/>
    <n v="0"/>
    <n v="30.985232105547801"/>
    <n v="0"/>
    <n v="2.25"/>
    <n v="0"/>
    <m/>
    <n v="0"/>
    <m/>
    <n v="0"/>
    <n v="5"/>
    <n v="7.08"/>
    <n v="0"/>
    <n v="0"/>
    <n v="0"/>
    <n v="14.728999999999997"/>
    <n v="0"/>
    <n v="0"/>
    <n v="0"/>
    <n v="0"/>
    <n v="0"/>
    <n v="0"/>
    <n v="0"/>
    <n v="0"/>
    <n v="0"/>
    <n v="0"/>
    <n v="0"/>
    <n v="0"/>
    <n v="0"/>
    <n v="0"/>
    <n v="0"/>
    <n v="0"/>
    <n v="0"/>
    <n v="0"/>
    <n v="0"/>
    <n v="0"/>
    <n v="0"/>
    <n v="0"/>
    <n v="0"/>
    <n v="0"/>
    <n v="0"/>
    <n v="0"/>
    <n v="0"/>
    <n v="0"/>
    <n v="0"/>
    <n v="0"/>
    <n v="0"/>
    <n v="0"/>
    <n v="0"/>
    <n v="0"/>
    <n v="0"/>
    <n v="0"/>
    <n v="0"/>
    <n v="0"/>
    <n v="0"/>
    <m/>
    <m/>
    <m/>
    <m/>
    <m/>
    <m/>
    <m/>
    <m/>
    <m/>
    <m/>
    <m/>
    <m/>
    <m/>
    <m/>
    <m/>
    <m/>
    <m/>
    <m/>
    <m/>
    <m/>
    <m/>
    <n v="107.2"/>
    <n v="0"/>
    <n v="0"/>
    <n v="0"/>
    <n v="0"/>
    <n v="2715.662875"/>
    <n v="0"/>
    <n v="2396.1731249999998"/>
    <n v="107.2"/>
    <n v="214.4"/>
    <n v="0"/>
    <n v="33026.86"/>
    <n v="9162.5999999999985"/>
    <n v="0"/>
    <n v="0"/>
    <n v="742.26"/>
    <n v="21752.90086860607"/>
    <n v="212.4"/>
    <n v="0"/>
    <n v="0"/>
    <n v="1767.4799999999998"/>
    <n v="0"/>
    <n v="0"/>
    <n v="0"/>
    <n v="0"/>
    <n v="0"/>
    <n v="0"/>
    <n v="0"/>
    <n v="0"/>
    <n v="0"/>
    <n v="0"/>
    <n v="0"/>
    <n v="0"/>
    <n v="0"/>
    <n v="0"/>
    <n v="0"/>
    <n v="0"/>
    <n v="0"/>
    <n v="0"/>
    <n v="0"/>
    <n v="0"/>
    <n v="0"/>
    <n v="0"/>
    <n v="0"/>
    <n v="0"/>
    <n v="0"/>
    <n v="0"/>
    <n v="0"/>
    <n v="0"/>
    <n v="0"/>
    <n v="0"/>
    <n v="0"/>
    <n v="0"/>
    <n v="0"/>
    <n v="0"/>
    <n v="0"/>
    <n v="0"/>
    <n v="0"/>
    <n v="72205.13686860606"/>
    <n v="76537.44508072242"/>
    <s v=" "/>
    <s v=" "/>
    <s v=" "/>
    <s v=" "/>
    <s v=" "/>
    <s v=" "/>
    <s v=" "/>
    <s v=" "/>
    <s v=" "/>
    <s v=" "/>
    <s v=" "/>
    <s v=" "/>
    <s v=" "/>
    <s v=" "/>
    <x v="12"/>
    <x v="0"/>
    <x v="0"/>
    <x v="0"/>
    <x v="0"/>
    <x v="11"/>
    <x v="0"/>
    <x v="6"/>
    <x v="12"/>
    <x v="15"/>
    <x v="1"/>
    <x v="1"/>
    <x v="7"/>
    <x v="8"/>
    <x v="0"/>
    <x v="0"/>
    <x v="10"/>
    <x v="6"/>
    <x v="0"/>
    <x v="6"/>
    <x v="0"/>
    <x v="9"/>
    <x v="0"/>
    <x v="0"/>
    <x v="0"/>
    <x v="0"/>
    <x v="0"/>
    <x v="5"/>
    <x v="7"/>
    <x v="0"/>
    <x v="0"/>
    <x v="0"/>
    <x v="5"/>
    <x v="0"/>
    <x v="0"/>
    <x v="0"/>
    <x v="0"/>
    <x v="0"/>
    <x v="0"/>
    <x v="0"/>
    <x v="0"/>
    <x v="0"/>
    <x v="0"/>
    <x v="0"/>
    <x v="0"/>
    <x v="0"/>
    <x v="0"/>
    <x v="0"/>
    <x v="0"/>
    <x v="0"/>
    <x v="0"/>
    <x v="0"/>
    <x v="0"/>
    <x v="0"/>
    <x v="0"/>
    <x v="0"/>
    <x v="0"/>
    <x v="0"/>
    <x v="0"/>
    <x v="0"/>
    <x v="0"/>
    <x v="0"/>
    <x v="0"/>
    <x v="0"/>
    <x v="0"/>
    <x v="0"/>
    <x v="0"/>
    <x v="0"/>
    <x v="0"/>
    <x v="0"/>
    <x v="0"/>
    <x v="0"/>
    <x v="0"/>
  </r>
  <r>
    <s v="KS12"/>
    <s v="Concrete Drop Inlet"/>
    <s v="Concrete"/>
    <s v="KS12_007"/>
    <x v="2"/>
    <n v="29.969319722000002"/>
    <n v="-25.807899444"/>
    <s v="29° 58' 09.55&quot;E "/>
    <s v="25° 48' 28.43&quot; S"/>
    <s v="Complete"/>
    <s v="Yes"/>
    <s v="Yes"/>
    <d v="2017-02-06T00:00:00"/>
    <s v="YES"/>
    <m/>
    <s v="NBC-GTW-CL-0006"/>
    <s v="Yes"/>
    <s v="00"/>
    <d v="2018-06-16T00:00:00"/>
    <s v="Phase 1"/>
    <s v="Year 1"/>
    <n v="21.92"/>
    <n v="0"/>
    <n v="0"/>
    <n v="0"/>
    <n v="0"/>
    <n v="47.313325000000006"/>
    <n v="0"/>
    <n v="7.0969987500000009"/>
    <n v="21.92"/>
    <n v="21.92"/>
    <n v="0"/>
    <n v="0"/>
    <n v="20.100000000000001"/>
    <n v="33.160000000000004"/>
    <n v="0"/>
    <n v="0"/>
    <s v="Ref 888"/>
    <n v="16"/>
    <s v="Ref 655"/>
    <n v="23.414400000000001"/>
    <n v="0"/>
    <n v="38.926414318335929"/>
    <n v="0"/>
    <n v="3.15"/>
    <n v="0"/>
    <m/>
    <n v="0"/>
    <m/>
    <n v="0"/>
    <n v="5"/>
    <n v="7.35"/>
    <n v="0"/>
    <n v="0"/>
    <n v="0"/>
    <n v="25.978000000000002"/>
    <n v="0"/>
    <n v="0"/>
    <n v="0"/>
    <n v="0"/>
    <n v="0"/>
    <n v="0"/>
    <n v="0"/>
    <n v="0"/>
    <n v="0"/>
    <n v="0"/>
    <n v="0"/>
    <n v="0"/>
    <n v="0"/>
    <n v="0"/>
    <n v="0"/>
    <n v="0"/>
    <n v="0"/>
    <n v="0"/>
    <n v="0"/>
    <n v="0"/>
    <n v="0"/>
    <n v="0"/>
    <n v="0"/>
    <n v="0"/>
    <n v="0"/>
    <n v="0"/>
    <n v="0"/>
    <n v="0"/>
    <n v="0"/>
    <n v="0"/>
    <n v="0"/>
    <n v="0"/>
    <n v="0"/>
    <n v="0"/>
    <n v="0"/>
    <n v="0"/>
    <n v="0"/>
    <n v="0"/>
    <n v="0"/>
    <m/>
    <m/>
    <m/>
    <m/>
    <m/>
    <m/>
    <m/>
    <m/>
    <m/>
    <m/>
    <m/>
    <m/>
    <m/>
    <m/>
    <m/>
    <m/>
    <m/>
    <m/>
    <m/>
    <m/>
    <m/>
    <n v="109.60000000000001"/>
    <n v="0"/>
    <n v="0"/>
    <n v="0"/>
    <n v="0"/>
    <n v="4021.6326250000006"/>
    <n v="0"/>
    <n v="3548.4993750000003"/>
    <n v="109.60000000000001"/>
    <n v="219.20000000000002"/>
    <n v="0"/>
    <n v="40200"/>
    <n v="9948.0000000000018"/>
    <n v="0"/>
    <n v="0"/>
    <n v="788.28800000000001"/>
    <n v="27499.669306918353"/>
    <n v="220.5"/>
    <n v="0"/>
    <n v="0"/>
    <n v="3117.36"/>
    <n v="0"/>
    <n v="0"/>
    <n v="0"/>
    <n v="0"/>
    <n v="0"/>
    <n v="0"/>
    <n v="0"/>
    <n v="0"/>
    <n v="0"/>
    <n v="0"/>
    <n v="0"/>
    <n v="0"/>
    <n v="0"/>
    <n v="0"/>
    <n v="0"/>
    <n v="0"/>
    <n v="0"/>
    <n v="0"/>
    <n v="0"/>
    <n v="0"/>
    <n v="0"/>
    <n v="0"/>
    <n v="0"/>
    <n v="0"/>
    <n v="0"/>
    <n v="0"/>
    <n v="0"/>
    <n v="0"/>
    <n v="0"/>
    <n v="0"/>
    <n v="0"/>
    <n v="0"/>
    <n v="0"/>
    <n v="0"/>
    <n v="0"/>
    <n v="0"/>
    <n v="0"/>
    <n v="89782.349306918346"/>
    <n v="95169.290265333446"/>
    <s v=" "/>
    <s v=" "/>
    <s v=" "/>
    <s v=" "/>
    <s v=" "/>
    <s v=" "/>
    <s v=" "/>
    <s v=" "/>
    <s v=" "/>
    <s v=" "/>
    <s v=" "/>
    <s v=" "/>
    <s v=" "/>
    <s v=" "/>
    <x v="13"/>
    <x v="0"/>
    <x v="0"/>
    <x v="0"/>
    <x v="0"/>
    <x v="12"/>
    <x v="0"/>
    <x v="7"/>
    <x v="13"/>
    <x v="16"/>
    <x v="1"/>
    <x v="1"/>
    <x v="8"/>
    <x v="9"/>
    <x v="0"/>
    <x v="0"/>
    <x v="11"/>
    <x v="7"/>
    <x v="0"/>
    <x v="7"/>
    <x v="0"/>
    <x v="10"/>
    <x v="0"/>
    <x v="0"/>
    <x v="0"/>
    <x v="0"/>
    <x v="0"/>
    <x v="6"/>
    <x v="8"/>
    <x v="0"/>
    <x v="0"/>
    <x v="0"/>
    <x v="6"/>
    <x v="0"/>
    <x v="0"/>
    <x v="0"/>
    <x v="0"/>
    <x v="0"/>
    <x v="0"/>
    <x v="0"/>
    <x v="0"/>
    <x v="0"/>
    <x v="0"/>
    <x v="0"/>
    <x v="0"/>
    <x v="0"/>
    <x v="0"/>
    <x v="0"/>
    <x v="0"/>
    <x v="0"/>
    <x v="0"/>
    <x v="0"/>
    <x v="0"/>
    <x v="0"/>
    <x v="0"/>
    <x v="0"/>
    <x v="0"/>
    <x v="0"/>
    <x v="0"/>
    <x v="0"/>
    <x v="0"/>
    <x v="0"/>
    <x v="0"/>
    <x v="0"/>
    <x v="0"/>
    <x v="0"/>
    <x v="0"/>
    <x v="0"/>
    <x v="0"/>
    <x v="0"/>
    <x v="0"/>
    <x v="0"/>
    <x v="0"/>
  </r>
  <r>
    <s v="KS12"/>
    <s v="Concrete Drop Inlet"/>
    <s v="Concrete"/>
    <s v="KS12_008"/>
    <x v="2"/>
    <n v="29.968745555999998"/>
    <n v="-25.807595833000001"/>
    <s v="29° 58' 07.48&quot;E "/>
    <s v="25° 48' 27.34&quot; S"/>
    <s v="Complete"/>
    <s v="Yes"/>
    <s v="Yes"/>
    <d v="2017-02-06T00:00:00"/>
    <s v="YES"/>
    <m/>
    <s v="NBC-GTW-CL-0007"/>
    <s v="Yes"/>
    <s v="00"/>
    <d v="2018-06-16T00:00:00"/>
    <s v="Phase 1"/>
    <s v="Year 1"/>
    <n v="21.44"/>
    <n v="0"/>
    <n v="0"/>
    <n v="0"/>
    <n v="0"/>
    <n v="33.214089999999999"/>
    <n v="0"/>
    <n v="4.9821134999999996"/>
    <n v="21.44"/>
    <n v="21.44"/>
    <n v="0"/>
    <n v="0"/>
    <n v="15.980680000000001"/>
    <n v="28.491999999999997"/>
    <n v="0"/>
    <n v="0"/>
    <s v="Ref 888"/>
    <n v="12.5"/>
    <s v="Ref 617"/>
    <n v="19.456799999999998"/>
    <n v="0"/>
    <n v="30.685690789532799"/>
    <n v="0"/>
    <n v="2"/>
    <n v="0"/>
    <m/>
    <n v="0"/>
    <m/>
    <n v="0"/>
    <n v="4"/>
    <n v="6.66"/>
    <n v="0"/>
    <n v="0"/>
    <n v="0"/>
    <n v="16.603199999999998"/>
    <n v="0"/>
    <n v="0"/>
    <n v="0"/>
    <n v="0"/>
    <n v="0"/>
    <n v="0"/>
    <n v="0"/>
    <n v="0"/>
    <n v="0"/>
    <n v="0"/>
    <n v="0"/>
    <n v="0"/>
    <n v="0"/>
    <n v="0"/>
    <n v="0"/>
    <n v="0"/>
    <n v="0"/>
    <n v="0"/>
    <n v="0"/>
    <n v="0"/>
    <n v="0"/>
    <n v="0"/>
    <n v="0"/>
    <n v="0"/>
    <n v="0"/>
    <n v="0"/>
    <n v="0"/>
    <n v="0"/>
    <n v="0"/>
    <n v="0"/>
    <n v="0"/>
    <n v="0"/>
    <n v="0"/>
    <n v="0"/>
    <n v="0"/>
    <n v="0"/>
    <n v="0"/>
    <n v="0"/>
    <n v="0"/>
    <m/>
    <m/>
    <m/>
    <m/>
    <m/>
    <m/>
    <m/>
    <m/>
    <m/>
    <m/>
    <m/>
    <m/>
    <m/>
    <m/>
    <m/>
    <m/>
    <m/>
    <m/>
    <m/>
    <m/>
    <m/>
    <n v="107.2"/>
    <n v="0"/>
    <n v="0"/>
    <n v="0"/>
    <n v="0"/>
    <n v="2823.1976500000001"/>
    <n v="0"/>
    <n v="2491.0567499999997"/>
    <n v="107.2"/>
    <n v="214.4"/>
    <n v="0"/>
    <n v="31961.360000000004"/>
    <n v="8547.5999999999985"/>
    <n v="0"/>
    <n v="0"/>
    <n v="639.13599999999997"/>
    <n v="21365.699013196321"/>
    <n v="199.8"/>
    <n v="0"/>
    <n v="0"/>
    <n v="1992.3839999999998"/>
    <n v="0"/>
    <n v="0"/>
    <n v="0"/>
    <n v="0"/>
    <n v="0"/>
    <n v="0"/>
    <n v="0"/>
    <n v="0"/>
    <n v="0"/>
    <n v="0"/>
    <n v="0"/>
    <n v="0"/>
    <n v="0"/>
    <n v="0"/>
    <n v="0"/>
    <n v="0"/>
    <n v="0"/>
    <n v="0"/>
    <n v="0"/>
    <n v="0"/>
    <n v="0"/>
    <n v="0"/>
    <n v="0"/>
    <n v="0"/>
    <n v="0"/>
    <n v="0"/>
    <n v="0"/>
    <n v="0"/>
    <n v="0"/>
    <n v="0"/>
    <n v="0"/>
    <n v="0"/>
    <n v="0"/>
    <n v="0"/>
    <n v="0"/>
    <n v="0"/>
    <n v="0"/>
    <n v="70449.033413196332"/>
    <n v="74675.975417988113"/>
    <s v=" "/>
    <s v=" "/>
    <s v=" "/>
    <s v=" "/>
    <s v=" "/>
    <s v=" "/>
    <s v=" "/>
    <s v=" "/>
    <s v=" "/>
    <s v=" "/>
    <s v=" "/>
    <s v=" "/>
    <s v=" "/>
    <s v=" "/>
    <x v="14"/>
    <x v="0"/>
    <x v="0"/>
    <x v="0"/>
    <x v="0"/>
    <x v="13"/>
    <x v="0"/>
    <x v="8"/>
    <x v="14"/>
    <x v="17"/>
    <x v="1"/>
    <x v="1"/>
    <x v="9"/>
    <x v="10"/>
    <x v="0"/>
    <x v="0"/>
    <x v="12"/>
    <x v="8"/>
    <x v="0"/>
    <x v="8"/>
    <x v="0"/>
    <x v="11"/>
    <x v="0"/>
    <x v="0"/>
    <x v="0"/>
    <x v="0"/>
    <x v="0"/>
    <x v="7"/>
    <x v="9"/>
    <x v="0"/>
    <x v="0"/>
    <x v="0"/>
    <x v="7"/>
    <x v="0"/>
    <x v="0"/>
    <x v="0"/>
    <x v="0"/>
    <x v="0"/>
    <x v="0"/>
    <x v="0"/>
    <x v="0"/>
    <x v="0"/>
    <x v="0"/>
    <x v="0"/>
    <x v="0"/>
    <x v="0"/>
    <x v="0"/>
    <x v="0"/>
    <x v="0"/>
    <x v="0"/>
    <x v="0"/>
    <x v="0"/>
    <x v="0"/>
    <x v="0"/>
    <x v="0"/>
    <x v="0"/>
    <x v="0"/>
    <x v="0"/>
    <x v="0"/>
    <x v="0"/>
    <x v="0"/>
    <x v="0"/>
    <x v="0"/>
    <x v="0"/>
    <x v="0"/>
    <x v="0"/>
    <x v="0"/>
    <x v="0"/>
    <x v="0"/>
    <x v="0"/>
    <x v="0"/>
    <x v="0"/>
    <x v="0"/>
  </r>
  <r>
    <s v="KS12"/>
    <s v="Concrete Drop Inlet"/>
    <s v="Concrete"/>
    <s v="KS12_009"/>
    <x v="2"/>
    <n v="29.968314721999999"/>
    <n v="-25.807385556"/>
    <s v="29° 58' 05.93&quot;E "/>
    <s v="25° 48' 26.58&quot; S"/>
    <s v="Complete"/>
    <s v="Yes"/>
    <s v="Yes"/>
    <d v="2017-02-06T00:00:00"/>
    <s v="YES"/>
    <m/>
    <s v="NBC-GTW-CL-0008"/>
    <s v="Yes"/>
    <s v="00"/>
    <d v="2018-06-16T00:00:00"/>
    <s v="Phase 1"/>
    <s v="Year 1"/>
    <n v="21.44"/>
    <n v="0"/>
    <n v="0"/>
    <n v="0"/>
    <n v="0"/>
    <n v="21.461640000000003"/>
    <n v="0"/>
    <n v="3.2192460000000005"/>
    <n v="21.44"/>
    <n v="21.44"/>
    <n v="0"/>
    <n v="0"/>
    <n v="11"/>
    <n v="23.423999999999999"/>
    <n v="0"/>
    <n v="0"/>
    <s v="Ref 888"/>
    <n v="7.5"/>
    <s v="Ref 617"/>
    <n v="15.115199999999998"/>
    <n v="0"/>
    <n v="23.475241258295846"/>
    <n v="0"/>
    <n v="0.89999999999999991"/>
    <n v="0"/>
    <m/>
    <n v="0"/>
    <m/>
    <n v="0"/>
    <n v="3"/>
    <n v="6.36"/>
    <n v="0"/>
    <n v="0"/>
    <n v="0"/>
    <n v="8.985599999999998"/>
    <n v="0"/>
    <n v="0"/>
    <n v="0"/>
    <n v="0"/>
    <n v="0"/>
    <n v="0"/>
    <n v="0"/>
    <n v="0"/>
    <n v="0"/>
    <n v="0"/>
    <n v="0"/>
    <n v="0"/>
    <n v="0"/>
    <n v="0"/>
    <n v="0"/>
    <n v="0"/>
    <n v="0"/>
    <n v="0"/>
    <n v="0"/>
    <n v="0"/>
    <n v="0"/>
    <n v="0"/>
    <n v="0"/>
    <n v="0"/>
    <n v="0"/>
    <n v="0"/>
    <n v="0"/>
    <n v="0"/>
    <n v="0"/>
    <n v="0"/>
    <n v="0"/>
    <n v="0"/>
    <n v="0"/>
    <n v="0"/>
    <n v="0"/>
    <n v="0"/>
    <n v="0"/>
    <n v="0"/>
    <n v="0"/>
    <m/>
    <m/>
    <m/>
    <m/>
    <m/>
    <m/>
    <m/>
    <m/>
    <m/>
    <m/>
    <m/>
    <m/>
    <m/>
    <m/>
    <m/>
    <m/>
    <m/>
    <m/>
    <m/>
    <m/>
    <m/>
    <n v="107.2"/>
    <n v="0"/>
    <n v="0"/>
    <n v="0"/>
    <n v="0"/>
    <n v="1824.2394000000002"/>
    <n v="0"/>
    <n v="1609.6230000000003"/>
    <n v="107.2"/>
    <n v="214.4"/>
    <n v="0"/>
    <n v="22000"/>
    <n v="7027.2"/>
    <n v="0"/>
    <n v="0"/>
    <n v="452.30399999999997"/>
    <n v="15933.906817892299"/>
    <n v="190.8"/>
    <n v="0"/>
    <n v="0"/>
    <n v="1078.2719999999997"/>
    <n v="0"/>
    <n v="0"/>
    <n v="0"/>
    <n v="0"/>
    <n v="0"/>
    <n v="0"/>
    <n v="0"/>
    <n v="0"/>
    <n v="0"/>
    <n v="0"/>
    <n v="0"/>
    <n v="0"/>
    <n v="0"/>
    <n v="0"/>
    <n v="0"/>
    <n v="0"/>
    <n v="0"/>
    <n v="0"/>
    <n v="0"/>
    <n v="0"/>
    <n v="0"/>
    <n v="0"/>
    <n v="0"/>
    <n v="0"/>
    <n v="0"/>
    <n v="0"/>
    <n v="0"/>
    <n v="0"/>
    <n v="0"/>
    <n v="0"/>
    <n v="0"/>
    <n v="0"/>
    <n v="0"/>
    <n v="0"/>
    <n v="0"/>
    <n v="0"/>
    <n v="0"/>
    <n v="50545.145217892292"/>
    <n v="53577.85393096583"/>
    <s v=" "/>
    <s v=" "/>
    <s v=" "/>
    <s v=" "/>
    <s v=" "/>
    <s v=" "/>
    <s v=" "/>
    <s v=" "/>
    <s v=" "/>
    <s v=" "/>
    <s v=" "/>
    <s v=" "/>
    <s v=" "/>
    <s v=" "/>
    <x v="15"/>
    <x v="0"/>
    <x v="0"/>
    <x v="0"/>
    <x v="0"/>
    <x v="14"/>
    <x v="0"/>
    <x v="9"/>
    <x v="15"/>
    <x v="18"/>
    <x v="1"/>
    <x v="1"/>
    <x v="10"/>
    <x v="11"/>
    <x v="0"/>
    <x v="0"/>
    <x v="13"/>
    <x v="9"/>
    <x v="0"/>
    <x v="9"/>
    <x v="0"/>
    <x v="12"/>
    <x v="0"/>
    <x v="0"/>
    <x v="0"/>
    <x v="0"/>
    <x v="0"/>
    <x v="8"/>
    <x v="10"/>
    <x v="0"/>
    <x v="0"/>
    <x v="0"/>
    <x v="8"/>
    <x v="0"/>
    <x v="0"/>
    <x v="0"/>
    <x v="0"/>
    <x v="0"/>
    <x v="0"/>
    <x v="0"/>
    <x v="0"/>
    <x v="0"/>
    <x v="0"/>
    <x v="0"/>
    <x v="0"/>
    <x v="0"/>
    <x v="0"/>
    <x v="0"/>
    <x v="0"/>
    <x v="0"/>
    <x v="0"/>
    <x v="0"/>
    <x v="0"/>
    <x v="0"/>
    <x v="0"/>
    <x v="0"/>
    <x v="0"/>
    <x v="0"/>
    <x v="0"/>
    <x v="0"/>
    <x v="0"/>
    <x v="0"/>
    <x v="0"/>
    <x v="0"/>
    <x v="0"/>
    <x v="0"/>
    <x v="0"/>
    <x v="0"/>
    <x v="0"/>
    <x v="0"/>
    <x v="0"/>
    <x v="0"/>
    <x v="0"/>
  </r>
  <r>
    <s v="KS12"/>
    <s v="Removal of Dam Wall"/>
    <s v="Excavation"/>
    <s v="KS12_010"/>
    <x v="2"/>
    <n v="29.965773056"/>
    <n v="-25.8051125"/>
    <s v="29° 57' 56.78&quot;E "/>
    <s v="25° 48' 18.40&quot; S"/>
    <s v="Complete"/>
    <s v="Yes"/>
    <s v="Yes"/>
    <d v="2017-05-30T00:00:00"/>
    <s v="NA"/>
    <s v="NA"/>
    <s v="No Drawing"/>
    <s v="Yes"/>
    <s v="00"/>
    <d v="2018-06-16T00:00:00"/>
    <s v="Phase 1"/>
    <s v="Year 1"/>
    <n v="619.18547990530158"/>
    <n v="211.894375"/>
    <n v="0"/>
    <n v="0"/>
    <n v="0"/>
    <n v="0"/>
    <n v="0"/>
    <n v="0"/>
    <n v="619.18547990530158"/>
    <n v="619.18547990530158"/>
    <n v="0"/>
    <n v="0"/>
    <n v="0"/>
    <n v="0"/>
    <n v="0"/>
    <n v="0"/>
    <n v="0"/>
    <n v="0"/>
    <n v="0"/>
    <n v="0"/>
    <n v="0"/>
    <n v="0"/>
    <n v="0"/>
    <n v="0"/>
    <n v="0"/>
    <m/>
    <n v="0"/>
    <m/>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n v="3095.927399526508"/>
    <n v="10594.71875"/>
    <n v="0"/>
    <n v="0"/>
    <n v="0"/>
    <n v="0"/>
    <n v="0"/>
    <n v="0"/>
    <n v="3095.927399526508"/>
    <n v="6191.854799053016"/>
    <n v="0"/>
    <n v="0"/>
    <n v="0"/>
    <n v="0"/>
    <n v="0"/>
    <n v="0"/>
    <n v="0"/>
    <n v="0"/>
    <n v="0"/>
    <n v="0"/>
    <n v="0"/>
    <n v="0"/>
    <n v="0"/>
    <n v="0"/>
    <n v="0"/>
    <n v="0"/>
    <n v="0"/>
    <n v="0"/>
    <n v="0"/>
    <n v="0"/>
    <n v="0"/>
    <n v="0"/>
    <n v="0"/>
    <n v="0"/>
    <n v="0"/>
    <n v="0"/>
    <n v="0"/>
    <n v="0"/>
    <n v="0"/>
    <n v="0"/>
    <n v="0"/>
    <n v="0"/>
    <n v="0"/>
    <n v="0"/>
    <n v="0"/>
    <n v="0"/>
    <n v="0"/>
    <n v="0"/>
    <n v="0"/>
    <n v="0"/>
    <n v="0"/>
    <n v="0"/>
    <n v="0"/>
    <n v="0"/>
    <n v="0"/>
    <n v="0"/>
    <n v="0"/>
    <n v="0"/>
    <n v="22978.428348106034"/>
    <n v="24357.134048992397"/>
    <s v=" "/>
    <s v=" "/>
    <s v=" "/>
    <s v=" "/>
    <s v=" "/>
    <s v=" "/>
    <s v=" "/>
    <s v=" "/>
    <s v=" "/>
    <s v=" "/>
    <s v=" "/>
    <s v=" "/>
    <s v=" "/>
    <s v=" "/>
    <x v="16"/>
    <x v="7"/>
    <x v="0"/>
    <x v="0"/>
    <x v="0"/>
    <x v="1"/>
    <x v="0"/>
    <x v="0"/>
    <x v="16"/>
    <x v="19"/>
    <x v="1"/>
    <x v="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13"/>
    <s v="Infilling of Drains"/>
    <s v="Earthworks"/>
    <s v="KS13_001"/>
    <x v="3"/>
    <n v="29.978719999999999"/>
    <n v="-25.818548056000001"/>
    <s v="29° 58' 43.39&quot;E "/>
    <s v="25° 49' 06.77&quot; S"/>
    <s v="Complete"/>
    <s v="Yes"/>
    <s v="Yes"/>
    <d v="2017-04-21T00:00:00"/>
    <s v="NA"/>
    <s v="NA"/>
    <s v="No Drawing"/>
    <s v="Yes"/>
    <s v="00"/>
    <d v="2018-06-16T00:00:00"/>
    <s v="Phase 1"/>
    <s v="Year 1"/>
    <n v="1148.9399859945058"/>
    <n v="0"/>
    <n v="0"/>
    <n v="0"/>
    <n v="0"/>
    <n v="0"/>
    <n v="0"/>
    <n v="0"/>
    <n v="1148.9399859945058"/>
    <n v="0"/>
    <n v="0"/>
    <n v="0"/>
    <n v="0"/>
    <n v="0"/>
    <n v="0"/>
    <n v="0"/>
    <n v="0"/>
    <n v="0"/>
    <n v="0"/>
    <n v="0"/>
    <n v="0"/>
    <n v="0"/>
    <n v="0"/>
    <n v="0"/>
    <n v="0"/>
    <m/>
    <n v="0"/>
    <m/>
    <n v="0"/>
    <n v="0"/>
    <n v="0"/>
    <n v="0"/>
    <n v="0"/>
    <n v="0"/>
    <n v="215"/>
    <n v="0"/>
    <n v="0"/>
    <n v="0"/>
    <n v="0"/>
    <n v="0"/>
    <n v="0"/>
    <n v="0"/>
    <n v="0"/>
    <n v="0"/>
    <n v="0"/>
    <n v="0"/>
    <n v="0"/>
    <n v="0"/>
    <n v="0"/>
    <n v="0"/>
    <n v="0"/>
    <n v="0"/>
    <n v="0"/>
    <n v="0"/>
    <n v="0"/>
    <n v="0"/>
    <n v="0"/>
    <n v="0"/>
    <n v="0"/>
    <n v="0"/>
    <n v="0"/>
    <n v="0"/>
    <n v="0"/>
    <n v="0"/>
    <n v="0"/>
    <n v="0"/>
    <n v="0"/>
    <n v="0"/>
    <n v="0"/>
    <n v="0"/>
    <n v="0"/>
    <n v="0"/>
    <n v="0"/>
    <n v="0"/>
    <n v="0"/>
    <n v="0"/>
    <n v="0"/>
    <n v="0"/>
    <n v="0"/>
    <n v="0"/>
    <n v="0"/>
    <n v="0"/>
    <n v="0"/>
    <n v="0"/>
    <n v="0"/>
    <n v="0"/>
    <m/>
    <m/>
    <m/>
    <m/>
    <m/>
    <m/>
    <m/>
    <m/>
    <m/>
    <n v="5744.6999299725294"/>
    <n v="0"/>
    <n v="0"/>
    <n v="0"/>
    <n v="0"/>
    <n v="0"/>
    <n v="0"/>
    <n v="0"/>
    <n v="5744.6999299725294"/>
    <n v="0"/>
    <n v="0"/>
    <n v="0"/>
    <n v="0"/>
    <n v="0"/>
    <n v="0"/>
    <n v="0"/>
    <n v="0"/>
    <n v="0"/>
    <n v="0"/>
    <n v="0"/>
    <n v="25800"/>
    <n v="0"/>
    <n v="0"/>
    <n v="0"/>
    <n v="0"/>
    <n v="0"/>
    <n v="0"/>
    <n v="0"/>
    <n v="0"/>
    <n v="0"/>
    <n v="0"/>
    <n v="0"/>
    <n v="0"/>
    <n v="0"/>
    <n v="0"/>
    <n v="0"/>
    <n v="0"/>
    <n v="0"/>
    <n v="0"/>
    <n v="0"/>
    <n v="0"/>
    <n v="0"/>
    <n v="0"/>
    <n v="0"/>
    <n v="0"/>
    <n v="0"/>
    <n v="0"/>
    <n v="0"/>
    <n v="0"/>
    <n v="0"/>
    <n v="0"/>
    <n v="0"/>
    <n v="0"/>
    <n v="0"/>
    <n v="0"/>
    <n v="0"/>
    <n v="0"/>
    <n v="0"/>
    <n v="37289.399859945057"/>
    <n v="39526.763851541764"/>
    <s v=" "/>
    <s v=" "/>
    <s v=" "/>
    <s v=" "/>
    <s v=" "/>
    <s v=" "/>
    <s v=" "/>
    <s v=" "/>
    <s v=" "/>
    <s v=" "/>
    <s v=" "/>
    <s v=" "/>
    <s v=" "/>
    <s v=" "/>
    <x v="17"/>
    <x v="0"/>
    <x v="0"/>
    <x v="0"/>
    <x v="0"/>
    <x v="1"/>
    <x v="0"/>
    <x v="0"/>
    <x v="17"/>
    <x v="4"/>
    <x v="1"/>
    <x v="1"/>
    <x v="0"/>
    <x v="0"/>
    <x v="0"/>
    <x v="0"/>
    <x v="0"/>
    <x v="0"/>
    <x v="0"/>
    <x v="0"/>
    <x v="0"/>
    <x v="0"/>
    <x v="0"/>
    <x v="0"/>
    <x v="0"/>
    <x v="0"/>
    <x v="0"/>
    <x v="0"/>
    <x v="0"/>
    <x v="0"/>
    <x v="0"/>
    <x v="0"/>
    <x v="9"/>
    <x v="0"/>
    <x v="0"/>
    <x v="0"/>
    <x v="0"/>
    <x v="0"/>
    <x v="0"/>
    <x v="0"/>
    <x v="0"/>
    <x v="0"/>
    <x v="0"/>
    <x v="0"/>
    <x v="0"/>
    <x v="0"/>
    <x v="0"/>
    <x v="0"/>
    <x v="0"/>
    <x v="0"/>
    <x v="0"/>
    <x v="0"/>
    <x v="0"/>
    <x v="0"/>
    <x v="0"/>
    <x v="0"/>
    <x v="0"/>
    <x v="0"/>
    <x v="0"/>
    <x v="0"/>
    <x v="0"/>
    <x v="0"/>
    <x v="0"/>
    <x v="0"/>
    <x v="0"/>
    <x v="0"/>
    <x v="0"/>
    <x v="0"/>
    <x v="0"/>
    <x v="0"/>
    <x v="0"/>
    <x v="0"/>
    <x v="0"/>
  </r>
  <r>
    <s v="KS13"/>
    <s v="Infilling of Drains"/>
    <s v="Earthworks"/>
    <s v="KS13_002"/>
    <x v="3"/>
    <n v="29.978751388999999"/>
    <n v="-25.818117778000001"/>
    <s v="29° 58' 43.50&quot;E "/>
    <s v="25° 49' 05.22&quot; S"/>
    <s v="Complete"/>
    <s v="Yes"/>
    <s v="Yes"/>
    <d v="2017-04-25T00:00:00"/>
    <s v="NA"/>
    <s v="NA"/>
    <s v="No Drawing"/>
    <s v="Yes"/>
    <s v="00"/>
    <d v="2018-06-16T00:00:00"/>
    <s v="Phase 1"/>
    <s v="Year 1"/>
    <n v="85.81665382639197"/>
    <n v="0"/>
    <n v="0"/>
    <n v="0"/>
    <n v="0"/>
    <n v="0"/>
    <n v="0"/>
    <n v="0"/>
    <n v="85.81665382639197"/>
    <n v="0"/>
    <n v="0"/>
    <n v="0"/>
    <n v="0"/>
    <n v="0"/>
    <n v="0"/>
    <n v="0"/>
    <n v="0"/>
    <n v="0"/>
    <n v="0"/>
    <n v="0"/>
    <n v="0"/>
    <n v="0"/>
    <n v="0"/>
    <n v="0"/>
    <n v="0"/>
    <m/>
    <n v="0"/>
    <m/>
    <n v="0"/>
    <n v="0"/>
    <n v="0"/>
    <n v="0"/>
    <n v="0"/>
    <n v="0"/>
    <n v="15"/>
    <n v="0"/>
    <n v="0"/>
    <n v="0"/>
    <n v="0"/>
    <n v="0"/>
    <n v="0"/>
    <n v="0"/>
    <n v="0"/>
    <n v="0"/>
    <n v="0"/>
    <n v="0"/>
    <n v="0"/>
    <n v="0"/>
    <n v="0"/>
    <n v="0"/>
    <n v="0"/>
    <n v="0"/>
    <n v="0"/>
    <n v="0"/>
    <n v="0"/>
    <n v="0"/>
    <n v="0"/>
    <n v="0"/>
    <n v="0"/>
    <n v="0"/>
    <n v="0"/>
    <n v="0"/>
    <n v="0"/>
    <n v="0"/>
    <n v="0"/>
    <n v="0"/>
    <n v="0"/>
    <n v="0"/>
    <n v="0"/>
    <n v="0"/>
    <n v="0"/>
    <n v="0"/>
    <n v="0"/>
    <n v="0"/>
    <n v="0"/>
    <n v="0"/>
    <n v="0"/>
    <n v="0"/>
    <n v="0"/>
    <n v="0"/>
    <n v="0"/>
    <n v="0"/>
    <n v="0"/>
    <n v="0"/>
    <n v="0"/>
    <n v="0"/>
    <m/>
    <m/>
    <m/>
    <m/>
    <m/>
    <m/>
    <m/>
    <m/>
    <m/>
    <n v="429.08326913195987"/>
    <n v="0"/>
    <n v="0"/>
    <n v="0"/>
    <n v="0"/>
    <n v="0"/>
    <n v="0"/>
    <n v="0"/>
    <n v="429.08326913195987"/>
    <n v="0"/>
    <n v="0"/>
    <n v="0"/>
    <n v="0"/>
    <n v="0"/>
    <n v="0"/>
    <n v="0"/>
    <n v="0"/>
    <n v="0"/>
    <n v="0"/>
    <n v="0"/>
    <n v="1800"/>
    <n v="0"/>
    <n v="0"/>
    <n v="0"/>
    <n v="0"/>
    <n v="0"/>
    <n v="0"/>
    <n v="0"/>
    <n v="0"/>
    <n v="0"/>
    <n v="0"/>
    <n v="0"/>
    <n v="0"/>
    <n v="0"/>
    <n v="0"/>
    <n v="0"/>
    <n v="0"/>
    <n v="0"/>
    <n v="0"/>
    <n v="0"/>
    <n v="0"/>
    <n v="0"/>
    <n v="0"/>
    <n v="0"/>
    <n v="0"/>
    <n v="0"/>
    <n v="0"/>
    <n v="0"/>
    <n v="0"/>
    <n v="0"/>
    <n v="0"/>
    <n v="0"/>
    <n v="0"/>
    <n v="0"/>
    <n v="0"/>
    <n v="0"/>
    <n v="0"/>
    <n v="0"/>
    <n v="2658.1665382639198"/>
    <n v="2817.6565305597551"/>
    <s v=" "/>
    <s v=" "/>
    <s v=" "/>
    <s v=" "/>
    <s v=" "/>
    <s v=" "/>
    <s v=" "/>
    <s v=" "/>
    <s v=" "/>
    <s v=" "/>
    <s v=" "/>
    <s v=" "/>
    <s v=" "/>
    <s v=" "/>
    <x v="18"/>
    <x v="0"/>
    <x v="0"/>
    <x v="0"/>
    <x v="0"/>
    <x v="1"/>
    <x v="0"/>
    <x v="0"/>
    <x v="18"/>
    <x v="4"/>
    <x v="1"/>
    <x v="1"/>
    <x v="0"/>
    <x v="0"/>
    <x v="0"/>
    <x v="0"/>
    <x v="0"/>
    <x v="0"/>
    <x v="0"/>
    <x v="0"/>
    <x v="0"/>
    <x v="0"/>
    <x v="0"/>
    <x v="0"/>
    <x v="0"/>
    <x v="0"/>
    <x v="0"/>
    <x v="0"/>
    <x v="0"/>
    <x v="0"/>
    <x v="0"/>
    <x v="0"/>
    <x v="10"/>
    <x v="0"/>
    <x v="0"/>
    <x v="0"/>
    <x v="0"/>
    <x v="0"/>
    <x v="0"/>
    <x v="0"/>
    <x v="0"/>
    <x v="0"/>
    <x v="0"/>
    <x v="0"/>
    <x v="0"/>
    <x v="0"/>
    <x v="0"/>
    <x v="0"/>
    <x v="0"/>
    <x v="0"/>
    <x v="0"/>
    <x v="0"/>
    <x v="0"/>
    <x v="0"/>
    <x v="0"/>
    <x v="0"/>
    <x v="0"/>
    <x v="0"/>
    <x v="0"/>
    <x v="0"/>
    <x v="0"/>
    <x v="0"/>
    <x v="0"/>
    <x v="0"/>
    <x v="0"/>
    <x v="0"/>
    <x v="0"/>
    <x v="0"/>
    <x v="0"/>
    <x v="0"/>
    <x v="0"/>
    <x v="0"/>
    <x v="0"/>
  </r>
  <r>
    <s v="KS13"/>
    <s v="Concrete Drop Inlet"/>
    <s v="Concrete"/>
    <s v="KS13_003"/>
    <x v="3"/>
    <n v="29.978856110999999"/>
    <n v="-25.817962221999998"/>
    <s v="29° 58' 43.88&quot;E "/>
    <s v="25° 49' 04.66&quot; S"/>
    <s v="Complete"/>
    <s v="Yes"/>
    <s v="Yes"/>
    <d v="2017-02-01T00:00:00"/>
    <s v="YES"/>
    <d v="2017-02-01T00:00:00"/>
    <s v="NBC-GTW-CL-0009"/>
    <s v="Yes"/>
    <s v="00"/>
    <d v="2018-06-16T00:00:00"/>
    <s v="Phase 1"/>
    <s v="Year 1"/>
    <n v="23.200000000000003"/>
    <n v="0"/>
    <n v="0"/>
    <n v="0"/>
    <n v="0"/>
    <n v="44.032499999999992"/>
    <n v="4.403249999999999"/>
    <n v="2.2016249999999995"/>
    <n v="23.200000000000003"/>
    <n v="23.200000000000003"/>
    <n v="0"/>
    <n v="0"/>
    <n v="27.726599999999998"/>
    <n v="43.7"/>
    <n v="0"/>
    <n v="0"/>
    <s v="Ref 888"/>
    <n v="21.558920000000001"/>
    <s v="Ref 655"/>
    <n v="35.522399999999998"/>
    <n v="0"/>
    <n v="49.822834066672044"/>
    <n v="0"/>
    <n v="16.509999999999998"/>
    <n v="0"/>
    <m/>
    <n v="0"/>
    <m/>
    <n v="0"/>
    <n v="8"/>
    <n v="8.3150000000000013"/>
    <n v="0"/>
    <n v="0"/>
    <n v="0"/>
    <n v="12.734999999999999"/>
    <n v="0"/>
    <n v="0"/>
    <n v="0"/>
    <n v="0"/>
    <n v="0"/>
    <n v="0"/>
    <n v="0"/>
    <n v="0"/>
    <n v="0"/>
    <n v="0"/>
    <n v="0"/>
    <n v="0"/>
    <n v="0"/>
    <n v="0"/>
    <n v="0"/>
    <n v="0"/>
    <n v="0"/>
    <n v="0"/>
    <n v="0"/>
    <n v="0"/>
    <n v="0"/>
    <n v="0"/>
    <n v="0"/>
    <n v="0"/>
    <n v="0"/>
    <n v="0"/>
    <n v="0"/>
    <n v="0"/>
    <n v="0"/>
    <n v="0"/>
    <n v="0"/>
    <n v="0"/>
    <n v="0"/>
    <n v="0"/>
    <n v="0"/>
    <n v="0"/>
    <n v="0"/>
    <n v="0"/>
    <n v="0"/>
    <m/>
    <m/>
    <m/>
    <m/>
    <m/>
    <m/>
    <m/>
    <m/>
    <m/>
    <m/>
    <m/>
    <m/>
    <m/>
    <m/>
    <m/>
    <m/>
    <m/>
    <m/>
    <m/>
    <m/>
    <m/>
    <n v="116.00000000000001"/>
    <n v="0"/>
    <n v="0"/>
    <n v="0"/>
    <n v="0"/>
    <n v="3742.7624999999994"/>
    <n v="550.40624999999989"/>
    <n v="1100.8124999999998"/>
    <n v="116.00000000000001"/>
    <n v="232.00000000000003"/>
    <n v="0"/>
    <n v="55453.2"/>
    <n v="13110"/>
    <n v="0"/>
    <n v="0"/>
    <n v="1141.6263999999999"/>
    <n v="43356.342143336828"/>
    <n v="249.45000000000005"/>
    <n v="0"/>
    <n v="0"/>
    <n v="1528.1999999999998"/>
    <n v="0"/>
    <n v="0"/>
    <n v="0"/>
    <n v="0"/>
    <n v="0"/>
    <n v="0"/>
    <n v="0"/>
    <n v="0"/>
    <n v="0"/>
    <n v="0"/>
    <n v="0"/>
    <n v="0"/>
    <n v="0"/>
    <n v="0"/>
    <n v="0"/>
    <n v="0"/>
    <n v="0"/>
    <n v="0"/>
    <n v="0"/>
    <n v="0"/>
    <n v="0"/>
    <n v="0"/>
    <n v="0"/>
    <n v="0"/>
    <n v="0"/>
    <n v="0"/>
    <n v="0"/>
    <n v="0"/>
    <n v="0"/>
    <n v="0"/>
    <n v="0"/>
    <n v="0"/>
    <n v="0"/>
    <n v="0"/>
    <n v="0"/>
    <n v="0"/>
    <n v="0"/>
    <n v="120696.7997933368"/>
    <n v="127938.60778093702"/>
    <s v=" "/>
    <s v=" "/>
    <s v=" "/>
    <s v=" "/>
    <s v=" "/>
    <s v=" "/>
    <s v=" "/>
    <s v=" "/>
    <s v=" "/>
    <s v=" "/>
    <s v=" "/>
    <s v=" "/>
    <s v=" "/>
    <s v=" "/>
    <x v="19"/>
    <x v="0"/>
    <x v="0"/>
    <x v="0"/>
    <x v="0"/>
    <x v="15"/>
    <x v="3"/>
    <x v="10"/>
    <x v="19"/>
    <x v="20"/>
    <x v="1"/>
    <x v="1"/>
    <x v="11"/>
    <x v="12"/>
    <x v="0"/>
    <x v="0"/>
    <x v="14"/>
    <x v="10"/>
    <x v="0"/>
    <x v="10"/>
    <x v="0"/>
    <x v="13"/>
    <x v="0"/>
    <x v="0"/>
    <x v="0"/>
    <x v="0"/>
    <x v="0"/>
    <x v="9"/>
    <x v="11"/>
    <x v="0"/>
    <x v="0"/>
    <x v="0"/>
    <x v="11"/>
    <x v="0"/>
    <x v="0"/>
    <x v="0"/>
    <x v="0"/>
    <x v="0"/>
    <x v="0"/>
    <x v="0"/>
    <x v="0"/>
    <x v="0"/>
    <x v="0"/>
    <x v="0"/>
    <x v="0"/>
    <x v="0"/>
    <x v="0"/>
    <x v="0"/>
    <x v="0"/>
    <x v="0"/>
    <x v="0"/>
    <x v="0"/>
    <x v="0"/>
    <x v="0"/>
    <x v="0"/>
    <x v="0"/>
    <x v="0"/>
    <x v="0"/>
    <x v="0"/>
    <x v="0"/>
    <x v="0"/>
    <x v="0"/>
    <x v="0"/>
    <x v="0"/>
    <x v="0"/>
    <x v="0"/>
    <x v="0"/>
    <x v="0"/>
    <x v="0"/>
    <x v="0"/>
    <x v="0"/>
    <x v="0"/>
    <x v="0"/>
  </r>
  <r>
    <s v="KS13"/>
    <s v="Concrete Check Wall"/>
    <s v="Concrete Check Wall"/>
    <s v="KS13_004"/>
    <x v="3"/>
    <n v="29.978485555999999"/>
    <n v="-25.817717221999999"/>
    <s v="29° 58' 42.54&quot;E "/>
    <s v="25° 49' 03.78&quot; S"/>
    <s v="Complete"/>
    <s v="Yes"/>
    <s v="Yes"/>
    <d v="2017-01-23T00:00:00"/>
    <s v="YES"/>
    <d v="2017-01-23T00:00:00"/>
    <s v="NBC-GTW-CL-0010"/>
    <s v="Yes"/>
    <s v="01"/>
    <d v="2018-12-07T00:00:00"/>
    <s v="Phase 1"/>
    <s v="Year 1"/>
    <m/>
    <n v="0"/>
    <n v="0"/>
    <n v="0"/>
    <n v="0"/>
    <n v="5.3219999999999992"/>
    <m/>
    <m/>
    <m/>
    <m/>
    <m/>
    <m/>
    <n v="5.3219999999999992"/>
    <m/>
    <m/>
    <m/>
    <m/>
    <m/>
    <m/>
    <m/>
    <m/>
    <m/>
    <m/>
    <m/>
    <m/>
    <m/>
    <m/>
    <m/>
    <m/>
    <m/>
    <n v="3.9"/>
    <m/>
    <m/>
    <m/>
    <m/>
    <n v="0"/>
    <n v="0"/>
    <n v="0"/>
    <n v="0"/>
    <n v="0"/>
    <n v="0"/>
    <n v="0"/>
    <n v="0"/>
    <n v="0"/>
    <n v="0"/>
    <n v="0"/>
    <n v="0"/>
    <n v="0"/>
    <n v="0"/>
    <n v="0"/>
    <n v="0"/>
    <n v="0"/>
    <n v="0"/>
    <n v="0"/>
    <n v="0"/>
    <n v="0"/>
    <n v="0"/>
    <n v="0"/>
    <n v="0"/>
    <n v="0"/>
    <n v="0"/>
    <n v="0"/>
    <n v="0"/>
    <n v="0"/>
    <n v="0"/>
    <n v="0"/>
    <n v="0"/>
    <n v="0"/>
    <n v="0"/>
    <n v="0"/>
    <n v="0"/>
    <n v="0"/>
    <n v="0"/>
    <n v="0"/>
    <m/>
    <m/>
    <m/>
    <m/>
    <m/>
    <m/>
    <m/>
    <m/>
    <m/>
    <m/>
    <m/>
    <m/>
    <m/>
    <m/>
    <m/>
    <m/>
    <m/>
    <m/>
    <m/>
    <m/>
    <m/>
    <n v="0"/>
    <n v="0"/>
    <n v="0"/>
    <n v="0"/>
    <n v="0"/>
    <n v="452.36999999999995"/>
    <n v="0"/>
    <n v="0"/>
    <n v="0"/>
    <n v="0"/>
    <n v="0"/>
    <n v="10643.999999999998"/>
    <n v="0"/>
    <n v="0"/>
    <n v="0"/>
    <n v="0"/>
    <n v="0"/>
    <n v="117"/>
    <n v="0"/>
    <n v="0"/>
    <n v="0"/>
    <n v="0"/>
    <n v="0"/>
    <n v="0"/>
    <n v="0"/>
    <n v="0"/>
    <n v="0"/>
    <n v="0"/>
    <n v="0"/>
    <n v="0"/>
    <n v="0"/>
    <n v="0"/>
    <n v="0"/>
    <n v="0"/>
    <n v="0"/>
    <n v="0"/>
    <n v="0"/>
    <n v="0"/>
    <n v="0"/>
    <n v="0"/>
    <n v="0"/>
    <n v="0"/>
    <n v="0"/>
    <n v="0"/>
    <n v="0"/>
    <n v="0"/>
    <n v="0"/>
    <n v="0"/>
    <n v="0"/>
    <n v="0"/>
    <n v="0"/>
    <n v="0"/>
    <n v="0"/>
    <n v="0"/>
    <n v="0"/>
    <n v="0"/>
    <n v="0"/>
    <n v="0"/>
    <n v="11213.369999999999"/>
    <n v="11886.172199999999"/>
    <s v=" "/>
    <s v=" "/>
    <s v=" "/>
    <s v=" "/>
    <s v=" "/>
    <s v=" "/>
    <s v=" "/>
    <s v=" "/>
    <s v=" "/>
    <s v=" "/>
    <s v=" "/>
    <s v=" "/>
    <s v=" "/>
    <s v=" "/>
    <x v="0"/>
    <x v="0"/>
    <x v="0"/>
    <x v="0"/>
    <x v="0"/>
    <x v="16"/>
    <x v="0"/>
    <x v="0"/>
    <x v="0"/>
    <x v="4"/>
    <x v="1"/>
    <x v="1"/>
    <x v="12"/>
    <x v="0"/>
    <x v="0"/>
    <x v="0"/>
    <x v="0"/>
    <x v="0"/>
    <x v="0"/>
    <x v="0"/>
    <x v="0"/>
    <x v="0"/>
    <x v="0"/>
    <x v="0"/>
    <x v="0"/>
    <x v="0"/>
    <x v="0"/>
    <x v="0"/>
    <x v="12"/>
    <x v="0"/>
    <x v="0"/>
    <x v="0"/>
    <x v="0"/>
    <x v="0"/>
    <x v="0"/>
    <x v="0"/>
    <x v="0"/>
    <x v="0"/>
    <x v="0"/>
    <x v="0"/>
    <x v="0"/>
    <x v="0"/>
    <x v="0"/>
    <x v="0"/>
    <x v="0"/>
    <x v="0"/>
    <x v="0"/>
    <x v="0"/>
    <x v="0"/>
    <x v="0"/>
    <x v="0"/>
    <x v="0"/>
    <x v="0"/>
    <x v="0"/>
    <x v="0"/>
    <x v="0"/>
    <x v="0"/>
    <x v="0"/>
    <x v="0"/>
    <x v="0"/>
    <x v="0"/>
    <x v="0"/>
    <x v="0"/>
    <x v="0"/>
    <x v="0"/>
    <x v="0"/>
    <x v="0"/>
    <x v="0"/>
    <x v="0"/>
    <x v="0"/>
    <x v="0"/>
    <x v="0"/>
    <x v="0"/>
  </r>
  <r>
    <s v="KS13"/>
    <s v="Concrete Check Wall"/>
    <s v="Concrete Check Wall"/>
    <s v="KS13_005"/>
    <x v="3"/>
    <n v="29.978326111000001"/>
    <n v="-25.817525278000002"/>
    <s v="29° 58' 41.97&quot;E "/>
    <s v="25° 49' 03.09&quot; S"/>
    <s v="Complete"/>
    <s v="Yes"/>
    <s v="Yes"/>
    <d v="2017-01-23T00:00:00"/>
    <s v="YES"/>
    <d v="2017-01-23T00:00:00"/>
    <s v="NBC-GTW-CL-0011"/>
    <s v="Yes"/>
    <s v="01"/>
    <d v="2018-12-07T00:00:00"/>
    <s v="Phase 1"/>
    <s v="Year 1"/>
    <m/>
    <n v="0"/>
    <n v="0"/>
    <n v="0"/>
    <n v="0"/>
    <n v="7.4819999999999984"/>
    <m/>
    <m/>
    <m/>
    <m/>
    <m/>
    <m/>
    <n v="7.4819999999999984"/>
    <m/>
    <m/>
    <m/>
    <m/>
    <m/>
    <m/>
    <m/>
    <m/>
    <m/>
    <m/>
    <m/>
    <m/>
    <m/>
    <m/>
    <m/>
    <m/>
    <m/>
    <n v="3.9"/>
    <m/>
    <m/>
    <m/>
    <m/>
    <n v="0"/>
    <n v="0"/>
    <n v="0"/>
    <n v="0"/>
    <n v="0"/>
    <n v="0"/>
    <n v="0"/>
    <n v="0"/>
    <n v="0"/>
    <n v="0"/>
    <n v="0"/>
    <n v="0"/>
    <n v="0"/>
    <n v="0"/>
    <n v="0"/>
    <n v="0"/>
    <n v="0"/>
    <n v="0"/>
    <n v="0"/>
    <n v="0"/>
    <n v="0"/>
    <n v="0"/>
    <n v="0"/>
    <n v="0"/>
    <n v="0"/>
    <n v="0"/>
    <n v="0"/>
    <n v="0"/>
    <n v="0"/>
    <n v="0"/>
    <n v="0"/>
    <n v="0"/>
    <n v="0"/>
    <n v="0"/>
    <n v="0"/>
    <n v="0"/>
    <n v="0"/>
    <n v="0"/>
    <n v="0"/>
    <m/>
    <m/>
    <m/>
    <m/>
    <m/>
    <m/>
    <m/>
    <m/>
    <m/>
    <m/>
    <m/>
    <m/>
    <m/>
    <m/>
    <m/>
    <m/>
    <m/>
    <m/>
    <m/>
    <m/>
    <m/>
    <n v="0"/>
    <n v="0"/>
    <n v="0"/>
    <n v="0"/>
    <n v="0"/>
    <n v="635.96999999999991"/>
    <n v="0"/>
    <n v="0"/>
    <n v="0"/>
    <n v="0"/>
    <n v="0"/>
    <n v="14963.999999999996"/>
    <n v="0"/>
    <n v="0"/>
    <n v="0"/>
    <n v="0"/>
    <n v="0"/>
    <n v="117"/>
    <n v="0"/>
    <n v="0"/>
    <n v="0"/>
    <n v="0"/>
    <n v="0"/>
    <n v="0"/>
    <n v="0"/>
    <n v="0"/>
    <n v="0"/>
    <n v="0"/>
    <n v="0"/>
    <n v="0"/>
    <n v="0"/>
    <n v="0"/>
    <n v="0"/>
    <n v="0"/>
    <n v="0"/>
    <n v="0"/>
    <n v="0"/>
    <n v="0"/>
    <n v="0"/>
    <n v="0"/>
    <n v="0"/>
    <n v="0"/>
    <n v="0"/>
    <n v="0"/>
    <n v="0"/>
    <n v="0"/>
    <n v="0"/>
    <n v="0"/>
    <n v="0"/>
    <n v="0"/>
    <n v="0"/>
    <n v="0"/>
    <n v="0"/>
    <n v="0"/>
    <n v="0"/>
    <n v="0"/>
    <n v="0"/>
    <n v="0"/>
    <n v="15716.969999999996"/>
    <n v="16659.988199999996"/>
    <s v=" "/>
    <s v=" "/>
    <s v=" "/>
    <s v=" "/>
    <s v=" "/>
    <s v=" "/>
    <s v=" "/>
    <s v=" "/>
    <s v=" "/>
    <s v=" "/>
    <s v=" "/>
    <s v=" "/>
    <s v=" "/>
    <s v=" "/>
    <x v="0"/>
    <x v="0"/>
    <x v="0"/>
    <x v="0"/>
    <x v="0"/>
    <x v="17"/>
    <x v="0"/>
    <x v="0"/>
    <x v="0"/>
    <x v="4"/>
    <x v="1"/>
    <x v="1"/>
    <x v="13"/>
    <x v="0"/>
    <x v="0"/>
    <x v="0"/>
    <x v="0"/>
    <x v="0"/>
    <x v="0"/>
    <x v="0"/>
    <x v="0"/>
    <x v="0"/>
    <x v="0"/>
    <x v="0"/>
    <x v="0"/>
    <x v="0"/>
    <x v="0"/>
    <x v="0"/>
    <x v="13"/>
    <x v="0"/>
    <x v="0"/>
    <x v="0"/>
    <x v="0"/>
    <x v="0"/>
    <x v="0"/>
    <x v="0"/>
    <x v="0"/>
    <x v="0"/>
    <x v="0"/>
    <x v="0"/>
    <x v="0"/>
    <x v="0"/>
    <x v="0"/>
    <x v="0"/>
    <x v="0"/>
    <x v="0"/>
    <x v="0"/>
    <x v="0"/>
    <x v="0"/>
    <x v="0"/>
    <x v="0"/>
    <x v="0"/>
    <x v="0"/>
    <x v="0"/>
    <x v="0"/>
    <x v="0"/>
    <x v="0"/>
    <x v="0"/>
    <x v="0"/>
    <x v="0"/>
    <x v="0"/>
    <x v="0"/>
    <x v="0"/>
    <x v="0"/>
    <x v="0"/>
    <x v="0"/>
    <x v="0"/>
    <x v="0"/>
    <x v="0"/>
    <x v="0"/>
    <x v="0"/>
    <x v="0"/>
    <x v="0"/>
  </r>
  <r>
    <s v="KS13"/>
    <s v="Concrete Check Wall"/>
    <s v="Concrete Check Wall"/>
    <s v="KS13_006"/>
    <x v="3"/>
    <n v="29.977215000000001"/>
    <n v="-25.816548889"/>
    <s v="29° 58' 37.97&quot;E "/>
    <s v="25° 48' 59.57&quot; S"/>
    <s v="Complete"/>
    <s v="Yes"/>
    <s v="Yes"/>
    <d v="2017-01-23T00:00:00"/>
    <s v="YES"/>
    <d v="2017-01-23T00:00:00"/>
    <s v="NBC-GTW-CL-0012"/>
    <s v="Yes"/>
    <s v="01"/>
    <d v="2018-12-07T00:00:00"/>
    <s v="Phase 1"/>
    <s v="Year 1"/>
    <m/>
    <n v="0"/>
    <n v="0"/>
    <n v="0"/>
    <n v="0"/>
    <n v="7.402499999999999"/>
    <m/>
    <m/>
    <m/>
    <m/>
    <m/>
    <m/>
    <n v="7.402499999999999"/>
    <m/>
    <m/>
    <m/>
    <m/>
    <m/>
    <m/>
    <m/>
    <m/>
    <m/>
    <m/>
    <m/>
    <m/>
    <m/>
    <m/>
    <m/>
    <m/>
    <m/>
    <n v="4.2"/>
    <m/>
    <m/>
    <m/>
    <m/>
    <n v="0"/>
    <n v="0"/>
    <n v="0"/>
    <n v="0"/>
    <n v="0"/>
    <n v="0"/>
    <n v="0"/>
    <n v="0"/>
    <n v="0"/>
    <n v="0"/>
    <n v="0"/>
    <n v="0"/>
    <n v="0"/>
    <n v="0"/>
    <n v="0"/>
    <n v="0"/>
    <n v="0"/>
    <n v="0"/>
    <n v="0"/>
    <n v="0"/>
    <n v="0"/>
    <n v="0"/>
    <n v="0"/>
    <n v="0"/>
    <n v="0"/>
    <n v="0"/>
    <n v="0"/>
    <n v="0"/>
    <n v="0"/>
    <n v="0"/>
    <n v="0"/>
    <n v="0"/>
    <n v="0"/>
    <n v="0"/>
    <n v="0"/>
    <n v="0"/>
    <n v="0"/>
    <n v="0"/>
    <n v="0"/>
    <m/>
    <m/>
    <m/>
    <m/>
    <m/>
    <m/>
    <m/>
    <m/>
    <m/>
    <m/>
    <m/>
    <m/>
    <m/>
    <m/>
    <m/>
    <m/>
    <m/>
    <m/>
    <m/>
    <m/>
    <m/>
    <n v="0"/>
    <n v="0"/>
    <n v="0"/>
    <n v="0"/>
    <n v="0"/>
    <n v="629.21249999999986"/>
    <n v="0"/>
    <n v="0"/>
    <n v="0"/>
    <n v="0"/>
    <n v="0"/>
    <n v="14804.999999999998"/>
    <n v="0"/>
    <n v="0"/>
    <n v="0"/>
    <n v="0"/>
    <n v="0"/>
    <n v="126"/>
    <n v="0"/>
    <n v="0"/>
    <n v="0"/>
    <n v="0"/>
    <n v="0"/>
    <n v="0"/>
    <n v="0"/>
    <n v="0"/>
    <n v="0"/>
    <n v="0"/>
    <n v="0"/>
    <n v="0"/>
    <n v="0"/>
    <n v="0"/>
    <n v="0"/>
    <n v="0"/>
    <n v="0"/>
    <n v="0"/>
    <n v="0"/>
    <n v="0"/>
    <n v="0"/>
    <n v="0"/>
    <n v="0"/>
    <n v="0"/>
    <n v="0"/>
    <n v="0"/>
    <n v="0"/>
    <n v="0"/>
    <n v="0"/>
    <n v="0"/>
    <n v="0"/>
    <n v="0"/>
    <n v="0"/>
    <n v="0"/>
    <n v="0"/>
    <n v="0"/>
    <n v="0"/>
    <n v="0"/>
    <n v="0"/>
    <n v="0"/>
    <n v="15560.212499999998"/>
    <n v="16493.825249999998"/>
    <s v=" "/>
    <s v=" "/>
    <s v=" "/>
    <s v=" "/>
    <s v=" "/>
    <s v=" "/>
    <s v=" "/>
    <s v=" "/>
    <s v=" "/>
    <s v=" "/>
    <s v=" "/>
    <s v=" "/>
    <s v=" "/>
    <s v=" "/>
    <x v="0"/>
    <x v="0"/>
    <x v="0"/>
    <x v="0"/>
    <x v="0"/>
    <x v="18"/>
    <x v="0"/>
    <x v="0"/>
    <x v="0"/>
    <x v="4"/>
    <x v="1"/>
    <x v="1"/>
    <x v="14"/>
    <x v="0"/>
    <x v="0"/>
    <x v="0"/>
    <x v="0"/>
    <x v="0"/>
    <x v="0"/>
    <x v="0"/>
    <x v="0"/>
    <x v="0"/>
    <x v="0"/>
    <x v="0"/>
    <x v="0"/>
    <x v="0"/>
    <x v="0"/>
    <x v="0"/>
    <x v="14"/>
    <x v="0"/>
    <x v="0"/>
    <x v="0"/>
    <x v="0"/>
    <x v="0"/>
    <x v="0"/>
    <x v="0"/>
    <x v="0"/>
    <x v="0"/>
    <x v="0"/>
    <x v="0"/>
    <x v="0"/>
    <x v="0"/>
    <x v="0"/>
    <x v="0"/>
    <x v="0"/>
    <x v="0"/>
    <x v="0"/>
    <x v="0"/>
    <x v="0"/>
    <x v="0"/>
    <x v="0"/>
    <x v="0"/>
    <x v="0"/>
    <x v="0"/>
    <x v="0"/>
    <x v="0"/>
    <x v="0"/>
    <x v="0"/>
    <x v="0"/>
    <x v="0"/>
    <x v="0"/>
    <x v="0"/>
    <x v="0"/>
    <x v="0"/>
    <x v="0"/>
    <x v="0"/>
    <x v="0"/>
    <x v="0"/>
    <x v="0"/>
    <x v="0"/>
    <x v="0"/>
    <x v="0"/>
    <x v="0"/>
  </r>
  <r>
    <s v="KS13"/>
    <s v="Concrete Check Wall"/>
    <s v="Concrete Check Wall"/>
    <s v="KS13_007"/>
    <x v="3"/>
    <n v="29.976766111"/>
    <n v="-25.816078610999998"/>
    <s v="29° 58' 36.35&quot;E "/>
    <s v="25° 48' 57.88&quot; S"/>
    <s v="Complete"/>
    <s v="Yes"/>
    <s v="Yes"/>
    <d v="2017-01-23T00:00:00"/>
    <s v="YES"/>
    <d v="2017-01-23T00:00:00"/>
    <s v="NBC-GTW-CL-0013"/>
    <s v="Yes"/>
    <s v="01"/>
    <d v="2018-12-07T00:00:00"/>
    <s v="Phase 1"/>
    <s v="Year 1"/>
    <m/>
    <n v="0"/>
    <n v="0"/>
    <n v="0"/>
    <n v="0"/>
    <n v="5.8574999999999999"/>
    <m/>
    <m/>
    <m/>
    <m/>
    <m/>
    <m/>
    <n v="5.8574999999999999"/>
    <m/>
    <m/>
    <m/>
    <m/>
    <m/>
    <m/>
    <m/>
    <m/>
    <m/>
    <m/>
    <m/>
    <m/>
    <m/>
    <m/>
    <m/>
    <m/>
    <m/>
    <n v="4.05"/>
    <m/>
    <m/>
    <m/>
    <m/>
    <n v="0"/>
    <n v="0"/>
    <n v="0"/>
    <n v="0"/>
    <n v="0"/>
    <n v="0"/>
    <n v="0"/>
    <n v="0"/>
    <n v="0"/>
    <n v="0"/>
    <n v="0"/>
    <n v="0"/>
    <n v="0"/>
    <n v="0"/>
    <n v="0"/>
    <n v="0"/>
    <n v="0"/>
    <n v="0"/>
    <n v="0"/>
    <n v="0"/>
    <n v="0"/>
    <n v="0"/>
    <n v="0"/>
    <n v="0"/>
    <n v="0"/>
    <n v="0"/>
    <n v="0"/>
    <n v="0"/>
    <n v="0"/>
    <n v="0"/>
    <n v="0"/>
    <n v="0"/>
    <n v="0"/>
    <n v="0"/>
    <n v="0"/>
    <n v="0"/>
    <n v="0"/>
    <n v="0"/>
    <n v="0"/>
    <m/>
    <m/>
    <m/>
    <m/>
    <m/>
    <m/>
    <m/>
    <m/>
    <m/>
    <m/>
    <m/>
    <m/>
    <m/>
    <m/>
    <m/>
    <m/>
    <m/>
    <m/>
    <m/>
    <m/>
    <m/>
    <n v="0"/>
    <n v="0"/>
    <n v="0"/>
    <n v="0"/>
    <n v="0"/>
    <n v="497.88749999999999"/>
    <n v="0"/>
    <n v="0"/>
    <n v="0"/>
    <n v="0"/>
    <n v="0"/>
    <n v="11715"/>
    <n v="0"/>
    <n v="0"/>
    <n v="0"/>
    <n v="0"/>
    <n v="0"/>
    <n v="121.5"/>
    <n v="0"/>
    <n v="0"/>
    <n v="0"/>
    <n v="0"/>
    <n v="0"/>
    <n v="0"/>
    <n v="0"/>
    <n v="0"/>
    <n v="0"/>
    <n v="0"/>
    <n v="0"/>
    <n v="0"/>
    <n v="0"/>
    <n v="0"/>
    <n v="0"/>
    <n v="0"/>
    <n v="0"/>
    <n v="0"/>
    <n v="0"/>
    <n v="0"/>
    <n v="0"/>
    <n v="0"/>
    <n v="0"/>
    <n v="0"/>
    <n v="0"/>
    <n v="0"/>
    <n v="0"/>
    <n v="0"/>
    <n v="0"/>
    <n v="0"/>
    <n v="0"/>
    <n v="0"/>
    <n v="0"/>
    <n v="0"/>
    <n v="0"/>
    <n v="0"/>
    <n v="0"/>
    <n v="0"/>
    <n v="0"/>
    <n v="0"/>
    <n v="12334.387500000001"/>
    <n v="13074.450750000002"/>
    <s v=" "/>
    <s v=" "/>
    <s v=" "/>
    <s v=" "/>
    <s v=" "/>
    <s v=" "/>
    <s v=" "/>
    <s v=" "/>
    <s v=" "/>
    <s v=" "/>
    <s v=" "/>
    <s v=" "/>
    <s v=" "/>
    <s v=" "/>
    <x v="0"/>
    <x v="0"/>
    <x v="0"/>
    <x v="0"/>
    <x v="0"/>
    <x v="19"/>
    <x v="0"/>
    <x v="0"/>
    <x v="0"/>
    <x v="4"/>
    <x v="1"/>
    <x v="1"/>
    <x v="15"/>
    <x v="0"/>
    <x v="0"/>
    <x v="0"/>
    <x v="0"/>
    <x v="0"/>
    <x v="0"/>
    <x v="0"/>
    <x v="0"/>
    <x v="0"/>
    <x v="0"/>
    <x v="0"/>
    <x v="0"/>
    <x v="0"/>
    <x v="0"/>
    <x v="0"/>
    <x v="15"/>
    <x v="0"/>
    <x v="0"/>
    <x v="0"/>
    <x v="0"/>
    <x v="0"/>
    <x v="0"/>
    <x v="0"/>
    <x v="0"/>
    <x v="0"/>
    <x v="0"/>
    <x v="0"/>
    <x v="0"/>
    <x v="0"/>
    <x v="0"/>
    <x v="0"/>
    <x v="0"/>
    <x v="0"/>
    <x v="0"/>
    <x v="0"/>
    <x v="0"/>
    <x v="0"/>
    <x v="0"/>
    <x v="0"/>
    <x v="0"/>
    <x v="0"/>
    <x v="0"/>
    <x v="0"/>
    <x v="0"/>
    <x v="0"/>
    <x v="0"/>
    <x v="0"/>
    <x v="0"/>
    <x v="0"/>
    <x v="0"/>
    <x v="0"/>
    <x v="0"/>
    <x v="0"/>
    <x v="0"/>
    <x v="0"/>
    <x v="0"/>
    <x v="0"/>
    <x v="0"/>
    <x v="0"/>
    <x v="0"/>
  </r>
  <r>
    <s v="KS13"/>
    <s v="Concrete Check Wall"/>
    <s v="Concrete Check Wall"/>
    <s v="KS13_008"/>
    <x v="3"/>
    <n v="29.976378333"/>
    <n v="-25.815808400000002"/>
    <s v="29° 58' 34.96&quot;E "/>
    <s v="25° 48' 56.91&quot; S"/>
    <s v="Complete"/>
    <s v="Yes"/>
    <s v="Yes"/>
    <d v="2017-01-23T00:00:00"/>
    <s v="YES"/>
    <d v="2017-01-23T00:00:00"/>
    <s v="NBC-GTW-CL-0014"/>
    <s v="Yes"/>
    <s v="01"/>
    <d v="2018-12-07T00:00:00"/>
    <s v="Phase 1"/>
    <s v="Year 1"/>
    <m/>
    <n v="0"/>
    <n v="0"/>
    <n v="0"/>
    <n v="0"/>
    <n v="7.5149999999999997"/>
    <m/>
    <m/>
    <m/>
    <m/>
    <m/>
    <m/>
    <n v="7.5149999999999997"/>
    <m/>
    <m/>
    <m/>
    <m/>
    <m/>
    <m/>
    <m/>
    <m/>
    <m/>
    <m/>
    <m/>
    <m/>
    <m/>
    <m/>
    <m/>
    <m/>
    <m/>
    <n v="3.75"/>
    <m/>
    <m/>
    <m/>
    <m/>
    <n v="0"/>
    <n v="0"/>
    <n v="0"/>
    <n v="0"/>
    <n v="0"/>
    <n v="0"/>
    <n v="0"/>
    <n v="0"/>
    <n v="0"/>
    <n v="0"/>
    <n v="0"/>
    <n v="0"/>
    <n v="0"/>
    <n v="0"/>
    <n v="0"/>
    <n v="0"/>
    <n v="0"/>
    <n v="0"/>
    <n v="0"/>
    <n v="0"/>
    <n v="0"/>
    <n v="0"/>
    <n v="0"/>
    <n v="0"/>
    <n v="0"/>
    <n v="0"/>
    <n v="0"/>
    <n v="0"/>
    <n v="0"/>
    <n v="0"/>
    <n v="0"/>
    <n v="0"/>
    <n v="0"/>
    <n v="0"/>
    <n v="0"/>
    <n v="0"/>
    <n v="0"/>
    <n v="0"/>
    <n v="0"/>
    <m/>
    <m/>
    <m/>
    <m/>
    <m/>
    <m/>
    <m/>
    <m/>
    <m/>
    <m/>
    <m/>
    <m/>
    <m/>
    <m/>
    <m/>
    <m/>
    <m/>
    <m/>
    <m/>
    <m/>
    <m/>
    <n v="0"/>
    <n v="0"/>
    <n v="0"/>
    <n v="0"/>
    <n v="0"/>
    <n v="638.77499999999998"/>
    <n v="0"/>
    <n v="0"/>
    <n v="0"/>
    <n v="0"/>
    <n v="0"/>
    <n v="15030"/>
    <n v="0"/>
    <n v="0"/>
    <n v="0"/>
    <n v="0"/>
    <n v="0"/>
    <n v="112.5"/>
    <n v="0"/>
    <n v="0"/>
    <n v="0"/>
    <n v="0"/>
    <n v="0"/>
    <n v="0"/>
    <n v="0"/>
    <n v="0"/>
    <n v="0"/>
    <n v="0"/>
    <n v="0"/>
    <n v="0"/>
    <n v="0"/>
    <n v="0"/>
    <n v="0"/>
    <n v="0"/>
    <n v="0"/>
    <n v="0"/>
    <n v="0"/>
    <n v="0"/>
    <n v="0"/>
    <n v="0"/>
    <n v="0"/>
    <n v="0"/>
    <n v="0"/>
    <n v="0"/>
    <n v="0"/>
    <n v="0"/>
    <n v="0"/>
    <n v="0"/>
    <n v="0"/>
    <n v="0"/>
    <n v="0"/>
    <n v="0"/>
    <n v="0"/>
    <n v="0"/>
    <n v="0"/>
    <n v="0"/>
    <n v="0"/>
    <n v="0"/>
    <n v="15781.275"/>
    <n v="16728.1515"/>
    <s v=" "/>
    <s v=" "/>
    <s v=" "/>
    <s v=" "/>
    <s v=" "/>
    <s v=" "/>
    <s v=" "/>
    <s v=" "/>
    <s v=" "/>
    <s v=" "/>
    <s v=" "/>
    <s v=" "/>
    <s v=" "/>
    <s v=" "/>
    <x v="0"/>
    <x v="0"/>
    <x v="0"/>
    <x v="0"/>
    <x v="0"/>
    <x v="20"/>
    <x v="0"/>
    <x v="0"/>
    <x v="0"/>
    <x v="4"/>
    <x v="1"/>
    <x v="1"/>
    <x v="16"/>
    <x v="0"/>
    <x v="0"/>
    <x v="0"/>
    <x v="0"/>
    <x v="0"/>
    <x v="0"/>
    <x v="0"/>
    <x v="0"/>
    <x v="0"/>
    <x v="0"/>
    <x v="0"/>
    <x v="0"/>
    <x v="0"/>
    <x v="0"/>
    <x v="0"/>
    <x v="16"/>
    <x v="0"/>
    <x v="0"/>
    <x v="0"/>
    <x v="0"/>
    <x v="0"/>
    <x v="0"/>
    <x v="0"/>
    <x v="0"/>
    <x v="0"/>
    <x v="0"/>
    <x v="0"/>
    <x v="0"/>
    <x v="0"/>
    <x v="0"/>
    <x v="0"/>
    <x v="0"/>
    <x v="0"/>
    <x v="0"/>
    <x v="0"/>
    <x v="0"/>
    <x v="0"/>
    <x v="0"/>
    <x v="0"/>
    <x v="0"/>
    <x v="0"/>
    <x v="0"/>
    <x v="0"/>
    <x v="0"/>
    <x v="0"/>
    <x v="0"/>
    <x v="0"/>
    <x v="0"/>
    <x v="0"/>
    <x v="0"/>
    <x v="0"/>
    <x v="0"/>
    <x v="0"/>
    <x v="0"/>
    <x v="0"/>
    <x v="0"/>
    <x v="0"/>
    <x v="0"/>
    <x v="0"/>
    <x v="0"/>
  </r>
  <r>
    <s v="KS13"/>
    <s v="Infilling of Drains"/>
    <s v="Earthworks"/>
    <s v="KS13_009"/>
    <x v="3"/>
    <n v="29.976185277999999"/>
    <n v="-25.815637221999999"/>
    <s v="29° 58' 34.26&quot;E "/>
    <s v="25° 48' 56.29&quot; S"/>
    <s v="Complete"/>
    <s v="Yes"/>
    <s v="Yes"/>
    <d v="2017-04-25T00:00:00"/>
    <s v="NA"/>
    <s v="NA"/>
    <s v="No Drawing"/>
    <s v="Yes"/>
    <s v="00"/>
    <d v="2018-06-16T00:00:00"/>
    <s v="Phase 1"/>
    <s v="Year 1"/>
    <n v="78.571670860393255"/>
    <n v="0"/>
    <n v="0"/>
    <n v="0"/>
    <n v="0"/>
    <n v="0"/>
    <n v="0"/>
    <n v="0"/>
    <n v="78.571670860393255"/>
    <n v="78.571670860393255"/>
    <n v="0"/>
    <n v="0"/>
    <n v="0"/>
    <n v="0"/>
    <n v="0"/>
    <n v="0"/>
    <n v="0"/>
    <n v="0"/>
    <n v="0"/>
    <n v="0"/>
    <n v="0"/>
    <n v="0"/>
    <n v="0"/>
    <n v="0"/>
    <n v="0"/>
    <m/>
    <n v="0"/>
    <m/>
    <n v="0"/>
    <n v="0"/>
    <n v="0"/>
    <n v="0"/>
    <n v="0"/>
    <n v="0"/>
    <n v="12.538499999999997"/>
    <n v="0"/>
    <n v="0"/>
    <n v="0"/>
    <n v="0"/>
    <n v="0"/>
    <n v="0"/>
    <n v="0"/>
    <n v="0"/>
    <n v="0"/>
    <n v="0"/>
    <n v="0"/>
    <n v="0"/>
    <n v="0"/>
    <n v="0"/>
    <n v="0"/>
    <n v="0"/>
    <n v="0"/>
    <n v="0"/>
    <n v="0"/>
    <n v="0"/>
    <n v="0"/>
    <n v="0"/>
    <n v="0"/>
    <n v="0"/>
    <n v="0"/>
    <n v="0"/>
    <n v="0"/>
    <n v="0"/>
    <n v="0"/>
    <n v="0"/>
    <n v="0"/>
    <n v="0"/>
    <n v="0"/>
    <n v="0"/>
    <n v="0"/>
    <n v="0"/>
    <n v="0"/>
    <n v="0"/>
    <n v="0"/>
    <n v="0"/>
    <n v="0"/>
    <n v="0"/>
    <n v="0"/>
    <n v="0"/>
    <n v="0"/>
    <n v="0"/>
    <n v="0"/>
    <n v="0"/>
    <n v="0"/>
    <n v="0"/>
    <n v="0"/>
    <m/>
    <m/>
    <m/>
    <m/>
    <m/>
    <m/>
    <m/>
    <m/>
    <m/>
    <n v="392.8583543019663"/>
    <n v="0"/>
    <n v="0"/>
    <n v="0"/>
    <n v="0"/>
    <n v="0"/>
    <n v="0"/>
    <n v="0"/>
    <n v="392.8583543019663"/>
    <n v="785.7167086039326"/>
    <n v="0"/>
    <n v="0"/>
    <n v="0"/>
    <n v="0"/>
    <n v="0"/>
    <n v="0"/>
    <n v="0"/>
    <n v="0"/>
    <n v="0"/>
    <n v="0"/>
    <n v="1504.6199999999997"/>
    <n v="0"/>
    <n v="0"/>
    <n v="0"/>
    <n v="0"/>
    <n v="0"/>
    <n v="0"/>
    <n v="0"/>
    <n v="0"/>
    <n v="0"/>
    <n v="0"/>
    <n v="0"/>
    <n v="0"/>
    <n v="0"/>
    <n v="0"/>
    <n v="0"/>
    <n v="0"/>
    <n v="0"/>
    <n v="0"/>
    <n v="0"/>
    <n v="0"/>
    <n v="0"/>
    <n v="0"/>
    <n v="0"/>
    <n v="0"/>
    <n v="0"/>
    <n v="0"/>
    <n v="0"/>
    <n v="0"/>
    <n v="0"/>
    <n v="0"/>
    <n v="0"/>
    <n v="0"/>
    <n v="0"/>
    <n v="0"/>
    <n v="0"/>
    <n v="0"/>
    <n v="0"/>
    <n v="3076.0534172078651"/>
    <n v="3260.6166222403372"/>
    <s v=" "/>
    <s v=" "/>
    <s v=" "/>
    <s v=" "/>
    <s v=" "/>
    <s v=" "/>
    <s v=" "/>
    <s v=" "/>
    <s v=" "/>
    <s v=" "/>
    <s v=" "/>
    <s v=" "/>
    <s v=" "/>
    <s v=" "/>
    <x v="20"/>
    <x v="0"/>
    <x v="0"/>
    <x v="0"/>
    <x v="0"/>
    <x v="1"/>
    <x v="0"/>
    <x v="0"/>
    <x v="20"/>
    <x v="21"/>
    <x v="1"/>
    <x v="1"/>
    <x v="0"/>
    <x v="0"/>
    <x v="0"/>
    <x v="0"/>
    <x v="0"/>
    <x v="0"/>
    <x v="0"/>
    <x v="0"/>
    <x v="0"/>
    <x v="0"/>
    <x v="0"/>
    <x v="0"/>
    <x v="0"/>
    <x v="0"/>
    <x v="0"/>
    <x v="0"/>
    <x v="0"/>
    <x v="0"/>
    <x v="0"/>
    <x v="0"/>
    <x v="12"/>
    <x v="0"/>
    <x v="0"/>
    <x v="0"/>
    <x v="0"/>
    <x v="0"/>
    <x v="0"/>
    <x v="0"/>
    <x v="0"/>
    <x v="0"/>
    <x v="0"/>
    <x v="0"/>
    <x v="0"/>
    <x v="0"/>
    <x v="0"/>
    <x v="0"/>
    <x v="0"/>
    <x v="0"/>
    <x v="0"/>
    <x v="0"/>
    <x v="0"/>
    <x v="0"/>
    <x v="0"/>
    <x v="0"/>
    <x v="0"/>
    <x v="0"/>
    <x v="0"/>
    <x v="0"/>
    <x v="0"/>
    <x v="0"/>
    <x v="0"/>
    <x v="0"/>
    <x v="0"/>
    <x v="0"/>
    <x v="0"/>
    <x v="0"/>
    <x v="0"/>
    <x v="0"/>
    <x v="0"/>
    <x v="0"/>
    <x v="0"/>
  </r>
  <r>
    <s v="KS13"/>
    <s v="Removal of Berm"/>
    <s v="Excavation"/>
    <s v="KS13_010"/>
    <x v="3"/>
    <n v="29.975885278"/>
    <n v="-25.815651388999999"/>
    <s v="29° 58' 33.18&quot;E "/>
    <s v="25° 48' 56.34&quot; S"/>
    <s v="Complete"/>
    <s v="Yes"/>
    <s v="Yes"/>
    <d v="2017-04-25T00:00:00"/>
    <s v="NA"/>
    <s v="NA"/>
    <s v="No Drawing"/>
    <s v="Yes"/>
    <s v="00"/>
    <d v="2018-06-16T00:00:00"/>
    <s v="Phase 1"/>
    <s v="Year 1"/>
    <n v="1868.0949685772146"/>
    <n v="336.92505000000006"/>
    <n v="0"/>
    <n v="0"/>
    <n v="0"/>
    <n v="0"/>
    <n v="0"/>
    <n v="0"/>
    <n v="1020.985"/>
    <n v="1020.985"/>
    <n v="150"/>
    <n v="0"/>
    <n v="0"/>
    <n v="0"/>
    <n v="0"/>
    <n v="0"/>
    <n v="0"/>
    <n v="0"/>
    <n v="0"/>
    <n v="0"/>
    <n v="0"/>
    <n v="0"/>
    <n v="0"/>
    <n v="0"/>
    <n v="0"/>
    <m/>
    <n v="0"/>
    <m/>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n v="9340.474842886073"/>
    <n v="16846.252500000002"/>
    <n v="0"/>
    <n v="0"/>
    <n v="0"/>
    <n v="0"/>
    <n v="0"/>
    <n v="0"/>
    <n v="5104.9250000000002"/>
    <n v="10209.85"/>
    <n v="0"/>
    <n v="0"/>
    <n v="0"/>
    <n v="0"/>
    <n v="0"/>
    <n v="0"/>
    <n v="0"/>
    <n v="0"/>
    <n v="0"/>
    <n v="0"/>
    <n v="0"/>
    <n v="0"/>
    <n v="0"/>
    <n v="0"/>
    <n v="0"/>
    <n v="0"/>
    <n v="0"/>
    <n v="0"/>
    <n v="0"/>
    <n v="0"/>
    <n v="0"/>
    <n v="0"/>
    <n v="0"/>
    <n v="0"/>
    <n v="0"/>
    <n v="0"/>
    <n v="0"/>
    <n v="0"/>
    <n v="0"/>
    <n v="0"/>
    <n v="0"/>
    <n v="0"/>
    <n v="0"/>
    <n v="0"/>
    <n v="0"/>
    <n v="0"/>
    <n v="0"/>
    <n v="0"/>
    <n v="0"/>
    <n v="0"/>
    <n v="0"/>
    <n v="0"/>
    <n v="0"/>
    <n v="0"/>
    <n v="0"/>
    <n v="0"/>
    <n v="0"/>
    <n v="0"/>
    <n v="41501.502342886073"/>
    <n v="43991.592483459237"/>
    <s v=" "/>
    <s v=" "/>
    <s v=" "/>
    <s v=" "/>
    <s v=" "/>
    <s v=" "/>
    <s v=" "/>
    <s v=" "/>
    <s v=" "/>
    <s v=" "/>
    <s v=" "/>
    <s v=" "/>
    <s v=" "/>
    <s v=" "/>
    <x v="21"/>
    <x v="8"/>
    <x v="0"/>
    <x v="0"/>
    <x v="0"/>
    <x v="1"/>
    <x v="0"/>
    <x v="0"/>
    <x v="21"/>
    <x v="22"/>
    <x v="2"/>
    <x v="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13"/>
    <s v="Concrete Check Wall"/>
    <s v="Concrete Check Wall"/>
    <s v="KS13_011"/>
    <x v="3"/>
    <n v="29.975739443999998"/>
    <n v="-25.815501389000001"/>
    <s v="29° 58' 32.66&quot;E "/>
    <s v="25° 48' 55.80&quot; S"/>
    <s v="Complete"/>
    <s v="Yes"/>
    <s v="Yes"/>
    <d v="2017-02-01T00:00:00"/>
    <s v="YES"/>
    <d v="2017-02-01T00:00:00"/>
    <s v="NBC-GTW-CL-0015"/>
    <s v="Yes"/>
    <s v="01"/>
    <d v="2018-12-07T00:00:00"/>
    <s v="Phase 1"/>
    <s v="Year 1"/>
    <m/>
    <n v="0"/>
    <n v="0"/>
    <n v="0"/>
    <n v="0"/>
    <n v="6.6959999999999997"/>
    <m/>
    <m/>
    <m/>
    <m/>
    <m/>
    <m/>
    <n v="6.6959999999999997"/>
    <m/>
    <m/>
    <m/>
    <m/>
    <m/>
    <m/>
    <m/>
    <m/>
    <m/>
    <m/>
    <m/>
    <m/>
    <m/>
    <m/>
    <m/>
    <m/>
    <m/>
    <n v="4.5"/>
    <n v="0"/>
    <n v="0"/>
    <n v="0"/>
    <m/>
    <n v="0"/>
    <n v="0"/>
    <n v="0"/>
    <n v="0"/>
    <n v="0"/>
    <n v="0"/>
    <n v="0"/>
    <n v="0"/>
    <n v="0"/>
    <n v="0"/>
    <n v="0"/>
    <n v="0"/>
    <n v="0"/>
    <n v="0"/>
    <n v="0"/>
    <n v="0"/>
    <n v="0"/>
    <n v="0"/>
    <n v="0"/>
    <n v="0"/>
    <n v="0"/>
    <n v="0"/>
    <n v="0"/>
    <n v="0"/>
    <n v="0"/>
    <n v="0"/>
    <n v="0"/>
    <n v="0"/>
    <n v="0"/>
    <n v="0"/>
    <n v="0"/>
    <n v="0"/>
    <n v="0"/>
    <n v="0"/>
    <n v="0"/>
    <n v="0"/>
    <n v="0"/>
    <n v="0"/>
    <n v="0"/>
    <m/>
    <m/>
    <m/>
    <m/>
    <m/>
    <m/>
    <m/>
    <m/>
    <m/>
    <m/>
    <m/>
    <m/>
    <m/>
    <m/>
    <m/>
    <m/>
    <m/>
    <m/>
    <m/>
    <m/>
    <m/>
    <n v="0"/>
    <n v="0"/>
    <n v="0"/>
    <n v="0"/>
    <n v="0"/>
    <n v="569.16"/>
    <n v="0"/>
    <n v="0"/>
    <n v="0"/>
    <n v="0"/>
    <n v="0"/>
    <n v="13392"/>
    <n v="0"/>
    <n v="0"/>
    <n v="0"/>
    <n v="0"/>
    <n v="0"/>
    <n v="135"/>
    <n v="0"/>
    <n v="0"/>
    <n v="0"/>
    <n v="0"/>
    <n v="0"/>
    <n v="0"/>
    <n v="0"/>
    <n v="0"/>
    <n v="0"/>
    <n v="0"/>
    <n v="0"/>
    <n v="0"/>
    <n v="0"/>
    <n v="0"/>
    <n v="0"/>
    <n v="0"/>
    <n v="0"/>
    <n v="0"/>
    <n v="0"/>
    <n v="0"/>
    <n v="0"/>
    <n v="0"/>
    <n v="0"/>
    <n v="0"/>
    <n v="0"/>
    <n v="0"/>
    <n v="0"/>
    <n v="0"/>
    <n v="0"/>
    <n v="0"/>
    <n v="0"/>
    <n v="0"/>
    <n v="0"/>
    <n v="0"/>
    <n v="0"/>
    <n v="0"/>
    <n v="0"/>
    <n v="0"/>
    <n v="0"/>
    <n v="0"/>
    <n v="14096.16"/>
    <n v="14941.929600000001"/>
    <s v=" "/>
    <s v=" "/>
    <s v=" "/>
    <s v=" "/>
    <s v=" "/>
    <s v=" "/>
    <s v=" "/>
    <s v=" "/>
    <s v=" "/>
    <s v=" "/>
    <s v=" "/>
    <s v=" "/>
    <s v=" "/>
    <s v=" "/>
    <x v="0"/>
    <x v="0"/>
    <x v="0"/>
    <x v="0"/>
    <x v="0"/>
    <x v="21"/>
    <x v="0"/>
    <x v="0"/>
    <x v="0"/>
    <x v="4"/>
    <x v="1"/>
    <x v="1"/>
    <x v="17"/>
    <x v="0"/>
    <x v="0"/>
    <x v="0"/>
    <x v="0"/>
    <x v="0"/>
    <x v="0"/>
    <x v="0"/>
    <x v="0"/>
    <x v="0"/>
    <x v="0"/>
    <x v="0"/>
    <x v="0"/>
    <x v="0"/>
    <x v="0"/>
    <x v="0"/>
    <x v="17"/>
    <x v="0"/>
    <x v="0"/>
    <x v="0"/>
    <x v="0"/>
    <x v="0"/>
    <x v="0"/>
    <x v="0"/>
    <x v="0"/>
    <x v="0"/>
    <x v="0"/>
    <x v="0"/>
    <x v="0"/>
    <x v="0"/>
    <x v="0"/>
    <x v="0"/>
    <x v="0"/>
    <x v="0"/>
    <x v="0"/>
    <x v="0"/>
    <x v="0"/>
    <x v="0"/>
    <x v="0"/>
    <x v="0"/>
    <x v="0"/>
    <x v="0"/>
    <x v="0"/>
    <x v="0"/>
    <x v="0"/>
    <x v="0"/>
    <x v="0"/>
    <x v="0"/>
    <x v="0"/>
    <x v="0"/>
    <x v="0"/>
    <x v="0"/>
    <x v="0"/>
    <x v="0"/>
    <x v="0"/>
    <x v="0"/>
    <x v="0"/>
    <x v="0"/>
    <x v="0"/>
    <x v="0"/>
    <x v="0"/>
  </r>
  <r>
    <s v="KS13"/>
    <s v="Concrete Check Wall"/>
    <s v="Concrete Check Wall"/>
    <s v="KS13_012"/>
    <x v="3"/>
    <n v="29.975463610999999"/>
    <n v="-25.815300277999999"/>
    <s v="29° 58' 31.66&quot;E "/>
    <s v="25° 48' 55.08&quot; S"/>
    <s v="Complete"/>
    <s v="Yes"/>
    <s v="Yes"/>
    <d v="2017-02-01T00:00:00"/>
    <s v="YES"/>
    <d v="2017-02-01T00:00:00"/>
    <s v="NBC-GTW-CL-0016"/>
    <s v="Yes"/>
    <s v="01"/>
    <d v="2018-12-07T00:00:00"/>
    <s v="Phase 1"/>
    <s v="Year 1"/>
    <m/>
    <n v="0"/>
    <n v="0"/>
    <n v="0"/>
    <n v="0"/>
    <n v="6.0120000000000005"/>
    <m/>
    <m/>
    <m/>
    <m/>
    <m/>
    <m/>
    <n v="6.0120000000000005"/>
    <m/>
    <m/>
    <m/>
    <m/>
    <m/>
    <m/>
    <m/>
    <m/>
    <m/>
    <m/>
    <m/>
    <m/>
    <m/>
    <m/>
    <m/>
    <m/>
    <m/>
    <n v="3.5999999999999996"/>
    <n v="0"/>
    <n v="0"/>
    <n v="0"/>
    <m/>
    <n v="0"/>
    <n v="0"/>
    <n v="0"/>
    <n v="0"/>
    <n v="0"/>
    <n v="0"/>
    <n v="0"/>
    <n v="0"/>
    <n v="0"/>
    <n v="0"/>
    <n v="0"/>
    <n v="0"/>
    <n v="0"/>
    <n v="0"/>
    <n v="0"/>
    <n v="0"/>
    <n v="0"/>
    <n v="0"/>
    <n v="0"/>
    <n v="0"/>
    <n v="0"/>
    <n v="0"/>
    <n v="0"/>
    <n v="0"/>
    <n v="0"/>
    <n v="0"/>
    <n v="0"/>
    <n v="0"/>
    <n v="0"/>
    <n v="0"/>
    <n v="0"/>
    <n v="0"/>
    <n v="0"/>
    <n v="0"/>
    <n v="0"/>
    <n v="0"/>
    <n v="0"/>
    <n v="0"/>
    <n v="0"/>
    <m/>
    <m/>
    <m/>
    <m/>
    <m/>
    <m/>
    <m/>
    <m/>
    <m/>
    <m/>
    <m/>
    <m/>
    <m/>
    <m/>
    <m/>
    <m/>
    <m/>
    <m/>
    <m/>
    <m/>
    <m/>
    <n v="0"/>
    <n v="0"/>
    <n v="0"/>
    <n v="0"/>
    <n v="0"/>
    <n v="511.02000000000004"/>
    <n v="0"/>
    <n v="0"/>
    <n v="0"/>
    <n v="0"/>
    <n v="0"/>
    <n v="12024"/>
    <n v="0"/>
    <n v="0"/>
    <n v="0"/>
    <n v="0"/>
    <n v="0"/>
    <n v="107.99999999999999"/>
    <n v="0"/>
    <n v="0"/>
    <n v="0"/>
    <n v="0"/>
    <n v="0"/>
    <n v="0"/>
    <n v="0"/>
    <n v="0"/>
    <n v="0"/>
    <n v="0"/>
    <n v="0"/>
    <n v="0"/>
    <n v="0"/>
    <n v="0"/>
    <n v="0"/>
    <n v="0"/>
    <n v="0"/>
    <n v="0"/>
    <n v="0"/>
    <n v="0"/>
    <n v="0"/>
    <n v="0"/>
    <n v="0"/>
    <n v="0"/>
    <n v="0"/>
    <n v="0"/>
    <n v="0"/>
    <n v="0"/>
    <n v="0"/>
    <n v="0"/>
    <n v="0"/>
    <n v="0"/>
    <n v="0"/>
    <n v="0"/>
    <n v="0"/>
    <n v="0"/>
    <n v="0"/>
    <n v="0"/>
    <n v="0"/>
    <n v="0"/>
    <n v="12643.02"/>
    <n v="13401.601200000001"/>
    <s v=" "/>
    <s v=" "/>
    <s v=" "/>
    <s v=" "/>
    <s v=" "/>
    <s v=" "/>
    <s v=" "/>
    <s v=" "/>
    <s v=" "/>
    <s v=" "/>
    <s v=" "/>
    <s v=" "/>
    <s v=" "/>
    <s v=" "/>
    <x v="0"/>
    <x v="0"/>
    <x v="0"/>
    <x v="0"/>
    <x v="0"/>
    <x v="22"/>
    <x v="0"/>
    <x v="0"/>
    <x v="0"/>
    <x v="4"/>
    <x v="1"/>
    <x v="1"/>
    <x v="18"/>
    <x v="0"/>
    <x v="0"/>
    <x v="0"/>
    <x v="0"/>
    <x v="0"/>
    <x v="0"/>
    <x v="0"/>
    <x v="0"/>
    <x v="0"/>
    <x v="0"/>
    <x v="0"/>
    <x v="0"/>
    <x v="0"/>
    <x v="0"/>
    <x v="0"/>
    <x v="18"/>
    <x v="0"/>
    <x v="0"/>
    <x v="0"/>
    <x v="0"/>
    <x v="0"/>
    <x v="0"/>
    <x v="0"/>
    <x v="0"/>
    <x v="0"/>
    <x v="0"/>
    <x v="0"/>
    <x v="0"/>
    <x v="0"/>
    <x v="0"/>
    <x v="0"/>
    <x v="0"/>
    <x v="0"/>
    <x v="0"/>
    <x v="0"/>
    <x v="0"/>
    <x v="0"/>
    <x v="0"/>
    <x v="0"/>
    <x v="0"/>
    <x v="0"/>
    <x v="0"/>
    <x v="0"/>
    <x v="0"/>
    <x v="0"/>
    <x v="0"/>
    <x v="0"/>
    <x v="0"/>
    <x v="0"/>
    <x v="0"/>
    <x v="0"/>
    <x v="0"/>
    <x v="0"/>
    <x v="0"/>
    <x v="0"/>
    <x v="0"/>
    <x v="0"/>
    <x v="0"/>
    <x v="0"/>
    <x v="0"/>
  </r>
  <r>
    <s v="KS13"/>
    <s v="Concrete Check Wall"/>
    <s v="Concrete Check Wall"/>
    <s v="KS13_013"/>
    <x v="3"/>
    <n v="29.974538889000002"/>
    <n v="-25.814845556000002"/>
    <s v="29° 58' 28.34&quot;E "/>
    <s v="25° 48' 53.44&quot; S"/>
    <s v="Complete"/>
    <s v="Yes"/>
    <s v="Yes"/>
    <d v="2017-02-01T00:00:00"/>
    <s v="YES"/>
    <d v="2017-02-01T00:00:00"/>
    <s v="NBC-GTW-CL-0017"/>
    <s v="Yes"/>
    <s v="01"/>
    <d v="2018-12-07T00:00:00"/>
    <s v="Phase 1"/>
    <s v="Year 1"/>
    <m/>
    <n v="0"/>
    <n v="0"/>
    <n v="0"/>
    <n v="0"/>
    <n v="5.1659999999999995"/>
    <m/>
    <m/>
    <m/>
    <m/>
    <m/>
    <m/>
    <n v="5.1659999999999995"/>
    <m/>
    <m/>
    <m/>
    <m/>
    <m/>
    <m/>
    <m/>
    <m/>
    <m/>
    <m/>
    <m/>
    <m/>
    <m/>
    <m/>
    <m/>
    <m/>
    <m/>
    <n v="3.5999999999999996"/>
    <n v="0"/>
    <n v="0"/>
    <n v="0"/>
    <m/>
    <n v="0"/>
    <n v="0"/>
    <n v="0"/>
    <n v="0"/>
    <n v="0"/>
    <n v="0"/>
    <n v="0"/>
    <n v="0"/>
    <n v="0"/>
    <n v="0"/>
    <n v="0"/>
    <n v="0"/>
    <n v="0"/>
    <n v="0"/>
    <n v="0"/>
    <n v="0"/>
    <n v="0"/>
    <n v="0"/>
    <n v="0"/>
    <n v="0"/>
    <n v="0"/>
    <n v="0"/>
    <n v="0"/>
    <n v="0"/>
    <n v="0"/>
    <n v="0"/>
    <n v="0"/>
    <n v="0"/>
    <n v="0"/>
    <n v="0"/>
    <n v="0"/>
    <n v="0"/>
    <n v="0"/>
    <n v="0"/>
    <n v="0"/>
    <n v="0"/>
    <n v="0"/>
    <n v="0"/>
    <n v="0"/>
    <m/>
    <m/>
    <m/>
    <m/>
    <m/>
    <m/>
    <m/>
    <m/>
    <m/>
    <m/>
    <m/>
    <m/>
    <m/>
    <m/>
    <m/>
    <m/>
    <m/>
    <m/>
    <m/>
    <m/>
    <m/>
    <n v="0"/>
    <n v="0"/>
    <n v="0"/>
    <n v="0"/>
    <n v="0"/>
    <n v="439.10999999999996"/>
    <n v="0"/>
    <n v="0"/>
    <n v="0"/>
    <n v="0"/>
    <n v="0"/>
    <n v="10331.999999999998"/>
    <n v="0"/>
    <n v="0"/>
    <n v="0"/>
    <n v="0"/>
    <n v="0"/>
    <n v="107.99999999999999"/>
    <n v="0"/>
    <n v="0"/>
    <n v="0"/>
    <n v="0"/>
    <n v="0"/>
    <n v="0"/>
    <n v="0"/>
    <n v="0"/>
    <n v="0"/>
    <n v="0"/>
    <n v="0"/>
    <n v="0"/>
    <n v="0"/>
    <n v="0"/>
    <n v="0"/>
    <n v="0"/>
    <n v="0"/>
    <n v="0"/>
    <n v="0"/>
    <n v="0"/>
    <n v="0"/>
    <n v="0"/>
    <n v="0"/>
    <n v="0"/>
    <n v="0"/>
    <n v="0"/>
    <n v="0"/>
    <n v="0"/>
    <n v="0"/>
    <n v="0"/>
    <n v="0"/>
    <n v="0"/>
    <n v="0"/>
    <n v="0"/>
    <n v="0"/>
    <n v="0"/>
    <n v="0"/>
    <n v="0"/>
    <n v="0"/>
    <n v="0"/>
    <n v="10879.109999999999"/>
    <n v="11531.856599999999"/>
    <s v=" "/>
    <s v=" "/>
    <s v=" "/>
    <s v=" "/>
    <s v=" "/>
    <s v=" "/>
    <s v=" "/>
    <s v=" "/>
    <s v=" "/>
    <s v=" "/>
    <s v=" "/>
    <s v=" "/>
    <s v=" "/>
    <s v=" "/>
    <x v="0"/>
    <x v="0"/>
    <x v="0"/>
    <x v="0"/>
    <x v="0"/>
    <x v="23"/>
    <x v="0"/>
    <x v="0"/>
    <x v="0"/>
    <x v="4"/>
    <x v="1"/>
    <x v="1"/>
    <x v="19"/>
    <x v="0"/>
    <x v="0"/>
    <x v="0"/>
    <x v="0"/>
    <x v="0"/>
    <x v="0"/>
    <x v="0"/>
    <x v="0"/>
    <x v="0"/>
    <x v="0"/>
    <x v="0"/>
    <x v="0"/>
    <x v="0"/>
    <x v="0"/>
    <x v="0"/>
    <x v="19"/>
    <x v="0"/>
    <x v="0"/>
    <x v="0"/>
    <x v="0"/>
    <x v="0"/>
    <x v="0"/>
    <x v="0"/>
    <x v="0"/>
    <x v="0"/>
    <x v="0"/>
    <x v="0"/>
    <x v="0"/>
    <x v="0"/>
    <x v="0"/>
    <x v="0"/>
    <x v="0"/>
    <x v="0"/>
    <x v="0"/>
    <x v="0"/>
    <x v="0"/>
    <x v="0"/>
    <x v="0"/>
    <x v="0"/>
    <x v="0"/>
    <x v="0"/>
    <x v="0"/>
    <x v="0"/>
    <x v="0"/>
    <x v="0"/>
    <x v="0"/>
    <x v="0"/>
    <x v="0"/>
    <x v="0"/>
    <x v="0"/>
    <x v="0"/>
    <x v="0"/>
    <x v="0"/>
    <x v="0"/>
    <x v="0"/>
    <x v="0"/>
    <x v="0"/>
    <x v="0"/>
    <x v="0"/>
    <x v="0"/>
  </r>
  <r>
    <s v="KS13"/>
    <s v="Infilling of Drains"/>
    <s v="Earthworks"/>
    <s v="KS13_014"/>
    <x v="3"/>
    <n v="29.974613889"/>
    <n v="-25.815002499999999"/>
    <s v="29° 58' 28.61&quot;E "/>
    <s v="25° 48' 54.00&quot; S"/>
    <s v="Complete"/>
    <s v="Yes"/>
    <s v="Yes"/>
    <d v="2017-04-25T00:00:00"/>
    <s v="NA"/>
    <s v="NA"/>
    <s v="No Drawing"/>
    <s v="Yes"/>
    <s v="00"/>
    <d v="2018-06-16T00:00:00"/>
    <s v="Phase 1"/>
    <s v="Year 1"/>
    <n v="278.71659832128807"/>
    <n v="0"/>
    <n v="0"/>
    <n v="0"/>
    <n v="0"/>
    <n v="0"/>
    <n v="0"/>
    <n v="0"/>
    <n v="278.71659832128807"/>
    <n v="278.71659832128807"/>
    <n v="0"/>
    <n v="0"/>
    <n v="0"/>
    <n v="0"/>
    <n v="0"/>
    <n v="0"/>
    <n v="0"/>
    <n v="0"/>
    <n v="0"/>
    <n v="0"/>
    <n v="0"/>
    <n v="0"/>
    <n v="0"/>
    <n v="0"/>
    <n v="0"/>
    <m/>
    <n v="0"/>
    <m/>
    <n v="0"/>
    <n v="0"/>
    <n v="0"/>
    <n v="0"/>
    <n v="0"/>
    <n v="0"/>
    <n v="64.842659999999995"/>
    <n v="0"/>
    <n v="0"/>
    <n v="0"/>
    <n v="0"/>
    <n v="0"/>
    <n v="0"/>
    <n v="0"/>
    <n v="0"/>
    <n v="0"/>
    <n v="0"/>
    <n v="0"/>
    <n v="0"/>
    <n v="0"/>
    <n v="0"/>
    <n v="0"/>
    <n v="0"/>
    <n v="0"/>
    <n v="0"/>
    <n v="0"/>
    <n v="0"/>
    <n v="0"/>
    <n v="0"/>
    <n v="0"/>
    <n v="0"/>
    <n v="0"/>
    <n v="0"/>
    <n v="0"/>
    <n v="0"/>
    <n v="0"/>
    <n v="0"/>
    <n v="0"/>
    <n v="0"/>
    <n v="0"/>
    <n v="0"/>
    <n v="0"/>
    <n v="0"/>
    <n v="0"/>
    <n v="0"/>
    <n v="0"/>
    <n v="0"/>
    <n v="0"/>
    <n v="0"/>
    <n v="0"/>
    <n v="0"/>
    <n v="0"/>
    <n v="0"/>
    <n v="0"/>
    <n v="0"/>
    <n v="0"/>
    <n v="0"/>
    <n v="0"/>
    <m/>
    <m/>
    <m/>
    <m/>
    <m/>
    <m/>
    <m/>
    <m/>
    <m/>
    <n v="1393.5829916064404"/>
    <n v="0"/>
    <n v="0"/>
    <n v="0"/>
    <n v="0"/>
    <n v="0"/>
    <n v="0"/>
    <n v="0"/>
    <n v="1393.5829916064404"/>
    <n v="2787.1659832128807"/>
    <n v="0"/>
    <n v="0"/>
    <n v="0"/>
    <n v="0"/>
    <n v="0"/>
    <n v="0"/>
    <n v="0"/>
    <n v="0"/>
    <n v="0"/>
    <n v="0"/>
    <n v="7781.1191999999992"/>
    <n v="0"/>
    <n v="0"/>
    <n v="0"/>
    <n v="0"/>
    <n v="0"/>
    <n v="0"/>
    <n v="0"/>
    <n v="0"/>
    <n v="0"/>
    <n v="0"/>
    <n v="0"/>
    <n v="0"/>
    <n v="0"/>
    <n v="0"/>
    <n v="0"/>
    <n v="0"/>
    <n v="0"/>
    <n v="0"/>
    <n v="0"/>
    <n v="0"/>
    <n v="0"/>
    <n v="0"/>
    <n v="0"/>
    <n v="0"/>
    <n v="0"/>
    <n v="0"/>
    <n v="0"/>
    <n v="0"/>
    <n v="0"/>
    <n v="0"/>
    <n v="0"/>
    <n v="0"/>
    <n v="0"/>
    <n v="0"/>
    <n v="0"/>
    <n v="0"/>
    <n v="0"/>
    <n v="13355.451166425761"/>
    <n v="14156.778236411306"/>
    <s v=" "/>
    <s v=" "/>
    <s v=" "/>
    <s v=" "/>
    <s v=" "/>
    <s v=" "/>
    <s v=" "/>
    <s v=" "/>
    <s v=" "/>
    <s v=" "/>
    <s v=" "/>
    <s v=" "/>
    <s v=" "/>
    <s v=" "/>
    <x v="22"/>
    <x v="0"/>
    <x v="0"/>
    <x v="0"/>
    <x v="0"/>
    <x v="1"/>
    <x v="0"/>
    <x v="0"/>
    <x v="22"/>
    <x v="23"/>
    <x v="1"/>
    <x v="1"/>
    <x v="0"/>
    <x v="0"/>
    <x v="0"/>
    <x v="0"/>
    <x v="0"/>
    <x v="0"/>
    <x v="0"/>
    <x v="0"/>
    <x v="0"/>
    <x v="0"/>
    <x v="0"/>
    <x v="0"/>
    <x v="0"/>
    <x v="0"/>
    <x v="0"/>
    <x v="0"/>
    <x v="0"/>
    <x v="0"/>
    <x v="0"/>
    <x v="0"/>
    <x v="13"/>
    <x v="0"/>
    <x v="0"/>
    <x v="0"/>
    <x v="0"/>
    <x v="0"/>
    <x v="0"/>
    <x v="0"/>
    <x v="0"/>
    <x v="0"/>
    <x v="0"/>
    <x v="0"/>
    <x v="0"/>
    <x v="0"/>
    <x v="0"/>
    <x v="0"/>
    <x v="0"/>
    <x v="0"/>
    <x v="0"/>
    <x v="0"/>
    <x v="0"/>
    <x v="0"/>
    <x v="0"/>
    <x v="0"/>
    <x v="0"/>
    <x v="0"/>
    <x v="0"/>
    <x v="0"/>
    <x v="0"/>
    <x v="0"/>
    <x v="0"/>
    <x v="0"/>
    <x v="0"/>
    <x v="0"/>
    <x v="0"/>
    <x v="0"/>
    <x v="0"/>
    <x v="0"/>
    <x v="0"/>
    <x v="0"/>
    <x v="0"/>
  </r>
  <r>
    <s v="KS13"/>
    <s v="Concrete Check Wall"/>
    <s v="Concrete Check Wall"/>
    <s v="KS13_015"/>
    <x v="3"/>
    <n v="29.973975278000001"/>
    <n v="-25.814560833000002"/>
    <s v="29° 58' 26.31&quot;E "/>
    <s v="25° 48' 52.41&quot; S"/>
    <s v="Complete"/>
    <s v="Yes"/>
    <s v="Yes"/>
    <d v="2017-02-01T00:00:00"/>
    <s v="YES"/>
    <d v="2017-02-01T00:00:00"/>
    <s v="NBC-GTW-CL-0018"/>
    <s v="Yes"/>
    <s v="01"/>
    <d v="2018-12-07T00:00:00"/>
    <s v="Phase 1"/>
    <s v="Year 1"/>
    <m/>
    <n v="0"/>
    <n v="0"/>
    <n v="0"/>
    <n v="0"/>
    <n v="5.3609999999999998"/>
    <m/>
    <m/>
    <m/>
    <m/>
    <m/>
    <m/>
    <n v="5.3609999999999998"/>
    <m/>
    <m/>
    <m/>
    <m/>
    <m/>
    <m/>
    <m/>
    <m/>
    <m/>
    <m/>
    <m/>
    <m/>
    <m/>
    <m/>
    <m/>
    <m/>
    <m/>
    <n v="3.9"/>
    <n v="0"/>
    <n v="0"/>
    <n v="0"/>
    <m/>
    <m/>
    <n v="0"/>
    <n v="0"/>
    <n v="0"/>
    <n v="0"/>
    <n v="0"/>
    <n v="0"/>
    <n v="0"/>
    <n v="0"/>
    <n v="0"/>
    <n v="0"/>
    <n v="0"/>
    <n v="0"/>
    <n v="0"/>
    <n v="0"/>
    <n v="0"/>
    <n v="0"/>
    <n v="0"/>
    <n v="0"/>
    <n v="0"/>
    <n v="0"/>
    <n v="0"/>
    <n v="0"/>
    <n v="0"/>
    <n v="0"/>
    <n v="0"/>
    <n v="0"/>
    <n v="0"/>
    <n v="0"/>
    <n v="0"/>
    <n v="0"/>
    <n v="0"/>
    <n v="0"/>
    <n v="0"/>
    <n v="0"/>
    <n v="0"/>
    <n v="0"/>
    <n v="0"/>
    <n v="0"/>
    <m/>
    <m/>
    <m/>
    <m/>
    <m/>
    <m/>
    <m/>
    <m/>
    <m/>
    <m/>
    <m/>
    <m/>
    <m/>
    <m/>
    <m/>
    <m/>
    <m/>
    <m/>
    <m/>
    <m/>
    <m/>
    <n v="0"/>
    <n v="0"/>
    <n v="0"/>
    <n v="0"/>
    <n v="0"/>
    <n v="455.685"/>
    <n v="0"/>
    <n v="0"/>
    <n v="0"/>
    <n v="0"/>
    <n v="0"/>
    <n v="10722"/>
    <n v="0"/>
    <n v="0"/>
    <n v="0"/>
    <n v="0"/>
    <n v="0"/>
    <n v="117"/>
    <n v="0"/>
    <n v="0"/>
    <n v="0"/>
    <n v="0"/>
    <n v="0"/>
    <n v="0"/>
    <n v="0"/>
    <n v="0"/>
    <n v="0"/>
    <n v="0"/>
    <n v="0"/>
    <n v="0"/>
    <n v="0"/>
    <n v="0"/>
    <n v="0"/>
    <n v="0"/>
    <n v="0"/>
    <n v="0"/>
    <n v="0"/>
    <n v="0"/>
    <n v="0"/>
    <n v="0"/>
    <n v="0"/>
    <n v="0"/>
    <n v="0"/>
    <n v="0"/>
    <n v="0"/>
    <n v="0"/>
    <n v="0"/>
    <n v="0"/>
    <n v="0"/>
    <n v="0"/>
    <n v="0"/>
    <n v="0"/>
    <n v="0"/>
    <n v="0"/>
    <n v="0"/>
    <n v="0"/>
    <n v="0"/>
    <n v="0"/>
    <n v="11294.684999999999"/>
    <n v="11972.366099999999"/>
    <s v=" "/>
    <s v=" "/>
    <s v=" "/>
    <s v=" "/>
    <s v=" "/>
    <s v=" "/>
    <s v=" "/>
    <s v=" "/>
    <s v=" "/>
    <s v=" "/>
    <s v=" "/>
    <s v=" "/>
    <s v=" "/>
    <s v=" "/>
    <x v="0"/>
    <x v="0"/>
    <x v="0"/>
    <x v="0"/>
    <x v="0"/>
    <x v="24"/>
    <x v="0"/>
    <x v="0"/>
    <x v="0"/>
    <x v="4"/>
    <x v="1"/>
    <x v="1"/>
    <x v="20"/>
    <x v="0"/>
    <x v="0"/>
    <x v="0"/>
    <x v="0"/>
    <x v="0"/>
    <x v="0"/>
    <x v="0"/>
    <x v="0"/>
    <x v="0"/>
    <x v="0"/>
    <x v="0"/>
    <x v="0"/>
    <x v="0"/>
    <x v="0"/>
    <x v="0"/>
    <x v="20"/>
    <x v="0"/>
    <x v="0"/>
    <x v="0"/>
    <x v="0"/>
    <x v="0"/>
    <x v="0"/>
    <x v="0"/>
    <x v="0"/>
    <x v="0"/>
    <x v="0"/>
    <x v="0"/>
    <x v="0"/>
    <x v="0"/>
    <x v="0"/>
    <x v="0"/>
    <x v="0"/>
    <x v="0"/>
    <x v="0"/>
    <x v="0"/>
    <x v="0"/>
    <x v="0"/>
    <x v="0"/>
    <x v="0"/>
    <x v="0"/>
    <x v="0"/>
    <x v="0"/>
    <x v="0"/>
    <x v="0"/>
    <x v="0"/>
    <x v="0"/>
    <x v="0"/>
    <x v="0"/>
    <x v="0"/>
    <x v="0"/>
    <x v="0"/>
    <x v="0"/>
    <x v="0"/>
    <x v="0"/>
    <x v="0"/>
    <x v="0"/>
    <x v="0"/>
    <x v="0"/>
    <x v="0"/>
    <x v="0"/>
  </r>
  <r>
    <s v="KS13"/>
    <s v="Infilling of Drains"/>
    <s v="Earthworks"/>
    <s v="KS13_016"/>
    <x v="3"/>
    <n v="29.972971944000001"/>
    <n v="-25.814069721999999"/>
    <s v="29° 58' 22.69&quot;E "/>
    <s v="25° 48' 50.65&quot; S"/>
    <s v="Complete"/>
    <s v="Yes"/>
    <s v="Yes"/>
    <d v="2017-04-26T00:00:00"/>
    <s v="NA"/>
    <s v="NA"/>
    <s v="No Drawing"/>
    <s v="Yes"/>
    <s v="00"/>
    <d v="2018-06-16T00:00:00"/>
    <s v="Phase 1"/>
    <s v="Year 1"/>
    <n v="332.18699875975966"/>
    <n v="111.91475"/>
    <n v="0"/>
    <n v="0"/>
    <n v="0"/>
    <n v="0"/>
    <n v="0"/>
    <n v="0"/>
    <n v="332.18699875975966"/>
    <n v="332.18699875975966"/>
    <n v="0"/>
    <n v="0"/>
    <n v="0"/>
    <n v="0"/>
    <n v="0"/>
    <n v="0"/>
    <n v="0"/>
    <n v="0"/>
    <n v="0"/>
    <n v="0"/>
    <n v="0"/>
    <n v="0"/>
    <n v="0"/>
    <n v="0"/>
    <n v="0"/>
    <m/>
    <n v="0"/>
    <m/>
    <n v="0"/>
    <n v="0"/>
    <n v="0"/>
    <n v="0"/>
    <n v="0"/>
    <n v="0"/>
    <n v="111.91475"/>
    <n v="0"/>
    <n v="0"/>
    <n v="0"/>
    <n v="0"/>
    <n v="0"/>
    <n v="0"/>
    <n v="0"/>
    <n v="0"/>
    <n v="0"/>
    <n v="0"/>
    <n v="0"/>
    <n v="0"/>
    <n v="0"/>
    <n v="0"/>
    <n v="0"/>
    <n v="0"/>
    <n v="0"/>
    <n v="0"/>
    <n v="0"/>
    <n v="0"/>
    <n v="0"/>
    <n v="0"/>
    <n v="0"/>
    <n v="0"/>
    <n v="0"/>
    <n v="0"/>
    <n v="0"/>
    <n v="0"/>
    <n v="0"/>
    <n v="0"/>
    <n v="0"/>
    <n v="0"/>
    <n v="0"/>
    <n v="0"/>
    <n v="0"/>
    <n v="0"/>
    <n v="0"/>
    <n v="0"/>
    <n v="0"/>
    <n v="0"/>
    <n v="0"/>
    <n v="0"/>
    <n v="0"/>
    <n v="0"/>
    <n v="0"/>
    <n v="0"/>
    <n v="0"/>
    <n v="0"/>
    <n v="0"/>
    <n v="0"/>
    <n v="0"/>
    <m/>
    <m/>
    <m/>
    <m/>
    <m/>
    <m/>
    <m/>
    <m/>
    <m/>
    <n v="1660.9349937987984"/>
    <n v="5595.7375000000002"/>
    <n v="0"/>
    <n v="0"/>
    <n v="0"/>
    <n v="0"/>
    <n v="0"/>
    <n v="0"/>
    <n v="1660.9349937987984"/>
    <n v="3321.8699875975967"/>
    <n v="0"/>
    <n v="0"/>
    <n v="0"/>
    <n v="0"/>
    <n v="0"/>
    <n v="0"/>
    <n v="0"/>
    <n v="0"/>
    <n v="0"/>
    <n v="0"/>
    <n v="13429.77"/>
    <n v="0"/>
    <n v="0"/>
    <n v="0"/>
    <n v="0"/>
    <n v="0"/>
    <n v="0"/>
    <n v="0"/>
    <n v="0"/>
    <n v="0"/>
    <n v="0"/>
    <n v="0"/>
    <n v="0"/>
    <n v="0"/>
    <n v="0"/>
    <n v="0"/>
    <n v="0"/>
    <n v="0"/>
    <n v="0"/>
    <n v="0"/>
    <n v="0"/>
    <n v="0"/>
    <n v="0"/>
    <n v="0"/>
    <n v="0"/>
    <n v="0"/>
    <n v="0"/>
    <n v="0"/>
    <n v="0"/>
    <n v="0"/>
    <n v="0"/>
    <n v="0"/>
    <n v="0"/>
    <n v="0"/>
    <n v="0"/>
    <n v="0"/>
    <n v="0"/>
    <n v="0"/>
    <n v="25669.247475195196"/>
    <n v="27209.402323706909"/>
    <s v=" "/>
    <s v=" "/>
    <s v=" "/>
    <s v=" "/>
    <s v=" "/>
    <s v=" "/>
    <s v=" "/>
    <s v=" "/>
    <s v=" "/>
    <s v=" "/>
    <s v=" "/>
    <s v=" "/>
    <s v=" "/>
    <s v=" "/>
    <x v="23"/>
    <x v="9"/>
    <x v="0"/>
    <x v="0"/>
    <x v="0"/>
    <x v="1"/>
    <x v="0"/>
    <x v="0"/>
    <x v="23"/>
    <x v="24"/>
    <x v="1"/>
    <x v="1"/>
    <x v="0"/>
    <x v="0"/>
    <x v="0"/>
    <x v="0"/>
    <x v="0"/>
    <x v="0"/>
    <x v="0"/>
    <x v="0"/>
    <x v="0"/>
    <x v="0"/>
    <x v="0"/>
    <x v="0"/>
    <x v="0"/>
    <x v="0"/>
    <x v="0"/>
    <x v="0"/>
    <x v="0"/>
    <x v="0"/>
    <x v="0"/>
    <x v="0"/>
    <x v="14"/>
    <x v="0"/>
    <x v="0"/>
    <x v="0"/>
    <x v="0"/>
    <x v="0"/>
    <x v="0"/>
    <x v="0"/>
    <x v="0"/>
    <x v="0"/>
    <x v="0"/>
    <x v="0"/>
    <x v="0"/>
    <x v="0"/>
    <x v="0"/>
    <x v="0"/>
    <x v="0"/>
    <x v="0"/>
    <x v="0"/>
    <x v="0"/>
    <x v="0"/>
    <x v="0"/>
    <x v="0"/>
    <x v="0"/>
    <x v="0"/>
    <x v="0"/>
    <x v="0"/>
    <x v="0"/>
    <x v="0"/>
    <x v="0"/>
    <x v="0"/>
    <x v="0"/>
    <x v="0"/>
    <x v="0"/>
    <x v="0"/>
    <x v="0"/>
    <x v="0"/>
    <x v="0"/>
    <x v="0"/>
    <x v="0"/>
    <x v="0"/>
  </r>
  <r>
    <s v="KS13"/>
    <s v="Backfilling Main Channel"/>
    <s v="Backfilling Main Channel"/>
    <s v="KS13_017"/>
    <x v="3"/>
    <m/>
    <m/>
    <m/>
    <m/>
    <m/>
    <m/>
    <m/>
    <m/>
    <m/>
    <m/>
    <s v="No Drawing"/>
    <m/>
    <s v="00"/>
    <d v="2018-12-07T00:00:00"/>
    <s v="Phase 1"/>
    <s v="Year 1"/>
    <m/>
    <m/>
    <m/>
    <m/>
    <m/>
    <n v="633.58989245730015"/>
    <m/>
    <m/>
    <n v="4680"/>
    <n v="4680"/>
    <m/>
    <m/>
    <m/>
    <m/>
    <m/>
    <m/>
    <m/>
    <m/>
    <m/>
    <m/>
    <m/>
    <m/>
    <m/>
    <m/>
    <m/>
    <m/>
    <m/>
    <m/>
    <m/>
    <m/>
    <m/>
    <m/>
    <m/>
    <m/>
    <n v="2559.3521264999999"/>
    <m/>
    <m/>
    <m/>
    <m/>
    <m/>
    <m/>
    <m/>
    <m/>
    <m/>
    <m/>
    <m/>
    <m/>
    <m/>
    <m/>
    <m/>
    <m/>
    <m/>
    <m/>
    <m/>
    <m/>
    <m/>
    <m/>
    <m/>
    <m/>
    <m/>
    <m/>
    <m/>
    <m/>
    <m/>
    <m/>
    <m/>
    <m/>
    <m/>
    <m/>
    <m/>
    <m/>
    <m/>
    <m/>
    <m/>
    <m/>
    <m/>
    <m/>
    <m/>
    <m/>
    <m/>
    <m/>
    <m/>
    <m/>
    <m/>
    <m/>
    <m/>
    <m/>
    <m/>
    <m/>
    <m/>
    <m/>
    <m/>
    <m/>
    <m/>
    <m/>
    <n v="0"/>
    <n v="0"/>
    <n v="0"/>
    <n v="0"/>
    <n v="0"/>
    <n v="53855.140858870516"/>
    <n v="0"/>
    <n v="0"/>
    <n v="23400"/>
    <n v="46800"/>
    <n v="0"/>
    <n v="0"/>
    <n v="0"/>
    <n v="0"/>
    <n v="0"/>
    <n v="0"/>
    <n v="0"/>
    <n v="0"/>
    <n v="0"/>
    <n v="0"/>
    <n v="307122.25517999998"/>
    <n v="0"/>
    <n v="0"/>
    <n v="0"/>
    <n v="0"/>
    <n v="0"/>
    <n v="0"/>
    <n v="0"/>
    <n v="0"/>
    <n v="0"/>
    <n v="0"/>
    <n v="0"/>
    <n v="0"/>
    <n v="0"/>
    <n v="0"/>
    <n v="0"/>
    <n v="0"/>
    <n v="0"/>
    <n v="0"/>
    <n v="0"/>
    <n v="0"/>
    <n v="0"/>
    <n v="0"/>
    <n v="0"/>
    <n v="0"/>
    <n v="0"/>
    <n v="0"/>
    <n v="0"/>
    <n v="0"/>
    <n v="0"/>
    <n v="0"/>
    <n v="0"/>
    <n v="0"/>
    <n v="0"/>
    <n v="0"/>
    <n v="0"/>
    <n v="0"/>
    <n v="0"/>
    <n v="431177.3960388705"/>
    <n v="457048.03980120277"/>
    <s v=" "/>
    <s v=" "/>
    <s v=" "/>
    <s v=" "/>
    <s v=" "/>
    <s v=" "/>
    <s v=" "/>
    <s v=" "/>
    <s v=" "/>
    <s v=" "/>
    <s v=" "/>
    <s v=" "/>
    <s v=" "/>
    <s v=" "/>
    <x v="0"/>
    <x v="0"/>
    <x v="0"/>
    <x v="0"/>
    <x v="0"/>
    <x v="25"/>
    <x v="0"/>
    <x v="0"/>
    <x v="24"/>
    <x v="25"/>
    <x v="1"/>
    <x v="1"/>
    <x v="0"/>
    <x v="0"/>
    <x v="0"/>
    <x v="0"/>
    <x v="0"/>
    <x v="0"/>
    <x v="0"/>
    <x v="0"/>
    <x v="0"/>
    <x v="0"/>
    <x v="0"/>
    <x v="0"/>
    <x v="0"/>
    <x v="0"/>
    <x v="0"/>
    <x v="0"/>
    <x v="0"/>
    <x v="0"/>
    <x v="0"/>
    <x v="0"/>
    <x v="15"/>
    <x v="0"/>
    <x v="0"/>
    <x v="0"/>
    <x v="0"/>
    <x v="0"/>
    <x v="0"/>
    <x v="0"/>
    <x v="0"/>
    <x v="0"/>
    <x v="0"/>
    <x v="0"/>
    <x v="0"/>
    <x v="0"/>
    <x v="0"/>
    <x v="0"/>
    <x v="0"/>
    <x v="0"/>
    <x v="0"/>
    <x v="0"/>
    <x v="0"/>
    <x v="0"/>
    <x v="0"/>
    <x v="0"/>
    <x v="0"/>
    <x v="0"/>
    <x v="0"/>
    <x v="0"/>
    <x v="0"/>
    <x v="0"/>
    <x v="0"/>
    <x v="0"/>
    <x v="0"/>
    <x v="0"/>
    <x v="0"/>
    <x v="0"/>
    <x v="0"/>
    <x v="0"/>
    <x v="0"/>
    <x v="0"/>
    <x v="0"/>
  </r>
  <r>
    <s v="KS15"/>
    <s v="Concrete Check Wall"/>
    <s v="Concrete Check Wall"/>
    <s v="KS15_001"/>
    <x v="3"/>
    <n v="29.983797839000001"/>
    <n v="-25.820813322999999"/>
    <s v="29° 59' 01.67&quot;E "/>
    <s v="25° 49' 14.92&quot; S"/>
    <s v="Complete"/>
    <s v="Yes"/>
    <s v="Yes"/>
    <m/>
    <s v="DONE"/>
    <s v="YES"/>
    <s v="NBC-GTH-CL-0001"/>
    <s v="Yes"/>
    <s v="01"/>
    <d v="2018-12-07T00:00:00"/>
    <s v="Phase 1"/>
    <s v="Year 1"/>
    <m/>
    <m/>
    <m/>
    <m/>
    <m/>
    <n v="6.2640000000000002"/>
    <m/>
    <m/>
    <m/>
    <m/>
    <m/>
    <m/>
    <n v="6.2640000000000002"/>
    <m/>
    <m/>
    <m/>
    <m/>
    <m/>
    <m/>
    <m/>
    <m/>
    <m/>
    <m/>
    <m/>
    <m/>
    <m/>
    <m/>
    <m/>
    <m/>
    <m/>
    <m/>
    <m/>
    <m/>
    <m/>
    <m/>
    <m/>
    <m/>
    <m/>
    <m/>
    <m/>
    <m/>
    <m/>
    <m/>
    <m/>
    <m/>
    <m/>
    <m/>
    <m/>
    <m/>
    <m/>
    <m/>
    <m/>
    <m/>
    <m/>
    <m/>
    <m/>
    <m/>
    <m/>
    <m/>
    <m/>
    <m/>
    <m/>
    <m/>
    <m/>
    <m/>
    <m/>
    <m/>
    <m/>
    <m/>
    <m/>
    <m/>
    <m/>
    <m/>
    <m/>
    <m/>
    <m/>
    <m/>
    <m/>
    <m/>
    <m/>
    <m/>
    <m/>
    <m/>
    <m/>
    <m/>
    <m/>
    <m/>
    <m/>
    <m/>
    <m/>
    <m/>
    <m/>
    <m/>
    <m/>
    <m/>
    <n v="0"/>
    <n v="0"/>
    <n v="0"/>
    <n v="0"/>
    <n v="0"/>
    <n v="532.44000000000005"/>
    <n v="0"/>
    <n v="0"/>
    <n v="0"/>
    <n v="0"/>
    <n v="0"/>
    <n v="12528"/>
    <n v="0"/>
    <n v="0"/>
    <n v="0"/>
    <n v="0"/>
    <n v="0"/>
    <n v="0"/>
    <n v="0"/>
    <n v="0"/>
    <n v="0"/>
    <n v="0"/>
    <n v="0"/>
    <n v="0"/>
    <n v="0"/>
    <n v="0"/>
    <n v="0"/>
    <n v="0"/>
    <n v="0"/>
    <n v="0"/>
    <n v="0"/>
    <n v="0"/>
    <n v="0"/>
    <n v="0"/>
    <n v="0"/>
    <n v="0"/>
    <n v="0"/>
    <n v="0"/>
    <n v="0"/>
    <n v="0"/>
    <n v="0"/>
    <n v="0"/>
    <n v="0"/>
    <n v="0"/>
    <n v="0"/>
    <n v="0"/>
    <n v="0"/>
    <n v="0"/>
    <n v="0"/>
    <n v="0"/>
    <n v="0"/>
    <n v="0"/>
    <n v="0"/>
    <n v="0"/>
    <n v="0"/>
    <n v="0"/>
    <n v="0"/>
    <n v="0"/>
    <n v="13060.44"/>
    <n v="13844.066400000002"/>
    <s v=" "/>
    <s v=" "/>
    <s v=" "/>
    <s v=" "/>
    <s v=" "/>
    <s v=" "/>
    <s v=" "/>
    <s v=" "/>
    <s v=" "/>
    <s v=" "/>
    <s v=" "/>
    <s v=" "/>
    <s v=" "/>
    <s v=" "/>
    <x v="0"/>
    <x v="0"/>
    <x v="0"/>
    <x v="0"/>
    <x v="0"/>
    <x v="26"/>
    <x v="0"/>
    <x v="0"/>
    <x v="0"/>
    <x v="4"/>
    <x v="1"/>
    <x v="1"/>
    <x v="2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15"/>
    <s v="Removal of Dam Wall"/>
    <s v="Excavation"/>
    <s v="KS15_003"/>
    <x v="3"/>
    <n v="29.979451110999999"/>
    <n v="-25.818825"/>
    <s v="29° 58' 46.02&quot;E "/>
    <s v="25° 49' 07.77&quot; S"/>
    <s v="Complete"/>
    <s v="Yes"/>
    <s v="Yes"/>
    <d v="2017-05-31T00:00:00"/>
    <s v="NA"/>
    <s v="NA"/>
    <s v="No Drawing"/>
    <s v="Yes"/>
    <s v="00"/>
    <d v="2018-06-16T00:00:00"/>
    <s v="Phase 1"/>
    <s v="Year 1"/>
    <n v="619.28940112107443"/>
    <n v="185.54374999999999"/>
    <n v="0"/>
    <n v="0"/>
    <n v="0"/>
    <n v="0"/>
    <n v="0"/>
    <n v="0"/>
    <n v="619.28940112107443"/>
    <n v="619.28940112107443"/>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n v="3096.4470056053724"/>
    <n v="9277.1875"/>
    <n v="0"/>
    <n v="0"/>
    <n v="0"/>
    <n v="0"/>
    <n v="0"/>
    <n v="0"/>
    <n v="3096.4470056053724"/>
    <n v="6192.8940112107448"/>
    <n v="0"/>
    <n v="0"/>
    <n v="0"/>
    <n v="0"/>
    <n v="0"/>
    <n v="0"/>
    <n v="0"/>
    <n v="0"/>
    <n v="0"/>
    <n v="0"/>
    <n v="0"/>
    <n v="0"/>
    <n v="0"/>
    <n v="0"/>
    <n v="0"/>
    <n v="0"/>
    <n v="0"/>
    <n v="0"/>
    <n v="0"/>
    <n v="0"/>
    <n v="0"/>
    <n v="0"/>
    <n v="0"/>
    <n v="0"/>
    <n v="0"/>
    <n v="0"/>
    <n v="0"/>
    <n v="0"/>
    <n v="0"/>
    <n v="0"/>
    <n v="0"/>
    <n v="0"/>
    <n v="0"/>
    <n v="0"/>
    <n v="0"/>
    <n v="0"/>
    <n v="0"/>
    <n v="0"/>
    <n v="0"/>
    <n v="0"/>
    <n v="0"/>
    <n v="0"/>
    <n v="0"/>
    <n v="0"/>
    <n v="0"/>
    <n v="0"/>
    <n v="0"/>
    <n v="0"/>
    <n v="21662.97552242149"/>
    <n v="22962.754053766781"/>
    <s v=" "/>
    <s v=" "/>
    <s v=" "/>
    <s v=" "/>
    <s v=" "/>
    <s v=" "/>
    <s v=" "/>
    <s v=" "/>
    <s v=" "/>
    <s v=" "/>
    <s v=" "/>
    <s v=" "/>
    <s v=" "/>
    <s v=" "/>
    <x v="24"/>
    <x v="10"/>
    <x v="0"/>
    <x v="0"/>
    <x v="0"/>
    <x v="1"/>
    <x v="0"/>
    <x v="0"/>
    <x v="25"/>
    <x v="26"/>
    <x v="1"/>
    <x v="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15"/>
    <s v="Backfill Main Channel"/>
    <s v="Backfill Channel at Road Crossing"/>
    <s v="KS15-002"/>
    <x v="3"/>
    <n v="29.981869703000001"/>
    <n v="-25.819381408000002"/>
    <s v="29° 58' 54.73&quot;E "/>
    <s v="25° 49' 09.77&quot; S"/>
    <s v="Complete"/>
    <s v="Yes"/>
    <s v="Yes"/>
    <d v="2017-04-10T00:00:00"/>
    <s v="NA"/>
    <s v="NA"/>
    <s v="No Drawing"/>
    <s v="Yes"/>
    <s v="00"/>
    <d v="2018-06-16T00:00:00"/>
    <s v="Phase 1"/>
    <s v="Year 1"/>
    <n v="3846.9783781018737"/>
    <n v="0"/>
    <n v="0"/>
    <n v="0"/>
    <n v="0"/>
    <n v="980"/>
    <n v="0"/>
    <n v="0"/>
    <n v="3846.9783781018737"/>
    <n v="3846.9783781018737"/>
    <n v="0"/>
    <n v="0"/>
    <n v="0"/>
    <n v="0"/>
    <n v="0"/>
    <n v="0"/>
    <n v="0"/>
    <n v="0"/>
    <n v="0"/>
    <n v="0"/>
    <n v="0"/>
    <n v="0"/>
    <n v="0"/>
    <n v="0"/>
    <n v="0"/>
    <n v="0"/>
    <n v="0"/>
    <n v="0"/>
    <n v="0"/>
    <n v="0"/>
    <n v="0"/>
    <n v="0"/>
    <n v="0"/>
    <n v="0"/>
    <n v="3200"/>
    <n v="0"/>
    <n v="0"/>
    <n v="0"/>
    <n v="0"/>
    <n v="0"/>
    <n v="0"/>
    <n v="0"/>
    <n v="0"/>
    <n v="0"/>
    <n v="0"/>
    <n v="0"/>
    <n v="0"/>
    <n v="0"/>
    <n v="0"/>
    <n v="0"/>
    <n v="0"/>
    <n v="0"/>
    <n v="0"/>
    <n v="0"/>
    <n v="0"/>
    <n v="0"/>
    <n v="0"/>
    <n v="0"/>
    <n v="0"/>
    <n v="0"/>
    <n v="0"/>
    <n v="0"/>
    <n v="0"/>
    <n v="0"/>
    <n v="0"/>
    <n v="0"/>
    <n v="0"/>
    <n v="0"/>
    <n v="0"/>
    <n v="0"/>
    <n v="0"/>
    <n v="0"/>
    <n v="0"/>
    <n v="0"/>
    <n v="0"/>
    <m/>
    <m/>
    <m/>
    <m/>
    <m/>
    <m/>
    <m/>
    <m/>
    <m/>
    <m/>
    <m/>
    <m/>
    <m/>
    <m/>
    <m/>
    <m/>
    <m/>
    <m/>
    <m/>
    <m/>
    <n v="19234.891890509367"/>
    <n v="0"/>
    <n v="0"/>
    <n v="0"/>
    <n v="0"/>
    <n v="83300"/>
    <n v="0"/>
    <n v="0"/>
    <n v="19234.891890509367"/>
    <n v="38469.783781018734"/>
    <n v="0"/>
    <n v="0"/>
    <n v="0"/>
    <n v="0"/>
    <n v="0"/>
    <n v="0"/>
    <n v="0"/>
    <n v="0"/>
    <n v="0"/>
    <n v="0"/>
    <n v="384000"/>
    <n v="0"/>
    <n v="0"/>
    <n v="0"/>
    <n v="0"/>
    <n v="0"/>
    <n v="0"/>
    <n v="0"/>
    <n v="0"/>
    <n v="0"/>
    <n v="0"/>
    <n v="0"/>
    <n v="0"/>
    <n v="0"/>
    <n v="0"/>
    <n v="0"/>
    <n v="0"/>
    <n v="0"/>
    <n v="0"/>
    <n v="0"/>
    <n v="0"/>
    <n v="0"/>
    <n v="0"/>
    <n v="0"/>
    <n v="0"/>
    <n v="0"/>
    <n v="0"/>
    <n v="0"/>
    <n v="0"/>
    <n v="0"/>
    <n v="0"/>
    <n v="0"/>
    <n v="0"/>
    <n v="0"/>
    <n v="0"/>
    <n v="0"/>
    <n v="0"/>
    <n v="0"/>
    <n v="544239.5675620375"/>
    <n v="576893.94161575974"/>
    <s v=" "/>
    <s v=" "/>
    <s v=" "/>
    <s v=" "/>
    <s v=" "/>
    <s v=" "/>
    <s v=" "/>
    <s v=" "/>
    <s v=" "/>
    <s v=" "/>
    <s v=" "/>
    <s v=" "/>
    <s v=" "/>
    <s v=" "/>
    <x v="25"/>
    <x v="0"/>
    <x v="0"/>
    <x v="0"/>
    <x v="0"/>
    <x v="27"/>
    <x v="0"/>
    <x v="0"/>
    <x v="26"/>
    <x v="27"/>
    <x v="1"/>
    <x v="1"/>
    <x v="0"/>
    <x v="0"/>
    <x v="0"/>
    <x v="0"/>
    <x v="0"/>
    <x v="0"/>
    <x v="0"/>
    <x v="0"/>
    <x v="0"/>
    <x v="0"/>
    <x v="0"/>
    <x v="0"/>
    <x v="0"/>
    <x v="0"/>
    <x v="0"/>
    <x v="0"/>
    <x v="0"/>
    <x v="0"/>
    <x v="0"/>
    <x v="0"/>
    <x v="16"/>
    <x v="0"/>
    <x v="0"/>
    <x v="0"/>
    <x v="0"/>
    <x v="0"/>
    <x v="0"/>
    <x v="0"/>
    <x v="0"/>
    <x v="0"/>
    <x v="0"/>
    <x v="0"/>
    <x v="0"/>
    <x v="0"/>
    <x v="0"/>
    <x v="0"/>
    <x v="0"/>
    <x v="0"/>
    <x v="0"/>
    <x v="0"/>
    <x v="0"/>
    <x v="0"/>
    <x v="0"/>
    <x v="0"/>
    <x v="0"/>
    <x v="0"/>
    <x v="0"/>
    <x v="0"/>
    <x v="0"/>
    <x v="0"/>
    <x v="0"/>
    <x v="0"/>
    <x v="0"/>
    <x v="0"/>
    <x v="0"/>
    <x v="0"/>
    <x v="0"/>
    <x v="0"/>
    <x v="0"/>
    <x v="0"/>
    <x v="0"/>
  </r>
  <r>
    <s v="KS16"/>
    <s v="Earthen berm"/>
    <s v="Earthworks"/>
    <s v="KS16_001"/>
    <x v="4"/>
    <n v="30.004463610999998"/>
    <n v="-25.827991944000001"/>
    <s v="30° 00' 16.06&quot;E "/>
    <s v="25° 49' 40.77&quot; S"/>
    <s v="Complete"/>
    <s v="Yes"/>
    <s v="Yes"/>
    <d v="2017-04-26T00:00:00"/>
    <s v="NA"/>
    <s v="NA"/>
    <s v="No Drawing"/>
    <s v="Yes"/>
    <s v="00"/>
    <d v="2018-06-16T00:00:00"/>
    <s v="Phase 1"/>
    <s v="Year 1"/>
    <n v="494.87334053189176"/>
    <m/>
    <m/>
    <m/>
    <m/>
    <m/>
    <m/>
    <m/>
    <n v="494.87334053189176"/>
    <n v="494.87334053189176"/>
    <m/>
    <m/>
    <m/>
    <m/>
    <m/>
    <m/>
    <m/>
    <m/>
    <m/>
    <m/>
    <m/>
    <m/>
    <m/>
    <m/>
    <m/>
    <m/>
    <m/>
    <m/>
    <m/>
    <m/>
    <m/>
    <m/>
    <m/>
    <m/>
    <n v="103.38"/>
    <m/>
    <m/>
    <m/>
    <m/>
    <m/>
    <m/>
    <m/>
    <m/>
    <m/>
    <m/>
    <m/>
    <m/>
    <m/>
    <m/>
    <m/>
    <m/>
    <m/>
    <m/>
    <m/>
    <m/>
    <m/>
    <m/>
    <m/>
    <m/>
    <m/>
    <m/>
    <m/>
    <m/>
    <m/>
    <m/>
    <m/>
    <m/>
    <m/>
    <m/>
    <m/>
    <m/>
    <m/>
    <m/>
    <m/>
    <m/>
    <m/>
    <m/>
    <m/>
    <m/>
    <m/>
    <m/>
    <m/>
    <m/>
    <m/>
    <m/>
    <m/>
    <m/>
    <m/>
    <m/>
    <m/>
    <m/>
    <m/>
    <m/>
    <m/>
    <m/>
    <n v="2474.366702659459"/>
    <n v="0"/>
    <n v="0"/>
    <n v="0"/>
    <n v="0"/>
    <n v="0"/>
    <n v="0"/>
    <n v="0"/>
    <n v="2474.366702659459"/>
    <n v="4948.7334053189179"/>
    <n v="0"/>
    <n v="0"/>
    <n v="0"/>
    <n v="0"/>
    <n v="0"/>
    <n v="0"/>
    <n v="0"/>
    <n v="0"/>
    <n v="0"/>
    <n v="0"/>
    <n v="12405.599999999999"/>
    <n v="0"/>
    <n v="0"/>
    <n v="0"/>
    <n v="0"/>
    <n v="0"/>
    <n v="0"/>
    <n v="0"/>
    <n v="0"/>
    <n v="0"/>
    <n v="0"/>
    <n v="0"/>
    <n v="0"/>
    <n v="0"/>
    <n v="0"/>
    <n v="0"/>
    <n v="0"/>
    <n v="0"/>
    <n v="0"/>
    <n v="0"/>
    <n v="0"/>
    <n v="0"/>
    <n v="0"/>
    <n v="0"/>
    <n v="0"/>
    <n v="0"/>
    <n v="0"/>
    <n v="0"/>
    <n v="0"/>
    <n v="0"/>
    <n v="0"/>
    <n v="0"/>
    <n v="0"/>
    <n v="0"/>
    <n v="0"/>
    <n v="0"/>
    <n v="0"/>
    <n v="0"/>
    <n v="22303.066810637836"/>
    <n v="23641.250819276109"/>
    <s v=" "/>
    <s v=" "/>
    <s v=" "/>
    <s v=" "/>
    <s v=" "/>
    <s v=" "/>
    <s v=" "/>
    <s v=" "/>
    <s v=" "/>
    <s v=" "/>
    <s v=" "/>
    <s v=" "/>
    <s v=" "/>
    <s v=" "/>
    <x v="26"/>
    <x v="0"/>
    <x v="0"/>
    <x v="0"/>
    <x v="0"/>
    <x v="1"/>
    <x v="0"/>
    <x v="0"/>
    <x v="27"/>
    <x v="28"/>
    <x v="1"/>
    <x v="1"/>
    <x v="0"/>
    <x v="0"/>
    <x v="0"/>
    <x v="0"/>
    <x v="0"/>
    <x v="0"/>
    <x v="0"/>
    <x v="0"/>
    <x v="0"/>
    <x v="0"/>
    <x v="0"/>
    <x v="0"/>
    <x v="0"/>
    <x v="0"/>
    <x v="0"/>
    <x v="0"/>
    <x v="0"/>
    <x v="0"/>
    <x v="0"/>
    <x v="0"/>
    <x v="17"/>
    <x v="0"/>
    <x v="0"/>
    <x v="0"/>
    <x v="0"/>
    <x v="0"/>
    <x v="0"/>
    <x v="0"/>
    <x v="0"/>
    <x v="0"/>
    <x v="0"/>
    <x v="0"/>
    <x v="0"/>
    <x v="0"/>
    <x v="0"/>
    <x v="0"/>
    <x v="0"/>
    <x v="0"/>
    <x v="0"/>
    <x v="0"/>
    <x v="0"/>
    <x v="0"/>
    <x v="0"/>
    <x v="0"/>
    <x v="0"/>
    <x v="0"/>
    <x v="0"/>
    <x v="0"/>
    <x v="0"/>
    <x v="0"/>
    <x v="0"/>
    <x v="0"/>
    <x v="0"/>
    <x v="0"/>
    <x v="0"/>
    <x v="0"/>
    <x v="0"/>
    <x v="0"/>
    <x v="0"/>
    <x v="0"/>
    <x v="0"/>
  </r>
  <r>
    <s v="KS16"/>
    <s v="Excavate Dam Wall"/>
    <s v="Earthworks"/>
    <s v="KS16_002"/>
    <x v="4"/>
    <n v="30.004084444"/>
    <n v="-25.828354443999999"/>
    <s v="30° 00' 14.70&quot;E "/>
    <s v="25° 49' 42.07&quot; S"/>
    <s v="Complete"/>
    <s v="Yes"/>
    <s v="Yes"/>
    <d v="2017-04-26T00:00:00"/>
    <s v="YES "/>
    <s v="NO"/>
    <s v="No Drawing"/>
    <s v="Yes"/>
    <s v="00"/>
    <d v="2018-06-16T00:00:00"/>
    <s v="Phase 1"/>
    <s v="Year 1"/>
    <n v="400.2"/>
    <n v="89.7"/>
    <n v="0"/>
    <n v="0"/>
    <n v="0"/>
    <n v="0"/>
    <n v="0"/>
    <n v="0"/>
    <n v="283.94775771874447"/>
    <n v="283.94775771874447"/>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n v="2001"/>
    <n v="4485"/>
    <n v="0"/>
    <n v="0"/>
    <n v="0"/>
    <n v="0"/>
    <n v="0"/>
    <n v="0"/>
    <n v="1419.7387885937223"/>
    <n v="2839.4775771874447"/>
    <n v="0"/>
    <n v="0"/>
    <n v="0"/>
    <n v="0"/>
    <n v="0"/>
    <n v="0"/>
    <n v="0"/>
    <n v="0"/>
    <n v="0"/>
    <n v="0"/>
    <n v="0"/>
    <n v="0"/>
    <n v="0"/>
    <n v="0"/>
    <n v="0"/>
    <n v="0"/>
    <n v="0"/>
    <n v="0"/>
    <n v="0"/>
    <n v="0"/>
    <n v="0"/>
    <n v="0"/>
    <n v="0"/>
    <n v="0"/>
    <n v="0"/>
    <n v="0"/>
    <n v="0"/>
    <n v="0"/>
    <n v="0"/>
    <n v="0"/>
    <n v="0"/>
    <n v="0"/>
    <n v="0"/>
    <n v="0"/>
    <n v="0"/>
    <n v="0"/>
    <n v="0"/>
    <n v="0"/>
    <n v="0"/>
    <n v="0"/>
    <n v="0"/>
    <n v="0"/>
    <n v="0"/>
    <n v="0"/>
    <n v="0"/>
    <n v="0"/>
    <n v="0"/>
    <n v="0"/>
    <n v="10745.216365781167"/>
    <n v="11389.929347728037"/>
    <s v=" "/>
    <s v=" "/>
    <s v=" "/>
    <s v=" "/>
    <s v=" "/>
    <s v=" "/>
    <s v=" "/>
    <s v=" "/>
    <s v=" "/>
    <s v=" "/>
    <s v=" "/>
    <s v=" "/>
    <s v=" "/>
    <s v=" "/>
    <x v="27"/>
    <x v="11"/>
    <x v="0"/>
    <x v="0"/>
    <x v="0"/>
    <x v="1"/>
    <x v="0"/>
    <x v="0"/>
    <x v="28"/>
    <x v="29"/>
    <x v="1"/>
    <x v="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16"/>
    <s v="Ecologs"/>
    <s v="Deactivate Drains with Ecologs"/>
    <s v="KS16_003"/>
    <x v="4"/>
    <n v="29.999881943999998"/>
    <n v="-25.827392222"/>
    <s v="29° 59' 59.57&quot;E "/>
    <s v="25° 49' 38.61&quot; S"/>
    <s v="Complete"/>
    <s v="Yes"/>
    <s v="Yes"/>
    <d v="2017-04-26T00:00:00"/>
    <s v="YES "/>
    <m/>
    <s v="NBC-GTW-CL-0052"/>
    <s v="Yes"/>
    <s v="01"/>
    <d v="2018-12-07T00:00:00"/>
    <s v="Phase 1"/>
    <s v="Year 1"/>
    <n v="0"/>
    <n v="0"/>
    <n v="0"/>
    <n v="0"/>
    <n v="0"/>
    <n v="14.219999999999999"/>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79"/>
    <n v="0"/>
    <n v="0"/>
    <n v="0"/>
    <n v="0"/>
    <n v="0"/>
    <n v="0"/>
    <n v="0"/>
    <n v="0"/>
    <n v="0"/>
    <n v="0"/>
    <n v="0"/>
    <n v="0"/>
    <n v="0"/>
    <n v="0"/>
    <n v="0"/>
    <n v="0"/>
    <n v="0"/>
    <n v="0"/>
    <n v="0"/>
    <n v="0"/>
    <n v="0"/>
    <n v="0"/>
    <n v="0"/>
    <m/>
    <m/>
    <m/>
    <m/>
    <m/>
    <m/>
    <m/>
    <m/>
    <m/>
    <n v="0"/>
    <n v="0"/>
    <n v="0"/>
    <n v="0"/>
    <n v="0"/>
    <n v="1208.6999999999998"/>
    <n v="0"/>
    <n v="0"/>
    <n v="0"/>
    <n v="0"/>
    <n v="0"/>
    <n v="0"/>
    <n v="0"/>
    <n v="0"/>
    <n v="0"/>
    <n v="0"/>
    <n v="0"/>
    <n v="0"/>
    <n v="0"/>
    <n v="0"/>
    <n v="0"/>
    <n v="0"/>
    <n v="0"/>
    <n v="0"/>
    <n v="0"/>
    <n v="0"/>
    <n v="71100"/>
    <n v="0"/>
    <n v="0"/>
    <n v="0"/>
    <n v="0"/>
    <n v="0"/>
    <n v="0"/>
    <n v="0"/>
    <n v="0"/>
    <n v="0"/>
    <n v="0"/>
    <n v="0"/>
    <n v="0"/>
    <n v="0"/>
    <n v="0"/>
    <n v="0"/>
    <n v="0"/>
    <n v="0"/>
    <n v="0"/>
    <n v="0"/>
    <n v="0"/>
    <n v="0"/>
    <n v="0"/>
    <n v="0"/>
    <n v="0"/>
    <n v="0"/>
    <n v="0"/>
    <n v="0"/>
    <n v="0"/>
    <n v="0"/>
    <n v="0"/>
    <n v="0"/>
    <n v="72308.7"/>
    <n v="76647.221999999994"/>
    <s v=" "/>
    <s v=" "/>
    <s v=" "/>
    <s v=" "/>
    <s v=" "/>
    <s v=" "/>
    <s v=" "/>
    <s v=" "/>
    <s v=" "/>
    <s v=" "/>
    <s v=" "/>
    <s v=" "/>
    <s v=" "/>
    <s v=" "/>
    <x v="0"/>
    <x v="0"/>
    <x v="0"/>
    <x v="0"/>
    <x v="0"/>
    <x v="28"/>
    <x v="0"/>
    <x v="0"/>
    <x v="0"/>
    <x v="4"/>
    <x v="1"/>
    <x v="1"/>
    <x v="0"/>
    <x v="0"/>
    <x v="0"/>
    <x v="0"/>
    <x v="0"/>
    <x v="0"/>
    <x v="0"/>
    <x v="0"/>
    <x v="0"/>
    <x v="0"/>
    <x v="0"/>
    <x v="0"/>
    <x v="0"/>
    <x v="0"/>
    <x v="0"/>
    <x v="0"/>
    <x v="0"/>
    <x v="0"/>
    <x v="0"/>
    <x v="0"/>
    <x v="0"/>
    <x v="0"/>
    <x v="0"/>
    <x v="0"/>
    <x v="0"/>
    <x v="0"/>
    <x v="0"/>
    <x v="0"/>
    <x v="0"/>
    <x v="0"/>
    <x v="0"/>
    <x v="0"/>
    <x v="0"/>
    <x v="0"/>
    <x v="0"/>
    <x v="0"/>
    <x v="0"/>
    <x v="0"/>
    <x v="0"/>
    <x v="0"/>
    <x v="0"/>
    <x v="0"/>
    <x v="0"/>
    <x v="0"/>
    <x v="0"/>
    <x v="0"/>
    <x v="0"/>
    <x v="0"/>
    <x v="1"/>
    <x v="0"/>
    <x v="0"/>
    <x v="0"/>
    <x v="0"/>
    <x v="0"/>
    <x v="0"/>
    <x v="0"/>
    <x v="0"/>
    <x v="0"/>
    <x v="0"/>
    <x v="0"/>
    <x v="0"/>
  </r>
  <r>
    <s v="KS16"/>
    <s v="Earthen berm"/>
    <s v="Earthworks"/>
    <s v="KS16_004"/>
    <x v="4"/>
    <n v="29.999696389"/>
    <n v="-25.827376389000001"/>
    <s v="29° 59' 58.90&quot;E "/>
    <s v="25° 49' 38.55&quot; S"/>
    <s v="Complete"/>
    <s v="Yes"/>
    <s v="Yes"/>
    <d v="2017-04-26T00:00:00"/>
    <s v="NA"/>
    <s v="NA"/>
    <s v="No Drawing"/>
    <s v="Yes"/>
    <s v="00"/>
    <d v="2018-06-16T00:00:00"/>
    <s v="Phase 1"/>
    <s v="Year 1"/>
    <n v="494.08980828513762"/>
    <m/>
    <m/>
    <m/>
    <m/>
    <m/>
    <m/>
    <m/>
    <n v="480"/>
    <n v="480"/>
    <m/>
    <m/>
    <m/>
    <m/>
    <m/>
    <m/>
    <m/>
    <m/>
    <m/>
    <m/>
    <m/>
    <m/>
    <m/>
    <m/>
    <m/>
    <m/>
    <m/>
    <m/>
    <m/>
    <m/>
    <m/>
    <m/>
    <m/>
    <m/>
    <n v="69.080000000000013"/>
    <m/>
    <m/>
    <m/>
    <m/>
    <m/>
    <m/>
    <m/>
    <m/>
    <m/>
    <m/>
    <m/>
    <m/>
    <m/>
    <m/>
    <m/>
    <m/>
    <m/>
    <m/>
    <m/>
    <m/>
    <m/>
    <m/>
    <m/>
    <m/>
    <m/>
    <m/>
    <m/>
    <m/>
    <m/>
    <m/>
    <m/>
    <m/>
    <m/>
    <m/>
    <m/>
    <m/>
    <m/>
    <m/>
    <m/>
    <m/>
    <m/>
    <m/>
    <m/>
    <m/>
    <m/>
    <m/>
    <m/>
    <m/>
    <m/>
    <m/>
    <m/>
    <m/>
    <m/>
    <m/>
    <m/>
    <m/>
    <m/>
    <m/>
    <m/>
    <m/>
    <n v="2470.4490414256879"/>
    <n v="0"/>
    <n v="0"/>
    <n v="0"/>
    <n v="0"/>
    <n v="0"/>
    <n v="0"/>
    <n v="0"/>
    <n v="2400"/>
    <n v="4800"/>
    <n v="0"/>
    <n v="0"/>
    <n v="0"/>
    <n v="0"/>
    <n v="0"/>
    <n v="0"/>
    <n v="0"/>
    <n v="0"/>
    <n v="0"/>
    <n v="0"/>
    <n v="8289.6000000000022"/>
    <n v="0"/>
    <n v="0"/>
    <n v="0"/>
    <n v="0"/>
    <n v="0"/>
    <n v="0"/>
    <n v="0"/>
    <n v="0"/>
    <n v="0"/>
    <n v="0"/>
    <n v="0"/>
    <n v="0"/>
    <n v="0"/>
    <n v="0"/>
    <n v="0"/>
    <n v="0"/>
    <n v="0"/>
    <n v="0"/>
    <n v="0"/>
    <n v="0"/>
    <n v="0"/>
    <n v="0"/>
    <n v="0"/>
    <n v="0"/>
    <n v="0"/>
    <n v="0"/>
    <n v="0"/>
    <n v="0"/>
    <n v="0"/>
    <n v="0"/>
    <n v="0"/>
    <n v="0"/>
    <n v="0"/>
    <n v="0"/>
    <n v="0"/>
    <n v="0"/>
    <n v="0"/>
    <n v="17960.049041425689"/>
    <n v="19037.65198391123"/>
    <s v=" "/>
    <s v=" "/>
    <s v=" "/>
    <s v=" "/>
    <s v=" "/>
    <s v=" "/>
    <s v=" "/>
    <s v=" "/>
    <s v=" "/>
    <s v=" "/>
    <s v=" "/>
    <s v=" "/>
    <s v=" "/>
    <s v=" "/>
    <x v="28"/>
    <x v="0"/>
    <x v="0"/>
    <x v="0"/>
    <x v="0"/>
    <x v="1"/>
    <x v="0"/>
    <x v="0"/>
    <x v="29"/>
    <x v="30"/>
    <x v="1"/>
    <x v="1"/>
    <x v="0"/>
    <x v="0"/>
    <x v="0"/>
    <x v="0"/>
    <x v="0"/>
    <x v="0"/>
    <x v="0"/>
    <x v="0"/>
    <x v="0"/>
    <x v="0"/>
    <x v="0"/>
    <x v="0"/>
    <x v="0"/>
    <x v="0"/>
    <x v="0"/>
    <x v="0"/>
    <x v="0"/>
    <x v="0"/>
    <x v="0"/>
    <x v="0"/>
    <x v="18"/>
    <x v="0"/>
    <x v="0"/>
    <x v="0"/>
    <x v="0"/>
    <x v="0"/>
    <x v="0"/>
    <x v="0"/>
    <x v="0"/>
    <x v="0"/>
    <x v="0"/>
    <x v="0"/>
    <x v="0"/>
    <x v="0"/>
    <x v="0"/>
    <x v="0"/>
    <x v="0"/>
    <x v="0"/>
    <x v="0"/>
    <x v="0"/>
    <x v="0"/>
    <x v="0"/>
    <x v="0"/>
    <x v="0"/>
    <x v="0"/>
    <x v="0"/>
    <x v="0"/>
    <x v="0"/>
    <x v="0"/>
    <x v="0"/>
    <x v="0"/>
    <x v="0"/>
    <x v="0"/>
    <x v="0"/>
    <x v="0"/>
    <x v="0"/>
    <x v="0"/>
    <x v="0"/>
    <x v="0"/>
    <x v="0"/>
    <x v="0"/>
  </r>
  <r>
    <s v="KS16"/>
    <s v="Ecologs"/>
    <s v="Deactivate Drains with Ecologs"/>
    <s v="KS16_005"/>
    <x v="4"/>
    <n v="29.991453611000001"/>
    <n v="-25.825574444000001"/>
    <s v="29° 59' 29.23&quot;E "/>
    <s v="25° 49' 32.06&quot; S"/>
    <s v="Complete"/>
    <s v="Yes"/>
    <s v="Yes"/>
    <d v="2017-04-26T00:00:00"/>
    <s v="YES "/>
    <s v="NO"/>
    <s v="NBC-GTW-CL-0048"/>
    <s v="Yes"/>
    <s v="01"/>
    <d v="2018-12-07T00:00:00"/>
    <s v="Phase 1"/>
    <s v="Year 1"/>
    <n v="0"/>
    <n v="0"/>
    <n v="0"/>
    <n v="0"/>
    <n v="0"/>
    <n v="18.36"/>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102"/>
    <n v="0"/>
    <n v="0"/>
    <n v="0"/>
    <n v="0"/>
    <n v="0"/>
    <n v="0"/>
    <n v="0"/>
    <n v="0"/>
    <n v="0"/>
    <n v="0"/>
    <n v="0"/>
    <n v="0"/>
    <n v="0"/>
    <n v="0"/>
    <n v="0"/>
    <n v="0"/>
    <n v="0"/>
    <n v="0"/>
    <n v="0"/>
    <n v="0"/>
    <n v="0"/>
    <n v="0"/>
    <n v="0"/>
    <m/>
    <m/>
    <m/>
    <m/>
    <m/>
    <m/>
    <m/>
    <m/>
    <m/>
    <n v="0"/>
    <n v="0"/>
    <n v="0"/>
    <n v="0"/>
    <n v="0"/>
    <n v="1560.6"/>
    <n v="0"/>
    <n v="0"/>
    <n v="0"/>
    <n v="0"/>
    <n v="0"/>
    <n v="0"/>
    <n v="0"/>
    <n v="0"/>
    <n v="0"/>
    <n v="0"/>
    <n v="0"/>
    <n v="0"/>
    <n v="0"/>
    <n v="0"/>
    <n v="0"/>
    <n v="0"/>
    <n v="0"/>
    <n v="0"/>
    <n v="0"/>
    <n v="0"/>
    <n v="91800"/>
    <n v="0"/>
    <n v="0"/>
    <n v="0"/>
    <n v="0"/>
    <n v="0"/>
    <n v="0"/>
    <n v="0"/>
    <n v="0"/>
    <n v="0"/>
    <n v="0"/>
    <n v="0"/>
    <n v="0"/>
    <n v="0"/>
    <n v="0"/>
    <n v="0"/>
    <n v="0"/>
    <n v="0"/>
    <n v="0"/>
    <n v="0"/>
    <n v="0"/>
    <n v="0"/>
    <n v="0"/>
    <n v="0"/>
    <n v="0"/>
    <n v="0"/>
    <n v="0"/>
    <n v="0"/>
    <n v="0"/>
    <n v="0"/>
    <n v="0"/>
    <n v="0"/>
    <n v="93360.6"/>
    <n v="98962.236000000004"/>
    <s v=" "/>
    <s v=" "/>
    <s v=" "/>
    <s v=" "/>
    <s v=" "/>
    <s v=" "/>
    <s v=" "/>
    <s v=" "/>
    <s v=" "/>
    <s v=" "/>
    <s v=" "/>
    <s v=" "/>
    <s v=" "/>
    <s v=" "/>
    <x v="0"/>
    <x v="0"/>
    <x v="0"/>
    <x v="0"/>
    <x v="0"/>
    <x v="29"/>
    <x v="0"/>
    <x v="0"/>
    <x v="0"/>
    <x v="4"/>
    <x v="1"/>
    <x v="1"/>
    <x v="0"/>
    <x v="0"/>
    <x v="0"/>
    <x v="0"/>
    <x v="0"/>
    <x v="0"/>
    <x v="0"/>
    <x v="0"/>
    <x v="0"/>
    <x v="0"/>
    <x v="0"/>
    <x v="0"/>
    <x v="0"/>
    <x v="0"/>
    <x v="0"/>
    <x v="0"/>
    <x v="0"/>
    <x v="0"/>
    <x v="0"/>
    <x v="0"/>
    <x v="0"/>
    <x v="0"/>
    <x v="0"/>
    <x v="0"/>
    <x v="0"/>
    <x v="0"/>
    <x v="0"/>
    <x v="0"/>
    <x v="0"/>
    <x v="0"/>
    <x v="0"/>
    <x v="0"/>
    <x v="0"/>
    <x v="0"/>
    <x v="0"/>
    <x v="0"/>
    <x v="0"/>
    <x v="0"/>
    <x v="0"/>
    <x v="0"/>
    <x v="0"/>
    <x v="0"/>
    <x v="0"/>
    <x v="0"/>
    <x v="0"/>
    <x v="0"/>
    <x v="0"/>
    <x v="0"/>
    <x v="2"/>
    <x v="0"/>
    <x v="0"/>
    <x v="0"/>
    <x v="0"/>
    <x v="0"/>
    <x v="0"/>
    <x v="0"/>
    <x v="0"/>
    <x v="0"/>
    <x v="0"/>
    <x v="0"/>
    <x v="0"/>
  </r>
  <r>
    <s v="KS18"/>
    <s v="Concrete Check Wall"/>
    <s v="Concrete Check Wall"/>
    <s v="KS18_001"/>
    <x v="5"/>
    <n v="29.993459722000001"/>
    <n v="-25.825414444"/>
    <s v="29° 59' 36.45&quot;E "/>
    <s v="25° 49' 31.49&quot; S"/>
    <s v="Complete"/>
    <s v="Yes"/>
    <s v="Yes"/>
    <d v="2017-02-01T00:00:00"/>
    <s v="YES"/>
    <d v="2017-02-01T00:00:00"/>
    <s v="NBC-GTW-CL-0019"/>
    <s v="Yes"/>
    <s v="00"/>
    <d v="2018-06-16T00:00:00"/>
    <s v="Phase 1"/>
    <s v="Year 1"/>
    <m/>
    <m/>
    <m/>
    <m/>
    <m/>
    <n v="12"/>
    <m/>
    <m/>
    <m/>
    <m/>
    <m/>
    <m/>
    <n v="12"/>
    <m/>
    <m/>
    <m/>
    <m/>
    <m/>
    <m/>
    <m/>
    <m/>
    <m/>
    <m/>
    <m/>
    <m/>
    <m/>
    <m/>
    <m/>
    <m/>
    <m/>
    <n v="5.0999999999999996"/>
    <m/>
    <m/>
    <m/>
    <m/>
    <m/>
    <m/>
    <m/>
    <m/>
    <m/>
    <m/>
    <m/>
    <m/>
    <m/>
    <m/>
    <m/>
    <m/>
    <m/>
    <m/>
    <m/>
    <m/>
    <m/>
    <m/>
    <m/>
    <m/>
    <m/>
    <m/>
    <m/>
    <m/>
    <m/>
    <m/>
    <m/>
    <m/>
    <m/>
    <m/>
    <m/>
    <m/>
    <m/>
    <m/>
    <m/>
    <m/>
    <m/>
    <m/>
    <m/>
    <m/>
    <m/>
    <m/>
    <m/>
    <m/>
    <m/>
    <m/>
    <m/>
    <m/>
    <m/>
    <m/>
    <m/>
    <m/>
    <m/>
    <m/>
    <m/>
    <m/>
    <m/>
    <m/>
    <m/>
    <m/>
    <n v="0"/>
    <n v="0"/>
    <n v="0"/>
    <n v="0"/>
    <n v="0"/>
    <n v="1020"/>
    <n v="0"/>
    <n v="0"/>
    <n v="0"/>
    <n v="0"/>
    <n v="0"/>
    <n v="24000"/>
    <n v="0"/>
    <n v="0"/>
    <n v="0"/>
    <n v="0"/>
    <n v="0"/>
    <n v="153"/>
    <n v="0"/>
    <n v="0"/>
    <n v="0"/>
    <n v="0"/>
    <n v="0"/>
    <n v="0"/>
    <n v="0"/>
    <n v="0"/>
    <n v="0"/>
    <n v="0"/>
    <n v="0"/>
    <n v="0"/>
    <n v="0"/>
    <n v="0"/>
    <n v="0"/>
    <n v="0"/>
    <n v="0"/>
    <n v="0"/>
    <n v="0"/>
    <n v="0"/>
    <n v="0"/>
    <n v="0"/>
    <n v="0"/>
    <n v="0"/>
    <n v="0"/>
    <n v="0"/>
    <n v="0"/>
    <n v="0"/>
    <n v="0"/>
    <n v="0"/>
    <n v="0"/>
    <n v="0"/>
    <n v="0"/>
    <n v="0"/>
    <n v="0"/>
    <n v="0"/>
    <n v="0"/>
    <n v="0"/>
    <n v="0"/>
    <n v="0"/>
    <n v="25173"/>
    <n v="26683.38"/>
    <s v=" "/>
    <s v=" "/>
    <s v=" "/>
    <s v=" "/>
    <s v=" "/>
    <s v=" "/>
    <s v=" "/>
    <s v=" "/>
    <s v=" "/>
    <s v=" "/>
    <s v=" "/>
    <s v=" "/>
    <s v=" "/>
    <s v=" "/>
    <x v="0"/>
    <x v="0"/>
    <x v="0"/>
    <x v="0"/>
    <x v="0"/>
    <x v="30"/>
    <x v="0"/>
    <x v="0"/>
    <x v="0"/>
    <x v="4"/>
    <x v="1"/>
    <x v="1"/>
    <x v="22"/>
    <x v="0"/>
    <x v="0"/>
    <x v="0"/>
    <x v="0"/>
    <x v="0"/>
    <x v="0"/>
    <x v="0"/>
    <x v="0"/>
    <x v="0"/>
    <x v="0"/>
    <x v="0"/>
    <x v="0"/>
    <x v="0"/>
    <x v="0"/>
    <x v="0"/>
    <x v="21"/>
    <x v="0"/>
    <x v="0"/>
    <x v="0"/>
    <x v="0"/>
    <x v="0"/>
    <x v="0"/>
    <x v="0"/>
    <x v="0"/>
    <x v="0"/>
    <x v="0"/>
    <x v="0"/>
    <x v="0"/>
    <x v="0"/>
    <x v="0"/>
    <x v="0"/>
    <x v="0"/>
    <x v="0"/>
    <x v="0"/>
    <x v="0"/>
    <x v="0"/>
    <x v="0"/>
    <x v="0"/>
    <x v="0"/>
    <x v="0"/>
    <x v="0"/>
    <x v="0"/>
    <x v="0"/>
    <x v="0"/>
    <x v="0"/>
    <x v="0"/>
    <x v="0"/>
    <x v="0"/>
    <x v="0"/>
    <x v="0"/>
    <x v="0"/>
    <x v="0"/>
    <x v="0"/>
    <x v="0"/>
    <x v="0"/>
    <x v="0"/>
    <x v="0"/>
    <x v="0"/>
    <x v="0"/>
    <x v="0"/>
  </r>
  <r>
    <s v="KS18"/>
    <s v="Concrete Check Wall"/>
    <s v="Concrete Check Wall"/>
    <s v="KS18_002A"/>
    <x v="5"/>
    <n v="29.993099443999998"/>
    <n v="-25.824846389000001"/>
    <s v="29° 59' 35.15&quot;E "/>
    <s v="25° 49' 29.44&quot; S"/>
    <s v="Complete"/>
    <s v="Yes"/>
    <s v="Yes"/>
    <d v="2017-02-01T00:00:00"/>
    <s v="YES"/>
    <m/>
    <s v="NBC-GTW-CL-0020"/>
    <s v="Yes"/>
    <s v="00"/>
    <d v="2018-06-16T00:00:00"/>
    <s v="Phase 1"/>
    <s v="Year 1"/>
    <m/>
    <m/>
    <m/>
    <m/>
    <m/>
    <n v="8"/>
    <m/>
    <m/>
    <m/>
    <m/>
    <m/>
    <m/>
    <n v="8"/>
    <m/>
    <m/>
    <m/>
    <m/>
    <m/>
    <m/>
    <m/>
    <m/>
    <m/>
    <m/>
    <m/>
    <m/>
    <m/>
    <m/>
    <m/>
    <m/>
    <m/>
    <n v="4.2"/>
    <m/>
    <m/>
    <m/>
    <m/>
    <m/>
    <m/>
    <m/>
    <m/>
    <m/>
    <m/>
    <m/>
    <m/>
    <m/>
    <m/>
    <m/>
    <m/>
    <m/>
    <m/>
    <m/>
    <m/>
    <m/>
    <m/>
    <m/>
    <m/>
    <m/>
    <m/>
    <m/>
    <m/>
    <m/>
    <m/>
    <m/>
    <m/>
    <m/>
    <m/>
    <m/>
    <m/>
    <m/>
    <m/>
    <m/>
    <m/>
    <m/>
    <m/>
    <m/>
    <m/>
    <m/>
    <m/>
    <m/>
    <m/>
    <m/>
    <m/>
    <m/>
    <m/>
    <m/>
    <m/>
    <m/>
    <m/>
    <m/>
    <m/>
    <m/>
    <m/>
    <m/>
    <m/>
    <m/>
    <m/>
    <n v="0"/>
    <n v="0"/>
    <n v="0"/>
    <n v="0"/>
    <n v="0"/>
    <n v="680"/>
    <n v="0"/>
    <n v="0"/>
    <n v="0"/>
    <n v="0"/>
    <n v="0"/>
    <n v="16000"/>
    <n v="0"/>
    <n v="0"/>
    <n v="0"/>
    <n v="0"/>
    <n v="0"/>
    <n v="126"/>
    <n v="0"/>
    <n v="0"/>
    <n v="0"/>
    <n v="0"/>
    <n v="0"/>
    <n v="0"/>
    <n v="0"/>
    <n v="0"/>
    <n v="0"/>
    <n v="0"/>
    <n v="0"/>
    <n v="0"/>
    <n v="0"/>
    <n v="0"/>
    <n v="0"/>
    <n v="0"/>
    <n v="0"/>
    <n v="0"/>
    <n v="0"/>
    <n v="0"/>
    <n v="0"/>
    <n v="0"/>
    <n v="0"/>
    <n v="0"/>
    <n v="0"/>
    <n v="0"/>
    <n v="0"/>
    <n v="0"/>
    <n v="0"/>
    <n v="0"/>
    <n v="0"/>
    <n v="0"/>
    <n v="0"/>
    <n v="0"/>
    <n v="0"/>
    <n v="0"/>
    <n v="0"/>
    <n v="0"/>
    <n v="0"/>
    <n v="0"/>
    <n v="16806"/>
    <n v="17814.36"/>
    <s v=" "/>
    <s v=" "/>
    <s v=" "/>
    <s v=" "/>
    <s v=" "/>
    <s v=" "/>
    <s v=" "/>
    <s v=" "/>
    <s v=" "/>
    <s v=" "/>
    <s v=" "/>
    <s v=" "/>
    <s v=" "/>
    <s v=" "/>
    <x v="0"/>
    <x v="0"/>
    <x v="0"/>
    <x v="0"/>
    <x v="0"/>
    <x v="31"/>
    <x v="0"/>
    <x v="0"/>
    <x v="0"/>
    <x v="4"/>
    <x v="1"/>
    <x v="1"/>
    <x v="23"/>
    <x v="0"/>
    <x v="0"/>
    <x v="0"/>
    <x v="0"/>
    <x v="0"/>
    <x v="0"/>
    <x v="0"/>
    <x v="0"/>
    <x v="0"/>
    <x v="0"/>
    <x v="0"/>
    <x v="0"/>
    <x v="0"/>
    <x v="0"/>
    <x v="0"/>
    <x v="22"/>
    <x v="0"/>
    <x v="0"/>
    <x v="0"/>
    <x v="0"/>
    <x v="0"/>
    <x v="0"/>
    <x v="0"/>
    <x v="0"/>
    <x v="0"/>
    <x v="0"/>
    <x v="0"/>
    <x v="0"/>
    <x v="0"/>
    <x v="0"/>
    <x v="0"/>
    <x v="0"/>
    <x v="0"/>
    <x v="0"/>
    <x v="0"/>
    <x v="0"/>
    <x v="0"/>
    <x v="0"/>
    <x v="0"/>
    <x v="0"/>
    <x v="0"/>
    <x v="0"/>
    <x v="0"/>
    <x v="0"/>
    <x v="0"/>
    <x v="0"/>
    <x v="0"/>
    <x v="0"/>
    <x v="0"/>
    <x v="0"/>
    <x v="0"/>
    <x v="0"/>
    <x v="0"/>
    <x v="0"/>
    <x v="0"/>
    <x v="0"/>
    <x v="0"/>
    <x v="0"/>
    <x v="0"/>
    <x v="0"/>
  </r>
  <r>
    <s v="KS18"/>
    <s v="Concrete Check Wall"/>
    <s v="Concrete Check Wall"/>
    <s v="KS18_002B"/>
    <x v="5"/>
    <n v="29.993171589999999"/>
    <n v="-25.82515317"/>
    <s v="29° 59' 35.41&quot;E "/>
    <s v="25° 49' 30.55&quot; S"/>
    <m/>
    <m/>
    <m/>
    <m/>
    <m/>
    <m/>
    <m/>
    <m/>
    <m/>
    <m/>
    <m/>
    <m/>
    <m/>
    <m/>
    <m/>
    <m/>
    <m/>
    <n v="6"/>
    <m/>
    <m/>
    <m/>
    <m/>
    <m/>
    <m/>
    <n v="6"/>
    <m/>
    <m/>
    <m/>
    <m/>
    <m/>
    <m/>
    <m/>
    <m/>
    <m/>
    <m/>
    <m/>
    <m/>
    <m/>
    <m/>
    <m/>
    <m/>
    <m/>
    <n v="4.2"/>
    <m/>
    <m/>
    <m/>
    <m/>
    <m/>
    <m/>
    <m/>
    <m/>
    <m/>
    <m/>
    <m/>
    <m/>
    <m/>
    <m/>
    <m/>
    <m/>
    <m/>
    <m/>
    <m/>
    <m/>
    <m/>
    <m/>
    <m/>
    <m/>
    <m/>
    <m/>
    <m/>
    <m/>
    <m/>
    <m/>
    <m/>
    <m/>
    <m/>
    <m/>
    <m/>
    <m/>
    <m/>
    <m/>
    <m/>
    <m/>
    <m/>
    <m/>
    <m/>
    <m/>
    <m/>
    <m/>
    <m/>
    <m/>
    <m/>
    <m/>
    <m/>
    <m/>
    <m/>
    <m/>
    <m/>
    <m/>
    <m/>
    <m/>
    <m/>
    <m/>
    <m/>
    <m/>
    <m/>
    <m/>
    <n v="0"/>
    <n v="0"/>
    <n v="0"/>
    <n v="0"/>
    <n v="0"/>
    <n v="510"/>
    <n v="0"/>
    <n v="0"/>
    <n v="0"/>
    <n v="0"/>
    <n v="0"/>
    <n v="12000"/>
    <n v="0"/>
    <n v="0"/>
    <n v="0"/>
    <n v="0"/>
    <n v="0"/>
    <n v="126"/>
    <n v="0"/>
    <n v="0"/>
    <n v="0"/>
    <n v="0"/>
    <n v="0"/>
    <n v="0"/>
    <n v="0"/>
    <n v="0"/>
    <n v="0"/>
    <n v="0"/>
    <n v="0"/>
    <n v="0"/>
    <n v="0"/>
    <n v="0"/>
    <n v="0"/>
    <n v="0"/>
    <n v="0"/>
    <n v="0"/>
    <n v="0"/>
    <n v="0"/>
    <n v="0"/>
    <n v="0"/>
    <n v="0"/>
    <n v="0"/>
    <n v="0"/>
    <n v="0"/>
    <n v="0"/>
    <n v="0"/>
    <n v="0"/>
    <n v="0"/>
    <n v="0"/>
    <n v="0"/>
    <n v="0"/>
    <n v="0"/>
    <n v="0"/>
    <n v="0"/>
    <n v="0"/>
    <n v="0"/>
    <n v="0"/>
    <n v="0"/>
    <n v="12636"/>
    <s v=" "/>
    <s v=" "/>
    <s v=" "/>
    <s v=" "/>
    <s v=" "/>
    <s v=" "/>
    <s v=" "/>
    <s v=" "/>
    <s v=" "/>
    <s v=" "/>
    <s v=" "/>
    <s v=" "/>
    <s v=" "/>
    <s v=" "/>
    <s v=" "/>
    <x v="0"/>
    <x v="0"/>
    <x v="0"/>
    <x v="0"/>
    <x v="0"/>
    <x v="32"/>
    <x v="0"/>
    <x v="0"/>
    <x v="0"/>
    <x v="4"/>
    <x v="1"/>
    <x v="1"/>
    <x v="24"/>
    <x v="0"/>
    <x v="0"/>
    <x v="0"/>
    <x v="0"/>
    <x v="0"/>
    <x v="0"/>
    <x v="0"/>
    <x v="0"/>
    <x v="0"/>
    <x v="0"/>
    <x v="0"/>
    <x v="0"/>
    <x v="0"/>
    <x v="0"/>
    <x v="0"/>
    <x v="23"/>
    <x v="0"/>
    <x v="0"/>
    <x v="0"/>
    <x v="0"/>
    <x v="0"/>
    <x v="0"/>
    <x v="0"/>
    <x v="0"/>
    <x v="0"/>
    <x v="0"/>
    <x v="0"/>
    <x v="0"/>
    <x v="0"/>
    <x v="0"/>
    <x v="0"/>
    <x v="0"/>
    <x v="0"/>
    <x v="0"/>
    <x v="0"/>
    <x v="0"/>
    <x v="0"/>
    <x v="0"/>
    <x v="0"/>
    <x v="0"/>
    <x v="0"/>
    <x v="0"/>
    <x v="0"/>
    <x v="0"/>
    <x v="0"/>
    <x v="0"/>
    <x v="0"/>
    <x v="0"/>
    <x v="0"/>
    <x v="0"/>
    <x v="0"/>
    <x v="0"/>
    <x v="0"/>
    <x v="0"/>
    <x v="0"/>
    <x v="0"/>
    <x v="0"/>
    <x v="0"/>
    <x v="0"/>
    <x v="0"/>
  </r>
  <r>
    <s v="KS18"/>
    <s v="Concrete Check Wall"/>
    <s v="Concrete Check Wall"/>
    <s v="KS18_003"/>
    <x v="6"/>
    <n v="29.992503056"/>
    <n v="-25.824776944"/>
    <s v="29° 59' 33.01&quot;E "/>
    <s v="25° 49' 29.19&quot; S"/>
    <s v="Complete"/>
    <s v="Yes"/>
    <s v="Yes"/>
    <d v="2017-02-08T00:00:00"/>
    <s v="YES"/>
    <m/>
    <s v="NBC-GTW-CL-0045"/>
    <s v="Yes"/>
    <s v="00"/>
    <d v="2018-06-16T00:00:00"/>
    <s v="Phase 1"/>
    <s v="Year 1"/>
    <n v="0"/>
    <n v="0"/>
    <n v="0"/>
    <n v="0"/>
    <n v="0"/>
    <n v="5.7"/>
    <n v="0"/>
    <n v="0"/>
    <n v="0"/>
    <n v="0"/>
    <n v="0"/>
    <n v="0"/>
    <n v="5.7"/>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m/>
    <m/>
    <m/>
    <m/>
    <m/>
    <m/>
    <m/>
    <m/>
    <m/>
    <m/>
    <m/>
    <m/>
    <n v="0"/>
    <n v="0"/>
    <n v="0"/>
    <n v="0"/>
    <n v="0"/>
    <n v="484.5"/>
    <n v="0"/>
    <n v="0"/>
    <n v="0"/>
    <n v="0"/>
    <n v="0"/>
    <n v="11400"/>
    <n v="0"/>
    <n v="0"/>
    <n v="0"/>
    <n v="0"/>
    <n v="0"/>
    <n v="0"/>
    <n v="0"/>
    <n v="0"/>
    <n v="0"/>
    <n v="0"/>
    <n v="0"/>
    <n v="0"/>
    <n v="0"/>
    <n v="0"/>
    <n v="0"/>
    <n v="0"/>
    <n v="0"/>
    <n v="0"/>
    <n v="0"/>
    <n v="0"/>
    <n v="0"/>
    <n v="0"/>
    <n v="0"/>
    <n v="0"/>
    <n v="0"/>
    <n v="0"/>
    <n v="0"/>
    <n v="0"/>
    <n v="0"/>
    <n v="0"/>
    <n v="0"/>
    <n v="0"/>
    <n v="0"/>
    <n v="0"/>
    <n v="0"/>
    <n v="0"/>
    <n v="0"/>
    <n v="0"/>
    <n v="0"/>
    <n v="0"/>
    <n v="0"/>
    <n v="0"/>
    <n v="0"/>
    <n v="0"/>
    <n v="0"/>
    <n v="0"/>
    <n v="11884.5"/>
    <n v="12597.570000000002"/>
    <s v=" "/>
    <s v=" "/>
    <s v=" "/>
    <s v=" "/>
    <s v=" "/>
    <s v=" "/>
    <s v=" "/>
    <s v=" "/>
    <s v=" "/>
    <s v=" "/>
    <s v=" "/>
    <s v=" "/>
    <s v=" "/>
    <s v=" "/>
    <x v="0"/>
    <x v="0"/>
    <x v="0"/>
    <x v="0"/>
    <x v="0"/>
    <x v="33"/>
    <x v="0"/>
    <x v="0"/>
    <x v="0"/>
    <x v="4"/>
    <x v="1"/>
    <x v="1"/>
    <x v="25"/>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18"/>
    <s v="Concrete Check Wall"/>
    <s v="Concrete Check Wall"/>
    <s v="KS18_004"/>
    <x v="6"/>
    <n v="29.9920875"/>
    <n v="-25.824516943999999"/>
    <s v="29° 59' 31.51&quot;E "/>
    <s v="25° 49' 28.26&quot; S"/>
    <s v="Complete"/>
    <s v="Yes"/>
    <s v="Yes"/>
    <d v="2017-02-08T00:00:00"/>
    <s v="YES"/>
    <m/>
    <s v="NBC-GTW-CL-0045"/>
    <s v="Yes"/>
    <s v="00"/>
    <d v="2018-06-16T00:00:00"/>
    <s v="Phase 1"/>
    <s v="Year 1"/>
    <n v="0"/>
    <n v="0"/>
    <n v="0"/>
    <n v="0"/>
    <n v="0"/>
    <n v="5.3550000000000004"/>
    <n v="0"/>
    <n v="0"/>
    <n v="0"/>
    <n v="0"/>
    <n v="0"/>
    <n v="0"/>
    <n v="5.3550000000000004"/>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m/>
    <m/>
    <m/>
    <m/>
    <m/>
    <m/>
    <m/>
    <m/>
    <m/>
    <m/>
    <m/>
    <m/>
    <n v="0"/>
    <n v="0"/>
    <n v="0"/>
    <n v="0"/>
    <n v="0"/>
    <n v="455.17500000000001"/>
    <n v="0"/>
    <n v="0"/>
    <n v="0"/>
    <n v="0"/>
    <n v="0"/>
    <n v="10710"/>
    <n v="0"/>
    <n v="0"/>
    <n v="0"/>
    <n v="0"/>
    <n v="0"/>
    <n v="0"/>
    <n v="0"/>
    <n v="0"/>
    <n v="0"/>
    <n v="0"/>
    <n v="0"/>
    <n v="0"/>
    <n v="0"/>
    <n v="0"/>
    <n v="0"/>
    <n v="0"/>
    <n v="0"/>
    <n v="0"/>
    <n v="0"/>
    <n v="0"/>
    <n v="0"/>
    <n v="0"/>
    <n v="0"/>
    <n v="0"/>
    <n v="0"/>
    <n v="0"/>
    <n v="0"/>
    <n v="0"/>
    <n v="0"/>
    <n v="0"/>
    <n v="0"/>
    <n v="0"/>
    <n v="0"/>
    <n v="0"/>
    <n v="0"/>
    <n v="0"/>
    <n v="0"/>
    <n v="0"/>
    <n v="0"/>
    <n v="0"/>
    <n v="0"/>
    <n v="0"/>
    <n v="0"/>
    <n v="0"/>
    <n v="0"/>
    <n v="0"/>
    <n v="11165.174999999999"/>
    <n v="11835.085499999999"/>
    <s v=" "/>
    <s v=" "/>
    <s v=" "/>
    <s v=" "/>
    <s v=" "/>
    <s v=" "/>
    <s v=" "/>
    <s v=" "/>
    <s v=" "/>
    <s v=" "/>
    <s v=" "/>
    <s v=" "/>
    <s v=" "/>
    <s v=" "/>
    <x v="0"/>
    <x v="0"/>
    <x v="0"/>
    <x v="0"/>
    <x v="0"/>
    <x v="34"/>
    <x v="0"/>
    <x v="0"/>
    <x v="0"/>
    <x v="4"/>
    <x v="1"/>
    <x v="1"/>
    <x v="26"/>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18"/>
    <s v="Concrete Check Wall"/>
    <s v="Concrete Check Wall"/>
    <s v="KS18_005"/>
    <x v="6"/>
    <n v="29.991557778000001"/>
    <n v="-25.824408889000001"/>
    <s v="29° 59' 29.60&quot;E "/>
    <s v="25° 49' 27.87&quot; S"/>
    <s v="Complete"/>
    <s v="Yes"/>
    <s v="Yes"/>
    <d v="2017-02-08T00:00:00"/>
    <s v="YES"/>
    <m/>
    <s v="NBC-GTW-CL-0045"/>
    <s v="Yes"/>
    <s v="00"/>
    <d v="2018-06-16T00:00:00"/>
    <s v="Phase 1"/>
    <s v="Year 1"/>
    <n v="0"/>
    <n v="0"/>
    <n v="0"/>
    <n v="0"/>
    <n v="0"/>
    <n v="6.9300000000000006"/>
    <n v="0"/>
    <n v="0"/>
    <n v="0"/>
    <n v="0"/>
    <n v="0"/>
    <n v="0"/>
    <n v="6.9300000000000006"/>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m/>
    <m/>
    <m/>
    <m/>
    <m/>
    <m/>
    <m/>
    <m/>
    <m/>
    <m/>
    <m/>
    <m/>
    <n v="0"/>
    <n v="0"/>
    <n v="0"/>
    <n v="0"/>
    <n v="0"/>
    <n v="589.05000000000007"/>
    <n v="0"/>
    <n v="0"/>
    <n v="0"/>
    <n v="0"/>
    <n v="0"/>
    <n v="13860.000000000002"/>
    <n v="0"/>
    <n v="0"/>
    <n v="0"/>
    <n v="0"/>
    <n v="0"/>
    <n v="0"/>
    <n v="0"/>
    <n v="0"/>
    <n v="0"/>
    <n v="0"/>
    <n v="0"/>
    <n v="0"/>
    <n v="0"/>
    <n v="0"/>
    <n v="0"/>
    <n v="0"/>
    <n v="0"/>
    <n v="0"/>
    <n v="0"/>
    <n v="0"/>
    <n v="0"/>
    <n v="0"/>
    <n v="0"/>
    <n v="0"/>
    <n v="0"/>
    <n v="0"/>
    <n v="0"/>
    <n v="0"/>
    <n v="0"/>
    <n v="0"/>
    <n v="0"/>
    <n v="0"/>
    <n v="0"/>
    <n v="0"/>
    <n v="0"/>
    <n v="0"/>
    <n v="0"/>
    <n v="0"/>
    <n v="0"/>
    <n v="0"/>
    <n v="0"/>
    <n v="0"/>
    <n v="0"/>
    <n v="0"/>
    <n v="0"/>
    <n v="0"/>
    <n v="14449.050000000001"/>
    <n v="15315.993000000002"/>
    <s v=" "/>
    <s v=" "/>
    <s v=" "/>
    <s v=" "/>
    <s v=" "/>
    <s v=" "/>
    <s v=" "/>
    <s v=" "/>
    <s v=" "/>
    <s v=" "/>
    <s v=" "/>
    <s v=" "/>
    <s v=" "/>
    <s v=" "/>
    <x v="0"/>
    <x v="0"/>
    <x v="0"/>
    <x v="0"/>
    <x v="0"/>
    <x v="35"/>
    <x v="0"/>
    <x v="0"/>
    <x v="0"/>
    <x v="4"/>
    <x v="1"/>
    <x v="1"/>
    <x v="27"/>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18"/>
    <s v="Concrete Check Wall"/>
    <s v="Concrete Check Wall"/>
    <s v="KS18_006"/>
    <x v="6"/>
    <n v="29.990665542999999"/>
    <n v="-25.824166946999998"/>
    <s v="29° 59' 26.39&quot;E "/>
    <s v="25° 49' 27.00&quot; S"/>
    <s v="Complete"/>
    <s v="Yes"/>
    <s v="Yes"/>
    <d v="2017-02-08T00:00:00"/>
    <s v="YES"/>
    <m/>
    <s v="NBC-GTW-CL-0045"/>
    <s v="Yes"/>
    <s v="00"/>
    <d v="2018-06-16T00:00:00"/>
    <s v="Phase 1"/>
    <s v="Year 1"/>
    <n v="0"/>
    <n v="0"/>
    <n v="0"/>
    <n v="0"/>
    <n v="0"/>
    <n v="6.6150000000000002"/>
    <n v="0"/>
    <n v="0"/>
    <n v="0"/>
    <n v="0"/>
    <n v="0"/>
    <n v="0"/>
    <n v="6.6150000000000002"/>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m/>
    <m/>
    <m/>
    <m/>
    <m/>
    <m/>
    <m/>
    <m/>
    <m/>
    <m/>
    <m/>
    <m/>
    <n v="0"/>
    <n v="0"/>
    <n v="0"/>
    <n v="0"/>
    <n v="0"/>
    <n v="562.27499999999998"/>
    <n v="0"/>
    <n v="0"/>
    <n v="0"/>
    <n v="0"/>
    <n v="0"/>
    <n v="13230"/>
    <n v="0"/>
    <n v="0"/>
    <n v="0"/>
    <n v="0"/>
    <n v="0"/>
    <n v="0"/>
    <n v="0"/>
    <n v="0"/>
    <n v="0"/>
    <n v="0"/>
    <n v="0"/>
    <n v="0"/>
    <n v="0"/>
    <n v="0"/>
    <n v="0"/>
    <n v="0"/>
    <n v="0"/>
    <n v="0"/>
    <n v="0"/>
    <n v="0"/>
    <n v="0"/>
    <n v="0"/>
    <n v="0"/>
    <n v="0"/>
    <n v="0"/>
    <n v="0"/>
    <n v="0"/>
    <n v="0"/>
    <n v="0"/>
    <n v="0"/>
    <n v="0"/>
    <n v="0"/>
    <n v="0"/>
    <n v="0"/>
    <n v="0"/>
    <n v="0"/>
    <n v="0"/>
    <n v="0"/>
    <n v="0"/>
    <n v="0"/>
    <n v="0"/>
    <n v="0"/>
    <n v="0"/>
    <n v="0"/>
    <n v="0"/>
    <n v="0"/>
    <n v="13792.275"/>
    <n v="14619.8115"/>
    <s v=" "/>
    <s v=" "/>
    <s v=" "/>
    <s v=" "/>
    <s v=" "/>
    <s v=" "/>
    <s v=" "/>
    <s v=" "/>
    <s v=" "/>
    <s v=" "/>
    <s v=" "/>
    <s v=" "/>
    <s v=" "/>
    <s v=" "/>
    <x v="0"/>
    <x v="0"/>
    <x v="0"/>
    <x v="0"/>
    <x v="0"/>
    <x v="36"/>
    <x v="0"/>
    <x v="0"/>
    <x v="0"/>
    <x v="4"/>
    <x v="1"/>
    <x v="1"/>
    <x v="28"/>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18"/>
    <s v="Concrete Check Wall"/>
    <s v="Concrete Check Wall"/>
    <s v="KS18_007"/>
    <x v="6"/>
    <n v="29.990300000000001"/>
    <n v="-25.823898332999999"/>
    <s v="29° 59' 25.08&quot;E "/>
    <s v="25° 49' 26.03&quot; S"/>
    <s v="Complete"/>
    <s v="Yes"/>
    <s v="Yes"/>
    <d v="2017-02-08T00:00:00"/>
    <s v="YES"/>
    <m/>
    <s v="NBC-GTW-CL-0045"/>
    <s v="Yes"/>
    <s v="00"/>
    <d v="2018-06-16T00:00:00"/>
    <s v="Phase 1"/>
    <s v="Year 1"/>
    <n v="0"/>
    <n v="0"/>
    <n v="0"/>
    <n v="0"/>
    <n v="0"/>
    <n v="5.04"/>
    <n v="0"/>
    <n v="0"/>
    <n v="0"/>
    <n v="0"/>
    <n v="0"/>
    <n v="0"/>
    <n v="5.04"/>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m/>
    <m/>
    <m/>
    <m/>
    <m/>
    <m/>
    <m/>
    <m/>
    <m/>
    <m/>
    <m/>
    <m/>
    <n v="0"/>
    <n v="0"/>
    <n v="0"/>
    <n v="0"/>
    <n v="0"/>
    <n v="428.4"/>
    <n v="0"/>
    <n v="0"/>
    <n v="0"/>
    <n v="0"/>
    <n v="0"/>
    <n v="10080"/>
    <n v="0"/>
    <n v="0"/>
    <n v="0"/>
    <n v="0"/>
    <n v="0"/>
    <n v="0"/>
    <n v="0"/>
    <n v="0"/>
    <n v="0"/>
    <n v="0"/>
    <n v="0"/>
    <n v="0"/>
    <n v="0"/>
    <n v="0"/>
    <n v="0"/>
    <n v="0"/>
    <n v="0"/>
    <n v="0"/>
    <n v="0"/>
    <n v="0"/>
    <n v="0"/>
    <n v="0"/>
    <n v="0"/>
    <n v="0"/>
    <n v="0"/>
    <n v="0"/>
    <n v="0"/>
    <n v="0"/>
    <n v="0"/>
    <n v="0"/>
    <n v="0"/>
    <n v="0"/>
    <n v="0"/>
    <n v="0"/>
    <n v="0"/>
    <n v="0"/>
    <n v="0"/>
    <n v="0"/>
    <n v="0"/>
    <n v="0"/>
    <n v="0"/>
    <n v="0"/>
    <n v="0"/>
    <n v="0"/>
    <n v="0"/>
    <n v="0"/>
    <n v="10508.4"/>
    <n v="11138.904"/>
    <s v=" "/>
    <s v=" "/>
    <s v=" "/>
    <s v=" "/>
    <s v=" "/>
    <s v=" "/>
    <s v=" "/>
    <s v=" "/>
    <s v=" "/>
    <s v=" "/>
    <s v=" "/>
    <s v=" "/>
    <s v=" "/>
    <s v=" "/>
    <x v="0"/>
    <x v="0"/>
    <x v="0"/>
    <x v="0"/>
    <x v="0"/>
    <x v="37"/>
    <x v="0"/>
    <x v="0"/>
    <x v="0"/>
    <x v="4"/>
    <x v="1"/>
    <x v="1"/>
    <x v="29"/>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18"/>
    <s v="Concrete Check Wall"/>
    <s v="Concrete Check Wall"/>
    <s v="KS18_008"/>
    <x v="6"/>
    <n v="29.989851111"/>
    <n v="-25.823658610999999"/>
    <s v="29° 59' 23.46&quot;E "/>
    <s v="25° 49' 25.17&quot; S"/>
    <s v="Complete"/>
    <s v="Yes"/>
    <s v="Yes"/>
    <d v="2017-02-08T00:00:00"/>
    <s v="YES"/>
    <m/>
    <s v="NBC-GTW-CL-0045"/>
    <s v="Yes"/>
    <s v="00"/>
    <d v="2018-06-16T00:00:00"/>
    <s v="Phase 1"/>
    <s v="Year 1"/>
    <n v="0"/>
    <n v="0"/>
    <n v="0"/>
    <n v="0"/>
    <n v="0"/>
    <n v="5.7600000000000007"/>
    <n v="0"/>
    <n v="0"/>
    <n v="0"/>
    <n v="0"/>
    <n v="0"/>
    <n v="0"/>
    <n v="5.7600000000000007"/>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m/>
    <m/>
    <m/>
    <m/>
    <m/>
    <m/>
    <m/>
    <m/>
    <m/>
    <m/>
    <m/>
    <m/>
    <n v="0"/>
    <n v="0"/>
    <n v="0"/>
    <n v="0"/>
    <n v="0"/>
    <n v="489.60000000000008"/>
    <n v="0"/>
    <n v="0"/>
    <n v="0"/>
    <n v="0"/>
    <n v="0"/>
    <n v="11520.000000000002"/>
    <n v="0"/>
    <n v="0"/>
    <n v="0"/>
    <n v="0"/>
    <n v="0"/>
    <n v="0"/>
    <n v="0"/>
    <n v="0"/>
    <n v="0"/>
    <n v="0"/>
    <n v="0"/>
    <n v="0"/>
    <n v="0"/>
    <n v="0"/>
    <n v="0"/>
    <n v="0"/>
    <n v="0"/>
    <n v="0"/>
    <n v="0"/>
    <n v="0"/>
    <n v="0"/>
    <n v="0"/>
    <n v="0"/>
    <n v="0"/>
    <n v="0"/>
    <n v="0"/>
    <n v="0"/>
    <n v="0"/>
    <n v="0"/>
    <n v="0"/>
    <n v="0"/>
    <n v="0"/>
    <n v="0"/>
    <n v="0"/>
    <n v="0"/>
    <n v="0"/>
    <n v="0"/>
    <n v="0"/>
    <n v="0"/>
    <n v="0"/>
    <n v="0"/>
    <n v="0"/>
    <n v="0"/>
    <n v="0"/>
    <n v="0"/>
    <n v="0"/>
    <n v="12009.600000000002"/>
    <n v="12730.176000000003"/>
    <s v=" "/>
    <s v=" "/>
    <s v=" "/>
    <s v=" "/>
    <s v=" "/>
    <s v=" "/>
    <s v=" "/>
    <s v=" "/>
    <s v=" "/>
    <s v=" "/>
    <s v=" "/>
    <s v=" "/>
    <s v=" "/>
    <s v=" "/>
    <x v="0"/>
    <x v="0"/>
    <x v="0"/>
    <x v="0"/>
    <x v="0"/>
    <x v="38"/>
    <x v="0"/>
    <x v="0"/>
    <x v="0"/>
    <x v="4"/>
    <x v="1"/>
    <x v="1"/>
    <x v="3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18"/>
    <s v="Concrete Check Wall"/>
    <s v="Concrete Check Wall"/>
    <s v="KS18_009"/>
    <x v="6"/>
    <n v="29.989338332999999"/>
    <n v="-25.823435278000002"/>
    <s v="29° 59' 21.61&quot;E "/>
    <s v="25° 49' 24.36&quot; S"/>
    <s v="Complete"/>
    <s v="Yes"/>
    <s v="Yes"/>
    <d v="2017-02-08T00:00:00"/>
    <s v="YES"/>
    <m/>
    <s v="NBC-GTW-CL-0045"/>
    <s v="Yes"/>
    <s v="00"/>
    <d v="2018-06-16T00:00:00"/>
    <s v="Phase 1"/>
    <s v="Year 1"/>
    <n v="0"/>
    <n v="0"/>
    <n v="0"/>
    <n v="0"/>
    <n v="0"/>
    <n v="5.7749999999999995"/>
    <n v="0"/>
    <n v="0"/>
    <n v="0"/>
    <n v="0"/>
    <n v="0"/>
    <n v="0"/>
    <n v="5.7749999999999995"/>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m/>
    <m/>
    <m/>
    <m/>
    <m/>
    <m/>
    <m/>
    <m/>
    <m/>
    <m/>
    <m/>
    <m/>
    <n v="0"/>
    <n v="0"/>
    <n v="0"/>
    <n v="0"/>
    <n v="0"/>
    <n v="490.87499999999994"/>
    <n v="0"/>
    <n v="0"/>
    <n v="0"/>
    <n v="0"/>
    <n v="0"/>
    <n v="11549.999999999998"/>
    <n v="0"/>
    <n v="0"/>
    <n v="0"/>
    <n v="0"/>
    <n v="0"/>
    <n v="0"/>
    <n v="0"/>
    <n v="0"/>
    <n v="0"/>
    <n v="0"/>
    <n v="0"/>
    <n v="0"/>
    <n v="0"/>
    <n v="0"/>
    <n v="0"/>
    <n v="0"/>
    <n v="0"/>
    <n v="0"/>
    <n v="0"/>
    <n v="0"/>
    <n v="0"/>
    <n v="0"/>
    <n v="0"/>
    <n v="0"/>
    <n v="0"/>
    <n v="0"/>
    <n v="0"/>
    <n v="0"/>
    <n v="0"/>
    <n v="0"/>
    <n v="0"/>
    <n v="0"/>
    <n v="0"/>
    <n v="0"/>
    <n v="0"/>
    <n v="0"/>
    <n v="0"/>
    <n v="0"/>
    <n v="0"/>
    <n v="0"/>
    <n v="0"/>
    <n v="0"/>
    <n v="0"/>
    <n v="0"/>
    <n v="0"/>
    <n v="0"/>
    <n v="12040.874999999998"/>
    <n v="12763.327499999999"/>
    <s v=" "/>
    <s v=" "/>
    <s v=" "/>
    <s v=" "/>
    <s v=" "/>
    <s v=" "/>
    <s v=" "/>
    <s v=" "/>
    <s v=" "/>
    <s v=" "/>
    <s v=" "/>
    <s v=" "/>
    <s v=" "/>
    <s v=" "/>
    <x v="0"/>
    <x v="0"/>
    <x v="0"/>
    <x v="0"/>
    <x v="0"/>
    <x v="39"/>
    <x v="0"/>
    <x v="0"/>
    <x v="0"/>
    <x v="4"/>
    <x v="1"/>
    <x v="1"/>
    <x v="3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18"/>
    <s v="Concrete Check Wall"/>
    <s v="Concrete Check Wall"/>
    <s v="KS18_010"/>
    <x v="6"/>
    <n v="29.988861098000001"/>
    <n v="-25.823188834"/>
    <s v="29° 59' 19.89&quot;E "/>
    <s v="25° 49' 23.47&quot; S"/>
    <s v="Complete"/>
    <s v="Yes"/>
    <s v="Yes"/>
    <d v="2017-02-08T00:00:00"/>
    <s v="YES"/>
    <m/>
    <s v="NBC-GTW-CL-0045"/>
    <s v="Yes"/>
    <s v="00"/>
    <d v="2018-06-16T00:00:00"/>
    <s v="Phase 1"/>
    <s v="Year 1"/>
    <n v="0"/>
    <n v="0"/>
    <n v="0"/>
    <n v="0"/>
    <n v="0"/>
    <n v="6.9300000000000006"/>
    <n v="0"/>
    <n v="0"/>
    <n v="0"/>
    <n v="0"/>
    <n v="0"/>
    <n v="0"/>
    <n v="6.9300000000000006"/>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m/>
    <m/>
    <m/>
    <m/>
    <m/>
    <m/>
    <m/>
    <m/>
    <m/>
    <m/>
    <m/>
    <m/>
    <n v="0"/>
    <n v="0"/>
    <n v="0"/>
    <n v="0"/>
    <n v="0"/>
    <n v="589.05000000000007"/>
    <n v="0"/>
    <n v="0"/>
    <n v="0"/>
    <n v="0"/>
    <n v="0"/>
    <n v="13860.000000000002"/>
    <n v="0"/>
    <n v="0"/>
    <n v="0"/>
    <n v="0"/>
    <n v="0"/>
    <n v="0"/>
    <n v="0"/>
    <n v="0"/>
    <n v="0"/>
    <n v="0"/>
    <n v="0"/>
    <n v="0"/>
    <n v="0"/>
    <n v="0"/>
    <n v="0"/>
    <n v="0"/>
    <n v="0"/>
    <n v="0"/>
    <n v="0"/>
    <n v="0"/>
    <n v="0"/>
    <n v="0"/>
    <n v="0"/>
    <n v="0"/>
    <n v="0"/>
    <n v="0"/>
    <n v="0"/>
    <n v="0"/>
    <n v="0"/>
    <n v="0"/>
    <n v="0"/>
    <n v="0"/>
    <n v="0"/>
    <n v="0"/>
    <n v="0"/>
    <n v="0"/>
    <n v="0"/>
    <n v="0"/>
    <n v="0"/>
    <n v="0"/>
    <n v="0"/>
    <n v="0"/>
    <n v="0"/>
    <n v="0"/>
    <n v="0"/>
    <n v="0"/>
    <n v="14449.050000000001"/>
    <n v="15315.993000000002"/>
    <s v=" "/>
    <s v=" "/>
    <s v=" "/>
    <s v=" "/>
    <s v=" "/>
    <s v=" "/>
    <s v=" "/>
    <s v=" "/>
    <s v=" "/>
    <s v=" "/>
    <s v=" "/>
    <s v=" "/>
    <s v=" "/>
    <s v=" "/>
    <x v="0"/>
    <x v="0"/>
    <x v="0"/>
    <x v="0"/>
    <x v="0"/>
    <x v="40"/>
    <x v="0"/>
    <x v="0"/>
    <x v="0"/>
    <x v="4"/>
    <x v="1"/>
    <x v="1"/>
    <x v="32"/>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18"/>
    <s v="Concrete Check Wall"/>
    <s v="Concrete Check Wall"/>
    <s v="KS18_011"/>
    <x v="6"/>
    <n v="29.988361076"/>
    <n v="-25.823007194999999"/>
    <s v="29° 59' 18.09&quot;E "/>
    <s v="25° 49' 22.82&quot; S"/>
    <s v="Complete"/>
    <s v="Yes"/>
    <s v="Yes"/>
    <d v="2017-02-08T00:00:00"/>
    <s v="YES"/>
    <m/>
    <s v="NBC-GTW-CL-0045"/>
    <s v="Yes"/>
    <s v="00"/>
    <d v="2018-06-16T00:00:00"/>
    <s v="Phase 1"/>
    <s v="Year 1"/>
    <n v="0"/>
    <n v="0"/>
    <n v="0"/>
    <n v="0"/>
    <n v="0"/>
    <n v="6"/>
    <n v="0"/>
    <n v="0"/>
    <n v="0"/>
    <n v="0"/>
    <n v="0"/>
    <n v="0"/>
    <n v="6"/>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m/>
    <m/>
    <m/>
    <m/>
    <m/>
    <m/>
    <m/>
    <m/>
    <m/>
    <m/>
    <m/>
    <m/>
    <n v="0"/>
    <n v="0"/>
    <n v="0"/>
    <n v="0"/>
    <n v="0"/>
    <n v="510"/>
    <n v="0"/>
    <n v="0"/>
    <n v="0"/>
    <n v="0"/>
    <n v="0"/>
    <n v="12000"/>
    <n v="0"/>
    <n v="0"/>
    <n v="0"/>
    <n v="0"/>
    <n v="0"/>
    <n v="0"/>
    <n v="0"/>
    <n v="0"/>
    <n v="0"/>
    <n v="0"/>
    <n v="0"/>
    <n v="0"/>
    <n v="0"/>
    <n v="0"/>
    <n v="0"/>
    <n v="0"/>
    <n v="0"/>
    <n v="0"/>
    <n v="0"/>
    <n v="0"/>
    <n v="0"/>
    <n v="0"/>
    <n v="0"/>
    <n v="0"/>
    <n v="0"/>
    <n v="0"/>
    <n v="0"/>
    <n v="0"/>
    <n v="0"/>
    <n v="0"/>
    <n v="0"/>
    <n v="0"/>
    <n v="0"/>
    <n v="0"/>
    <n v="0"/>
    <n v="0"/>
    <n v="0"/>
    <n v="0"/>
    <n v="0"/>
    <n v="0"/>
    <n v="0"/>
    <n v="0"/>
    <n v="0"/>
    <n v="0"/>
    <n v="0"/>
    <n v="0"/>
    <n v="12510"/>
    <n v="13260.6"/>
    <s v=" "/>
    <s v=" "/>
    <s v=" "/>
    <s v=" "/>
    <s v=" "/>
    <s v=" "/>
    <s v=" "/>
    <s v=" "/>
    <s v=" "/>
    <s v=" "/>
    <s v=" "/>
    <s v=" "/>
    <s v=" "/>
    <s v=" "/>
    <x v="0"/>
    <x v="0"/>
    <x v="0"/>
    <x v="0"/>
    <x v="0"/>
    <x v="41"/>
    <x v="0"/>
    <x v="0"/>
    <x v="0"/>
    <x v="4"/>
    <x v="1"/>
    <x v="1"/>
    <x v="33"/>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18"/>
    <s v="Concrete Check Wall"/>
    <s v="Concrete Check Wall"/>
    <s v="KS18_012"/>
    <x v="6"/>
    <n v="29.987974167000001"/>
    <n v="-25.822902778"/>
    <s v="29° 59' 16.70&quot;E "/>
    <s v="25° 49' 22.45&quot; S"/>
    <s v="Complete"/>
    <s v="Yes"/>
    <s v="Yes"/>
    <d v="2017-02-08T00:00:00"/>
    <s v="YES"/>
    <m/>
    <s v="NBC-GTW-CL-0045"/>
    <s v="Yes"/>
    <s v="00"/>
    <d v="2018-06-16T00:00:00"/>
    <s v="Phase 1"/>
    <s v="Year 1"/>
    <n v="0"/>
    <n v="0"/>
    <n v="0"/>
    <n v="0"/>
    <n v="0"/>
    <n v="6.6"/>
    <n v="0"/>
    <n v="0"/>
    <n v="0"/>
    <n v="0"/>
    <n v="0"/>
    <n v="0"/>
    <n v="6.6"/>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m/>
    <m/>
    <m/>
    <m/>
    <m/>
    <m/>
    <m/>
    <m/>
    <m/>
    <m/>
    <m/>
    <m/>
    <n v="0"/>
    <n v="0"/>
    <n v="0"/>
    <n v="0"/>
    <n v="0"/>
    <n v="561"/>
    <n v="0"/>
    <n v="0"/>
    <n v="0"/>
    <n v="0"/>
    <n v="0"/>
    <n v="13200"/>
    <n v="0"/>
    <n v="0"/>
    <n v="0"/>
    <n v="0"/>
    <n v="0"/>
    <n v="0"/>
    <n v="0"/>
    <n v="0"/>
    <n v="0"/>
    <n v="0"/>
    <n v="0"/>
    <n v="0"/>
    <n v="0"/>
    <n v="0"/>
    <n v="0"/>
    <n v="0"/>
    <n v="0"/>
    <n v="0"/>
    <n v="0"/>
    <n v="0"/>
    <n v="0"/>
    <n v="0"/>
    <n v="0"/>
    <n v="0"/>
    <n v="0"/>
    <n v="0"/>
    <n v="0"/>
    <n v="0"/>
    <n v="0"/>
    <n v="0"/>
    <n v="0"/>
    <n v="0"/>
    <n v="0"/>
    <n v="0"/>
    <n v="0"/>
    <n v="0"/>
    <n v="0"/>
    <n v="0"/>
    <n v="0"/>
    <n v="0"/>
    <n v="0"/>
    <n v="0"/>
    <n v="0"/>
    <n v="0"/>
    <n v="0"/>
    <n v="0"/>
    <n v="13761"/>
    <n v="14586.66"/>
    <s v=" "/>
    <s v=" "/>
    <s v=" "/>
    <s v=" "/>
    <s v=" "/>
    <s v=" "/>
    <s v=" "/>
    <s v=" "/>
    <s v=" "/>
    <s v=" "/>
    <s v=" "/>
    <s v=" "/>
    <s v=" "/>
    <s v=" "/>
    <x v="0"/>
    <x v="0"/>
    <x v="0"/>
    <x v="0"/>
    <x v="0"/>
    <x v="42"/>
    <x v="0"/>
    <x v="0"/>
    <x v="0"/>
    <x v="4"/>
    <x v="1"/>
    <x v="1"/>
    <x v="34"/>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18"/>
    <s v="Concrete Check Wall"/>
    <s v="Concrete Check Wall"/>
    <s v="KS18_013"/>
    <x v="6"/>
    <n v="29.987517778000001"/>
    <n v="-25.822854444000001"/>
    <s v="29° 59' 15.06&quot;E "/>
    <s v="25° 49' 22.27&quot; S"/>
    <s v="Complete"/>
    <s v="Yes"/>
    <s v="Yes"/>
    <d v="2017-02-08T00:00:00"/>
    <s v="YES"/>
    <m/>
    <s v="NBC-GTW-CL-0045"/>
    <s v="Yes"/>
    <s v="00"/>
    <d v="2018-06-16T00:00:00"/>
    <s v="Phase 1"/>
    <s v="Year 1"/>
    <n v="0"/>
    <n v="0"/>
    <n v="0"/>
    <n v="0"/>
    <n v="0"/>
    <n v="6"/>
    <n v="0"/>
    <n v="0"/>
    <n v="0"/>
    <n v="0"/>
    <n v="0"/>
    <n v="0"/>
    <n v="6"/>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m/>
    <m/>
    <m/>
    <m/>
    <m/>
    <m/>
    <m/>
    <m/>
    <m/>
    <m/>
    <m/>
    <m/>
    <n v="0"/>
    <n v="0"/>
    <n v="0"/>
    <n v="0"/>
    <n v="0"/>
    <n v="510"/>
    <n v="0"/>
    <n v="0"/>
    <n v="0"/>
    <n v="0"/>
    <n v="0"/>
    <n v="12000"/>
    <n v="0"/>
    <n v="0"/>
    <n v="0"/>
    <n v="0"/>
    <n v="0"/>
    <n v="0"/>
    <n v="0"/>
    <n v="0"/>
    <n v="0"/>
    <n v="0"/>
    <n v="0"/>
    <n v="0"/>
    <n v="0"/>
    <n v="0"/>
    <n v="0"/>
    <n v="0"/>
    <n v="0"/>
    <n v="0"/>
    <n v="0"/>
    <n v="0"/>
    <n v="0"/>
    <n v="0"/>
    <n v="0"/>
    <n v="0"/>
    <n v="0"/>
    <n v="0"/>
    <n v="0"/>
    <n v="0"/>
    <n v="0"/>
    <n v="0"/>
    <n v="0"/>
    <n v="0"/>
    <n v="0"/>
    <n v="0"/>
    <n v="0"/>
    <n v="0"/>
    <n v="0"/>
    <n v="0"/>
    <n v="0"/>
    <n v="0"/>
    <n v="0"/>
    <n v="0"/>
    <n v="0"/>
    <n v="0"/>
    <n v="0"/>
    <n v="0"/>
    <n v="12510"/>
    <n v="13260.6"/>
    <s v=" "/>
    <s v=" "/>
    <s v=" "/>
    <s v=" "/>
    <s v=" "/>
    <s v=" "/>
    <s v=" "/>
    <s v=" "/>
    <s v=" "/>
    <s v=" "/>
    <s v=" "/>
    <s v=" "/>
    <s v=" "/>
    <s v=" "/>
    <x v="0"/>
    <x v="0"/>
    <x v="0"/>
    <x v="0"/>
    <x v="0"/>
    <x v="43"/>
    <x v="0"/>
    <x v="0"/>
    <x v="0"/>
    <x v="4"/>
    <x v="1"/>
    <x v="1"/>
    <x v="35"/>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18"/>
    <s v="Concrete Check Wall"/>
    <s v="Concrete Check Wall"/>
    <s v="KS18_015"/>
    <x v="3"/>
    <n v="29.985955556"/>
    <n v="-25.822139167"/>
    <s v="29° 59' 09.44&quot;E "/>
    <s v="25° 49' 19.70&quot; S"/>
    <s v="Complete"/>
    <s v="Yes"/>
    <s v="Yes"/>
    <d v="2017-02-01T00:00:00"/>
    <s v="YES"/>
    <d v="2017-02-01T00:00:00"/>
    <s v="NBC-GTW-CL-0021"/>
    <s v="Yes"/>
    <s v="01"/>
    <d v="2018-12-07T00:00:00"/>
    <s v="Phase 1"/>
    <s v="Year 1"/>
    <m/>
    <n v="0"/>
    <n v="0"/>
    <n v="0"/>
    <n v="0"/>
    <n v="7.7399999999999993"/>
    <m/>
    <m/>
    <m/>
    <m/>
    <m/>
    <m/>
    <n v="7.7399999999999993"/>
    <m/>
    <m/>
    <m/>
    <m/>
    <m/>
    <m/>
    <m/>
    <m/>
    <m/>
    <m/>
    <m/>
    <m/>
    <m/>
    <m/>
    <m/>
    <m/>
    <m/>
    <n v="3.9"/>
    <n v="0"/>
    <n v="0"/>
    <n v="0"/>
    <m/>
    <n v="0"/>
    <n v="0"/>
    <n v="0"/>
    <n v="0"/>
    <n v="0"/>
    <n v="0"/>
    <n v="0"/>
    <n v="0"/>
    <n v="0"/>
    <n v="0"/>
    <n v="0"/>
    <n v="0"/>
    <n v="0"/>
    <n v="0"/>
    <n v="0"/>
    <n v="0"/>
    <n v="0"/>
    <n v="0"/>
    <n v="0"/>
    <n v="0"/>
    <n v="0"/>
    <n v="0"/>
    <n v="0"/>
    <n v="0"/>
    <n v="0"/>
    <n v="0"/>
    <n v="0"/>
    <n v="0"/>
    <n v="0"/>
    <n v="0"/>
    <n v="0"/>
    <n v="0"/>
    <n v="0"/>
    <n v="0"/>
    <n v="0"/>
    <n v="0"/>
    <n v="0"/>
    <n v="0"/>
    <n v="0"/>
    <m/>
    <m/>
    <m/>
    <m/>
    <m/>
    <m/>
    <m/>
    <m/>
    <m/>
    <m/>
    <m/>
    <m/>
    <m/>
    <m/>
    <m/>
    <m/>
    <m/>
    <m/>
    <m/>
    <m/>
    <m/>
    <n v="0"/>
    <n v="0"/>
    <n v="0"/>
    <n v="0"/>
    <n v="0"/>
    <n v="657.9"/>
    <n v="0"/>
    <n v="0"/>
    <n v="0"/>
    <n v="0"/>
    <n v="0"/>
    <n v="15479.999999999998"/>
    <n v="0"/>
    <n v="0"/>
    <n v="0"/>
    <n v="0"/>
    <n v="0"/>
    <n v="117"/>
    <n v="0"/>
    <n v="0"/>
    <n v="0"/>
    <n v="0"/>
    <n v="0"/>
    <n v="0"/>
    <n v="0"/>
    <n v="0"/>
    <n v="0"/>
    <n v="0"/>
    <n v="0"/>
    <n v="0"/>
    <n v="0"/>
    <n v="0"/>
    <n v="0"/>
    <n v="0"/>
    <n v="0"/>
    <n v="0"/>
    <n v="0"/>
    <n v="0"/>
    <n v="0"/>
    <n v="0"/>
    <n v="0"/>
    <n v="0"/>
    <n v="0"/>
    <n v="0"/>
    <n v="0"/>
    <n v="0"/>
    <n v="0"/>
    <n v="0"/>
    <n v="0"/>
    <n v="0"/>
    <n v="0"/>
    <n v="0"/>
    <n v="0"/>
    <n v="0"/>
    <n v="0"/>
    <n v="0"/>
    <n v="0"/>
    <n v="0"/>
    <n v="16254.899999999998"/>
    <n v="17230.194"/>
    <s v=" "/>
    <s v=" "/>
    <s v=" "/>
    <s v=" "/>
    <s v=" "/>
    <s v=" "/>
    <s v=" "/>
    <s v=" "/>
    <s v=" "/>
    <s v=" "/>
    <s v=" "/>
    <s v=" "/>
    <s v=" "/>
    <s v=" "/>
    <x v="0"/>
    <x v="0"/>
    <x v="0"/>
    <x v="0"/>
    <x v="0"/>
    <x v="44"/>
    <x v="0"/>
    <x v="0"/>
    <x v="0"/>
    <x v="4"/>
    <x v="1"/>
    <x v="1"/>
    <x v="36"/>
    <x v="0"/>
    <x v="0"/>
    <x v="0"/>
    <x v="0"/>
    <x v="0"/>
    <x v="0"/>
    <x v="0"/>
    <x v="0"/>
    <x v="0"/>
    <x v="0"/>
    <x v="0"/>
    <x v="0"/>
    <x v="0"/>
    <x v="0"/>
    <x v="0"/>
    <x v="24"/>
    <x v="0"/>
    <x v="0"/>
    <x v="0"/>
    <x v="0"/>
    <x v="0"/>
    <x v="0"/>
    <x v="0"/>
    <x v="0"/>
    <x v="0"/>
    <x v="0"/>
    <x v="0"/>
    <x v="0"/>
    <x v="0"/>
    <x v="0"/>
    <x v="0"/>
    <x v="0"/>
    <x v="0"/>
    <x v="0"/>
    <x v="0"/>
    <x v="0"/>
    <x v="0"/>
    <x v="0"/>
    <x v="0"/>
    <x v="0"/>
    <x v="0"/>
    <x v="0"/>
    <x v="0"/>
    <x v="0"/>
    <x v="0"/>
    <x v="0"/>
    <x v="0"/>
    <x v="0"/>
    <x v="0"/>
    <x v="0"/>
    <x v="0"/>
    <x v="0"/>
    <x v="0"/>
    <x v="0"/>
    <x v="0"/>
    <x v="0"/>
    <x v="0"/>
    <x v="0"/>
    <x v="0"/>
    <x v="0"/>
  </r>
  <r>
    <s v="KS18"/>
    <s v="Concrete Check Wall"/>
    <s v="Concrete Check Wall"/>
    <s v="KS18_016"/>
    <x v="3"/>
    <n v="29.985339444000001"/>
    <n v="-25.821870000000001"/>
    <s v="29° 59' 07.22&quot;E "/>
    <s v="25° 49' 18.73&quot; S"/>
    <s v="Complete"/>
    <s v="Yes"/>
    <s v="Yes"/>
    <d v="2017-02-02T00:00:00"/>
    <s v="YES"/>
    <d v="2017-02-02T00:00:00"/>
    <s v="NBC-GTW-CL-0022"/>
    <s v="Yes"/>
    <s v="01"/>
    <d v="2018-12-07T00:00:00"/>
    <s v="Phase 1"/>
    <s v="Year 1"/>
    <m/>
    <n v="0"/>
    <n v="0"/>
    <n v="0"/>
    <n v="0"/>
    <n v="6.8039999999999994"/>
    <m/>
    <m/>
    <m/>
    <m/>
    <m/>
    <m/>
    <n v="6.8039999999999994"/>
    <m/>
    <m/>
    <m/>
    <m/>
    <m/>
    <m/>
    <m/>
    <m/>
    <m/>
    <m/>
    <m/>
    <m/>
    <m/>
    <m/>
    <m/>
    <m/>
    <m/>
    <n v="3.5999999999999996"/>
    <n v="0"/>
    <n v="0"/>
    <n v="0"/>
    <m/>
    <n v="0"/>
    <n v="0"/>
    <n v="0"/>
    <n v="0"/>
    <n v="0"/>
    <n v="0"/>
    <n v="0"/>
    <n v="0"/>
    <n v="0"/>
    <n v="0"/>
    <n v="0"/>
    <n v="0"/>
    <n v="0"/>
    <n v="0"/>
    <n v="0"/>
    <n v="0"/>
    <n v="0"/>
    <n v="0"/>
    <n v="0"/>
    <n v="0"/>
    <n v="0"/>
    <n v="0"/>
    <n v="0"/>
    <n v="0"/>
    <n v="0"/>
    <n v="0"/>
    <n v="0"/>
    <n v="0"/>
    <n v="0"/>
    <n v="0"/>
    <n v="0"/>
    <n v="0"/>
    <n v="0"/>
    <n v="0"/>
    <n v="0"/>
    <n v="0"/>
    <n v="0"/>
    <n v="0"/>
    <n v="0"/>
    <m/>
    <m/>
    <m/>
    <m/>
    <m/>
    <m/>
    <m/>
    <m/>
    <m/>
    <m/>
    <m/>
    <m/>
    <m/>
    <m/>
    <m/>
    <m/>
    <m/>
    <m/>
    <m/>
    <m/>
    <m/>
    <n v="0"/>
    <n v="0"/>
    <n v="0"/>
    <n v="0"/>
    <n v="0"/>
    <n v="578.33999999999992"/>
    <n v="0"/>
    <n v="0"/>
    <n v="0"/>
    <n v="0"/>
    <n v="0"/>
    <n v="13607.999999999998"/>
    <n v="0"/>
    <n v="0"/>
    <n v="0"/>
    <n v="0"/>
    <n v="0"/>
    <n v="107.99999999999999"/>
    <n v="0"/>
    <n v="0"/>
    <n v="0"/>
    <n v="0"/>
    <n v="0"/>
    <n v="0"/>
    <n v="0"/>
    <n v="0"/>
    <n v="0"/>
    <n v="0"/>
    <n v="0"/>
    <n v="0"/>
    <n v="0"/>
    <n v="0"/>
    <n v="0"/>
    <n v="0"/>
    <n v="0"/>
    <n v="0"/>
    <n v="0"/>
    <n v="0"/>
    <n v="0"/>
    <n v="0"/>
    <n v="0"/>
    <n v="0"/>
    <n v="0"/>
    <n v="0"/>
    <n v="0"/>
    <n v="0"/>
    <n v="0"/>
    <n v="0"/>
    <n v="0"/>
    <n v="0"/>
    <n v="0"/>
    <n v="0"/>
    <n v="0"/>
    <n v="0"/>
    <n v="0"/>
    <n v="0"/>
    <n v="0"/>
    <n v="0"/>
    <n v="14294.339999999998"/>
    <n v="15152.000399999999"/>
    <s v=" "/>
    <s v=" "/>
    <s v=" "/>
    <s v=" "/>
    <s v=" "/>
    <s v=" "/>
    <s v=" "/>
    <s v=" "/>
    <s v=" "/>
    <s v=" "/>
    <s v=" "/>
    <s v=" "/>
    <s v=" "/>
    <s v=" "/>
    <x v="0"/>
    <x v="0"/>
    <x v="0"/>
    <x v="0"/>
    <x v="0"/>
    <x v="45"/>
    <x v="0"/>
    <x v="0"/>
    <x v="0"/>
    <x v="4"/>
    <x v="1"/>
    <x v="1"/>
    <x v="37"/>
    <x v="0"/>
    <x v="0"/>
    <x v="0"/>
    <x v="0"/>
    <x v="0"/>
    <x v="0"/>
    <x v="0"/>
    <x v="0"/>
    <x v="0"/>
    <x v="0"/>
    <x v="0"/>
    <x v="0"/>
    <x v="0"/>
    <x v="0"/>
    <x v="0"/>
    <x v="25"/>
    <x v="0"/>
    <x v="0"/>
    <x v="0"/>
    <x v="0"/>
    <x v="0"/>
    <x v="0"/>
    <x v="0"/>
    <x v="0"/>
    <x v="0"/>
    <x v="0"/>
    <x v="0"/>
    <x v="0"/>
    <x v="0"/>
    <x v="0"/>
    <x v="0"/>
    <x v="0"/>
    <x v="0"/>
    <x v="0"/>
    <x v="0"/>
    <x v="0"/>
    <x v="0"/>
    <x v="0"/>
    <x v="0"/>
    <x v="0"/>
    <x v="0"/>
    <x v="0"/>
    <x v="0"/>
    <x v="0"/>
    <x v="0"/>
    <x v="0"/>
    <x v="0"/>
    <x v="0"/>
    <x v="0"/>
    <x v="0"/>
    <x v="0"/>
    <x v="0"/>
    <x v="0"/>
    <x v="0"/>
    <x v="0"/>
    <x v="0"/>
    <x v="0"/>
    <x v="0"/>
    <x v="0"/>
    <x v="0"/>
  </r>
  <r>
    <s v="KS18"/>
    <s v="Concrete Check Wall"/>
    <s v="Concrete Check Wall"/>
    <s v="KS18_017"/>
    <x v="3"/>
    <n v="29.984988333"/>
    <n v="-25.821386944"/>
    <s v="29° 59' 05.95&quot;E "/>
    <s v="25° 49' 16.99&quot; S"/>
    <s v="Complete"/>
    <s v="Yes"/>
    <s v="Yes"/>
    <d v="2017-02-02T00:00:00"/>
    <s v="YES"/>
    <d v="2017-02-02T00:00:00"/>
    <s v="NBC-GTW-CL-0023"/>
    <s v="Yes"/>
    <s v="01"/>
    <d v="2018-12-07T00:00:00"/>
    <s v="Phase 1"/>
    <s v="Year 1"/>
    <m/>
    <n v="0"/>
    <n v="0"/>
    <n v="0"/>
    <n v="0"/>
    <n v="5.9399999999999995"/>
    <m/>
    <m/>
    <m/>
    <m/>
    <m/>
    <m/>
    <n v="5.9399999999999995"/>
    <m/>
    <m/>
    <m/>
    <m/>
    <m/>
    <m/>
    <m/>
    <m/>
    <m/>
    <m/>
    <m/>
    <m/>
    <m/>
    <m/>
    <m/>
    <m/>
    <m/>
    <n v="3.5999999999999996"/>
    <n v="0"/>
    <n v="0"/>
    <n v="0"/>
    <m/>
    <n v="0"/>
    <n v="0"/>
    <n v="0"/>
    <n v="0"/>
    <n v="0"/>
    <n v="0"/>
    <n v="0"/>
    <n v="0"/>
    <n v="0"/>
    <n v="0"/>
    <n v="0"/>
    <n v="0"/>
    <n v="0"/>
    <n v="0"/>
    <n v="0"/>
    <n v="0"/>
    <n v="0"/>
    <n v="0"/>
    <n v="0"/>
    <n v="0"/>
    <n v="0"/>
    <n v="0"/>
    <n v="0"/>
    <n v="0"/>
    <n v="0"/>
    <n v="0"/>
    <n v="0"/>
    <n v="0"/>
    <n v="0"/>
    <n v="0"/>
    <n v="0"/>
    <n v="0"/>
    <n v="0"/>
    <n v="0"/>
    <n v="0"/>
    <n v="0"/>
    <n v="0"/>
    <n v="0"/>
    <n v="0"/>
    <m/>
    <m/>
    <m/>
    <m/>
    <m/>
    <m/>
    <m/>
    <m/>
    <m/>
    <m/>
    <m/>
    <m/>
    <m/>
    <m/>
    <m/>
    <m/>
    <m/>
    <m/>
    <m/>
    <m/>
    <m/>
    <n v="0"/>
    <n v="0"/>
    <n v="0"/>
    <n v="0"/>
    <n v="0"/>
    <n v="504.9"/>
    <n v="0"/>
    <n v="0"/>
    <n v="0"/>
    <n v="0"/>
    <n v="0"/>
    <n v="11879.999999999998"/>
    <n v="0"/>
    <n v="0"/>
    <n v="0"/>
    <n v="0"/>
    <n v="0"/>
    <n v="107.99999999999999"/>
    <n v="0"/>
    <n v="0"/>
    <n v="0"/>
    <n v="0"/>
    <n v="0"/>
    <n v="0"/>
    <n v="0"/>
    <n v="0"/>
    <n v="0"/>
    <n v="0"/>
    <n v="0"/>
    <n v="0"/>
    <n v="0"/>
    <n v="0"/>
    <n v="0"/>
    <n v="0"/>
    <n v="0"/>
    <n v="0"/>
    <n v="0"/>
    <n v="0"/>
    <n v="0"/>
    <n v="0"/>
    <n v="0"/>
    <n v="0"/>
    <n v="0"/>
    <n v="0"/>
    <n v="0"/>
    <n v="0"/>
    <n v="0"/>
    <n v="0"/>
    <n v="0"/>
    <n v="0"/>
    <n v="0"/>
    <n v="0"/>
    <n v="0"/>
    <n v="0"/>
    <n v="0"/>
    <n v="0"/>
    <n v="0"/>
    <n v="0"/>
    <n v="12492.899999999998"/>
    <n v="13242.473999999998"/>
    <s v=" "/>
    <s v=" "/>
    <s v=" "/>
    <s v=" "/>
    <s v=" "/>
    <s v=" "/>
    <s v=" "/>
    <s v=" "/>
    <s v=" "/>
    <s v=" "/>
    <s v=" "/>
    <s v=" "/>
    <s v=" "/>
    <s v=" "/>
    <x v="0"/>
    <x v="0"/>
    <x v="0"/>
    <x v="0"/>
    <x v="0"/>
    <x v="46"/>
    <x v="0"/>
    <x v="0"/>
    <x v="0"/>
    <x v="4"/>
    <x v="1"/>
    <x v="1"/>
    <x v="38"/>
    <x v="0"/>
    <x v="0"/>
    <x v="0"/>
    <x v="0"/>
    <x v="0"/>
    <x v="0"/>
    <x v="0"/>
    <x v="0"/>
    <x v="0"/>
    <x v="0"/>
    <x v="0"/>
    <x v="0"/>
    <x v="0"/>
    <x v="0"/>
    <x v="0"/>
    <x v="26"/>
    <x v="0"/>
    <x v="0"/>
    <x v="0"/>
    <x v="0"/>
    <x v="0"/>
    <x v="0"/>
    <x v="0"/>
    <x v="0"/>
    <x v="0"/>
    <x v="0"/>
    <x v="0"/>
    <x v="0"/>
    <x v="0"/>
    <x v="0"/>
    <x v="0"/>
    <x v="0"/>
    <x v="0"/>
    <x v="0"/>
    <x v="0"/>
    <x v="0"/>
    <x v="0"/>
    <x v="0"/>
    <x v="0"/>
    <x v="0"/>
    <x v="0"/>
    <x v="0"/>
    <x v="0"/>
    <x v="0"/>
    <x v="0"/>
    <x v="0"/>
    <x v="0"/>
    <x v="0"/>
    <x v="0"/>
    <x v="0"/>
    <x v="0"/>
    <x v="0"/>
    <x v="0"/>
    <x v="0"/>
    <x v="0"/>
    <x v="0"/>
    <x v="0"/>
    <x v="0"/>
    <x v="0"/>
    <x v="0"/>
  </r>
  <r>
    <s v="KS18"/>
    <s v="Concrete Check Wall"/>
    <s v="Concrete Check Wall"/>
    <s v="KS18_018"/>
    <x v="3"/>
    <n v="29.984711666999999"/>
    <n v="-25.821154444000001"/>
    <s v="29° 59' 04.96&quot;E "/>
    <s v="25° 49' 16.15&quot; S"/>
    <s v="Complete"/>
    <s v="Yes"/>
    <s v="Yes"/>
    <d v="2017-02-02T00:00:00"/>
    <s v="YES"/>
    <d v="2017-02-02T00:00:00"/>
    <s v="NBC-GTW-CL-0024"/>
    <s v="Yes"/>
    <s v="01"/>
    <d v="2018-12-07T00:00:00"/>
    <s v="Phase 1"/>
    <s v="Year 1"/>
    <m/>
    <n v="0"/>
    <n v="0"/>
    <n v="0"/>
    <n v="0"/>
    <n v="4.9979999999999993"/>
    <m/>
    <m/>
    <m/>
    <m/>
    <m/>
    <m/>
    <n v="4.9979999999999993"/>
    <m/>
    <m/>
    <m/>
    <m/>
    <m/>
    <m/>
    <m/>
    <m/>
    <m/>
    <m/>
    <m/>
    <m/>
    <m/>
    <m/>
    <m/>
    <m/>
    <m/>
    <n v="3.4499999999999997"/>
    <n v="0"/>
    <n v="0"/>
    <n v="0"/>
    <m/>
    <n v="0"/>
    <n v="0"/>
    <n v="0"/>
    <n v="0"/>
    <n v="0"/>
    <n v="0"/>
    <n v="0"/>
    <n v="0"/>
    <n v="0"/>
    <n v="0"/>
    <n v="0"/>
    <n v="0"/>
    <n v="0"/>
    <n v="0"/>
    <n v="0"/>
    <n v="0"/>
    <n v="0"/>
    <n v="0"/>
    <n v="0"/>
    <n v="0"/>
    <n v="0"/>
    <n v="0"/>
    <n v="0"/>
    <n v="0"/>
    <n v="0"/>
    <n v="0"/>
    <n v="0"/>
    <n v="0"/>
    <n v="0"/>
    <n v="0"/>
    <n v="0"/>
    <n v="0"/>
    <n v="0"/>
    <n v="0"/>
    <n v="0"/>
    <n v="0"/>
    <n v="0"/>
    <n v="0"/>
    <n v="0"/>
    <m/>
    <m/>
    <m/>
    <m/>
    <m/>
    <m/>
    <m/>
    <m/>
    <m/>
    <m/>
    <m/>
    <m/>
    <m/>
    <m/>
    <m/>
    <m/>
    <m/>
    <m/>
    <m/>
    <m/>
    <m/>
    <n v="0"/>
    <n v="0"/>
    <n v="0"/>
    <n v="0"/>
    <n v="0"/>
    <n v="424.82999999999993"/>
    <n v="0"/>
    <n v="0"/>
    <n v="0"/>
    <n v="0"/>
    <n v="0"/>
    <n v="9995.9999999999982"/>
    <n v="0"/>
    <n v="0"/>
    <n v="0"/>
    <n v="0"/>
    <n v="0"/>
    <n v="103.49999999999999"/>
    <n v="0"/>
    <n v="0"/>
    <n v="0"/>
    <n v="0"/>
    <n v="0"/>
    <n v="0"/>
    <n v="0"/>
    <n v="0"/>
    <n v="0"/>
    <n v="0"/>
    <n v="0"/>
    <n v="0"/>
    <n v="0"/>
    <n v="0"/>
    <n v="0"/>
    <n v="0"/>
    <n v="0"/>
    <n v="0"/>
    <n v="0"/>
    <n v="0"/>
    <n v="0"/>
    <n v="0"/>
    <n v="0"/>
    <n v="0"/>
    <n v="0"/>
    <n v="0"/>
    <n v="0"/>
    <n v="0"/>
    <n v="0"/>
    <n v="0"/>
    <n v="0"/>
    <n v="0"/>
    <n v="0"/>
    <n v="0"/>
    <n v="0"/>
    <n v="0"/>
    <n v="0"/>
    <n v="0"/>
    <n v="0"/>
    <n v="0"/>
    <n v="10524.329999999998"/>
    <n v="11155.789799999999"/>
    <s v=" "/>
    <s v=" "/>
    <s v=" "/>
    <s v=" "/>
    <s v=" "/>
    <s v=" "/>
    <s v=" "/>
    <s v=" "/>
    <s v=" "/>
    <s v=" "/>
    <s v=" "/>
    <s v=" "/>
    <s v=" "/>
    <s v=" "/>
    <x v="0"/>
    <x v="0"/>
    <x v="0"/>
    <x v="0"/>
    <x v="0"/>
    <x v="47"/>
    <x v="0"/>
    <x v="0"/>
    <x v="0"/>
    <x v="4"/>
    <x v="1"/>
    <x v="1"/>
    <x v="39"/>
    <x v="0"/>
    <x v="0"/>
    <x v="0"/>
    <x v="0"/>
    <x v="0"/>
    <x v="0"/>
    <x v="0"/>
    <x v="0"/>
    <x v="0"/>
    <x v="0"/>
    <x v="0"/>
    <x v="0"/>
    <x v="0"/>
    <x v="0"/>
    <x v="0"/>
    <x v="27"/>
    <x v="0"/>
    <x v="0"/>
    <x v="0"/>
    <x v="0"/>
    <x v="0"/>
    <x v="0"/>
    <x v="0"/>
    <x v="0"/>
    <x v="0"/>
    <x v="0"/>
    <x v="0"/>
    <x v="0"/>
    <x v="0"/>
    <x v="0"/>
    <x v="0"/>
    <x v="0"/>
    <x v="0"/>
    <x v="0"/>
    <x v="0"/>
    <x v="0"/>
    <x v="0"/>
    <x v="0"/>
    <x v="0"/>
    <x v="0"/>
    <x v="0"/>
    <x v="0"/>
    <x v="0"/>
    <x v="0"/>
    <x v="0"/>
    <x v="0"/>
    <x v="0"/>
    <x v="0"/>
    <x v="0"/>
    <x v="0"/>
    <x v="0"/>
    <x v="0"/>
    <x v="0"/>
    <x v="0"/>
    <x v="0"/>
    <x v="0"/>
    <x v="0"/>
    <x v="0"/>
    <x v="0"/>
    <x v="0"/>
  </r>
  <r>
    <s v="KS18"/>
    <s v="Concrete Check Wall"/>
    <s v="Concrete Check Wall"/>
    <s v="KS18_019"/>
    <x v="3"/>
    <n v="29.984324167"/>
    <n v="-25.820989999999998"/>
    <s v="29° 59' 03.56&quot;E "/>
    <s v="25° 49' 15.56&quot; S"/>
    <s v="Complete"/>
    <s v="Yes"/>
    <s v="Yes"/>
    <d v="2017-02-06T00:00:00"/>
    <s v="YES"/>
    <d v="2017-02-06T00:00:00"/>
    <s v="NBC-GTW-CL-0025"/>
    <s v="Yes"/>
    <s v="01"/>
    <d v="2018-12-07T00:00:00"/>
    <s v="Phase 1"/>
    <s v="Year 1"/>
    <m/>
    <n v="0"/>
    <n v="0"/>
    <n v="0"/>
    <n v="0"/>
    <n v="6.6239999999999997"/>
    <m/>
    <m/>
    <m/>
    <m/>
    <m/>
    <m/>
    <n v="6.6239999999999997"/>
    <m/>
    <m/>
    <m/>
    <m/>
    <m/>
    <m/>
    <m/>
    <m/>
    <m/>
    <m/>
    <m/>
    <m/>
    <m/>
    <m/>
    <m/>
    <m/>
    <m/>
    <n v="3.5999999999999996"/>
    <n v="0"/>
    <n v="0"/>
    <n v="0"/>
    <m/>
    <n v="0"/>
    <n v="0"/>
    <n v="0"/>
    <n v="0"/>
    <n v="0"/>
    <n v="0"/>
    <n v="0"/>
    <n v="0"/>
    <n v="0"/>
    <n v="0"/>
    <n v="0"/>
    <n v="0"/>
    <n v="0"/>
    <n v="0"/>
    <n v="0"/>
    <n v="0"/>
    <n v="0"/>
    <n v="0"/>
    <n v="0"/>
    <n v="0"/>
    <n v="0"/>
    <n v="0"/>
    <n v="0"/>
    <n v="0"/>
    <n v="0"/>
    <n v="0"/>
    <n v="0"/>
    <n v="0"/>
    <n v="0"/>
    <n v="0"/>
    <n v="0"/>
    <n v="0"/>
    <n v="0"/>
    <n v="0"/>
    <n v="0"/>
    <n v="0"/>
    <n v="0"/>
    <n v="0"/>
    <n v="0"/>
    <m/>
    <m/>
    <m/>
    <m/>
    <m/>
    <m/>
    <m/>
    <m/>
    <m/>
    <m/>
    <m/>
    <m/>
    <m/>
    <m/>
    <m/>
    <m/>
    <m/>
    <m/>
    <m/>
    <m/>
    <m/>
    <n v="0"/>
    <n v="0"/>
    <n v="0"/>
    <n v="0"/>
    <n v="0"/>
    <n v="563.04"/>
    <n v="0"/>
    <n v="0"/>
    <n v="0"/>
    <n v="0"/>
    <n v="0"/>
    <n v="13248"/>
    <n v="0"/>
    <n v="0"/>
    <n v="0"/>
    <n v="0"/>
    <n v="0"/>
    <n v="107.99999999999999"/>
    <n v="0"/>
    <n v="0"/>
    <n v="0"/>
    <n v="0"/>
    <n v="0"/>
    <n v="0"/>
    <n v="0"/>
    <n v="0"/>
    <n v="0"/>
    <n v="0"/>
    <n v="0"/>
    <n v="0"/>
    <n v="0"/>
    <n v="0"/>
    <n v="0"/>
    <n v="0"/>
    <n v="0"/>
    <n v="0"/>
    <n v="0"/>
    <n v="0"/>
    <n v="0"/>
    <n v="0"/>
    <n v="0"/>
    <n v="0"/>
    <n v="0"/>
    <n v="0"/>
    <n v="0"/>
    <n v="0"/>
    <n v="0"/>
    <n v="0"/>
    <n v="0"/>
    <n v="0"/>
    <n v="0"/>
    <n v="0"/>
    <n v="0"/>
    <n v="0"/>
    <n v="0"/>
    <n v="0"/>
    <n v="0"/>
    <n v="0"/>
    <n v="13919.04"/>
    <n v="14754.182400000002"/>
    <s v=" "/>
    <s v=" "/>
    <s v=" "/>
    <s v=" "/>
    <s v=" "/>
    <s v=" "/>
    <s v=" "/>
    <s v=" "/>
    <s v=" "/>
    <s v=" "/>
    <s v=" "/>
    <s v=" "/>
    <s v=" "/>
    <s v=" "/>
    <x v="0"/>
    <x v="0"/>
    <x v="0"/>
    <x v="0"/>
    <x v="0"/>
    <x v="48"/>
    <x v="0"/>
    <x v="0"/>
    <x v="0"/>
    <x v="4"/>
    <x v="1"/>
    <x v="1"/>
    <x v="40"/>
    <x v="0"/>
    <x v="0"/>
    <x v="0"/>
    <x v="0"/>
    <x v="0"/>
    <x v="0"/>
    <x v="0"/>
    <x v="0"/>
    <x v="0"/>
    <x v="0"/>
    <x v="0"/>
    <x v="0"/>
    <x v="0"/>
    <x v="0"/>
    <x v="0"/>
    <x v="28"/>
    <x v="0"/>
    <x v="0"/>
    <x v="0"/>
    <x v="0"/>
    <x v="0"/>
    <x v="0"/>
    <x v="0"/>
    <x v="0"/>
    <x v="0"/>
    <x v="0"/>
    <x v="0"/>
    <x v="0"/>
    <x v="0"/>
    <x v="0"/>
    <x v="0"/>
    <x v="0"/>
    <x v="0"/>
    <x v="0"/>
    <x v="0"/>
    <x v="0"/>
    <x v="0"/>
    <x v="0"/>
    <x v="0"/>
    <x v="0"/>
    <x v="0"/>
    <x v="0"/>
    <x v="0"/>
    <x v="0"/>
    <x v="0"/>
    <x v="0"/>
    <x v="0"/>
    <x v="0"/>
    <x v="0"/>
    <x v="0"/>
    <x v="0"/>
    <x v="0"/>
    <x v="0"/>
    <x v="0"/>
    <x v="0"/>
    <x v="0"/>
    <x v="0"/>
    <x v="0"/>
    <x v="0"/>
    <x v="0"/>
  </r>
  <r>
    <s v="KS18"/>
    <s v="Concrete Check Wall"/>
    <s v="Concrete Check Wall"/>
    <s v="KS18_020"/>
    <x v="3"/>
    <n v="29.983982222000002"/>
    <n v="-25.820874721999999"/>
    <s v="29° 59' 02.33&quot;E "/>
    <s v="25° 49' 15.14&quot; S"/>
    <s v="Complete"/>
    <n v="0"/>
    <s v="Yes"/>
    <d v="2017-02-06T00:00:00"/>
    <s v="DONE"/>
    <d v="2017-02-06T00:00:00"/>
    <s v="NBC-GTH-CL-0002"/>
    <s v="Yes"/>
    <s v="01"/>
    <d v="2018-12-07T00:00:00"/>
    <s v="Phase 1"/>
    <s v="Year 1"/>
    <m/>
    <n v="0"/>
    <n v="0"/>
    <n v="0"/>
    <n v="0"/>
    <n v="6.7574999999999994"/>
    <m/>
    <m/>
    <m/>
    <m/>
    <m/>
    <m/>
    <n v="6.7574999999999994"/>
    <m/>
    <m/>
    <m/>
    <m/>
    <m/>
    <m/>
    <m/>
    <m/>
    <m/>
    <m/>
    <m/>
    <m/>
    <m/>
    <m/>
    <m/>
    <m/>
    <m/>
    <n v="3.75"/>
    <n v="0"/>
    <n v="0"/>
    <n v="0"/>
    <m/>
    <n v="0"/>
    <n v="0"/>
    <n v="0"/>
    <n v="0"/>
    <n v="0"/>
    <n v="0"/>
    <n v="0"/>
    <n v="0"/>
    <n v="0"/>
    <n v="0"/>
    <n v="0"/>
    <n v="0"/>
    <n v="0"/>
    <n v="0"/>
    <n v="0"/>
    <n v="0"/>
    <n v="0"/>
    <n v="0"/>
    <n v="0"/>
    <n v="0"/>
    <n v="0"/>
    <n v="0"/>
    <n v="0"/>
    <n v="0"/>
    <n v="0"/>
    <n v="0"/>
    <n v="0"/>
    <n v="0"/>
    <n v="0"/>
    <n v="0"/>
    <n v="0"/>
    <n v="0"/>
    <n v="0"/>
    <n v="0"/>
    <n v="0"/>
    <n v="0"/>
    <n v="0"/>
    <n v="0"/>
    <n v="0"/>
    <m/>
    <m/>
    <m/>
    <m/>
    <m/>
    <m/>
    <m/>
    <m/>
    <m/>
    <m/>
    <m/>
    <m/>
    <m/>
    <m/>
    <m/>
    <m/>
    <m/>
    <m/>
    <m/>
    <m/>
    <m/>
    <n v="0"/>
    <n v="0"/>
    <n v="0"/>
    <n v="0"/>
    <n v="0"/>
    <n v="574.38749999999993"/>
    <n v="0"/>
    <n v="0"/>
    <n v="0"/>
    <n v="0"/>
    <n v="0"/>
    <n v="13514.999999999998"/>
    <n v="0"/>
    <n v="0"/>
    <n v="0"/>
    <n v="0"/>
    <n v="0"/>
    <n v="112.5"/>
    <n v="0"/>
    <n v="0"/>
    <n v="0"/>
    <n v="0"/>
    <n v="0"/>
    <n v="0"/>
    <n v="0"/>
    <n v="0"/>
    <n v="0"/>
    <n v="0"/>
    <n v="0"/>
    <n v="0"/>
    <n v="0"/>
    <n v="0"/>
    <n v="0"/>
    <n v="0"/>
    <n v="0"/>
    <n v="0"/>
    <n v="0"/>
    <n v="0"/>
    <n v="0"/>
    <n v="0"/>
    <n v="0"/>
    <n v="0"/>
    <n v="0"/>
    <n v="0"/>
    <n v="0"/>
    <n v="0"/>
    <n v="0"/>
    <n v="0"/>
    <n v="0"/>
    <n v="0"/>
    <n v="0"/>
    <n v="0"/>
    <n v="0"/>
    <n v="0"/>
    <n v="0"/>
    <n v="0"/>
    <n v="0"/>
    <n v="0"/>
    <n v="14201.887499999999"/>
    <n v="15054.000749999999"/>
    <s v=" "/>
    <s v=" "/>
    <s v=" "/>
    <s v=" "/>
    <s v=" "/>
    <s v=" "/>
    <s v=" "/>
    <s v=" "/>
    <s v=" "/>
    <s v=" "/>
    <s v=" "/>
    <s v=" "/>
    <s v=" "/>
    <s v=" "/>
    <x v="0"/>
    <x v="0"/>
    <x v="0"/>
    <x v="0"/>
    <x v="0"/>
    <x v="49"/>
    <x v="0"/>
    <x v="0"/>
    <x v="0"/>
    <x v="4"/>
    <x v="1"/>
    <x v="1"/>
    <x v="41"/>
    <x v="0"/>
    <x v="0"/>
    <x v="0"/>
    <x v="0"/>
    <x v="0"/>
    <x v="0"/>
    <x v="0"/>
    <x v="0"/>
    <x v="0"/>
    <x v="0"/>
    <x v="0"/>
    <x v="0"/>
    <x v="0"/>
    <x v="0"/>
    <x v="0"/>
    <x v="29"/>
    <x v="0"/>
    <x v="0"/>
    <x v="0"/>
    <x v="0"/>
    <x v="0"/>
    <x v="0"/>
    <x v="0"/>
    <x v="0"/>
    <x v="0"/>
    <x v="0"/>
    <x v="0"/>
    <x v="0"/>
    <x v="0"/>
    <x v="0"/>
    <x v="0"/>
    <x v="0"/>
    <x v="0"/>
    <x v="0"/>
    <x v="0"/>
    <x v="0"/>
    <x v="0"/>
    <x v="0"/>
    <x v="0"/>
    <x v="0"/>
    <x v="0"/>
    <x v="0"/>
    <x v="0"/>
    <x v="0"/>
    <x v="0"/>
    <x v="0"/>
    <x v="0"/>
    <x v="0"/>
    <x v="0"/>
    <x v="0"/>
    <x v="0"/>
    <x v="0"/>
    <x v="0"/>
    <x v="0"/>
    <x v="0"/>
    <x v="0"/>
    <x v="0"/>
    <x v="0"/>
    <x v="0"/>
    <x v="0"/>
  </r>
  <r>
    <s v="KS18"/>
    <s v="Concrete Check Wall"/>
    <s v="Concrete Check Wall"/>
    <s v="KS18_014"/>
    <x v="6"/>
    <n v="29.986772221999999"/>
    <n v="-25.822881943999999"/>
    <s v="29° 59' 12.37&quot;E "/>
    <s v="25° 49' 22.37&quot; S"/>
    <s v="Complete"/>
    <s v="Yes"/>
    <s v="Yes"/>
    <s v="Yes"/>
    <s v="YES"/>
    <s v="NO"/>
    <s v="NBC-GTW-CL-0001"/>
    <s v="Yes"/>
    <s v="01"/>
    <d v="2018-12-07T00:00:00"/>
    <s v="Phase 1"/>
    <s v="Year 1"/>
    <m/>
    <m/>
    <m/>
    <m/>
    <m/>
    <n v="6.6599999999999993"/>
    <m/>
    <m/>
    <m/>
    <m/>
    <m/>
    <m/>
    <n v="6.6599999999999993"/>
    <m/>
    <m/>
    <m/>
    <m/>
    <m/>
    <m/>
    <m/>
    <m/>
    <m/>
    <m/>
    <m/>
    <m/>
    <m/>
    <m/>
    <m/>
    <m/>
    <m/>
    <n v="3.5999999999999996"/>
    <m/>
    <m/>
    <m/>
    <m/>
    <m/>
    <m/>
    <m/>
    <m/>
    <m/>
    <m/>
    <m/>
    <m/>
    <m/>
    <m/>
    <m/>
    <m/>
    <m/>
    <m/>
    <m/>
    <m/>
    <m/>
    <m/>
    <m/>
    <m/>
    <m/>
    <m/>
    <m/>
    <m/>
    <m/>
    <m/>
    <m/>
    <m/>
    <m/>
    <n v="0"/>
    <n v="0"/>
    <n v="0"/>
    <n v="0"/>
    <n v="0"/>
    <n v="0"/>
    <n v="0"/>
    <n v="0"/>
    <n v="0"/>
    <n v="0"/>
    <n v="0"/>
    <m/>
    <m/>
    <m/>
    <m/>
    <m/>
    <m/>
    <m/>
    <m/>
    <m/>
    <m/>
    <m/>
    <m/>
    <m/>
    <m/>
    <m/>
    <m/>
    <m/>
    <m/>
    <m/>
    <m/>
    <n v="0"/>
    <n v="0"/>
    <n v="0"/>
    <n v="0"/>
    <n v="0"/>
    <n v="566.09999999999991"/>
    <n v="0"/>
    <n v="0"/>
    <n v="0"/>
    <n v="0"/>
    <n v="0"/>
    <n v="13319.999999999998"/>
    <n v="0"/>
    <n v="0"/>
    <n v="0"/>
    <n v="0"/>
    <n v="0"/>
    <n v="107.99999999999999"/>
    <n v="0"/>
    <n v="0"/>
    <n v="0"/>
    <n v="0"/>
    <n v="0"/>
    <n v="0"/>
    <n v="0"/>
    <n v="0"/>
    <n v="0"/>
    <n v="0"/>
    <n v="0"/>
    <n v="0"/>
    <n v="0"/>
    <n v="0"/>
    <n v="0"/>
    <n v="0"/>
    <n v="0"/>
    <n v="0"/>
    <n v="0"/>
    <n v="0"/>
    <n v="0"/>
    <n v="0"/>
    <n v="0"/>
    <n v="0"/>
    <n v="0"/>
    <n v="0"/>
    <n v="0"/>
    <n v="0"/>
    <n v="0"/>
    <n v="0"/>
    <n v="0"/>
    <n v="0"/>
    <n v="0"/>
    <n v="0"/>
    <n v="0"/>
    <n v="0"/>
    <n v="0"/>
    <n v="0"/>
    <n v="0"/>
    <n v="0"/>
    <n v="13994.099999999999"/>
    <n v="14833.745999999999"/>
    <s v=" "/>
    <s v=" "/>
    <s v=" "/>
    <s v=" "/>
    <s v=" "/>
    <s v=" "/>
    <s v=" "/>
    <s v=" "/>
    <s v=" "/>
    <s v=" "/>
    <s v=" "/>
    <s v=" "/>
    <s v=" "/>
    <s v=" "/>
    <x v="0"/>
    <x v="0"/>
    <x v="0"/>
    <x v="0"/>
    <x v="0"/>
    <x v="50"/>
    <x v="0"/>
    <x v="0"/>
    <x v="0"/>
    <x v="4"/>
    <x v="1"/>
    <x v="1"/>
    <x v="42"/>
    <x v="0"/>
    <x v="0"/>
    <x v="0"/>
    <x v="0"/>
    <x v="0"/>
    <x v="0"/>
    <x v="0"/>
    <x v="0"/>
    <x v="0"/>
    <x v="0"/>
    <x v="0"/>
    <x v="0"/>
    <x v="0"/>
    <x v="0"/>
    <x v="0"/>
    <x v="30"/>
    <x v="0"/>
    <x v="0"/>
    <x v="0"/>
    <x v="0"/>
    <x v="0"/>
    <x v="0"/>
    <x v="0"/>
    <x v="0"/>
    <x v="0"/>
    <x v="0"/>
    <x v="0"/>
    <x v="0"/>
    <x v="0"/>
    <x v="0"/>
    <x v="0"/>
    <x v="0"/>
    <x v="0"/>
    <x v="0"/>
    <x v="0"/>
    <x v="0"/>
    <x v="0"/>
    <x v="0"/>
    <x v="0"/>
    <x v="0"/>
    <x v="0"/>
    <x v="0"/>
    <x v="0"/>
    <x v="0"/>
    <x v="0"/>
    <x v="0"/>
    <x v="0"/>
    <x v="0"/>
    <x v="0"/>
    <x v="0"/>
    <x v="0"/>
    <x v="0"/>
    <x v="0"/>
    <x v="0"/>
    <x v="0"/>
    <x v="0"/>
    <x v="0"/>
    <x v="0"/>
    <x v="0"/>
    <x v="0"/>
  </r>
  <r>
    <s v="KS18"/>
    <s v="Backfill Main Channel"/>
    <s v="Backfill Channel "/>
    <s v="KS18-021"/>
    <x v="6"/>
    <n v="29.98665025"/>
    <n v="-25.822639479999999"/>
    <s v="29° 59' 11.94&quot;E "/>
    <s v="25° 49' 21.50&quot; S"/>
    <s v="Complete"/>
    <s v="Yes"/>
    <s v="Yes"/>
    <d v="2017-04-10T00:00:00"/>
    <s v="NA"/>
    <s v="NA"/>
    <s v="No Drawing"/>
    <s v="Yes"/>
    <s v="00"/>
    <d v="2018-06-16T00:00:00"/>
    <s v="Phase 1"/>
    <s v="Year 1"/>
    <n v="3294.95"/>
    <m/>
    <m/>
    <m/>
    <m/>
    <n v="1098"/>
    <m/>
    <m/>
    <n v="3294.95"/>
    <n v="3294.95"/>
    <m/>
    <m/>
    <m/>
    <m/>
    <m/>
    <m/>
    <m/>
    <m/>
    <m/>
    <m/>
    <m/>
    <m/>
    <m/>
    <m/>
    <m/>
    <n v="0"/>
    <n v="0"/>
    <n v="0"/>
    <n v="0"/>
    <n v="0"/>
    <n v="0"/>
    <n v="0"/>
    <n v="0"/>
    <n v="0"/>
    <n v="1879.7535"/>
    <n v="0"/>
    <n v="0"/>
    <n v="0"/>
    <n v="0"/>
    <n v="0"/>
    <n v="0"/>
    <n v="0"/>
    <n v="0"/>
    <n v="0"/>
    <n v="0"/>
    <n v="0"/>
    <n v="0"/>
    <n v="0"/>
    <n v="0"/>
    <n v="0"/>
    <n v="0"/>
    <n v="0"/>
    <n v="0"/>
    <n v="0"/>
    <n v="0"/>
    <n v="0"/>
    <n v="0"/>
    <n v="0"/>
    <n v="0"/>
    <n v="0"/>
    <n v="0"/>
    <n v="0"/>
    <n v="0"/>
    <n v="0"/>
    <n v="0"/>
    <n v="0"/>
    <n v="0"/>
    <n v="0"/>
    <n v="0"/>
    <n v="0"/>
    <n v="0"/>
    <n v="0"/>
    <n v="0"/>
    <n v="0"/>
    <n v="0"/>
    <m/>
    <m/>
    <m/>
    <m/>
    <m/>
    <m/>
    <m/>
    <m/>
    <m/>
    <m/>
    <m/>
    <m/>
    <m/>
    <m/>
    <m/>
    <m/>
    <m/>
    <m/>
    <m/>
    <m/>
    <n v="16474.75"/>
    <n v="0"/>
    <n v="0"/>
    <n v="0"/>
    <n v="0"/>
    <n v="93330"/>
    <n v="0"/>
    <n v="0"/>
    <n v="16474.75"/>
    <n v="32949.5"/>
    <n v="0"/>
    <n v="0"/>
    <n v="0"/>
    <n v="0"/>
    <n v="0"/>
    <n v="0"/>
    <n v="0"/>
    <n v="0"/>
    <n v="0"/>
    <n v="0"/>
    <n v="225570.42"/>
    <n v="0"/>
    <n v="0"/>
    <n v="0"/>
    <n v="0"/>
    <n v="0"/>
    <n v="0"/>
    <n v="0"/>
    <n v="0"/>
    <n v="0"/>
    <n v="0"/>
    <n v="0"/>
    <n v="0"/>
    <n v="0"/>
    <n v="0"/>
    <n v="0"/>
    <n v="0"/>
    <n v="0"/>
    <n v="0"/>
    <n v="0"/>
    <n v="0"/>
    <n v="0"/>
    <n v="0"/>
    <n v="0"/>
    <n v="0"/>
    <n v="0"/>
    <n v="0"/>
    <n v="0"/>
    <n v="0"/>
    <n v="0"/>
    <n v="0"/>
    <n v="0"/>
    <n v="0"/>
    <n v="0"/>
    <n v="0"/>
    <n v="0"/>
    <n v="0"/>
    <n v="0"/>
    <n v="384799.42000000004"/>
    <n v="407887.38520000008"/>
    <s v=" "/>
    <s v=" "/>
    <s v=" "/>
    <s v=" "/>
    <s v=" "/>
    <s v=" "/>
    <s v=" "/>
    <s v=" "/>
    <s v=" "/>
    <s v=" "/>
    <s v=" "/>
    <s v=" "/>
    <s v=" "/>
    <s v=" "/>
    <x v="29"/>
    <x v="0"/>
    <x v="0"/>
    <x v="0"/>
    <x v="0"/>
    <x v="51"/>
    <x v="0"/>
    <x v="0"/>
    <x v="30"/>
    <x v="31"/>
    <x v="1"/>
    <x v="1"/>
    <x v="0"/>
    <x v="0"/>
    <x v="0"/>
    <x v="0"/>
    <x v="0"/>
    <x v="0"/>
    <x v="0"/>
    <x v="0"/>
    <x v="0"/>
    <x v="0"/>
    <x v="0"/>
    <x v="0"/>
    <x v="0"/>
    <x v="0"/>
    <x v="0"/>
    <x v="0"/>
    <x v="0"/>
    <x v="0"/>
    <x v="0"/>
    <x v="0"/>
    <x v="19"/>
    <x v="0"/>
    <x v="0"/>
    <x v="0"/>
    <x v="0"/>
    <x v="0"/>
    <x v="0"/>
    <x v="0"/>
    <x v="0"/>
    <x v="0"/>
    <x v="0"/>
    <x v="0"/>
    <x v="0"/>
    <x v="0"/>
    <x v="0"/>
    <x v="0"/>
    <x v="0"/>
    <x v="0"/>
    <x v="0"/>
    <x v="0"/>
    <x v="0"/>
    <x v="0"/>
    <x v="0"/>
    <x v="0"/>
    <x v="0"/>
    <x v="0"/>
    <x v="0"/>
    <x v="0"/>
    <x v="0"/>
    <x v="0"/>
    <x v="0"/>
    <x v="0"/>
    <x v="0"/>
    <x v="0"/>
    <x v="0"/>
    <x v="0"/>
    <x v="0"/>
    <x v="0"/>
    <x v="0"/>
    <x v="0"/>
    <x v="0"/>
  </r>
  <r>
    <s v="KS19"/>
    <s v="Ecologs"/>
    <s v="Deactivate Drains with Ecologs"/>
    <s v="KS19_001"/>
    <x v="0"/>
    <n v="29.991269721999998"/>
    <n v="-25.821991110999999"/>
    <s v="29° 59' 28.57&quot;E "/>
    <s v="25° 49' 19.16&quot; S"/>
    <s v="Complete"/>
    <s v="Yes"/>
    <s v="Yes"/>
    <d v="2017-04-28T00:00:00"/>
    <s v="YES "/>
    <m/>
    <s v="NBC-GTW-CL-0053"/>
    <s v="Yes"/>
    <s v="00"/>
    <d v="2018-06-16T00:00:00"/>
    <s v="Phase 2"/>
    <s v="Year 1"/>
    <m/>
    <m/>
    <m/>
    <m/>
    <m/>
    <n v="5"/>
    <m/>
    <m/>
    <m/>
    <m/>
    <m/>
    <m/>
    <m/>
    <m/>
    <m/>
    <m/>
    <m/>
    <m/>
    <m/>
    <m/>
    <m/>
    <m/>
    <m/>
    <m/>
    <m/>
    <m/>
    <m/>
    <m/>
    <m/>
    <m/>
    <m/>
    <m/>
    <m/>
    <m/>
    <n v="0"/>
    <m/>
    <m/>
    <m/>
    <m/>
    <m/>
    <m/>
    <m/>
    <m/>
    <m/>
    <m/>
    <m/>
    <m/>
    <m/>
    <m/>
    <m/>
    <m/>
    <m/>
    <m/>
    <m/>
    <m/>
    <m/>
    <m/>
    <m/>
    <m/>
    <m/>
    <m/>
    <m/>
    <n v="20"/>
    <m/>
    <m/>
    <m/>
    <m/>
    <m/>
    <m/>
    <m/>
    <m/>
    <m/>
    <m/>
    <m/>
    <m/>
    <m/>
    <m/>
    <n v="0"/>
    <n v="0"/>
    <n v="0"/>
    <n v="0"/>
    <n v="0"/>
    <n v="0"/>
    <n v="0"/>
    <n v="0"/>
    <n v="0"/>
    <m/>
    <m/>
    <m/>
    <m/>
    <m/>
    <m/>
    <m/>
    <m/>
    <m/>
    <n v="0"/>
    <n v="0"/>
    <n v="0"/>
    <n v="0"/>
    <n v="0"/>
    <n v="425"/>
    <n v="0"/>
    <n v="0"/>
    <n v="0"/>
    <n v="0"/>
    <n v="0"/>
    <n v="0"/>
    <n v="0"/>
    <n v="0"/>
    <n v="0"/>
    <n v="0"/>
    <n v="0"/>
    <n v="0"/>
    <n v="0"/>
    <n v="0"/>
    <n v="0"/>
    <n v="0"/>
    <n v="0"/>
    <n v="0"/>
    <n v="0"/>
    <n v="0"/>
    <n v="18000"/>
    <n v="0"/>
    <n v="0"/>
    <n v="0"/>
    <n v="0"/>
    <n v="0"/>
    <n v="0"/>
    <n v="0"/>
    <n v="0"/>
    <n v="0"/>
    <n v="0"/>
    <n v="0"/>
    <n v="0"/>
    <n v="0"/>
    <n v="0"/>
    <n v="0"/>
    <n v="0"/>
    <n v="0"/>
    <n v="0"/>
    <n v="0"/>
    <n v="0"/>
    <n v="0"/>
    <n v="0"/>
    <n v="0"/>
    <n v="0"/>
    <n v="0"/>
    <n v="0"/>
    <n v="0"/>
    <n v="0"/>
    <n v="0"/>
    <n v="0"/>
    <n v="0"/>
    <n v="18425"/>
    <n v="19530.5"/>
    <s v=" "/>
    <s v=" "/>
    <s v=" "/>
    <s v=" "/>
    <s v=" "/>
    <s v=" "/>
    <s v=" "/>
    <s v=" "/>
    <s v=" "/>
    <s v=" "/>
    <s v=" "/>
    <s v=" "/>
    <s v=" "/>
    <s v=" "/>
    <x v="0"/>
    <x v="0"/>
    <x v="0"/>
    <x v="0"/>
    <x v="0"/>
    <x v="52"/>
    <x v="0"/>
    <x v="0"/>
    <x v="0"/>
    <x v="4"/>
    <x v="1"/>
    <x v="1"/>
    <x v="0"/>
    <x v="0"/>
    <x v="0"/>
    <x v="0"/>
    <x v="0"/>
    <x v="0"/>
    <x v="0"/>
    <x v="0"/>
    <x v="0"/>
    <x v="0"/>
    <x v="0"/>
    <x v="0"/>
    <x v="0"/>
    <x v="0"/>
    <x v="0"/>
    <x v="0"/>
    <x v="0"/>
    <x v="0"/>
    <x v="0"/>
    <x v="0"/>
    <x v="0"/>
    <x v="0"/>
    <x v="0"/>
    <x v="0"/>
    <x v="0"/>
    <x v="0"/>
    <x v="0"/>
    <x v="0"/>
    <x v="0"/>
    <x v="0"/>
    <x v="0"/>
    <x v="0"/>
    <x v="0"/>
    <x v="0"/>
    <x v="0"/>
    <x v="0"/>
    <x v="0"/>
    <x v="0"/>
    <x v="0"/>
    <x v="0"/>
    <x v="0"/>
    <x v="0"/>
    <x v="0"/>
    <x v="0"/>
    <x v="0"/>
    <x v="0"/>
    <x v="0"/>
    <x v="0"/>
    <x v="3"/>
    <x v="0"/>
    <x v="0"/>
    <x v="0"/>
    <x v="0"/>
    <x v="0"/>
    <x v="0"/>
    <x v="0"/>
    <x v="0"/>
    <x v="0"/>
    <x v="0"/>
    <x v="0"/>
    <x v="0"/>
  </r>
  <r>
    <s v="KS19"/>
    <s v="Concrete Drop Inlet"/>
    <s v="Concrete"/>
    <s v="KS19_002"/>
    <x v="0"/>
    <n v="29.992018610999999"/>
    <n v="-25.820953332999999"/>
    <s v="29° 59' 31.26&quot;E "/>
    <s v="25° 49' 15.43&quot; S"/>
    <s v="Complete"/>
    <s v="Yes"/>
    <s v="Yes"/>
    <d v="2017-02-06T00:00:00"/>
    <s v="YES"/>
    <d v="1899-12-30T00:00:00"/>
    <s v="NBC-GTW-CL-0026"/>
    <s v="Yes"/>
    <s v="00"/>
    <d v="2018-06-16T00:00:00"/>
    <s v="Phase 2"/>
    <s v="Year 1"/>
    <n v="20.96"/>
    <n v="0"/>
    <n v="0"/>
    <n v="0"/>
    <n v="0"/>
    <n v="38.760037999999994"/>
    <n v="3.8760037999999994"/>
    <n v="1.9380018999999997"/>
    <n v="20.96"/>
    <n v="20.96"/>
    <n v="0"/>
    <n v="0"/>
    <n v="27.321751200000001"/>
    <n v="38.552"/>
    <n v="0"/>
    <n v="0"/>
    <s v="Ref 888"/>
    <n v="22.335280000000001"/>
    <s v="Ref 655"/>
    <n v="27.825600000000001"/>
    <n v="0"/>
    <n v="46.089202790819932"/>
    <n v="0"/>
    <n v="6.42"/>
    <n v="0"/>
    <m/>
    <n v="0"/>
    <m/>
    <n v="0"/>
    <n v="6"/>
    <n v="8.0039999999999996"/>
    <n v="0"/>
    <n v="0"/>
    <n v="0"/>
    <n v="10.8096"/>
    <n v="0"/>
    <n v="0"/>
    <n v="0"/>
    <n v="0"/>
    <n v="0"/>
    <n v="0"/>
    <n v="0"/>
    <n v="0"/>
    <n v="0"/>
    <n v="0"/>
    <n v="0"/>
    <n v="0"/>
    <n v="0"/>
    <n v="0"/>
    <n v="0"/>
    <n v="0"/>
    <n v="0"/>
    <n v="0"/>
    <n v="0"/>
    <n v="0"/>
    <n v="0"/>
    <n v="0"/>
    <n v="0"/>
    <n v="0"/>
    <n v="0"/>
    <n v="0"/>
    <n v="0"/>
    <n v="0"/>
    <n v="0"/>
    <n v="0"/>
    <n v="0"/>
    <n v="0"/>
    <n v="0"/>
    <n v="0"/>
    <n v="0"/>
    <n v="0"/>
    <n v="0"/>
    <n v="0"/>
    <n v="0"/>
    <m/>
    <m/>
    <m/>
    <m/>
    <m/>
    <m/>
    <m/>
    <m/>
    <m/>
    <m/>
    <m/>
    <m/>
    <m/>
    <m/>
    <m/>
    <m/>
    <m/>
    <m/>
    <m/>
    <m/>
    <m/>
    <n v="104.80000000000001"/>
    <n v="0"/>
    <n v="0"/>
    <n v="0"/>
    <n v="0"/>
    <n v="3294.6032299999997"/>
    <n v="484.50047499999994"/>
    <n v="969.00094999999988"/>
    <n v="104.80000000000001"/>
    <n v="209.60000000000002"/>
    <n v="0"/>
    <n v="54643.502400000005"/>
    <n v="11565.6"/>
    <n v="0"/>
    <n v="0"/>
    <n v="1003.2176000000002"/>
    <n v="34310.981814032959"/>
    <n v="240.11999999999998"/>
    <n v="0"/>
    <n v="0"/>
    <n v="1297.152"/>
    <n v="0"/>
    <n v="0"/>
    <n v="0"/>
    <n v="0"/>
    <n v="0"/>
    <n v="0"/>
    <n v="0"/>
    <n v="0"/>
    <n v="0"/>
    <n v="0"/>
    <n v="0"/>
    <n v="0"/>
    <n v="0"/>
    <n v="0"/>
    <n v="0"/>
    <n v="0"/>
    <n v="0"/>
    <n v="0"/>
    <n v="0"/>
    <n v="0"/>
    <n v="0"/>
    <n v="0"/>
    <n v="0"/>
    <n v="0"/>
    <n v="0"/>
    <n v="0"/>
    <n v="0"/>
    <n v="0"/>
    <n v="0"/>
    <n v="0"/>
    <n v="0"/>
    <n v="0"/>
    <n v="0"/>
    <n v="0"/>
    <n v="0"/>
    <n v="0"/>
    <n v="0"/>
    <n v="108227.87846903296"/>
    <n v="114721.55117717494"/>
    <s v=" "/>
    <s v=" "/>
    <s v=" "/>
    <s v=" "/>
    <s v=" "/>
    <s v=" "/>
    <s v=" "/>
    <s v=" "/>
    <s v=" "/>
    <s v=" "/>
    <s v=" "/>
    <s v=" "/>
    <s v=" "/>
    <s v=" "/>
    <x v="30"/>
    <x v="0"/>
    <x v="0"/>
    <x v="0"/>
    <x v="0"/>
    <x v="53"/>
    <x v="4"/>
    <x v="11"/>
    <x v="31"/>
    <x v="32"/>
    <x v="1"/>
    <x v="1"/>
    <x v="43"/>
    <x v="13"/>
    <x v="0"/>
    <x v="0"/>
    <x v="15"/>
    <x v="11"/>
    <x v="0"/>
    <x v="11"/>
    <x v="0"/>
    <x v="14"/>
    <x v="0"/>
    <x v="0"/>
    <x v="0"/>
    <x v="0"/>
    <x v="0"/>
    <x v="10"/>
    <x v="31"/>
    <x v="0"/>
    <x v="0"/>
    <x v="0"/>
    <x v="20"/>
    <x v="0"/>
    <x v="0"/>
    <x v="0"/>
    <x v="0"/>
    <x v="0"/>
    <x v="0"/>
    <x v="0"/>
    <x v="0"/>
    <x v="0"/>
    <x v="0"/>
    <x v="0"/>
    <x v="0"/>
    <x v="0"/>
    <x v="0"/>
    <x v="0"/>
    <x v="0"/>
    <x v="0"/>
    <x v="0"/>
    <x v="0"/>
    <x v="0"/>
    <x v="0"/>
    <x v="0"/>
    <x v="0"/>
    <x v="0"/>
    <x v="0"/>
    <x v="0"/>
    <x v="0"/>
    <x v="0"/>
    <x v="0"/>
    <x v="0"/>
    <x v="0"/>
    <x v="0"/>
    <x v="0"/>
    <x v="0"/>
    <x v="0"/>
    <x v="0"/>
    <x v="0"/>
    <x v="0"/>
    <x v="0"/>
    <x v="0"/>
  </r>
  <r>
    <s v="KS19"/>
    <s v="Ecologs"/>
    <s v="Deactivate Drains with Ecologs"/>
    <s v="KS19_003"/>
    <x v="0"/>
    <n v="29.992279167"/>
    <n v="-25.820230278"/>
    <s v="29° 59' 32.20&quot;E "/>
    <s v="25° 49' 12.82&quot; S"/>
    <s v="Complete"/>
    <s v="Yes"/>
    <s v="Yes"/>
    <d v="2017-04-28T00:00:00"/>
    <s v="YES "/>
    <m/>
    <s v="NBC-GTW-CL-0054"/>
    <s v="Yes"/>
    <s v="00"/>
    <d v="2018-06-16T00:00:00"/>
    <s v="Phase 2"/>
    <s v="Year 1"/>
    <n v="0"/>
    <n v="0"/>
    <n v="0"/>
    <n v="0"/>
    <n v="0"/>
    <n v="5.3159999999999998"/>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8"/>
    <n v="0"/>
    <n v="0"/>
    <n v="0"/>
    <n v="0"/>
    <n v="0"/>
    <n v="0"/>
    <n v="0"/>
    <n v="0"/>
    <n v="0"/>
    <n v="0"/>
    <n v="0"/>
    <n v="0"/>
    <n v="0"/>
    <n v="0"/>
    <n v="0"/>
    <n v="0"/>
    <n v="0"/>
    <n v="0"/>
    <n v="0"/>
    <n v="0"/>
    <n v="0"/>
    <n v="0"/>
    <n v="0"/>
    <m/>
    <m/>
    <m/>
    <m/>
    <m/>
    <m/>
    <m/>
    <m/>
    <m/>
    <n v="0"/>
    <n v="0"/>
    <n v="0"/>
    <n v="0"/>
    <n v="0"/>
    <n v="451.86"/>
    <n v="0"/>
    <n v="0"/>
    <n v="0"/>
    <n v="0"/>
    <n v="0"/>
    <n v="0"/>
    <n v="0"/>
    <n v="0"/>
    <n v="0"/>
    <n v="0"/>
    <n v="0"/>
    <n v="0"/>
    <n v="0"/>
    <n v="0"/>
    <n v="0"/>
    <n v="0"/>
    <n v="0"/>
    <n v="0"/>
    <n v="0"/>
    <n v="0"/>
    <n v="7200"/>
    <n v="0"/>
    <n v="0"/>
    <n v="0"/>
    <n v="0"/>
    <n v="0"/>
    <n v="0"/>
    <n v="0"/>
    <n v="0"/>
    <n v="0"/>
    <n v="0"/>
    <n v="0"/>
    <n v="0"/>
    <n v="0"/>
    <n v="0"/>
    <n v="0"/>
    <n v="0"/>
    <n v="0"/>
    <n v="0"/>
    <n v="0"/>
    <n v="0"/>
    <n v="0"/>
    <n v="0"/>
    <n v="0"/>
    <n v="0"/>
    <n v="0"/>
    <n v="0"/>
    <n v="0"/>
    <n v="0"/>
    <n v="0"/>
    <n v="0"/>
    <n v="0"/>
    <n v="7651.86"/>
    <n v="8110.9715999999999"/>
    <s v=" "/>
    <s v=" "/>
    <s v=" "/>
    <s v=" "/>
    <s v=" "/>
    <s v=" "/>
    <s v=" "/>
    <s v=" "/>
    <s v=" "/>
    <s v=" "/>
    <s v=" "/>
    <s v=" "/>
    <s v=" "/>
    <s v=" "/>
    <x v="0"/>
    <x v="0"/>
    <x v="0"/>
    <x v="0"/>
    <x v="0"/>
    <x v="54"/>
    <x v="0"/>
    <x v="0"/>
    <x v="0"/>
    <x v="4"/>
    <x v="1"/>
    <x v="1"/>
    <x v="0"/>
    <x v="0"/>
    <x v="0"/>
    <x v="0"/>
    <x v="0"/>
    <x v="0"/>
    <x v="0"/>
    <x v="0"/>
    <x v="0"/>
    <x v="0"/>
    <x v="0"/>
    <x v="0"/>
    <x v="0"/>
    <x v="0"/>
    <x v="0"/>
    <x v="0"/>
    <x v="0"/>
    <x v="0"/>
    <x v="0"/>
    <x v="0"/>
    <x v="0"/>
    <x v="0"/>
    <x v="0"/>
    <x v="0"/>
    <x v="0"/>
    <x v="0"/>
    <x v="0"/>
    <x v="0"/>
    <x v="0"/>
    <x v="0"/>
    <x v="0"/>
    <x v="0"/>
    <x v="0"/>
    <x v="0"/>
    <x v="0"/>
    <x v="0"/>
    <x v="0"/>
    <x v="0"/>
    <x v="0"/>
    <x v="0"/>
    <x v="0"/>
    <x v="0"/>
    <x v="0"/>
    <x v="0"/>
    <x v="0"/>
    <x v="0"/>
    <x v="0"/>
    <x v="0"/>
    <x v="4"/>
    <x v="0"/>
    <x v="0"/>
    <x v="0"/>
    <x v="0"/>
    <x v="0"/>
    <x v="0"/>
    <x v="0"/>
    <x v="0"/>
    <x v="0"/>
    <x v="0"/>
    <x v="0"/>
    <x v="0"/>
  </r>
  <r>
    <s v="KS19"/>
    <s v="Ecologs"/>
    <s v="Deactivate Drains with Ecologs"/>
    <s v="KS19_004"/>
    <x v="0"/>
    <n v="29.992724166999999"/>
    <n v="-25.818730833"/>
    <s v="29° 59' 33.80&quot;E "/>
    <s v="25° 49' 07.43&quot; S"/>
    <s v="Complete"/>
    <s v="Yes"/>
    <s v="Yes"/>
    <d v="2017-04-28T00:00:00"/>
    <s v="YES "/>
    <m/>
    <s v="NBC-GTW-CL-0055"/>
    <s v="Yes"/>
    <s v="00"/>
    <d v="2018-06-16T00:00:00"/>
    <s v="Phase 2"/>
    <s v="Year 1"/>
    <n v="0"/>
    <n v="0"/>
    <n v="0"/>
    <n v="0"/>
    <n v="0"/>
    <n v="4.5"/>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25"/>
    <n v="0"/>
    <n v="0"/>
    <n v="0"/>
    <n v="0"/>
    <n v="0"/>
    <n v="0"/>
    <n v="0"/>
    <n v="0"/>
    <n v="0"/>
    <n v="0"/>
    <n v="0"/>
    <n v="0"/>
    <n v="0"/>
    <n v="0"/>
    <n v="0"/>
    <n v="0"/>
    <n v="0"/>
    <n v="0"/>
    <n v="0"/>
    <n v="0"/>
    <n v="0"/>
    <n v="0"/>
    <n v="0"/>
    <m/>
    <m/>
    <m/>
    <m/>
    <m/>
    <m/>
    <m/>
    <m/>
    <m/>
    <n v="0"/>
    <n v="0"/>
    <n v="0"/>
    <n v="0"/>
    <n v="0"/>
    <n v="382.5"/>
    <n v="0"/>
    <n v="0"/>
    <n v="0"/>
    <n v="0"/>
    <n v="0"/>
    <n v="0"/>
    <n v="0"/>
    <n v="0"/>
    <n v="0"/>
    <n v="0"/>
    <n v="0"/>
    <n v="0"/>
    <n v="0"/>
    <n v="0"/>
    <n v="0"/>
    <n v="0"/>
    <n v="0"/>
    <n v="0"/>
    <n v="0"/>
    <n v="0"/>
    <n v="22500"/>
    <n v="0"/>
    <n v="0"/>
    <n v="0"/>
    <n v="0"/>
    <n v="0"/>
    <n v="0"/>
    <n v="0"/>
    <n v="0"/>
    <n v="0"/>
    <n v="0"/>
    <n v="0"/>
    <n v="0"/>
    <n v="0"/>
    <n v="0"/>
    <n v="0"/>
    <n v="0"/>
    <n v="0"/>
    <n v="0"/>
    <n v="0"/>
    <n v="0"/>
    <n v="0"/>
    <n v="0"/>
    <n v="0"/>
    <n v="0"/>
    <n v="0"/>
    <n v="0"/>
    <n v="0"/>
    <n v="0"/>
    <n v="0"/>
    <n v="0"/>
    <n v="0"/>
    <n v="22882.5"/>
    <n v="24255.45"/>
    <s v=" "/>
    <s v=" "/>
    <s v=" "/>
    <s v=" "/>
    <s v=" "/>
    <s v=" "/>
    <s v=" "/>
    <s v=" "/>
    <s v=" "/>
    <s v=" "/>
    <s v=" "/>
    <s v=" "/>
    <s v=" "/>
    <s v=" "/>
    <x v="0"/>
    <x v="0"/>
    <x v="0"/>
    <x v="0"/>
    <x v="0"/>
    <x v="55"/>
    <x v="0"/>
    <x v="0"/>
    <x v="0"/>
    <x v="4"/>
    <x v="1"/>
    <x v="1"/>
    <x v="0"/>
    <x v="0"/>
    <x v="0"/>
    <x v="0"/>
    <x v="0"/>
    <x v="0"/>
    <x v="0"/>
    <x v="0"/>
    <x v="0"/>
    <x v="0"/>
    <x v="0"/>
    <x v="0"/>
    <x v="0"/>
    <x v="0"/>
    <x v="0"/>
    <x v="0"/>
    <x v="0"/>
    <x v="0"/>
    <x v="0"/>
    <x v="0"/>
    <x v="0"/>
    <x v="0"/>
    <x v="0"/>
    <x v="0"/>
    <x v="0"/>
    <x v="0"/>
    <x v="0"/>
    <x v="0"/>
    <x v="0"/>
    <x v="0"/>
    <x v="0"/>
    <x v="0"/>
    <x v="0"/>
    <x v="0"/>
    <x v="0"/>
    <x v="0"/>
    <x v="0"/>
    <x v="0"/>
    <x v="0"/>
    <x v="0"/>
    <x v="0"/>
    <x v="0"/>
    <x v="0"/>
    <x v="0"/>
    <x v="0"/>
    <x v="0"/>
    <x v="0"/>
    <x v="0"/>
    <x v="5"/>
    <x v="0"/>
    <x v="0"/>
    <x v="0"/>
    <x v="0"/>
    <x v="0"/>
    <x v="0"/>
    <x v="0"/>
    <x v="0"/>
    <x v="0"/>
    <x v="0"/>
    <x v="0"/>
    <x v="0"/>
  </r>
  <r>
    <s v="KS19"/>
    <s v="Ecologs"/>
    <s v="Deactivate Drains with Ecologs"/>
    <s v="KS19_005"/>
    <x v="0"/>
    <n v="29.992811667000002"/>
    <n v="-25.817050278"/>
    <s v="29° 59' 34.12&quot;E "/>
    <s v="25° 49' 01.38&quot; S"/>
    <s v="Complete"/>
    <s v="Yes"/>
    <s v="Yes"/>
    <d v="2017-04-28T00:00:00"/>
    <s v="YES "/>
    <m/>
    <s v="NBC-GTW-CL-0056"/>
    <s v="Yes"/>
    <s v="00"/>
    <d v="2018-06-16T00:00:00"/>
    <s v="Phase 2"/>
    <s v="Year 1"/>
    <n v="0"/>
    <n v="0"/>
    <n v="0"/>
    <n v="0"/>
    <n v="0"/>
    <n v="4.68"/>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26"/>
    <n v="0"/>
    <n v="0"/>
    <n v="0"/>
    <n v="0"/>
    <n v="0"/>
    <n v="0"/>
    <n v="0"/>
    <n v="0"/>
    <n v="0"/>
    <n v="0"/>
    <n v="0"/>
    <n v="0"/>
    <n v="0"/>
    <n v="0"/>
    <n v="0"/>
    <n v="0"/>
    <n v="0"/>
    <n v="0"/>
    <n v="0"/>
    <n v="0"/>
    <n v="0"/>
    <n v="0"/>
    <n v="0"/>
    <m/>
    <m/>
    <m/>
    <m/>
    <m/>
    <m/>
    <m/>
    <m/>
    <m/>
    <n v="0"/>
    <n v="0"/>
    <n v="0"/>
    <n v="0"/>
    <n v="0"/>
    <n v="397.79999999999995"/>
    <n v="0"/>
    <n v="0"/>
    <n v="0"/>
    <n v="0"/>
    <n v="0"/>
    <n v="0"/>
    <n v="0"/>
    <n v="0"/>
    <n v="0"/>
    <n v="0"/>
    <n v="0"/>
    <n v="0"/>
    <n v="0"/>
    <n v="0"/>
    <n v="0"/>
    <n v="0"/>
    <n v="0"/>
    <n v="0"/>
    <n v="0"/>
    <n v="0"/>
    <n v="23400"/>
    <n v="0"/>
    <n v="0"/>
    <n v="0"/>
    <n v="0"/>
    <n v="0"/>
    <n v="0"/>
    <n v="0"/>
    <n v="0"/>
    <n v="0"/>
    <n v="0"/>
    <n v="0"/>
    <n v="0"/>
    <n v="0"/>
    <n v="0"/>
    <n v="0"/>
    <n v="0"/>
    <n v="0"/>
    <n v="0"/>
    <n v="0"/>
    <n v="0"/>
    <n v="0"/>
    <n v="0"/>
    <n v="0"/>
    <n v="0"/>
    <n v="0"/>
    <n v="0"/>
    <n v="0"/>
    <n v="0"/>
    <n v="0"/>
    <n v="0"/>
    <n v="0"/>
    <n v="23797.8"/>
    <n v="25225.668000000001"/>
    <s v=" "/>
    <s v=" "/>
    <s v=" "/>
    <s v=" "/>
    <s v=" "/>
    <s v=" "/>
    <s v=" "/>
    <s v=" "/>
    <s v=" "/>
    <s v=" "/>
    <s v=" "/>
    <s v=" "/>
    <s v=" "/>
    <s v=" "/>
    <x v="0"/>
    <x v="0"/>
    <x v="0"/>
    <x v="0"/>
    <x v="0"/>
    <x v="56"/>
    <x v="0"/>
    <x v="0"/>
    <x v="0"/>
    <x v="4"/>
    <x v="1"/>
    <x v="1"/>
    <x v="0"/>
    <x v="0"/>
    <x v="0"/>
    <x v="0"/>
    <x v="0"/>
    <x v="0"/>
    <x v="0"/>
    <x v="0"/>
    <x v="0"/>
    <x v="0"/>
    <x v="0"/>
    <x v="0"/>
    <x v="0"/>
    <x v="0"/>
    <x v="0"/>
    <x v="0"/>
    <x v="0"/>
    <x v="0"/>
    <x v="0"/>
    <x v="0"/>
    <x v="0"/>
    <x v="0"/>
    <x v="0"/>
    <x v="0"/>
    <x v="0"/>
    <x v="0"/>
    <x v="0"/>
    <x v="0"/>
    <x v="0"/>
    <x v="0"/>
    <x v="0"/>
    <x v="0"/>
    <x v="0"/>
    <x v="0"/>
    <x v="0"/>
    <x v="0"/>
    <x v="0"/>
    <x v="0"/>
    <x v="0"/>
    <x v="0"/>
    <x v="0"/>
    <x v="0"/>
    <x v="0"/>
    <x v="0"/>
    <x v="0"/>
    <x v="0"/>
    <x v="0"/>
    <x v="0"/>
    <x v="6"/>
    <x v="0"/>
    <x v="0"/>
    <x v="0"/>
    <x v="0"/>
    <x v="0"/>
    <x v="0"/>
    <x v="0"/>
    <x v="0"/>
    <x v="0"/>
    <x v="0"/>
    <x v="0"/>
    <x v="0"/>
  </r>
  <r>
    <s v="KS19"/>
    <s v="Removal of Dam Wall"/>
    <s v="Excavation"/>
    <s v="KS19_006"/>
    <x v="0"/>
    <n v="29.992483888999999"/>
    <n v="-25.814825833"/>
    <s v="29° 59' 32.94&quot;E "/>
    <s v="25° 48' 53.37&quot; S"/>
    <s v="Complete"/>
    <s v="Yes"/>
    <s v="Yes"/>
    <d v="2017-02-09T00:00:00"/>
    <s v="NA"/>
    <s v="NA"/>
    <s v="No Drawing"/>
    <s v="Yes"/>
    <s v="00"/>
    <d v="2018-06-16T00:00:00"/>
    <s v="Phase 2"/>
    <s v="Year 1"/>
    <n v="3134.04"/>
    <n v="1385.03125"/>
    <n v="0"/>
    <n v="0"/>
    <n v="0"/>
    <n v="0"/>
    <n v="0"/>
    <n v="0"/>
    <n v="3134.04"/>
    <n v="3134.04"/>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m/>
    <m/>
    <m/>
    <m/>
    <m/>
    <m/>
    <m/>
    <m/>
    <m/>
    <m/>
    <m/>
    <m/>
    <n v="15670.2"/>
    <n v="69251.5625"/>
    <n v="0"/>
    <n v="0"/>
    <n v="0"/>
    <n v="0"/>
    <n v="0"/>
    <n v="0"/>
    <n v="15670.2"/>
    <n v="31340.400000000001"/>
    <n v="0"/>
    <n v="0"/>
    <n v="0"/>
    <n v="0"/>
    <n v="0"/>
    <n v="0"/>
    <n v="0"/>
    <n v="0"/>
    <n v="0"/>
    <n v="0"/>
    <n v="0"/>
    <n v="0"/>
    <n v="0"/>
    <n v="0"/>
    <n v="0"/>
    <n v="0"/>
    <n v="0"/>
    <n v="0"/>
    <n v="0"/>
    <n v="0"/>
    <n v="0"/>
    <n v="0"/>
    <n v="0"/>
    <n v="0"/>
    <n v="0"/>
    <n v="0"/>
    <n v="0"/>
    <n v="0"/>
    <n v="0"/>
    <n v="0"/>
    <n v="0"/>
    <n v="0"/>
    <n v="0"/>
    <n v="0"/>
    <n v="0"/>
    <n v="0"/>
    <n v="0"/>
    <n v="0"/>
    <n v="0"/>
    <n v="0"/>
    <n v="0"/>
    <n v="0"/>
    <n v="0"/>
    <n v="0"/>
    <n v="0"/>
    <n v="0"/>
    <n v="0"/>
    <n v="0"/>
    <n v="131932.36249999999"/>
    <n v="139848.30424999999"/>
    <s v=" "/>
    <s v=" "/>
    <s v=" "/>
    <s v=" "/>
    <s v=" "/>
    <s v=" "/>
    <s v=" "/>
    <s v=" "/>
    <s v=" "/>
    <s v=" "/>
    <s v=" "/>
    <s v=" "/>
    <s v=" "/>
    <s v=" "/>
    <x v="31"/>
    <x v="12"/>
    <x v="0"/>
    <x v="0"/>
    <x v="0"/>
    <x v="1"/>
    <x v="0"/>
    <x v="0"/>
    <x v="32"/>
    <x v="33"/>
    <x v="1"/>
    <x v="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19"/>
    <s v="Infilling of Drains"/>
    <s v="Earthworks"/>
    <s v="KS19_007"/>
    <x v="0"/>
    <n v="29.990699444000001"/>
    <n v="-25.822886110999999"/>
    <s v="29° 59' 26.51&quot;E "/>
    <s v="25° 49' 22.38&quot; S"/>
    <s v="Complete"/>
    <s v="Yes"/>
    <s v="Yes"/>
    <d v="2017-04-28T00:00:00"/>
    <s v="NA"/>
    <s v="NA"/>
    <s v="No Drawing"/>
    <s v="Yes"/>
    <s v="00"/>
    <d v="2018-06-16T00:00:00"/>
    <s v="Phase 2"/>
    <s v="Year 1"/>
    <n v="191.41985973821238"/>
    <n v="0"/>
    <n v="0"/>
    <n v="0"/>
    <n v="0"/>
    <n v="0"/>
    <n v="0"/>
    <n v="0"/>
    <n v="179.75150000000002"/>
    <n v="179.75150000000002"/>
    <n v="0"/>
    <n v="0"/>
    <n v="0"/>
    <n v="0"/>
    <n v="0"/>
    <n v="0"/>
    <n v="0"/>
    <n v="0"/>
    <n v="0"/>
    <n v="0"/>
    <n v="0"/>
    <n v="0"/>
    <n v="0"/>
    <n v="0"/>
    <n v="0"/>
    <n v="0"/>
    <n v="0"/>
    <n v="0"/>
    <n v="0"/>
    <n v="0"/>
    <n v="0"/>
    <n v="0"/>
    <n v="0"/>
    <n v="0"/>
    <n v="38"/>
    <n v="0"/>
    <n v="0"/>
    <n v="0"/>
    <n v="0"/>
    <n v="0"/>
    <n v="0"/>
    <n v="0"/>
    <n v="0"/>
    <n v="0"/>
    <n v="0"/>
    <n v="0"/>
    <n v="0"/>
    <n v="0"/>
    <n v="0"/>
    <n v="0"/>
    <n v="0"/>
    <n v="0"/>
    <n v="0"/>
    <n v="0"/>
    <n v="0"/>
    <n v="0"/>
    <n v="0"/>
    <n v="0"/>
    <n v="0"/>
    <n v="0"/>
    <n v="0"/>
    <n v="0"/>
    <n v="0"/>
    <n v="0"/>
    <n v="0"/>
    <n v="0"/>
    <n v="0"/>
    <n v="0"/>
    <n v="0"/>
    <n v="0"/>
    <n v="0"/>
    <n v="0"/>
    <n v="0"/>
    <n v="0"/>
    <n v="0"/>
    <n v="0"/>
    <n v="0"/>
    <n v="0"/>
    <n v="0"/>
    <n v="0"/>
    <n v="0"/>
    <n v="0"/>
    <n v="0"/>
    <n v="0"/>
    <n v="0"/>
    <n v="0"/>
    <m/>
    <m/>
    <m/>
    <m/>
    <m/>
    <m/>
    <m/>
    <m/>
    <m/>
    <n v="957.0992986910619"/>
    <n v="0"/>
    <n v="0"/>
    <n v="0"/>
    <n v="0"/>
    <n v="0"/>
    <n v="0"/>
    <n v="0"/>
    <n v="898.75750000000016"/>
    <n v="1797.5150000000003"/>
    <n v="0"/>
    <n v="0"/>
    <n v="0"/>
    <n v="0"/>
    <n v="0"/>
    <n v="0"/>
    <n v="0"/>
    <n v="0"/>
    <n v="0"/>
    <n v="0"/>
    <n v="4560"/>
    <n v="0"/>
    <n v="0"/>
    <n v="0"/>
    <n v="0"/>
    <n v="0"/>
    <n v="0"/>
    <n v="0"/>
    <n v="0"/>
    <n v="0"/>
    <n v="0"/>
    <n v="0"/>
    <n v="0"/>
    <n v="0"/>
    <n v="0"/>
    <n v="0"/>
    <n v="0"/>
    <n v="0"/>
    <n v="0"/>
    <n v="0"/>
    <n v="0"/>
    <n v="0"/>
    <n v="0"/>
    <n v="0"/>
    <n v="0"/>
    <n v="0"/>
    <n v="0"/>
    <n v="0"/>
    <n v="0"/>
    <n v="0"/>
    <n v="0"/>
    <n v="0"/>
    <n v="0"/>
    <n v="0"/>
    <n v="0"/>
    <n v="0"/>
    <n v="0"/>
    <n v="0"/>
    <n v="8213.3717986910633"/>
    <n v="8706.1741066125269"/>
    <s v=" "/>
    <s v=" "/>
    <s v=" "/>
    <s v=" "/>
    <s v=" "/>
    <s v=" "/>
    <s v=" "/>
    <s v=" "/>
    <s v=" "/>
    <s v=" "/>
    <s v=" "/>
    <s v=" "/>
    <s v=" "/>
    <s v=" "/>
    <x v="32"/>
    <x v="0"/>
    <x v="0"/>
    <x v="0"/>
    <x v="0"/>
    <x v="1"/>
    <x v="0"/>
    <x v="0"/>
    <x v="33"/>
    <x v="34"/>
    <x v="1"/>
    <x v="1"/>
    <x v="0"/>
    <x v="0"/>
    <x v="0"/>
    <x v="0"/>
    <x v="0"/>
    <x v="0"/>
    <x v="0"/>
    <x v="0"/>
    <x v="0"/>
    <x v="0"/>
    <x v="0"/>
    <x v="0"/>
    <x v="0"/>
    <x v="0"/>
    <x v="0"/>
    <x v="0"/>
    <x v="0"/>
    <x v="0"/>
    <x v="0"/>
    <x v="0"/>
    <x v="21"/>
    <x v="0"/>
    <x v="0"/>
    <x v="0"/>
    <x v="0"/>
    <x v="0"/>
    <x v="0"/>
    <x v="0"/>
    <x v="0"/>
    <x v="0"/>
    <x v="0"/>
    <x v="0"/>
    <x v="0"/>
    <x v="0"/>
    <x v="0"/>
    <x v="0"/>
    <x v="0"/>
    <x v="0"/>
    <x v="0"/>
    <x v="0"/>
    <x v="0"/>
    <x v="0"/>
    <x v="0"/>
    <x v="0"/>
    <x v="0"/>
    <x v="0"/>
    <x v="0"/>
    <x v="0"/>
    <x v="0"/>
    <x v="0"/>
    <x v="0"/>
    <x v="0"/>
    <x v="0"/>
    <x v="0"/>
    <x v="0"/>
    <x v="0"/>
    <x v="0"/>
    <x v="0"/>
    <x v="0"/>
    <x v="0"/>
    <x v="0"/>
  </r>
  <r>
    <s v="KS20"/>
    <s v="Concrete Drop Inlet"/>
    <s v="Concrete"/>
    <s v="KS20_001"/>
    <x v="5"/>
    <n v="29.998442222000001"/>
    <n v="-25.825638055999999"/>
    <s v="29° 59' 54.39&quot;E "/>
    <s v="25° 49' 32.29&quot; S"/>
    <s v="Complete"/>
    <s v="Yes"/>
    <s v="Yes"/>
    <d v="2017-02-06T00:00:00"/>
    <s v="YES"/>
    <d v="2017-02-06T00:00:00"/>
    <s v="NBC-GTW-CL-0027"/>
    <s v="Yes"/>
    <s v="00"/>
    <d v="2018-06-16T00:00:00"/>
    <s v="Phase 1"/>
    <s v="Year 1"/>
    <n v="23.520000000000003"/>
    <n v="0"/>
    <n v="0"/>
    <n v="0"/>
    <n v="0"/>
    <n v="51.93327"/>
    <n v="5.193327"/>
    <n v="2.5966635"/>
    <n v="23.520000000000003"/>
    <n v="23.520000000000003"/>
    <n v="0"/>
    <n v="51.93327"/>
    <n v="20.395350000000001"/>
    <n v="37.752000000000002"/>
    <n v="0"/>
    <n v="0"/>
    <s v="Ref 888"/>
    <n v="16.468920000000001"/>
    <s v="Ref 655"/>
    <n v="30.617600000000003"/>
    <n v="0"/>
    <n v="38.079465846731672"/>
    <n v="0"/>
    <n v="2.3850000000000002"/>
    <n v="0"/>
    <m/>
    <n v="0"/>
    <m/>
    <n v="0"/>
    <n v="7"/>
    <n v="7.9049999999999994"/>
    <n v="0"/>
    <n v="0"/>
    <n v="0"/>
    <n v="32.727600000000002"/>
    <n v="0"/>
    <n v="0"/>
    <n v="0"/>
    <n v="0"/>
    <n v="0"/>
    <n v="0"/>
    <n v="0"/>
    <n v="0"/>
    <n v="0"/>
    <n v="0"/>
    <n v="0"/>
    <n v="0"/>
    <n v="0"/>
    <n v="0"/>
    <n v="0"/>
    <n v="0"/>
    <n v="0"/>
    <n v="0"/>
    <n v="0"/>
    <n v="0"/>
    <n v="0"/>
    <n v="0"/>
    <n v="0"/>
    <n v="0"/>
    <n v="0"/>
    <n v="0"/>
    <n v="0"/>
    <n v="0"/>
    <n v="0"/>
    <n v="0"/>
    <n v="0"/>
    <n v="0"/>
    <n v="0"/>
    <n v="0"/>
    <n v="0"/>
    <n v="0"/>
    <n v="0"/>
    <n v="0"/>
    <n v="0"/>
    <m/>
    <m/>
    <m/>
    <m/>
    <m/>
    <m/>
    <m/>
    <m/>
    <m/>
    <m/>
    <m/>
    <m/>
    <m/>
    <m/>
    <m/>
    <m/>
    <m/>
    <m/>
    <m/>
    <m/>
    <m/>
    <n v="117.60000000000002"/>
    <n v="0"/>
    <n v="0"/>
    <n v="0"/>
    <n v="0"/>
    <n v="4414.3279499999999"/>
    <n v="649.16587500000003"/>
    <n v="1298.3317500000001"/>
    <n v="117.60000000000002"/>
    <n v="235.20000000000005"/>
    <n v="311.59962000000002"/>
    <n v="40790.700000000004"/>
    <n v="11325.6"/>
    <n v="0"/>
    <n v="0"/>
    <n v="941.73040000000015"/>
    <n v="26511.902800375588"/>
    <n v="237.14999999999998"/>
    <n v="0"/>
    <n v="0"/>
    <n v="3927.3120000000004"/>
    <n v="0"/>
    <n v="0"/>
    <n v="0"/>
    <n v="0"/>
    <n v="0"/>
    <n v="0"/>
    <n v="0"/>
    <n v="0"/>
    <n v="0"/>
    <n v="0"/>
    <n v="0"/>
    <n v="0"/>
    <n v="0"/>
    <n v="0"/>
    <n v="0"/>
    <n v="0"/>
    <n v="0"/>
    <n v="0"/>
    <n v="0"/>
    <n v="0"/>
    <n v="0"/>
    <n v="0"/>
    <n v="0"/>
    <n v="0"/>
    <n v="0"/>
    <n v="0"/>
    <n v="0"/>
    <n v="0"/>
    <n v="0"/>
    <n v="0"/>
    <n v="0"/>
    <n v="0"/>
    <n v="0"/>
    <n v="0"/>
    <n v="0"/>
    <n v="0"/>
    <n v="0"/>
    <n v="90878.220395375596"/>
    <n v="96330.913619098137"/>
    <s v=" "/>
    <s v=" "/>
    <s v=" "/>
    <s v=" "/>
    <s v=" "/>
    <s v=" "/>
    <s v=" "/>
    <s v=" "/>
    <s v=" "/>
    <s v=" "/>
    <s v=" "/>
    <s v=" "/>
    <s v=" "/>
    <s v=" "/>
    <x v="33"/>
    <x v="0"/>
    <x v="0"/>
    <x v="0"/>
    <x v="0"/>
    <x v="57"/>
    <x v="5"/>
    <x v="12"/>
    <x v="34"/>
    <x v="35"/>
    <x v="1"/>
    <x v="2"/>
    <x v="44"/>
    <x v="14"/>
    <x v="0"/>
    <x v="0"/>
    <x v="16"/>
    <x v="12"/>
    <x v="0"/>
    <x v="12"/>
    <x v="0"/>
    <x v="15"/>
    <x v="0"/>
    <x v="0"/>
    <x v="0"/>
    <x v="0"/>
    <x v="0"/>
    <x v="11"/>
    <x v="32"/>
    <x v="0"/>
    <x v="0"/>
    <x v="0"/>
    <x v="22"/>
    <x v="0"/>
    <x v="0"/>
    <x v="0"/>
    <x v="0"/>
    <x v="0"/>
    <x v="0"/>
    <x v="0"/>
    <x v="0"/>
    <x v="0"/>
    <x v="0"/>
    <x v="0"/>
    <x v="0"/>
    <x v="0"/>
    <x v="0"/>
    <x v="0"/>
    <x v="0"/>
    <x v="0"/>
    <x v="0"/>
    <x v="0"/>
    <x v="0"/>
    <x v="0"/>
    <x v="0"/>
    <x v="0"/>
    <x v="0"/>
    <x v="0"/>
    <x v="0"/>
    <x v="0"/>
    <x v="0"/>
    <x v="0"/>
    <x v="0"/>
    <x v="0"/>
    <x v="0"/>
    <x v="0"/>
    <x v="0"/>
    <x v="0"/>
    <x v="0"/>
    <x v="0"/>
    <x v="0"/>
    <x v="0"/>
    <x v="0"/>
  </r>
  <r>
    <s v="KS20"/>
    <s v="Concrete Check Wall"/>
    <s v="Concrete Check Wall"/>
    <s v="KS20_002"/>
    <x v="5"/>
    <n v="29.997646667000001"/>
    <n v="-25.825318056"/>
    <s v="29° 59' 51.52&quot;E "/>
    <s v="25° 49' 31.14&quot; S"/>
    <s v="Complete"/>
    <s v="Yes"/>
    <s v="Yes"/>
    <d v="2017-02-06T00:00:00"/>
    <s v="YES"/>
    <d v="2017-02-06T00:00:00"/>
    <s v="NBC-GTW-CL-0028"/>
    <s v="Yes"/>
    <s v="01"/>
    <d v="2018-12-07T00:00:00"/>
    <s v="Phase 1"/>
    <s v="Year 1"/>
    <m/>
    <m/>
    <m/>
    <m/>
    <m/>
    <n v="6.4530000000000003"/>
    <m/>
    <m/>
    <m/>
    <m/>
    <m/>
    <m/>
    <n v="6.4530000000000003"/>
    <m/>
    <m/>
    <m/>
    <m/>
    <m/>
    <m/>
    <m/>
    <m/>
    <m/>
    <m/>
    <m/>
    <m/>
    <m/>
    <m/>
    <m/>
    <m/>
    <m/>
    <n v="3.5999999999999996"/>
    <n v="0"/>
    <m/>
    <n v="0"/>
    <m/>
    <m/>
    <m/>
    <m/>
    <m/>
    <m/>
    <m/>
    <m/>
    <m/>
    <m/>
    <m/>
    <m/>
    <m/>
    <m/>
    <m/>
    <m/>
    <m/>
    <m/>
    <m/>
    <m/>
    <m/>
    <m/>
    <m/>
    <m/>
    <m/>
    <m/>
    <m/>
    <m/>
    <m/>
    <m/>
    <m/>
    <m/>
    <m/>
    <m/>
    <m/>
    <m/>
    <m/>
    <m/>
    <m/>
    <n v="0"/>
    <m/>
    <m/>
    <m/>
    <m/>
    <m/>
    <m/>
    <m/>
    <m/>
    <m/>
    <m/>
    <m/>
    <m/>
    <m/>
    <m/>
    <m/>
    <m/>
    <m/>
    <m/>
    <m/>
    <m/>
    <m/>
    <n v="0"/>
    <n v="0"/>
    <n v="0"/>
    <n v="0"/>
    <n v="0"/>
    <n v="548.505"/>
    <n v="0"/>
    <n v="0"/>
    <n v="0"/>
    <n v="0"/>
    <n v="0"/>
    <n v="12906"/>
    <n v="0"/>
    <n v="0"/>
    <n v="0"/>
    <n v="0"/>
    <n v="0"/>
    <n v="107.99999999999999"/>
    <n v="0"/>
    <n v="0"/>
    <n v="0"/>
    <n v="0"/>
    <n v="0"/>
    <n v="0"/>
    <n v="0"/>
    <n v="0"/>
    <n v="0"/>
    <n v="0"/>
    <n v="0"/>
    <n v="0"/>
    <n v="0"/>
    <n v="0"/>
    <n v="0"/>
    <n v="0"/>
    <n v="0"/>
    <n v="0"/>
    <n v="0"/>
    <n v="0"/>
    <n v="0"/>
    <n v="0"/>
    <n v="0"/>
    <n v="0"/>
    <n v="0"/>
    <n v="0"/>
    <n v="0"/>
    <n v="0"/>
    <n v="0"/>
    <n v="0"/>
    <n v="0"/>
    <n v="0"/>
    <n v="0"/>
    <n v="0"/>
    <n v="0"/>
    <n v="0"/>
    <n v="0"/>
    <n v="0"/>
    <n v="0"/>
    <n v="0"/>
    <n v="13562.504999999999"/>
    <n v="14376.255300000001"/>
    <s v=" "/>
    <s v=" "/>
    <s v=" "/>
    <s v=" "/>
    <s v=" "/>
    <s v=" "/>
    <s v=" "/>
    <s v=" "/>
    <s v=" "/>
    <s v=" "/>
    <s v=" "/>
    <s v=" "/>
    <s v=" "/>
    <s v=" "/>
    <x v="0"/>
    <x v="0"/>
    <x v="0"/>
    <x v="0"/>
    <x v="0"/>
    <x v="58"/>
    <x v="0"/>
    <x v="0"/>
    <x v="0"/>
    <x v="4"/>
    <x v="1"/>
    <x v="1"/>
    <x v="45"/>
    <x v="0"/>
    <x v="0"/>
    <x v="0"/>
    <x v="0"/>
    <x v="0"/>
    <x v="0"/>
    <x v="0"/>
    <x v="0"/>
    <x v="0"/>
    <x v="0"/>
    <x v="0"/>
    <x v="0"/>
    <x v="0"/>
    <x v="0"/>
    <x v="0"/>
    <x v="33"/>
    <x v="0"/>
    <x v="0"/>
    <x v="0"/>
    <x v="0"/>
    <x v="0"/>
    <x v="0"/>
    <x v="0"/>
    <x v="0"/>
    <x v="0"/>
    <x v="0"/>
    <x v="0"/>
    <x v="0"/>
    <x v="0"/>
    <x v="0"/>
    <x v="0"/>
    <x v="0"/>
    <x v="0"/>
    <x v="0"/>
    <x v="0"/>
    <x v="0"/>
    <x v="0"/>
    <x v="0"/>
    <x v="0"/>
    <x v="0"/>
    <x v="0"/>
    <x v="0"/>
    <x v="0"/>
    <x v="0"/>
    <x v="0"/>
    <x v="0"/>
    <x v="0"/>
    <x v="0"/>
    <x v="0"/>
    <x v="0"/>
    <x v="0"/>
    <x v="0"/>
    <x v="0"/>
    <x v="0"/>
    <x v="0"/>
    <x v="0"/>
    <x v="0"/>
    <x v="0"/>
    <x v="0"/>
    <x v="0"/>
  </r>
  <r>
    <s v="KS20"/>
    <s v="Concrete Check Wall"/>
    <s v="Concrete Check Wall"/>
    <s v="KS20_003"/>
    <x v="5"/>
    <n v="29.997078333000001"/>
    <n v="-25.825081666999999"/>
    <s v="29° 59' 49.48&quot;E "/>
    <s v="25° 49' 30.29&quot; S"/>
    <s v="Complete"/>
    <s v="Yes"/>
    <s v="Yes"/>
    <d v="2017-02-06T00:00:00"/>
    <s v="YES"/>
    <m/>
    <s v="NBC-GTW-CL-0029"/>
    <s v="Yes"/>
    <s v="01"/>
    <d v="2018-12-07T00:00:00"/>
    <s v="Phase 1"/>
    <s v="Year 1"/>
    <m/>
    <n v="0"/>
    <n v="0"/>
    <n v="0"/>
    <n v="0"/>
    <n v="9.8550000000000004"/>
    <m/>
    <m/>
    <m/>
    <m/>
    <m/>
    <m/>
    <n v="9.8550000000000004"/>
    <m/>
    <n v="0"/>
    <n v="0"/>
    <m/>
    <m/>
    <m/>
    <m/>
    <m/>
    <m/>
    <m/>
    <m/>
    <m/>
    <m/>
    <m/>
    <m/>
    <m/>
    <m/>
    <n v="3.9"/>
    <n v="0"/>
    <n v="0"/>
    <n v="0"/>
    <m/>
    <n v="0"/>
    <n v="0"/>
    <n v="0"/>
    <n v="0"/>
    <n v="0"/>
    <n v="0"/>
    <n v="0"/>
    <n v="0"/>
    <n v="0"/>
    <n v="0"/>
    <n v="0"/>
    <n v="0"/>
    <n v="0"/>
    <n v="0"/>
    <n v="0"/>
    <n v="0"/>
    <n v="0"/>
    <n v="0"/>
    <n v="0"/>
    <n v="0"/>
    <n v="0"/>
    <n v="0"/>
    <n v="0"/>
    <n v="0"/>
    <n v="0"/>
    <n v="0"/>
    <n v="0"/>
    <n v="0"/>
    <n v="0"/>
    <n v="0"/>
    <n v="0"/>
    <n v="0"/>
    <n v="0"/>
    <n v="0"/>
    <n v="0"/>
    <n v="0"/>
    <n v="0"/>
    <n v="0"/>
    <n v="0"/>
    <m/>
    <m/>
    <m/>
    <m/>
    <m/>
    <m/>
    <m/>
    <m/>
    <m/>
    <m/>
    <m/>
    <m/>
    <m/>
    <m/>
    <m/>
    <m/>
    <m/>
    <m/>
    <m/>
    <m/>
    <m/>
    <n v="0"/>
    <n v="0"/>
    <n v="0"/>
    <n v="0"/>
    <n v="0"/>
    <n v="837.67500000000007"/>
    <n v="0"/>
    <n v="0"/>
    <n v="0"/>
    <n v="0"/>
    <n v="0"/>
    <n v="19710"/>
    <n v="0"/>
    <n v="0"/>
    <n v="0"/>
    <n v="0"/>
    <n v="0"/>
    <n v="117"/>
    <n v="0"/>
    <n v="0"/>
    <n v="0"/>
    <n v="0"/>
    <n v="0"/>
    <n v="0"/>
    <n v="0"/>
    <n v="0"/>
    <n v="0"/>
    <n v="0"/>
    <n v="0"/>
    <n v="0"/>
    <n v="0"/>
    <n v="0"/>
    <n v="0"/>
    <n v="0"/>
    <n v="0"/>
    <n v="0"/>
    <n v="0"/>
    <n v="0"/>
    <n v="0"/>
    <n v="0"/>
    <n v="0"/>
    <n v="0"/>
    <n v="0"/>
    <n v="0"/>
    <n v="0"/>
    <n v="0"/>
    <n v="0"/>
    <n v="0"/>
    <n v="0"/>
    <n v="0"/>
    <n v="0"/>
    <n v="0"/>
    <n v="0"/>
    <n v="0"/>
    <n v="0"/>
    <n v="0"/>
    <n v="0"/>
    <n v="0"/>
    <n v="20664.674999999999"/>
    <n v="21904.555499999999"/>
    <s v=" "/>
    <s v=" "/>
    <s v=" "/>
    <s v=" "/>
    <s v=" "/>
    <s v=" "/>
    <s v=" "/>
    <s v=" "/>
    <s v=" "/>
    <s v=" "/>
    <s v=" "/>
    <s v=" "/>
    <s v=" "/>
    <s v=" "/>
    <x v="0"/>
    <x v="0"/>
    <x v="0"/>
    <x v="0"/>
    <x v="0"/>
    <x v="59"/>
    <x v="0"/>
    <x v="0"/>
    <x v="0"/>
    <x v="4"/>
    <x v="1"/>
    <x v="1"/>
    <x v="46"/>
    <x v="0"/>
    <x v="0"/>
    <x v="0"/>
    <x v="0"/>
    <x v="0"/>
    <x v="0"/>
    <x v="0"/>
    <x v="0"/>
    <x v="0"/>
    <x v="0"/>
    <x v="0"/>
    <x v="0"/>
    <x v="0"/>
    <x v="0"/>
    <x v="0"/>
    <x v="34"/>
    <x v="0"/>
    <x v="0"/>
    <x v="0"/>
    <x v="0"/>
    <x v="0"/>
    <x v="0"/>
    <x v="0"/>
    <x v="0"/>
    <x v="0"/>
    <x v="0"/>
    <x v="0"/>
    <x v="0"/>
    <x v="0"/>
    <x v="0"/>
    <x v="0"/>
    <x v="0"/>
    <x v="0"/>
    <x v="0"/>
    <x v="0"/>
    <x v="0"/>
    <x v="0"/>
    <x v="0"/>
    <x v="0"/>
    <x v="0"/>
    <x v="0"/>
    <x v="0"/>
    <x v="0"/>
    <x v="0"/>
    <x v="0"/>
    <x v="0"/>
    <x v="0"/>
    <x v="0"/>
    <x v="0"/>
    <x v="0"/>
    <x v="0"/>
    <x v="0"/>
    <x v="0"/>
    <x v="0"/>
    <x v="0"/>
    <x v="0"/>
    <x v="0"/>
    <x v="0"/>
    <x v="0"/>
    <x v="0"/>
  </r>
  <r>
    <s v="KS20"/>
    <s v="Concrete Check Wall"/>
    <s v="Concrete Check Wall"/>
    <s v="KS20_004"/>
    <x v="5"/>
    <n v="29.996781943999999"/>
    <n v="-25.824954443999999"/>
    <s v="29° 59' 48.41&quot;E "/>
    <s v="25° 49' 29.83&quot; S"/>
    <s v="Complete"/>
    <s v="Yes"/>
    <s v="Yes"/>
    <d v="2017-02-06T00:00:00"/>
    <s v="YES"/>
    <m/>
    <s v="NBC-GTW-CL-0030"/>
    <s v="Yes"/>
    <s v="01"/>
    <d v="2018-12-07T00:00:00"/>
    <s v="Phase 1"/>
    <s v="Year 1"/>
    <m/>
    <n v="0"/>
    <n v="0"/>
    <n v="0"/>
    <n v="0"/>
    <n v="9.4049999999999994"/>
    <m/>
    <m/>
    <m/>
    <m/>
    <m/>
    <m/>
    <n v="9.4049999999999994"/>
    <m/>
    <n v="0"/>
    <n v="0"/>
    <m/>
    <m/>
    <m/>
    <m/>
    <m/>
    <m/>
    <m/>
    <m/>
    <m/>
    <m/>
    <m/>
    <m/>
    <m/>
    <m/>
    <n v="4.5"/>
    <n v="0"/>
    <n v="0"/>
    <n v="0"/>
    <m/>
    <n v="0"/>
    <n v="0"/>
    <n v="0"/>
    <n v="0"/>
    <n v="0"/>
    <n v="0"/>
    <n v="0"/>
    <n v="0"/>
    <n v="0"/>
    <n v="0"/>
    <n v="0"/>
    <n v="0"/>
    <n v="0"/>
    <n v="0"/>
    <n v="0"/>
    <n v="0"/>
    <n v="0"/>
    <n v="0"/>
    <n v="0"/>
    <n v="0"/>
    <n v="0"/>
    <n v="0"/>
    <n v="0"/>
    <n v="0"/>
    <n v="0"/>
    <n v="0"/>
    <n v="0"/>
    <n v="0"/>
    <n v="0"/>
    <n v="0"/>
    <n v="0"/>
    <n v="0"/>
    <n v="0"/>
    <n v="0"/>
    <n v="0"/>
    <n v="0"/>
    <n v="0"/>
    <n v="0"/>
    <n v="0"/>
    <m/>
    <m/>
    <m/>
    <m/>
    <m/>
    <m/>
    <m/>
    <m/>
    <m/>
    <m/>
    <m/>
    <m/>
    <m/>
    <m/>
    <m/>
    <m/>
    <m/>
    <m/>
    <m/>
    <m/>
    <m/>
    <n v="0"/>
    <n v="0"/>
    <n v="0"/>
    <n v="0"/>
    <n v="0"/>
    <n v="799.42499999999995"/>
    <n v="0"/>
    <n v="0"/>
    <n v="0"/>
    <n v="0"/>
    <n v="0"/>
    <n v="18810"/>
    <n v="0"/>
    <n v="0"/>
    <n v="0"/>
    <n v="0"/>
    <n v="0"/>
    <n v="135"/>
    <n v="0"/>
    <n v="0"/>
    <n v="0"/>
    <n v="0"/>
    <n v="0"/>
    <n v="0"/>
    <n v="0"/>
    <n v="0"/>
    <n v="0"/>
    <n v="0"/>
    <n v="0"/>
    <n v="0"/>
    <n v="0"/>
    <n v="0"/>
    <n v="0"/>
    <n v="0"/>
    <n v="0"/>
    <n v="0"/>
    <n v="0"/>
    <n v="0"/>
    <n v="0"/>
    <n v="0"/>
    <n v="0"/>
    <n v="0"/>
    <n v="0"/>
    <n v="0"/>
    <n v="0"/>
    <n v="0"/>
    <n v="0"/>
    <n v="0"/>
    <n v="0"/>
    <n v="0"/>
    <n v="0"/>
    <n v="0"/>
    <n v="0"/>
    <n v="0"/>
    <n v="0"/>
    <n v="0"/>
    <n v="0"/>
    <n v="0"/>
    <n v="19744.424999999999"/>
    <n v="20929.090500000002"/>
    <s v=" "/>
    <s v=" "/>
    <s v=" "/>
    <s v=" "/>
    <s v=" "/>
    <s v=" "/>
    <s v=" "/>
    <s v=" "/>
    <s v=" "/>
    <s v=" "/>
    <s v=" "/>
    <s v=" "/>
    <s v=" "/>
    <s v=" "/>
    <x v="0"/>
    <x v="0"/>
    <x v="0"/>
    <x v="0"/>
    <x v="0"/>
    <x v="60"/>
    <x v="0"/>
    <x v="0"/>
    <x v="0"/>
    <x v="4"/>
    <x v="1"/>
    <x v="1"/>
    <x v="47"/>
    <x v="0"/>
    <x v="0"/>
    <x v="0"/>
    <x v="0"/>
    <x v="0"/>
    <x v="0"/>
    <x v="0"/>
    <x v="0"/>
    <x v="0"/>
    <x v="0"/>
    <x v="0"/>
    <x v="0"/>
    <x v="0"/>
    <x v="0"/>
    <x v="0"/>
    <x v="35"/>
    <x v="0"/>
    <x v="0"/>
    <x v="0"/>
    <x v="0"/>
    <x v="0"/>
    <x v="0"/>
    <x v="0"/>
    <x v="0"/>
    <x v="0"/>
    <x v="0"/>
    <x v="0"/>
    <x v="0"/>
    <x v="0"/>
    <x v="0"/>
    <x v="0"/>
    <x v="0"/>
    <x v="0"/>
    <x v="0"/>
    <x v="0"/>
    <x v="0"/>
    <x v="0"/>
    <x v="0"/>
    <x v="0"/>
    <x v="0"/>
    <x v="0"/>
    <x v="0"/>
    <x v="0"/>
    <x v="0"/>
    <x v="0"/>
    <x v="0"/>
    <x v="0"/>
    <x v="0"/>
    <x v="0"/>
    <x v="0"/>
    <x v="0"/>
    <x v="0"/>
    <x v="0"/>
    <x v="0"/>
    <x v="0"/>
    <x v="0"/>
    <x v="0"/>
    <x v="0"/>
    <x v="0"/>
    <x v="0"/>
  </r>
  <r>
    <s v="KS20"/>
    <s v="Concrete Check Wall"/>
    <s v="Concrete Check Wall"/>
    <s v="KS20_005"/>
    <x v="5"/>
    <n v="29.996286667"/>
    <n v="-25.824942778"/>
    <s v="29° 59' 46.63&quot;E "/>
    <s v="25° 49' 29.79&quot; S"/>
    <s v="Complete"/>
    <s v="Yes"/>
    <s v="Yes"/>
    <d v="2017-02-06T00:00:00"/>
    <s v="YES"/>
    <m/>
    <s v="NBC-GTW-CL-0031"/>
    <s v="Yes"/>
    <s v="01"/>
    <d v="2018-12-07T00:00:00"/>
    <s v="Phase 1"/>
    <s v="Year 1"/>
    <m/>
    <n v="0"/>
    <n v="0"/>
    <n v="0"/>
    <n v="0"/>
    <n v="10.032"/>
    <m/>
    <m/>
    <m/>
    <m/>
    <m/>
    <m/>
    <n v="10.032"/>
    <m/>
    <n v="0"/>
    <n v="0"/>
    <m/>
    <m/>
    <m/>
    <m/>
    <m/>
    <m/>
    <m/>
    <m/>
    <m/>
    <m/>
    <m/>
    <m/>
    <m/>
    <m/>
    <n v="4.5"/>
    <n v="0"/>
    <n v="0"/>
    <n v="0"/>
    <m/>
    <n v="0"/>
    <n v="0"/>
    <n v="0"/>
    <n v="0"/>
    <n v="0"/>
    <n v="0"/>
    <n v="0"/>
    <n v="0"/>
    <n v="0"/>
    <n v="0"/>
    <n v="0"/>
    <n v="0"/>
    <n v="0"/>
    <n v="0"/>
    <n v="0"/>
    <n v="0"/>
    <n v="0"/>
    <n v="0"/>
    <n v="0"/>
    <n v="0"/>
    <n v="0"/>
    <n v="0"/>
    <n v="0"/>
    <n v="0"/>
    <n v="0"/>
    <n v="0"/>
    <n v="0"/>
    <n v="0"/>
    <n v="0"/>
    <n v="0"/>
    <n v="0"/>
    <n v="0"/>
    <n v="0"/>
    <n v="0"/>
    <n v="0"/>
    <n v="0"/>
    <n v="0"/>
    <n v="0"/>
    <n v="0"/>
    <m/>
    <m/>
    <m/>
    <m/>
    <m/>
    <m/>
    <m/>
    <m/>
    <m/>
    <m/>
    <m/>
    <m/>
    <m/>
    <m/>
    <m/>
    <m/>
    <m/>
    <m/>
    <m/>
    <m/>
    <m/>
    <n v="0"/>
    <n v="0"/>
    <n v="0"/>
    <n v="0"/>
    <n v="0"/>
    <n v="852.72"/>
    <n v="0"/>
    <n v="0"/>
    <n v="0"/>
    <n v="0"/>
    <n v="0"/>
    <n v="20064"/>
    <n v="0"/>
    <n v="0"/>
    <n v="0"/>
    <n v="0"/>
    <n v="0"/>
    <n v="135"/>
    <n v="0"/>
    <n v="0"/>
    <n v="0"/>
    <n v="0"/>
    <n v="0"/>
    <n v="0"/>
    <n v="0"/>
    <n v="0"/>
    <n v="0"/>
    <n v="0"/>
    <n v="0"/>
    <n v="0"/>
    <n v="0"/>
    <n v="0"/>
    <n v="0"/>
    <n v="0"/>
    <n v="0"/>
    <n v="0"/>
    <n v="0"/>
    <n v="0"/>
    <n v="0"/>
    <n v="0"/>
    <n v="0"/>
    <n v="0"/>
    <n v="0"/>
    <n v="0"/>
    <n v="0"/>
    <n v="0"/>
    <n v="0"/>
    <n v="0"/>
    <n v="0"/>
    <n v="0"/>
    <n v="0"/>
    <n v="0"/>
    <n v="0"/>
    <n v="0"/>
    <n v="0"/>
    <n v="0"/>
    <n v="0"/>
    <n v="0"/>
    <n v="21051.72"/>
    <n v="22314.823200000003"/>
    <s v=" "/>
    <s v=" "/>
    <s v=" "/>
    <s v=" "/>
    <s v=" "/>
    <s v=" "/>
    <s v=" "/>
    <s v=" "/>
    <s v=" "/>
    <s v=" "/>
    <s v=" "/>
    <s v=" "/>
    <s v=" "/>
    <s v=" "/>
    <x v="0"/>
    <x v="0"/>
    <x v="0"/>
    <x v="0"/>
    <x v="0"/>
    <x v="61"/>
    <x v="0"/>
    <x v="0"/>
    <x v="0"/>
    <x v="4"/>
    <x v="1"/>
    <x v="1"/>
    <x v="48"/>
    <x v="0"/>
    <x v="0"/>
    <x v="0"/>
    <x v="0"/>
    <x v="0"/>
    <x v="0"/>
    <x v="0"/>
    <x v="0"/>
    <x v="0"/>
    <x v="0"/>
    <x v="0"/>
    <x v="0"/>
    <x v="0"/>
    <x v="0"/>
    <x v="0"/>
    <x v="36"/>
    <x v="0"/>
    <x v="0"/>
    <x v="0"/>
    <x v="0"/>
    <x v="0"/>
    <x v="0"/>
    <x v="0"/>
    <x v="0"/>
    <x v="0"/>
    <x v="0"/>
    <x v="0"/>
    <x v="0"/>
    <x v="0"/>
    <x v="0"/>
    <x v="0"/>
    <x v="0"/>
    <x v="0"/>
    <x v="0"/>
    <x v="0"/>
    <x v="0"/>
    <x v="0"/>
    <x v="0"/>
    <x v="0"/>
    <x v="0"/>
    <x v="0"/>
    <x v="0"/>
    <x v="0"/>
    <x v="0"/>
    <x v="0"/>
    <x v="0"/>
    <x v="0"/>
    <x v="0"/>
    <x v="0"/>
    <x v="0"/>
    <x v="0"/>
    <x v="0"/>
    <x v="0"/>
    <x v="0"/>
    <x v="0"/>
    <x v="0"/>
    <x v="0"/>
    <x v="0"/>
    <x v="0"/>
    <x v="0"/>
  </r>
  <r>
    <s v="KS20"/>
    <s v="Concrete Check Wall"/>
    <s v="Concrete Check Wall"/>
    <s v="KS20_006"/>
    <x v="5"/>
    <n v="29.995710833"/>
    <n v="-25.824953055999998"/>
    <s v="29° 59' 44.55&quot;E "/>
    <s v="25° 49' 29.83&quot; S"/>
    <s v="Complete"/>
    <s v="Yes"/>
    <s v="Yes"/>
    <d v="2017-02-06T00:00:00"/>
    <s v="YES"/>
    <m/>
    <s v="NBC-GTW-CL-0032"/>
    <s v="Yes"/>
    <s v="01"/>
    <d v="2018-12-07T00:00:00"/>
    <s v="Phase 1"/>
    <s v="Year 1"/>
    <m/>
    <n v="0"/>
    <n v="0"/>
    <n v="0"/>
    <n v="0"/>
    <n v="10.035"/>
    <m/>
    <m/>
    <m/>
    <m/>
    <m/>
    <m/>
    <n v="10.035"/>
    <m/>
    <m/>
    <m/>
    <m/>
    <m/>
    <m/>
    <m/>
    <m/>
    <m/>
    <m/>
    <m/>
    <m/>
    <m/>
    <m/>
    <m/>
    <m/>
    <m/>
    <n v="4.8"/>
    <n v="0"/>
    <m/>
    <n v="0"/>
    <m/>
    <n v="0"/>
    <n v="0"/>
    <n v="0"/>
    <n v="0"/>
    <n v="0"/>
    <n v="0"/>
    <n v="0"/>
    <n v="0"/>
    <n v="0"/>
    <n v="0"/>
    <n v="0"/>
    <n v="0"/>
    <n v="0"/>
    <n v="0"/>
    <n v="0"/>
    <n v="0"/>
    <n v="0"/>
    <n v="0"/>
    <n v="0"/>
    <n v="0"/>
    <n v="0"/>
    <n v="0"/>
    <n v="0"/>
    <n v="0"/>
    <n v="0"/>
    <n v="0"/>
    <n v="0"/>
    <n v="0"/>
    <n v="0"/>
    <n v="0"/>
    <n v="0"/>
    <n v="0"/>
    <n v="0"/>
    <n v="0"/>
    <n v="0"/>
    <n v="0"/>
    <n v="0"/>
    <n v="0"/>
    <n v="0"/>
    <m/>
    <m/>
    <m/>
    <m/>
    <m/>
    <m/>
    <m/>
    <m/>
    <m/>
    <m/>
    <m/>
    <m/>
    <m/>
    <m/>
    <m/>
    <m/>
    <m/>
    <m/>
    <m/>
    <m/>
    <m/>
    <n v="0"/>
    <n v="0"/>
    <n v="0"/>
    <n v="0"/>
    <n v="0"/>
    <n v="852.97500000000002"/>
    <n v="0"/>
    <n v="0"/>
    <n v="0"/>
    <n v="0"/>
    <n v="0"/>
    <n v="20070"/>
    <n v="0"/>
    <n v="0"/>
    <n v="0"/>
    <n v="0"/>
    <n v="0"/>
    <n v="144"/>
    <n v="0"/>
    <n v="0"/>
    <n v="0"/>
    <n v="0"/>
    <n v="0"/>
    <n v="0"/>
    <n v="0"/>
    <n v="0"/>
    <n v="0"/>
    <n v="0"/>
    <n v="0"/>
    <n v="0"/>
    <n v="0"/>
    <n v="0"/>
    <n v="0"/>
    <n v="0"/>
    <n v="0"/>
    <n v="0"/>
    <n v="0"/>
    <n v="0"/>
    <n v="0"/>
    <n v="0"/>
    <n v="0"/>
    <n v="0"/>
    <n v="0"/>
    <n v="0"/>
    <n v="0"/>
    <n v="0"/>
    <n v="0"/>
    <n v="0"/>
    <n v="0"/>
    <n v="0"/>
    <n v="0"/>
    <n v="0"/>
    <n v="0"/>
    <n v="0"/>
    <n v="0"/>
    <n v="0"/>
    <n v="0"/>
    <n v="0"/>
    <n v="21066.974999999999"/>
    <n v="22330.9935"/>
    <s v=" "/>
    <s v=" "/>
    <s v=" "/>
    <s v=" "/>
    <s v=" "/>
    <s v=" "/>
    <s v=" "/>
    <s v=" "/>
    <s v=" "/>
    <s v=" "/>
    <s v=" "/>
    <s v=" "/>
    <s v=" "/>
    <s v=" "/>
    <x v="0"/>
    <x v="0"/>
    <x v="0"/>
    <x v="0"/>
    <x v="0"/>
    <x v="62"/>
    <x v="0"/>
    <x v="0"/>
    <x v="0"/>
    <x v="4"/>
    <x v="1"/>
    <x v="1"/>
    <x v="49"/>
    <x v="0"/>
    <x v="0"/>
    <x v="0"/>
    <x v="0"/>
    <x v="0"/>
    <x v="0"/>
    <x v="0"/>
    <x v="0"/>
    <x v="0"/>
    <x v="0"/>
    <x v="0"/>
    <x v="0"/>
    <x v="0"/>
    <x v="0"/>
    <x v="0"/>
    <x v="37"/>
    <x v="0"/>
    <x v="0"/>
    <x v="0"/>
    <x v="0"/>
    <x v="0"/>
    <x v="0"/>
    <x v="0"/>
    <x v="0"/>
    <x v="0"/>
    <x v="0"/>
    <x v="0"/>
    <x v="0"/>
    <x v="0"/>
    <x v="0"/>
    <x v="0"/>
    <x v="0"/>
    <x v="0"/>
    <x v="0"/>
    <x v="0"/>
    <x v="0"/>
    <x v="0"/>
    <x v="0"/>
    <x v="0"/>
    <x v="0"/>
    <x v="0"/>
    <x v="0"/>
    <x v="0"/>
    <x v="0"/>
    <x v="0"/>
    <x v="0"/>
    <x v="0"/>
    <x v="0"/>
    <x v="0"/>
    <x v="0"/>
    <x v="0"/>
    <x v="0"/>
    <x v="0"/>
    <x v="0"/>
    <x v="0"/>
    <x v="0"/>
    <x v="0"/>
    <x v="0"/>
    <x v="0"/>
    <x v="0"/>
  </r>
  <r>
    <s v="KS20"/>
    <s v="Concrete Check Wall"/>
    <s v="Concrete Check Wall"/>
    <s v="KS20_007"/>
    <x v="5"/>
    <n v="29.995286389"/>
    <n v="-25.824939167"/>
    <s v="29° 59' 43.03&quot;E "/>
    <s v="25° 49' 29.78&quot; S"/>
    <s v="Complete"/>
    <s v="Yes"/>
    <s v="Yes"/>
    <d v="2017-02-06T00:00:00"/>
    <s v="YES"/>
    <m/>
    <s v="NBC-GTW-CL-0033"/>
    <s v="Yes"/>
    <s v="01"/>
    <d v="2018-12-07T00:00:00"/>
    <s v="Phase 1"/>
    <s v="Year 1"/>
    <m/>
    <n v="0"/>
    <n v="0"/>
    <n v="0"/>
    <n v="0"/>
    <n v="8.2890000000000015"/>
    <m/>
    <m/>
    <m/>
    <m/>
    <m/>
    <m/>
    <n v="8.2890000000000015"/>
    <m/>
    <n v="0"/>
    <n v="0"/>
    <m/>
    <m/>
    <m/>
    <m/>
    <m/>
    <m/>
    <m/>
    <m/>
    <m/>
    <m/>
    <m/>
    <m/>
    <m/>
    <m/>
    <n v="4.5"/>
    <n v="0"/>
    <n v="0"/>
    <n v="0"/>
    <m/>
    <n v="0"/>
    <n v="0"/>
    <n v="0"/>
    <n v="0"/>
    <n v="0"/>
    <n v="0"/>
    <n v="0"/>
    <n v="0"/>
    <n v="0"/>
    <n v="0"/>
    <n v="0"/>
    <n v="0"/>
    <n v="0"/>
    <n v="0"/>
    <n v="0"/>
    <n v="0"/>
    <n v="0"/>
    <n v="0"/>
    <n v="0"/>
    <n v="0"/>
    <n v="0"/>
    <n v="0"/>
    <n v="0"/>
    <n v="0"/>
    <n v="0"/>
    <n v="0"/>
    <n v="0"/>
    <n v="0"/>
    <n v="0"/>
    <n v="0"/>
    <n v="0"/>
    <n v="0"/>
    <n v="0"/>
    <n v="0"/>
    <n v="0"/>
    <n v="0"/>
    <n v="0"/>
    <n v="0"/>
    <n v="0"/>
    <m/>
    <m/>
    <m/>
    <m/>
    <m/>
    <m/>
    <m/>
    <m/>
    <m/>
    <m/>
    <m/>
    <m/>
    <m/>
    <m/>
    <m/>
    <m/>
    <m/>
    <m/>
    <m/>
    <m/>
    <m/>
    <n v="0"/>
    <n v="0"/>
    <n v="0"/>
    <n v="0"/>
    <n v="0"/>
    <n v="704.56500000000017"/>
    <n v="0"/>
    <n v="0"/>
    <n v="0"/>
    <n v="0"/>
    <n v="0"/>
    <n v="16578.000000000004"/>
    <n v="0"/>
    <n v="0"/>
    <n v="0"/>
    <n v="0"/>
    <n v="0"/>
    <n v="135"/>
    <n v="0"/>
    <n v="0"/>
    <n v="0"/>
    <n v="0"/>
    <n v="0"/>
    <n v="0"/>
    <n v="0"/>
    <n v="0"/>
    <n v="0"/>
    <n v="0"/>
    <n v="0"/>
    <n v="0"/>
    <n v="0"/>
    <n v="0"/>
    <n v="0"/>
    <n v="0"/>
    <n v="0"/>
    <n v="0"/>
    <n v="0"/>
    <n v="0"/>
    <n v="0"/>
    <n v="0"/>
    <n v="0"/>
    <n v="0"/>
    <n v="0"/>
    <n v="0"/>
    <n v="0"/>
    <n v="0"/>
    <n v="0"/>
    <n v="0"/>
    <n v="0"/>
    <n v="0"/>
    <n v="0"/>
    <n v="0"/>
    <n v="0"/>
    <n v="0"/>
    <n v="0"/>
    <n v="0"/>
    <n v="0"/>
    <n v="0"/>
    <n v="17417.565000000002"/>
    <n v="18462.618900000005"/>
    <s v=" "/>
    <s v=" "/>
    <s v=" "/>
    <s v=" "/>
    <s v=" "/>
    <s v=" "/>
    <s v=" "/>
    <s v=" "/>
    <s v=" "/>
    <s v=" "/>
    <s v=" "/>
    <s v=" "/>
    <s v=" "/>
    <s v=" "/>
    <x v="0"/>
    <x v="0"/>
    <x v="0"/>
    <x v="0"/>
    <x v="0"/>
    <x v="63"/>
    <x v="0"/>
    <x v="0"/>
    <x v="0"/>
    <x v="4"/>
    <x v="1"/>
    <x v="1"/>
    <x v="50"/>
    <x v="0"/>
    <x v="0"/>
    <x v="0"/>
    <x v="0"/>
    <x v="0"/>
    <x v="0"/>
    <x v="0"/>
    <x v="0"/>
    <x v="0"/>
    <x v="0"/>
    <x v="0"/>
    <x v="0"/>
    <x v="0"/>
    <x v="0"/>
    <x v="0"/>
    <x v="38"/>
    <x v="0"/>
    <x v="0"/>
    <x v="0"/>
    <x v="0"/>
    <x v="0"/>
    <x v="0"/>
    <x v="0"/>
    <x v="0"/>
    <x v="0"/>
    <x v="0"/>
    <x v="0"/>
    <x v="0"/>
    <x v="0"/>
    <x v="0"/>
    <x v="0"/>
    <x v="0"/>
    <x v="0"/>
    <x v="0"/>
    <x v="0"/>
    <x v="0"/>
    <x v="0"/>
    <x v="0"/>
    <x v="0"/>
    <x v="0"/>
    <x v="0"/>
    <x v="0"/>
    <x v="0"/>
    <x v="0"/>
    <x v="0"/>
    <x v="0"/>
    <x v="0"/>
    <x v="0"/>
    <x v="0"/>
    <x v="0"/>
    <x v="0"/>
    <x v="0"/>
    <x v="0"/>
    <x v="0"/>
    <x v="0"/>
    <x v="0"/>
    <x v="0"/>
    <x v="0"/>
    <x v="0"/>
    <x v="0"/>
  </r>
  <r>
    <s v="KS20"/>
    <s v="Concrete Check Wall"/>
    <s v="Concrete Check Wall"/>
    <s v="KS20_008"/>
    <x v="5"/>
    <n v="29.994923332999999"/>
    <n v="-25.825090555999999"/>
    <s v="29° 59' 41.72&quot;E "/>
    <s v="25° 49' 30.32&quot; S"/>
    <s v="Complete"/>
    <s v="Yes"/>
    <s v="Yes"/>
    <d v="2017-02-06T00:00:00"/>
    <s v="YES"/>
    <m/>
    <s v="NBC-GTW-CL-0034"/>
    <s v="Yes"/>
    <s v="01"/>
    <d v="2018-12-07T00:00:00"/>
    <s v="Phase 1"/>
    <s v="Year 1"/>
    <m/>
    <n v="0"/>
    <n v="0"/>
    <n v="0"/>
    <n v="0"/>
    <n v="10.799999999999999"/>
    <m/>
    <m/>
    <m/>
    <m/>
    <m/>
    <m/>
    <n v="10.799999999999999"/>
    <m/>
    <n v="0"/>
    <n v="0"/>
    <m/>
    <m/>
    <m/>
    <m/>
    <m/>
    <m/>
    <m/>
    <m/>
    <m/>
    <m/>
    <m/>
    <m/>
    <m/>
    <m/>
    <n v="4.3499999999999996"/>
    <n v="0"/>
    <n v="0"/>
    <n v="0"/>
    <m/>
    <n v="0"/>
    <n v="0"/>
    <n v="0"/>
    <n v="0"/>
    <n v="0"/>
    <n v="0"/>
    <n v="0"/>
    <n v="0"/>
    <n v="0"/>
    <n v="0"/>
    <n v="0"/>
    <n v="0"/>
    <n v="0"/>
    <n v="0"/>
    <n v="0"/>
    <n v="0"/>
    <n v="0"/>
    <n v="0"/>
    <n v="0"/>
    <n v="0"/>
    <n v="0"/>
    <n v="0"/>
    <n v="0"/>
    <n v="0"/>
    <n v="0"/>
    <n v="0"/>
    <n v="0"/>
    <n v="0"/>
    <n v="0"/>
    <n v="0"/>
    <n v="0"/>
    <n v="0"/>
    <n v="0"/>
    <n v="0"/>
    <n v="0"/>
    <n v="0"/>
    <n v="0"/>
    <n v="0"/>
    <n v="0"/>
    <m/>
    <m/>
    <m/>
    <m/>
    <m/>
    <m/>
    <m/>
    <m/>
    <m/>
    <m/>
    <m/>
    <m/>
    <m/>
    <m/>
    <m/>
    <m/>
    <m/>
    <m/>
    <m/>
    <m/>
    <m/>
    <n v="0"/>
    <n v="0"/>
    <n v="0"/>
    <n v="0"/>
    <n v="0"/>
    <n v="917.99999999999989"/>
    <n v="0"/>
    <n v="0"/>
    <n v="0"/>
    <n v="0"/>
    <n v="0"/>
    <n v="21599.999999999996"/>
    <n v="0"/>
    <n v="0"/>
    <n v="0"/>
    <n v="0"/>
    <n v="0"/>
    <n v="130.5"/>
    <n v="0"/>
    <n v="0"/>
    <n v="0"/>
    <n v="0"/>
    <n v="0"/>
    <n v="0"/>
    <n v="0"/>
    <n v="0"/>
    <n v="0"/>
    <n v="0"/>
    <n v="0"/>
    <n v="0"/>
    <n v="0"/>
    <n v="0"/>
    <n v="0"/>
    <n v="0"/>
    <n v="0"/>
    <n v="0"/>
    <n v="0"/>
    <n v="0"/>
    <n v="0"/>
    <n v="0"/>
    <n v="0"/>
    <n v="0"/>
    <n v="0"/>
    <n v="0"/>
    <n v="0"/>
    <n v="0"/>
    <n v="0"/>
    <n v="0"/>
    <n v="0"/>
    <n v="0"/>
    <n v="0"/>
    <n v="0"/>
    <n v="0"/>
    <n v="0"/>
    <n v="0"/>
    <n v="0"/>
    <n v="0"/>
    <n v="0"/>
    <n v="22648.499999999996"/>
    <n v="24007.409999999996"/>
    <s v=" "/>
    <s v=" "/>
    <s v=" "/>
    <s v=" "/>
    <s v=" "/>
    <s v=" "/>
    <s v=" "/>
    <s v=" "/>
    <s v=" "/>
    <s v=" "/>
    <s v=" "/>
    <s v=" "/>
    <s v=" "/>
    <s v=" "/>
    <x v="0"/>
    <x v="0"/>
    <x v="0"/>
    <x v="0"/>
    <x v="0"/>
    <x v="64"/>
    <x v="0"/>
    <x v="0"/>
    <x v="0"/>
    <x v="4"/>
    <x v="1"/>
    <x v="1"/>
    <x v="51"/>
    <x v="0"/>
    <x v="0"/>
    <x v="0"/>
    <x v="0"/>
    <x v="0"/>
    <x v="0"/>
    <x v="0"/>
    <x v="0"/>
    <x v="0"/>
    <x v="0"/>
    <x v="0"/>
    <x v="0"/>
    <x v="0"/>
    <x v="0"/>
    <x v="0"/>
    <x v="39"/>
    <x v="0"/>
    <x v="0"/>
    <x v="0"/>
    <x v="0"/>
    <x v="0"/>
    <x v="0"/>
    <x v="0"/>
    <x v="0"/>
    <x v="0"/>
    <x v="0"/>
    <x v="0"/>
    <x v="0"/>
    <x v="0"/>
    <x v="0"/>
    <x v="0"/>
    <x v="0"/>
    <x v="0"/>
    <x v="0"/>
    <x v="0"/>
    <x v="0"/>
    <x v="0"/>
    <x v="0"/>
    <x v="0"/>
    <x v="0"/>
    <x v="0"/>
    <x v="0"/>
    <x v="0"/>
    <x v="0"/>
    <x v="0"/>
    <x v="0"/>
    <x v="0"/>
    <x v="0"/>
    <x v="0"/>
    <x v="0"/>
    <x v="0"/>
    <x v="0"/>
    <x v="0"/>
    <x v="0"/>
    <x v="0"/>
    <x v="0"/>
    <x v="0"/>
    <x v="0"/>
    <x v="0"/>
    <x v="0"/>
  </r>
  <r>
    <s v="KS20"/>
    <s v="Concrete Check Wall"/>
    <s v="Concrete"/>
    <s v="KS20_009_a"/>
    <x v="5"/>
    <n v="29.994457499999999"/>
    <n v="-25.825408888999998"/>
    <s v="29° 59' 40.04&quot;E "/>
    <s v="25° 49' 31.47&quot; S"/>
    <s v="Complete"/>
    <s v="Yes"/>
    <s v="Yes"/>
    <d v="2017-02-06T00:00:00"/>
    <s v="YES"/>
    <m/>
    <s v="NBC-GTW-CL-0035"/>
    <s v="Yes"/>
    <s v="00"/>
    <d v="2018-06-16T00:00:00"/>
    <s v="Phase 1"/>
    <s v="Year 1"/>
    <m/>
    <m/>
    <m/>
    <m/>
    <m/>
    <n v="27"/>
    <m/>
    <m/>
    <m/>
    <m/>
    <m/>
    <m/>
    <n v="29.408000000000001"/>
    <m/>
    <m/>
    <m/>
    <m/>
    <m/>
    <m/>
    <m/>
    <m/>
    <m/>
    <m/>
    <n v="11"/>
    <m/>
    <m/>
    <m/>
    <m/>
    <m/>
    <m/>
    <n v="15"/>
    <m/>
    <m/>
    <m/>
    <m/>
    <m/>
    <m/>
    <m/>
    <m/>
    <m/>
    <m/>
    <m/>
    <m/>
    <m/>
    <m/>
    <m/>
    <m/>
    <m/>
    <m/>
    <m/>
    <m/>
    <m/>
    <m/>
    <m/>
    <m/>
    <m/>
    <m/>
    <m/>
    <m/>
    <m/>
    <m/>
    <m/>
    <m/>
    <m/>
    <m/>
    <m/>
    <m/>
    <m/>
    <m/>
    <m/>
    <m/>
    <m/>
    <m/>
    <m/>
    <m/>
    <m/>
    <m/>
    <m/>
    <m/>
    <m/>
    <m/>
    <m/>
    <m/>
    <m/>
    <m/>
    <m/>
    <m/>
    <m/>
    <m/>
    <m/>
    <m/>
    <m/>
    <m/>
    <m/>
    <m/>
    <n v="0"/>
    <n v="0"/>
    <n v="0"/>
    <n v="0"/>
    <n v="0"/>
    <n v="2295"/>
    <n v="0"/>
    <n v="0"/>
    <n v="0"/>
    <n v="0"/>
    <n v="0"/>
    <n v="58816"/>
    <n v="0"/>
    <n v="0"/>
    <n v="0"/>
    <n v="0"/>
    <n v="7150"/>
    <n v="450"/>
    <n v="0"/>
    <n v="0"/>
    <n v="0"/>
    <n v="0"/>
    <n v="0"/>
    <n v="0"/>
    <n v="0"/>
    <n v="0"/>
    <n v="0"/>
    <n v="0"/>
    <n v="0"/>
    <n v="0"/>
    <n v="0"/>
    <n v="0"/>
    <n v="0"/>
    <n v="0"/>
    <n v="0"/>
    <n v="0"/>
    <n v="0"/>
    <n v="0"/>
    <n v="0"/>
    <n v="0"/>
    <n v="0"/>
    <n v="0"/>
    <n v="0"/>
    <n v="0"/>
    <n v="0"/>
    <n v="0"/>
    <n v="0"/>
    <n v="0"/>
    <n v="0"/>
    <n v="0"/>
    <n v="0"/>
    <n v="0"/>
    <n v="0"/>
    <n v="0"/>
    <n v="0"/>
    <n v="0"/>
    <n v="0"/>
    <n v="0"/>
    <n v="68711"/>
    <n v="72833.66"/>
    <s v=" "/>
    <s v=" "/>
    <s v=" "/>
    <s v=" "/>
    <s v=" "/>
    <s v=" "/>
    <s v=" "/>
    <s v=" "/>
    <s v=" "/>
    <s v=" "/>
    <s v=" "/>
    <s v=" "/>
    <s v=" "/>
    <s v=" "/>
    <x v="0"/>
    <x v="0"/>
    <x v="0"/>
    <x v="0"/>
    <x v="0"/>
    <x v="65"/>
    <x v="0"/>
    <x v="0"/>
    <x v="0"/>
    <x v="4"/>
    <x v="1"/>
    <x v="1"/>
    <x v="52"/>
    <x v="0"/>
    <x v="0"/>
    <x v="0"/>
    <x v="0"/>
    <x v="0"/>
    <x v="0"/>
    <x v="0"/>
    <x v="0"/>
    <x v="16"/>
    <x v="0"/>
    <x v="0"/>
    <x v="0"/>
    <x v="0"/>
    <x v="0"/>
    <x v="0"/>
    <x v="40"/>
    <x v="0"/>
    <x v="0"/>
    <x v="0"/>
    <x v="0"/>
    <x v="0"/>
    <x v="0"/>
    <x v="0"/>
    <x v="0"/>
    <x v="0"/>
    <x v="0"/>
    <x v="0"/>
    <x v="0"/>
    <x v="0"/>
    <x v="0"/>
    <x v="0"/>
    <x v="0"/>
    <x v="0"/>
    <x v="0"/>
    <x v="0"/>
    <x v="0"/>
    <x v="0"/>
    <x v="0"/>
    <x v="0"/>
    <x v="0"/>
    <x v="0"/>
    <x v="0"/>
    <x v="0"/>
    <x v="0"/>
    <x v="0"/>
    <x v="0"/>
    <x v="0"/>
    <x v="0"/>
    <x v="0"/>
    <x v="0"/>
    <x v="0"/>
    <x v="0"/>
    <x v="0"/>
    <x v="0"/>
    <x v="0"/>
    <x v="0"/>
    <x v="0"/>
    <x v="0"/>
    <x v="0"/>
    <x v="0"/>
  </r>
  <r>
    <s v="KS20"/>
    <s v="Concrete Check Wall"/>
    <s v="Concrete"/>
    <s v="KS20_009_b"/>
    <x v="5"/>
    <n v="29.994457499999999"/>
    <n v="-25.825408888999998"/>
    <s v="29° 59' 40.04&quot;E "/>
    <s v="25° 49' 31.47&quot; S"/>
    <s v="Complete"/>
    <s v="Yes"/>
    <s v="Yes"/>
    <d v="2017-02-06T00:00:00"/>
    <s v="YES"/>
    <m/>
    <s v="NBC-GTW-CL-0035"/>
    <s v="Yes"/>
    <s v="00"/>
    <d v="2018-06-16T00:00:00"/>
    <s v="Phase 1"/>
    <s v="Year 1"/>
    <n v="60"/>
    <m/>
    <m/>
    <m/>
    <m/>
    <n v="16"/>
    <m/>
    <m/>
    <n v="60"/>
    <n v="60"/>
    <m/>
    <m/>
    <n v="4.0319999999999991"/>
    <m/>
    <m/>
    <m/>
    <m/>
    <m/>
    <m/>
    <m/>
    <m/>
    <m/>
    <m/>
    <m/>
    <m/>
    <m/>
    <m/>
    <m/>
    <m/>
    <m/>
    <n v="2"/>
    <m/>
    <m/>
    <m/>
    <m/>
    <m/>
    <m/>
    <m/>
    <m/>
    <m/>
    <m/>
    <m/>
    <m/>
    <m/>
    <m/>
    <m/>
    <m/>
    <m/>
    <m/>
    <m/>
    <m/>
    <m/>
    <m/>
    <m/>
    <m/>
    <m/>
    <m/>
    <m/>
    <m/>
    <m/>
    <m/>
    <m/>
    <m/>
    <m/>
    <m/>
    <m/>
    <m/>
    <m/>
    <m/>
    <m/>
    <m/>
    <m/>
    <m/>
    <m/>
    <m/>
    <m/>
    <m/>
    <m/>
    <m/>
    <m/>
    <m/>
    <m/>
    <m/>
    <m/>
    <m/>
    <m/>
    <m/>
    <m/>
    <m/>
    <m/>
    <m/>
    <m/>
    <m/>
    <m/>
    <m/>
    <n v="300"/>
    <n v="0"/>
    <n v="0"/>
    <n v="0"/>
    <n v="0"/>
    <n v="1360"/>
    <n v="0"/>
    <n v="0"/>
    <n v="300"/>
    <n v="600"/>
    <n v="0"/>
    <n v="8063.9999999999982"/>
    <n v="0"/>
    <n v="0"/>
    <n v="0"/>
    <n v="0"/>
    <n v="0"/>
    <n v="60"/>
    <n v="0"/>
    <n v="0"/>
    <n v="0"/>
    <n v="0"/>
    <n v="0"/>
    <n v="0"/>
    <n v="0"/>
    <n v="0"/>
    <n v="0"/>
    <n v="0"/>
    <n v="0"/>
    <n v="0"/>
    <n v="0"/>
    <n v="0"/>
    <n v="0"/>
    <n v="0"/>
    <n v="0"/>
    <n v="0"/>
    <n v="0"/>
    <n v="0"/>
    <n v="0"/>
    <n v="0"/>
    <n v="0"/>
    <n v="0"/>
    <n v="0"/>
    <n v="0"/>
    <n v="0"/>
    <n v="0"/>
    <n v="0"/>
    <n v="0"/>
    <n v="0"/>
    <n v="0"/>
    <n v="0"/>
    <n v="0"/>
    <n v="0"/>
    <n v="0"/>
    <n v="0"/>
    <n v="0"/>
    <n v="0"/>
    <n v="0"/>
    <n v="10683.999999999998"/>
    <n v="11325.039999999999"/>
    <s v=" "/>
    <s v=" "/>
    <s v=" "/>
    <s v=" "/>
    <s v=" "/>
    <s v=" "/>
    <s v=" "/>
    <s v=" "/>
    <s v=" "/>
    <s v=" "/>
    <s v=" "/>
    <s v=" "/>
    <s v=" "/>
    <s v=" "/>
    <x v="34"/>
    <x v="0"/>
    <x v="0"/>
    <x v="0"/>
    <x v="0"/>
    <x v="66"/>
    <x v="0"/>
    <x v="0"/>
    <x v="35"/>
    <x v="36"/>
    <x v="1"/>
    <x v="1"/>
    <x v="53"/>
    <x v="0"/>
    <x v="0"/>
    <x v="0"/>
    <x v="0"/>
    <x v="0"/>
    <x v="0"/>
    <x v="0"/>
    <x v="0"/>
    <x v="0"/>
    <x v="0"/>
    <x v="0"/>
    <x v="0"/>
    <x v="0"/>
    <x v="0"/>
    <x v="0"/>
    <x v="41"/>
    <x v="0"/>
    <x v="0"/>
    <x v="0"/>
    <x v="0"/>
    <x v="0"/>
    <x v="0"/>
    <x v="0"/>
    <x v="0"/>
    <x v="0"/>
    <x v="0"/>
    <x v="0"/>
    <x v="0"/>
    <x v="0"/>
    <x v="0"/>
    <x v="0"/>
    <x v="0"/>
    <x v="0"/>
    <x v="0"/>
    <x v="0"/>
    <x v="0"/>
    <x v="0"/>
    <x v="0"/>
    <x v="0"/>
    <x v="0"/>
    <x v="0"/>
    <x v="0"/>
    <x v="0"/>
    <x v="0"/>
    <x v="0"/>
    <x v="0"/>
    <x v="0"/>
    <x v="0"/>
    <x v="0"/>
    <x v="0"/>
    <x v="0"/>
    <x v="0"/>
    <x v="0"/>
    <x v="0"/>
    <x v="0"/>
    <x v="0"/>
    <x v="0"/>
    <x v="0"/>
    <x v="0"/>
    <x v="0"/>
  </r>
  <r>
    <s v="KS20"/>
    <s v="Removal of Earthen Berm"/>
    <s v="Earthworks"/>
    <s v="KS20_009_c"/>
    <x v="5"/>
    <n v="29.994295832999999"/>
    <n v="-25.825085556000001"/>
    <s v="29° 59' 39.46&quot;E "/>
    <s v="25° 49' 30.30&quot; S"/>
    <s v="Complete"/>
    <s v="Yes"/>
    <s v="Yes"/>
    <d v="2017-02-06T00:00:00"/>
    <s v="YES"/>
    <m/>
    <s v="NBC-GTW-CL-0035"/>
    <s v="Yes"/>
    <s v="00"/>
    <d v="2018-06-16T00:00:00"/>
    <s v="Phase 1"/>
    <s v="Year 1"/>
    <n v="69"/>
    <n v="0"/>
    <n v="0"/>
    <n v="0"/>
    <n v="0"/>
    <n v="0"/>
    <n v="0"/>
    <n v="0"/>
    <n v="69"/>
    <n v="69"/>
    <n v="0"/>
    <n v="0"/>
    <n v="0"/>
    <n v="0"/>
    <n v="0"/>
    <n v="0"/>
    <n v="0"/>
    <n v="0"/>
    <n v="0"/>
    <n v="0"/>
    <n v="0"/>
    <n v="0"/>
    <n v="0"/>
    <n v="0"/>
    <n v="0"/>
    <m/>
    <n v="0"/>
    <m/>
    <n v="0"/>
    <n v="0"/>
    <n v="0"/>
    <n v="0"/>
    <n v="0"/>
    <n v="0"/>
    <n v="0"/>
    <n v="0"/>
    <n v="0"/>
    <n v="0"/>
    <n v="0"/>
    <n v="0"/>
    <n v="0"/>
    <n v="0"/>
    <n v="0"/>
    <n v="0"/>
    <n v="0"/>
    <n v="0"/>
    <n v="0"/>
    <n v="0"/>
    <n v="0"/>
    <n v="0"/>
    <n v="0"/>
    <n v="0"/>
    <n v="0"/>
    <n v="0"/>
    <n v="0"/>
    <n v="0"/>
    <n v="0"/>
    <n v="0"/>
    <n v="0"/>
    <n v="0"/>
    <n v="0"/>
    <n v="0"/>
    <n v="0"/>
    <n v="0"/>
    <n v="0"/>
    <n v="0"/>
    <n v="0"/>
    <n v="0"/>
    <n v="0"/>
    <n v="0"/>
    <n v="0"/>
    <n v="0"/>
    <n v="0"/>
    <n v="0"/>
    <m/>
    <m/>
    <m/>
    <m/>
    <m/>
    <m/>
    <m/>
    <m/>
    <m/>
    <m/>
    <m/>
    <m/>
    <m/>
    <m/>
    <m/>
    <m/>
    <m/>
    <m/>
    <m/>
    <m/>
    <m/>
    <n v="345"/>
    <n v="0"/>
    <n v="0"/>
    <n v="0"/>
    <n v="0"/>
    <n v="0"/>
    <n v="0"/>
    <n v="0"/>
    <n v="345"/>
    <n v="690"/>
    <n v="0"/>
    <n v="0"/>
    <n v="0"/>
    <n v="0"/>
    <n v="0"/>
    <n v="0"/>
    <n v="0"/>
    <n v="0"/>
    <n v="0"/>
    <n v="0"/>
    <n v="0"/>
    <n v="0"/>
    <n v="0"/>
    <n v="0"/>
    <n v="0"/>
    <n v="0"/>
    <n v="0"/>
    <n v="0"/>
    <n v="0"/>
    <n v="0"/>
    <n v="0"/>
    <n v="0"/>
    <n v="0"/>
    <n v="0"/>
    <n v="0"/>
    <n v="0"/>
    <n v="0"/>
    <n v="0"/>
    <n v="0"/>
    <n v="0"/>
    <n v="0"/>
    <n v="0"/>
    <n v="0"/>
    <n v="0"/>
    <n v="0"/>
    <n v="0"/>
    <n v="0"/>
    <n v="0"/>
    <n v="0"/>
    <n v="0"/>
    <n v="0"/>
    <n v="0"/>
    <n v="0"/>
    <n v="0"/>
    <n v="0"/>
    <n v="0"/>
    <n v="0"/>
    <n v="0"/>
    <n v="1380"/>
    <n v="1462.8000000000002"/>
    <s v=" "/>
    <s v=" "/>
    <s v=" "/>
    <s v=" "/>
    <s v=" "/>
    <s v=" "/>
    <s v=" "/>
    <s v=" "/>
    <s v=" "/>
    <s v=" "/>
    <s v=" "/>
    <s v=" "/>
    <s v=" "/>
    <s v=" "/>
    <x v="35"/>
    <x v="0"/>
    <x v="0"/>
    <x v="0"/>
    <x v="0"/>
    <x v="1"/>
    <x v="0"/>
    <x v="0"/>
    <x v="36"/>
    <x v="37"/>
    <x v="1"/>
    <x v="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20"/>
    <s v="Ecologs"/>
    <s v="Ecologs"/>
    <s v="KS20_010"/>
    <x v="5"/>
    <n v="29.994059167"/>
    <n v="-25.825518611"/>
    <s v="29° 59' 38.61&quot;E "/>
    <s v="25° 49' 31.86&quot; S"/>
    <s v="Complete"/>
    <s v="Yes"/>
    <s v="Yes"/>
    <d v="2017-04-28T00:00:00"/>
    <s v="YES "/>
    <m/>
    <s v="NBC-GTW-CL-0057"/>
    <s v="Yes"/>
    <s v="00"/>
    <d v="2018-06-16T00:00:00"/>
    <s v="Phase 1"/>
    <s v="Year 1"/>
    <n v="0"/>
    <n v="0"/>
    <n v="0"/>
    <n v="0"/>
    <n v="0"/>
    <n v="3.5999999999999996"/>
    <n v="0"/>
    <m/>
    <n v="0"/>
    <n v="0"/>
    <n v="0"/>
    <n v="3.5999999999999996"/>
    <n v="0"/>
    <n v="0"/>
    <n v="0"/>
    <n v="0"/>
    <n v="0"/>
    <n v="0"/>
    <n v="0"/>
    <n v="0"/>
    <n v="0"/>
    <n v="0"/>
    <n v="0"/>
    <n v="0"/>
    <n v="0"/>
    <m/>
    <n v="0"/>
    <m/>
    <n v="0"/>
    <n v="0"/>
    <n v="0"/>
    <n v="0"/>
    <n v="0"/>
    <n v="0"/>
    <n v="0"/>
    <n v="0"/>
    <n v="0"/>
    <n v="0"/>
    <n v="0"/>
    <n v="0"/>
    <n v="0"/>
    <n v="0"/>
    <n v="0"/>
    <n v="0"/>
    <n v="0"/>
    <n v="0"/>
    <n v="0"/>
    <n v="0"/>
    <n v="0"/>
    <n v="0"/>
    <n v="0"/>
    <n v="0"/>
    <n v="0"/>
    <n v="0"/>
    <n v="0"/>
    <n v="0"/>
    <n v="0"/>
    <n v="0"/>
    <n v="0"/>
    <n v="0"/>
    <n v="0"/>
    <n v="0"/>
    <n v="20"/>
    <n v="0"/>
    <n v="0"/>
    <n v="0"/>
    <n v="0"/>
    <n v="0"/>
    <n v="0"/>
    <n v="0"/>
    <n v="0"/>
    <n v="0"/>
    <n v="0"/>
    <n v="0"/>
    <n v="0"/>
    <n v="0"/>
    <n v="0"/>
    <n v="0"/>
    <n v="0"/>
    <n v="0"/>
    <n v="0"/>
    <n v="0"/>
    <n v="0"/>
    <n v="0"/>
    <n v="0"/>
    <n v="0"/>
    <m/>
    <m/>
    <m/>
    <m/>
    <m/>
    <m/>
    <m/>
    <m/>
    <m/>
    <n v="0"/>
    <n v="0"/>
    <n v="0"/>
    <n v="0"/>
    <n v="0"/>
    <n v="305.99999999999994"/>
    <n v="0"/>
    <n v="0"/>
    <n v="0"/>
    <n v="0"/>
    <n v="21.599999999999998"/>
    <n v="0"/>
    <n v="0"/>
    <n v="0"/>
    <n v="0"/>
    <n v="0"/>
    <n v="0"/>
    <n v="0"/>
    <n v="0"/>
    <n v="0"/>
    <n v="0"/>
    <n v="0"/>
    <n v="0"/>
    <n v="0"/>
    <n v="0"/>
    <n v="0"/>
    <n v="18000"/>
    <n v="0"/>
    <n v="0"/>
    <n v="0"/>
    <n v="0"/>
    <n v="0"/>
    <n v="0"/>
    <n v="0"/>
    <n v="0"/>
    <n v="0"/>
    <n v="0"/>
    <n v="0"/>
    <n v="0"/>
    <n v="0"/>
    <n v="0"/>
    <n v="0"/>
    <n v="0"/>
    <n v="0"/>
    <n v="0"/>
    <n v="0"/>
    <n v="0"/>
    <n v="0"/>
    <n v="0"/>
    <n v="0"/>
    <n v="0"/>
    <n v="0"/>
    <n v="0"/>
    <n v="0"/>
    <n v="0"/>
    <n v="0"/>
    <n v="0"/>
    <n v="0"/>
    <n v="18327.599999999999"/>
    <n v="19427.256000000001"/>
    <s v=" "/>
    <s v=" "/>
    <s v=" "/>
    <s v=" "/>
    <s v=" "/>
    <s v=" "/>
    <s v=" "/>
    <s v=" "/>
    <s v=" "/>
    <s v=" "/>
    <s v=" "/>
    <s v=" "/>
    <s v=" "/>
    <s v=" "/>
    <x v="0"/>
    <x v="0"/>
    <x v="0"/>
    <x v="0"/>
    <x v="0"/>
    <x v="67"/>
    <x v="0"/>
    <x v="0"/>
    <x v="0"/>
    <x v="4"/>
    <x v="1"/>
    <x v="3"/>
    <x v="0"/>
    <x v="0"/>
    <x v="0"/>
    <x v="0"/>
    <x v="0"/>
    <x v="0"/>
    <x v="0"/>
    <x v="0"/>
    <x v="0"/>
    <x v="0"/>
    <x v="0"/>
    <x v="0"/>
    <x v="0"/>
    <x v="0"/>
    <x v="0"/>
    <x v="0"/>
    <x v="0"/>
    <x v="0"/>
    <x v="0"/>
    <x v="0"/>
    <x v="0"/>
    <x v="0"/>
    <x v="0"/>
    <x v="0"/>
    <x v="0"/>
    <x v="0"/>
    <x v="0"/>
    <x v="0"/>
    <x v="0"/>
    <x v="0"/>
    <x v="0"/>
    <x v="0"/>
    <x v="0"/>
    <x v="0"/>
    <x v="0"/>
    <x v="0"/>
    <x v="0"/>
    <x v="0"/>
    <x v="0"/>
    <x v="0"/>
    <x v="0"/>
    <x v="0"/>
    <x v="0"/>
    <x v="0"/>
    <x v="0"/>
    <x v="0"/>
    <x v="0"/>
    <x v="0"/>
    <x v="7"/>
    <x v="0"/>
    <x v="0"/>
    <x v="0"/>
    <x v="0"/>
    <x v="0"/>
    <x v="0"/>
    <x v="0"/>
    <x v="0"/>
    <x v="0"/>
    <x v="0"/>
    <x v="0"/>
    <x v="0"/>
  </r>
  <r>
    <s v="KS20"/>
    <s v="Backfilling Main Channel"/>
    <s v="Backfilling Main Channel"/>
    <s v="KS20_011"/>
    <x v="5"/>
    <m/>
    <m/>
    <m/>
    <m/>
    <m/>
    <m/>
    <m/>
    <m/>
    <m/>
    <m/>
    <s v="No Drawing"/>
    <m/>
    <s v="00"/>
    <d v="2018-12-07T00:00:00"/>
    <s v="Phase 1"/>
    <s v="Year 1"/>
    <m/>
    <m/>
    <m/>
    <m/>
    <m/>
    <n v="950"/>
    <m/>
    <m/>
    <n v="6700"/>
    <n v="6700"/>
    <m/>
    <m/>
    <m/>
    <m/>
    <m/>
    <m/>
    <m/>
    <m/>
    <m/>
    <m/>
    <m/>
    <m/>
    <m/>
    <m/>
    <m/>
    <m/>
    <m/>
    <m/>
    <m/>
    <m/>
    <m/>
    <m/>
    <m/>
    <m/>
    <n v="5730"/>
    <m/>
    <m/>
    <m/>
    <m/>
    <m/>
    <m/>
    <m/>
    <m/>
    <m/>
    <m/>
    <m/>
    <m/>
    <m/>
    <m/>
    <m/>
    <m/>
    <m/>
    <m/>
    <m/>
    <m/>
    <m/>
    <m/>
    <m/>
    <m/>
    <m/>
    <m/>
    <m/>
    <m/>
    <m/>
    <m/>
    <m/>
    <m/>
    <m/>
    <m/>
    <m/>
    <m/>
    <m/>
    <m/>
    <m/>
    <m/>
    <m/>
    <m/>
    <m/>
    <m/>
    <m/>
    <m/>
    <m/>
    <m/>
    <m/>
    <m/>
    <m/>
    <m/>
    <m/>
    <m/>
    <m/>
    <m/>
    <m/>
    <m/>
    <m/>
    <m/>
    <n v="0"/>
    <n v="0"/>
    <n v="0"/>
    <n v="0"/>
    <n v="0"/>
    <n v="80750"/>
    <n v="0"/>
    <n v="0"/>
    <n v="33500"/>
    <n v="67000"/>
    <n v="0"/>
    <n v="0"/>
    <n v="0"/>
    <n v="0"/>
    <n v="0"/>
    <n v="0"/>
    <n v="0"/>
    <n v="0"/>
    <n v="0"/>
    <n v="0"/>
    <n v="687600"/>
    <n v="0"/>
    <n v="0"/>
    <n v="0"/>
    <n v="0"/>
    <n v="0"/>
    <n v="0"/>
    <n v="0"/>
    <n v="0"/>
    <n v="0"/>
    <n v="0"/>
    <n v="0"/>
    <n v="0"/>
    <n v="0"/>
    <n v="0"/>
    <n v="0"/>
    <n v="0"/>
    <n v="0"/>
    <n v="0"/>
    <n v="0"/>
    <n v="0"/>
    <n v="0"/>
    <n v="0"/>
    <n v="0"/>
    <n v="0"/>
    <n v="0"/>
    <n v="0"/>
    <n v="0"/>
    <n v="0"/>
    <n v="0"/>
    <n v="0"/>
    <n v="0"/>
    <n v="0"/>
    <n v="0"/>
    <n v="0"/>
    <n v="0"/>
    <n v="0"/>
    <n v="0"/>
    <n v="868850"/>
    <n v="920981"/>
    <s v=" "/>
    <s v=" "/>
    <s v=" "/>
    <s v=" "/>
    <s v=" "/>
    <s v=" "/>
    <s v=" "/>
    <s v=" "/>
    <s v=" "/>
    <s v=" "/>
    <s v=" "/>
    <s v=" "/>
    <s v=" "/>
    <s v=" "/>
    <x v="0"/>
    <x v="0"/>
    <x v="0"/>
    <x v="0"/>
    <x v="0"/>
    <x v="68"/>
    <x v="0"/>
    <x v="0"/>
    <x v="37"/>
    <x v="38"/>
    <x v="1"/>
    <x v="1"/>
    <x v="0"/>
    <x v="0"/>
    <x v="0"/>
    <x v="0"/>
    <x v="0"/>
    <x v="0"/>
    <x v="0"/>
    <x v="0"/>
    <x v="0"/>
    <x v="0"/>
    <x v="0"/>
    <x v="0"/>
    <x v="0"/>
    <x v="0"/>
    <x v="0"/>
    <x v="0"/>
    <x v="0"/>
    <x v="0"/>
    <x v="0"/>
    <x v="0"/>
    <x v="23"/>
    <x v="0"/>
    <x v="0"/>
    <x v="0"/>
    <x v="0"/>
    <x v="0"/>
    <x v="0"/>
    <x v="0"/>
    <x v="0"/>
    <x v="0"/>
    <x v="0"/>
    <x v="0"/>
    <x v="0"/>
    <x v="0"/>
    <x v="0"/>
    <x v="0"/>
    <x v="0"/>
    <x v="0"/>
    <x v="0"/>
    <x v="0"/>
    <x v="0"/>
    <x v="0"/>
    <x v="0"/>
    <x v="0"/>
    <x v="0"/>
    <x v="0"/>
    <x v="0"/>
    <x v="0"/>
    <x v="0"/>
    <x v="0"/>
    <x v="0"/>
    <x v="0"/>
    <x v="0"/>
    <x v="0"/>
    <x v="0"/>
    <x v="0"/>
    <x v="0"/>
    <x v="0"/>
    <x v="0"/>
    <x v="0"/>
    <x v="0"/>
  </r>
  <r>
    <s v="KS21"/>
    <s v="10° sloped Grouted Pitching (Light)"/>
    <s v="Grouted Pitched Chute"/>
    <s v="KS21_001"/>
    <x v="5"/>
    <n v="30.006223842000001"/>
    <n v="-25.827724391"/>
    <s v="30° 00' 22.40&quot;E "/>
    <s v="25° 49' 39.80&quot; S"/>
    <s v="Complete"/>
    <s v="Yes"/>
    <s v="Yes"/>
    <d v="2017-02-03T00:00:00"/>
    <s v="YES"/>
    <m/>
    <s v="NBC-GTW-CL-0038"/>
    <s v="Yes"/>
    <s v="00"/>
    <d v="2018-06-16T00:00:00"/>
    <s v="Phase 1"/>
    <s v="Year 1"/>
    <n v="38"/>
    <n v="0"/>
    <n v="0"/>
    <n v="0"/>
    <n v="0"/>
    <n v="20"/>
    <n v="0"/>
    <n v="1"/>
    <n v="0"/>
    <n v="0"/>
    <n v="0"/>
    <n v="20"/>
    <n v="0"/>
    <n v="0"/>
    <n v="0"/>
    <n v="0"/>
    <n v="0"/>
    <n v="0"/>
    <n v="0"/>
    <n v="0"/>
    <n v="0"/>
    <n v="0"/>
    <n v="0"/>
    <n v="0"/>
    <n v="0"/>
    <m/>
    <n v="0"/>
    <m/>
    <n v="0"/>
    <n v="0"/>
    <n v="0"/>
    <n v="0"/>
    <n v="0"/>
    <n v="0"/>
    <n v="0"/>
    <n v="0"/>
    <n v="0"/>
    <n v="0"/>
    <n v="0"/>
    <n v="0"/>
    <n v="0"/>
    <n v="0"/>
    <n v="0"/>
    <n v="0"/>
    <n v="0"/>
    <n v="0"/>
    <n v="0"/>
    <n v="0"/>
    <n v="0"/>
    <n v="0"/>
    <n v="0"/>
    <n v="0"/>
    <n v="0"/>
    <n v="0"/>
    <n v="0"/>
    <n v="0"/>
    <n v="0"/>
    <n v="0"/>
    <n v="50"/>
    <n v="0"/>
    <n v="0"/>
    <n v="0"/>
    <n v="0"/>
    <n v="0"/>
    <n v="0"/>
    <n v="0"/>
    <n v="0"/>
    <n v="0"/>
    <n v="0"/>
    <n v="0"/>
    <n v="0"/>
    <n v="0"/>
    <n v="0"/>
    <n v="0"/>
    <m/>
    <m/>
    <m/>
    <m/>
    <m/>
    <m/>
    <m/>
    <m/>
    <m/>
    <m/>
    <m/>
    <m/>
    <m/>
    <m/>
    <m/>
    <m/>
    <m/>
    <m/>
    <m/>
    <m/>
    <m/>
    <n v="190"/>
    <n v="0"/>
    <n v="0"/>
    <n v="0"/>
    <n v="0"/>
    <n v="1700"/>
    <n v="0"/>
    <n v="500"/>
    <n v="0"/>
    <n v="0"/>
    <n v="120"/>
    <n v="0"/>
    <n v="0"/>
    <n v="0"/>
    <n v="0"/>
    <n v="0"/>
    <n v="0"/>
    <n v="0"/>
    <n v="0"/>
    <n v="0"/>
    <n v="0"/>
    <n v="0"/>
    <n v="0"/>
    <n v="37500"/>
    <n v="0"/>
    <n v="0"/>
    <n v="0"/>
    <n v="0"/>
    <n v="0"/>
    <n v="0"/>
    <n v="0"/>
    <n v="0"/>
    <n v="0"/>
    <n v="0"/>
    <n v="0"/>
    <n v="0"/>
    <n v="0"/>
    <n v="0"/>
    <n v="0"/>
    <n v="0"/>
    <n v="0"/>
    <n v="0"/>
    <n v="0"/>
    <n v="0"/>
    <n v="0"/>
    <n v="0"/>
    <n v="0"/>
    <n v="0"/>
    <n v="0"/>
    <n v="0"/>
    <n v="0"/>
    <n v="0"/>
    <n v="0"/>
    <n v="0"/>
    <n v="0"/>
    <n v="0"/>
    <n v="0"/>
    <n v="0"/>
    <n v="40010"/>
    <n v="42410.6"/>
    <s v=" "/>
    <s v=" "/>
    <s v=" "/>
    <s v=" "/>
    <s v=" "/>
    <s v=" "/>
    <s v=" "/>
    <s v=" "/>
    <s v=" "/>
    <s v=" "/>
    <s v=" "/>
    <s v=" "/>
    <s v=" "/>
    <s v=" "/>
    <x v="36"/>
    <x v="0"/>
    <x v="0"/>
    <x v="0"/>
    <x v="0"/>
    <x v="69"/>
    <x v="0"/>
    <x v="13"/>
    <x v="0"/>
    <x v="4"/>
    <x v="1"/>
    <x v="4"/>
    <x v="0"/>
    <x v="0"/>
    <x v="0"/>
    <x v="0"/>
    <x v="0"/>
    <x v="0"/>
    <x v="0"/>
    <x v="0"/>
    <x v="0"/>
    <x v="0"/>
    <x v="0"/>
    <x v="0"/>
    <x v="0"/>
    <x v="0"/>
    <x v="0"/>
    <x v="0"/>
    <x v="0"/>
    <x v="0"/>
    <x v="0"/>
    <x v="0"/>
    <x v="0"/>
    <x v="0"/>
    <x v="0"/>
    <x v="0"/>
    <x v="0"/>
    <x v="0"/>
    <x v="0"/>
    <x v="0"/>
    <x v="0"/>
    <x v="0"/>
    <x v="0"/>
    <x v="0"/>
    <x v="0"/>
    <x v="0"/>
    <x v="0"/>
    <x v="0"/>
    <x v="0"/>
    <x v="0"/>
    <x v="0"/>
    <x v="0"/>
    <x v="0"/>
    <x v="0"/>
    <x v="0"/>
    <x v="0"/>
    <x v="1"/>
    <x v="0"/>
    <x v="0"/>
    <x v="0"/>
    <x v="0"/>
    <x v="0"/>
    <x v="0"/>
    <x v="0"/>
    <x v="0"/>
    <x v="0"/>
    <x v="0"/>
    <x v="0"/>
    <x v="0"/>
    <x v="0"/>
    <x v="0"/>
    <x v="0"/>
    <x v="0"/>
  </r>
  <r>
    <s v="KS21"/>
    <s v="Concrete Drop Inlet"/>
    <s v="Concrete"/>
    <s v="KS21_003"/>
    <x v="5"/>
    <n v="30.005540703000001"/>
    <n v="-25.827672228000001"/>
    <s v="30° 00' 19.94&quot;E "/>
    <s v="25° 49' 39.62&quot; S"/>
    <s v="Complete"/>
    <s v="Yes"/>
    <s v="Yes"/>
    <d v="2017-02-06T00:00:00"/>
    <s v="YES"/>
    <m/>
    <s v="NBC-GTW-CL-0039"/>
    <s v="Yes"/>
    <s v="00"/>
    <d v="2018-06-16T00:00:00"/>
    <s v="Phase 1"/>
    <s v="Year 1"/>
    <n v="22.240000000000002"/>
    <n v="0"/>
    <n v="0"/>
    <n v="0"/>
    <n v="0"/>
    <n v="25.787750000000003"/>
    <n v="2.5787750000000003"/>
    <n v="1.2893875000000001"/>
    <n v="22.240000000000002"/>
    <n v="22.240000000000002"/>
    <n v="0"/>
    <n v="25.787750000000003"/>
    <n v="24.792749999999998"/>
    <n v="52.660000000000004"/>
    <n v="0"/>
    <n v="0"/>
    <s v="Ref 888"/>
    <n v="23.832599999999999"/>
    <s v="Ref 655"/>
    <n v="42.578400000000002"/>
    <n v="0"/>
    <n v="40.887319357676404"/>
    <n v="0"/>
    <n v="4.25"/>
    <n v="0"/>
    <m/>
    <n v="0"/>
    <m/>
    <n v="0"/>
    <n v="0"/>
    <n v="9.5449999999999999"/>
    <n v="0"/>
    <n v="0"/>
    <n v="0"/>
    <n v="0"/>
    <n v="0"/>
    <n v="0"/>
    <n v="0"/>
    <n v="0"/>
    <n v="0"/>
    <n v="0"/>
    <n v="0"/>
    <n v="0"/>
    <n v="0"/>
    <n v="0"/>
    <n v="0"/>
    <n v="0"/>
    <n v="0"/>
    <n v="0"/>
    <n v="0"/>
    <n v="0"/>
    <n v="0"/>
    <n v="0"/>
    <n v="0"/>
    <n v="0"/>
    <n v="0"/>
    <n v="0"/>
    <n v="0"/>
    <n v="0"/>
    <n v="0"/>
    <n v="0"/>
    <n v="0"/>
    <n v="0"/>
    <n v="0"/>
    <n v="0"/>
    <n v="0"/>
    <n v="0"/>
    <n v="0"/>
    <n v="0"/>
    <n v="0"/>
    <n v="0"/>
    <n v="0"/>
    <n v="0"/>
    <n v="0"/>
    <m/>
    <m/>
    <m/>
    <m/>
    <m/>
    <m/>
    <m/>
    <m/>
    <m/>
    <m/>
    <m/>
    <m/>
    <m/>
    <m/>
    <m/>
    <m/>
    <m/>
    <m/>
    <m/>
    <m/>
    <m/>
    <n v="111.20000000000002"/>
    <n v="0"/>
    <n v="0"/>
    <n v="0"/>
    <n v="0"/>
    <n v="2191.9587500000002"/>
    <n v="322.34687500000001"/>
    <n v="644.69375000000002"/>
    <n v="111.20000000000002"/>
    <n v="222.40000000000003"/>
    <n v="154.72650000000002"/>
    <n v="49585.499999999993"/>
    <n v="15798.000000000002"/>
    <n v="0"/>
    <n v="0"/>
    <n v="1328.22"/>
    <n v="29339.257582489663"/>
    <n v="286.35000000000002"/>
    <n v="0"/>
    <n v="0"/>
    <n v="0"/>
    <n v="0"/>
    <n v="0"/>
    <n v="0"/>
    <n v="0"/>
    <n v="0"/>
    <n v="0"/>
    <n v="0"/>
    <n v="0"/>
    <n v="0"/>
    <n v="0"/>
    <n v="0"/>
    <n v="0"/>
    <n v="0"/>
    <n v="0"/>
    <n v="0"/>
    <n v="0"/>
    <n v="0"/>
    <n v="0"/>
    <n v="0"/>
    <n v="0"/>
    <n v="0"/>
    <n v="0"/>
    <n v="0"/>
    <n v="0"/>
    <n v="0"/>
    <n v="0"/>
    <n v="0"/>
    <n v="0"/>
    <n v="0"/>
    <n v="0"/>
    <n v="0"/>
    <n v="0"/>
    <n v="0"/>
    <n v="0"/>
    <n v="0"/>
    <n v="0"/>
    <n v="0"/>
    <n v="100095.85345748966"/>
    <n v="106101.60466493905"/>
    <s v=" "/>
    <s v=" "/>
    <s v=" "/>
    <s v=" "/>
    <s v=" "/>
    <s v=" "/>
    <s v=" "/>
    <s v=" "/>
    <s v=" "/>
    <s v=" "/>
    <s v=" "/>
    <s v=" "/>
    <s v=" "/>
    <s v=" "/>
    <x v="37"/>
    <x v="0"/>
    <x v="0"/>
    <x v="0"/>
    <x v="0"/>
    <x v="70"/>
    <x v="6"/>
    <x v="14"/>
    <x v="38"/>
    <x v="39"/>
    <x v="1"/>
    <x v="5"/>
    <x v="54"/>
    <x v="15"/>
    <x v="0"/>
    <x v="0"/>
    <x v="17"/>
    <x v="13"/>
    <x v="0"/>
    <x v="13"/>
    <x v="0"/>
    <x v="17"/>
    <x v="0"/>
    <x v="0"/>
    <x v="0"/>
    <x v="0"/>
    <x v="0"/>
    <x v="0"/>
    <x v="42"/>
    <x v="0"/>
    <x v="0"/>
    <x v="0"/>
    <x v="0"/>
    <x v="0"/>
    <x v="0"/>
    <x v="0"/>
    <x v="0"/>
    <x v="0"/>
    <x v="0"/>
    <x v="0"/>
    <x v="0"/>
    <x v="0"/>
    <x v="0"/>
    <x v="0"/>
    <x v="0"/>
    <x v="0"/>
    <x v="0"/>
    <x v="0"/>
    <x v="0"/>
    <x v="0"/>
    <x v="0"/>
    <x v="0"/>
    <x v="0"/>
    <x v="0"/>
    <x v="0"/>
    <x v="0"/>
    <x v="0"/>
    <x v="0"/>
    <x v="0"/>
    <x v="0"/>
    <x v="0"/>
    <x v="0"/>
    <x v="0"/>
    <x v="0"/>
    <x v="0"/>
    <x v="0"/>
    <x v="0"/>
    <x v="0"/>
    <x v="0"/>
    <x v="0"/>
    <x v="0"/>
    <x v="0"/>
    <x v="0"/>
  </r>
  <r>
    <s v="KS21"/>
    <s v="Concrete Drop Inlet"/>
    <s v="Concrete"/>
    <s v="KS21_005"/>
    <x v="5"/>
    <n v="30.004772316"/>
    <n v="-25.827668378999999"/>
    <s v="30° 00' 17.18&quot;E "/>
    <s v="25° 49' 39.60&quot; S"/>
    <s v="Complete"/>
    <s v="Yes"/>
    <s v="Yes"/>
    <d v="2017-02-06T00:00:00"/>
    <s v="YES"/>
    <m/>
    <s v="NBC-GTW-CL-0040"/>
    <s v="Yes"/>
    <s v="00"/>
    <d v="2018-06-16T00:00:00"/>
    <s v="Phase 1"/>
    <s v="Year 1"/>
    <n v="22.240000000000002"/>
    <n v="0"/>
    <n v="0"/>
    <n v="0"/>
    <n v="0"/>
    <n v="25.787750000000003"/>
    <n v="2.5787750000000003"/>
    <n v="1.2893875000000001"/>
    <n v="22.240000000000002"/>
    <n v="22.240000000000002"/>
    <n v="0"/>
    <n v="25.787750000000003"/>
    <n v="24.792749999999998"/>
    <n v="52.660000000000004"/>
    <n v="0"/>
    <n v="0"/>
    <s v="Ref 888"/>
    <n v="23.832599999999999"/>
    <s v="Ref 655"/>
    <n v="42.578400000000002"/>
    <n v="0"/>
    <n v="40.887319357676404"/>
    <n v="0"/>
    <n v="4.25"/>
    <n v="0"/>
    <m/>
    <n v="0"/>
    <m/>
    <n v="0"/>
    <n v="0"/>
    <n v="9.5449999999999999"/>
    <n v="0"/>
    <n v="0"/>
    <n v="0"/>
    <n v="0"/>
    <n v="0"/>
    <n v="0"/>
    <n v="0"/>
    <n v="0"/>
    <n v="0"/>
    <n v="0"/>
    <n v="0"/>
    <n v="0"/>
    <n v="0"/>
    <n v="0"/>
    <n v="0"/>
    <n v="0"/>
    <n v="0"/>
    <n v="0"/>
    <n v="0"/>
    <n v="0"/>
    <n v="0"/>
    <n v="0"/>
    <n v="0"/>
    <n v="0"/>
    <n v="0"/>
    <n v="0"/>
    <n v="0"/>
    <n v="0"/>
    <n v="0"/>
    <m/>
    <m/>
    <m/>
    <m/>
    <m/>
    <m/>
    <m/>
    <m/>
    <m/>
    <m/>
    <m/>
    <m/>
    <m/>
    <m/>
    <m/>
    <m/>
    <m/>
    <m/>
    <m/>
    <m/>
    <m/>
    <m/>
    <m/>
    <m/>
    <m/>
    <m/>
    <m/>
    <m/>
    <m/>
    <m/>
    <m/>
    <m/>
    <m/>
    <m/>
    <m/>
    <n v="111.20000000000002"/>
    <n v="0"/>
    <n v="0"/>
    <n v="0"/>
    <n v="0"/>
    <n v="2191.9587500000002"/>
    <n v="322.34687500000001"/>
    <n v="644.69375000000002"/>
    <n v="111.20000000000002"/>
    <n v="222.40000000000003"/>
    <n v="154.72650000000002"/>
    <n v="49585.499999999993"/>
    <n v="15798.000000000002"/>
    <n v="0"/>
    <n v="0"/>
    <n v="1328.22"/>
    <n v="29339.257582489663"/>
    <n v="286.35000000000002"/>
    <n v="0"/>
    <n v="0"/>
    <n v="0"/>
    <n v="0"/>
    <n v="0"/>
    <n v="0"/>
    <n v="0"/>
    <n v="0"/>
    <n v="0"/>
    <n v="0"/>
    <n v="0"/>
    <n v="0"/>
    <n v="0"/>
    <n v="0"/>
    <n v="0"/>
    <n v="0"/>
    <n v="0"/>
    <n v="0"/>
    <n v="0"/>
    <n v="0"/>
    <n v="0"/>
    <n v="0"/>
    <n v="0"/>
    <n v="0"/>
    <n v="0"/>
    <n v="0"/>
    <n v="0"/>
    <n v="0"/>
    <n v="0"/>
    <n v="0"/>
    <n v="0"/>
    <n v="0"/>
    <n v="0"/>
    <n v="0"/>
    <n v="0"/>
    <n v="0"/>
    <n v="0"/>
    <n v="0"/>
    <n v="0"/>
    <n v="0"/>
    <n v="100095.85345748966"/>
    <n v="106101.60466493905"/>
    <s v=" "/>
    <s v=" "/>
    <s v=" "/>
    <s v=" "/>
    <s v=" "/>
    <s v=" "/>
    <s v=" "/>
    <s v=" "/>
    <s v=" "/>
    <s v=" "/>
    <s v=" "/>
    <s v=" "/>
    <s v=" "/>
    <s v=" "/>
    <x v="38"/>
    <x v="0"/>
    <x v="0"/>
    <x v="0"/>
    <x v="0"/>
    <x v="71"/>
    <x v="7"/>
    <x v="15"/>
    <x v="39"/>
    <x v="40"/>
    <x v="1"/>
    <x v="6"/>
    <x v="55"/>
    <x v="16"/>
    <x v="0"/>
    <x v="0"/>
    <x v="18"/>
    <x v="14"/>
    <x v="0"/>
    <x v="14"/>
    <x v="0"/>
    <x v="18"/>
    <x v="0"/>
    <x v="0"/>
    <x v="0"/>
    <x v="0"/>
    <x v="0"/>
    <x v="0"/>
    <x v="43"/>
    <x v="0"/>
    <x v="0"/>
    <x v="0"/>
    <x v="0"/>
    <x v="0"/>
    <x v="0"/>
    <x v="0"/>
    <x v="0"/>
    <x v="0"/>
    <x v="0"/>
    <x v="0"/>
    <x v="0"/>
    <x v="0"/>
    <x v="0"/>
    <x v="0"/>
    <x v="0"/>
    <x v="0"/>
    <x v="0"/>
    <x v="0"/>
    <x v="0"/>
    <x v="0"/>
    <x v="0"/>
    <x v="0"/>
    <x v="0"/>
    <x v="0"/>
    <x v="0"/>
    <x v="0"/>
    <x v="0"/>
    <x v="0"/>
    <x v="0"/>
    <x v="0"/>
    <x v="0"/>
    <x v="0"/>
    <x v="0"/>
    <x v="0"/>
    <x v="0"/>
    <x v="0"/>
    <x v="0"/>
    <x v="0"/>
    <x v="0"/>
    <x v="0"/>
    <x v="0"/>
    <x v="0"/>
    <x v="0"/>
  </r>
  <r>
    <s v="KS21"/>
    <s v="Concrete Check Wall"/>
    <s v="Concrete"/>
    <s v="KS21_006"/>
    <x v="5"/>
    <n v="30.003629429"/>
    <n v="-25.827472712999999"/>
    <s v="30° 00' 13.06&quot;E "/>
    <s v="25° 49' 38.90&quot; S"/>
    <s v="Complete"/>
    <s v="Yes"/>
    <s v="Yes"/>
    <d v="2017-02-06T00:00:00"/>
    <s v="YES"/>
    <m/>
    <s v="NBC-GTW-CL-0041"/>
    <s v="Yes"/>
    <s v="00"/>
    <d v="2018-06-16T00:00:00"/>
    <s v="Phase 1"/>
    <s v="Year 1"/>
    <m/>
    <m/>
    <m/>
    <m/>
    <m/>
    <n v="7.9799999999999986"/>
    <m/>
    <m/>
    <m/>
    <m/>
    <m/>
    <m/>
    <n v="7.9799999999999986"/>
    <m/>
    <m/>
    <m/>
    <m/>
    <m/>
    <m/>
    <m/>
    <m/>
    <m/>
    <m/>
    <m/>
    <m/>
    <m/>
    <m/>
    <m/>
    <m/>
    <m/>
    <m/>
    <m/>
    <m/>
    <m/>
    <m/>
    <m/>
    <m/>
    <m/>
    <m/>
    <m/>
    <m/>
    <m/>
    <m/>
    <m/>
    <m/>
    <m/>
    <m/>
    <m/>
    <m/>
    <m/>
    <m/>
    <m/>
    <m/>
    <m/>
    <m/>
    <m/>
    <m/>
    <m/>
    <m/>
    <m/>
    <m/>
    <m/>
    <m/>
    <m/>
    <m/>
    <m/>
    <m/>
    <m/>
    <m/>
    <m/>
    <m/>
    <m/>
    <m/>
    <m/>
    <m/>
    <m/>
    <m/>
    <m/>
    <m/>
    <m/>
    <m/>
    <m/>
    <m/>
    <m/>
    <m/>
    <m/>
    <m/>
    <m/>
    <m/>
    <m/>
    <m/>
    <m/>
    <m/>
    <m/>
    <m/>
    <n v="0"/>
    <n v="0"/>
    <n v="0"/>
    <n v="0"/>
    <n v="0"/>
    <n v="678.29999999999984"/>
    <n v="0"/>
    <n v="0"/>
    <n v="0"/>
    <n v="0"/>
    <n v="0"/>
    <n v="15959.999999999998"/>
    <n v="0"/>
    <n v="0"/>
    <n v="0"/>
    <n v="0"/>
    <n v="0"/>
    <n v="0"/>
    <n v="0"/>
    <n v="0"/>
    <n v="0"/>
    <n v="0"/>
    <n v="0"/>
    <n v="0"/>
    <n v="0"/>
    <n v="0"/>
    <n v="0"/>
    <n v="0"/>
    <n v="0"/>
    <n v="0"/>
    <n v="0"/>
    <n v="0"/>
    <n v="0"/>
    <n v="0"/>
    <n v="0"/>
    <n v="0"/>
    <n v="0"/>
    <n v="0"/>
    <n v="0"/>
    <n v="0"/>
    <n v="0"/>
    <n v="0"/>
    <n v="0"/>
    <n v="0"/>
    <n v="0"/>
    <n v="0"/>
    <n v="0"/>
    <n v="0"/>
    <n v="0"/>
    <n v="0"/>
    <n v="0"/>
    <n v="0"/>
    <n v="0"/>
    <n v="0"/>
    <n v="0"/>
    <n v="0"/>
    <n v="0"/>
    <n v="0"/>
    <n v="16638.3"/>
    <n v="17636.598000000002"/>
    <s v=" "/>
    <s v=" "/>
    <s v=" "/>
    <s v=" "/>
    <s v=" "/>
    <s v=" "/>
    <s v=" "/>
    <s v=" "/>
    <s v=" "/>
    <s v=" "/>
    <s v=" "/>
    <s v=" "/>
    <s v=" "/>
    <s v=" "/>
    <x v="0"/>
    <x v="0"/>
    <x v="0"/>
    <x v="0"/>
    <x v="0"/>
    <x v="72"/>
    <x v="0"/>
    <x v="0"/>
    <x v="0"/>
    <x v="4"/>
    <x v="1"/>
    <x v="1"/>
    <x v="56"/>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21"/>
    <s v="Concrete Check Wall"/>
    <s v="Concrete"/>
    <s v="KS21_007"/>
    <x v="5"/>
    <n v="30.003219906000002"/>
    <n v="-25.827183586"/>
    <s v="30° 00' 11.59&quot;E "/>
    <s v="25° 49' 37.86&quot; S"/>
    <s v="Complete"/>
    <s v="Yes"/>
    <s v="Yes"/>
    <d v="2017-02-06T00:00:00"/>
    <s v="YES"/>
    <m/>
    <s v="NBC-GTW-CL-0042"/>
    <s v="Yes"/>
    <s v="00"/>
    <d v="2018-06-16T00:00:00"/>
    <s v="Phase 1"/>
    <s v="Year 1"/>
    <m/>
    <m/>
    <m/>
    <m/>
    <m/>
    <n v="7.9799999999999986"/>
    <m/>
    <m/>
    <m/>
    <m/>
    <m/>
    <m/>
    <n v="7.9799999999999986"/>
    <m/>
    <m/>
    <m/>
    <m/>
    <m/>
    <m/>
    <m/>
    <m/>
    <m/>
    <m/>
    <m/>
    <m/>
    <m/>
    <m/>
    <m/>
    <m/>
    <m/>
    <m/>
    <m/>
    <m/>
    <m/>
    <m/>
    <m/>
    <m/>
    <m/>
    <m/>
    <m/>
    <m/>
    <m/>
    <m/>
    <m/>
    <m/>
    <m/>
    <m/>
    <m/>
    <m/>
    <m/>
    <m/>
    <m/>
    <m/>
    <m/>
    <m/>
    <m/>
    <m/>
    <m/>
    <m/>
    <m/>
    <m/>
    <m/>
    <m/>
    <m/>
    <m/>
    <m/>
    <m/>
    <m/>
    <m/>
    <m/>
    <m/>
    <m/>
    <m/>
    <m/>
    <m/>
    <m/>
    <m/>
    <m/>
    <m/>
    <m/>
    <m/>
    <m/>
    <m/>
    <m/>
    <m/>
    <m/>
    <m/>
    <m/>
    <m/>
    <m/>
    <m/>
    <m/>
    <m/>
    <m/>
    <m/>
    <n v="0"/>
    <n v="0"/>
    <n v="0"/>
    <n v="0"/>
    <n v="0"/>
    <n v="678.29999999999984"/>
    <n v="0"/>
    <n v="0"/>
    <n v="0"/>
    <n v="0"/>
    <n v="0"/>
    <n v="15959.999999999998"/>
    <n v="0"/>
    <n v="0"/>
    <n v="0"/>
    <n v="0"/>
    <n v="0"/>
    <n v="0"/>
    <n v="0"/>
    <n v="0"/>
    <n v="0"/>
    <n v="0"/>
    <n v="0"/>
    <n v="0"/>
    <n v="0"/>
    <n v="0"/>
    <n v="0"/>
    <n v="0"/>
    <n v="0"/>
    <n v="0"/>
    <n v="0"/>
    <n v="0"/>
    <n v="0"/>
    <n v="0"/>
    <n v="0"/>
    <n v="0"/>
    <n v="0"/>
    <n v="0"/>
    <n v="0"/>
    <n v="0"/>
    <n v="0"/>
    <n v="0"/>
    <n v="0"/>
    <n v="0"/>
    <n v="0"/>
    <n v="0"/>
    <n v="0"/>
    <n v="0"/>
    <n v="0"/>
    <n v="0"/>
    <n v="0"/>
    <n v="0"/>
    <n v="0"/>
    <n v="0"/>
    <n v="0"/>
    <n v="0"/>
    <n v="0"/>
    <n v="0"/>
    <n v="16638.3"/>
    <n v="17636.598000000002"/>
    <s v=" "/>
    <s v=" "/>
    <s v=" "/>
    <s v=" "/>
    <s v=" "/>
    <s v=" "/>
    <s v=" "/>
    <s v=" "/>
    <s v=" "/>
    <s v=" "/>
    <s v=" "/>
    <s v=" "/>
    <s v=" "/>
    <s v=" "/>
    <x v="0"/>
    <x v="0"/>
    <x v="0"/>
    <x v="0"/>
    <x v="0"/>
    <x v="73"/>
    <x v="0"/>
    <x v="0"/>
    <x v="0"/>
    <x v="4"/>
    <x v="1"/>
    <x v="1"/>
    <x v="57"/>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21"/>
    <s v="Concrete Check Wall"/>
    <s v="Concrete"/>
    <s v="KS21_009"/>
    <x v="5"/>
    <n v="30.002610442000002"/>
    <n v="-25.826997409000001"/>
    <s v="30° 00' 09.39&quot;E "/>
    <s v="25° 49' 37.19&quot; S"/>
    <s v="Complete"/>
    <s v="Yes"/>
    <s v="Yes"/>
    <d v="2017-02-06T00:00:00"/>
    <s v="YES"/>
    <m/>
    <s v="NBC-GTW-CL-0043"/>
    <s v="Yes"/>
    <s v="00"/>
    <d v="2018-06-16T00:00:00"/>
    <s v="Phase 1"/>
    <s v="Year 1"/>
    <m/>
    <m/>
    <m/>
    <m/>
    <m/>
    <n v="7.9799999999999986"/>
    <m/>
    <m/>
    <m/>
    <m/>
    <m/>
    <m/>
    <n v="7.9799999999999986"/>
    <m/>
    <m/>
    <m/>
    <m/>
    <m/>
    <m/>
    <m/>
    <m/>
    <m/>
    <m/>
    <m/>
    <m/>
    <m/>
    <m/>
    <m/>
    <m/>
    <m/>
    <m/>
    <m/>
    <m/>
    <m/>
    <m/>
    <m/>
    <m/>
    <m/>
    <m/>
    <m/>
    <m/>
    <m/>
    <m/>
    <m/>
    <m/>
    <m/>
    <m/>
    <m/>
    <m/>
    <m/>
    <m/>
    <m/>
    <m/>
    <m/>
    <m/>
    <m/>
    <m/>
    <m/>
    <m/>
    <m/>
    <m/>
    <m/>
    <m/>
    <m/>
    <m/>
    <m/>
    <m/>
    <m/>
    <m/>
    <m/>
    <m/>
    <m/>
    <m/>
    <m/>
    <m/>
    <m/>
    <m/>
    <m/>
    <m/>
    <m/>
    <m/>
    <m/>
    <m/>
    <m/>
    <m/>
    <m/>
    <m/>
    <m/>
    <m/>
    <m/>
    <m/>
    <m/>
    <m/>
    <m/>
    <m/>
    <n v="0"/>
    <n v="0"/>
    <n v="0"/>
    <n v="0"/>
    <n v="0"/>
    <n v="678.29999999999984"/>
    <n v="0"/>
    <n v="0"/>
    <n v="0"/>
    <n v="0"/>
    <n v="0"/>
    <n v="15959.999999999998"/>
    <n v="0"/>
    <n v="0"/>
    <n v="0"/>
    <n v="0"/>
    <n v="0"/>
    <n v="0"/>
    <n v="0"/>
    <n v="0"/>
    <n v="0"/>
    <n v="0"/>
    <n v="0"/>
    <n v="0"/>
    <n v="0"/>
    <n v="0"/>
    <n v="0"/>
    <n v="0"/>
    <n v="0"/>
    <n v="0"/>
    <n v="0"/>
    <n v="0"/>
    <n v="0"/>
    <n v="0"/>
    <n v="0"/>
    <n v="0"/>
    <n v="0"/>
    <n v="0"/>
    <n v="0"/>
    <n v="0"/>
    <n v="0"/>
    <n v="0"/>
    <n v="0"/>
    <n v="0"/>
    <n v="0"/>
    <n v="0"/>
    <n v="0"/>
    <n v="0"/>
    <n v="0"/>
    <n v="0"/>
    <n v="0"/>
    <n v="0"/>
    <n v="0"/>
    <n v="0"/>
    <n v="0"/>
    <n v="0"/>
    <n v="0"/>
    <n v="0"/>
    <n v="16638.3"/>
    <n v="17636.598000000002"/>
    <s v=" "/>
    <s v=" "/>
    <s v=" "/>
    <s v=" "/>
    <s v=" "/>
    <s v=" "/>
    <s v=" "/>
    <s v=" "/>
    <s v=" "/>
    <s v=" "/>
    <s v=" "/>
    <s v=" "/>
    <s v=" "/>
    <s v=" "/>
    <x v="0"/>
    <x v="0"/>
    <x v="0"/>
    <x v="0"/>
    <x v="0"/>
    <x v="74"/>
    <x v="0"/>
    <x v="0"/>
    <x v="0"/>
    <x v="4"/>
    <x v="1"/>
    <x v="1"/>
    <x v="58"/>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21"/>
    <s v="Backfilling Main Channel"/>
    <s v="Backfilling Main Channel"/>
    <s v="KS21-010"/>
    <x v="5"/>
    <n v="30.002139047"/>
    <n v="-25.826973612"/>
    <s v="30° 00' 00.08&quot;E "/>
    <s v="25° 49' 00.37&quot; S"/>
    <s v="Complete"/>
    <s v="Yes"/>
    <s v="Yes"/>
    <d v="2017-02-06T00:00:00"/>
    <s v="YES"/>
    <m/>
    <s v="No Drawing"/>
    <s v="Yes"/>
    <s v="00"/>
    <d v="2018-06-16T00:00:00"/>
    <s v="Phase 1"/>
    <s v="Year 1"/>
    <n v="2320.5501703847049"/>
    <m/>
    <m/>
    <m/>
    <m/>
    <m/>
    <m/>
    <m/>
    <n v="2320.5501703847049"/>
    <n v="2320.5501703847049"/>
    <m/>
    <m/>
    <m/>
    <m/>
    <m/>
    <m/>
    <m/>
    <m/>
    <m/>
    <m/>
    <m/>
    <m/>
    <m/>
    <m/>
    <m/>
    <m/>
    <m/>
    <m/>
    <m/>
    <m/>
    <m/>
    <m/>
    <m/>
    <m/>
    <n v="2347.1999999999998"/>
    <m/>
    <m/>
    <m/>
    <m/>
    <m/>
    <m/>
    <m/>
    <m/>
    <m/>
    <m/>
    <m/>
    <m/>
    <m/>
    <m/>
    <m/>
    <m/>
    <m/>
    <m/>
    <m/>
    <m/>
    <m/>
    <m/>
    <m/>
    <m/>
    <m/>
    <m/>
    <m/>
    <m/>
    <m/>
    <m/>
    <m/>
    <m/>
    <m/>
    <m/>
    <m/>
    <m/>
    <m/>
    <m/>
    <m/>
    <m/>
    <m/>
    <m/>
    <m/>
    <m/>
    <m/>
    <m/>
    <m/>
    <m/>
    <m/>
    <m/>
    <m/>
    <m/>
    <m/>
    <m/>
    <m/>
    <m/>
    <m/>
    <m/>
    <m/>
    <m/>
    <n v="11602.750851923523"/>
    <n v="0"/>
    <n v="0"/>
    <n v="0"/>
    <n v="0"/>
    <n v="0"/>
    <n v="0"/>
    <n v="0"/>
    <n v="11602.750851923523"/>
    <n v="23205.501703847047"/>
    <n v="0"/>
    <n v="0"/>
    <n v="0"/>
    <n v="0"/>
    <n v="0"/>
    <n v="0"/>
    <n v="0"/>
    <n v="0"/>
    <n v="0"/>
    <n v="0"/>
    <n v="281664"/>
    <n v="0"/>
    <n v="0"/>
    <n v="0"/>
    <n v="0"/>
    <n v="0"/>
    <n v="0"/>
    <n v="0"/>
    <n v="0"/>
    <n v="0"/>
    <n v="0"/>
    <n v="0"/>
    <n v="0"/>
    <n v="0"/>
    <n v="0"/>
    <n v="0"/>
    <n v="0"/>
    <n v="0"/>
    <n v="0"/>
    <n v="0"/>
    <n v="0"/>
    <n v="0"/>
    <n v="0"/>
    <n v="0"/>
    <n v="0"/>
    <n v="0"/>
    <n v="0"/>
    <n v="0"/>
    <n v="0"/>
    <n v="0"/>
    <n v="0"/>
    <n v="0"/>
    <n v="0"/>
    <n v="0"/>
    <n v="0"/>
    <n v="0"/>
    <n v="0"/>
    <n v="0"/>
    <n v="328075.00340769411"/>
    <n v="347759.50361215579"/>
    <s v=" "/>
    <s v=" "/>
    <s v=" "/>
    <s v=" "/>
    <s v=" "/>
    <s v=" "/>
    <s v=" "/>
    <s v=" "/>
    <s v=" "/>
    <s v=" "/>
    <s v=" "/>
    <s v=" "/>
    <s v=" "/>
    <s v=" "/>
    <x v="39"/>
    <x v="0"/>
    <x v="0"/>
    <x v="0"/>
    <x v="0"/>
    <x v="1"/>
    <x v="0"/>
    <x v="0"/>
    <x v="40"/>
    <x v="41"/>
    <x v="1"/>
    <x v="1"/>
    <x v="0"/>
    <x v="0"/>
    <x v="0"/>
    <x v="0"/>
    <x v="0"/>
    <x v="0"/>
    <x v="0"/>
    <x v="0"/>
    <x v="0"/>
    <x v="0"/>
    <x v="0"/>
    <x v="0"/>
    <x v="0"/>
    <x v="0"/>
    <x v="0"/>
    <x v="0"/>
    <x v="0"/>
    <x v="0"/>
    <x v="0"/>
    <x v="0"/>
    <x v="24"/>
    <x v="0"/>
    <x v="0"/>
    <x v="0"/>
    <x v="0"/>
    <x v="0"/>
    <x v="0"/>
    <x v="0"/>
    <x v="0"/>
    <x v="0"/>
    <x v="0"/>
    <x v="0"/>
    <x v="0"/>
    <x v="0"/>
    <x v="0"/>
    <x v="0"/>
    <x v="0"/>
    <x v="0"/>
    <x v="0"/>
    <x v="0"/>
    <x v="0"/>
    <x v="0"/>
    <x v="0"/>
    <x v="0"/>
    <x v="0"/>
    <x v="0"/>
    <x v="0"/>
    <x v="0"/>
    <x v="0"/>
    <x v="0"/>
    <x v="0"/>
    <x v="0"/>
    <x v="0"/>
    <x v="0"/>
    <x v="0"/>
    <x v="0"/>
    <x v="0"/>
    <x v="0"/>
    <x v="0"/>
    <x v="0"/>
    <x v="0"/>
  </r>
  <r>
    <s v="KS21"/>
    <s v="Earthworks"/>
    <s v="Earthworks"/>
    <s v="KS21-002"/>
    <x v="5"/>
    <n v="30.005597159000001"/>
    <n v="-25.827519839000001"/>
    <s v="30° 00' 20.14&quot;E "/>
    <s v="25° 49' 39.07&quot; S"/>
    <s v="Complete"/>
    <s v="Yes"/>
    <s v="Yes"/>
    <d v="2017-04-28T00:00:00"/>
    <s v="YES "/>
    <s v="NO"/>
    <s v="NBC-GTW-CL-0049"/>
    <s v="Yes"/>
    <s v="00"/>
    <d v="2018-06-16T00:00:00"/>
    <s v="Phase 1"/>
    <s v="Year 1"/>
    <n v="340"/>
    <n v="0"/>
    <n v="0"/>
    <n v="0"/>
    <n v="0"/>
    <n v="191.4"/>
    <n v="0"/>
    <n v="0"/>
    <n v="850"/>
    <n v="85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n v="1700"/>
    <n v="0"/>
    <n v="0"/>
    <n v="0"/>
    <n v="0"/>
    <n v="16269"/>
    <n v="0"/>
    <n v="0"/>
    <n v="4250"/>
    <n v="8500"/>
    <n v="0"/>
    <n v="0"/>
    <n v="0"/>
    <n v="0"/>
    <n v="0"/>
    <n v="0"/>
    <n v="0"/>
    <n v="0"/>
    <n v="0"/>
    <n v="0"/>
    <n v="0"/>
    <n v="0"/>
    <n v="0"/>
    <n v="0"/>
    <n v="0"/>
    <n v="0"/>
    <n v="0"/>
    <n v="0"/>
    <n v="0"/>
    <n v="0"/>
    <n v="0"/>
    <n v="0"/>
    <n v="0"/>
    <n v="0"/>
    <n v="0"/>
    <n v="0"/>
    <n v="0"/>
    <n v="0"/>
    <n v="0"/>
    <n v="0"/>
    <n v="0"/>
    <n v="0"/>
    <n v="0"/>
    <n v="0"/>
    <n v="0"/>
    <n v="0"/>
    <n v="0"/>
    <n v="0"/>
    <n v="0"/>
    <n v="0"/>
    <n v="0"/>
    <n v="0"/>
    <n v="0"/>
    <n v="0"/>
    <n v="0"/>
    <n v="0"/>
    <n v="0"/>
    <n v="0"/>
    <n v="30719"/>
    <n v="32562.140000000003"/>
    <s v=" "/>
    <s v=" "/>
    <s v=" "/>
    <s v=" "/>
    <s v=" "/>
    <s v=" "/>
    <s v=" "/>
    <s v=" "/>
    <s v=" "/>
    <s v=" "/>
    <s v=" "/>
    <s v=" "/>
    <s v=" "/>
    <s v=" "/>
    <x v="40"/>
    <x v="0"/>
    <x v="0"/>
    <x v="0"/>
    <x v="0"/>
    <x v="75"/>
    <x v="0"/>
    <x v="0"/>
    <x v="41"/>
    <x v="42"/>
    <x v="1"/>
    <x v="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21"/>
    <s v="Infilling of drain"/>
    <s v="Earthworks"/>
    <s v="KS21-004"/>
    <x v="5"/>
    <n v="30.005006688999998"/>
    <n v="-25.827464141"/>
    <s v="30° 00' 18.02&quot;E "/>
    <s v="25° 49' 38.87&quot; S"/>
    <s v="Complete"/>
    <s v="Yes"/>
    <s v="Yes"/>
    <d v="2017-04-28T00:00:00"/>
    <s v="NA"/>
    <s v="NA"/>
    <s v="No Drawing"/>
    <s v="Yes"/>
    <s v="00"/>
    <d v="2018-06-16T00:00:00"/>
    <s v="Phase 1"/>
    <s v="Year 1"/>
    <n v="112.30532212699565"/>
    <n v="0"/>
    <n v="0"/>
    <n v="0"/>
    <n v="0"/>
    <n v="0"/>
    <n v="0"/>
    <n v="0"/>
    <n v="111"/>
    <n v="111"/>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n v="561.52661063497828"/>
    <n v="0"/>
    <n v="0"/>
    <n v="0"/>
    <n v="0"/>
    <n v="0"/>
    <n v="0"/>
    <n v="0"/>
    <n v="555"/>
    <n v="1110"/>
    <n v="0"/>
    <n v="0"/>
    <n v="0"/>
    <n v="0"/>
    <n v="0"/>
    <n v="0"/>
    <n v="0"/>
    <n v="0"/>
    <n v="0"/>
    <n v="0"/>
    <n v="0"/>
    <n v="0"/>
    <n v="0"/>
    <n v="0"/>
    <n v="0"/>
    <n v="0"/>
    <n v="0"/>
    <n v="0"/>
    <n v="0"/>
    <n v="0"/>
    <n v="0"/>
    <n v="0"/>
    <n v="0"/>
    <n v="0"/>
    <n v="0"/>
    <n v="0"/>
    <n v="0"/>
    <n v="0"/>
    <n v="0"/>
    <n v="0"/>
    <n v="0"/>
    <n v="0"/>
    <n v="0"/>
    <n v="0"/>
    <n v="0"/>
    <n v="0"/>
    <n v="0"/>
    <n v="0"/>
    <n v="0"/>
    <n v="0"/>
    <n v="0"/>
    <n v="0"/>
    <n v="0"/>
    <n v="0"/>
    <n v="0"/>
    <n v="0"/>
    <n v="0"/>
    <n v="0"/>
    <n v="2226.5266106349782"/>
    <n v="2360.1182072730771"/>
    <s v=" "/>
    <s v=" "/>
    <s v=" "/>
    <s v=" "/>
    <s v=" "/>
    <s v=" "/>
    <s v=" "/>
    <s v=" "/>
    <s v=" "/>
    <s v=" "/>
    <s v=" "/>
    <s v=" "/>
    <s v=" "/>
    <s v=" "/>
    <x v="41"/>
    <x v="0"/>
    <x v="0"/>
    <x v="0"/>
    <x v="0"/>
    <x v="1"/>
    <x v="0"/>
    <x v="0"/>
    <x v="42"/>
    <x v="43"/>
    <x v="1"/>
    <x v="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KS21"/>
    <s v="Infilling of drain"/>
    <s v="Earthworks"/>
    <s v="KS21-008"/>
    <x v="5"/>
    <n v="30.002714326"/>
    <n v="-25.826893125000002"/>
    <s v="30° 00' 09.77&quot;E "/>
    <s v="25° 49' 36.81&quot; S"/>
    <s v="Complete"/>
    <s v="Yes"/>
    <s v="Yes"/>
    <d v="2017-04-28T00:00:00"/>
    <s v="NA"/>
    <s v="NA"/>
    <s v="No Drawing"/>
    <s v="Yes"/>
    <s v="00"/>
    <d v="2018-06-16T00:00:00"/>
    <s v="Phase 1"/>
    <s v="Year 1"/>
    <n v="110.10336213336291"/>
    <n v="0"/>
    <n v="0"/>
    <n v="0"/>
    <n v="0"/>
    <n v="0"/>
    <n v="0"/>
    <n v="0"/>
    <n v="129.19999999999999"/>
    <n v="129.19999999999999"/>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n v="550.51681066681454"/>
    <n v="0"/>
    <n v="0"/>
    <n v="0"/>
    <n v="0"/>
    <n v="0"/>
    <n v="0"/>
    <n v="0"/>
    <n v="646"/>
    <n v="1292"/>
    <n v="0"/>
    <n v="0"/>
    <n v="0"/>
    <n v="0"/>
    <n v="0"/>
    <n v="0"/>
    <n v="0"/>
    <n v="0"/>
    <n v="0"/>
    <n v="0"/>
    <n v="0"/>
    <n v="0"/>
    <n v="0"/>
    <n v="0"/>
    <n v="0"/>
    <n v="0"/>
    <n v="0"/>
    <n v="0"/>
    <n v="0"/>
    <n v="0"/>
    <n v="0"/>
    <n v="0"/>
    <n v="0"/>
    <n v="0"/>
    <n v="0"/>
    <n v="0"/>
    <n v="0"/>
    <n v="0"/>
    <n v="0"/>
    <n v="0"/>
    <n v="0"/>
    <n v="0"/>
    <n v="0"/>
    <n v="0"/>
    <n v="0"/>
    <n v="0"/>
    <n v="0"/>
    <n v="0"/>
    <n v="0"/>
    <n v="0"/>
    <n v="0"/>
    <n v="0"/>
    <n v="0"/>
    <n v="0"/>
    <n v="0"/>
    <n v="0"/>
    <n v="0"/>
    <n v="0"/>
    <n v="2488.5168106668143"/>
    <n v="2637.8278193068231"/>
    <s v=" "/>
    <s v=" "/>
    <s v=" "/>
    <s v=" "/>
    <s v=" "/>
    <s v=" "/>
    <s v=" "/>
    <s v=" "/>
    <s v=" "/>
    <s v=" "/>
    <s v=" "/>
    <s v=" "/>
    <s v=" "/>
    <s v=" "/>
    <x v="42"/>
    <x v="0"/>
    <x v="0"/>
    <x v="0"/>
    <x v="0"/>
    <x v="1"/>
    <x v="0"/>
    <x v="0"/>
    <x v="43"/>
    <x v="44"/>
    <x v="1"/>
    <x v="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LS08"/>
    <s v="Removal of Berm"/>
    <s v="Excavation"/>
    <s v="LS08_001"/>
    <x v="7"/>
    <n v="29.940713611"/>
    <n v="-25.809147778"/>
    <s v="29° 56' 26.56&quot;E "/>
    <s v="25° 48' 32.93&quot; S"/>
    <s v="Complete"/>
    <s v="Yes"/>
    <s v="Yes"/>
    <d v="2017-05-30T00:00:00"/>
    <s v="NA"/>
    <s v="NA"/>
    <s v="No Drawing"/>
    <s v="Yes"/>
    <s v="00"/>
    <d v="2018-06-16T00:00:00"/>
    <s v="Phase 2"/>
    <s v="Year 3"/>
    <n v="148.53277807866851"/>
    <n v="43.75"/>
    <n v="0"/>
    <n v="0"/>
    <n v="0"/>
    <n v="0"/>
    <n v="0"/>
    <n v="0"/>
    <n v="148.53277807866851"/>
    <n v="148.53277807866851"/>
    <n v="21.875"/>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n v="742.66389039334263"/>
    <n v="2187.5"/>
    <n v="0"/>
    <n v="0"/>
    <n v="0"/>
    <n v="0"/>
    <n v="0"/>
    <n v="0"/>
    <n v="742.66389039334263"/>
    <n v="1485.3277807866853"/>
    <n v="0"/>
    <n v="0"/>
    <n v="0"/>
    <n v="0"/>
    <n v="0"/>
    <n v="0"/>
    <n v="0"/>
    <n v="0"/>
    <n v="0"/>
    <n v="0"/>
    <n v="0"/>
    <n v="0"/>
    <n v="0"/>
    <n v="0"/>
    <n v="0"/>
    <n v="0"/>
    <n v="0"/>
    <n v="0"/>
    <n v="0"/>
    <n v="0"/>
    <n v="0"/>
    <n v="0"/>
    <n v="0"/>
    <n v="0"/>
    <n v="0"/>
    <n v="0"/>
    <n v="0"/>
    <n v="0"/>
    <n v="0"/>
    <n v="0"/>
    <n v="0"/>
    <n v="0"/>
    <n v="0"/>
    <n v="0"/>
    <n v="0"/>
    <n v="0"/>
    <n v="0"/>
    <n v="0"/>
    <n v="0"/>
    <n v="0"/>
    <n v="0"/>
    <n v="0"/>
    <n v="0"/>
    <n v="0"/>
    <n v="0"/>
    <n v="0"/>
    <n v="0"/>
    <n v="0"/>
    <n v="5158.1555615733705"/>
    <s v=" "/>
    <s v=" "/>
    <n v="6143.4458043228706"/>
    <s v=" "/>
    <s v=" "/>
    <s v=" "/>
    <s v=" "/>
    <s v=" "/>
    <s v=" "/>
    <s v=" "/>
    <s v=" "/>
    <s v=" "/>
    <s v=" "/>
    <s v=" "/>
    <s v=" "/>
    <x v="43"/>
    <x v="13"/>
    <x v="0"/>
    <x v="0"/>
    <x v="0"/>
    <x v="1"/>
    <x v="0"/>
    <x v="0"/>
    <x v="44"/>
    <x v="45"/>
    <x v="3"/>
    <x v="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LS12"/>
    <s v="Removal of Dam Wall"/>
    <s v="Excavation"/>
    <s v="LS12_001"/>
    <x v="7"/>
    <n v="29.942104722"/>
    <n v="-25.818853611000002"/>
    <s v="29° 56' 31.57&quot;E "/>
    <s v="25° 49' 07.87&quot; S"/>
    <s v="Complete"/>
    <s v="Yes"/>
    <s v="Yes"/>
    <d v="2017-05-31T00:00:00"/>
    <s v="NA"/>
    <s v="NA"/>
    <s v="No Drawing"/>
    <s v="Yes"/>
    <s v="00"/>
    <d v="2018-06-16T00:00:00"/>
    <s v="Phase 2"/>
    <s v="Year 3"/>
    <n v="2917.7039345374437"/>
    <n v="1696.4739999999999"/>
    <n v="0"/>
    <n v="0"/>
    <n v="0"/>
    <n v="0"/>
    <n v="0"/>
    <n v="0"/>
    <n v="2917.7039345374437"/>
    <n v="2917.7039345374437"/>
    <n v="848.23699999999997"/>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n v="14588.519672687218"/>
    <n v="84823.7"/>
    <n v="0"/>
    <n v="0"/>
    <n v="0"/>
    <n v="0"/>
    <n v="0"/>
    <n v="0"/>
    <n v="14588.519672687218"/>
    <n v="29177.039345374436"/>
    <n v="0"/>
    <n v="0"/>
    <n v="0"/>
    <n v="0"/>
    <n v="0"/>
    <n v="0"/>
    <n v="0"/>
    <n v="0"/>
    <n v="0"/>
    <n v="0"/>
    <n v="0"/>
    <n v="0"/>
    <n v="0"/>
    <n v="0"/>
    <n v="0"/>
    <n v="0"/>
    <n v="0"/>
    <n v="0"/>
    <n v="0"/>
    <n v="0"/>
    <n v="0"/>
    <n v="0"/>
    <n v="0"/>
    <n v="0"/>
    <n v="0"/>
    <n v="0"/>
    <n v="0"/>
    <n v="0"/>
    <n v="0"/>
    <n v="0"/>
    <n v="0"/>
    <n v="0"/>
    <n v="0"/>
    <n v="0"/>
    <n v="0"/>
    <n v="0"/>
    <n v="0"/>
    <n v="0"/>
    <n v="0"/>
    <n v="0"/>
    <n v="0"/>
    <n v="0"/>
    <n v="0"/>
    <n v="0"/>
    <n v="0"/>
    <n v="0"/>
    <n v="0"/>
    <n v="0"/>
    <n v="143177.77869074888"/>
    <s v=" "/>
    <s v=" "/>
    <n v="170527.02526514095"/>
    <s v=" "/>
    <s v=" "/>
    <s v=" "/>
    <s v=" "/>
    <s v=" "/>
    <s v=" "/>
    <s v=" "/>
    <s v=" "/>
    <s v=" "/>
    <s v=" "/>
    <s v=" "/>
    <s v=" "/>
    <x v="44"/>
    <x v="14"/>
    <x v="0"/>
    <x v="0"/>
    <x v="0"/>
    <x v="1"/>
    <x v="0"/>
    <x v="0"/>
    <x v="45"/>
    <x v="46"/>
    <x v="4"/>
    <x v="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LS12"/>
    <s v="Removal of Berm"/>
    <s v="Excavation"/>
    <s v="LS12_002"/>
    <x v="7"/>
    <n v="29.943088611"/>
    <n v="-25.818615277999999"/>
    <s v="29° 56' 35.11&quot;E "/>
    <s v="25° 49' 07.01&quot; S"/>
    <s v="Complete"/>
    <s v="Yes"/>
    <s v="Yes"/>
    <d v="2017-05-31T00:00:00"/>
    <s v="NA"/>
    <s v="NA"/>
    <s v="No Drawing"/>
    <s v="Yes"/>
    <s v="00"/>
    <d v="2018-06-16T00:00:00"/>
    <s v="Phase 2"/>
    <s v="Year 3"/>
    <n v="133.15811403466702"/>
    <n v="27.169999999999998"/>
    <n v="0"/>
    <n v="0"/>
    <n v="0"/>
    <n v="0"/>
    <n v="0"/>
    <n v="0"/>
    <n v="76"/>
    <n v="76"/>
    <n v="13.584999999999999"/>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n v="665.79057017333514"/>
    <n v="1358.5"/>
    <n v="0"/>
    <n v="0"/>
    <n v="0"/>
    <n v="0"/>
    <n v="0"/>
    <n v="0"/>
    <n v="380"/>
    <n v="760"/>
    <n v="0"/>
    <n v="0"/>
    <n v="0"/>
    <n v="0"/>
    <n v="0"/>
    <n v="0"/>
    <n v="0"/>
    <n v="0"/>
    <n v="0"/>
    <n v="0"/>
    <n v="0"/>
    <n v="0"/>
    <n v="0"/>
    <n v="0"/>
    <n v="0"/>
    <n v="0"/>
    <n v="0"/>
    <n v="0"/>
    <n v="0"/>
    <n v="0"/>
    <n v="0"/>
    <n v="0"/>
    <n v="0"/>
    <n v="0"/>
    <n v="0"/>
    <n v="0"/>
    <n v="0"/>
    <n v="0"/>
    <n v="0"/>
    <n v="0"/>
    <n v="0"/>
    <n v="0"/>
    <n v="0"/>
    <n v="0"/>
    <n v="0"/>
    <n v="0"/>
    <n v="0"/>
    <n v="0"/>
    <n v="0"/>
    <n v="0"/>
    <n v="0"/>
    <n v="0"/>
    <n v="0"/>
    <n v="0"/>
    <n v="0"/>
    <n v="0"/>
    <n v="0"/>
    <n v="0"/>
    <n v="3164.2905701733353"/>
    <s v=" "/>
    <s v=" "/>
    <n v="3768.7206977255655"/>
    <s v=" "/>
    <s v=" "/>
    <s v=" "/>
    <s v=" "/>
    <s v=" "/>
    <s v=" "/>
    <s v=" "/>
    <s v=" "/>
    <s v=" "/>
    <s v=" "/>
    <s v=" "/>
    <s v=" "/>
    <x v="45"/>
    <x v="15"/>
    <x v="0"/>
    <x v="0"/>
    <x v="0"/>
    <x v="1"/>
    <x v="0"/>
    <x v="0"/>
    <x v="46"/>
    <x v="47"/>
    <x v="5"/>
    <x v="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LS16"/>
    <s v="Concrete Cut-Off Walls"/>
    <s v="Concrete Cut-off Wall"/>
    <s v="LS16_001"/>
    <x v="8"/>
    <n v="29.949038055999999"/>
    <n v="-25.830849722"/>
    <s v="29° 56' 56.53&quot;E "/>
    <s v="25° 49' 51.05&quot; S"/>
    <s v="Complete"/>
    <s v="Yes"/>
    <s v="Yes"/>
    <d v="2017-02-08T00:00:00"/>
    <s v="YES "/>
    <m/>
    <s v="NBC-GTW-CL-0046"/>
    <s v="Yes"/>
    <s v="00"/>
    <d v="2018-06-16T00:00:00"/>
    <s v="Phase 2"/>
    <s v="Year 3"/>
    <n v="0"/>
    <n v="0"/>
    <n v="0"/>
    <n v="0"/>
    <n v="0"/>
    <n v="5.0399999999999991"/>
    <n v="0"/>
    <n v="0"/>
    <n v="0"/>
    <n v="0"/>
    <n v="0"/>
    <n v="0"/>
    <n v="5.0399999999999991"/>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m/>
    <m/>
    <m/>
    <m/>
    <m/>
    <m/>
    <m/>
    <m/>
    <m/>
    <m/>
    <m/>
    <m/>
    <n v="0"/>
    <n v="0"/>
    <n v="0"/>
    <n v="0"/>
    <n v="0"/>
    <n v="428.39999999999992"/>
    <n v="0"/>
    <n v="0"/>
    <n v="0"/>
    <n v="0"/>
    <n v="0"/>
    <n v="10079.999999999998"/>
    <n v="0"/>
    <n v="0"/>
    <n v="0"/>
    <n v="0"/>
    <n v="0"/>
    <n v="0"/>
    <n v="0"/>
    <n v="0"/>
    <n v="0"/>
    <n v="0"/>
    <n v="0"/>
    <n v="0"/>
    <n v="0"/>
    <n v="0"/>
    <n v="0"/>
    <n v="0"/>
    <n v="0"/>
    <n v="0"/>
    <n v="0"/>
    <n v="0"/>
    <n v="0"/>
    <n v="0"/>
    <n v="0"/>
    <n v="0"/>
    <n v="0"/>
    <n v="0"/>
    <n v="0"/>
    <n v="0"/>
    <n v="0"/>
    <n v="0"/>
    <n v="0"/>
    <n v="0"/>
    <n v="0"/>
    <n v="0"/>
    <n v="0"/>
    <n v="0"/>
    <n v="0"/>
    <n v="0"/>
    <n v="0"/>
    <n v="0"/>
    <n v="0"/>
    <n v="0"/>
    <n v="0"/>
    <n v="0"/>
    <n v="0"/>
    <n v="0"/>
    <n v="10508.399999999998"/>
    <s v=" "/>
    <s v=" "/>
    <n v="12515.672534399999"/>
    <s v=" "/>
    <s v=" "/>
    <s v=" "/>
    <s v=" "/>
    <s v=" "/>
    <s v=" "/>
    <s v=" "/>
    <s v=" "/>
    <s v=" "/>
    <s v=" "/>
    <s v=" "/>
    <s v=" "/>
    <x v="0"/>
    <x v="0"/>
    <x v="0"/>
    <x v="0"/>
    <x v="0"/>
    <x v="76"/>
    <x v="0"/>
    <x v="0"/>
    <x v="0"/>
    <x v="4"/>
    <x v="1"/>
    <x v="1"/>
    <x v="59"/>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LS16"/>
    <s v="Concrete Cut-Off Walls"/>
    <s v="Concrete Cut-off Wall"/>
    <s v="LS16_002"/>
    <x v="8"/>
    <n v="29.949395555999999"/>
    <n v="-25.830631110999999"/>
    <s v="29° 56' 57.82&quot;E "/>
    <s v="25° 49' 50.27&quot; S"/>
    <s v="Complete"/>
    <s v="Yes"/>
    <s v="Yes"/>
    <d v="2017-02-08T00:00:00"/>
    <s v="YES "/>
    <m/>
    <s v="NBC-GTW-CL-0046"/>
    <s v="Yes"/>
    <s v="00"/>
    <d v="2018-06-16T00:00:00"/>
    <s v="Phase 2"/>
    <s v="Year 3"/>
    <n v="0"/>
    <n v="0"/>
    <n v="0"/>
    <n v="0"/>
    <n v="0"/>
    <n v="4.8"/>
    <n v="0"/>
    <n v="0"/>
    <n v="0"/>
    <n v="0"/>
    <n v="0"/>
    <n v="0"/>
    <n v="4.8"/>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m/>
    <m/>
    <m/>
    <m/>
    <m/>
    <m/>
    <m/>
    <m/>
    <m/>
    <m/>
    <m/>
    <m/>
    <n v="0"/>
    <n v="0"/>
    <n v="0"/>
    <n v="0"/>
    <n v="0"/>
    <n v="408"/>
    <n v="0"/>
    <n v="0"/>
    <n v="0"/>
    <n v="0"/>
    <n v="0"/>
    <n v="9600"/>
    <n v="0"/>
    <n v="0"/>
    <n v="0"/>
    <n v="0"/>
    <n v="0"/>
    <n v="0"/>
    <n v="0"/>
    <n v="0"/>
    <n v="0"/>
    <n v="0"/>
    <n v="0"/>
    <n v="0"/>
    <n v="0"/>
    <n v="0"/>
    <n v="0"/>
    <n v="0"/>
    <n v="0"/>
    <n v="0"/>
    <n v="0"/>
    <n v="0"/>
    <n v="0"/>
    <n v="0"/>
    <n v="0"/>
    <n v="0"/>
    <n v="0"/>
    <n v="0"/>
    <n v="0"/>
    <n v="0"/>
    <n v="0"/>
    <n v="0"/>
    <n v="0"/>
    <n v="0"/>
    <n v="0"/>
    <n v="0"/>
    <n v="0"/>
    <n v="0"/>
    <n v="0"/>
    <n v="0"/>
    <n v="0"/>
    <n v="0"/>
    <n v="0"/>
    <n v="0"/>
    <n v="0"/>
    <n v="0"/>
    <n v="0"/>
    <n v="0"/>
    <n v="10008"/>
    <s v=" "/>
    <s v=" "/>
    <n v="11919.688128000003"/>
    <s v=" "/>
    <s v=" "/>
    <s v=" "/>
    <s v=" "/>
    <s v=" "/>
    <s v=" "/>
    <s v=" "/>
    <s v=" "/>
    <s v=" "/>
    <s v=" "/>
    <s v=" "/>
    <s v=" "/>
    <x v="0"/>
    <x v="0"/>
    <x v="0"/>
    <x v="0"/>
    <x v="0"/>
    <x v="77"/>
    <x v="0"/>
    <x v="0"/>
    <x v="0"/>
    <x v="4"/>
    <x v="1"/>
    <x v="1"/>
    <x v="6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LS16"/>
    <s v="Concrete Cut-Off Walls"/>
    <s v="Concrete Cut-off Wall"/>
    <s v="LS16_003"/>
    <x v="8"/>
    <n v="29.949776944"/>
    <n v="-25.830583055999998"/>
    <s v="29° 56' 59.19&quot;E "/>
    <s v="25° 49' 50.09&quot; S"/>
    <s v="Complete"/>
    <s v="Yes"/>
    <s v="Yes"/>
    <d v="2017-02-08T00:00:00"/>
    <s v="YES "/>
    <m/>
    <s v="NBC-GTW-CL-0046"/>
    <s v="Yes"/>
    <s v="00"/>
    <d v="2018-06-16T00:00:00"/>
    <s v="Phase 2"/>
    <s v="Year 3"/>
    <n v="0"/>
    <n v="0"/>
    <n v="0"/>
    <n v="0"/>
    <n v="0"/>
    <n v="2.1"/>
    <n v="0"/>
    <n v="0"/>
    <n v="0"/>
    <n v="0"/>
    <n v="0"/>
    <n v="0"/>
    <n v="2.1"/>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m/>
    <m/>
    <m/>
    <m/>
    <m/>
    <m/>
    <m/>
    <m/>
    <m/>
    <m/>
    <m/>
    <m/>
    <n v="0"/>
    <n v="0"/>
    <n v="0"/>
    <n v="0"/>
    <n v="0"/>
    <n v="178.5"/>
    <n v="0"/>
    <n v="0"/>
    <n v="0"/>
    <n v="0"/>
    <n v="0"/>
    <n v="4200"/>
    <n v="0"/>
    <n v="0"/>
    <n v="0"/>
    <n v="0"/>
    <n v="0"/>
    <n v="0"/>
    <n v="0"/>
    <n v="0"/>
    <n v="0"/>
    <n v="0"/>
    <n v="0"/>
    <n v="0"/>
    <n v="0"/>
    <n v="0"/>
    <n v="0"/>
    <n v="0"/>
    <n v="0"/>
    <n v="0"/>
    <n v="0"/>
    <n v="0"/>
    <n v="0"/>
    <n v="0"/>
    <n v="0"/>
    <n v="0"/>
    <n v="0"/>
    <n v="0"/>
    <n v="0"/>
    <n v="0"/>
    <n v="0"/>
    <n v="0"/>
    <n v="0"/>
    <n v="0"/>
    <n v="0"/>
    <n v="0"/>
    <n v="0"/>
    <n v="0"/>
    <n v="0"/>
    <n v="0"/>
    <n v="0"/>
    <n v="0"/>
    <n v="0"/>
    <n v="0"/>
    <n v="0"/>
    <n v="0"/>
    <n v="0"/>
    <n v="0"/>
    <n v="4378.5"/>
    <s v=" "/>
    <s v=" "/>
    <n v="5214.8635560000002"/>
    <s v=" "/>
    <s v=" "/>
    <s v=" "/>
    <s v=" "/>
    <s v=" "/>
    <s v=" "/>
    <s v=" "/>
    <s v=" "/>
    <s v=" "/>
    <s v=" "/>
    <s v=" "/>
    <s v=" "/>
    <x v="0"/>
    <x v="0"/>
    <x v="0"/>
    <x v="0"/>
    <x v="0"/>
    <x v="78"/>
    <x v="0"/>
    <x v="0"/>
    <x v="0"/>
    <x v="4"/>
    <x v="1"/>
    <x v="1"/>
    <x v="6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LS16"/>
    <s v="Concrete Cut-Off Walls"/>
    <s v="Concrete Cut-off Wall"/>
    <s v="LS16_004"/>
    <x v="8"/>
    <n v="29.949981111"/>
    <n v="-25.830569444000002"/>
    <s v="29° 56' 59.93&quot;E "/>
    <s v="25° 49' 50.04&quot; S"/>
    <s v="Complete"/>
    <s v="Yes"/>
    <s v="Yes"/>
    <d v="2017-02-08T00:00:00"/>
    <s v="YES "/>
    <m/>
    <s v="NBC-GTW-CL-0046"/>
    <s v="Yes"/>
    <s v="00"/>
    <d v="2018-06-16T00:00:00"/>
    <s v="Phase 2"/>
    <s v="Year 3"/>
    <n v="0"/>
    <n v="0"/>
    <n v="0"/>
    <n v="0"/>
    <n v="0"/>
    <n v="2.4"/>
    <n v="0"/>
    <n v="0"/>
    <n v="0"/>
    <n v="0"/>
    <n v="0"/>
    <n v="0"/>
    <n v="2.4"/>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m/>
    <m/>
    <m/>
    <m/>
    <m/>
    <m/>
    <m/>
    <m/>
    <m/>
    <m/>
    <m/>
    <m/>
    <n v="0"/>
    <n v="0"/>
    <n v="0"/>
    <n v="0"/>
    <n v="0"/>
    <n v="204"/>
    <n v="0"/>
    <n v="0"/>
    <n v="0"/>
    <n v="0"/>
    <n v="0"/>
    <n v="4800"/>
    <n v="0"/>
    <n v="0"/>
    <n v="0"/>
    <n v="0"/>
    <n v="0"/>
    <n v="0"/>
    <n v="0"/>
    <n v="0"/>
    <n v="0"/>
    <n v="0"/>
    <n v="0"/>
    <n v="0"/>
    <n v="0"/>
    <n v="0"/>
    <n v="0"/>
    <n v="0"/>
    <n v="0"/>
    <n v="0"/>
    <n v="0"/>
    <n v="0"/>
    <n v="0"/>
    <n v="0"/>
    <n v="0"/>
    <n v="0"/>
    <n v="0"/>
    <n v="0"/>
    <n v="0"/>
    <n v="0"/>
    <n v="0"/>
    <n v="0"/>
    <n v="0"/>
    <n v="0"/>
    <n v="0"/>
    <n v="0"/>
    <n v="0"/>
    <n v="0"/>
    <n v="0"/>
    <n v="0"/>
    <n v="0"/>
    <n v="0"/>
    <n v="0"/>
    <n v="0"/>
    <n v="0"/>
    <n v="0"/>
    <n v="0"/>
    <n v="0"/>
    <n v="5004"/>
    <s v=" "/>
    <s v=" "/>
    <n v="5959.8440640000017"/>
    <s v=" "/>
    <s v=" "/>
    <s v=" "/>
    <s v=" "/>
    <s v=" "/>
    <s v=" "/>
    <s v=" "/>
    <s v=" "/>
    <s v=" "/>
    <s v=" "/>
    <s v=" "/>
    <s v=" "/>
    <x v="0"/>
    <x v="0"/>
    <x v="0"/>
    <x v="0"/>
    <x v="0"/>
    <x v="79"/>
    <x v="0"/>
    <x v="0"/>
    <x v="0"/>
    <x v="4"/>
    <x v="1"/>
    <x v="1"/>
    <x v="62"/>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LS16"/>
    <s v="Concrete Cut-Off Walls"/>
    <s v="Concrete Cut-off Wall"/>
    <s v="LS16_005"/>
    <x v="8"/>
    <n v="29.950567222"/>
    <n v="-25.830575555999999"/>
    <s v="29° 57' 02.04&quot;E "/>
    <s v="25° 49' 50.07&quot; S"/>
    <s v="Complete"/>
    <s v="Yes"/>
    <s v="Yes"/>
    <d v="2017-02-08T00:00:00"/>
    <s v="YES "/>
    <m/>
    <s v="NBC-GTW-CL-0046"/>
    <s v="Yes"/>
    <s v="00"/>
    <d v="2018-06-16T00:00:00"/>
    <s v="Phase 2"/>
    <s v="Year 3"/>
    <n v="0"/>
    <n v="0"/>
    <n v="0"/>
    <n v="0"/>
    <n v="0"/>
    <n v="3.5999999999999996"/>
    <n v="0"/>
    <n v="0"/>
    <n v="0"/>
    <n v="0"/>
    <n v="0"/>
    <n v="0"/>
    <n v="3.5999999999999996"/>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m/>
    <m/>
    <m/>
    <m/>
    <m/>
    <m/>
    <m/>
    <m/>
    <m/>
    <m/>
    <m/>
    <m/>
    <n v="0"/>
    <n v="0"/>
    <n v="0"/>
    <n v="0"/>
    <n v="0"/>
    <n v="305.99999999999994"/>
    <n v="0"/>
    <n v="0"/>
    <n v="0"/>
    <n v="0"/>
    <n v="0"/>
    <n v="7199.9999999999991"/>
    <n v="0"/>
    <n v="0"/>
    <n v="0"/>
    <n v="0"/>
    <n v="0"/>
    <n v="0"/>
    <n v="0"/>
    <n v="0"/>
    <n v="0"/>
    <n v="0"/>
    <n v="0"/>
    <n v="0"/>
    <n v="0"/>
    <n v="0"/>
    <n v="0"/>
    <n v="0"/>
    <n v="0"/>
    <n v="0"/>
    <n v="0"/>
    <n v="0"/>
    <n v="0"/>
    <n v="0"/>
    <n v="0"/>
    <n v="0"/>
    <n v="0"/>
    <n v="0"/>
    <n v="0"/>
    <n v="0"/>
    <n v="0"/>
    <n v="0"/>
    <n v="0"/>
    <n v="0"/>
    <n v="0"/>
    <n v="0"/>
    <n v="0"/>
    <n v="0"/>
    <n v="0"/>
    <n v="0"/>
    <n v="0"/>
    <n v="0"/>
    <n v="0"/>
    <n v="0"/>
    <n v="0"/>
    <n v="0"/>
    <n v="0"/>
    <n v="0"/>
    <n v="7505.9999999999991"/>
    <s v=" "/>
    <s v=" "/>
    <n v="8939.7660959999994"/>
    <s v=" "/>
    <s v=" "/>
    <s v=" "/>
    <s v=" "/>
    <s v=" "/>
    <s v=" "/>
    <s v=" "/>
    <s v=" "/>
    <s v=" "/>
    <s v=" "/>
    <s v=" "/>
    <s v=" "/>
    <x v="0"/>
    <x v="0"/>
    <x v="0"/>
    <x v="0"/>
    <x v="0"/>
    <x v="80"/>
    <x v="0"/>
    <x v="0"/>
    <x v="0"/>
    <x v="4"/>
    <x v="1"/>
    <x v="1"/>
    <x v="63"/>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LS16"/>
    <s v="Concrete Cut-Off Walls"/>
    <s v="Concrete Cut-off Wall"/>
    <s v="LS16_006"/>
    <x v="8"/>
    <n v="29.949362222000001"/>
    <n v="-25.830436388999999"/>
    <s v="29° 56' 57.70&quot;E "/>
    <s v="25° 49' 49.57&quot; S"/>
    <s v="Complete"/>
    <s v="Yes"/>
    <s v="Yes"/>
    <d v="2017-02-08T00:00:00"/>
    <s v="YES "/>
    <m/>
    <s v="NBC-GTW-CL-0046"/>
    <s v="Yes"/>
    <s v="00"/>
    <d v="2018-06-16T00:00:00"/>
    <s v="Phase 2"/>
    <s v="Year 3"/>
    <n v="0"/>
    <n v="0"/>
    <n v="0"/>
    <n v="0"/>
    <n v="0"/>
    <n v="6.48"/>
    <n v="0"/>
    <n v="0"/>
    <n v="0"/>
    <n v="0"/>
    <n v="0"/>
    <n v="0"/>
    <n v="6.48"/>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m/>
    <m/>
    <m/>
    <m/>
    <m/>
    <m/>
    <m/>
    <m/>
    <m/>
    <m/>
    <m/>
    <m/>
    <n v="0"/>
    <n v="0"/>
    <n v="0"/>
    <n v="0"/>
    <n v="0"/>
    <n v="550.80000000000007"/>
    <n v="0"/>
    <n v="0"/>
    <n v="0"/>
    <n v="0"/>
    <n v="0"/>
    <n v="12960"/>
    <n v="0"/>
    <n v="0"/>
    <n v="0"/>
    <n v="0"/>
    <n v="0"/>
    <n v="0"/>
    <n v="0"/>
    <n v="0"/>
    <n v="0"/>
    <n v="0"/>
    <n v="0"/>
    <n v="0"/>
    <n v="0"/>
    <n v="0"/>
    <n v="0"/>
    <n v="0"/>
    <n v="0"/>
    <n v="0"/>
    <n v="0"/>
    <n v="0"/>
    <n v="0"/>
    <n v="0"/>
    <n v="0"/>
    <n v="0"/>
    <n v="0"/>
    <n v="0"/>
    <n v="0"/>
    <n v="0"/>
    <n v="0"/>
    <n v="0"/>
    <n v="0"/>
    <n v="0"/>
    <n v="0"/>
    <n v="0"/>
    <n v="0"/>
    <n v="0"/>
    <n v="0"/>
    <n v="0"/>
    <n v="0"/>
    <n v="0"/>
    <n v="0"/>
    <n v="0"/>
    <n v="0"/>
    <n v="0"/>
    <n v="0"/>
    <n v="0"/>
    <n v="13510.8"/>
    <s v=" "/>
    <s v=" "/>
    <n v="16091.578972800004"/>
    <s v=" "/>
    <s v=" "/>
    <s v=" "/>
    <s v=" "/>
    <s v=" "/>
    <s v=" "/>
    <s v=" "/>
    <s v=" "/>
    <s v=" "/>
    <s v=" "/>
    <s v=" "/>
    <s v=" "/>
    <x v="0"/>
    <x v="0"/>
    <x v="0"/>
    <x v="0"/>
    <x v="0"/>
    <x v="81"/>
    <x v="0"/>
    <x v="0"/>
    <x v="0"/>
    <x v="4"/>
    <x v="1"/>
    <x v="1"/>
    <x v="64"/>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LS16"/>
    <s v="Concrete Cut-Off Walls"/>
    <s v="Concrete Cut-off Wall"/>
    <s v="LS16_007"/>
    <x v="8"/>
    <n v="29.949496110999998"/>
    <n v="-25.830259000000002"/>
    <s v="29° 56' 58.18&quot;E "/>
    <s v="25° 49' 48.93&quot; S"/>
    <s v="Complete"/>
    <s v="Yes"/>
    <s v="Yes"/>
    <d v="2017-02-08T00:00:00"/>
    <s v="YES "/>
    <m/>
    <s v="NBC-GTW-CL-0046"/>
    <s v="Yes"/>
    <s v="00"/>
    <d v="2018-06-16T00:00:00"/>
    <s v="Phase 2"/>
    <s v="Year 3"/>
    <n v="0"/>
    <n v="0"/>
    <n v="0"/>
    <n v="0"/>
    <n v="0"/>
    <n v="5.94"/>
    <n v="0"/>
    <n v="0"/>
    <n v="0"/>
    <n v="0"/>
    <n v="0"/>
    <n v="0"/>
    <n v="5.94"/>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m/>
    <m/>
    <m/>
    <m/>
    <m/>
    <m/>
    <m/>
    <m/>
    <m/>
    <m/>
    <m/>
    <m/>
    <n v="0"/>
    <n v="0"/>
    <n v="0"/>
    <n v="0"/>
    <n v="0"/>
    <n v="504.90000000000003"/>
    <n v="0"/>
    <n v="0"/>
    <n v="0"/>
    <n v="0"/>
    <n v="0"/>
    <n v="11880"/>
    <n v="0"/>
    <n v="0"/>
    <n v="0"/>
    <n v="0"/>
    <n v="0"/>
    <n v="0"/>
    <n v="0"/>
    <n v="0"/>
    <n v="0"/>
    <n v="0"/>
    <n v="0"/>
    <n v="0"/>
    <n v="0"/>
    <n v="0"/>
    <n v="0"/>
    <n v="0"/>
    <n v="0"/>
    <n v="0"/>
    <n v="0"/>
    <n v="0"/>
    <n v="0"/>
    <n v="0"/>
    <n v="0"/>
    <n v="0"/>
    <n v="0"/>
    <n v="0"/>
    <n v="0"/>
    <n v="0"/>
    <n v="0"/>
    <n v="0"/>
    <n v="0"/>
    <n v="0"/>
    <n v="0"/>
    <n v="0"/>
    <n v="0"/>
    <n v="0"/>
    <n v="0"/>
    <n v="0"/>
    <n v="0"/>
    <n v="0"/>
    <n v="0"/>
    <n v="0"/>
    <n v="0"/>
    <n v="0"/>
    <n v="0"/>
    <n v="0"/>
    <n v="12384.9"/>
    <s v=" "/>
    <s v=" "/>
    <n v="14750.614058400002"/>
    <s v=" "/>
    <s v=" "/>
    <s v=" "/>
    <s v=" "/>
    <s v=" "/>
    <s v=" "/>
    <s v=" "/>
    <s v=" "/>
    <s v=" "/>
    <s v=" "/>
    <s v=" "/>
    <s v=" "/>
    <x v="0"/>
    <x v="0"/>
    <x v="0"/>
    <x v="0"/>
    <x v="0"/>
    <x v="82"/>
    <x v="0"/>
    <x v="0"/>
    <x v="0"/>
    <x v="4"/>
    <x v="1"/>
    <x v="1"/>
    <x v="65"/>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LS16"/>
    <s v="Concrete Cut-Off Walls"/>
    <s v="Concrete Cut-off Wall"/>
    <s v="LS16_008"/>
    <x v="8"/>
    <n v="29.949641667000002"/>
    <n v="-25.830011667000001"/>
    <s v="29° 56' 58.71&quot;E "/>
    <s v="25° 49' 48.04&quot; S"/>
    <s v="Complete"/>
    <s v="Yes"/>
    <s v="Yes"/>
    <d v="2017-02-08T00:00:00"/>
    <s v="YES "/>
    <m/>
    <s v="NBC-GTW-CL-0046"/>
    <s v="Yes"/>
    <s v="00"/>
    <d v="2018-06-16T00:00:00"/>
    <s v="Phase 2"/>
    <s v="Year 3"/>
    <n v="0"/>
    <n v="0"/>
    <n v="0"/>
    <n v="0"/>
    <n v="0"/>
    <n v="4.1325000000000003"/>
    <n v="0"/>
    <n v="0"/>
    <n v="0"/>
    <n v="0"/>
    <n v="0"/>
    <n v="0"/>
    <n v="4.1325000000000003"/>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m/>
    <m/>
    <m/>
    <m/>
    <m/>
    <m/>
    <m/>
    <m/>
    <m/>
    <m/>
    <m/>
    <m/>
    <n v="0"/>
    <n v="0"/>
    <n v="0"/>
    <n v="0"/>
    <n v="0"/>
    <n v="351.26250000000005"/>
    <n v="0"/>
    <n v="0"/>
    <n v="0"/>
    <n v="0"/>
    <n v="0"/>
    <n v="8265"/>
    <n v="0"/>
    <n v="0"/>
    <n v="0"/>
    <n v="0"/>
    <n v="0"/>
    <n v="0"/>
    <n v="0"/>
    <n v="0"/>
    <n v="0"/>
    <n v="0"/>
    <n v="0"/>
    <n v="0"/>
    <n v="0"/>
    <n v="0"/>
    <n v="0"/>
    <n v="0"/>
    <n v="0"/>
    <n v="0"/>
    <n v="0"/>
    <n v="0"/>
    <n v="0"/>
    <n v="0"/>
    <n v="0"/>
    <n v="0"/>
    <n v="0"/>
    <n v="0"/>
    <n v="0"/>
    <n v="0"/>
    <n v="0"/>
    <n v="0"/>
    <n v="0"/>
    <n v="0"/>
    <n v="0"/>
    <n v="0"/>
    <n v="0"/>
    <n v="0"/>
    <n v="0"/>
    <n v="0"/>
    <n v="0"/>
    <n v="0"/>
    <n v="0"/>
    <n v="0"/>
    <n v="0"/>
    <n v="0"/>
    <n v="0"/>
    <n v="0"/>
    <n v="8616.2625000000007"/>
    <s v=" "/>
    <s v=" "/>
    <n v="10262.106497700001"/>
    <s v=" "/>
    <s v=" "/>
    <s v=" "/>
    <s v=" "/>
    <s v=" "/>
    <s v=" "/>
    <s v=" "/>
    <s v=" "/>
    <s v=" "/>
    <s v=" "/>
    <s v=" "/>
    <s v=" "/>
    <x v="0"/>
    <x v="0"/>
    <x v="0"/>
    <x v="0"/>
    <x v="0"/>
    <x v="83"/>
    <x v="0"/>
    <x v="0"/>
    <x v="0"/>
    <x v="4"/>
    <x v="1"/>
    <x v="1"/>
    <x v="66"/>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LS16"/>
    <s v="Concrete Cut-Off Walls"/>
    <s v="Concrete Cut-off Wall"/>
    <s v="LS16_009"/>
    <x v="8"/>
    <n v="29.949866944"/>
    <n v="-25.829684722"/>
    <s v="29° 56' 59.52&quot;E "/>
    <s v="25° 49' 46.86&quot; S"/>
    <s v="Complete"/>
    <s v="Yes"/>
    <s v="Yes"/>
    <d v="2017-02-08T00:00:00"/>
    <s v="YES "/>
    <m/>
    <s v="NBC-GTW-CL-0046"/>
    <s v="Yes"/>
    <s v="00"/>
    <d v="2018-06-16T00:00:00"/>
    <s v="Phase 2"/>
    <s v="Year 3"/>
    <n v="0"/>
    <n v="0"/>
    <n v="0"/>
    <n v="0"/>
    <n v="0"/>
    <n v="4.3499999999999996"/>
    <n v="0"/>
    <n v="0"/>
    <n v="0"/>
    <n v="0"/>
    <n v="0"/>
    <n v="0"/>
    <n v="4.3499999999999996"/>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m/>
    <m/>
    <m/>
    <m/>
    <m/>
    <m/>
    <m/>
    <m/>
    <m/>
    <m/>
    <m/>
    <m/>
    <n v="0"/>
    <n v="0"/>
    <n v="0"/>
    <n v="0"/>
    <n v="0"/>
    <n v="369.74999999999994"/>
    <n v="0"/>
    <n v="0"/>
    <n v="0"/>
    <n v="0"/>
    <n v="0"/>
    <n v="8700"/>
    <n v="0"/>
    <n v="0"/>
    <n v="0"/>
    <n v="0"/>
    <n v="0"/>
    <n v="0"/>
    <n v="0"/>
    <n v="0"/>
    <n v="0"/>
    <n v="0"/>
    <n v="0"/>
    <n v="0"/>
    <n v="0"/>
    <n v="0"/>
    <n v="0"/>
    <n v="0"/>
    <n v="0"/>
    <n v="0"/>
    <n v="0"/>
    <n v="0"/>
    <n v="0"/>
    <n v="0"/>
    <n v="0"/>
    <n v="0"/>
    <n v="0"/>
    <n v="0"/>
    <n v="0"/>
    <n v="0"/>
    <n v="0"/>
    <n v="0"/>
    <n v="0"/>
    <n v="0"/>
    <n v="0"/>
    <n v="0"/>
    <n v="0"/>
    <n v="0"/>
    <n v="0"/>
    <n v="0"/>
    <n v="0"/>
    <n v="0"/>
    <n v="0"/>
    <n v="0"/>
    <n v="0"/>
    <n v="0"/>
    <n v="0"/>
    <n v="0"/>
    <n v="9069.75"/>
    <s v=" "/>
    <s v=" "/>
    <n v="10802.217366000003"/>
    <s v=" "/>
    <s v=" "/>
    <s v=" "/>
    <s v=" "/>
    <s v=" "/>
    <s v=" "/>
    <s v=" "/>
    <s v=" "/>
    <s v=" "/>
    <s v=" "/>
    <s v=" "/>
    <s v=" "/>
    <x v="0"/>
    <x v="0"/>
    <x v="0"/>
    <x v="0"/>
    <x v="0"/>
    <x v="84"/>
    <x v="0"/>
    <x v="0"/>
    <x v="0"/>
    <x v="4"/>
    <x v="1"/>
    <x v="1"/>
    <x v="67"/>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LS16"/>
    <s v="Concrete Cut-Off Walls"/>
    <s v="Concrete Cut-off Wall"/>
    <s v="LS16_010"/>
    <x v="8"/>
    <n v="29.950084722"/>
    <n v="-25.829402221999999"/>
    <s v="29° 57' 00.30&quot;E "/>
    <s v="25° 49' 45.84&quot; S"/>
    <s v="Complete"/>
    <s v="Yes"/>
    <s v="Yes"/>
    <d v="2017-02-08T00:00:00"/>
    <s v="YES "/>
    <m/>
    <s v="NBC-GTW-CL-0046"/>
    <s v="Yes"/>
    <s v="00"/>
    <d v="2018-06-16T00:00:00"/>
    <s v="Phase 2"/>
    <s v="Year 3"/>
    <n v="0"/>
    <n v="0"/>
    <n v="0"/>
    <n v="0"/>
    <n v="0"/>
    <n v="5.0999999999999996"/>
    <n v="0"/>
    <n v="0"/>
    <n v="0"/>
    <n v="0"/>
    <n v="0"/>
    <n v="0"/>
    <n v="5.0999999999999996"/>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m/>
    <m/>
    <m/>
    <m/>
    <m/>
    <m/>
    <m/>
    <m/>
    <m/>
    <m/>
    <m/>
    <m/>
    <n v="0"/>
    <n v="0"/>
    <n v="0"/>
    <n v="0"/>
    <n v="0"/>
    <n v="433.49999999999994"/>
    <n v="0"/>
    <n v="0"/>
    <n v="0"/>
    <n v="0"/>
    <n v="0"/>
    <n v="10200"/>
    <n v="0"/>
    <n v="0"/>
    <n v="0"/>
    <n v="0"/>
    <n v="0"/>
    <n v="0"/>
    <n v="0"/>
    <n v="0"/>
    <n v="0"/>
    <n v="0"/>
    <n v="0"/>
    <n v="0"/>
    <n v="0"/>
    <n v="0"/>
    <n v="0"/>
    <n v="0"/>
    <n v="0"/>
    <n v="0"/>
    <n v="0"/>
    <n v="0"/>
    <n v="0"/>
    <n v="0"/>
    <n v="0"/>
    <n v="0"/>
    <n v="0"/>
    <n v="0"/>
    <n v="0"/>
    <n v="0"/>
    <n v="0"/>
    <n v="0"/>
    <n v="0"/>
    <n v="0"/>
    <n v="0"/>
    <n v="0"/>
    <n v="0"/>
    <n v="0"/>
    <n v="0"/>
    <n v="0"/>
    <n v="0"/>
    <n v="0"/>
    <n v="0"/>
    <n v="0"/>
    <n v="0"/>
    <n v="0"/>
    <n v="0"/>
    <n v="0"/>
    <n v="10633.5"/>
    <s v=" "/>
    <s v=" "/>
    <n v="12664.668636"/>
    <s v=" "/>
    <s v=" "/>
    <s v=" "/>
    <s v=" "/>
    <s v=" "/>
    <s v=" "/>
    <s v=" "/>
    <s v=" "/>
    <s v=" "/>
    <s v=" "/>
    <s v=" "/>
    <s v=" "/>
    <x v="0"/>
    <x v="0"/>
    <x v="0"/>
    <x v="0"/>
    <x v="0"/>
    <x v="85"/>
    <x v="0"/>
    <x v="0"/>
    <x v="0"/>
    <x v="4"/>
    <x v="1"/>
    <x v="1"/>
    <x v="68"/>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LS16"/>
    <s v="Concrete Cut-Off Walls"/>
    <s v="Concrete Cut-off Wall"/>
    <s v="LS16_011"/>
    <x v="8"/>
    <n v="29.950328611"/>
    <n v="-25.829112500000001"/>
    <s v="29° 57' 01.18&quot;E "/>
    <s v="25° 49' 44.80&quot; S"/>
    <s v="Complete"/>
    <s v="Yes"/>
    <s v="Yes"/>
    <d v="2017-02-08T00:00:00"/>
    <s v="YES "/>
    <m/>
    <s v="NBC-GTW-CL-0046"/>
    <s v="Yes"/>
    <s v="00"/>
    <d v="2018-06-16T00:00:00"/>
    <s v="Phase 2"/>
    <s v="Year 3"/>
    <n v="0"/>
    <n v="0"/>
    <n v="0"/>
    <n v="0"/>
    <n v="0"/>
    <n v="3.3"/>
    <n v="0"/>
    <n v="0"/>
    <n v="0"/>
    <n v="0"/>
    <n v="0"/>
    <n v="0"/>
    <n v="3.3"/>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m/>
    <m/>
    <m/>
    <m/>
    <m/>
    <m/>
    <m/>
    <m/>
    <m/>
    <m/>
    <m/>
    <m/>
    <n v="0"/>
    <n v="0"/>
    <n v="0"/>
    <n v="0"/>
    <n v="0"/>
    <n v="280.5"/>
    <n v="0"/>
    <n v="0"/>
    <n v="0"/>
    <n v="0"/>
    <n v="0"/>
    <n v="6600"/>
    <n v="0"/>
    <n v="0"/>
    <n v="0"/>
    <n v="0"/>
    <n v="0"/>
    <n v="0"/>
    <n v="0"/>
    <n v="0"/>
    <n v="0"/>
    <n v="0"/>
    <n v="0"/>
    <n v="0"/>
    <n v="0"/>
    <n v="0"/>
    <n v="0"/>
    <n v="0"/>
    <n v="0"/>
    <n v="0"/>
    <n v="0"/>
    <n v="0"/>
    <n v="0"/>
    <n v="0"/>
    <n v="0"/>
    <n v="0"/>
    <n v="0"/>
    <n v="0"/>
    <n v="0"/>
    <n v="0"/>
    <n v="0"/>
    <n v="0"/>
    <n v="0"/>
    <n v="0"/>
    <n v="0"/>
    <n v="0"/>
    <n v="0"/>
    <n v="0"/>
    <n v="0"/>
    <n v="0"/>
    <n v="0"/>
    <n v="0"/>
    <n v="0"/>
    <n v="0"/>
    <n v="0"/>
    <n v="0"/>
    <n v="0"/>
    <n v="0"/>
    <n v="6880.5"/>
    <s v=" "/>
    <s v=" "/>
    <n v="8194.7855880000006"/>
    <s v=" "/>
    <s v=" "/>
    <s v=" "/>
    <s v=" "/>
    <s v=" "/>
    <s v=" "/>
    <s v=" "/>
    <s v=" "/>
    <s v=" "/>
    <s v=" "/>
    <s v=" "/>
    <s v=" "/>
    <x v="0"/>
    <x v="0"/>
    <x v="0"/>
    <x v="0"/>
    <x v="0"/>
    <x v="86"/>
    <x v="0"/>
    <x v="0"/>
    <x v="0"/>
    <x v="4"/>
    <x v="1"/>
    <x v="1"/>
    <x v="69"/>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LS16"/>
    <s v="Removal of Road"/>
    <s v="Excavation"/>
    <s v="LS16_012"/>
    <x v="7"/>
    <n v="29.950989444000001"/>
    <n v="-25.827819999999999"/>
    <s v="29° 57' 03.56&quot;E "/>
    <s v="25° 49' 40.15&quot; S"/>
    <s v="Complete"/>
    <s v="Yes"/>
    <s v="Yes"/>
    <d v="2017-05-31T00:00:00"/>
    <s v="NA"/>
    <s v="NA"/>
    <s v="No Drawing"/>
    <s v="Yes"/>
    <s v="00"/>
    <d v="2018-06-16T00:00:00"/>
    <s v="Phase 2"/>
    <s v="Year 3"/>
    <n v="0"/>
    <n v="161.54999999999998"/>
    <n v="0"/>
    <n v="0"/>
    <n v="0"/>
    <n v="0"/>
    <n v="0"/>
    <n v="0"/>
    <n v="360"/>
    <n v="360"/>
    <n v="80.774999999999991"/>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n v="0"/>
    <n v="8077.4999999999991"/>
    <n v="0"/>
    <n v="0"/>
    <n v="0"/>
    <n v="0"/>
    <n v="0"/>
    <n v="0"/>
    <n v="1800"/>
    <n v="3600"/>
    <n v="0"/>
    <n v="0"/>
    <n v="0"/>
    <n v="0"/>
    <n v="0"/>
    <n v="0"/>
    <n v="0"/>
    <n v="0"/>
    <n v="0"/>
    <n v="0"/>
    <n v="0"/>
    <n v="0"/>
    <n v="0"/>
    <n v="0"/>
    <n v="0"/>
    <n v="0"/>
    <n v="0"/>
    <n v="0"/>
    <n v="0"/>
    <n v="0"/>
    <n v="0"/>
    <n v="0"/>
    <n v="0"/>
    <n v="0"/>
    <n v="0"/>
    <n v="0"/>
    <n v="0"/>
    <n v="0"/>
    <n v="0"/>
    <n v="0"/>
    <n v="0"/>
    <n v="0"/>
    <n v="0"/>
    <n v="0"/>
    <n v="0"/>
    <n v="0"/>
    <n v="0"/>
    <n v="0"/>
    <n v="0"/>
    <n v="0"/>
    <n v="0"/>
    <n v="0"/>
    <n v="0"/>
    <n v="0"/>
    <n v="0"/>
    <n v="0"/>
    <n v="0"/>
    <n v="0"/>
    <n v="13477.5"/>
    <s v=" "/>
    <s v=" "/>
    <n v="16051.918140000003"/>
    <s v=" "/>
    <s v=" "/>
    <s v=" "/>
    <s v=" "/>
    <s v=" "/>
    <s v=" "/>
    <s v=" "/>
    <s v=" "/>
    <s v=" "/>
    <s v=" "/>
    <s v=" "/>
    <s v=" "/>
    <x v="0"/>
    <x v="16"/>
    <x v="0"/>
    <x v="0"/>
    <x v="0"/>
    <x v="1"/>
    <x v="0"/>
    <x v="0"/>
    <x v="47"/>
    <x v="48"/>
    <x v="6"/>
    <x v="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LS16"/>
    <s v="Gabion energy breaker"/>
    <s v="Gabions"/>
    <s v="LS16_013"/>
    <x v="7"/>
    <n v="29.951478889000001"/>
    <n v="-25.827539999999999"/>
    <s v="29° 57' 05.32&quot;E "/>
    <s v="25° 49' 39.14&quot; S"/>
    <s v="YES"/>
    <s v="Yes"/>
    <s v="Yes"/>
    <d v="2017-01-31T00:00:00"/>
    <s v="YES "/>
    <s v="NO"/>
    <s v="NBC-GTW-CL-0059"/>
    <s v="Yes"/>
    <s v="00"/>
    <d v="2018-06-16T00:00:00"/>
    <s v="Phase 2"/>
    <s v="Year 3"/>
    <m/>
    <m/>
    <m/>
    <m/>
    <m/>
    <n v="13.68"/>
    <m/>
    <m/>
    <m/>
    <m/>
    <n v="13.68"/>
    <m/>
    <m/>
    <m/>
    <m/>
    <m/>
    <m/>
    <m/>
    <m/>
    <m/>
    <m/>
    <m/>
    <m/>
    <m/>
    <m/>
    <m/>
    <m/>
    <m/>
    <m/>
    <m/>
    <m/>
    <m/>
    <m/>
    <m/>
    <m/>
    <m/>
    <m/>
    <n v="1"/>
    <n v="0"/>
    <n v="0"/>
    <n v="9"/>
    <n v="0"/>
    <n v="0"/>
    <n v="0"/>
    <n v="4.5"/>
    <n v="0"/>
    <n v="0"/>
    <n v="0"/>
    <n v="0"/>
    <n v="0"/>
    <n v="0"/>
    <n v="0"/>
    <n v="0"/>
    <n v="0"/>
    <m/>
    <n v="44.900000000000006"/>
    <m/>
    <m/>
    <m/>
    <m/>
    <m/>
    <m/>
    <m/>
    <m/>
    <m/>
    <m/>
    <m/>
    <m/>
    <m/>
    <m/>
    <m/>
    <m/>
    <m/>
    <m/>
    <m/>
    <m/>
    <m/>
    <m/>
    <m/>
    <m/>
    <m/>
    <m/>
    <m/>
    <m/>
    <m/>
    <m/>
    <m/>
    <m/>
    <m/>
    <m/>
    <m/>
    <m/>
    <m/>
    <m/>
    <m/>
    <n v="0"/>
    <n v="0"/>
    <n v="0"/>
    <n v="0"/>
    <n v="0"/>
    <n v="1162.8"/>
    <n v="0"/>
    <n v="0"/>
    <n v="0"/>
    <n v="0"/>
    <n v="0"/>
    <n v="0"/>
    <n v="0"/>
    <n v="0"/>
    <n v="0"/>
    <n v="0"/>
    <n v="0"/>
    <n v="0"/>
    <n v="0"/>
    <n v="0"/>
    <n v="0"/>
    <n v="0"/>
    <n v="23700"/>
    <n v="0"/>
    <n v="1257.2000000000003"/>
    <n v="0"/>
    <n v="0"/>
    <n v="0"/>
    <n v="0"/>
    <n v="0"/>
    <n v="0"/>
    <n v="0"/>
    <n v="0"/>
    <n v="0"/>
    <n v="0"/>
    <n v="0"/>
    <n v="0"/>
    <n v="0"/>
    <n v="0"/>
    <n v="0"/>
    <n v="0"/>
    <n v="0"/>
    <n v="0"/>
    <n v="0"/>
    <n v="0"/>
    <n v="0"/>
    <n v="0"/>
    <n v="0"/>
    <n v="0"/>
    <n v="0"/>
    <n v="0"/>
    <n v="0"/>
    <n v="0"/>
    <n v="0"/>
    <n v="0"/>
    <n v="0"/>
    <n v="0"/>
    <n v="0"/>
    <n v="26120"/>
    <s v=" "/>
    <s v=" "/>
    <n v="31109.337920000002"/>
    <s v=" "/>
    <s v=" "/>
    <s v=" "/>
    <s v=" "/>
    <s v=" "/>
    <s v=" "/>
    <s v=" "/>
    <s v=" "/>
    <s v=" "/>
    <s v=" "/>
    <s v=" "/>
    <s v=" "/>
    <x v="0"/>
    <x v="0"/>
    <x v="0"/>
    <x v="0"/>
    <x v="0"/>
    <x v="87"/>
    <x v="0"/>
    <x v="0"/>
    <x v="0"/>
    <x v="4"/>
    <x v="7"/>
    <x v="1"/>
    <x v="0"/>
    <x v="0"/>
    <x v="0"/>
    <x v="0"/>
    <x v="0"/>
    <x v="0"/>
    <x v="0"/>
    <x v="0"/>
    <x v="0"/>
    <x v="0"/>
    <x v="0"/>
    <x v="0"/>
    <x v="0"/>
    <x v="0"/>
    <x v="0"/>
    <x v="0"/>
    <x v="0"/>
    <x v="0"/>
    <x v="0"/>
    <x v="0"/>
    <x v="0"/>
    <x v="0"/>
    <x v="0"/>
    <x v="1"/>
    <x v="0"/>
    <x v="0"/>
    <x v="1"/>
    <x v="0"/>
    <x v="0"/>
    <x v="0"/>
    <x v="1"/>
    <x v="0"/>
    <x v="0"/>
    <x v="0"/>
    <x v="0"/>
    <x v="0"/>
    <x v="0"/>
    <x v="0"/>
    <x v="0"/>
    <x v="0"/>
    <x v="0"/>
    <x v="3"/>
    <x v="0"/>
    <x v="0"/>
    <x v="0"/>
    <x v="0"/>
    <x v="0"/>
    <x v="0"/>
    <x v="0"/>
    <x v="0"/>
    <x v="0"/>
    <x v="0"/>
    <x v="0"/>
    <x v="0"/>
    <x v="0"/>
    <x v="0"/>
    <x v="0"/>
    <x v="0"/>
    <x v="0"/>
    <x v="0"/>
    <x v="0"/>
  </r>
  <r>
    <s v="LS16"/>
    <s v="Ecologs"/>
    <s v="Ecologs"/>
    <s v="LS16_014"/>
    <x v="7"/>
    <n v="29.951548611"/>
    <n v="-25.827376666999999"/>
    <s v="29° 57' 05.57&quot;E "/>
    <s v="25° 49' 38.55&quot; S"/>
    <s v="Complete"/>
    <s v="Yes"/>
    <s v="Yes"/>
    <d v="2017-04-28T00:00:00"/>
    <s v="YES "/>
    <m/>
    <s v="NBC-GTW-CL-0058"/>
    <s v="Yes"/>
    <s v="00"/>
    <d v="2018-06-16T00:00:00"/>
    <s v="Phase 2"/>
    <s v="Year 3"/>
    <n v="0"/>
    <n v="0"/>
    <n v="0"/>
    <n v="0"/>
    <n v="0"/>
    <n v="1.6199999999999999"/>
    <n v="0"/>
    <n v="0"/>
    <n v="0"/>
    <n v="0"/>
    <n v="0"/>
    <n v="0"/>
    <n v="0"/>
    <n v="0"/>
    <n v="0"/>
    <n v="0"/>
    <n v="0"/>
    <n v="0"/>
    <n v="0"/>
    <n v="0"/>
    <n v="0"/>
    <n v="0"/>
    <n v="0"/>
    <n v="0"/>
    <n v="0"/>
    <n v="0"/>
    <n v="0"/>
    <n v="0"/>
    <n v="0"/>
    <n v="0"/>
    <n v="0"/>
    <n v="0"/>
    <n v="0"/>
    <n v="0"/>
    <n v="1.2723450247038663"/>
    <n v="0"/>
    <n v="0"/>
    <n v="0"/>
    <n v="0"/>
    <n v="0"/>
    <n v="0"/>
    <n v="0"/>
    <n v="0"/>
    <n v="0"/>
    <n v="0"/>
    <n v="0"/>
    <n v="0"/>
    <n v="0"/>
    <n v="0"/>
    <n v="0"/>
    <n v="0"/>
    <n v="0"/>
    <n v="0"/>
    <n v="0"/>
    <n v="0"/>
    <n v="0"/>
    <n v="0"/>
    <n v="0"/>
    <n v="0"/>
    <n v="0"/>
    <n v="0"/>
    <n v="0"/>
    <n v="9"/>
    <n v="0"/>
    <n v="0"/>
    <n v="0"/>
    <n v="0"/>
    <n v="0"/>
    <n v="0"/>
    <n v="0"/>
    <n v="0"/>
    <n v="0"/>
    <n v="0"/>
    <n v="0"/>
    <n v="0"/>
    <n v="0"/>
    <n v="0"/>
    <n v="0"/>
    <n v="0"/>
    <n v="0"/>
    <n v="0"/>
    <n v="0"/>
    <n v="0"/>
    <n v="0"/>
    <n v="0"/>
    <n v="0"/>
    <m/>
    <m/>
    <m/>
    <m/>
    <m/>
    <m/>
    <m/>
    <m/>
    <m/>
    <n v="0"/>
    <n v="0"/>
    <n v="0"/>
    <n v="0"/>
    <n v="0"/>
    <n v="137.69999999999999"/>
    <n v="0"/>
    <n v="0"/>
    <n v="0"/>
    <n v="0"/>
    <n v="0"/>
    <n v="0"/>
    <n v="0"/>
    <n v="0"/>
    <n v="0"/>
    <n v="0"/>
    <n v="0"/>
    <n v="0"/>
    <n v="0"/>
    <n v="0"/>
    <n v="152.68140296446396"/>
    <n v="0"/>
    <n v="0"/>
    <n v="0"/>
    <n v="0"/>
    <n v="0"/>
    <n v="8100"/>
    <n v="0"/>
    <n v="0"/>
    <n v="0"/>
    <n v="0"/>
    <n v="0"/>
    <n v="0"/>
    <n v="0"/>
    <n v="0"/>
    <n v="0"/>
    <n v="0"/>
    <n v="0"/>
    <n v="0"/>
    <n v="0"/>
    <n v="0"/>
    <n v="0"/>
    <n v="0"/>
    <n v="0"/>
    <n v="0"/>
    <n v="0"/>
    <n v="0"/>
    <n v="0"/>
    <n v="0"/>
    <n v="0"/>
    <n v="0"/>
    <n v="0"/>
    <n v="0"/>
    <n v="0"/>
    <n v="0"/>
    <n v="0"/>
    <n v="0"/>
    <n v="0"/>
    <n v="8390.3814029644636"/>
    <s v=" "/>
    <s v=" "/>
    <n v="9993.0784970331242"/>
    <s v=" "/>
    <s v=" "/>
    <s v=" "/>
    <s v=" "/>
    <s v=" "/>
    <s v=" "/>
    <s v=" "/>
    <s v=" "/>
    <s v=" "/>
    <s v=" "/>
    <s v=" "/>
    <s v=" "/>
    <x v="0"/>
    <x v="0"/>
    <x v="0"/>
    <x v="0"/>
    <x v="0"/>
    <x v="88"/>
    <x v="0"/>
    <x v="0"/>
    <x v="0"/>
    <x v="4"/>
    <x v="1"/>
    <x v="1"/>
    <x v="0"/>
    <x v="0"/>
    <x v="0"/>
    <x v="0"/>
    <x v="0"/>
    <x v="0"/>
    <x v="0"/>
    <x v="0"/>
    <x v="0"/>
    <x v="0"/>
    <x v="0"/>
    <x v="0"/>
    <x v="0"/>
    <x v="0"/>
    <x v="0"/>
    <x v="0"/>
    <x v="0"/>
    <x v="0"/>
    <x v="0"/>
    <x v="0"/>
    <x v="25"/>
    <x v="0"/>
    <x v="0"/>
    <x v="0"/>
    <x v="0"/>
    <x v="0"/>
    <x v="0"/>
    <x v="0"/>
    <x v="0"/>
    <x v="0"/>
    <x v="0"/>
    <x v="0"/>
    <x v="0"/>
    <x v="0"/>
    <x v="0"/>
    <x v="0"/>
    <x v="0"/>
    <x v="0"/>
    <x v="0"/>
    <x v="0"/>
    <x v="0"/>
    <x v="0"/>
    <x v="0"/>
    <x v="0"/>
    <x v="0"/>
    <x v="0"/>
    <x v="0"/>
    <x v="0"/>
    <x v="8"/>
    <x v="0"/>
    <x v="0"/>
    <x v="0"/>
    <x v="0"/>
    <x v="0"/>
    <x v="0"/>
    <x v="0"/>
    <x v="0"/>
    <x v="0"/>
    <x v="0"/>
    <x v="0"/>
    <x v="0"/>
  </r>
  <r>
    <s v="LS16"/>
    <s v="Earthworks (Reinforce Dam Wall)"/>
    <s v="Earthworks (Reinforce Dam Wall)"/>
    <s v="LS16_015"/>
    <x v="7"/>
    <n v="29.952021111000001"/>
    <n v="-25.826996944000001"/>
    <s v="29° 57' 07.27&quot;E "/>
    <s v="25° 49' 37.18&quot; S"/>
    <s v="Complete"/>
    <s v="Yes"/>
    <s v="Yes"/>
    <d v="2017-05-29T00:00:00"/>
    <s v="YES "/>
    <s v="NO"/>
    <s v="NBC-GTW-CL-0050"/>
    <s v="Yes"/>
    <s v="00"/>
    <d v="2018-06-16T00:00:00"/>
    <s v="Phase 2"/>
    <s v="Year 3"/>
    <n v="567"/>
    <n v="0"/>
    <n v="0"/>
    <n v="0"/>
    <n v="0"/>
    <n v="0"/>
    <n v="0"/>
    <n v="0"/>
    <n v="567"/>
    <n v="567"/>
    <n v="0"/>
    <n v="0"/>
    <n v="0"/>
    <n v="0"/>
    <n v="0"/>
    <n v="0"/>
    <n v="0"/>
    <n v="0"/>
    <n v="0"/>
    <n v="0"/>
    <n v="0"/>
    <n v="0"/>
    <n v="0"/>
    <n v="0"/>
    <n v="0"/>
    <n v="0"/>
    <n v="0"/>
    <n v="0"/>
    <n v="0"/>
    <n v="0"/>
    <n v="0"/>
    <n v="0"/>
    <n v="0"/>
    <n v="0"/>
    <n v="198.45"/>
    <n v="0"/>
    <n v="0"/>
    <n v="0"/>
    <n v="0"/>
    <n v="0"/>
    <n v="0"/>
    <n v="0"/>
    <n v="0"/>
    <n v="0"/>
    <n v="0"/>
    <n v="0"/>
    <n v="0"/>
    <n v="0"/>
    <n v="0"/>
    <n v="0"/>
    <n v="0"/>
    <n v="0"/>
    <n v="0"/>
    <n v="0"/>
    <n v="0"/>
    <n v="0"/>
    <n v="0"/>
    <n v="0"/>
    <n v="0"/>
    <n v="0"/>
    <n v="0"/>
    <n v="0"/>
    <n v="0"/>
    <n v="0"/>
    <n v="0"/>
    <n v="0"/>
    <n v="0"/>
    <n v="0"/>
    <n v="0"/>
    <n v="0"/>
    <n v="0"/>
    <n v="0"/>
    <n v="0"/>
    <n v="0"/>
    <n v="0"/>
    <n v="0"/>
    <n v="0"/>
    <n v="0"/>
    <n v="0"/>
    <n v="0"/>
    <n v="0"/>
    <n v="0"/>
    <n v="0"/>
    <n v="0"/>
    <n v="0"/>
    <n v="0"/>
    <m/>
    <m/>
    <m/>
    <m/>
    <m/>
    <m/>
    <m/>
    <m/>
    <m/>
    <n v="2835"/>
    <n v="0"/>
    <n v="0"/>
    <n v="0"/>
    <n v="0"/>
    <n v="0"/>
    <n v="0"/>
    <n v="0"/>
    <n v="2835"/>
    <n v="5670"/>
    <n v="0"/>
    <n v="0"/>
    <n v="0"/>
    <n v="0"/>
    <n v="0"/>
    <n v="0"/>
    <n v="0"/>
    <n v="0"/>
    <n v="0"/>
    <n v="0"/>
    <n v="23814"/>
    <n v="0"/>
    <n v="0"/>
    <n v="0"/>
    <n v="0"/>
    <n v="0"/>
    <n v="0"/>
    <n v="0"/>
    <n v="0"/>
    <n v="0"/>
    <n v="0"/>
    <n v="0"/>
    <n v="0"/>
    <n v="0"/>
    <n v="0"/>
    <n v="0"/>
    <n v="0"/>
    <n v="0"/>
    <n v="0"/>
    <n v="0"/>
    <n v="0"/>
    <n v="0"/>
    <n v="0"/>
    <n v="0"/>
    <n v="0"/>
    <n v="0"/>
    <n v="0"/>
    <n v="0"/>
    <n v="0"/>
    <n v="0"/>
    <n v="0"/>
    <n v="0"/>
    <n v="0"/>
    <n v="0"/>
    <n v="0"/>
    <n v="0"/>
    <n v="0"/>
    <n v="0"/>
    <n v="35154"/>
    <s v=" "/>
    <s v=" "/>
    <n v="41868.976464000007"/>
    <s v=" "/>
    <s v=" "/>
    <s v=" "/>
    <s v=" "/>
    <s v=" "/>
    <s v=" "/>
    <s v=" "/>
    <s v=" "/>
    <s v=" "/>
    <s v=" "/>
    <s v=" "/>
    <s v=" "/>
    <x v="46"/>
    <x v="0"/>
    <x v="0"/>
    <x v="0"/>
    <x v="0"/>
    <x v="1"/>
    <x v="0"/>
    <x v="0"/>
    <x v="48"/>
    <x v="49"/>
    <x v="1"/>
    <x v="1"/>
    <x v="0"/>
    <x v="0"/>
    <x v="0"/>
    <x v="0"/>
    <x v="0"/>
    <x v="0"/>
    <x v="0"/>
    <x v="0"/>
    <x v="0"/>
    <x v="0"/>
    <x v="0"/>
    <x v="0"/>
    <x v="0"/>
    <x v="0"/>
    <x v="0"/>
    <x v="0"/>
    <x v="0"/>
    <x v="0"/>
    <x v="0"/>
    <x v="0"/>
    <x v="26"/>
    <x v="0"/>
    <x v="0"/>
    <x v="0"/>
    <x v="0"/>
    <x v="0"/>
    <x v="0"/>
    <x v="0"/>
    <x v="0"/>
    <x v="0"/>
    <x v="0"/>
    <x v="0"/>
    <x v="0"/>
    <x v="0"/>
    <x v="0"/>
    <x v="0"/>
    <x v="0"/>
    <x v="0"/>
    <x v="0"/>
    <x v="0"/>
    <x v="0"/>
    <x v="0"/>
    <x v="0"/>
    <x v="0"/>
    <x v="0"/>
    <x v="0"/>
    <x v="0"/>
    <x v="0"/>
    <x v="0"/>
    <x v="0"/>
    <x v="0"/>
    <x v="0"/>
    <x v="0"/>
    <x v="0"/>
    <x v="0"/>
    <x v="0"/>
    <x v="0"/>
    <x v="0"/>
    <x v="0"/>
    <x v="0"/>
    <x v="0"/>
  </r>
  <r>
    <s v="LS16"/>
    <s v="Gabion energy breaker"/>
    <s v="Gabions"/>
    <s v="LS16_016"/>
    <x v="7"/>
    <n v="29.953134444"/>
    <n v="-25.826765000000002"/>
    <s v="29° 57' 11.28&quot;E "/>
    <s v="25° 49' 36.35&quot; S"/>
    <s v="YES"/>
    <s v="Yes"/>
    <s v="Yes"/>
    <d v="2017-01-31T00:00:00"/>
    <s v="YES "/>
    <s v="NO"/>
    <s v="NBC-GTW-CL-0060"/>
    <s v="Yes"/>
    <s v="00"/>
    <d v="2018-06-16T00:00:00"/>
    <s v="Phase 2"/>
    <s v="Year 3"/>
    <m/>
    <m/>
    <m/>
    <m/>
    <m/>
    <n v="20"/>
    <m/>
    <m/>
    <m/>
    <m/>
    <n v="20"/>
    <m/>
    <m/>
    <m/>
    <m/>
    <m/>
    <m/>
    <m/>
    <m/>
    <m/>
    <m/>
    <m/>
    <m/>
    <m/>
    <m/>
    <m/>
    <m/>
    <m/>
    <m/>
    <m/>
    <m/>
    <m/>
    <m/>
    <m/>
    <n v="2.4000000000000004"/>
    <n v="2"/>
    <m/>
    <n v="1"/>
    <n v="0"/>
    <n v="0"/>
    <n v="12"/>
    <n v="0"/>
    <n v="0"/>
    <n v="0"/>
    <n v="7.2"/>
    <n v="0"/>
    <n v="0"/>
    <n v="0"/>
    <n v="0"/>
    <n v="0"/>
    <n v="0"/>
    <n v="0"/>
    <n v="0"/>
    <n v="0"/>
    <m/>
    <n v="62.900000000000006"/>
    <m/>
    <m/>
    <m/>
    <m/>
    <m/>
    <m/>
    <m/>
    <m/>
    <m/>
    <m/>
    <m/>
    <m/>
    <m/>
    <m/>
    <m/>
    <m/>
    <m/>
    <m/>
    <m/>
    <m/>
    <m/>
    <m/>
    <m/>
    <m/>
    <m/>
    <m/>
    <m/>
    <m/>
    <m/>
    <m/>
    <m/>
    <m/>
    <m/>
    <m/>
    <m/>
    <m/>
    <m/>
    <m/>
    <m/>
    <n v="0"/>
    <n v="0"/>
    <n v="0"/>
    <n v="0"/>
    <n v="0"/>
    <n v="1700"/>
    <n v="0"/>
    <n v="0"/>
    <n v="0"/>
    <n v="0"/>
    <n v="0"/>
    <n v="0"/>
    <n v="0"/>
    <n v="0"/>
    <n v="0"/>
    <n v="0"/>
    <n v="0"/>
    <n v="0"/>
    <n v="0"/>
    <n v="0"/>
    <n v="288.00000000000006"/>
    <n v="600"/>
    <n v="33675"/>
    <n v="0"/>
    <n v="1761.2000000000003"/>
    <n v="0"/>
    <n v="0"/>
    <n v="0"/>
    <n v="0"/>
    <n v="0"/>
    <n v="0"/>
    <n v="0"/>
    <n v="0"/>
    <n v="0"/>
    <n v="0"/>
    <n v="0"/>
    <n v="0"/>
    <n v="0"/>
    <n v="0"/>
    <n v="0"/>
    <n v="0"/>
    <n v="0"/>
    <n v="0"/>
    <n v="0"/>
    <n v="0"/>
    <n v="0"/>
    <n v="0"/>
    <n v="0"/>
    <n v="0"/>
    <n v="0"/>
    <n v="0"/>
    <n v="0"/>
    <n v="0"/>
    <n v="0"/>
    <n v="0"/>
    <n v="0"/>
    <n v="0"/>
    <n v="0"/>
    <n v="38024.199999999997"/>
    <s v=" "/>
    <s v=" "/>
    <n v="45287.430587200011"/>
    <s v=" "/>
    <s v=" "/>
    <s v=" "/>
    <s v=" "/>
    <s v=" "/>
    <s v=" "/>
    <s v=" "/>
    <s v=" "/>
    <s v=" "/>
    <s v=" "/>
    <s v=" "/>
    <s v=" "/>
    <x v="0"/>
    <x v="0"/>
    <x v="0"/>
    <x v="0"/>
    <x v="0"/>
    <x v="89"/>
    <x v="0"/>
    <x v="0"/>
    <x v="0"/>
    <x v="4"/>
    <x v="8"/>
    <x v="1"/>
    <x v="0"/>
    <x v="0"/>
    <x v="0"/>
    <x v="0"/>
    <x v="0"/>
    <x v="0"/>
    <x v="0"/>
    <x v="0"/>
    <x v="0"/>
    <x v="0"/>
    <x v="0"/>
    <x v="0"/>
    <x v="0"/>
    <x v="0"/>
    <x v="0"/>
    <x v="0"/>
    <x v="0"/>
    <x v="0"/>
    <x v="0"/>
    <x v="0"/>
    <x v="27"/>
    <x v="1"/>
    <x v="0"/>
    <x v="2"/>
    <x v="0"/>
    <x v="0"/>
    <x v="2"/>
    <x v="0"/>
    <x v="0"/>
    <x v="0"/>
    <x v="2"/>
    <x v="0"/>
    <x v="0"/>
    <x v="0"/>
    <x v="0"/>
    <x v="0"/>
    <x v="0"/>
    <x v="0"/>
    <x v="0"/>
    <x v="0"/>
    <x v="0"/>
    <x v="4"/>
    <x v="0"/>
    <x v="0"/>
    <x v="0"/>
    <x v="0"/>
    <x v="0"/>
    <x v="0"/>
    <x v="0"/>
    <x v="0"/>
    <x v="0"/>
    <x v="0"/>
    <x v="0"/>
    <x v="0"/>
    <x v="0"/>
    <x v="0"/>
    <x v="0"/>
    <x v="0"/>
    <x v="0"/>
    <x v="0"/>
    <x v="0"/>
  </r>
  <r>
    <s v="LS16"/>
    <s v="Gabion energy breaker"/>
    <s v="Gabions"/>
    <s v="LS16_017"/>
    <x v="7"/>
    <n v="29.953437222000002"/>
    <n v="-25.826683889000002"/>
    <s v="29° 57' 12.37&quot;E "/>
    <s v="25° 49' 36.06&quot; S"/>
    <s v="YES"/>
    <s v="Yes"/>
    <s v="Yes"/>
    <d v="2017-01-31T00:00:00"/>
    <s v="YES "/>
    <s v="NO"/>
    <s v="NBC-GTW-CL-0061"/>
    <s v="Yes"/>
    <s v="00"/>
    <d v="2018-06-16T00:00:00"/>
    <s v="Phase 2"/>
    <s v="Year 3"/>
    <m/>
    <m/>
    <m/>
    <m/>
    <m/>
    <n v="25"/>
    <m/>
    <m/>
    <m/>
    <m/>
    <n v="25"/>
    <m/>
    <m/>
    <m/>
    <m/>
    <m/>
    <m/>
    <m/>
    <m/>
    <m/>
    <m/>
    <m/>
    <m/>
    <m/>
    <m/>
    <m/>
    <m/>
    <m/>
    <m/>
    <m/>
    <m/>
    <m/>
    <m/>
    <m/>
    <n v="2.8000000000000003"/>
    <n v="0.66666666666666674"/>
    <m/>
    <n v="1"/>
    <n v="0"/>
    <n v="8"/>
    <n v="6"/>
    <n v="0"/>
    <n v="0"/>
    <n v="0"/>
    <n v="9"/>
    <n v="0"/>
    <n v="0"/>
    <n v="0"/>
    <n v="0"/>
    <n v="0"/>
    <n v="0"/>
    <n v="0"/>
    <n v="0"/>
    <n v="0"/>
    <m/>
    <n v="74.900000000000006"/>
    <m/>
    <m/>
    <m/>
    <m/>
    <m/>
    <m/>
    <m/>
    <m/>
    <m/>
    <m/>
    <m/>
    <m/>
    <m/>
    <m/>
    <m/>
    <m/>
    <m/>
    <m/>
    <m/>
    <m/>
    <m/>
    <m/>
    <m/>
    <m/>
    <m/>
    <m/>
    <m/>
    <m/>
    <m/>
    <m/>
    <m/>
    <m/>
    <m/>
    <m/>
    <m/>
    <m/>
    <m/>
    <m/>
    <m/>
    <n v="0"/>
    <n v="0"/>
    <n v="0"/>
    <n v="0"/>
    <n v="0"/>
    <n v="2125"/>
    <n v="0"/>
    <n v="0"/>
    <n v="0"/>
    <n v="0"/>
    <n v="0"/>
    <n v="0"/>
    <n v="0"/>
    <n v="0"/>
    <n v="0"/>
    <n v="0"/>
    <n v="0"/>
    <n v="0"/>
    <n v="0"/>
    <n v="0"/>
    <n v="336.00000000000006"/>
    <n v="200.00000000000003"/>
    <n v="40325"/>
    <n v="0"/>
    <n v="2097.2000000000003"/>
    <n v="0"/>
    <n v="0"/>
    <n v="0"/>
    <n v="0"/>
    <n v="0"/>
    <n v="0"/>
    <n v="0"/>
    <n v="0"/>
    <n v="0"/>
    <n v="0"/>
    <n v="0"/>
    <n v="0"/>
    <n v="0"/>
    <n v="0"/>
    <n v="0"/>
    <n v="0"/>
    <n v="0"/>
    <n v="0"/>
    <n v="0"/>
    <n v="0"/>
    <n v="0"/>
    <n v="0"/>
    <n v="0"/>
    <n v="0"/>
    <n v="0"/>
    <n v="0"/>
    <n v="0"/>
    <n v="0"/>
    <n v="0"/>
    <n v="0"/>
    <n v="0"/>
    <n v="0"/>
    <n v="0"/>
    <n v="45083.199999999997"/>
    <s v=" "/>
    <s v=" "/>
    <n v="53694.812531200012"/>
    <s v=" "/>
    <s v=" "/>
    <s v=" "/>
    <s v=" "/>
    <s v=" "/>
    <s v=" "/>
    <s v=" "/>
    <s v=" "/>
    <s v=" "/>
    <s v=" "/>
    <s v=" "/>
    <s v=" "/>
    <x v="0"/>
    <x v="0"/>
    <x v="0"/>
    <x v="0"/>
    <x v="0"/>
    <x v="90"/>
    <x v="0"/>
    <x v="0"/>
    <x v="0"/>
    <x v="4"/>
    <x v="9"/>
    <x v="1"/>
    <x v="0"/>
    <x v="0"/>
    <x v="0"/>
    <x v="0"/>
    <x v="0"/>
    <x v="0"/>
    <x v="0"/>
    <x v="0"/>
    <x v="0"/>
    <x v="0"/>
    <x v="0"/>
    <x v="0"/>
    <x v="0"/>
    <x v="0"/>
    <x v="0"/>
    <x v="0"/>
    <x v="0"/>
    <x v="0"/>
    <x v="0"/>
    <x v="0"/>
    <x v="28"/>
    <x v="2"/>
    <x v="0"/>
    <x v="3"/>
    <x v="0"/>
    <x v="1"/>
    <x v="3"/>
    <x v="0"/>
    <x v="0"/>
    <x v="0"/>
    <x v="3"/>
    <x v="0"/>
    <x v="0"/>
    <x v="0"/>
    <x v="0"/>
    <x v="0"/>
    <x v="0"/>
    <x v="0"/>
    <x v="0"/>
    <x v="0"/>
    <x v="0"/>
    <x v="5"/>
    <x v="0"/>
    <x v="0"/>
    <x v="0"/>
    <x v="0"/>
    <x v="0"/>
    <x v="0"/>
    <x v="0"/>
    <x v="0"/>
    <x v="0"/>
    <x v="0"/>
    <x v="0"/>
    <x v="0"/>
    <x v="0"/>
    <x v="0"/>
    <x v="0"/>
    <x v="0"/>
    <x v="0"/>
    <x v="0"/>
    <x v="0"/>
  </r>
  <r>
    <s v="LS16"/>
    <s v="Gabion energy breaker"/>
    <s v="Gabions"/>
    <s v="LS16_018"/>
    <x v="7"/>
    <n v="29.953675832999998"/>
    <n v="-25.826637000000002"/>
    <s v="29° 57' 13.23&quot;E "/>
    <s v="25° 49' 35.89&quot; S"/>
    <s v="YES"/>
    <s v="Yes"/>
    <s v="Yes"/>
    <d v="2017-01-31T00:00:00"/>
    <s v="YES "/>
    <s v="NO"/>
    <s v="NBC-GTW-CL-0062"/>
    <s v="Yes"/>
    <s v="00"/>
    <d v="2018-06-16T00:00:00"/>
    <s v="Phase 2"/>
    <s v="Year 3"/>
    <m/>
    <m/>
    <m/>
    <m/>
    <m/>
    <n v="22.08"/>
    <m/>
    <m/>
    <m/>
    <m/>
    <n v="22.08"/>
    <m/>
    <m/>
    <m/>
    <m/>
    <m/>
    <m/>
    <m/>
    <m/>
    <m/>
    <m/>
    <m/>
    <m/>
    <m/>
    <m/>
    <m/>
    <m/>
    <m/>
    <m/>
    <m/>
    <m/>
    <m/>
    <m/>
    <m/>
    <n v="0"/>
    <n v="3.0000000000000004"/>
    <m/>
    <n v="1"/>
    <n v="0"/>
    <n v="0"/>
    <n v="15"/>
    <n v="0"/>
    <n v="0"/>
    <n v="0"/>
    <n v="9.9"/>
    <n v="0"/>
    <n v="0"/>
    <n v="0"/>
    <n v="0"/>
    <n v="0"/>
    <n v="0"/>
    <n v="0"/>
    <n v="0"/>
    <n v="0"/>
    <m/>
    <n v="80.900000000000006"/>
    <m/>
    <m/>
    <m/>
    <m/>
    <m/>
    <m/>
    <m/>
    <m/>
    <m/>
    <m/>
    <m/>
    <m/>
    <m/>
    <m/>
    <m/>
    <m/>
    <m/>
    <m/>
    <m/>
    <m/>
    <m/>
    <m/>
    <m/>
    <m/>
    <m/>
    <m/>
    <m/>
    <m/>
    <m/>
    <m/>
    <m/>
    <m/>
    <m/>
    <m/>
    <m/>
    <m/>
    <m/>
    <m/>
    <m/>
    <n v="0"/>
    <n v="0"/>
    <n v="0"/>
    <n v="0"/>
    <n v="0"/>
    <n v="1876.8"/>
    <n v="0"/>
    <n v="0"/>
    <n v="0"/>
    <n v="0"/>
    <n v="0"/>
    <n v="0"/>
    <n v="0"/>
    <n v="0"/>
    <n v="0"/>
    <n v="0"/>
    <n v="0"/>
    <n v="0"/>
    <n v="0"/>
    <n v="0"/>
    <n v="0"/>
    <n v="900.00000000000011"/>
    <n v="43650"/>
    <n v="0"/>
    <n v="2265.2000000000003"/>
    <n v="0"/>
    <n v="0"/>
    <n v="0"/>
    <n v="0"/>
    <n v="0"/>
    <n v="0"/>
    <n v="0"/>
    <n v="0"/>
    <n v="0"/>
    <n v="0"/>
    <n v="0"/>
    <n v="0"/>
    <n v="0"/>
    <n v="0"/>
    <n v="0"/>
    <n v="0"/>
    <n v="0"/>
    <n v="0"/>
    <n v="0"/>
    <n v="0"/>
    <n v="0"/>
    <n v="0"/>
    <n v="0"/>
    <n v="0"/>
    <n v="0"/>
    <n v="0"/>
    <n v="0"/>
    <n v="0"/>
    <n v="0"/>
    <n v="0"/>
    <n v="0"/>
    <n v="0"/>
    <n v="0"/>
    <n v="48692"/>
    <s v=" "/>
    <s v=" "/>
    <n v="57992.951072000011"/>
    <s v=" "/>
    <s v=" "/>
    <s v=" "/>
    <s v=" "/>
    <s v=" "/>
    <s v=" "/>
    <s v=" "/>
    <s v=" "/>
    <s v=" "/>
    <s v=" "/>
    <s v=" "/>
    <s v=" "/>
    <x v="0"/>
    <x v="0"/>
    <x v="0"/>
    <x v="0"/>
    <x v="0"/>
    <x v="91"/>
    <x v="0"/>
    <x v="0"/>
    <x v="0"/>
    <x v="4"/>
    <x v="10"/>
    <x v="1"/>
    <x v="0"/>
    <x v="0"/>
    <x v="0"/>
    <x v="0"/>
    <x v="0"/>
    <x v="0"/>
    <x v="0"/>
    <x v="0"/>
    <x v="0"/>
    <x v="0"/>
    <x v="0"/>
    <x v="0"/>
    <x v="0"/>
    <x v="0"/>
    <x v="0"/>
    <x v="0"/>
    <x v="0"/>
    <x v="0"/>
    <x v="0"/>
    <x v="0"/>
    <x v="0"/>
    <x v="3"/>
    <x v="0"/>
    <x v="4"/>
    <x v="0"/>
    <x v="0"/>
    <x v="4"/>
    <x v="0"/>
    <x v="0"/>
    <x v="0"/>
    <x v="4"/>
    <x v="0"/>
    <x v="0"/>
    <x v="0"/>
    <x v="0"/>
    <x v="0"/>
    <x v="0"/>
    <x v="0"/>
    <x v="0"/>
    <x v="0"/>
    <x v="0"/>
    <x v="6"/>
    <x v="0"/>
    <x v="0"/>
    <x v="0"/>
    <x v="0"/>
    <x v="0"/>
    <x v="0"/>
    <x v="0"/>
    <x v="0"/>
    <x v="0"/>
    <x v="0"/>
    <x v="0"/>
    <x v="0"/>
    <x v="0"/>
    <x v="0"/>
    <x v="0"/>
    <x v="0"/>
    <x v="0"/>
    <x v="0"/>
    <x v="0"/>
  </r>
  <r>
    <s v="LS16"/>
    <s v="Gabion energy breaker"/>
    <s v="Gabions"/>
    <s v="LS16_019"/>
    <x v="7"/>
    <n v="29.954265555999999"/>
    <n v="-25.826652778"/>
    <s v="29° 57' 15.35&quot;E "/>
    <s v="25° 49' 35.95&quot; S"/>
    <s v="YES"/>
    <s v="Yes"/>
    <s v="Yes"/>
    <d v="2017-01-31T00:00:00"/>
    <s v="YES "/>
    <s v="NO"/>
    <s v="NBC-GTW-CL-0063"/>
    <s v="Yes"/>
    <s v="00"/>
    <d v="2018-06-16T00:00:00"/>
    <s v="Phase 2"/>
    <s v="Year 3"/>
    <m/>
    <m/>
    <m/>
    <m/>
    <m/>
    <n v="24.48"/>
    <m/>
    <m/>
    <m/>
    <m/>
    <n v="24.48"/>
    <m/>
    <m/>
    <m/>
    <m/>
    <m/>
    <m/>
    <m/>
    <m/>
    <m/>
    <m/>
    <m/>
    <m/>
    <m/>
    <m/>
    <m/>
    <m/>
    <m/>
    <m/>
    <m/>
    <m/>
    <m/>
    <m/>
    <m/>
    <n v="0"/>
    <n v="1.0083333333333335"/>
    <m/>
    <n v="1"/>
    <n v="0"/>
    <n v="4"/>
    <n v="12"/>
    <n v="0"/>
    <n v="0"/>
    <n v="0"/>
    <n v="10.8"/>
    <n v="0"/>
    <n v="0"/>
    <n v="0"/>
    <n v="0"/>
    <n v="0"/>
    <n v="0"/>
    <n v="0"/>
    <n v="0"/>
    <n v="0"/>
    <m/>
    <n v="83.9"/>
    <m/>
    <m/>
    <m/>
    <m/>
    <m/>
    <m/>
    <m/>
    <m/>
    <m/>
    <m/>
    <m/>
    <m/>
    <m/>
    <m/>
    <m/>
    <m/>
    <m/>
    <m/>
    <m/>
    <m/>
    <m/>
    <m/>
    <m/>
    <m/>
    <m/>
    <m/>
    <m/>
    <m/>
    <m/>
    <m/>
    <m/>
    <m/>
    <m/>
    <m/>
    <m/>
    <m/>
    <m/>
    <m/>
    <m/>
    <n v="0"/>
    <n v="0"/>
    <n v="0"/>
    <n v="0"/>
    <n v="0"/>
    <n v="2080.8000000000002"/>
    <n v="0"/>
    <n v="0"/>
    <n v="0"/>
    <n v="0"/>
    <n v="0"/>
    <n v="0"/>
    <n v="0"/>
    <n v="0"/>
    <n v="0"/>
    <n v="0"/>
    <n v="0"/>
    <n v="0"/>
    <n v="0"/>
    <n v="0"/>
    <n v="0"/>
    <n v="302.50000000000006"/>
    <n v="46975"/>
    <n v="0"/>
    <n v="2349.2000000000003"/>
    <n v="0"/>
    <n v="0"/>
    <n v="0"/>
    <n v="0"/>
    <n v="0"/>
    <n v="0"/>
    <n v="0"/>
    <n v="0"/>
    <n v="0"/>
    <n v="0"/>
    <n v="0"/>
    <n v="0"/>
    <n v="0"/>
    <n v="0"/>
    <n v="0"/>
    <n v="0"/>
    <n v="0"/>
    <n v="0"/>
    <n v="0"/>
    <n v="0"/>
    <n v="0"/>
    <n v="0"/>
    <n v="0"/>
    <n v="0"/>
    <n v="0"/>
    <n v="0"/>
    <n v="0"/>
    <n v="0"/>
    <n v="0"/>
    <n v="0"/>
    <n v="0"/>
    <n v="0"/>
    <n v="0"/>
    <n v="51707.5"/>
    <s v=" "/>
    <s v=" "/>
    <n v="61584.459820000011"/>
    <s v=" "/>
    <s v=" "/>
    <s v=" "/>
    <s v=" "/>
    <s v=" "/>
    <s v=" "/>
    <s v=" "/>
    <s v=" "/>
    <s v=" "/>
    <s v=" "/>
    <s v=" "/>
    <s v=" "/>
    <x v="0"/>
    <x v="0"/>
    <x v="0"/>
    <x v="0"/>
    <x v="0"/>
    <x v="92"/>
    <x v="0"/>
    <x v="0"/>
    <x v="0"/>
    <x v="4"/>
    <x v="11"/>
    <x v="1"/>
    <x v="0"/>
    <x v="0"/>
    <x v="0"/>
    <x v="0"/>
    <x v="0"/>
    <x v="0"/>
    <x v="0"/>
    <x v="0"/>
    <x v="0"/>
    <x v="0"/>
    <x v="0"/>
    <x v="0"/>
    <x v="0"/>
    <x v="0"/>
    <x v="0"/>
    <x v="0"/>
    <x v="0"/>
    <x v="0"/>
    <x v="0"/>
    <x v="0"/>
    <x v="0"/>
    <x v="4"/>
    <x v="0"/>
    <x v="5"/>
    <x v="0"/>
    <x v="2"/>
    <x v="5"/>
    <x v="0"/>
    <x v="0"/>
    <x v="0"/>
    <x v="5"/>
    <x v="0"/>
    <x v="0"/>
    <x v="0"/>
    <x v="0"/>
    <x v="0"/>
    <x v="0"/>
    <x v="0"/>
    <x v="0"/>
    <x v="0"/>
    <x v="0"/>
    <x v="7"/>
    <x v="0"/>
    <x v="0"/>
    <x v="0"/>
    <x v="0"/>
    <x v="0"/>
    <x v="0"/>
    <x v="0"/>
    <x v="0"/>
    <x v="0"/>
    <x v="0"/>
    <x v="0"/>
    <x v="0"/>
    <x v="0"/>
    <x v="0"/>
    <x v="0"/>
    <x v="0"/>
    <x v="0"/>
    <x v="0"/>
    <x v="0"/>
  </r>
  <r>
    <s v="LS16"/>
    <s v="Removal of Road"/>
    <s v="Excavation"/>
    <s v="LS16_020"/>
    <x v="7"/>
    <n v="29.955486944"/>
    <n v="-25.826356944"/>
    <s v="29° 57' 19.75&quot;E "/>
    <s v="25° 49' 34.88&quot; S"/>
    <s v="Complete"/>
    <s v="Yes"/>
    <s v="Yes"/>
    <d v="2017-05-31T00:00:00"/>
    <s v="NA"/>
    <s v="NA"/>
    <s v="No Drawing"/>
    <s v="Yes"/>
    <s v="00"/>
    <d v="2018-06-16T00:00:00"/>
    <s v="Phase 2"/>
    <s v="Year 3"/>
    <n v="0"/>
    <n v="744.23250000000007"/>
    <n v="0"/>
    <n v="0"/>
    <n v="0"/>
    <n v="0"/>
    <n v="0"/>
    <n v="0"/>
    <n v="1782"/>
    <n v="1782"/>
    <n v="372.11625000000004"/>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n v="0"/>
    <n v="37211.625"/>
    <n v="0"/>
    <n v="0"/>
    <n v="0"/>
    <n v="0"/>
    <n v="0"/>
    <n v="0"/>
    <n v="8910"/>
    <n v="17820"/>
    <n v="0"/>
    <n v="0"/>
    <n v="0"/>
    <n v="0"/>
    <n v="0"/>
    <n v="0"/>
    <n v="0"/>
    <n v="0"/>
    <n v="0"/>
    <n v="0"/>
    <n v="0"/>
    <n v="0"/>
    <n v="0"/>
    <n v="0"/>
    <n v="0"/>
    <n v="0"/>
    <n v="0"/>
    <n v="0"/>
    <n v="0"/>
    <n v="0"/>
    <n v="0"/>
    <n v="0"/>
    <n v="0"/>
    <n v="0"/>
    <n v="0"/>
    <n v="0"/>
    <n v="0"/>
    <n v="0"/>
    <n v="0"/>
    <n v="0"/>
    <n v="0"/>
    <n v="0"/>
    <n v="0"/>
    <n v="0"/>
    <n v="0"/>
    <n v="0"/>
    <n v="0"/>
    <n v="0"/>
    <n v="0"/>
    <n v="0"/>
    <n v="0"/>
    <n v="0"/>
    <n v="0"/>
    <n v="0"/>
    <n v="0"/>
    <n v="0"/>
    <n v="0"/>
    <n v="0"/>
    <n v="63941.625"/>
    <s v=" "/>
    <s v=" "/>
    <n v="76155.498441000003"/>
    <s v=" "/>
    <s v=" "/>
    <s v=" "/>
    <s v=" "/>
    <s v=" "/>
    <s v=" "/>
    <s v=" "/>
    <s v=" "/>
    <s v=" "/>
    <s v=" "/>
    <s v=" "/>
    <s v=" "/>
    <x v="0"/>
    <x v="17"/>
    <x v="0"/>
    <x v="0"/>
    <x v="0"/>
    <x v="1"/>
    <x v="0"/>
    <x v="0"/>
    <x v="49"/>
    <x v="50"/>
    <x v="12"/>
    <x v="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LS16"/>
    <s v="Backfill Main Channel and reshaping"/>
    <s v="Backfill Leeuwbankspruit"/>
    <s v="LS16_021"/>
    <x v="7"/>
    <n v="29.950704900000002"/>
    <n v="-25.830577399999999"/>
    <s v="29° 57' 02.53&quot;E "/>
    <s v="25° 49' 50.07&quot; S"/>
    <s v="Complete"/>
    <n v="0"/>
    <s v="Yes"/>
    <d v="1899-12-30T00:00:00"/>
    <s v="NA"/>
    <s v="NA"/>
    <s v="No Drawing"/>
    <s v="Yes"/>
    <s v="00"/>
    <d v="2018-06-16T00:00:00"/>
    <s v="Phase 2"/>
    <s v="Year 3"/>
    <n v="6032.3099999999995"/>
    <n v="0"/>
    <n v="0"/>
    <n v="0"/>
    <n v="0"/>
    <n v="500"/>
    <n v="0"/>
    <n v="0"/>
    <n v="6032.3099999999995"/>
    <n v="6032.3099999999995"/>
    <n v="0"/>
    <n v="0"/>
    <n v="0"/>
    <n v="0"/>
    <n v="0"/>
    <n v="0"/>
    <n v="0"/>
    <n v="0"/>
    <n v="0"/>
    <n v="0"/>
    <n v="0"/>
    <n v="0"/>
    <n v="0"/>
    <n v="0"/>
    <n v="0"/>
    <n v="0"/>
    <n v="0"/>
    <n v="0"/>
    <n v="0"/>
    <n v="0"/>
    <n v="0"/>
    <n v="0"/>
    <n v="0"/>
    <n v="0"/>
    <n v="3454"/>
    <n v="0"/>
    <n v="0"/>
    <n v="0"/>
    <n v="0"/>
    <n v="0"/>
    <n v="0"/>
    <n v="0"/>
    <n v="0"/>
    <n v="0"/>
    <n v="0"/>
    <n v="0"/>
    <n v="0"/>
    <n v="0"/>
    <n v="0"/>
    <n v="0"/>
    <n v="0"/>
    <n v="0"/>
    <n v="0"/>
    <n v="0"/>
    <n v="0"/>
    <n v="0"/>
    <n v="0"/>
    <n v="0"/>
    <n v="0"/>
    <n v="0"/>
    <n v="0"/>
    <n v="0"/>
    <n v="0"/>
    <n v="0"/>
    <n v="0"/>
    <n v="0"/>
    <n v="0"/>
    <n v="0"/>
    <n v="0"/>
    <n v="0"/>
    <n v="0"/>
    <n v="0"/>
    <n v="0"/>
    <n v="0"/>
    <m/>
    <m/>
    <m/>
    <m/>
    <m/>
    <m/>
    <m/>
    <m/>
    <m/>
    <m/>
    <m/>
    <m/>
    <m/>
    <m/>
    <m/>
    <m/>
    <m/>
    <m/>
    <m/>
    <m/>
    <m/>
    <n v="30161.549999999996"/>
    <n v="0"/>
    <n v="0"/>
    <n v="0"/>
    <n v="0"/>
    <n v="42500"/>
    <n v="0"/>
    <n v="0"/>
    <n v="30161.549999999996"/>
    <n v="60323.099999999991"/>
    <n v="0"/>
    <n v="0"/>
    <n v="0"/>
    <n v="0"/>
    <n v="0"/>
    <n v="0"/>
    <n v="0"/>
    <n v="0"/>
    <n v="0"/>
    <n v="0"/>
    <n v="414480"/>
    <n v="0"/>
    <n v="0"/>
    <n v="0"/>
    <n v="0"/>
    <n v="0"/>
    <n v="0"/>
    <n v="0"/>
    <n v="0"/>
    <n v="0"/>
    <n v="0"/>
    <n v="0"/>
    <n v="0"/>
    <n v="0"/>
    <n v="0"/>
    <n v="0"/>
    <n v="0"/>
    <n v="0"/>
    <n v="0"/>
    <n v="0"/>
    <n v="0"/>
    <n v="0"/>
    <n v="0"/>
    <n v="0"/>
    <n v="0"/>
    <n v="0"/>
    <n v="0"/>
    <n v="0"/>
    <n v="0"/>
    <n v="0"/>
    <n v="0"/>
    <n v="0"/>
    <n v="0"/>
    <n v="0"/>
    <n v="0"/>
    <n v="0"/>
    <n v="0"/>
    <n v="0"/>
    <n v="577626.19999999995"/>
    <s v=" "/>
    <s v=" "/>
    <n v="687962.04621920013"/>
    <s v=" "/>
    <s v=" "/>
    <s v=" "/>
    <s v=" "/>
    <s v=" "/>
    <s v=" "/>
    <s v=" "/>
    <s v=" "/>
    <s v=" "/>
    <s v=" "/>
    <s v=" "/>
    <s v=" "/>
    <x v="47"/>
    <x v="0"/>
    <x v="0"/>
    <x v="0"/>
    <x v="0"/>
    <x v="93"/>
    <x v="0"/>
    <x v="0"/>
    <x v="50"/>
    <x v="51"/>
    <x v="1"/>
    <x v="1"/>
    <x v="0"/>
    <x v="0"/>
    <x v="0"/>
    <x v="0"/>
    <x v="0"/>
    <x v="0"/>
    <x v="0"/>
    <x v="0"/>
    <x v="0"/>
    <x v="0"/>
    <x v="0"/>
    <x v="0"/>
    <x v="0"/>
    <x v="0"/>
    <x v="0"/>
    <x v="0"/>
    <x v="0"/>
    <x v="0"/>
    <x v="0"/>
    <x v="0"/>
    <x v="29"/>
    <x v="0"/>
    <x v="0"/>
    <x v="0"/>
    <x v="0"/>
    <x v="0"/>
    <x v="0"/>
    <x v="0"/>
    <x v="0"/>
    <x v="0"/>
    <x v="0"/>
    <x v="0"/>
    <x v="0"/>
    <x v="0"/>
    <x v="0"/>
    <x v="0"/>
    <x v="0"/>
    <x v="0"/>
    <x v="0"/>
    <x v="0"/>
    <x v="0"/>
    <x v="0"/>
    <x v="0"/>
    <x v="0"/>
    <x v="0"/>
    <x v="0"/>
    <x v="0"/>
    <x v="0"/>
    <x v="0"/>
    <x v="0"/>
    <x v="0"/>
    <x v="0"/>
    <x v="0"/>
    <x v="0"/>
    <x v="0"/>
    <x v="0"/>
    <x v="0"/>
    <x v="0"/>
    <x v="0"/>
    <x v="0"/>
    <x v="0"/>
  </r>
  <r>
    <s v="Pan 09"/>
    <s v="Removal of Dam Wall"/>
    <s v="Excavation"/>
    <s v="Pan09_001"/>
    <x v="4"/>
    <n v="29.997084167000001"/>
    <n v="-25.814247777999999"/>
    <s v="29° 59' 49.50&quot;E "/>
    <s v="25° 48' 51.29&quot; S"/>
    <s v="Complete"/>
    <s v="Yes"/>
    <s v="Yes"/>
    <d v="2017-05-31T00:00:00"/>
    <s v="NA"/>
    <s v="NA"/>
    <s v="No Drawing"/>
    <s v="Yes"/>
    <s v="00"/>
    <d v="2018-06-16T00:00:00"/>
    <s v="Phase 2"/>
    <s v="Year 1"/>
    <n v="977.74475386160645"/>
    <n v="188"/>
    <n v="0"/>
    <n v="0"/>
    <n v="0"/>
    <n v="0"/>
    <n v="0"/>
    <n v="0"/>
    <n v="594"/>
    <n v="594"/>
    <n v="188"/>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n v="4888.7237693080324"/>
    <n v="9400"/>
    <n v="0"/>
    <n v="0"/>
    <n v="0"/>
    <n v="0"/>
    <n v="0"/>
    <n v="0"/>
    <n v="2970"/>
    <n v="5940"/>
    <n v="0"/>
    <n v="0"/>
    <n v="0"/>
    <n v="0"/>
    <n v="0"/>
    <n v="0"/>
    <n v="0"/>
    <n v="0"/>
    <n v="0"/>
    <n v="0"/>
    <n v="0"/>
    <n v="0"/>
    <n v="0"/>
    <n v="0"/>
    <n v="0"/>
    <n v="0"/>
    <n v="0"/>
    <n v="0"/>
    <n v="0"/>
    <n v="0"/>
    <n v="0"/>
    <n v="0"/>
    <n v="0"/>
    <n v="0"/>
    <n v="0"/>
    <n v="0"/>
    <n v="0"/>
    <n v="0"/>
    <n v="0"/>
    <n v="0"/>
    <n v="0"/>
    <n v="0"/>
    <n v="0"/>
    <n v="0"/>
    <n v="0"/>
    <n v="0"/>
    <n v="0"/>
    <n v="0"/>
    <n v="0"/>
    <n v="0"/>
    <n v="0"/>
    <n v="0"/>
    <n v="0"/>
    <n v="0"/>
    <n v="0"/>
    <n v="0"/>
    <n v="0"/>
    <n v="0"/>
    <n v="23198.723769308031"/>
    <n v="24590.647195466514"/>
    <s v=" "/>
    <s v=" "/>
    <s v=" "/>
    <s v=" "/>
    <s v=" "/>
    <s v=" "/>
    <s v=" "/>
    <s v=" "/>
    <s v=" "/>
    <s v=" "/>
    <s v=" "/>
    <s v=" "/>
    <s v=" "/>
    <s v=" "/>
    <x v="48"/>
    <x v="18"/>
    <x v="0"/>
    <x v="0"/>
    <x v="0"/>
    <x v="1"/>
    <x v="0"/>
    <x v="0"/>
    <x v="51"/>
    <x v="52"/>
    <x v="13"/>
    <x v="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s v="Pan 14"/>
    <s v="Infilling of Drains"/>
    <s v="Earthworks"/>
    <s v="Pan14_004"/>
    <x v="9"/>
    <n v="29.969008333000001"/>
    <n v="-25.813643889000002"/>
    <s v="29° 58' 08.42&quot;E "/>
    <s v="25° 48' 49.11&quot; S"/>
    <s v="Complete"/>
    <s v="Yes"/>
    <s v="Yes"/>
    <d v="2017-05-29T00:00:00"/>
    <s v="NA"/>
    <s v="NA"/>
    <s v="No Drawing"/>
    <s v="Yes"/>
    <s v="00"/>
    <d v="2018-06-16T00:00:00"/>
    <s v="Phase 2"/>
    <s v="Year 3"/>
    <n v="380"/>
    <n v="0"/>
    <n v="0"/>
    <n v="0"/>
    <n v="0"/>
    <n v="0"/>
    <n v="0"/>
    <n v="0"/>
    <n v="180"/>
    <n v="180"/>
    <n v="0"/>
    <n v="0"/>
    <n v="0"/>
    <n v="0"/>
    <n v="0"/>
    <n v="0"/>
    <n v="0"/>
    <n v="0"/>
    <n v="0"/>
    <n v="0"/>
    <n v="0"/>
    <n v="0"/>
    <n v="0"/>
    <n v="0"/>
    <n v="0"/>
    <n v="0"/>
    <n v="0"/>
    <n v="0"/>
    <n v="0"/>
    <n v="0"/>
    <n v="0"/>
    <n v="0"/>
    <n v="0"/>
    <n v="0"/>
    <n v="90"/>
    <n v="0"/>
    <n v="0"/>
    <n v="0"/>
    <n v="0"/>
    <n v="0"/>
    <n v="0"/>
    <n v="0"/>
    <n v="0"/>
    <n v="0"/>
    <n v="0"/>
    <n v="0"/>
    <n v="0"/>
    <n v="0"/>
    <n v="0"/>
    <n v="0"/>
    <n v="0"/>
    <n v="0"/>
    <n v="0"/>
    <n v="0"/>
    <n v="0"/>
    <n v="0"/>
    <n v="0"/>
    <n v="0"/>
    <n v="0"/>
    <n v="0"/>
    <n v="0"/>
    <n v="0"/>
    <n v="0"/>
    <n v="0"/>
    <n v="0"/>
    <n v="0"/>
    <n v="0"/>
    <n v="0"/>
    <n v="0"/>
    <n v="0"/>
    <n v="0"/>
    <n v="0"/>
    <n v="0"/>
    <n v="0"/>
    <n v="0"/>
    <n v="0"/>
    <n v="0"/>
    <n v="0"/>
    <n v="0"/>
    <n v="0"/>
    <n v="0"/>
    <n v="0"/>
    <n v="0"/>
    <n v="0"/>
    <n v="0"/>
    <n v="0"/>
    <m/>
    <m/>
    <m/>
    <m/>
    <m/>
    <m/>
    <m/>
    <m/>
    <m/>
    <n v="1900"/>
    <n v="0"/>
    <n v="0"/>
    <n v="0"/>
    <n v="0"/>
    <n v="0"/>
    <n v="0"/>
    <n v="0"/>
    <n v="900"/>
    <n v="1800"/>
    <n v="0"/>
    <n v="0"/>
    <n v="0"/>
    <n v="0"/>
    <n v="0"/>
    <n v="0"/>
    <n v="0"/>
    <n v="0"/>
    <n v="0"/>
    <n v="0"/>
    <n v="10800"/>
    <n v="0"/>
    <n v="0"/>
    <n v="0"/>
    <n v="0"/>
    <n v="0"/>
    <n v="0"/>
    <n v="0"/>
    <n v="0"/>
    <n v="0"/>
    <n v="0"/>
    <n v="0"/>
    <n v="0"/>
    <n v="0"/>
    <n v="0"/>
    <n v="0"/>
    <n v="0"/>
    <n v="0"/>
    <n v="0"/>
    <n v="0"/>
    <n v="0"/>
    <n v="0"/>
    <n v="0"/>
    <n v="0"/>
    <n v="0"/>
    <n v="0"/>
    <n v="0"/>
    <n v="0"/>
    <n v="0"/>
    <n v="0"/>
    <n v="0"/>
    <n v="0"/>
    <n v="0"/>
    <n v="0"/>
    <n v="0"/>
    <n v="0"/>
    <n v="0"/>
    <n v="0"/>
    <n v="15400"/>
    <s v=" "/>
    <s v=" "/>
    <n v="18341.646400000005"/>
    <s v=" "/>
    <s v=" "/>
    <s v=" "/>
    <s v=" "/>
    <s v=" "/>
    <s v=" "/>
    <s v=" "/>
    <s v=" "/>
    <s v=" "/>
    <s v=" "/>
    <s v=" "/>
    <s v=" "/>
    <x v="49"/>
    <x v="0"/>
    <x v="0"/>
    <x v="0"/>
    <x v="0"/>
    <x v="1"/>
    <x v="0"/>
    <x v="0"/>
    <x v="52"/>
    <x v="53"/>
    <x v="1"/>
    <x v="1"/>
    <x v="0"/>
    <x v="0"/>
    <x v="0"/>
    <x v="0"/>
    <x v="0"/>
    <x v="0"/>
    <x v="0"/>
    <x v="0"/>
    <x v="0"/>
    <x v="0"/>
    <x v="0"/>
    <x v="0"/>
    <x v="0"/>
    <x v="0"/>
    <x v="0"/>
    <x v="0"/>
    <x v="0"/>
    <x v="0"/>
    <x v="0"/>
    <x v="0"/>
    <x v="30"/>
    <x v="0"/>
    <x v="0"/>
    <x v="0"/>
    <x v="0"/>
    <x v="0"/>
    <x v="0"/>
    <x v="0"/>
    <x v="0"/>
    <x v="0"/>
    <x v="0"/>
    <x v="0"/>
    <x v="0"/>
    <x v="0"/>
    <x v="0"/>
    <x v="0"/>
    <x v="0"/>
    <x v="0"/>
    <x v="0"/>
    <x v="0"/>
    <x v="0"/>
    <x v="0"/>
    <x v="0"/>
    <x v="0"/>
    <x v="0"/>
    <x v="0"/>
    <x v="0"/>
    <x v="0"/>
    <x v="0"/>
    <x v="0"/>
    <x v="0"/>
    <x v="0"/>
    <x v="0"/>
    <x v="0"/>
    <x v="0"/>
    <x v="0"/>
    <x v="0"/>
    <x v="0"/>
    <x v="0"/>
    <x v="0"/>
    <x v="0"/>
  </r>
  <r>
    <s v="Pan 14"/>
    <s v="Infilling of Drains"/>
    <s v="Earthworks"/>
    <s v="Pan14_005"/>
    <x v="9"/>
    <n v="29.969159999999999"/>
    <n v="-25.813644444000001"/>
    <s v="29° 58' 08.97&quot;E "/>
    <s v="25° 48' 49.11&quot; S"/>
    <s v="Complete"/>
    <s v="Yes"/>
    <s v="Yes"/>
    <d v="2017-05-29T00:00:00"/>
    <s v="NA"/>
    <s v="NA"/>
    <s v="No Drawing"/>
    <s v="Yes"/>
    <s v="00"/>
    <d v="2018-06-16T00:00:00"/>
    <s v="Phase 2"/>
    <s v="Year 3"/>
    <n v="461.04092228712886"/>
    <n v="0"/>
    <n v="0"/>
    <n v="0"/>
    <n v="0"/>
    <n v="0"/>
    <n v="0"/>
    <n v="0"/>
    <n v="450"/>
    <n v="450"/>
    <n v="0"/>
    <n v="0"/>
    <n v="0"/>
    <n v="0"/>
    <n v="0"/>
    <n v="0"/>
    <n v="0"/>
    <n v="0"/>
    <n v="0"/>
    <n v="0"/>
    <n v="0"/>
    <n v="0"/>
    <n v="0"/>
    <n v="0"/>
    <n v="0"/>
    <n v="0"/>
    <n v="0"/>
    <n v="0"/>
    <n v="0"/>
    <n v="0"/>
    <n v="0"/>
    <n v="0"/>
    <n v="0"/>
    <n v="0"/>
    <n v="81.899999999999991"/>
    <n v="0"/>
    <n v="0"/>
    <n v="0"/>
    <n v="0"/>
    <n v="0"/>
    <n v="0"/>
    <n v="0"/>
    <n v="0"/>
    <n v="0"/>
    <n v="0"/>
    <n v="0"/>
    <n v="0"/>
    <n v="0"/>
    <n v="0"/>
    <n v="0"/>
    <n v="0"/>
    <n v="0"/>
    <n v="0"/>
    <n v="0"/>
    <n v="0"/>
    <n v="0"/>
    <n v="0"/>
    <n v="0"/>
    <n v="0"/>
    <n v="0"/>
    <n v="0"/>
    <n v="0"/>
    <n v="0"/>
    <n v="0"/>
    <n v="0"/>
    <n v="0"/>
    <n v="0"/>
    <n v="0"/>
    <n v="0"/>
    <n v="0"/>
    <n v="0"/>
    <n v="0"/>
    <n v="0"/>
    <n v="0"/>
    <n v="0"/>
    <n v="0"/>
    <n v="0"/>
    <n v="0"/>
    <n v="0"/>
    <n v="0"/>
    <n v="0"/>
    <n v="0"/>
    <n v="0"/>
    <n v="0"/>
    <n v="0"/>
    <n v="0"/>
    <m/>
    <m/>
    <m/>
    <m/>
    <m/>
    <m/>
    <m/>
    <m/>
    <m/>
    <n v="2305.2046114356444"/>
    <n v="0"/>
    <n v="0"/>
    <n v="0"/>
    <n v="0"/>
    <n v="0"/>
    <n v="0"/>
    <n v="0"/>
    <n v="2250"/>
    <n v="4500"/>
    <n v="0"/>
    <n v="0"/>
    <n v="0"/>
    <n v="0"/>
    <n v="0"/>
    <n v="0"/>
    <n v="0"/>
    <n v="0"/>
    <n v="0"/>
    <n v="0"/>
    <n v="9827.9999999999982"/>
    <n v="0"/>
    <n v="0"/>
    <n v="0"/>
    <n v="0"/>
    <n v="0"/>
    <n v="0"/>
    <n v="0"/>
    <n v="0"/>
    <n v="0"/>
    <n v="0"/>
    <n v="0"/>
    <n v="0"/>
    <n v="0"/>
    <n v="0"/>
    <n v="0"/>
    <n v="0"/>
    <n v="0"/>
    <n v="0"/>
    <n v="0"/>
    <n v="0"/>
    <n v="0"/>
    <n v="0"/>
    <n v="0"/>
    <n v="0"/>
    <n v="0"/>
    <n v="0"/>
    <n v="0"/>
    <n v="0"/>
    <n v="0"/>
    <n v="0"/>
    <n v="0"/>
    <n v="0"/>
    <n v="0"/>
    <n v="0"/>
    <n v="0"/>
    <n v="0"/>
    <n v="0"/>
    <n v="18883.204611435642"/>
    <s v=" "/>
    <s v=" "/>
    <n v="22490.198823493636"/>
    <s v=" "/>
    <s v=" "/>
    <s v=" "/>
    <s v=" "/>
    <s v=" "/>
    <s v=" "/>
    <s v=" "/>
    <s v=" "/>
    <s v=" "/>
    <s v=" "/>
    <s v=" "/>
    <s v=" "/>
    <x v="50"/>
    <x v="0"/>
    <x v="0"/>
    <x v="0"/>
    <x v="0"/>
    <x v="1"/>
    <x v="0"/>
    <x v="0"/>
    <x v="53"/>
    <x v="54"/>
    <x v="1"/>
    <x v="1"/>
    <x v="0"/>
    <x v="0"/>
    <x v="0"/>
    <x v="0"/>
    <x v="0"/>
    <x v="0"/>
    <x v="0"/>
    <x v="0"/>
    <x v="0"/>
    <x v="0"/>
    <x v="0"/>
    <x v="0"/>
    <x v="0"/>
    <x v="0"/>
    <x v="0"/>
    <x v="0"/>
    <x v="0"/>
    <x v="0"/>
    <x v="0"/>
    <x v="0"/>
    <x v="31"/>
    <x v="0"/>
    <x v="0"/>
    <x v="0"/>
    <x v="0"/>
    <x v="0"/>
    <x v="0"/>
    <x v="0"/>
    <x v="0"/>
    <x v="0"/>
    <x v="0"/>
    <x v="0"/>
    <x v="0"/>
    <x v="0"/>
    <x v="0"/>
    <x v="0"/>
    <x v="0"/>
    <x v="0"/>
    <x v="0"/>
    <x v="0"/>
    <x v="0"/>
    <x v="0"/>
    <x v="0"/>
    <x v="0"/>
    <x v="0"/>
    <x v="0"/>
    <x v="0"/>
    <x v="0"/>
    <x v="0"/>
    <x v="0"/>
    <x v="0"/>
    <x v="0"/>
    <x v="0"/>
    <x v="0"/>
    <x v="0"/>
    <x v="0"/>
    <x v="0"/>
    <x v="0"/>
    <x v="0"/>
    <x v="0"/>
    <x v="0"/>
  </r>
  <r>
    <s v="Pan 14"/>
    <s v="Earthen Berms"/>
    <s v="Earthworks"/>
    <s v="Pan14_006"/>
    <x v="9"/>
    <n v="29.970862222000001"/>
    <n v="-25.813888056"/>
    <s v="29° 58' 15.10&quot;E "/>
    <s v="25° 48' 49.99&quot; S"/>
    <s v="Complete"/>
    <s v="Yes"/>
    <s v="Yes"/>
    <d v="2017-05-29T00:00:00"/>
    <s v="YES "/>
    <s v="NO"/>
    <s v="NBC-GTW-CL-0051"/>
    <s v="Yes"/>
    <s v="00"/>
    <d v="2018-06-16T00:00:00"/>
    <s v="Phase 2"/>
    <s v="Year 3"/>
    <n v="190.75533221704055"/>
    <n v="0"/>
    <n v="0"/>
    <n v="0"/>
    <n v="0"/>
    <n v="0"/>
    <n v="0"/>
    <n v="0"/>
    <n v="190.75533221704055"/>
    <n v="190.75533221704055"/>
    <n v="0"/>
    <n v="0"/>
    <n v="0"/>
    <n v="0"/>
    <n v="0"/>
    <n v="0"/>
    <n v="0"/>
    <n v="0"/>
    <n v="0"/>
    <n v="0"/>
    <n v="0"/>
    <n v="0"/>
    <n v="0"/>
    <n v="0"/>
    <n v="0"/>
    <n v="0"/>
    <n v="0"/>
    <n v="0"/>
    <n v="0"/>
    <n v="0"/>
    <n v="0"/>
    <n v="0"/>
    <n v="0"/>
    <n v="0"/>
    <n v="57.375"/>
    <n v="0"/>
    <n v="0"/>
    <n v="0"/>
    <n v="0"/>
    <n v="0"/>
    <n v="0"/>
    <n v="0"/>
    <n v="0"/>
    <n v="0"/>
    <n v="0"/>
    <n v="0"/>
    <n v="0"/>
    <n v="0"/>
    <n v="0"/>
    <n v="0"/>
    <n v="0"/>
    <n v="0"/>
    <n v="0"/>
    <n v="0"/>
    <n v="0"/>
    <n v="0"/>
    <n v="0"/>
    <n v="0"/>
    <n v="0"/>
    <n v="0"/>
    <n v="0"/>
    <n v="0"/>
    <n v="0"/>
    <n v="0"/>
    <n v="0"/>
    <n v="0"/>
    <n v="0"/>
    <n v="0"/>
    <n v="0"/>
    <n v="0"/>
    <n v="0"/>
    <n v="0"/>
    <n v="0"/>
    <n v="0"/>
    <n v="0"/>
    <n v="0"/>
    <n v="0"/>
    <n v="0"/>
    <n v="0"/>
    <n v="0"/>
    <n v="0"/>
    <n v="0"/>
    <n v="0"/>
    <m/>
    <m/>
    <m/>
    <m/>
    <m/>
    <m/>
    <m/>
    <m/>
    <m/>
    <m/>
    <m/>
    <m/>
    <n v="953.7766610852027"/>
    <n v="0"/>
    <n v="0"/>
    <n v="0"/>
    <n v="0"/>
    <n v="0"/>
    <n v="0"/>
    <n v="0"/>
    <n v="953.7766610852027"/>
    <n v="1907.5533221704054"/>
    <n v="0"/>
    <n v="0"/>
    <n v="0"/>
    <n v="0"/>
    <n v="0"/>
    <n v="0"/>
    <n v="0"/>
    <n v="0"/>
    <n v="0"/>
    <n v="0"/>
    <n v="6885"/>
    <n v="0"/>
    <n v="0"/>
    <n v="0"/>
    <n v="0"/>
    <n v="0"/>
    <n v="0"/>
    <n v="0"/>
    <n v="0"/>
    <n v="0"/>
    <n v="0"/>
    <n v="0"/>
    <n v="0"/>
    <n v="0"/>
    <n v="0"/>
    <n v="0"/>
    <n v="0"/>
    <n v="0"/>
    <n v="0"/>
    <n v="0"/>
    <n v="0"/>
    <n v="0"/>
    <n v="0"/>
    <n v="0"/>
    <n v="0"/>
    <n v="0"/>
    <n v="0"/>
    <n v="0"/>
    <n v="0"/>
    <n v="0"/>
    <n v="0"/>
    <n v="0"/>
    <n v="0"/>
    <n v="0"/>
    <n v="0"/>
    <n v="0"/>
    <n v="0"/>
    <n v="0"/>
    <n v="10700.106644340811"/>
    <s v=" "/>
    <s v=" "/>
    <n v="12743.998215116217"/>
    <s v=" "/>
    <s v=" "/>
    <s v=" "/>
    <s v=" "/>
    <s v=" "/>
    <s v=" "/>
    <s v=" "/>
    <s v=" "/>
    <s v=" "/>
    <s v=" "/>
    <s v=" "/>
    <s v=" "/>
    <x v="51"/>
    <x v="0"/>
    <x v="0"/>
    <x v="0"/>
    <x v="0"/>
    <x v="1"/>
    <x v="0"/>
    <x v="0"/>
    <x v="54"/>
    <x v="55"/>
    <x v="1"/>
    <x v="1"/>
    <x v="0"/>
    <x v="0"/>
    <x v="0"/>
    <x v="0"/>
    <x v="0"/>
    <x v="0"/>
    <x v="0"/>
    <x v="0"/>
    <x v="0"/>
    <x v="0"/>
    <x v="0"/>
    <x v="0"/>
    <x v="0"/>
    <x v="0"/>
    <x v="0"/>
    <x v="0"/>
    <x v="0"/>
    <x v="0"/>
    <x v="0"/>
    <x v="0"/>
    <x v="32"/>
    <x v="0"/>
    <x v="0"/>
    <x v="0"/>
    <x v="0"/>
    <x v="0"/>
    <x v="0"/>
    <x v="0"/>
    <x v="0"/>
    <x v="0"/>
    <x v="0"/>
    <x v="0"/>
    <x v="0"/>
    <x v="0"/>
    <x v="0"/>
    <x v="0"/>
    <x v="0"/>
    <x v="0"/>
    <x v="0"/>
    <x v="0"/>
    <x v="0"/>
    <x v="0"/>
    <x v="0"/>
    <x v="0"/>
    <x v="0"/>
    <x v="0"/>
    <x v="0"/>
    <x v="0"/>
    <x v="0"/>
    <x v="0"/>
    <x v="0"/>
    <x v="0"/>
    <x v="0"/>
    <x v="0"/>
    <x v="0"/>
    <x v="0"/>
    <x v="0"/>
    <x v="0"/>
    <x v="0"/>
    <x v="0"/>
    <x v="0"/>
  </r>
  <r>
    <s v="Pan 14"/>
    <s v="Infilling of Drains"/>
    <s v="Earthworks"/>
    <s v="Pan14_007"/>
    <x v="9"/>
    <n v="29.968357222000002"/>
    <n v="-25.813337499999999"/>
    <s v="29° 58' 06.08&quot;E "/>
    <s v="25° 48' 48.01&quot; S"/>
    <s v="Complete"/>
    <s v="Yes"/>
    <s v="Yes"/>
    <d v="2017-05-29T00:00:00"/>
    <s v="NA"/>
    <s v="NA"/>
    <s v="No Drawing"/>
    <s v="Yes"/>
    <s v="00"/>
    <d v="2018-06-16T00:00:00"/>
    <s v="Phase 2"/>
    <s v="Year 3"/>
    <n v="168.28023074035519"/>
    <n v="0"/>
    <n v="0"/>
    <n v="0"/>
    <n v="0"/>
    <n v="18.600000000000001"/>
    <n v="0"/>
    <n v="0"/>
    <n v="76"/>
    <n v="76"/>
    <n v="0"/>
    <n v="0"/>
    <n v="0"/>
    <n v="0"/>
    <n v="0"/>
    <n v="0"/>
    <n v="0"/>
    <n v="0"/>
    <n v="0"/>
    <n v="0"/>
    <n v="0"/>
    <n v="0"/>
    <n v="0"/>
    <n v="0"/>
    <n v="0"/>
    <n v="0"/>
    <n v="0"/>
    <n v="0"/>
    <n v="0"/>
    <n v="0"/>
    <n v="0"/>
    <n v="0"/>
    <n v="0"/>
    <n v="0"/>
    <n v="47.88"/>
    <n v="0"/>
    <n v="0"/>
    <n v="0"/>
    <n v="0"/>
    <n v="0"/>
    <n v="0"/>
    <n v="0"/>
    <n v="0"/>
    <n v="0"/>
    <n v="0"/>
    <n v="0"/>
    <n v="0"/>
    <n v="0"/>
    <n v="0"/>
    <n v="0"/>
    <n v="0"/>
    <n v="0"/>
    <n v="0"/>
    <n v="0"/>
    <n v="0"/>
    <n v="0"/>
    <n v="0"/>
    <n v="0"/>
    <n v="0"/>
    <n v="0"/>
    <n v="0"/>
    <n v="0"/>
    <n v="0"/>
    <n v="0"/>
    <n v="0"/>
    <n v="0"/>
    <n v="0"/>
    <n v="0"/>
    <n v="0"/>
    <n v="0"/>
    <n v="0"/>
    <n v="0"/>
    <n v="0"/>
    <n v="0"/>
    <n v="0"/>
    <n v="0"/>
    <n v="0"/>
    <n v="0"/>
    <n v="0"/>
    <n v="0"/>
    <n v="0"/>
    <n v="0"/>
    <n v="0"/>
    <n v="0"/>
    <n v="0"/>
    <n v="0"/>
    <m/>
    <m/>
    <m/>
    <m/>
    <m/>
    <m/>
    <m/>
    <m/>
    <m/>
    <n v="841.40115370177591"/>
    <n v="0"/>
    <n v="0"/>
    <n v="0"/>
    <n v="0"/>
    <n v="1581.0000000000002"/>
    <n v="0"/>
    <n v="0"/>
    <n v="380"/>
    <n v="760"/>
    <n v="0"/>
    <n v="0"/>
    <n v="0"/>
    <n v="0"/>
    <n v="0"/>
    <n v="0"/>
    <n v="0"/>
    <n v="0"/>
    <n v="0"/>
    <n v="0"/>
    <n v="5745.6"/>
    <n v="0"/>
    <n v="0"/>
    <n v="0"/>
    <n v="0"/>
    <n v="0"/>
    <n v="0"/>
    <n v="0"/>
    <n v="0"/>
    <n v="0"/>
    <n v="0"/>
    <n v="0"/>
    <n v="0"/>
    <n v="0"/>
    <n v="0"/>
    <n v="0"/>
    <n v="0"/>
    <n v="0"/>
    <n v="0"/>
    <n v="0"/>
    <n v="0"/>
    <n v="0"/>
    <n v="0"/>
    <n v="0"/>
    <n v="0"/>
    <n v="0"/>
    <n v="0"/>
    <n v="0"/>
    <n v="0"/>
    <n v="0"/>
    <n v="0"/>
    <n v="0"/>
    <n v="0"/>
    <n v="0"/>
    <n v="0"/>
    <n v="0"/>
    <n v="0"/>
    <n v="0"/>
    <n v="9308.0011537017763"/>
    <s v=" "/>
    <s v=" "/>
    <n v="11085.978302077277"/>
    <s v=" "/>
    <s v=" "/>
    <s v=" "/>
    <s v=" "/>
    <s v=" "/>
    <s v=" "/>
    <s v=" "/>
    <s v=" "/>
    <s v=" "/>
    <s v=" "/>
    <s v=" "/>
    <s v=" "/>
    <x v="52"/>
    <x v="0"/>
    <x v="0"/>
    <x v="0"/>
    <x v="0"/>
    <x v="94"/>
    <x v="0"/>
    <x v="0"/>
    <x v="55"/>
    <x v="56"/>
    <x v="1"/>
    <x v="1"/>
    <x v="0"/>
    <x v="0"/>
    <x v="0"/>
    <x v="0"/>
    <x v="0"/>
    <x v="0"/>
    <x v="0"/>
    <x v="0"/>
    <x v="0"/>
    <x v="0"/>
    <x v="0"/>
    <x v="0"/>
    <x v="0"/>
    <x v="0"/>
    <x v="0"/>
    <x v="0"/>
    <x v="0"/>
    <x v="0"/>
    <x v="0"/>
    <x v="0"/>
    <x v="33"/>
    <x v="0"/>
    <x v="0"/>
    <x v="0"/>
    <x v="0"/>
    <x v="0"/>
    <x v="0"/>
    <x v="0"/>
    <x v="0"/>
    <x v="0"/>
    <x v="0"/>
    <x v="0"/>
    <x v="0"/>
    <x v="0"/>
    <x v="0"/>
    <x v="0"/>
    <x v="0"/>
    <x v="0"/>
    <x v="0"/>
    <x v="0"/>
    <x v="0"/>
    <x v="0"/>
    <x v="0"/>
    <x v="0"/>
    <x v="0"/>
    <x v="0"/>
    <x v="0"/>
    <x v="0"/>
    <x v="0"/>
    <x v="0"/>
    <x v="0"/>
    <x v="0"/>
    <x v="0"/>
    <x v="0"/>
    <x v="0"/>
    <x v="0"/>
    <x v="0"/>
    <x v="0"/>
    <x v="0"/>
    <x v="0"/>
    <x v="0"/>
  </r>
</pivotCacheRecords>
</file>

<file path=xl/pivotCache/pivotCacheRecords5.xml><?xml version="1.0" encoding="utf-8"?>
<pivotCacheRecords xmlns="http://schemas.openxmlformats.org/spreadsheetml/2006/main" xmlns:r="http://schemas.openxmlformats.org/officeDocument/2006/relationships" count="172">
  <r>
    <x v="0"/>
    <x v="0"/>
    <x v="0"/>
    <x v="0"/>
    <x v="0"/>
    <n v="29.998232777999998"/>
    <n v="-25.794158332999999"/>
    <s v="29° 59' 53.63&quot;E "/>
    <s v="25° 47' 38.96&quot; S"/>
    <s v="Complete"/>
    <s v="Yes"/>
    <s v="Yes"/>
    <d v="2017-05-29T00:00:00"/>
    <s v="NA"/>
    <s v="NA"/>
    <s v="NA"/>
    <s v="Yes"/>
    <s v="00"/>
    <d v="2018-06-16T00:00:00"/>
    <s v="Phase 2"/>
    <s v="Year 8"/>
    <n v="0"/>
    <n v="0"/>
    <n v="0"/>
    <n v="0"/>
    <n v="0"/>
    <n v="523.01728000000003"/>
    <n v="0"/>
    <n v="0"/>
    <n v="0"/>
    <n v="626.36800000000005"/>
    <n v="523.01728000000003"/>
    <n v="4105.6856479999997"/>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n v="0"/>
    <n v="0"/>
    <n v="0"/>
    <n v="0"/>
    <n v="0"/>
    <n v="44456.468800000002"/>
    <n v="0"/>
    <n v="0"/>
    <n v="0"/>
    <n v="6263.68"/>
    <n v="24634.113888"/>
    <n v="0"/>
    <n v="0"/>
    <n v="0"/>
    <n v="0"/>
    <n v="0"/>
    <n v="0"/>
    <n v="0"/>
    <n v="0"/>
    <n v="0"/>
    <n v="0"/>
    <n v="0"/>
    <n v="0"/>
    <n v="0"/>
    <n v="0"/>
    <n v="0"/>
    <n v="0"/>
    <n v="0"/>
    <n v="0"/>
    <n v="0"/>
    <n v="0"/>
    <n v="0"/>
    <n v="0"/>
    <n v="0"/>
    <n v="0"/>
    <n v="0"/>
    <n v="0"/>
    <n v="0"/>
    <n v="0"/>
    <n v="0"/>
    <n v="0"/>
    <n v="0"/>
    <n v="0"/>
    <n v="0"/>
    <n v="0"/>
    <n v="0"/>
    <n v="0"/>
    <n v="0"/>
    <n v="0"/>
    <n v="0"/>
    <n v="0"/>
    <n v="0"/>
    <n v="0"/>
    <n v="0"/>
    <n v="0"/>
    <n v="0"/>
    <n v="0"/>
    <n v="0"/>
    <n v="75354.262688000003"/>
    <s v=" "/>
    <s v=" "/>
    <s v=" "/>
    <s v=" "/>
    <s v=" "/>
    <s v=" "/>
    <s v=" "/>
    <n v="120103.24649296005"/>
    <s v=" "/>
    <s v=" "/>
    <s v=" "/>
    <s v=" "/>
    <s v=" "/>
    <s v=" "/>
    <s v=" "/>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x v="0"/>
    <x v="1"/>
    <x v="1"/>
    <x v="1"/>
    <x v="1"/>
    <n v="30.0003125"/>
    <n v="-25.793885277000001"/>
    <s v="30° 00' 01.12&quot;E "/>
    <s v="25° 47' 37.98&quot; S"/>
    <m/>
    <m/>
    <m/>
    <m/>
    <s v="NA"/>
    <s v="NA"/>
    <s v="NA"/>
    <s v="Yes"/>
    <s v="00"/>
    <d v="2018-06-16T00:00:00"/>
    <s v="Phase 2"/>
    <s v="Year 8"/>
    <n v="1251.4023269063123"/>
    <n v="1419.1099999999997"/>
    <m/>
    <m/>
    <m/>
    <m/>
    <m/>
    <m/>
    <n v="1251.4023269063123"/>
    <n v="1251.4000000000001"/>
    <m/>
    <m/>
    <m/>
    <m/>
    <m/>
    <m/>
    <m/>
    <m/>
    <m/>
    <m/>
    <m/>
    <m/>
    <m/>
    <m/>
    <m/>
    <m/>
    <m/>
    <m/>
    <m/>
    <m/>
    <m/>
    <m/>
    <m/>
    <m/>
    <m/>
    <m/>
    <m/>
    <m/>
    <m/>
    <m/>
    <m/>
    <m/>
    <m/>
    <m/>
    <m/>
    <m/>
    <m/>
    <m/>
    <m/>
    <m/>
    <m/>
    <m/>
    <m/>
    <m/>
    <m/>
    <m/>
    <m/>
    <m/>
    <m/>
    <m/>
    <m/>
    <m/>
    <m/>
    <m/>
    <m/>
    <m/>
    <m/>
    <m/>
    <m/>
    <m/>
    <m/>
    <m/>
    <m/>
    <m/>
    <m/>
    <m/>
    <m/>
    <m/>
    <m/>
    <m/>
    <m/>
    <m/>
    <m/>
    <m/>
    <m/>
    <m/>
    <m/>
    <m/>
    <m/>
    <m/>
    <m/>
    <m/>
    <m/>
    <m/>
    <m/>
    <n v="6257.0116345315619"/>
    <n v="70955.499999999985"/>
    <n v="0"/>
    <n v="0"/>
    <n v="0"/>
    <n v="0"/>
    <n v="0"/>
    <n v="0"/>
    <n v="6257.0116345315619"/>
    <n v="12514"/>
    <n v="0"/>
    <n v="0"/>
    <n v="0"/>
    <n v="0"/>
    <n v="0"/>
    <n v="0"/>
    <n v="0"/>
    <n v="0"/>
    <n v="0"/>
    <n v="0"/>
    <n v="0"/>
    <n v="0"/>
    <n v="0"/>
    <n v="0"/>
    <n v="0"/>
    <n v="0"/>
    <n v="0"/>
    <n v="0"/>
    <n v="0"/>
    <n v="0"/>
    <n v="0"/>
    <n v="0"/>
    <n v="0"/>
    <n v="0"/>
    <n v="0"/>
    <n v="0"/>
    <n v="0"/>
    <n v="0"/>
    <n v="0"/>
    <n v="0"/>
    <n v="0"/>
    <n v="0"/>
    <n v="0"/>
    <n v="0"/>
    <n v="0"/>
    <n v="0"/>
    <n v="0"/>
    <n v="0"/>
    <n v="0"/>
    <n v="0"/>
    <n v="0"/>
    <n v="0"/>
    <n v="0"/>
    <n v="0"/>
    <n v="0"/>
    <n v="0"/>
    <n v="0"/>
    <n v="0"/>
    <n v="95983.523269063109"/>
    <s v=" "/>
    <s v=" "/>
    <s v=" "/>
    <s v=" "/>
    <s v=" "/>
    <s v=" "/>
    <s v=" "/>
    <n v="152983.15374908253"/>
    <s v=" "/>
    <s v=" "/>
    <s v=" "/>
    <s v=" "/>
    <s v=" "/>
    <s v=" "/>
    <s v=" "/>
    <x v="1"/>
    <x v="1"/>
    <x v="0"/>
    <x v="0"/>
    <x v="0"/>
    <x v="1"/>
    <x v="0"/>
    <x v="0"/>
    <x v="1"/>
    <x v="1"/>
    <x v="1"/>
    <x v="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x v="0"/>
    <x v="2"/>
    <x v="2"/>
    <x v="2"/>
    <x v="1"/>
    <n v="31.001988999999998"/>
    <n v="-25.793608299999999"/>
    <s v="31° 00' 07.16&quot;E "/>
    <s v="25° 47' 36.98&quot; S"/>
    <m/>
    <m/>
    <m/>
    <m/>
    <s v="NA"/>
    <s v="NA"/>
    <s v="NA"/>
    <s v="Yes"/>
    <s v="00"/>
    <d v="2018-06-16T00:00:00"/>
    <s v="Phase 2"/>
    <s v="Year 8"/>
    <n v="995.48731819158468"/>
    <n v="1723.444675"/>
    <m/>
    <m/>
    <m/>
    <m/>
    <m/>
    <m/>
    <n v="995.48731819158468"/>
    <n v="995.48731819158468"/>
    <m/>
    <m/>
    <m/>
    <m/>
    <m/>
    <m/>
    <m/>
    <m/>
    <m/>
    <m/>
    <m/>
    <m/>
    <m/>
    <m/>
    <m/>
    <m/>
    <m/>
    <m/>
    <m/>
    <m/>
    <m/>
    <m/>
    <m/>
    <m/>
    <m/>
    <m/>
    <m/>
    <m/>
    <m/>
    <m/>
    <m/>
    <m/>
    <m/>
    <m/>
    <m/>
    <m/>
    <m/>
    <m/>
    <m/>
    <m/>
    <m/>
    <m/>
    <m/>
    <m/>
    <m/>
    <m/>
    <m/>
    <m/>
    <m/>
    <m/>
    <m/>
    <m/>
    <m/>
    <m/>
    <m/>
    <m/>
    <m/>
    <m/>
    <m/>
    <m/>
    <m/>
    <m/>
    <m/>
    <m/>
    <m/>
    <m/>
    <m/>
    <m/>
    <m/>
    <m/>
    <m/>
    <m/>
    <m/>
    <m/>
    <m/>
    <m/>
    <m/>
    <m/>
    <m/>
    <m/>
    <m/>
    <m/>
    <m/>
    <m/>
    <m/>
    <n v="4977.4365909579237"/>
    <n v="86172.233749999999"/>
    <n v="0"/>
    <n v="0"/>
    <n v="0"/>
    <n v="0"/>
    <n v="0"/>
    <n v="0"/>
    <n v="4977.4365909579237"/>
    <n v="9954.8731819158475"/>
    <n v="0"/>
    <n v="0"/>
    <n v="0"/>
    <n v="0"/>
    <n v="0"/>
    <n v="0"/>
    <n v="0"/>
    <n v="0"/>
    <n v="0"/>
    <n v="0"/>
    <n v="0"/>
    <n v="0"/>
    <n v="0"/>
    <n v="0"/>
    <n v="0"/>
    <n v="0"/>
    <n v="0"/>
    <n v="0"/>
    <n v="0"/>
    <n v="0"/>
    <n v="0"/>
    <n v="0"/>
    <n v="0"/>
    <n v="0"/>
    <n v="0"/>
    <n v="0"/>
    <n v="0"/>
    <n v="0"/>
    <n v="0"/>
    <n v="0"/>
    <n v="0"/>
    <n v="0"/>
    <n v="0"/>
    <n v="0"/>
    <n v="0"/>
    <n v="0"/>
    <n v="0"/>
    <n v="0"/>
    <n v="0"/>
    <n v="0"/>
    <n v="0"/>
    <n v="0"/>
    <n v="0"/>
    <n v="0"/>
    <n v="0"/>
    <n v="0"/>
    <n v="0"/>
    <n v="0"/>
    <n v="106081.98011383168"/>
    <s v=" "/>
    <s v=" "/>
    <s v=" "/>
    <s v=" "/>
    <s v=" "/>
    <s v=" "/>
    <s v=" "/>
    <n v="169078.55974684973"/>
    <s v=" "/>
    <s v=" "/>
    <s v=" "/>
    <s v=" "/>
    <s v=" "/>
    <s v=" "/>
    <s v=" "/>
    <x v="2"/>
    <x v="2"/>
    <x v="0"/>
    <x v="0"/>
    <x v="0"/>
    <x v="1"/>
    <x v="0"/>
    <x v="0"/>
    <x v="2"/>
    <x v="2"/>
    <x v="1"/>
    <x v="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x v="0"/>
    <x v="1"/>
    <x v="1"/>
    <x v="3"/>
    <x v="1"/>
    <n v="31.003015277778001"/>
    <n v="-25.793607776999998"/>
    <s v="31° 00' 10.85&quot;E "/>
    <s v="25° 47' 36.98&quot; S"/>
    <m/>
    <m/>
    <m/>
    <m/>
    <s v="NA"/>
    <s v="NA"/>
    <s v="NA"/>
    <s v="Yes"/>
    <s v="00"/>
    <d v="2018-06-16T00:00:00"/>
    <s v="Phase 2"/>
    <s v="Year 8"/>
    <n v="621.56961147900779"/>
    <n v="659.31400000000008"/>
    <m/>
    <m/>
    <m/>
    <m/>
    <m/>
    <m/>
    <n v="621.56961147900779"/>
    <n v="621.57000000000005"/>
    <m/>
    <m/>
    <m/>
    <m/>
    <m/>
    <m/>
    <m/>
    <m/>
    <m/>
    <m/>
    <m/>
    <m/>
    <m/>
    <m/>
    <m/>
    <m/>
    <m/>
    <m/>
    <m/>
    <m/>
    <m/>
    <m/>
    <m/>
    <m/>
    <m/>
    <m/>
    <m/>
    <m/>
    <m/>
    <m/>
    <m/>
    <m/>
    <m/>
    <m/>
    <m/>
    <m/>
    <m/>
    <m/>
    <m/>
    <m/>
    <m/>
    <m/>
    <m/>
    <m/>
    <m/>
    <m/>
    <m/>
    <m/>
    <m/>
    <m/>
    <m/>
    <m/>
    <m/>
    <m/>
    <m/>
    <m/>
    <m/>
    <m/>
    <m/>
    <m/>
    <m/>
    <m/>
    <m/>
    <m/>
    <m/>
    <m/>
    <m/>
    <m/>
    <m/>
    <m/>
    <m/>
    <m/>
    <m/>
    <m/>
    <m/>
    <m/>
    <m/>
    <m/>
    <m/>
    <m/>
    <m/>
    <m/>
    <m/>
    <m/>
    <m/>
    <n v="3107.8480573950392"/>
    <n v="32965.700000000004"/>
    <n v="0"/>
    <n v="0"/>
    <n v="0"/>
    <n v="0"/>
    <n v="0"/>
    <n v="0"/>
    <n v="3107.8480573950392"/>
    <n v="6215.7000000000007"/>
    <n v="0"/>
    <n v="0"/>
    <n v="0"/>
    <n v="0"/>
    <n v="0"/>
    <n v="0"/>
    <n v="0"/>
    <n v="0"/>
    <n v="0"/>
    <n v="0"/>
    <n v="0"/>
    <n v="0"/>
    <n v="0"/>
    <n v="0"/>
    <n v="0"/>
    <n v="0"/>
    <n v="0"/>
    <n v="0"/>
    <n v="0"/>
    <n v="0"/>
    <n v="0"/>
    <n v="0"/>
    <n v="0"/>
    <n v="0"/>
    <n v="0"/>
    <n v="0"/>
    <n v="0"/>
    <n v="0"/>
    <n v="0"/>
    <n v="0"/>
    <n v="0"/>
    <n v="0"/>
    <n v="0"/>
    <n v="0"/>
    <n v="0"/>
    <n v="0"/>
    <n v="0"/>
    <n v="0"/>
    <n v="0"/>
    <n v="0"/>
    <n v="0"/>
    <n v="0"/>
    <n v="0"/>
    <n v="0"/>
    <n v="0"/>
    <n v="0"/>
    <n v="0"/>
    <n v="0"/>
    <n v="45397.096114790082"/>
    <s v=" "/>
    <s v=" "/>
    <s v=" "/>
    <s v=" "/>
    <s v=" "/>
    <s v=" "/>
    <s v=" "/>
    <n v="72356.074231849736"/>
    <s v=" "/>
    <s v=" "/>
    <s v=" "/>
    <s v=" "/>
    <s v=" "/>
    <s v=" "/>
    <s v=" "/>
    <x v="3"/>
    <x v="3"/>
    <x v="0"/>
    <x v="0"/>
    <x v="0"/>
    <x v="1"/>
    <x v="0"/>
    <x v="0"/>
    <x v="3"/>
    <x v="3"/>
    <x v="1"/>
    <x v="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x v="1"/>
    <x v="3"/>
    <x v="3"/>
    <x v="4"/>
    <x v="1"/>
    <n v="29.966327612000001"/>
    <n v="-25.803679738"/>
    <s v="29° 57' 58.77&quot;E "/>
    <s v="25° 48' 13.24&quot; S"/>
    <s v="Complete"/>
    <s v="Yes"/>
    <s v="Yes"/>
    <d v="1899-12-30T00:00:00"/>
    <s v="YES "/>
    <m/>
    <s v="NBC-GTW-CL-0066"/>
    <s v="Yes"/>
    <s v="00"/>
    <d v="2018-06-16T00:00:00"/>
    <s v="Phase 2"/>
    <s v="Year 8"/>
    <m/>
    <m/>
    <m/>
    <m/>
    <m/>
    <n v="4"/>
    <m/>
    <m/>
    <m/>
    <m/>
    <m/>
    <m/>
    <n v="1.5"/>
    <m/>
    <m/>
    <m/>
    <s v="Ref 395"/>
    <n v="7.5"/>
    <m/>
    <m/>
    <m/>
    <m/>
    <m/>
    <n v="3.0680000000000001"/>
    <m/>
    <m/>
    <m/>
    <m/>
    <m/>
    <m/>
    <n v="4.3160000000000007"/>
    <m/>
    <m/>
    <m/>
    <m/>
    <m/>
    <m/>
    <m/>
    <m/>
    <m/>
    <m/>
    <m/>
    <m/>
    <m/>
    <m/>
    <m/>
    <m/>
    <m/>
    <m/>
    <m/>
    <m/>
    <m/>
    <m/>
    <m/>
    <m/>
    <m/>
    <m/>
    <m/>
    <m/>
    <m/>
    <m/>
    <m/>
    <m/>
    <m/>
    <m/>
    <m/>
    <m/>
    <m/>
    <m/>
    <m/>
    <m/>
    <m/>
    <m/>
    <m/>
    <n v="4.6319999999999997"/>
    <n v="265"/>
    <n v="4"/>
    <n v="265"/>
    <n v="185.5"/>
    <n v="265"/>
    <n v="5"/>
    <n v="0"/>
    <n v="0"/>
    <n v="0"/>
    <n v="0"/>
    <n v="0"/>
    <n v="1"/>
    <n v="2"/>
    <n v="2"/>
    <n v="0.5"/>
    <m/>
    <m/>
    <m/>
    <m/>
    <m/>
    <n v="0"/>
    <n v="0"/>
    <n v="0"/>
    <n v="0"/>
    <n v="0"/>
    <n v="340"/>
    <n v="0"/>
    <n v="0"/>
    <n v="0"/>
    <n v="0"/>
    <n v="0"/>
    <n v="3000"/>
    <n v="0"/>
    <n v="0"/>
    <n v="0"/>
    <n v="150"/>
    <n v="1994.2"/>
    <n v="129.48000000000002"/>
    <n v="0"/>
    <n v="0"/>
    <n v="0"/>
    <n v="0"/>
    <n v="0"/>
    <n v="0"/>
    <n v="0"/>
    <n v="0"/>
    <n v="0"/>
    <n v="0"/>
    <n v="0"/>
    <n v="0"/>
    <n v="0"/>
    <n v="0"/>
    <n v="0"/>
    <n v="0"/>
    <n v="0"/>
    <n v="0"/>
    <n v="0"/>
    <n v="3473.9999999999995"/>
    <n v="132500"/>
    <n v="30000"/>
    <n v="26500"/>
    <n v="2226"/>
    <n v="13250"/>
    <n v="1500"/>
    <n v="0"/>
    <n v="0"/>
    <n v="0"/>
    <n v="0"/>
    <n v="0"/>
    <n v="12500"/>
    <n v="6000"/>
    <n v="3600"/>
    <n v="1500"/>
    <n v="0"/>
    <n v="0"/>
    <n v="0"/>
    <n v="0"/>
    <n v="0"/>
    <n v="238663.67999999999"/>
    <s v=" "/>
    <s v=" "/>
    <s v=" "/>
    <s v=" "/>
    <s v=" "/>
    <s v=" "/>
    <s v=" "/>
    <n v="380393.64682844508"/>
    <s v=" "/>
    <s v=" "/>
    <s v=" "/>
    <s v=" "/>
    <s v=" "/>
    <s v=" "/>
    <s v=" "/>
    <x v="0"/>
    <x v="0"/>
    <x v="0"/>
    <x v="0"/>
    <x v="0"/>
    <x v="2"/>
    <x v="0"/>
    <x v="0"/>
    <x v="0"/>
    <x v="4"/>
    <x v="1"/>
    <x v="1"/>
    <x v="1"/>
    <x v="0"/>
    <x v="0"/>
    <x v="0"/>
    <x v="1"/>
    <x v="0"/>
    <x v="0"/>
    <x v="0"/>
    <x v="0"/>
    <x v="1"/>
    <x v="0"/>
    <x v="0"/>
    <x v="0"/>
    <x v="0"/>
    <x v="0"/>
    <x v="0"/>
    <x v="1"/>
    <x v="0"/>
    <x v="0"/>
    <x v="0"/>
    <x v="0"/>
    <x v="0"/>
    <x v="0"/>
    <x v="0"/>
    <x v="0"/>
    <x v="0"/>
    <x v="0"/>
    <x v="0"/>
    <x v="0"/>
    <x v="0"/>
    <x v="0"/>
    <x v="0"/>
    <x v="0"/>
    <x v="0"/>
    <x v="0"/>
    <x v="0"/>
    <x v="0"/>
    <x v="0"/>
    <x v="0"/>
    <x v="0"/>
    <x v="0"/>
    <x v="0"/>
    <x v="0"/>
    <x v="0"/>
    <x v="0"/>
    <x v="0"/>
    <x v="0"/>
    <x v="0"/>
    <x v="0"/>
    <x v="0"/>
    <x v="0"/>
    <x v="0"/>
    <x v="0"/>
    <x v="0"/>
    <x v="0"/>
    <x v="0"/>
    <x v="0"/>
    <x v="0"/>
    <x v="0"/>
    <x v="0"/>
    <x v="1"/>
    <x v="1"/>
    <x v="1"/>
    <x v="1"/>
    <x v="1"/>
    <x v="1"/>
    <x v="1"/>
    <x v="0"/>
    <x v="0"/>
    <x v="0"/>
    <x v="0"/>
    <x v="0"/>
    <x v="1"/>
    <x v="1"/>
    <x v="1"/>
    <x v="1"/>
    <x v="0"/>
    <x v="0"/>
    <x v="0"/>
    <x v="0"/>
    <x v="0"/>
  </r>
  <r>
    <x v="1"/>
    <x v="4"/>
    <x v="4"/>
    <x v="5"/>
    <x v="1"/>
    <n v="29.965357981"/>
    <n v="-25.804119242999999"/>
    <s v="29° 57' 55.28&quot;E "/>
    <s v="25° 48' 14.82&quot; S"/>
    <s v="N/A"/>
    <m/>
    <s v="No"/>
    <m/>
    <s v="YES "/>
    <s v="NA"/>
    <s v="NBC-GTW-CL-0067"/>
    <s v="Yes"/>
    <s v="00"/>
    <d v="2018-06-16T00:00:00"/>
    <s v="Phase 2"/>
    <s v="Year 8"/>
    <n v="31.8"/>
    <m/>
    <m/>
    <m/>
    <m/>
    <n v="394.76519999999999"/>
    <n v="39.476520000000001"/>
    <n v="10.9657"/>
    <n v="31.8"/>
    <n v="31.8"/>
    <m/>
    <m/>
    <n v="94.94319999999999"/>
    <n v="101.63999999999999"/>
    <m/>
    <m/>
    <s v="Ref 888"/>
    <n v="89.69919999999999"/>
    <s v="Ref 943"/>
    <n v="82.174399999999991"/>
    <n v="0"/>
    <n v="124.76995008701984"/>
    <n v="0"/>
    <n v="47"/>
    <n v="0"/>
    <n v="0"/>
    <n v="0"/>
    <n v="0"/>
    <n v="0"/>
    <n v="16"/>
    <n v="15"/>
    <n v="0"/>
    <m/>
    <n v="0"/>
    <n v="25.2498"/>
    <m/>
    <m/>
    <m/>
    <m/>
    <m/>
    <m/>
    <m/>
    <m/>
    <m/>
    <m/>
    <m/>
    <m/>
    <m/>
    <m/>
    <m/>
    <m/>
    <m/>
    <m/>
    <m/>
    <m/>
    <m/>
    <m/>
    <m/>
    <m/>
    <m/>
    <m/>
    <m/>
    <m/>
    <m/>
    <m/>
    <m/>
    <m/>
    <m/>
    <m/>
    <m/>
    <m/>
    <m/>
    <m/>
    <m/>
    <m/>
    <m/>
    <m/>
    <m/>
    <m/>
    <m/>
    <m/>
    <m/>
    <m/>
    <m/>
    <m/>
    <m/>
    <m/>
    <m/>
    <m/>
    <m/>
    <n v="1"/>
    <m/>
    <m/>
    <m/>
    <m/>
    <n v="159"/>
    <n v="0"/>
    <n v="0"/>
    <n v="0"/>
    <n v="0"/>
    <n v="33555.042000000001"/>
    <n v="4934.5650000000005"/>
    <n v="5482.85"/>
    <n v="159"/>
    <n v="318"/>
    <n v="0"/>
    <n v="189886.4"/>
    <n v="30491.999999999996"/>
    <n v="0"/>
    <n v="0"/>
    <n v="3437.4719999999998"/>
    <n v="112130.4675565629"/>
    <n v="450"/>
    <n v="0"/>
    <n v="0"/>
    <n v="3029.9760000000001"/>
    <n v="0"/>
    <n v="0"/>
    <n v="0"/>
    <n v="0"/>
    <n v="0"/>
    <n v="0"/>
    <n v="0"/>
    <n v="0"/>
    <n v="0"/>
    <n v="0"/>
    <n v="0"/>
    <n v="0"/>
    <n v="0"/>
    <n v="0"/>
    <n v="0"/>
    <n v="0"/>
    <n v="0"/>
    <n v="0"/>
    <n v="0"/>
    <n v="0"/>
    <n v="0"/>
    <n v="0"/>
    <n v="0"/>
    <n v="0"/>
    <n v="0"/>
    <n v="0"/>
    <n v="0"/>
    <n v="0"/>
    <n v="0"/>
    <n v="0"/>
    <n v="0"/>
    <n v="0"/>
    <n v="0"/>
    <n v="0"/>
    <n v="0"/>
    <n v="0"/>
    <n v="0"/>
    <n v="384034.77255656291"/>
    <s v=" "/>
    <s v=" "/>
    <s v=" "/>
    <s v=" "/>
    <s v=" "/>
    <s v=" "/>
    <s v=" "/>
    <n v="612093.08279216767"/>
    <s v=" "/>
    <s v=" "/>
    <s v=" "/>
    <s v=" "/>
    <s v=" "/>
    <s v=" "/>
    <s v=" "/>
    <x v="4"/>
    <x v="0"/>
    <x v="0"/>
    <x v="0"/>
    <x v="0"/>
    <x v="3"/>
    <x v="1"/>
    <x v="1"/>
    <x v="4"/>
    <x v="5"/>
    <x v="1"/>
    <x v="1"/>
    <x v="2"/>
    <x v="1"/>
    <x v="0"/>
    <x v="0"/>
    <x v="2"/>
    <x v="1"/>
    <x v="0"/>
    <x v="1"/>
    <x v="0"/>
    <x v="2"/>
    <x v="0"/>
    <x v="0"/>
    <x v="0"/>
    <x v="0"/>
    <x v="0"/>
    <x v="1"/>
    <x v="2"/>
    <x v="0"/>
    <x v="0"/>
    <x v="0"/>
    <x v="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1"/>
    <x v="0"/>
    <x v="0"/>
    <x v="0"/>
    <x v="0"/>
  </r>
  <r>
    <x v="1"/>
    <x v="5"/>
    <x v="5"/>
    <x v="6"/>
    <x v="1"/>
    <n v="29.965357981"/>
    <n v="-25.804119242999999"/>
    <s v="29° 57' 55.28&quot;E "/>
    <s v="25° 48' 14.82&quot; S"/>
    <m/>
    <m/>
    <m/>
    <m/>
    <s v="YES"/>
    <m/>
    <s v="NBC-GTW-CL-0067"/>
    <s v="Yes"/>
    <s v="00"/>
    <d v="2018-06-16T00:00:00"/>
    <s v="Phase 2"/>
    <s v="Year 8"/>
    <m/>
    <m/>
    <m/>
    <m/>
    <m/>
    <n v="210"/>
    <m/>
    <m/>
    <m/>
    <m/>
    <m/>
    <m/>
    <m/>
    <n v="64"/>
    <n v="98"/>
    <m/>
    <s v="Ref 617"/>
    <n v="64"/>
    <m/>
    <m/>
    <m/>
    <m/>
    <m/>
    <n v="10.8"/>
    <m/>
    <m/>
    <m/>
    <m/>
    <m/>
    <m/>
    <m/>
    <m/>
    <n v="21.3"/>
    <m/>
    <m/>
    <m/>
    <m/>
    <m/>
    <m/>
    <m/>
    <m/>
    <m/>
    <m/>
    <m/>
    <m/>
    <m/>
    <m/>
    <m/>
    <m/>
    <m/>
    <m/>
    <m/>
    <m/>
    <m/>
    <m/>
    <n v="87"/>
    <m/>
    <m/>
    <m/>
    <m/>
    <m/>
    <n v="24"/>
    <m/>
    <m/>
    <m/>
    <m/>
    <m/>
    <m/>
    <m/>
    <m/>
    <m/>
    <m/>
    <m/>
    <m/>
    <m/>
    <m/>
    <m/>
    <m/>
    <m/>
    <m/>
    <m/>
    <m/>
    <m/>
    <m/>
    <m/>
    <m/>
    <m/>
    <m/>
    <m/>
    <m/>
    <m/>
    <m/>
    <m/>
    <m/>
    <m/>
    <n v="0"/>
    <n v="0"/>
    <n v="0"/>
    <n v="0"/>
    <n v="0"/>
    <n v="17850"/>
    <n v="0"/>
    <n v="0"/>
    <n v="0"/>
    <n v="0"/>
    <n v="0"/>
    <n v="0"/>
    <n v="19200"/>
    <n v="1764"/>
    <n v="0"/>
    <n v="1280"/>
    <n v="7020.0000000000009"/>
    <n v="0"/>
    <n v="69225"/>
    <n v="0"/>
    <n v="0"/>
    <n v="0"/>
    <n v="0"/>
    <n v="0"/>
    <n v="2436"/>
    <n v="12000"/>
    <n v="0"/>
    <n v="0"/>
    <n v="0"/>
    <n v="0"/>
    <n v="0"/>
    <n v="0"/>
    <n v="0"/>
    <n v="0"/>
    <n v="0"/>
    <n v="0"/>
    <n v="0"/>
    <n v="0"/>
    <n v="0"/>
    <n v="0"/>
    <n v="0"/>
    <n v="0"/>
    <n v="0"/>
    <n v="0"/>
    <n v="0"/>
    <n v="0"/>
    <n v="0"/>
    <n v="0"/>
    <n v="0"/>
    <n v="0"/>
    <n v="0"/>
    <n v="0"/>
    <n v="0"/>
    <n v="0"/>
    <n v="0"/>
    <n v="0"/>
    <n v="0"/>
    <n v="0"/>
    <n v="130775"/>
    <s v=" "/>
    <s v=" "/>
    <s v=" "/>
    <s v=" "/>
    <s v=" "/>
    <s v=" "/>
    <s v=" "/>
    <n v="208435.48194677089"/>
    <s v=" "/>
    <s v=" "/>
    <s v=" "/>
    <s v=" "/>
    <s v=" "/>
    <s v=" "/>
    <s v=" "/>
    <x v="0"/>
    <x v="0"/>
    <x v="0"/>
    <x v="0"/>
    <x v="0"/>
    <x v="4"/>
    <x v="0"/>
    <x v="0"/>
    <x v="0"/>
    <x v="4"/>
    <x v="1"/>
    <x v="1"/>
    <x v="0"/>
    <x v="2"/>
    <x v="1"/>
    <x v="0"/>
    <x v="3"/>
    <x v="0"/>
    <x v="0"/>
    <x v="0"/>
    <x v="0"/>
    <x v="3"/>
    <x v="0"/>
    <x v="0"/>
    <x v="0"/>
    <x v="0"/>
    <x v="0"/>
    <x v="0"/>
    <x v="0"/>
    <x v="0"/>
    <x v="1"/>
    <x v="0"/>
    <x v="0"/>
    <x v="0"/>
    <x v="0"/>
    <x v="0"/>
    <x v="0"/>
    <x v="0"/>
    <x v="0"/>
    <x v="0"/>
    <x v="0"/>
    <x v="0"/>
    <x v="0"/>
    <x v="0"/>
    <x v="0"/>
    <x v="0"/>
    <x v="0"/>
    <x v="0"/>
    <x v="0"/>
    <x v="0"/>
    <x v="0"/>
    <x v="0"/>
    <x v="0"/>
    <x v="1"/>
    <x v="0"/>
    <x v="0"/>
    <x v="0"/>
    <x v="0"/>
    <x v="0"/>
    <x v="1"/>
    <x v="0"/>
    <x v="0"/>
    <x v="0"/>
    <x v="0"/>
    <x v="0"/>
    <x v="0"/>
    <x v="0"/>
    <x v="0"/>
    <x v="0"/>
    <x v="0"/>
    <x v="0"/>
    <x v="0"/>
    <x v="0"/>
    <x v="0"/>
    <x v="0"/>
    <x v="0"/>
    <x v="0"/>
    <x v="0"/>
    <x v="0"/>
    <x v="0"/>
    <x v="0"/>
    <x v="0"/>
    <x v="0"/>
    <x v="0"/>
    <x v="0"/>
    <x v="0"/>
    <x v="0"/>
    <x v="0"/>
    <x v="0"/>
    <x v="0"/>
    <x v="0"/>
    <x v="0"/>
    <x v="0"/>
  </r>
  <r>
    <x v="1"/>
    <x v="6"/>
    <x v="6"/>
    <x v="7"/>
    <x v="1"/>
    <n v="29.965357981"/>
    <n v="-25.804119242999999"/>
    <s v="29° 57' 55.28&quot;E "/>
    <s v="25° 48' 14.82&quot; S"/>
    <m/>
    <m/>
    <m/>
    <m/>
    <s v="YES"/>
    <m/>
    <s v="NBC-GTW-CL-0067"/>
    <s v="Yes"/>
    <s v="00"/>
    <d v="2018-06-16T00:00:00"/>
    <s v="Phase 2"/>
    <s v="Year 8"/>
    <n v="1870"/>
    <n v="2651.3666666666668"/>
    <m/>
    <m/>
    <m/>
    <m/>
    <m/>
    <m/>
    <n v="1870"/>
    <n v="1870"/>
    <m/>
    <m/>
    <m/>
    <m/>
    <m/>
    <m/>
    <m/>
    <m/>
    <m/>
    <m/>
    <m/>
    <m/>
    <m/>
    <m/>
    <m/>
    <m/>
    <m/>
    <m/>
    <m/>
    <m/>
    <m/>
    <m/>
    <m/>
    <m/>
    <m/>
    <m/>
    <m/>
    <m/>
    <m/>
    <m/>
    <m/>
    <m/>
    <m/>
    <m/>
    <m/>
    <m/>
    <m/>
    <m/>
    <m/>
    <m/>
    <m/>
    <m/>
    <m/>
    <m/>
    <m/>
    <m/>
    <m/>
    <m/>
    <m/>
    <m/>
    <m/>
    <m/>
    <m/>
    <m/>
    <m/>
    <m/>
    <m/>
    <m/>
    <m/>
    <m/>
    <m/>
    <m/>
    <m/>
    <m/>
    <m/>
    <m/>
    <m/>
    <m/>
    <m/>
    <m/>
    <m/>
    <m/>
    <m/>
    <m/>
    <m/>
    <m/>
    <m/>
    <m/>
    <m/>
    <m/>
    <m/>
    <m/>
    <m/>
    <m/>
    <m/>
    <n v="9350"/>
    <n v="132568.33333333334"/>
    <n v="0"/>
    <n v="0"/>
    <n v="0"/>
    <n v="0"/>
    <n v="0"/>
    <n v="0"/>
    <n v="9350"/>
    <n v="18700"/>
    <n v="0"/>
    <n v="0"/>
    <n v="0"/>
    <n v="0"/>
    <n v="0"/>
    <n v="0"/>
    <n v="0"/>
    <n v="0"/>
    <n v="0"/>
    <n v="0"/>
    <n v="0"/>
    <n v="0"/>
    <n v="0"/>
    <n v="0"/>
    <n v="0"/>
    <n v="0"/>
    <n v="0"/>
    <n v="0"/>
    <n v="0"/>
    <n v="0"/>
    <n v="0"/>
    <n v="0"/>
    <n v="0"/>
    <n v="0"/>
    <n v="0"/>
    <n v="0"/>
    <n v="0"/>
    <n v="0"/>
    <n v="0"/>
    <n v="0"/>
    <n v="0"/>
    <n v="0"/>
    <n v="0"/>
    <n v="0"/>
    <n v="0"/>
    <n v="0"/>
    <n v="0"/>
    <n v="0"/>
    <n v="0"/>
    <n v="0"/>
    <n v="0"/>
    <n v="0"/>
    <n v="0"/>
    <n v="0"/>
    <n v="0"/>
    <n v="0"/>
    <n v="0"/>
    <n v="0"/>
    <n v="169968.33333333334"/>
    <s v=" "/>
    <s v=" "/>
    <s v=" "/>
    <s v=" "/>
    <s v=" "/>
    <s v=" "/>
    <s v=" "/>
    <n v="270903.70081454975"/>
    <s v=" "/>
    <s v=" "/>
    <s v=" "/>
    <s v=" "/>
    <s v=" "/>
    <s v=" "/>
    <s v=" "/>
    <x v="5"/>
    <x v="4"/>
    <x v="0"/>
    <x v="0"/>
    <x v="0"/>
    <x v="1"/>
    <x v="0"/>
    <x v="0"/>
    <x v="5"/>
    <x v="6"/>
    <x v="1"/>
    <x v="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x v="1"/>
    <x v="7"/>
    <x v="2"/>
    <x v="8"/>
    <x v="1"/>
    <n v="29.964700989000001"/>
    <n v="-25.802941186999998"/>
    <s v="29° 57' 52.92&quot;E "/>
    <s v="25° 48' 10.58&quot; S"/>
    <s v="N/A"/>
    <m/>
    <s v="No"/>
    <m/>
    <s v="YES "/>
    <m/>
    <s v="NBC-GTW-CL-0062"/>
    <m/>
    <s v="00"/>
    <d v="2018-06-16T00:00:00"/>
    <s v="Phase 2"/>
    <s v="Year 8"/>
    <m/>
    <m/>
    <m/>
    <m/>
    <m/>
    <m/>
    <m/>
    <m/>
    <m/>
    <n v="17400"/>
    <m/>
    <m/>
    <m/>
    <m/>
    <m/>
    <m/>
    <m/>
    <m/>
    <m/>
    <m/>
    <m/>
    <m/>
    <m/>
    <m/>
    <m/>
    <m/>
    <m/>
    <m/>
    <m/>
    <m/>
    <m/>
    <m/>
    <m/>
    <m/>
    <n v="24200"/>
    <m/>
    <m/>
    <m/>
    <m/>
    <m/>
    <m/>
    <m/>
    <m/>
    <m/>
    <m/>
    <m/>
    <m/>
    <m/>
    <m/>
    <m/>
    <m/>
    <m/>
    <m/>
    <m/>
    <m/>
    <m/>
    <m/>
    <m/>
    <m/>
    <m/>
    <m/>
    <m/>
    <m/>
    <m/>
    <m/>
    <m/>
    <m/>
    <m/>
    <m/>
    <m/>
    <m/>
    <m/>
    <m/>
    <n v="11500"/>
    <m/>
    <m/>
    <m/>
    <m/>
    <m/>
    <m/>
    <m/>
    <m/>
    <m/>
    <m/>
    <m/>
    <m/>
    <m/>
    <m/>
    <m/>
    <m/>
    <m/>
    <m/>
    <m/>
    <m/>
    <m/>
    <n v="0"/>
    <n v="0"/>
    <n v="0"/>
    <n v="0"/>
    <n v="0"/>
    <n v="0"/>
    <n v="0"/>
    <n v="0"/>
    <n v="0"/>
    <n v="174000"/>
    <n v="0"/>
    <n v="0"/>
    <n v="0"/>
    <n v="0"/>
    <n v="0"/>
    <n v="0"/>
    <n v="0"/>
    <n v="0"/>
    <n v="0"/>
    <n v="0"/>
    <n v="2904000"/>
    <n v="0"/>
    <n v="0"/>
    <n v="0"/>
    <n v="0"/>
    <n v="0"/>
    <n v="0"/>
    <n v="0"/>
    <n v="0"/>
    <n v="0"/>
    <n v="0"/>
    <n v="0"/>
    <n v="0"/>
    <n v="0"/>
    <n v="0"/>
    <n v="0"/>
    <n v="575000"/>
    <n v="0"/>
    <n v="0"/>
    <n v="0"/>
    <n v="0"/>
    <n v="0"/>
    <n v="0"/>
    <n v="0"/>
    <n v="0"/>
    <n v="0"/>
    <n v="0"/>
    <n v="0"/>
    <n v="0"/>
    <n v="0"/>
    <n v="0"/>
    <n v="0"/>
    <n v="0"/>
    <n v="0"/>
    <n v="0"/>
    <n v="0"/>
    <n v="0"/>
    <n v="0"/>
    <n v="3653000"/>
    <s v=" "/>
    <s v=" "/>
    <s v=" "/>
    <s v=" "/>
    <s v=" "/>
    <s v=" "/>
    <s v=" "/>
    <n v="5822327.0162611669"/>
    <s v=" "/>
    <s v=" "/>
    <s v=" "/>
    <s v=" "/>
    <s v=" "/>
    <s v=" "/>
    <s v=" "/>
    <x v="0"/>
    <x v="0"/>
    <x v="0"/>
    <x v="0"/>
    <x v="0"/>
    <x v="1"/>
    <x v="0"/>
    <x v="0"/>
    <x v="0"/>
    <x v="7"/>
    <x v="1"/>
    <x v="1"/>
    <x v="0"/>
    <x v="0"/>
    <x v="0"/>
    <x v="0"/>
    <x v="0"/>
    <x v="0"/>
    <x v="0"/>
    <x v="0"/>
    <x v="0"/>
    <x v="0"/>
    <x v="0"/>
    <x v="0"/>
    <x v="0"/>
    <x v="0"/>
    <x v="0"/>
    <x v="0"/>
    <x v="0"/>
    <x v="0"/>
    <x v="0"/>
    <x v="0"/>
    <x v="2"/>
    <x v="0"/>
    <x v="0"/>
    <x v="0"/>
    <x v="0"/>
    <x v="0"/>
    <x v="0"/>
    <x v="0"/>
    <x v="0"/>
    <x v="0"/>
    <x v="0"/>
    <x v="0"/>
    <x v="0"/>
    <x v="0"/>
    <x v="0"/>
    <x v="0"/>
    <x v="0"/>
    <x v="0"/>
    <x v="0"/>
    <x v="0"/>
    <x v="0"/>
    <x v="0"/>
    <x v="0"/>
    <x v="0"/>
    <x v="0"/>
    <x v="0"/>
    <x v="0"/>
    <x v="0"/>
    <x v="0"/>
    <x v="0"/>
    <x v="0"/>
    <x v="0"/>
    <x v="0"/>
    <x v="0"/>
    <x v="0"/>
    <x v="0"/>
    <x v="0"/>
    <x v="0"/>
    <x v="0"/>
    <x v="1"/>
    <x v="0"/>
    <x v="0"/>
    <x v="0"/>
    <x v="0"/>
    <x v="0"/>
    <x v="0"/>
    <x v="0"/>
    <x v="0"/>
    <x v="0"/>
    <x v="0"/>
    <x v="0"/>
    <x v="0"/>
    <x v="0"/>
    <x v="0"/>
    <x v="0"/>
    <x v="0"/>
    <x v="0"/>
    <x v="0"/>
    <x v="0"/>
    <x v="0"/>
    <x v="0"/>
  </r>
  <r>
    <x v="1"/>
    <x v="4"/>
    <x v="4"/>
    <x v="9"/>
    <x v="1"/>
    <n v="29.964891290000001"/>
    <n v="-25.798573317999999"/>
    <s v="29° 57' 53.60&quot;E "/>
    <s v="25° 47' 54.86&quot; S"/>
    <s v="N/A"/>
    <m/>
    <s v="No"/>
    <m/>
    <s v="YES "/>
    <s v="NA"/>
    <s v="NBC-GTW-CL-0068"/>
    <s v="Yes"/>
    <s v="00"/>
    <d v="2018-06-16T00:00:00"/>
    <s v="Phase 2"/>
    <s v="Year 8"/>
    <n v="31.8"/>
    <m/>
    <m/>
    <m/>
    <m/>
    <n v="355.89659999999998"/>
    <n v="26.469660000000001"/>
    <n v="14.235863999999999"/>
    <n v="31.8"/>
    <n v="31.8"/>
    <m/>
    <m/>
    <n v="94.94319999999999"/>
    <n v="101.63999999999999"/>
    <m/>
    <m/>
    <s v="Ref 888"/>
    <n v="89.69919999999999"/>
    <s v="Ref 943"/>
    <n v="82.174399999999991"/>
    <n v="0"/>
    <n v="124.76995008701984"/>
    <n v="0"/>
    <n v="47"/>
    <n v="0"/>
    <n v="0"/>
    <n v="0"/>
    <n v="0"/>
    <n v="0"/>
    <n v="16"/>
    <n v="15"/>
    <n v="0"/>
    <m/>
    <n v="0"/>
    <n v="25.2498"/>
    <m/>
    <m/>
    <m/>
    <m/>
    <m/>
    <m/>
    <m/>
    <m/>
    <m/>
    <m/>
    <m/>
    <m/>
    <m/>
    <m/>
    <m/>
    <m/>
    <m/>
    <m/>
    <m/>
    <m/>
    <m/>
    <m/>
    <m/>
    <m/>
    <m/>
    <m/>
    <m/>
    <m/>
    <m/>
    <m/>
    <m/>
    <m/>
    <m/>
    <m/>
    <m/>
    <m/>
    <m/>
    <m/>
    <m/>
    <m/>
    <m/>
    <m/>
    <m/>
    <m/>
    <m/>
    <m/>
    <m/>
    <m/>
    <m/>
    <m/>
    <m/>
    <m/>
    <m/>
    <m/>
    <m/>
    <n v="1"/>
    <m/>
    <m/>
    <m/>
    <m/>
    <n v="159"/>
    <n v="0"/>
    <n v="0"/>
    <n v="0"/>
    <n v="0"/>
    <n v="30251.210999999999"/>
    <n v="3308.7075"/>
    <n v="7117.9319999999998"/>
    <n v="159"/>
    <n v="318"/>
    <n v="0"/>
    <n v="189886.4"/>
    <n v="30491.999999999996"/>
    <n v="0"/>
    <n v="0"/>
    <n v="3437.4719999999998"/>
    <n v="112130.4675565629"/>
    <n v="450"/>
    <n v="0"/>
    <n v="0"/>
    <n v="3029.9760000000001"/>
    <n v="0"/>
    <n v="0"/>
    <n v="0"/>
    <n v="0"/>
    <n v="0"/>
    <n v="0"/>
    <n v="0"/>
    <n v="0"/>
    <n v="0"/>
    <n v="0"/>
    <n v="0"/>
    <n v="0"/>
    <n v="0"/>
    <n v="0"/>
    <n v="0"/>
    <n v="0"/>
    <n v="0"/>
    <n v="0"/>
    <n v="0"/>
    <n v="0"/>
    <n v="0"/>
    <n v="0"/>
    <n v="0"/>
    <n v="0"/>
    <n v="0"/>
    <n v="0"/>
    <n v="0"/>
    <n v="0"/>
    <n v="0"/>
    <n v="0"/>
    <n v="0"/>
    <n v="0"/>
    <n v="0"/>
    <n v="0"/>
    <n v="0"/>
    <n v="0"/>
    <n v="0"/>
    <n v="380740.16605656291"/>
    <s v=" "/>
    <s v=" "/>
    <s v=" "/>
    <s v=" "/>
    <s v=" "/>
    <s v=" "/>
    <s v=" "/>
    <n v="606841.98056580604"/>
    <s v=" "/>
    <s v=" "/>
    <s v=" "/>
    <s v=" "/>
    <s v=" "/>
    <s v=" "/>
    <s v=" "/>
    <x v="6"/>
    <x v="0"/>
    <x v="0"/>
    <x v="0"/>
    <x v="0"/>
    <x v="5"/>
    <x v="2"/>
    <x v="2"/>
    <x v="6"/>
    <x v="8"/>
    <x v="1"/>
    <x v="1"/>
    <x v="3"/>
    <x v="3"/>
    <x v="0"/>
    <x v="0"/>
    <x v="4"/>
    <x v="2"/>
    <x v="0"/>
    <x v="2"/>
    <x v="0"/>
    <x v="4"/>
    <x v="0"/>
    <x v="0"/>
    <x v="0"/>
    <x v="0"/>
    <x v="0"/>
    <x v="2"/>
    <x v="3"/>
    <x v="0"/>
    <x v="0"/>
    <x v="0"/>
    <x v="3"/>
    <x v="0"/>
    <x v="0"/>
    <x v="0"/>
    <x v="0"/>
    <x v="0"/>
    <x v="0"/>
    <x v="0"/>
    <x v="0"/>
    <x v="0"/>
    <x v="0"/>
    <x v="0"/>
    <x v="0"/>
    <x v="0"/>
    <x v="0"/>
    <x v="0"/>
    <x v="0"/>
    <x v="0"/>
    <x v="0"/>
    <x v="0"/>
    <x v="0"/>
    <x v="0"/>
    <x v="0"/>
    <x v="0"/>
    <x v="0"/>
    <x v="0"/>
    <x v="0"/>
    <x v="0"/>
    <x v="0"/>
    <x v="0"/>
    <x v="0"/>
    <x v="0"/>
    <x v="0"/>
    <x v="0"/>
    <x v="0"/>
    <x v="0"/>
    <x v="0"/>
    <x v="0"/>
    <x v="0"/>
    <x v="0"/>
    <x v="0"/>
    <x v="0"/>
    <x v="0"/>
    <x v="0"/>
    <x v="0"/>
    <x v="0"/>
    <x v="0"/>
    <x v="0"/>
    <x v="0"/>
    <x v="0"/>
    <x v="0"/>
    <x v="0"/>
    <x v="0"/>
    <x v="0"/>
    <x v="0"/>
    <x v="0"/>
    <x v="2"/>
    <x v="0"/>
    <x v="0"/>
    <x v="0"/>
    <x v="0"/>
  </r>
  <r>
    <x v="1"/>
    <x v="5"/>
    <x v="5"/>
    <x v="10"/>
    <x v="1"/>
    <n v="29.964891290000001"/>
    <n v="-25.798573317999999"/>
    <s v="29° 57' 53.60&quot;E "/>
    <s v="25° 47' 54.86&quot; S"/>
    <m/>
    <m/>
    <m/>
    <m/>
    <s v="YES"/>
    <m/>
    <s v="NBC-GTW-CL-0068"/>
    <s v="Yes"/>
    <s v="00"/>
    <d v="2018-06-16T00:00:00"/>
    <s v="Phase 2"/>
    <s v="Year 8"/>
    <m/>
    <m/>
    <m/>
    <m/>
    <m/>
    <n v="210"/>
    <m/>
    <m/>
    <m/>
    <m/>
    <m/>
    <m/>
    <m/>
    <n v="64"/>
    <n v="98"/>
    <m/>
    <s v="Ref617"/>
    <n v="64"/>
    <m/>
    <m/>
    <m/>
    <m/>
    <m/>
    <n v="10.8"/>
    <m/>
    <m/>
    <m/>
    <m/>
    <m/>
    <m/>
    <m/>
    <m/>
    <n v="21.3"/>
    <m/>
    <m/>
    <m/>
    <m/>
    <m/>
    <m/>
    <m/>
    <m/>
    <m/>
    <m/>
    <m/>
    <m/>
    <m/>
    <m/>
    <m/>
    <m/>
    <m/>
    <m/>
    <m/>
    <m/>
    <m/>
    <m/>
    <n v="87"/>
    <m/>
    <m/>
    <m/>
    <m/>
    <m/>
    <n v="24"/>
    <m/>
    <m/>
    <m/>
    <m/>
    <m/>
    <m/>
    <m/>
    <m/>
    <m/>
    <m/>
    <m/>
    <m/>
    <m/>
    <m/>
    <m/>
    <m/>
    <m/>
    <m/>
    <m/>
    <m/>
    <m/>
    <m/>
    <m/>
    <m/>
    <m/>
    <m/>
    <m/>
    <m/>
    <m/>
    <m/>
    <m/>
    <m/>
    <m/>
    <n v="0"/>
    <n v="0"/>
    <n v="0"/>
    <n v="0"/>
    <n v="0"/>
    <n v="17850"/>
    <n v="0"/>
    <n v="0"/>
    <n v="0"/>
    <n v="0"/>
    <n v="0"/>
    <n v="0"/>
    <n v="19200"/>
    <n v="1764"/>
    <n v="0"/>
    <n v="1280"/>
    <n v="7020.0000000000009"/>
    <n v="0"/>
    <n v="69225"/>
    <n v="0"/>
    <n v="0"/>
    <n v="0"/>
    <n v="0"/>
    <n v="0"/>
    <n v="2436"/>
    <n v="12000"/>
    <n v="0"/>
    <n v="0"/>
    <n v="0"/>
    <n v="0"/>
    <n v="0"/>
    <n v="0"/>
    <n v="0"/>
    <n v="0"/>
    <n v="0"/>
    <n v="0"/>
    <n v="0"/>
    <n v="0"/>
    <n v="0"/>
    <n v="0"/>
    <n v="0"/>
    <n v="0"/>
    <n v="0"/>
    <n v="0"/>
    <n v="0"/>
    <n v="0"/>
    <n v="0"/>
    <n v="0"/>
    <n v="0"/>
    <n v="0"/>
    <n v="0"/>
    <n v="0"/>
    <n v="0"/>
    <n v="0"/>
    <n v="0"/>
    <n v="0"/>
    <n v="0"/>
    <n v="0"/>
    <n v="130775"/>
    <s v=" "/>
    <s v=" "/>
    <s v=" "/>
    <s v=" "/>
    <s v=" "/>
    <s v=" "/>
    <s v=" "/>
    <n v="208435.48194677089"/>
    <s v=" "/>
    <s v=" "/>
    <s v=" "/>
    <s v=" "/>
    <s v=" "/>
    <s v=" "/>
    <s v=" "/>
    <x v="0"/>
    <x v="0"/>
    <x v="0"/>
    <x v="0"/>
    <x v="0"/>
    <x v="6"/>
    <x v="0"/>
    <x v="0"/>
    <x v="0"/>
    <x v="4"/>
    <x v="1"/>
    <x v="1"/>
    <x v="0"/>
    <x v="4"/>
    <x v="2"/>
    <x v="0"/>
    <x v="5"/>
    <x v="0"/>
    <x v="0"/>
    <x v="0"/>
    <x v="0"/>
    <x v="5"/>
    <x v="0"/>
    <x v="0"/>
    <x v="0"/>
    <x v="0"/>
    <x v="0"/>
    <x v="0"/>
    <x v="0"/>
    <x v="0"/>
    <x v="2"/>
    <x v="0"/>
    <x v="0"/>
    <x v="0"/>
    <x v="0"/>
    <x v="0"/>
    <x v="0"/>
    <x v="0"/>
    <x v="0"/>
    <x v="0"/>
    <x v="0"/>
    <x v="0"/>
    <x v="0"/>
    <x v="0"/>
    <x v="0"/>
    <x v="0"/>
    <x v="0"/>
    <x v="0"/>
    <x v="0"/>
    <x v="0"/>
    <x v="0"/>
    <x v="0"/>
    <x v="0"/>
    <x v="2"/>
    <x v="0"/>
    <x v="0"/>
    <x v="0"/>
    <x v="0"/>
    <x v="0"/>
    <x v="2"/>
    <x v="0"/>
    <x v="0"/>
    <x v="0"/>
    <x v="0"/>
    <x v="0"/>
    <x v="0"/>
    <x v="0"/>
    <x v="0"/>
    <x v="0"/>
    <x v="0"/>
    <x v="0"/>
    <x v="0"/>
    <x v="0"/>
    <x v="0"/>
    <x v="0"/>
    <x v="0"/>
    <x v="0"/>
    <x v="0"/>
    <x v="0"/>
    <x v="0"/>
    <x v="0"/>
    <x v="0"/>
    <x v="0"/>
    <x v="0"/>
    <x v="0"/>
    <x v="0"/>
    <x v="0"/>
    <x v="0"/>
    <x v="0"/>
    <x v="0"/>
    <x v="0"/>
    <x v="0"/>
    <x v="0"/>
  </r>
  <r>
    <x v="1"/>
    <x v="6"/>
    <x v="6"/>
    <x v="11"/>
    <x v="1"/>
    <n v="29.964891290000001"/>
    <n v="-25.798573317999999"/>
    <s v="29° 57' 53.60&quot;E "/>
    <s v="25° 47' 54.86&quot; S"/>
    <m/>
    <m/>
    <m/>
    <m/>
    <s v="YES"/>
    <m/>
    <s v="NBC-GTW-CL-0068"/>
    <s v="Yes"/>
    <s v="00"/>
    <d v="2018-06-16T00:00:00"/>
    <s v="Phase 2"/>
    <s v="Year 8"/>
    <n v="1200"/>
    <n v="665.25"/>
    <m/>
    <m/>
    <m/>
    <m/>
    <m/>
    <m/>
    <n v="1200"/>
    <n v="1200"/>
    <m/>
    <m/>
    <m/>
    <m/>
    <m/>
    <m/>
    <m/>
    <m/>
    <m/>
    <m/>
    <m/>
    <m/>
    <m/>
    <m/>
    <m/>
    <m/>
    <m/>
    <m/>
    <m/>
    <m/>
    <m/>
    <m/>
    <m/>
    <m/>
    <m/>
    <m/>
    <m/>
    <m/>
    <m/>
    <m/>
    <m/>
    <m/>
    <m/>
    <m/>
    <m/>
    <m/>
    <m/>
    <m/>
    <m/>
    <m/>
    <m/>
    <m/>
    <m/>
    <m/>
    <m/>
    <m/>
    <m/>
    <m/>
    <m/>
    <m/>
    <m/>
    <m/>
    <m/>
    <m/>
    <m/>
    <m/>
    <m/>
    <m/>
    <m/>
    <m/>
    <m/>
    <m/>
    <m/>
    <m/>
    <m/>
    <m/>
    <m/>
    <m/>
    <m/>
    <m/>
    <m/>
    <m/>
    <m/>
    <m/>
    <m/>
    <m/>
    <m/>
    <m/>
    <m/>
    <m/>
    <m/>
    <m/>
    <m/>
    <m/>
    <m/>
    <n v="6000"/>
    <n v="33262.5"/>
    <n v="0"/>
    <n v="0"/>
    <n v="0"/>
    <n v="0"/>
    <n v="0"/>
    <n v="0"/>
    <n v="6000"/>
    <n v="12000"/>
    <n v="0"/>
    <n v="0"/>
    <n v="0"/>
    <n v="0"/>
    <n v="0"/>
    <n v="0"/>
    <n v="0"/>
    <n v="0"/>
    <n v="0"/>
    <n v="0"/>
    <n v="0"/>
    <n v="0"/>
    <n v="0"/>
    <n v="0"/>
    <n v="0"/>
    <n v="0"/>
    <n v="0"/>
    <n v="0"/>
    <n v="0"/>
    <n v="0"/>
    <n v="0"/>
    <n v="0"/>
    <n v="0"/>
    <n v="0"/>
    <n v="0"/>
    <n v="0"/>
    <n v="0"/>
    <n v="0"/>
    <n v="0"/>
    <n v="0"/>
    <n v="0"/>
    <n v="0"/>
    <n v="0"/>
    <n v="0"/>
    <n v="0"/>
    <n v="0"/>
    <n v="0"/>
    <n v="0"/>
    <n v="0"/>
    <n v="0"/>
    <n v="0"/>
    <n v="0"/>
    <n v="0"/>
    <n v="0"/>
    <n v="0"/>
    <n v="0"/>
    <n v="0"/>
    <n v="0"/>
    <n v="57262.5"/>
    <s v=" "/>
    <s v=" "/>
    <s v=" "/>
    <s v=" "/>
    <s v=" "/>
    <s v=" "/>
    <s v=" "/>
    <n v="91267.725367822321"/>
    <s v=" "/>
    <s v=" "/>
    <s v=" "/>
    <s v=" "/>
    <s v=" "/>
    <s v=" "/>
    <s v=" "/>
    <x v="7"/>
    <x v="5"/>
    <x v="0"/>
    <x v="0"/>
    <x v="0"/>
    <x v="1"/>
    <x v="0"/>
    <x v="0"/>
    <x v="7"/>
    <x v="9"/>
    <x v="1"/>
    <x v="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x v="1"/>
    <x v="7"/>
    <x v="2"/>
    <x v="12"/>
    <x v="1"/>
    <n v="29.964619430999999"/>
    <n v="-25.797612748999999"/>
    <s v="29° 57' 52.62&quot;E "/>
    <s v="25° 47' 51.40&quot; S"/>
    <s v="N/A"/>
    <m/>
    <s v="No"/>
    <m/>
    <s v="YES "/>
    <m/>
    <s v="NBC-GTW-CL-0063"/>
    <m/>
    <s v="00"/>
    <d v="2018-06-16T00:00:00"/>
    <s v="Phase 2"/>
    <s v="Year 8"/>
    <m/>
    <m/>
    <m/>
    <m/>
    <m/>
    <m/>
    <m/>
    <m/>
    <m/>
    <n v="38200"/>
    <m/>
    <m/>
    <m/>
    <m/>
    <m/>
    <m/>
    <m/>
    <m/>
    <m/>
    <m/>
    <m/>
    <m/>
    <m/>
    <m/>
    <m/>
    <m/>
    <m/>
    <m/>
    <m/>
    <m/>
    <m/>
    <m/>
    <m/>
    <m/>
    <n v="12300"/>
    <m/>
    <m/>
    <m/>
    <m/>
    <m/>
    <m/>
    <m/>
    <m/>
    <m/>
    <m/>
    <m/>
    <m/>
    <m/>
    <m/>
    <m/>
    <m/>
    <m/>
    <m/>
    <m/>
    <m/>
    <m/>
    <m/>
    <m/>
    <m/>
    <m/>
    <m/>
    <m/>
    <m/>
    <m/>
    <m/>
    <m/>
    <m/>
    <m/>
    <m/>
    <m/>
    <m/>
    <m/>
    <m/>
    <n v="5200"/>
    <m/>
    <m/>
    <m/>
    <m/>
    <m/>
    <m/>
    <m/>
    <m/>
    <m/>
    <m/>
    <m/>
    <m/>
    <m/>
    <m/>
    <m/>
    <m/>
    <m/>
    <m/>
    <m/>
    <m/>
    <m/>
    <n v="0"/>
    <n v="0"/>
    <n v="0"/>
    <n v="0"/>
    <n v="0"/>
    <n v="0"/>
    <n v="0"/>
    <n v="0"/>
    <n v="0"/>
    <n v="382000"/>
    <n v="0"/>
    <n v="0"/>
    <n v="0"/>
    <n v="0"/>
    <n v="0"/>
    <n v="0"/>
    <n v="0"/>
    <n v="0"/>
    <n v="0"/>
    <n v="0"/>
    <n v="1476000"/>
    <n v="0"/>
    <n v="0"/>
    <n v="0"/>
    <n v="0"/>
    <n v="0"/>
    <n v="0"/>
    <n v="0"/>
    <n v="0"/>
    <n v="0"/>
    <n v="0"/>
    <n v="0"/>
    <n v="0"/>
    <n v="0"/>
    <n v="0"/>
    <n v="0"/>
    <n v="260000"/>
    <n v="0"/>
    <n v="0"/>
    <n v="0"/>
    <n v="0"/>
    <n v="0"/>
    <n v="0"/>
    <n v="0"/>
    <n v="0"/>
    <n v="0"/>
    <n v="0"/>
    <n v="0"/>
    <n v="0"/>
    <n v="0"/>
    <n v="0"/>
    <n v="0"/>
    <n v="0"/>
    <n v="0"/>
    <n v="0"/>
    <n v="0"/>
    <n v="0"/>
    <n v="0"/>
    <n v="2118000"/>
    <s v=" "/>
    <s v=" "/>
    <s v=" "/>
    <s v=" "/>
    <s v=" "/>
    <s v=" "/>
    <s v=" "/>
    <n v="3375770.221856324"/>
    <s v=" "/>
    <s v=" "/>
    <s v=" "/>
    <s v=" "/>
    <s v=" "/>
    <s v=" "/>
    <s v=" "/>
    <x v="0"/>
    <x v="0"/>
    <x v="0"/>
    <x v="0"/>
    <x v="0"/>
    <x v="1"/>
    <x v="0"/>
    <x v="0"/>
    <x v="0"/>
    <x v="10"/>
    <x v="1"/>
    <x v="1"/>
    <x v="0"/>
    <x v="0"/>
    <x v="0"/>
    <x v="0"/>
    <x v="0"/>
    <x v="0"/>
    <x v="0"/>
    <x v="0"/>
    <x v="0"/>
    <x v="0"/>
    <x v="0"/>
    <x v="0"/>
    <x v="0"/>
    <x v="0"/>
    <x v="0"/>
    <x v="0"/>
    <x v="0"/>
    <x v="0"/>
    <x v="0"/>
    <x v="0"/>
    <x v="4"/>
    <x v="0"/>
    <x v="0"/>
    <x v="0"/>
    <x v="0"/>
    <x v="0"/>
    <x v="0"/>
    <x v="0"/>
    <x v="0"/>
    <x v="0"/>
    <x v="0"/>
    <x v="0"/>
    <x v="0"/>
    <x v="0"/>
    <x v="0"/>
    <x v="0"/>
    <x v="0"/>
    <x v="0"/>
    <x v="0"/>
    <x v="0"/>
    <x v="0"/>
    <x v="0"/>
    <x v="0"/>
    <x v="0"/>
    <x v="0"/>
    <x v="0"/>
    <x v="0"/>
    <x v="0"/>
    <x v="0"/>
    <x v="0"/>
    <x v="0"/>
    <x v="0"/>
    <x v="0"/>
    <x v="0"/>
    <x v="0"/>
    <x v="0"/>
    <x v="0"/>
    <x v="0"/>
    <x v="0"/>
    <x v="2"/>
    <x v="0"/>
    <x v="0"/>
    <x v="0"/>
    <x v="0"/>
    <x v="0"/>
    <x v="0"/>
    <x v="0"/>
    <x v="0"/>
    <x v="0"/>
    <x v="0"/>
    <x v="0"/>
    <x v="0"/>
    <x v="0"/>
    <x v="0"/>
    <x v="0"/>
    <x v="0"/>
    <x v="0"/>
    <x v="0"/>
    <x v="0"/>
    <x v="0"/>
    <x v="0"/>
  </r>
  <r>
    <x v="2"/>
    <x v="8"/>
    <x v="3"/>
    <x v="13"/>
    <x v="2"/>
    <n v="29.972529167000001"/>
    <n v="-25.813171389000001"/>
    <s v="29° 58' 21.10&quot;E "/>
    <s v="25° 48' 47.41&quot; S"/>
    <s v="Complete"/>
    <s v="Yes"/>
    <s v="Yes"/>
    <d v="2017-05-31T00:00:00"/>
    <s v="YES"/>
    <s v="NO"/>
    <s v="NBC-GTW-CL-0069"/>
    <s v="Yes"/>
    <s v="00"/>
    <d v="2018-06-16T00:00:00"/>
    <s v="Phase 2"/>
    <s v="Year 1"/>
    <m/>
    <n v="0"/>
    <n v="0"/>
    <n v="0"/>
    <n v="0"/>
    <n v="2"/>
    <m/>
    <n v="0"/>
    <n v="0"/>
    <n v="0"/>
    <n v="0"/>
    <n v="0"/>
    <n v="0"/>
    <n v="0"/>
    <n v="0"/>
    <n v="0"/>
    <s v="Mesh 395"/>
    <n v="3"/>
    <n v="0"/>
    <n v="0"/>
    <n v="0"/>
    <n v="0"/>
    <n v="0"/>
    <n v="0"/>
    <n v="0"/>
    <m/>
    <n v="0"/>
    <m/>
    <n v="0"/>
    <n v="0"/>
    <n v="3"/>
    <n v="0"/>
    <n v="1"/>
    <n v="0"/>
    <n v="0"/>
    <n v="0"/>
    <n v="0"/>
    <n v="0"/>
    <n v="0"/>
    <n v="0"/>
    <n v="0"/>
    <n v="0"/>
    <n v="0"/>
    <n v="0"/>
    <n v="0"/>
    <n v="0"/>
    <n v="0"/>
    <n v="0"/>
    <n v="0"/>
    <n v="0"/>
    <n v="0"/>
    <n v="0"/>
    <n v="0"/>
    <n v="0"/>
    <n v="0"/>
    <n v="0"/>
    <n v="0"/>
    <n v="0"/>
    <n v="0"/>
    <n v="0"/>
    <n v="0"/>
    <n v="0"/>
    <n v="0"/>
    <n v="0"/>
    <n v="0"/>
    <n v="0"/>
    <n v="0"/>
    <n v="0"/>
    <n v="0"/>
    <n v="0"/>
    <n v="0"/>
    <n v="0"/>
    <n v="15"/>
    <n v="0"/>
    <n v="6"/>
    <m/>
    <n v="0"/>
    <n v="11"/>
    <n v="22"/>
    <n v="27"/>
    <n v="4.5"/>
    <n v="0"/>
    <n v="0"/>
    <n v="0"/>
    <n v="0"/>
    <n v="0"/>
    <m/>
    <m/>
    <m/>
    <m/>
    <m/>
    <m/>
    <m/>
    <m/>
    <m/>
    <n v="0"/>
    <n v="0"/>
    <n v="0"/>
    <n v="0"/>
    <n v="0"/>
    <n v="170"/>
    <n v="0"/>
    <n v="0"/>
    <n v="0"/>
    <n v="0"/>
    <n v="0"/>
    <n v="0"/>
    <n v="0"/>
    <n v="0"/>
    <n v="0"/>
    <n v="60"/>
    <n v="0"/>
    <n v="90"/>
    <n v="3250"/>
    <n v="0"/>
    <n v="0"/>
    <n v="0"/>
    <n v="0"/>
    <n v="0"/>
    <n v="0"/>
    <n v="0"/>
    <n v="0"/>
    <n v="0"/>
    <n v="0"/>
    <n v="0"/>
    <n v="0"/>
    <n v="0"/>
    <n v="0"/>
    <n v="0"/>
    <n v="0"/>
    <n v="15000"/>
    <n v="0"/>
    <n v="4500"/>
    <n v="0"/>
    <n v="0"/>
    <n v="1100"/>
    <n v="264"/>
    <n v="1350"/>
    <n v="1350"/>
    <n v="0"/>
    <n v="0"/>
    <n v="0"/>
    <n v="0"/>
    <n v="0"/>
    <n v="0"/>
    <n v="0"/>
    <n v="0"/>
    <n v="0"/>
    <n v="0"/>
    <n v="0"/>
    <n v="0"/>
    <n v="0"/>
    <n v="0"/>
    <n v="27134"/>
    <n v="28762.04"/>
    <s v=" "/>
    <s v=" "/>
    <s v=" "/>
    <s v=" "/>
    <s v=" "/>
    <s v=" "/>
    <s v=" "/>
    <s v=" "/>
    <s v=" "/>
    <s v=" "/>
    <s v=" "/>
    <s v=" "/>
    <s v=" "/>
    <s v=" "/>
    <x v="0"/>
    <x v="0"/>
    <x v="0"/>
    <x v="0"/>
    <x v="0"/>
    <x v="7"/>
    <x v="0"/>
    <x v="0"/>
    <x v="0"/>
    <x v="4"/>
    <x v="1"/>
    <x v="1"/>
    <x v="0"/>
    <x v="0"/>
    <x v="0"/>
    <x v="0"/>
    <x v="6"/>
    <x v="0"/>
    <x v="0"/>
    <x v="0"/>
    <x v="0"/>
    <x v="0"/>
    <x v="0"/>
    <x v="0"/>
    <x v="0"/>
    <x v="0"/>
    <x v="0"/>
    <x v="0"/>
    <x v="4"/>
    <x v="0"/>
    <x v="3"/>
    <x v="0"/>
    <x v="0"/>
    <x v="0"/>
    <x v="0"/>
    <x v="0"/>
    <x v="0"/>
    <x v="0"/>
    <x v="0"/>
    <x v="0"/>
    <x v="0"/>
    <x v="0"/>
    <x v="0"/>
    <x v="0"/>
    <x v="0"/>
    <x v="0"/>
    <x v="0"/>
    <x v="0"/>
    <x v="0"/>
    <x v="0"/>
    <x v="0"/>
    <x v="0"/>
    <x v="0"/>
    <x v="0"/>
    <x v="0"/>
    <x v="0"/>
    <x v="0"/>
    <x v="0"/>
    <x v="0"/>
    <x v="0"/>
    <x v="0"/>
    <x v="0"/>
    <x v="0"/>
    <x v="0"/>
    <x v="0"/>
    <x v="0"/>
    <x v="0"/>
    <x v="0"/>
    <x v="0"/>
    <x v="0"/>
    <x v="1"/>
    <x v="0"/>
    <x v="2"/>
    <x v="0"/>
    <x v="0"/>
    <x v="2"/>
    <x v="2"/>
    <x v="2"/>
    <x v="2"/>
    <x v="0"/>
    <x v="0"/>
    <x v="0"/>
    <x v="0"/>
    <x v="0"/>
    <x v="0"/>
    <x v="0"/>
    <x v="0"/>
    <x v="0"/>
    <x v="0"/>
    <x v="0"/>
    <x v="0"/>
    <x v="0"/>
    <x v="0"/>
  </r>
  <r>
    <x v="2"/>
    <x v="9"/>
    <x v="3"/>
    <x v="14"/>
    <x v="2"/>
    <n v="29.972318610999999"/>
    <n v="-25.813367499999998"/>
    <s v="29° 58' 20.34&quot;E "/>
    <s v="25° 48' 48.12&quot; S"/>
    <s v="N/A"/>
    <m/>
    <s v="Yes"/>
    <m/>
    <s v="YES"/>
    <m/>
    <s v="NBC-GTW-CL-0002"/>
    <s v="Yes"/>
    <s v="00"/>
    <d v="2018-06-16T00:00:00"/>
    <s v="Phase 2"/>
    <s v="Year 1"/>
    <n v="30"/>
    <m/>
    <m/>
    <m/>
    <m/>
    <n v="37"/>
    <n v="0"/>
    <n v="5.55"/>
    <n v="30"/>
    <n v="30"/>
    <m/>
    <m/>
    <n v="24"/>
    <n v="52"/>
    <n v="30"/>
    <m/>
    <s v="Ref 888"/>
    <n v="23"/>
    <s v="Ref 617"/>
    <n v="38"/>
    <m/>
    <n v="14"/>
    <m/>
    <n v="20.3"/>
    <m/>
    <m/>
    <m/>
    <m/>
    <m/>
    <m/>
    <m/>
    <m/>
    <m/>
    <m/>
    <m/>
    <m/>
    <m/>
    <m/>
    <m/>
    <m/>
    <m/>
    <m/>
    <m/>
    <m/>
    <m/>
    <m/>
    <m/>
    <m/>
    <m/>
    <m/>
    <m/>
    <m/>
    <m/>
    <m/>
    <m/>
    <m/>
    <m/>
    <m/>
    <m/>
    <m/>
    <m/>
    <m/>
    <m/>
    <m/>
    <m/>
    <m/>
    <m/>
    <m/>
    <m/>
    <m/>
    <m/>
    <m/>
    <m/>
    <m/>
    <m/>
    <m/>
    <m/>
    <m/>
    <m/>
    <m/>
    <m/>
    <m/>
    <m/>
    <m/>
    <m/>
    <m/>
    <m/>
    <m/>
    <m/>
    <m/>
    <m/>
    <m/>
    <m/>
    <m/>
    <m/>
    <n v="150"/>
    <n v="0"/>
    <n v="0"/>
    <n v="0"/>
    <n v="0"/>
    <n v="3145"/>
    <n v="0"/>
    <n v="2775"/>
    <n v="150"/>
    <n v="300"/>
    <n v="0"/>
    <n v="48000"/>
    <n v="15600"/>
    <n v="540"/>
    <n v="0"/>
    <n v="1220"/>
    <n v="22295"/>
    <n v="0"/>
    <n v="0"/>
    <n v="0"/>
    <n v="0"/>
    <n v="0"/>
    <n v="0"/>
    <n v="0"/>
    <n v="0"/>
    <n v="0"/>
    <n v="0"/>
    <n v="0"/>
    <n v="0"/>
    <n v="0"/>
    <n v="0"/>
    <n v="0"/>
    <n v="0"/>
    <n v="0"/>
    <n v="0"/>
    <n v="0"/>
    <n v="0"/>
    <n v="0"/>
    <n v="0"/>
    <n v="0"/>
    <n v="0"/>
    <n v="0"/>
    <n v="0"/>
    <n v="0"/>
    <n v="0"/>
    <n v="0"/>
    <n v="0"/>
    <n v="0"/>
    <n v="0"/>
    <n v="0"/>
    <n v="0"/>
    <n v="0"/>
    <n v="0"/>
    <n v="0"/>
    <n v="0"/>
    <n v="0"/>
    <n v="0"/>
    <n v="0"/>
    <n v="94175"/>
    <n v="99825.5"/>
    <s v=" "/>
    <s v=" "/>
    <s v=" "/>
    <s v=" "/>
    <s v=" "/>
    <s v=" "/>
    <s v=" "/>
    <s v=" "/>
    <s v=" "/>
    <s v=" "/>
    <s v=" "/>
    <s v=" "/>
    <s v=" "/>
    <s v=" "/>
    <x v="8"/>
    <x v="0"/>
    <x v="0"/>
    <x v="0"/>
    <x v="0"/>
    <x v="8"/>
    <x v="0"/>
    <x v="3"/>
    <x v="8"/>
    <x v="11"/>
    <x v="1"/>
    <x v="1"/>
    <x v="4"/>
    <x v="5"/>
    <x v="3"/>
    <x v="0"/>
    <x v="7"/>
    <x v="3"/>
    <x v="0"/>
    <x v="3"/>
    <x v="0"/>
    <x v="6"/>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x v="2"/>
    <x v="10"/>
    <x v="0"/>
    <x v="15"/>
    <x v="2"/>
    <n v="29.971002777999999"/>
    <n v="-25.812310833000002"/>
    <s v="29° 58' 15.61&quot;E "/>
    <s v="25° 48' 44.31&quot; S"/>
    <s v="Complete"/>
    <s v="Yes"/>
    <s v="Yes"/>
    <d v="2017-05-30T00:00:00"/>
    <s v="NA"/>
    <s v="NA"/>
    <s v="No Drawing"/>
    <s v="Yes"/>
    <s v="00"/>
    <d v="2018-06-16T00:00:00"/>
    <s v="Phase 2"/>
    <s v="Year 1"/>
    <n v="1876.1431578898514"/>
    <n v="801.25656624999999"/>
    <n v="0"/>
    <n v="0"/>
    <n v="0"/>
    <n v="0"/>
    <n v="0"/>
    <n v="0"/>
    <n v="1876.1431578898514"/>
    <n v="1876.1431578898514"/>
    <n v="0"/>
    <n v="0"/>
    <n v="0"/>
    <n v="0"/>
    <n v="0"/>
    <n v="0"/>
    <n v="0"/>
    <n v="0"/>
    <n v="0"/>
    <n v="0"/>
    <n v="0"/>
    <n v="0"/>
    <n v="0"/>
    <n v="0"/>
    <n v="0"/>
    <m/>
    <n v="0"/>
    <m/>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n v="9380.7157894492575"/>
    <n v="40062.828312500002"/>
    <n v="0"/>
    <n v="0"/>
    <n v="0"/>
    <n v="0"/>
    <n v="0"/>
    <n v="0"/>
    <n v="9380.7157894492575"/>
    <n v="18761.431578898515"/>
    <n v="0"/>
    <n v="0"/>
    <n v="0"/>
    <n v="0"/>
    <n v="0"/>
    <n v="0"/>
    <n v="0"/>
    <n v="0"/>
    <n v="0"/>
    <n v="0"/>
    <n v="0"/>
    <n v="0"/>
    <n v="0"/>
    <n v="0"/>
    <n v="0"/>
    <n v="0"/>
    <n v="0"/>
    <n v="0"/>
    <n v="0"/>
    <n v="0"/>
    <n v="0"/>
    <n v="0"/>
    <n v="0"/>
    <n v="0"/>
    <n v="0"/>
    <n v="0"/>
    <n v="0"/>
    <n v="0"/>
    <n v="0"/>
    <n v="0"/>
    <n v="0"/>
    <n v="0"/>
    <n v="0"/>
    <n v="0"/>
    <n v="0"/>
    <n v="0"/>
    <n v="0"/>
    <n v="0"/>
    <n v="0"/>
    <n v="0"/>
    <n v="0"/>
    <n v="0"/>
    <n v="0"/>
    <n v="0"/>
    <n v="0"/>
    <n v="0"/>
    <n v="0"/>
    <n v="0"/>
    <n v="77585.691470297024"/>
    <n v="82240.832958514846"/>
    <s v=" "/>
    <s v=" "/>
    <s v=" "/>
    <s v=" "/>
    <s v=" "/>
    <s v=" "/>
    <s v=" "/>
    <s v=" "/>
    <s v=" "/>
    <s v=" "/>
    <s v=" "/>
    <s v=" "/>
    <s v=" "/>
    <s v=" "/>
    <x v="9"/>
    <x v="6"/>
    <x v="0"/>
    <x v="0"/>
    <x v="0"/>
    <x v="1"/>
    <x v="0"/>
    <x v="0"/>
    <x v="9"/>
    <x v="12"/>
    <x v="1"/>
    <x v="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x v="2"/>
    <x v="9"/>
    <x v="3"/>
    <x v="16"/>
    <x v="2"/>
    <n v="29.969593611000001"/>
    <n v="-25.809846666999999"/>
    <s v="29° 58' 10.53&quot;E "/>
    <s v="25° 48' 35.44&quot; S"/>
    <s v="Complete"/>
    <s v="Yes"/>
    <s v="Yes"/>
    <d v="2017-02-06T00:00:00"/>
    <s v="YES"/>
    <m/>
    <s v="NBC-GTW-CL-0003"/>
    <s v="Yes"/>
    <s v="00"/>
    <d v="2018-06-16T00:00:00"/>
    <s v="Phase 1"/>
    <s v="Year 1"/>
    <n v="21.76"/>
    <n v="0"/>
    <n v="0"/>
    <n v="0"/>
    <n v="0"/>
    <n v="36.611099999999993"/>
    <n v="0"/>
    <n v="5.4916649999999985"/>
    <n v="21.76"/>
    <n v="21.76"/>
    <n v="0"/>
    <n v="0"/>
    <n v="32.177999999999997"/>
    <n v="41.52"/>
    <n v="0"/>
    <n v="0"/>
    <s v="Ref 888"/>
    <n v="22.000799999999998"/>
    <s v="Ref 655"/>
    <n v="30.046399999999998"/>
    <n v="0"/>
    <n v="58.407005964995172"/>
    <n v="0"/>
    <n v="7.1999999999999993"/>
    <n v="0"/>
    <m/>
    <n v="0"/>
    <m/>
    <n v="0"/>
    <n v="7"/>
    <n v="7.8599999999999994"/>
    <n v="0"/>
    <n v="0"/>
    <n v="0"/>
    <n v="0"/>
    <n v="0"/>
    <n v="0"/>
    <n v="0"/>
    <n v="0"/>
    <n v="0"/>
    <n v="0"/>
    <n v="0"/>
    <n v="0"/>
    <n v="0"/>
    <n v="0"/>
    <n v="0"/>
    <n v="0"/>
    <n v="0"/>
    <n v="0"/>
    <n v="0"/>
    <n v="0"/>
    <n v="0"/>
    <n v="0"/>
    <n v="0"/>
    <n v="0"/>
    <n v="0"/>
    <n v="0"/>
    <n v="0"/>
    <n v="0"/>
    <n v="0"/>
    <n v="0"/>
    <n v="0"/>
    <n v="0"/>
    <n v="0"/>
    <n v="0"/>
    <n v="0"/>
    <n v="0"/>
    <n v="0"/>
    <n v="0"/>
    <n v="0"/>
    <n v="0"/>
    <n v="0"/>
    <n v="0"/>
    <n v="0"/>
    <m/>
    <m/>
    <m/>
    <m/>
    <m/>
    <m/>
    <m/>
    <m/>
    <m/>
    <m/>
    <m/>
    <m/>
    <m/>
    <m/>
    <m/>
    <m/>
    <m/>
    <m/>
    <m/>
    <m/>
    <m/>
    <n v="108.80000000000001"/>
    <n v="0"/>
    <n v="0"/>
    <n v="0"/>
    <n v="0"/>
    <n v="3111.9434999999994"/>
    <n v="0"/>
    <n v="2745.8324999999991"/>
    <n v="108.80000000000001"/>
    <n v="217.60000000000002"/>
    <n v="0"/>
    <n v="64355.999999999993"/>
    <n v="12456.000000000002"/>
    <n v="0"/>
    <n v="0"/>
    <n v="1040.944"/>
    <n v="42854.553877246864"/>
    <n v="235.79999999999998"/>
    <n v="0"/>
    <n v="0"/>
    <n v="0"/>
    <n v="0"/>
    <n v="0"/>
    <n v="0"/>
    <n v="0"/>
    <n v="0"/>
    <n v="0"/>
    <n v="0"/>
    <n v="0"/>
    <n v="0"/>
    <n v="0"/>
    <n v="0"/>
    <n v="0"/>
    <n v="0"/>
    <n v="0"/>
    <n v="0"/>
    <n v="0"/>
    <n v="0"/>
    <n v="0"/>
    <n v="0"/>
    <n v="0"/>
    <n v="0"/>
    <n v="0"/>
    <n v="0"/>
    <n v="0"/>
    <n v="0"/>
    <n v="0"/>
    <n v="0"/>
    <n v="0"/>
    <n v="0"/>
    <n v="0"/>
    <n v="0"/>
    <n v="0"/>
    <n v="0"/>
    <n v="0"/>
    <n v="0"/>
    <n v="0"/>
    <n v="0"/>
    <n v="127236.27387724687"/>
    <n v="134870.45030988168"/>
    <s v=" "/>
    <s v=" "/>
    <s v=" "/>
    <s v=" "/>
    <s v=" "/>
    <s v=" "/>
    <s v=" "/>
    <s v=" "/>
    <s v=" "/>
    <s v=" "/>
    <s v=" "/>
    <s v=" "/>
    <s v=" "/>
    <s v=" "/>
    <x v="10"/>
    <x v="0"/>
    <x v="0"/>
    <x v="0"/>
    <x v="0"/>
    <x v="9"/>
    <x v="0"/>
    <x v="4"/>
    <x v="10"/>
    <x v="13"/>
    <x v="1"/>
    <x v="1"/>
    <x v="5"/>
    <x v="6"/>
    <x v="0"/>
    <x v="0"/>
    <x v="8"/>
    <x v="4"/>
    <x v="0"/>
    <x v="4"/>
    <x v="0"/>
    <x v="7"/>
    <x v="0"/>
    <x v="0"/>
    <x v="0"/>
    <x v="0"/>
    <x v="0"/>
    <x v="3"/>
    <x v="5"/>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x v="2"/>
    <x v="9"/>
    <x v="3"/>
    <x v="17"/>
    <x v="2"/>
    <n v="29.969629722000001"/>
    <n v="-25.809215278"/>
    <s v="29° 58' 10.66&quot;E "/>
    <s v="25° 48' 33.17&quot; S"/>
    <s v="Complete"/>
    <s v="Yes"/>
    <s v="Yes"/>
    <d v="2017-02-06T00:00:00"/>
    <s v="YES"/>
    <m/>
    <s v="NBC-GTW-CL-0004"/>
    <s v="Yes"/>
    <s v="00"/>
    <d v="2018-06-16T00:00:00"/>
    <s v="Phase 1"/>
    <s v="Year 1"/>
    <n v="21.92"/>
    <n v="0"/>
    <n v="0"/>
    <n v="0"/>
    <n v="0"/>
    <n v="36.428620199999997"/>
    <n v="0"/>
    <n v="5.4642930299999994"/>
    <n v="21.92"/>
    <n v="21.92"/>
    <n v="0"/>
    <n v="0"/>
    <n v="30.305420480000002"/>
    <n v="35.8384"/>
    <n v="0"/>
    <n v="0"/>
    <s v="Ref 888"/>
    <n v="17.595592"/>
    <s v="Ref 655"/>
    <n v="24.347520000000003"/>
    <n v="0"/>
    <n v="58.150055671374432"/>
    <n v="0"/>
    <n v="5.58"/>
    <n v="0"/>
    <m/>
    <n v="0"/>
    <m/>
    <n v="0"/>
    <n v="6"/>
    <n v="7.26"/>
    <n v="0"/>
    <n v="0"/>
    <n v="0"/>
    <n v="0"/>
    <n v="0"/>
    <n v="0"/>
    <n v="0"/>
    <n v="0"/>
    <n v="0"/>
    <n v="0"/>
    <n v="0"/>
    <n v="0"/>
    <n v="0"/>
    <n v="0"/>
    <n v="0"/>
    <n v="0"/>
    <n v="0"/>
    <n v="0"/>
    <n v="0"/>
    <n v="0"/>
    <n v="0"/>
    <n v="0"/>
    <n v="0"/>
    <n v="0"/>
    <n v="0"/>
    <n v="0"/>
    <n v="0"/>
    <n v="0"/>
    <n v="0"/>
    <n v="0"/>
    <n v="0"/>
    <n v="0"/>
    <n v="0"/>
    <n v="0"/>
    <n v="0"/>
    <n v="0"/>
    <n v="0"/>
    <n v="0"/>
    <n v="0"/>
    <n v="0"/>
    <n v="0"/>
    <n v="0"/>
    <n v="0"/>
    <m/>
    <m/>
    <m/>
    <m/>
    <m/>
    <m/>
    <m/>
    <m/>
    <m/>
    <m/>
    <m/>
    <m/>
    <m/>
    <m/>
    <m/>
    <m/>
    <m/>
    <m/>
    <m/>
    <m/>
    <m/>
    <n v="109.60000000000001"/>
    <n v="0"/>
    <n v="0"/>
    <n v="0"/>
    <n v="0"/>
    <n v="3096.4327169999997"/>
    <n v="0"/>
    <n v="2732.1465149999999"/>
    <n v="109.60000000000001"/>
    <n v="219.20000000000002"/>
    <n v="0"/>
    <n v="60610.840960000001"/>
    <n v="10751.52"/>
    <n v="0"/>
    <n v="0"/>
    <n v="838.86223999999993"/>
    <n v="41604.536186393379"/>
    <n v="217.79999999999998"/>
    <n v="0"/>
    <n v="0"/>
    <n v="0"/>
    <n v="0"/>
    <n v="0"/>
    <n v="0"/>
    <n v="0"/>
    <n v="0"/>
    <n v="0"/>
    <n v="0"/>
    <n v="0"/>
    <n v="0"/>
    <n v="0"/>
    <n v="0"/>
    <n v="0"/>
    <n v="0"/>
    <n v="0"/>
    <n v="0"/>
    <n v="0"/>
    <n v="0"/>
    <n v="0"/>
    <n v="0"/>
    <n v="0"/>
    <n v="0"/>
    <n v="0"/>
    <n v="0"/>
    <n v="0"/>
    <n v="0"/>
    <n v="0"/>
    <n v="0"/>
    <n v="0"/>
    <n v="0"/>
    <n v="0"/>
    <n v="0"/>
    <n v="0"/>
    <n v="0"/>
    <n v="0"/>
    <n v="0"/>
    <n v="0"/>
    <n v="0"/>
    <n v="120290.53861839339"/>
    <n v="127507.970935497"/>
    <s v=" "/>
    <s v=" "/>
    <s v=" "/>
    <s v=" "/>
    <s v=" "/>
    <s v=" "/>
    <s v=" "/>
    <s v=" "/>
    <s v=" "/>
    <s v=" "/>
    <s v=" "/>
    <s v=" "/>
    <s v=" "/>
    <s v=" "/>
    <x v="11"/>
    <x v="0"/>
    <x v="0"/>
    <x v="0"/>
    <x v="0"/>
    <x v="10"/>
    <x v="0"/>
    <x v="5"/>
    <x v="11"/>
    <x v="14"/>
    <x v="1"/>
    <x v="1"/>
    <x v="6"/>
    <x v="7"/>
    <x v="0"/>
    <x v="0"/>
    <x v="9"/>
    <x v="5"/>
    <x v="0"/>
    <x v="5"/>
    <x v="0"/>
    <x v="8"/>
    <x v="0"/>
    <x v="0"/>
    <x v="0"/>
    <x v="0"/>
    <x v="0"/>
    <x v="4"/>
    <x v="6"/>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x v="2"/>
    <x v="9"/>
    <x v="3"/>
    <x v="18"/>
    <x v="2"/>
    <n v="29.969651943999999"/>
    <n v="-25.808685277999999"/>
    <s v="29° 58' 10.74&quot;E "/>
    <s v="25° 48' 31.26&quot; S"/>
    <s v="Complete"/>
    <s v="Yes"/>
    <s v="Yes"/>
    <d v="2017-02-06T00:00:00"/>
    <s v="YES"/>
    <m/>
    <s v="NBC-GTW-CL-0005"/>
    <s v="Yes"/>
    <s v="00"/>
    <d v="2018-06-16T00:00:00"/>
    <s v="Phase 1"/>
    <s v="Year 1"/>
    <n v="21.44"/>
    <n v="0"/>
    <n v="0"/>
    <n v="0"/>
    <n v="0"/>
    <n v="31.948974999999997"/>
    <n v="0"/>
    <n v="4.7923462499999996"/>
    <n v="21.44"/>
    <n v="21.44"/>
    <n v="0"/>
    <n v="0"/>
    <n v="16.51343"/>
    <n v="30.541999999999998"/>
    <n v="0"/>
    <n v="0"/>
    <s v="Ref 888"/>
    <n v="15.6462"/>
    <s v="Ref 617"/>
    <n v="21.466799999999996"/>
    <n v="0"/>
    <n v="30.985232105547801"/>
    <n v="0"/>
    <n v="2.25"/>
    <n v="0"/>
    <m/>
    <n v="0"/>
    <m/>
    <n v="0"/>
    <n v="5"/>
    <n v="7.08"/>
    <n v="0"/>
    <n v="0"/>
    <n v="0"/>
    <n v="14.728999999999997"/>
    <n v="0"/>
    <n v="0"/>
    <n v="0"/>
    <n v="0"/>
    <n v="0"/>
    <n v="0"/>
    <n v="0"/>
    <n v="0"/>
    <n v="0"/>
    <n v="0"/>
    <n v="0"/>
    <n v="0"/>
    <n v="0"/>
    <n v="0"/>
    <n v="0"/>
    <n v="0"/>
    <n v="0"/>
    <n v="0"/>
    <n v="0"/>
    <n v="0"/>
    <n v="0"/>
    <n v="0"/>
    <n v="0"/>
    <n v="0"/>
    <n v="0"/>
    <n v="0"/>
    <n v="0"/>
    <n v="0"/>
    <n v="0"/>
    <n v="0"/>
    <n v="0"/>
    <n v="0"/>
    <n v="0"/>
    <n v="0"/>
    <n v="0"/>
    <n v="0"/>
    <n v="0"/>
    <n v="0"/>
    <n v="0"/>
    <m/>
    <m/>
    <m/>
    <m/>
    <m/>
    <m/>
    <m/>
    <m/>
    <m/>
    <m/>
    <m/>
    <m/>
    <m/>
    <m/>
    <m/>
    <m/>
    <m/>
    <m/>
    <m/>
    <m/>
    <m/>
    <n v="107.2"/>
    <n v="0"/>
    <n v="0"/>
    <n v="0"/>
    <n v="0"/>
    <n v="2715.662875"/>
    <n v="0"/>
    <n v="2396.1731249999998"/>
    <n v="107.2"/>
    <n v="214.4"/>
    <n v="0"/>
    <n v="33026.86"/>
    <n v="9162.5999999999985"/>
    <n v="0"/>
    <n v="0"/>
    <n v="742.26"/>
    <n v="21752.90086860607"/>
    <n v="212.4"/>
    <n v="0"/>
    <n v="0"/>
    <n v="1767.4799999999998"/>
    <n v="0"/>
    <n v="0"/>
    <n v="0"/>
    <n v="0"/>
    <n v="0"/>
    <n v="0"/>
    <n v="0"/>
    <n v="0"/>
    <n v="0"/>
    <n v="0"/>
    <n v="0"/>
    <n v="0"/>
    <n v="0"/>
    <n v="0"/>
    <n v="0"/>
    <n v="0"/>
    <n v="0"/>
    <n v="0"/>
    <n v="0"/>
    <n v="0"/>
    <n v="0"/>
    <n v="0"/>
    <n v="0"/>
    <n v="0"/>
    <n v="0"/>
    <n v="0"/>
    <n v="0"/>
    <n v="0"/>
    <n v="0"/>
    <n v="0"/>
    <n v="0"/>
    <n v="0"/>
    <n v="0"/>
    <n v="0"/>
    <n v="0"/>
    <n v="0"/>
    <n v="0"/>
    <n v="72205.13686860606"/>
    <n v="76537.44508072242"/>
    <s v=" "/>
    <s v=" "/>
    <s v=" "/>
    <s v=" "/>
    <s v=" "/>
    <s v=" "/>
    <s v=" "/>
    <s v=" "/>
    <s v=" "/>
    <s v=" "/>
    <s v=" "/>
    <s v=" "/>
    <s v=" "/>
    <s v=" "/>
    <x v="12"/>
    <x v="0"/>
    <x v="0"/>
    <x v="0"/>
    <x v="0"/>
    <x v="11"/>
    <x v="0"/>
    <x v="6"/>
    <x v="12"/>
    <x v="15"/>
    <x v="1"/>
    <x v="1"/>
    <x v="7"/>
    <x v="8"/>
    <x v="0"/>
    <x v="0"/>
    <x v="10"/>
    <x v="6"/>
    <x v="0"/>
    <x v="6"/>
    <x v="0"/>
    <x v="9"/>
    <x v="0"/>
    <x v="0"/>
    <x v="0"/>
    <x v="0"/>
    <x v="0"/>
    <x v="5"/>
    <x v="7"/>
    <x v="0"/>
    <x v="0"/>
    <x v="0"/>
    <x v="5"/>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x v="2"/>
    <x v="9"/>
    <x v="3"/>
    <x v="19"/>
    <x v="2"/>
    <n v="29.969319722000002"/>
    <n v="-25.807899444"/>
    <s v="29° 58' 09.55&quot;E "/>
    <s v="25° 48' 28.43&quot; S"/>
    <s v="Complete"/>
    <s v="Yes"/>
    <s v="Yes"/>
    <d v="2017-02-06T00:00:00"/>
    <s v="YES"/>
    <m/>
    <s v="NBC-GTW-CL-0006"/>
    <s v="Yes"/>
    <s v="00"/>
    <d v="2018-06-16T00:00:00"/>
    <s v="Phase 1"/>
    <s v="Year 1"/>
    <n v="21.92"/>
    <n v="0"/>
    <n v="0"/>
    <n v="0"/>
    <n v="0"/>
    <n v="47.313325000000006"/>
    <n v="0"/>
    <n v="7.0969987500000009"/>
    <n v="21.92"/>
    <n v="21.92"/>
    <n v="0"/>
    <n v="0"/>
    <n v="20.100000000000001"/>
    <n v="33.160000000000004"/>
    <n v="0"/>
    <n v="0"/>
    <s v="Ref 888"/>
    <n v="16"/>
    <s v="Ref 655"/>
    <n v="23.414400000000001"/>
    <n v="0"/>
    <n v="38.926414318335929"/>
    <n v="0"/>
    <n v="3.15"/>
    <n v="0"/>
    <m/>
    <n v="0"/>
    <m/>
    <n v="0"/>
    <n v="5"/>
    <n v="7.35"/>
    <n v="0"/>
    <n v="0"/>
    <n v="0"/>
    <n v="25.978000000000002"/>
    <n v="0"/>
    <n v="0"/>
    <n v="0"/>
    <n v="0"/>
    <n v="0"/>
    <n v="0"/>
    <n v="0"/>
    <n v="0"/>
    <n v="0"/>
    <n v="0"/>
    <n v="0"/>
    <n v="0"/>
    <n v="0"/>
    <n v="0"/>
    <n v="0"/>
    <n v="0"/>
    <n v="0"/>
    <n v="0"/>
    <n v="0"/>
    <n v="0"/>
    <n v="0"/>
    <n v="0"/>
    <n v="0"/>
    <n v="0"/>
    <n v="0"/>
    <n v="0"/>
    <n v="0"/>
    <n v="0"/>
    <n v="0"/>
    <n v="0"/>
    <n v="0"/>
    <n v="0"/>
    <n v="0"/>
    <n v="0"/>
    <n v="0"/>
    <n v="0"/>
    <n v="0"/>
    <n v="0"/>
    <n v="0"/>
    <m/>
    <m/>
    <m/>
    <m/>
    <m/>
    <m/>
    <m/>
    <m/>
    <m/>
    <m/>
    <m/>
    <m/>
    <m/>
    <m/>
    <m/>
    <m/>
    <m/>
    <m/>
    <m/>
    <m/>
    <m/>
    <n v="109.60000000000001"/>
    <n v="0"/>
    <n v="0"/>
    <n v="0"/>
    <n v="0"/>
    <n v="4021.6326250000006"/>
    <n v="0"/>
    <n v="3548.4993750000003"/>
    <n v="109.60000000000001"/>
    <n v="219.20000000000002"/>
    <n v="0"/>
    <n v="40200"/>
    <n v="9948.0000000000018"/>
    <n v="0"/>
    <n v="0"/>
    <n v="788.28800000000001"/>
    <n v="27499.669306918353"/>
    <n v="220.5"/>
    <n v="0"/>
    <n v="0"/>
    <n v="3117.36"/>
    <n v="0"/>
    <n v="0"/>
    <n v="0"/>
    <n v="0"/>
    <n v="0"/>
    <n v="0"/>
    <n v="0"/>
    <n v="0"/>
    <n v="0"/>
    <n v="0"/>
    <n v="0"/>
    <n v="0"/>
    <n v="0"/>
    <n v="0"/>
    <n v="0"/>
    <n v="0"/>
    <n v="0"/>
    <n v="0"/>
    <n v="0"/>
    <n v="0"/>
    <n v="0"/>
    <n v="0"/>
    <n v="0"/>
    <n v="0"/>
    <n v="0"/>
    <n v="0"/>
    <n v="0"/>
    <n v="0"/>
    <n v="0"/>
    <n v="0"/>
    <n v="0"/>
    <n v="0"/>
    <n v="0"/>
    <n v="0"/>
    <n v="0"/>
    <n v="0"/>
    <n v="0"/>
    <n v="89782.349306918346"/>
    <n v="95169.290265333446"/>
    <s v=" "/>
    <s v=" "/>
    <s v=" "/>
    <s v=" "/>
    <s v=" "/>
    <s v=" "/>
    <s v=" "/>
    <s v=" "/>
    <s v=" "/>
    <s v=" "/>
    <s v=" "/>
    <s v=" "/>
    <s v=" "/>
    <s v=" "/>
    <x v="13"/>
    <x v="0"/>
    <x v="0"/>
    <x v="0"/>
    <x v="0"/>
    <x v="12"/>
    <x v="0"/>
    <x v="7"/>
    <x v="13"/>
    <x v="16"/>
    <x v="1"/>
    <x v="1"/>
    <x v="8"/>
    <x v="9"/>
    <x v="0"/>
    <x v="0"/>
    <x v="11"/>
    <x v="7"/>
    <x v="0"/>
    <x v="7"/>
    <x v="0"/>
    <x v="10"/>
    <x v="0"/>
    <x v="0"/>
    <x v="0"/>
    <x v="0"/>
    <x v="0"/>
    <x v="6"/>
    <x v="8"/>
    <x v="0"/>
    <x v="0"/>
    <x v="0"/>
    <x v="6"/>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x v="2"/>
    <x v="9"/>
    <x v="3"/>
    <x v="20"/>
    <x v="2"/>
    <n v="29.968745555999998"/>
    <n v="-25.807595833000001"/>
    <s v="29° 58' 07.48&quot;E "/>
    <s v="25° 48' 27.34&quot; S"/>
    <s v="Complete"/>
    <s v="Yes"/>
    <s v="Yes"/>
    <d v="2017-02-06T00:00:00"/>
    <s v="YES"/>
    <m/>
    <s v="NBC-GTW-CL-0007"/>
    <s v="Yes"/>
    <s v="00"/>
    <d v="2018-06-16T00:00:00"/>
    <s v="Phase 1"/>
    <s v="Year 1"/>
    <n v="21.44"/>
    <n v="0"/>
    <n v="0"/>
    <n v="0"/>
    <n v="0"/>
    <n v="33.214089999999999"/>
    <n v="0"/>
    <n v="4.9821134999999996"/>
    <n v="21.44"/>
    <n v="21.44"/>
    <n v="0"/>
    <n v="0"/>
    <n v="15.980680000000001"/>
    <n v="28.491999999999997"/>
    <n v="0"/>
    <n v="0"/>
    <s v="Ref 888"/>
    <n v="12.5"/>
    <s v="Ref 617"/>
    <n v="19.456799999999998"/>
    <n v="0"/>
    <n v="30.685690789532799"/>
    <n v="0"/>
    <n v="2"/>
    <n v="0"/>
    <m/>
    <n v="0"/>
    <m/>
    <n v="0"/>
    <n v="4"/>
    <n v="6.66"/>
    <n v="0"/>
    <n v="0"/>
    <n v="0"/>
    <n v="16.603199999999998"/>
    <n v="0"/>
    <n v="0"/>
    <n v="0"/>
    <n v="0"/>
    <n v="0"/>
    <n v="0"/>
    <n v="0"/>
    <n v="0"/>
    <n v="0"/>
    <n v="0"/>
    <n v="0"/>
    <n v="0"/>
    <n v="0"/>
    <n v="0"/>
    <n v="0"/>
    <n v="0"/>
    <n v="0"/>
    <n v="0"/>
    <n v="0"/>
    <n v="0"/>
    <n v="0"/>
    <n v="0"/>
    <n v="0"/>
    <n v="0"/>
    <n v="0"/>
    <n v="0"/>
    <n v="0"/>
    <n v="0"/>
    <n v="0"/>
    <n v="0"/>
    <n v="0"/>
    <n v="0"/>
    <n v="0"/>
    <n v="0"/>
    <n v="0"/>
    <n v="0"/>
    <n v="0"/>
    <n v="0"/>
    <n v="0"/>
    <m/>
    <m/>
    <m/>
    <m/>
    <m/>
    <m/>
    <m/>
    <m/>
    <m/>
    <m/>
    <m/>
    <m/>
    <m/>
    <m/>
    <m/>
    <m/>
    <m/>
    <m/>
    <m/>
    <m/>
    <m/>
    <n v="107.2"/>
    <n v="0"/>
    <n v="0"/>
    <n v="0"/>
    <n v="0"/>
    <n v="2823.1976500000001"/>
    <n v="0"/>
    <n v="2491.0567499999997"/>
    <n v="107.2"/>
    <n v="214.4"/>
    <n v="0"/>
    <n v="31961.360000000004"/>
    <n v="8547.5999999999985"/>
    <n v="0"/>
    <n v="0"/>
    <n v="639.13599999999997"/>
    <n v="21365.699013196321"/>
    <n v="199.8"/>
    <n v="0"/>
    <n v="0"/>
    <n v="1992.3839999999998"/>
    <n v="0"/>
    <n v="0"/>
    <n v="0"/>
    <n v="0"/>
    <n v="0"/>
    <n v="0"/>
    <n v="0"/>
    <n v="0"/>
    <n v="0"/>
    <n v="0"/>
    <n v="0"/>
    <n v="0"/>
    <n v="0"/>
    <n v="0"/>
    <n v="0"/>
    <n v="0"/>
    <n v="0"/>
    <n v="0"/>
    <n v="0"/>
    <n v="0"/>
    <n v="0"/>
    <n v="0"/>
    <n v="0"/>
    <n v="0"/>
    <n v="0"/>
    <n v="0"/>
    <n v="0"/>
    <n v="0"/>
    <n v="0"/>
    <n v="0"/>
    <n v="0"/>
    <n v="0"/>
    <n v="0"/>
    <n v="0"/>
    <n v="0"/>
    <n v="0"/>
    <n v="0"/>
    <n v="70449.033413196332"/>
    <n v="74675.975417988113"/>
    <s v=" "/>
    <s v=" "/>
    <s v=" "/>
    <s v=" "/>
    <s v=" "/>
    <s v=" "/>
    <s v=" "/>
    <s v=" "/>
    <s v=" "/>
    <s v=" "/>
    <s v=" "/>
    <s v=" "/>
    <s v=" "/>
    <s v=" "/>
    <x v="14"/>
    <x v="0"/>
    <x v="0"/>
    <x v="0"/>
    <x v="0"/>
    <x v="13"/>
    <x v="0"/>
    <x v="8"/>
    <x v="14"/>
    <x v="17"/>
    <x v="1"/>
    <x v="1"/>
    <x v="9"/>
    <x v="10"/>
    <x v="0"/>
    <x v="0"/>
    <x v="12"/>
    <x v="8"/>
    <x v="0"/>
    <x v="8"/>
    <x v="0"/>
    <x v="11"/>
    <x v="0"/>
    <x v="0"/>
    <x v="0"/>
    <x v="0"/>
    <x v="0"/>
    <x v="7"/>
    <x v="9"/>
    <x v="0"/>
    <x v="0"/>
    <x v="0"/>
    <x v="7"/>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x v="2"/>
    <x v="9"/>
    <x v="3"/>
    <x v="21"/>
    <x v="2"/>
    <n v="29.968314721999999"/>
    <n v="-25.807385556"/>
    <s v="29° 58' 05.93&quot;E "/>
    <s v="25° 48' 26.58&quot; S"/>
    <s v="Complete"/>
    <s v="Yes"/>
    <s v="Yes"/>
    <d v="2017-02-06T00:00:00"/>
    <s v="YES"/>
    <m/>
    <s v="NBC-GTW-CL-0008"/>
    <s v="Yes"/>
    <s v="00"/>
    <d v="2018-06-16T00:00:00"/>
    <s v="Phase 1"/>
    <s v="Year 1"/>
    <n v="21.44"/>
    <n v="0"/>
    <n v="0"/>
    <n v="0"/>
    <n v="0"/>
    <n v="21.461640000000003"/>
    <n v="0"/>
    <n v="3.2192460000000005"/>
    <n v="21.44"/>
    <n v="21.44"/>
    <n v="0"/>
    <n v="0"/>
    <n v="11"/>
    <n v="23.423999999999999"/>
    <n v="0"/>
    <n v="0"/>
    <s v="Ref 888"/>
    <n v="7.5"/>
    <s v="Ref 617"/>
    <n v="15.115199999999998"/>
    <n v="0"/>
    <n v="23.475241258295846"/>
    <n v="0"/>
    <n v="0.89999999999999991"/>
    <n v="0"/>
    <m/>
    <n v="0"/>
    <m/>
    <n v="0"/>
    <n v="3"/>
    <n v="6.36"/>
    <n v="0"/>
    <n v="0"/>
    <n v="0"/>
    <n v="8.985599999999998"/>
    <n v="0"/>
    <n v="0"/>
    <n v="0"/>
    <n v="0"/>
    <n v="0"/>
    <n v="0"/>
    <n v="0"/>
    <n v="0"/>
    <n v="0"/>
    <n v="0"/>
    <n v="0"/>
    <n v="0"/>
    <n v="0"/>
    <n v="0"/>
    <n v="0"/>
    <n v="0"/>
    <n v="0"/>
    <n v="0"/>
    <n v="0"/>
    <n v="0"/>
    <n v="0"/>
    <n v="0"/>
    <n v="0"/>
    <n v="0"/>
    <n v="0"/>
    <n v="0"/>
    <n v="0"/>
    <n v="0"/>
    <n v="0"/>
    <n v="0"/>
    <n v="0"/>
    <n v="0"/>
    <n v="0"/>
    <n v="0"/>
    <n v="0"/>
    <n v="0"/>
    <n v="0"/>
    <n v="0"/>
    <n v="0"/>
    <m/>
    <m/>
    <m/>
    <m/>
    <m/>
    <m/>
    <m/>
    <m/>
    <m/>
    <m/>
    <m/>
    <m/>
    <m/>
    <m/>
    <m/>
    <m/>
    <m/>
    <m/>
    <m/>
    <m/>
    <m/>
    <n v="107.2"/>
    <n v="0"/>
    <n v="0"/>
    <n v="0"/>
    <n v="0"/>
    <n v="1824.2394000000002"/>
    <n v="0"/>
    <n v="1609.6230000000003"/>
    <n v="107.2"/>
    <n v="214.4"/>
    <n v="0"/>
    <n v="22000"/>
    <n v="7027.2"/>
    <n v="0"/>
    <n v="0"/>
    <n v="452.30399999999997"/>
    <n v="15933.906817892299"/>
    <n v="190.8"/>
    <n v="0"/>
    <n v="0"/>
    <n v="1078.2719999999997"/>
    <n v="0"/>
    <n v="0"/>
    <n v="0"/>
    <n v="0"/>
    <n v="0"/>
    <n v="0"/>
    <n v="0"/>
    <n v="0"/>
    <n v="0"/>
    <n v="0"/>
    <n v="0"/>
    <n v="0"/>
    <n v="0"/>
    <n v="0"/>
    <n v="0"/>
    <n v="0"/>
    <n v="0"/>
    <n v="0"/>
    <n v="0"/>
    <n v="0"/>
    <n v="0"/>
    <n v="0"/>
    <n v="0"/>
    <n v="0"/>
    <n v="0"/>
    <n v="0"/>
    <n v="0"/>
    <n v="0"/>
    <n v="0"/>
    <n v="0"/>
    <n v="0"/>
    <n v="0"/>
    <n v="0"/>
    <n v="0"/>
    <n v="0"/>
    <n v="0"/>
    <n v="0"/>
    <n v="50545.145217892292"/>
    <n v="53577.85393096583"/>
    <s v=" "/>
    <s v=" "/>
    <s v=" "/>
    <s v=" "/>
    <s v=" "/>
    <s v=" "/>
    <s v=" "/>
    <s v=" "/>
    <s v=" "/>
    <s v=" "/>
    <s v=" "/>
    <s v=" "/>
    <s v=" "/>
    <s v=" "/>
    <x v="15"/>
    <x v="0"/>
    <x v="0"/>
    <x v="0"/>
    <x v="0"/>
    <x v="14"/>
    <x v="0"/>
    <x v="9"/>
    <x v="15"/>
    <x v="18"/>
    <x v="1"/>
    <x v="1"/>
    <x v="10"/>
    <x v="11"/>
    <x v="0"/>
    <x v="0"/>
    <x v="13"/>
    <x v="9"/>
    <x v="0"/>
    <x v="9"/>
    <x v="0"/>
    <x v="12"/>
    <x v="0"/>
    <x v="0"/>
    <x v="0"/>
    <x v="0"/>
    <x v="0"/>
    <x v="8"/>
    <x v="10"/>
    <x v="0"/>
    <x v="0"/>
    <x v="0"/>
    <x v="8"/>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x v="2"/>
    <x v="11"/>
    <x v="0"/>
    <x v="22"/>
    <x v="2"/>
    <n v="29.965773056"/>
    <n v="-25.8051125"/>
    <s v="29° 57' 56.78&quot;E "/>
    <s v="25° 48' 18.40&quot; S"/>
    <s v="Complete"/>
    <s v="Yes"/>
    <s v="Yes"/>
    <d v="2017-05-30T00:00:00"/>
    <s v="NA"/>
    <s v="NA"/>
    <s v="No Drawing"/>
    <s v="Yes"/>
    <s v="00"/>
    <d v="2018-06-16T00:00:00"/>
    <s v="Phase 1"/>
    <s v="Year 1"/>
    <n v="619.18547990530158"/>
    <n v="211.894375"/>
    <n v="0"/>
    <n v="0"/>
    <n v="0"/>
    <n v="0"/>
    <n v="0"/>
    <n v="0"/>
    <n v="619.18547990530158"/>
    <n v="619.18547990530158"/>
    <n v="0"/>
    <n v="0"/>
    <n v="0"/>
    <n v="0"/>
    <n v="0"/>
    <n v="0"/>
    <n v="0"/>
    <n v="0"/>
    <n v="0"/>
    <n v="0"/>
    <n v="0"/>
    <n v="0"/>
    <n v="0"/>
    <n v="0"/>
    <n v="0"/>
    <m/>
    <n v="0"/>
    <m/>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n v="3095.927399526508"/>
    <n v="10594.71875"/>
    <n v="0"/>
    <n v="0"/>
    <n v="0"/>
    <n v="0"/>
    <n v="0"/>
    <n v="0"/>
    <n v="3095.927399526508"/>
    <n v="6191.854799053016"/>
    <n v="0"/>
    <n v="0"/>
    <n v="0"/>
    <n v="0"/>
    <n v="0"/>
    <n v="0"/>
    <n v="0"/>
    <n v="0"/>
    <n v="0"/>
    <n v="0"/>
    <n v="0"/>
    <n v="0"/>
    <n v="0"/>
    <n v="0"/>
    <n v="0"/>
    <n v="0"/>
    <n v="0"/>
    <n v="0"/>
    <n v="0"/>
    <n v="0"/>
    <n v="0"/>
    <n v="0"/>
    <n v="0"/>
    <n v="0"/>
    <n v="0"/>
    <n v="0"/>
    <n v="0"/>
    <n v="0"/>
    <n v="0"/>
    <n v="0"/>
    <n v="0"/>
    <n v="0"/>
    <n v="0"/>
    <n v="0"/>
    <n v="0"/>
    <n v="0"/>
    <n v="0"/>
    <n v="0"/>
    <n v="0"/>
    <n v="0"/>
    <n v="0"/>
    <n v="0"/>
    <n v="0"/>
    <n v="0"/>
    <n v="0"/>
    <n v="0"/>
    <n v="0"/>
    <n v="0"/>
    <n v="22978.428348106034"/>
    <n v="24357.134048992397"/>
    <s v=" "/>
    <s v=" "/>
    <s v=" "/>
    <s v=" "/>
    <s v=" "/>
    <s v=" "/>
    <s v=" "/>
    <s v=" "/>
    <s v=" "/>
    <s v=" "/>
    <s v=" "/>
    <s v=" "/>
    <s v=" "/>
    <s v=" "/>
    <x v="16"/>
    <x v="7"/>
    <x v="0"/>
    <x v="0"/>
    <x v="0"/>
    <x v="1"/>
    <x v="0"/>
    <x v="0"/>
    <x v="16"/>
    <x v="19"/>
    <x v="1"/>
    <x v="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x v="3"/>
    <x v="12"/>
    <x v="7"/>
    <x v="23"/>
    <x v="3"/>
    <n v="29.978719999999999"/>
    <n v="-25.818548056000001"/>
    <s v="29° 58' 43.39&quot;E "/>
    <s v="25° 49' 06.77&quot; S"/>
    <s v="Complete"/>
    <s v="Yes"/>
    <s v="Yes"/>
    <d v="2017-04-21T00:00:00"/>
    <s v="NA"/>
    <s v="NA"/>
    <s v="No Drawing"/>
    <s v="Yes"/>
    <s v="00"/>
    <d v="2018-06-16T00:00:00"/>
    <s v="Phase 1"/>
    <s v="Year 1"/>
    <n v="1148.9399859945058"/>
    <n v="0"/>
    <n v="0"/>
    <n v="0"/>
    <n v="0"/>
    <n v="0"/>
    <n v="0"/>
    <n v="0"/>
    <n v="1148.9399859945058"/>
    <n v="0"/>
    <n v="0"/>
    <n v="0"/>
    <n v="0"/>
    <n v="0"/>
    <n v="0"/>
    <n v="0"/>
    <n v="0"/>
    <n v="0"/>
    <n v="0"/>
    <n v="0"/>
    <n v="0"/>
    <n v="0"/>
    <n v="0"/>
    <n v="0"/>
    <n v="0"/>
    <m/>
    <n v="0"/>
    <m/>
    <n v="0"/>
    <n v="0"/>
    <n v="0"/>
    <n v="0"/>
    <n v="0"/>
    <n v="0"/>
    <n v="215"/>
    <n v="0"/>
    <n v="0"/>
    <n v="0"/>
    <n v="0"/>
    <n v="0"/>
    <n v="0"/>
    <n v="0"/>
    <n v="0"/>
    <n v="0"/>
    <n v="0"/>
    <n v="0"/>
    <n v="0"/>
    <n v="0"/>
    <n v="0"/>
    <n v="0"/>
    <n v="0"/>
    <n v="0"/>
    <n v="0"/>
    <n v="0"/>
    <n v="0"/>
    <n v="0"/>
    <n v="0"/>
    <n v="0"/>
    <n v="0"/>
    <n v="0"/>
    <n v="0"/>
    <n v="0"/>
    <n v="0"/>
    <n v="0"/>
    <n v="0"/>
    <n v="0"/>
    <n v="0"/>
    <n v="0"/>
    <n v="0"/>
    <n v="0"/>
    <n v="0"/>
    <n v="0"/>
    <n v="0"/>
    <n v="0"/>
    <n v="0"/>
    <n v="0"/>
    <n v="0"/>
    <n v="0"/>
    <n v="0"/>
    <n v="0"/>
    <n v="0"/>
    <n v="0"/>
    <n v="0"/>
    <n v="0"/>
    <n v="0"/>
    <n v="0"/>
    <m/>
    <m/>
    <m/>
    <m/>
    <m/>
    <m/>
    <m/>
    <m/>
    <m/>
    <n v="5744.6999299725294"/>
    <n v="0"/>
    <n v="0"/>
    <n v="0"/>
    <n v="0"/>
    <n v="0"/>
    <n v="0"/>
    <n v="0"/>
    <n v="5744.6999299725294"/>
    <n v="0"/>
    <n v="0"/>
    <n v="0"/>
    <n v="0"/>
    <n v="0"/>
    <n v="0"/>
    <n v="0"/>
    <n v="0"/>
    <n v="0"/>
    <n v="0"/>
    <n v="0"/>
    <n v="25800"/>
    <n v="0"/>
    <n v="0"/>
    <n v="0"/>
    <n v="0"/>
    <n v="0"/>
    <n v="0"/>
    <n v="0"/>
    <n v="0"/>
    <n v="0"/>
    <n v="0"/>
    <n v="0"/>
    <n v="0"/>
    <n v="0"/>
    <n v="0"/>
    <n v="0"/>
    <n v="0"/>
    <n v="0"/>
    <n v="0"/>
    <n v="0"/>
    <n v="0"/>
    <n v="0"/>
    <n v="0"/>
    <n v="0"/>
    <n v="0"/>
    <n v="0"/>
    <n v="0"/>
    <n v="0"/>
    <n v="0"/>
    <n v="0"/>
    <n v="0"/>
    <n v="0"/>
    <n v="0"/>
    <n v="0"/>
    <n v="0"/>
    <n v="0"/>
    <n v="0"/>
    <n v="0"/>
    <n v="37289.399859945057"/>
    <n v="39526.763851541764"/>
    <s v=" "/>
    <s v=" "/>
    <s v=" "/>
    <s v=" "/>
    <s v=" "/>
    <s v=" "/>
    <s v=" "/>
    <s v=" "/>
    <s v=" "/>
    <s v=" "/>
    <s v=" "/>
    <s v=" "/>
    <s v=" "/>
    <s v=" "/>
    <x v="17"/>
    <x v="0"/>
    <x v="0"/>
    <x v="0"/>
    <x v="0"/>
    <x v="1"/>
    <x v="0"/>
    <x v="0"/>
    <x v="17"/>
    <x v="4"/>
    <x v="1"/>
    <x v="1"/>
    <x v="0"/>
    <x v="0"/>
    <x v="0"/>
    <x v="0"/>
    <x v="0"/>
    <x v="0"/>
    <x v="0"/>
    <x v="0"/>
    <x v="0"/>
    <x v="0"/>
    <x v="0"/>
    <x v="0"/>
    <x v="0"/>
    <x v="0"/>
    <x v="0"/>
    <x v="0"/>
    <x v="0"/>
    <x v="0"/>
    <x v="0"/>
    <x v="0"/>
    <x v="9"/>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x v="3"/>
    <x v="12"/>
    <x v="7"/>
    <x v="24"/>
    <x v="3"/>
    <n v="29.978751388999999"/>
    <n v="-25.818117778000001"/>
    <s v="29° 58' 43.50&quot;E "/>
    <s v="25° 49' 05.22&quot; S"/>
    <s v="Complete"/>
    <s v="Yes"/>
    <s v="Yes"/>
    <d v="2017-04-25T00:00:00"/>
    <s v="NA"/>
    <s v="NA"/>
    <s v="No Drawing"/>
    <s v="Yes"/>
    <s v="00"/>
    <d v="2018-06-16T00:00:00"/>
    <s v="Phase 1"/>
    <s v="Year 1"/>
    <n v="85.81665382639197"/>
    <n v="0"/>
    <n v="0"/>
    <n v="0"/>
    <n v="0"/>
    <n v="0"/>
    <n v="0"/>
    <n v="0"/>
    <n v="85.81665382639197"/>
    <n v="0"/>
    <n v="0"/>
    <n v="0"/>
    <n v="0"/>
    <n v="0"/>
    <n v="0"/>
    <n v="0"/>
    <n v="0"/>
    <n v="0"/>
    <n v="0"/>
    <n v="0"/>
    <n v="0"/>
    <n v="0"/>
    <n v="0"/>
    <n v="0"/>
    <n v="0"/>
    <m/>
    <n v="0"/>
    <m/>
    <n v="0"/>
    <n v="0"/>
    <n v="0"/>
    <n v="0"/>
    <n v="0"/>
    <n v="0"/>
    <n v="15"/>
    <n v="0"/>
    <n v="0"/>
    <n v="0"/>
    <n v="0"/>
    <n v="0"/>
    <n v="0"/>
    <n v="0"/>
    <n v="0"/>
    <n v="0"/>
    <n v="0"/>
    <n v="0"/>
    <n v="0"/>
    <n v="0"/>
    <n v="0"/>
    <n v="0"/>
    <n v="0"/>
    <n v="0"/>
    <n v="0"/>
    <n v="0"/>
    <n v="0"/>
    <n v="0"/>
    <n v="0"/>
    <n v="0"/>
    <n v="0"/>
    <n v="0"/>
    <n v="0"/>
    <n v="0"/>
    <n v="0"/>
    <n v="0"/>
    <n v="0"/>
    <n v="0"/>
    <n v="0"/>
    <n v="0"/>
    <n v="0"/>
    <n v="0"/>
    <n v="0"/>
    <n v="0"/>
    <n v="0"/>
    <n v="0"/>
    <n v="0"/>
    <n v="0"/>
    <n v="0"/>
    <n v="0"/>
    <n v="0"/>
    <n v="0"/>
    <n v="0"/>
    <n v="0"/>
    <n v="0"/>
    <n v="0"/>
    <n v="0"/>
    <n v="0"/>
    <m/>
    <m/>
    <m/>
    <m/>
    <m/>
    <m/>
    <m/>
    <m/>
    <m/>
    <n v="429.08326913195987"/>
    <n v="0"/>
    <n v="0"/>
    <n v="0"/>
    <n v="0"/>
    <n v="0"/>
    <n v="0"/>
    <n v="0"/>
    <n v="429.08326913195987"/>
    <n v="0"/>
    <n v="0"/>
    <n v="0"/>
    <n v="0"/>
    <n v="0"/>
    <n v="0"/>
    <n v="0"/>
    <n v="0"/>
    <n v="0"/>
    <n v="0"/>
    <n v="0"/>
    <n v="1800"/>
    <n v="0"/>
    <n v="0"/>
    <n v="0"/>
    <n v="0"/>
    <n v="0"/>
    <n v="0"/>
    <n v="0"/>
    <n v="0"/>
    <n v="0"/>
    <n v="0"/>
    <n v="0"/>
    <n v="0"/>
    <n v="0"/>
    <n v="0"/>
    <n v="0"/>
    <n v="0"/>
    <n v="0"/>
    <n v="0"/>
    <n v="0"/>
    <n v="0"/>
    <n v="0"/>
    <n v="0"/>
    <n v="0"/>
    <n v="0"/>
    <n v="0"/>
    <n v="0"/>
    <n v="0"/>
    <n v="0"/>
    <n v="0"/>
    <n v="0"/>
    <n v="0"/>
    <n v="0"/>
    <n v="0"/>
    <n v="0"/>
    <n v="0"/>
    <n v="0"/>
    <n v="0"/>
    <n v="2658.1665382639198"/>
    <n v="2817.6565305597551"/>
    <s v=" "/>
    <s v=" "/>
    <s v=" "/>
    <s v=" "/>
    <s v=" "/>
    <s v=" "/>
    <s v=" "/>
    <s v=" "/>
    <s v=" "/>
    <s v=" "/>
    <s v=" "/>
    <s v=" "/>
    <s v=" "/>
    <s v=" "/>
    <x v="18"/>
    <x v="0"/>
    <x v="0"/>
    <x v="0"/>
    <x v="0"/>
    <x v="1"/>
    <x v="0"/>
    <x v="0"/>
    <x v="18"/>
    <x v="4"/>
    <x v="1"/>
    <x v="1"/>
    <x v="0"/>
    <x v="0"/>
    <x v="0"/>
    <x v="0"/>
    <x v="0"/>
    <x v="0"/>
    <x v="0"/>
    <x v="0"/>
    <x v="0"/>
    <x v="0"/>
    <x v="0"/>
    <x v="0"/>
    <x v="0"/>
    <x v="0"/>
    <x v="0"/>
    <x v="0"/>
    <x v="0"/>
    <x v="0"/>
    <x v="0"/>
    <x v="0"/>
    <x v="1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x v="3"/>
    <x v="9"/>
    <x v="3"/>
    <x v="25"/>
    <x v="3"/>
    <n v="29.978856110999999"/>
    <n v="-25.817962221999998"/>
    <s v="29° 58' 43.88&quot;E "/>
    <s v="25° 49' 04.66&quot; S"/>
    <s v="Complete"/>
    <s v="Yes"/>
    <s v="Yes"/>
    <d v="2017-02-01T00:00:00"/>
    <s v="YES"/>
    <d v="2017-02-01T00:00:00"/>
    <s v="NBC-GTW-CL-0009"/>
    <s v="Yes"/>
    <s v="00"/>
    <d v="2018-06-16T00:00:00"/>
    <s v="Phase 1"/>
    <s v="Year 1"/>
    <n v="23.200000000000003"/>
    <n v="0"/>
    <n v="0"/>
    <n v="0"/>
    <n v="0"/>
    <n v="44.032499999999992"/>
    <n v="4.403249999999999"/>
    <n v="2.2016249999999995"/>
    <n v="23.200000000000003"/>
    <n v="23.200000000000003"/>
    <n v="0"/>
    <n v="0"/>
    <n v="27.726599999999998"/>
    <n v="43.7"/>
    <n v="0"/>
    <n v="0"/>
    <s v="Ref 888"/>
    <n v="21.558920000000001"/>
    <s v="Ref 655"/>
    <n v="35.522399999999998"/>
    <n v="0"/>
    <n v="49.822834066672044"/>
    <n v="0"/>
    <n v="16.509999999999998"/>
    <n v="0"/>
    <m/>
    <n v="0"/>
    <m/>
    <n v="0"/>
    <n v="8"/>
    <n v="8.3150000000000013"/>
    <n v="0"/>
    <n v="0"/>
    <n v="0"/>
    <n v="12.734999999999999"/>
    <n v="0"/>
    <n v="0"/>
    <n v="0"/>
    <n v="0"/>
    <n v="0"/>
    <n v="0"/>
    <n v="0"/>
    <n v="0"/>
    <n v="0"/>
    <n v="0"/>
    <n v="0"/>
    <n v="0"/>
    <n v="0"/>
    <n v="0"/>
    <n v="0"/>
    <n v="0"/>
    <n v="0"/>
    <n v="0"/>
    <n v="0"/>
    <n v="0"/>
    <n v="0"/>
    <n v="0"/>
    <n v="0"/>
    <n v="0"/>
    <n v="0"/>
    <n v="0"/>
    <n v="0"/>
    <n v="0"/>
    <n v="0"/>
    <n v="0"/>
    <n v="0"/>
    <n v="0"/>
    <n v="0"/>
    <n v="0"/>
    <n v="0"/>
    <n v="0"/>
    <n v="0"/>
    <n v="0"/>
    <n v="0"/>
    <m/>
    <m/>
    <m/>
    <m/>
    <m/>
    <m/>
    <m/>
    <m/>
    <m/>
    <m/>
    <m/>
    <m/>
    <m/>
    <m/>
    <m/>
    <m/>
    <m/>
    <m/>
    <m/>
    <m/>
    <m/>
    <n v="116.00000000000001"/>
    <n v="0"/>
    <n v="0"/>
    <n v="0"/>
    <n v="0"/>
    <n v="3742.7624999999994"/>
    <n v="550.40624999999989"/>
    <n v="1100.8124999999998"/>
    <n v="116.00000000000001"/>
    <n v="232.00000000000003"/>
    <n v="0"/>
    <n v="55453.2"/>
    <n v="13110"/>
    <n v="0"/>
    <n v="0"/>
    <n v="1141.6263999999999"/>
    <n v="43356.342143336828"/>
    <n v="249.45000000000005"/>
    <n v="0"/>
    <n v="0"/>
    <n v="1528.1999999999998"/>
    <n v="0"/>
    <n v="0"/>
    <n v="0"/>
    <n v="0"/>
    <n v="0"/>
    <n v="0"/>
    <n v="0"/>
    <n v="0"/>
    <n v="0"/>
    <n v="0"/>
    <n v="0"/>
    <n v="0"/>
    <n v="0"/>
    <n v="0"/>
    <n v="0"/>
    <n v="0"/>
    <n v="0"/>
    <n v="0"/>
    <n v="0"/>
    <n v="0"/>
    <n v="0"/>
    <n v="0"/>
    <n v="0"/>
    <n v="0"/>
    <n v="0"/>
    <n v="0"/>
    <n v="0"/>
    <n v="0"/>
    <n v="0"/>
    <n v="0"/>
    <n v="0"/>
    <n v="0"/>
    <n v="0"/>
    <n v="0"/>
    <n v="0"/>
    <n v="0"/>
    <n v="0"/>
    <n v="120696.7997933368"/>
    <n v="127938.60778093702"/>
    <s v=" "/>
    <s v=" "/>
    <s v=" "/>
    <s v=" "/>
    <s v=" "/>
    <s v=" "/>
    <s v=" "/>
    <s v=" "/>
    <s v=" "/>
    <s v=" "/>
    <s v=" "/>
    <s v=" "/>
    <s v=" "/>
    <s v=" "/>
    <x v="19"/>
    <x v="0"/>
    <x v="0"/>
    <x v="0"/>
    <x v="0"/>
    <x v="15"/>
    <x v="3"/>
    <x v="10"/>
    <x v="19"/>
    <x v="20"/>
    <x v="1"/>
    <x v="1"/>
    <x v="11"/>
    <x v="12"/>
    <x v="0"/>
    <x v="0"/>
    <x v="14"/>
    <x v="10"/>
    <x v="0"/>
    <x v="10"/>
    <x v="0"/>
    <x v="13"/>
    <x v="0"/>
    <x v="0"/>
    <x v="0"/>
    <x v="0"/>
    <x v="0"/>
    <x v="9"/>
    <x v="11"/>
    <x v="0"/>
    <x v="0"/>
    <x v="0"/>
    <x v="1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x v="3"/>
    <x v="13"/>
    <x v="8"/>
    <x v="26"/>
    <x v="3"/>
    <n v="29.978485555999999"/>
    <n v="-25.817717221999999"/>
    <s v="29° 58' 42.54&quot;E "/>
    <s v="25° 49' 03.78&quot; S"/>
    <s v="Complete"/>
    <s v="Yes"/>
    <s v="Yes"/>
    <d v="2017-01-23T00:00:00"/>
    <s v="YES"/>
    <d v="2017-01-23T00:00:00"/>
    <s v="NBC-GTW-CL-0010"/>
    <s v="Yes"/>
    <s v="01"/>
    <d v="2018-12-07T00:00:00"/>
    <s v="Phase 1"/>
    <s v="Year 1"/>
    <m/>
    <n v="0"/>
    <n v="0"/>
    <n v="0"/>
    <n v="0"/>
    <n v="5.3219999999999992"/>
    <m/>
    <m/>
    <m/>
    <m/>
    <m/>
    <m/>
    <n v="5.3219999999999992"/>
    <m/>
    <m/>
    <m/>
    <m/>
    <m/>
    <m/>
    <m/>
    <m/>
    <m/>
    <m/>
    <m/>
    <m/>
    <m/>
    <m/>
    <m/>
    <m/>
    <m/>
    <n v="3.9"/>
    <m/>
    <m/>
    <m/>
    <m/>
    <n v="0"/>
    <n v="0"/>
    <n v="0"/>
    <n v="0"/>
    <n v="0"/>
    <n v="0"/>
    <n v="0"/>
    <n v="0"/>
    <n v="0"/>
    <n v="0"/>
    <n v="0"/>
    <n v="0"/>
    <n v="0"/>
    <n v="0"/>
    <n v="0"/>
    <n v="0"/>
    <n v="0"/>
    <n v="0"/>
    <n v="0"/>
    <n v="0"/>
    <n v="0"/>
    <n v="0"/>
    <n v="0"/>
    <n v="0"/>
    <n v="0"/>
    <n v="0"/>
    <n v="0"/>
    <n v="0"/>
    <n v="0"/>
    <n v="0"/>
    <n v="0"/>
    <n v="0"/>
    <n v="0"/>
    <n v="0"/>
    <n v="0"/>
    <n v="0"/>
    <n v="0"/>
    <n v="0"/>
    <n v="0"/>
    <m/>
    <m/>
    <m/>
    <m/>
    <m/>
    <m/>
    <m/>
    <m/>
    <m/>
    <m/>
    <m/>
    <m/>
    <m/>
    <m/>
    <m/>
    <m/>
    <m/>
    <m/>
    <m/>
    <m/>
    <m/>
    <n v="0"/>
    <n v="0"/>
    <n v="0"/>
    <n v="0"/>
    <n v="0"/>
    <n v="452.36999999999995"/>
    <n v="0"/>
    <n v="0"/>
    <n v="0"/>
    <n v="0"/>
    <n v="0"/>
    <n v="10643.999999999998"/>
    <n v="0"/>
    <n v="0"/>
    <n v="0"/>
    <n v="0"/>
    <n v="0"/>
    <n v="117"/>
    <n v="0"/>
    <n v="0"/>
    <n v="0"/>
    <n v="0"/>
    <n v="0"/>
    <n v="0"/>
    <n v="0"/>
    <n v="0"/>
    <n v="0"/>
    <n v="0"/>
    <n v="0"/>
    <n v="0"/>
    <n v="0"/>
    <n v="0"/>
    <n v="0"/>
    <n v="0"/>
    <n v="0"/>
    <n v="0"/>
    <n v="0"/>
    <n v="0"/>
    <n v="0"/>
    <n v="0"/>
    <n v="0"/>
    <n v="0"/>
    <n v="0"/>
    <n v="0"/>
    <n v="0"/>
    <n v="0"/>
    <n v="0"/>
    <n v="0"/>
    <n v="0"/>
    <n v="0"/>
    <n v="0"/>
    <n v="0"/>
    <n v="0"/>
    <n v="0"/>
    <n v="0"/>
    <n v="0"/>
    <n v="0"/>
    <n v="0"/>
    <n v="11213.369999999999"/>
    <n v="11886.172199999999"/>
    <s v=" "/>
    <s v=" "/>
    <s v=" "/>
    <s v=" "/>
    <s v=" "/>
    <s v=" "/>
    <s v=" "/>
    <s v=" "/>
    <s v=" "/>
    <s v=" "/>
    <s v=" "/>
    <s v=" "/>
    <s v=" "/>
    <s v=" "/>
    <x v="0"/>
    <x v="0"/>
    <x v="0"/>
    <x v="0"/>
    <x v="0"/>
    <x v="16"/>
    <x v="0"/>
    <x v="0"/>
    <x v="0"/>
    <x v="4"/>
    <x v="1"/>
    <x v="1"/>
    <x v="12"/>
    <x v="0"/>
    <x v="0"/>
    <x v="0"/>
    <x v="0"/>
    <x v="0"/>
    <x v="0"/>
    <x v="0"/>
    <x v="0"/>
    <x v="0"/>
    <x v="0"/>
    <x v="0"/>
    <x v="0"/>
    <x v="0"/>
    <x v="0"/>
    <x v="0"/>
    <x v="12"/>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x v="3"/>
    <x v="13"/>
    <x v="8"/>
    <x v="27"/>
    <x v="3"/>
    <n v="29.978326111000001"/>
    <n v="-25.817525278000002"/>
    <s v="29° 58' 41.97&quot;E "/>
    <s v="25° 49' 03.09&quot; S"/>
    <s v="Complete"/>
    <s v="Yes"/>
    <s v="Yes"/>
    <d v="2017-01-23T00:00:00"/>
    <s v="YES"/>
    <d v="2017-01-23T00:00:00"/>
    <s v="NBC-GTW-CL-0011"/>
    <s v="Yes"/>
    <s v="01"/>
    <d v="2018-12-07T00:00:00"/>
    <s v="Phase 1"/>
    <s v="Year 1"/>
    <m/>
    <n v="0"/>
    <n v="0"/>
    <n v="0"/>
    <n v="0"/>
    <n v="7.4819999999999984"/>
    <m/>
    <m/>
    <m/>
    <m/>
    <m/>
    <m/>
    <n v="7.4819999999999984"/>
    <m/>
    <m/>
    <m/>
    <m/>
    <m/>
    <m/>
    <m/>
    <m/>
    <m/>
    <m/>
    <m/>
    <m/>
    <m/>
    <m/>
    <m/>
    <m/>
    <m/>
    <n v="3.9"/>
    <m/>
    <m/>
    <m/>
    <m/>
    <n v="0"/>
    <n v="0"/>
    <n v="0"/>
    <n v="0"/>
    <n v="0"/>
    <n v="0"/>
    <n v="0"/>
    <n v="0"/>
    <n v="0"/>
    <n v="0"/>
    <n v="0"/>
    <n v="0"/>
    <n v="0"/>
    <n v="0"/>
    <n v="0"/>
    <n v="0"/>
    <n v="0"/>
    <n v="0"/>
    <n v="0"/>
    <n v="0"/>
    <n v="0"/>
    <n v="0"/>
    <n v="0"/>
    <n v="0"/>
    <n v="0"/>
    <n v="0"/>
    <n v="0"/>
    <n v="0"/>
    <n v="0"/>
    <n v="0"/>
    <n v="0"/>
    <n v="0"/>
    <n v="0"/>
    <n v="0"/>
    <n v="0"/>
    <n v="0"/>
    <n v="0"/>
    <n v="0"/>
    <n v="0"/>
    <m/>
    <m/>
    <m/>
    <m/>
    <m/>
    <m/>
    <m/>
    <m/>
    <m/>
    <m/>
    <m/>
    <m/>
    <m/>
    <m/>
    <m/>
    <m/>
    <m/>
    <m/>
    <m/>
    <m/>
    <m/>
    <n v="0"/>
    <n v="0"/>
    <n v="0"/>
    <n v="0"/>
    <n v="0"/>
    <n v="635.96999999999991"/>
    <n v="0"/>
    <n v="0"/>
    <n v="0"/>
    <n v="0"/>
    <n v="0"/>
    <n v="14963.999999999996"/>
    <n v="0"/>
    <n v="0"/>
    <n v="0"/>
    <n v="0"/>
    <n v="0"/>
    <n v="117"/>
    <n v="0"/>
    <n v="0"/>
    <n v="0"/>
    <n v="0"/>
    <n v="0"/>
    <n v="0"/>
    <n v="0"/>
    <n v="0"/>
    <n v="0"/>
    <n v="0"/>
    <n v="0"/>
    <n v="0"/>
    <n v="0"/>
    <n v="0"/>
    <n v="0"/>
    <n v="0"/>
    <n v="0"/>
    <n v="0"/>
    <n v="0"/>
    <n v="0"/>
    <n v="0"/>
    <n v="0"/>
    <n v="0"/>
    <n v="0"/>
    <n v="0"/>
    <n v="0"/>
    <n v="0"/>
    <n v="0"/>
    <n v="0"/>
    <n v="0"/>
    <n v="0"/>
    <n v="0"/>
    <n v="0"/>
    <n v="0"/>
    <n v="0"/>
    <n v="0"/>
    <n v="0"/>
    <n v="0"/>
    <n v="0"/>
    <n v="0"/>
    <n v="15716.969999999996"/>
    <n v="16659.988199999996"/>
    <s v=" "/>
    <s v=" "/>
    <s v=" "/>
    <s v=" "/>
    <s v=" "/>
    <s v=" "/>
    <s v=" "/>
    <s v=" "/>
    <s v=" "/>
    <s v=" "/>
    <s v=" "/>
    <s v=" "/>
    <s v=" "/>
    <s v=" "/>
    <x v="0"/>
    <x v="0"/>
    <x v="0"/>
    <x v="0"/>
    <x v="0"/>
    <x v="17"/>
    <x v="0"/>
    <x v="0"/>
    <x v="0"/>
    <x v="4"/>
    <x v="1"/>
    <x v="1"/>
    <x v="13"/>
    <x v="0"/>
    <x v="0"/>
    <x v="0"/>
    <x v="0"/>
    <x v="0"/>
    <x v="0"/>
    <x v="0"/>
    <x v="0"/>
    <x v="0"/>
    <x v="0"/>
    <x v="0"/>
    <x v="0"/>
    <x v="0"/>
    <x v="0"/>
    <x v="0"/>
    <x v="13"/>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x v="3"/>
    <x v="13"/>
    <x v="8"/>
    <x v="28"/>
    <x v="3"/>
    <n v="29.977215000000001"/>
    <n v="-25.816548889"/>
    <s v="29° 58' 37.97&quot;E "/>
    <s v="25° 48' 59.57&quot; S"/>
    <s v="Complete"/>
    <s v="Yes"/>
    <s v="Yes"/>
    <d v="2017-01-23T00:00:00"/>
    <s v="YES"/>
    <d v="2017-01-23T00:00:00"/>
    <s v="NBC-GTW-CL-0012"/>
    <s v="Yes"/>
    <s v="01"/>
    <d v="2018-12-07T00:00:00"/>
    <s v="Phase 1"/>
    <s v="Year 1"/>
    <m/>
    <n v="0"/>
    <n v="0"/>
    <n v="0"/>
    <n v="0"/>
    <n v="7.402499999999999"/>
    <m/>
    <m/>
    <m/>
    <m/>
    <m/>
    <m/>
    <n v="7.402499999999999"/>
    <m/>
    <m/>
    <m/>
    <m/>
    <m/>
    <m/>
    <m/>
    <m/>
    <m/>
    <m/>
    <m/>
    <m/>
    <m/>
    <m/>
    <m/>
    <m/>
    <m/>
    <n v="4.2"/>
    <m/>
    <m/>
    <m/>
    <m/>
    <n v="0"/>
    <n v="0"/>
    <n v="0"/>
    <n v="0"/>
    <n v="0"/>
    <n v="0"/>
    <n v="0"/>
    <n v="0"/>
    <n v="0"/>
    <n v="0"/>
    <n v="0"/>
    <n v="0"/>
    <n v="0"/>
    <n v="0"/>
    <n v="0"/>
    <n v="0"/>
    <n v="0"/>
    <n v="0"/>
    <n v="0"/>
    <n v="0"/>
    <n v="0"/>
    <n v="0"/>
    <n v="0"/>
    <n v="0"/>
    <n v="0"/>
    <n v="0"/>
    <n v="0"/>
    <n v="0"/>
    <n v="0"/>
    <n v="0"/>
    <n v="0"/>
    <n v="0"/>
    <n v="0"/>
    <n v="0"/>
    <n v="0"/>
    <n v="0"/>
    <n v="0"/>
    <n v="0"/>
    <n v="0"/>
    <m/>
    <m/>
    <m/>
    <m/>
    <m/>
    <m/>
    <m/>
    <m/>
    <m/>
    <m/>
    <m/>
    <m/>
    <m/>
    <m/>
    <m/>
    <m/>
    <m/>
    <m/>
    <m/>
    <m/>
    <m/>
    <n v="0"/>
    <n v="0"/>
    <n v="0"/>
    <n v="0"/>
    <n v="0"/>
    <n v="629.21249999999986"/>
    <n v="0"/>
    <n v="0"/>
    <n v="0"/>
    <n v="0"/>
    <n v="0"/>
    <n v="14804.999999999998"/>
    <n v="0"/>
    <n v="0"/>
    <n v="0"/>
    <n v="0"/>
    <n v="0"/>
    <n v="126"/>
    <n v="0"/>
    <n v="0"/>
    <n v="0"/>
    <n v="0"/>
    <n v="0"/>
    <n v="0"/>
    <n v="0"/>
    <n v="0"/>
    <n v="0"/>
    <n v="0"/>
    <n v="0"/>
    <n v="0"/>
    <n v="0"/>
    <n v="0"/>
    <n v="0"/>
    <n v="0"/>
    <n v="0"/>
    <n v="0"/>
    <n v="0"/>
    <n v="0"/>
    <n v="0"/>
    <n v="0"/>
    <n v="0"/>
    <n v="0"/>
    <n v="0"/>
    <n v="0"/>
    <n v="0"/>
    <n v="0"/>
    <n v="0"/>
    <n v="0"/>
    <n v="0"/>
    <n v="0"/>
    <n v="0"/>
    <n v="0"/>
    <n v="0"/>
    <n v="0"/>
    <n v="0"/>
    <n v="0"/>
    <n v="0"/>
    <n v="0"/>
    <n v="15560.212499999998"/>
    <n v="16493.825249999998"/>
    <s v=" "/>
    <s v=" "/>
    <s v=" "/>
    <s v=" "/>
    <s v=" "/>
    <s v=" "/>
    <s v=" "/>
    <s v=" "/>
    <s v=" "/>
    <s v=" "/>
    <s v=" "/>
    <s v=" "/>
    <s v=" "/>
    <s v=" "/>
    <x v="0"/>
    <x v="0"/>
    <x v="0"/>
    <x v="0"/>
    <x v="0"/>
    <x v="18"/>
    <x v="0"/>
    <x v="0"/>
    <x v="0"/>
    <x v="4"/>
    <x v="1"/>
    <x v="1"/>
    <x v="14"/>
    <x v="0"/>
    <x v="0"/>
    <x v="0"/>
    <x v="0"/>
    <x v="0"/>
    <x v="0"/>
    <x v="0"/>
    <x v="0"/>
    <x v="0"/>
    <x v="0"/>
    <x v="0"/>
    <x v="0"/>
    <x v="0"/>
    <x v="0"/>
    <x v="0"/>
    <x v="14"/>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x v="3"/>
    <x v="13"/>
    <x v="8"/>
    <x v="29"/>
    <x v="3"/>
    <n v="29.976766111"/>
    <n v="-25.816078610999998"/>
    <s v="29° 58' 36.35&quot;E "/>
    <s v="25° 48' 57.88&quot; S"/>
    <s v="Complete"/>
    <s v="Yes"/>
    <s v="Yes"/>
    <d v="2017-01-23T00:00:00"/>
    <s v="YES"/>
    <d v="2017-01-23T00:00:00"/>
    <s v="NBC-GTW-CL-0013"/>
    <s v="Yes"/>
    <s v="01"/>
    <d v="2018-12-07T00:00:00"/>
    <s v="Phase 1"/>
    <s v="Year 1"/>
    <m/>
    <n v="0"/>
    <n v="0"/>
    <n v="0"/>
    <n v="0"/>
    <n v="5.8574999999999999"/>
    <m/>
    <m/>
    <m/>
    <m/>
    <m/>
    <m/>
    <n v="5.8574999999999999"/>
    <m/>
    <m/>
    <m/>
    <m/>
    <m/>
    <m/>
    <m/>
    <m/>
    <m/>
    <m/>
    <m/>
    <m/>
    <m/>
    <m/>
    <m/>
    <m/>
    <m/>
    <n v="4.05"/>
    <m/>
    <m/>
    <m/>
    <m/>
    <n v="0"/>
    <n v="0"/>
    <n v="0"/>
    <n v="0"/>
    <n v="0"/>
    <n v="0"/>
    <n v="0"/>
    <n v="0"/>
    <n v="0"/>
    <n v="0"/>
    <n v="0"/>
    <n v="0"/>
    <n v="0"/>
    <n v="0"/>
    <n v="0"/>
    <n v="0"/>
    <n v="0"/>
    <n v="0"/>
    <n v="0"/>
    <n v="0"/>
    <n v="0"/>
    <n v="0"/>
    <n v="0"/>
    <n v="0"/>
    <n v="0"/>
    <n v="0"/>
    <n v="0"/>
    <n v="0"/>
    <n v="0"/>
    <n v="0"/>
    <n v="0"/>
    <n v="0"/>
    <n v="0"/>
    <n v="0"/>
    <n v="0"/>
    <n v="0"/>
    <n v="0"/>
    <n v="0"/>
    <n v="0"/>
    <m/>
    <m/>
    <m/>
    <m/>
    <m/>
    <m/>
    <m/>
    <m/>
    <m/>
    <m/>
    <m/>
    <m/>
    <m/>
    <m/>
    <m/>
    <m/>
    <m/>
    <m/>
    <m/>
    <m/>
    <m/>
    <n v="0"/>
    <n v="0"/>
    <n v="0"/>
    <n v="0"/>
    <n v="0"/>
    <n v="497.88749999999999"/>
    <n v="0"/>
    <n v="0"/>
    <n v="0"/>
    <n v="0"/>
    <n v="0"/>
    <n v="11715"/>
    <n v="0"/>
    <n v="0"/>
    <n v="0"/>
    <n v="0"/>
    <n v="0"/>
    <n v="121.5"/>
    <n v="0"/>
    <n v="0"/>
    <n v="0"/>
    <n v="0"/>
    <n v="0"/>
    <n v="0"/>
    <n v="0"/>
    <n v="0"/>
    <n v="0"/>
    <n v="0"/>
    <n v="0"/>
    <n v="0"/>
    <n v="0"/>
    <n v="0"/>
    <n v="0"/>
    <n v="0"/>
    <n v="0"/>
    <n v="0"/>
    <n v="0"/>
    <n v="0"/>
    <n v="0"/>
    <n v="0"/>
    <n v="0"/>
    <n v="0"/>
    <n v="0"/>
    <n v="0"/>
    <n v="0"/>
    <n v="0"/>
    <n v="0"/>
    <n v="0"/>
    <n v="0"/>
    <n v="0"/>
    <n v="0"/>
    <n v="0"/>
    <n v="0"/>
    <n v="0"/>
    <n v="0"/>
    <n v="0"/>
    <n v="0"/>
    <n v="0"/>
    <n v="12334.387500000001"/>
    <n v="13074.450750000002"/>
    <s v=" "/>
    <s v=" "/>
    <s v=" "/>
    <s v=" "/>
    <s v=" "/>
    <s v=" "/>
    <s v=" "/>
    <s v=" "/>
    <s v=" "/>
    <s v=" "/>
    <s v=" "/>
    <s v=" "/>
    <s v=" "/>
    <s v=" "/>
    <x v="0"/>
    <x v="0"/>
    <x v="0"/>
    <x v="0"/>
    <x v="0"/>
    <x v="19"/>
    <x v="0"/>
    <x v="0"/>
    <x v="0"/>
    <x v="4"/>
    <x v="1"/>
    <x v="1"/>
    <x v="15"/>
    <x v="0"/>
    <x v="0"/>
    <x v="0"/>
    <x v="0"/>
    <x v="0"/>
    <x v="0"/>
    <x v="0"/>
    <x v="0"/>
    <x v="0"/>
    <x v="0"/>
    <x v="0"/>
    <x v="0"/>
    <x v="0"/>
    <x v="0"/>
    <x v="0"/>
    <x v="15"/>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x v="3"/>
    <x v="13"/>
    <x v="8"/>
    <x v="30"/>
    <x v="3"/>
    <n v="29.976378333"/>
    <n v="-25.815808400000002"/>
    <s v="29° 58' 34.96&quot;E "/>
    <s v="25° 48' 56.91&quot; S"/>
    <s v="Complete"/>
    <s v="Yes"/>
    <s v="Yes"/>
    <d v="2017-01-23T00:00:00"/>
    <s v="YES"/>
    <d v="2017-01-23T00:00:00"/>
    <s v="NBC-GTW-CL-0014"/>
    <s v="Yes"/>
    <s v="01"/>
    <d v="2018-12-07T00:00:00"/>
    <s v="Phase 1"/>
    <s v="Year 1"/>
    <m/>
    <n v="0"/>
    <n v="0"/>
    <n v="0"/>
    <n v="0"/>
    <n v="7.5149999999999997"/>
    <m/>
    <m/>
    <m/>
    <m/>
    <m/>
    <m/>
    <n v="7.5149999999999997"/>
    <m/>
    <m/>
    <m/>
    <m/>
    <m/>
    <m/>
    <m/>
    <m/>
    <m/>
    <m/>
    <m/>
    <m/>
    <m/>
    <m/>
    <m/>
    <m/>
    <m/>
    <n v="3.75"/>
    <m/>
    <m/>
    <m/>
    <m/>
    <n v="0"/>
    <n v="0"/>
    <n v="0"/>
    <n v="0"/>
    <n v="0"/>
    <n v="0"/>
    <n v="0"/>
    <n v="0"/>
    <n v="0"/>
    <n v="0"/>
    <n v="0"/>
    <n v="0"/>
    <n v="0"/>
    <n v="0"/>
    <n v="0"/>
    <n v="0"/>
    <n v="0"/>
    <n v="0"/>
    <n v="0"/>
    <n v="0"/>
    <n v="0"/>
    <n v="0"/>
    <n v="0"/>
    <n v="0"/>
    <n v="0"/>
    <n v="0"/>
    <n v="0"/>
    <n v="0"/>
    <n v="0"/>
    <n v="0"/>
    <n v="0"/>
    <n v="0"/>
    <n v="0"/>
    <n v="0"/>
    <n v="0"/>
    <n v="0"/>
    <n v="0"/>
    <n v="0"/>
    <n v="0"/>
    <m/>
    <m/>
    <m/>
    <m/>
    <m/>
    <m/>
    <m/>
    <m/>
    <m/>
    <m/>
    <m/>
    <m/>
    <m/>
    <m/>
    <m/>
    <m/>
    <m/>
    <m/>
    <m/>
    <m/>
    <m/>
    <n v="0"/>
    <n v="0"/>
    <n v="0"/>
    <n v="0"/>
    <n v="0"/>
    <n v="638.77499999999998"/>
    <n v="0"/>
    <n v="0"/>
    <n v="0"/>
    <n v="0"/>
    <n v="0"/>
    <n v="15030"/>
    <n v="0"/>
    <n v="0"/>
    <n v="0"/>
    <n v="0"/>
    <n v="0"/>
    <n v="112.5"/>
    <n v="0"/>
    <n v="0"/>
    <n v="0"/>
    <n v="0"/>
    <n v="0"/>
    <n v="0"/>
    <n v="0"/>
    <n v="0"/>
    <n v="0"/>
    <n v="0"/>
    <n v="0"/>
    <n v="0"/>
    <n v="0"/>
    <n v="0"/>
    <n v="0"/>
    <n v="0"/>
    <n v="0"/>
    <n v="0"/>
    <n v="0"/>
    <n v="0"/>
    <n v="0"/>
    <n v="0"/>
    <n v="0"/>
    <n v="0"/>
    <n v="0"/>
    <n v="0"/>
    <n v="0"/>
    <n v="0"/>
    <n v="0"/>
    <n v="0"/>
    <n v="0"/>
    <n v="0"/>
    <n v="0"/>
    <n v="0"/>
    <n v="0"/>
    <n v="0"/>
    <n v="0"/>
    <n v="0"/>
    <n v="0"/>
    <n v="0"/>
    <n v="15781.275"/>
    <n v="16728.1515"/>
    <s v=" "/>
    <s v=" "/>
    <s v=" "/>
    <s v=" "/>
    <s v=" "/>
    <s v=" "/>
    <s v=" "/>
    <s v=" "/>
    <s v=" "/>
    <s v=" "/>
    <s v=" "/>
    <s v=" "/>
    <s v=" "/>
    <s v=" "/>
    <x v="0"/>
    <x v="0"/>
    <x v="0"/>
    <x v="0"/>
    <x v="0"/>
    <x v="20"/>
    <x v="0"/>
    <x v="0"/>
    <x v="0"/>
    <x v="4"/>
    <x v="1"/>
    <x v="1"/>
    <x v="16"/>
    <x v="0"/>
    <x v="0"/>
    <x v="0"/>
    <x v="0"/>
    <x v="0"/>
    <x v="0"/>
    <x v="0"/>
    <x v="0"/>
    <x v="0"/>
    <x v="0"/>
    <x v="0"/>
    <x v="0"/>
    <x v="0"/>
    <x v="0"/>
    <x v="0"/>
    <x v="16"/>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x v="3"/>
    <x v="12"/>
    <x v="7"/>
    <x v="31"/>
    <x v="3"/>
    <n v="29.976185277999999"/>
    <n v="-25.815637221999999"/>
    <s v="29° 58' 34.26&quot;E "/>
    <s v="25° 48' 56.29&quot; S"/>
    <s v="Complete"/>
    <s v="Yes"/>
    <s v="Yes"/>
    <d v="2017-04-25T00:00:00"/>
    <s v="NA"/>
    <s v="NA"/>
    <s v="No Drawing"/>
    <s v="Yes"/>
    <s v="00"/>
    <d v="2018-06-16T00:00:00"/>
    <s v="Phase 1"/>
    <s v="Year 1"/>
    <n v="78.571670860393255"/>
    <n v="0"/>
    <n v="0"/>
    <n v="0"/>
    <n v="0"/>
    <n v="0"/>
    <n v="0"/>
    <n v="0"/>
    <n v="78.571670860393255"/>
    <n v="78.571670860393255"/>
    <n v="0"/>
    <n v="0"/>
    <n v="0"/>
    <n v="0"/>
    <n v="0"/>
    <n v="0"/>
    <n v="0"/>
    <n v="0"/>
    <n v="0"/>
    <n v="0"/>
    <n v="0"/>
    <n v="0"/>
    <n v="0"/>
    <n v="0"/>
    <n v="0"/>
    <m/>
    <n v="0"/>
    <m/>
    <n v="0"/>
    <n v="0"/>
    <n v="0"/>
    <n v="0"/>
    <n v="0"/>
    <n v="0"/>
    <n v="12.538499999999997"/>
    <n v="0"/>
    <n v="0"/>
    <n v="0"/>
    <n v="0"/>
    <n v="0"/>
    <n v="0"/>
    <n v="0"/>
    <n v="0"/>
    <n v="0"/>
    <n v="0"/>
    <n v="0"/>
    <n v="0"/>
    <n v="0"/>
    <n v="0"/>
    <n v="0"/>
    <n v="0"/>
    <n v="0"/>
    <n v="0"/>
    <n v="0"/>
    <n v="0"/>
    <n v="0"/>
    <n v="0"/>
    <n v="0"/>
    <n v="0"/>
    <n v="0"/>
    <n v="0"/>
    <n v="0"/>
    <n v="0"/>
    <n v="0"/>
    <n v="0"/>
    <n v="0"/>
    <n v="0"/>
    <n v="0"/>
    <n v="0"/>
    <n v="0"/>
    <n v="0"/>
    <n v="0"/>
    <n v="0"/>
    <n v="0"/>
    <n v="0"/>
    <n v="0"/>
    <n v="0"/>
    <n v="0"/>
    <n v="0"/>
    <n v="0"/>
    <n v="0"/>
    <n v="0"/>
    <n v="0"/>
    <n v="0"/>
    <n v="0"/>
    <n v="0"/>
    <m/>
    <m/>
    <m/>
    <m/>
    <m/>
    <m/>
    <m/>
    <m/>
    <m/>
    <n v="392.8583543019663"/>
    <n v="0"/>
    <n v="0"/>
    <n v="0"/>
    <n v="0"/>
    <n v="0"/>
    <n v="0"/>
    <n v="0"/>
    <n v="392.8583543019663"/>
    <n v="785.7167086039326"/>
    <n v="0"/>
    <n v="0"/>
    <n v="0"/>
    <n v="0"/>
    <n v="0"/>
    <n v="0"/>
    <n v="0"/>
    <n v="0"/>
    <n v="0"/>
    <n v="0"/>
    <n v="1504.6199999999997"/>
    <n v="0"/>
    <n v="0"/>
    <n v="0"/>
    <n v="0"/>
    <n v="0"/>
    <n v="0"/>
    <n v="0"/>
    <n v="0"/>
    <n v="0"/>
    <n v="0"/>
    <n v="0"/>
    <n v="0"/>
    <n v="0"/>
    <n v="0"/>
    <n v="0"/>
    <n v="0"/>
    <n v="0"/>
    <n v="0"/>
    <n v="0"/>
    <n v="0"/>
    <n v="0"/>
    <n v="0"/>
    <n v="0"/>
    <n v="0"/>
    <n v="0"/>
    <n v="0"/>
    <n v="0"/>
    <n v="0"/>
    <n v="0"/>
    <n v="0"/>
    <n v="0"/>
    <n v="0"/>
    <n v="0"/>
    <n v="0"/>
    <n v="0"/>
    <n v="0"/>
    <n v="0"/>
    <n v="3076.0534172078651"/>
    <n v="3260.6166222403372"/>
    <s v=" "/>
    <s v=" "/>
    <s v=" "/>
    <s v=" "/>
    <s v=" "/>
    <s v=" "/>
    <s v=" "/>
    <s v=" "/>
    <s v=" "/>
    <s v=" "/>
    <s v=" "/>
    <s v=" "/>
    <s v=" "/>
    <s v=" "/>
    <x v="20"/>
    <x v="0"/>
    <x v="0"/>
    <x v="0"/>
    <x v="0"/>
    <x v="1"/>
    <x v="0"/>
    <x v="0"/>
    <x v="20"/>
    <x v="21"/>
    <x v="1"/>
    <x v="1"/>
    <x v="0"/>
    <x v="0"/>
    <x v="0"/>
    <x v="0"/>
    <x v="0"/>
    <x v="0"/>
    <x v="0"/>
    <x v="0"/>
    <x v="0"/>
    <x v="0"/>
    <x v="0"/>
    <x v="0"/>
    <x v="0"/>
    <x v="0"/>
    <x v="0"/>
    <x v="0"/>
    <x v="0"/>
    <x v="0"/>
    <x v="0"/>
    <x v="0"/>
    <x v="12"/>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x v="3"/>
    <x v="14"/>
    <x v="0"/>
    <x v="32"/>
    <x v="3"/>
    <n v="29.975885278"/>
    <n v="-25.815651388999999"/>
    <s v="29° 58' 33.18&quot;E "/>
    <s v="25° 48' 56.34&quot; S"/>
    <s v="Complete"/>
    <s v="Yes"/>
    <s v="Yes"/>
    <d v="2017-04-25T00:00:00"/>
    <s v="NA"/>
    <s v="NA"/>
    <s v="No Drawing"/>
    <s v="Yes"/>
    <s v="00"/>
    <d v="2018-06-16T00:00:00"/>
    <s v="Phase 1"/>
    <s v="Year 1"/>
    <n v="1868.0949685772146"/>
    <n v="336.92505000000006"/>
    <n v="0"/>
    <n v="0"/>
    <n v="0"/>
    <n v="0"/>
    <n v="0"/>
    <n v="0"/>
    <n v="1020.985"/>
    <n v="1020.985"/>
    <n v="150"/>
    <n v="0"/>
    <n v="0"/>
    <n v="0"/>
    <n v="0"/>
    <n v="0"/>
    <n v="0"/>
    <n v="0"/>
    <n v="0"/>
    <n v="0"/>
    <n v="0"/>
    <n v="0"/>
    <n v="0"/>
    <n v="0"/>
    <n v="0"/>
    <m/>
    <n v="0"/>
    <m/>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n v="9340.474842886073"/>
    <n v="16846.252500000002"/>
    <n v="0"/>
    <n v="0"/>
    <n v="0"/>
    <n v="0"/>
    <n v="0"/>
    <n v="0"/>
    <n v="5104.9250000000002"/>
    <n v="10209.85"/>
    <n v="0"/>
    <n v="0"/>
    <n v="0"/>
    <n v="0"/>
    <n v="0"/>
    <n v="0"/>
    <n v="0"/>
    <n v="0"/>
    <n v="0"/>
    <n v="0"/>
    <n v="0"/>
    <n v="0"/>
    <n v="0"/>
    <n v="0"/>
    <n v="0"/>
    <n v="0"/>
    <n v="0"/>
    <n v="0"/>
    <n v="0"/>
    <n v="0"/>
    <n v="0"/>
    <n v="0"/>
    <n v="0"/>
    <n v="0"/>
    <n v="0"/>
    <n v="0"/>
    <n v="0"/>
    <n v="0"/>
    <n v="0"/>
    <n v="0"/>
    <n v="0"/>
    <n v="0"/>
    <n v="0"/>
    <n v="0"/>
    <n v="0"/>
    <n v="0"/>
    <n v="0"/>
    <n v="0"/>
    <n v="0"/>
    <n v="0"/>
    <n v="0"/>
    <n v="0"/>
    <n v="0"/>
    <n v="0"/>
    <n v="0"/>
    <n v="0"/>
    <n v="0"/>
    <n v="0"/>
    <n v="41501.502342886073"/>
    <n v="43991.592483459237"/>
    <s v=" "/>
    <s v=" "/>
    <s v=" "/>
    <s v=" "/>
    <s v=" "/>
    <s v=" "/>
    <s v=" "/>
    <s v=" "/>
    <s v=" "/>
    <s v=" "/>
    <s v=" "/>
    <s v=" "/>
    <s v=" "/>
    <s v=" "/>
    <x v="21"/>
    <x v="8"/>
    <x v="0"/>
    <x v="0"/>
    <x v="0"/>
    <x v="1"/>
    <x v="0"/>
    <x v="0"/>
    <x v="21"/>
    <x v="22"/>
    <x v="2"/>
    <x v="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x v="3"/>
    <x v="13"/>
    <x v="8"/>
    <x v="33"/>
    <x v="3"/>
    <n v="29.975739443999998"/>
    <n v="-25.815501389000001"/>
    <s v="29° 58' 32.66&quot;E "/>
    <s v="25° 48' 55.80&quot; S"/>
    <s v="Complete"/>
    <s v="Yes"/>
    <s v="Yes"/>
    <d v="2017-02-01T00:00:00"/>
    <s v="YES"/>
    <d v="2017-02-01T00:00:00"/>
    <s v="NBC-GTW-CL-0015"/>
    <s v="Yes"/>
    <s v="01"/>
    <d v="2018-12-07T00:00:00"/>
    <s v="Phase 1"/>
    <s v="Year 1"/>
    <m/>
    <n v="0"/>
    <n v="0"/>
    <n v="0"/>
    <n v="0"/>
    <n v="6.6959999999999997"/>
    <m/>
    <m/>
    <m/>
    <m/>
    <m/>
    <m/>
    <n v="6.6959999999999997"/>
    <m/>
    <m/>
    <m/>
    <m/>
    <m/>
    <m/>
    <m/>
    <m/>
    <m/>
    <m/>
    <m/>
    <m/>
    <m/>
    <m/>
    <m/>
    <m/>
    <m/>
    <n v="4.5"/>
    <n v="0"/>
    <n v="0"/>
    <n v="0"/>
    <m/>
    <n v="0"/>
    <n v="0"/>
    <n v="0"/>
    <n v="0"/>
    <n v="0"/>
    <n v="0"/>
    <n v="0"/>
    <n v="0"/>
    <n v="0"/>
    <n v="0"/>
    <n v="0"/>
    <n v="0"/>
    <n v="0"/>
    <n v="0"/>
    <n v="0"/>
    <n v="0"/>
    <n v="0"/>
    <n v="0"/>
    <n v="0"/>
    <n v="0"/>
    <n v="0"/>
    <n v="0"/>
    <n v="0"/>
    <n v="0"/>
    <n v="0"/>
    <n v="0"/>
    <n v="0"/>
    <n v="0"/>
    <n v="0"/>
    <n v="0"/>
    <n v="0"/>
    <n v="0"/>
    <n v="0"/>
    <n v="0"/>
    <n v="0"/>
    <n v="0"/>
    <n v="0"/>
    <n v="0"/>
    <n v="0"/>
    <m/>
    <m/>
    <m/>
    <m/>
    <m/>
    <m/>
    <m/>
    <m/>
    <m/>
    <m/>
    <m/>
    <m/>
    <m/>
    <m/>
    <m/>
    <m/>
    <m/>
    <m/>
    <m/>
    <m/>
    <m/>
    <n v="0"/>
    <n v="0"/>
    <n v="0"/>
    <n v="0"/>
    <n v="0"/>
    <n v="569.16"/>
    <n v="0"/>
    <n v="0"/>
    <n v="0"/>
    <n v="0"/>
    <n v="0"/>
    <n v="13392"/>
    <n v="0"/>
    <n v="0"/>
    <n v="0"/>
    <n v="0"/>
    <n v="0"/>
    <n v="135"/>
    <n v="0"/>
    <n v="0"/>
    <n v="0"/>
    <n v="0"/>
    <n v="0"/>
    <n v="0"/>
    <n v="0"/>
    <n v="0"/>
    <n v="0"/>
    <n v="0"/>
    <n v="0"/>
    <n v="0"/>
    <n v="0"/>
    <n v="0"/>
    <n v="0"/>
    <n v="0"/>
    <n v="0"/>
    <n v="0"/>
    <n v="0"/>
    <n v="0"/>
    <n v="0"/>
    <n v="0"/>
    <n v="0"/>
    <n v="0"/>
    <n v="0"/>
    <n v="0"/>
    <n v="0"/>
    <n v="0"/>
    <n v="0"/>
    <n v="0"/>
    <n v="0"/>
    <n v="0"/>
    <n v="0"/>
    <n v="0"/>
    <n v="0"/>
    <n v="0"/>
    <n v="0"/>
    <n v="0"/>
    <n v="0"/>
    <n v="0"/>
    <n v="14096.16"/>
    <n v="14941.929600000001"/>
    <s v=" "/>
    <s v=" "/>
    <s v=" "/>
    <s v=" "/>
    <s v=" "/>
    <s v=" "/>
    <s v=" "/>
    <s v=" "/>
    <s v=" "/>
    <s v=" "/>
    <s v=" "/>
    <s v=" "/>
    <s v=" "/>
    <s v=" "/>
    <x v="0"/>
    <x v="0"/>
    <x v="0"/>
    <x v="0"/>
    <x v="0"/>
    <x v="21"/>
    <x v="0"/>
    <x v="0"/>
    <x v="0"/>
    <x v="4"/>
    <x v="1"/>
    <x v="1"/>
    <x v="17"/>
    <x v="0"/>
    <x v="0"/>
    <x v="0"/>
    <x v="0"/>
    <x v="0"/>
    <x v="0"/>
    <x v="0"/>
    <x v="0"/>
    <x v="0"/>
    <x v="0"/>
    <x v="0"/>
    <x v="0"/>
    <x v="0"/>
    <x v="0"/>
    <x v="0"/>
    <x v="17"/>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x v="3"/>
    <x v="13"/>
    <x v="8"/>
    <x v="34"/>
    <x v="3"/>
    <n v="29.975463610999999"/>
    <n v="-25.815300277999999"/>
    <s v="29° 58' 31.66&quot;E "/>
    <s v="25° 48' 55.08&quot; S"/>
    <s v="Complete"/>
    <s v="Yes"/>
    <s v="Yes"/>
    <d v="2017-02-01T00:00:00"/>
    <s v="YES"/>
    <d v="2017-02-01T00:00:00"/>
    <s v="NBC-GTW-CL-0016"/>
    <s v="Yes"/>
    <s v="01"/>
    <d v="2018-12-07T00:00:00"/>
    <s v="Phase 1"/>
    <s v="Year 1"/>
    <m/>
    <n v="0"/>
    <n v="0"/>
    <n v="0"/>
    <n v="0"/>
    <n v="6.0120000000000005"/>
    <m/>
    <m/>
    <m/>
    <m/>
    <m/>
    <m/>
    <n v="6.0120000000000005"/>
    <m/>
    <m/>
    <m/>
    <m/>
    <m/>
    <m/>
    <m/>
    <m/>
    <m/>
    <m/>
    <m/>
    <m/>
    <m/>
    <m/>
    <m/>
    <m/>
    <m/>
    <n v="3.5999999999999996"/>
    <n v="0"/>
    <n v="0"/>
    <n v="0"/>
    <m/>
    <n v="0"/>
    <n v="0"/>
    <n v="0"/>
    <n v="0"/>
    <n v="0"/>
    <n v="0"/>
    <n v="0"/>
    <n v="0"/>
    <n v="0"/>
    <n v="0"/>
    <n v="0"/>
    <n v="0"/>
    <n v="0"/>
    <n v="0"/>
    <n v="0"/>
    <n v="0"/>
    <n v="0"/>
    <n v="0"/>
    <n v="0"/>
    <n v="0"/>
    <n v="0"/>
    <n v="0"/>
    <n v="0"/>
    <n v="0"/>
    <n v="0"/>
    <n v="0"/>
    <n v="0"/>
    <n v="0"/>
    <n v="0"/>
    <n v="0"/>
    <n v="0"/>
    <n v="0"/>
    <n v="0"/>
    <n v="0"/>
    <n v="0"/>
    <n v="0"/>
    <n v="0"/>
    <n v="0"/>
    <n v="0"/>
    <m/>
    <m/>
    <m/>
    <m/>
    <m/>
    <m/>
    <m/>
    <m/>
    <m/>
    <m/>
    <m/>
    <m/>
    <m/>
    <m/>
    <m/>
    <m/>
    <m/>
    <m/>
    <m/>
    <m/>
    <m/>
    <n v="0"/>
    <n v="0"/>
    <n v="0"/>
    <n v="0"/>
    <n v="0"/>
    <n v="511.02000000000004"/>
    <n v="0"/>
    <n v="0"/>
    <n v="0"/>
    <n v="0"/>
    <n v="0"/>
    <n v="12024"/>
    <n v="0"/>
    <n v="0"/>
    <n v="0"/>
    <n v="0"/>
    <n v="0"/>
    <n v="107.99999999999999"/>
    <n v="0"/>
    <n v="0"/>
    <n v="0"/>
    <n v="0"/>
    <n v="0"/>
    <n v="0"/>
    <n v="0"/>
    <n v="0"/>
    <n v="0"/>
    <n v="0"/>
    <n v="0"/>
    <n v="0"/>
    <n v="0"/>
    <n v="0"/>
    <n v="0"/>
    <n v="0"/>
    <n v="0"/>
    <n v="0"/>
    <n v="0"/>
    <n v="0"/>
    <n v="0"/>
    <n v="0"/>
    <n v="0"/>
    <n v="0"/>
    <n v="0"/>
    <n v="0"/>
    <n v="0"/>
    <n v="0"/>
    <n v="0"/>
    <n v="0"/>
    <n v="0"/>
    <n v="0"/>
    <n v="0"/>
    <n v="0"/>
    <n v="0"/>
    <n v="0"/>
    <n v="0"/>
    <n v="0"/>
    <n v="0"/>
    <n v="0"/>
    <n v="12643.02"/>
    <n v="13401.601200000001"/>
    <s v=" "/>
    <s v=" "/>
    <s v=" "/>
    <s v=" "/>
    <s v=" "/>
    <s v=" "/>
    <s v=" "/>
    <s v=" "/>
    <s v=" "/>
    <s v=" "/>
    <s v=" "/>
    <s v=" "/>
    <s v=" "/>
    <s v=" "/>
    <x v="0"/>
    <x v="0"/>
    <x v="0"/>
    <x v="0"/>
    <x v="0"/>
    <x v="22"/>
    <x v="0"/>
    <x v="0"/>
    <x v="0"/>
    <x v="4"/>
    <x v="1"/>
    <x v="1"/>
    <x v="18"/>
    <x v="0"/>
    <x v="0"/>
    <x v="0"/>
    <x v="0"/>
    <x v="0"/>
    <x v="0"/>
    <x v="0"/>
    <x v="0"/>
    <x v="0"/>
    <x v="0"/>
    <x v="0"/>
    <x v="0"/>
    <x v="0"/>
    <x v="0"/>
    <x v="0"/>
    <x v="18"/>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x v="3"/>
    <x v="13"/>
    <x v="8"/>
    <x v="35"/>
    <x v="3"/>
    <n v="29.974538889000002"/>
    <n v="-25.814845556000002"/>
    <s v="29° 58' 28.34&quot;E "/>
    <s v="25° 48' 53.44&quot; S"/>
    <s v="Complete"/>
    <s v="Yes"/>
    <s v="Yes"/>
    <d v="2017-02-01T00:00:00"/>
    <s v="YES"/>
    <d v="2017-02-01T00:00:00"/>
    <s v="NBC-GTW-CL-0017"/>
    <s v="Yes"/>
    <s v="01"/>
    <d v="2018-12-07T00:00:00"/>
    <s v="Phase 1"/>
    <s v="Year 1"/>
    <m/>
    <n v="0"/>
    <n v="0"/>
    <n v="0"/>
    <n v="0"/>
    <n v="5.1659999999999995"/>
    <m/>
    <m/>
    <m/>
    <m/>
    <m/>
    <m/>
    <n v="5.1659999999999995"/>
    <m/>
    <m/>
    <m/>
    <m/>
    <m/>
    <m/>
    <m/>
    <m/>
    <m/>
    <m/>
    <m/>
    <m/>
    <m/>
    <m/>
    <m/>
    <m/>
    <m/>
    <n v="3.5999999999999996"/>
    <n v="0"/>
    <n v="0"/>
    <n v="0"/>
    <m/>
    <n v="0"/>
    <n v="0"/>
    <n v="0"/>
    <n v="0"/>
    <n v="0"/>
    <n v="0"/>
    <n v="0"/>
    <n v="0"/>
    <n v="0"/>
    <n v="0"/>
    <n v="0"/>
    <n v="0"/>
    <n v="0"/>
    <n v="0"/>
    <n v="0"/>
    <n v="0"/>
    <n v="0"/>
    <n v="0"/>
    <n v="0"/>
    <n v="0"/>
    <n v="0"/>
    <n v="0"/>
    <n v="0"/>
    <n v="0"/>
    <n v="0"/>
    <n v="0"/>
    <n v="0"/>
    <n v="0"/>
    <n v="0"/>
    <n v="0"/>
    <n v="0"/>
    <n v="0"/>
    <n v="0"/>
    <n v="0"/>
    <n v="0"/>
    <n v="0"/>
    <n v="0"/>
    <n v="0"/>
    <n v="0"/>
    <m/>
    <m/>
    <m/>
    <m/>
    <m/>
    <m/>
    <m/>
    <m/>
    <m/>
    <m/>
    <m/>
    <m/>
    <m/>
    <m/>
    <m/>
    <m/>
    <m/>
    <m/>
    <m/>
    <m/>
    <m/>
    <n v="0"/>
    <n v="0"/>
    <n v="0"/>
    <n v="0"/>
    <n v="0"/>
    <n v="439.10999999999996"/>
    <n v="0"/>
    <n v="0"/>
    <n v="0"/>
    <n v="0"/>
    <n v="0"/>
    <n v="10331.999999999998"/>
    <n v="0"/>
    <n v="0"/>
    <n v="0"/>
    <n v="0"/>
    <n v="0"/>
    <n v="107.99999999999999"/>
    <n v="0"/>
    <n v="0"/>
    <n v="0"/>
    <n v="0"/>
    <n v="0"/>
    <n v="0"/>
    <n v="0"/>
    <n v="0"/>
    <n v="0"/>
    <n v="0"/>
    <n v="0"/>
    <n v="0"/>
    <n v="0"/>
    <n v="0"/>
    <n v="0"/>
    <n v="0"/>
    <n v="0"/>
    <n v="0"/>
    <n v="0"/>
    <n v="0"/>
    <n v="0"/>
    <n v="0"/>
    <n v="0"/>
    <n v="0"/>
    <n v="0"/>
    <n v="0"/>
    <n v="0"/>
    <n v="0"/>
    <n v="0"/>
    <n v="0"/>
    <n v="0"/>
    <n v="0"/>
    <n v="0"/>
    <n v="0"/>
    <n v="0"/>
    <n v="0"/>
    <n v="0"/>
    <n v="0"/>
    <n v="0"/>
    <n v="0"/>
    <n v="10879.109999999999"/>
    <n v="11531.856599999999"/>
    <s v=" "/>
    <s v=" "/>
    <s v=" "/>
    <s v=" "/>
    <s v=" "/>
    <s v=" "/>
    <s v=" "/>
    <s v=" "/>
    <s v=" "/>
    <s v=" "/>
    <s v=" "/>
    <s v=" "/>
    <s v=" "/>
    <s v=" "/>
    <x v="0"/>
    <x v="0"/>
    <x v="0"/>
    <x v="0"/>
    <x v="0"/>
    <x v="23"/>
    <x v="0"/>
    <x v="0"/>
    <x v="0"/>
    <x v="4"/>
    <x v="1"/>
    <x v="1"/>
    <x v="19"/>
    <x v="0"/>
    <x v="0"/>
    <x v="0"/>
    <x v="0"/>
    <x v="0"/>
    <x v="0"/>
    <x v="0"/>
    <x v="0"/>
    <x v="0"/>
    <x v="0"/>
    <x v="0"/>
    <x v="0"/>
    <x v="0"/>
    <x v="0"/>
    <x v="0"/>
    <x v="19"/>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x v="3"/>
    <x v="12"/>
    <x v="7"/>
    <x v="36"/>
    <x v="3"/>
    <n v="29.974613889"/>
    <n v="-25.815002499999999"/>
    <s v="29° 58' 28.61&quot;E "/>
    <s v="25° 48' 54.00&quot; S"/>
    <s v="Complete"/>
    <s v="Yes"/>
    <s v="Yes"/>
    <d v="2017-04-25T00:00:00"/>
    <s v="NA"/>
    <s v="NA"/>
    <s v="No Drawing"/>
    <s v="Yes"/>
    <s v="00"/>
    <d v="2018-06-16T00:00:00"/>
    <s v="Phase 1"/>
    <s v="Year 1"/>
    <n v="278.71659832128807"/>
    <n v="0"/>
    <n v="0"/>
    <n v="0"/>
    <n v="0"/>
    <n v="0"/>
    <n v="0"/>
    <n v="0"/>
    <n v="278.71659832128807"/>
    <n v="278.71659832128807"/>
    <n v="0"/>
    <n v="0"/>
    <n v="0"/>
    <n v="0"/>
    <n v="0"/>
    <n v="0"/>
    <n v="0"/>
    <n v="0"/>
    <n v="0"/>
    <n v="0"/>
    <n v="0"/>
    <n v="0"/>
    <n v="0"/>
    <n v="0"/>
    <n v="0"/>
    <m/>
    <n v="0"/>
    <m/>
    <n v="0"/>
    <n v="0"/>
    <n v="0"/>
    <n v="0"/>
    <n v="0"/>
    <n v="0"/>
    <n v="64.842659999999995"/>
    <n v="0"/>
    <n v="0"/>
    <n v="0"/>
    <n v="0"/>
    <n v="0"/>
    <n v="0"/>
    <n v="0"/>
    <n v="0"/>
    <n v="0"/>
    <n v="0"/>
    <n v="0"/>
    <n v="0"/>
    <n v="0"/>
    <n v="0"/>
    <n v="0"/>
    <n v="0"/>
    <n v="0"/>
    <n v="0"/>
    <n v="0"/>
    <n v="0"/>
    <n v="0"/>
    <n v="0"/>
    <n v="0"/>
    <n v="0"/>
    <n v="0"/>
    <n v="0"/>
    <n v="0"/>
    <n v="0"/>
    <n v="0"/>
    <n v="0"/>
    <n v="0"/>
    <n v="0"/>
    <n v="0"/>
    <n v="0"/>
    <n v="0"/>
    <n v="0"/>
    <n v="0"/>
    <n v="0"/>
    <n v="0"/>
    <n v="0"/>
    <n v="0"/>
    <n v="0"/>
    <n v="0"/>
    <n v="0"/>
    <n v="0"/>
    <n v="0"/>
    <n v="0"/>
    <n v="0"/>
    <n v="0"/>
    <n v="0"/>
    <n v="0"/>
    <m/>
    <m/>
    <m/>
    <m/>
    <m/>
    <m/>
    <m/>
    <m/>
    <m/>
    <n v="1393.5829916064404"/>
    <n v="0"/>
    <n v="0"/>
    <n v="0"/>
    <n v="0"/>
    <n v="0"/>
    <n v="0"/>
    <n v="0"/>
    <n v="1393.5829916064404"/>
    <n v="2787.1659832128807"/>
    <n v="0"/>
    <n v="0"/>
    <n v="0"/>
    <n v="0"/>
    <n v="0"/>
    <n v="0"/>
    <n v="0"/>
    <n v="0"/>
    <n v="0"/>
    <n v="0"/>
    <n v="7781.1191999999992"/>
    <n v="0"/>
    <n v="0"/>
    <n v="0"/>
    <n v="0"/>
    <n v="0"/>
    <n v="0"/>
    <n v="0"/>
    <n v="0"/>
    <n v="0"/>
    <n v="0"/>
    <n v="0"/>
    <n v="0"/>
    <n v="0"/>
    <n v="0"/>
    <n v="0"/>
    <n v="0"/>
    <n v="0"/>
    <n v="0"/>
    <n v="0"/>
    <n v="0"/>
    <n v="0"/>
    <n v="0"/>
    <n v="0"/>
    <n v="0"/>
    <n v="0"/>
    <n v="0"/>
    <n v="0"/>
    <n v="0"/>
    <n v="0"/>
    <n v="0"/>
    <n v="0"/>
    <n v="0"/>
    <n v="0"/>
    <n v="0"/>
    <n v="0"/>
    <n v="0"/>
    <n v="0"/>
    <n v="13355.451166425761"/>
    <n v="14156.778236411306"/>
    <s v=" "/>
    <s v=" "/>
    <s v=" "/>
    <s v=" "/>
    <s v=" "/>
    <s v=" "/>
    <s v=" "/>
    <s v=" "/>
    <s v=" "/>
    <s v=" "/>
    <s v=" "/>
    <s v=" "/>
    <s v=" "/>
    <s v=" "/>
    <x v="22"/>
    <x v="0"/>
    <x v="0"/>
    <x v="0"/>
    <x v="0"/>
    <x v="1"/>
    <x v="0"/>
    <x v="0"/>
    <x v="22"/>
    <x v="23"/>
    <x v="1"/>
    <x v="1"/>
    <x v="0"/>
    <x v="0"/>
    <x v="0"/>
    <x v="0"/>
    <x v="0"/>
    <x v="0"/>
    <x v="0"/>
    <x v="0"/>
    <x v="0"/>
    <x v="0"/>
    <x v="0"/>
    <x v="0"/>
    <x v="0"/>
    <x v="0"/>
    <x v="0"/>
    <x v="0"/>
    <x v="0"/>
    <x v="0"/>
    <x v="0"/>
    <x v="0"/>
    <x v="13"/>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x v="3"/>
    <x v="13"/>
    <x v="8"/>
    <x v="37"/>
    <x v="3"/>
    <n v="29.973975278000001"/>
    <n v="-25.814560833000002"/>
    <s v="29° 58' 26.31&quot;E "/>
    <s v="25° 48' 52.41&quot; S"/>
    <s v="Complete"/>
    <s v="Yes"/>
    <s v="Yes"/>
    <d v="2017-02-01T00:00:00"/>
    <s v="YES"/>
    <d v="2017-02-01T00:00:00"/>
    <s v="NBC-GTW-CL-0018"/>
    <s v="Yes"/>
    <s v="01"/>
    <d v="2018-12-07T00:00:00"/>
    <s v="Phase 1"/>
    <s v="Year 1"/>
    <m/>
    <n v="0"/>
    <n v="0"/>
    <n v="0"/>
    <n v="0"/>
    <n v="5.3609999999999998"/>
    <m/>
    <m/>
    <m/>
    <m/>
    <m/>
    <m/>
    <n v="5.3609999999999998"/>
    <m/>
    <m/>
    <m/>
    <m/>
    <m/>
    <m/>
    <m/>
    <m/>
    <m/>
    <m/>
    <m/>
    <m/>
    <m/>
    <m/>
    <m/>
    <m/>
    <m/>
    <n v="3.9"/>
    <n v="0"/>
    <n v="0"/>
    <n v="0"/>
    <m/>
    <m/>
    <n v="0"/>
    <n v="0"/>
    <n v="0"/>
    <n v="0"/>
    <n v="0"/>
    <n v="0"/>
    <n v="0"/>
    <n v="0"/>
    <n v="0"/>
    <n v="0"/>
    <n v="0"/>
    <n v="0"/>
    <n v="0"/>
    <n v="0"/>
    <n v="0"/>
    <n v="0"/>
    <n v="0"/>
    <n v="0"/>
    <n v="0"/>
    <n v="0"/>
    <n v="0"/>
    <n v="0"/>
    <n v="0"/>
    <n v="0"/>
    <n v="0"/>
    <n v="0"/>
    <n v="0"/>
    <n v="0"/>
    <n v="0"/>
    <n v="0"/>
    <n v="0"/>
    <n v="0"/>
    <n v="0"/>
    <n v="0"/>
    <n v="0"/>
    <n v="0"/>
    <n v="0"/>
    <n v="0"/>
    <m/>
    <m/>
    <m/>
    <m/>
    <m/>
    <m/>
    <m/>
    <m/>
    <m/>
    <m/>
    <m/>
    <m/>
    <m/>
    <m/>
    <m/>
    <m/>
    <m/>
    <m/>
    <m/>
    <m/>
    <m/>
    <n v="0"/>
    <n v="0"/>
    <n v="0"/>
    <n v="0"/>
    <n v="0"/>
    <n v="455.685"/>
    <n v="0"/>
    <n v="0"/>
    <n v="0"/>
    <n v="0"/>
    <n v="0"/>
    <n v="10722"/>
    <n v="0"/>
    <n v="0"/>
    <n v="0"/>
    <n v="0"/>
    <n v="0"/>
    <n v="117"/>
    <n v="0"/>
    <n v="0"/>
    <n v="0"/>
    <n v="0"/>
    <n v="0"/>
    <n v="0"/>
    <n v="0"/>
    <n v="0"/>
    <n v="0"/>
    <n v="0"/>
    <n v="0"/>
    <n v="0"/>
    <n v="0"/>
    <n v="0"/>
    <n v="0"/>
    <n v="0"/>
    <n v="0"/>
    <n v="0"/>
    <n v="0"/>
    <n v="0"/>
    <n v="0"/>
    <n v="0"/>
    <n v="0"/>
    <n v="0"/>
    <n v="0"/>
    <n v="0"/>
    <n v="0"/>
    <n v="0"/>
    <n v="0"/>
    <n v="0"/>
    <n v="0"/>
    <n v="0"/>
    <n v="0"/>
    <n v="0"/>
    <n v="0"/>
    <n v="0"/>
    <n v="0"/>
    <n v="0"/>
    <n v="0"/>
    <n v="0"/>
    <n v="11294.684999999999"/>
    <n v="11972.366099999999"/>
    <s v=" "/>
    <s v=" "/>
    <s v=" "/>
    <s v=" "/>
    <s v=" "/>
    <s v=" "/>
    <s v=" "/>
    <s v=" "/>
    <s v=" "/>
    <s v=" "/>
    <s v=" "/>
    <s v=" "/>
    <s v=" "/>
    <s v=" "/>
    <x v="0"/>
    <x v="0"/>
    <x v="0"/>
    <x v="0"/>
    <x v="0"/>
    <x v="24"/>
    <x v="0"/>
    <x v="0"/>
    <x v="0"/>
    <x v="4"/>
    <x v="1"/>
    <x v="1"/>
    <x v="20"/>
    <x v="0"/>
    <x v="0"/>
    <x v="0"/>
    <x v="0"/>
    <x v="0"/>
    <x v="0"/>
    <x v="0"/>
    <x v="0"/>
    <x v="0"/>
    <x v="0"/>
    <x v="0"/>
    <x v="0"/>
    <x v="0"/>
    <x v="0"/>
    <x v="0"/>
    <x v="2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x v="3"/>
    <x v="12"/>
    <x v="7"/>
    <x v="38"/>
    <x v="3"/>
    <n v="29.972971944000001"/>
    <n v="-25.814069721999999"/>
    <s v="29° 58' 22.69&quot;E "/>
    <s v="25° 48' 50.65&quot; S"/>
    <s v="Complete"/>
    <s v="Yes"/>
    <s v="Yes"/>
    <d v="2017-04-26T00:00:00"/>
    <s v="NA"/>
    <s v="NA"/>
    <s v="No Drawing"/>
    <s v="Yes"/>
    <s v="00"/>
    <d v="2018-06-16T00:00:00"/>
    <s v="Phase 1"/>
    <s v="Year 1"/>
    <n v="332.18699875975966"/>
    <n v="111.91475"/>
    <n v="0"/>
    <n v="0"/>
    <n v="0"/>
    <n v="0"/>
    <n v="0"/>
    <n v="0"/>
    <n v="332.18699875975966"/>
    <n v="332.18699875975966"/>
    <n v="0"/>
    <n v="0"/>
    <n v="0"/>
    <n v="0"/>
    <n v="0"/>
    <n v="0"/>
    <n v="0"/>
    <n v="0"/>
    <n v="0"/>
    <n v="0"/>
    <n v="0"/>
    <n v="0"/>
    <n v="0"/>
    <n v="0"/>
    <n v="0"/>
    <m/>
    <n v="0"/>
    <m/>
    <n v="0"/>
    <n v="0"/>
    <n v="0"/>
    <n v="0"/>
    <n v="0"/>
    <n v="0"/>
    <n v="111.91475"/>
    <n v="0"/>
    <n v="0"/>
    <n v="0"/>
    <n v="0"/>
    <n v="0"/>
    <n v="0"/>
    <n v="0"/>
    <n v="0"/>
    <n v="0"/>
    <n v="0"/>
    <n v="0"/>
    <n v="0"/>
    <n v="0"/>
    <n v="0"/>
    <n v="0"/>
    <n v="0"/>
    <n v="0"/>
    <n v="0"/>
    <n v="0"/>
    <n v="0"/>
    <n v="0"/>
    <n v="0"/>
    <n v="0"/>
    <n v="0"/>
    <n v="0"/>
    <n v="0"/>
    <n v="0"/>
    <n v="0"/>
    <n v="0"/>
    <n v="0"/>
    <n v="0"/>
    <n v="0"/>
    <n v="0"/>
    <n v="0"/>
    <n v="0"/>
    <n v="0"/>
    <n v="0"/>
    <n v="0"/>
    <n v="0"/>
    <n v="0"/>
    <n v="0"/>
    <n v="0"/>
    <n v="0"/>
    <n v="0"/>
    <n v="0"/>
    <n v="0"/>
    <n v="0"/>
    <n v="0"/>
    <n v="0"/>
    <n v="0"/>
    <n v="0"/>
    <m/>
    <m/>
    <m/>
    <m/>
    <m/>
    <m/>
    <m/>
    <m/>
    <m/>
    <n v="1660.9349937987984"/>
    <n v="5595.7375000000002"/>
    <n v="0"/>
    <n v="0"/>
    <n v="0"/>
    <n v="0"/>
    <n v="0"/>
    <n v="0"/>
    <n v="1660.9349937987984"/>
    <n v="3321.8699875975967"/>
    <n v="0"/>
    <n v="0"/>
    <n v="0"/>
    <n v="0"/>
    <n v="0"/>
    <n v="0"/>
    <n v="0"/>
    <n v="0"/>
    <n v="0"/>
    <n v="0"/>
    <n v="13429.77"/>
    <n v="0"/>
    <n v="0"/>
    <n v="0"/>
    <n v="0"/>
    <n v="0"/>
    <n v="0"/>
    <n v="0"/>
    <n v="0"/>
    <n v="0"/>
    <n v="0"/>
    <n v="0"/>
    <n v="0"/>
    <n v="0"/>
    <n v="0"/>
    <n v="0"/>
    <n v="0"/>
    <n v="0"/>
    <n v="0"/>
    <n v="0"/>
    <n v="0"/>
    <n v="0"/>
    <n v="0"/>
    <n v="0"/>
    <n v="0"/>
    <n v="0"/>
    <n v="0"/>
    <n v="0"/>
    <n v="0"/>
    <n v="0"/>
    <n v="0"/>
    <n v="0"/>
    <n v="0"/>
    <n v="0"/>
    <n v="0"/>
    <n v="0"/>
    <n v="0"/>
    <n v="0"/>
    <n v="25669.247475195196"/>
    <n v="27209.402323706909"/>
    <s v=" "/>
    <s v=" "/>
    <s v=" "/>
    <s v=" "/>
    <s v=" "/>
    <s v=" "/>
    <s v=" "/>
    <s v=" "/>
    <s v=" "/>
    <s v=" "/>
    <s v=" "/>
    <s v=" "/>
    <s v=" "/>
    <s v=" "/>
    <x v="23"/>
    <x v="9"/>
    <x v="0"/>
    <x v="0"/>
    <x v="0"/>
    <x v="1"/>
    <x v="0"/>
    <x v="0"/>
    <x v="23"/>
    <x v="24"/>
    <x v="1"/>
    <x v="1"/>
    <x v="0"/>
    <x v="0"/>
    <x v="0"/>
    <x v="0"/>
    <x v="0"/>
    <x v="0"/>
    <x v="0"/>
    <x v="0"/>
    <x v="0"/>
    <x v="0"/>
    <x v="0"/>
    <x v="0"/>
    <x v="0"/>
    <x v="0"/>
    <x v="0"/>
    <x v="0"/>
    <x v="0"/>
    <x v="0"/>
    <x v="0"/>
    <x v="0"/>
    <x v="14"/>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x v="3"/>
    <x v="15"/>
    <x v="9"/>
    <x v="39"/>
    <x v="3"/>
    <m/>
    <m/>
    <m/>
    <m/>
    <m/>
    <m/>
    <m/>
    <m/>
    <m/>
    <m/>
    <s v="No Drawing"/>
    <m/>
    <s v="00"/>
    <d v="2018-12-07T00:00:00"/>
    <s v="Phase 1"/>
    <s v="Year 1"/>
    <m/>
    <m/>
    <m/>
    <m/>
    <m/>
    <n v="633.58989245730015"/>
    <m/>
    <m/>
    <n v="4680"/>
    <n v="4680"/>
    <m/>
    <m/>
    <m/>
    <m/>
    <m/>
    <m/>
    <m/>
    <m/>
    <m/>
    <m/>
    <m/>
    <m/>
    <m/>
    <m/>
    <m/>
    <m/>
    <m/>
    <m/>
    <m/>
    <m/>
    <m/>
    <m/>
    <m/>
    <m/>
    <n v="2559.3521264999999"/>
    <m/>
    <m/>
    <m/>
    <m/>
    <m/>
    <m/>
    <m/>
    <m/>
    <m/>
    <m/>
    <m/>
    <m/>
    <m/>
    <m/>
    <m/>
    <m/>
    <m/>
    <m/>
    <m/>
    <m/>
    <m/>
    <m/>
    <m/>
    <m/>
    <m/>
    <m/>
    <m/>
    <m/>
    <m/>
    <m/>
    <m/>
    <m/>
    <m/>
    <m/>
    <m/>
    <m/>
    <m/>
    <m/>
    <m/>
    <m/>
    <m/>
    <m/>
    <m/>
    <m/>
    <m/>
    <m/>
    <m/>
    <m/>
    <m/>
    <m/>
    <m/>
    <m/>
    <m/>
    <m/>
    <m/>
    <m/>
    <m/>
    <m/>
    <m/>
    <m/>
    <n v="0"/>
    <n v="0"/>
    <n v="0"/>
    <n v="0"/>
    <n v="0"/>
    <n v="53855.140858870516"/>
    <n v="0"/>
    <n v="0"/>
    <n v="23400"/>
    <n v="46800"/>
    <n v="0"/>
    <n v="0"/>
    <n v="0"/>
    <n v="0"/>
    <n v="0"/>
    <n v="0"/>
    <n v="0"/>
    <n v="0"/>
    <n v="0"/>
    <n v="0"/>
    <n v="307122.25517999998"/>
    <n v="0"/>
    <n v="0"/>
    <n v="0"/>
    <n v="0"/>
    <n v="0"/>
    <n v="0"/>
    <n v="0"/>
    <n v="0"/>
    <n v="0"/>
    <n v="0"/>
    <n v="0"/>
    <n v="0"/>
    <n v="0"/>
    <n v="0"/>
    <n v="0"/>
    <n v="0"/>
    <n v="0"/>
    <n v="0"/>
    <n v="0"/>
    <n v="0"/>
    <n v="0"/>
    <n v="0"/>
    <n v="0"/>
    <n v="0"/>
    <n v="0"/>
    <n v="0"/>
    <n v="0"/>
    <n v="0"/>
    <n v="0"/>
    <n v="0"/>
    <n v="0"/>
    <n v="0"/>
    <n v="0"/>
    <n v="0"/>
    <n v="0"/>
    <n v="0"/>
    <n v="0"/>
    <n v="431177.3960388705"/>
    <n v="457048.03980120277"/>
    <s v=" "/>
    <s v=" "/>
    <s v=" "/>
    <s v=" "/>
    <s v=" "/>
    <s v=" "/>
    <s v=" "/>
    <s v=" "/>
    <s v=" "/>
    <s v=" "/>
    <s v=" "/>
    <s v=" "/>
    <s v=" "/>
    <s v=" "/>
    <x v="0"/>
    <x v="0"/>
    <x v="0"/>
    <x v="0"/>
    <x v="0"/>
    <x v="25"/>
    <x v="0"/>
    <x v="0"/>
    <x v="24"/>
    <x v="25"/>
    <x v="1"/>
    <x v="1"/>
    <x v="0"/>
    <x v="0"/>
    <x v="0"/>
    <x v="0"/>
    <x v="0"/>
    <x v="0"/>
    <x v="0"/>
    <x v="0"/>
    <x v="0"/>
    <x v="0"/>
    <x v="0"/>
    <x v="0"/>
    <x v="0"/>
    <x v="0"/>
    <x v="0"/>
    <x v="0"/>
    <x v="0"/>
    <x v="0"/>
    <x v="0"/>
    <x v="0"/>
    <x v="15"/>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x v="4"/>
    <x v="13"/>
    <x v="8"/>
    <x v="40"/>
    <x v="3"/>
    <n v="29.983797839000001"/>
    <n v="-25.820813322999999"/>
    <s v="29° 59' 01.67&quot;E "/>
    <s v="25° 49' 14.92&quot; S"/>
    <s v="Complete"/>
    <s v="Yes"/>
    <s v="Yes"/>
    <m/>
    <s v="DONE"/>
    <s v="YES"/>
    <s v="NBC-GTH-CL-0001"/>
    <s v="Yes"/>
    <s v="01"/>
    <d v="2018-12-07T00:00:00"/>
    <s v="Phase 1"/>
    <s v="Year 1"/>
    <m/>
    <m/>
    <m/>
    <m/>
    <m/>
    <n v="6.2640000000000002"/>
    <m/>
    <m/>
    <m/>
    <m/>
    <m/>
    <m/>
    <n v="6.2640000000000002"/>
    <m/>
    <m/>
    <m/>
    <m/>
    <m/>
    <m/>
    <m/>
    <m/>
    <m/>
    <m/>
    <m/>
    <m/>
    <m/>
    <m/>
    <m/>
    <m/>
    <m/>
    <m/>
    <m/>
    <m/>
    <m/>
    <m/>
    <m/>
    <m/>
    <m/>
    <m/>
    <m/>
    <m/>
    <m/>
    <m/>
    <m/>
    <m/>
    <m/>
    <m/>
    <m/>
    <m/>
    <m/>
    <m/>
    <m/>
    <m/>
    <m/>
    <m/>
    <m/>
    <m/>
    <m/>
    <m/>
    <m/>
    <m/>
    <m/>
    <m/>
    <m/>
    <m/>
    <m/>
    <m/>
    <m/>
    <m/>
    <m/>
    <m/>
    <m/>
    <m/>
    <m/>
    <m/>
    <m/>
    <m/>
    <m/>
    <m/>
    <m/>
    <m/>
    <m/>
    <m/>
    <m/>
    <m/>
    <m/>
    <m/>
    <m/>
    <m/>
    <m/>
    <m/>
    <m/>
    <m/>
    <m/>
    <m/>
    <n v="0"/>
    <n v="0"/>
    <n v="0"/>
    <n v="0"/>
    <n v="0"/>
    <n v="532.44000000000005"/>
    <n v="0"/>
    <n v="0"/>
    <n v="0"/>
    <n v="0"/>
    <n v="0"/>
    <n v="12528"/>
    <n v="0"/>
    <n v="0"/>
    <n v="0"/>
    <n v="0"/>
    <n v="0"/>
    <n v="0"/>
    <n v="0"/>
    <n v="0"/>
    <n v="0"/>
    <n v="0"/>
    <n v="0"/>
    <n v="0"/>
    <n v="0"/>
    <n v="0"/>
    <n v="0"/>
    <n v="0"/>
    <n v="0"/>
    <n v="0"/>
    <n v="0"/>
    <n v="0"/>
    <n v="0"/>
    <n v="0"/>
    <n v="0"/>
    <n v="0"/>
    <n v="0"/>
    <n v="0"/>
    <n v="0"/>
    <n v="0"/>
    <n v="0"/>
    <n v="0"/>
    <n v="0"/>
    <n v="0"/>
    <n v="0"/>
    <n v="0"/>
    <n v="0"/>
    <n v="0"/>
    <n v="0"/>
    <n v="0"/>
    <n v="0"/>
    <n v="0"/>
    <n v="0"/>
    <n v="0"/>
    <n v="0"/>
    <n v="0"/>
    <n v="0"/>
    <n v="0"/>
    <n v="13060.44"/>
    <n v="13844.066400000002"/>
    <s v=" "/>
    <s v=" "/>
    <s v=" "/>
    <s v=" "/>
    <s v=" "/>
    <s v=" "/>
    <s v=" "/>
    <s v=" "/>
    <s v=" "/>
    <s v=" "/>
    <s v=" "/>
    <s v=" "/>
    <s v=" "/>
    <s v=" "/>
    <x v="0"/>
    <x v="0"/>
    <x v="0"/>
    <x v="0"/>
    <x v="0"/>
    <x v="26"/>
    <x v="0"/>
    <x v="0"/>
    <x v="0"/>
    <x v="4"/>
    <x v="1"/>
    <x v="1"/>
    <x v="2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x v="4"/>
    <x v="11"/>
    <x v="0"/>
    <x v="41"/>
    <x v="3"/>
    <n v="29.979451110999999"/>
    <n v="-25.818825"/>
    <s v="29° 58' 46.02&quot;E "/>
    <s v="25° 49' 07.77&quot; S"/>
    <s v="Complete"/>
    <s v="Yes"/>
    <s v="Yes"/>
    <d v="2017-05-31T00:00:00"/>
    <s v="NA"/>
    <s v="NA"/>
    <s v="No Drawing"/>
    <s v="Yes"/>
    <s v="00"/>
    <d v="2018-06-16T00:00:00"/>
    <s v="Phase 1"/>
    <s v="Year 1"/>
    <n v="619.28940112107443"/>
    <n v="185.54374999999999"/>
    <n v="0"/>
    <n v="0"/>
    <n v="0"/>
    <n v="0"/>
    <n v="0"/>
    <n v="0"/>
    <n v="619.28940112107443"/>
    <n v="619.28940112107443"/>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n v="3096.4470056053724"/>
    <n v="9277.1875"/>
    <n v="0"/>
    <n v="0"/>
    <n v="0"/>
    <n v="0"/>
    <n v="0"/>
    <n v="0"/>
    <n v="3096.4470056053724"/>
    <n v="6192.8940112107448"/>
    <n v="0"/>
    <n v="0"/>
    <n v="0"/>
    <n v="0"/>
    <n v="0"/>
    <n v="0"/>
    <n v="0"/>
    <n v="0"/>
    <n v="0"/>
    <n v="0"/>
    <n v="0"/>
    <n v="0"/>
    <n v="0"/>
    <n v="0"/>
    <n v="0"/>
    <n v="0"/>
    <n v="0"/>
    <n v="0"/>
    <n v="0"/>
    <n v="0"/>
    <n v="0"/>
    <n v="0"/>
    <n v="0"/>
    <n v="0"/>
    <n v="0"/>
    <n v="0"/>
    <n v="0"/>
    <n v="0"/>
    <n v="0"/>
    <n v="0"/>
    <n v="0"/>
    <n v="0"/>
    <n v="0"/>
    <n v="0"/>
    <n v="0"/>
    <n v="0"/>
    <n v="0"/>
    <n v="0"/>
    <n v="0"/>
    <n v="0"/>
    <n v="0"/>
    <n v="0"/>
    <n v="0"/>
    <n v="0"/>
    <n v="0"/>
    <n v="0"/>
    <n v="0"/>
    <n v="0"/>
    <n v="21662.97552242149"/>
    <n v="22962.754053766781"/>
    <s v=" "/>
    <s v=" "/>
    <s v=" "/>
    <s v=" "/>
    <s v=" "/>
    <s v=" "/>
    <s v=" "/>
    <s v=" "/>
    <s v=" "/>
    <s v=" "/>
    <s v=" "/>
    <s v=" "/>
    <s v=" "/>
    <s v=" "/>
    <x v="24"/>
    <x v="10"/>
    <x v="0"/>
    <x v="0"/>
    <x v="0"/>
    <x v="1"/>
    <x v="0"/>
    <x v="0"/>
    <x v="25"/>
    <x v="26"/>
    <x v="1"/>
    <x v="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x v="4"/>
    <x v="16"/>
    <x v="10"/>
    <x v="42"/>
    <x v="3"/>
    <n v="29.981869703000001"/>
    <n v="-25.819381408000002"/>
    <s v="29° 58' 54.73&quot;E "/>
    <s v="25° 49' 09.77&quot; S"/>
    <s v="Complete"/>
    <s v="Yes"/>
    <s v="Yes"/>
    <d v="2017-04-10T00:00:00"/>
    <s v="NA"/>
    <s v="NA"/>
    <s v="No Drawing"/>
    <s v="Yes"/>
    <s v="00"/>
    <d v="2018-06-16T00:00:00"/>
    <s v="Phase 1"/>
    <s v="Year 1"/>
    <n v="3846.9783781018737"/>
    <n v="0"/>
    <n v="0"/>
    <n v="0"/>
    <n v="0"/>
    <n v="980"/>
    <n v="0"/>
    <n v="0"/>
    <n v="3846.9783781018737"/>
    <n v="3846.9783781018737"/>
    <n v="0"/>
    <n v="0"/>
    <n v="0"/>
    <n v="0"/>
    <n v="0"/>
    <n v="0"/>
    <n v="0"/>
    <n v="0"/>
    <n v="0"/>
    <n v="0"/>
    <n v="0"/>
    <n v="0"/>
    <n v="0"/>
    <n v="0"/>
    <n v="0"/>
    <n v="0"/>
    <n v="0"/>
    <n v="0"/>
    <n v="0"/>
    <n v="0"/>
    <n v="0"/>
    <n v="0"/>
    <n v="0"/>
    <n v="0"/>
    <n v="3200"/>
    <n v="0"/>
    <n v="0"/>
    <n v="0"/>
    <n v="0"/>
    <n v="0"/>
    <n v="0"/>
    <n v="0"/>
    <n v="0"/>
    <n v="0"/>
    <n v="0"/>
    <n v="0"/>
    <n v="0"/>
    <n v="0"/>
    <n v="0"/>
    <n v="0"/>
    <n v="0"/>
    <n v="0"/>
    <n v="0"/>
    <n v="0"/>
    <n v="0"/>
    <n v="0"/>
    <n v="0"/>
    <n v="0"/>
    <n v="0"/>
    <n v="0"/>
    <n v="0"/>
    <n v="0"/>
    <n v="0"/>
    <n v="0"/>
    <n v="0"/>
    <n v="0"/>
    <n v="0"/>
    <n v="0"/>
    <n v="0"/>
    <n v="0"/>
    <n v="0"/>
    <n v="0"/>
    <n v="0"/>
    <n v="0"/>
    <n v="0"/>
    <m/>
    <m/>
    <m/>
    <m/>
    <m/>
    <m/>
    <m/>
    <m/>
    <m/>
    <m/>
    <m/>
    <m/>
    <m/>
    <m/>
    <m/>
    <m/>
    <m/>
    <m/>
    <m/>
    <m/>
    <n v="19234.891890509367"/>
    <n v="0"/>
    <n v="0"/>
    <n v="0"/>
    <n v="0"/>
    <n v="83300"/>
    <n v="0"/>
    <n v="0"/>
    <n v="19234.891890509367"/>
    <n v="38469.783781018734"/>
    <n v="0"/>
    <n v="0"/>
    <n v="0"/>
    <n v="0"/>
    <n v="0"/>
    <n v="0"/>
    <n v="0"/>
    <n v="0"/>
    <n v="0"/>
    <n v="0"/>
    <n v="384000"/>
    <n v="0"/>
    <n v="0"/>
    <n v="0"/>
    <n v="0"/>
    <n v="0"/>
    <n v="0"/>
    <n v="0"/>
    <n v="0"/>
    <n v="0"/>
    <n v="0"/>
    <n v="0"/>
    <n v="0"/>
    <n v="0"/>
    <n v="0"/>
    <n v="0"/>
    <n v="0"/>
    <n v="0"/>
    <n v="0"/>
    <n v="0"/>
    <n v="0"/>
    <n v="0"/>
    <n v="0"/>
    <n v="0"/>
    <n v="0"/>
    <n v="0"/>
    <n v="0"/>
    <n v="0"/>
    <n v="0"/>
    <n v="0"/>
    <n v="0"/>
    <n v="0"/>
    <n v="0"/>
    <n v="0"/>
    <n v="0"/>
    <n v="0"/>
    <n v="0"/>
    <n v="0"/>
    <n v="544239.5675620375"/>
    <n v="576893.94161575974"/>
    <s v=" "/>
    <s v=" "/>
    <s v=" "/>
    <s v=" "/>
    <s v=" "/>
    <s v=" "/>
    <s v=" "/>
    <s v=" "/>
    <s v=" "/>
    <s v=" "/>
    <s v=" "/>
    <s v=" "/>
    <s v=" "/>
    <s v=" "/>
    <x v="25"/>
    <x v="0"/>
    <x v="0"/>
    <x v="0"/>
    <x v="0"/>
    <x v="27"/>
    <x v="0"/>
    <x v="0"/>
    <x v="26"/>
    <x v="27"/>
    <x v="1"/>
    <x v="1"/>
    <x v="0"/>
    <x v="0"/>
    <x v="0"/>
    <x v="0"/>
    <x v="0"/>
    <x v="0"/>
    <x v="0"/>
    <x v="0"/>
    <x v="0"/>
    <x v="0"/>
    <x v="0"/>
    <x v="0"/>
    <x v="0"/>
    <x v="0"/>
    <x v="0"/>
    <x v="0"/>
    <x v="0"/>
    <x v="0"/>
    <x v="0"/>
    <x v="0"/>
    <x v="16"/>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x v="5"/>
    <x v="17"/>
    <x v="7"/>
    <x v="43"/>
    <x v="4"/>
    <n v="30.004463610999998"/>
    <n v="-25.827991944000001"/>
    <s v="30° 00' 16.06&quot;E "/>
    <s v="25° 49' 40.77&quot; S"/>
    <s v="Complete"/>
    <s v="Yes"/>
    <s v="Yes"/>
    <d v="2017-04-26T00:00:00"/>
    <s v="NA"/>
    <s v="NA"/>
    <s v="No Drawing"/>
    <s v="Yes"/>
    <s v="00"/>
    <d v="2018-06-16T00:00:00"/>
    <s v="Phase 1"/>
    <s v="Year 1"/>
    <n v="494.87334053189176"/>
    <m/>
    <m/>
    <m/>
    <m/>
    <m/>
    <m/>
    <m/>
    <n v="494.87334053189176"/>
    <n v="494.87334053189176"/>
    <m/>
    <m/>
    <m/>
    <m/>
    <m/>
    <m/>
    <m/>
    <m/>
    <m/>
    <m/>
    <m/>
    <m/>
    <m/>
    <m/>
    <m/>
    <m/>
    <m/>
    <m/>
    <m/>
    <m/>
    <m/>
    <m/>
    <m/>
    <m/>
    <n v="103.38"/>
    <m/>
    <m/>
    <m/>
    <m/>
    <m/>
    <m/>
    <m/>
    <m/>
    <m/>
    <m/>
    <m/>
    <m/>
    <m/>
    <m/>
    <m/>
    <m/>
    <m/>
    <m/>
    <m/>
    <m/>
    <m/>
    <m/>
    <m/>
    <m/>
    <m/>
    <m/>
    <m/>
    <m/>
    <m/>
    <m/>
    <m/>
    <m/>
    <m/>
    <m/>
    <m/>
    <m/>
    <m/>
    <m/>
    <m/>
    <m/>
    <m/>
    <m/>
    <m/>
    <m/>
    <m/>
    <m/>
    <m/>
    <m/>
    <m/>
    <m/>
    <m/>
    <m/>
    <m/>
    <m/>
    <m/>
    <m/>
    <m/>
    <m/>
    <m/>
    <m/>
    <n v="2474.366702659459"/>
    <n v="0"/>
    <n v="0"/>
    <n v="0"/>
    <n v="0"/>
    <n v="0"/>
    <n v="0"/>
    <n v="0"/>
    <n v="2474.366702659459"/>
    <n v="4948.7334053189179"/>
    <n v="0"/>
    <n v="0"/>
    <n v="0"/>
    <n v="0"/>
    <n v="0"/>
    <n v="0"/>
    <n v="0"/>
    <n v="0"/>
    <n v="0"/>
    <n v="0"/>
    <n v="12405.599999999999"/>
    <n v="0"/>
    <n v="0"/>
    <n v="0"/>
    <n v="0"/>
    <n v="0"/>
    <n v="0"/>
    <n v="0"/>
    <n v="0"/>
    <n v="0"/>
    <n v="0"/>
    <n v="0"/>
    <n v="0"/>
    <n v="0"/>
    <n v="0"/>
    <n v="0"/>
    <n v="0"/>
    <n v="0"/>
    <n v="0"/>
    <n v="0"/>
    <n v="0"/>
    <n v="0"/>
    <n v="0"/>
    <n v="0"/>
    <n v="0"/>
    <n v="0"/>
    <n v="0"/>
    <n v="0"/>
    <n v="0"/>
    <n v="0"/>
    <n v="0"/>
    <n v="0"/>
    <n v="0"/>
    <n v="0"/>
    <n v="0"/>
    <n v="0"/>
    <n v="0"/>
    <n v="0"/>
    <n v="22303.066810637836"/>
    <n v="23641.250819276109"/>
    <s v=" "/>
    <s v=" "/>
    <s v=" "/>
    <s v=" "/>
    <s v=" "/>
    <s v=" "/>
    <s v=" "/>
    <s v=" "/>
    <s v=" "/>
    <s v=" "/>
    <s v=" "/>
    <s v=" "/>
    <s v=" "/>
    <s v=" "/>
    <x v="26"/>
    <x v="0"/>
    <x v="0"/>
    <x v="0"/>
    <x v="0"/>
    <x v="1"/>
    <x v="0"/>
    <x v="0"/>
    <x v="27"/>
    <x v="28"/>
    <x v="1"/>
    <x v="1"/>
    <x v="0"/>
    <x v="0"/>
    <x v="0"/>
    <x v="0"/>
    <x v="0"/>
    <x v="0"/>
    <x v="0"/>
    <x v="0"/>
    <x v="0"/>
    <x v="0"/>
    <x v="0"/>
    <x v="0"/>
    <x v="0"/>
    <x v="0"/>
    <x v="0"/>
    <x v="0"/>
    <x v="0"/>
    <x v="0"/>
    <x v="0"/>
    <x v="0"/>
    <x v="17"/>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x v="5"/>
    <x v="18"/>
    <x v="7"/>
    <x v="44"/>
    <x v="4"/>
    <n v="30.004084444"/>
    <n v="-25.828354443999999"/>
    <s v="30° 00' 14.70&quot;E "/>
    <s v="25° 49' 42.07&quot; S"/>
    <s v="Complete"/>
    <s v="Yes"/>
    <s v="Yes"/>
    <d v="2017-04-26T00:00:00"/>
    <s v="YES "/>
    <s v="NO"/>
    <s v="No Drawing"/>
    <s v="Yes"/>
    <s v="00"/>
    <d v="2018-06-16T00:00:00"/>
    <s v="Phase 1"/>
    <s v="Year 1"/>
    <n v="400.2"/>
    <n v="89.7"/>
    <n v="0"/>
    <n v="0"/>
    <n v="0"/>
    <n v="0"/>
    <n v="0"/>
    <n v="0"/>
    <n v="283.94775771874447"/>
    <n v="283.94775771874447"/>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n v="2001"/>
    <n v="4485"/>
    <n v="0"/>
    <n v="0"/>
    <n v="0"/>
    <n v="0"/>
    <n v="0"/>
    <n v="0"/>
    <n v="1419.7387885937223"/>
    <n v="2839.4775771874447"/>
    <n v="0"/>
    <n v="0"/>
    <n v="0"/>
    <n v="0"/>
    <n v="0"/>
    <n v="0"/>
    <n v="0"/>
    <n v="0"/>
    <n v="0"/>
    <n v="0"/>
    <n v="0"/>
    <n v="0"/>
    <n v="0"/>
    <n v="0"/>
    <n v="0"/>
    <n v="0"/>
    <n v="0"/>
    <n v="0"/>
    <n v="0"/>
    <n v="0"/>
    <n v="0"/>
    <n v="0"/>
    <n v="0"/>
    <n v="0"/>
    <n v="0"/>
    <n v="0"/>
    <n v="0"/>
    <n v="0"/>
    <n v="0"/>
    <n v="0"/>
    <n v="0"/>
    <n v="0"/>
    <n v="0"/>
    <n v="0"/>
    <n v="0"/>
    <n v="0"/>
    <n v="0"/>
    <n v="0"/>
    <n v="0"/>
    <n v="0"/>
    <n v="0"/>
    <n v="0"/>
    <n v="0"/>
    <n v="0"/>
    <n v="0"/>
    <n v="0"/>
    <n v="0"/>
    <n v="0"/>
    <n v="10745.216365781167"/>
    <n v="11389.929347728037"/>
    <s v=" "/>
    <s v=" "/>
    <s v=" "/>
    <s v=" "/>
    <s v=" "/>
    <s v=" "/>
    <s v=" "/>
    <s v=" "/>
    <s v=" "/>
    <s v=" "/>
    <s v=" "/>
    <s v=" "/>
    <s v=" "/>
    <s v=" "/>
    <x v="27"/>
    <x v="11"/>
    <x v="0"/>
    <x v="0"/>
    <x v="0"/>
    <x v="1"/>
    <x v="0"/>
    <x v="0"/>
    <x v="28"/>
    <x v="29"/>
    <x v="1"/>
    <x v="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x v="5"/>
    <x v="19"/>
    <x v="11"/>
    <x v="45"/>
    <x v="4"/>
    <n v="29.999881943999998"/>
    <n v="-25.827392222"/>
    <s v="29° 59' 59.57&quot;E "/>
    <s v="25° 49' 38.61&quot; S"/>
    <s v="Complete"/>
    <s v="Yes"/>
    <s v="Yes"/>
    <d v="2017-04-26T00:00:00"/>
    <s v="YES "/>
    <m/>
    <s v="NBC-GTW-CL-0052"/>
    <s v="Yes"/>
    <s v="01"/>
    <d v="2018-12-07T00:00:00"/>
    <s v="Phase 1"/>
    <s v="Year 1"/>
    <n v="0"/>
    <n v="0"/>
    <n v="0"/>
    <n v="0"/>
    <n v="0"/>
    <n v="14.219999999999999"/>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79"/>
    <n v="0"/>
    <n v="0"/>
    <n v="0"/>
    <n v="0"/>
    <n v="0"/>
    <n v="0"/>
    <n v="0"/>
    <n v="0"/>
    <n v="0"/>
    <n v="0"/>
    <n v="0"/>
    <n v="0"/>
    <n v="0"/>
    <n v="0"/>
    <n v="0"/>
    <n v="0"/>
    <n v="0"/>
    <n v="0"/>
    <n v="0"/>
    <n v="0"/>
    <n v="0"/>
    <n v="0"/>
    <n v="0"/>
    <m/>
    <m/>
    <m/>
    <m/>
    <m/>
    <m/>
    <m/>
    <m/>
    <m/>
    <n v="0"/>
    <n v="0"/>
    <n v="0"/>
    <n v="0"/>
    <n v="0"/>
    <n v="1208.6999999999998"/>
    <n v="0"/>
    <n v="0"/>
    <n v="0"/>
    <n v="0"/>
    <n v="0"/>
    <n v="0"/>
    <n v="0"/>
    <n v="0"/>
    <n v="0"/>
    <n v="0"/>
    <n v="0"/>
    <n v="0"/>
    <n v="0"/>
    <n v="0"/>
    <n v="0"/>
    <n v="0"/>
    <n v="0"/>
    <n v="0"/>
    <n v="0"/>
    <n v="0"/>
    <n v="71100"/>
    <n v="0"/>
    <n v="0"/>
    <n v="0"/>
    <n v="0"/>
    <n v="0"/>
    <n v="0"/>
    <n v="0"/>
    <n v="0"/>
    <n v="0"/>
    <n v="0"/>
    <n v="0"/>
    <n v="0"/>
    <n v="0"/>
    <n v="0"/>
    <n v="0"/>
    <n v="0"/>
    <n v="0"/>
    <n v="0"/>
    <n v="0"/>
    <n v="0"/>
    <n v="0"/>
    <n v="0"/>
    <n v="0"/>
    <n v="0"/>
    <n v="0"/>
    <n v="0"/>
    <n v="0"/>
    <n v="0"/>
    <n v="0"/>
    <n v="0"/>
    <n v="0"/>
    <n v="72308.7"/>
    <n v="76647.221999999994"/>
    <s v=" "/>
    <s v=" "/>
    <s v=" "/>
    <s v=" "/>
    <s v=" "/>
    <s v=" "/>
    <s v=" "/>
    <s v=" "/>
    <s v=" "/>
    <s v=" "/>
    <s v=" "/>
    <s v=" "/>
    <s v=" "/>
    <s v=" "/>
    <x v="0"/>
    <x v="0"/>
    <x v="0"/>
    <x v="0"/>
    <x v="0"/>
    <x v="28"/>
    <x v="0"/>
    <x v="0"/>
    <x v="0"/>
    <x v="4"/>
    <x v="1"/>
    <x v="1"/>
    <x v="0"/>
    <x v="0"/>
    <x v="0"/>
    <x v="0"/>
    <x v="0"/>
    <x v="0"/>
    <x v="0"/>
    <x v="0"/>
    <x v="0"/>
    <x v="0"/>
    <x v="0"/>
    <x v="0"/>
    <x v="0"/>
    <x v="0"/>
    <x v="0"/>
    <x v="0"/>
    <x v="0"/>
    <x v="0"/>
    <x v="0"/>
    <x v="0"/>
    <x v="0"/>
    <x v="0"/>
    <x v="0"/>
    <x v="0"/>
    <x v="0"/>
    <x v="0"/>
    <x v="0"/>
    <x v="0"/>
    <x v="0"/>
    <x v="0"/>
    <x v="0"/>
    <x v="0"/>
    <x v="0"/>
    <x v="0"/>
    <x v="0"/>
    <x v="0"/>
    <x v="0"/>
    <x v="0"/>
    <x v="0"/>
    <x v="0"/>
    <x v="0"/>
    <x v="0"/>
    <x v="0"/>
    <x v="0"/>
    <x v="0"/>
    <x v="0"/>
    <x v="0"/>
    <x v="0"/>
    <x v="1"/>
    <x v="0"/>
    <x v="0"/>
    <x v="0"/>
    <x v="0"/>
    <x v="0"/>
    <x v="0"/>
    <x v="0"/>
    <x v="0"/>
    <x v="0"/>
    <x v="0"/>
    <x v="0"/>
    <x v="0"/>
    <x v="0"/>
    <x v="0"/>
    <x v="0"/>
    <x v="0"/>
    <x v="0"/>
    <x v="0"/>
    <x v="0"/>
    <x v="0"/>
    <x v="0"/>
    <x v="0"/>
    <x v="0"/>
    <x v="0"/>
    <x v="0"/>
    <x v="0"/>
    <x v="0"/>
    <x v="0"/>
    <x v="0"/>
    <x v="0"/>
    <x v="0"/>
    <x v="0"/>
  </r>
  <r>
    <x v="5"/>
    <x v="17"/>
    <x v="7"/>
    <x v="46"/>
    <x v="4"/>
    <n v="29.999696389"/>
    <n v="-25.827376389000001"/>
    <s v="29° 59' 58.90&quot;E "/>
    <s v="25° 49' 38.55&quot; S"/>
    <s v="Complete"/>
    <s v="Yes"/>
    <s v="Yes"/>
    <d v="2017-04-26T00:00:00"/>
    <s v="NA"/>
    <s v="NA"/>
    <s v="No Drawing"/>
    <s v="Yes"/>
    <s v="00"/>
    <d v="2018-06-16T00:00:00"/>
    <s v="Phase 1"/>
    <s v="Year 1"/>
    <n v="494.08980828513762"/>
    <m/>
    <m/>
    <m/>
    <m/>
    <m/>
    <m/>
    <m/>
    <n v="480"/>
    <n v="480"/>
    <m/>
    <m/>
    <m/>
    <m/>
    <m/>
    <m/>
    <m/>
    <m/>
    <m/>
    <m/>
    <m/>
    <m/>
    <m/>
    <m/>
    <m/>
    <m/>
    <m/>
    <m/>
    <m/>
    <m/>
    <m/>
    <m/>
    <m/>
    <m/>
    <n v="69.080000000000013"/>
    <m/>
    <m/>
    <m/>
    <m/>
    <m/>
    <m/>
    <m/>
    <m/>
    <m/>
    <m/>
    <m/>
    <m/>
    <m/>
    <m/>
    <m/>
    <m/>
    <m/>
    <m/>
    <m/>
    <m/>
    <m/>
    <m/>
    <m/>
    <m/>
    <m/>
    <m/>
    <m/>
    <m/>
    <m/>
    <m/>
    <m/>
    <m/>
    <m/>
    <m/>
    <m/>
    <m/>
    <m/>
    <m/>
    <m/>
    <m/>
    <m/>
    <m/>
    <m/>
    <m/>
    <m/>
    <m/>
    <m/>
    <m/>
    <m/>
    <m/>
    <m/>
    <m/>
    <m/>
    <m/>
    <m/>
    <m/>
    <m/>
    <m/>
    <m/>
    <m/>
    <n v="2470.4490414256879"/>
    <n v="0"/>
    <n v="0"/>
    <n v="0"/>
    <n v="0"/>
    <n v="0"/>
    <n v="0"/>
    <n v="0"/>
    <n v="2400"/>
    <n v="4800"/>
    <n v="0"/>
    <n v="0"/>
    <n v="0"/>
    <n v="0"/>
    <n v="0"/>
    <n v="0"/>
    <n v="0"/>
    <n v="0"/>
    <n v="0"/>
    <n v="0"/>
    <n v="8289.6000000000022"/>
    <n v="0"/>
    <n v="0"/>
    <n v="0"/>
    <n v="0"/>
    <n v="0"/>
    <n v="0"/>
    <n v="0"/>
    <n v="0"/>
    <n v="0"/>
    <n v="0"/>
    <n v="0"/>
    <n v="0"/>
    <n v="0"/>
    <n v="0"/>
    <n v="0"/>
    <n v="0"/>
    <n v="0"/>
    <n v="0"/>
    <n v="0"/>
    <n v="0"/>
    <n v="0"/>
    <n v="0"/>
    <n v="0"/>
    <n v="0"/>
    <n v="0"/>
    <n v="0"/>
    <n v="0"/>
    <n v="0"/>
    <n v="0"/>
    <n v="0"/>
    <n v="0"/>
    <n v="0"/>
    <n v="0"/>
    <n v="0"/>
    <n v="0"/>
    <n v="0"/>
    <n v="0"/>
    <n v="17960.049041425689"/>
    <n v="19037.65198391123"/>
    <s v=" "/>
    <s v=" "/>
    <s v=" "/>
    <s v=" "/>
    <s v=" "/>
    <s v=" "/>
    <s v=" "/>
    <s v=" "/>
    <s v=" "/>
    <s v=" "/>
    <s v=" "/>
    <s v=" "/>
    <s v=" "/>
    <s v=" "/>
    <x v="28"/>
    <x v="0"/>
    <x v="0"/>
    <x v="0"/>
    <x v="0"/>
    <x v="1"/>
    <x v="0"/>
    <x v="0"/>
    <x v="29"/>
    <x v="30"/>
    <x v="1"/>
    <x v="1"/>
    <x v="0"/>
    <x v="0"/>
    <x v="0"/>
    <x v="0"/>
    <x v="0"/>
    <x v="0"/>
    <x v="0"/>
    <x v="0"/>
    <x v="0"/>
    <x v="0"/>
    <x v="0"/>
    <x v="0"/>
    <x v="0"/>
    <x v="0"/>
    <x v="0"/>
    <x v="0"/>
    <x v="0"/>
    <x v="0"/>
    <x v="0"/>
    <x v="0"/>
    <x v="18"/>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x v="5"/>
    <x v="19"/>
    <x v="11"/>
    <x v="47"/>
    <x v="4"/>
    <n v="29.991453611000001"/>
    <n v="-25.825574444000001"/>
    <s v="29° 59' 29.23&quot;E "/>
    <s v="25° 49' 32.06&quot; S"/>
    <s v="Complete"/>
    <s v="Yes"/>
    <s v="Yes"/>
    <d v="2017-04-26T00:00:00"/>
    <s v="YES "/>
    <s v="NO"/>
    <s v="NBC-GTW-CL-0048"/>
    <s v="Yes"/>
    <s v="01"/>
    <d v="2018-12-07T00:00:00"/>
    <s v="Phase 1"/>
    <s v="Year 1"/>
    <n v="0"/>
    <n v="0"/>
    <n v="0"/>
    <n v="0"/>
    <n v="0"/>
    <n v="18.36"/>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102"/>
    <n v="0"/>
    <n v="0"/>
    <n v="0"/>
    <n v="0"/>
    <n v="0"/>
    <n v="0"/>
    <n v="0"/>
    <n v="0"/>
    <n v="0"/>
    <n v="0"/>
    <n v="0"/>
    <n v="0"/>
    <n v="0"/>
    <n v="0"/>
    <n v="0"/>
    <n v="0"/>
    <n v="0"/>
    <n v="0"/>
    <n v="0"/>
    <n v="0"/>
    <n v="0"/>
    <n v="0"/>
    <n v="0"/>
    <m/>
    <m/>
    <m/>
    <m/>
    <m/>
    <m/>
    <m/>
    <m/>
    <m/>
    <n v="0"/>
    <n v="0"/>
    <n v="0"/>
    <n v="0"/>
    <n v="0"/>
    <n v="1560.6"/>
    <n v="0"/>
    <n v="0"/>
    <n v="0"/>
    <n v="0"/>
    <n v="0"/>
    <n v="0"/>
    <n v="0"/>
    <n v="0"/>
    <n v="0"/>
    <n v="0"/>
    <n v="0"/>
    <n v="0"/>
    <n v="0"/>
    <n v="0"/>
    <n v="0"/>
    <n v="0"/>
    <n v="0"/>
    <n v="0"/>
    <n v="0"/>
    <n v="0"/>
    <n v="91800"/>
    <n v="0"/>
    <n v="0"/>
    <n v="0"/>
    <n v="0"/>
    <n v="0"/>
    <n v="0"/>
    <n v="0"/>
    <n v="0"/>
    <n v="0"/>
    <n v="0"/>
    <n v="0"/>
    <n v="0"/>
    <n v="0"/>
    <n v="0"/>
    <n v="0"/>
    <n v="0"/>
    <n v="0"/>
    <n v="0"/>
    <n v="0"/>
    <n v="0"/>
    <n v="0"/>
    <n v="0"/>
    <n v="0"/>
    <n v="0"/>
    <n v="0"/>
    <n v="0"/>
    <n v="0"/>
    <n v="0"/>
    <n v="0"/>
    <n v="0"/>
    <n v="0"/>
    <n v="93360.6"/>
    <n v="98962.236000000004"/>
    <s v=" "/>
    <s v=" "/>
    <s v=" "/>
    <s v=" "/>
    <s v=" "/>
    <s v=" "/>
    <s v=" "/>
    <s v=" "/>
    <s v=" "/>
    <s v=" "/>
    <s v=" "/>
    <s v=" "/>
    <s v=" "/>
    <s v=" "/>
    <x v="0"/>
    <x v="0"/>
    <x v="0"/>
    <x v="0"/>
    <x v="0"/>
    <x v="29"/>
    <x v="0"/>
    <x v="0"/>
    <x v="0"/>
    <x v="4"/>
    <x v="1"/>
    <x v="1"/>
    <x v="0"/>
    <x v="0"/>
    <x v="0"/>
    <x v="0"/>
    <x v="0"/>
    <x v="0"/>
    <x v="0"/>
    <x v="0"/>
    <x v="0"/>
    <x v="0"/>
    <x v="0"/>
    <x v="0"/>
    <x v="0"/>
    <x v="0"/>
    <x v="0"/>
    <x v="0"/>
    <x v="0"/>
    <x v="0"/>
    <x v="0"/>
    <x v="0"/>
    <x v="0"/>
    <x v="0"/>
    <x v="0"/>
    <x v="0"/>
    <x v="0"/>
    <x v="0"/>
    <x v="0"/>
    <x v="0"/>
    <x v="0"/>
    <x v="0"/>
    <x v="0"/>
    <x v="0"/>
    <x v="0"/>
    <x v="0"/>
    <x v="0"/>
    <x v="0"/>
    <x v="0"/>
    <x v="0"/>
    <x v="0"/>
    <x v="0"/>
    <x v="0"/>
    <x v="0"/>
    <x v="0"/>
    <x v="0"/>
    <x v="0"/>
    <x v="0"/>
    <x v="0"/>
    <x v="0"/>
    <x v="2"/>
    <x v="0"/>
    <x v="0"/>
    <x v="0"/>
    <x v="0"/>
    <x v="0"/>
    <x v="0"/>
    <x v="0"/>
    <x v="0"/>
    <x v="0"/>
    <x v="0"/>
    <x v="0"/>
    <x v="0"/>
    <x v="0"/>
    <x v="0"/>
    <x v="0"/>
    <x v="0"/>
    <x v="0"/>
    <x v="0"/>
    <x v="0"/>
    <x v="0"/>
    <x v="0"/>
    <x v="0"/>
    <x v="0"/>
    <x v="0"/>
    <x v="0"/>
    <x v="0"/>
    <x v="0"/>
    <x v="0"/>
    <x v="0"/>
    <x v="0"/>
    <x v="0"/>
    <x v="0"/>
  </r>
  <r>
    <x v="6"/>
    <x v="13"/>
    <x v="8"/>
    <x v="48"/>
    <x v="5"/>
    <n v="29.993459722000001"/>
    <n v="-25.825414444"/>
    <s v="29° 59' 36.45&quot;E "/>
    <s v="25° 49' 31.49&quot; S"/>
    <s v="Complete"/>
    <s v="Yes"/>
    <s v="Yes"/>
    <d v="2017-02-01T00:00:00"/>
    <s v="YES"/>
    <d v="2017-02-01T00:00:00"/>
    <s v="NBC-GTW-CL-0019"/>
    <s v="Yes"/>
    <s v="00"/>
    <d v="2018-06-16T00:00:00"/>
    <s v="Phase 1"/>
    <s v="Year 1"/>
    <m/>
    <m/>
    <m/>
    <m/>
    <m/>
    <n v="12"/>
    <m/>
    <m/>
    <m/>
    <m/>
    <m/>
    <m/>
    <n v="12"/>
    <m/>
    <m/>
    <m/>
    <m/>
    <m/>
    <m/>
    <m/>
    <m/>
    <m/>
    <m/>
    <m/>
    <m/>
    <m/>
    <m/>
    <m/>
    <m/>
    <m/>
    <n v="5.0999999999999996"/>
    <m/>
    <m/>
    <m/>
    <m/>
    <m/>
    <m/>
    <m/>
    <m/>
    <m/>
    <m/>
    <m/>
    <m/>
    <m/>
    <m/>
    <m/>
    <m/>
    <m/>
    <m/>
    <m/>
    <m/>
    <m/>
    <m/>
    <m/>
    <m/>
    <m/>
    <m/>
    <m/>
    <m/>
    <m/>
    <m/>
    <m/>
    <m/>
    <m/>
    <m/>
    <m/>
    <m/>
    <m/>
    <m/>
    <m/>
    <m/>
    <m/>
    <m/>
    <m/>
    <m/>
    <m/>
    <m/>
    <m/>
    <m/>
    <m/>
    <m/>
    <m/>
    <m/>
    <m/>
    <m/>
    <m/>
    <m/>
    <m/>
    <m/>
    <m/>
    <m/>
    <m/>
    <m/>
    <m/>
    <m/>
    <n v="0"/>
    <n v="0"/>
    <n v="0"/>
    <n v="0"/>
    <n v="0"/>
    <n v="1020"/>
    <n v="0"/>
    <n v="0"/>
    <n v="0"/>
    <n v="0"/>
    <n v="0"/>
    <n v="24000"/>
    <n v="0"/>
    <n v="0"/>
    <n v="0"/>
    <n v="0"/>
    <n v="0"/>
    <n v="153"/>
    <n v="0"/>
    <n v="0"/>
    <n v="0"/>
    <n v="0"/>
    <n v="0"/>
    <n v="0"/>
    <n v="0"/>
    <n v="0"/>
    <n v="0"/>
    <n v="0"/>
    <n v="0"/>
    <n v="0"/>
    <n v="0"/>
    <n v="0"/>
    <n v="0"/>
    <n v="0"/>
    <n v="0"/>
    <n v="0"/>
    <n v="0"/>
    <n v="0"/>
    <n v="0"/>
    <n v="0"/>
    <n v="0"/>
    <n v="0"/>
    <n v="0"/>
    <n v="0"/>
    <n v="0"/>
    <n v="0"/>
    <n v="0"/>
    <n v="0"/>
    <n v="0"/>
    <n v="0"/>
    <n v="0"/>
    <n v="0"/>
    <n v="0"/>
    <n v="0"/>
    <n v="0"/>
    <n v="0"/>
    <n v="0"/>
    <n v="0"/>
    <n v="25173"/>
    <n v="26683.38"/>
    <s v=" "/>
    <s v=" "/>
    <s v=" "/>
    <s v=" "/>
    <s v=" "/>
    <s v=" "/>
    <s v=" "/>
    <s v=" "/>
    <s v=" "/>
    <s v=" "/>
    <s v=" "/>
    <s v=" "/>
    <s v=" "/>
    <s v=" "/>
    <x v="0"/>
    <x v="0"/>
    <x v="0"/>
    <x v="0"/>
    <x v="0"/>
    <x v="30"/>
    <x v="0"/>
    <x v="0"/>
    <x v="0"/>
    <x v="4"/>
    <x v="1"/>
    <x v="1"/>
    <x v="22"/>
    <x v="0"/>
    <x v="0"/>
    <x v="0"/>
    <x v="0"/>
    <x v="0"/>
    <x v="0"/>
    <x v="0"/>
    <x v="0"/>
    <x v="0"/>
    <x v="0"/>
    <x v="0"/>
    <x v="0"/>
    <x v="0"/>
    <x v="0"/>
    <x v="0"/>
    <x v="2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x v="6"/>
    <x v="13"/>
    <x v="8"/>
    <x v="49"/>
    <x v="5"/>
    <n v="29.993099443999998"/>
    <n v="-25.824846389000001"/>
    <s v="29° 59' 35.15&quot;E "/>
    <s v="25° 49' 29.44&quot; S"/>
    <s v="Complete"/>
    <s v="Yes"/>
    <s v="Yes"/>
    <d v="2017-02-01T00:00:00"/>
    <s v="YES"/>
    <m/>
    <s v="NBC-GTW-CL-0020"/>
    <s v="Yes"/>
    <s v="00"/>
    <d v="2018-06-16T00:00:00"/>
    <s v="Phase 1"/>
    <s v="Year 1"/>
    <m/>
    <m/>
    <m/>
    <m/>
    <m/>
    <n v="8"/>
    <m/>
    <m/>
    <m/>
    <m/>
    <m/>
    <m/>
    <n v="8"/>
    <m/>
    <m/>
    <m/>
    <m/>
    <m/>
    <m/>
    <m/>
    <m/>
    <m/>
    <m/>
    <m/>
    <m/>
    <m/>
    <m/>
    <m/>
    <m/>
    <m/>
    <n v="4.2"/>
    <m/>
    <m/>
    <m/>
    <m/>
    <m/>
    <m/>
    <m/>
    <m/>
    <m/>
    <m/>
    <m/>
    <m/>
    <m/>
    <m/>
    <m/>
    <m/>
    <m/>
    <m/>
    <m/>
    <m/>
    <m/>
    <m/>
    <m/>
    <m/>
    <m/>
    <m/>
    <m/>
    <m/>
    <m/>
    <m/>
    <m/>
    <m/>
    <m/>
    <m/>
    <m/>
    <m/>
    <m/>
    <m/>
    <m/>
    <m/>
    <m/>
    <m/>
    <m/>
    <m/>
    <m/>
    <m/>
    <m/>
    <m/>
    <m/>
    <m/>
    <m/>
    <m/>
    <m/>
    <m/>
    <m/>
    <m/>
    <m/>
    <m/>
    <m/>
    <m/>
    <m/>
    <m/>
    <m/>
    <m/>
    <n v="0"/>
    <n v="0"/>
    <n v="0"/>
    <n v="0"/>
    <n v="0"/>
    <n v="680"/>
    <n v="0"/>
    <n v="0"/>
    <n v="0"/>
    <n v="0"/>
    <n v="0"/>
    <n v="16000"/>
    <n v="0"/>
    <n v="0"/>
    <n v="0"/>
    <n v="0"/>
    <n v="0"/>
    <n v="126"/>
    <n v="0"/>
    <n v="0"/>
    <n v="0"/>
    <n v="0"/>
    <n v="0"/>
    <n v="0"/>
    <n v="0"/>
    <n v="0"/>
    <n v="0"/>
    <n v="0"/>
    <n v="0"/>
    <n v="0"/>
    <n v="0"/>
    <n v="0"/>
    <n v="0"/>
    <n v="0"/>
    <n v="0"/>
    <n v="0"/>
    <n v="0"/>
    <n v="0"/>
    <n v="0"/>
    <n v="0"/>
    <n v="0"/>
    <n v="0"/>
    <n v="0"/>
    <n v="0"/>
    <n v="0"/>
    <n v="0"/>
    <n v="0"/>
    <n v="0"/>
    <n v="0"/>
    <n v="0"/>
    <n v="0"/>
    <n v="0"/>
    <n v="0"/>
    <n v="0"/>
    <n v="0"/>
    <n v="0"/>
    <n v="0"/>
    <n v="0"/>
    <n v="16806"/>
    <n v="17814.36"/>
    <s v=" "/>
    <s v=" "/>
    <s v=" "/>
    <s v=" "/>
    <s v=" "/>
    <s v=" "/>
    <s v=" "/>
    <s v=" "/>
    <s v=" "/>
    <s v=" "/>
    <s v=" "/>
    <s v=" "/>
    <s v=" "/>
    <s v=" "/>
    <x v="0"/>
    <x v="0"/>
    <x v="0"/>
    <x v="0"/>
    <x v="0"/>
    <x v="31"/>
    <x v="0"/>
    <x v="0"/>
    <x v="0"/>
    <x v="4"/>
    <x v="1"/>
    <x v="1"/>
    <x v="23"/>
    <x v="0"/>
    <x v="0"/>
    <x v="0"/>
    <x v="0"/>
    <x v="0"/>
    <x v="0"/>
    <x v="0"/>
    <x v="0"/>
    <x v="0"/>
    <x v="0"/>
    <x v="0"/>
    <x v="0"/>
    <x v="0"/>
    <x v="0"/>
    <x v="0"/>
    <x v="22"/>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x v="6"/>
    <x v="13"/>
    <x v="8"/>
    <x v="50"/>
    <x v="5"/>
    <n v="29.993171589999999"/>
    <n v="-25.82515317"/>
    <s v="29° 59' 35.41&quot;E "/>
    <s v="25° 49' 30.55&quot; S"/>
    <m/>
    <m/>
    <m/>
    <m/>
    <m/>
    <m/>
    <m/>
    <m/>
    <m/>
    <m/>
    <m/>
    <m/>
    <m/>
    <m/>
    <m/>
    <m/>
    <m/>
    <n v="6"/>
    <m/>
    <m/>
    <m/>
    <m/>
    <m/>
    <m/>
    <n v="6"/>
    <m/>
    <m/>
    <m/>
    <m/>
    <m/>
    <m/>
    <m/>
    <m/>
    <m/>
    <m/>
    <m/>
    <m/>
    <m/>
    <m/>
    <m/>
    <m/>
    <m/>
    <n v="4.2"/>
    <m/>
    <m/>
    <m/>
    <m/>
    <m/>
    <m/>
    <m/>
    <m/>
    <m/>
    <m/>
    <m/>
    <m/>
    <m/>
    <m/>
    <m/>
    <m/>
    <m/>
    <m/>
    <m/>
    <m/>
    <m/>
    <m/>
    <m/>
    <m/>
    <m/>
    <m/>
    <m/>
    <m/>
    <m/>
    <m/>
    <m/>
    <m/>
    <m/>
    <m/>
    <m/>
    <m/>
    <m/>
    <m/>
    <m/>
    <m/>
    <m/>
    <m/>
    <m/>
    <m/>
    <m/>
    <m/>
    <m/>
    <m/>
    <m/>
    <m/>
    <m/>
    <m/>
    <m/>
    <m/>
    <m/>
    <m/>
    <m/>
    <m/>
    <m/>
    <m/>
    <m/>
    <m/>
    <m/>
    <m/>
    <n v="0"/>
    <n v="0"/>
    <n v="0"/>
    <n v="0"/>
    <n v="0"/>
    <n v="510"/>
    <n v="0"/>
    <n v="0"/>
    <n v="0"/>
    <n v="0"/>
    <n v="0"/>
    <n v="12000"/>
    <n v="0"/>
    <n v="0"/>
    <n v="0"/>
    <n v="0"/>
    <n v="0"/>
    <n v="126"/>
    <n v="0"/>
    <n v="0"/>
    <n v="0"/>
    <n v="0"/>
    <n v="0"/>
    <n v="0"/>
    <n v="0"/>
    <n v="0"/>
    <n v="0"/>
    <n v="0"/>
    <n v="0"/>
    <n v="0"/>
    <n v="0"/>
    <n v="0"/>
    <n v="0"/>
    <n v="0"/>
    <n v="0"/>
    <n v="0"/>
    <n v="0"/>
    <n v="0"/>
    <n v="0"/>
    <n v="0"/>
    <n v="0"/>
    <n v="0"/>
    <n v="0"/>
    <n v="0"/>
    <n v="0"/>
    <n v="0"/>
    <n v="0"/>
    <n v="0"/>
    <n v="0"/>
    <n v="0"/>
    <n v="0"/>
    <n v="0"/>
    <n v="0"/>
    <n v="0"/>
    <n v="0"/>
    <n v="0"/>
    <n v="0"/>
    <n v="0"/>
    <n v="12636"/>
    <s v=" "/>
    <s v=" "/>
    <s v=" "/>
    <s v=" "/>
    <s v=" "/>
    <s v=" "/>
    <s v=" "/>
    <s v=" "/>
    <s v=" "/>
    <s v=" "/>
    <s v=" "/>
    <s v=" "/>
    <s v=" "/>
    <s v=" "/>
    <s v=" "/>
    <x v="0"/>
    <x v="0"/>
    <x v="0"/>
    <x v="0"/>
    <x v="0"/>
    <x v="32"/>
    <x v="0"/>
    <x v="0"/>
    <x v="0"/>
    <x v="4"/>
    <x v="1"/>
    <x v="1"/>
    <x v="24"/>
    <x v="0"/>
    <x v="0"/>
    <x v="0"/>
    <x v="0"/>
    <x v="0"/>
    <x v="0"/>
    <x v="0"/>
    <x v="0"/>
    <x v="0"/>
    <x v="0"/>
    <x v="0"/>
    <x v="0"/>
    <x v="0"/>
    <x v="0"/>
    <x v="0"/>
    <x v="23"/>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x v="6"/>
    <x v="13"/>
    <x v="8"/>
    <x v="51"/>
    <x v="6"/>
    <n v="29.992503056"/>
    <n v="-25.824776944"/>
    <s v="29° 59' 33.01&quot;E "/>
    <s v="25° 49' 29.19&quot; S"/>
    <s v="Complete"/>
    <s v="Yes"/>
    <s v="Yes"/>
    <d v="2017-02-08T00:00:00"/>
    <s v="YES"/>
    <m/>
    <s v="NBC-GTW-CL-0045"/>
    <s v="Yes"/>
    <s v="00"/>
    <d v="2018-06-16T00:00:00"/>
    <s v="Phase 1"/>
    <s v="Year 1"/>
    <n v="0"/>
    <n v="0"/>
    <n v="0"/>
    <n v="0"/>
    <n v="0"/>
    <n v="5.7"/>
    <n v="0"/>
    <n v="0"/>
    <n v="0"/>
    <n v="0"/>
    <n v="0"/>
    <n v="0"/>
    <n v="5.7"/>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m/>
    <m/>
    <m/>
    <m/>
    <m/>
    <m/>
    <m/>
    <m/>
    <m/>
    <m/>
    <m/>
    <m/>
    <n v="0"/>
    <n v="0"/>
    <n v="0"/>
    <n v="0"/>
    <n v="0"/>
    <n v="484.5"/>
    <n v="0"/>
    <n v="0"/>
    <n v="0"/>
    <n v="0"/>
    <n v="0"/>
    <n v="11400"/>
    <n v="0"/>
    <n v="0"/>
    <n v="0"/>
    <n v="0"/>
    <n v="0"/>
    <n v="0"/>
    <n v="0"/>
    <n v="0"/>
    <n v="0"/>
    <n v="0"/>
    <n v="0"/>
    <n v="0"/>
    <n v="0"/>
    <n v="0"/>
    <n v="0"/>
    <n v="0"/>
    <n v="0"/>
    <n v="0"/>
    <n v="0"/>
    <n v="0"/>
    <n v="0"/>
    <n v="0"/>
    <n v="0"/>
    <n v="0"/>
    <n v="0"/>
    <n v="0"/>
    <n v="0"/>
    <n v="0"/>
    <n v="0"/>
    <n v="0"/>
    <n v="0"/>
    <n v="0"/>
    <n v="0"/>
    <n v="0"/>
    <n v="0"/>
    <n v="0"/>
    <n v="0"/>
    <n v="0"/>
    <n v="0"/>
    <n v="0"/>
    <n v="0"/>
    <n v="0"/>
    <n v="0"/>
    <n v="0"/>
    <n v="0"/>
    <n v="0"/>
    <n v="11884.5"/>
    <n v="12597.570000000002"/>
    <s v=" "/>
    <s v=" "/>
    <s v=" "/>
    <s v=" "/>
    <s v=" "/>
    <s v=" "/>
    <s v=" "/>
    <s v=" "/>
    <s v=" "/>
    <s v=" "/>
    <s v=" "/>
    <s v=" "/>
    <s v=" "/>
    <s v=" "/>
    <x v="0"/>
    <x v="0"/>
    <x v="0"/>
    <x v="0"/>
    <x v="0"/>
    <x v="33"/>
    <x v="0"/>
    <x v="0"/>
    <x v="0"/>
    <x v="4"/>
    <x v="1"/>
    <x v="1"/>
    <x v="25"/>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x v="6"/>
    <x v="13"/>
    <x v="8"/>
    <x v="52"/>
    <x v="6"/>
    <n v="29.9920875"/>
    <n v="-25.824516943999999"/>
    <s v="29° 59' 31.51&quot;E "/>
    <s v="25° 49' 28.26&quot; S"/>
    <s v="Complete"/>
    <s v="Yes"/>
    <s v="Yes"/>
    <d v="2017-02-08T00:00:00"/>
    <s v="YES"/>
    <m/>
    <s v="NBC-GTW-CL-0045"/>
    <s v="Yes"/>
    <s v="00"/>
    <d v="2018-06-16T00:00:00"/>
    <s v="Phase 1"/>
    <s v="Year 1"/>
    <n v="0"/>
    <n v="0"/>
    <n v="0"/>
    <n v="0"/>
    <n v="0"/>
    <n v="5.3550000000000004"/>
    <n v="0"/>
    <n v="0"/>
    <n v="0"/>
    <n v="0"/>
    <n v="0"/>
    <n v="0"/>
    <n v="5.3550000000000004"/>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m/>
    <m/>
    <m/>
    <m/>
    <m/>
    <m/>
    <m/>
    <m/>
    <m/>
    <m/>
    <m/>
    <m/>
    <n v="0"/>
    <n v="0"/>
    <n v="0"/>
    <n v="0"/>
    <n v="0"/>
    <n v="455.17500000000001"/>
    <n v="0"/>
    <n v="0"/>
    <n v="0"/>
    <n v="0"/>
    <n v="0"/>
    <n v="10710"/>
    <n v="0"/>
    <n v="0"/>
    <n v="0"/>
    <n v="0"/>
    <n v="0"/>
    <n v="0"/>
    <n v="0"/>
    <n v="0"/>
    <n v="0"/>
    <n v="0"/>
    <n v="0"/>
    <n v="0"/>
    <n v="0"/>
    <n v="0"/>
    <n v="0"/>
    <n v="0"/>
    <n v="0"/>
    <n v="0"/>
    <n v="0"/>
    <n v="0"/>
    <n v="0"/>
    <n v="0"/>
    <n v="0"/>
    <n v="0"/>
    <n v="0"/>
    <n v="0"/>
    <n v="0"/>
    <n v="0"/>
    <n v="0"/>
    <n v="0"/>
    <n v="0"/>
    <n v="0"/>
    <n v="0"/>
    <n v="0"/>
    <n v="0"/>
    <n v="0"/>
    <n v="0"/>
    <n v="0"/>
    <n v="0"/>
    <n v="0"/>
    <n v="0"/>
    <n v="0"/>
    <n v="0"/>
    <n v="0"/>
    <n v="0"/>
    <n v="0"/>
    <n v="11165.174999999999"/>
    <n v="11835.085499999999"/>
    <s v=" "/>
    <s v=" "/>
    <s v=" "/>
    <s v=" "/>
    <s v=" "/>
    <s v=" "/>
    <s v=" "/>
    <s v=" "/>
    <s v=" "/>
    <s v=" "/>
    <s v=" "/>
    <s v=" "/>
    <s v=" "/>
    <s v=" "/>
    <x v="0"/>
    <x v="0"/>
    <x v="0"/>
    <x v="0"/>
    <x v="0"/>
    <x v="34"/>
    <x v="0"/>
    <x v="0"/>
    <x v="0"/>
    <x v="4"/>
    <x v="1"/>
    <x v="1"/>
    <x v="26"/>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x v="6"/>
    <x v="13"/>
    <x v="8"/>
    <x v="53"/>
    <x v="6"/>
    <n v="29.991557778000001"/>
    <n v="-25.824408889000001"/>
    <s v="29° 59' 29.60&quot;E "/>
    <s v="25° 49' 27.87&quot; S"/>
    <s v="Complete"/>
    <s v="Yes"/>
    <s v="Yes"/>
    <d v="2017-02-08T00:00:00"/>
    <s v="YES"/>
    <m/>
    <s v="NBC-GTW-CL-0045"/>
    <s v="Yes"/>
    <s v="00"/>
    <d v="2018-06-16T00:00:00"/>
    <s v="Phase 1"/>
    <s v="Year 1"/>
    <n v="0"/>
    <n v="0"/>
    <n v="0"/>
    <n v="0"/>
    <n v="0"/>
    <n v="6.9300000000000006"/>
    <n v="0"/>
    <n v="0"/>
    <n v="0"/>
    <n v="0"/>
    <n v="0"/>
    <n v="0"/>
    <n v="6.9300000000000006"/>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m/>
    <m/>
    <m/>
    <m/>
    <m/>
    <m/>
    <m/>
    <m/>
    <m/>
    <m/>
    <m/>
    <m/>
    <n v="0"/>
    <n v="0"/>
    <n v="0"/>
    <n v="0"/>
    <n v="0"/>
    <n v="589.05000000000007"/>
    <n v="0"/>
    <n v="0"/>
    <n v="0"/>
    <n v="0"/>
    <n v="0"/>
    <n v="13860.000000000002"/>
    <n v="0"/>
    <n v="0"/>
    <n v="0"/>
    <n v="0"/>
    <n v="0"/>
    <n v="0"/>
    <n v="0"/>
    <n v="0"/>
    <n v="0"/>
    <n v="0"/>
    <n v="0"/>
    <n v="0"/>
    <n v="0"/>
    <n v="0"/>
    <n v="0"/>
    <n v="0"/>
    <n v="0"/>
    <n v="0"/>
    <n v="0"/>
    <n v="0"/>
    <n v="0"/>
    <n v="0"/>
    <n v="0"/>
    <n v="0"/>
    <n v="0"/>
    <n v="0"/>
    <n v="0"/>
    <n v="0"/>
    <n v="0"/>
    <n v="0"/>
    <n v="0"/>
    <n v="0"/>
    <n v="0"/>
    <n v="0"/>
    <n v="0"/>
    <n v="0"/>
    <n v="0"/>
    <n v="0"/>
    <n v="0"/>
    <n v="0"/>
    <n v="0"/>
    <n v="0"/>
    <n v="0"/>
    <n v="0"/>
    <n v="0"/>
    <n v="0"/>
    <n v="14449.050000000001"/>
    <n v="15315.993000000002"/>
    <s v=" "/>
    <s v=" "/>
    <s v=" "/>
    <s v=" "/>
    <s v=" "/>
    <s v=" "/>
    <s v=" "/>
    <s v=" "/>
    <s v=" "/>
    <s v=" "/>
    <s v=" "/>
    <s v=" "/>
    <s v=" "/>
    <s v=" "/>
    <x v="0"/>
    <x v="0"/>
    <x v="0"/>
    <x v="0"/>
    <x v="0"/>
    <x v="35"/>
    <x v="0"/>
    <x v="0"/>
    <x v="0"/>
    <x v="4"/>
    <x v="1"/>
    <x v="1"/>
    <x v="27"/>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x v="6"/>
    <x v="13"/>
    <x v="8"/>
    <x v="54"/>
    <x v="6"/>
    <n v="29.990665542999999"/>
    <n v="-25.824166946999998"/>
    <s v="29° 59' 26.39&quot;E "/>
    <s v="25° 49' 27.00&quot; S"/>
    <s v="Complete"/>
    <s v="Yes"/>
    <s v="Yes"/>
    <d v="2017-02-08T00:00:00"/>
    <s v="YES"/>
    <m/>
    <s v="NBC-GTW-CL-0045"/>
    <s v="Yes"/>
    <s v="00"/>
    <d v="2018-06-16T00:00:00"/>
    <s v="Phase 1"/>
    <s v="Year 1"/>
    <n v="0"/>
    <n v="0"/>
    <n v="0"/>
    <n v="0"/>
    <n v="0"/>
    <n v="6.6150000000000002"/>
    <n v="0"/>
    <n v="0"/>
    <n v="0"/>
    <n v="0"/>
    <n v="0"/>
    <n v="0"/>
    <n v="6.6150000000000002"/>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m/>
    <m/>
    <m/>
    <m/>
    <m/>
    <m/>
    <m/>
    <m/>
    <m/>
    <m/>
    <m/>
    <m/>
    <n v="0"/>
    <n v="0"/>
    <n v="0"/>
    <n v="0"/>
    <n v="0"/>
    <n v="562.27499999999998"/>
    <n v="0"/>
    <n v="0"/>
    <n v="0"/>
    <n v="0"/>
    <n v="0"/>
    <n v="13230"/>
    <n v="0"/>
    <n v="0"/>
    <n v="0"/>
    <n v="0"/>
    <n v="0"/>
    <n v="0"/>
    <n v="0"/>
    <n v="0"/>
    <n v="0"/>
    <n v="0"/>
    <n v="0"/>
    <n v="0"/>
    <n v="0"/>
    <n v="0"/>
    <n v="0"/>
    <n v="0"/>
    <n v="0"/>
    <n v="0"/>
    <n v="0"/>
    <n v="0"/>
    <n v="0"/>
    <n v="0"/>
    <n v="0"/>
    <n v="0"/>
    <n v="0"/>
    <n v="0"/>
    <n v="0"/>
    <n v="0"/>
    <n v="0"/>
    <n v="0"/>
    <n v="0"/>
    <n v="0"/>
    <n v="0"/>
    <n v="0"/>
    <n v="0"/>
    <n v="0"/>
    <n v="0"/>
    <n v="0"/>
    <n v="0"/>
    <n v="0"/>
    <n v="0"/>
    <n v="0"/>
    <n v="0"/>
    <n v="0"/>
    <n v="0"/>
    <n v="0"/>
    <n v="13792.275"/>
    <n v="14619.8115"/>
    <s v=" "/>
    <s v=" "/>
    <s v=" "/>
    <s v=" "/>
    <s v=" "/>
    <s v=" "/>
    <s v=" "/>
    <s v=" "/>
    <s v=" "/>
    <s v=" "/>
    <s v=" "/>
    <s v=" "/>
    <s v=" "/>
    <s v=" "/>
    <x v="0"/>
    <x v="0"/>
    <x v="0"/>
    <x v="0"/>
    <x v="0"/>
    <x v="36"/>
    <x v="0"/>
    <x v="0"/>
    <x v="0"/>
    <x v="4"/>
    <x v="1"/>
    <x v="1"/>
    <x v="28"/>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x v="6"/>
    <x v="13"/>
    <x v="8"/>
    <x v="55"/>
    <x v="6"/>
    <n v="29.990300000000001"/>
    <n v="-25.823898332999999"/>
    <s v="29° 59' 25.08&quot;E "/>
    <s v="25° 49' 26.03&quot; S"/>
    <s v="Complete"/>
    <s v="Yes"/>
    <s v="Yes"/>
    <d v="2017-02-08T00:00:00"/>
    <s v="YES"/>
    <m/>
    <s v="NBC-GTW-CL-0045"/>
    <s v="Yes"/>
    <s v="00"/>
    <d v="2018-06-16T00:00:00"/>
    <s v="Phase 1"/>
    <s v="Year 1"/>
    <n v="0"/>
    <n v="0"/>
    <n v="0"/>
    <n v="0"/>
    <n v="0"/>
    <n v="5.04"/>
    <n v="0"/>
    <n v="0"/>
    <n v="0"/>
    <n v="0"/>
    <n v="0"/>
    <n v="0"/>
    <n v="5.04"/>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m/>
    <m/>
    <m/>
    <m/>
    <m/>
    <m/>
    <m/>
    <m/>
    <m/>
    <m/>
    <m/>
    <m/>
    <n v="0"/>
    <n v="0"/>
    <n v="0"/>
    <n v="0"/>
    <n v="0"/>
    <n v="428.4"/>
    <n v="0"/>
    <n v="0"/>
    <n v="0"/>
    <n v="0"/>
    <n v="0"/>
    <n v="10080"/>
    <n v="0"/>
    <n v="0"/>
    <n v="0"/>
    <n v="0"/>
    <n v="0"/>
    <n v="0"/>
    <n v="0"/>
    <n v="0"/>
    <n v="0"/>
    <n v="0"/>
    <n v="0"/>
    <n v="0"/>
    <n v="0"/>
    <n v="0"/>
    <n v="0"/>
    <n v="0"/>
    <n v="0"/>
    <n v="0"/>
    <n v="0"/>
    <n v="0"/>
    <n v="0"/>
    <n v="0"/>
    <n v="0"/>
    <n v="0"/>
    <n v="0"/>
    <n v="0"/>
    <n v="0"/>
    <n v="0"/>
    <n v="0"/>
    <n v="0"/>
    <n v="0"/>
    <n v="0"/>
    <n v="0"/>
    <n v="0"/>
    <n v="0"/>
    <n v="0"/>
    <n v="0"/>
    <n v="0"/>
    <n v="0"/>
    <n v="0"/>
    <n v="0"/>
    <n v="0"/>
    <n v="0"/>
    <n v="0"/>
    <n v="0"/>
    <n v="0"/>
    <n v="10508.4"/>
    <n v="11138.904"/>
    <s v=" "/>
    <s v=" "/>
    <s v=" "/>
    <s v=" "/>
    <s v=" "/>
    <s v=" "/>
    <s v=" "/>
    <s v=" "/>
    <s v=" "/>
    <s v=" "/>
    <s v=" "/>
    <s v=" "/>
    <s v=" "/>
    <s v=" "/>
    <x v="0"/>
    <x v="0"/>
    <x v="0"/>
    <x v="0"/>
    <x v="0"/>
    <x v="37"/>
    <x v="0"/>
    <x v="0"/>
    <x v="0"/>
    <x v="4"/>
    <x v="1"/>
    <x v="1"/>
    <x v="29"/>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x v="6"/>
    <x v="13"/>
    <x v="8"/>
    <x v="56"/>
    <x v="6"/>
    <n v="29.989851111"/>
    <n v="-25.823658610999999"/>
    <s v="29° 59' 23.46&quot;E "/>
    <s v="25° 49' 25.17&quot; S"/>
    <s v="Complete"/>
    <s v="Yes"/>
    <s v="Yes"/>
    <d v="2017-02-08T00:00:00"/>
    <s v="YES"/>
    <m/>
    <s v="NBC-GTW-CL-0045"/>
    <s v="Yes"/>
    <s v="00"/>
    <d v="2018-06-16T00:00:00"/>
    <s v="Phase 1"/>
    <s v="Year 1"/>
    <n v="0"/>
    <n v="0"/>
    <n v="0"/>
    <n v="0"/>
    <n v="0"/>
    <n v="5.7600000000000007"/>
    <n v="0"/>
    <n v="0"/>
    <n v="0"/>
    <n v="0"/>
    <n v="0"/>
    <n v="0"/>
    <n v="5.7600000000000007"/>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m/>
    <m/>
    <m/>
    <m/>
    <m/>
    <m/>
    <m/>
    <m/>
    <m/>
    <m/>
    <m/>
    <m/>
    <n v="0"/>
    <n v="0"/>
    <n v="0"/>
    <n v="0"/>
    <n v="0"/>
    <n v="489.60000000000008"/>
    <n v="0"/>
    <n v="0"/>
    <n v="0"/>
    <n v="0"/>
    <n v="0"/>
    <n v="11520.000000000002"/>
    <n v="0"/>
    <n v="0"/>
    <n v="0"/>
    <n v="0"/>
    <n v="0"/>
    <n v="0"/>
    <n v="0"/>
    <n v="0"/>
    <n v="0"/>
    <n v="0"/>
    <n v="0"/>
    <n v="0"/>
    <n v="0"/>
    <n v="0"/>
    <n v="0"/>
    <n v="0"/>
    <n v="0"/>
    <n v="0"/>
    <n v="0"/>
    <n v="0"/>
    <n v="0"/>
    <n v="0"/>
    <n v="0"/>
    <n v="0"/>
    <n v="0"/>
    <n v="0"/>
    <n v="0"/>
    <n v="0"/>
    <n v="0"/>
    <n v="0"/>
    <n v="0"/>
    <n v="0"/>
    <n v="0"/>
    <n v="0"/>
    <n v="0"/>
    <n v="0"/>
    <n v="0"/>
    <n v="0"/>
    <n v="0"/>
    <n v="0"/>
    <n v="0"/>
    <n v="0"/>
    <n v="0"/>
    <n v="0"/>
    <n v="0"/>
    <n v="0"/>
    <n v="12009.600000000002"/>
    <n v="12730.176000000003"/>
    <s v=" "/>
    <s v=" "/>
    <s v=" "/>
    <s v=" "/>
    <s v=" "/>
    <s v=" "/>
    <s v=" "/>
    <s v=" "/>
    <s v=" "/>
    <s v=" "/>
    <s v=" "/>
    <s v=" "/>
    <s v=" "/>
    <s v=" "/>
    <x v="0"/>
    <x v="0"/>
    <x v="0"/>
    <x v="0"/>
    <x v="0"/>
    <x v="38"/>
    <x v="0"/>
    <x v="0"/>
    <x v="0"/>
    <x v="4"/>
    <x v="1"/>
    <x v="1"/>
    <x v="3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x v="6"/>
    <x v="13"/>
    <x v="8"/>
    <x v="57"/>
    <x v="6"/>
    <n v="29.989338332999999"/>
    <n v="-25.823435278000002"/>
    <s v="29° 59' 21.61&quot;E "/>
    <s v="25° 49' 24.36&quot; S"/>
    <s v="Complete"/>
    <s v="Yes"/>
    <s v="Yes"/>
    <d v="2017-02-08T00:00:00"/>
    <s v="YES"/>
    <m/>
    <s v="NBC-GTW-CL-0045"/>
    <s v="Yes"/>
    <s v="00"/>
    <d v="2018-06-16T00:00:00"/>
    <s v="Phase 1"/>
    <s v="Year 1"/>
    <n v="0"/>
    <n v="0"/>
    <n v="0"/>
    <n v="0"/>
    <n v="0"/>
    <n v="5.7749999999999995"/>
    <n v="0"/>
    <n v="0"/>
    <n v="0"/>
    <n v="0"/>
    <n v="0"/>
    <n v="0"/>
    <n v="5.7749999999999995"/>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m/>
    <m/>
    <m/>
    <m/>
    <m/>
    <m/>
    <m/>
    <m/>
    <m/>
    <m/>
    <m/>
    <m/>
    <n v="0"/>
    <n v="0"/>
    <n v="0"/>
    <n v="0"/>
    <n v="0"/>
    <n v="490.87499999999994"/>
    <n v="0"/>
    <n v="0"/>
    <n v="0"/>
    <n v="0"/>
    <n v="0"/>
    <n v="11549.999999999998"/>
    <n v="0"/>
    <n v="0"/>
    <n v="0"/>
    <n v="0"/>
    <n v="0"/>
    <n v="0"/>
    <n v="0"/>
    <n v="0"/>
    <n v="0"/>
    <n v="0"/>
    <n v="0"/>
    <n v="0"/>
    <n v="0"/>
    <n v="0"/>
    <n v="0"/>
    <n v="0"/>
    <n v="0"/>
    <n v="0"/>
    <n v="0"/>
    <n v="0"/>
    <n v="0"/>
    <n v="0"/>
    <n v="0"/>
    <n v="0"/>
    <n v="0"/>
    <n v="0"/>
    <n v="0"/>
    <n v="0"/>
    <n v="0"/>
    <n v="0"/>
    <n v="0"/>
    <n v="0"/>
    <n v="0"/>
    <n v="0"/>
    <n v="0"/>
    <n v="0"/>
    <n v="0"/>
    <n v="0"/>
    <n v="0"/>
    <n v="0"/>
    <n v="0"/>
    <n v="0"/>
    <n v="0"/>
    <n v="0"/>
    <n v="0"/>
    <n v="0"/>
    <n v="12040.874999999998"/>
    <n v="12763.327499999999"/>
    <s v=" "/>
    <s v=" "/>
    <s v=" "/>
    <s v=" "/>
    <s v=" "/>
    <s v=" "/>
    <s v=" "/>
    <s v=" "/>
    <s v=" "/>
    <s v=" "/>
    <s v=" "/>
    <s v=" "/>
    <s v=" "/>
    <s v=" "/>
    <x v="0"/>
    <x v="0"/>
    <x v="0"/>
    <x v="0"/>
    <x v="0"/>
    <x v="39"/>
    <x v="0"/>
    <x v="0"/>
    <x v="0"/>
    <x v="4"/>
    <x v="1"/>
    <x v="1"/>
    <x v="3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x v="6"/>
    <x v="13"/>
    <x v="8"/>
    <x v="58"/>
    <x v="6"/>
    <n v="29.988861098000001"/>
    <n v="-25.823188834"/>
    <s v="29° 59' 19.89&quot;E "/>
    <s v="25° 49' 23.47&quot; S"/>
    <s v="Complete"/>
    <s v="Yes"/>
    <s v="Yes"/>
    <d v="2017-02-08T00:00:00"/>
    <s v="YES"/>
    <m/>
    <s v="NBC-GTW-CL-0045"/>
    <s v="Yes"/>
    <s v="00"/>
    <d v="2018-06-16T00:00:00"/>
    <s v="Phase 1"/>
    <s v="Year 1"/>
    <n v="0"/>
    <n v="0"/>
    <n v="0"/>
    <n v="0"/>
    <n v="0"/>
    <n v="6.9300000000000006"/>
    <n v="0"/>
    <n v="0"/>
    <n v="0"/>
    <n v="0"/>
    <n v="0"/>
    <n v="0"/>
    <n v="6.9300000000000006"/>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m/>
    <m/>
    <m/>
    <m/>
    <m/>
    <m/>
    <m/>
    <m/>
    <m/>
    <m/>
    <m/>
    <m/>
    <n v="0"/>
    <n v="0"/>
    <n v="0"/>
    <n v="0"/>
    <n v="0"/>
    <n v="589.05000000000007"/>
    <n v="0"/>
    <n v="0"/>
    <n v="0"/>
    <n v="0"/>
    <n v="0"/>
    <n v="13860.000000000002"/>
    <n v="0"/>
    <n v="0"/>
    <n v="0"/>
    <n v="0"/>
    <n v="0"/>
    <n v="0"/>
    <n v="0"/>
    <n v="0"/>
    <n v="0"/>
    <n v="0"/>
    <n v="0"/>
    <n v="0"/>
    <n v="0"/>
    <n v="0"/>
    <n v="0"/>
    <n v="0"/>
    <n v="0"/>
    <n v="0"/>
    <n v="0"/>
    <n v="0"/>
    <n v="0"/>
    <n v="0"/>
    <n v="0"/>
    <n v="0"/>
    <n v="0"/>
    <n v="0"/>
    <n v="0"/>
    <n v="0"/>
    <n v="0"/>
    <n v="0"/>
    <n v="0"/>
    <n v="0"/>
    <n v="0"/>
    <n v="0"/>
    <n v="0"/>
    <n v="0"/>
    <n v="0"/>
    <n v="0"/>
    <n v="0"/>
    <n v="0"/>
    <n v="0"/>
    <n v="0"/>
    <n v="0"/>
    <n v="0"/>
    <n v="0"/>
    <n v="0"/>
    <n v="14449.050000000001"/>
    <n v="15315.993000000002"/>
    <s v=" "/>
    <s v=" "/>
    <s v=" "/>
    <s v=" "/>
    <s v=" "/>
    <s v=" "/>
    <s v=" "/>
    <s v=" "/>
    <s v=" "/>
    <s v=" "/>
    <s v=" "/>
    <s v=" "/>
    <s v=" "/>
    <s v=" "/>
    <x v="0"/>
    <x v="0"/>
    <x v="0"/>
    <x v="0"/>
    <x v="0"/>
    <x v="40"/>
    <x v="0"/>
    <x v="0"/>
    <x v="0"/>
    <x v="4"/>
    <x v="1"/>
    <x v="1"/>
    <x v="32"/>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x v="6"/>
    <x v="13"/>
    <x v="8"/>
    <x v="59"/>
    <x v="6"/>
    <n v="29.988361076"/>
    <n v="-25.823007194999999"/>
    <s v="29° 59' 18.09&quot;E "/>
    <s v="25° 49' 22.82&quot; S"/>
    <s v="Complete"/>
    <s v="Yes"/>
    <s v="Yes"/>
    <d v="2017-02-08T00:00:00"/>
    <s v="YES"/>
    <m/>
    <s v="NBC-GTW-CL-0045"/>
    <s v="Yes"/>
    <s v="00"/>
    <d v="2018-06-16T00:00:00"/>
    <s v="Phase 1"/>
    <s v="Year 1"/>
    <n v="0"/>
    <n v="0"/>
    <n v="0"/>
    <n v="0"/>
    <n v="0"/>
    <n v="6"/>
    <n v="0"/>
    <n v="0"/>
    <n v="0"/>
    <n v="0"/>
    <n v="0"/>
    <n v="0"/>
    <n v="6"/>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m/>
    <m/>
    <m/>
    <m/>
    <m/>
    <m/>
    <m/>
    <m/>
    <m/>
    <m/>
    <m/>
    <m/>
    <n v="0"/>
    <n v="0"/>
    <n v="0"/>
    <n v="0"/>
    <n v="0"/>
    <n v="510"/>
    <n v="0"/>
    <n v="0"/>
    <n v="0"/>
    <n v="0"/>
    <n v="0"/>
    <n v="12000"/>
    <n v="0"/>
    <n v="0"/>
    <n v="0"/>
    <n v="0"/>
    <n v="0"/>
    <n v="0"/>
    <n v="0"/>
    <n v="0"/>
    <n v="0"/>
    <n v="0"/>
    <n v="0"/>
    <n v="0"/>
    <n v="0"/>
    <n v="0"/>
    <n v="0"/>
    <n v="0"/>
    <n v="0"/>
    <n v="0"/>
    <n v="0"/>
    <n v="0"/>
    <n v="0"/>
    <n v="0"/>
    <n v="0"/>
    <n v="0"/>
    <n v="0"/>
    <n v="0"/>
    <n v="0"/>
    <n v="0"/>
    <n v="0"/>
    <n v="0"/>
    <n v="0"/>
    <n v="0"/>
    <n v="0"/>
    <n v="0"/>
    <n v="0"/>
    <n v="0"/>
    <n v="0"/>
    <n v="0"/>
    <n v="0"/>
    <n v="0"/>
    <n v="0"/>
    <n v="0"/>
    <n v="0"/>
    <n v="0"/>
    <n v="0"/>
    <n v="0"/>
    <n v="12510"/>
    <n v="13260.6"/>
    <s v=" "/>
    <s v=" "/>
    <s v=" "/>
    <s v=" "/>
    <s v=" "/>
    <s v=" "/>
    <s v=" "/>
    <s v=" "/>
    <s v=" "/>
    <s v=" "/>
    <s v=" "/>
    <s v=" "/>
    <s v=" "/>
    <s v=" "/>
    <x v="0"/>
    <x v="0"/>
    <x v="0"/>
    <x v="0"/>
    <x v="0"/>
    <x v="41"/>
    <x v="0"/>
    <x v="0"/>
    <x v="0"/>
    <x v="4"/>
    <x v="1"/>
    <x v="1"/>
    <x v="33"/>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x v="6"/>
    <x v="13"/>
    <x v="8"/>
    <x v="60"/>
    <x v="6"/>
    <n v="29.987974167000001"/>
    <n v="-25.822902778"/>
    <s v="29° 59' 16.70&quot;E "/>
    <s v="25° 49' 22.45&quot; S"/>
    <s v="Complete"/>
    <s v="Yes"/>
    <s v="Yes"/>
    <d v="2017-02-08T00:00:00"/>
    <s v="YES"/>
    <m/>
    <s v="NBC-GTW-CL-0045"/>
    <s v="Yes"/>
    <s v="00"/>
    <d v="2018-06-16T00:00:00"/>
    <s v="Phase 1"/>
    <s v="Year 1"/>
    <n v="0"/>
    <n v="0"/>
    <n v="0"/>
    <n v="0"/>
    <n v="0"/>
    <n v="6.6"/>
    <n v="0"/>
    <n v="0"/>
    <n v="0"/>
    <n v="0"/>
    <n v="0"/>
    <n v="0"/>
    <n v="6.6"/>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m/>
    <m/>
    <m/>
    <m/>
    <m/>
    <m/>
    <m/>
    <m/>
    <m/>
    <m/>
    <m/>
    <m/>
    <n v="0"/>
    <n v="0"/>
    <n v="0"/>
    <n v="0"/>
    <n v="0"/>
    <n v="561"/>
    <n v="0"/>
    <n v="0"/>
    <n v="0"/>
    <n v="0"/>
    <n v="0"/>
    <n v="13200"/>
    <n v="0"/>
    <n v="0"/>
    <n v="0"/>
    <n v="0"/>
    <n v="0"/>
    <n v="0"/>
    <n v="0"/>
    <n v="0"/>
    <n v="0"/>
    <n v="0"/>
    <n v="0"/>
    <n v="0"/>
    <n v="0"/>
    <n v="0"/>
    <n v="0"/>
    <n v="0"/>
    <n v="0"/>
    <n v="0"/>
    <n v="0"/>
    <n v="0"/>
    <n v="0"/>
    <n v="0"/>
    <n v="0"/>
    <n v="0"/>
    <n v="0"/>
    <n v="0"/>
    <n v="0"/>
    <n v="0"/>
    <n v="0"/>
    <n v="0"/>
    <n v="0"/>
    <n v="0"/>
    <n v="0"/>
    <n v="0"/>
    <n v="0"/>
    <n v="0"/>
    <n v="0"/>
    <n v="0"/>
    <n v="0"/>
    <n v="0"/>
    <n v="0"/>
    <n v="0"/>
    <n v="0"/>
    <n v="0"/>
    <n v="0"/>
    <n v="0"/>
    <n v="13761"/>
    <n v="14586.66"/>
    <s v=" "/>
    <s v=" "/>
    <s v=" "/>
    <s v=" "/>
    <s v=" "/>
    <s v=" "/>
    <s v=" "/>
    <s v=" "/>
    <s v=" "/>
    <s v=" "/>
    <s v=" "/>
    <s v=" "/>
    <s v=" "/>
    <s v=" "/>
    <x v="0"/>
    <x v="0"/>
    <x v="0"/>
    <x v="0"/>
    <x v="0"/>
    <x v="42"/>
    <x v="0"/>
    <x v="0"/>
    <x v="0"/>
    <x v="4"/>
    <x v="1"/>
    <x v="1"/>
    <x v="34"/>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x v="6"/>
    <x v="13"/>
    <x v="8"/>
    <x v="61"/>
    <x v="6"/>
    <n v="29.987517778000001"/>
    <n v="-25.822854444000001"/>
    <s v="29° 59' 15.06&quot;E "/>
    <s v="25° 49' 22.27&quot; S"/>
    <s v="Complete"/>
    <s v="Yes"/>
    <s v="Yes"/>
    <d v="2017-02-08T00:00:00"/>
    <s v="YES"/>
    <m/>
    <s v="NBC-GTW-CL-0045"/>
    <s v="Yes"/>
    <s v="00"/>
    <d v="2018-06-16T00:00:00"/>
    <s v="Phase 1"/>
    <s v="Year 1"/>
    <n v="0"/>
    <n v="0"/>
    <n v="0"/>
    <n v="0"/>
    <n v="0"/>
    <n v="6"/>
    <n v="0"/>
    <n v="0"/>
    <n v="0"/>
    <n v="0"/>
    <n v="0"/>
    <n v="0"/>
    <n v="6"/>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m/>
    <m/>
    <m/>
    <m/>
    <m/>
    <m/>
    <m/>
    <m/>
    <m/>
    <m/>
    <m/>
    <m/>
    <n v="0"/>
    <n v="0"/>
    <n v="0"/>
    <n v="0"/>
    <n v="0"/>
    <n v="510"/>
    <n v="0"/>
    <n v="0"/>
    <n v="0"/>
    <n v="0"/>
    <n v="0"/>
    <n v="12000"/>
    <n v="0"/>
    <n v="0"/>
    <n v="0"/>
    <n v="0"/>
    <n v="0"/>
    <n v="0"/>
    <n v="0"/>
    <n v="0"/>
    <n v="0"/>
    <n v="0"/>
    <n v="0"/>
    <n v="0"/>
    <n v="0"/>
    <n v="0"/>
    <n v="0"/>
    <n v="0"/>
    <n v="0"/>
    <n v="0"/>
    <n v="0"/>
    <n v="0"/>
    <n v="0"/>
    <n v="0"/>
    <n v="0"/>
    <n v="0"/>
    <n v="0"/>
    <n v="0"/>
    <n v="0"/>
    <n v="0"/>
    <n v="0"/>
    <n v="0"/>
    <n v="0"/>
    <n v="0"/>
    <n v="0"/>
    <n v="0"/>
    <n v="0"/>
    <n v="0"/>
    <n v="0"/>
    <n v="0"/>
    <n v="0"/>
    <n v="0"/>
    <n v="0"/>
    <n v="0"/>
    <n v="0"/>
    <n v="0"/>
    <n v="0"/>
    <n v="0"/>
    <n v="12510"/>
    <n v="13260.6"/>
    <s v=" "/>
    <s v=" "/>
    <s v=" "/>
    <s v=" "/>
    <s v=" "/>
    <s v=" "/>
    <s v=" "/>
    <s v=" "/>
    <s v=" "/>
    <s v=" "/>
    <s v=" "/>
    <s v=" "/>
    <s v=" "/>
    <s v=" "/>
    <x v="0"/>
    <x v="0"/>
    <x v="0"/>
    <x v="0"/>
    <x v="0"/>
    <x v="43"/>
    <x v="0"/>
    <x v="0"/>
    <x v="0"/>
    <x v="4"/>
    <x v="1"/>
    <x v="1"/>
    <x v="35"/>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x v="6"/>
    <x v="13"/>
    <x v="8"/>
    <x v="62"/>
    <x v="3"/>
    <n v="29.985955556"/>
    <n v="-25.822139167"/>
    <s v="29° 59' 09.44&quot;E "/>
    <s v="25° 49' 19.70&quot; S"/>
    <s v="Complete"/>
    <s v="Yes"/>
    <s v="Yes"/>
    <d v="2017-02-01T00:00:00"/>
    <s v="YES"/>
    <d v="2017-02-01T00:00:00"/>
    <s v="NBC-GTW-CL-0021"/>
    <s v="Yes"/>
    <s v="01"/>
    <d v="2018-12-07T00:00:00"/>
    <s v="Phase 1"/>
    <s v="Year 1"/>
    <m/>
    <n v="0"/>
    <n v="0"/>
    <n v="0"/>
    <n v="0"/>
    <n v="7.7399999999999993"/>
    <m/>
    <m/>
    <m/>
    <m/>
    <m/>
    <m/>
    <n v="7.7399999999999993"/>
    <m/>
    <m/>
    <m/>
    <m/>
    <m/>
    <m/>
    <m/>
    <m/>
    <m/>
    <m/>
    <m/>
    <m/>
    <m/>
    <m/>
    <m/>
    <m/>
    <m/>
    <n v="3.9"/>
    <n v="0"/>
    <n v="0"/>
    <n v="0"/>
    <m/>
    <n v="0"/>
    <n v="0"/>
    <n v="0"/>
    <n v="0"/>
    <n v="0"/>
    <n v="0"/>
    <n v="0"/>
    <n v="0"/>
    <n v="0"/>
    <n v="0"/>
    <n v="0"/>
    <n v="0"/>
    <n v="0"/>
    <n v="0"/>
    <n v="0"/>
    <n v="0"/>
    <n v="0"/>
    <n v="0"/>
    <n v="0"/>
    <n v="0"/>
    <n v="0"/>
    <n v="0"/>
    <n v="0"/>
    <n v="0"/>
    <n v="0"/>
    <n v="0"/>
    <n v="0"/>
    <n v="0"/>
    <n v="0"/>
    <n v="0"/>
    <n v="0"/>
    <n v="0"/>
    <n v="0"/>
    <n v="0"/>
    <n v="0"/>
    <n v="0"/>
    <n v="0"/>
    <n v="0"/>
    <n v="0"/>
    <m/>
    <m/>
    <m/>
    <m/>
    <m/>
    <m/>
    <m/>
    <m/>
    <m/>
    <m/>
    <m/>
    <m/>
    <m/>
    <m/>
    <m/>
    <m/>
    <m/>
    <m/>
    <m/>
    <m/>
    <m/>
    <n v="0"/>
    <n v="0"/>
    <n v="0"/>
    <n v="0"/>
    <n v="0"/>
    <n v="657.9"/>
    <n v="0"/>
    <n v="0"/>
    <n v="0"/>
    <n v="0"/>
    <n v="0"/>
    <n v="15479.999999999998"/>
    <n v="0"/>
    <n v="0"/>
    <n v="0"/>
    <n v="0"/>
    <n v="0"/>
    <n v="117"/>
    <n v="0"/>
    <n v="0"/>
    <n v="0"/>
    <n v="0"/>
    <n v="0"/>
    <n v="0"/>
    <n v="0"/>
    <n v="0"/>
    <n v="0"/>
    <n v="0"/>
    <n v="0"/>
    <n v="0"/>
    <n v="0"/>
    <n v="0"/>
    <n v="0"/>
    <n v="0"/>
    <n v="0"/>
    <n v="0"/>
    <n v="0"/>
    <n v="0"/>
    <n v="0"/>
    <n v="0"/>
    <n v="0"/>
    <n v="0"/>
    <n v="0"/>
    <n v="0"/>
    <n v="0"/>
    <n v="0"/>
    <n v="0"/>
    <n v="0"/>
    <n v="0"/>
    <n v="0"/>
    <n v="0"/>
    <n v="0"/>
    <n v="0"/>
    <n v="0"/>
    <n v="0"/>
    <n v="0"/>
    <n v="0"/>
    <n v="0"/>
    <n v="16254.899999999998"/>
    <n v="17230.194"/>
    <s v=" "/>
    <s v=" "/>
    <s v=" "/>
    <s v=" "/>
    <s v=" "/>
    <s v=" "/>
    <s v=" "/>
    <s v=" "/>
    <s v=" "/>
    <s v=" "/>
    <s v=" "/>
    <s v=" "/>
    <s v=" "/>
    <s v=" "/>
    <x v="0"/>
    <x v="0"/>
    <x v="0"/>
    <x v="0"/>
    <x v="0"/>
    <x v="44"/>
    <x v="0"/>
    <x v="0"/>
    <x v="0"/>
    <x v="4"/>
    <x v="1"/>
    <x v="1"/>
    <x v="36"/>
    <x v="0"/>
    <x v="0"/>
    <x v="0"/>
    <x v="0"/>
    <x v="0"/>
    <x v="0"/>
    <x v="0"/>
    <x v="0"/>
    <x v="0"/>
    <x v="0"/>
    <x v="0"/>
    <x v="0"/>
    <x v="0"/>
    <x v="0"/>
    <x v="0"/>
    <x v="24"/>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x v="6"/>
    <x v="13"/>
    <x v="8"/>
    <x v="63"/>
    <x v="3"/>
    <n v="29.985339444000001"/>
    <n v="-25.821870000000001"/>
    <s v="29° 59' 07.22&quot;E "/>
    <s v="25° 49' 18.73&quot; S"/>
    <s v="Complete"/>
    <s v="Yes"/>
    <s v="Yes"/>
    <d v="2017-02-02T00:00:00"/>
    <s v="YES"/>
    <d v="2017-02-02T00:00:00"/>
    <s v="NBC-GTW-CL-0022"/>
    <s v="Yes"/>
    <s v="01"/>
    <d v="2018-12-07T00:00:00"/>
    <s v="Phase 1"/>
    <s v="Year 1"/>
    <m/>
    <n v="0"/>
    <n v="0"/>
    <n v="0"/>
    <n v="0"/>
    <n v="6.8039999999999994"/>
    <m/>
    <m/>
    <m/>
    <m/>
    <m/>
    <m/>
    <n v="6.8039999999999994"/>
    <m/>
    <m/>
    <m/>
    <m/>
    <m/>
    <m/>
    <m/>
    <m/>
    <m/>
    <m/>
    <m/>
    <m/>
    <m/>
    <m/>
    <m/>
    <m/>
    <m/>
    <n v="3.5999999999999996"/>
    <n v="0"/>
    <n v="0"/>
    <n v="0"/>
    <m/>
    <n v="0"/>
    <n v="0"/>
    <n v="0"/>
    <n v="0"/>
    <n v="0"/>
    <n v="0"/>
    <n v="0"/>
    <n v="0"/>
    <n v="0"/>
    <n v="0"/>
    <n v="0"/>
    <n v="0"/>
    <n v="0"/>
    <n v="0"/>
    <n v="0"/>
    <n v="0"/>
    <n v="0"/>
    <n v="0"/>
    <n v="0"/>
    <n v="0"/>
    <n v="0"/>
    <n v="0"/>
    <n v="0"/>
    <n v="0"/>
    <n v="0"/>
    <n v="0"/>
    <n v="0"/>
    <n v="0"/>
    <n v="0"/>
    <n v="0"/>
    <n v="0"/>
    <n v="0"/>
    <n v="0"/>
    <n v="0"/>
    <n v="0"/>
    <n v="0"/>
    <n v="0"/>
    <n v="0"/>
    <n v="0"/>
    <m/>
    <m/>
    <m/>
    <m/>
    <m/>
    <m/>
    <m/>
    <m/>
    <m/>
    <m/>
    <m/>
    <m/>
    <m/>
    <m/>
    <m/>
    <m/>
    <m/>
    <m/>
    <m/>
    <m/>
    <m/>
    <n v="0"/>
    <n v="0"/>
    <n v="0"/>
    <n v="0"/>
    <n v="0"/>
    <n v="578.33999999999992"/>
    <n v="0"/>
    <n v="0"/>
    <n v="0"/>
    <n v="0"/>
    <n v="0"/>
    <n v="13607.999999999998"/>
    <n v="0"/>
    <n v="0"/>
    <n v="0"/>
    <n v="0"/>
    <n v="0"/>
    <n v="107.99999999999999"/>
    <n v="0"/>
    <n v="0"/>
    <n v="0"/>
    <n v="0"/>
    <n v="0"/>
    <n v="0"/>
    <n v="0"/>
    <n v="0"/>
    <n v="0"/>
    <n v="0"/>
    <n v="0"/>
    <n v="0"/>
    <n v="0"/>
    <n v="0"/>
    <n v="0"/>
    <n v="0"/>
    <n v="0"/>
    <n v="0"/>
    <n v="0"/>
    <n v="0"/>
    <n v="0"/>
    <n v="0"/>
    <n v="0"/>
    <n v="0"/>
    <n v="0"/>
    <n v="0"/>
    <n v="0"/>
    <n v="0"/>
    <n v="0"/>
    <n v="0"/>
    <n v="0"/>
    <n v="0"/>
    <n v="0"/>
    <n v="0"/>
    <n v="0"/>
    <n v="0"/>
    <n v="0"/>
    <n v="0"/>
    <n v="0"/>
    <n v="0"/>
    <n v="14294.339999999998"/>
    <n v="15152.000399999999"/>
    <s v=" "/>
    <s v=" "/>
    <s v=" "/>
    <s v=" "/>
    <s v=" "/>
    <s v=" "/>
    <s v=" "/>
    <s v=" "/>
    <s v=" "/>
    <s v=" "/>
    <s v=" "/>
    <s v=" "/>
    <s v=" "/>
    <s v=" "/>
    <x v="0"/>
    <x v="0"/>
    <x v="0"/>
    <x v="0"/>
    <x v="0"/>
    <x v="45"/>
    <x v="0"/>
    <x v="0"/>
    <x v="0"/>
    <x v="4"/>
    <x v="1"/>
    <x v="1"/>
    <x v="37"/>
    <x v="0"/>
    <x v="0"/>
    <x v="0"/>
    <x v="0"/>
    <x v="0"/>
    <x v="0"/>
    <x v="0"/>
    <x v="0"/>
    <x v="0"/>
    <x v="0"/>
    <x v="0"/>
    <x v="0"/>
    <x v="0"/>
    <x v="0"/>
    <x v="0"/>
    <x v="25"/>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x v="6"/>
    <x v="13"/>
    <x v="8"/>
    <x v="64"/>
    <x v="3"/>
    <n v="29.984988333"/>
    <n v="-25.821386944"/>
    <s v="29° 59' 05.95&quot;E "/>
    <s v="25° 49' 16.99&quot; S"/>
    <s v="Complete"/>
    <s v="Yes"/>
    <s v="Yes"/>
    <d v="2017-02-02T00:00:00"/>
    <s v="YES"/>
    <d v="2017-02-02T00:00:00"/>
    <s v="NBC-GTW-CL-0023"/>
    <s v="Yes"/>
    <s v="01"/>
    <d v="2018-12-07T00:00:00"/>
    <s v="Phase 1"/>
    <s v="Year 1"/>
    <m/>
    <n v="0"/>
    <n v="0"/>
    <n v="0"/>
    <n v="0"/>
    <n v="5.9399999999999995"/>
    <m/>
    <m/>
    <m/>
    <m/>
    <m/>
    <m/>
    <n v="5.9399999999999995"/>
    <m/>
    <m/>
    <m/>
    <m/>
    <m/>
    <m/>
    <m/>
    <m/>
    <m/>
    <m/>
    <m/>
    <m/>
    <m/>
    <m/>
    <m/>
    <m/>
    <m/>
    <n v="3.5999999999999996"/>
    <n v="0"/>
    <n v="0"/>
    <n v="0"/>
    <m/>
    <n v="0"/>
    <n v="0"/>
    <n v="0"/>
    <n v="0"/>
    <n v="0"/>
    <n v="0"/>
    <n v="0"/>
    <n v="0"/>
    <n v="0"/>
    <n v="0"/>
    <n v="0"/>
    <n v="0"/>
    <n v="0"/>
    <n v="0"/>
    <n v="0"/>
    <n v="0"/>
    <n v="0"/>
    <n v="0"/>
    <n v="0"/>
    <n v="0"/>
    <n v="0"/>
    <n v="0"/>
    <n v="0"/>
    <n v="0"/>
    <n v="0"/>
    <n v="0"/>
    <n v="0"/>
    <n v="0"/>
    <n v="0"/>
    <n v="0"/>
    <n v="0"/>
    <n v="0"/>
    <n v="0"/>
    <n v="0"/>
    <n v="0"/>
    <n v="0"/>
    <n v="0"/>
    <n v="0"/>
    <n v="0"/>
    <m/>
    <m/>
    <m/>
    <m/>
    <m/>
    <m/>
    <m/>
    <m/>
    <m/>
    <m/>
    <m/>
    <m/>
    <m/>
    <m/>
    <m/>
    <m/>
    <m/>
    <m/>
    <m/>
    <m/>
    <m/>
    <n v="0"/>
    <n v="0"/>
    <n v="0"/>
    <n v="0"/>
    <n v="0"/>
    <n v="504.9"/>
    <n v="0"/>
    <n v="0"/>
    <n v="0"/>
    <n v="0"/>
    <n v="0"/>
    <n v="11879.999999999998"/>
    <n v="0"/>
    <n v="0"/>
    <n v="0"/>
    <n v="0"/>
    <n v="0"/>
    <n v="107.99999999999999"/>
    <n v="0"/>
    <n v="0"/>
    <n v="0"/>
    <n v="0"/>
    <n v="0"/>
    <n v="0"/>
    <n v="0"/>
    <n v="0"/>
    <n v="0"/>
    <n v="0"/>
    <n v="0"/>
    <n v="0"/>
    <n v="0"/>
    <n v="0"/>
    <n v="0"/>
    <n v="0"/>
    <n v="0"/>
    <n v="0"/>
    <n v="0"/>
    <n v="0"/>
    <n v="0"/>
    <n v="0"/>
    <n v="0"/>
    <n v="0"/>
    <n v="0"/>
    <n v="0"/>
    <n v="0"/>
    <n v="0"/>
    <n v="0"/>
    <n v="0"/>
    <n v="0"/>
    <n v="0"/>
    <n v="0"/>
    <n v="0"/>
    <n v="0"/>
    <n v="0"/>
    <n v="0"/>
    <n v="0"/>
    <n v="0"/>
    <n v="0"/>
    <n v="12492.899999999998"/>
    <n v="13242.473999999998"/>
    <s v=" "/>
    <s v=" "/>
    <s v=" "/>
    <s v=" "/>
    <s v=" "/>
    <s v=" "/>
    <s v=" "/>
    <s v=" "/>
    <s v=" "/>
    <s v=" "/>
    <s v=" "/>
    <s v=" "/>
    <s v=" "/>
    <s v=" "/>
    <x v="0"/>
    <x v="0"/>
    <x v="0"/>
    <x v="0"/>
    <x v="0"/>
    <x v="46"/>
    <x v="0"/>
    <x v="0"/>
    <x v="0"/>
    <x v="4"/>
    <x v="1"/>
    <x v="1"/>
    <x v="38"/>
    <x v="0"/>
    <x v="0"/>
    <x v="0"/>
    <x v="0"/>
    <x v="0"/>
    <x v="0"/>
    <x v="0"/>
    <x v="0"/>
    <x v="0"/>
    <x v="0"/>
    <x v="0"/>
    <x v="0"/>
    <x v="0"/>
    <x v="0"/>
    <x v="0"/>
    <x v="26"/>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x v="6"/>
    <x v="13"/>
    <x v="8"/>
    <x v="65"/>
    <x v="3"/>
    <n v="29.984711666999999"/>
    <n v="-25.821154444000001"/>
    <s v="29° 59' 04.96&quot;E "/>
    <s v="25° 49' 16.15&quot; S"/>
    <s v="Complete"/>
    <s v="Yes"/>
    <s v="Yes"/>
    <d v="2017-02-02T00:00:00"/>
    <s v="YES"/>
    <d v="2017-02-02T00:00:00"/>
    <s v="NBC-GTW-CL-0024"/>
    <s v="Yes"/>
    <s v="01"/>
    <d v="2018-12-07T00:00:00"/>
    <s v="Phase 1"/>
    <s v="Year 1"/>
    <m/>
    <n v="0"/>
    <n v="0"/>
    <n v="0"/>
    <n v="0"/>
    <n v="4.9979999999999993"/>
    <m/>
    <m/>
    <m/>
    <m/>
    <m/>
    <m/>
    <n v="4.9979999999999993"/>
    <m/>
    <m/>
    <m/>
    <m/>
    <m/>
    <m/>
    <m/>
    <m/>
    <m/>
    <m/>
    <m/>
    <m/>
    <m/>
    <m/>
    <m/>
    <m/>
    <m/>
    <n v="3.4499999999999997"/>
    <n v="0"/>
    <n v="0"/>
    <n v="0"/>
    <m/>
    <n v="0"/>
    <n v="0"/>
    <n v="0"/>
    <n v="0"/>
    <n v="0"/>
    <n v="0"/>
    <n v="0"/>
    <n v="0"/>
    <n v="0"/>
    <n v="0"/>
    <n v="0"/>
    <n v="0"/>
    <n v="0"/>
    <n v="0"/>
    <n v="0"/>
    <n v="0"/>
    <n v="0"/>
    <n v="0"/>
    <n v="0"/>
    <n v="0"/>
    <n v="0"/>
    <n v="0"/>
    <n v="0"/>
    <n v="0"/>
    <n v="0"/>
    <n v="0"/>
    <n v="0"/>
    <n v="0"/>
    <n v="0"/>
    <n v="0"/>
    <n v="0"/>
    <n v="0"/>
    <n v="0"/>
    <n v="0"/>
    <n v="0"/>
    <n v="0"/>
    <n v="0"/>
    <n v="0"/>
    <n v="0"/>
    <m/>
    <m/>
    <m/>
    <m/>
    <m/>
    <m/>
    <m/>
    <m/>
    <m/>
    <m/>
    <m/>
    <m/>
    <m/>
    <m/>
    <m/>
    <m/>
    <m/>
    <m/>
    <m/>
    <m/>
    <m/>
    <n v="0"/>
    <n v="0"/>
    <n v="0"/>
    <n v="0"/>
    <n v="0"/>
    <n v="424.82999999999993"/>
    <n v="0"/>
    <n v="0"/>
    <n v="0"/>
    <n v="0"/>
    <n v="0"/>
    <n v="9995.9999999999982"/>
    <n v="0"/>
    <n v="0"/>
    <n v="0"/>
    <n v="0"/>
    <n v="0"/>
    <n v="103.49999999999999"/>
    <n v="0"/>
    <n v="0"/>
    <n v="0"/>
    <n v="0"/>
    <n v="0"/>
    <n v="0"/>
    <n v="0"/>
    <n v="0"/>
    <n v="0"/>
    <n v="0"/>
    <n v="0"/>
    <n v="0"/>
    <n v="0"/>
    <n v="0"/>
    <n v="0"/>
    <n v="0"/>
    <n v="0"/>
    <n v="0"/>
    <n v="0"/>
    <n v="0"/>
    <n v="0"/>
    <n v="0"/>
    <n v="0"/>
    <n v="0"/>
    <n v="0"/>
    <n v="0"/>
    <n v="0"/>
    <n v="0"/>
    <n v="0"/>
    <n v="0"/>
    <n v="0"/>
    <n v="0"/>
    <n v="0"/>
    <n v="0"/>
    <n v="0"/>
    <n v="0"/>
    <n v="0"/>
    <n v="0"/>
    <n v="0"/>
    <n v="0"/>
    <n v="10524.329999999998"/>
    <n v="11155.789799999999"/>
    <s v=" "/>
    <s v=" "/>
    <s v=" "/>
    <s v=" "/>
    <s v=" "/>
    <s v=" "/>
    <s v=" "/>
    <s v=" "/>
    <s v=" "/>
    <s v=" "/>
    <s v=" "/>
    <s v=" "/>
    <s v=" "/>
    <s v=" "/>
    <x v="0"/>
    <x v="0"/>
    <x v="0"/>
    <x v="0"/>
    <x v="0"/>
    <x v="47"/>
    <x v="0"/>
    <x v="0"/>
    <x v="0"/>
    <x v="4"/>
    <x v="1"/>
    <x v="1"/>
    <x v="39"/>
    <x v="0"/>
    <x v="0"/>
    <x v="0"/>
    <x v="0"/>
    <x v="0"/>
    <x v="0"/>
    <x v="0"/>
    <x v="0"/>
    <x v="0"/>
    <x v="0"/>
    <x v="0"/>
    <x v="0"/>
    <x v="0"/>
    <x v="0"/>
    <x v="0"/>
    <x v="27"/>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x v="6"/>
    <x v="13"/>
    <x v="8"/>
    <x v="66"/>
    <x v="3"/>
    <n v="29.984324167"/>
    <n v="-25.820989999999998"/>
    <s v="29° 59' 03.56&quot;E "/>
    <s v="25° 49' 15.56&quot; S"/>
    <s v="Complete"/>
    <s v="Yes"/>
    <s v="Yes"/>
    <d v="2017-02-06T00:00:00"/>
    <s v="YES"/>
    <d v="2017-02-06T00:00:00"/>
    <s v="NBC-GTW-CL-0025"/>
    <s v="Yes"/>
    <s v="01"/>
    <d v="2018-12-07T00:00:00"/>
    <s v="Phase 1"/>
    <s v="Year 1"/>
    <m/>
    <n v="0"/>
    <n v="0"/>
    <n v="0"/>
    <n v="0"/>
    <n v="6.6239999999999997"/>
    <m/>
    <m/>
    <m/>
    <m/>
    <m/>
    <m/>
    <n v="6.6239999999999997"/>
    <m/>
    <m/>
    <m/>
    <m/>
    <m/>
    <m/>
    <m/>
    <m/>
    <m/>
    <m/>
    <m/>
    <m/>
    <m/>
    <m/>
    <m/>
    <m/>
    <m/>
    <n v="3.5999999999999996"/>
    <n v="0"/>
    <n v="0"/>
    <n v="0"/>
    <m/>
    <n v="0"/>
    <n v="0"/>
    <n v="0"/>
    <n v="0"/>
    <n v="0"/>
    <n v="0"/>
    <n v="0"/>
    <n v="0"/>
    <n v="0"/>
    <n v="0"/>
    <n v="0"/>
    <n v="0"/>
    <n v="0"/>
    <n v="0"/>
    <n v="0"/>
    <n v="0"/>
    <n v="0"/>
    <n v="0"/>
    <n v="0"/>
    <n v="0"/>
    <n v="0"/>
    <n v="0"/>
    <n v="0"/>
    <n v="0"/>
    <n v="0"/>
    <n v="0"/>
    <n v="0"/>
    <n v="0"/>
    <n v="0"/>
    <n v="0"/>
    <n v="0"/>
    <n v="0"/>
    <n v="0"/>
    <n v="0"/>
    <n v="0"/>
    <n v="0"/>
    <n v="0"/>
    <n v="0"/>
    <n v="0"/>
    <m/>
    <m/>
    <m/>
    <m/>
    <m/>
    <m/>
    <m/>
    <m/>
    <m/>
    <m/>
    <m/>
    <m/>
    <m/>
    <m/>
    <m/>
    <m/>
    <m/>
    <m/>
    <m/>
    <m/>
    <m/>
    <n v="0"/>
    <n v="0"/>
    <n v="0"/>
    <n v="0"/>
    <n v="0"/>
    <n v="563.04"/>
    <n v="0"/>
    <n v="0"/>
    <n v="0"/>
    <n v="0"/>
    <n v="0"/>
    <n v="13248"/>
    <n v="0"/>
    <n v="0"/>
    <n v="0"/>
    <n v="0"/>
    <n v="0"/>
    <n v="107.99999999999999"/>
    <n v="0"/>
    <n v="0"/>
    <n v="0"/>
    <n v="0"/>
    <n v="0"/>
    <n v="0"/>
    <n v="0"/>
    <n v="0"/>
    <n v="0"/>
    <n v="0"/>
    <n v="0"/>
    <n v="0"/>
    <n v="0"/>
    <n v="0"/>
    <n v="0"/>
    <n v="0"/>
    <n v="0"/>
    <n v="0"/>
    <n v="0"/>
    <n v="0"/>
    <n v="0"/>
    <n v="0"/>
    <n v="0"/>
    <n v="0"/>
    <n v="0"/>
    <n v="0"/>
    <n v="0"/>
    <n v="0"/>
    <n v="0"/>
    <n v="0"/>
    <n v="0"/>
    <n v="0"/>
    <n v="0"/>
    <n v="0"/>
    <n v="0"/>
    <n v="0"/>
    <n v="0"/>
    <n v="0"/>
    <n v="0"/>
    <n v="0"/>
    <n v="13919.04"/>
    <n v="14754.182400000002"/>
    <s v=" "/>
    <s v=" "/>
    <s v=" "/>
    <s v=" "/>
    <s v=" "/>
    <s v=" "/>
    <s v=" "/>
    <s v=" "/>
    <s v=" "/>
    <s v=" "/>
    <s v=" "/>
    <s v=" "/>
    <s v=" "/>
    <s v=" "/>
    <x v="0"/>
    <x v="0"/>
    <x v="0"/>
    <x v="0"/>
    <x v="0"/>
    <x v="48"/>
    <x v="0"/>
    <x v="0"/>
    <x v="0"/>
    <x v="4"/>
    <x v="1"/>
    <x v="1"/>
    <x v="40"/>
    <x v="0"/>
    <x v="0"/>
    <x v="0"/>
    <x v="0"/>
    <x v="0"/>
    <x v="0"/>
    <x v="0"/>
    <x v="0"/>
    <x v="0"/>
    <x v="0"/>
    <x v="0"/>
    <x v="0"/>
    <x v="0"/>
    <x v="0"/>
    <x v="0"/>
    <x v="28"/>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x v="6"/>
    <x v="13"/>
    <x v="8"/>
    <x v="67"/>
    <x v="3"/>
    <n v="29.983982222000002"/>
    <n v="-25.820874721999999"/>
    <s v="29° 59' 02.33&quot;E "/>
    <s v="25° 49' 15.14&quot; S"/>
    <s v="Complete"/>
    <n v="0"/>
    <s v="Yes"/>
    <d v="2017-02-06T00:00:00"/>
    <s v="DONE"/>
    <d v="2017-02-06T00:00:00"/>
    <s v="NBC-GTH-CL-0002"/>
    <s v="Yes"/>
    <s v="01"/>
    <d v="2018-12-07T00:00:00"/>
    <s v="Phase 1"/>
    <s v="Year 1"/>
    <m/>
    <n v="0"/>
    <n v="0"/>
    <n v="0"/>
    <n v="0"/>
    <n v="6.7574999999999994"/>
    <m/>
    <m/>
    <m/>
    <m/>
    <m/>
    <m/>
    <n v="6.7574999999999994"/>
    <m/>
    <m/>
    <m/>
    <m/>
    <m/>
    <m/>
    <m/>
    <m/>
    <m/>
    <m/>
    <m/>
    <m/>
    <m/>
    <m/>
    <m/>
    <m/>
    <m/>
    <n v="3.75"/>
    <n v="0"/>
    <n v="0"/>
    <n v="0"/>
    <m/>
    <n v="0"/>
    <n v="0"/>
    <n v="0"/>
    <n v="0"/>
    <n v="0"/>
    <n v="0"/>
    <n v="0"/>
    <n v="0"/>
    <n v="0"/>
    <n v="0"/>
    <n v="0"/>
    <n v="0"/>
    <n v="0"/>
    <n v="0"/>
    <n v="0"/>
    <n v="0"/>
    <n v="0"/>
    <n v="0"/>
    <n v="0"/>
    <n v="0"/>
    <n v="0"/>
    <n v="0"/>
    <n v="0"/>
    <n v="0"/>
    <n v="0"/>
    <n v="0"/>
    <n v="0"/>
    <n v="0"/>
    <n v="0"/>
    <n v="0"/>
    <n v="0"/>
    <n v="0"/>
    <n v="0"/>
    <n v="0"/>
    <n v="0"/>
    <n v="0"/>
    <n v="0"/>
    <n v="0"/>
    <n v="0"/>
    <m/>
    <m/>
    <m/>
    <m/>
    <m/>
    <m/>
    <m/>
    <m/>
    <m/>
    <m/>
    <m/>
    <m/>
    <m/>
    <m/>
    <m/>
    <m/>
    <m/>
    <m/>
    <m/>
    <m/>
    <m/>
    <n v="0"/>
    <n v="0"/>
    <n v="0"/>
    <n v="0"/>
    <n v="0"/>
    <n v="574.38749999999993"/>
    <n v="0"/>
    <n v="0"/>
    <n v="0"/>
    <n v="0"/>
    <n v="0"/>
    <n v="13514.999999999998"/>
    <n v="0"/>
    <n v="0"/>
    <n v="0"/>
    <n v="0"/>
    <n v="0"/>
    <n v="112.5"/>
    <n v="0"/>
    <n v="0"/>
    <n v="0"/>
    <n v="0"/>
    <n v="0"/>
    <n v="0"/>
    <n v="0"/>
    <n v="0"/>
    <n v="0"/>
    <n v="0"/>
    <n v="0"/>
    <n v="0"/>
    <n v="0"/>
    <n v="0"/>
    <n v="0"/>
    <n v="0"/>
    <n v="0"/>
    <n v="0"/>
    <n v="0"/>
    <n v="0"/>
    <n v="0"/>
    <n v="0"/>
    <n v="0"/>
    <n v="0"/>
    <n v="0"/>
    <n v="0"/>
    <n v="0"/>
    <n v="0"/>
    <n v="0"/>
    <n v="0"/>
    <n v="0"/>
    <n v="0"/>
    <n v="0"/>
    <n v="0"/>
    <n v="0"/>
    <n v="0"/>
    <n v="0"/>
    <n v="0"/>
    <n v="0"/>
    <n v="0"/>
    <n v="14201.887499999999"/>
    <n v="15054.000749999999"/>
    <s v=" "/>
    <s v=" "/>
    <s v=" "/>
    <s v=" "/>
    <s v=" "/>
    <s v=" "/>
    <s v=" "/>
    <s v=" "/>
    <s v=" "/>
    <s v=" "/>
    <s v=" "/>
    <s v=" "/>
    <s v=" "/>
    <s v=" "/>
    <x v="0"/>
    <x v="0"/>
    <x v="0"/>
    <x v="0"/>
    <x v="0"/>
    <x v="49"/>
    <x v="0"/>
    <x v="0"/>
    <x v="0"/>
    <x v="4"/>
    <x v="1"/>
    <x v="1"/>
    <x v="41"/>
    <x v="0"/>
    <x v="0"/>
    <x v="0"/>
    <x v="0"/>
    <x v="0"/>
    <x v="0"/>
    <x v="0"/>
    <x v="0"/>
    <x v="0"/>
    <x v="0"/>
    <x v="0"/>
    <x v="0"/>
    <x v="0"/>
    <x v="0"/>
    <x v="0"/>
    <x v="29"/>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x v="6"/>
    <x v="13"/>
    <x v="8"/>
    <x v="68"/>
    <x v="6"/>
    <n v="29.986772221999999"/>
    <n v="-25.822881943999999"/>
    <s v="29° 59' 12.37&quot;E "/>
    <s v="25° 49' 22.37&quot; S"/>
    <s v="Complete"/>
    <s v="Yes"/>
    <s v="Yes"/>
    <s v="Yes"/>
    <s v="YES"/>
    <s v="NO"/>
    <s v="NBC-GTW-CL-0001"/>
    <s v="Yes"/>
    <s v="01"/>
    <d v="2018-12-07T00:00:00"/>
    <s v="Phase 1"/>
    <s v="Year 1"/>
    <m/>
    <m/>
    <m/>
    <m/>
    <m/>
    <n v="6.6599999999999993"/>
    <m/>
    <m/>
    <m/>
    <m/>
    <m/>
    <m/>
    <n v="6.6599999999999993"/>
    <m/>
    <m/>
    <m/>
    <m/>
    <m/>
    <m/>
    <m/>
    <m/>
    <m/>
    <m/>
    <m/>
    <m/>
    <m/>
    <m/>
    <m/>
    <m/>
    <m/>
    <n v="3.5999999999999996"/>
    <m/>
    <m/>
    <m/>
    <m/>
    <m/>
    <m/>
    <m/>
    <m/>
    <m/>
    <m/>
    <m/>
    <m/>
    <m/>
    <m/>
    <m/>
    <m/>
    <m/>
    <m/>
    <m/>
    <m/>
    <m/>
    <m/>
    <m/>
    <m/>
    <m/>
    <m/>
    <m/>
    <m/>
    <m/>
    <m/>
    <m/>
    <m/>
    <m/>
    <n v="0"/>
    <n v="0"/>
    <n v="0"/>
    <n v="0"/>
    <n v="0"/>
    <n v="0"/>
    <n v="0"/>
    <n v="0"/>
    <n v="0"/>
    <n v="0"/>
    <n v="0"/>
    <m/>
    <m/>
    <m/>
    <m/>
    <m/>
    <m/>
    <m/>
    <m/>
    <m/>
    <m/>
    <m/>
    <m/>
    <m/>
    <m/>
    <m/>
    <m/>
    <m/>
    <m/>
    <m/>
    <m/>
    <n v="0"/>
    <n v="0"/>
    <n v="0"/>
    <n v="0"/>
    <n v="0"/>
    <n v="566.09999999999991"/>
    <n v="0"/>
    <n v="0"/>
    <n v="0"/>
    <n v="0"/>
    <n v="0"/>
    <n v="13319.999999999998"/>
    <n v="0"/>
    <n v="0"/>
    <n v="0"/>
    <n v="0"/>
    <n v="0"/>
    <n v="107.99999999999999"/>
    <n v="0"/>
    <n v="0"/>
    <n v="0"/>
    <n v="0"/>
    <n v="0"/>
    <n v="0"/>
    <n v="0"/>
    <n v="0"/>
    <n v="0"/>
    <n v="0"/>
    <n v="0"/>
    <n v="0"/>
    <n v="0"/>
    <n v="0"/>
    <n v="0"/>
    <n v="0"/>
    <n v="0"/>
    <n v="0"/>
    <n v="0"/>
    <n v="0"/>
    <n v="0"/>
    <n v="0"/>
    <n v="0"/>
    <n v="0"/>
    <n v="0"/>
    <n v="0"/>
    <n v="0"/>
    <n v="0"/>
    <n v="0"/>
    <n v="0"/>
    <n v="0"/>
    <n v="0"/>
    <n v="0"/>
    <n v="0"/>
    <n v="0"/>
    <n v="0"/>
    <n v="0"/>
    <n v="0"/>
    <n v="0"/>
    <n v="0"/>
    <n v="13994.099999999999"/>
    <n v="14833.745999999999"/>
    <s v=" "/>
    <s v=" "/>
    <s v=" "/>
    <s v=" "/>
    <s v=" "/>
    <s v=" "/>
    <s v=" "/>
    <s v=" "/>
    <s v=" "/>
    <s v=" "/>
    <s v=" "/>
    <s v=" "/>
    <s v=" "/>
    <s v=" "/>
    <x v="0"/>
    <x v="0"/>
    <x v="0"/>
    <x v="0"/>
    <x v="0"/>
    <x v="50"/>
    <x v="0"/>
    <x v="0"/>
    <x v="0"/>
    <x v="4"/>
    <x v="1"/>
    <x v="1"/>
    <x v="42"/>
    <x v="0"/>
    <x v="0"/>
    <x v="0"/>
    <x v="0"/>
    <x v="0"/>
    <x v="0"/>
    <x v="0"/>
    <x v="0"/>
    <x v="0"/>
    <x v="0"/>
    <x v="0"/>
    <x v="0"/>
    <x v="0"/>
    <x v="0"/>
    <x v="0"/>
    <x v="3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x v="6"/>
    <x v="16"/>
    <x v="12"/>
    <x v="69"/>
    <x v="6"/>
    <n v="29.98665025"/>
    <n v="-25.822639479999999"/>
    <s v="29° 59' 11.94&quot;E "/>
    <s v="25° 49' 21.50&quot; S"/>
    <s v="Complete"/>
    <s v="Yes"/>
    <s v="Yes"/>
    <d v="2017-04-10T00:00:00"/>
    <s v="NA"/>
    <s v="NA"/>
    <s v="No Drawing"/>
    <s v="Yes"/>
    <s v="00"/>
    <d v="2018-06-16T00:00:00"/>
    <s v="Phase 1"/>
    <s v="Year 1"/>
    <n v="3294.95"/>
    <m/>
    <m/>
    <m/>
    <m/>
    <n v="1098"/>
    <m/>
    <m/>
    <n v="3294.95"/>
    <n v="3294.95"/>
    <m/>
    <m/>
    <m/>
    <m/>
    <m/>
    <m/>
    <m/>
    <m/>
    <m/>
    <m/>
    <m/>
    <m/>
    <m/>
    <m/>
    <m/>
    <n v="0"/>
    <n v="0"/>
    <n v="0"/>
    <n v="0"/>
    <n v="0"/>
    <n v="0"/>
    <n v="0"/>
    <n v="0"/>
    <n v="0"/>
    <n v="1879.7535"/>
    <n v="0"/>
    <n v="0"/>
    <n v="0"/>
    <n v="0"/>
    <n v="0"/>
    <n v="0"/>
    <n v="0"/>
    <n v="0"/>
    <n v="0"/>
    <n v="0"/>
    <n v="0"/>
    <n v="0"/>
    <n v="0"/>
    <n v="0"/>
    <n v="0"/>
    <n v="0"/>
    <n v="0"/>
    <n v="0"/>
    <n v="0"/>
    <n v="0"/>
    <n v="0"/>
    <n v="0"/>
    <n v="0"/>
    <n v="0"/>
    <n v="0"/>
    <n v="0"/>
    <n v="0"/>
    <n v="0"/>
    <n v="0"/>
    <n v="0"/>
    <n v="0"/>
    <n v="0"/>
    <n v="0"/>
    <n v="0"/>
    <n v="0"/>
    <n v="0"/>
    <n v="0"/>
    <n v="0"/>
    <n v="0"/>
    <n v="0"/>
    <m/>
    <m/>
    <m/>
    <m/>
    <m/>
    <m/>
    <m/>
    <m/>
    <m/>
    <m/>
    <m/>
    <m/>
    <m/>
    <m/>
    <m/>
    <m/>
    <m/>
    <m/>
    <m/>
    <m/>
    <n v="16474.75"/>
    <n v="0"/>
    <n v="0"/>
    <n v="0"/>
    <n v="0"/>
    <n v="93330"/>
    <n v="0"/>
    <n v="0"/>
    <n v="16474.75"/>
    <n v="32949.5"/>
    <n v="0"/>
    <n v="0"/>
    <n v="0"/>
    <n v="0"/>
    <n v="0"/>
    <n v="0"/>
    <n v="0"/>
    <n v="0"/>
    <n v="0"/>
    <n v="0"/>
    <n v="225570.42"/>
    <n v="0"/>
    <n v="0"/>
    <n v="0"/>
    <n v="0"/>
    <n v="0"/>
    <n v="0"/>
    <n v="0"/>
    <n v="0"/>
    <n v="0"/>
    <n v="0"/>
    <n v="0"/>
    <n v="0"/>
    <n v="0"/>
    <n v="0"/>
    <n v="0"/>
    <n v="0"/>
    <n v="0"/>
    <n v="0"/>
    <n v="0"/>
    <n v="0"/>
    <n v="0"/>
    <n v="0"/>
    <n v="0"/>
    <n v="0"/>
    <n v="0"/>
    <n v="0"/>
    <n v="0"/>
    <n v="0"/>
    <n v="0"/>
    <n v="0"/>
    <n v="0"/>
    <n v="0"/>
    <n v="0"/>
    <n v="0"/>
    <n v="0"/>
    <n v="0"/>
    <n v="0"/>
    <n v="384799.42000000004"/>
    <n v="407887.38520000008"/>
    <s v=" "/>
    <s v=" "/>
    <s v=" "/>
    <s v=" "/>
    <s v=" "/>
    <s v=" "/>
    <s v=" "/>
    <s v=" "/>
    <s v=" "/>
    <s v=" "/>
    <s v=" "/>
    <s v=" "/>
    <s v=" "/>
    <s v=" "/>
    <x v="29"/>
    <x v="0"/>
    <x v="0"/>
    <x v="0"/>
    <x v="0"/>
    <x v="51"/>
    <x v="0"/>
    <x v="0"/>
    <x v="30"/>
    <x v="31"/>
    <x v="1"/>
    <x v="1"/>
    <x v="0"/>
    <x v="0"/>
    <x v="0"/>
    <x v="0"/>
    <x v="0"/>
    <x v="0"/>
    <x v="0"/>
    <x v="0"/>
    <x v="0"/>
    <x v="0"/>
    <x v="0"/>
    <x v="0"/>
    <x v="0"/>
    <x v="0"/>
    <x v="0"/>
    <x v="0"/>
    <x v="0"/>
    <x v="0"/>
    <x v="0"/>
    <x v="0"/>
    <x v="19"/>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x v="7"/>
    <x v="19"/>
    <x v="11"/>
    <x v="70"/>
    <x v="0"/>
    <n v="29.991269721999998"/>
    <n v="-25.821991110999999"/>
    <s v="29° 59' 28.57&quot;E "/>
    <s v="25° 49' 19.16&quot; S"/>
    <s v="Complete"/>
    <s v="Yes"/>
    <s v="Yes"/>
    <d v="2017-04-28T00:00:00"/>
    <s v="YES "/>
    <m/>
    <s v="NBC-GTW-CL-0053"/>
    <s v="Yes"/>
    <s v="00"/>
    <d v="2018-06-16T00:00:00"/>
    <s v="Phase 2"/>
    <s v="Year 1"/>
    <m/>
    <m/>
    <m/>
    <m/>
    <m/>
    <n v="5"/>
    <m/>
    <m/>
    <m/>
    <m/>
    <m/>
    <m/>
    <m/>
    <m/>
    <m/>
    <m/>
    <m/>
    <m/>
    <m/>
    <m/>
    <m/>
    <m/>
    <m/>
    <m/>
    <m/>
    <m/>
    <m/>
    <m/>
    <m/>
    <m/>
    <m/>
    <m/>
    <m/>
    <m/>
    <n v="0"/>
    <m/>
    <m/>
    <m/>
    <m/>
    <m/>
    <m/>
    <m/>
    <m/>
    <m/>
    <m/>
    <m/>
    <m/>
    <m/>
    <m/>
    <m/>
    <m/>
    <m/>
    <m/>
    <m/>
    <m/>
    <m/>
    <m/>
    <m/>
    <m/>
    <m/>
    <m/>
    <m/>
    <n v="20"/>
    <m/>
    <m/>
    <m/>
    <m/>
    <m/>
    <m/>
    <m/>
    <m/>
    <m/>
    <m/>
    <m/>
    <m/>
    <m/>
    <m/>
    <n v="0"/>
    <n v="0"/>
    <n v="0"/>
    <n v="0"/>
    <n v="0"/>
    <n v="0"/>
    <n v="0"/>
    <n v="0"/>
    <n v="0"/>
    <m/>
    <m/>
    <m/>
    <m/>
    <m/>
    <m/>
    <m/>
    <m/>
    <m/>
    <n v="0"/>
    <n v="0"/>
    <n v="0"/>
    <n v="0"/>
    <n v="0"/>
    <n v="425"/>
    <n v="0"/>
    <n v="0"/>
    <n v="0"/>
    <n v="0"/>
    <n v="0"/>
    <n v="0"/>
    <n v="0"/>
    <n v="0"/>
    <n v="0"/>
    <n v="0"/>
    <n v="0"/>
    <n v="0"/>
    <n v="0"/>
    <n v="0"/>
    <n v="0"/>
    <n v="0"/>
    <n v="0"/>
    <n v="0"/>
    <n v="0"/>
    <n v="0"/>
    <n v="18000"/>
    <n v="0"/>
    <n v="0"/>
    <n v="0"/>
    <n v="0"/>
    <n v="0"/>
    <n v="0"/>
    <n v="0"/>
    <n v="0"/>
    <n v="0"/>
    <n v="0"/>
    <n v="0"/>
    <n v="0"/>
    <n v="0"/>
    <n v="0"/>
    <n v="0"/>
    <n v="0"/>
    <n v="0"/>
    <n v="0"/>
    <n v="0"/>
    <n v="0"/>
    <n v="0"/>
    <n v="0"/>
    <n v="0"/>
    <n v="0"/>
    <n v="0"/>
    <n v="0"/>
    <n v="0"/>
    <n v="0"/>
    <n v="0"/>
    <n v="0"/>
    <n v="0"/>
    <n v="18425"/>
    <n v="19530.5"/>
    <s v=" "/>
    <s v=" "/>
    <s v=" "/>
    <s v=" "/>
    <s v=" "/>
    <s v=" "/>
    <s v=" "/>
    <s v=" "/>
    <s v=" "/>
    <s v=" "/>
    <s v=" "/>
    <s v=" "/>
    <s v=" "/>
    <s v=" "/>
    <x v="0"/>
    <x v="0"/>
    <x v="0"/>
    <x v="0"/>
    <x v="0"/>
    <x v="52"/>
    <x v="0"/>
    <x v="0"/>
    <x v="0"/>
    <x v="4"/>
    <x v="1"/>
    <x v="1"/>
    <x v="0"/>
    <x v="0"/>
    <x v="0"/>
    <x v="0"/>
    <x v="0"/>
    <x v="0"/>
    <x v="0"/>
    <x v="0"/>
    <x v="0"/>
    <x v="0"/>
    <x v="0"/>
    <x v="0"/>
    <x v="0"/>
    <x v="0"/>
    <x v="0"/>
    <x v="0"/>
    <x v="0"/>
    <x v="0"/>
    <x v="0"/>
    <x v="0"/>
    <x v="0"/>
    <x v="0"/>
    <x v="0"/>
    <x v="0"/>
    <x v="0"/>
    <x v="0"/>
    <x v="0"/>
    <x v="0"/>
    <x v="0"/>
    <x v="0"/>
    <x v="0"/>
    <x v="0"/>
    <x v="0"/>
    <x v="0"/>
    <x v="0"/>
    <x v="0"/>
    <x v="0"/>
    <x v="0"/>
    <x v="0"/>
    <x v="0"/>
    <x v="0"/>
    <x v="0"/>
    <x v="0"/>
    <x v="0"/>
    <x v="0"/>
    <x v="0"/>
    <x v="0"/>
    <x v="0"/>
    <x v="3"/>
    <x v="0"/>
    <x v="0"/>
    <x v="0"/>
    <x v="0"/>
    <x v="0"/>
    <x v="0"/>
    <x v="0"/>
    <x v="0"/>
    <x v="0"/>
    <x v="0"/>
    <x v="0"/>
    <x v="0"/>
    <x v="0"/>
    <x v="0"/>
    <x v="0"/>
    <x v="0"/>
    <x v="0"/>
    <x v="0"/>
    <x v="0"/>
    <x v="0"/>
    <x v="0"/>
    <x v="0"/>
    <x v="0"/>
    <x v="0"/>
    <x v="0"/>
    <x v="0"/>
    <x v="0"/>
    <x v="0"/>
    <x v="0"/>
    <x v="0"/>
    <x v="0"/>
    <x v="0"/>
  </r>
  <r>
    <x v="7"/>
    <x v="9"/>
    <x v="3"/>
    <x v="71"/>
    <x v="0"/>
    <n v="29.992018610999999"/>
    <n v="-25.820953332999999"/>
    <s v="29° 59' 31.26&quot;E "/>
    <s v="25° 49' 15.43&quot; S"/>
    <s v="Complete"/>
    <s v="Yes"/>
    <s v="Yes"/>
    <d v="2017-02-06T00:00:00"/>
    <s v="YES"/>
    <d v="1899-12-30T00:00:00"/>
    <s v="NBC-GTW-CL-0026"/>
    <s v="Yes"/>
    <s v="00"/>
    <d v="2018-06-16T00:00:00"/>
    <s v="Phase 2"/>
    <s v="Year 1"/>
    <n v="20.96"/>
    <n v="0"/>
    <n v="0"/>
    <n v="0"/>
    <n v="0"/>
    <n v="38.760037999999994"/>
    <n v="3.8760037999999994"/>
    <n v="1.9380018999999997"/>
    <n v="20.96"/>
    <n v="20.96"/>
    <n v="0"/>
    <n v="0"/>
    <n v="27.321751200000001"/>
    <n v="38.552"/>
    <n v="0"/>
    <n v="0"/>
    <s v="Ref 888"/>
    <n v="22.335280000000001"/>
    <s v="Ref 655"/>
    <n v="27.825600000000001"/>
    <n v="0"/>
    <n v="46.089202790819932"/>
    <n v="0"/>
    <n v="6.42"/>
    <n v="0"/>
    <m/>
    <n v="0"/>
    <m/>
    <n v="0"/>
    <n v="6"/>
    <n v="8.0039999999999996"/>
    <n v="0"/>
    <n v="0"/>
    <n v="0"/>
    <n v="10.8096"/>
    <n v="0"/>
    <n v="0"/>
    <n v="0"/>
    <n v="0"/>
    <n v="0"/>
    <n v="0"/>
    <n v="0"/>
    <n v="0"/>
    <n v="0"/>
    <n v="0"/>
    <n v="0"/>
    <n v="0"/>
    <n v="0"/>
    <n v="0"/>
    <n v="0"/>
    <n v="0"/>
    <n v="0"/>
    <n v="0"/>
    <n v="0"/>
    <n v="0"/>
    <n v="0"/>
    <n v="0"/>
    <n v="0"/>
    <n v="0"/>
    <n v="0"/>
    <n v="0"/>
    <n v="0"/>
    <n v="0"/>
    <n v="0"/>
    <n v="0"/>
    <n v="0"/>
    <n v="0"/>
    <n v="0"/>
    <n v="0"/>
    <n v="0"/>
    <n v="0"/>
    <n v="0"/>
    <n v="0"/>
    <n v="0"/>
    <m/>
    <m/>
    <m/>
    <m/>
    <m/>
    <m/>
    <m/>
    <m/>
    <m/>
    <m/>
    <m/>
    <m/>
    <m/>
    <m/>
    <m/>
    <m/>
    <m/>
    <m/>
    <m/>
    <m/>
    <m/>
    <n v="104.80000000000001"/>
    <n v="0"/>
    <n v="0"/>
    <n v="0"/>
    <n v="0"/>
    <n v="3294.6032299999997"/>
    <n v="484.50047499999994"/>
    <n v="969.00094999999988"/>
    <n v="104.80000000000001"/>
    <n v="209.60000000000002"/>
    <n v="0"/>
    <n v="54643.502400000005"/>
    <n v="11565.6"/>
    <n v="0"/>
    <n v="0"/>
    <n v="1003.2176000000002"/>
    <n v="34310.981814032959"/>
    <n v="240.11999999999998"/>
    <n v="0"/>
    <n v="0"/>
    <n v="1297.152"/>
    <n v="0"/>
    <n v="0"/>
    <n v="0"/>
    <n v="0"/>
    <n v="0"/>
    <n v="0"/>
    <n v="0"/>
    <n v="0"/>
    <n v="0"/>
    <n v="0"/>
    <n v="0"/>
    <n v="0"/>
    <n v="0"/>
    <n v="0"/>
    <n v="0"/>
    <n v="0"/>
    <n v="0"/>
    <n v="0"/>
    <n v="0"/>
    <n v="0"/>
    <n v="0"/>
    <n v="0"/>
    <n v="0"/>
    <n v="0"/>
    <n v="0"/>
    <n v="0"/>
    <n v="0"/>
    <n v="0"/>
    <n v="0"/>
    <n v="0"/>
    <n v="0"/>
    <n v="0"/>
    <n v="0"/>
    <n v="0"/>
    <n v="0"/>
    <n v="0"/>
    <n v="0"/>
    <n v="108227.87846903296"/>
    <n v="114721.55117717494"/>
    <s v=" "/>
    <s v=" "/>
    <s v=" "/>
    <s v=" "/>
    <s v=" "/>
    <s v=" "/>
    <s v=" "/>
    <s v=" "/>
    <s v=" "/>
    <s v=" "/>
    <s v=" "/>
    <s v=" "/>
    <s v=" "/>
    <s v=" "/>
    <x v="30"/>
    <x v="0"/>
    <x v="0"/>
    <x v="0"/>
    <x v="0"/>
    <x v="53"/>
    <x v="4"/>
    <x v="11"/>
    <x v="31"/>
    <x v="32"/>
    <x v="1"/>
    <x v="1"/>
    <x v="43"/>
    <x v="13"/>
    <x v="0"/>
    <x v="0"/>
    <x v="15"/>
    <x v="11"/>
    <x v="0"/>
    <x v="11"/>
    <x v="0"/>
    <x v="14"/>
    <x v="0"/>
    <x v="0"/>
    <x v="0"/>
    <x v="0"/>
    <x v="0"/>
    <x v="10"/>
    <x v="31"/>
    <x v="0"/>
    <x v="0"/>
    <x v="0"/>
    <x v="2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x v="7"/>
    <x v="19"/>
    <x v="11"/>
    <x v="72"/>
    <x v="0"/>
    <n v="29.992279167"/>
    <n v="-25.820230278"/>
    <s v="29° 59' 32.20&quot;E "/>
    <s v="25° 49' 12.82&quot; S"/>
    <s v="Complete"/>
    <s v="Yes"/>
    <s v="Yes"/>
    <d v="2017-04-28T00:00:00"/>
    <s v="YES "/>
    <m/>
    <s v="NBC-GTW-CL-0054"/>
    <s v="Yes"/>
    <s v="00"/>
    <d v="2018-06-16T00:00:00"/>
    <s v="Phase 2"/>
    <s v="Year 1"/>
    <n v="0"/>
    <n v="0"/>
    <n v="0"/>
    <n v="0"/>
    <n v="0"/>
    <n v="5.3159999999999998"/>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8"/>
    <n v="0"/>
    <n v="0"/>
    <n v="0"/>
    <n v="0"/>
    <n v="0"/>
    <n v="0"/>
    <n v="0"/>
    <n v="0"/>
    <n v="0"/>
    <n v="0"/>
    <n v="0"/>
    <n v="0"/>
    <n v="0"/>
    <n v="0"/>
    <n v="0"/>
    <n v="0"/>
    <n v="0"/>
    <n v="0"/>
    <n v="0"/>
    <n v="0"/>
    <n v="0"/>
    <n v="0"/>
    <n v="0"/>
    <m/>
    <m/>
    <m/>
    <m/>
    <m/>
    <m/>
    <m/>
    <m/>
    <m/>
    <n v="0"/>
    <n v="0"/>
    <n v="0"/>
    <n v="0"/>
    <n v="0"/>
    <n v="451.86"/>
    <n v="0"/>
    <n v="0"/>
    <n v="0"/>
    <n v="0"/>
    <n v="0"/>
    <n v="0"/>
    <n v="0"/>
    <n v="0"/>
    <n v="0"/>
    <n v="0"/>
    <n v="0"/>
    <n v="0"/>
    <n v="0"/>
    <n v="0"/>
    <n v="0"/>
    <n v="0"/>
    <n v="0"/>
    <n v="0"/>
    <n v="0"/>
    <n v="0"/>
    <n v="7200"/>
    <n v="0"/>
    <n v="0"/>
    <n v="0"/>
    <n v="0"/>
    <n v="0"/>
    <n v="0"/>
    <n v="0"/>
    <n v="0"/>
    <n v="0"/>
    <n v="0"/>
    <n v="0"/>
    <n v="0"/>
    <n v="0"/>
    <n v="0"/>
    <n v="0"/>
    <n v="0"/>
    <n v="0"/>
    <n v="0"/>
    <n v="0"/>
    <n v="0"/>
    <n v="0"/>
    <n v="0"/>
    <n v="0"/>
    <n v="0"/>
    <n v="0"/>
    <n v="0"/>
    <n v="0"/>
    <n v="0"/>
    <n v="0"/>
    <n v="0"/>
    <n v="0"/>
    <n v="7651.86"/>
    <n v="8110.9715999999999"/>
    <s v=" "/>
    <s v=" "/>
    <s v=" "/>
    <s v=" "/>
    <s v=" "/>
    <s v=" "/>
    <s v=" "/>
    <s v=" "/>
    <s v=" "/>
    <s v=" "/>
    <s v=" "/>
    <s v=" "/>
    <s v=" "/>
    <s v=" "/>
    <x v="0"/>
    <x v="0"/>
    <x v="0"/>
    <x v="0"/>
    <x v="0"/>
    <x v="54"/>
    <x v="0"/>
    <x v="0"/>
    <x v="0"/>
    <x v="4"/>
    <x v="1"/>
    <x v="1"/>
    <x v="0"/>
    <x v="0"/>
    <x v="0"/>
    <x v="0"/>
    <x v="0"/>
    <x v="0"/>
    <x v="0"/>
    <x v="0"/>
    <x v="0"/>
    <x v="0"/>
    <x v="0"/>
    <x v="0"/>
    <x v="0"/>
    <x v="0"/>
    <x v="0"/>
    <x v="0"/>
    <x v="0"/>
    <x v="0"/>
    <x v="0"/>
    <x v="0"/>
    <x v="0"/>
    <x v="0"/>
    <x v="0"/>
    <x v="0"/>
    <x v="0"/>
    <x v="0"/>
    <x v="0"/>
    <x v="0"/>
    <x v="0"/>
    <x v="0"/>
    <x v="0"/>
    <x v="0"/>
    <x v="0"/>
    <x v="0"/>
    <x v="0"/>
    <x v="0"/>
    <x v="0"/>
    <x v="0"/>
    <x v="0"/>
    <x v="0"/>
    <x v="0"/>
    <x v="0"/>
    <x v="0"/>
    <x v="0"/>
    <x v="0"/>
    <x v="0"/>
    <x v="0"/>
    <x v="0"/>
    <x v="4"/>
    <x v="0"/>
    <x v="0"/>
    <x v="0"/>
    <x v="0"/>
    <x v="0"/>
    <x v="0"/>
    <x v="0"/>
    <x v="0"/>
    <x v="0"/>
    <x v="0"/>
    <x v="0"/>
    <x v="0"/>
    <x v="0"/>
    <x v="0"/>
    <x v="0"/>
    <x v="0"/>
    <x v="0"/>
    <x v="0"/>
    <x v="0"/>
    <x v="0"/>
    <x v="0"/>
    <x v="0"/>
    <x v="0"/>
    <x v="0"/>
    <x v="0"/>
    <x v="0"/>
    <x v="0"/>
    <x v="0"/>
    <x v="0"/>
    <x v="0"/>
    <x v="0"/>
    <x v="0"/>
  </r>
  <r>
    <x v="7"/>
    <x v="19"/>
    <x v="11"/>
    <x v="73"/>
    <x v="0"/>
    <n v="29.992724166999999"/>
    <n v="-25.818730833"/>
    <s v="29° 59' 33.80&quot;E "/>
    <s v="25° 49' 07.43&quot; S"/>
    <s v="Complete"/>
    <s v="Yes"/>
    <s v="Yes"/>
    <d v="2017-04-28T00:00:00"/>
    <s v="YES "/>
    <m/>
    <s v="NBC-GTW-CL-0055"/>
    <s v="Yes"/>
    <s v="00"/>
    <d v="2018-06-16T00:00:00"/>
    <s v="Phase 2"/>
    <s v="Year 1"/>
    <n v="0"/>
    <n v="0"/>
    <n v="0"/>
    <n v="0"/>
    <n v="0"/>
    <n v="4.5"/>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25"/>
    <n v="0"/>
    <n v="0"/>
    <n v="0"/>
    <n v="0"/>
    <n v="0"/>
    <n v="0"/>
    <n v="0"/>
    <n v="0"/>
    <n v="0"/>
    <n v="0"/>
    <n v="0"/>
    <n v="0"/>
    <n v="0"/>
    <n v="0"/>
    <n v="0"/>
    <n v="0"/>
    <n v="0"/>
    <n v="0"/>
    <n v="0"/>
    <n v="0"/>
    <n v="0"/>
    <n v="0"/>
    <n v="0"/>
    <m/>
    <m/>
    <m/>
    <m/>
    <m/>
    <m/>
    <m/>
    <m/>
    <m/>
    <n v="0"/>
    <n v="0"/>
    <n v="0"/>
    <n v="0"/>
    <n v="0"/>
    <n v="382.5"/>
    <n v="0"/>
    <n v="0"/>
    <n v="0"/>
    <n v="0"/>
    <n v="0"/>
    <n v="0"/>
    <n v="0"/>
    <n v="0"/>
    <n v="0"/>
    <n v="0"/>
    <n v="0"/>
    <n v="0"/>
    <n v="0"/>
    <n v="0"/>
    <n v="0"/>
    <n v="0"/>
    <n v="0"/>
    <n v="0"/>
    <n v="0"/>
    <n v="0"/>
    <n v="22500"/>
    <n v="0"/>
    <n v="0"/>
    <n v="0"/>
    <n v="0"/>
    <n v="0"/>
    <n v="0"/>
    <n v="0"/>
    <n v="0"/>
    <n v="0"/>
    <n v="0"/>
    <n v="0"/>
    <n v="0"/>
    <n v="0"/>
    <n v="0"/>
    <n v="0"/>
    <n v="0"/>
    <n v="0"/>
    <n v="0"/>
    <n v="0"/>
    <n v="0"/>
    <n v="0"/>
    <n v="0"/>
    <n v="0"/>
    <n v="0"/>
    <n v="0"/>
    <n v="0"/>
    <n v="0"/>
    <n v="0"/>
    <n v="0"/>
    <n v="0"/>
    <n v="0"/>
    <n v="22882.5"/>
    <n v="24255.45"/>
    <s v=" "/>
    <s v=" "/>
    <s v=" "/>
    <s v=" "/>
    <s v=" "/>
    <s v=" "/>
    <s v=" "/>
    <s v=" "/>
    <s v=" "/>
    <s v=" "/>
    <s v=" "/>
    <s v=" "/>
    <s v=" "/>
    <s v=" "/>
    <x v="0"/>
    <x v="0"/>
    <x v="0"/>
    <x v="0"/>
    <x v="0"/>
    <x v="55"/>
    <x v="0"/>
    <x v="0"/>
    <x v="0"/>
    <x v="4"/>
    <x v="1"/>
    <x v="1"/>
    <x v="0"/>
    <x v="0"/>
    <x v="0"/>
    <x v="0"/>
    <x v="0"/>
    <x v="0"/>
    <x v="0"/>
    <x v="0"/>
    <x v="0"/>
    <x v="0"/>
    <x v="0"/>
    <x v="0"/>
    <x v="0"/>
    <x v="0"/>
    <x v="0"/>
    <x v="0"/>
    <x v="0"/>
    <x v="0"/>
    <x v="0"/>
    <x v="0"/>
    <x v="0"/>
    <x v="0"/>
    <x v="0"/>
    <x v="0"/>
    <x v="0"/>
    <x v="0"/>
    <x v="0"/>
    <x v="0"/>
    <x v="0"/>
    <x v="0"/>
    <x v="0"/>
    <x v="0"/>
    <x v="0"/>
    <x v="0"/>
    <x v="0"/>
    <x v="0"/>
    <x v="0"/>
    <x v="0"/>
    <x v="0"/>
    <x v="0"/>
    <x v="0"/>
    <x v="0"/>
    <x v="0"/>
    <x v="0"/>
    <x v="0"/>
    <x v="0"/>
    <x v="0"/>
    <x v="0"/>
    <x v="5"/>
    <x v="0"/>
    <x v="0"/>
    <x v="0"/>
    <x v="0"/>
    <x v="0"/>
    <x v="0"/>
    <x v="0"/>
    <x v="0"/>
    <x v="0"/>
    <x v="0"/>
    <x v="0"/>
    <x v="0"/>
    <x v="0"/>
    <x v="0"/>
    <x v="0"/>
    <x v="0"/>
    <x v="0"/>
    <x v="0"/>
    <x v="0"/>
    <x v="0"/>
    <x v="0"/>
    <x v="0"/>
    <x v="0"/>
    <x v="0"/>
    <x v="0"/>
    <x v="0"/>
    <x v="0"/>
    <x v="0"/>
    <x v="0"/>
    <x v="0"/>
    <x v="0"/>
    <x v="0"/>
  </r>
  <r>
    <x v="7"/>
    <x v="19"/>
    <x v="11"/>
    <x v="74"/>
    <x v="0"/>
    <n v="29.992811667000002"/>
    <n v="-25.817050278"/>
    <s v="29° 59' 34.12&quot;E "/>
    <s v="25° 49' 01.38&quot; S"/>
    <s v="Complete"/>
    <s v="Yes"/>
    <s v="Yes"/>
    <d v="2017-04-28T00:00:00"/>
    <s v="YES "/>
    <m/>
    <s v="NBC-GTW-CL-0056"/>
    <s v="Yes"/>
    <s v="00"/>
    <d v="2018-06-16T00:00:00"/>
    <s v="Phase 2"/>
    <s v="Year 1"/>
    <n v="0"/>
    <n v="0"/>
    <n v="0"/>
    <n v="0"/>
    <n v="0"/>
    <n v="4.68"/>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26"/>
    <n v="0"/>
    <n v="0"/>
    <n v="0"/>
    <n v="0"/>
    <n v="0"/>
    <n v="0"/>
    <n v="0"/>
    <n v="0"/>
    <n v="0"/>
    <n v="0"/>
    <n v="0"/>
    <n v="0"/>
    <n v="0"/>
    <n v="0"/>
    <n v="0"/>
    <n v="0"/>
    <n v="0"/>
    <n v="0"/>
    <n v="0"/>
    <n v="0"/>
    <n v="0"/>
    <n v="0"/>
    <n v="0"/>
    <m/>
    <m/>
    <m/>
    <m/>
    <m/>
    <m/>
    <m/>
    <m/>
    <m/>
    <n v="0"/>
    <n v="0"/>
    <n v="0"/>
    <n v="0"/>
    <n v="0"/>
    <n v="397.79999999999995"/>
    <n v="0"/>
    <n v="0"/>
    <n v="0"/>
    <n v="0"/>
    <n v="0"/>
    <n v="0"/>
    <n v="0"/>
    <n v="0"/>
    <n v="0"/>
    <n v="0"/>
    <n v="0"/>
    <n v="0"/>
    <n v="0"/>
    <n v="0"/>
    <n v="0"/>
    <n v="0"/>
    <n v="0"/>
    <n v="0"/>
    <n v="0"/>
    <n v="0"/>
    <n v="23400"/>
    <n v="0"/>
    <n v="0"/>
    <n v="0"/>
    <n v="0"/>
    <n v="0"/>
    <n v="0"/>
    <n v="0"/>
    <n v="0"/>
    <n v="0"/>
    <n v="0"/>
    <n v="0"/>
    <n v="0"/>
    <n v="0"/>
    <n v="0"/>
    <n v="0"/>
    <n v="0"/>
    <n v="0"/>
    <n v="0"/>
    <n v="0"/>
    <n v="0"/>
    <n v="0"/>
    <n v="0"/>
    <n v="0"/>
    <n v="0"/>
    <n v="0"/>
    <n v="0"/>
    <n v="0"/>
    <n v="0"/>
    <n v="0"/>
    <n v="0"/>
    <n v="0"/>
    <n v="23797.8"/>
    <n v="25225.668000000001"/>
    <s v=" "/>
    <s v=" "/>
    <s v=" "/>
    <s v=" "/>
    <s v=" "/>
    <s v=" "/>
    <s v=" "/>
    <s v=" "/>
    <s v=" "/>
    <s v=" "/>
    <s v=" "/>
    <s v=" "/>
    <s v=" "/>
    <s v=" "/>
    <x v="0"/>
    <x v="0"/>
    <x v="0"/>
    <x v="0"/>
    <x v="0"/>
    <x v="56"/>
    <x v="0"/>
    <x v="0"/>
    <x v="0"/>
    <x v="4"/>
    <x v="1"/>
    <x v="1"/>
    <x v="0"/>
    <x v="0"/>
    <x v="0"/>
    <x v="0"/>
    <x v="0"/>
    <x v="0"/>
    <x v="0"/>
    <x v="0"/>
    <x v="0"/>
    <x v="0"/>
    <x v="0"/>
    <x v="0"/>
    <x v="0"/>
    <x v="0"/>
    <x v="0"/>
    <x v="0"/>
    <x v="0"/>
    <x v="0"/>
    <x v="0"/>
    <x v="0"/>
    <x v="0"/>
    <x v="0"/>
    <x v="0"/>
    <x v="0"/>
    <x v="0"/>
    <x v="0"/>
    <x v="0"/>
    <x v="0"/>
    <x v="0"/>
    <x v="0"/>
    <x v="0"/>
    <x v="0"/>
    <x v="0"/>
    <x v="0"/>
    <x v="0"/>
    <x v="0"/>
    <x v="0"/>
    <x v="0"/>
    <x v="0"/>
    <x v="0"/>
    <x v="0"/>
    <x v="0"/>
    <x v="0"/>
    <x v="0"/>
    <x v="0"/>
    <x v="0"/>
    <x v="0"/>
    <x v="0"/>
    <x v="6"/>
    <x v="0"/>
    <x v="0"/>
    <x v="0"/>
    <x v="0"/>
    <x v="0"/>
    <x v="0"/>
    <x v="0"/>
    <x v="0"/>
    <x v="0"/>
    <x v="0"/>
    <x v="0"/>
    <x v="0"/>
    <x v="0"/>
    <x v="0"/>
    <x v="0"/>
    <x v="0"/>
    <x v="0"/>
    <x v="0"/>
    <x v="0"/>
    <x v="0"/>
    <x v="0"/>
    <x v="0"/>
    <x v="0"/>
    <x v="0"/>
    <x v="0"/>
    <x v="0"/>
    <x v="0"/>
    <x v="0"/>
    <x v="0"/>
    <x v="0"/>
    <x v="0"/>
    <x v="0"/>
  </r>
  <r>
    <x v="7"/>
    <x v="11"/>
    <x v="0"/>
    <x v="75"/>
    <x v="0"/>
    <n v="29.992483888999999"/>
    <n v="-25.814825833"/>
    <s v="29° 59' 32.94&quot;E "/>
    <s v="25° 48' 53.37&quot; S"/>
    <s v="Complete"/>
    <s v="Yes"/>
    <s v="Yes"/>
    <d v="2017-02-09T00:00:00"/>
    <s v="NA"/>
    <s v="NA"/>
    <s v="No Drawing"/>
    <s v="Yes"/>
    <s v="00"/>
    <d v="2018-06-16T00:00:00"/>
    <s v="Phase 2"/>
    <s v="Year 1"/>
    <n v="3134.04"/>
    <n v="1385.03125"/>
    <n v="0"/>
    <n v="0"/>
    <n v="0"/>
    <n v="0"/>
    <n v="0"/>
    <n v="0"/>
    <n v="3134.04"/>
    <n v="3134.04"/>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m/>
    <m/>
    <m/>
    <m/>
    <m/>
    <m/>
    <m/>
    <m/>
    <m/>
    <m/>
    <m/>
    <m/>
    <n v="15670.2"/>
    <n v="69251.5625"/>
    <n v="0"/>
    <n v="0"/>
    <n v="0"/>
    <n v="0"/>
    <n v="0"/>
    <n v="0"/>
    <n v="15670.2"/>
    <n v="31340.400000000001"/>
    <n v="0"/>
    <n v="0"/>
    <n v="0"/>
    <n v="0"/>
    <n v="0"/>
    <n v="0"/>
    <n v="0"/>
    <n v="0"/>
    <n v="0"/>
    <n v="0"/>
    <n v="0"/>
    <n v="0"/>
    <n v="0"/>
    <n v="0"/>
    <n v="0"/>
    <n v="0"/>
    <n v="0"/>
    <n v="0"/>
    <n v="0"/>
    <n v="0"/>
    <n v="0"/>
    <n v="0"/>
    <n v="0"/>
    <n v="0"/>
    <n v="0"/>
    <n v="0"/>
    <n v="0"/>
    <n v="0"/>
    <n v="0"/>
    <n v="0"/>
    <n v="0"/>
    <n v="0"/>
    <n v="0"/>
    <n v="0"/>
    <n v="0"/>
    <n v="0"/>
    <n v="0"/>
    <n v="0"/>
    <n v="0"/>
    <n v="0"/>
    <n v="0"/>
    <n v="0"/>
    <n v="0"/>
    <n v="0"/>
    <n v="0"/>
    <n v="0"/>
    <n v="0"/>
    <n v="0"/>
    <n v="131932.36249999999"/>
    <n v="139848.30424999999"/>
    <s v=" "/>
    <s v=" "/>
    <s v=" "/>
    <s v=" "/>
    <s v=" "/>
    <s v=" "/>
    <s v=" "/>
    <s v=" "/>
    <s v=" "/>
    <s v=" "/>
    <s v=" "/>
    <s v=" "/>
    <s v=" "/>
    <s v=" "/>
    <x v="31"/>
    <x v="12"/>
    <x v="0"/>
    <x v="0"/>
    <x v="0"/>
    <x v="1"/>
    <x v="0"/>
    <x v="0"/>
    <x v="32"/>
    <x v="33"/>
    <x v="1"/>
    <x v="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x v="7"/>
    <x v="12"/>
    <x v="7"/>
    <x v="76"/>
    <x v="0"/>
    <n v="29.990699444000001"/>
    <n v="-25.822886110999999"/>
    <s v="29° 59' 26.51&quot;E "/>
    <s v="25° 49' 22.38&quot; S"/>
    <s v="Complete"/>
    <s v="Yes"/>
    <s v="Yes"/>
    <d v="2017-04-28T00:00:00"/>
    <s v="NA"/>
    <s v="NA"/>
    <s v="No Drawing"/>
    <s v="Yes"/>
    <s v="00"/>
    <d v="2018-06-16T00:00:00"/>
    <s v="Phase 2"/>
    <s v="Year 1"/>
    <n v="191.41985973821238"/>
    <n v="0"/>
    <n v="0"/>
    <n v="0"/>
    <n v="0"/>
    <n v="0"/>
    <n v="0"/>
    <n v="0"/>
    <n v="179.75150000000002"/>
    <n v="179.75150000000002"/>
    <n v="0"/>
    <n v="0"/>
    <n v="0"/>
    <n v="0"/>
    <n v="0"/>
    <n v="0"/>
    <n v="0"/>
    <n v="0"/>
    <n v="0"/>
    <n v="0"/>
    <n v="0"/>
    <n v="0"/>
    <n v="0"/>
    <n v="0"/>
    <n v="0"/>
    <n v="0"/>
    <n v="0"/>
    <n v="0"/>
    <n v="0"/>
    <n v="0"/>
    <n v="0"/>
    <n v="0"/>
    <n v="0"/>
    <n v="0"/>
    <n v="38"/>
    <n v="0"/>
    <n v="0"/>
    <n v="0"/>
    <n v="0"/>
    <n v="0"/>
    <n v="0"/>
    <n v="0"/>
    <n v="0"/>
    <n v="0"/>
    <n v="0"/>
    <n v="0"/>
    <n v="0"/>
    <n v="0"/>
    <n v="0"/>
    <n v="0"/>
    <n v="0"/>
    <n v="0"/>
    <n v="0"/>
    <n v="0"/>
    <n v="0"/>
    <n v="0"/>
    <n v="0"/>
    <n v="0"/>
    <n v="0"/>
    <n v="0"/>
    <n v="0"/>
    <n v="0"/>
    <n v="0"/>
    <n v="0"/>
    <n v="0"/>
    <n v="0"/>
    <n v="0"/>
    <n v="0"/>
    <n v="0"/>
    <n v="0"/>
    <n v="0"/>
    <n v="0"/>
    <n v="0"/>
    <n v="0"/>
    <n v="0"/>
    <n v="0"/>
    <n v="0"/>
    <n v="0"/>
    <n v="0"/>
    <n v="0"/>
    <n v="0"/>
    <n v="0"/>
    <n v="0"/>
    <n v="0"/>
    <n v="0"/>
    <n v="0"/>
    <m/>
    <m/>
    <m/>
    <m/>
    <m/>
    <m/>
    <m/>
    <m/>
    <m/>
    <n v="957.0992986910619"/>
    <n v="0"/>
    <n v="0"/>
    <n v="0"/>
    <n v="0"/>
    <n v="0"/>
    <n v="0"/>
    <n v="0"/>
    <n v="898.75750000000016"/>
    <n v="1797.5150000000003"/>
    <n v="0"/>
    <n v="0"/>
    <n v="0"/>
    <n v="0"/>
    <n v="0"/>
    <n v="0"/>
    <n v="0"/>
    <n v="0"/>
    <n v="0"/>
    <n v="0"/>
    <n v="4560"/>
    <n v="0"/>
    <n v="0"/>
    <n v="0"/>
    <n v="0"/>
    <n v="0"/>
    <n v="0"/>
    <n v="0"/>
    <n v="0"/>
    <n v="0"/>
    <n v="0"/>
    <n v="0"/>
    <n v="0"/>
    <n v="0"/>
    <n v="0"/>
    <n v="0"/>
    <n v="0"/>
    <n v="0"/>
    <n v="0"/>
    <n v="0"/>
    <n v="0"/>
    <n v="0"/>
    <n v="0"/>
    <n v="0"/>
    <n v="0"/>
    <n v="0"/>
    <n v="0"/>
    <n v="0"/>
    <n v="0"/>
    <n v="0"/>
    <n v="0"/>
    <n v="0"/>
    <n v="0"/>
    <n v="0"/>
    <n v="0"/>
    <n v="0"/>
    <n v="0"/>
    <n v="0"/>
    <n v="8213.3717986910633"/>
    <n v="8706.1741066125269"/>
    <s v=" "/>
    <s v=" "/>
    <s v=" "/>
    <s v=" "/>
    <s v=" "/>
    <s v=" "/>
    <s v=" "/>
    <s v=" "/>
    <s v=" "/>
    <s v=" "/>
    <s v=" "/>
    <s v=" "/>
    <s v=" "/>
    <s v=" "/>
    <x v="32"/>
    <x v="0"/>
    <x v="0"/>
    <x v="0"/>
    <x v="0"/>
    <x v="1"/>
    <x v="0"/>
    <x v="0"/>
    <x v="33"/>
    <x v="34"/>
    <x v="1"/>
    <x v="1"/>
    <x v="0"/>
    <x v="0"/>
    <x v="0"/>
    <x v="0"/>
    <x v="0"/>
    <x v="0"/>
    <x v="0"/>
    <x v="0"/>
    <x v="0"/>
    <x v="0"/>
    <x v="0"/>
    <x v="0"/>
    <x v="0"/>
    <x v="0"/>
    <x v="0"/>
    <x v="0"/>
    <x v="0"/>
    <x v="0"/>
    <x v="0"/>
    <x v="0"/>
    <x v="2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x v="8"/>
    <x v="9"/>
    <x v="3"/>
    <x v="77"/>
    <x v="5"/>
    <n v="29.998442222000001"/>
    <n v="-25.825638055999999"/>
    <s v="29° 59' 54.39&quot;E "/>
    <s v="25° 49' 32.29&quot; S"/>
    <s v="Complete"/>
    <s v="Yes"/>
    <s v="Yes"/>
    <d v="2017-02-06T00:00:00"/>
    <s v="YES"/>
    <d v="2017-02-06T00:00:00"/>
    <s v="NBC-GTW-CL-0027"/>
    <s v="Yes"/>
    <s v="00"/>
    <d v="2018-06-16T00:00:00"/>
    <s v="Phase 1"/>
    <s v="Year 1"/>
    <n v="23.520000000000003"/>
    <n v="0"/>
    <n v="0"/>
    <n v="0"/>
    <n v="0"/>
    <n v="51.93327"/>
    <n v="5.193327"/>
    <n v="2.5966635"/>
    <n v="23.520000000000003"/>
    <n v="23.520000000000003"/>
    <n v="0"/>
    <n v="51.93327"/>
    <n v="20.395350000000001"/>
    <n v="37.752000000000002"/>
    <n v="0"/>
    <n v="0"/>
    <s v="Ref 888"/>
    <n v="16.468920000000001"/>
    <s v="Ref 655"/>
    <n v="30.617600000000003"/>
    <n v="0"/>
    <n v="38.079465846731672"/>
    <n v="0"/>
    <n v="2.3850000000000002"/>
    <n v="0"/>
    <m/>
    <n v="0"/>
    <m/>
    <n v="0"/>
    <n v="7"/>
    <n v="7.9049999999999994"/>
    <n v="0"/>
    <n v="0"/>
    <n v="0"/>
    <n v="32.727600000000002"/>
    <n v="0"/>
    <n v="0"/>
    <n v="0"/>
    <n v="0"/>
    <n v="0"/>
    <n v="0"/>
    <n v="0"/>
    <n v="0"/>
    <n v="0"/>
    <n v="0"/>
    <n v="0"/>
    <n v="0"/>
    <n v="0"/>
    <n v="0"/>
    <n v="0"/>
    <n v="0"/>
    <n v="0"/>
    <n v="0"/>
    <n v="0"/>
    <n v="0"/>
    <n v="0"/>
    <n v="0"/>
    <n v="0"/>
    <n v="0"/>
    <n v="0"/>
    <n v="0"/>
    <n v="0"/>
    <n v="0"/>
    <n v="0"/>
    <n v="0"/>
    <n v="0"/>
    <n v="0"/>
    <n v="0"/>
    <n v="0"/>
    <n v="0"/>
    <n v="0"/>
    <n v="0"/>
    <n v="0"/>
    <n v="0"/>
    <m/>
    <m/>
    <m/>
    <m/>
    <m/>
    <m/>
    <m/>
    <m/>
    <m/>
    <m/>
    <m/>
    <m/>
    <m/>
    <m/>
    <m/>
    <m/>
    <m/>
    <m/>
    <m/>
    <m/>
    <m/>
    <n v="117.60000000000002"/>
    <n v="0"/>
    <n v="0"/>
    <n v="0"/>
    <n v="0"/>
    <n v="4414.3279499999999"/>
    <n v="649.16587500000003"/>
    <n v="1298.3317500000001"/>
    <n v="117.60000000000002"/>
    <n v="235.20000000000005"/>
    <n v="311.59962000000002"/>
    <n v="40790.700000000004"/>
    <n v="11325.6"/>
    <n v="0"/>
    <n v="0"/>
    <n v="941.73040000000015"/>
    <n v="26511.902800375588"/>
    <n v="237.14999999999998"/>
    <n v="0"/>
    <n v="0"/>
    <n v="3927.3120000000004"/>
    <n v="0"/>
    <n v="0"/>
    <n v="0"/>
    <n v="0"/>
    <n v="0"/>
    <n v="0"/>
    <n v="0"/>
    <n v="0"/>
    <n v="0"/>
    <n v="0"/>
    <n v="0"/>
    <n v="0"/>
    <n v="0"/>
    <n v="0"/>
    <n v="0"/>
    <n v="0"/>
    <n v="0"/>
    <n v="0"/>
    <n v="0"/>
    <n v="0"/>
    <n v="0"/>
    <n v="0"/>
    <n v="0"/>
    <n v="0"/>
    <n v="0"/>
    <n v="0"/>
    <n v="0"/>
    <n v="0"/>
    <n v="0"/>
    <n v="0"/>
    <n v="0"/>
    <n v="0"/>
    <n v="0"/>
    <n v="0"/>
    <n v="0"/>
    <n v="0"/>
    <n v="0"/>
    <n v="90878.220395375596"/>
    <n v="96330.913619098137"/>
    <s v=" "/>
    <s v=" "/>
    <s v=" "/>
    <s v=" "/>
    <s v=" "/>
    <s v=" "/>
    <s v=" "/>
    <s v=" "/>
    <s v=" "/>
    <s v=" "/>
    <s v=" "/>
    <s v=" "/>
    <s v=" "/>
    <s v=" "/>
    <x v="33"/>
    <x v="0"/>
    <x v="0"/>
    <x v="0"/>
    <x v="0"/>
    <x v="57"/>
    <x v="5"/>
    <x v="12"/>
    <x v="34"/>
    <x v="35"/>
    <x v="1"/>
    <x v="2"/>
    <x v="44"/>
    <x v="14"/>
    <x v="0"/>
    <x v="0"/>
    <x v="16"/>
    <x v="12"/>
    <x v="0"/>
    <x v="12"/>
    <x v="0"/>
    <x v="15"/>
    <x v="0"/>
    <x v="0"/>
    <x v="0"/>
    <x v="0"/>
    <x v="0"/>
    <x v="11"/>
    <x v="32"/>
    <x v="0"/>
    <x v="0"/>
    <x v="0"/>
    <x v="22"/>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x v="8"/>
    <x v="13"/>
    <x v="8"/>
    <x v="78"/>
    <x v="5"/>
    <n v="29.997646667000001"/>
    <n v="-25.825318056"/>
    <s v="29° 59' 51.52&quot;E "/>
    <s v="25° 49' 31.14&quot; S"/>
    <s v="Complete"/>
    <s v="Yes"/>
    <s v="Yes"/>
    <d v="2017-02-06T00:00:00"/>
    <s v="YES"/>
    <d v="2017-02-06T00:00:00"/>
    <s v="NBC-GTW-CL-0028"/>
    <s v="Yes"/>
    <s v="01"/>
    <d v="2018-12-07T00:00:00"/>
    <s v="Phase 1"/>
    <s v="Year 1"/>
    <m/>
    <m/>
    <m/>
    <m/>
    <m/>
    <n v="6.4530000000000003"/>
    <m/>
    <m/>
    <m/>
    <m/>
    <m/>
    <m/>
    <n v="6.4530000000000003"/>
    <m/>
    <m/>
    <m/>
    <m/>
    <m/>
    <m/>
    <m/>
    <m/>
    <m/>
    <m/>
    <m/>
    <m/>
    <m/>
    <m/>
    <m/>
    <m/>
    <m/>
    <n v="3.5999999999999996"/>
    <n v="0"/>
    <m/>
    <n v="0"/>
    <m/>
    <m/>
    <m/>
    <m/>
    <m/>
    <m/>
    <m/>
    <m/>
    <m/>
    <m/>
    <m/>
    <m/>
    <m/>
    <m/>
    <m/>
    <m/>
    <m/>
    <m/>
    <m/>
    <m/>
    <m/>
    <m/>
    <m/>
    <m/>
    <m/>
    <m/>
    <m/>
    <m/>
    <m/>
    <m/>
    <m/>
    <m/>
    <m/>
    <m/>
    <m/>
    <m/>
    <m/>
    <m/>
    <m/>
    <n v="0"/>
    <m/>
    <m/>
    <m/>
    <m/>
    <m/>
    <m/>
    <m/>
    <m/>
    <m/>
    <m/>
    <m/>
    <m/>
    <m/>
    <m/>
    <m/>
    <m/>
    <m/>
    <m/>
    <m/>
    <m/>
    <m/>
    <n v="0"/>
    <n v="0"/>
    <n v="0"/>
    <n v="0"/>
    <n v="0"/>
    <n v="548.505"/>
    <n v="0"/>
    <n v="0"/>
    <n v="0"/>
    <n v="0"/>
    <n v="0"/>
    <n v="12906"/>
    <n v="0"/>
    <n v="0"/>
    <n v="0"/>
    <n v="0"/>
    <n v="0"/>
    <n v="107.99999999999999"/>
    <n v="0"/>
    <n v="0"/>
    <n v="0"/>
    <n v="0"/>
    <n v="0"/>
    <n v="0"/>
    <n v="0"/>
    <n v="0"/>
    <n v="0"/>
    <n v="0"/>
    <n v="0"/>
    <n v="0"/>
    <n v="0"/>
    <n v="0"/>
    <n v="0"/>
    <n v="0"/>
    <n v="0"/>
    <n v="0"/>
    <n v="0"/>
    <n v="0"/>
    <n v="0"/>
    <n v="0"/>
    <n v="0"/>
    <n v="0"/>
    <n v="0"/>
    <n v="0"/>
    <n v="0"/>
    <n v="0"/>
    <n v="0"/>
    <n v="0"/>
    <n v="0"/>
    <n v="0"/>
    <n v="0"/>
    <n v="0"/>
    <n v="0"/>
    <n v="0"/>
    <n v="0"/>
    <n v="0"/>
    <n v="0"/>
    <n v="0"/>
    <n v="13562.504999999999"/>
    <n v="14376.255300000001"/>
    <s v=" "/>
    <s v=" "/>
    <s v=" "/>
    <s v=" "/>
    <s v=" "/>
    <s v=" "/>
    <s v=" "/>
    <s v=" "/>
    <s v=" "/>
    <s v=" "/>
    <s v=" "/>
    <s v=" "/>
    <s v=" "/>
    <s v=" "/>
    <x v="0"/>
    <x v="0"/>
    <x v="0"/>
    <x v="0"/>
    <x v="0"/>
    <x v="58"/>
    <x v="0"/>
    <x v="0"/>
    <x v="0"/>
    <x v="4"/>
    <x v="1"/>
    <x v="1"/>
    <x v="45"/>
    <x v="0"/>
    <x v="0"/>
    <x v="0"/>
    <x v="0"/>
    <x v="0"/>
    <x v="0"/>
    <x v="0"/>
    <x v="0"/>
    <x v="0"/>
    <x v="0"/>
    <x v="0"/>
    <x v="0"/>
    <x v="0"/>
    <x v="0"/>
    <x v="0"/>
    <x v="33"/>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x v="8"/>
    <x v="13"/>
    <x v="8"/>
    <x v="79"/>
    <x v="5"/>
    <n v="29.997078333000001"/>
    <n v="-25.825081666999999"/>
    <s v="29° 59' 49.48&quot;E "/>
    <s v="25° 49' 30.29&quot; S"/>
    <s v="Complete"/>
    <s v="Yes"/>
    <s v="Yes"/>
    <d v="2017-02-06T00:00:00"/>
    <s v="YES"/>
    <m/>
    <s v="NBC-GTW-CL-0029"/>
    <s v="Yes"/>
    <s v="01"/>
    <d v="2018-12-07T00:00:00"/>
    <s v="Phase 1"/>
    <s v="Year 1"/>
    <m/>
    <n v="0"/>
    <n v="0"/>
    <n v="0"/>
    <n v="0"/>
    <n v="9.8550000000000004"/>
    <m/>
    <m/>
    <m/>
    <m/>
    <m/>
    <m/>
    <n v="9.8550000000000004"/>
    <m/>
    <n v="0"/>
    <n v="0"/>
    <m/>
    <m/>
    <m/>
    <m/>
    <m/>
    <m/>
    <m/>
    <m/>
    <m/>
    <m/>
    <m/>
    <m/>
    <m/>
    <m/>
    <n v="3.9"/>
    <n v="0"/>
    <n v="0"/>
    <n v="0"/>
    <m/>
    <n v="0"/>
    <n v="0"/>
    <n v="0"/>
    <n v="0"/>
    <n v="0"/>
    <n v="0"/>
    <n v="0"/>
    <n v="0"/>
    <n v="0"/>
    <n v="0"/>
    <n v="0"/>
    <n v="0"/>
    <n v="0"/>
    <n v="0"/>
    <n v="0"/>
    <n v="0"/>
    <n v="0"/>
    <n v="0"/>
    <n v="0"/>
    <n v="0"/>
    <n v="0"/>
    <n v="0"/>
    <n v="0"/>
    <n v="0"/>
    <n v="0"/>
    <n v="0"/>
    <n v="0"/>
    <n v="0"/>
    <n v="0"/>
    <n v="0"/>
    <n v="0"/>
    <n v="0"/>
    <n v="0"/>
    <n v="0"/>
    <n v="0"/>
    <n v="0"/>
    <n v="0"/>
    <n v="0"/>
    <n v="0"/>
    <m/>
    <m/>
    <m/>
    <m/>
    <m/>
    <m/>
    <m/>
    <m/>
    <m/>
    <m/>
    <m/>
    <m/>
    <m/>
    <m/>
    <m/>
    <m/>
    <m/>
    <m/>
    <m/>
    <m/>
    <m/>
    <n v="0"/>
    <n v="0"/>
    <n v="0"/>
    <n v="0"/>
    <n v="0"/>
    <n v="837.67500000000007"/>
    <n v="0"/>
    <n v="0"/>
    <n v="0"/>
    <n v="0"/>
    <n v="0"/>
    <n v="19710"/>
    <n v="0"/>
    <n v="0"/>
    <n v="0"/>
    <n v="0"/>
    <n v="0"/>
    <n v="117"/>
    <n v="0"/>
    <n v="0"/>
    <n v="0"/>
    <n v="0"/>
    <n v="0"/>
    <n v="0"/>
    <n v="0"/>
    <n v="0"/>
    <n v="0"/>
    <n v="0"/>
    <n v="0"/>
    <n v="0"/>
    <n v="0"/>
    <n v="0"/>
    <n v="0"/>
    <n v="0"/>
    <n v="0"/>
    <n v="0"/>
    <n v="0"/>
    <n v="0"/>
    <n v="0"/>
    <n v="0"/>
    <n v="0"/>
    <n v="0"/>
    <n v="0"/>
    <n v="0"/>
    <n v="0"/>
    <n v="0"/>
    <n v="0"/>
    <n v="0"/>
    <n v="0"/>
    <n v="0"/>
    <n v="0"/>
    <n v="0"/>
    <n v="0"/>
    <n v="0"/>
    <n v="0"/>
    <n v="0"/>
    <n v="0"/>
    <n v="0"/>
    <n v="20664.674999999999"/>
    <n v="21904.555499999999"/>
    <s v=" "/>
    <s v=" "/>
    <s v=" "/>
    <s v=" "/>
    <s v=" "/>
    <s v=" "/>
    <s v=" "/>
    <s v=" "/>
    <s v=" "/>
    <s v=" "/>
    <s v=" "/>
    <s v=" "/>
    <s v=" "/>
    <s v=" "/>
    <x v="0"/>
    <x v="0"/>
    <x v="0"/>
    <x v="0"/>
    <x v="0"/>
    <x v="59"/>
    <x v="0"/>
    <x v="0"/>
    <x v="0"/>
    <x v="4"/>
    <x v="1"/>
    <x v="1"/>
    <x v="46"/>
    <x v="0"/>
    <x v="0"/>
    <x v="0"/>
    <x v="0"/>
    <x v="0"/>
    <x v="0"/>
    <x v="0"/>
    <x v="0"/>
    <x v="0"/>
    <x v="0"/>
    <x v="0"/>
    <x v="0"/>
    <x v="0"/>
    <x v="0"/>
    <x v="0"/>
    <x v="34"/>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x v="8"/>
    <x v="13"/>
    <x v="8"/>
    <x v="80"/>
    <x v="5"/>
    <n v="29.996781943999999"/>
    <n v="-25.824954443999999"/>
    <s v="29° 59' 48.41&quot;E "/>
    <s v="25° 49' 29.83&quot; S"/>
    <s v="Complete"/>
    <s v="Yes"/>
    <s v="Yes"/>
    <d v="2017-02-06T00:00:00"/>
    <s v="YES"/>
    <m/>
    <s v="NBC-GTW-CL-0030"/>
    <s v="Yes"/>
    <s v="01"/>
    <d v="2018-12-07T00:00:00"/>
    <s v="Phase 1"/>
    <s v="Year 1"/>
    <m/>
    <n v="0"/>
    <n v="0"/>
    <n v="0"/>
    <n v="0"/>
    <n v="9.4049999999999994"/>
    <m/>
    <m/>
    <m/>
    <m/>
    <m/>
    <m/>
    <n v="9.4049999999999994"/>
    <m/>
    <n v="0"/>
    <n v="0"/>
    <m/>
    <m/>
    <m/>
    <m/>
    <m/>
    <m/>
    <m/>
    <m/>
    <m/>
    <m/>
    <m/>
    <m/>
    <m/>
    <m/>
    <n v="4.5"/>
    <n v="0"/>
    <n v="0"/>
    <n v="0"/>
    <m/>
    <n v="0"/>
    <n v="0"/>
    <n v="0"/>
    <n v="0"/>
    <n v="0"/>
    <n v="0"/>
    <n v="0"/>
    <n v="0"/>
    <n v="0"/>
    <n v="0"/>
    <n v="0"/>
    <n v="0"/>
    <n v="0"/>
    <n v="0"/>
    <n v="0"/>
    <n v="0"/>
    <n v="0"/>
    <n v="0"/>
    <n v="0"/>
    <n v="0"/>
    <n v="0"/>
    <n v="0"/>
    <n v="0"/>
    <n v="0"/>
    <n v="0"/>
    <n v="0"/>
    <n v="0"/>
    <n v="0"/>
    <n v="0"/>
    <n v="0"/>
    <n v="0"/>
    <n v="0"/>
    <n v="0"/>
    <n v="0"/>
    <n v="0"/>
    <n v="0"/>
    <n v="0"/>
    <n v="0"/>
    <n v="0"/>
    <m/>
    <m/>
    <m/>
    <m/>
    <m/>
    <m/>
    <m/>
    <m/>
    <m/>
    <m/>
    <m/>
    <m/>
    <m/>
    <m/>
    <m/>
    <m/>
    <m/>
    <m/>
    <m/>
    <m/>
    <m/>
    <n v="0"/>
    <n v="0"/>
    <n v="0"/>
    <n v="0"/>
    <n v="0"/>
    <n v="799.42499999999995"/>
    <n v="0"/>
    <n v="0"/>
    <n v="0"/>
    <n v="0"/>
    <n v="0"/>
    <n v="18810"/>
    <n v="0"/>
    <n v="0"/>
    <n v="0"/>
    <n v="0"/>
    <n v="0"/>
    <n v="135"/>
    <n v="0"/>
    <n v="0"/>
    <n v="0"/>
    <n v="0"/>
    <n v="0"/>
    <n v="0"/>
    <n v="0"/>
    <n v="0"/>
    <n v="0"/>
    <n v="0"/>
    <n v="0"/>
    <n v="0"/>
    <n v="0"/>
    <n v="0"/>
    <n v="0"/>
    <n v="0"/>
    <n v="0"/>
    <n v="0"/>
    <n v="0"/>
    <n v="0"/>
    <n v="0"/>
    <n v="0"/>
    <n v="0"/>
    <n v="0"/>
    <n v="0"/>
    <n v="0"/>
    <n v="0"/>
    <n v="0"/>
    <n v="0"/>
    <n v="0"/>
    <n v="0"/>
    <n v="0"/>
    <n v="0"/>
    <n v="0"/>
    <n v="0"/>
    <n v="0"/>
    <n v="0"/>
    <n v="0"/>
    <n v="0"/>
    <n v="0"/>
    <n v="19744.424999999999"/>
    <n v="20929.090500000002"/>
    <s v=" "/>
    <s v=" "/>
    <s v=" "/>
    <s v=" "/>
    <s v=" "/>
    <s v=" "/>
    <s v=" "/>
    <s v=" "/>
    <s v=" "/>
    <s v=" "/>
    <s v=" "/>
    <s v=" "/>
    <s v=" "/>
    <s v=" "/>
    <x v="0"/>
    <x v="0"/>
    <x v="0"/>
    <x v="0"/>
    <x v="0"/>
    <x v="60"/>
    <x v="0"/>
    <x v="0"/>
    <x v="0"/>
    <x v="4"/>
    <x v="1"/>
    <x v="1"/>
    <x v="47"/>
    <x v="0"/>
    <x v="0"/>
    <x v="0"/>
    <x v="0"/>
    <x v="0"/>
    <x v="0"/>
    <x v="0"/>
    <x v="0"/>
    <x v="0"/>
    <x v="0"/>
    <x v="0"/>
    <x v="0"/>
    <x v="0"/>
    <x v="0"/>
    <x v="0"/>
    <x v="35"/>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x v="8"/>
    <x v="13"/>
    <x v="8"/>
    <x v="81"/>
    <x v="5"/>
    <n v="29.996286667"/>
    <n v="-25.824942778"/>
    <s v="29° 59' 46.63&quot;E "/>
    <s v="25° 49' 29.79&quot; S"/>
    <s v="Complete"/>
    <s v="Yes"/>
    <s v="Yes"/>
    <d v="2017-02-06T00:00:00"/>
    <s v="YES"/>
    <m/>
    <s v="NBC-GTW-CL-0031"/>
    <s v="Yes"/>
    <s v="01"/>
    <d v="2018-12-07T00:00:00"/>
    <s v="Phase 1"/>
    <s v="Year 1"/>
    <m/>
    <n v="0"/>
    <n v="0"/>
    <n v="0"/>
    <n v="0"/>
    <n v="10.032"/>
    <m/>
    <m/>
    <m/>
    <m/>
    <m/>
    <m/>
    <n v="10.032"/>
    <m/>
    <n v="0"/>
    <n v="0"/>
    <m/>
    <m/>
    <m/>
    <m/>
    <m/>
    <m/>
    <m/>
    <m/>
    <m/>
    <m/>
    <m/>
    <m/>
    <m/>
    <m/>
    <n v="4.5"/>
    <n v="0"/>
    <n v="0"/>
    <n v="0"/>
    <m/>
    <n v="0"/>
    <n v="0"/>
    <n v="0"/>
    <n v="0"/>
    <n v="0"/>
    <n v="0"/>
    <n v="0"/>
    <n v="0"/>
    <n v="0"/>
    <n v="0"/>
    <n v="0"/>
    <n v="0"/>
    <n v="0"/>
    <n v="0"/>
    <n v="0"/>
    <n v="0"/>
    <n v="0"/>
    <n v="0"/>
    <n v="0"/>
    <n v="0"/>
    <n v="0"/>
    <n v="0"/>
    <n v="0"/>
    <n v="0"/>
    <n v="0"/>
    <n v="0"/>
    <n v="0"/>
    <n v="0"/>
    <n v="0"/>
    <n v="0"/>
    <n v="0"/>
    <n v="0"/>
    <n v="0"/>
    <n v="0"/>
    <n v="0"/>
    <n v="0"/>
    <n v="0"/>
    <n v="0"/>
    <n v="0"/>
    <m/>
    <m/>
    <m/>
    <m/>
    <m/>
    <m/>
    <m/>
    <m/>
    <m/>
    <m/>
    <m/>
    <m/>
    <m/>
    <m/>
    <m/>
    <m/>
    <m/>
    <m/>
    <m/>
    <m/>
    <m/>
    <n v="0"/>
    <n v="0"/>
    <n v="0"/>
    <n v="0"/>
    <n v="0"/>
    <n v="852.72"/>
    <n v="0"/>
    <n v="0"/>
    <n v="0"/>
    <n v="0"/>
    <n v="0"/>
    <n v="20064"/>
    <n v="0"/>
    <n v="0"/>
    <n v="0"/>
    <n v="0"/>
    <n v="0"/>
    <n v="135"/>
    <n v="0"/>
    <n v="0"/>
    <n v="0"/>
    <n v="0"/>
    <n v="0"/>
    <n v="0"/>
    <n v="0"/>
    <n v="0"/>
    <n v="0"/>
    <n v="0"/>
    <n v="0"/>
    <n v="0"/>
    <n v="0"/>
    <n v="0"/>
    <n v="0"/>
    <n v="0"/>
    <n v="0"/>
    <n v="0"/>
    <n v="0"/>
    <n v="0"/>
    <n v="0"/>
    <n v="0"/>
    <n v="0"/>
    <n v="0"/>
    <n v="0"/>
    <n v="0"/>
    <n v="0"/>
    <n v="0"/>
    <n v="0"/>
    <n v="0"/>
    <n v="0"/>
    <n v="0"/>
    <n v="0"/>
    <n v="0"/>
    <n v="0"/>
    <n v="0"/>
    <n v="0"/>
    <n v="0"/>
    <n v="0"/>
    <n v="0"/>
    <n v="21051.72"/>
    <n v="22314.823200000003"/>
    <s v=" "/>
    <s v=" "/>
    <s v=" "/>
    <s v=" "/>
    <s v=" "/>
    <s v=" "/>
    <s v=" "/>
    <s v=" "/>
    <s v=" "/>
    <s v=" "/>
    <s v=" "/>
    <s v=" "/>
    <s v=" "/>
    <s v=" "/>
    <x v="0"/>
    <x v="0"/>
    <x v="0"/>
    <x v="0"/>
    <x v="0"/>
    <x v="61"/>
    <x v="0"/>
    <x v="0"/>
    <x v="0"/>
    <x v="4"/>
    <x v="1"/>
    <x v="1"/>
    <x v="48"/>
    <x v="0"/>
    <x v="0"/>
    <x v="0"/>
    <x v="0"/>
    <x v="0"/>
    <x v="0"/>
    <x v="0"/>
    <x v="0"/>
    <x v="0"/>
    <x v="0"/>
    <x v="0"/>
    <x v="0"/>
    <x v="0"/>
    <x v="0"/>
    <x v="0"/>
    <x v="36"/>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x v="8"/>
    <x v="13"/>
    <x v="8"/>
    <x v="82"/>
    <x v="5"/>
    <n v="29.995710833"/>
    <n v="-25.824953055999998"/>
    <s v="29° 59' 44.55&quot;E "/>
    <s v="25° 49' 29.83&quot; S"/>
    <s v="Complete"/>
    <s v="Yes"/>
    <s v="Yes"/>
    <d v="2017-02-06T00:00:00"/>
    <s v="YES"/>
    <m/>
    <s v="NBC-GTW-CL-0032"/>
    <s v="Yes"/>
    <s v="01"/>
    <d v="2018-12-07T00:00:00"/>
    <s v="Phase 1"/>
    <s v="Year 1"/>
    <m/>
    <n v="0"/>
    <n v="0"/>
    <n v="0"/>
    <n v="0"/>
    <n v="10.035"/>
    <m/>
    <m/>
    <m/>
    <m/>
    <m/>
    <m/>
    <n v="10.035"/>
    <m/>
    <m/>
    <m/>
    <m/>
    <m/>
    <m/>
    <m/>
    <m/>
    <m/>
    <m/>
    <m/>
    <m/>
    <m/>
    <m/>
    <m/>
    <m/>
    <m/>
    <n v="4.8"/>
    <n v="0"/>
    <m/>
    <n v="0"/>
    <m/>
    <n v="0"/>
    <n v="0"/>
    <n v="0"/>
    <n v="0"/>
    <n v="0"/>
    <n v="0"/>
    <n v="0"/>
    <n v="0"/>
    <n v="0"/>
    <n v="0"/>
    <n v="0"/>
    <n v="0"/>
    <n v="0"/>
    <n v="0"/>
    <n v="0"/>
    <n v="0"/>
    <n v="0"/>
    <n v="0"/>
    <n v="0"/>
    <n v="0"/>
    <n v="0"/>
    <n v="0"/>
    <n v="0"/>
    <n v="0"/>
    <n v="0"/>
    <n v="0"/>
    <n v="0"/>
    <n v="0"/>
    <n v="0"/>
    <n v="0"/>
    <n v="0"/>
    <n v="0"/>
    <n v="0"/>
    <n v="0"/>
    <n v="0"/>
    <n v="0"/>
    <n v="0"/>
    <n v="0"/>
    <n v="0"/>
    <m/>
    <m/>
    <m/>
    <m/>
    <m/>
    <m/>
    <m/>
    <m/>
    <m/>
    <m/>
    <m/>
    <m/>
    <m/>
    <m/>
    <m/>
    <m/>
    <m/>
    <m/>
    <m/>
    <m/>
    <m/>
    <n v="0"/>
    <n v="0"/>
    <n v="0"/>
    <n v="0"/>
    <n v="0"/>
    <n v="852.97500000000002"/>
    <n v="0"/>
    <n v="0"/>
    <n v="0"/>
    <n v="0"/>
    <n v="0"/>
    <n v="20070"/>
    <n v="0"/>
    <n v="0"/>
    <n v="0"/>
    <n v="0"/>
    <n v="0"/>
    <n v="144"/>
    <n v="0"/>
    <n v="0"/>
    <n v="0"/>
    <n v="0"/>
    <n v="0"/>
    <n v="0"/>
    <n v="0"/>
    <n v="0"/>
    <n v="0"/>
    <n v="0"/>
    <n v="0"/>
    <n v="0"/>
    <n v="0"/>
    <n v="0"/>
    <n v="0"/>
    <n v="0"/>
    <n v="0"/>
    <n v="0"/>
    <n v="0"/>
    <n v="0"/>
    <n v="0"/>
    <n v="0"/>
    <n v="0"/>
    <n v="0"/>
    <n v="0"/>
    <n v="0"/>
    <n v="0"/>
    <n v="0"/>
    <n v="0"/>
    <n v="0"/>
    <n v="0"/>
    <n v="0"/>
    <n v="0"/>
    <n v="0"/>
    <n v="0"/>
    <n v="0"/>
    <n v="0"/>
    <n v="0"/>
    <n v="0"/>
    <n v="0"/>
    <n v="21066.974999999999"/>
    <n v="22330.9935"/>
    <s v=" "/>
    <s v=" "/>
    <s v=" "/>
    <s v=" "/>
    <s v=" "/>
    <s v=" "/>
    <s v=" "/>
    <s v=" "/>
    <s v=" "/>
    <s v=" "/>
    <s v=" "/>
    <s v=" "/>
    <s v=" "/>
    <s v=" "/>
    <x v="0"/>
    <x v="0"/>
    <x v="0"/>
    <x v="0"/>
    <x v="0"/>
    <x v="62"/>
    <x v="0"/>
    <x v="0"/>
    <x v="0"/>
    <x v="4"/>
    <x v="1"/>
    <x v="1"/>
    <x v="49"/>
    <x v="0"/>
    <x v="0"/>
    <x v="0"/>
    <x v="0"/>
    <x v="0"/>
    <x v="0"/>
    <x v="0"/>
    <x v="0"/>
    <x v="0"/>
    <x v="0"/>
    <x v="0"/>
    <x v="0"/>
    <x v="0"/>
    <x v="0"/>
    <x v="0"/>
    <x v="37"/>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x v="8"/>
    <x v="13"/>
    <x v="8"/>
    <x v="83"/>
    <x v="5"/>
    <n v="29.995286389"/>
    <n v="-25.824939167"/>
    <s v="29° 59' 43.03&quot;E "/>
    <s v="25° 49' 29.78&quot; S"/>
    <s v="Complete"/>
    <s v="Yes"/>
    <s v="Yes"/>
    <d v="2017-02-06T00:00:00"/>
    <s v="YES"/>
    <m/>
    <s v="NBC-GTW-CL-0033"/>
    <s v="Yes"/>
    <s v="01"/>
    <d v="2018-12-07T00:00:00"/>
    <s v="Phase 1"/>
    <s v="Year 1"/>
    <m/>
    <n v="0"/>
    <n v="0"/>
    <n v="0"/>
    <n v="0"/>
    <n v="8.2890000000000015"/>
    <m/>
    <m/>
    <m/>
    <m/>
    <m/>
    <m/>
    <n v="8.2890000000000015"/>
    <m/>
    <n v="0"/>
    <n v="0"/>
    <m/>
    <m/>
    <m/>
    <m/>
    <m/>
    <m/>
    <m/>
    <m/>
    <m/>
    <m/>
    <m/>
    <m/>
    <m/>
    <m/>
    <n v="4.5"/>
    <n v="0"/>
    <n v="0"/>
    <n v="0"/>
    <m/>
    <n v="0"/>
    <n v="0"/>
    <n v="0"/>
    <n v="0"/>
    <n v="0"/>
    <n v="0"/>
    <n v="0"/>
    <n v="0"/>
    <n v="0"/>
    <n v="0"/>
    <n v="0"/>
    <n v="0"/>
    <n v="0"/>
    <n v="0"/>
    <n v="0"/>
    <n v="0"/>
    <n v="0"/>
    <n v="0"/>
    <n v="0"/>
    <n v="0"/>
    <n v="0"/>
    <n v="0"/>
    <n v="0"/>
    <n v="0"/>
    <n v="0"/>
    <n v="0"/>
    <n v="0"/>
    <n v="0"/>
    <n v="0"/>
    <n v="0"/>
    <n v="0"/>
    <n v="0"/>
    <n v="0"/>
    <n v="0"/>
    <n v="0"/>
    <n v="0"/>
    <n v="0"/>
    <n v="0"/>
    <n v="0"/>
    <m/>
    <m/>
    <m/>
    <m/>
    <m/>
    <m/>
    <m/>
    <m/>
    <m/>
    <m/>
    <m/>
    <m/>
    <m/>
    <m/>
    <m/>
    <m/>
    <m/>
    <m/>
    <m/>
    <m/>
    <m/>
    <n v="0"/>
    <n v="0"/>
    <n v="0"/>
    <n v="0"/>
    <n v="0"/>
    <n v="704.56500000000017"/>
    <n v="0"/>
    <n v="0"/>
    <n v="0"/>
    <n v="0"/>
    <n v="0"/>
    <n v="16578.000000000004"/>
    <n v="0"/>
    <n v="0"/>
    <n v="0"/>
    <n v="0"/>
    <n v="0"/>
    <n v="135"/>
    <n v="0"/>
    <n v="0"/>
    <n v="0"/>
    <n v="0"/>
    <n v="0"/>
    <n v="0"/>
    <n v="0"/>
    <n v="0"/>
    <n v="0"/>
    <n v="0"/>
    <n v="0"/>
    <n v="0"/>
    <n v="0"/>
    <n v="0"/>
    <n v="0"/>
    <n v="0"/>
    <n v="0"/>
    <n v="0"/>
    <n v="0"/>
    <n v="0"/>
    <n v="0"/>
    <n v="0"/>
    <n v="0"/>
    <n v="0"/>
    <n v="0"/>
    <n v="0"/>
    <n v="0"/>
    <n v="0"/>
    <n v="0"/>
    <n v="0"/>
    <n v="0"/>
    <n v="0"/>
    <n v="0"/>
    <n v="0"/>
    <n v="0"/>
    <n v="0"/>
    <n v="0"/>
    <n v="0"/>
    <n v="0"/>
    <n v="0"/>
    <n v="17417.565000000002"/>
    <n v="18462.618900000005"/>
    <s v=" "/>
    <s v=" "/>
    <s v=" "/>
    <s v=" "/>
    <s v=" "/>
    <s v=" "/>
    <s v=" "/>
    <s v=" "/>
    <s v=" "/>
    <s v=" "/>
    <s v=" "/>
    <s v=" "/>
    <s v=" "/>
    <s v=" "/>
    <x v="0"/>
    <x v="0"/>
    <x v="0"/>
    <x v="0"/>
    <x v="0"/>
    <x v="63"/>
    <x v="0"/>
    <x v="0"/>
    <x v="0"/>
    <x v="4"/>
    <x v="1"/>
    <x v="1"/>
    <x v="50"/>
    <x v="0"/>
    <x v="0"/>
    <x v="0"/>
    <x v="0"/>
    <x v="0"/>
    <x v="0"/>
    <x v="0"/>
    <x v="0"/>
    <x v="0"/>
    <x v="0"/>
    <x v="0"/>
    <x v="0"/>
    <x v="0"/>
    <x v="0"/>
    <x v="0"/>
    <x v="38"/>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x v="8"/>
    <x v="13"/>
    <x v="8"/>
    <x v="84"/>
    <x v="5"/>
    <n v="29.994923332999999"/>
    <n v="-25.825090555999999"/>
    <s v="29° 59' 41.72&quot;E "/>
    <s v="25° 49' 30.32&quot; S"/>
    <s v="Complete"/>
    <s v="Yes"/>
    <s v="Yes"/>
    <d v="2017-02-06T00:00:00"/>
    <s v="YES"/>
    <m/>
    <s v="NBC-GTW-CL-0034"/>
    <s v="Yes"/>
    <s v="01"/>
    <d v="2018-12-07T00:00:00"/>
    <s v="Phase 1"/>
    <s v="Year 1"/>
    <m/>
    <n v="0"/>
    <n v="0"/>
    <n v="0"/>
    <n v="0"/>
    <n v="10.799999999999999"/>
    <m/>
    <m/>
    <m/>
    <m/>
    <m/>
    <m/>
    <n v="10.799999999999999"/>
    <m/>
    <n v="0"/>
    <n v="0"/>
    <m/>
    <m/>
    <m/>
    <m/>
    <m/>
    <m/>
    <m/>
    <m/>
    <m/>
    <m/>
    <m/>
    <m/>
    <m/>
    <m/>
    <n v="4.3499999999999996"/>
    <n v="0"/>
    <n v="0"/>
    <n v="0"/>
    <m/>
    <n v="0"/>
    <n v="0"/>
    <n v="0"/>
    <n v="0"/>
    <n v="0"/>
    <n v="0"/>
    <n v="0"/>
    <n v="0"/>
    <n v="0"/>
    <n v="0"/>
    <n v="0"/>
    <n v="0"/>
    <n v="0"/>
    <n v="0"/>
    <n v="0"/>
    <n v="0"/>
    <n v="0"/>
    <n v="0"/>
    <n v="0"/>
    <n v="0"/>
    <n v="0"/>
    <n v="0"/>
    <n v="0"/>
    <n v="0"/>
    <n v="0"/>
    <n v="0"/>
    <n v="0"/>
    <n v="0"/>
    <n v="0"/>
    <n v="0"/>
    <n v="0"/>
    <n v="0"/>
    <n v="0"/>
    <n v="0"/>
    <n v="0"/>
    <n v="0"/>
    <n v="0"/>
    <n v="0"/>
    <n v="0"/>
    <m/>
    <m/>
    <m/>
    <m/>
    <m/>
    <m/>
    <m/>
    <m/>
    <m/>
    <m/>
    <m/>
    <m/>
    <m/>
    <m/>
    <m/>
    <m/>
    <m/>
    <m/>
    <m/>
    <m/>
    <m/>
    <n v="0"/>
    <n v="0"/>
    <n v="0"/>
    <n v="0"/>
    <n v="0"/>
    <n v="917.99999999999989"/>
    <n v="0"/>
    <n v="0"/>
    <n v="0"/>
    <n v="0"/>
    <n v="0"/>
    <n v="21599.999999999996"/>
    <n v="0"/>
    <n v="0"/>
    <n v="0"/>
    <n v="0"/>
    <n v="0"/>
    <n v="130.5"/>
    <n v="0"/>
    <n v="0"/>
    <n v="0"/>
    <n v="0"/>
    <n v="0"/>
    <n v="0"/>
    <n v="0"/>
    <n v="0"/>
    <n v="0"/>
    <n v="0"/>
    <n v="0"/>
    <n v="0"/>
    <n v="0"/>
    <n v="0"/>
    <n v="0"/>
    <n v="0"/>
    <n v="0"/>
    <n v="0"/>
    <n v="0"/>
    <n v="0"/>
    <n v="0"/>
    <n v="0"/>
    <n v="0"/>
    <n v="0"/>
    <n v="0"/>
    <n v="0"/>
    <n v="0"/>
    <n v="0"/>
    <n v="0"/>
    <n v="0"/>
    <n v="0"/>
    <n v="0"/>
    <n v="0"/>
    <n v="0"/>
    <n v="0"/>
    <n v="0"/>
    <n v="0"/>
    <n v="0"/>
    <n v="0"/>
    <n v="0"/>
    <n v="22648.499999999996"/>
    <n v="24007.409999999996"/>
    <s v=" "/>
    <s v=" "/>
    <s v=" "/>
    <s v=" "/>
    <s v=" "/>
    <s v=" "/>
    <s v=" "/>
    <s v=" "/>
    <s v=" "/>
    <s v=" "/>
    <s v=" "/>
    <s v=" "/>
    <s v=" "/>
    <s v=" "/>
    <x v="0"/>
    <x v="0"/>
    <x v="0"/>
    <x v="0"/>
    <x v="0"/>
    <x v="64"/>
    <x v="0"/>
    <x v="0"/>
    <x v="0"/>
    <x v="4"/>
    <x v="1"/>
    <x v="1"/>
    <x v="51"/>
    <x v="0"/>
    <x v="0"/>
    <x v="0"/>
    <x v="0"/>
    <x v="0"/>
    <x v="0"/>
    <x v="0"/>
    <x v="0"/>
    <x v="0"/>
    <x v="0"/>
    <x v="0"/>
    <x v="0"/>
    <x v="0"/>
    <x v="0"/>
    <x v="0"/>
    <x v="39"/>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x v="8"/>
    <x v="13"/>
    <x v="3"/>
    <x v="85"/>
    <x v="5"/>
    <n v="29.994457499999999"/>
    <n v="-25.825408888999998"/>
    <s v="29° 59' 40.04&quot;E "/>
    <s v="25° 49' 31.47&quot; S"/>
    <s v="Complete"/>
    <s v="Yes"/>
    <s v="Yes"/>
    <d v="2017-02-06T00:00:00"/>
    <s v="YES"/>
    <m/>
    <s v="NBC-GTW-CL-0035"/>
    <s v="Yes"/>
    <s v="00"/>
    <d v="2018-06-16T00:00:00"/>
    <s v="Phase 1"/>
    <s v="Year 1"/>
    <m/>
    <m/>
    <m/>
    <m/>
    <m/>
    <n v="27"/>
    <m/>
    <m/>
    <m/>
    <m/>
    <m/>
    <m/>
    <n v="29.408000000000001"/>
    <m/>
    <m/>
    <m/>
    <m/>
    <m/>
    <m/>
    <m/>
    <m/>
    <m/>
    <m/>
    <n v="11"/>
    <m/>
    <m/>
    <m/>
    <m/>
    <m/>
    <m/>
    <n v="15"/>
    <m/>
    <m/>
    <m/>
    <m/>
    <m/>
    <m/>
    <m/>
    <m/>
    <m/>
    <m/>
    <m/>
    <m/>
    <m/>
    <m/>
    <m/>
    <m/>
    <m/>
    <m/>
    <m/>
    <m/>
    <m/>
    <m/>
    <m/>
    <m/>
    <m/>
    <m/>
    <m/>
    <m/>
    <m/>
    <m/>
    <m/>
    <m/>
    <m/>
    <m/>
    <m/>
    <m/>
    <m/>
    <m/>
    <m/>
    <m/>
    <m/>
    <m/>
    <m/>
    <m/>
    <m/>
    <m/>
    <m/>
    <m/>
    <m/>
    <m/>
    <m/>
    <m/>
    <m/>
    <m/>
    <m/>
    <m/>
    <m/>
    <m/>
    <m/>
    <m/>
    <m/>
    <m/>
    <m/>
    <m/>
    <n v="0"/>
    <n v="0"/>
    <n v="0"/>
    <n v="0"/>
    <n v="0"/>
    <n v="2295"/>
    <n v="0"/>
    <n v="0"/>
    <n v="0"/>
    <n v="0"/>
    <n v="0"/>
    <n v="58816"/>
    <n v="0"/>
    <n v="0"/>
    <n v="0"/>
    <n v="0"/>
    <n v="7150"/>
    <n v="450"/>
    <n v="0"/>
    <n v="0"/>
    <n v="0"/>
    <n v="0"/>
    <n v="0"/>
    <n v="0"/>
    <n v="0"/>
    <n v="0"/>
    <n v="0"/>
    <n v="0"/>
    <n v="0"/>
    <n v="0"/>
    <n v="0"/>
    <n v="0"/>
    <n v="0"/>
    <n v="0"/>
    <n v="0"/>
    <n v="0"/>
    <n v="0"/>
    <n v="0"/>
    <n v="0"/>
    <n v="0"/>
    <n v="0"/>
    <n v="0"/>
    <n v="0"/>
    <n v="0"/>
    <n v="0"/>
    <n v="0"/>
    <n v="0"/>
    <n v="0"/>
    <n v="0"/>
    <n v="0"/>
    <n v="0"/>
    <n v="0"/>
    <n v="0"/>
    <n v="0"/>
    <n v="0"/>
    <n v="0"/>
    <n v="0"/>
    <n v="0"/>
    <n v="68711"/>
    <n v="72833.66"/>
    <s v=" "/>
    <s v=" "/>
    <s v=" "/>
    <s v=" "/>
    <s v=" "/>
    <s v=" "/>
    <s v=" "/>
    <s v=" "/>
    <s v=" "/>
    <s v=" "/>
    <s v=" "/>
    <s v=" "/>
    <s v=" "/>
    <s v=" "/>
    <x v="0"/>
    <x v="0"/>
    <x v="0"/>
    <x v="0"/>
    <x v="0"/>
    <x v="65"/>
    <x v="0"/>
    <x v="0"/>
    <x v="0"/>
    <x v="4"/>
    <x v="1"/>
    <x v="1"/>
    <x v="52"/>
    <x v="0"/>
    <x v="0"/>
    <x v="0"/>
    <x v="0"/>
    <x v="0"/>
    <x v="0"/>
    <x v="0"/>
    <x v="0"/>
    <x v="16"/>
    <x v="0"/>
    <x v="0"/>
    <x v="0"/>
    <x v="0"/>
    <x v="0"/>
    <x v="0"/>
    <x v="4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x v="8"/>
    <x v="13"/>
    <x v="3"/>
    <x v="86"/>
    <x v="5"/>
    <n v="29.994457499999999"/>
    <n v="-25.825408888999998"/>
    <s v="29° 59' 40.04&quot;E "/>
    <s v="25° 49' 31.47&quot; S"/>
    <s v="Complete"/>
    <s v="Yes"/>
    <s v="Yes"/>
    <d v="2017-02-06T00:00:00"/>
    <s v="YES"/>
    <m/>
    <s v="NBC-GTW-CL-0035"/>
    <s v="Yes"/>
    <s v="00"/>
    <d v="2018-06-16T00:00:00"/>
    <s v="Phase 1"/>
    <s v="Year 1"/>
    <n v="60"/>
    <m/>
    <m/>
    <m/>
    <m/>
    <n v="16"/>
    <m/>
    <m/>
    <n v="60"/>
    <n v="60"/>
    <m/>
    <m/>
    <n v="4.0319999999999991"/>
    <m/>
    <m/>
    <m/>
    <m/>
    <m/>
    <m/>
    <m/>
    <m/>
    <m/>
    <m/>
    <m/>
    <m/>
    <m/>
    <m/>
    <m/>
    <m/>
    <m/>
    <n v="2"/>
    <m/>
    <m/>
    <m/>
    <m/>
    <m/>
    <m/>
    <m/>
    <m/>
    <m/>
    <m/>
    <m/>
    <m/>
    <m/>
    <m/>
    <m/>
    <m/>
    <m/>
    <m/>
    <m/>
    <m/>
    <m/>
    <m/>
    <m/>
    <m/>
    <m/>
    <m/>
    <m/>
    <m/>
    <m/>
    <m/>
    <m/>
    <m/>
    <m/>
    <m/>
    <m/>
    <m/>
    <m/>
    <m/>
    <m/>
    <m/>
    <m/>
    <m/>
    <m/>
    <m/>
    <m/>
    <m/>
    <m/>
    <m/>
    <m/>
    <m/>
    <m/>
    <m/>
    <m/>
    <m/>
    <m/>
    <m/>
    <m/>
    <m/>
    <m/>
    <m/>
    <m/>
    <m/>
    <m/>
    <m/>
    <n v="300"/>
    <n v="0"/>
    <n v="0"/>
    <n v="0"/>
    <n v="0"/>
    <n v="1360"/>
    <n v="0"/>
    <n v="0"/>
    <n v="300"/>
    <n v="600"/>
    <n v="0"/>
    <n v="8063.9999999999982"/>
    <n v="0"/>
    <n v="0"/>
    <n v="0"/>
    <n v="0"/>
    <n v="0"/>
    <n v="60"/>
    <n v="0"/>
    <n v="0"/>
    <n v="0"/>
    <n v="0"/>
    <n v="0"/>
    <n v="0"/>
    <n v="0"/>
    <n v="0"/>
    <n v="0"/>
    <n v="0"/>
    <n v="0"/>
    <n v="0"/>
    <n v="0"/>
    <n v="0"/>
    <n v="0"/>
    <n v="0"/>
    <n v="0"/>
    <n v="0"/>
    <n v="0"/>
    <n v="0"/>
    <n v="0"/>
    <n v="0"/>
    <n v="0"/>
    <n v="0"/>
    <n v="0"/>
    <n v="0"/>
    <n v="0"/>
    <n v="0"/>
    <n v="0"/>
    <n v="0"/>
    <n v="0"/>
    <n v="0"/>
    <n v="0"/>
    <n v="0"/>
    <n v="0"/>
    <n v="0"/>
    <n v="0"/>
    <n v="0"/>
    <n v="0"/>
    <n v="0"/>
    <n v="10683.999999999998"/>
    <n v="11325.039999999999"/>
    <s v=" "/>
    <s v=" "/>
    <s v=" "/>
    <s v=" "/>
    <s v=" "/>
    <s v=" "/>
    <s v=" "/>
    <s v=" "/>
    <s v=" "/>
    <s v=" "/>
    <s v=" "/>
    <s v=" "/>
    <s v=" "/>
    <s v=" "/>
    <x v="34"/>
    <x v="0"/>
    <x v="0"/>
    <x v="0"/>
    <x v="0"/>
    <x v="66"/>
    <x v="0"/>
    <x v="0"/>
    <x v="35"/>
    <x v="36"/>
    <x v="1"/>
    <x v="1"/>
    <x v="53"/>
    <x v="0"/>
    <x v="0"/>
    <x v="0"/>
    <x v="0"/>
    <x v="0"/>
    <x v="0"/>
    <x v="0"/>
    <x v="0"/>
    <x v="0"/>
    <x v="0"/>
    <x v="0"/>
    <x v="0"/>
    <x v="0"/>
    <x v="0"/>
    <x v="0"/>
    <x v="4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x v="8"/>
    <x v="20"/>
    <x v="7"/>
    <x v="87"/>
    <x v="5"/>
    <n v="29.994295832999999"/>
    <n v="-25.825085556000001"/>
    <s v="29° 59' 39.46&quot;E "/>
    <s v="25° 49' 30.30&quot; S"/>
    <s v="Complete"/>
    <s v="Yes"/>
    <s v="Yes"/>
    <d v="2017-02-06T00:00:00"/>
    <s v="YES"/>
    <m/>
    <s v="NBC-GTW-CL-0035"/>
    <s v="Yes"/>
    <s v="00"/>
    <d v="2018-06-16T00:00:00"/>
    <s v="Phase 1"/>
    <s v="Year 1"/>
    <n v="69"/>
    <n v="0"/>
    <n v="0"/>
    <n v="0"/>
    <n v="0"/>
    <n v="0"/>
    <n v="0"/>
    <n v="0"/>
    <n v="69"/>
    <n v="69"/>
    <n v="0"/>
    <n v="0"/>
    <n v="0"/>
    <n v="0"/>
    <n v="0"/>
    <n v="0"/>
    <n v="0"/>
    <n v="0"/>
    <n v="0"/>
    <n v="0"/>
    <n v="0"/>
    <n v="0"/>
    <n v="0"/>
    <n v="0"/>
    <n v="0"/>
    <m/>
    <n v="0"/>
    <m/>
    <n v="0"/>
    <n v="0"/>
    <n v="0"/>
    <n v="0"/>
    <n v="0"/>
    <n v="0"/>
    <n v="0"/>
    <n v="0"/>
    <n v="0"/>
    <n v="0"/>
    <n v="0"/>
    <n v="0"/>
    <n v="0"/>
    <n v="0"/>
    <n v="0"/>
    <n v="0"/>
    <n v="0"/>
    <n v="0"/>
    <n v="0"/>
    <n v="0"/>
    <n v="0"/>
    <n v="0"/>
    <n v="0"/>
    <n v="0"/>
    <n v="0"/>
    <n v="0"/>
    <n v="0"/>
    <n v="0"/>
    <n v="0"/>
    <n v="0"/>
    <n v="0"/>
    <n v="0"/>
    <n v="0"/>
    <n v="0"/>
    <n v="0"/>
    <n v="0"/>
    <n v="0"/>
    <n v="0"/>
    <n v="0"/>
    <n v="0"/>
    <n v="0"/>
    <n v="0"/>
    <n v="0"/>
    <n v="0"/>
    <n v="0"/>
    <n v="0"/>
    <m/>
    <m/>
    <m/>
    <m/>
    <m/>
    <m/>
    <m/>
    <m/>
    <m/>
    <m/>
    <m/>
    <m/>
    <m/>
    <m/>
    <m/>
    <m/>
    <m/>
    <m/>
    <m/>
    <m/>
    <m/>
    <n v="345"/>
    <n v="0"/>
    <n v="0"/>
    <n v="0"/>
    <n v="0"/>
    <n v="0"/>
    <n v="0"/>
    <n v="0"/>
    <n v="345"/>
    <n v="690"/>
    <n v="0"/>
    <n v="0"/>
    <n v="0"/>
    <n v="0"/>
    <n v="0"/>
    <n v="0"/>
    <n v="0"/>
    <n v="0"/>
    <n v="0"/>
    <n v="0"/>
    <n v="0"/>
    <n v="0"/>
    <n v="0"/>
    <n v="0"/>
    <n v="0"/>
    <n v="0"/>
    <n v="0"/>
    <n v="0"/>
    <n v="0"/>
    <n v="0"/>
    <n v="0"/>
    <n v="0"/>
    <n v="0"/>
    <n v="0"/>
    <n v="0"/>
    <n v="0"/>
    <n v="0"/>
    <n v="0"/>
    <n v="0"/>
    <n v="0"/>
    <n v="0"/>
    <n v="0"/>
    <n v="0"/>
    <n v="0"/>
    <n v="0"/>
    <n v="0"/>
    <n v="0"/>
    <n v="0"/>
    <n v="0"/>
    <n v="0"/>
    <n v="0"/>
    <n v="0"/>
    <n v="0"/>
    <n v="0"/>
    <n v="0"/>
    <n v="0"/>
    <n v="0"/>
    <n v="0"/>
    <n v="1380"/>
    <n v="1462.8000000000002"/>
    <s v=" "/>
    <s v=" "/>
    <s v=" "/>
    <s v=" "/>
    <s v=" "/>
    <s v=" "/>
    <s v=" "/>
    <s v=" "/>
    <s v=" "/>
    <s v=" "/>
    <s v=" "/>
    <s v=" "/>
    <s v=" "/>
    <s v=" "/>
    <x v="35"/>
    <x v="0"/>
    <x v="0"/>
    <x v="0"/>
    <x v="0"/>
    <x v="1"/>
    <x v="0"/>
    <x v="0"/>
    <x v="36"/>
    <x v="37"/>
    <x v="1"/>
    <x v="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x v="8"/>
    <x v="19"/>
    <x v="13"/>
    <x v="88"/>
    <x v="5"/>
    <n v="29.994059167"/>
    <n v="-25.825518611"/>
    <s v="29° 59' 38.61&quot;E "/>
    <s v="25° 49' 31.86&quot; S"/>
    <s v="Complete"/>
    <s v="Yes"/>
    <s v="Yes"/>
    <d v="2017-04-28T00:00:00"/>
    <s v="YES "/>
    <m/>
    <s v="NBC-GTW-CL-0057"/>
    <s v="Yes"/>
    <s v="00"/>
    <d v="2018-06-16T00:00:00"/>
    <s v="Phase 1"/>
    <s v="Year 1"/>
    <n v="0"/>
    <n v="0"/>
    <n v="0"/>
    <n v="0"/>
    <n v="0"/>
    <n v="3.5999999999999996"/>
    <n v="0"/>
    <m/>
    <n v="0"/>
    <n v="0"/>
    <n v="0"/>
    <n v="3.5999999999999996"/>
    <n v="0"/>
    <n v="0"/>
    <n v="0"/>
    <n v="0"/>
    <n v="0"/>
    <n v="0"/>
    <n v="0"/>
    <n v="0"/>
    <n v="0"/>
    <n v="0"/>
    <n v="0"/>
    <n v="0"/>
    <n v="0"/>
    <m/>
    <n v="0"/>
    <m/>
    <n v="0"/>
    <n v="0"/>
    <n v="0"/>
    <n v="0"/>
    <n v="0"/>
    <n v="0"/>
    <n v="0"/>
    <n v="0"/>
    <n v="0"/>
    <n v="0"/>
    <n v="0"/>
    <n v="0"/>
    <n v="0"/>
    <n v="0"/>
    <n v="0"/>
    <n v="0"/>
    <n v="0"/>
    <n v="0"/>
    <n v="0"/>
    <n v="0"/>
    <n v="0"/>
    <n v="0"/>
    <n v="0"/>
    <n v="0"/>
    <n v="0"/>
    <n v="0"/>
    <n v="0"/>
    <n v="0"/>
    <n v="0"/>
    <n v="0"/>
    <n v="0"/>
    <n v="0"/>
    <n v="0"/>
    <n v="0"/>
    <n v="20"/>
    <n v="0"/>
    <n v="0"/>
    <n v="0"/>
    <n v="0"/>
    <n v="0"/>
    <n v="0"/>
    <n v="0"/>
    <n v="0"/>
    <n v="0"/>
    <n v="0"/>
    <n v="0"/>
    <n v="0"/>
    <n v="0"/>
    <n v="0"/>
    <n v="0"/>
    <n v="0"/>
    <n v="0"/>
    <n v="0"/>
    <n v="0"/>
    <n v="0"/>
    <n v="0"/>
    <n v="0"/>
    <n v="0"/>
    <m/>
    <m/>
    <m/>
    <m/>
    <m/>
    <m/>
    <m/>
    <m/>
    <m/>
    <n v="0"/>
    <n v="0"/>
    <n v="0"/>
    <n v="0"/>
    <n v="0"/>
    <n v="305.99999999999994"/>
    <n v="0"/>
    <n v="0"/>
    <n v="0"/>
    <n v="0"/>
    <n v="21.599999999999998"/>
    <n v="0"/>
    <n v="0"/>
    <n v="0"/>
    <n v="0"/>
    <n v="0"/>
    <n v="0"/>
    <n v="0"/>
    <n v="0"/>
    <n v="0"/>
    <n v="0"/>
    <n v="0"/>
    <n v="0"/>
    <n v="0"/>
    <n v="0"/>
    <n v="0"/>
    <n v="18000"/>
    <n v="0"/>
    <n v="0"/>
    <n v="0"/>
    <n v="0"/>
    <n v="0"/>
    <n v="0"/>
    <n v="0"/>
    <n v="0"/>
    <n v="0"/>
    <n v="0"/>
    <n v="0"/>
    <n v="0"/>
    <n v="0"/>
    <n v="0"/>
    <n v="0"/>
    <n v="0"/>
    <n v="0"/>
    <n v="0"/>
    <n v="0"/>
    <n v="0"/>
    <n v="0"/>
    <n v="0"/>
    <n v="0"/>
    <n v="0"/>
    <n v="0"/>
    <n v="0"/>
    <n v="0"/>
    <n v="0"/>
    <n v="0"/>
    <n v="0"/>
    <n v="0"/>
    <n v="18327.599999999999"/>
    <n v="19427.256000000001"/>
    <s v=" "/>
    <s v=" "/>
    <s v=" "/>
    <s v=" "/>
    <s v=" "/>
    <s v=" "/>
    <s v=" "/>
    <s v=" "/>
    <s v=" "/>
    <s v=" "/>
    <s v=" "/>
    <s v=" "/>
    <s v=" "/>
    <s v=" "/>
    <x v="0"/>
    <x v="0"/>
    <x v="0"/>
    <x v="0"/>
    <x v="0"/>
    <x v="67"/>
    <x v="0"/>
    <x v="0"/>
    <x v="0"/>
    <x v="4"/>
    <x v="1"/>
    <x v="3"/>
    <x v="0"/>
    <x v="0"/>
    <x v="0"/>
    <x v="0"/>
    <x v="0"/>
    <x v="0"/>
    <x v="0"/>
    <x v="0"/>
    <x v="0"/>
    <x v="0"/>
    <x v="0"/>
    <x v="0"/>
    <x v="0"/>
    <x v="0"/>
    <x v="0"/>
    <x v="0"/>
    <x v="0"/>
    <x v="0"/>
    <x v="0"/>
    <x v="0"/>
    <x v="0"/>
    <x v="0"/>
    <x v="0"/>
    <x v="0"/>
    <x v="0"/>
    <x v="0"/>
    <x v="0"/>
    <x v="0"/>
    <x v="0"/>
    <x v="0"/>
    <x v="0"/>
    <x v="0"/>
    <x v="0"/>
    <x v="0"/>
    <x v="0"/>
    <x v="0"/>
    <x v="0"/>
    <x v="0"/>
    <x v="0"/>
    <x v="0"/>
    <x v="0"/>
    <x v="0"/>
    <x v="0"/>
    <x v="0"/>
    <x v="0"/>
    <x v="0"/>
    <x v="0"/>
    <x v="0"/>
    <x v="7"/>
    <x v="0"/>
    <x v="0"/>
    <x v="0"/>
    <x v="0"/>
    <x v="0"/>
    <x v="0"/>
    <x v="0"/>
    <x v="0"/>
    <x v="0"/>
    <x v="0"/>
    <x v="0"/>
    <x v="0"/>
    <x v="0"/>
    <x v="0"/>
    <x v="0"/>
    <x v="0"/>
    <x v="0"/>
    <x v="0"/>
    <x v="0"/>
    <x v="0"/>
    <x v="0"/>
    <x v="0"/>
    <x v="0"/>
    <x v="0"/>
    <x v="0"/>
    <x v="0"/>
    <x v="0"/>
    <x v="0"/>
    <x v="0"/>
    <x v="0"/>
    <x v="0"/>
    <x v="0"/>
  </r>
  <r>
    <x v="8"/>
    <x v="15"/>
    <x v="9"/>
    <x v="89"/>
    <x v="5"/>
    <m/>
    <m/>
    <m/>
    <m/>
    <m/>
    <m/>
    <m/>
    <m/>
    <m/>
    <m/>
    <s v="No Drawing"/>
    <m/>
    <s v="00"/>
    <d v="2018-12-07T00:00:00"/>
    <s v="Phase 1"/>
    <s v="Year 1"/>
    <m/>
    <m/>
    <m/>
    <m/>
    <m/>
    <n v="950"/>
    <m/>
    <m/>
    <n v="6700"/>
    <n v="6700"/>
    <m/>
    <m/>
    <m/>
    <m/>
    <m/>
    <m/>
    <m/>
    <m/>
    <m/>
    <m/>
    <m/>
    <m/>
    <m/>
    <m/>
    <m/>
    <m/>
    <m/>
    <m/>
    <m/>
    <m/>
    <m/>
    <m/>
    <m/>
    <m/>
    <n v="5730"/>
    <m/>
    <m/>
    <m/>
    <m/>
    <m/>
    <m/>
    <m/>
    <m/>
    <m/>
    <m/>
    <m/>
    <m/>
    <m/>
    <m/>
    <m/>
    <m/>
    <m/>
    <m/>
    <m/>
    <m/>
    <m/>
    <m/>
    <m/>
    <m/>
    <m/>
    <m/>
    <m/>
    <m/>
    <m/>
    <m/>
    <m/>
    <m/>
    <m/>
    <m/>
    <m/>
    <m/>
    <m/>
    <m/>
    <m/>
    <m/>
    <m/>
    <m/>
    <m/>
    <m/>
    <m/>
    <m/>
    <m/>
    <m/>
    <m/>
    <m/>
    <m/>
    <m/>
    <m/>
    <m/>
    <m/>
    <m/>
    <m/>
    <m/>
    <m/>
    <m/>
    <n v="0"/>
    <n v="0"/>
    <n v="0"/>
    <n v="0"/>
    <n v="0"/>
    <n v="80750"/>
    <n v="0"/>
    <n v="0"/>
    <n v="33500"/>
    <n v="67000"/>
    <n v="0"/>
    <n v="0"/>
    <n v="0"/>
    <n v="0"/>
    <n v="0"/>
    <n v="0"/>
    <n v="0"/>
    <n v="0"/>
    <n v="0"/>
    <n v="0"/>
    <n v="687600"/>
    <n v="0"/>
    <n v="0"/>
    <n v="0"/>
    <n v="0"/>
    <n v="0"/>
    <n v="0"/>
    <n v="0"/>
    <n v="0"/>
    <n v="0"/>
    <n v="0"/>
    <n v="0"/>
    <n v="0"/>
    <n v="0"/>
    <n v="0"/>
    <n v="0"/>
    <n v="0"/>
    <n v="0"/>
    <n v="0"/>
    <n v="0"/>
    <n v="0"/>
    <n v="0"/>
    <n v="0"/>
    <n v="0"/>
    <n v="0"/>
    <n v="0"/>
    <n v="0"/>
    <n v="0"/>
    <n v="0"/>
    <n v="0"/>
    <n v="0"/>
    <n v="0"/>
    <n v="0"/>
    <n v="0"/>
    <n v="0"/>
    <n v="0"/>
    <n v="0"/>
    <n v="0"/>
    <n v="868850"/>
    <n v="920981"/>
    <s v=" "/>
    <s v=" "/>
    <s v=" "/>
    <s v=" "/>
    <s v=" "/>
    <s v=" "/>
    <s v=" "/>
    <s v=" "/>
    <s v=" "/>
    <s v=" "/>
    <s v=" "/>
    <s v=" "/>
    <s v=" "/>
    <s v=" "/>
    <x v="0"/>
    <x v="0"/>
    <x v="0"/>
    <x v="0"/>
    <x v="0"/>
    <x v="68"/>
    <x v="0"/>
    <x v="0"/>
    <x v="37"/>
    <x v="38"/>
    <x v="1"/>
    <x v="1"/>
    <x v="0"/>
    <x v="0"/>
    <x v="0"/>
    <x v="0"/>
    <x v="0"/>
    <x v="0"/>
    <x v="0"/>
    <x v="0"/>
    <x v="0"/>
    <x v="0"/>
    <x v="0"/>
    <x v="0"/>
    <x v="0"/>
    <x v="0"/>
    <x v="0"/>
    <x v="0"/>
    <x v="0"/>
    <x v="0"/>
    <x v="0"/>
    <x v="0"/>
    <x v="23"/>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x v="9"/>
    <x v="21"/>
    <x v="14"/>
    <x v="90"/>
    <x v="5"/>
    <n v="30.006223842000001"/>
    <n v="-25.827724391"/>
    <s v="30° 00' 22.40&quot;E "/>
    <s v="25° 49' 39.80&quot; S"/>
    <s v="Complete"/>
    <s v="Yes"/>
    <s v="Yes"/>
    <d v="2017-02-03T00:00:00"/>
    <s v="YES"/>
    <m/>
    <s v="NBC-GTW-CL-0038"/>
    <s v="Yes"/>
    <s v="00"/>
    <d v="2018-06-16T00:00:00"/>
    <s v="Phase 1"/>
    <s v="Year 1"/>
    <n v="38"/>
    <n v="0"/>
    <n v="0"/>
    <n v="0"/>
    <n v="0"/>
    <n v="20"/>
    <n v="0"/>
    <n v="1"/>
    <n v="0"/>
    <n v="0"/>
    <n v="0"/>
    <n v="20"/>
    <n v="0"/>
    <n v="0"/>
    <n v="0"/>
    <n v="0"/>
    <n v="0"/>
    <n v="0"/>
    <n v="0"/>
    <n v="0"/>
    <n v="0"/>
    <n v="0"/>
    <n v="0"/>
    <n v="0"/>
    <n v="0"/>
    <m/>
    <n v="0"/>
    <m/>
    <n v="0"/>
    <n v="0"/>
    <n v="0"/>
    <n v="0"/>
    <n v="0"/>
    <n v="0"/>
    <n v="0"/>
    <n v="0"/>
    <n v="0"/>
    <n v="0"/>
    <n v="0"/>
    <n v="0"/>
    <n v="0"/>
    <n v="0"/>
    <n v="0"/>
    <n v="0"/>
    <n v="0"/>
    <n v="0"/>
    <n v="0"/>
    <n v="0"/>
    <n v="0"/>
    <n v="0"/>
    <n v="0"/>
    <n v="0"/>
    <n v="0"/>
    <n v="0"/>
    <n v="0"/>
    <n v="0"/>
    <n v="0"/>
    <n v="0"/>
    <n v="50"/>
    <n v="0"/>
    <n v="0"/>
    <n v="0"/>
    <n v="0"/>
    <n v="0"/>
    <n v="0"/>
    <n v="0"/>
    <n v="0"/>
    <n v="0"/>
    <n v="0"/>
    <n v="0"/>
    <n v="0"/>
    <n v="0"/>
    <n v="0"/>
    <n v="0"/>
    <m/>
    <m/>
    <m/>
    <m/>
    <m/>
    <m/>
    <m/>
    <m/>
    <m/>
    <m/>
    <m/>
    <m/>
    <m/>
    <m/>
    <m/>
    <m/>
    <m/>
    <m/>
    <m/>
    <m/>
    <m/>
    <n v="190"/>
    <n v="0"/>
    <n v="0"/>
    <n v="0"/>
    <n v="0"/>
    <n v="1700"/>
    <n v="0"/>
    <n v="500"/>
    <n v="0"/>
    <n v="0"/>
    <n v="120"/>
    <n v="0"/>
    <n v="0"/>
    <n v="0"/>
    <n v="0"/>
    <n v="0"/>
    <n v="0"/>
    <n v="0"/>
    <n v="0"/>
    <n v="0"/>
    <n v="0"/>
    <n v="0"/>
    <n v="0"/>
    <n v="37500"/>
    <n v="0"/>
    <n v="0"/>
    <n v="0"/>
    <n v="0"/>
    <n v="0"/>
    <n v="0"/>
    <n v="0"/>
    <n v="0"/>
    <n v="0"/>
    <n v="0"/>
    <n v="0"/>
    <n v="0"/>
    <n v="0"/>
    <n v="0"/>
    <n v="0"/>
    <n v="0"/>
    <n v="0"/>
    <n v="0"/>
    <n v="0"/>
    <n v="0"/>
    <n v="0"/>
    <n v="0"/>
    <n v="0"/>
    <n v="0"/>
    <n v="0"/>
    <n v="0"/>
    <n v="0"/>
    <n v="0"/>
    <n v="0"/>
    <n v="0"/>
    <n v="0"/>
    <n v="0"/>
    <n v="0"/>
    <n v="0"/>
    <n v="40010"/>
    <n v="42410.6"/>
    <s v=" "/>
    <s v=" "/>
    <s v=" "/>
    <s v=" "/>
    <s v=" "/>
    <s v=" "/>
    <s v=" "/>
    <s v=" "/>
    <s v=" "/>
    <s v=" "/>
    <s v=" "/>
    <s v=" "/>
    <s v=" "/>
    <s v=" "/>
    <x v="36"/>
    <x v="0"/>
    <x v="0"/>
    <x v="0"/>
    <x v="0"/>
    <x v="69"/>
    <x v="0"/>
    <x v="13"/>
    <x v="0"/>
    <x v="4"/>
    <x v="1"/>
    <x v="4"/>
    <x v="0"/>
    <x v="0"/>
    <x v="0"/>
    <x v="0"/>
    <x v="0"/>
    <x v="0"/>
    <x v="0"/>
    <x v="0"/>
    <x v="0"/>
    <x v="0"/>
    <x v="0"/>
    <x v="0"/>
    <x v="0"/>
    <x v="0"/>
    <x v="0"/>
    <x v="0"/>
    <x v="0"/>
    <x v="0"/>
    <x v="0"/>
    <x v="0"/>
    <x v="0"/>
    <x v="0"/>
    <x v="0"/>
    <x v="0"/>
    <x v="0"/>
    <x v="0"/>
    <x v="0"/>
    <x v="0"/>
    <x v="0"/>
    <x v="0"/>
    <x v="0"/>
    <x v="0"/>
    <x v="0"/>
    <x v="0"/>
    <x v="0"/>
    <x v="0"/>
    <x v="0"/>
    <x v="0"/>
    <x v="0"/>
    <x v="0"/>
    <x v="0"/>
    <x v="0"/>
    <x v="0"/>
    <x v="0"/>
    <x v="1"/>
    <x v="0"/>
    <x v="0"/>
    <x v="0"/>
    <x v="0"/>
    <x v="0"/>
    <x v="0"/>
    <x v="0"/>
    <x v="0"/>
    <x v="0"/>
    <x v="0"/>
    <x v="0"/>
    <x v="0"/>
    <x v="0"/>
    <x v="0"/>
    <x v="0"/>
    <x v="0"/>
    <x v="0"/>
    <x v="0"/>
    <x v="0"/>
    <x v="0"/>
    <x v="0"/>
    <x v="0"/>
    <x v="0"/>
    <x v="0"/>
    <x v="0"/>
    <x v="0"/>
    <x v="0"/>
    <x v="0"/>
    <x v="0"/>
    <x v="0"/>
    <x v="0"/>
    <x v="0"/>
    <x v="0"/>
    <x v="0"/>
    <x v="0"/>
    <x v="0"/>
  </r>
  <r>
    <x v="9"/>
    <x v="9"/>
    <x v="3"/>
    <x v="91"/>
    <x v="5"/>
    <n v="30.005540703000001"/>
    <n v="-25.827672228000001"/>
    <s v="30° 00' 19.94&quot;E "/>
    <s v="25° 49' 39.62&quot; S"/>
    <s v="Complete"/>
    <s v="Yes"/>
    <s v="Yes"/>
    <d v="2017-02-06T00:00:00"/>
    <s v="YES"/>
    <m/>
    <s v="NBC-GTW-CL-0039"/>
    <s v="Yes"/>
    <s v="00"/>
    <d v="2018-06-16T00:00:00"/>
    <s v="Phase 1"/>
    <s v="Year 1"/>
    <n v="22.240000000000002"/>
    <n v="0"/>
    <n v="0"/>
    <n v="0"/>
    <n v="0"/>
    <n v="25.787750000000003"/>
    <n v="2.5787750000000003"/>
    <n v="1.2893875000000001"/>
    <n v="22.240000000000002"/>
    <n v="22.240000000000002"/>
    <n v="0"/>
    <n v="25.787750000000003"/>
    <n v="24.792749999999998"/>
    <n v="52.660000000000004"/>
    <n v="0"/>
    <n v="0"/>
    <s v="Ref 888"/>
    <n v="23.832599999999999"/>
    <s v="Ref 655"/>
    <n v="42.578400000000002"/>
    <n v="0"/>
    <n v="40.887319357676404"/>
    <n v="0"/>
    <n v="4.25"/>
    <n v="0"/>
    <m/>
    <n v="0"/>
    <m/>
    <n v="0"/>
    <n v="0"/>
    <n v="9.5449999999999999"/>
    <n v="0"/>
    <n v="0"/>
    <n v="0"/>
    <n v="0"/>
    <n v="0"/>
    <n v="0"/>
    <n v="0"/>
    <n v="0"/>
    <n v="0"/>
    <n v="0"/>
    <n v="0"/>
    <n v="0"/>
    <n v="0"/>
    <n v="0"/>
    <n v="0"/>
    <n v="0"/>
    <n v="0"/>
    <n v="0"/>
    <n v="0"/>
    <n v="0"/>
    <n v="0"/>
    <n v="0"/>
    <n v="0"/>
    <n v="0"/>
    <n v="0"/>
    <n v="0"/>
    <n v="0"/>
    <n v="0"/>
    <n v="0"/>
    <n v="0"/>
    <n v="0"/>
    <n v="0"/>
    <n v="0"/>
    <n v="0"/>
    <n v="0"/>
    <n v="0"/>
    <n v="0"/>
    <n v="0"/>
    <n v="0"/>
    <n v="0"/>
    <n v="0"/>
    <n v="0"/>
    <n v="0"/>
    <m/>
    <m/>
    <m/>
    <m/>
    <m/>
    <m/>
    <m/>
    <m/>
    <m/>
    <m/>
    <m/>
    <m/>
    <m/>
    <m/>
    <m/>
    <m/>
    <m/>
    <m/>
    <m/>
    <m/>
    <m/>
    <n v="111.20000000000002"/>
    <n v="0"/>
    <n v="0"/>
    <n v="0"/>
    <n v="0"/>
    <n v="2191.9587500000002"/>
    <n v="322.34687500000001"/>
    <n v="644.69375000000002"/>
    <n v="111.20000000000002"/>
    <n v="222.40000000000003"/>
    <n v="154.72650000000002"/>
    <n v="49585.499999999993"/>
    <n v="15798.000000000002"/>
    <n v="0"/>
    <n v="0"/>
    <n v="1328.22"/>
    <n v="29339.257582489663"/>
    <n v="286.35000000000002"/>
    <n v="0"/>
    <n v="0"/>
    <n v="0"/>
    <n v="0"/>
    <n v="0"/>
    <n v="0"/>
    <n v="0"/>
    <n v="0"/>
    <n v="0"/>
    <n v="0"/>
    <n v="0"/>
    <n v="0"/>
    <n v="0"/>
    <n v="0"/>
    <n v="0"/>
    <n v="0"/>
    <n v="0"/>
    <n v="0"/>
    <n v="0"/>
    <n v="0"/>
    <n v="0"/>
    <n v="0"/>
    <n v="0"/>
    <n v="0"/>
    <n v="0"/>
    <n v="0"/>
    <n v="0"/>
    <n v="0"/>
    <n v="0"/>
    <n v="0"/>
    <n v="0"/>
    <n v="0"/>
    <n v="0"/>
    <n v="0"/>
    <n v="0"/>
    <n v="0"/>
    <n v="0"/>
    <n v="0"/>
    <n v="0"/>
    <n v="0"/>
    <n v="100095.85345748966"/>
    <n v="106101.60466493905"/>
    <s v=" "/>
    <s v=" "/>
    <s v=" "/>
    <s v=" "/>
    <s v=" "/>
    <s v=" "/>
    <s v=" "/>
    <s v=" "/>
    <s v=" "/>
    <s v=" "/>
    <s v=" "/>
    <s v=" "/>
    <s v=" "/>
    <s v=" "/>
    <x v="37"/>
    <x v="0"/>
    <x v="0"/>
    <x v="0"/>
    <x v="0"/>
    <x v="70"/>
    <x v="6"/>
    <x v="14"/>
    <x v="38"/>
    <x v="39"/>
    <x v="1"/>
    <x v="5"/>
    <x v="54"/>
    <x v="15"/>
    <x v="0"/>
    <x v="0"/>
    <x v="17"/>
    <x v="13"/>
    <x v="0"/>
    <x v="13"/>
    <x v="0"/>
    <x v="17"/>
    <x v="0"/>
    <x v="0"/>
    <x v="0"/>
    <x v="0"/>
    <x v="0"/>
    <x v="0"/>
    <x v="42"/>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x v="9"/>
    <x v="9"/>
    <x v="3"/>
    <x v="92"/>
    <x v="5"/>
    <n v="30.004772316"/>
    <n v="-25.827668378999999"/>
    <s v="30° 00' 17.18&quot;E "/>
    <s v="25° 49' 39.60&quot; S"/>
    <s v="Complete"/>
    <s v="Yes"/>
    <s v="Yes"/>
    <d v="2017-02-06T00:00:00"/>
    <s v="YES"/>
    <m/>
    <s v="NBC-GTW-CL-0040"/>
    <s v="Yes"/>
    <s v="00"/>
    <d v="2018-06-16T00:00:00"/>
    <s v="Phase 1"/>
    <s v="Year 1"/>
    <n v="22.240000000000002"/>
    <n v="0"/>
    <n v="0"/>
    <n v="0"/>
    <n v="0"/>
    <n v="25.787750000000003"/>
    <n v="2.5787750000000003"/>
    <n v="1.2893875000000001"/>
    <n v="22.240000000000002"/>
    <n v="22.240000000000002"/>
    <n v="0"/>
    <n v="25.787750000000003"/>
    <n v="24.792749999999998"/>
    <n v="52.660000000000004"/>
    <n v="0"/>
    <n v="0"/>
    <s v="Ref 888"/>
    <n v="23.832599999999999"/>
    <s v="Ref 655"/>
    <n v="42.578400000000002"/>
    <n v="0"/>
    <n v="40.887319357676404"/>
    <n v="0"/>
    <n v="4.25"/>
    <n v="0"/>
    <m/>
    <n v="0"/>
    <m/>
    <n v="0"/>
    <n v="0"/>
    <n v="9.5449999999999999"/>
    <n v="0"/>
    <n v="0"/>
    <n v="0"/>
    <n v="0"/>
    <n v="0"/>
    <n v="0"/>
    <n v="0"/>
    <n v="0"/>
    <n v="0"/>
    <n v="0"/>
    <n v="0"/>
    <n v="0"/>
    <n v="0"/>
    <n v="0"/>
    <n v="0"/>
    <n v="0"/>
    <n v="0"/>
    <n v="0"/>
    <n v="0"/>
    <n v="0"/>
    <n v="0"/>
    <n v="0"/>
    <n v="0"/>
    <n v="0"/>
    <n v="0"/>
    <n v="0"/>
    <n v="0"/>
    <n v="0"/>
    <n v="0"/>
    <m/>
    <m/>
    <m/>
    <m/>
    <m/>
    <m/>
    <m/>
    <m/>
    <m/>
    <m/>
    <m/>
    <m/>
    <m/>
    <m/>
    <m/>
    <m/>
    <m/>
    <m/>
    <m/>
    <m/>
    <m/>
    <m/>
    <m/>
    <m/>
    <m/>
    <m/>
    <m/>
    <m/>
    <m/>
    <m/>
    <m/>
    <m/>
    <m/>
    <m/>
    <m/>
    <n v="111.20000000000002"/>
    <n v="0"/>
    <n v="0"/>
    <n v="0"/>
    <n v="0"/>
    <n v="2191.9587500000002"/>
    <n v="322.34687500000001"/>
    <n v="644.69375000000002"/>
    <n v="111.20000000000002"/>
    <n v="222.40000000000003"/>
    <n v="154.72650000000002"/>
    <n v="49585.499999999993"/>
    <n v="15798.000000000002"/>
    <n v="0"/>
    <n v="0"/>
    <n v="1328.22"/>
    <n v="29339.257582489663"/>
    <n v="286.35000000000002"/>
    <n v="0"/>
    <n v="0"/>
    <n v="0"/>
    <n v="0"/>
    <n v="0"/>
    <n v="0"/>
    <n v="0"/>
    <n v="0"/>
    <n v="0"/>
    <n v="0"/>
    <n v="0"/>
    <n v="0"/>
    <n v="0"/>
    <n v="0"/>
    <n v="0"/>
    <n v="0"/>
    <n v="0"/>
    <n v="0"/>
    <n v="0"/>
    <n v="0"/>
    <n v="0"/>
    <n v="0"/>
    <n v="0"/>
    <n v="0"/>
    <n v="0"/>
    <n v="0"/>
    <n v="0"/>
    <n v="0"/>
    <n v="0"/>
    <n v="0"/>
    <n v="0"/>
    <n v="0"/>
    <n v="0"/>
    <n v="0"/>
    <n v="0"/>
    <n v="0"/>
    <n v="0"/>
    <n v="0"/>
    <n v="0"/>
    <n v="0"/>
    <n v="100095.85345748966"/>
    <n v="106101.60466493905"/>
    <s v=" "/>
    <s v=" "/>
    <s v=" "/>
    <s v=" "/>
    <s v=" "/>
    <s v=" "/>
    <s v=" "/>
    <s v=" "/>
    <s v=" "/>
    <s v=" "/>
    <s v=" "/>
    <s v=" "/>
    <s v=" "/>
    <s v=" "/>
    <x v="38"/>
    <x v="0"/>
    <x v="0"/>
    <x v="0"/>
    <x v="0"/>
    <x v="71"/>
    <x v="7"/>
    <x v="15"/>
    <x v="39"/>
    <x v="40"/>
    <x v="1"/>
    <x v="6"/>
    <x v="55"/>
    <x v="16"/>
    <x v="0"/>
    <x v="0"/>
    <x v="18"/>
    <x v="14"/>
    <x v="0"/>
    <x v="14"/>
    <x v="0"/>
    <x v="18"/>
    <x v="0"/>
    <x v="0"/>
    <x v="0"/>
    <x v="0"/>
    <x v="0"/>
    <x v="0"/>
    <x v="43"/>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x v="9"/>
    <x v="13"/>
    <x v="3"/>
    <x v="93"/>
    <x v="5"/>
    <n v="30.003629429"/>
    <n v="-25.827472712999999"/>
    <s v="30° 00' 13.06&quot;E "/>
    <s v="25° 49' 38.90&quot; S"/>
    <s v="Complete"/>
    <s v="Yes"/>
    <s v="Yes"/>
    <d v="2017-02-06T00:00:00"/>
    <s v="YES"/>
    <m/>
    <s v="NBC-GTW-CL-0041"/>
    <s v="Yes"/>
    <s v="00"/>
    <d v="2018-06-16T00:00:00"/>
    <s v="Phase 1"/>
    <s v="Year 1"/>
    <m/>
    <m/>
    <m/>
    <m/>
    <m/>
    <n v="7.9799999999999986"/>
    <m/>
    <m/>
    <m/>
    <m/>
    <m/>
    <m/>
    <n v="7.9799999999999986"/>
    <m/>
    <m/>
    <m/>
    <m/>
    <m/>
    <m/>
    <m/>
    <m/>
    <m/>
    <m/>
    <m/>
    <m/>
    <m/>
    <m/>
    <m/>
    <m/>
    <m/>
    <m/>
    <m/>
    <m/>
    <m/>
    <m/>
    <m/>
    <m/>
    <m/>
    <m/>
    <m/>
    <m/>
    <m/>
    <m/>
    <m/>
    <m/>
    <m/>
    <m/>
    <m/>
    <m/>
    <m/>
    <m/>
    <m/>
    <m/>
    <m/>
    <m/>
    <m/>
    <m/>
    <m/>
    <m/>
    <m/>
    <m/>
    <m/>
    <m/>
    <m/>
    <m/>
    <m/>
    <m/>
    <m/>
    <m/>
    <m/>
    <m/>
    <m/>
    <m/>
    <m/>
    <m/>
    <m/>
    <m/>
    <m/>
    <m/>
    <m/>
    <m/>
    <m/>
    <m/>
    <m/>
    <m/>
    <m/>
    <m/>
    <m/>
    <m/>
    <m/>
    <m/>
    <m/>
    <m/>
    <m/>
    <m/>
    <n v="0"/>
    <n v="0"/>
    <n v="0"/>
    <n v="0"/>
    <n v="0"/>
    <n v="678.29999999999984"/>
    <n v="0"/>
    <n v="0"/>
    <n v="0"/>
    <n v="0"/>
    <n v="0"/>
    <n v="15959.999999999998"/>
    <n v="0"/>
    <n v="0"/>
    <n v="0"/>
    <n v="0"/>
    <n v="0"/>
    <n v="0"/>
    <n v="0"/>
    <n v="0"/>
    <n v="0"/>
    <n v="0"/>
    <n v="0"/>
    <n v="0"/>
    <n v="0"/>
    <n v="0"/>
    <n v="0"/>
    <n v="0"/>
    <n v="0"/>
    <n v="0"/>
    <n v="0"/>
    <n v="0"/>
    <n v="0"/>
    <n v="0"/>
    <n v="0"/>
    <n v="0"/>
    <n v="0"/>
    <n v="0"/>
    <n v="0"/>
    <n v="0"/>
    <n v="0"/>
    <n v="0"/>
    <n v="0"/>
    <n v="0"/>
    <n v="0"/>
    <n v="0"/>
    <n v="0"/>
    <n v="0"/>
    <n v="0"/>
    <n v="0"/>
    <n v="0"/>
    <n v="0"/>
    <n v="0"/>
    <n v="0"/>
    <n v="0"/>
    <n v="0"/>
    <n v="0"/>
    <n v="0"/>
    <n v="16638.3"/>
    <n v="17636.598000000002"/>
    <s v=" "/>
    <s v=" "/>
    <s v=" "/>
    <s v=" "/>
    <s v=" "/>
    <s v=" "/>
    <s v=" "/>
    <s v=" "/>
    <s v=" "/>
    <s v=" "/>
    <s v=" "/>
    <s v=" "/>
    <s v=" "/>
    <s v=" "/>
    <x v="0"/>
    <x v="0"/>
    <x v="0"/>
    <x v="0"/>
    <x v="0"/>
    <x v="72"/>
    <x v="0"/>
    <x v="0"/>
    <x v="0"/>
    <x v="4"/>
    <x v="1"/>
    <x v="1"/>
    <x v="56"/>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x v="9"/>
    <x v="13"/>
    <x v="3"/>
    <x v="94"/>
    <x v="5"/>
    <n v="30.003219906000002"/>
    <n v="-25.827183586"/>
    <s v="30° 00' 11.59&quot;E "/>
    <s v="25° 49' 37.86&quot; S"/>
    <s v="Complete"/>
    <s v="Yes"/>
    <s v="Yes"/>
    <d v="2017-02-06T00:00:00"/>
    <s v="YES"/>
    <m/>
    <s v="NBC-GTW-CL-0042"/>
    <s v="Yes"/>
    <s v="00"/>
    <d v="2018-06-16T00:00:00"/>
    <s v="Phase 1"/>
    <s v="Year 1"/>
    <m/>
    <m/>
    <m/>
    <m/>
    <m/>
    <n v="7.9799999999999986"/>
    <m/>
    <m/>
    <m/>
    <m/>
    <m/>
    <m/>
    <n v="7.9799999999999986"/>
    <m/>
    <m/>
    <m/>
    <m/>
    <m/>
    <m/>
    <m/>
    <m/>
    <m/>
    <m/>
    <m/>
    <m/>
    <m/>
    <m/>
    <m/>
    <m/>
    <m/>
    <m/>
    <m/>
    <m/>
    <m/>
    <m/>
    <m/>
    <m/>
    <m/>
    <m/>
    <m/>
    <m/>
    <m/>
    <m/>
    <m/>
    <m/>
    <m/>
    <m/>
    <m/>
    <m/>
    <m/>
    <m/>
    <m/>
    <m/>
    <m/>
    <m/>
    <m/>
    <m/>
    <m/>
    <m/>
    <m/>
    <m/>
    <m/>
    <m/>
    <m/>
    <m/>
    <m/>
    <m/>
    <m/>
    <m/>
    <m/>
    <m/>
    <m/>
    <m/>
    <m/>
    <m/>
    <m/>
    <m/>
    <m/>
    <m/>
    <m/>
    <m/>
    <m/>
    <m/>
    <m/>
    <m/>
    <m/>
    <m/>
    <m/>
    <m/>
    <m/>
    <m/>
    <m/>
    <m/>
    <m/>
    <m/>
    <n v="0"/>
    <n v="0"/>
    <n v="0"/>
    <n v="0"/>
    <n v="0"/>
    <n v="678.29999999999984"/>
    <n v="0"/>
    <n v="0"/>
    <n v="0"/>
    <n v="0"/>
    <n v="0"/>
    <n v="15959.999999999998"/>
    <n v="0"/>
    <n v="0"/>
    <n v="0"/>
    <n v="0"/>
    <n v="0"/>
    <n v="0"/>
    <n v="0"/>
    <n v="0"/>
    <n v="0"/>
    <n v="0"/>
    <n v="0"/>
    <n v="0"/>
    <n v="0"/>
    <n v="0"/>
    <n v="0"/>
    <n v="0"/>
    <n v="0"/>
    <n v="0"/>
    <n v="0"/>
    <n v="0"/>
    <n v="0"/>
    <n v="0"/>
    <n v="0"/>
    <n v="0"/>
    <n v="0"/>
    <n v="0"/>
    <n v="0"/>
    <n v="0"/>
    <n v="0"/>
    <n v="0"/>
    <n v="0"/>
    <n v="0"/>
    <n v="0"/>
    <n v="0"/>
    <n v="0"/>
    <n v="0"/>
    <n v="0"/>
    <n v="0"/>
    <n v="0"/>
    <n v="0"/>
    <n v="0"/>
    <n v="0"/>
    <n v="0"/>
    <n v="0"/>
    <n v="0"/>
    <n v="0"/>
    <n v="16638.3"/>
    <n v="17636.598000000002"/>
    <s v=" "/>
    <s v=" "/>
    <s v=" "/>
    <s v=" "/>
    <s v=" "/>
    <s v=" "/>
    <s v=" "/>
    <s v=" "/>
    <s v=" "/>
    <s v=" "/>
    <s v=" "/>
    <s v=" "/>
    <s v=" "/>
    <s v=" "/>
    <x v="0"/>
    <x v="0"/>
    <x v="0"/>
    <x v="0"/>
    <x v="0"/>
    <x v="73"/>
    <x v="0"/>
    <x v="0"/>
    <x v="0"/>
    <x v="4"/>
    <x v="1"/>
    <x v="1"/>
    <x v="57"/>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x v="9"/>
    <x v="13"/>
    <x v="3"/>
    <x v="95"/>
    <x v="5"/>
    <n v="30.002610442000002"/>
    <n v="-25.826997409000001"/>
    <s v="30° 00' 09.39&quot;E "/>
    <s v="25° 49' 37.19&quot; S"/>
    <s v="Complete"/>
    <s v="Yes"/>
    <s v="Yes"/>
    <d v="2017-02-06T00:00:00"/>
    <s v="YES"/>
    <m/>
    <s v="NBC-GTW-CL-0043"/>
    <s v="Yes"/>
    <s v="00"/>
    <d v="2018-06-16T00:00:00"/>
    <s v="Phase 1"/>
    <s v="Year 1"/>
    <m/>
    <m/>
    <m/>
    <m/>
    <m/>
    <n v="7.9799999999999986"/>
    <m/>
    <m/>
    <m/>
    <m/>
    <m/>
    <m/>
    <n v="7.9799999999999986"/>
    <m/>
    <m/>
    <m/>
    <m/>
    <m/>
    <m/>
    <m/>
    <m/>
    <m/>
    <m/>
    <m/>
    <m/>
    <m/>
    <m/>
    <m/>
    <m/>
    <m/>
    <m/>
    <m/>
    <m/>
    <m/>
    <m/>
    <m/>
    <m/>
    <m/>
    <m/>
    <m/>
    <m/>
    <m/>
    <m/>
    <m/>
    <m/>
    <m/>
    <m/>
    <m/>
    <m/>
    <m/>
    <m/>
    <m/>
    <m/>
    <m/>
    <m/>
    <m/>
    <m/>
    <m/>
    <m/>
    <m/>
    <m/>
    <m/>
    <m/>
    <m/>
    <m/>
    <m/>
    <m/>
    <m/>
    <m/>
    <m/>
    <m/>
    <m/>
    <m/>
    <m/>
    <m/>
    <m/>
    <m/>
    <m/>
    <m/>
    <m/>
    <m/>
    <m/>
    <m/>
    <m/>
    <m/>
    <m/>
    <m/>
    <m/>
    <m/>
    <m/>
    <m/>
    <m/>
    <m/>
    <m/>
    <m/>
    <n v="0"/>
    <n v="0"/>
    <n v="0"/>
    <n v="0"/>
    <n v="0"/>
    <n v="678.29999999999984"/>
    <n v="0"/>
    <n v="0"/>
    <n v="0"/>
    <n v="0"/>
    <n v="0"/>
    <n v="15959.999999999998"/>
    <n v="0"/>
    <n v="0"/>
    <n v="0"/>
    <n v="0"/>
    <n v="0"/>
    <n v="0"/>
    <n v="0"/>
    <n v="0"/>
    <n v="0"/>
    <n v="0"/>
    <n v="0"/>
    <n v="0"/>
    <n v="0"/>
    <n v="0"/>
    <n v="0"/>
    <n v="0"/>
    <n v="0"/>
    <n v="0"/>
    <n v="0"/>
    <n v="0"/>
    <n v="0"/>
    <n v="0"/>
    <n v="0"/>
    <n v="0"/>
    <n v="0"/>
    <n v="0"/>
    <n v="0"/>
    <n v="0"/>
    <n v="0"/>
    <n v="0"/>
    <n v="0"/>
    <n v="0"/>
    <n v="0"/>
    <n v="0"/>
    <n v="0"/>
    <n v="0"/>
    <n v="0"/>
    <n v="0"/>
    <n v="0"/>
    <n v="0"/>
    <n v="0"/>
    <n v="0"/>
    <n v="0"/>
    <n v="0"/>
    <n v="0"/>
    <n v="0"/>
    <n v="16638.3"/>
    <n v="17636.598000000002"/>
    <s v=" "/>
    <s v=" "/>
    <s v=" "/>
    <s v=" "/>
    <s v=" "/>
    <s v=" "/>
    <s v=" "/>
    <s v=" "/>
    <s v=" "/>
    <s v=" "/>
    <s v=" "/>
    <s v=" "/>
    <s v=" "/>
    <s v=" "/>
    <x v="0"/>
    <x v="0"/>
    <x v="0"/>
    <x v="0"/>
    <x v="0"/>
    <x v="74"/>
    <x v="0"/>
    <x v="0"/>
    <x v="0"/>
    <x v="4"/>
    <x v="1"/>
    <x v="1"/>
    <x v="58"/>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x v="9"/>
    <x v="15"/>
    <x v="9"/>
    <x v="96"/>
    <x v="5"/>
    <n v="30.002139047"/>
    <n v="-25.826973612"/>
    <s v="30° 00' 00.08&quot;E "/>
    <s v="25° 49' 00.37&quot; S"/>
    <s v="Complete"/>
    <s v="Yes"/>
    <s v="Yes"/>
    <d v="2017-02-06T00:00:00"/>
    <s v="YES"/>
    <m/>
    <s v="No Drawing"/>
    <s v="Yes"/>
    <s v="00"/>
    <d v="2018-06-16T00:00:00"/>
    <s v="Phase 1"/>
    <s v="Year 1"/>
    <n v="2320.5501703847049"/>
    <m/>
    <m/>
    <m/>
    <m/>
    <m/>
    <m/>
    <m/>
    <n v="2320.5501703847049"/>
    <n v="2320.5501703847049"/>
    <m/>
    <m/>
    <m/>
    <m/>
    <m/>
    <m/>
    <m/>
    <m/>
    <m/>
    <m/>
    <m/>
    <m/>
    <m/>
    <m/>
    <m/>
    <m/>
    <m/>
    <m/>
    <m/>
    <m/>
    <m/>
    <m/>
    <m/>
    <m/>
    <n v="2347.1999999999998"/>
    <m/>
    <m/>
    <m/>
    <m/>
    <m/>
    <m/>
    <m/>
    <m/>
    <m/>
    <m/>
    <m/>
    <m/>
    <m/>
    <m/>
    <m/>
    <m/>
    <m/>
    <m/>
    <m/>
    <m/>
    <m/>
    <m/>
    <m/>
    <m/>
    <m/>
    <m/>
    <m/>
    <m/>
    <m/>
    <m/>
    <m/>
    <m/>
    <m/>
    <m/>
    <m/>
    <m/>
    <m/>
    <m/>
    <m/>
    <m/>
    <m/>
    <m/>
    <m/>
    <m/>
    <m/>
    <m/>
    <m/>
    <m/>
    <m/>
    <m/>
    <m/>
    <m/>
    <m/>
    <m/>
    <m/>
    <m/>
    <m/>
    <m/>
    <m/>
    <m/>
    <n v="11602.750851923523"/>
    <n v="0"/>
    <n v="0"/>
    <n v="0"/>
    <n v="0"/>
    <n v="0"/>
    <n v="0"/>
    <n v="0"/>
    <n v="11602.750851923523"/>
    <n v="23205.501703847047"/>
    <n v="0"/>
    <n v="0"/>
    <n v="0"/>
    <n v="0"/>
    <n v="0"/>
    <n v="0"/>
    <n v="0"/>
    <n v="0"/>
    <n v="0"/>
    <n v="0"/>
    <n v="281664"/>
    <n v="0"/>
    <n v="0"/>
    <n v="0"/>
    <n v="0"/>
    <n v="0"/>
    <n v="0"/>
    <n v="0"/>
    <n v="0"/>
    <n v="0"/>
    <n v="0"/>
    <n v="0"/>
    <n v="0"/>
    <n v="0"/>
    <n v="0"/>
    <n v="0"/>
    <n v="0"/>
    <n v="0"/>
    <n v="0"/>
    <n v="0"/>
    <n v="0"/>
    <n v="0"/>
    <n v="0"/>
    <n v="0"/>
    <n v="0"/>
    <n v="0"/>
    <n v="0"/>
    <n v="0"/>
    <n v="0"/>
    <n v="0"/>
    <n v="0"/>
    <n v="0"/>
    <n v="0"/>
    <n v="0"/>
    <n v="0"/>
    <n v="0"/>
    <n v="0"/>
    <n v="0"/>
    <n v="328075.00340769411"/>
    <n v="347759.50361215579"/>
    <s v=" "/>
    <s v=" "/>
    <s v=" "/>
    <s v=" "/>
    <s v=" "/>
    <s v=" "/>
    <s v=" "/>
    <s v=" "/>
    <s v=" "/>
    <s v=" "/>
    <s v=" "/>
    <s v=" "/>
    <s v=" "/>
    <s v=" "/>
    <x v="39"/>
    <x v="0"/>
    <x v="0"/>
    <x v="0"/>
    <x v="0"/>
    <x v="1"/>
    <x v="0"/>
    <x v="0"/>
    <x v="40"/>
    <x v="41"/>
    <x v="1"/>
    <x v="1"/>
    <x v="0"/>
    <x v="0"/>
    <x v="0"/>
    <x v="0"/>
    <x v="0"/>
    <x v="0"/>
    <x v="0"/>
    <x v="0"/>
    <x v="0"/>
    <x v="0"/>
    <x v="0"/>
    <x v="0"/>
    <x v="0"/>
    <x v="0"/>
    <x v="0"/>
    <x v="0"/>
    <x v="0"/>
    <x v="0"/>
    <x v="0"/>
    <x v="0"/>
    <x v="24"/>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x v="9"/>
    <x v="22"/>
    <x v="7"/>
    <x v="97"/>
    <x v="5"/>
    <n v="30.005597159000001"/>
    <n v="-25.827519839000001"/>
    <s v="30° 00' 20.14&quot;E "/>
    <s v="25° 49' 39.07&quot; S"/>
    <s v="Complete"/>
    <s v="Yes"/>
    <s v="Yes"/>
    <d v="2017-04-28T00:00:00"/>
    <s v="YES "/>
    <s v="NO"/>
    <s v="NBC-GTW-CL-0049"/>
    <s v="Yes"/>
    <s v="00"/>
    <d v="2018-06-16T00:00:00"/>
    <s v="Phase 1"/>
    <s v="Year 1"/>
    <n v="340"/>
    <n v="0"/>
    <n v="0"/>
    <n v="0"/>
    <n v="0"/>
    <n v="191.4"/>
    <n v="0"/>
    <n v="0"/>
    <n v="850"/>
    <n v="85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n v="1700"/>
    <n v="0"/>
    <n v="0"/>
    <n v="0"/>
    <n v="0"/>
    <n v="16269"/>
    <n v="0"/>
    <n v="0"/>
    <n v="4250"/>
    <n v="8500"/>
    <n v="0"/>
    <n v="0"/>
    <n v="0"/>
    <n v="0"/>
    <n v="0"/>
    <n v="0"/>
    <n v="0"/>
    <n v="0"/>
    <n v="0"/>
    <n v="0"/>
    <n v="0"/>
    <n v="0"/>
    <n v="0"/>
    <n v="0"/>
    <n v="0"/>
    <n v="0"/>
    <n v="0"/>
    <n v="0"/>
    <n v="0"/>
    <n v="0"/>
    <n v="0"/>
    <n v="0"/>
    <n v="0"/>
    <n v="0"/>
    <n v="0"/>
    <n v="0"/>
    <n v="0"/>
    <n v="0"/>
    <n v="0"/>
    <n v="0"/>
    <n v="0"/>
    <n v="0"/>
    <n v="0"/>
    <n v="0"/>
    <n v="0"/>
    <n v="0"/>
    <n v="0"/>
    <n v="0"/>
    <n v="0"/>
    <n v="0"/>
    <n v="0"/>
    <n v="0"/>
    <n v="0"/>
    <n v="0"/>
    <n v="0"/>
    <n v="0"/>
    <n v="0"/>
    <n v="0"/>
    <n v="30719"/>
    <n v="32562.140000000003"/>
    <s v=" "/>
    <s v=" "/>
    <s v=" "/>
    <s v=" "/>
    <s v=" "/>
    <s v=" "/>
    <s v=" "/>
    <s v=" "/>
    <s v=" "/>
    <s v=" "/>
    <s v=" "/>
    <s v=" "/>
    <s v=" "/>
    <s v=" "/>
    <x v="40"/>
    <x v="0"/>
    <x v="0"/>
    <x v="0"/>
    <x v="0"/>
    <x v="75"/>
    <x v="0"/>
    <x v="0"/>
    <x v="41"/>
    <x v="42"/>
    <x v="1"/>
    <x v="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x v="9"/>
    <x v="23"/>
    <x v="7"/>
    <x v="98"/>
    <x v="5"/>
    <n v="30.005006688999998"/>
    <n v="-25.827464141"/>
    <s v="30° 00' 18.02&quot;E "/>
    <s v="25° 49' 38.87&quot; S"/>
    <s v="Complete"/>
    <s v="Yes"/>
    <s v="Yes"/>
    <d v="2017-04-28T00:00:00"/>
    <s v="NA"/>
    <s v="NA"/>
    <s v="No Drawing"/>
    <s v="Yes"/>
    <s v="00"/>
    <d v="2018-06-16T00:00:00"/>
    <s v="Phase 1"/>
    <s v="Year 1"/>
    <n v="112.30532212699565"/>
    <n v="0"/>
    <n v="0"/>
    <n v="0"/>
    <n v="0"/>
    <n v="0"/>
    <n v="0"/>
    <n v="0"/>
    <n v="111"/>
    <n v="111"/>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n v="561.52661063497828"/>
    <n v="0"/>
    <n v="0"/>
    <n v="0"/>
    <n v="0"/>
    <n v="0"/>
    <n v="0"/>
    <n v="0"/>
    <n v="555"/>
    <n v="1110"/>
    <n v="0"/>
    <n v="0"/>
    <n v="0"/>
    <n v="0"/>
    <n v="0"/>
    <n v="0"/>
    <n v="0"/>
    <n v="0"/>
    <n v="0"/>
    <n v="0"/>
    <n v="0"/>
    <n v="0"/>
    <n v="0"/>
    <n v="0"/>
    <n v="0"/>
    <n v="0"/>
    <n v="0"/>
    <n v="0"/>
    <n v="0"/>
    <n v="0"/>
    <n v="0"/>
    <n v="0"/>
    <n v="0"/>
    <n v="0"/>
    <n v="0"/>
    <n v="0"/>
    <n v="0"/>
    <n v="0"/>
    <n v="0"/>
    <n v="0"/>
    <n v="0"/>
    <n v="0"/>
    <n v="0"/>
    <n v="0"/>
    <n v="0"/>
    <n v="0"/>
    <n v="0"/>
    <n v="0"/>
    <n v="0"/>
    <n v="0"/>
    <n v="0"/>
    <n v="0"/>
    <n v="0"/>
    <n v="0"/>
    <n v="0"/>
    <n v="0"/>
    <n v="0"/>
    <n v="0"/>
    <n v="2226.5266106349782"/>
    <n v="2360.1182072730771"/>
    <s v=" "/>
    <s v=" "/>
    <s v=" "/>
    <s v=" "/>
    <s v=" "/>
    <s v=" "/>
    <s v=" "/>
    <s v=" "/>
    <s v=" "/>
    <s v=" "/>
    <s v=" "/>
    <s v=" "/>
    <s v=" "/>
    <s v=" "/>
    <x v="41"/>
    <x v="0"/>
    <x v="0"/>
    <x v="0"/>
    <x v="0"/>
    <x v="1"/>
    <x v="0"/>
    <x v="0"/>
    <x v="42"/>
    <x v="43"/>
    <x v="1"/>
    <x v="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x v="9"/>
    <x v="23"/>
    <x v="7"/>
    <x v="99"/>
    <x v="5"/>
    <n v="30.002714326"/>
    <n v="-25.826893125000002"/>
    <s v="30° 00' 09.77&quot;E "/>
    <s v="25° 49' 36.81&quot; S"/>
    <s v="Complete"/>
    <s v="Yes"/>
    <s v="Yes"/>
    <d v="2017-04-28T00:00:00"/>
    <s v="NA"/>
    <s v="NA"/>
    <s v="No Drawing"/>
    <s v="Yes"/>
    <s v="00"/>
    <d v="2018-06-16T00:00:00"/>
    <s v="Phase 1"/>
    <s v="Year 1"/>
    <n v="110.10336213336291"/>
    <n v="0"/>
    <n v="0"/>
    <n v="0"/>
    <n v="0"/>
    <n v="0"/>
    <n v="0"/>
    <n v="0"/>
    <n v="129.19999999999999"/>
    <n v="129.19999999999999"/>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n v="550.51681066681454"/>
    <n v="0"/>
    <n v="0"/>
    <n v="0"/>
    <n v="0"/>
    <n v="0"/>
    <n v="0"/>
    <n v="0"/>
    <n v="646"/>
    <n v="1292"/>
    <n v="0"/>
    <n v="0"/>
    <n v="0"/>
    <n v="0"/>
    <n v="0"/>
    <n v="0"/>
    <n v="0"/>
    <n v="0"/>
    <n v="0"/>
    <n v="0"/>
    <n v="0"/>
    <n v="0"/>
    <n v="0"/>
    <n v="0"/>
    <n v="0"/>
    <n v="0"/>
    <n v="0"/>
    <n v="0"/>
    <n v="0"/>
    <n v="0"/>
    <n v="0"/>
    <n v="0"/>
    <n v="0"/>
    <n v="0"/>
    <n v="0"/>
    <n v="0"/>
    <n v="0"/>
    <n v="0"/>
    <n v="0"/>
    <n v="0"/>
    <n v="0"/>
    <n v="0"/>
    <n v="0"/>
    <n v="0"/>
    <n v="0"/>
    <n v="0"/>
    <n v="0"/>
    <n v="0"/>
    <n v="0"/>
    <n v="0"/>
    <n v="0"/>
    <n v="0"/>
    <n v="0"/>
    <n v="0"/>
    <n v="0"/>
    <n v="0"/>
    <n v="0"/>
    <n v="0"/>
    <n v="2488.5168106668143"/>
    <n v="2637.8278193068231"/>
    <s v=" "/>
    <s v=" "/>
    <s v=" "/>
    <s v=" "/>
    <s v=" "/>
    <s v=" "/>
    <s v=" "/>
    <s v=" "/>
    <s v=" "/>
    <s v=" "/>
    <s v=" "/>
    <s v=" "/>
    <s v=" "/>
    <s v=" "/>
    <x v="42"/>
    <x v="0"/>
    <x v="0"/>
    <x v="0"/>
    <x v="0"/>
    <x v="1"/>
    <x v="0"/>
    <x v="0"/>
    <x v="43"/>
    <x v="44"/>
    <x v="1"/>
    <x v="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x v="10"/>
    <x v="14"/>
    <x v="0"/>
    <x v="100"/>
    <x v="7"/>
    <n v="29.940713611"/>
    <n v="-25.809147778"/>
    <s v="29° 56' 26.56&quot;E "/>
    <s v="25° 48' 32.93&quot; S"/>
    <s v="Complete"/>
    <s v="Yes"/>
    <s v="Yes"/>
    <d v="2017-05-30T00:00:00"/>
    <s v="NA"/>
    <s v="NA"/>
    <s v="No Drawing"/>
    <s v="Yes"/>
    <s v="00"/>
    <d v="2018-06-16T00:00:00"/>
    <s v="Phase 2"/>
    <s v="Year 3"/>
    <n v="148.53277807866851"/>
    <n v="43.75"/>
    <n v="0"/>
    <n v="0"/>
    <n v="0"/>
    <n v="0"/>
    <n v="0"/>
    <n v="0"/>
    <n v="148.53277807866851"/>
    <n v="148.53277807866851"/>
    <n v="21.875"/>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n v="742.66389039334263"/>
    <n v="2187.5"/>
    <n v="0"/>
    <n v="0"/>
    <n v="0"/>
    <n v="0"/>
    <n v="0"/>
    <n v="0"/>
    <n v="742.66389039334263"/>
    <n v="1485.3277807866853"/>
    <n v="0"/>
    <n v="0"/>
    <n v="0"/>
    <n v="0"/>
    <n v="0"/>
    <n v="0"/>
    <n v="0"/>
    <n v="0"/>
    <n v="0"/>
    <n v="0"/>
    <n v="0"/>
    <n v="0"/>
    <n v="0"/>
    <n v="0"/>
    <n v="0"/>
    <n v="0"/>
    <n v="0"/>
    <n v="0"/>
    <n v="0"/>
    <n v="0"/>
    <n v="0"/>
    <n v="0"/>
    <n v="0"/>
    <n v="0"/>
    <n v="0"/>
    <n v="0"/>
    <n v="0"/>
    <n v="0"/>
    <n v="0"/>
    <n v="0"/>
    <n v="0"/>
    <n v="0"/>
    <n v="0"/>
    <n v="0"/>
    <n v="0"/>
    <n v="0"/>
    <n v="0"/>
    <n v="0"/>
    <n v="0"/>
    <n v="0"/>
    <n v="0"/>
    <n v="0"/>
    <n v="0"/>
    <n v="0"/>
    <n v="0"/>
    <n v="0"/>
    <n v="0"/>
    <n v="0"/>
    <n v="5158.1555615733705"/>
    <s v=" "/>
    <s v=" "/>
    <n v="6143.4458043228706"/>
    <s v=" "/>
    <s v=" "/>
    <s v=" "/>
    <s v=" "/>
    <s v=" "/>
    <s v=" "/>
    <s v=" "/>
    <s v=" "/>
    <s v=" "/>
    <s v=" "/>
    <s v=" "/>
    <s v=" "/>
    <x v="43"/>
    <x v="13"/>
    <x v="0"/>
    <x v="0"/>
    <x v="0"/>
    <x v="1"/>
    <x v="0"/>
    <x v="0"/>
    <x v="44"/>
    <x v="45"/>
    <x v="3"/>
    <x v="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x v="11"/>
    <x v="11"/>
    <x v="0"/>
    <x v="101"/>
    <x v="7"/>
    <n v="29.942104722"/>
    <n v="-25.818853611000002"/>
    <s v="29° 56' 31.57&quot;E "/>
    <s v="25° 49' 07.87&quot; S"/>
    <s v="Complete"/>
    <s v="Yes"/>
    <s v="Yes"/>
    <d v="2017-05-31T00:00:00"/>
    <s v="NA"/>
    <s v="NA"/>
    <s v="No Drawing"/>
    <s v="Yes"/>
    <s v="00"/>
    <d v="2018-06-16T00:00:00"/>
    <s v="Phase 2"/>
    <s v="Year 3"/>
    <n v="2917.7039345374437"/>
    <n v="1696.4739999999999"/>
    <n v="0"/>
    <n v="0"/>
    <n v="0"/>
    <n v="0"/>
    <n v="0"/>
    <n v="0"/>
    <n v="2917.7039345374437"/>
    <n v="2917.7039345374437"/>
    <n v="848.23699999999997"/>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n v="14588.519672687218"/>
    <n v="84823.7"/>
    <n v="0"/>
    <n v="0"/>
    <n v="0"/>
    <n v="0"/>
    <n v="0"/>
    <n v="0"/>
    <n v="14588.519672687218"/>
    <n v="29177.039345374436"/>
    <n v="0"/>
    <n v="0"/>
    <n v="0"/>
    <n v="0"/>
    <n v="0"/>
    <n v="0"/>
    <n v="0"/>
    <n v="0"/>
    <n v="0"/>
    <n v="0"/>
    <n v="0"/>
    <n v="0"/>
    <n v="0"/>
    <n v="0"/>
    <n v="0"/>
    <n v="0"/>
    <n v="0"/>
    <n v="0"/>
    <n v="0"/>
    <n v="0"/>
    <n v="0"/>
    <n v="0"/>
    <n v="0"/>
    <n v="0"/>
    <n v="0"/>
    <n v="0"/>
    <n v="0"/>
    <n v="0"/>
    <n v="0"/>
    <n v="0"/>
    <n v="0"/>
    <n v="0"/>
    <n v="0"/>
    <n v="0"/>
    <n v="0"/>
    <n v="0"/>
    <n v="0"/>
    <n v="0"/>
    <n v="0"/>
    <n v="0"/>
    <n v="0"/>
    <n v="0"/>
    <n v="0"/>
    <n v="0"/>
    <n v="0"/>
    <n v="0"/>
    <n v="0"/>
    <n v="0"/>
    <n v="143177.77869074888"/>
    <s v=" "/>
    <s v=" "/>
    <n v="170527.02526514095"/>
    <s v=" "/>
    <s v=" "/>
    <s v=" "/>
    <s v=" "/>
    <s v=" "/>
    <s v=" "/>
    <s v=" "/>
    <s v=" "/>
    <s v=" "/>
    <s v=" "/>
    <s v=" "/>
    <s v=" "/>
    <x v="44"/>
    <x v="14"/>
    <x v="0"/>
    <x v="0"/>
    <x v="0"/>
    <x v="1"/>
    <x v="0"/>
    <x v="0"/>
    <x v="45"/>
    <x v="46"/>
    <x v="4"/>
    <x v="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x v="11"/>
    <x v="14"/>
    <x v="0"/>
    <x v="102"/>
    <x v="7"/>
    <n v="29.943088611"/>
    <n v="-25.818615277999999"/>
    <s v="29° 56' 35.11&quot;E "/>
    <s v="25° 49' 07.01&quot; S"/>
    <s v="Complete"/>
    <s v="Yes"/>
    <s v="Yes"/>
    <d v="2017-05-31T00:00:00"/>
    <s v="NA"/>
    <s v="NA"/>
    <s v="No Drawing"/>
    <s v="Yes"/>
    <s v="00"/>
    <d v="2018-06-16T00:00:00"/>
    <s v="Phase 2"/>
    <s v="Year 3"/>
    <n v="133.15811403466702"/>
    <n v="27.169999999999998"/>
    <n v="0"/>
    <n v="0"/>
    <n v="0"/>
    <n v="0"/>
    <n v="0"/>
    <n v="0"/>
    <n v="76"/>
    <n v="76"/>
    <n v="13.584999999999999"/>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n v="665.79057017333514"/>
    <n v="1358.5"/>
    <n v="0"/>
    <n v="0"/>
    <n v="0"/>
    <n v="0"/>
    <n v="0"/>
    <n v="0"/>
    <n v="380"/>
    <n v="760"/>
    <n v="0"/>
    <n v="0"/>
    <n v="0"/>
    <n v="0"/>
    <n v="0"/>
    <n v="0"/>
    <n v="0"/>
    <n v="0"/>
    <n v="0"/>
    <n v="0"/>
    <n v="0"/>
    <n v="0"/>
    <n v="0"/>
    <n v="0"/>
    <n v="0"/>
    <n v="0"/>
    <n v="0"/>
    <n v="0"/>
    <n v="0"/>
    <n v="0"/>
    <n v="0"/>
    <n v="0"/>
    <n v="0"/>
    <n v="0"/>
    <n v="0"/>
    <n v="0"/>
    <n v="0"/>
    <n v="0"/>
    <n v="0"/>
    <n v="0"/>
    <n v="0"/>
    <n v="0"/>
    <n v="0"/>
    <n v="0"/>
    <n v="0"/>
    <n v="0"/>
    <n v="0"/>
    <n v="0"/>
    <n v="0"/>
    <n v="0"/>
    <n v="0"/>
    <n v="0"/>
    <n v="0"/>
    <n v="0"/>
    <n v="0"/>
    <n v="0"/>
    <n v="0"/>
    <n v="0"/>
    <n v="3164.2905701733353"/>
    <s v=" "/>
    <s v=" "/>
    <n v="3768.7206977255655"/>
    <s v=" "/>
    <s v=" "/>
    <s v=" "/>
    <s v=" "/>
    <s v=" "/>
    <s v=" "/>
    <s v=" "/>
    <s v=" "/>
    <s v=" "/>
    <s v=" "/>
    <s v=" "/>
    <s v=" "/>
    <x v="45"/>
    <x v="15"/>
    <x v="0"/>
    <x v="0"/>
    <x v="0"/>
    <x v="1"/>
    <x v="0"/>
    <x v="0"/>
    <x v="46"/>
    <x v="47"/>
    <x v="5"/>
    <x v="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x v="12"/>
    <x v="24"/>
    <x v="15"/>
    <x v="103"/>
    <x v="8"/>
    <n v="29.949038055999999"/>
    <n v="-25.830849722"/>
    <s v="29° 56' 56.53&quot;E "/>
    <s v="25° 49' 51.05&quot; S"/>
    <s v="Complete"/>
    <s v="Yes"/>
    <s v="Yes"/>
    <d v="2017-02-08T00:00:00"/>
    <s v="YES "/>
    <m/>
    <s v="NBC-GTW-CL-0046"/>
    <s v="Yes"/>
    <s v="00"/>
    <d v="2018-06-16T00:00:00"/>
    <s v="Phase 2"/>
    <s v="Year 3"/>
    <n v="0"/>
    <n v="0"/>
    <n v="0"/>
    <n v="0"/>
    <n v="0"/>
    <n v="5.0399999999999991"/>
    <n v="0"/>
    <n v="0"/>
    <n v="0"/>
    <n v="0"/>
    <n v="0"/>
    <n v="0"/>
    <n v="5.0399999999999991"/>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m/>
    <m/>
    <m/>
    <m/>
    <m/>
    <m/>
    <m/>
    <m/>
    <m/>
    <m/>
    <m/>
    <m/>
    <n v="0"/>
    <n v="0"/>
    <n v="0"/>
    <n v="0"/>
    <n v="0"/>
    <n v="428.39999999999992"/>
    <n v="0"/>
    <n v="0"/>
    <n v="0"/>
    <n v="0"/>
    <n v="0"/>
    <n v="10079.999999999998"/>
    <n v="0"/>
    <n v="0"/>
    <n v="0"/>
    <n v="0"/>
    <n v="0"/>
    <n v="0"/>
    <n v="0"/>
    <n v="0"/>
    <n v="0"/>
    <n v="0"/>
    <n v="0"/>
    <n v="0"/>
    <n v="0"/>
    <n v="0"/>
    <n v="0"/>
    <n v="0"/>
    <n v="0"/>
    <n v="0"/>
    <n v="0"/>
    <n v="0"/>
    <n v="0"/>
    <n v="0"/>
    <n v="0"/>
    <n v="0"/>
    <n v="0"/>
    <n v="0"/>
    <n v="0"/>
    <n v="0"/>
    <n v="0"/>
    <n v="0"/>
    <n v="0"/>
    <n v="0"/>
    <n v="0"/>
    <n v="0"/>
    <n v="0"/>
    <n v="0"/>
    <n v="0"/>
    <n v="0"/>
    <n v="0"/>
    <n v="0"/>
    <n v="0"/>
    <n v="0"/>
    <n v="0"/>
    <n v="0"/>
    <n v="0"/>
    <n v="0"/>
    <n v="10508.399999999998"/>
    <s v=" "/>
    <s v=" "/>
    <n v="12515.672534399999"/>
    <s v=" "/>
    <s v=" "/>
    <s v=" "/>
    <s v=" "/>
    <s v=" "/>
    <s v=" "/>
    <s v=" "/>
    <s v=" "/>
    <s v=" "/>
    <s v=" "/>
    <s v=" "/>
    <s v=" "/>
    <x v="0"/>
    <x v="0"/>
    <x v="0"/>
    <x v="0"/>
    <x v="0"/>
    <x v="76"/>
    <x v="0"/>
    <x v="0"/>
    <x v="0"/>
    <x v="4"/>
    <x v="1"/>
    <x v="1"/>
    <x v="59"/>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x v="12"/>
    <x v="24"/>
    <x v="15"/>
    <x v="104"/>
    <x v="8"/>
    <n v="29.949395555999999"/>
    <n v="-25.830631110999999"/>
    <s v="29° 56' 57.82&quot;E "/>
    <s v="25° 49' 50.27&quot; S"/>
    <s v="Complete"/>
    <s v="Yes"/>
    <s v="Yes"/>
    <d v="2017-02-08T00:00:00"/>
    <s v="YES "/>
    <m/>
    <s v="NBC-GTW-CL-0046"/>
    <s v="Yes"/>
    <s v="00"/>
    <d v="2018-06-16T00:00:00"/>
    <s v="Phase 2"/>
    <s v="Year 3"/>
    <n v="0"/>
    <n v="0"/>
    <n v="0"/>
    <n v="0"/>
    <n v="0"/>
    <n v="4.8"/>
    <n v="0"/>
    <n v="0"/>
    <n v="0"/>
    <n v="0"/>
    <n v="0"/>
    <n v="0"/>
    <n v="4.8"/>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m/>
    <m/>
    <m/>
    <m/>
    <m/>
    <m/>
    <m/>
    <m/>
    <m/>
    <m/>
    <m/>
    <m/>
    <n v="0"/>
    <n v="0"/>
    <n v="0"/>
    <n v="0"/>
    <n v="0"/>
    <n v="408"/>
    <n v="0"/>
    <n v="0"/>
    <n v="0"/>
    <n v="0"/>
    <n v="0"/>
    <n v="9600"/>
    <n v="0"/>
    <n v="0"/>
    <n v="0"/>
    <n v="0"/>
    <n v="0"/>
    <n v="0"/>
    <n v="0"/>
    <n v="0"/>
    <n v="0"/>
    <n v="0"/>
    <n v="0"/>
    <n v="0"/>
    <n v="0"/>
    <n v="0"/>
    <n v="0"/>
    <n v="0"/>
    <n v="0"/>
    <n v="0"/>
    <n v="0"/>
    <n v="0"/>
    <n v="0"/>
    <n v="0"/>
    <n v="0"/>
    <n v="0"/>
    <n v="0"/>
    <n v="0"/>
    <n v="0"/>
    <n v="0"/>
    <n v="0"/>
    <n v="0"/>
    <n v="0"/>
    <n v="0"/>
    <n v="0"/>
    <n v="0"/>
    <n v="0"/>
    <n v="0"/>
    <n v="0"/>
    <n v="0"/>
    <n v="0"/>
    <n v="0"/>
    <n v="0"/>
    <n v="0"/>
    <n v="0"/>
    <n v="0"/>
    <n v="0"/>
    <n v="0"/>
    <n v="10008"/>
    <s v=" "/>
    <s v=" "/>
    <n v="11919.688128000003"/>
    <s v=" "/>
    <s v=" "/>
    <s v=" "/>
    <s v=" "/>
    <s v=" "/>
    <s v=" "/>
    <s v=" "/>
    <s v=" "/>
    <s v=" "/>
    <s v=" "/>
    <s v=" "/>
    <s v=" "/>
    <x v="0"/>
    <x v="0"/>
    <x v="0"/>
    <x v="0"/>
    <x v="0"/>
    <x v="77"/>
    <x v="0"/>
    <x v="0"/>
    <x v="0"/>
    <x v="4"/>
    <x v="1"/>
    <x v="1"/>
    <x v="6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x v="12"/>
    <x v="24"/>
    <x v="15"/>
    <x v="105"/>
    <x v="8"/>
    <n v="29.949776944"/>
    <n v="-25.830583055999998"/>
    <s v="29° 56' 59.19&quot;E "/>
    <s v="25° 49' 50.09&quot; S"/>
    <s v="Complete"/>
    <s v="Yes"/>
    <s v="Yes"/>
    <d v="2017-02-08T00:00:00"/>
    <s v="YES "/>
    <m/>
    <s v="NBC-GTW-CL-0046"/>
    <s v="Yes"/>
    <s v="00"/>
    <d v="2018-06-16T00:00:00"/>
    <s v="Phase 2"/>
    <s v="Year 3"/>
    <n v="0"/>
    <n v="0"/>
    <n v="0"/>
    <n v="0"/>
    <n v="0"/>
    <n v="2.1"/>
    <n v="0"/>
    <n v="0"/>
    <n v="0"/>
    <n v="0"/>
    <n v="0"/>
    <n v="0"/>
    <n v="2.1"/>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m/>
    <m/>
    <m/>
    <m/>
    <m/>
    <m/>
    <m/>
    <m/>
    <m/>
    <m/>
    <m/>
    <m/>
    <n v="0"/>
    <n v="0"/>
    <n v="0"/>
    <n v="0"/>
    <n v="0"/>
    <n v="178.5"/>
    <n v="0"/>
    <n v="0"/>
    <n v="0"/>
    <n v="0"/>
    <n v="0"/>
    <n v="4200"/>
    <n v="0"/>
    <n v="0"/>
    <n v="0"/>
    <n v="0"/>
    <n v="0"/>
    <n v="0"/>
    <n v="0"/>
    <n v="0"/>
    <n v="0"/>
    <n v="0"/>
    <n v="0"/>
    <n v="0"/>
    <n v="0"/>
    <n v="0"/>
    <n v="0"/>
    <n v="0"/>
    <n v="0"/>
    <n v="0"/>
    <n v="0"/>
    <n v="0"/>
    <n v="0"/>
    <n v="0"/>
    <n v="0"/>
    <n v="0"/>
    <n v="0"/>
    <n v="0"/>
    <n v="0"/>
    <n v="0"/>
    <n v="0"/>
    <n v="0"/>
    <n v="0"/>
    <n v="0"/>
    <n v="0"/>
    <n v="0"/>
    <n v="0"/>
    <n v="0"/>
    <n v="0"/>
    <n v="0"/>
    <n v="0"/>
    <n v="0"/>
    <n v="0"/>
    <n v="0"/>
    <n v="0"/>
    <n v="0"/>
    <n v="0"/>
    <n v="0"/>
    <n v="4378.5"/>
    <s v=" "/>
    <s v=" "/>
    <n v="5214.8635560000002"/>
    <s v=" "/>
    <s v=" "/>
    <s v=" "/>
    <s v=" "/>
    <s v=" "/>
    <s v=" "/>
    <s v=" "/>
    <s v=" "/>
    <s v=" "/>
    <s v=" "/>
    <s v=" "/>
    <s v=" "/>
    <x v="0"/>
    <x v="0"/>
    <x v="0"/>
    <x v="0"/>
    <x v="0"/>
    <x v="78"/>
    <x v="0"/>
    <x v="0"/>
    <x v="0"/>
    <x v="4"/>
    <x v="1"/>
    <x v="1"/>
    <x v="6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x v="12"/>
    <x v="24"/>
    <x v="15"/>
    <x v="106"/>
    <x v="8"/>
    <n v="29.949981111"/>
    <n v="-25.830569444000002"/>
    <s v="29° 56' 59.93&quot;E "/>
    <s v="25° 49' 50.04&quot; S"/>
    <s v="Complete"/>
    <s v="Yes"/>
    <s v="Yes"/>
    <d v="2017-02-08T00:00:00"/>
    <s v="YES "/>
    <m/>
    <s v="NBC-GTW-CL-0046"/>
    <s v="Yes"/>
    <s v="00"/>
    <d v="2018-06-16T00:00:00"/>
    <s v="Phase 2"/>
    <s v="Year 3"/>
    <n v="0"/>
    <n v="0"/>
    <n v="0"/>
    <n v="0"/>
    <n v="0"/>
    <n v="2.4"/>
    <n v="0"/>
    <n v="0"/>
    <n v="0"/>
    <n v="0"/>
    <n v="0"/>
    <n v="0"/>
    <n v="2.4"/>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m/>
    <m/>
    <m/>
    <m/>
    <m/>
    <m/>
    <m/>
    <m/>
    <m/>
    <m/>
    <m/>
    <m/>
    <n v="0"/>
    <n v="0"/>
    <n v="0"/>
    <n v="0"/>
    <n v="0"/>
    <n v="204"/>
    <n v="0"/>
    <n v="0"/>
    <n v="0"/>
    <n v="0"/>
    <n v="0"/>
    <n v="4800"/>
    <n v="0"/>
    <n v="0"/>
    <n v="0"/>
    <n v="0"/>
    <n v="0"/>
    <n v="0"/>
    <n v="0"/>
    <n v="0"/>
    <n v="0"/>
    <n v="0"/>
    <n v="0"/>
    <n v="0"/>
    <n v="0"/>
    <n v="0"/>
    <n v="0"/>
    <n v="0"/>
    <n v="0"/>
    <n v="0"/>
    <n v="0"/>
    <n v="0"/>
    <n v="0"/>
    <n v="0"/>
    <n v="0"/>
    <n v="0"/>
    <n v="0"/>
    <n v="0"/>
    <n v="0"/>
    <n v="0"/>
    <n v="0"/>
    <n v="0"/>
    <n v="0"/>
    <n v="0"/>
    <n v="0"/>
    <n v="0"/>
    <n v="0"/>
    <n v="0"/>
    <n v="0"/>
    <n v="0"/>
    <n v="0"/>
    <n v="0"/>
    <n v="0"/>
    <n v="0"/>
    <n v="0"/>
    <n v="0"/>
    <n v="0"/>
    <n v="0"/>
    <n v="5004"/>
    <s v=" "/>
    <s v=" "/>
    <n v="5959.8440640000017"/>
    <s v=" "/>
    <s v=" "/>
    <s v=" "/>
    <s v=" "/>
    <s v=" "/>
    <s v=" "/>
    <s v=" "/>
    <s v=" "/>
    <s v=" "/>
    <s v=" "/>
    <s v=" "/>
    <s v=" "/>
    <x v="0"/>
    <x v="0"/>
    <x v="0"/>
    <x v="0"/>
    <x v="0"/>
    <x v="79"/>
    <x v="0"/>
    <x v="0"/>
    <x v="0"/>
    <x v="4"/>
    <x v="1"/>
    <x v="1"/>
    <x v="62"/>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x v="12"/>
    <x v="24"/>
    <x v="15"/>
    <x v="107"/>
    <x v="8"/>
    <n v="29.950567222"/>
    <n v="-25.830575555999999"/>
    <s v="29° 57' 02.04&quot;E "/>
    <s v="25° 49' 50.07&quot; S"/>
    <s v="Complete"/>
    <s v="Yes"/>
    <s v="Yes"/>
    <d v="2017-02-08T00:00:00"/>
    <s v="YES "/>
    <m/>
    <s v="NBC-GTW-CL-0046"/>
    <s v="Yes"/>
    <s v="00"/>
    <d v="2018-06-16T00:00:00"/>
    <s v="Phase 2"/>
    <s v="Year 3"/>
    <n v="0"/>
    <n v="0"/>
    <n v="0"/>
    <n v="0"/>
    <n v="0"/>
    <n v="3.5999999999999996"/>
    <n v="0"/>
    <n v="0"/>
    <n v="0"/>
    <n v="0"/>
    <n v="0"/>
    <n v="0"/>
    <n v="3.5999999999999996"/>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m/>
    <m/>
    <m/>
    <m/>
    <m/>
    <m/>
    <m/>
    <m/>
    <m/>
    <m/>
    <m/>
    <m/>
    <n v="0"/>
    <n v="0"/>
    <n v="0"/>
    <n v="0"/>
    <n v="0"/>
    <n v="305.99999999999994"/>
    <n v="0"/>
    <n v="0"/>
    <n v="0"/>
    <n v="0"/>
    <n v="0"/>
    <n v="7199.9999999999991"/>
    <n v="0"/>
    <n v="0"/>
    <n v="0"/>
    <n v="0"/>
    <n v="0"/>
    <n v="0"/>
    <n v="0"/>
    <n v="0"/>
    <n v="0"/>
    <n v="0"/>
    <n v="0"/>
    <n v="0"/>
    <n v="0"/>
    <n v="0"/>
    <n v="0"/>
    <n v="0"/>
    <n v="0"/>
    <n v="0"/>
    <n v="0"/>
    <n v="0"/>
    <n v="0"/>
    <n v="0"/>
    <n v="0"/>
    <n v="0"/>
    <n v="0"/>
    <n v="0"/>
    <n v="0"/>
    <n v="0"/>
    <n v="0"/>
    <n v="0"/>
    <n v="0"/>
    <n v="0"/>
    <n v="0"/>
    <n v="0"/>
    <n v="0"/>
    <n v="0"/>
    <n v="0"/>
    <n v="0"/>
    <n v="0"/>
    <n v="0"/>
    <n v="0"/>
    <n v="0"/>
    <n v="0"/>
    <n v="0"/>
    <n v="0"/>
    <n v="0"/>
    <n v="7505.9999999999991"/>
    <s v=" "/>
    <s v=" "/>
    <n v="8939.7660959999994"/>
    <s v=" "/>
    <s v=" "/>
    <s v=" "/>
    <s v=" "/>
    <s v=" "/>
    <s v=" "/>
    <s v=" "/>
    <s v=" "/>
    <s v=" "/>
    <s v=" "/>
    <s v=" "/>
    <s v=" "/>
    <x v="0"/>
    <x v="0"/>
    <x v="0"/>
    <x v="0"/>
    <x v="0"/>
    <x v="80"/>
    <x v="0"/>
    <x v="0"/>
    <x v="0"/>
    <x v="4"/>
    <x v="1"/>
    <x v="1"/>
    <x v="63"/>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x v="12"/>
    <x v="24"/>
    <x v="15"/>
    <x v="108"/>
    <x v="8"/>
    <n v="29.949362222000001"/>
    <n v="-25.830436388999999"/>
    <s v="29° 56' 57.70&quot;E "/>
    <s v="25° 49' 49.57&quot; S"/>
    <s v="Complete"/>
    <s v="Yes"/>
    <s v="Yes"/>
    <d v="2017-02-08T00:00:00"/>
    <s v="YES "/>
    <m/>
    <s v="NBC-GTW-CL-0046"/>
    <s v="Yes"/>
    <s v="00"/>
    <d v="2018-06-16T00:00:00"/>
    <s v="Phase 2"/>
    <s v="Year 3"/>
    <n v="0"/>
    <n v="0"/>
    <n v="0"/>
    <n v="0"/>
    <n v="0"/>
    <n v="6.48"/>
    <n v="0"/>
    <n v="0"/>
    <n v="0"/>
    <n v="0"/>
    <n v="0"/>
    <n v="0"/>
    <n v="6.48"/>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m/>
    <m/>
    <m/>
    <m/>
    <m/>
    <m/>
    <m/>
    <m/>
    <m/>
    <m/>
    <m/>
    <m/>
    <n v="0"/>
    <n v="0"/>
    <n v="0"/>
    <n v="0"/>
    <n v="0"/>
    <n v="550.80000000000007"/>
    <n v="0"/>
    <n v="0"/>
    <n v="0"/>
    <n v="0"/>
    <n v="0"/>
    <n v="12960"/>
    <n v="0"/>
    <n v="0"/>
    <n v="0"/>
    <n v="0"/>
    <n v="0"/>
    <n v="0"/>
    <n v="0"/>
    <n v="0"/>
    <n v="0"/>
    <n v="0"/>
    <n v="0"/>
    <n v="0"/>
    <n v="0"/>
    <n v="0"/>
    <n v="0"/>
    <n v="0"/>
    <n v="0"/>
    <n v="0"/>
    <n v="0"/>
    <n v="0"/>
    <n v="0"/>
    <n v="0"/>
    <n v="0"/>
    <n v="0"/>
    <n v="0"/>
    <n v="0"/>
    <n v="0"/>
    <n v="0"/>
    <n v="0"/>
    <n v="0"/>
    <n v="0"/>
    <n v="0"/>
    <n v="0"/>
    <n v="0"/>
    <n v="0"/>
    <n v="0"/>
    <n v="0"/>
    <n v="0"/>
    <n v="0"/>
    <n v="0"/>
    <n v="0"/>
    <n v="0"/>
    <n v="0"/>
    <n v="0"/>
    <n v="0"/>
    <n v="0"/>
    <n v="13510.8"/>
    <s v=" "/>
    <s v=" "/>
    <n v="16091.578972800004"/>
    <s v=" "/>
    <s v=" "/>
    <s v=" "/>
    <s v=" "/>
    <s v=" "/>
    <s v=" "/>
    <s v=" "/>
    <s v=" "/>
    <s v=" "/>
    <s v=" "/>
    <s v=" "/>
    <s v=" "/>
    <x v="0"/>
    <x v="0"/>
    <x v="0"/>
    <x v="0"/>
    <x v="0"/>
    <x v="81"/>
    <x v="0"/>
    <x v="0"/>
    <x v="0"/>
    <x v="4"/>
    <x v="1"/>
    <x v="1"/>
    <x v="64"/>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x v="12"/>
    <x v="24"/>
    <x v="15"/>
    <x v="109"/>
    <x v="8"/>
    <n v="29.949496110999998"/>
    <n v="-25.830259000000002"/>
    <s v="29° 56' 58.18&quot;E "/>
    <s v="25° 49' 48.93&quot; S"/>
    <s v="Complete"/>
    <s v="Yes"/>
    <s v="Yes"/>
    <d v="2017-02-08T00:00:00"/>
    <s v="YES "/>
    <m/>
    <s v="NBC-GTW-CL-0046"/>
    <s v="Yes"/>
    <s v="00"/>
    <d v="2018-06-16T00:00:00"/>
    <s v="Phase 2"/>
    <s v="Year 3"/>
    <n v="0"/>
    <n v="0"/>
    <n v="0"/>
    <n v="0"/>
    <n v="0"/>
    <n v="5.94"/>
    <n v="0"/>
    <n v="0"/>
    <n v="0"/>
    <n v="0"/>
    <n v="0"/>
    <n v="0"/>
    <n v="5.94"/>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m/>
    <m/>
    <m/>
    <m/>
    <m/>
    <m/>
    <m/>
    <m/>
    <m/>
    <m/>
    <m/>
    <m/>
    <n v="0"/>
    <n v="0"/>
    <n v="0"/>
    <n v="0"/>
    <n v="0"/>
    <n v="504.90000000000003"/>
    <n v="0"/>
    <n v="0"/>
    <n v="0"/>
    <n v="0"/>
    <n v="0"/>
    <n v="11880"/>
    <n v="0"/>
    <n v="0"/>
    <n v="0"/>
    <n v="0"/>
    <n v="0"/>
    <n v="0"/>
    <n v="0"/>
    <n v="0"/>
    <n v="0"/>
    <n v="0"/>
    <n v="0"/>
    <n v="0"/>
    <n v="0"/>
    <n v="0"/>
    <n v="0"/>
    <n v="0"/>
    <n v="0"/>
    <n v="0"/>
    <n v="0"/>
    <n v="0"/>
    <n v="0"/>
    <n v="0"/>
    <n v="0"/>
    <n v="0"/>
    <n v="0"/>
    <n v="0"/>
    <n v="0"/>
    <n v="0"/>
    <n v="0"/>
    <n v="0"/>
    <n v="0"/>
    <n v="0"/>
    <n v="0"/>
    <n v="0"/>
    <n v="0"/>
    <n v="0"/>
    <n v="0"/>
    <n v="0"/>
    <n v="0"/>
    <n v="0"/>
    <n v="0"/>
    <n v="0"/>
    <n v="0"/>
    <n v="0"/>
    <n v="0"/>
    <n v="0"/>
    <n v="12384.9"/>
    <s v=" "/>
    <s v=" "/>
    <n v="14750.614058400002"/>
    <s v=" "/>
    <s v=" "/>
    <s v=" "/>
    <s v=" "/>
    <s v=" "/>
    <s v=" "/>
    <s v=" "/>
    <s v=" "/>
    <s v=" "/>
    <s v=" "/>
    <s v=" "/>
    <s v=" "/>
    <x v="0"/>
    <x v="0"/>
    <x v="0"/>
    <x v="0"/>
    <x v="0"/>
    <x v="82"/>
    <x v="0"/>
    <x v="0"/>
    <x v="0"/>
    <x v="4"/>
    <x v="1"/>
    <x v="1"/>
    <x v="65"/>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x v="12"/>
    <x v="24"/>
    <x v="15"/>
    <x v="110"/>
    <x v="8"/>
    <n v="29.949641667000002"/>
    <n v="-25.830011667000001"/>
    <s v="29° 56' 58.71&quot;E "/>
    <s v="25° 49' 48.04&quot; S"/>
    <s v="Complete"/>
    <s v="Yes"/>
    <s v="Yes"/>
    <d v="2017-02-08T00:00:00"/>
    <s v="YES "/>
    <m/>
    <s v="NBC-GTW-CL-0046"/>
    <s v="Yes"/>
    <s v="00"/>
    <d v="2018-06-16T00:00:00"/>
    <s v="Phase 2"/>
    <s v="Year 3"/>
    <n v="0"/>
    <n v="0"/>
    <n v="0"/>
    <n v="0"/>
    <n v="0"/>
    <n v="4.1325000000000003"/>
    <n v="0"/>
    <n v="0"/>
    <n v="0"/>
    <n v="0"/>
    <n v="0"/>
    <n v="0"/>
    <n v="4.1325000000000003"/>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m/>
    <m/>
    <m/>
    <m/>
    <m/>
    <m/>
    <m/>
    <m/>
    <m/>
    <m/>
    <m/>
    <m/>
    <n v="0"/>
    <n v="0"/>
    <n v="0"/>
    <n v="0"/>
    <n v="0"/>
    <n v="351.26250000000005"/>
    <n v="0"/>
    <n v="0"/>
    <n v="0"/>
    <n v="0"/>
    <n v="0"/>
    <n v="8265"/>
    <n v="0"/>
    <n v="0"/>
    <n v="0"/>
    <n v="0"/>
    <n v="0"/>
    <n v="0"/>
    <n v="0"/>
    <n v="0"/>
    <n v="0"/>
    <n v="0"/>
    <n v="0"/>
    <n v="0"/>
    <n v="0"/>
    <n v="0"/>
    <n v="0"/>
    <n v="0"/>
    <n v="0"/>
    <n v="0"/>
    <n v="0"/>
    <n v="0"/>
    <n v="0"/>
    <n v="0"/>
    <n v="0"/>
    <n v="0"/>
    <n v="0"/>
    <n v="0"/>
    <n v="0"/>
    <n v="0"/>
    <n v="0"/>
    <n v="0"/>
    <n v="0"/>
    <n v="0"/>
    <n v="0"/>
    <n v="0"/>
    <n v="0"/>
    <n v="0"/>
    <n v="0"/>
    <n v="0"/>
    <n v="0"/>
    <n v="0"/>
    <n v="0"/>
    <n v="0"/>
    <n v="0"/>
    <n v="0"/>
    <n v="0"/>
    <n v="0"/>
    <n v="8616.2625000000007"/>
    <s v=" "/>
    <s v=" "/>
    <n v="10262.106497700001"/>
    <s v=" "/>
    <s v=" "/>
    <s v=" "/>
    <s v=" "/>
    <s v=" "/>
    <s v=" "/>
    <s v=" "/>
    <s v=" "/>
    <s v=" "/>
    <s v=" "/>
    <s v=" "/>
    <s v=" "/>
    <x v="0"/>
    <x v="0"/>
    <x v="0"/>
    <x v="0"/>
    <x v="0"/>
    <x v="83"/>
    <x v="0"/>
    <x v="0"/>
    <x v="0"/>
    <x v="4"/>
    <x v="1"/>
    <x v="1"/>
    <x v="66"/>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x v="12"/>
    <x v="24"/>
    <x v="15"/>
    <x v="111"/>
    <x v="8"/>
    <n v="29.949866944"/>
    <n v="-25.829684722"/>
    <s v="29° 56' 59.52&quot;E "/>
    <s v="25° 49' 46.86&quot; S"/>
    <s v="Complete"/>
    <s v="Yes"/>
    <s v="Yes"/>
    <d v="2017-02-08T00:00:00"/>
    <s v="YES "/>
    <m/>
    <s v="NBC-GTW-CL-0046"/>
    <s v="Yes"/>
    <s v="00"/>
    <d v="2018-06-16T00:00:00"/>
    <s v="Phase 2"/>
    <s v="Year 3"/>
    <n v="0"/>
    <n v="0"/>
    <n v="0"/>
    <n v="0"/>
    <n v="0"/>
    <n v="4.3499999999999996"/>
    <n v="0"/>
    <n v="0"/>
    <n v="0"/>
    <n v="0"/>
    <n v="0"/>
    <n v="0"/>
    <n v="4.3499999999999996"/>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m/>
    <m/>
    <m/>
    <m/>
    <m/>
    <m/>
    <m/>
    <m/>
    <m/>
    <m/>
    <m/>
    <m/>
    <n v="0"/>
    <n v="0"/>
    <n v="0"/>
    <n v="0"/>
    <n v="0"/>
    <n v="369.74999999999994"/>
    <n v="0"/>
    <n v="0"/>
    <n v="0"/>
    <n v="0"/>
    <n v="0"/>
    <n v="8700"/>
    <n v="0"/>
    <n v="0"/>
    <n v="0"/>
    <n v="0"/>
    <n v="0"/>
    <n v="0"/>
    <n v="0"/>
    <n v="0"/>
    <n v="0"/>
    <n v="0"/>
    <n v="0"/>
    <n v="0"/>
    <n v="0"/>
    <n v="0"/>
    <n v="0"/>
    <n v="0"/>
    <n v="0"/>
    <n v="0"/>
    <n v="0"/>
    <n v="0"/>
    <n v="0"/>
    <n v="0"/>
    <n v="0"/>
    <n v="0"/>
    <n v="0"/>
    <n v="0"/>
    <n v="0"/>
    <n v="0"/>
    <n v="0"/>
    <n v="0"/>
    <n v="0"/>
    <n v="0"/>
    <n v="0"/>
    <n v="0"/>
    <n v="0"/>
    <n v="0"/>
    <n v="0"/>
    <n v="0"/>
    <n v="0"/>
    <n v="0"/>
    <n v="0"/>
    <n v="0"/>
    <n v="0"/>
    <n v="0"/>
    <n v="0"/>
    <n v="0"/>
    <n v="9069.75"/>
    <s v=" "/>
    <s v=" "/>
    <n v="10802.217366000003"/>
    <s v=" "/>
    <s v=" "/>
    <s v=" "/>
    <s v=" "/>
    <s v=" "/>
    <s v=" "/>
    <s v=" "/>
    <s v=" "/>
    <s v=" "/>
    <s v=" "/>
    <s v=" "/>
    <s v=" "/>
    <x v="0"/>
    <x v="0"/>
    <x v="0"/>
    <x v="0"/>
    <x v="0"/>
    <x v="84"/>
    <x v="0"/>
    <x v="0"/>
    <x v="0"/>
    <x v="4"/>
    <x v="1"/>
    <x v="1"/>
    <x v="67"/>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x v="12"/>
    <x v="24"/>
    <x v="15"/>
    <x v="112"/>
    <x v="8"/>
    <n v="29.950084722"/>
    <n v="-25.829402221999999"/>
    <s v="29° 57' 00.30&quot;E "/>
    <s v="25° 49' 45.84&quot; S"/>
    <s v="Complete"/>
    <s v="Yes"/>
    <s v="Yes"/>
    <d v="2017-02-08T00:00:00"/>
    <s v="YES "/>
    <m/>
    <s v="NBC-GTW-CL-0046"/>
    <s v="Yes"/>
    <s v="00"/>
    <d v="2018-06-16T00:00:00"/>
    <s v="Phase 2"/>
    <s v="Year 3"/>
    <n v="0"/>
    <n v="0"/>
    <n v="0"/>
    <n v="0"/>
    <n v="0"/>
    <n v="5.0999999999999996"/>
    <n v="0"/>
    <n v="0"/>
    <n v="0"/>
    <n v="0"/>
    <n v="0"/>
    <n v="0"/>
    <n v="5.0999999999999996"/>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m/>
    <m/>
    <m/>
    <m/>
    <m/>
    <m/>
    <m/>
    <m/>
    <m/>
    <m/>
    <m/>
    <m/>
    <n v="0"/>
    <n v="0"/>
    <n v="0"/>
    <n v="0"/>
    <n v="0"/>
    <n v="433.49999999999994"/>
    <n v="0"/>
    <n v="0"/>
    <n v="0"/>
    <n v="0"/>
    <n v="0"/>
    <n v="10200"/>
    <n v="0"/>
    <n v="0"/>
    <n v="0"/>
    <n v="0"/>
    <n v="0"/>
    <n v="0"/>
    <n v="0"/>
    <n v="0"/>
    <n v="0"/>
    <n v="0"/>
    <n v="0"/>
    <n v="0"/>
    <n v="0"/>
    <n v="0"/>
    <n v="0"/>
    <n v="0"/>
    <n v="0"/>
    <n v="0"/>
    <n v="0"/>
    <n v="0"/>
    <n v="0"/>
    <n v="0"/>
    <n v="0"/>
    <n v="0"/>
    <n v="0"/>
    <n v="0"/>
    <n v="0"/>
    <n v="0"/>
    <n v="0"/>
    <n v="0"/>
    <n v="0"/>
    <n v="0"/>
    <n v="0"/>
    <n v="0"/>
    <n v="0"/>
    <n v="0"/>
    <n v="0"/>
    <n v="0"/>
    <n v="0"/>
    <n v="0"/>
    <n v="0"/>
    <n v="0"/>
    <n v="0"/>
    <n v="0"/>
    <n v="0"/>
    <n v="0"/>
    <n v="10633.5"/>
    <s v=" "/>
    <s v=" "/>
    <n v="12664.668636"/>
    <s v=" "/>
    <s v=" "/>
    <s v=" "/>
    <s v=" "/>
    <s v=" "/>
    <s v=" "/>
    <s v=" "/>
    <s v=" "/>
    <s v=" "/>
    <s v=" "/>
    <s v=" "/>
    <s v=" "/>
    <x v="0"/>
    <x v="0"/>
    <x v="0"/>
    <x v="0"/>
    <x v="0"/>
    <x v="85"/>
    <x v="0"/>
    <x v="0"/>
    <x v="0"/>
    <x v="4"/>
    <x v="1"/>
    <x v="1"/>
    <x v="68"/>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x v="12"/>
    <x v="24"/>
    <x v="15"/>
    <x v="113"/>
    <x v="8"/>
    <n v="29.950328611"/>
    <n v="-25.829112500000001"/>
    <s v="29° 57' 01.18&quot;E "/>
    <s v="25° 49' 44.80&quot; S"/>
    <s v="Complete"/>
    <s v="Yes"/>
    <s v="Yes"/>
    <d v="2017-02-08T00:00:00"/>
    <s v="YES "/>
    <m/>
    <s v="NBC-GTW-CL-0046"/>
    <s v="Yes"/>
    <s v="00"/>
    <d v="2018-06-16T00:00:00"/>
    <s v="Phase 2"/>
    <s v="Year 3"/>
    <n v="0"/>
    <n v="0"/>
    <n v="0"/>
    <n v="0"/>
    <n v="0"/>
    <n v="3.3"/>
    <n v="0"/>
    <n v="0"/>
    <n v="0"/>
    <n v="0"/>
    <n v="0"/>
    <n v="0"/>
    <n v="3.3"/>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m/>
    <m/>
    <m/>
    <m/>
    <m/>
    <m/>
    <m/>
    <m/>
    <m/>
    <m/>
    <m/>
    <m/>
    <n v="0"/>
    <n v="0"/>
    <n v="0"/>
    <n v="0"/>
    <n v="0"/>
    <n v="280.5"/>
    <n v="0"/>
    <n v="0"/>
    <n v="0"/>
    <n v="0"/>
    <n v="0"/>
    <n v="6600"/>
    <n v="0"/>
    <n v="0"/>
    <n v="0"/>
    <n v="0"/>
    <n v="0"/>
    <n v="0"/>
    <n v="0"/>
    <n v="0"/>
    <n v="0"/>
    <n v="0"/>
    <n v="0"/>
    <n v="0"/>
    <n v="0"/>
    <n v="0"/>
    <n v="0"/>
    <n v="0"/>
    <n v="0"/>
    <n v="0"/>
    <n v="0"/>
    <n v="0"/>
    <n v="0"/>
    <n v="0"/>
    <n v="0"/>
    <n v="0"/>
    <n v="0"/>
    <n v="0"/>
    <n v="0"/>
    <n v="0"/>
    <n v="0"/>
    <n v="0"/>
    <n v="0"/>
    <n v="0"/>
    <n v="0"/>
    <n v="0"/>
    <n v="0"/>
    <n v="0"/>
    <n v="0"/>
    <n v="0"/>
    <n v="0"/>
    <n v="0"/>
    <n v="0"/>
    <n v="0"/>
    <n v="0"/>
    <n v="0"/>
    <n v="0"/>
    <n v="0"/>
    <n v="6880.5"/>
    <s v=" "/>
    <s v=" "/>
    <n v="8194.7855880000006"/>
    <s v=" "/>
    <s v=" "/>
    <s v=" "/>
    <s v=" "/>
    <s v=" "/>
    <s v=" "/>
    <s v=" "/>
    <s v=" "/>
    <s v=" "/>
    <s v=" "/>
    <s v=" "/>
    <s v=" "/>
    <x v="0"/>
    <x v="0"/>
    <x v="0"/>
    <x v="0"/>
    <x v="0"/>
    <x v="86"/>
    <x v="0"/>
    <x v="0"/>
    <x v="0"/>
    <x v="4"/>
    <x v="1"/>
    <x v="1"/>
    <x v="69"/>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x v="12"/>
    <x v="25"/>
    <x v="0"/>
    <x v="114"/>
    <x v="7"/>
    <n v="29.950989444000001"/>
    <n v="-25.827819999999999"/>
    <s v="29° 57' 03.56&quot;E "/>
    <s v="25° 49' 40.15&quot; S"/>
    <s v="Complete"/>
    <s v="Yes"/>
    <s v="Yes"/>
    <d v="2017-05-31T00:00:00"/>
    <s v="NA"/>
    <s v="NA"/>
    <s v="No Drawing"/>
    <s v="Yes"/>
    <s v="00"/>
    <d v="2018-06-16T00:00:00"/>
    <s v="Phase 2"/>
    <s v="Year 3"/>
    <n v="0"/>
    <n v="161.54999999999998"/>
    <n v="0"/>
    <n v="0"/>
    <n v="0"/>
    <n v="0"/>
    <n v="0"/>
    <n v="0"/>
    <n v="360"/>
    <n v="360"/>
    <n v="80.774999999999991"/>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n v="0"/>
    <n v="8077.4999999999991"/>
    <n v="0"/>
    <n v="0"/>
    <n v="0"/>
    <n v="0"/>
    <n v="0"/>
    <n v="0"/>
    <n v="1800"/>
    <n v="3600"/>
    <n v="0"/>
    <n v="0"/>
    <n v="0"/>
    <n v="0"/>
    <n v="0"/>
    <n v="0"/>
    <n v="0"/>
    <n v="0"/>
    <n v="0"/>
    <n v="0"/>
    <n v="0"/>
    <n v="0"/>
    <n v="0"/>
    <n v="0"/>
    <n v="0"/>
    <n v="0"/>
    <n v="0"/>
    <n v="0"/>
    <n v="0"/>
    <n v="0"/>
    <n v="0"/>
    <n v="0"/>
    <n v="0"/>
    <n v="0"/>
    <n v="0"/>
    <n v="0"/>
    <n v="0"/>
    <n v="0"/>
    <n v="0"/>
    <n v="0"/>
    <n v="0"/>
    <n v="0"/>
    <n v="0"/>
    <n v="0"/>
    <n v="0"/>
    <n v="0"/>
    <n v="0"/>
    <n v="0"/>
    <n v="0"/>
    <n v="0"/>
    <n v="0"/>
    <n v="0"/>
    <n v="0"/>
    <n v="0"/>
    <n v="0"/>
    <n v="0"/>
    <n v="0"/>
    <n v="0"/>
    <n v="13477.5"/>
    <s v=" "/>
    <s v=" "/>
    <n v="16051.918140000003"/>
    <s v=" "/>
    <s v=" "/>
    <s v=" "/>
    <s v=" "/>
    <s v=" "/>
    <s v=" "/>
    <s v=" "/>
    <s v=" "/>
    <s v=" "/>
    <s v=" "/>
    <s v=" "/>
    <s v=" "/>
    <x v="0"/>
    <x v="16"/>
    <x v="0"/>
    <x v="0"/>
    <x v="0"/>
    <x v="1"/>
    <x v="0"/>
    <x v="0"/>
    <x v="47"/>
    <x v="48"/>
    <x v="6"/>
    <x v="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x v="12"/>
    <x v="26"/>
    <x v="16"/>
    <x v="115"/>
    <x v="7"/>
    <n v="29.951478889000001"/>
    <n v="-25.827539999999999"/>
    <s v="29° 57' 05.32&quot;E "/>
    <s v="25° 49' 39.14&quot; S"/>
    <s v="YES"/>
    <s v="Yes"/>
    <s v="Yes"/>
    <d v="2017-01-31T00:00:00"/>
    <s v="YES "/>
    <s v="NO"/>
    <s v="NBC-GTW-CL-0059"/>
    <s v="Yes"/>
    <s v="00"/>
    <d v="2018-06-16T00:00:00"/>
    <s v="Phase 2"/>
    <s v="Year 3"/>
    <m/>
    <m/>
    <m/>
    <m/>
    <m/>
    <n v="13.68"/>
    <m/>
    <m/>
    <m/>
    <m/>
    <n v="13.68"/>
    <m/>
    <m/>
    <m/>
    <m/>
    <m/>
    <m/>
    <m/>
    <m/>
    <m/>
    <m/>
    <m/>
    <m/>
    <m/>
    <m/>
    <m/>
    <m/>
    <m/>
    <m/>
    <m/>
    <m/>
    <m/>
    <m/>
    <m/>
    <m/>
    <m/>
    <m/>
    <n v="1"/>
    <n v="0"/>
    <n v="0"/>
    <n v="9"/>
    <n v="0"/>
    <n v="0"/>
    <n v="0"/>
    <n v="4.5"/>
    <n v="0"/>
    <n v="0"/>
    <n v="0"/>
    <n v="0"/>
    <n v="0"/>
    <n v="0"/>
    <n v="0"/>
    <n v="0"/>
    <n v="0"/>
    <m/>
    <n v="44.900000000000006"/>
    <m/>
    <m/>
    <m/>
    <m/>
    <m/>
    <m/>
    <m/>
    <m/>
    <m/>
    <m/>
    <m/>
    <m/>
    <m/>
    <m/>
    <m/>
    <m/>
    <m/>
    <m/>
    <m/>
    <m/>
    <m/>
    <m/>
    <m/>
    <m/>
    <m/>
    <m/>
    <m/>
    <m/>
    <m/>
    <m/>
    <m/>
    <m/>
    <m/>
    <m/>
    <m/>
    <m/>
    <m/>
    <m/>
    <m/>
    <n v="0"/>
    <n v="0"/>
    <n v="0"/>
    <n v="0"/>
    <n v="0"/>
    <n v="1162.8"/>
    <n v="0"/>
    <n v="0"/>
    <n v="0"/>
    <n v="0"/>
    <n v="0"/>
    <n v="0"/>
    <n v="0"/>
    <n v="0"/>
    <n v="0"/>
    <n v="0"/>
    <n v="0"/>
    <n v="0"/>
    <n v="0"/>
    <n v="0"/>
    <n v="0"/>
    <n v="0"/>
    <n v="23700"/>
    <n v="0"/>
    <n v="1257.2000000000003"/>
    <n v="0"/>
    <n v="0"/>
    <n v="0"/>
    <n v="0"/>
    <n v="0"/>
    <n v="0"/>
    <n v="0"/>
    <n v="0"/>
    <n v="0"/>
    <n v="0"/>
    <n v="0"/>
    <n v="0"/>
    <n v="0"/>
    <n v="0"/>
    <n v="0"/>
    <n v="0"/>
    <n v="0"/>
    <n v="0"/>
    <n v="0"/>
    <n v="0"/>
    <n v="0"/>
    <n v="0"/>
    <n v="0"/>
    <n v="0"/>
    <n v="0"/>
    <n v="0"/>
    <n v="0"/>
    <n v="0"/>
    <n v="0"/>
    <n v="0"/>
    <n v="0"/>
    <n v="0"/>
    <n v="0"/>
    <n v="26120"/>
    <s v=" "/>
    <s v=" "/>
    <n v="31109.337920000002"/>
    <s v=" "/>
    <s v=" "/>
    <s v=" "/>
    <s v=" "/>
    <s v=" "/>
    <s v=" "/>
    <s v=" "/>
    <s v=" "/>
    <s v=" "/>
    <s v=" "/>
    <s v=" "/>
    <s v=" "/>
    <x v="0"/>
    <x v="0"/>
    <x v="0"/>
    <x v="0"/>
    <x v="0"/>
    <x v="87"/>
    <x v="0"/>
    <x v="0"/>
    <x v="0"/>
    <x v="4"/>
    <x v="7"/>
    <x v="1"/>
    <x v="0"/>
    <x v="0"/>
    <x v="0"/>
    <x v="0"/>
    <x v="0"/>
    <x v="0"/>
    <x v="0"/>
    <x v="0"/>
    <x v="0"/>
    <x v="0"/>
    <x v="0"/>
    <x v="0"/>
    <x v="0"/>
    <x v="0"/>
    <x v="0"/>
    <x v="0"/>
    <x v="0"/>
    <x v="0"/>
    <x v="0"/>
    <x v="0"/>
    <x v="0"/>
    <x v="0"/>
    <x v="0"/>
    <x v="1"/>
    <x v="0"/>
    <x v="0"/>
    <x v="1"/>
    <x v="0"/>
    <x v="0"/>
    <x v="0"/>
    <x v="1"/>
    <x v="0"/>
    <x v="0"/>
    <x v="0"/>
    <x v="0"/>
    <x v="0"/>
    <x v="0"/>
    <x v="0"/>
    <x v="0"/>
    <x v="0"/>
    <x v="0"/>
    <x v="3"/>
    <x v="0"/>
    <x v="0"/>
    <x v="0"/>
    <x v="0"/>
    <x v="0"/>
    <x v="0"/>
    <x v="0"/>
    <x v="0"/>
    <x v="0"/>
    <x v="0"/>
    <x v="0"/>
    <x v="0"/>
    <x v="0"/>
    <x v="0"/>
    <x v="0"/>
    <x v="0"/>
    <x v="0"/>
    <x v="0"/>
    <x v="0"/>
    <x v="0"/>
    <x v="0"/>
    <x v="0"/>
    <x v="0"/>
    <x v="0"/>
    <x v="0"/>
    <x v="0"/>
    <x v="0"/>
    <x v="0"/>
    <x v="0"/>
    <x v="0"/>
    <x v="0"/>
    <x v="0"/>
    <x v="0"/>
    <x v="0"/>
    <x v="0"/>
    <x v="0"/>
    <x v="0"/>
    <x v="0"/>
    <x v="0"/>
  </r>
  <r>
    <x v="12"/>
    <x v="19"/>
    <x v="13"/>
    <x v="116"/>
    <x v="7"/>
    <n v="29.951548611"/>
    <n v="-25.827376666999999"/>
    <s v="29° 57' 05.57&quot;E "/>
    <s v="25° 49' 38.55&quot; S"/>
    <s v="Complete"/>
    <s v="Yes"/>
    <s v="Yes"/>
    <d v="2017-04-28T00:00:00"/>
    <s v="YES "/>
    <m/>
    <s v="NBC-GTW-CL-0058"/>
    <s v="Yes"/>
    <s v="00"/>
    <d v="2018-06-16T00:00:00"/>
    <s v="Phase 2"/>
    <s v="Year 3"/>
    <n v="0"/>
    <n v="0"/>
    <n v="0"/>
    <n v="0"/>
    <n v="0"/>
    <n v="1.6199999999999999"/>
    <n v="0"/>
    <n v="0"/>
    <n v="0"/>
    <n v="0"/>
    <n v="0"/>
    <n v="0"/>
    <n v="0"/>
    <n v="0"/>
    <n v="0"/>
    <n v="0"/>
    <n v="0"/>
    <n v="0"/>
    <n v="0"/>
    <n v="0"/>
    <n v="0"/>
    <n v="0"/>
    <n v="0"/>
    <n v="0"/>
    <n v="0"/>
    <n v="0"/>
    <n v="0"/>
    <n v="0"/>
    <n v="0"/>
    <n v="0"/>
    <n v="0"/>
    <n v="0"/>
    <n v="0"/>
    <n v="0"/>
    <n v="1.2723450247038663"/>
    <n v="0"/>
    <n v="0"/>
    <n v="0"/>
    <n v="0"/>
    <n v="0"/>
    <n v="0"/>
    <n v="0"/>
    <n v="0"/>
    <n v="0"/>
    <n v="0"/>
    <n v="0"/>
    <n v="0"/>
    <n v="0"/>
    <n v="0"/>
    <n v="0"/>
    <n v="0"/>
    <n v="0"/>
    <n v="0"/>
    <n v="0"/>
    <n v="0"/>
    <n v="0"/>
    <n v="0"/>
    <n v="0"/>
    <n v="0"/>
    <n v="0"/>
    <n v="0"/>
    <n v="0"/>
    <n v="9"/>
    <n v="0"/>
    <n v="0"/>
    <n v="0"/>
    <n v="0"/>
    <n v="0"/>
    <n v="0"/>
    <n v="0"/>
    <n v="0"/>
    <n v="0"/>
    <n v="0"/>
    <n v="0"/>
    <n v="0"/>
    <n v="0"/>
    <n v="0"/>
    <n v="0"/>
    <n v="0"/>
    <n v="0"/>
    <n v="0"/>
    <n v="0"/>
    <n v="0"/>
    <n v="0"/>
    <n v="0"/>
    <n v="0"/>
    <m/>
    <m/>
    <m/>
    <m/>
    <m/>
    <m/>
    <m/>
    <m/>
    <m/>
    <n v="0"/>
    <n v="0"/>
    <n v="0"/>
    <n v="0"/>
    <n v="0"/>
    <n v="137.69999999999999"/>
    <n v="0"/>
    <n v="0"/>
    <n v="0"/>
    <n v="0"/>
    <n v="0"/>
    <n v="0"/>
    <n v="0"/>
    <n v="0"/>
    <n v="0"/>
    <n v="0"/>
    <n v="0"/>
    <n v="0"/>
    <n v="0"/>
    <n v="0"/>
    <n v="152.68140296446396"/>
    <n v="0"/>
    <n v="0"/>
    <n v="0"/>
    <n v="0"/>
    <n v="0"/>
    <n v="8100"/>
    <n v="0"/>
    <n v="0"/>
    <n v="0"/>
    <n v="0"/>
    <n v="0"/>
    <n v="0"/>
    <n v="0"/>
    <n v="0"/>
    <n v="0"/>
    <n v="0"/>
    <n v="0"/>
    <n v="0"/>
    <n v="0"/>
    <n v="0"/>
    <n v="0"/>
    <n v="0"/>
    <n v="0"/>
    <n v="0"/>
    <n v="0"/>
    <n v="0"/>
    <n v="0"/>
    <n v="0"/>
    <n v="0"/>
    <n v="0"/>
    <n v="0"/>
    <n v="0"/>
    <n v="0"/>
    <n v="0"/>
    <n v="0"/>
    <n v="0"/>
    <n v="0"/>
    <n v="8390.3814029644636"/>
    <s v=" "/>
    <s v=" "/>
    <n v="9993.0784970331242"/>
    <s v=" "/>
    <s v=" "/>
    <s v=" "/>
    <s v=" "/>
    <s v=" "/>
    <s v=" "/>
    <s v=" "/>
    <s v=" "/>
    <s v=" "/>
    <s v=" "/>
    <s v=" "/>
    <s v=" "/>
    <x v="0"/>
    <x v="0"/>
    <x v="0"/>
    <x v="0"/>
    <x v="0"/>
    <x v="88"/>
    <x v="0"/>
    <x v="0"/>
    <x v="0"/>
    <x v="4"/>
    <x v="1"/>
    <x v="1"/>
    <x v="0"/>
    <x v="0"/>
    <x v="0"/>
    <x v="0"/>
    <x v="0"/>
    <x v="0"/>
    <x v="0"/>
    <x v="0"/>
    <x v="0"/>
    <x v="0"/>
    <x v="0"/>
    <x v="0"/>
    <x v="0"/>
    <x v="0"/>
    <x v="0"/>
    <x v="0"/>
    <x v="0"/>
    <x v="0"/>
    <x v="0"/>
    <x v="0"/>
    <x v="25"/>
    <x v="0"/>
    <x v="0"/>
    <x v="0"/>
    <x v="0"/>
    <x v="0"/>
    <x v="0"/>
    <x v="0"/>
    <x v="0"/>
    <x v="0"/>
    <x v="0"/>
    <x v="0"/>
    <x v="0"/>
    <x v="0"/>
    <x v="0"/>
    <x v="0"/>
    <x v="0"/>
    <x v="0"/>
    <x v="0"/>
    <x v="0"/>
    <x v="0"/>
    <x v="0"/>
    <x v="0"/>
    <x v="0"/>
    <x v="0"/>
    <x v="0"/>
    <x v="0"/>
    <x v="0"/>
    <x v="8"/>
    <x v="0"/>
    <x v="0"/>
    <x v="0"/>
    <x v="0"/>
    <x v="0"/>
    <x v="0"/>
    <x v="0"/>
    <x v="0"/>
    <x v="0"/>
    <x v="0"/>
    <x v="0"/>
    <x v="0"/>
    <x v="0"/>
    <x v="0"/>
    <x v="0"/>
    <x v="0"/>
    <x v="0"/>
    <x v="0"/>
    <x v="0"/>
    <x v="0"/>
    <x v="0"/>
    <x v="0"/>
    <x v="0"/>
    <x v="0"/>
    <x v="0"/>
    <x v="0"/>
    <x v="0"/>
    <x v="0"/>
    <x v="0"/>
    <x v="0"/>
    <x v="0"/>
    <x v="0"/>
  </r>
  <r>
    <x v="12"/>
    <x v="27"/>
    <x v="17"/>
    <x v="117"/>
    <x v="7"/>
    <n v="29.952021111000001"/>
    <n v="-25.826996944000001"/>
    <s v="29° 57' 07.27&quot;E "/>
    <s v="25° 49' 37.18&quot; S"/>
    <s v="Complete"/>
    <s v="Yes"/>
    <s v="Yes"/>
    <d v="2017-05-29T00:00:00"/>
    <s v="YES "/>
    <s v="NO"/>
    <s v="NBC-GTW-CL-0050"/>
    <s v="Yes"/>
    <s v="00"/>
    <d v="2018-06-16T00:00:00"/>
    <s v="Phase 2"/>
    <s v="Year 3"/>
    <n v="567"/>
    <n v="0"/>
    <n v="0"/>
    <n v="0"/>
    <n v="0"/>
    <n v="0"/>
    <n v="0"/>
    <n v="0"/>
    <n v="567"/>
    <n v="567"/>
    <n v="0"/>
    <n v="0"/>
    <n v="0"/>
    <n v="0"/>
    <n v="0"/>
    <n v="0"/>
    <n v="0"/>
    <n v="0"/>
    <n v="0"/>
    <n v="0"/>
    <n v="0"/>
    <n v="0"/>
    <n v="0"/>
    <n v="0"/>
    <n v="0"/>
    <n v="0"/>
    <n v="0"/>
    <n v="0"/>
    <n v="0"/>
    <n v="0"/>
    <n v="0"/>
    <n v="0"/>
    <n v="0"/>
    <n v="0"/>
    <n v="198.45"/>
    <n v="0"/>
    <n v="0"/>
    <n v="0"/>
    <n v="0"/>
    <n v="0"/>
    <n v="0"/>
    <n v="0"/>
    <n v="0"/>
    <n v="0"/>
    <n v="0"/>
    <n v="0"/>
    <n v="0"/>
    <n v="0"/>
    <n v="0"/>
    <n v="0"/>
    <n v="0"/>
    <n v="0"/>
    <n v="0"/>
    <n v="0"/>
    <n v="0"/>
    <n v="0"/>
    <n v="0"/>
    <n v="0"/>
    <n v="0"/>
    <n v="0"/>
    <n v="0"/>
    <n v="0"/>
    <n v="0"/>
    <n v="0"/>
    <n v="0"/>
    <n v="0"/>
    <n v="0"/>
    <n v="0"/>
    <n v="0"/>
    <n v="0"/>
    <n v="0"/>
    <n v="0"/>
    <n v="0"/>
    <n v="0"/>
    <n v="0"/>
    <n v="0"/>
    <n v="0"/>
    <n v="0"/>
    <n v="0"/>
    <n v="0"/>
    <n v="0"/>
    <n v="0"/>
    <n v="0"/>
    <n v="0"/>
    <n v="0"/>
    <n v="0"/>
    <m/>
    <m/>
    <m/>
    <m/>
    <m/>
    <m/>
    <m/>
    <m/>
    <m/>
    <n v="2835"/>
    <n v="0"/>
    <n v="0"/>
    <n v="0"/>
    <n v="0"/>
    <n v="0"/>
    <n v="0"/>
    <n v="0"/>
    <n v="2835"/>
    <n v="5670"/>
    <n v="0"/>
    <n v="0"/>
    <n v="0"/>
    <n v="0"/>
    <n v="0"/>
    <n v="0"/>
    <n v="0"/>
    <n v="0"/>
    <n v="0"/>
    <n v="0"/>
    <n v="23814"/>
    <n v="0"/>
    <n v="0"/>
    <n v="0"/>
    <n v="0"/>
    <n v="0"/>
    <n v="0"/>
    <n v="0"/>
    <n v="0"/>
    <n v="0"/>
    <n v="0"/>
    <n v="0"/>
    <n v="0"/>
    <n v="0"/>
    <n v="0"/>
    <n v="0"/>
    <n v="0"/>
    <n v="0"/>
    <n v="0"/>
    <n v="0"/>
    <n v="0"/>
    <n v="0"/>
    <n v="0"/>
    <n v="0"/>
    <n v="0"/>
    <n v="0"/>
    <n v="0"/>
    <n v="0"/>
    <n v="0"/>
    <n v="0"/>
    <n v="0"/>
    <n v="0"/>
    <n v="0"/>
    <n v="0"/>
    <n v="0"/>
    <n v="0"/>
    <n v="0"/>
    <n v="0"/>
    <n v="35154"/>
    <s v=" "/>
    <s v=" "/>
    <n v="41868.976464000007"/>
    <s v=" "/>
    <s v=" "/>
    <s v=" "/>
    <s v=" "/>
    <s v=" "/>
    <s v=" "/>
    <s v=" "/>
    <s v=" "/>
    <s v=" "/>
    <s v=" "/>
    <s v=" "/>
    <s v=" "/>
    <x v="46"/>
    <x v="0"/>
    <x v="0"/>
    <x v="0"/>
    <x v="0"/>
    <x v="1"/>
    <x v="0"/>
    <x v="0"/>
    <x v="48"/>
    <x v="49"/>
    <x v="1"/>
    <x v="1"/>
    <x v="0"/>
    <x v="0"/>
    <x v="0"/>
    <x v="0"/>
    <x v="0"/>
    <x v="0"/>
    <x v="0"/>
    <x v="0"/>
    <x v="0"/>
    <x v="0"/>
    <x v="0"/>
    <x v="0"/>
    <x v="0"/>
    <x v="0"/>
    <x v="0"/>
    <x v="0"/>
    <x v="0"/>
    <x v="0"/>
    <x v="0"/>
    <x v="0"/>
    <x v="26"/>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x v="12"/>
    <x v="26"/>
    <x v="16"/>
    <x v="118"/>
    <x v="7"/>
    <n v="29.953134444"/>
    <n v="-25.826765000000002"/>
    <s v="29° 57' 11.28&quot;E "/>
    <s v="25° 49' 36.35&quot; S"/>
    <s v="YES"/>
    <s v="Yes"/>
    <s v="Yes"/>
    <d v="2017-01-31T00:00:00"/>
    <s v="YES "/>
    <s v="NO"/>
    <s v="NBC-GTW-CL-0060"/>
    <s v="Yes"/>
    <s v="00"/>
    <d v="2018-06-16T00:00:00"/>
    <s v="Phase 2"/>
    <s v="Year 3"/>
    <m/>
    <m/>
    <m/>
    <m/>
    <m/>
    <n v="20"/>
    <m/>
    <m/>
    <m/>
    <m/>
    <n v="20"/>
    <m/>
    <m/>
    <m/>
    <m/>
    <m/>
    <m/>
    <m/>
    <m/>
    <m/>
    <m/>
    <m/>
    <m/>
    <m/>
    <m/>
    <m/>
    <m/>
    <m/>
    <m/>
    <m/>
    <m/>
    <m/>
    <m/>
    <m/>
    <n v="2.4000000000000004"/>
    <n v="2"/>
    <m/>
    <n v="1"/>
    <n v="0"/>
    <n v="0"/>
    <n v="12"/>
    <n v="0"/>
    <n v="0"/>
    <n v="0"/>
    <n v="7.2"/>
    <n v="0"/>
    <n v="0"/>
    <n v="0"/>
    <n v="0"/>
    <n v="0"/>
    <n v="0"/>
    <n v="0"/>
    <n v="0"/>
    <n v="0"/>
    <m/>
    <n v="62.900000000000006"/>
    <m/>
    <m/>
    <m/>
    <m/>
    <m/>
    <m/>
    <m/>
    <m/>
    <m/>
    <m/>
    <m/>
    <m/>
    <m/>
    <m/>
    <m/>
    <m/>
    <m/>
    <m/>
    <m/>
    <m/>
    <m/>
    <m/>
    <m/>
    <m/>
    <m/>
    <m/>
    <m/>
    <m/>
    <m/>
    <m/>
    <m/>
    <m/>
    <m/>
    <m/>
    <m/>
    <m/>
    <m/>
    <m/>
    <m/>
    <n v="0"/>
    <n v="0"/>
    <n v="0"/>
    <n v="0"/>
    <n v="0"/>
    <n v="1700"/>
    <n v="0"/>
    <n v="0"/>
    <n v="0"/>
    <n v="0"/>
    <n v="0"/>
    <n v="0"/>
    <n v="0"/>
    <n v="0"/>
    <n v="0"/>
    <n v="0"/>
    <n v="0"/>
    <n v="0"/>
    <n v="0"/>
    <n v="0"/>
    <n v="288.00000000000006"/>
    <n v="600"/>
    <n v="33675"/>
    <n v="0"/>
    <n v="1761.2000000000003"/>
    <n v="0"/>
    <n v="0"/>
    <n v="0"/>
    <n v="0"/>
    <n v="0"/>
    <n v="0"/>
    <n v="0"/>
    <n v="0"/>
    <n v="0"/>
    <n v="0"/>
    <n v="0"/>
    <n v="0"/>
    <n v="0"/>
    <n v="0"/>
    <n v="0"/>
    <n v="0"/>
    <n v="0"/>
    <n v="0"/>
    <n v="0"/>
    <n v="0"/>
    <n v="0"/>
    <n v="0"/>
    <n v="0"/>
    <n v="0"/>
    <n v="0"/>
    <n v="0"/>
    <n v="0"/>
    <n v="0"/>
    <n v="0"/>
    <n v="0"/>
    <n v="0"/>
    <n v="0"/>
    <n v="0"/>
    <n v="38024.199999999997"/>
    <s v=" "/>
    <s v=" "/>
    <n v="45287.430587200011"/>
    <s v=" "/>
    <s v=" "/>
    <s v=" "/>
    <s v=" "/>
    <s v=" "/>
    <s v=" "/>
    <s v=" "/>
    <s v=" "/>
    <s v=" "/>
    <s v=" "/>
    <s v=" "/>
    <s v=" "/>
    <x v="0"/>
    <x v="0"/>
    <x v="0"/>
    <x v="0"/>
    <x v="0"/>
    <x v="89"/>
    <x v="0"/>
    <x v="0"/>
    <x v="0"/>
    <x v="4"/>
    <x v="8"/>
    <x v="1"/>
    <x v="0"/>
    <x v="0"/>
    <x v="0"/>
    <x v="0"/>
    <x v="0"/>
    <x v="0"/>
    <x v="0"/>
    <x v="0"/>
    <x v="0"/>
    <x v="0"/>
    <x v="0"/>
    <x v="0"/>
    <x v="0"/>
    <x v="0"/>
    <x v="0"/>
    <x v="0"/>
    <x v="0"/>
    <x v="0"/>
    <x v="0"/>
    <x v="0"/>
    <x v="27"/>
    <x v="1"/>
    <x v="0"/>
    <x v="2"/>
    <x v="0"/>
    <x v="0"/>
    <x v="2"/>
    <x v="0"/>
    <x v="0"/>
    <x v="0"/>
    <x v="2"/>
    <x v="0"/>
    <x v="0"/>
    <x v="0"/>
    <x v="0"/>
    <x v="0"/>
    <x v="0"/>
    <x v="0"/>
    <x v="0"/>
    <x v="0"/>
    <x v="0"/>
    <x v="4"/>
    <x v="0"/>
    <x v="0"/>
    <x v="0"/>
    <x v="0"/>
    <x v="0"/>
    <x v="0"/>
    <x v="0"/>
    <x v="0"/>
    <x v="0"/>
    <x v="0"/>
    <x v="0"/>
    <x v="0"/>
    <x v="0"/>
    <x v="0"/>
    <x v="0"/>
    <x v="0"/>
    <x v="0"/>
    <x v="0"/>
    <x v="0"/>
    <x v="0"/>
    <x v="0"/>
    <x v="0"/>
    <x v="0"/>
    <x v="0"/>
    <x v="0"/>
    <x v="0"/>
    <x v="0"/>
    <x v="0"/>
    <x v="0"/>
    <x v="0"/>
    <x v="0"/>
    <x v="0"/>
    <x v="0"/>
    <x v="0"/>
    <x v="0"/>
    <x v="0"/>
    <x v="0"/>
    <x v="0"/>
    <x v="0"/>
  </r>
  <r>
    <x v="12"/>
    <x v="26"/>
    <x v="16"/>
    <x v="119"/>
    <x v="7"/>
    <n v="29.953437222000002"/>
    <n v="-25.826683889000002"/>
    <s v="29° 57' 12.37&quot;E "/>
    <s v="25° 49' 36.06&quot; S"/>
    <s v="YES"/>
    <s v="Yes"/>
    <s v="Yes"/>
    <d v="2017-01-31T00:00:00"/>
    <s v="YES "/>
    <s v="NO"/>
    <s v="NBC-GTW-CL-0061"/>
    <s v="Yes"/>
    <s v="00"/>
    <d v="2018-06-16T00:00:00"/>
    <s v="Phase 2"/>
    <s v="Year 3"/>
    <m/>
    <m/>
    <m/>
    <m/>
    <m/>
    <n v="25"/>
    <m/>
    <m/>
    <m/>
    <m/>
    <n v="25"/>
    <m/>
    <m/>
    <m/>
    <m/>
    <m/>
    <m/>
    <m/>
    <m/>
    <m/>
    <m/>
    <m/>
    <m/>
    <m/>
    <m/>
    <m/>
    <m/>
    <m/>
    <m/>
    <m/>
    <m/>
    <m/>
    <m/>
    <m/>
    <n v="2.8000000000000003"/>
    <n v="0.66666666666666674"/>
    <m/>
    <n v="1"/>
    <n v="0"/>
    <n v="8"/>
    <n v="6"/>
    <n v="0"/>
    <n v="0"/>
    <n v="0"/>
    <n v="9"/>
    <n v="0"/>
    <n v="0"/>
    <n v="0"/>
    <n v="0"/>
    <n v="0"/>
    <n v="0"/>
    <n v="0"/>
    <n v="0"/>
    <n v="0"/>
    <m/>
    <n v="74.900000000000006"/>
    <m/>
    <m/>
    <m/>
    <m/>
    <m/>
    <m/>
    <m/>
    <m/>
    <m/>
    <m/>
    <m/>
    <m/>
    <m/>
    <m/>
    <m/>
    <m/>
    <m/>
    <m/>
    <m/>
    <m/>
    <m/>
    <m/>
    <m/>
    <m/>
    <m/>
    <m/>
    <m/>
    <m/>
    <m/>
    <m/>
    <m/>
    <m/>
    <m/>
    <m/>
    <m/>
    <m/>
    <m/>
    <m/>
    <m/>
    <n v="0"/>
    <n v="0"/>
    <n v="0"/>
    <n v="0"/>
    <n v="0"/>
    <n v="2125"/>
    <n v="0"/>
    <n v="0"/>
    <n v="0"/>
    <n v="0"/>
    <n v="0"/>
    <n v="0"/>
    <n v="0"/>
    <n v="0"/>
    <n v="0"/>
    <n v="0"/>
    <n v="0"/>
    <n v="0"/>
    <n v="0"/>
    <n v="0"/>
    <n v="336.00000000000006"/>
    <n v="200.00000000000003"/>
    <n v="40325"/>
    <n v="0"/>
    <n v="2097.2000000000003"/>
    <n v="0"/>
    <n v="0"/>
    <n v="0"/>
    <n v="0"/>
    <n v="0"/>
    <n v="0"/>
    <n v="0"/>
    <n v="0"/>
    <n v="0"/>
    <n v="0"/>
    <n v="0"/>
    <n v="0"/>
    <n v="0"/>
    <n v="0"/>
    <n v="0"/>
    <n v="0"/>
    <n v="0"/>
    <n v="0"/>
    <n v="0"/>
    <n v="0"/>
    <n v="0"/>
    <n v="0"/>
    <n v="0"/>
    <n v="0"/>
    <n v="0"/>
    <n v="0"/>
    <n v="0"/>
    <n v="0"/>
    <n v="0"/>
    <n v="0"/>
    <n v="0"/>
    <n v="0"/>
    <n v="0"/>
    <n v="45083.199999999997"/>
    <s v=" "/>
    <s v=" "/>
    <n v="53694.812531200012"/>
    <s v=" "/>
    <s v=" "/>
    <s v=" "/>
    <s v=" "/>
    <s v=" "/>
    <s v=" "/>
    <s v=" "/>
    <s v=" "/>
    <s v=" "/>
    <s v=" "/>
    <s v=" "/>
    <s v=" "/>
    <x v="0"/>
    <x v="0"/>
    <x v="0"/>
    <x v="0"/>
    <x v="0"/>
    <x v="90"/>
    <x v="0"/>
    <x v="0"/>
    <x v="0"/>
    <x v="4"/>
    <x v="9"/>
    <x v="1"/>
    <x v="0"/>
    <x v="0"/>
    <x v="0"/>
    <x v="0"/>
    <x v="0"/>
    <x v="0"/>
    <x v="0"/>
    <x v="0"/>
    <x v="0"/>
    <x v="0"/>
    <x v="0"/>
    <x v="0"/>
    <x v="0"/>
    <x v="0"/>
    <x v="0"/>
    <x v="0"/>
    <x v="0"/>
    <x v="0"/>
    <x v="0"/>
    <x v="0"/>
    <x v="28"/>
    <x v="2"/>
    <x v="0"/>
    <x v="3"/>
    <x v="0"/>
    <x v="1"/>
    <x v="3"/>
    <x v="0"/>
    <x v="0"/>
    <x v="0"/>
    <x v="3"/>
    <x v="0"/>
    <x v="0"/>
    <x v="0"/>
    <x v="0"/>
    <x v="0"/>
    <x v="0"/>
    <x v="0"/>
    <x v="0"/>
    <x v="0"/>
    <x v="0"/>
    <x v="5"/>
    <x v="0"/>
    <x v="0"/>
    <x v="0"/>
    <x v="0"/>
    <x v="0"/>
    <x v="0"/>
    <x v="0"/>
    <x v="0"/>
    <x v="0"/>
    <x v="0"/>
    <x v="0"/>
    <x v="0"/>
    <x v="0"/>
    <x v="0"/>
    <x v="0"/>
    <x v="0"/>
    <x v="0"/>
    <x v="0"/>
    <x v="0"/>
    <x v="0"/>
    <x v="0"/>
    <x v="0"/>
    <x v="0"/>
    <x v="0"/>
    <x v="0"/>
    <x v="0"/>
    <x v="0"/>
    <x v="0"/>
    <x v="0"/>
    <x v="0"/>
    <x v="0"/>
    <x v="0"/>
    <x v="0"/>
    <x v="0"/>
    <x v="0"/>
    <x v="0"/>
    <x v="0"/>
    <x v="0"/>
    <x v="0"/>
  </r>
  <r>
    <x v="12"/>
    <x v="26"/>
    <x v="16"/>
    <x v="120"/>
    <x v="7"/>
    <n v="29.953675832999998"/>
    <n v="-25.826637000000002"/>
    <s v="29° 57' 13.23&quot;E "/>
    <s v="25° 49' 35.89&quot; S"/>
    <s v="YES"/>
    <s v="Yes"/>
    <s v="Yes"/>
    <d v="2017-01-31T00:00:00"/>
    <s v="YES "/>
    <s v="NO"/>
    <s v="NBC-GTW-CL-0062"/>
    <s v="Yes"/>
    <s v="00"/>
    <d v="2018-06-16T00:00:00"/>
    <s v="Phase 2"/>
    <s v="Year 3"/>
    <m/>
    <m/>
    <m/>
    <m/>
    <m/>
    <n v="22.08"/>
    <m/>
    <m/>
    <m/>
    <m/>
    <n v="22.08"/>
    <m/>
    <m/>
    <m/>
    <m/>
    <m/>
    <m/>
    <m/>
    <m/>
    <m/>
    <m/>
    <m/>
    <m/>
    <m/>
    <m/>
    <m/>
    <m/>
    <m/>
    <m/>
    <m/>
    <m/>
    <m/>
    <m/>
    <m/>
    <n v="0"/>
    <n v="3.0000000000000004"/>
    <m/>
    <n v="1"/>
    <n v="0"/>
    <n v="0"/>
    <n v="15"/>
    <n v="0"/>
    <n v="0"/>
    <n v="0"/>
    <n v="9.9"/>
    <n v="0"/>
    <n v="0"/>
    <n v="0"/>
    <n v="0"/>
    <n v="0"/>
    <n v="0"/>
    <n v="0"/>
    <n v="0"/>
    <n v="0"/>
    <m/>
    <n v="80.900000000000006"/>
    <m/>
    <m/>
    <m/>
    <m/>
    <m/>
    <m/>
    <m/>
    <m/>
    <m/>
    <m/>
    <m/>
    <m/>
    <m/>
    <m/>
    <m/>
    <m/>
    <m/>
    <m/>
    <m/>
    <m/>
    <m/>
    <m/>
    <m/>
    <m/>
    <m/>
    <m/>
    <m/>
    <m/>
    <m/>
    <m/>
    <m/>
    <m/>
    <m/>
    <m/>
    <m/>
    <m/>
    <m/>
    <m/>
    <m/>
    <n v="0"/>
    <n v="0"/>
    <n v="0"/>
    <n v="0"/>
    <n v="0"/>
    <n v="1876.8"/>
    <n v="0"/>
    <n v="0"/>
    <n v="0"/>
    <n v="0"/>
    <n v="0"/>
    <n v="0"/>
    <n v="0"/>
    <n v="0"/>
    <n v="0"/>
    <n v="0"/>
    <n v="0"/>
    <n v="0"/>
    <n v="0"/>
    <n v="0"/>
    <n v="0"/>
    <n v="900.00000000000011"/>
    <n v="43650"/>
    <n v="0"/>
    <n v="2265.2000000000003"/>
    <n v="0"/>
    <n v="0"/>
    <n v="0"/>
    <n v="0"/>
    <n v="0"/>
    <n v="0"/>
    <n v="0"/>
    <n v="0"/>
    <n v="0"/>
    <n v="0"/>
    <n v="0"/>
    <n v="0"/>
    <n v="0"/>
    <n v="0"/>
    <n v="0"/>
    <n v="0"/>
    <n v="0"/>
    <n v="0"/>
    <n v="0"/>
    <n v="0"/>
    <n v="0"/>
    <n v="0"/>
    <n v="0"/>
    <n v="0"/>
    <n v="0"/>
    <n v="0"/>
    <n v="0"/>
    <n v="0"/>
    <n v="0"/>
    <n v="0"/>
    <n v="0"/>
    <n v="0"/>
    <n v="0"/>
    <n v="48692"/>
    <s v=" "/>
    <s v=" "/>
    <n v="57992.951072000011"/>
    <s v=" "/>
    <s v=" "/>
    <s v=" "/>
    <s v=" "/>
    <s v=" "/>
    <s v=" "/>
    <s v=" "/>
    <s v=" "/>
    <s v=" "/>
    <s v=" "/>
    <s v=" "/>
    <s v=" "/>
    <x v="0"/>
    <x v="0"/>
    <x v="0"/>
    <x v="0"/>
    <x v="0"/>
    <x v="91"/>
    <x v="0"/>
    <x v="0"/>
    <x v="0"/>
    <x v="4"/>
    <x v="10"/>
    <x v="1"/>
    <x v="0"/>
    <x v="0"/>
    <x v="0"/>
    <x v="0"/>
    <x v="0"/>
    <x v="0"/>
    <x v="0"/>
    <x v="0"/>
    <x v="0"/>
    <x v="0"/>
    <x v="0"/>
    <x v="0"/>
    <x v="0"/>
    <x v="0"/>
    <x v="0"/>
    <x v="0"/>
    <x v="0"/>
    <x v="0"/>
    <x v="0"/>
    <x v="0"/>
    <x v="0"/>
    <x v="3"/>
    <x v="0"/>
    <x v="4"/>
    <x v="0"/>
    <x v="0"/>
    <x v="4"/>
    <x v="0"/>
    <x v="0"/>
    <x v="0"/>
    <x v="4"/>
    <x v="0"/>
    <x v="0"/>
    <x v="0"/>
    <x v="0"/>
    <x v="0"/>
    <x v="0"/>
    <x v="0"/>
    <x v="0"/>
    <x v="0"/>
    <x v="0"/>
    <x v="6"/>
    <x v="0"/>
    <x v="0"/>
    <x v="0"/>
    <x v="0"/>
    <x v="0"/>
    <x v="0"/>
    <x v="0"/>
    <x v="0"/>
    <x v="0"/>
    <x v="0"/>
    <x v="0"/>
    <x v="0"/>
    <x v="0"/>
    <x v="0"/>
    <x v="0"/>
    <x v="0"/>
    <x v="0"/>
    <x v="0"/>
    <x v="0"/>
    <x v="0"/>
    <x v="0"/>
    <x v="0"/>
    <x v="0"/>
    <x v="0"/>
    <x v="0"/>
    <x v="0"/>
    <x v="0"/>
    <x v="0"/>
    <x v="0"/>
    <x v="0"/>
    <x v="0"/>
    <x v="0"/>
    <x v="0"/>
    <x v="0"/>
    <x v="0"/>
    <x v="0"/>
    <x v="0"/>
    <x v="0"/>
    <x v="0"/>
  </r>
  <r>
    <x v="12"/>
    <x v="26"/>
    <x v="16"/>
    <x v="121"/>
    <x v="7"/>
    <n v="29.954265555999999"/>
    <n v="-25.826652778"/>
    <s v="29° 57' 15.35&quot;E "/>
    <s v="25° 49' 35.95&quot; S"/>
    <s v="YES"/>
    <s v="Yes"/>
    <s v="Yes"/>
    <d v="2017-01-31T00:00:00"/>
    <s v="YES "/>
    <s v="NO"/>
    <s v="NBC-GTW-CL-0063"/>
    <s v="Yes"/>
    <s v="00"/>
    <d v="2018-06-16T00:00:00"/>
    <s v="Phase 2"/>
    <s v="Year 3"/>
    <m/>
    <m/>
    <m/>
    <m/>
    <m/>
    <n v="24.48"/>
    <m/>
    <m/>
    <m/>
    <m/>
    <n v="24.48"/>
    <m/>
    <m/>
    <m/>
    <m/>
    <m/>
    <m/>
    <m/>
    <m/>
    <m/>
    <m/>
    <m/>
    <m/>
    <m/>
    <m/>
    <m/>
    <m/>
    <m/>
    <m/>
    <m/>
    <m/>
    <m/>
    <m/>
    <m/>
    <n v="0"/>
    <n v="1.0083333333333335"/>
    <m/>
    <n v="1"/>
    <n v="0"/>
    <n v="4"/>
    <n v="12"/>
    <n v="0"/>
    <n v="0"/>
    <n v="0"/>
    <n v="10.8"/>
    <n v="0"/>
    <n v="0"/>
    <n v="0"/>
    <n v="0"/>
    <n v="0"/>
    <n v="0"/>
    <n v="0"/>
    <n v="0"/>
    <n v="0"/>
    <m/>
    <n v="83.9"/>
    <m/>
    <m/>
    <m/>
    <m/>
    <m/>
    <m/>
    <m/>
    <m/>
    <m/>
    <m/>
    <m/>
    <m/>
    <m/>
    <m/>
    <m/>
    <m/>
    <m/>
    <m/>
    <m/>
    <m/>
    <m/>
    <m/>
    <m/>
    <m/>
    <m/>
    <m/>
    <m/>
    <m/>
    <m/>
    <m/>
    <m/>
    <m/>
    <m/>
    <m/>
    <m/>
    <m/>
    <m/>
    <m/>
    <m/>
    <n v="0"/>
    <n v="0"/>
    <n v="0"/>
    <n v="0"/>
    <n v="0"/>
    <n v="2080.8000000000002"/>
    <n v="0"/>
    <n v="0"/>
    <n v="0"/>
    <n v="0"/>
    <n v="0"/>
    <n v="0"/>
    <n v="0"/>
    <n v="0"/>
    <n v="0"/>
    <n v="0"/>
    <n v="0"/>
    <n v="0"/>
    <n v="0"/>
    <n v="0"/>
    <n v="0"/>
    <n v="302.50000000000006"/>
    <n v="46975"/>
    <n v="0"/>
    <n v="2349.2000000000003"/>
    <n v="0"/>
    <n v="0"/>
    <n v="0"/>
    <n v="0"/>
    <n v="0"/>
    <n v="0"/>
    <n v="0"/>
    <n v="0"/>
    <n v="0"/>
    <n v="0"/>
    <n v="0"/>
    <n v="0"/>
    <n v="0"/>
    <n v="0"/>
    <n v="0"/>
    <n v="0"/>
    <n v="0"/>
    <n v="0"/>
    <n v="0"/>
    <n v="0"/>
    <n v="0"/>
    <n v="0"/>
    <n v="0"/>
    <n v="0"/>
    <n v="0"/>
    <n v="0"/>
    <n v="0"/>
    <n v="0"/>
    <n v="0"/>
    <n v="0"/>
    <n v="0"/>
    <n v="0"/>
    <n v="0"/>
    <n v="51707.5"/>
    <s v=" "/>
    <s v=" "/>
    <n v="61584.459820000011"/>
    <s v=" "/>
    <s v=" "/>
    <s v=" "/>
    <s v=" "/>
    <s v=" "/>
    <s v=" "/>
    <s v=" "/>
    <s v=" "/>
    <s v=" "/>
    <s v=" "/>
    <s v=" "/>
    <s v=" "/>
    <x v="0"/>
    <x v="0"/>
    <x v="0"/>
    <x v="0"/>
    <x v="0"/>
    <x v="92"/>
    <x v="0"/>
    <x v="0"/>
    <x v="0"/>
    <x v="4"/>
    <x v="11"/>
    <x v="1"/>
    <x v="0"/>
    <x v="0"/>
    <x v="0"/>
    <x v="0"/>
    <x v="0"/>
    <x v="0"/>
    <x v="0"/>
    <x v="0"/>
    <x v="0"/>
    <x v="0"/>
    <x v="0"/>
    <x v="0"/>
    <x v="0"/>
    <x v="0"/>
    <x v="0"/>
    <x v="0"/>
    <x v="0"/>
    <x v="0"/>
    <x v="0"/>
    <x v="0"/>
    <x v="0"/>
    <x v="4"/>
    <x v="0"/>
    <x v="5"/>
    <x v="0"/>
    <x v="2"/>
    <x v="5"/>
    <x v="0"/>
    <x v="0"/>
    <x v="0"/>
    <x v="5"/>
    <x v="0"/>
    <x v="0"/>
    <x v="0"/>
    <x v="0"/>
    <x v="0"/>
    <x v="0"/>
    <x v="0"/>
    <x v="0"/>
    <x v="0"/>
    <x v="0"/>
    <x v="7"/>
    <x v="0"/>
    <x v="0"/>
    <x v="0"/>
    <x v="0"/>
    <x v="0"/>
    <x v="0"/>
    <x v="0"/>
    <x v="0"/>
    <x v="0"/>
    <x v="0"/>
    <x v="0"/>
    <x v="0"/>
    <x v="0"/>
    <x v="0"/>
    <x v="0"/>
    <x v="0"/>
    <x v="0"/>
    <x v="0"/>
    <x v="0"/>
    <x v="0"/>
    <x v="0"/>
    <x v="0"/>
    <x v="0"/>
    <x v="0"/>
    <x v="0"/>
    <x v="0"/>
    <x v="0"/>
    <x v="0"/>
    <x v="0"/>
    <x v="0"/>
    <x v="0"/>
    <x v="0"/>
    <x v="0"/>
    <x v="0"/>
    <x v="0"/>
    <x v="0"/>
    <x v="0"/>
    <x v="0"/>
    <x v="0"/>
  </r>
  <r>
    <x v="12"/>
    <x v="25"/>
    <x v="0"/>
    <x v="122"/>
    <x v="7"/>
    <n v="29.955486944"/>
    <n v="-25.826356944"/>
    <s v="29° 57' 19.75&quot;E "/>
    <s v="25° 49' 34.88&quot; S"/>
    <s v="Complete"/>
    <s v="Yes"/>
    <s v="Yes"/>
    <d v="2017-05-31T00:00:00"/>
    <s v="NA"/>
    <s v="NA"/>
    <s v="No Drawing"/>
    <s v="Yes"/>
    <s v="00"/>
    <d v="2018-06-16T00:00:00"/>
    <s v="Phase 2"/>
    <s v="Year 3"/>
    <n v="0"/>
    <n v="744.23250000000007"/>
    <n v="0"/>
    <n v="0"/>
    <n v="0"/>
    <n v="0"/>
    <n v="0"/>
    <n v="0"/>
    <n v="1782"/>
    <n v="1782"/>
    <n v="372.11625000000004"/>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n v="0"/>
    <n v="37211.625"/>
    <n v="0"/>
    <n v="0"/>
    <n v="0"/>
    <n v="0"/>
    <n v="0"/>
    <n v="0"/>
    <n v="8910"/>
    <n v="17820"/>
    <n v="0"/>
    <n v="0"/>
    <n v="0"/>
    <n v="0"/>
    <n v="0"/>
    <n v="0"/>
    <n v="0"/>
    <n v="0"/>
    <n v="0"/>
    <n v="0"/>
    <n v="0"/>
    <n v="0"/>
    <n v="0"/>
    <n v="0"/>
    <n v="0"/>
    <n v="0"/>
    <n v="0"/>
    <n v="0"/>
    <n v="0"/>
    <n v="0"/>
    <n v="0"/>
    <n v="0"/>
    <n v="0"/>
    <n v="0"/>
    <n v="0"/>
    <n v="0"/>
    <n v="0"/>
    <n v="0"/>
    <n v="0"/>
    <n v="0"/>
    <n v="0"/>
    <n v="0"/>
    <n v="0"/>
    <n v="0"/>
    <n v="0"/>
    <n v="0"/>
    <n v="0"/>
    <n v="0"/>
    <n v="0"/>
    <n v="0"/>
    <n v="0"/>
    <n v="0"/>
    <n v="0"/>
    <n v="0"/>
    <n v="0"/>
    <n v="0"/>
    <n v="0"/>
    <n v="0"/>
    <n v="63941.625"/>
    <s v=" "/>
    <s v=" "/>
    <n v="76155.498441000003"/>
    <s v=" "/>
    <s v=" "/>
    <s v=" "/>
    <s v=" "/>
    <s v=" "/>
    <s v=" "/>
    <s v=" "/>
    <s v=" "/>
    <s v=" "/>
    <s v=" "/>
    <s v=" "/>
    <s v=" "/>
    <x v="0"/>
    <x v="17"/>
    <x v="0"/>
    <x v="0"/>
    <x v="0"/>
    <x v="1"/>
    <x v="0"/>
    <x v="0"/>
    <x v="49"/>
    <x v="50"/>
    <x v="12"/>
    <x v="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x v="12"/>
    <x v="28"/>
    <x v="18"/>
    <x v="123"/>
    <x v="7"/>
    <n v="29.950704900000002"/>
    <n v="-25.830577399999999"/>
    <s v="29° 57' 02.53&quot;E "/>
    <s v="25° 49' 50.07&quot; S"/>
    <s v="Complete"/>
    <n v="0"/>
    <s v="Yes"/>
    <d v="1899-12-30T00:00:00"/>
    <s v="NA"/>
    <s v="NA"/>
    <s v="No Drawing"/>
    <s v="Yes"/>
    <s v="00"/>
    <d v="2018-06-16T00:00:00"/>
    <s v="Phase 2"/>
    <s v="Year 3"/>
    <n v="6032.3099999999995"/>
    <n v="0"/>
    <n v="0"/>
    <n v="0"/>
    <n v="0"/>
    <n v="500"/>
    <n v="0"/>
    <n v="0"/>
    <n v="6032.3099999999995"/>
    <n v="6032.3099999999995"/>
    <n v="0"/>
    <n v="0"/>
    <n v="0"/>
    <n v="0"/>
    <n v="0"/>
    <n v="0"/>
    <n v="0"/>
    <n v="0"/>
    <n v="0"/>
    <n v="0"/>
    <n v="0"/>
    <n v="0"/>
    <n v="0"/>
    <n v="0"/>
    <n v="0"/>
    <n v="0"/>
    <n v="0"/>
    <n v="0"/>
    <n v="0"/>
    <n v="0"/>
    <n v="0"/>
    <n v="0"/>
    <n v="0"/>
    <n v="0"/>
    <n v="3454"/>
    <n v="0"/>
    <n v="0"/>
    <n v="0"/>
    <n v="0"/>
    <n v="0"/>
    <n v="0"/>
    <n v="0"/>
    <n v="0"/>
    <n v="0"/>
    <n v="0"/>
    <n v="0"/>
    <n v="0"/>
    <n v="0"/>
    <n v="0"/>
    <n v="0"/>
    <n v="0"/>
    <n v="0"/>
    <n v="0"/>
    <n v="0"/>
    <n v="0"/>
    <n v="0"/>
    <n v="0"/>
    <n v="0"/>
    <n v="0"/>
    <n v="0"/>
    <n v="0"/>
    <n v="0"/>
    <n v="0"/>
    <n v="0"/>
    <n v="0"/>
    <n v="0"/>
    <n v="0"/>
    <n v="0"/>
    <n v="0"/>
    <n v="0"/>
    <n v="0"/>
    <n v="0"/>
    <n v="0"/>
    <n v="0"/>
    <m/>
    <m/>
    <m/>
    <m/>
    <m/>
    <m/>
    <m/>
    <m/>
    <m/>
    <m/>
    <m/>
    <m/>
    <m/>
    <m/>
    <m/>
    <m/>
    <m/>
    <m/>
    <m/>
    <m/>
    <m/>
    <n v="30161.549999999996"/>
    <n v="0"/>
    <n v="0"/>
    <n v="0"/>
    <n v="0"/>
    <n v="42500"/>
    <n v="0"/>
    <n v="0"/>
    <n v="30161.549999999996"/>
    <n v="60323.099999999991"/>
    <n v="0"/>
    <n v="0"/>
    <n v="0"/>
    <n v="0"/>
    <n v="0"/>
    <n v="0"/>
    <n v="0"/>
    <n v="0"/>
    <n v="0"/>
    <n v="0"/>
    <n v="414480"/>
    <n v="0"/>
    <n v="0"/>
    <n v="0"/>
    <n v="0"/>
    <n v="0"/>
    <n v="0"/>
    <n v="0"/>
    <n v="0"/>
    <n v="0"/>
    <n v="0"/>
    <n v="0"/>
    <n v="0"/>
    <n v="0"/>
    <n v="0"/>
    <n v="0"/>
    <n v="0"/>
    <n v="0"/>
    <n v="0"/>
    <n v="0"/>
    <n v="0"/>
    <n v="0"/>
    <n v="0"/>
    <n v="0"/>
    <n v="0"/>
    <n v="0"/>
    <n v="0"/>
    <n v="0"/>
    <n v="0"/>
    <n v="0"/>
    <n v="0"/>
    <n v="0"/>
    <n v="0"/>
    <n v="0"/>
    <n v="0"/>
    <n v="0"/>
    <n v="0"/>
    <n v="0"/>
    <n v="577626.19999999995"/>
    <s v=" "/>
    <s v=" "/>
    <n v="687962.04621920013"/>
    <s v=" "/>
    <s v=" "/>
    <s v=" "/>
    <s v=" "/>
    <s v=" "/>
    <s v=" "/>
    <s v=" "/>
    <s v=" "/>
    <s v=" "/>
    <s v=" "/>
    <s v=" "/>
    <s v=" "/>
    <x v="47"/>
    <x v="0"/>
    <x v="0"/>
    <x v="0"/>
    <x v="0"/>
    <x v="93"/>
    <x v="0"/>
    <x v="0"/>
    <x v="50"/>
    <x v="51"/>
    <x v="1"/>
    <x v="1"/>
    <x v="0"/>
    <x v="0"/>
    <x v="0"/>
    <x v="0"/>
    <x v="0"/>
    <x v="0"/>
    <x v="0"/>
    <x v="0"/>
    <x v="0"/>
    <x v="0"/>
    <x v="0"/>
    <x v="0"/>
    <x v="0"/>
    <x v="0"/>
    <x v="0"/>
    <x v="0"/>
    <x v="0"/>
    <x v="0"/>
    <x v="0"/>
    <x v="0"/>
    <x v="29"/>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x v="13"/>
    <x v="11"/>
    <x v="0"/>
    <x v="124"/>
    <x v="4"/>
    <n v="29.997084167000001"/>
    <n v="-25.814247777999999"/>
    <s v="29° 59' 49.50&quot;E "/>
    <s v="25° 48' 51.29&quot; S"/>
    <s v="Complete"/>
    <s v="Yes"/>
    <s v="Yes"/>
    <d v="2017-05-31T00:00:00"/>
    <s v="NA"/>
    <s v="NA"/>
    <s v="No Drawing"/>
    <s v="Yes"/>
    <s v="00"/>
    <d v="2018-06-16T00:00:00"/>
    <s v="Phase 2"/>
    <s v="Year 1"/>
    <n v="977.74475386160645"/>
    <n v="188"/>
    <n v="0"/>
    <n v="0"/>
    <n v="0"/>
    <n v="0"/>
    <n v="0"/>
    <n v="0"/>
    <n v="594"/>
    <n v="594"/>
    <n v="188"/>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n v="4888.7237693080324"/>
    <n v="9400"/>
    <n v="0"/>
    <n v="0"/>
    <n v="0"/>
    <n v="0"/>
    <n v="0"/>
    <n v="0"/>
    <n v="2970"/>
    <n v="5940"/>
    <n v="0"/>
    <n v="0"/>
    <n v="0"/>
    <n v="0"/>
    <n v="0"/>
    <n v="0"/>
    <n v="0"/>
    <n v="0"/>
    <n v="0"/>
    <n v="0"/>
    <n v="0"/>
    <n v="0"/>
    <n v="0"/>
    <n v="0"/>
    <n v="0"/>
    <n v="0"/>
    <n v="0"/>
    <n v="0"/>
    <n v="0"/>
    <n v="0"/>
    <n v="0"/>
    <n v="0"/>
    <n v="0"/>
    <n v="0"/>
    <n v="0"/>
    <n v="0"/>
    <n v="0"/>
    <n v="0"/>
    <n v="0"/>
    <n v="0"/>
    <n v="0"/>
    <n v="0"/>
    <n v="0"/>
    <n v="0"/>
    <n v="0"/>
    <n v="0"/>
    <n v="0"/>
    <n v="0"/>
    <n v="0"/>
    <n v="0"/>
    <n v="0"/>
    <n v="0"/>
    <n v="0"/>
    <n v="0"/>
    <n v="0"/>
    <n v="0"/>
    <n v="0"/>
    <n v="0"/>
    <n v="23198.723769308031"/>
    <n v="24590.647195466514"/>
    <s v=" "/>
    <s v=" "/>
    <s v=" "/>
    <s v=" "/>
    <s v=" "/>
    <s v=" "/>
    <s v=" "/>
    <s v=" "/>
    <s v=" "/>
    <s v=" "/>
    <s v=" "/>
    <s v=" "/>
    <s v=" "/>
    <s v=" "/>
    <x v="48"/>
    <x v="18"/>
    <x v="0"/>
    <x v="0"/>
    <x v="0"/>
    <x v="1"/>
    <x v="0"/>
    <x v="0"/>
    <x v="51"/>
    <x v="52"/>
    <x v="13"/>
    <x v="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x v="14"/>
    <x v="12"/>
    <x v="7"/>
    <x v="125"/>
    <x v="9"/>
    <n v="29.969008333000001"/>
    <n v="-25.813643889000002"/>
    <s v="29° 58' 08.42&quot;E "/>
    <s v="25° 48' 49.11&quot; S"/>
    <s v="Complete"/>
    <s v="Yes"/>
    <s v="Yes"/>
    <d v="2017-05-29T00:00:00"/>
    <s v="NA"/>
    <s v="NA"/>
    <s v="No Drawing"/>
    <s v="Yes"/>
    <s v="00"/>
    <d v="2018-06-16T00:00:00"/>
    <s v="Phase 2"/>
    <s v="Year 3"/>
    <n v="380"/>
    <n v="0"/>
    <n v="0"/>
    <n v="0"/>
    <n v="0"/>
    <n v="0"/>
    <n v="0"/>
    <n v="0"/>
    <n v="180"/>
    <n v="180"/>
    <n v="0"/>
    <n v="0"/>
    <n v="0"/>
    <n v="0"/>
    <n v="0"/>
    <n v="0"/>
    <n v="0"/>
    <n v="0"/>
    <n v="0"/>
    <n v="0"/>
    <n v="0"/>
    <n v="0"/>
    <n v="0"/>
    <n v="0"/>
    <n v="0"/>
    <n v="0"/>
    <n v="0"/>
    <n v="0"/>
    <n v="0"/>
    <n v="0"/>
    <n v="0"/>
    <n v="0"/>
    <n v="0"/>
    <n v="0"/>
    <n v="90"/>
    <n v="0"/>
    <n v="0"/>
    <n v="0"/>
    <n v="0"/>
    <n v="0"/>
    <n v="0"/>
    <n v="0"/>
    <n v="0"/>
    <n v="0"/>
    <n v="0"/>
    <n v="0"/>
    <n v="0"/>
    <n v="0"/>
    <n v="0"/>
    <n v="0"/>
    <n v="0"/>
    <n v="0"/>
    <n v="0"/>
    <n v="0"/>
    <n v="0"/>
    <n v="0"/>
    <n v="0"/>
    <n v="0"/>
    <n v="0"/>
    <n v="0"/>
    <n v="0"/>
    <n v="0"/>
    <n v="0"/>
    <n v="0"/>
    <n v="0"/>
    <n v="0"/>
    <n v="0"/>
    <n v="0"/>
    <n v="0"/>
    <n v="0"/>
    <n v="0"/>
    <n v="0"/>
    <n v="0"/>
    <n v="0"/>
    <n v="0"/>
    <n v="0"/>
    <n v="0"/>
    <n v="0"/>
    <n v="0"/>
    <n v="0"/>
    <n v="0"/>
    <n v="0"/>
    <n v="0"/>
    <n v="0"/>
    <n v="0"/>
    <n v="0"/>
    <m/>
    <m/>
    <m/>
    <m/>
    <m/>
    <m/>
    <m/>
    <m/>
    <m/>
    <n v="1900"/>
    <n v="0"/>
    <n v="0"/>
    <n v="0"/>
    <n v="0"/>
    <n v="0"/>
    <n v="0"/>
    <n v="0"/>
    <n v="900"/>
    <n v="1800"/>
    <n v="0"/>
    <n v="0"/>
    <n v="0"/>
    <n v="0"/>
    <n v="0"/>
    <n v="0"/>
    <n v="0"/>
    <n v="0"/>
    <n v="0"/>
    <n v="0"/>
    <n v="10800"/>
    <n v="0"/>
    <n v="0"/>
    <n v="0"/>
    <n v="0"/>
    <n v="0"/>
    <n v="0"/>
    <n v="0"/>
    <n v="0"/>
    <n v="0"/>
    <n v="0"/>
    <n v="0"/>
    <n v="0"/>
    <n v="0"/>
    <n v="0"/>
    <n v="0"/>
    <n v="0"/>
    <n v="0"/>
    <n v="0"/>
    <n v="0"/>
    <n v="0"/>
    <n v="0"/>
    <n v="0"/>
    <n v="0"/>
    <n v="0"/>
    <n v="0"/>
    <n v="0"/>
    <n v="0"/>
    <n v="0"/>
    <n v="0"/>
    <n v="0"/>
    <n v="0"/>
    <n v="0"/>
    <n v="0"/>
    <n v="0"/>
    <n v="0"/>
    <n v="0"/>
    <n v="0"/>
    <n v="15400"/>
    <s v=" "/>
    <s v=" "/>
    <n v="18341.646400000005"/>
    <s v=" "/>
    <s v=" "/>
    <s v=" "/>
    <s v=" "/>
    <s v=" "/>
    <s v=" "/>
    <s v=" "/>
    <s v=" "/>
    <s v=" "/>
    <s v=" "/>
    <s v=" "/>
    <s v=" "/>
    <x v="49"/>
    <x v="0"/>
    <x v="0"/>
    <x v="0"/>
    <x v="0"/>
    <x v="1"/>
    <x v="0"/>
    <x v="0"/>
    <x v="52"/>
    <x v="53"/>
    <x v="1"/>
    <x v="1"/>
    <x v="0"/>
    <x v="0"/>
    <x v="0"/>
    <x v="0"/>
    <x v="0"/>
    <x v="0"/>
    <x v="0"/>
    <x v="0"/>
    <x v="0"/>
    <x v="0"/>
    <x v="0"/>
    <x v="0"/>
    <x v="0"/>
    <x v="0"/>
    <x v="0"/>
    <x v="0"/>
    <x v="0"/>
    <x v="0"/>
    <x v="0"/>
    <x v="0"/>
    <x v="3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x v="14"/>
    <x v="12"/>
    <x v="7"/>
    <x v="126"/>
    <x v="9"/>
    <n v="29.969159999999999"/>
    <n v="-25.813644444000001"/>
    <s v="29° 58' 08.97&quot;E "/>
    <s v="25° 48' 49.11&quot; S"/>
    <s v="Complete"/>
    <s v="Yes"/>
    <s v="Yes"/>
    <d v="2017-05-29T00:00:00"/>
    <s v="NA"/>
    <s v="NA"/>
    <s v="No Drawing"/>
    <s v="Yes"/>
    <s v="00"/>
    <d v="2018-06-16T00:00:00"/>
    <s v="Phase 2"/>
    <s v="Year 3"/>
    <n v="461.04092228712886"/>
    <n v="0"/>
    <n v="0"/>
    <n v="0"/>
    <n v="0"/>
    <n v="0"/>
    <n v="0"/>
    <n v="0"/>
    <n v="450"/>
    <n v="450"/>
    <n v="0"/>
    <n v="0"/>
    <n v="0"/>
    <n v="0"/>
    <n v="0"/>
    <n v="0"/>
    <n v="0"/>
    <n v="0"/>
    <n v="0"/>
    <n v="0"/>
    <n v="0"/>
    <n v="0"/>
    <n v="0"/>
    <n v="0"/>
    <n v="0"/>
    <n v="0"/>
    <n v="0"/>
    <n v="0"/>
    <n v="0"/>
    <n v="0"/>
    <n v="0"/>
    <n v="0"/>
    <n v="0"/>
    <n v="0"/>
    <n v="81.899999999999991"/>
    <n v="0"/>
    <n v="0"/>
    <n v="0"/>
    <n v="0"/>
    <n v="0"/>
    <n v="0"/>
    <n v="0"/>
    <n v="0"/>
    <n v="0"/>
    <n v="0"/>
    <n v="0"/>
    <n v="0"/>
    <n v="0"/>
    <n v="0"/>
    <n v="0"/>
    <n v="0"/>
    <n v="0"/>
    <n v="0"/>
    <n v="0"/>
    <n v="0"/>
    <n v="0"/>
    <n v="0"/>
    <n v="0"/>
    <n v="0"/>
    <n v="0"/>
    <n v="0"/>
    <n v="0"/>
    <n v="0"/>
    <n v="0"/>
    <n v="0"/>
    <n v="0"/>
    <n v="0"/>
    <n v="0"/>
    <n v="0"/>
    <n v="0"/>
    <n v="0"/>
    <n v="0"/>
    <n v="0"/>
    <n v="0"/>
    <n v="0"/>
    <n v="0"/>
    <n v="0"/>
    <n v="0"/>
    <n v="0"/>
    <n v="0"/>
    <n v="0"/>
    <n v="0"/>
    <n v="0"/>
    <n v="0"/>
    <n v="0"/>
    <n v="0"/>
    <m/>
    <m/>
    <m/>
    <m/>
    <m/>
    <m/>
    <m/>
    <m/>
    <m/>
    <n v="2305.2046114356444"/>
    <n v="0"/>
    <n v="0"/>
    <n v="0"/>
    <n v="0"/>
    <n v="0"/>
    <n v="0"/>
    <n v="0"/>
    <n v="2250"/>
    <n v="4500"/>
    <n v="0"/>
    <n v="0"/>
    <n v="0"/>
    <n v="0"/>
    <n v="0"/>
    <n v="0"/>
    <n v="0"/>
    <n v="0"/>
    <n v="0"/>
    <n v="0"/>
    <n v="9827.9999999999982"/>
    <n v="0"/>
    <n v="0"/>
    <n v="0"/>
    <n v="0"/>
    <n v="0"/>
    <n v="0"/>
    <n v="0"/>
    <n v="0"/>
    <n v="0"/>
    <n v="0"/>
    <n v="0"/>
    <n v="0"/>
    <n v="0"/>
    <n v="0"/>
    <n v="0"/>
    <n v="0"/>
    <n v="0"/>
    <n v="0"/>
    <n v="0"/>
    <n v="0"/>
    <n v="0"/>
    <n v="0"/>
    <n v="0"/>
    <n v="0"/>
    <n v="0"/>
    <n v="0"/>
    <n v="0"/>
    <n v="0"/>
    <n v="0"/>
    <n v="0"/>
    <n v="0"/>
    <n v="0"/>
    <n v="0"/>
    <n v="0"/>
    <n v="0"/>
    <n v="0"/>
    <n v="0"/>
    <n v="18883.204611435642"/>
    <s v=" "/>
    <s v=" "/>
    <n v="22490.198823493636"/>
    <s v=" "/>
    <s v=" "/>
    <s v=" "/>
    <s v=" "/>
    <s v=" "/>
    <s v=" "/>
    <s v=" "/>
    <s v=" "/>
    <s v=" "/>
    <s v=" "/>
    <s v=" "/>
    <s v=" "/>
    <x v="50"/>
    <x v="0"/>
    <x v="0"/>
    <x v="0"/>
    <x v="0"/>
    <x v="1"/>
    <x v="0"/>
    <x v="0"/>
    <x v="53"/>
    <x v="54"/>
    <x v="1"/>
    <x v="1"/>
    <x v="0"/>
    <x v="0"/>
    <x v="0"/>
    <x v="0"/>
    <x v="0"/>
    <x v="0"/>
    <x v="0"/>
    <x v="0"/>
    <x v="0"/>
    <x v="0"/>
    <x v="0"/>
    <x v="0"/>
    <x v="0"/>
    <x v="0"/>
    <x v="0"/>
    <x v="0"/>
    <x v="0"/>
    <x v="0"/>
    <x v="0"/>
    <x v="0"/>
    <x v="3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x v="14"/>
    <x v="29"/>
    <x v="7"/>
    <x v="127"/>
    <x v="9"/>
    <n v="29.970862222000001"/>
    <n v="-25.813888056"/>
    <s v="29° 58' 15.10&quot;E "/>
    <s v="25° 48' 49.99&quot; S"/>
    <s v="Complete"/>
    <s v="Yes"/>
    <s v="Yes"/>
    <d v="2017-05-29T00:00:00"/>
    <s v="YES "/>
    <s v="NO"/>
    <s v="NBC-GTW-CL-0051"/>
    <s v="Yes"/>
    <s v="00"/>
    <d v="2018-06-16T00:00:00"/>
    <s v="Phase 2"/>
    <s v="Year 3"/>
    <n v="190.75533221704055"/>
    <n v="0"/>
    <n v="0"/>
    <n v="0"/>
    <n v="0"/>
    <n v="0"/>
    <n v="0"/>
    <n v="0"/>
    <n v="190.75533221704055"/>
    <n v="190.75533221704055"/>
    <n v="0"/>
    <n v="0"/>
    <n v="0"/>
    <n v="0"/>
    <n v="0"/>
    <n v="0"/>
    <n v="0"/>
    <n v="0"/>
    <n v="0"/>
    <n v="0"/>
    <n v="0"/>
    <n v="0"/>
    <n v="0"/>
    <n v="0"/>
    <n v="0"/>
    <n v="0"/>
    <n v="0"/>
    <n v="0"/>
    <n v="0"/>
    <n v="0"/>
    <n v="0"/>
    <n v="0"/>
    <n v="0"/>
    <n v="0"/>
    <n v="57.375"/>
    <n v="0"/>
    <n v="0"/>
    <n v="0"/>
    <n v="0"/>
    <n v="0"/>
    <n v="0"/>
    <n v="0"/>
    <n v="0"/>
    <n v="0"/>
    <n v="0"/>
    <n v="0"/>
    <n v="0"/>
    <n v="0"/>
    <n v="0"/>
    <n v="0"/>
    <n v="0"/>
    <n v="0"/>
    <n v="0"/>
    <n v="0"/>
    <n v="0"/>
    <n v="0"/>
    <n v="0"/>
    <n v="0"/>
    <n v="0"/>
    <n v="0"/>
    <n v="0"/>
    <n v="0"/>
    <n v="0"/>
    <n v="0"/>
    <n v="0"/>
    <n v="0"/>
    <n v="0"/>
    <n v="0"/>
    <n v="0"/>
    <n v="0"/>
    <n v="0"/>
    <n v="0"/>
    <n v="0"/>
    <n v="0"/>
    <n v="0"/>
    <n v="0"/>
    <n v="0"/>
    <n v="0"/>
    <n v="0"/>
    <n v="0"/>
    <n v="0"/>
    <n v="0"/>
    <n v="0"/>
    <m/>
    <m/>
    <m/>
    <m/>
    <m/>
    <m/>
    <m/>
    <m/>
    <m/>
    <m/>
    <m/>
    <m/>
    <n v="953.7766610852027"/>
    <n v="0"/>
    <n v="0"/>
    <n v="0"/>
    <n v="0"/>
    <n v="0"/>
    <n v="0"/>
    <n v="0"/>
    <n v="953.7766610852027"/>
    <n v="1907.5533221704054"/>
    <n v="0"/>
    <n v="0"/>
    <n v="0"/>
    <n v="0"/>
    <n v="0"/>
    <n v="0"/>
    <n v="0"/>
    <n v="0"/>
    <n v="0"/>
    <n v="0"/>
    <n v="6885"/>
    <n v="0"/>
    <n v="0"/>
    <n v="0"/>
    <n v="0"/>
    <n v="0"/>
    <n v="0"/>
    <n v="0"/>
    <n v="0"/>
    <n v="0"/>
    <n v="0"/>
    <n v="0"/>
    <n v="0"/>
    <n v="0"/>
    <n v="0"/>
    <n v="0"/>
    <n v="0"/>
    <n v="0"/>
    <n v="0"/>
    <n v="0"/>
    <n v="0"/>
    <n v="0"/>
    <n v="0"/>
    <n v="0"/>
    <n v="0"/>
    <n v="0"/>
    <n v="0"/>
    <n v="0"/>
    <n v="0"/>
    <n v="0"/>
    <n v="0"/>
    <n v="0"/>
    <n v="0"/>
    <n v="0"/>
    <n v="0"/>
    <n v="0"/>
    <n v="0"/>
    <n v="0"/>
    <n v="10700.106644340811"/>
    <s v=" "/>
    <s v=" "/>
    <n v="12743.998215116217"/>
    <s v=" "/>
    <s v=" "/>
    <s v=" "/>
    <s v=" "/>
    <s v=" "/>
    <s v=" "/>
    <s v=" "/>
    <s v=" "/>
    <s v=" "/>
    <s v=" "/>
    <s v=" "/>
    <s v=" "/>
    <x v="51"/>
    <x v="0"/>
    <x v="0"/>
    <x v="0"/>
    <x v="0"/>
    <x v="1"/>
    <x v="0"/>
    <x v="0"/>
    <x v="54"/>
    <x v="55"/>
    <x v="1"/>
    <x v="1"/>
    <x v="0"/>
    <x v="0"/>
    <x v="0"/>
    <x v="0"/>
    <x v="0"/>
    <x v="0"/>
    <x v="0"/>
    <x v="0"/>
    <x v="0"/>
    <x v="0"/>
    <x v="0"/>
    <x v="0"/>
    <x v="0"/>
    <x v="0"/>
    <x v="0"/>
    <x v="0"/>
    <x v="0"/>
    <x v="0"/>
    <x v="0"/>
    <x v="0"/>
    <x v="32"/>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x v="14"/>
    <x v="12"/>
    <x v="7"/>
    <x v="128"/>
    <x v="9"/>
    <n v="29.968357222000002"/>
    <n v="-25.813337499999999"/>
    <s v="29° 58' 06.08&quot;E "/>
    <s v="25° 48' 48.01&quot; S"/>
    <s v="Complete"/>
    <s v="Yes"/>
    <s v="Yes"/>
    <d v="2017-05-29T00:00:00"/>
    <s v="NA"/>
    <s v="NA"/>
    <s v="No Drawing"/>
    <s v="Yes"/>
    <s v="00"/>
    <d v="2018-06-16T00:00:00"/>
    <s v="Phase 2"/>
    <s v="Year 3"/>
    <n v="168.28023074035519"/>
    <n v="0"/>
    <n v="0"/>
    <n v="0"/>
    <n v="0"/>
    <n v="18.600000000000001"/>
    <n v="0"/>
    <n v="0"/>
    <n v="76"/>
    <n v="76"/>
    <n v="0"/>
    <n v="0"/>
    <n v="0"/>
    <n v="0"/>
    <n v="0"/>
    <n v="0"/>
    <n v="0"/>
    <n v="0"/>
    <n v="0"/>
    <n v="0"/>
    <n v="0"/>
    <n v="0"/>
    <n v="0"/>
    <n v="0"/>
    <n v="0"/>
    <n v="0"/>
    <n v="0"/>
    <n v="0"/>
    <n v="0"/>
    <n v="0"/>
    <n v="0"/>
    <n v="0"/>
    <n v="0"/>
    <n v="0"/>
    <n v="47.88"/>
    <n v="0"/>
    <n v="0"/>
    <n v="0"/>
    <n v="0"/>
    <n v="0"/>
    <n v="0"/>
    <n v="0"/>
    <n v="0"/>
    <n v="0"/>
    <n v="0"/>
    <n v="0"/>
    <n v="0"/>
    <n v="0"/>
    <n v="0"/>
    <n v="0"/>
    <n v="0"/>
    <n v="0"/>
    <n v="0"/>
    <n v="0"/>
    <n v="0"/>
    <n v="0"/>
    <n v="0"/>
    <n v="0"/>
    <n v="0"/>
    <n v="0"/>
    <n v="0"/>
    <n v="0"/>
    <n v="0"/>
    <n v="0"/>
    <n v="0"/>
    <n v="0"/>
    <n v="0"/>
    <n v="0"/>
    <n v="0"/>
    <n v="0"/>
    <n v="0"/>
    <n v="0"/>
    <n v="0"/>
    <n v="0"/>
    <n v="0"/>
    <n v="0"/>
    <n v="0"/>
    <n v="0"/>
    <n v="0"/>
    <n v="0"/>
    <n v="0"/>
    <n v="0"/>
    <n v="0"/>
    <n v="0"/>
    <n v="0"/>
    <n v="0"/>
    <m/>
    <m/>
    <m/>
    <m/>
    <m/>
    <m/>
    <m/>
    <m/>
    <m/>
    <n v="841.40115370177591"/>
    <n v="0"/>
    <n v="0"/>
    <n v="0"/>
    <n v="0"/>
    <n v="1581.0000000000002"/>
    <n v="0"/>
    <n v="0"/>
    <n v="380"/>
    <n v="760"/>
    <n v="0"/>
    <n v="0"/>
    <n v="0"/>
    <n v="0"/>
    <n v="0"/>
    <n v="0"/>
    <n v="0"/>
    <n v="0"/>
    <n v="0"/>
    <n v="0"/>
    <n v="5745.6"/>
    <n v="0"/>
    <n v="0"/>
    <n v="0"/>
    <n v="0"/>
    <n v="0"/>
    <n v="0"/>
    <n v="0"/>
    <n v="0"/>
    <n v="0"/>
    <n v="0"/>
    <n v="0"/>
    <n v="0"/>
    <n v="0"/>
    <n v="0"/>
    <n v="0"/>
    <n v="0"/>
    <n v="0"/>
    <n v="0"/>
    <n v="0"/>
    <n v="0"/>
    <n v="0"/>
    <n v="0"/>
    <n v="0"/>
    <n v="0"/>
    <n v="0"/>
    <n v="0"/>
    <n v="0"/>
    <n v="0"/>
    <n v="0"/>
    <n v="0"/>
    <n v="0"/>
    <n v="0"/>
    <n v="0"/>
    <n v="0"/>
    <n v="0"/>
    <n v="0"/>
    <n v="0"/>
    <n v="9308.0011537017763"/>
    <s v=" "/>
    <s v=" "/>
    <n v="11085.978302077277"/>
    <s v=" "/>
    <s v=" "/>
    <s v=" "/>
    <s v=" "/>
    <s v=" "/>
    <s v=" "/>
    <s v=" "/>
    <s v=" "/>
    <s v=" "/>
    <s v=" "/>
    <s v=" "/>
    <s v=" "/>
    <x v="52"/>
    <x v="0"/>
    <x v="0"/>
    <x v="0"/>
    <x v="0"/>
    <x v="94"/>
    <x v="0"/>
    <x v="0"/>
    <x v="55"/>
    <x v="56"/>
    <x v="1"/>
    <x v="1"/>
    <x v="0"/>
    <x v="0"/>
    <x v="0"/>
    <x v="0"/>
    <x v="0"/>
    <x v="0"/>
    <x v="0"/>
    <x v="0"/>
    <x v="0"/>
    <x v="0"/>
    <x v="0"/>
    <x v="0"/>
    <x v="0"/>
    <x v="0"/>
    <x v="0"/>
    <x v="0"/>
    <x v="0"/>
    <x v="0"/>
    <x v="0"/>
    <x v="0"/>
    <x v="33"/>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x v="14"/>
    <x v="12"/>
    <x v="7"/>
    <x v="129"/>
    <x v="9"/>
    <n v="29.967205556"/>
    <n v="-25.813318333000002"/>
    <s v="29° 58' 01.94&quot;E "/>
    <s v="25° 48' 47.94&quot; S"/>
    <s v="Complete"/>
    <s v="Yes"/>
    <s v="Yes"/>
    <d v="2017-05-29T00:00:00"/>
    <s v="NA"/>
    <s v="NA"/>
    <s v="No Drawing"/>
    <s v="Yes"/>
    <s v="00"/>
    <d v="2018-06-16T00:00:00"/>
    <s v="Phase 2"/>
    <s v="Year 3"/>
    <n v="108"/>
    <n v="73.439999999999984"/>
    <n v="0"/>
    <n v="0"/>
    <n v="0"/>
    <n v="48.6"/>
    <n v="0"/>
    <n v="0"/>
    <n v="108"/>
    <n v="108"/>
    <n v="0"/>
    <n v="0"/>
    <n v="0"/>
    <n v="0"/>
    <n v="0"/>
    <n v="0"/>
    <n v="0"/>
    <n v="0"/>
    <n v="0"/>
    <n v="0"/>
    <n v="0"/>
    <n v="0"/>
    <n v="0"/>
    <n v="0"/>
    <n v="0"/>
    <n v="0"/>
    <n v="0"/>
    <n v="0"/>
    <n v="0"/>
    <n v="0"/>
    <n v="0"/>
    <n v="0"/>
    <n v="0"/>
    <n v="0"/>
    <n v="18.359999999999996"/>
    <n v="0"/>
    <n v="0"/>
    <n v="0"/>
    <n v="0"/>
    <n v="0"/>
    <n v="0"/>
    <n v="0"/>
    <n v="0"/>
    <n v="0"/>
    <n v="0"/>
    <n v="0"/>
    <n v="0"/>
    <n v="0"/>
    <n v="0"/>
    <n v="0"/>
    <n v="0"/>
    <n v="0"/>
    <n v="0"/>
    <n v="0"/>
    <n v="0"/>
    <n v="0"/>
    <n v="0"/>
    <n v="0"/>
    <n v="0"/>
    <n v="0"/>
    <n v="0"/>
    <n v="0"/>
    <n v="0"/>
    <n v="0"/>
    <n v="0"/>
    <n v="0"/>
    <n v="0"/>
    <n v="0"/>
    <n v="0"/>
    <n v="0"/>
    <n v="0"/>
    <n v="0"/>
    <n v="0"/>
    <n v="0"/>
    <n v="0"/>
    <n v="0"/>
    <n v="0"/>
    <n v="0"/>
    <n v="0"/>
    <n v="0"/>
    <n v="0"/>
    <n v="0"/>
    <n v="0"/>
    <n v="0"/>
    <n v="0"/>
    <n v="0"/>
    <m/>
    <m/>
    <m/>
    <m/>
    <m/>
    <m/>
    <m/>
    <m/>
    <m/>
    <n v="540"/>
    <n v="3671.9999999999991"/>
    <n v="0"/>
    <n v="0"/>
    <n v="0"/>
    <n v="4131"/>
    <n v="0"/>
    <n v="0"/>
    <n v="540"/>
    <n v="1080"/>
    <n v="0"/>
    <n v="0"/>
    <n v="0"/>
    <n v="0"/>
    <n v="0"/>
    <n v="0"/>
    <n v="0"/>
    <n v="0"/>
    <n v="0"/>
    <n v="0"/>
    <n v="2203.1999999999994"/>
    <n v="0"/>
    <n v="0"/>
    <n v="0"/>
    <n v="0"/>
    <n v="0"/>
    <n v="0"/>
    <n v="0"/>
    <n v="0"/>
    <n v="0"/>
    <n v="0"/>
    <n v="0"/>
    <n v="0"/>
    <n v="0"/>
    <n v="0"/>
    <n v="0"/>
    <n v="0"/>
    <n v="0"/>
    <n v="0"/>
    <n v="0"/>
    <n v="0"/>
    <n v="0"/>
    <n v="0"/>
    <n v="0"/>
    <n v="0"/>
    <n v="0"/>
    <n v="0"/>
    <n v="0"/>
    <n v="0"/>
    <n v="0"/>
    <n v="0"/>
    <n v="0"/>
    <n v="0"/>
    <n v="0"/>
    <n v="0"/>
    <n v="0"/>
    <n v="0"/>
    <n v="0"/>
    <n v="12166.199999999999"/>
    <s v=" "/>
    <s v=" "/>
    <n v="14490.1388592"/>
    <s v=" "/>
    <s v=" "/>
    <s v=" "/>
    <s v=" "/>
    <s v=" "/>
    <s v=" "/>
    <s v=" "/>
    <s v=" "/>
    <s v=" "/>
    <s v=" "/>
    <s v=" "/>
    <s v=" "/>
    <x v="53"/>
    <x v="19"/>
    <x v="0"/>
    <x v="0"/>
    <x v="0"/>
    <x v="95"/>
    <x v="0"/>
    <x v="0"/>
    <x v="56"/>
    <x v="57"/>
    <x v="1"/>
    <x v="1"/>
    <x v="0"/>
    <x v="0"/>
    <x v="0"/>
    <x v="0"/>
    <x v="0"/>
    <x v="0"/>
    <x v="0"/>
    <x v="0"/>
    <x v="0"/>
    <x v="0"/>
    <x v="0"/>
    <x v="0"/>
    <x v="0"/>
    <x v="0"/>
    <x v="0"/>
    <x v="0"/>
    <x v="0"/>
    <x v="0"/>
    <x v="0"/>
    <x v="0"/>
    <x v="34"/>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x v="14"/>
    <x v="12"/>
    <x v="7"/>
    <x v="130"/>
    <x v="9"/>
    <n v="29.967326389"/>
    <n v="-25.815248333"/>
    <s v="29° 58' 02.37&quot;E "/>
    <s v="25° 48' 54.89&quot; S"/>
    <s v="Complete"/>
    <s v="Yes"/>
    <s v="Yes"/>
    <d v="2017-05-29T00:00:00"/>
    <s v="NA"/>
    <s v="NA"/>
    <s v="No Drawing"/>
    <s v="Yes"/>
    <s v="00"/>
    <d v="2018-06-16T00:00:00"/>
    <s v="Phase 2"/>
    <s v="Year 3"/>
    <n v="139.61287026210616"/>
    <n v="0"/>
    <n v="0"/>
    <n v="0"/>
    <n v="0"/>
    <n v="0"/>
    <n v="0"/>
    <n v="0"/>
    <n v="78.400000000000006"/>
    <n v="78.400000000000006"/>
    <n v="0"/>
    <n v="0"/>
    <n v="0"/>
    <n v="0"/>
    <n v="0"/>
    <n v="0"/>
    <n v="0"/>
    <n v="0"/>
    <n v="0"/>
    <n v="0"/>
    <n v="0"/>
    <n v="0"/>
    <n v="0"/>
    <n v="0"/>
    <n v="0"/>
    <n v="0"/>
    <n v="0"/>
    <n v="0"/>
    <n v="0"/>
    <n v="0"/>
    <n v="0"/>
    <n v="0"/>
    <n v="0"/>
    <n v="0"/>
    <n v="27.439999999999998"/>
    <n v="0"/>
    <n v="0"/>
    <n v="0"/>
    <n v="0"/>
    <n v="0"/>
    <n v="0"/>
    <n v="0"/>
    <n v="0"/>
    <n v="0"/>
    <n v="0"/>
    <n v="0"/>
    <n v="0"/>
    <n v="0"/>
    <n v="0"/>
    <n v="0"/>
    <n v="0"/>
    <n v="0"/>
    <n v="0"/>
    <n v="0"/>
    <n v="0"/>
    <n v="0"/>
    <n v="0"/>
    <n v="0"/>
    <n v="0"/>
    <n v="0"/>
    <n v="0"/>
    <n v="0"/>
    <n v="0"/>
    <n v="0"/>
    <n v="0"/>
    <n v="0"/>
    <n v="0"/>
    <n v="0"/>
    <n v="0"/>
    <n v="0"/>
    <n v="0"/>
    <n v="0"/>
    <n v="0"/>
    <n v="0"/>
    <n v="0"/>
    <n v="0"/>
    <n v="0"/>
    <n v="0"/>
    <n v="0"/>
    <n v="0"/>
    <n v="0"/>
    <n v="0"/>
    <n v="0"/>
    <n v="0"/>
    <n v="0"/>
    <n v="0"/>
    <m/>
    <m/>
    <m/>
    <m/>
    <m/>
    <m/>
    <m/>
    <m/>
    <m/>
    <n v="698.06435131053081"/>
    <n v="0"/>
    <n v="0"/>
    <n v="0"/>
    <n v="0"/>
    <n v="0"/>
    <n v="0"/>
    <n v="0"/>
    <n v="392"/>
    <n v="784"/>
    <n v="0"/>
    <n v="0"/>
    <n v="0"/>
    <n v="0"/>
    <n v="0"/>
    <n v="0"/>
    <n v="0"/>
    <n v="0"/>
    <n v="0"/>
    <n v="0"/>
    <n v="3292.7999999999997"/>
    <n v="0"/>
    <n v="0"/>
    <n v="0"/>
    <n v="0"/>
    <n v="0"/>
    <n v="0"/>
    <n v="0"/>
    <n v="0"/>
    <n v="0"/>
    <n v="0"/>
    <n v="0"/>
    <n v="0"/>
    <n v="0"/>
    <n v="0"/>
    <n v="0"/>
    <n v="0"/>
    <n v="0"/>
    <n v="0"/>
    <n v="0"/>
    <n v="0"/>
    <n v="0"/>
    <n v="0"/>
    <n v="0"/>
    <n v="0"/>
    <n v="0"/>
    <n v="0"/>
    <n v="0"/>
    <n v="0"/>
    <n v="0"/>
    <n v="0"/>
    <n v="0"/>
    <n v="0"/>
    <n v="0"/>
    <n v="0"/>
    <n v="0"/>
    <n v="0"/>
    <n v="0"/>
    <n v="5166.8643513105308"/>
    <s v=" "/>
    <s v=" "/>
    <n v="6153.818112240464"/>
    <s v=" "/>
    <s v=" "/>
    <s v=" "/>
    <s v=" "/>
    <s v=" "/>
    <s v=" "/>
    <s v=" "/>
    <s v=" "/>
    <s v=" "/>
    <s v=" "/>
    <s v=" "/>
    <s v=" "/>
    <x v="54"/>
    <x v="0"/>
    <x v="0"/>
    <x v="0"/>
    <x v="0"/>
    <x v="1"/>
    <x v="0"/>
    <x v="0"/>
    <x v="57"/>
    <x v="58"/>
    <x v="1"/>
    <x v="1"/>
    <x v="0"/>
    <x v="0"/>
    <x v="0"/>
    <x v="0"/>
    <x v="0"/>
    <x v="0"/>
    <x v="0"/>
    <x v="0"/>
    <x v="0"/>
    <x v="0"/>
    <x v="0"/>
    <x v="0"/>
    <x v="0"/>
    <x v="0"/>
    <x v="0"/>
    <x v="0"/>
    <x v="0"/>
    <x v="0"/>
    <x v="0"/>
    <x v="0"/>
    <x v="35"/>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x v="14"/>
    <x v="12"/>
    <x v="7"/>
    <x v="131"/>
    <x v="9"/>
    <n v="29.966897778"/>
    <n v="-25.816143611000001"/>
    <s v="29° 58' 00.83&quot;E "/>
    <s v="25° 48' 58.11&quot; S"/>
    <s v="Complete"/>
    <s v="Yes"/>
    <s v="Yes"/>
    <d v="2017-05-29T00:00:00"/>
    <s v="NA"/>
    <s v="NA"/>
    <s v="No Drawing"/>
    <s v="Yes"/>
    <s v="00"/>
    <d v="2018-06-16T00:00:00"/>
    <s v="Phase 2"/>
    <s v="Year 3"/>
    <n v="0"/>
    <n v="0"/>
    <n v="0"/>
    <n v="0"/>
    <n v="0"/>
    <n v="0"/>
    <n v="0"/>
    <n v="0"/>
    <n v="0"/>
    <n v="3437.5"/>
    <n v="0"/>
    <n v="0"/>
    <n v="0"/>
    <n v="0"/>
    <n v="0"/>
    <n v="0"/>
    <n v="0"/>
    <n v="0"/>
    <n v="0"/>
    <n v="0"/>
    <n v="0"/>
    <n v="0"/>
    <n v="0"/>
    <n v="0"/>
    <n v="0"/>
    <n v="0"/>
    <n v="0"/>
    <n v="0"/>
    <n v="0"/>
    <n v="0"/>
    <n v="0"/>
    <n v="0"/>
    <n v="0"/>
    <n v="0"/>
    <n v="1312.4999999999998"/>
    <n v="0"/>
    <n v="0"/>
    <n v="0"/>
    <n v="0"/>
    <n v="0"/>
    <n v="0"/>
    <n v="0"/>
    <n v="0"/>
    <n v="0"/>
    <n v="0"/>
    <n v="0"/>
    <n v="0"/>
    <n v="0"/>
    <n v="0"/>
    <n v="0"/>
    <n v="0"/>
    <n v="0"/>
    <n v="0"/>
    <n v="0"/>
    <n v="0"/>
    <n v="0"/>
    <n v="0"/>
    <n v="0"/>
    <n v="0"/>
    <n v="0"/>
    <n v="0"/>
    <n v="0"/>
    <n v="0"/>
    <n v="0"/>
    <n v="0"/>
    <n v="0"/>
    <n v="0"/>
    <n v="0"/>
    <n v="0"/>
    <n v="0"/>
    <n v="0"/>
    <n v="0"/>
    <n v="0"/>
    <n v="0"/>
    <n v="0"/>
    <n v="0"/>
    <n v="0"/>
    <n v="0"/>
    <n v="0"/>
    <n v="0"/>
    <n v="0"/>
    <n v="0"/>
    <n v="0"/>
    <n v="0"/>
    <n v="0"/>
    <n v="0"/>
    <m/>
    <m/>
    <m/>
    <m/>
    <m/>
    <m/>
    <m/>
    <m/>
    <m/>
    <n v="0"/>
    <n v="0"/>
    <n v="0"/>
    <n v="0"/>
    <n v="0"/>
    <n v="0"/>
    <n v="0"/>
    <n v="0"/>
    <n v="0"/>
    <n v="34375"/>
    <n v="0"/>
    <n v="0"/>
    <n v="0"/>
    <n v="0"/>
    <n v="0"/>
    <n v="0"/>
    <n v="0"/>
    <n v="0"/>
    <n v="0"/>
    <n v="0"/>
    <n v="157499.99999999997"/>
    <n v="0"/>
    <n v="0"/>
    <n v="0"/>
    <n v="0"/>
    <n v="0"/>
    <n v="0"/>
    <n v="0"/>
    <n v="0"/>
    <n v="0"/>
    <n v="0"/>
    <n v="0"/>
    <n v="0"/>
    <n v="0"/>
    <n v="0"/>
    <n v="0"/>
    <n v="0"/>
    <n v="0"/>
    <n v="0"/>
    <n v="0"/>
    <n v="0"/>
    <n v="0"/>
    <n v="0"/>
    <n v="0"/>
    <n v="0"/>
    <n v="0"/>
    <n v="0"/>
    <n v="0"/>
    <n v="0"/>
    <n v="0"/>
    <n v="0"/>
    <n v="0"/>
    <n v="0"/>
    <n v="0"/>
    <n v="0"/>
    <n v="0"/>
    <n v="0"/>
    <n v="0"/>
    <n v="191874.99999999997"/>
    <s v=" "/>
    <s v=" "/>
    <n v="228526.19499999998"/>
    <s v=" "/>
    <s v=" "/>
    <s v=" "/>
    <s v=" "/>
    <s v=" "/>
    <s v=" "/>
    <s v=" "/>
    <s v=" "/>
    <s v=" "/>
    <s v=" "/>
    <s v=" "/>
    <s v=" "/>
    <x v="0"/>
    <x v="0"/>
    <x v="0"/>
    <x v="0"/>
    <x v="0"/>
    <x v="1"/>
    <x v="0"/>
    <x v="0"/>
    <x v="0"/>
    <x v="59"/>
    <x v="1"/>
    <x v="1"/>
    <x v="0"/>
    <x v="0"/>
    <x v="0"/>
    <x v="0"/>
    <x v="0"/>
    <x v="0"/>
    <x v="0"/>
    <x v="0"/>
    <x v="0"/>
    <x v="0"/>
    <x v="0"/>
    <x v="0"/>
    <x v="0"/>
    <x v="0"/>
    <x v="0"/>
    <x v="0"/>
    <x v="0"/>
    <x v="0"/>
    <x v="0"/>
    <x v="0"/>
    <x v="36"/>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x v="14"/>
    <x v="12"/>
    <x v="7"/>
    <x v="132"/>
    <x v="9"/>
    <n v="29.966433889000001"/>
    <n v="-25.816707222000002"/>
    <s v="29° 57' 59.16&quot;E "/>
    <s v="25° 49' 00.14&quot; S"/>
    <s v="Complete"/>
    <s v="Yes"/>
    <s v="Yes"/>
    <d v="2017-05-29T00:00:00"/>
    <s v="NA"/>
    <s v="NA"/>
    <s v="No Drawing"/>
    <s v="Yes"/>
    <s v="00"/>
    <d v="2018-06-16T00:00:00"/>
    <s v="Phase 2"/>
    <s v="Year 3"/>
    <n v="4365"/>
    <m/>
    <n v="0"/>
    <n v="0"/>
    <n v="0"/>
    <n v="582"/>
    <n v="0"/>
    <n v="0"/>
    <n v="4365"/>
    <n v="4365"/>
    <n v="0"/>
    <n v="0"/>
    <n v="0"/>
    <n v="0"/>
    <n v="0"/>
    <n v="0"/>
    <n v="0"/>
    <n v="0"/>
    <n v="0"/>
    <n v="0"/>
    <n v="0"/>
    <n v="0"/>
    <n v="0"/>
    <n v="0"/>
    <n v="0"/>
    <n v="0"/>
    <n v="0"/>
    <n v="0"/>
    <n v="0"/>
    <n v="0"/>
    <n v="0"/>
    <n v="0"/>
    <n v="0"/>
    <n v="0"/>
    <n v="582"/>
    <n v="0"/>
    <n v="0"/>
    <n v="0"/>
    <n v="0"/>
    <n v="0"/>
    <n v="0"/>
    <n v="0"/>
    <n v="0"/>
    <n v="0"/>
    <n v="0"/>
    <n v="0"/>
    <n v="0"/>
    <n v="0"/>
    <n v="0"/>
    <n v="0"/>
    <n v="0"/>
    <n v="0"/>
    <n v="0"/>
    <n v="0"/>
    <n v="0"/>
    <n v="0"/>
    <n v="0"/>
    <n v="0"/>
    <n v="0"/>
    <n v="0"/>
    <n v="0"/>
    <n v="0"/>
    <n v="0"/>
    <n v="0"/>
    <n v="0"/>
    <n v="0"/>
    <n v="0"/>
    <n v="0"/>
    <n v="0"/>
    <n v="0"/>
    <n v="0"/>
    <n v="0"/>
    <n v="0"/>
    <n v="0"/>
    <n v="0"/>
    <n v="0"/>
    <n v="0"/>
    <n v="0"/>
    <n v="0"/>
    <n v="0"/>
    <n v="0"/>
    <n v="0"/>
    <n v="0"/>
    <n v="0"/>
    <n v="0"/>
    <n v="0"/>
    <m/>
    <m/>
    <m/>
    <m/>
    <m/>
    <m/>
    <m/>
    <m/>
    <m/>
    <n v="21825"/>
    <n v="0"/>
    <n v="0"/>
    <n v="0"/>
    <n v="0"/>
    <n v="49470"/>
    <n v="0"/>
    <n v="0"/>
    <n v="21825"/>
    <n v="43650"/>
    <n v="0"/>
    <n v="0"/>
    <n v="0"/>
    <n v="0"/>
    <n v="0"/>
    <n v="0"/>
    <n v="0"/>
    <n v="0"/>
    <n v="0"/>
    <n v="0"/>
    <n v="69840"/>
    <n v="0"/>
    <n v="0"/>
    <n v="0"/>
    <n v="0"/>
    <n v="0"/>
    <n v="0"/>
    <n v="0"/>
    <n v="0"/>
    <n v="0"/>
    <n v="0"/>
    <n v="0"/>
    <n v="0"/>
    <n v="0"/>
    <n v="0"/>
    <n v="0"/>
    <n v="0"/>
    <n v="0"/>
    <n v="0"/>
    <n v="0"/>
    <n v="0"/>
    <n v="0"/>
    <n v="0"/>
    <n v="0"/>
    <n v="0"/>
    <n v="0"/>
    <n v="0"/>
    <n v="0"/>
    <n v="0"/>
    <n v="0"/>
    <n v="0"/>
    <n v="0"/>
    <n v="0"/>
    <n v="0"/>
    <n v="0"/>
    <n v="0"/>
    <n v="0"/>
    <n v="0"/>
    <n v="206610"/>
    <s v=" "/>
    <s v=" "/>
    <n v="246075.81576000003"/>
    <s v=" "/>
    <s v=" "/>
    <s v=" "/>
    <s v=" "/>
    <s v=" "/>
    <s v=" "/>
    <s v=" "/>
    <s v=" "/>
    <s v=" "/>
    <s v=" "/>
    <s v=" "/>
    <s v=" "/>
    <x v="55"/>
    <x v="0"/>
    <x v="0"/>
    <x v="0"/>
    <x v="0"/>
    <x v="96"/>
    <x v="0"/>
    <x v="0"/>
    <x v="58"/>
    <x v="60"/>
    <x v="1"/>
    <x v="1"/>
    <x v="0"/>
    <x v="0"/>
    <x v="0"/>
    <x v="0"/>
    <x v="0"/>
    <x v="0"/>
    <x v="0"/>
    <x v="0"/>
    <x v="0"/>
    <x v="0"/>
    <x v="0"/>
    <x v="0"/>
    <x v="0"/>
    <x v="0"/>
    <x v="0"/>
    <x v="0"/>
    <x v="0"/>
    <x v="0"/>
    <x v="0"/>
    <x v="0"/>
    <x v="37"/>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x v="14"/>
    <x v="30"/>
    <x v="7"/>
    <x v="133"/>
    <x v="9"/>
    <n v="29.967020000000002"/>
    <n v="-25.815358"/>
    <s v="29° 58' 01.27&quot;E "/>
    <s v="25° 48' 55.28&quot; S"/>
    <s v="Complete"/>
    <s v="Yes"/>
    <s v="Yes"/>
    <d v="2017-05-29T00:00:00"/>
    <s v="NA"/>
    <s v="NA"/>
    <s v="No Drawing"/>
    <s v="Yes"/>
    <s v="00"/>
    <d v="2018-06-16T00:00:00"/>
    <s v="Phase 2"/>
    <s v="Year 3"/>
    <n v="367.23072507056656"/>
    <m/>
    <n v="0"/>
    <n v="0"/>
    <n v="0"/>
    <n v="0"/>
    <n v="0"/>
    <n v="0"/>
    <n v="360"/>
    <n v="360"/>
    <n v="0"/>
    <n v="0"/>
    <n v="0"/>
    <n v="0"/>
    <n v="0"/>
    <n v="0"/>
    <n v="0"/>
    <n v="0"/>
    <n v="0"/>
    <n v="0"/>
    <n v="0"/>
    <n v="0"/>
    <n v="0"/>
    <n v="0"/>
    <n v="0"/>
    <n v="0"/>
    <n v="0"/>
    <n v="0"/>
    <n v="0"/>
    <n v="0"/>
    <n v="0"/>
    <n v="0"/>
    <n v="0"/>
    <n v="0"/>
    <n v="92"/>
    <n v="0"/>
    <n v="0"/>
    <n v="0"/>
    <n v="0"/>
    <n v="0"/>
    <n v="0"/>
    <n v="0"/>
    <n v="0"/>
    <n v="0"/>
    <n v="0"/>
    <n v="0"/>
    <n v="0"/>
    <n v="0"/>
    <n v="0"/>
    <n v="0"/>
    <n v="0"/>
    <n v="0"/>
    <n v="0"/>
    <n v="0"/>
    <n v="0"/>
    <n v="0"/>
    <n v="0"/>
    <n v="0"/>
    <n v="0"/>
    <n v="0"/>
    <n v="0"/>
    <n v="0"/>
    <n v="0"/>
    <n v="0"/>
    <n v="0"/>
    <n v="0"/>
    <n v="0"/>
    <n v="0"/>
    <n v="0"/>
    <n v="0"/>
    <n v="0"/>
    <n v="0"/>
    <n v="0"/>
    <n v="0"/>
    <n v="0"/>
    <n v="0"/>
    <n v="0"/>
    <n v="0"/>
    <n v="0"/>
    <n v="0"/>
    <n v="0"/>
    <n v="0"/>
    <n v="0"/>
    <n v="0"/>
    <n v="0"/>
    <n v="0"/>
    <m/>
    <m/>
    <m/>
    <m/>
    <m/>
    <m/>
    <m/>
    <m/>
    <m/>
    <n v="1836.1536253528329"/>
    <n v="0"/>
    <n v="0"/>
    <n v="0"/>
    <n v="0"/>
    <n v="0"/>
    <n v="0"/>
    <n v="0"/>
    <n v="1800"/>
    <n v="3600"/>
    <n v="0"/>
    <n v="0"/>
    <n v="0"/>
    <n v="0"/>
    <n v="0"/>
    <n v="0"/>
    <n v="0"/>
    <n v="0"/>
    <n v="0"/>
    <n v="0"/>
    <n v="11040"/>
    <n v="0"/>
    <n v="0"/>
    <n v="0"/>
    <n v="0"/>
    <n v="0"/>
    <n v="0"/>
    <n v="0"/>
    <n v="0"/>
    <n v="0"/>
    <n v="0"/>
    <n v="0"/>
    <n v="0"/>
    <n v="0"/>
    <n v="0"/>
    <n v="0"/>
    <n v="0"/>
    <n v="0"/>
    <n v="0"/>
    <n v="0"/>
    <n v="0"/>
    <n v="0"/>
    <n v="0"/>
    <n v="0"/>
    <n v="0"/>
    <n v="0"/>
    <n v="0"/>
    <n v="0"/>
    <n v="0"/>
    <n v="0"/>
    <n v="0"/>
    <n v="0"/>
    <n v="0"/>
    <n v="0"/>
    <n v="0"/>
    <n v="0"/>
    <n v="0"/>
    <n v="0"/>
    <n v="18276.153625352832"/>
    <s v=" "/>
    <s v=" "/>
    <n v="21767.191386253231"/>
    <s v=" "/>
    <s v=" "/>
    <s v=" "/>
    <s v=" "/>
    <s v=" "/>
    <s v=" "/>
    <s v=" "/>
    <s v=" "/>
    <s v=" "/>
    <s v=" "/>
    <s v=" "/>
    <s v=" "/>
    <x v="56"/>
    <x v="0"/>
    <x v="0"/>
    <x v="0"/>
    <x v="0"/>
    <x v="1"/>
    <x v="0"/>
    <x v="0"/>
    <x v="59"/>
    <x v="61"/>
    <x v="1"/>
    <x v="1"/>
    <x v="0"/>
    <x v="0"/>
    <x v="0"/>
    <x v="0"/>
    <x v="0"/>
    <x v="0"/>
    <x v="0"/>
    <x v="0"/>
    <x v="0"/>
    <x v="0"/>
    <x v="0"/>
    <x v="0"/>
    <x v="0"/>
    <x v="0"/>
    <x v="0"/>
    <x v="0"/>
    <x v="0"/>
    <x v="0"/>
    <x v="0"/>
    <x v="0"/>
    <x v="38"/>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x v="14"/>
    <x v="31"/>
    <x v="0"/>
    <x v="134"/>
    <x v="9"/>
    <n v="29.967040556000001"/>
    <n v="-25.815475833000001"/>
    <s v="29° 58' 01.34&quot;E "/>
    <s v="25° 48' 55.71&quot; S"/>
    <s v="Complete"/>
    <s v="Yes"/>
    <s v="Yes"/>
    <d v="2017-05-29T00:00:00"/>
    <s v="NA"/>
    <s v="NA"/>
    <s v="No Drawing"/>
    <s v="Yes"/>
    <s v="00"/>
    <d v="2018-06-16T00:00:00"/>
    <s v="Phase 2"/>
    <s v="Year 3"/>
    <n v="198"/>
    <m/>
    <n v="0"/>
    <n v="0"/>
    <n v="0"/>
    <n v="49.410000000000004"/>
    <n v="0"/>
    <n v="0"/>
    <n v="198"/>
    <n v="198"/>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n v="990"/>
    <n v="0"/>
    <n v="0"/>
    <n v="0"/>
    <n v="0"/>
    <n v="4199.8500000000004"/>
    <n v="0"/>
    <n v="0"/>
    <n v="990"/>
    <n v="1980"/>
    <n v="0"/>
    <n v="0"/>
    <n v="0"/>
    <n v="0"/>
    <n v="0"/>
    <n v="0"/>
    <n v="0"/>
    <n v="0"/>
    <n v="0"/>
    <n v="0"/>
    <n v="0"/>
    <n v="0"/>
    <n v="0"/>
    <n v="0"/>
    <n v="0"/>
    <n v="0"/>
    <n v="0"/>
    <n v="0"/>
    <n v="0"/>
    <n v="0"/>
    <n v="0"/>
    <n v="0"/>
    <n v="0"/>
    <n v="0"/>
    <n v="0"/>
    <n v="0"/>
    <n v="0"/>
    <n v="0"/>
    <n v="0"/>
    <n v="0"/>
    <n v="0"/>
    <n v="0"/>
    <n v="0"/>
    <n v="0"/>
    <n v="0"/>
    <n v="0"/>
    <n v="0"/>
    <n v="0"/>
    <n v="0"/>
    <n v="0"/>
    <n v="0"/>
    <n v="0"/>
    <n v="0"/>
    <n v="0"/>
    <n v="0"/>
    <n v="0"/>
    <n v="0"/>
    <n v="0"/>
    <n v="8159.85"/>
    <s v=" "/>
    <s v=" "/>
    <n v="9718.511907600001"/>
    <s v=" "/>
    <s v=" "/>
    <s v=" "/>
    <s v=" "/>
    <s v=" "/>
    <s v=" "/>
    <s v=" "/>
    <s v=" "/>
    <s v=" "/>
    <s v=" "/>
    <s v=" "/>
    <s v=" "/>
    <x v="57"/>
    <x v="0"/>
    <x v="0"/>
    <x v="0"/>
    <x v="0"/>
    <x v="97"/>
    <x v="0"/>
    <x v="0"/>
    <x v="60"/>
    <x v="62"/>
    <x v="1"/>
    <x v="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x v="14"/>
    <x v="32"/>
    <x v="7"/>
    <x v="135"/>
    <x v="9"/>
    <n v="29.967370278000001"/>
    <n v="-25.815128889"/>
    <s v="29° 58' 02.53&quot;E "/>
    <s v="25° 48' 54.46&quot; S"/>
    <s v="Complete"/>
    <s v="Yes"/>
    <s v="Yes"/>
    <d v="2017-05-29T00:00:00"/>
    <s v="NA"/>
    <s v="NA"/>
    <s v="No Drawing"/>
    <s v="Yes"/>
    <s v="00"/>
    <d v="2018-06-16T00:00:00"/>
    <s v="Phase 2"/>
    <s v="Year 3"/>
    <n v="2365"/>
    <n v="435.81999999999994"/>
    <n v="0"/>
    <n v="0"/>
    <n v="0"/>
    <n v="0"/>
    <n v="0"/>
    <n v="0"/>
    <n v="2365"/>
    <n v="2365"/>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n v="11825"/>
    <n v="21790.999999999996"/>
    <n v="0"/>
    <n v="0"/>
    <n v="0"/>
    <n v="0"/>
    <n v="0"/>
    <n v="0"/>
    <n v="11825"/>
    <n v="23650"/>
    <n v="0"/>
    <n v="0"/>
    <n v="0"/>
    <n v="0"/>
    <n v="0"/>
    <n v="0"/>
    <n v="0"/>
    <n v="0"/>
    <n v="0"/>
    <n v="0"/>
    <n v="0"/>
    <n v="0"/>
    <n v="0"/>
    <n v="0"/>
    <n v="0"/>
    <n v="0"/>
    <n v="0"/>
    <n v="0"/>
    <n v="0"/>
    <n v="0"/>
    <n v="0"/>
    <n v="0"/>
    <n v="0"/>
    <n v="0"/>
    <n v="0"/>
    <n v="0"/>
    <n v="0"/>
    <n v="0"/>
    <n v="0"/>
    <n v="0"/>
    <n v="0"/>
    <n v="0"/>
    <n v="0"/>
    <n v="0"/>
    <n v="0"/>
    <n v="0"/>
    <n v="0"/>
    <n v="0"/>
    <n v="0"/>
    <n v="0"/>
    <n v="0"/>
    <n v="0"/>
    <n v="0"/>
    <n v="0"/>
    <n v="0"/>
    <n v="0"/>
    <n v="0"/>
    <n v="0"/>
    <n v="69091"/>
    <s v=" "/>
    <s v=" "/>
    <n v="82288.486456000013"/>
    <s v=" "/>
    <s v=" "/>
    <s v=" "/>
    <s v=" "/>
    <s v=" "/>
    <s v=" "/>
    <s v=" "/>
    <s v=" "/>
    <s v=" "/>
    <s v=" "/>
    <s v=" "/>
    <s v=" "/>
    <x v="58"/>
    <x v="20"/>
    <x v="0"/>
    <x v="0"/>
    <x v="0"/>
    <x v="1"/>
    <x v="0"/>
    <x v="0"/>
    <x v="61"/>
    <x v="63"/>
    <x v="1"/>
    <x v="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x v="15"/>
    <x v="33"/>
    <x v="0"/>
    <x v="136"/>
    <x v="4"/>
    <n v="29.983048888999999"/>
    <n v="-25.834729721999999"/>
    <s v="29° 58' 58.97&quot;E "/>
    <s v="25° 50' 05.02&quot; S"/>
    <s v="Complete"/>
    <s v="Yes"/>
    <s v="Yes"/>
    <d v="2017-05-29T00:00:00"/>
    <s v="NA"/>
    <s v="NA"/>
    <s v="No Drawing"/>
    <s v="Yes"/>
    <s v="00"/>
    <d v="2018-06-16T00:00:00"/>
    <s v="Phase 2"/>
    <s v="Year 1"/>
    <n v="0"/>
    <m/>
    <n v="0"/>
    <n v="0"/>
    <n v="0"/>
    <n v="18.900000000000002"/>
    <n v="0"/>
    <n v="0"/>
    <n v="54"/>
    <n v="54"/>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n v="0"/>
    <n v="0"/>
    <n v="0"/>
    <n v="0"/>
    <n v="0"/>
    <n v="1606.5000000000002"/>
    <n v="0"/>
    <n v="0"/>
    <n v="270"/>
    <n v="540"/>
    <n v="0"/>
    <n v="0"/>
    <n v="0"/>
    <n v="0"/>
    <n v="0"/>
    <n v="0"/>
    <n v="0"/>
    <n v="0"/>
    <n v="0"/>
    <n v="0"/>
    <n v="0"/>
    <n v="0"/>
    <n v="0"/>
    <n v="0"/>
    <n v="0"/>
    <n v="0"/>
    <n v="0"/>
    <n v="0"/>
    <n v="0"/>
    <n v="0"/>
    <n v="0"/>
    <n v="0"/>
    <n v="0"/>
    <n v="0"/>
    <n v="0"/>
    <n v="0"/>
    <n v="0"/>
    <n v="0"/>
    <n v="0"/>
    <n v="0"/>
    <n v="0"/>
    <n v="0"/>
    <n v="0"/>
    <n v="0"/>
    <n v="0"/>
    <n v="0"/>
    <n v="0"/>
    <n v="0"/>
    <n v="0"/>
    <n v="0"/>
    <n v="0"/>
    <n v="0"/>
    <n v="0"/>
    <n v="0"/>
    <n v="0"/>
    <n v="0"/>
    <n v="0"/>
    <n v="0"/>
    <n v="2416.5"/>
    <n v="2561.4900000000002"/>
    <s v=" "/>
    <s v=" "/>
    <s v=" "/>
    <s v=" "/>
    <s v=" "/>
    <s v=" "/>
    <s v=" "/>
    <s v=" "/>
    <s v=" "/>
    <s v=" "/>
    <s v=" "/>
    <s v=" "/>
    <s v=" "/>
    <s v=" "/>
    <x v="0"/>
    <x v="0"/>
    <x v="0"/>
    <x v="0"/>
    <x v="0"/>
    <x v="98"/>
    <x v="0"/>
    <x v="0"/>
    <x v="62"/>
    <x v="64"/>
    <x v="1"/>
    <x v="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x v="15"/>
    <x v="12"/>
    <x v="7"/>
    <x v="137"/>
    <x v="4"/>
    <n v="29.983106943999999"/>
    <n v="-25.834318888999999"/>
    <s v="29° 58' 59.18&quot;E "/>
    <s v="25° 50' 03.54&quot; S"/>
    <s v="Complete"/>
    <s v="Yes"/>
    <s v="Yes"/>
    <d v="2017-05-29T00:00:00"/>
    <s v="NA"/>
    <s v="NA"/>
    <s v="No Drawing"/>
    <s v="Yes"/>
    <s v="00"/>
    <d v="2018-06-16T00:00:00"/>
    <s v="Phase 2"/>
    <s v="Year 1"/>
    <n v="320"/>
    <n v="0"/>
    <n v="0"/>
    <n v="0"/>
    <n v="0"/>
    <n v="64"/>
    <n v="0"/>
    <n v="0"/>
    <n v="320"/>
    <n v="320"/>
    <n v="0"/>
    <n v="0"/>
    <n v="0"/>
    <n v="0"/>
    <n v="0"/>
    <n v="0"/>
    <n v="0"/>
    <n v="0"/>
    <n v="0"/>
    <n v="0"/>
    <n v="0"/>
    <n v="0"/>
    <n v="0"/>
    <n v="0"/>
    <n v="0"/>
    <n v="0"/>
    <n v="0"/>
    <n v="0"/>
    <n v="0"/>
    <n v="0"/>
    <n v="0"/>
    <n v="0"/>
    <n v="0"/>
    <n v="0"/>
    <n v="93"/>
    <n v="0"/>
    <n v="0"/>
    <n v="0"/>
    <n v="0"/>
    <n v="0"/>
    <n v="0"/>
    <n v="0"/>
    <n v="0"/>
    <n v="0"/>
    <n v="0"/>
    <n v="0"/>
    <n v="0"/>
    <n v="0"/>
    <n v="0"/>
    <n v="0"/>
    <n v="0"/>
    <n v="0"/>
    <n v="0"/>
    <n v="0"/>
    <n v="0"/>
    <n v="0"/>
    <n v="0"/>
    <n v="0"/>
    <n v="0"/>
    <n v="0"/>
    <n v="0"/>
    <n v="0"/>
    <n v="0"/>
    <n v="0"/>
    <n v="0"/>
    <n v="0"/>
    <n v="0"/>
    <n v="0"/>
    <n v="0"/>
    <n v="0"/>
    <n v="0"/>
    <n v="0"/>
    <n v="0"/>
    <n v="0"/>
    <n v="0"/>
    <n v="0"/>
    <n v="0"/>
    <n v="0"/>
    <n v="0"/>
    <n v="0"/>
    <n v="0"/>
    <n v="0"/>
    <n v="0"/>
    <n v="0"/>
    <n v="0"/>
    <n v="0"/>
    <m/>
    <m/>
    <m/>
    <m/>
    <m/>
    <m/>
    <m/>
    <m/>
    <m/>
    <n v="1600"/>
    <n v="0"/>
    <n v="0"/>
    <n v="0"/>
    <n v="0"/>
    <n v="5440"/>
    <n v="0"/>
    <n v="0"/>
    <n v="1600"/>
    <n v="3200"/>
    <n v="0"/>
    <n v="0"/>
    <n v="0"/>
    <n v="0"/>
    <n v="0"/>
    <n v="0"/>
    <n v="0"/>
    <n v="0"/>
    <n v="0"/>
    <n v="0"/>
    <n v="11160"/>
    <n v="0"/>
    <n v="0"/>
    <n v="0"/>
    <n v="0"/>
    <n v="0"/>
    <n v="0"/>
    <n v="0"/>
    <n v="0"/>
    <n v="0"/>
    <n v="0"/>
    <n v="0"/>
    <n v="0"/>
    <n v="0"/>
    <n v="0"/>
    <n v="0"/>
    <n v="0"/>
    <n v="0"/>
    <n v="0"/>
    <n v="0"/>
    <n v="0"/>
    <n v="0"/>
    <n v="0"/>
    <n v="0"/>
    <n v="0"/>
    <n v="0"/>
    <n v="0"/>
    <n v="0"/>
    <n v="0"/>
    <n v="0"/>
    <n v="0"/>
    <n v="0"/>
    <n v="0"/>
    <n v="0"/>
    <n v="0"/>
    <n v="0"/>
    <n v="0"/>
    <n v="0"/>
    <n v="23000"/>
    <n v="24380"/>
    <s v=" "/>
    <s v=" "/>
    <s v=" "/>
    <s v=" "/>
    <s v=" "/>
    <s v=" "/>
    <s v=" "/>
    <s v=" "/>
    <s v=" "/>
    <s v=" "/>
    <s v=" "/>
    <s v=" "/>
    <s v=" "/>
    <s v=" "/>
    <x v="59"/>
    <x v="0"/>
    <x v="0"/>
    <x v="0"/>
    <x v="0"/>
    <x v="99"/>
    <x v="0"/>
    <x v="0"/>
    <x v="63"/>
    <x v="65"/>
    <x v="1"/>
    <x v="1"/>
    <x v="0"/>
    <x v="0"/>
    <x v="0"/>
    <x v="0"/>
    <x v="0"/>
    <x v="0"/>
    <x v="0"/>
    <x v="0"/>
    <x v="0"/>
    <x v="0"/>
    <x v="0"/>
    <x v="0"/>
    <x v="0"/>
    <x v="0"/>
    <x v="0"/>
    <x v="0"/>
    <x v="0"/>
    <x v="0"/>
    <x v="0"/>
    <x v="0"/>
    <x v="39"/>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x v="15"/>
    <x v="11"/>
    <x v="0"/>
    <x v="138"/>
    <x v="4"/>
    <n v="29.983264722000001"/>
    <n v="-25.834601388999999"/>
    <s v="29° 58' 59.75&quot;E "/>
    <s v="25° 50' 04.56&quot; S"/>
    <s v="Complete"/>
    <s v="Yes"/>
    <s v="Yes"/>
    <d v="2017-05-30T00:00:00"/>
    <s v="NA"/>
    <s v="NA"/>
    <s v="No Drawing"/>
    <s v="Yes"/>
    <s v="00"/>
    <d v="2018-06-16T00:00:00"/>
    <s v="Phase 2"/>
    <s v="Year 1"/>
    <n v="0"/>
    <m/>
    <n v="32.435749999999999"/>
    <n v="0"/>
    <n v="0"/>
    <n v="324.35749999999996"/>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1700"/>
    <n v="5"/>
    <n v="0"/>
    <n v="0"/>
    <n v="0"/>
    <m/>
    <m/>
    <m/>
    <m/>
    <m/>
    <m/>
    <m/>
    <m/>
    <m/>
    <n v="0"/>
    <n v="0"/>
    <n v="2432.6812500000001"/>
    <n v="0"/>
    <n v="0"/>
    <n v="27570.387499999997"/>
    <n v="0"/>
    <n v="0"/>
    <n v="0"/>
    <n v="0"/>
    <n v="0"/>
    <n v="0"/>
    <n v="0"/>
    <n v="0"/>
    <n v="0"/>
    <n v="0"/>
    <n v="0"/>
    <n v="0"/>
    <n v="0"/>
    <n v="0"/>
    <n v="0"/>
    <n v="0"/>
    <n v="0"/>
    <n v="0"/>
    <n v="0"/>
    <n v="0"/>
    <n v="0"/>
    <n v="0"/>
    <n v="0"/>
    <n v="0"/>
    <n v="0"/>
    <n v="0"/>
    <n v="0"/>
    <n v="0"/>
    <n v="0"/>
    <n v="0"/>
    <n v="0"/>
    <n v="0"/>
    <n v="0"/>
    <n v="0"/>
    <n v="0"/>
    <n v="0"/>
    <n v="0"/>
    <n v="0"/>
    <n v="17000"/>
    <n v="7500"/>
    <n v="0"/>
    <n v="0"/>
    <n v="0"/>
    <n v="0"/>
    <n v="0"/>
    <n v="0"/>
    <n v="0"/>
    <n v="0"/>
    <n v="0"/>
    <n v="0"/>
    <n v="0"/>
    <n v="0"/>
    <n v="54503.068749999999"/>
    <n v="57773.252874999998"/>
    <s v=" "/>
    <s v=" "/>
    <s v=" "/>
    <s v=" "/>
    <s v=" "/>
    <s v=" "/>
    <s v=" "/>
    <s v=" "/>
    <s v=" "/>
    <s v=" "/>
    <s v=" "/>
    <s v=" "/>
    <s v=" "/>
    <s v=" "/>
    <x v="0"/>
    <x v="0"/>
    <x v="1"/>
    <x v="0"/>
    <x v="0"/>
    <x v="100"/>
    <x v="0"/>
    <x v="0"/>
    <x v="0"/>
    <x v="4"/>
    <x v="1"/>
    <x v="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1"/>
    <x v="1"/>
    <x v="0"/>
    <x v="0"/>
    <x v="0"/>
    <x v="0"/>
    <x v="0"/>
    <x v="0"/>
    <x v="0"/>
    <x v="0"/>
    <x v="0"/>
    <x v="0"/>
    <x v="0"/>
    <x v="0"/>
  </r>
  <r>
    <x v="15"/>
    <x v="14"/>
    <x v="0"/>
    <x v="139"/>
    <x v="4"/>
    <n v="29.983300556"/>
    <n v="-25.834511667000001"/>
    <s v="29° 58' 59.88&quot;E "/>
    <s v="25° 50' 04.24&quot; S"/>
    <s v="Complete"/>
    <s v="Yes"/>
    <s v="Yes"/>
    <d v="1899-12-30T00:00:00"/>
    <s v="NA"/>
    <s v="NA"/>
    <s v="No Drawing"/>
    <s v="Yes"/>
    <s v="00"/>
    <d v="2018-06-16T00:00:00"/>
    <s v="Phase 2"/>
    <s v="Year 1"/>
    <n v="34.98116603770189"/>
    <m/>
    <n v="0"/>
    <n v="0"/>
    <n v="0"/>
    <n v="5.3999999999999995"/>
    <n v="0"/>
    <n v="0"/>
    <n v="18"/>
    <n v="18"/>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n v="174.90583018850944"/>
    <n v="0"/>
    <n v="0"/>
    <n v="0"/>
    <n v="0"/>
    <n v="458.99999999999994"/>
    <n v="0"/>
    <n v="0"/>
    <n v="90"/>
    <n v="180"/>
    <n v="0"/>
    <n v="0"/>
    <n v="0"/>
    <n v="0"/>
    <n v="0"/>
    <n v="0"/>
    <n v="0"/>
    <n v="0"/>
    <n v="0"/>
    <n v="0"/>
    <n v="0"/>
    <n v="0"/>
    <n v="0"/>
    <n v="0"/>
    <n v="0"/>
    <n v="0"/>
    <n v="0"/>
    <n v="0"/>
    <n v="0"/>
    <n v="0"/>
    <n v="0"/>
    <n v="0"/>
    <n v="0"/>
    <n v="0"/>
    <n v="0"/>
    <n v="0"/>
    <n v="0"/>
    <n v="0"/>
    <n v="0"/>
    <n v="0"/>
    <n v="0"/>
    <n v="0"/>
    <n v="0"/>
    <n v="0"/>
    <n v="0"/>
    <n v="0"/>
    <n v="0"/>
    <n v="0"/>
    <n v="0"/>
    <n v="0"/>
    <n v="0"/>
    <n v="0"/>
    <n v="0"/>
    <n v="0"/>
    <n v="0"/>
    <n v="0"/>
    <n v="0"/>
    <n v="0"/>
    <n v="903.90583018850941"/>
    <n v="958.14017999982002"/>
    <s v=" "/>
    <s v=" "/>
    <s v=" "/>
    <s v=" "/>
    <s v=" "/>
    <s v=" "/>
    <s v=" "/>
    <s v=" "/>
    <s v=" "/>
    <s v=" "/>
    <s v=" "/>
    <s v=" "/>
    <s v=" "/>
    <s v=" "/>
    <x v="60"/>
    <x v="0"/>
    <x v="0"/>
    <x v="0"/>
    <x v="0"/>
    <x v="101"/>
    <x v="0"/>
    <x v="0"/>
    <x v="64"/>
    <x v="66"/>
    <x v="1"/>
    <x v="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x v="16"/>
    <x v="34"/>
    <x v="19"/>
    <x v="140"/>
    <x v="10"/>
    <m/>
    <m/>
    <m/>
    <m/>
    <m/>
    <m/>
    <m/>
    <m/>
    <m/>
    <m/>
    <m/>
    <m/>
    <m/>
    <m/>
    <m/>
    <s v="Year 5"/>
    <m/>
    <m/>
    <m/>
    <m/>
    <m/>
    <m/>
    <m/>
    <m/>
    <m/>
    <m/>
    <m/>
    <m/>
    <m/>
    <m/>
    <m/>
    <m/>
    <m/>
    <m/>
    <m/>
    <m/>
    <m/>
    <m/>
    <m/>
    <m/>
    <m/>
    <m/>
    <m/>
    <m/>
    <m/>
    <m/>
    <m/>
    <m/>
    <m/>
    <m/>
    <m/>
    <m/>
    <m/>
    <m/>
    <m/>
    <m/>
    <m/>
    <m/>
    <m/>
    <m/>
    <m/>
    <m/>
    <m/>
    <m/>
    <m/>
    <m/>
    <m/>
    <m/>
    <m/>
    <m/>
    <m/>
    <m/>
    <m/>
    <m/>
    <m/>
    <m/>
    <m/>
    <m/>
    <m/>
    <m/>
    <m/>
    <m/>
    <m/>
    <m/>
    <m/>
    <m/>
    <m/>
    <m/>
    <m/>
    <m/>
    <m/>
    <m/>
    <m/>
    <m/>
    <m/>
    <m/>
    <m/>
    <m/>
    <m/>
    <m/>
    <m/>
    <n v="6440.9"/>
    <m/>
    <m/>
    <m/>
    <m/>
    <m/>
    <m/>
    <m/>
    <m/>
    <m/>
    <n v="0"/>
    <n v="0"/>
    <n v="0"/>
    <n v="0"/>
    <n v="0"/>
    <n v="0"/>
    <n v="0"/>
    <n v="0"/>
    <n v="0"/>
    <n v="0"/>
    <n v="0"/>
    <n v="0"/>
    <n v="0"/>
    <n v="0"/>
    <n v="0"/>
    <n v="0"/>
    <n v="0"/>
    <n v="0"/>
    <n v="0"/>
    <n v="0"/>
    <n v="0"/>
    <n v="0"/>
    <n v="0"/>
    <n v="0"/>
    <n v="0"/>
    <n v="0"/>
    <n v="0"/>
    <n v="0"/>
    <n v="0"/>
    <n v="0"/>
    <n v="0"/>
    <n v="0"/>
    <n v="0"/>
    <n v="0"/>
    <n v="0"/>
    <n v="0"/>
    <n v="0"/>
    <n v="0"/>
    <n v="0"/>
    <n v="0"/>
    <n v="0"/>
    <n v="0"/>
    <n v="0"/>
    <n v="0"/>
    <n v="0"/>
    <n v="0"/>
    <n v="0"/>
    <n v="0"/>
    <n v="32204.5"/>
    <n v="0"/>
    <n v="0"/>
    <n v="0"/>
    <n v="0"/>
    <n v="0"/>
    <n v="0"/>
    <n v="0"/>
    <n v="0"/>
    <n v="0"/>
    <n v="32204.5"/>
    <s v=" "/>
    <s v=" "/>
    <s v=" "/>
    <s v=" "/>
    <n v="43096.885613819213"/>
    <s v=" "/>
    <s v=" "/>
    <s v=" "/>
    <s v=" "/>
    <s v=" "/>
    <s v=" "/>
    <s v=" "/>
    <s v=" "/>
    <s v=" "/>
    <s v=" "/>
    <x v="0"/>
    <x v="0"/>
    <x v="0"/>
    <x v="0"/>
    <x v="0"/>
    <x v="1"/>
    <x v="0"/>
    <x v="0"/>
    <x v="0"/>
    <x v="4"/>
    <x v="1"/>
    <x v="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1"/>
    <x v="0"/>
    <x v="0"/>
    <x v="0"/>
    <x v="0"/>
    <x v="0"/>
    <x v="0"/>
    <x v="0"/>
    <x v="0"/>
    <x v="0"/>
  </r>
  <r>
    <x v="17"/>
    <x v="35"/>
    <x v="20"/>
    <x v="141"/>
    <x v="11"/>
    <m/>
    <m/>
    <m/>
    <m/>
    <m/>
    <m/>
    <m/>
    <m/>
    <m/>
    <m/>
    <m/>
    <m/>
    <m/>
    <m/>
    <m/>
    <s v="Year 5"/>
    <m/>
    <m/>
    <m/>
    <m/>
    <m/>
    <m/>
    <m/>
    <m/>
    <m/>
    <m/>
    <m/>
    <m/>
    <m/>
    <m/>
    <m/>
    <m/>
    <m/>
    <m/>
    <m/>
    <m/>
    <m/>
    <m/>
    <m/>
    <m/>
    <m/>
    <m/>
    <m/>
    <m/>
    <m/>
    <m/>
    <m/>
    <m/>
    <m/>
    <m/>
    <m/>
    <m/>
    <m/>
    <m/>
    <m/>
    <m/>
    <m/>
    <m/>
    <m/>
    <m/>
    <m/>
    <m/>
    <m/>
    <m/>
    <m/>
    <m/>
    <m/>
    <m/>
    <m/>
    <m/>
    <m/>
    <m/>
    <m/>
    <m/>
    <m/>
    <m/>
    <m/>
    <m/>
    <m/>
    <m/>
    <m/>
    <m/>
    <m/>
    <m/>
    <m/>
    <m/>
    <m/>
    <m/>
    <m/>
    <m/>
    <m/>
    <m/>
    <m/>
    <m/>
    <m/>
    <m/>
    <m/>
    <m/>
    <m/>
    <m/>
    <n v="533.02"/>
    <m/>
    <m/>
    <m/>
    <m/>
    <m/>
    <m/>
    <m/>
    <m/>
    <m/>
    <m/>
    <n v="0"/>
    <n v="0"/>
    <n v="0"/>
    <n v="0"/>
    <n v="0"/>
    <n v="0"/>
    <n v="0"/>
    <n v="0"/>
    <n v="0"/>
    <n v="0"/>
    <n v="0"/>
    <n v="0"/>
    <n v="0"/>
    <n v="0"/>
    <n v="0"/>
    <n v="0"/>
    <n v="0"/>
    <n v="0"/>
    <n v="0"/>
    <n v="0"/>
    <n v="0"/>
    <n v="0"/>
    <n v="0"/>
    <n v="0"/>
    <n v="0"/>
    <n v="0"/>
    <n v="0"/>
    <n v="0"/>
    <n v="0"/>
    <n v="0"/>
    <n v="0"/>
    <n v="0"/>
    <n v="0"/>
    <n v="0"/>
    <n v="0"/>
    <n v="0"/>
    <n v="0"/>
    <n v="0"/>
    <n v="0"/>
    <n v="0"/>
    <n v="0"/>
    <n v="0"/>
    <n v="0"/>
    <n v="0"/>
    <n v="0"/>
    <n v="0"/>
    <n v="0"/>
    <n v="9061.34"/>
    <n v="0"/>
    <n v="0"/>
    <n v="0"/>
    <n v="0"/>
    <n v="0"/>
    <n v="0"/>
    <n v="0"/>
    <n v="0"/>
    <n v="0"/>
    <n v="0"/>
    <n v="9061.34"/>
    <s v=" "/>
    <s v=" "/>
    <s v=" "/>
    <s v=" "/>
    <n v="12126.116955329988"/>
    <s v=" "/>
    <s v=" "/>
    <s v=" "/>
    <s v=" "/>
    <s v=" "/>
    <s v=" "/>
    <s v=" "/>
    <s v=" "/>
    <s v=" "/>
    <s v=" "/>
    <x v="0"/>
    <x v="0"/>
    <x v="0"/>
    <x v="0"/>
    <x v="0"/>
    <x v="1"/>
    <x v="0"/>
    <x v="0"/>
    <x v="0"/>
    <x v="4"/>
    <x v="1"/>
    <x v="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1"/>
    <x v="0"/>
    <x v="0"/>
    <x v="0"/>
    <x v="0"/>
    <x v="0"/>
    <x v="0"/>
    <x v="0"/>
    <x v="0"/>
    <x v="0"/>
    <x v="0"/>
  </r>
  <r>
    <x v="17"/>
    <x v="34"/>
    <x v="19"/>
    <x v="142"/>
    <x v="10"/>
    <m/>
    <m/>
    <m/>
    <m/>
    <m/>
    <m/>
    <m/>
    <m/>
    <m/>
    <m/>
    <m/>
    <m/>
    <m/>
    <m/>
    <m/>
    <s v="Year 5"/>
    <m/>
    <m/>
    <m/>
    <m/>
    <m/>
    <m/>
    <m/>
    <m/>
    <m/>
    <m/>
    <m/>
    <m/>
    <m/>
    <m/>
    <m/>
    <m/>
    <m/>
    <m/>
    <m/>
    <m/>
    <m/>
    <m/>
    <m/>
    <m/>
    <m/>
    <m/>
    <m/>
    <m/>
    <m/>
    <m/>
    <m/>
    <m/>
    <m/>
    <m/>
    <m/>
    <m/>
    <m/>
    <m/>
    <m/>
    <m/>
    <m/>
    <m/>
    <m/>
    <m/>
    <m/>
    <m/>
    <m/>
    <m/>
    <m/>
    <m/>
    <m/>
    <m/>
    <m/>
    <m/>
    <m/>
    <m/>
    <m/>
    <m/>
    <m/>
    <m/>
    <m/>
    <m/>
    <m/>
    <m/>
    <m/>
    <m/>
    <m/>
    <m/>
    <m/>
    <m/>
    <m/>
    <m/>
    <m/>
    <m/>
    <m/>
    <m/>
    <m/>
    <m/>
    <m/>
    <m/>
    <m/>
    <m/>
    <m/>
    <m/>
    <m/>
    <n v="533.02"/>
    <m/>
    <m/>
    <m/>
    <m/>
    <m/>
    <m/>
    <m/>
    <m/>
    <m/>
    <n v="0"/>
    <n v="0"/>
    <n v="0"/>
    <n v="0"/>
    <n v="0"/>
    <n v="0"/>
    <n v="0"/>
    <n v="0"/>
    <n v="0"/>
    <n v="0"/>
    <n v="0"/>
    <n v="0"/>
    <n v="0"/>
    <n v="0"/>
    <n v="0"/>
    <n v="0"/>
    <n v="0"/>
    <n v="0"/>
    <n v="0"/>
    <n v="0"/>
    <n v="0"/>
    <n v="0"/>
    <n v="0"/>
    <n v="0"/>
    <n v="0"/>
    <n v="0"/>
    <n v="0"/>
    <n v="0"/>
    <n v="0"/>
    <n v="0"/>
    <n v="0"/>
    <n v="0"/>
    <n v="0"/>
    <n v="0"/>
    <n v="0"/>
    <n v="0"/>
    <n v="0"/>
    <n v="0"/>
    <n v="0"/>
    <n v="0"/>
    <n v="0"/>
    <n v="0"/>
    <n v="0"/>
    <n v="0"/>
    <n v="0"/>
    <n v="0"/>
    <n v="0"/>
    <n v="0"/>
    <n v="2665.1"/>
    <n v="0"/>
    <n v="0"/>
    <n v="0"/>
    <n v="0"/>
    <n v="0"/>
    <n v="0"/>
    <n v="0"/>
    <n v="0"/>
    <n v="0"/>
    <n v="2665.1"/>
    <s v=" "/>
    <s v=" "/>
    <s v=" "/>
    <s v=" "/>
    <n v="3566.5049868617602"/>
    <s v=" "/>
    <s v=" "/>
    <s v=" "/>
    <s v=" "/>
    <s v=" "/>
    <s v=" "/>
    <s v=" "/>
    <s v=" "/>
    <s v=" "/>
    <s v=" "/>
    <x v="0"/>
    <x v="0"/>
    <x v="0"/>
    <x v="0"/>
    <x v="0"/>
    <x v="1"/>
    <x v="0"/>
    <x v="0"/>
    <x v="0"/>
    <x v="4"/>
    <x v="1"/>
    <x v="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2"/>
    <x v="0"/>
    <x v="0"/>
    <x v="0"/>
    <x v="0"/>
    <x v="0"/>
    <x v="0"/>
    <x v="0"/>
    <x v="0"/>
    <x v="0"/>
  </r>
  <r>
    <x v="18"/>
    <x v="36"/>
    <x v="21"/>
    <x v="143"/>
    <x v="12"/>
    <m/>
    <m/>
    <m/>
    <m/>
    <m/>
    <m/>
    <m/>
    <m/>
    <m/>
    <m/>
    <m/>
    <m/>
    <m/>
    <m/>
    <m/>
    <s v="Year 5"/>
    <n v="3316.8"/>
    <m/>
    <m/>
    <m/>
    <m/>
    <m/>
    <m/>
    <m/>
    <m/>
    <m/>
    <m/>
    <m/>
    <m/>
    <m/>
    <m/>
    <m/>
    <m/>
    <m/>
    <m/>
    <m/>
    <m/>
    <m/>
    <m/>
    <m/>
    <m/>
    <m/>
    <m/>
    <m/>
    <m/>
    <m/>
    <m/>
    <m/>
    <m/>
    <m/>
    <m/>
    <m/>
    <m/>
    <m/>
    <m/>
    <m/>
    <m/>
    <m/>
    <m/>
    <m/>
    <m/>
    <m/>
    <m/>
    <m/>
    <m/>
    <m/>
    <m/>
    <m/>
    <m/>
    <m/>
    <m/>
    <m/>
    <m/>
    <m/>
    <m/>
    <m/>
    <m/>
    <m/>
    <m/>
    <m/>
    <m/>
    <m/>
    <m/>
    <m/>
    <m/>
    <m/>
    <m/>
    <m/>
    <m/>
    <m/>
    <m/>
    <m/>
    <m/>
    <m/>
    <m/>
    <m/>
    <m/>
    <m/>
    <m/>
    <n v="663.36"/>
    <m/>
    <m/>
    <m/>
    <m/>
    <m/>
    <m/>
    <m/>
    <m/>
    <m/>
    <m/>
    <m/>
    <n v="16584"/>
    <n v="0"/>
    <n v="0"/>
    <n v="0"/>
    <n v="0"/>
    <n v="0"/>
    <n v="0"/>
    <n v="0"/>
    <n v="0"/>
    <n v="0"/>
    <n v="0"/>
    <n v="0"/>
    <n v="0"/>
    <n v="0"/>
    <n v="0"/>
    <n v="0"/>
    <n v="0"/>
    <n v="0"/>
    <n v="0"/>
    <n v="0"/>
    <n v="0"/>
    <n v="0"/>
    <n v="0"/>
    <n v="0"/>
    <n v="0"/>
    <n v="0"/>
    <n v="0"/>
    <n v="0"/>
    <n v="0"/>
    <n v="0"/>
    <n v="0"/>
    <n v="0"/>
    <n v="0"/>
    <n v="0"/>
    <n v="0"/>
    <n v="0"/>
    <n v="0"/>
    <n v="0"/>
    <n v="0"/>
    <n v="0"/>
    <n v="0"/>
    <n v="0"/>
    <n v="0"/>
    <n v="0"/>
    <n v="0"/>
    <n v="0"/>
    <n v="16584"/>
    <n v="0"/>
    <n v="0"/>
    <n v="0"/>
    <n v="0"/>
    <n v="0"/>
    <n v="0"/>
    <n v="0"/>
    <n v="0"/>
    <n v="0"/>
    <n v="0"/>
    <n v="0"/>
    <n v="33168"/>
    <s v=" "/>
    <s v=" "/>
    <s v=" "/>
    <s v=" "/>
    <n v="44386.265957836804"/>
    <s v=" "/>
    <s v=" "/>
    <s v=" "/>
    <s v=" "/>
    <s v=" "/>
    <s v=" "/>
    <s v=" "/>
    <s v=" "/>
    <s v=" "/>
    <s v=" "/>
    <x v="61"/>
    <x v="0"/>
    <x v="0"/>
    <x v="0"/>
    <x v="0"/>
    <x v="1"/>
    <x v="0"/>
    <x v="0"/>
    <x v="0"/>
    <x v="4"/>
    <x v="1"/>
    <x v="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1"/>
    <x v="0"/>
    <x v="0"/>
    <x v="0"/>
    <x v="0"/>
    <x v="0"/>
    <x v="0"/>
    <x v="0"/>
    <x v="0"/>
    <x v="0"/>
    <x v="0"/>
    <x v="0"/>
  </r>
  <r>
    <x v="19"/>
    <x v="35"/>
    <x v="20"/>
    <x v="144"/>
    <x v="11"/>
    <m/>
    <m/>
    <m/>
    <m/>
    <m/>
    <m/>
    <m/>
    <m/>
    <m/>
    <m/>
    <m/>
    <m/>
    <m/>
    <m/>
    <m/>
    <s v="Year 5"/>
    <m/>
    <m/>
    <m/>
    <m/>
    <m/>
    <m/>
    <m/>
    <m/>
    <m/>
    <m/>
    <m/>
    <m/>
    <m/>
    <m/>
    <m/>
    <m/>
    <m/>
    <m/>
    <m/>
    <m/>
    <m/>
    <m/>
    <m/>
    <m/>
    <m/>
    <m/>
    <m/>
    <m/>
    <m/>
    <m/>
    <m/>
    <m/>
    <m/>
    <m/>
    <m/>
    <m/>
    <m/>
    <m/>
    <m/>
    <m/>
    <m/>
    <m/>
    <m/>
    <m/>
    <m/>
    <m/>
    <m/>
    <m/>
    <m/>
    <m/>
    <m/>
    <m/>
    <m/>
    <m/>
    <m/>
    <m/>
    <m/>
    <m/>
    <m/>
    <m/>
    <m/>
    <m/>
    <m/>
    <m/>
    <m/>
    <m/>
    <m/>
    <m/>
    <m/>
    <m/>
    <m/>
    <m/>
    <m/>
    <m/>
    <m/>
    <m/>
    <m/>
    <m/>
    <m/>
    <m/>
    <m/>
    <m/>
    <m/>
    <m/>
    <n v="1363.22"/>
    <m/>
    <m/>
    <m/>
    <m/>
    <m/>
    <m/>
    <m/>
    <m/>
    <m/>
    <m/>
    <n v="0"/>
    <n v="0"/>
    <n v="0"/>
    <n v="0"/>
    <n v="0"/>
    <n v="0"/>
    <n v="0"/>
    <n v="0"/>
    <n v="0"/>
    <n v="0"/>
    <n v="0"/>
    <n v="0"/>
    <n v="0"/>
    <n v="0"/>
    <n v="0"/>
    <n v="0"/>
    <n v="0"/>
    <n v="0"/>
    <n v="0"/>
    <n v="0"/>
    <n v="0"/>
    <n v="0"/>
    <n v="0"/>
    <n v="0"/>
    <n v="0"/>
    <n v="0"/>
    <n v="0"/>
    <n v="0"/>
    <n v="0"/>
    <n v="0"/>
    <n v="0"/>
    <n v="0"/>
    <n v="0"/>
    <n v="0"/>
    <n v="0"/>
    <n v="0"/>
    <n v="0"/>
    <n v="0"/>
    <n v="0"/>
    <n v="0"/>
    <n v="0"/>
    <n v="0"/>
    <n v="0"/>
    <n v="0"/>
    <n v="0"/>
    <n v="0"/>
    <n v="0"/>
    <n v="23174.74"/>
    <n v="0"/>
    <n v="0"/>
    <n v="0"/>
    <n v="0"/>
    <n v="0"/>
    <n v="0"/>
    <n v="0"/>
    <n v="0"/>
    <n v="0"/>
    <n v="0"/>
    <n v="23174.74"/>
    <s v=" "/>
    <s v=" "/>
    <s v=" "/>
    <s v=" "/>
    <n v="31013.029822229833"/>
    <s v=" "/>
    <s v=" "/>
    <s v=" "/>
    <s v=" "/>
    <s v=" "/>
    <s v=" "/>
    <s v=" "/>
    <s v=" "/>
    <s v=" "/>
    <s v=" "/>
    <x v="0"/>
    <x v="0"/>
    <x v="0"/>
    <x v="0"/>
    <x v="0"/>
    <x v="1"/>
    <x v="0"/>
    <x v="0"/>
    <x v="0"/>
    <x v="4"/>
    <x v="1"/>
    <x v="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2"/>
    <x v="0"/>
    <x v="0"/>
    <x v="0"/>
    <x v="0"/>
    <x v="0"/>
    <x v="0"/>
    <x v="0"/>
    <x v="0"/>
    <x v="0"/>
    <x v="0"/>
  </r>
  <r>
    <x v="20"/>
    <x v="35"/>
    <x v="20"/>
    <x v="145"/>
    <x v="11"/>
    <m/>
    <m/>
    <m/>
    <m/>
    <m/>
    <m/>
    <m/>
    <m/>
    <m/>
    <m/>
    <m/>
    <m/>
    <m/>
    <m/>
    <m/>
    <s v="Year 5"/>
    <m/>
    <m/>
    <m/>
    <m/>
    <m/>
    <m/>
    <m/>
    <m/>
    <m/>
    <m/>
    <m/>
    <m/>
    <m/>
    <m/>
    <m/>
    <m/>
    <m/>
    <m/>
    <m/>
    <m/>
    <m/>
    <m/>
    <m/>
    <m/>
    <m/>
    <m/>
    <m/>
    <m/>
    <m/>
    <m/>
    <m/>
    <m/>
    <m/>
    <m/>
    <m/>
    <m/>
    <m/>
    <m/>
    <m/>
    <m/>
    <m/>
    <m/>
    <m/>
    <m/>
    <m/>
    <m/>
    <m/>
    <m/>
    <m/>
    <m/>
    <m/>
    <m/>
    <m/>
    <m/>
    <m/>
    <m/>
    <m/>
    <m/>
    <m/>
    <m/>
    <m/>
    <m/>
    <m/>
    <m/>
    <m/>
    <m/>
    <m/>
    <m/>
    <m/>
    <m/>
    <m/>
    <m/>
    <m/>
    <m/>
    <m/>
    <m/>
    <m/>
    <m/>
    <m/>
    <m/>
    <m/>
    <m/>
    <m/>
    <m/>
    <n v="750.3"/>
    <m/>
    <m/>
    <m/>
    <m/>
    <m/>
    <m/>
    <m/>
    <m/>
    <m/>
    <m/>
    <n v="0"/>
    <n v="0"/>
    <n v="0"/>
    <n v="0"/>
    <n v="0"/>
    <n v="0"/>
    <n v="0"/>
    <n v="0"/>
    <n v="0"/>
    <n v="0"/>
    <n v="0"/>
    <n v="0"/>
    <n v="0"/>
    <n v="0"/>
    <n v="0"/>
    <n v="0"/>
    <n v="0"/>
    <n v="0"/>
    <n v="0"/>
    <n v="0"/>
    <n v="0"/>
    <n v="0"/>
    <n v="0"/>
    <n v="0"/>
    <n v="0"/>
    <n v="0"/>
    <n v="0"/>
    <n v="0"/>
    <n v="0"/>
    <n v="0"/>
    <n v="0"/>
    <n v="0"/>
    <n v="0"/>
    <n v="0"/>
    <n v="0"/>
    <n v="0"/>
    <n v="0"/>
    <n v="0"/>
    <n v="0"/>
    <n v="0"/>
    <n v="0"/>
    <n v="0"/>
    <n v="0"/>
    <n v="0"/>
    <n v="0"/>
    <n v="0"/>
    <n v="0"/>
    <n v="12755.099999999999"/>
    <n v="0"/>
    <n v="0"/>
    <n v="0"/>
    <n v="0"/>
    <n v="0"/>
    <n v="0"/>
    <n v="0"/>
    <n v="0"/>
    <n v="0"/>
    <n v="0"/>
    <n v="12755.099999999999"/>
    <s v=" "/>
    <s v=" "/>
    <s v=" "/>
    <s v=" "/>
    <n v="17069.201064845762"/>
    <s v=" "/>
    <s v=" "/>
    <s v=" "/>
    <s v=" "/>
    <s v=" "/>
    <s v=" "/>
    <s v=" "/>
    <s v=" "/>
    <s v=" "/>
    <s v=" "/>
    <x v="0"/>
    <x v="0"/>
    <x v="0"/>
    <x v="0"/>
    <x v="0"/>
    <x v="1"/>
    <x v="0"/>
    <x v="0"/>
    <x v="0"/>
    <x v="4"/>
    <x v="1"/>
    <x v="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3"/>
    <x v="0"/>
    <x v="0"/>
    <x v="0"/>
    <x v="0"/>
    <x v="0"/>
    <x v="0"/>
    <x v="0"/>
    <x v="0"/>
    <x v="0"/>
    <x v="0"/>
  </r>
  <r>
    <x v="21"/>
    <x v="35"/>
    <x v="20"/>
    <x v="146"/>
    <x v="11"/>
    <m/>
    <m/>
    <m/>
    <m/>
    <m/>
    <m/>
    <m/>
    <m/>
    <m/>
    <m/>
    <m/>
    <m/>
    <m/>
    <m/>
    <m/>
    <s v="Year 5"/>
    <m/>
    <m/>
    <m/>
    <m/>
    <m/>
    <m/>
    <m/>
    <m/>
    <m/>
    <m/>
    <m/>
    <m/>
    <m/>
    <m/>
    <m/>
    <m/>
    <m/>
    <m/>
    <m/>
    <m/>
    <m/>
    <m/>
    <m/>
    <m/>
    <m/>
    <m/>
    <m/>
    <m/>
    <m/>
    <m/>
    <m/>
    <m/>
    <m/>
    <m/>
    <m/>
    <m/>
    <m/>
    <m/>
    <m/>
    <m/>
    <m/>
    <m/>
    <m/>
    <m/>
    <m/>
    <m/>
    <m/>
    <m/>
    <m/>
    <m/>
    <m/>
    <m/>
    <m/>
    <m/>
    <m/>
    <m/>
    <m/>
    <m/>
    <m/>
    <m/>
    <m/>
    <m/>
    <m/>
    <m/>
    <m/>
    <m/>
    <m/>
    <m/>
    <m/>
    <m/>
    <m/>
    <m/>
    <m/>
    <m/>
    <m/>
    <m/>
    <m/>
    <m/>
    <m/>
    <m/>
    <m/>
    <m/>
    <m/>
    <m/>
    <n v="294.20999999999998"/>
    <m/>
    <m/>
    <m/>
    <m/>
    <m/>
    <m/>
    <m/>
    <m/>
    <m/>
    <m/>
    <n v="0"/>
    <n v="0"/>
    <n v="0"/>
    <n v="0"/>
    <n v="0"/>
    <n v="0"/>
    <n v="0"/>
    <n v="0"/>
    <n v="0"/>
    <n v="0"/>
    <n v="0"/>
    <n v="0"/>
    <n v="0"/>
    <n v="0"/>
    <n v="0"/>
    <n v="0"/>
    <n v="0"/>
    <n v="0"/>
    <n v="0"/>
    <n v="0"/>
    <n v="0"/>
    <n v="0"/>
    <n v="0"/>
    <n v="0"/>
    <n v="0"/>
    <n v="0"/>
    <n v="0"/>
    <n v="0"/>
    <n v="0"/>
    <n v="0"/>
    <n v="0"/>
    <n v="0"/>
    <n v="0"/>
    <n v="0"/>
    <n v="0"/>
    <n v="0"/>
    <n v="0"/>
    <n v="0"/>
    <n v="0"/>
    <n v="0"/>
    <n v="0"/>
    <n v="0"/>
    <n v="0"/>
    <n v="0"/>
    <n v="0"/>
    <n v="0"/>
    <n v="0"/>
    <n v="5001.57"/>
    <n v="0"/>
    <n v="0"/>
    <n v="0"/>
    <n v="0"/>
    <n v="0"/>
    <n v="0"/>
    <n v="0"/>
    <n v="0"/>
    <n v="0"/>
    <n v="0"/>
    <n v="5001.57"/>
    <s v=" "/>
    <s v=" "/>
    <s v=" "/>
    <s v=" "/>
    <n v="6693.228902156834"/>
    <s v=" "/>
    <s v=" "/>
    <s v=" "/>
    <s v=" "/>
    <s v=" "/>
    <s v=" "/>
    <s v=" "/>
    <s v=" "/>
    <s v=" "/>
    <s v=" "/>
    <x v="0"/>
    <x v="0"/>
    <x v="0"/>
    <x v="0"/>
    <x v="0"/>
    <x v="1"/>
    <x v="0"/>
    <x v="0"/>
    <x v="0"/>
    <x v="4"/>
    <x v="1"/>
    <x v="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4"/>
    <x v="0"/>
    <x v="0"/>
    <x v="0"/>
    <x v="0"/>
    <x v="0"/>
    <x v="0"/>
    <x v="0"/>
    <x v="0"/>
    <x v="0"/>
    <x v="0"/>
  </r>
  <r>
    <x v="22"/>
    <x v="36"/>
    <x v="21"/>
    <x v="147"/>
    <x v="12"/>
    <m/>
    <m/>
    <m/>
    <m/>
    <m/>
    <m/>
    <m/>
    <m/>
    <m/>
    <m/>
    <m/>
    <m/>
    <m/>
    <m/>
    <m/>
    <s v="Year 5"/>
    <n v="2401.6"/>
    <m/>
    <m/>
    <m/>
    <m/>
    <m/>
    <m/>
    <m/>
    <m/>
    <m/>
    <m/>
    <m/>
    <m/>
    <m/>
    <m/>
    <m/>
    <m/>
    <m/>
    <m/>
    <m/>
    <m/>
    <m/>
    <m/>
    <m/>
    <m/>
    <m/>
    <m/>
    <m/>
    <m/>
    <m/>
    <m/>
    <m/>
    <m/>
    <m/>
    <m/>
    <m/>
    <m/>
    <m/>
    <m/>
    <m/>
    <m/>
    <m/>
    <m/>
    <m/>
    <m/>
    <m/>
    <m/>
    <m/>
    <m/>
    <m/>
    <m/>
    <m/>
    <m/>
    <m/>
    <m/>
    <m/>
    <m/>
    <m/>
    <m/>
    <m/>
    <m/>
    <m/>
    <m/>
    <m/>
    <m/>
    <m/>
    <m/>
    <m/>
    <m/>
    <m/>
    <m/>
    <m/>
    <m/>
    <m/>
    <m/>
    <m/>
    <m/>
    <m/>
    <m/>
    <m/>
    <m/>
    <m/>
    <m/>
    <n v="480.32"/>
    <m/>
    <m/>
    <m/>
    <m/>
    <m/>
    <m/>
    <m/>
    <m/>
    <m/>
    <m/>
    <m/>
    <n v="12008"/>
    <n v="0"/>
    <n v="0"/>
    <n v="0"/>
    <n v="0"/>
    <n v="0"/>
    <n v="0"/>
    <n v="0"/>
    <n v="0"/>
    <n v="0"/>
    <n v="0"/>
    <n v="0"/>
    <n v="0"/>
    <n v="0"/>
    <n v="0"/>
    <n v="0"/>
    <n v="0"/>
    <n v="0"/>
    <n v="0"/>
    <n v="0"/>
    <n v="0"/>
    <n v="0"/>
    <n v="0"/>
    <n v="0"/>
    <n v="0"/>
    <n v="0"/>
    <n v="0"/>
    <n v="0"/>
    <n v="0"/>
    <n v="0"/>
    <n v="0"/>
    <n v="0"/>
    <n v="0"/>
    <n v="0"/>
    <n v="0"/>
    <n v="0"/>
    <n v="0"/>
    <n v="0"/>
    <n v="0"/>
    <n v="0"/>
    <n v="0"/>
    <n v="0"/>
    <n v="0"/>
    <n v="0"/>
    <n v="0"/>
    <n v="0"/>
    <n v="12008"/>
    <n v="0"/>
    <n v="0"/>
    <n v="0"/>
    <n v="0"/>
    <n v="0"/>
    <n v="0"/>
    <n v="0"/>
    <n v="0"/>
    <n v="0"/>
    <n v="0"/>
    <n v="0"/>
    <n v="24016"/>
    <s v=" "/>
    <s v=" "/>
    <s v=" "/>
    <s v=" "/>
    <n v="32138.825471641609"/>
    <s v=" "/>
    <s v=" "/>
    <s v=" "/>
    <s v=" "/>
    <s v=" "/>
    <s v=" "/>
    <s v=" "/>
    <s v=" "/>
    <s v=" "/>
    <s v=" "/>
    <x v="62"/>
    <x v="0"/>
    <x v="0"/>
    <x v="0"/>
    <x v="0"/>
    <x v="1"/>
    <x v="0"/>
    <x v="0"/>
    <x v="0"/>
    <x v="4"/>
    <x v="1"/>
    <x v="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2"/>
    <x v="0"/>
    <x v="0"/>
    <x v="0"/>
    <x v="0"/>
    <x v="0"/>
    <x v="0"/>
    <x v="0"/>
    <x v="0"/>
    <x v="0"/>
    <x v="0"/>
    <x v="0"/>
  </r>
  <r>
    <x v="23"/>
    <x v="35"/>
    <x v="20"/>
    <x v="148"/>
    <x v="11"/>
    <m/>
    <m/>
    <m/>
    <m/>
    <m/>
    <m/>
    <m/>
    <m/>
    <m/>
    <m/>
    <m/>
    <m/>
    <m/>
    <m/>
    <m/>
    <s v="Year 5"/>
    <m/>
    <m/>
    <m/>
    <m/>
    <m/>
    <m/>
    <m/>
    <m/>
    <m/>
    <m/>
    <m/>
    <m/>
    <m/>
    <m/>
    <m/>
    <m/>
    <m/>
    <m/>
    <m/>
    <m/>
    <m/>
    <m/>
    <m/>
    <m/>
    <m/>
    <m/>
    <m/>
    <m/>
    <m/>
    <m/>
    <m/>
    <m/>
    <m/>
    <m/>
    <m/>
    <m/>
    <m/>
    <m/>
    <m/>
    <m/>
    <m/>
    <m/>
    <m/>
    <m/>
    <m/>
    <m/>
    <m/>
    <m/>
    <m/>
    <m/>
    <m/>
    <m/>
    <m/>
    <m/>
    <m/>
    <m/>
    <m/>
    <m/>
    <m/>
    <m/>
    <m/>
    <m/>
    <m/>
    <m/>
    <m/>
    <m/>
    <m/>
    <m/>
    <m/>
    <m/>
    <m/>
    <m/>
    <m/>
    <m/>
    <m/>
    <m/>
    <m/>
    <m/>
    <m/>
    <m/>
    <m/>
    <m/>
    <m/>
    <m/>
    <n v="1306.95"/>
    <m/>
    <m/>
    <m/>
    <m/>
    <m/>
    <m/>
    <m/>
    <m/>
    <m/>
    <m/>
    <n v="0"/>
    <n v="0"/>
    <n v="0"/>
    <n v="0"/>
    <n v="0"/>
    <n v="0"/>
    <n v="0"/>
    <n v="0"/>
    <n v="0"/>
    <n v="0"/>
    <n v="0"/>
    <n v="0"/>
    <n v="0"/>
    <n v="0"/>
    <n v="0"/>
    <n v="0"/>
    <n v="0"/>
    <n v="0"/>
    <n v="0"/>
    <n v="0"/>
    <n v="0"/>
    <n v="0"/>
    <n v="0"/>
    <n v="0"/>
    <n v="0"/>
    <n v="0"/>
    <n v="0"/>
    <n v="0"/>
    <n v="0"/>
    <n v="0"/>
    <n v="0"/>
    <n v="0"/>
    <n v="0"/>
    <n v="0"/>
    <n v="0"/>
    <n v="0"/>
    <n v="0"/>
    <n v="0"/>
    <n v="0"/>
    <n v="0"/>
    <n v="0"/>
    <n v="0"/>
    <n v="0"/>
    <n v="0"/>
    <n v="0"/>
    <n v="0"/>
    <n v="0"/>
    <n v="22218.15"/>
    <n v="0"/>
    <n v="0"/>
    <n v="0"/>
    <n v="0"/>
    <n v="0"/>
    <n v="0"/>
    <n v="0"/>
    <n v="0"/>
    <n v="0"/>
    <n v="0"/>
    <n v="22218.15"/>
    <s v=" "/>
    <s v=" "/>
    <s v=" "/>
    <s v=" "/>
    <n v="29732.896616953447"/>
    <s v=" "/>
    <s v=" "/>
    <s v=" "/>
    <s v=" "/>
    <s v=" "/>
    <s v=" "/>
    <s v=" "/>
    <s v=" "/>
    <s v=" "/>
    <s v=" "/>
    <x v="0"/>
    <x v="0"/>
    <x v="0"/>
    <x v="0"/>
    <x v="0"/>
    <x v="1"/>
    <x v="0"/>
    <x v="0"/>
    <x v="0"/>
    <x v="4"/>
    <x v="1"/>
    <x v="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5"/>
    <x v="0"/>
    <x v="0"/>
    <x v="0"/>
    <x v="0"/>
    <x v="0"/>
    <x v="0"/>
    <x v="0"/>
    <x v="0"/>
    <x v="0"/>
    <x v="0"/>
  </r>
  <r>
    <x v="23"/>
    <x v="34"/>
    <x v="19"/>
    <x v="149"/>
    <x v="10"/>
    <m/>
    <m/>
    <m/>
    <m/>
    <m/>
    <m/>
    <m/>
    <m/>
    <m/>
    <m/>
    <m/>
    <m/>
    <m/>
    <m/>
    <m/>
    <s v="Year 5"/>
    <m/>
    <m/>
    <m/>
    <m/>
    <m/>
    <m/>
    <m/>
    <m/>
    <m/>
    <m/>
    <m/>
    <m/>
    <m/>
    <m/>
    <m/>
    <m/>
    <m/>
    <m/>
    <m/>
    <m/>
    <m/>
    <m/>
    <m/>
    <m/>
    <m/>
    <m/>
    <m/>
    <m/>
    <m/>
    <m/>
    <m/>
    <m/>
    <m/>
    <m/>
    <m/>
    <m/>
    <m/>
    <m/>
    <m/>
    <m/>
    <m/>
    <m/>
    <m/>
    <m/>
    <m/>
    <m/>
    <m/>
    <m/>
    <m/>
    <m/>
    <m/>
    <m/>
    <m/>
    <m/>
    <m/>
    <m/>
    <m/>
    <m/>
    <m/>
    <m/>
    <m/>
    <m/>
    <m/>
    <m/>
    <m/>
    <m/>
    <m/>
    <m/>
    <m/>
    <m/>
    <m/>
    <m/>
    <m/>
    <m/>
    <m/>
    <m/>
    <m/>
    <m/>
    <m/>
    <m/>
    <m/>
    <m/>
    <m/>
    <m/>
    <m/>
    <n v="1306.95"/>
    <m/>
    <m/>
    <m/>
    <m/>
    <m/>
    <m/>
    <m/>
    <m/>
    <m/>
    <n v="0"/>
    <n v="0"/>
    <n v="0"/>
    <n v="0"/>
    <n v="0"/>
    <n v="0"/>
    <n v="0"/>
    <n v="0"/>
    <n v="0"/>
    <n v="0"/>
    <n v="0"/>
    <n v="0"/>
    <n v="0"/>
    <n v="0"/>
    <n v="0"/>
    <n v="0"/>
    <n v="0"/>
    <n v="0"/>
    <n v="0"/>
    <n v="0"/>
    <n v="0"/>
    <n v="0"/>
    <n v="0"/>
    <n v="0"/>
    <n v="0"/>
    <n v="0"/>
    <n v="0"/>
    <n v="0"/>
    <n v="0"/>
    <n v="0"/>
    <n v="0"/>
    <n v="0"/>
    <n v="0"/>
    <n v="0"/>
    <n v="0"/>
    <n v="0"/>
    <n v="0"/>
    <n v="0"/>
    <n v="0"/>
    <n v="0"/>
    <n v="0"/>
    <n v="0"/>
    <n v="0"/>
    <n v="0"/>
    <n v="0"/>
    <n v="0"/>
    <n v="0"/>
    <n v="0"/>
    <n v="6534.75"/>
    <n v="0"/>
    <n v="0"/>
    <n v="0"/>
    <n v="0"/>
    <n v="0"/>
    <n v="0"/>
    <n v="0"/>
    <n v="0"/>
    <n v="0"/>
    <n v="6534.75"/>
    <s v=" "/>
    <s v=" "/>
    <s v=" "/>
    <s v=" "/>
    <n v="8744.9695932216018"/>
    <s v=" "/>
    <s v=" "/>
    <s v=" "/>
    <s v=" "/>
    <s v=" "/>
    <s v=" "/>
    <s v=" "/>
    <s v=" "/>
    <s v=" "/>
    <s v=" "/>
    <x v="0"/>
    <x v="0"/>
    <x v="0"/>
    <x v="0"/>
    <x v="0"/>
    <x v="1"/>
    <x v="0"/>
    <x v="0"/>
    <x v="0"/>
    <x v="4"/>
    <x v="1"/>
    <x v="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3"/>
    <x v="0"/>
    <x v="0"/>
    <x v="0"/>
    <x v="0"/>
    <x v="0"/>
    <x v="0"/>
    <x v="0"/>
    <x v="0"/>
    <x v="0"/>
  </r>
  <r>
    <x v="24"/>
    <x v="36"/>
    <x v="21"/>
    <x v="150"/>
    <x v="12"/>
    <m/>
    <m/>
    <m/>
    <m/>
    <m/>
    <m/>
    <m/>
    <m/>
    <m/>
    <m/>
    <m/>
    <m/>
    <m/>
    <m/>
    <m/>
    <s v="Year 5"/>
    <n v="4467.05"/>
    <m/>
    <m/>
    <m/>
    <m/>
    <m/>
    <m/>
    <m/>
    <m/>
    <m/>
    <m/>
    <m/>
    <m/>
    <m/>
    <m/>
    <m/>
    <m/>
    <m/>
    <m/>
    <m/>
    <m/>
    <m/>
    <m/>
    <m/>
    <m/>
    <m/>
    <m/>
    <m/>
    <m/>
    <m/>
    <m/>
    <m/>
    <m/>
    <m/>
    <m/>
    <m/>
    <m/>
    <m/>
    <m/>
    <m/>
    <m/>
    <m/>
    <m/>
    <m/>
    <m/>
    <m/>
    <m/>
    <m/>
    <m/>
    <m/>
    <m/>
    <m/>
    <m/>
    <m/>
    <m/>
    <m/>
    <m/>
    <m/>
    <m/>
    <m/>
    <m/>
    <m/>
    <m/>
    <m/>
    <m/>
    <m/>
    <m/>
    <m/>
    <m/>
    <m/>
    <m/>
    <m/>
    <m/>
    <m/>
    <m/>
    <m/>
    <m/>
    <m/>
    <m/>
    <m/>
    <m/>
    <m/>
    <m/>
    <n v="893.41"/>
    <m/>
    <m/>
    <m/>
    <m/>
    <m/>
    <m/>
    <m/>
    <m/>
    <m/>
    <m/>
    <m/>
    <n v="22335.25"/>
    <n v="0"/>
    <n v="0"/>
    <n v="0"/>
    <n v="0"/>
    <n v="0"/>
    <n v="0"/>
    <n v="0"/>
    <n v="0"/>
    <n v="0"/>
    <n v="0"/>
    <n v="0"/>
    <n v="0"/>
    <n v="0"/>
    <n v="0"/>
    <n v="0"/>
    <n v="0"/>
    <n v="0"/>
    <n v="0"/>
    <n v="0"/>
    <n v="0"/>
    <n v="0"/>
    <n v="0"/>
    <n v="0"/>
    <n v="0"/>
    <n v="0"/>
    <n v="0"/>
    <n v="0"/>
    <n v="0"/>
    <n v="0"/>
    <n v="0"/>
    <n v="0"/>
    <n v="0"/>
    <n v="0"/>
    <n v="0"/>
    <n v="0"/>
    <n v="0"/>
    <n v="0"/>
    <n v="0"/>
    <n v="0"/>
    <n v="0"/>
    <n v="0"/>
    <n v="0"/>
    <n v="0"/>
    <n v="0"/>
    <n v="0"/>
    <n v="22335.25"/>
    <n v="0"/>
    <n v="0"/>
    <n v="0"/>
    <n v="0"/>
    <n v="0"/>
    <n v="0"/>
    <n v="0"/>
    <n v="0"/>
    <n v="0"/>
    <n v="0"/>
    <n v="0"/>
    <n v="44670.5"/>
    <s v=" "/>
    <s v=" "/>
    <s v=" "/>
    <s v=" "/>
    <n v="59779.205664180816"/>
    <s v=" "/>
    <s v=" "/>
    <s v=" "/>
    <s v=" "/>
    <s v=" "/>
    <s v=" "/>
    <s v=" "/>
    <s v=" "/>
    <s v=" "/>
    <s v=" "/>
    <x v="63"/>
    <x v="0"/>
    <x v="0"/>
    <x v="0"/>
    <x v="0"/>
    <x v="1"/>
    <x v="0"/>
    <x v="0"/>
    <x v="0"/>
    <x v="4"/>
    <x v="1"/>
    <x v="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3"/>
    <x v="0"/>
    <x v="0"/>
    <x v="0"/>
    <x v="0"/>
    <x v="0"/>
    <x v="0"/>
    <x v="0"/>
    <x v="0"/>
    <x v="0"/>
    <x v="0"/>
    <x v="0"/>
  </r>
  <r>
    <x v="24"/>
    <x v="34"/>
    <x v="19"/>
    <x v="151"/>
    <x v="10"/>
    <m/>
    <m/>
    <m/>
    <m/>
    <m/>
    <m/>
    <m/>
    <m/>
    <m/>
    <m/>
    <m/>
    <m/>
    <m/>
    <m/>
    <m/>
    <s v="Year 5"/>
    <m/>
    <m/>
    <m/>
    <m/>
    <m/>
    <m/>
    <m/>
    <m/>
    <m/>
    <m/>
    <m/>
    <m/>
    <m/>
    <m/>
    <m/>
    <m/>
    <m/>
    <m/>
    <m/>
    <m/>
    <m/>
    <m/>
    <m/>
    <m/>
    <m/>
    <m/>
    <m/>
    <m/>
    <m/>
    <m/>
    <m/>
    <m/>
    <m/>
    <m/>
    <m/>
    <m/>
    <m/>
    <m/>
    <m/>
    <m/>
    <m/>
    <m/>
    <m/>
    <m/>
    <m/>
    <m/>
    <m/>
    <m/>
    <m/>
    <m/>
    <m/>
    <m/>
    <m/>
    <m/>
    <m/>
    <m/>
    <m/>
    <m/>
    <m/>
    <m/>
    <m/>
    <m/>
    <m/>
    <m/>
    <m/>
    <m/>
    <m/>
    <m/>
    <m/>
    <m/>
    <m/>
    <m/>
    <m/>
    <m/>
    <m/>
    <m/>
    <m/>
    <m/>
    <m/>
    <m/>
    <m/>
    <m/>
    <m/>
    <m/>
    <m/>
    <n v="893.41"/>
    <m/>
    <m/>
    <m/>
    <m/>
    <m/>
    <m/>
    <m/>
    <m/>
    <m/>
    <n v="0"/>
    <n v="0"/>
    <n v="0"/>
    <n v="0"/>
    <n v="0"/>
    <n v="0"/>
    <n v="0"/>
    <n v="0"/>
    <n v="0"/>
    <n v="0"/>
    <n v="0"/>
    <n v="0"/>
    <n v="0"/>
    <n v="0"/>
    <n v="0"/>
    <n v="0"/>
    <n v="0"/>
    <n v="0"/>
    <n v="0"/>
    <n v="0"/>
    <n v="0"/>
    <n v="0"/>
    <n v="0"/>
    <n v="0"/>
    <n v="0"/>
    <n v="0"/>
    <n v="0"/>
    <n v="0"/>
    <n v="0"/>
    <n v="0"/>
    <n v="0"/>
    <n v="0"/>
    <n v="0"/>
    <n v="0"/>
    <n v="0"/>
    <n v="0"/>
    <n v="0"/>
    <n v="0"/>
    <n v="0"/>
    <n v="0"/>
    <n v="0"/>
    <n v="0"/>
    <n v="0"/>
    <n v="0"/>
    <n v="0"/>
    <n v="0"/>
    <n v="0"/>
    <n v="0"/>
    <n v="4467.05"/>
    <n v="0"/>
    <n v="0"/>
    <n v="0"/>
    <n v="0"/>
    <n v="0"/>
    <n v="0"/>
    <n v="0"/>
    <n v="0"/>
    <n v="0"/>
    <n v="4467.05"/>
    <s v=" "/>
    <s v=" "/>
    <s v=" "/>
    <s v=" "/>
    <n v="5977.9205664180818"/>
    <s v=" "/>
    <s v=" "/>
    <s v=" "/>
    <s v=" "/>
    <s v=" "/>
    <s v=" "/>
    <s v=" "/>
    <s v=" "/>
    <s v=" "/>
    <s v=" "/>
    <x v="0"/>
    <x v="0"/>
    <x v="0"/>
    <x v="0"/>
    <x v="0"/>
    <x v="1"/>
    <x v="0"/>
    <x v="0"/>
    <x v="0"/>
    <x v="4"/>
    <x v="1"/>
    <x v="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4"/>
    <x v="0"/>
    <x v="0"/>
    <x v="0"/>
    <x v="0"/>
    <x v="0"/>
    <x v="0"/>
    <x v="0"/>
    <x v="0"/>
    <x v="0"/>
  </r>
  <r>
    <x v="25"/>
    <x v="35"/>
    <x v="20"/>
    <x v="152"/>
    <x v="11"/>
    <m/>
    <m/>
    <m/>
    <m/>
    <m/>
    <m/>
    <m/>
    <m/>
    <m/>
    <m/>
    <m/>
    <m/>
    <m/>
    <m/>
    <m/>
    <s v="Year 5"/>
    <m/>
    <m/>
    <m/>
    <m/>
    <m/>
    <m/>
    <m/>
    <m/>
    <m/>
    <m/>
    <m/>
    <m/>
    <m/>
    <m/>
    <m/>
    <m/>
    <m/>
    <m/>
    <m/>
    <m/>
    <m/>
    <m/>
    <m/>
    <m/>
    <m/>
    <m/>
    <m/>
    <m/>
    <m/>
    <m/>
    <m/>
    <m/>
    <m/>
    <m/>
    <m/>
    <m/>
    <m/>
    <m/>
    <m/>
    <m/>
    <m/>
    <m/>
    <m/>
    <m/>
    <m/>
    <m/>
    <m/>
    <m/>
    <m/>
    <m/>
    <m/>
    <m/>
    <m/>
    <m/>
    <m/>
    <m/>
    <m/>
    <m/>
    <m/>
    <m/>
    <m/>
    <m/>
    <m/>
    <m/>
    <m/>
    <m/>
    <m/>
    <m/>
    <m/>
    <m/>
    <m/>
    <m/>
    <m/>
    <m/>
    <m/>
    <m/>
    <m/>
    <m/>
    <m/>
    <m/>
    <m/>
    <m/>
    <m/>
    <m/>
    <n v="437.98"/>
    <m/>
    <m/>
    <m/>
    <m/>
    <m/>
    <m/>
    <m/>
    <m/>
    <m/>
    <m/>
    <n v="0"/>
    <n v="0"/>
    <n v="0"/>
    <n v="0"/>
    <n v="0"/>
    <n v="0"/>
    <n v="0"/>
    <n v="0"/>
    <n v="0"/>
    <n v="0"/>
    <n v="0"/>
    <n v="0"/>
    <n v="0"/>
    <n v="0"/>
    <n v="0"/>
    <n v="0"/>
    <n v="0"/>
    <n v="0"/>
    <n v="0"/>
    <n v="0"/>
    <n v="0"/>
    <n v="0"/>
    <n v="0"/>
    <n v="0"/>
    <n v="0"/>
    <n v="0"/>
    <n v="0"/>
    <n v="0"/>
    <n v="0"/>
    <n v="0"/>
    <n v="0"/>
    <n v="0"/>
    <n v="0"/>
    <n v="0"/>
    <n v="0"/>
    <n v="0"/>
    <n v="0"/>
    <n v="0"/>
    <n v="0"/>
    <n v="0"/>
    <n v="0"/>
    <n v="0"/>
    <n v="0"/>
    <n v="0"/>
    <n v="0"/>
    <n v="0"/>
    <n v="0"/>
    <n v="7445.66"/>
    <n v="0"/>
    <n v="0"/>
    <n v="0"/>
    <n v="0"/>
    <n v="0"/>
    <n v="0"/>
    <n v="0"/>
    <n v="0"/>
    <n v="0"/>
    <n v="0"/>
    <n v="7445.66"/>
    <s v=" "/>
    <s v=" "/>
    <s v=" "/>
    <s v=" "/>
    <n v="9963.9726541132186"/>
    <s v=" "/>
    <s v=" "/>
    <s v=" "/>
    <s v=" "/>
    <s v=" "/>
    <s v=" "/>
    <s v=" "/>
    <s v=" "/>
    <s v=" "/>
    <s v=" "/>
    <x v="0"/>
    <x v="0"/>
    <x v="0"/>
    <x v="0"/>
    <x v="0"/>
    <x v="1"/>
    <x v="0"/>
    <x v="0"/>
    <x v="0"/>
    <x v="4"/>
    <x v="1"/>
    <x v="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6"/>
    <x v="0"/>
    <x v="0"/>
    <x v="0"/>
    <x v="0"/>
    <x v="0"/>
    <x v="0"/>
    <x v="0"/>
    <x v="0"/>
    <x v="0"/>
    <x v="0"/>
  </r>
  <r>
    <x v="26"/>
    <x v="34"/>
    <x v="19"/>
    <x v="153"/>
    <x v="10"/>
    <m/>
    <m/>
    <m/>
    <m/>
    <m/>
    <m/>
    <m/>
    <m/>
    <m/>
    <m/>
    <m/>
    <m/>
    <m/>
    <m/>
    <m/>
    <s v="Year 5"/>
    <m/>
    <m/>
    <m/>
    <m/>
    <m/>
    <m/>
    <m/>
    <m/>
    <m/>
    <m/>
    <m/>
    <m/>
    <m/>
    <m/>
    <m/>
    <m/>
    <m/>
    <m/>
    <m/>
    <m/>
    <m/>
    <m/>
    <m/>
    <m/>
    <m/>
    <m/>
    <m/>
    <m/>
    <m/>
    <m/>
    <m/>
    <m/>
    <m/>
    <m/>
    <m/>
    <m/>
    <m/>
    <m/>
    <m/>
    <m/>
    <m/>
    <m/>
    <m/>
    <m/>
    <m/>
    <m/>
    <m/>
    <m/>
    <m/>
    <m/>
    <m/>
    <m/>
    <m/>
    <m/>
    <m/>
    <m/>
    <m/>
    <m/>
    <m/>
    <m/>
    <m/>
    <m/>
    <m/>
    <m/>
    <m/>
    <m/>
    <m/>
    <m/>
    <m/>
    <m/>
    <m/>
    <m/>
    <m/>
    <m/>
    <m/>
    <m/>
    <m/>
    <m/>
    <m/>
    <m/>
    <m/>
    <m/>
    <m/>
    <m/>
    <m/>
    <n v="5076.8100000000004"/>
    <m/>
    <m/>
    <m/>
    <m/>
    <m/>
    <m/>
    <m/>
    <m/>
    <m/>
    <n v="0"/>
    <n v="0"/>
    <n v="0"/>
    <n v="0"/>
    <n v="0"/>
    <n v="0"/>
    <n v="0"/>
    <n v="0"/>
    <n v="0"/>
    <n v="0"/>
    <n v="0"/>
    <n v="0"/>
    <n v="0"/>
    <n v="0"/>
    <n v="0"/>
    <n v="0"/>
    <n v="0"/>
    <n v="0"/>
    <n v="0"/>
    <n v="0"/>
    <n v="0"/>
    <n v="0"/>
    <n v="0"/>
    <n v="0"/>
    <n v="0"/>
    <n v="0"/>
    <n v="0"/>
    <n v="0"/>
    <n v="0"/>
    <n v="0"/>
    <n v="0"/>
    <n v="0"/>
    <n v="0"/>
    <n v="0"/>
    <n v="0"/>
    <n v="0"/>
    <n v="0"/>
    <n v="0"/>
    <n v="0"/>
    <n v="0"/>
    <n v="0"/>
    <n v="0"/>
    <n v="0"/>
    <n v="0"/>
    <n v="0"/>
    <n v="0"/>
    <n v="0"/>
    <n v="0"/>
    <n v="25384.050000000003"/>
    <n v="0"/>
    <n v="0"/>
    <n v="0"/>
    <n v="0"/>
    <n v="0"/>
    <n v="0"/>
    <n v="0"/>
    <n v="0"/>
    <n v="0"/>
    <n v="25384.050000000003"/>
    <s v=" "/>
    <s v=" "/>
    <s v=" "/>
    <s v=" "/>
    <n v="33969.58497307729"/>
    <s v=" "/>
    <s v=" "/>
    <s v=" "/>
    <s v=" "/>
    <s v=" "/>
    <s v=" "/>
    <s v=" "/>
    <s v=" "/>
    <s v=" "/>
    <s v=" "/>
    <x v="0"/>
    <x v="0"/>
    <x v="0"/>
    <x v="0"/>
    <x v="0"/>
    <x v="1"/>
    <x v="0"/>
    <x v="0"/>
    <x v="0"/>
    <x v="4"/>
    <x v="1"/>
    <x v="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5"/>
    <x v="0"/>
    <x v="0"/>
    <x v="0"/>
    <x v="0"/>
    <x v="0"/>
    <x v="0"/>
    <x v="0"/>
    <x v="0"/>
    <x v="0"/>
  </r>
  <r>
    <x v="26"/>
    <x v="34"/>
    <x v="19"/>
    <x v="154"/>
    <x v="10"/>
    <m/>
    <m/>
    <m/>
    <m/>
    <m/>
    <m/>
    <m/>
    <m/>
    <m/>
    <m/>
    <m/>
    <m/>
    <m/>
    <m/>
    <m/>
    <s v="Year 5"/>
    <m/>
    <m/>
    <m/>
    <m/>
    <m/>
    <m/>
    <m/>
    <m/>
    <m/>
    <m/>
    <m/>
    <m/>
    <m/>
    <m/>
    <m/>
    <m/>
    <m/>
    <m/>
    <m/>
    <m/>
    <m/>
    <m/>
    <m/>
    <m/>
    <m/>
    <m/>
    <m/>
    <m/>
    <m/>
    <m/>
    <m/>
    <m/>
    <m/>
    <m/>
    <m/>
    <m/>
    <m/>
    <m/>
    <m/>
    <m/>
    <m/>
    <m/>
    <m/>
    <m/>
    <m/>
    <m/>
    <m/>
    <m/>
    <m/>
    <m/>
    <m/>
    <m/>
    <m/>
    <m/>
    <m/>
    <m/>
    <m/>
    <m/>
    <m/>
    <m/>
    <m/>
    <m/>
    <m/>
    <m/>
    <m/>
    <m/>
    <m/>
    <m/>
    <m/>
    <m/>
    <m/>
    <m/>
    <m/>
    <m/>
    <m/>
    <m/>
    <m/>
    <m/>
    <m/>
    <m/>
    <m/>
    <m/>
    <m/>
    <m/>
    <m/>
    <n v="5076.8100000000004"/>
    <m/>
    <m/>
    <m/>
    <m/>
    <m/>
    <m/>
    <m/>
    <m/>
    <m/>
    <n v="0"/>
    <n v="0"/>
    <n v="0"/>
    <n v="0"/>
    <n v="0"/>
    <n v="0"/>
    <n v="0"/>
    <n v="0"/>
    <n v="0"/>
    <n v="0"/>
    <n v="0"/>
    <n v="0"/>
    <n v="0"/>
    <n v="0"/>
    <n v="0"/>
    <n v="0"/>
    <n v="0"/>
    <n v="0"/>
    <n v="0"/>
    <n v="0"/>
    <n v="0"/>
    <n v="0"/>
    <n v="0"/>
    <n v="0"/>
    <n v="0"/>
    <n v="0"/>
    <n v="0"/>
    <n v="0"/>
    <n v="0"/>
    <n v="0"/>
    <n v="0"/>
    <n v="0"/>
    <n v="0"/>
    <n v="0"/>
    <n v="0"/>
    <n v="0"/>
    <n v="0"/>
    <n v="0"/>
    <n v="0"/>
    <n v="0"/>
    <n v="0"/>
    <n v="0"/>
    <n v="0"/>
    <n v="0"/>
    <n v="0"/>
    <n v="0"/>
    <n v="0"/>
    <n v="0"/>
    <n v="25384.050000000003"/>
    <n v="0"/>
    <n v="0"/>
    <n v="0"/>
    <n v="0"/>
    <n v="0"/>
    <n v="0"/>
    <n v="0"/>
    <n v="0"/>
    <n v="0"/>
    <n v="25384.050000000003"/>
    <s v=" "/>
    <s v=" "/>
    <s v=" "/>
    <s v=" "/>
    <n v="33969.58497307729"/>
    <s v=" "/>
    <s v=" "/>
    <s v=" "/>
    <s v=" "/>
    <s v=" "/>
    <s v=" "/>
    <s v=" "/>
    <s v=" "/>
    <s v=" "/>
    <s v=" "/>
    <x v="0"/>
    <x v="0"/>
    <x v="0"/>
    <x v="0"/>
    <x v="0"/>
    <x v="1"/>
    <x v="0"/>
    <x v="0"/>
    <x v="0"/>
    <x v="4"/>
    <x v="1"/>
    <x v="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6"/>
    <x v="0"/>
    <x v="0"/>
    <x v="0"/>
    <x v="0"/>
    <x v="0"/>
    <x v="0"/>
    <x v="0"/>
    <x v="0"/>
    <x v="0"/>
  </r>
  <r>
    <x v="27"/>
    <x v="35"/>
    <x v="20"/>
    <x v="155"/>
    <x v="11"/>
    <m/>
    <m/>
    <m/>
    <m/>
    <m/>
    <m/>
    <m/>
    <m/>
    <m/>
    <m/>
    <m/>
    <m/>
    <m/>
    <m/>
    <m/>
    <s v="Year 5"/>
    <m/>
    <m/>
    <m/>
    <m/>
    <m/>
    <m/>
    <m/>
    <m/>
    <m/>
    <m/>
    <m/>
    <m/>
    <m/>
    <m/>
    <m/>
    <m/>
    <m/>
    <m/>
    <m/>
    <m/>
    <m/>
    <m/>
    <m/>
    <m/>
    <m/>
    <m/>
    <m/>
    <m/>
    <m/>
    <m/>
    <m/>
    <m/>
    <m/>
    <m/>
    <m/>
    <m/>
    <m/>
    <m/>
    <m/>
    <m/>
    <m/>
    <m/>
    <m/>
    <m/>
    <m/>
    <m/>
    <m/>
    <m/>
    <m/>
    <m/>
    <m/>
    <m/>
    <m/>
    <m/>
    <m/>
    <m/>
    <m/>
    <m/>
    <m/>
    <m/>
    <m/>
    <m/>
    <m/>
    <m/>
    <m/>
    <m/>
    <m/>
    <m/>
    <m/>
    <m/>
    <m/>
    <m/>
    <m/>
    <m/>
    <m/>
    <m/>
    <m/>
    <m/>
    <m/>
    <m/>
    <m/>
    <m/>
    <m/>
    <m/>
    <n v="587.13"/>
    <m/>
    <m/>
    <m/>
    <m/>
    <m/>
    <m/>
    <m/>
    <m/>
    <m/>
    <m/>
    <n v="0"/>
    <n v="0"/>
    <n v="0"/>
    <n v="0"/>
    <n v="0"/>
    <n v="0"/>
    <n v="0"/>
    <n v="0"/>
    <n v="0"/>
    <n v="0"/>
    <n v="0"/>
    <n v="0"/>
    <n v="0"/>
    <n v="0"/>
    <n v="0"/>
    <n v="0"/>
    <n v="0"/>
    <n v="0"/>
    <n v="0"/>
    <n v="0"/>
    <n v="0"/>
    <n v="0"/>
    <n v="0"/>
    <n v="0"/>
    <n v="0"/>
    <n v="0"/>
    <n v="0"/>
    <n v="0"/>
    <n v="0"/>
    <n v="0"/>
    <n v="0"/>
    <n v="0"/>
    <n v="0"/>
    <n v="0"/>
    <n v="0"/>
    <n v="0"/>
    <n v="0"/>
    <n v="0"/>
    <n v="0"/>
    <n v="0"/>
    <n v="0"/>
    <n v="0"/>
    <n v="0"/>
    <n v="0"/>
    <n v="0"/>
    <n v="0"/>
    <n v="0"/>
    <n v="9981.2099999999991"/>
    <n v="0"/>
    <n v="0"/>
    <n v="0"/>
    <n v="0"/>
    <n v="0"/>
    <n v="0"/>
    <n v="0"/>
    <n v="0"/>
    <n v="0"/>
    <n v="0"/>
    <n v="9981.2099999999991"/>
    <s v=" "/>
    <s v=" "/>
    <s v=" "/>
    <s v=" "/>
    <n v="13357.110517396897"/>
    <s v=" "/>
    <s v=" "/>
    <s v=" "/>
    <s v=" "/>
    <s v=" "/>
    <s v=" "/>
    <s v=" "/>
    <s v=" "/>
    <s v=" "/>
    <s v=" "/>
    <x v="0"/>
    <x v="0"/>
    <x v="0"/>
    <x v="0"/>
    <x v="0"/>
    <x v="1"/>
    <x v="0"/>
    <x v="0"/>
    <x v="0"/>
    <x v="4"/>
    <x v="1"/>
    <x v="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7"/>
    <x v="0"/>
    <x v="0"/>
    <x v="0"/>
    <x v="0"/>
    <x v="0"/>
    <x v="0"/>
    <x v="0"/>
    <x v="0"/>
    <x v="0"/>
    <x v="0"/>
  </r>
  <r>
    <x v="28"/>
    <x v="35"/>
    <x v="20"/>
    <x v="156"/>
    <x v="11"/>
    <m/>
    <m/>
    <m/>
    <m/>
    <m/>
    <m/>
    <m/>
    <m/>
    <m/>
    <m/>
    <m/>
    <m/>
    <m/>
    <m/>
    <m/>
    <s v="Year 5"/>
    <m/>
    <m/>
    <m/>
    <m/>
    <m/>
    <m/>
    <m/>
    <m/>
    <m/>
    <m/>
    <m/>
    <m/>
    <m/>
    <m/>
    <m/>
    <m/>
    <m/>
    <m/>
    <m/>
    <m/>
    <m/>
    <m/>
    <m/>
    <m/>
    <m/>
    <m/>
    <m/>
    <m/>
    <m/>
    <m/>
    <m/>
    <m/>
    <m/>
    <m/>
    <m/>
    <m/>
    <m/>
    <m/>
    <m/>
    <m/>
    <m/>
    <m/>
    <m/>
    <m/>
    <m/>
    <m/>
    <m/>
    <m/>
    <m/>
    <m/>
    <m/>
    <m/>
    <m/>
    <m/>
    <m/>
    <m/>
    <m/>
    <m/>
    <m/>
    <m/>
    <m/>
    <m/>
    <m/>
    <m/>
    <m/>
    <m/>
    <m/>
    <m/>
    <m/>
    <m/>
    <m/>
    <m/>
    <m/>
    <m/>
    <m/>
    <m/>
    <m/>
    <m/>
    <m/>
    <m/>
    <m/>
    <m/>
    <m/>
    <m/>
    <n v="2221.85"/>
    <m/>
    <m/>
    <m/>
    <m/>
    <m/>
    <m/>
    <m/>
    <m/>
    <m/>
    <m/>
    <n v="0"/>
    <n v="0"/>
    <n v="0"/>
    <n v="0"/>
    <n v="0"/>
    <n v="0"/>
    <n v="0"/>
    <n v="0"/>
    <n v="0"/>
    <n v="0"/>
    <n v="0"/>
    <n v="0"/>
    <n v="0"/>
    <n v="0"/>
    <n v="0"/>
    <n v="0"/>
    <n v="0"/>
    <n v="0"/>
    <n v="0"/>
    <n v="0"/>
    <n v="0"/>
    <n v="0"/>
    <n v="0"/>
    <n v="0"/>
    <n v="0"/>
    <n v="0"/>
    <n v="0"/>
    <n v="0"/>
    <n v="0"/>
    <n v="0"/>
    <n v="0"/>
    <n v="0"/>
    <n v="0"/>
    <n v="0"/>
    <n v="0"/>
    <n v="0"/>
    <n v="0"/>
    <n v="0"/>
    <n v="0"/>
    <n v="0"/>
    <n v="0"/>
    <n v="0"/>
    <n v="0"/>
    <n v="0"/>
    <n v="0"/>
    <n v="0"/>
    <n v="0"/>
    <n v="37771.449999999997"/>
    <n v="0"/>
    <n v="0"/>
    <n v="0"/>
    <n v="0"/>
    <n v="0"/>
    <n v="0"/>
    <n v="0"/>
    <n v="0"/>
    <n v="0"/>
    <n v="0"/>
    <n v="37771.449999999997"/>
    <s v=" "/>
    <s v=" "/>
    <s v=" "/>
    <s v=" "/>
    <n v="50546.720493039538"/>
    <s v=" "/>
    <s v=" "/>
    <s v=" "/>
    <s v=" "/>
    <s v=" "/>
    <s v=" "/>
    <s v=" "/>
    <s v=" "/>
    <s v=" "/>
    <s v=" "/>
    <x v="0"/>
    <x v="0"/>
    <x v="0"/>
    <x v="0"/>
    <x v="0"/>
    <x v="1"/>
    <x v="0"/>
    <x v="0"/>
    <x v="0"/>
    <x v="4"/>
    <x v="1"/>
    <x v="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8"/>
    <x v="0"/>
    <x v="0"/>
    <x v="0"/>
    <x v="0"/>
    <x v="0"/>
    <x v="0"/>
    <x v="0"/>
    <x v="0"/>
    <x v="0"/>
    <x v="0"/>
  </r>
  <r>
    <x v="29"/>
    <x v="35"/>
    <x v="20"/>
    <x v="157"/>
    <x v="11"/>
    <m/>
    <m/>
    <m/>
    <m/>
    <m/>
    <m/>
    <m/>
    <m/>
    <m/>
    <m/>
    <m/>
    <m/>
    <m/>
    <m/>
    <m/>
    <s v="Year 5"/>
    <m/>
    <m/>
    <m/>
    <m/>
    <m/>
    <m/>
    <m/>
    <m/>
    <m/>
    <m/>
    <m/>
    <m/>
    <m/>
    <m/>
    <m/>
    <m/>
    <m/>
    <m/>
    <m/>
    <m/>
    <m/>
    <m/>
    <m/>
    <m/>
    <m/>
    <m/>
    <m/>
    <m/>
    <m/>
    <m/>
    <m/>
    <m/>
    <m/>
    <m/>
    <m/>
    <m/>
    <m/>
    <m/>
    <m/>
    <m/>
    <m/>
    <m/>
    <m/>
    <m/>
    <m/>
    <m/>
    <m/>
    <m/>
    <m/>
    <m/>
    <m/>
    <m/>
    <m/>
    <m/>
    <m/>
    <m/>
    <m/>
    <m/>
    <m/>
    <m/>
    <m/>
    <m/>
    <m/>
    <m/>
    <m/>
    <m/>
    <m/>
    <m/>
    <m/>
    <m/>
    <m/>
    <m/>
    <m/>
    <m/>
    <m/>
    <m/>
    <m/>
    <m/>
    <m/>
    <m/>
    <m/>
    <m/>
    <m/>
    <m/>
    <n v="1167.1099999999999"/>
    <m/>
    <m/>
    <m/>
    <m/>
    <m/>
    <m/>
    <m/>
    <m/>
    <m/>
    <m/>
    <n v="0"/>
    <n v="0"/>
    <n v="0"/>
    <n v="0"/>
    <n v="0"/>
    <n v="0"/>
    <n v="0"/>
    <n v="0"/>
    <n v="0"/>
    <n v="0"/>
    <n v="0"/>
    <n v="0"/>
    <n v="0"/>
    <n v="0"/>
    <n v="0"/>
    <n v="0"/>
    <n v="0"/>
    <n v="0"/>
    <n v="0"/>
    <n v="0"/>
    <n v="0"/>
    <n v="0"/>
    <n v="0"/>
    <n v="0"/>
    <n v="0"/>
    <n v="0"/>
    <n v="0"/>
    <n v="0"/>
    <n v="0"/>
    <n v="0"/>
    <n v="0"/>
    <n v="0"/>
    <n v="0"/>
    <n v="0"/>
    <n v="0"/>
    <n v="0"/>
    <n v="0"/>
    <n v="0"/>
    <n v="0"/>
    <n v="0"/>
    <n v="0"/>
    <n v="0"/>
    <n v="0"/>
    <n v="0"/>
    <n v="0"/>
    <n v="0"/>
    <n v="0"/>
    <n v="19840.87"/>
    <n v="0"/>
    <n v="0"/>
    <n v="0"/>
    <n v="0"/>
    <n v="0"/>
    <n v="0"/>
    <n v="0"/>
    <n v="0"/>
    <n v="0"/>
    <n v="0"/>
    <n v="19840.87"/>
    <s v=" "/>
    <s v=" "/>
    <s v=" "/>
    <s v=" "/>
    <n v="26551.559715836513"/>
    <s v=" "/>
    <s v=" "/>
    <s v=" "/>
    <s v=" "/>
    <s v=" "/>
    <s v=" "/>
    <s v=" "/>
    <s v=" "/>
    <s v=" "/>
    <s v=" "/>
    <x v="0"/>
    <x v="0"/>
    <x v="0"/>
    <x v="0"/>
    <x v="0"/>
    <x v="1"/>
    <x v="0"/>
    <x v="0"/>
    <x v="0"/>
    <x v="4"/>
    <x v="1"/>
    <x v="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9"/>
    <x v="0"/>
    <x v="0"/>
    <x v="0"/>
    <x v="0"/>
    <x v="0"/>
    <x v="0"/>
    <x v="0"/>
    <x v="0"/>
    <x v="0"/>
    <x v="0"/>
  </r>
  <r>
    <x v="30"/>
    <x v="35"/>
    <x v="20"/>
    <x v="158"/>
    <x v="11"/>
    <m/>
    <m/>
    <m/>
    <m/>
    <m/>
    <m/>
    <m/>
    <m/>
    <m/>
    <m/>
    <m/>
    <m/>
    <m/>
    <m/>
    <m/>
    <s v="Year 5"/>
    <m/>
    <m/>
    <m/>
    <m/>
    <m/>
    <m/>
    <m/>
    <m/>
    <m/>
    <m/>
    <m/>
    <m/>
    <m/>
    <m/>
    <m/>
    <m/>
    <m/>
    <m/>
    <m/>
    <m/>
    <m/>
    <m/>
    <m/>
    <m/>
    <m/>
    <m/>
    <m/>
    <m/>
    <m/>
    <m/>
    <m/>
    <m/>
    <m/>
    <m/>
    <m/>
    <m/>
    <m/>
    <m/>
    <m/>
    <m/>
    <m/>
    <m/>
    <m/>
    <m/>
    <m/>
    <m/>
    <m/>
    <m/>
    <m/>
    <m/>
    <m/>
    <m/>
    <m/>
    <m/>
    <m/>
    <m/>
    <m/>
    <m/>
    <m/>
    <m/>
    <m/>
    <m/>
    <m/>
    <m/>
    <m/>
    <m/>
    <m/>
    <m/>
    <m/>
    <m/>
    <m/>
    <m/>
    <m/>
    <m/>
    <m/>
    <m/>
    <m/>
    <m/>
    <m/>
    <m/>
    <m/>
    <m/>
    <m/>
    <m/>
    <n v="751.57"/>
    <m/>
    <m/>
    <m/>
    <m/>
    <m/>
    <m/>
    <m/>
    <m/>
    <m/>
    <m/>
    <n v="0"/>
    <n v="0"/>
    <n v="0"/>
    <n v="0"/>
    <n v="0"/>
    <n v="0"/>
    <n v="0"/>
    <n v="0"/>
    <n v="0"/>
    <n v="0"/>
    <n v="0"/>
    <n v="0"/>
    <n v="0"/>
    <n v="0"/>
    <n v="0"/>
    <n v="0"/>
    <n v="0"/>
    <n v="0"/>
    <n v="0"/>
    <n v="0"/>
    <n v="0"/>
    <n v="0"/>
    <n v="0"/>
    <n v="0"/>
    <n v="0"/>
    <n v="0"/>
    <n v="0"/>
    <n v="0"/>
    <n v="0"/>
    <n v="0"/>
    <n v="0"/>
    <n v="0"/>
    <n v="0"/>
    <n v="0"/>
    <n v="0"/>
    <n v="0"/>
    <n v="0"/>
    <n v="0"/>
    <n v="0"/>
    <n v="0"/>
    <n v="0"/>
    <n v="0"/>
    <n v="0"/>
    <n v="0"/>
    <n v="0"/>
    <n v="0"/>
    <n v="0"/>
    <n v="12776.69"/>
    <n v="0"/>
    <n v="0"/>
    <n v="0"/>
    <n v="0"/>
    <n v="0"/>
    <n v="0"/>
    <n v="0"/>
    <n v="0"/>
    <n v="0"/>
    <n v="0"/>
    <n v="12776.69"/>
    <s v=" "/>
    <s v=" "/>
    <s v=" "/>
    <s v=" "/>
    <n v="17098.09335506615"/>
    <s v=" "/>
    <s v=" "/>
    <s v=" "/>
    <s v=" "/>
    <s v=" "/>
    <s v=" "/>
    <s v=" "/>
    <s v=" "/>
    <s v=" "/>
    <s v=" "/>
    <x v="0"/>
    <x v="0"/>
    <x v="0"/>
    <x v="0"/>
    <x v="0"/>
    <x v="1"/>
    <x v="0"/>
    <x v="0"/>
    <x v="0"/>
    <x v="4"/>
    <x v="1"/>
    <x v="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10"/>
    <x v="0"/>
    <x v="0"/>
    <x v="0"/>
    <x v="0"/>
    <x v="0"/>
    <x v="0"/>
    <x v="0"/>
    <x v="0"/>
    <x v="0"/>
    <x v="0"/>
  </r>
  <r>
    <x v="31"/>
    <x v="35"/>
    <x v="20"/>
    <x v="159"/>
    <x v="11"/>
    <m/>
    <m/>
    <m/>
    <m/>
    <m/>
    <m/>
    <m/>
    <m/>
    <m/>
    <m/>
    <m/>
    <m/>
    <m/>
    <m/>
    <m/>
    <s v="Year 5"/>
    <m/>
    <m/>
    <m/>
    <m/>
    <m/>
    <m/>
    <m/>
    <m/>
    <m/>
    <m/>
    <m/>
    <m/>
    <m/>
    <m/>
    <m/>
    <m/>
    <m/>
    <m/>
    <m/>
    <m/>
    <m/>
    <m/>
    <m/>
    <m/>
    <m/>
    <m/>
    <m/>
    <m/>
    <m/>
    <m/>
    <m/>
    <m/>
    <m/>
    <m/>
    <m/>
    <m/>
    <m/>
    <m/>
    <m/>
    <m/>
    <m/>
    <m/>
    <m/>
    <m/>
    <m/>
    <m/>
    <m/>
    <m/>
    <m/>
    <m/>
    <m/>
    <m/>
    <m/>
    <m/>
    <m/>
    <m/>
    <m/>
    <m/>
    <m/>
    <m/>
    <m/>
    <m/>
    <m/>
    <m/>
    <m/>
    <m/>
    <m/>
    <m/>
    <m/>
    <m/>
    <m/>
    <m/>
    <m/>
    <m/>
    <m/>
    <m/>
    <m/>
    <m/>
    <m/>
    <m/>
    <m/>
    <m/>
    <m/>
    <m/>
    <n v="578.36"/>
    <m/>
    <m/>
    <m/>
    <m/>
    <m/>
    <m/>
    <m/>
    <m/>
    <m/>
    <m/>
    <n v="0"/>
    <n v="0"/>
    <n v="0"/>
    <n v="0"/>
    <n v="0"/>
    <n v="0"/>
    <n v="0"/>
    <n v="0"/>
    <n v="0"/>
    <n v="0"/>
    <n v="0"/>
    <n v="0"/>
    <n v="0"/>
    <n v="0"/>
    <n v="0"/>
    <n v="0"/>
    <n v="0"/>
    <n v="0"/>
    <n v="0"/>
    <n v="0"/>
    <n v="0"/>
    <n v="0"/>
    <n v="0"/>
    <n v="0"/>
    <n v="0"/>
    <n v="0"/>
    <n v="0"/>
    <n v="0"/>
    <n v="0"/>
    <n v="0"/>
    <n v="0"/>
    <n v="0"/>
    <n v="0"/>
    <n v="0"/>
    <n v="0"/>
    <n v="0"/>
    <n v="0"/>
    <n v="0"/>
    <n v="0"/>
    <n v="0"/>
    <n v="0"/>
    <n v="0"/>
    <n v="0"/>
    <n v="0"/>
    <n v="0"/>
    <n v="0"/>
    <n v="0"/>
    <n v="9832.1200000000008"/>
    <n v="0"/>
    <n v="0"/>
    <n v="0"/>
    <n v="0"/>
    <n v="0"/>
    <n v="0"/>
    <n v="0"/>
    <n v="0"/>
    <n v="0"/>
    <n v="0"/>
    <n v="9832.1200000000008"/>
    <s v=" "/>
    <s v=" "/>
    <s v=" "/>
    <s v=" "/>
    <n v="13157.594466032515"/>
    <s v=" "/>
    <s v=" "/>
    <s v=" "/>
    <s v=" "/>
    <s v=" "/>
    <s v=" "/>
    <s v=" "/>
    <s v=" "/>
    <s v=" "/>
    <s v=" "/>
    <x v="0"/>
    <x v="0"/>
    <x v="0"/>
    <x v="0"/>
    <x v="0"/>
    <x v="1"/>
    <x v="0"/>
    <x v="0"/>
    <x v="0"/>
    <x v="4"/>
    <x v="1"/>
    <x v="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11"/>
    <x v="0"/>
    <x v="0"/>
    <x v="0"/>
    <x v="0"/>
    <x v="0"/>
    <x v="0"/>
    <x v="0"/>
    <x v="0"/>
    <x v="0"/>
    <x v="0"/>
  </r>
  <r>
    <x v="32"/>
    <x v="35"/>
    <x v="20"/>
    <x v="160"/>
    <x v="11"/>
    <m/>
    <m/>
    <m/>
    <m/>
    <m/>
    <m/>
    <m/>
    <m/>
    <m/>
    <m/>
    <m/>
    <m/>
    <m/>
    <m/>
    <m/>
    <s v="Year 5"/>
    <m/>
    <m/>
    <m/>
    <m/>
    <m/>
    <m/>
    <m/>
    <m/>
    <m/>
    <m/>
    <m/>
    <m/>
    <m/>
    <m/>
    <m/>
    <m/>
    <m/>
    <m/>
    <m/>
    <m/>
    <m/>
    <m/>
    <m/>
    <m/>
    <m/>
    <m/>
    <m/>
    <m/>
    <m/>
    <m/>
    <m/>
    <m/>
    <m/>
    <m/>
    <m/>
    <m/>
    <m/>
    <m/>
    <m/>
    <m/>
    <m/>
    <m/>
    <m/>
    <m/>
    <m/>
    <m/>
    <m/>
    <m/>
    <m/>
    <m/>
    <m/>
    <m/>
    <m/>
    <m/>
    <m/>
    <m/>
    <m/>
    <m/>
    <m/>
    <m/>
    <m/>
    <m/>
    <m/>
    <m/>
    <m/>
    <m/>
    <m/>
    <m/>
    <m/>
    <m/>
    <m/>
    <m/>
    <m/>
    <m/>
    <m/>
    <m/>
    <m/>
    <m/>
    <m/>
    <m/>
    <m/>
    <m/>
    <m/>
    <m/>
    <n v="692.51"/>
    <m/>
    <m/>
    <m/>
    <m/>
    <m/>
    <m/>
    <m/>
    <m/>
    <m/>
    <m/>
    <n v="0"/>
    <n v="0"/>
    <n v="0"/>
    <n v="0"/>
    <n v="0"/>
    <n v="0"/>
    <n v="0"/>
    <n v="0"/>
    <n v="0"/>
    <n v="0"/>
    <n v="0"/>
    <n v="0"/>
    <n v="0"/>
    <n v="0"/>
    <n v="0"/>
    <n v="0"/>
    <n v="0"/>
    <n v="0"/>
    <n v="0"/>
    <n v="0"/>
    <n v="0"/>
    <n v="0"/>
    <n v="0"/>
    <n v="0"/>
    <n v="0"/>
    <n v="0"/>
    <n v="0"/>
    <n v="0"/>
    <n v="0"/>
    <n v="0"/>
    <n v="0"/>
    <n v="0"/>
    <n v="0"/>
    <n v="0"/>
    <n v="0"/>
    <n v="0"/>
    <n v="0"/>
    <n v="0"/>
    <n v="0"/>
    <n v="0"/>
    <n v="0"/>
    <n v="0"/>
    <n v="0"/>
    <n v="0"/>
    <n v="0"/>
    <n v="0"/>
    <n v="0"/>
    <n v="11772.67"/>
    <n v="0"/>
    <n v="0"/>
    <n v="0"/>
    <n v="0"/>
    <n v="0"/>
    <n v="0"/>
    <n v="0"/>
    <n v="0"/>
    <n v="0"/>
    <n v="0"/>
    <n v="11772.67"/>
    <s v=" "/>
    <s v=" "/>
    <s v=" "/>
    <s v=" "/>
    <n v="15754.488110644195"/>
    <s v=" "/>
    <s v=" "/>
    <s v=" "/>
    <s v=" "/>
    <s v=" "/>
    <s v=" "/>
    <s v=" "/>
    <s v=" "/>
    <s v=" "/>
    <s v=" "/>
    <x v="0"/>
    <x v="0"/>
    <x v="0"/>
    <x v="0"/>
    <x v="0"/>
    <x v="1"/>
    <x v="0"/>
    <x v="0"/>
    <x v="0"/>
    <x v="4"/>
    <x v="1"/>
    <x v="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12"/>
    <x v="0"/>
    <x v="0"/>
    <x v="0"/>
    <x v="0"/>
    <x v="0"/>
    <x v="0"/>
    <x v="0"/>
    <x v="0"/>
    <x v="0"/>
    <x v="0"/>
  </r>
  <r>
    <x v="33"/>
    <x v="35"/>
    <x v="20"/>
    <x v="161"/>
    <x v="11"/>
    <m/>
    <m/>
    <m/>
    <m/>
    <m/>
    <m/>
    <m/>
    <m/>
    <m/>
    <m/>
    <m/>
    <m/>
    <m/>
    <m/>
    <m/>
    <s v="Year 5"/>
    <m/>
    <m/>
    <m/>
    <m/>
    <m/>
    <m/>
    <m/>
    <m/>
    <m/>
    <m/>
    <m/>
    <m/>
    <m/>
    <m/>
    <m/>
    <m/>
    <m/>
    <m/>
    <m/>
    <m/>
    <m/>
    <m/>
    <m/>
    <m/>
    <m/>
    <m/>
    <m/>
    <m/>
    <m/>
    <m/>
    <m/>
    <m/>
    <m/>
    <m/>
    <m/>
    <m/>
    <m/>
    <m/>
    <m/>
    <m/>
    <m/>
    <m/>
    <m/>
    <m/>
    <m/>
    <m/>
    <m/>
    <m/>
    <m/>
    <m/>
    <m/>
    <m/>
    <m/>
    <m/>
    <m/>
    <m/>
    <m/>
    <m/>
    <m/>
    <m/>
    <m/>
    <m/>
    <m/>
    <m/>
    <m/>
    <m/>
    <m/>
    <m/>
    <m/>
    <m/>
    <m/>
    <m/>
    <m/>
    <m/>
    <m/>
    <m/>
    <m/>
    <m/>
    <m/>
    <m/>
    <m/>
    <m/>
    <m/>
    <m/>
    <n v="937.2"/>
    <m/>
    <m/>
    <m/>
    <m/>
    <m/>
    <m/>
    <m/>
    <m/>
    <m/>
    <m/>
    <n v="0"/>
    <n v="0"/>
    <n v="0"/>
    <n v="0"/>
    <n v="0"/>
    <n v="0"/>
    <n v="0"/>
    <n v="0"/>
    <n v="0"/>
    <n v="0"/>
    <n v="0"/>
    <n v="0"/>
    <n v="0"/>
    <n v="0"/>
    <n v="0"/>
    <n v="0"/>
    <n v="0"/>
    <n v="0"/>
    <n v="0"/>
    <n v="0"/>
    <n v="0"/>
    <n v="0"/>
    <n v="0"/>
    <n v="0"/>
    <n v="0"/>
    <n v="0"/>
    <n v="0"/>
    <n v="0"/>
    <n v="0"/>
    <n v="0"/>
    <n v="0"/>
    <n v="0"/>
    <n v="0"/>
    <n v="0"/>
    <n v="0"/>
    <n v="0"/>
    <n v="0"/>
    <n v="0"/>
    <n v="0"/>
    <n v="0"/>
    <n v="0"/>
    <n v="0"/>
    <n v="0"/>
    <n v="0"/>
    <n v="0"/>
    <n v="0"/>
    <n v="0"/>
    <n v="15932.400000000001"/>
    <n v="0"/>
    <n v="0"/>
    <n v="0"/>
    <n v="0"/>
    <n v="0"/>
    <n v="0"/>
    <n v="0"/>
    <n v="0"/>
    <n v="0"/>
    <n v="0"/>
    <n v="15932.400000000001"/>
    <s v=" "/>
    <s v=" "/>
    <s v=" "/>
    <s v=" "/>
    <n v="21321.145192554246"/>
    <s v=" "/>
    <s v=" "/>
    <s v=" "/>
    <s v=" "/>
    <s v=" "/>
    <s v=" "/>
    <s v=" "/>
    <s v=" "/>
    <s v=" "/>
    <s v=" "/>
    <x v="0"/>
    <x v="0"/>
    <x v="0"/>
    <x v="0"/>
    <x v="0"/>
    <x v="1"/>
    <x v="0"/>
    <x v="0"/>
    <x v="0"/>
    <x v="4"/>
    <x v="1"/>
    <x v="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13"/>
    <x v="0"/>
    <x v="0"/>
    <x v="0"/>
    <x v="0"/>
    <x v="0"/>
    <x v="0"/>
    <x v="0"/>
    <x v="0"/>
    <x v="0"/>
    <x v="0"/>
  </r>
  <r>
    <x v="34"/>
    <x v="35"/>
    <x v="20"/>
    <x v="162"/>
    <x v="11"/>
    <m/>
    <m/>
    <m/>
    <m/>
    <m/>
    <m/>
    <m/>
    <m/>
    <m/>
    <m/>
    <m/>
    <m/>
    <m/>
    <m/>
    <m/>
    <s v="Year 5"/>
    <m/>
    <m/>
    <m/>
    <m/>
    <m/>
    <m/>
    <m/>
    <m/>
    <m/>
    <m/>
    <m/>
    <m/>
    <m/>
    <m/>
    <m/>
    <m/>
    <m/>
    <m/>
    <m/>
    <m/>
    <m/>
    <m/>
    <m/>
    <m/>
    <m/>
    <m/>
    <m/>
    <m/>
    <m/>
    <m/>
    <m/>
    <m/>
    <m/>
    <m/>
    <m/>
    <m/>
    <m/>
    <m/>
    <m/>
    <m/>
    <m/>
    <m/>
    <m/>
    <m/>
    <m/>
    <m/>
    <m/>
    <m/>
    <m/>
    <m/>
    <m/>
    <m/>
    <m/>
    <m/>
    <m/>
    <m/>
    <m/>
    <m/>
    <m/>
    <m/>
    <m/>
    <m/>
    <m/>
    <m/>
    <m/>
    <m/>
    <m/>
    <m/>
    <m/>
    <m/>
    <m/>
    <m/>
    <m/>
    <m/>
    <m/>
    <m/>
    <m/>
    <m/>
    <m/>
    <m/>
    <m/>
    <m/>
    <m/>
    <m/>
    <n v="1090.6199999999999"/>
    <m/>
    <m/>
    <m/>
    <m/>
    <m/>
    <m/>
    <m/>
    <m/>
    <m/>
    <m/>
    <n v="0"/>
    <n v="0"/>
    <n v="0"/>
    <n v="0"/>
    <n v="0"/>
    <n v="0"/>
    <n v="0"/>
    <n v="0"/>
    <n v="0"/>
    <n v="0"/>
    <n v="0"/>
    <n v="0"/>
    <n v="0"/>
    <n v="0"/>
    <n v="0"/>
    <n v="0"/>
    <n v="0"/>
    <n v="0"/>
    <n v="0"/>
    <n v="0"/>
    <n v="0"/>
    <n v="0"/>
    <n v="0"/>
    <n v="0"/>
    <n v="0"/>
    <n v="0"/>
    <n v="0"/>
    <n v="0"/>
    <n v="0"/>
    <n v="0"/>
    <n v="0"/>
    <n v="0"/>
    <n v="0"/>
    <n v="0"/>
    <n v="0"/>
    <n v="0"/>
    <n v="0"/>
    <n v="0"/>
    <n v="0"/>
    <n v="0"/>
    <n v="0"/>
    <n v="0"/>
    <n v="0"/>
    <n v="0"/>
    <n v="0"/>
    <n v="0"/>
    <n v="0"/>
    <n v="18540.539999999997"/>
    <n v="0"/>
    <n v="0"/>
    <n v="0"/>
    <n v="0"/>
    <n v="0"/>
    <n v="0"/>
    <n v="0"/>
    <n v="0"/>
    <n v="0"/>
    <n v="0"/>
    <n v="18540.539999999997"/>
    <s v=" "/>
    <s v=" "/>
    <s v=" "/>
    <s v=" "/>
    <n v="24811.424850515905"/>
    <s v=" "/>
    <s v=" "/>
    <s v=" "/>
    <s v=" "/>
    <s v=" "/>
    <s v=" "/>
    <s v=" "/>
    <s v=" "/>
    <s v=" "/>
    <s v=" "/>
    <x v="0"/>
    <x v="0"/>
    <x v="0"/>
    <x v="0"/>
    <x v="0"/>
    <x v="1"/>
    <x v="0"/>
    <x v="0"/>
    <x v="0"/>
    <x v="4"/>
    <x v="1"/>
    <x v="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14"/>
    <x v="0"/>
    <x v="0"/>
    <x v="0"/>
    <x v="0"/>
    <x v="0"/>
    <x v="0"/>
    <x v="0"/>
    <x v="0"/>
    <x v="0"/>
    <x v="0"/>
  </r>
  <r>
    <x v="35"/>
    <x v="35"/>
    <x v="20"/>
    <x v="163"/>
    <x v="11"/>
    <m/>
    <m/>
    <m/>
    <m/>
    <m/>
    <m/>
    <m/>
    <m/>
    <m/>
    <m/>
    <m/>
    <m/>
    <m/>
    <m/>
    <m/>
    <s v="Year 5"/>
    <m/>
    <m/>
    <m/>
    <m/>
    <m/>
    <m/>
    <m/>
    <m/>
    <m/>
    <m/>
    <m/>
    <m/>
    <m/>
    <m/>
    <m/>
    <m/>
    <m/>
    <m/>
    <m/>
    <m/>
    <m/>
    <m/>
    <m/>
    <m/>
    <m/>
    <m/>
    <m/>
    <m/>
    <m/>
    <m/>
    <m/>
    <m/>
    <m/>
    <m/>
    <m/>
    <m/>
    <m/>
    <m/>
    <m/>
    <m/>
    <m/>
    <m/>
    <m/>
    <m/>
    <m/>
    <m/>
    <m/>
    <m/>
    <m/>
    <m/>
    <m/>
    <m/>
    <m/>
    <m/>
    <m/>
    <m/>
    <m/>
    <m/>
    <m/>
    <m/>
    <m/>
    <m/>
    <m/>
    <m/>
    <m/>
    <m/>
    <m/>
    <m/>
    <m/>
    <m/>
    <m/>
    <m/>
    <m/>
    <m/>
    <m/>
    <m/>
    <m/>
    <m/>
    <m/>
    <m/>
    <m/>
    <m/>
    <m/>
    <m/>
    <n v="849.5"/>
    <m/>
    <m/>
    <m/>
    <m/>
    <m/>
    <m/>
    <m/>
    <m/>
    <m/>
    <m/>
    <n v="0"/>
    <n v="0"/>
    <n v="0"/>
    <n v="0"/>
    <n v="0"/>
    <n v="0"/>
    <n v="0"/>
    <n v="0"/>
    <n v="0"/>
    <n v="0"/>
    <n v="0"/>
    <n v="0"/>
    <n v="0"/>
    <n v="0"/>
    <n v="0"/>
    <n v="0"/>
    <n v="0"/>
    <n v="0"/>
    <n v="0"/>
    <n v="0"/>
    <n v="0"/>
    <n v="0"/>
    <n v="0"/>
    <n v="0"/>
    <n v="0"/>
    <n v="0"/>
    <n v="0"/>
    <n v="0"/>
    <n v="0"/>
    <n v="0"/>
    <n v="0"/>
    <n v="0"/>
    <n v="0"/>
    <n v="0"/>
    <n v="0"/>
    <n v="0"/>
    <n v="0"/>
    <n v="0"/>
    <n v="0"/>
    <n v="0"/>
    <n v="0"/>
    <n v="0"/>
    <n v="0"/>
    <n v="0"/>
    <n v="0"/>
    <n v="0"/>
    <n v="0"/>
    <n v="14441.5"/>
    <n v="0"/>
    <n v="0"/>
    <n v="0"/>
    <n v="0"/>
    <n v="0"/>
    <n v="0"/>
    <n v="0"/>
    <n v="0"/>
    <n v="0"/>
    <n v="0"/>
    <n v="14441.5"/>
    <s v=" "/>
    <s v=" "/>
    <s v=" "/>
    <s v=" "/>
    <n v="19325.984678910405"/>
    <s v=" "/>
    <s v=" "/>
    <s v=" "/>
    <s v=" "/>
    <s v=" "/>
    <s v=" "/>
    <s v=" "/>
    <s v=" "/>
    <s v=" "/>
    <s v=" "/>
    <x v="0"/>
    <x v="0"/>
    <x v="0"/>
    <x v="0"/>
    <x v="0"/>
    <x v="1"/>
    <x v="0"/>
    <x v="0"/>
    <x v="0"/>
    <x v="4"/>
    <x v="1"/>
    <x v="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15"/>
    <x v="0"/>
    <x v="0"/>
    <x v="0"/>
    <x v="0"/>
    <x v="0"/>
    <x v="0"/>
    <x v="0"/>
    <x v="0"/>
    <x v="0"/>
    <x v="0"/>
  </r>
  <r>
    <x v="36"/>
    <x v="35"/>
    <x v="20"/>
    <x v="164"/>
    <x v="11"/>
    <m/>
    <m/>
    <m/>
    <m/>
    <m/>
    <m/>
    <m/>
    <m/>
    <m/>
    <m/>
    <m/>
    <m/>
    <m/>
    <m/>
    <m/>
    <s v="Year 5"/>
    <m/>
    <m/>
    <m/>
    <m/>
    <m/>
    <m/>
    <m/>
    <m/>
    <m/>
    <m/>
    <m/>
    <m/>
    <m/>
    <m/>
    <m/>
    <m/>
    <m/>
    <m/>
    <m/>
    <m/>
    <m/>
    <m/>
    <m/>
    <m/>
    <m/>
    <m/>
    <m/>
    <m/>
    <m/>
    <m/>
    <m/>
    <m/>
    <m/>
    <m/>
    <m/>
    <m/>
    <m/>
    <m/>
    <m/>
    <m/>
    <m/>
    <m/>
    <m/>
    <m/>
    <m/>
    <m/>
    <m/>
    <m/>
    <m/>
    <m/>
    <m/>
    <m/>
    <m/>
    <m/>
    <m/>
    <m/>
    <m/>
    <m/>
    <m/>
    <m/>
    <m/>
    <m/>
    <m/>
    <m/>
    <m/>
    <m/>
    <m/>
    <m/>
    <m/>
    <m/>
    <m/>
    <m/>
    <m/>
    <m/>
    <m/>
    <m/>
    <m/>
    <m/>
    <m/>
    <m/>
    <m/>
    <m/>
    <m/>
    <m/>
    <n v="288.73"/>
    <m/>
    <m/>
    <m/>
    <m/>
    <m/>
    <m/>
    <m/>
    <m/>
    <m/>
    <m/>
    <n v="0"/>
    <n v="0"/>
    <n v="0"/>
    <n v="0"/>
    <n v="0"/>
    <n v="0"/>
    <n v="0"/>
    <n v="0"/>
    <n v="0"/>
    <n v="0"/>
    <n v="0"/>
    <n v="0"/>
    <n v="0"/>
    <n v="0"/>
    <n v="0"/>
    <n v="0"/>
    <n v="0"/>
    <n v="0"/>
    <n v="0"/>
    <n v="0"/>
    <n v="0"/>
    <n v="0"/>
    <n v="0"/>
    <n v="0"/>
    <n v="0"/>
    <n v="0"/>
    <n v="0"/>
    <n v="0"/>
    <n v="0"/>
    <n v="0"/>
    <n v="0"/>
    <n v="0"/>
    <n v="0"/>
    <n v="0"/>
    <n v="0"/>
    <n v="0"/>
    <n v="0"/>
    <n v="0"/>
    <n v="0"/>
    <n v="0"/>
    <n v="0"/>
    <n v="0"/>
    <n v="0"/>
    <n v="0"/>
    <n v="0"/>
    <n v="0"/>
    <n v="0"/>
    <n v="4908.41"/>
    <n v="0"/>
    <n v="0"/>
    <n v="0"/>
    <n v="0"/>
    <n v="0"/>
    <n v="0"/>
    <n v="0"/>
    <n v="0"/>
    <n v="0"/>
    <n v="0"/>
    <n v="4908.41"/>
    <s v=" "/>
    <s v=" "/>
    <s v=" "/>
    <s v=" "/>
    <n v="6568.5598073476176"/>
    <s v=" "/>
    <s v=" "/>
    <s v=" "/>
    <s v=" "/>
    <s v=" "/>
    <s v=" "/>
    <s v=" "/>
    <s v=" "/>
    <s v=" "/>
    <s v=" "/>
    <x v="0"/>
    <x v="0"/>
    <x v="0"/>
    <x v="0"/>
    <x v="0"/>
    <x v="1"/>
    <x v="0"/>
    <x v="0"/>
    <x v="0"/>
    <x v="4"/>
    <x v="1"/>
    <x v="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16"/>
    <x v="0"/>
    <x v="0"/>
    <x v="0"/>
    <x v="0"/>
    <x v="0"/>
    <x v="0"/>
    <x v="0"/>
    <x v="0"/>
    <x v="0"/>
    <x v="0"/>
  </r>
  <r>
    <x v="37"/>
    <x v="34"/>
    <x v="19"/>
    <x v="165"/>
    <x v="10"/>
    <m/>
    <m/>
    <m/>
    <m/>
    <m/>
    <m/>
    <m/>
    <m/>
    <m/>
    <m/>
    <m/>
    <m/>
    <m/>
    <m/>
    <m/>
    <s v="Year 5"/>
    <m/>
    <m/>
    <m/>
    <m/>
    <m/>
    <m/>
    <m/>
    <m/>
    <m/>
    <m/>
    <m/>
    <m/>
    <m/>
    <m/>
    <m/>
    <m/>
    <m/>
    <m/>
    <m/>
    <m/>
    <m/>
    <m/>
    <m/>
    <m/>
    <m/>
    <m/>
    <m/>
    <m/>
    <m/>
    <m/>
    <m/>
    <m/>
    <m/>
    <m/>
    <m/>
    <m/>
    <m/>
    <m/>
    <m/>
    <m/>
    <m/>
    <m/>
    <m/>
    <m/>
    <m/>
    <m/>
    <m/>
    <m/>
    <m/>
    <m/>
    <m/>
    <m/>
    <m/>
    <m/>
    <m/>
    <m/>
    <m/>
    <m/>
    <m/>
    <m/>
    <m/>
    <m/>
    <m/>
    <m/>
    <m/>
    <m/>
    <m/>
    <m/>
    <m/>
    <m/>
    <m/>
    <m/>
    <m/>
    <m/>
    <m/>
    <m/>
    <m/>
    <m/>
    <m/>
    <m/>
    <m/>
    <m/>
    <m/>
    <m/>
    <m/>
    <n v="2195.54"/>
    <m/>
    <m/>
    <m/>
    <m/>
    <m/>
    <m/>
    <m/>
    <m/>
    <m/>
    <n v="0"/>
    <n v="0"/>
    <n v="0"/>
    <n v="0"/>
    <n v="0"/>
    <n v="0"/>
    <n v="0"/>
    <n v="0"/>
    <n v="0"/>
    <n v="0"/>
    <n v="0"/>
    <n v="0"/>
    <n v="0"/>
    <n v="0"/>
    <n v="0"/>
    <n v="0"/>
    <n v="0"/>
    <n v="0"/>
    <n v="0"/>
    <n v="0"/>
    <n v="0"/>
    <n v="0"/>
    <n v="0"/>
    <n v="0"/>
    <n v="0"/>
    <n v="0"/>
    <n v="0"/>
    <n v="0"/>
    <n v="0"/>
    <n v="0"/>
    <n v="0"/>
    <n v="0"/>
    <n v="0"/>
    <n v="0"/>
    <n v="0"/>
    <n v="0"/>
    <n v="0"/>
    <n v="0"/>
    <n v="0"/>
    <n v="0"/>
    <n v="0"/>
    <n v="0"/>
    <n v="0"/>
    <n v="0"/>
    <n v="0"/>
    <n v="0"/>
    <n v="0"/>
    <n v="0"/>
    <n v="10977.7"/>
    <n v="0"/>
    <n v="0"/>
    <n v="0"/>
    <n v="0"/>
    <n v="0"/>
    <n v="0"/>
    <n v="0"/>
    <n v="0"/>
    <n v="0"/>
    <n v="10977.7"/>
    <s v=" "/>
    <s v=" "/>
    <s v=" "/>
    <s v=" "/>
    <n v="14690.638923219525"/>
    <s v=" "/>
    <s v=" "/>
    <s v=" "/>
    <s v=" "/>
    <s v=" "/>
    <s v=" "/>
    <s v=" "/>
    <s v=" "/>
    <s v=" "/>
    <s v=" "/>
    <x v="0"/>
    <x v="0"/>
    <x v="0"/>
    <x v="0"/>
    <x v="0"/>
    <x v="1"/>
    <x v="0"/>
    <x v="0"/>
    <x v="0"/>
    <x v="4"/>
    <x v="1"/>
    <x v="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7"/>
    <x v="0"/>
    <x v="0"/>
    <x v="0"/>
    <x v="0"/>
    <x v="0"/>
    <x v="0"/>
    <x v="0"/>
    <x v="0"/>
    <x v="0"/>
  </r>
  <r>
    <x v="38"/>
    <x v="36"/>
    <x v="21"/>
    <x v="166"/>
    <x v="12"/>
    <m/>
    <m/>
    <m/>
    <m/>
    <m/>
    <m/>
    <m/>
    <m/>
    <m/>
    <m/>
    <m/>
    <m/>
    <m/>
    <m/>
    <m/>
    <s v="Year 5"/>
    <n v="3467.5"/>
    <m/>
    <m/>
    <m/>
    <m/>
    <m/>
    <m/>
    <m/>
    <m/>
    <m/>
    <m/>
    <m/>
    <m/>
    <m/>
    <m/>
    <m/>
    <m/>
    <m/>
    <m/>
    <m/>
    <m/>
    <m/>
    <m/>
    <m/>
    <m/>
    <m/>
    <m/>
    <m/>
    <m/>
    <m/>
    <m/>
    <m/>
    <m/>
    <m/>
    <m/>
    <m/>
    <m/>
    <m/>
    <m/>
    <m/>
    <m/>
    <m/>
    <m/>
    <m/>
    <m/>
    <m/>
    <m/>
    <m/>
    <m/>
    <m/>
    <m/>
    <m/>
    <m/>
    <m/>
    <m/>
    <m/>
    <m/>
    <m/>
    <m/>
    <m/>
    <m/>
    <m/>
    <m/>
    <m/>
    <m/>
    <m/>
    <m/>
    <m/>
    <m/>
    <m/>
    <m/>
    <m/>
    <m/>
    <m/>
    <m/>
    <m/>
    <m/>
    <m/>
    <m/>
    <m/>
    <m/>
    <m/>
    <m/>
    <n v="693.5"/>
    <m/>
    <m/>
    <m/>
    <m/>
    <m/>
    <m/>
    <m/>
    <m/>
    <m/>
    <m/>
    <m/>
    <n v="17337.5"/>
    <n v="0"/>
    <n v="0"/>
    <n v="0"/>
    <n v="0"/>
    <n v="0"/>
    <n v="0"/>
    <n v="0"/>
    <n v="0"/>
    <n v="0"/>
    <n v="0"/>
    <n v="0"/>
    <n v="0"/>
    <n v="0"/>
    <n v="0"/>
    <n v="0"/>
    <n v="0"/>
    <n v="0"/>
    <n v="0"/>
    <n v="0"/>
    <n v="0"/>
    <n v="0"/>
    <n v="0"/>
    <n v="0"/>
    <n v="0"/>
    <n v="0"/>
    <n v="0"/>
    <n v="0"/>
    <n v="0"/>
    <n v="0"/>
    <n v="0"/>
    <n v="0"/>
    <n v="0"/>
    <n v="0"/>
    <n v="0"/>
    <n v="0"/>
    <n v="0"/>
    <n v="0"/>
    <n v="0"/>
    <n v="0"/>
    <n v="0"/>
    <n v="0"/>
    <n v="0"/>
    <n v="0"/>
    <n v="0"/>
    <n v="0"/>
    <n v="17337.5"/>
    <n v="0"/>
    <n v="0"/>
    <n v="0"/>
    <n v="0"/>
    <n v="0"/>
    <n v="0"/>
    <n v="0"/>
    <n v="0"/>
    <n v="0"/>
    <n v="0"/>
    <n v="0"/>
    <n v="34675"/>
    <s v=" "/>
    <s v=" "/>
    <s v=" "/>
    <s v=" "/>
    <n v="46402.971903280006"/>
    <s v=" "/>
    <s v=" "/>
    <s v=" "/>
    <s v=" "/>
    <s v=" "/>
    <s v=" "/>
    <s v=" "/>
    <s v=" "/>
    <s v=" "/>
    <s v=" "/>
    <x v="64"/>
    <x v="0"/>
    <x v="0"/>
    <x v="0"/>
    <x v="0"/>
    <x v="1"/>
    <x v="0"/>
    <x v="0"/>
    <x v="0"/>
    <x v="4"/>
    <x v="1"/>
    <x v="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4"/>
    <x v="0"/>
    <x v="0"/>
    <x v="0"/>
    <x v="0"/>
    <x v="0"/>
    <x v="0"/>
    <x v="0"/>
    <x v="0"/>
    <x v="0"/>
    <x v="0"/>
    <x v="0"/>
  </r>
  <r>
    <x v="39"/>
    <x v="34"/>
    <x v="19"/>
    <x v="167"/>
    <x v="10"/>
    <m/>
    <m/>
    <m/>
    <m/>
    <m/>
    <m/>
    <m/>
    <m/>
    <m/>
    <m/>
    <m/>
    <m/>
    <m/>
    <m/>
    <m/>
    <s v="Year 5"/>
    <m/>
    <m/>
    <m/>
    <m/>
    <m/>
    <m/>
    <m/>
    <m/>
    <m/>
    <m/>
    <m/>
    <m/>
    <m/>
    <m/>
    <m/>
    <m/>
    <m/>
    <m/>
    <m/>
    <m/>
    <m/>
    <m/>
    <m/>
    <m/>
    <m/>
    <m/>
    <m/>
    <m/>
    <m/>
    <m/>
    <m/>
    <m/>
    <m/>
    <m/>
    <m/>
    <m/>
    <m/>
    <m/>
    <m/>
    <m/>
    <m/>
    <m/>
    <m/>
    <m/>
    <m/>
    <m/>
    <m/>
    <m/>
    <m/>
    <m/>
    <m/>
    <m/>
    <m/>
    <m/>
    <m/>
    <m/>
    <m/>
    <m/>
    <m/>
    <m/>
    <m/>
    <m/>
    <m/>
    <m/>
    <m/>
    <m/>
    <m/>
    <m/>
    <m/>
    <m/>
    <m/>
    <m/>
    <m/>
    <m/>
    <m/>
    <m/>
    <m/>
    <m/>
    <m/>
    <m/>
    <m/>
    <m/>
    <m/>
    <m/>
    <m/>
    <n v="1978.42"/>
    <m/>
    <m/>
    <m/>
    <m/>
    <m/>
    <m/>
    <m/>
    <m/>
    <m/>
    <n v="0"/>
    <n v="0"/>
    <n v="0"/>
    <n v="0"/>
    <n v="0"/>
    <n v="0"/>
    <n v="0"/>
    <n v="0"/>
    <n v="0"/>
    <n v="0"/>
    <n v="0"/>
    <n v="0"/>
    <n v="0"/>
    <n v="0"/>
    <n v="0"/>
    <n v="0"/>
    <n v="0"/>
    <n v="0"/>
    <n v="0"/>
    <n v="0"/>
    <n v="0"/>
    <n v="0"/>
    <n v="0"/>
    <n v="0"/>
    <n v="0"/>
    <n v="0"/>
    <n v="0"/>
    <n v="0"/>
    <n v="0"/>
    <n v="0"/>
    <n v="0"/>
    <n v="0"/>
    <n v="0"/>
    <n v="0"/>
    <n v="0"/>
    <n v="0"/>
    <n v="0"/>
    <n v="0"/>
    <n v="0"/>
    <n v="0"/>
    <n v="0"/>
    <n v="0"/>
    <n v="0"/>
    <n v="0"/>
    <n v="0"/>
    <n v="0"/>
    <n v="0"/>
    <n v="0"/>
    <n v="9892.1"/>
    <n v="0"/>
    <n v="0"/>
    <n v="0"/>
    <n v="0"/>
    <n v="0"/>
    <n v="0"/>
    <n v="0"/>
    <n v="0"/>
    <n v="0"/>
    <n v="9892.1"/>
    <s v=" "/>
    <s v=" "/>
    <s v=" "/>
    <s v=" "/>
    <n v="13237.861236176963"/>
    <s v=" "/>
    <s v=" "/>
    <s v=" "/>
    <s v=" "/>
    <s v=" "/>
    <s v=" "/>
    <s v=" "/>
    <s v=" "/>
    <s v=" "/>
    <s v=" "/>
    <x v="0"/>
    <x v="0"/>
    <x v="0"/>
    <x v="0"/>
    <x v="0"/>
    <x v="1"/>
    <x v="0"/>
    <x v="0"/>
    <x v="0"/>
    <x v="4"/>
    <x v="1"/>
    <x v="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8"/>
    <x v="0"/>
    <x v="0"/>
    <x v="0"/>
    <x v="0"/>
    <x v="0"/>
    <x v="0"/>
    <x v="0"/>
    <x v="0"/>
    <x v="0"/>
  </r>
  <r>
    <x v="40"/>
    <x v="35"/>
    <x v="20"/>
    <x v="168"/>
    <x v="11"/>
    <m/>
    <m/>
    <m/>
    <m/>
    <m/>
    <m/>
    <m/>
    <m/>
    <m/>
    <m/>
    <m/>
    <m/>
    <m/>
    <m/>
    <m/>
    <s v="Year 5"/>
    <m/>
    <m/>
    <m/>
    <m/>
    <m/>
    <m/>
    <m/>
    <m/>
    <m/>
    <m/>
    <m/>
    <m/>
    <m/>
    <m/>
    <m/>
    <m/>
    <m/>
    <m/>
    <m/>
    <m/>
    <m/>
    <m/>
    <m/>
    <m/>
    <m/>
    <m/>
    <m/>
    <m/>
    <m/>
    <m/>
    <m/>
    <m/>
    <m/>
    <m/>
    <m/>
    <m/>
    <m/>
    <m/>
    <m/>
    <m/>
    <m/>
    <m/>
    <m/>
    <m/>
    <m/>
    <m/>
    <m/>
    <m/>
    <m/>
    <m/>
    <m/>
    <m/>
    <m/>
    <m/>
    <m/>
    <m/>
    <m/>
    <m/>
    <m/>
    <m/>
    <m/>
    <m/>
    <m/>
    <m/>
    <m/>
    <m/>
    <m/>
    <m/>
    <m/>
    <m/>
    <m/>
    <m/>
    <m/>
    <m/>
    <m/>
    <m/>
    <m/>
    <m/>
    <m/>
    <m/>
    <m/>
    <m/>
    <m/>
    <m/>
    <n v="665.33"/>
    <m/>
    <m/>
    <m/>
    <m/>
    <m/>
    <m/>
    <m/>
    <m/>
    <m/>
    <m/>
    <n v="0"/>
    <n v="0"/>
    <n v="0"/>
    <n v="0"/>
    <n v="0"/>
    <n v="0"/>
    <n v="0"/>
    <n v="0"/>
    <n v="0"/>
    <n v="0"/>
    <n v="0"/>
    <n v="0"/>
    <n v="0"/>
    <n v="0"/>
    <n v="0"/>
    <n v="0"/>
    <n v="0"/>
    <n v="0"/>
    <n v="0"/>
    <n v="0"/>
    <n v="0"/>
    <n v="0"/>
    <n v="0"/>
    <n v="0"/>
    <n v="0"/>
    <n v="0"/>
    <n v="0"/>
    <n v="0"/>
    <n v="0"/>
    <n v="0"/>
    <n v="0"/>
    <n v="0"/>
    <n v="0"/>
    <n v="0"/>
    <n v="0"/>
    <n v="0"/>
    <n v="0"/>
    <n v="0"/>
    <n v="0"/>
    <n v="0"/>
    <n v="0"/>
    <n v="0"/>
    <n v="0"/>
    <n v="0"/>
    <n v="0"/>
    <n v="0"/>
    <n v="0"/>
    <n v="11310.61"/>
    <n v="0"/>
    <n v="0"/>
    <n v="0"/>
    <n v="0"/>
    <n v="0"/>
    <n v="0"/>
    <n v="0"/>
    <n v="0"/>
    <n v="0"/>
    <n v="0"/>
    <n v="11310.61"/>
    <s v=" "/>
    <s v=" "/>
    <s v=" "/>
    <s v=" "/>
    <n v="15136.147600258342"/>
    <s v=" "/>
    <s v=" "/>
    <s v=" "/>
    <s v=" "/>
    <s v=" "/>
    <s v=" "/>
    <s v=" "/>
    <s v=" "/>
    <s v=" "/>
    <s v=" "/>
    <x v="0"/>
    <x v="0"/>
    <x v="0"/>
    <x v="0"/>
    <x v="0"/>
    <x v="1"/>
    <x v="0"/>
    <x v="0"/>
    <x v="0"/>
    <x v="4"/>
    <x v="1"/>
    <x v="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17"/>
    <x v="0"/>
    <x v="0"/>
    <x v="0"/>
    <x v="0"/>
    <x v="0"/>
    <x v="0"/>
    <x v="0"/>
    <x v="0"/>
    <x v="0"/>
    <x v="0"/>
  </r>
  <r>
    <x v="40"/>
    <x v="34"/>
    <x v="19"/>
    <x v="169"/>
    <x v="10"/>
    <m/>
    <m/>
    <m/>
    <m/>
    <m/>
    <m/>
    <m/>
    <m/>
    <m/>
    <m/>
    <m/>
    <m/>
    <m/>
    <m/>
    <m/>
    <s v="Year 5"/>
    <m/>
    <m/>
    <m/>
    <m/>
    <m/>
    <m/>
    <m/>
    <m/>
    <m/>
    <m/>
    <m/>
    <m/>
    <m/>
    <m/>
    <m/>
    <m/>
    <m/>
    <m/>
    <m/>
    <m/>
    <m/>
    <m/>
    <m/>
    <m/>
    <m/>
    <m/>
    <m/>
    <m/>
    <m/>
    <m/>
    <m/>
    <m/>
    <m/>
    <m/>
    <m/>
    <m/>
    <m/>
    <m/>
    <m/>
    <m/>
    <m/>
    <m/>
    <m/>
    <m/>
    <m/>
    <m/>
    <m/>
    <m/>
    <m/>
    <m/>
    <m/>
    <m/>
    <m/>
    <m/>
    <m/>
    <m/>
    <m/>
    <m/>
    <m/>
    <m/>
    <m/>
    <m/>
    <m/>
    <m/>
    <m/>
    <m/>
    <m/>
    <m/>
    <m/>
    <m/>
    <m/>
    <m/>
    <m/>
    <m/>
    <m/>
    <m/>
    <m/>
    <m/>
    <m/>
    <m/>
    <m/>
    <m/>
    <m/>
    <m/>
    <m/>
    <n v="665.33"/>
    <m/>
    <m/>
    <m/>
    <m/>
    <m/>
    <m/>
    <m/>
    <m/>
    <m/>
    <n v="0"/>
    <n v="0"/>
    <n v="0"/>
    <n v="0"/>
    <n v="0"/>
    <n v="0"/>
    <n v="0"/>
    <n v="0"/>
    <n v="0"/>
    <n v="0"/>
    <n v="0"/>
    <n v="0"/>
    <n v="0"/>
    <n v="0"/>
    <n v="0"/>
    <n v="0"/>
    <n v="0"/>
    <n v="0"/>
    <n v="0"/>
    <n v="0"/>
    <n v="0"/>
    <n v="0"/>
    <n v="0"/>
    <n v="0"/>
    <n v="0"/>
    <n v="0"/>
    <n v="0"/>
    <n v="0"/>
    <n v="0"/>
    <n v="0"/>
    <n v="0"/>
    <n v="0"/>
    <n v="0"/>
    <n v="0"/>
    <n v="0"/>
    <n v="0"/>
    <n v="0"/>
    <n v="0"/>
    <n v="0"/>
    <n v="0"/>
    <n v="0"/>
    <n v="0"/>
    <n v="0"/>
    <n v="0"/>
    <n v="0"/>
    <n v="0"/>
    <n v="0"/>
    <n v="0"/>
    <n v="3326.65"/>
    <n v="0"/>
    <n v="0"/>
    <n v="0"/>
    <n v="0"/>
    <n v="0"/>
    <n v="0"/>
    <n v="0"/>
    <n v="0"/>
    <n v="0"/>
    <n v="3326.65"/>
    <s v=" "/>
    <s v=" "/>
    <s v=" "/>
    <s v=" "/>
    <n v="4451.8081177230424"/>
    <s v=" "/>
    <s v=" "/>
    <s v=" "/>
    <s v=" "/>
    <s v=" "/>
    <s v=" "/>
    <s v=" "/>
    <s v=" "/>
    <s v=" "/>
    <s v=" "/>
    <x v="0"/>
    <x v="0"/>
    <x v="0"/>
    <x v="0"/>
    <x v="0"/>
    <x v="1"/>
    <x v="0"/>
    <x v="0"/>
    <x v="0"/>
    <x v="4"/>
    <x v="1"/>
    <x v="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9"/>
    <x v="0"/>
    <x v="0"/>
    <x v="0"/>
    <x v="0"/>
    <x v="0"/>
    <x v="0"/>
    <x v="0"/>
    <x v="0"/>
    <x v="0"/>
  </r>
  <r>
    <x v="41"/>
    <x v="35"/>
    <x v="20"/>
    <x v="170"/>
    <x v="11"/>
    <m/>
    <m/>
    <m/>
    <m/>
    <m/>
    <m/>
    <m/>
    <m/>
    <m/>
    <m/>
    <m/>
    <m/>
    <m/>
    <m/>
    <m/>
    <s v="Year 5"/>
    <m/>
    <m/>
    <m/>
    <m/>
    <m/>
    <m/>
    <m/>
    <m/>
    <m/>
    <m/>
    <m/>
    <m/>
    <m/>
    <m/>
    <m/>
    <m/>
    <m/>
    <m/>
    <m/>
    <m/>
    <m/>
    <m/>
    <m/>
    <m/>
    <m/>
    <m/>
    <m/>
    <m/>
    <m/>
    <m/>
    <m/>
    <m/>
    <m/>
    <m/>
    <m/>
    <m/>
    <m/>
    <m/>
    <m/>
    <m/>
    <m/>
    <m/>
    <m/>
    <m/>
    <m/>
    <m/>
    <m/>
    <m/>
    <m/>
    <m/>
    <m/>
    <m/>
    <m/>
    <m/>
    <m/>
    <m/>
    <m/>
    <m/>
    <m/>
    <m/>
    <m/>
    <m/>
    <m/>
    <m/>
    <m/>
    <m/>
    <m/>
    <m/>
    <m/>
    <m/>
    <m/>
    <m/>
    <m/>
    <m/>
    <m/>
    <m/>
    <m/>
    <m/>
    <m/>
    <m/>
    <m/>
    <m/>
    <m/>
    <m/>
    <n v="569.39"/>
    <m/>
    <m/>
    <m/>
    <m/>
    <m/>
    <m/>
    <m/>
    <m/>
    <m/>
    <m/>
    <n v="0"/>
    <n v="0"/>
    <n v="0"/>
    <n v="0"/>
    <n v="0"/>
    <n v="0"/>
    <n v="0"/>
    <n v="0"/>
    <n v="0"/>
    <n v="0"/>
    <n v="0"/>
    <n v="0"/>
    <n v="0"/>
    <n v="0"/>
    <n v="0"/>
    <n v="0"/>
    <n v="0"/>
    <n v="0"/>
    <n v="0"/>
    <n v="0"/>
    <n v="0"/>
    <n v="0"/>
    <n v="0"/>
    <n v="0"/>
    <n v="0"/>
    <n v="0"/>
    <n v="0"/>
    <n v="0"/>
    <n v="0"/>
    <n v="0"/>
    <n v="0"/>
    <n v="0"/>
    <n v="0"/>
    <n v="0"/>
    <n v="0"/>
    <n v="0"/>
    <n v="0"/>
    <n v="0"/>
    <n v="0"/>
    <n v="0"/>
    <n v="0"/>
    <n v="0"/>
    <n v="0"/>
    <n v="0"/>
    <n v="0"/>
    <n v="0"/>
    <n v="0"/>
    <n v="9679.6299999999992"/>
    <n v="0"/>
    <n v="0"/>
    <n v="0"/>
    <n v="0"/>
    <n v="0"/>
    <n v="0"/>
    <n v="0"/>
    <n v="0"/>
    <n v="0"/>
    <n v="0"/>
    <n v="9679.6299999999992"/>
    <s v=" "/>
    <s v=" "/>
    <s v=" "/>
    <s v=" "/>
    <n v="12953.52844770429"/>
    <s v=" "/>
    <s v=" "/>
    <s v=" "/>
    <s v=" "/>
    <s v=" "/>
    <s v=" "/>
    <s v=" "/>
    <s v=" "/>
    <s v=" "/>
    <s v=" "/>
    <x v="0"/>
    <x v="0"/>
    <x v="0"/>
    <x v="0"/>
    <x v="0"/>
    <x v="1"/>
    <x v="0"/>
    <x v="0"/>
    <x v="0"/>
    <x v="4"/>
    <x v="1"/>
    <x v="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18"/>
    <x v="0"/>
    <x v="0"/>
    <x v="0"/>
    <x v="0"/>
    <x v="0"/>
    <x v="0"/>
    <x v="0"/>
    <x v="0"/>
    <x v="0"/>
    <x v="0"/>
  </r>
  <r>
    <x v="41"/>
    <x v="34"/>
    <x v="19"/>
    <x v="171"/>
    <x v="10"/>
    <m/>
    <m/>
    <m/>
    <m/>
    <m/>
    <m/>
    <m/>
    <m/>
    <m/>
    <m/>
    <m/>
    <m/>
    <m/>
    <m/>
    <m/>
    <s v="Year 5"/>
    <m/>
    <m/>
    <m/>
    <m/>
    <m/>
    <m/>
    <m/>
    <m/>
    <m/>
    <m/>
    <m/>
    <m/>
    <m/>
    <m/>
    <m/>
    <m/>
    <m/>
    <m/>
    <m/>
    <m/>
    <m/>
    <m/>
    <m/>
    <m/>
    <m/>
    <m/>
    <m/>
    <m/>
    <m/>
    <m/>
    <m/>
    <m/>
    <m/>
    <m/>
    <m/>
    <m/>
    <m/>
    <m/>
    <m/>
    <m/>
    <m/>
    <m/>
    <m/>
    <m/>
    <m/>
    <m/>
    <m/>
    <m/>
    <m/>
    <m/>
    <m/>
    <m/>
    <m/>
    <m/>
    <m/>
    <m/>
    <m/>
    <m/>
    <m/>
    <m/>
    <m/>
    <m/>
    <m/>
    <m/>
    <m/>
    <m/>
    <m/>
    <m/>
    <m/>
    <m/>
    <m/>
    <m/>
    <m/>
    <m/>
    <m/>
    <m/>
    <m/>
    <m/>
    <m/>
    <m/>
    <m/>
    <m/>
    <m/>
    <m/>
    <m/>
    <n v="569.39"/>
    <m/>
    <m/>
    <m/>
    <m/>
    <m/>
    <m/>
    <m/>
    <m/>
    <m/>
    <n v="0"/>
    <n v="0"/>
    <n v="0"/>
    <n v="0"/>
    <n v="0"/>
    <n v="0"/>
    <n v="0"/>
    <n v="0"/>
    <n v="0"/>
    <n v="0"/>
    <n v="0"/>
    <n v="0"/>
    <n v="0"/>
    <n v="0"/>
    <n v="0"/>
    <n v="0"/>
    <n v="0"/>
    <n v="0"/>
    <n v="0"/>
    <n v="0"/>
    <n v="0"/>
    <n v="0"/>
    <n v="0"/>
    <n v="0"/>
    <n v="0"/>
    <n v="0"/>
    <n v="0"/>
    <n v="0"/>
    <n v="0"/>
    <n v="0"/>
    <n v="0"/>
    <n v="0"/>
    <n v="0"/>
    <n v="0"/>
    <n v="0"/>
    <n v="0"/>
    <n v="0"/>
    <n v="0"/>
    <n v="0"/>
    <n v="0"/>
    <n v="0"/>
    <n v="0"/>
    <n v="0"/>
    <n v="0"/>
    <n v="0"/>
    <n v="0"/>
    <n v="0"/>
    <n v="0"/>
    <n v="2846.95"/>
    <n v="0"/>
    <n v="0"/>
    <n v="0"/>
    <n v="0"/>
    <n v="0"/>
    <n v="0"/>
    <n v="0"/>
    <n v="0"/>
    <n v="0"/>
    <n v="2846.95"/>
    <s v=" "/>
    <s v=" "/>
    <s v=" "/>
    <s v=" "/>
    <n v="3809.8613081483209"/>
    <s v=" "/>
    <s v=" "/>
    <s v=" "/>
    <s v=" "/>
    <s v=" "/>
    <s v=" "/>
    <s v=" "/>
    <s v=" "/>
    <s v=" "/>
    <s v=" "/>
    <x v="0"/>
    <x v="0"/>
    <x v="0"/>
    <x v="0"/>
    <x v="0"/>
    <x v="1"/>
    <x v="0"/>
    <x v="0"/>
    <x v="0"/>
    <x v="4"/>
    <x v="1"/>
    <x v="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10"/>
    <x v="0"/>
    <x v="0"/>
    <x v="0"/>
    <x v="0"/>
    <x v="0"/>
    <x v="0"/>
    <x v="0"/>
    <x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name="PivotTable6"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A1:C3" firstHeaderRow="0" firstDataRow="1" firstDataCol="1"/>
  <pivotFields count="53">
    <pivotField showAll="0"/>
    <pivotField showAll="0"/>
    <pivotField axis="axisRow" showAll="0">
      <items count="14">
        <item h="1" x="1"/>
        <item h="1" x="2"/>
        <item h="1" m="1" x="12"/>
        <item h="1" x="4"/>
        <item h="1" x="5"/>
        <item h="1" x="6"/>
        <item h="1" x="7"/>
        <item h="1" x="8"/>
        <item x="9"/>
        <item h="1" x="10"/>
        <item h="1" x="11"/>
        <item h="1" x="3"/>
        <item h="1" x="0"/>
        <item t="default"/>
      </items>
    </pivotField>
    <pivotField showAll="0"/>
    <pivotField showAll="0" defaultSubtotal="0"/>
    <pivotField showAll="0"/>
    <pivotField showAll="0" defaultSubtotal="0"/>
    <pivotField showAll="0"/>
    <pivotField showAll="0" defaultSubtotal="0"/>
    <pivotField showAll="0" defaultSubtotal="0"/>
    <pivotField showAll="0" defaultSubtota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dataField="1" numFmtId="164" showAll="0" defaultSubtotal="0"/>
  </pivotFields>
  <rowFields count="1">
    <field x="2"/>
  </rowFields>
  <rowItems count="2">
    <i>
      <x v="8"/>
    </i>
    <i t="grand">
      <x/>
    </i>
  </rowItems>
  <colFields count="1">
    <field x="-2"/>
  </colFields>
  <colItems count="2">
    <i>
      <x/>
    </i>
    <i i="1">
      <x v="1"/>
    </i>
  </colItems>
  <dataFields count="2">
    <dataField name="Sum of EXCAVATION (m³)" fld="11" baseField="2" baseItem="8"/>
    <dataField name="Sum of Costs " fld="52" baseField="0" baseItem="0"/>
  </dataFields>
  <formats count="11">
    <format dxfId="47">
      <pivotArea outline="0" collapsedLevelsAreSubtotals="1" fieldPosition="0"/>
    </format>
    <format dxfId="46">
      <pivotArea dataOnly="0" labelOnly="1" outline="0" axis="axisValues" fieldPosition="0"/>
    </format>
    <format dxfId="45">
      <pivotArea type="all" dataOnly="0" outline="0" fieldPosition="0"/>
    </format>
    <format dxfId="44">
      <pivotArea outline="0" collapsedLevelsAreSubtotals="1" fieldPosition="0"/>
    </format>
    <format dxfId="43">
      <pivotArea field="2" type="button" dataOnly="0" labelOnly="1" outline="0" axis="axisRow" fieldPosition="0"/>
    </format>
    <format dxfId="42">
      <pivotArea dataOnly="0" labelOnly="1" fieldPosition="0">
        <references count="1">
          <reference field="2" count="0"/>
        </references>
      </pivotArea>
    </format>
    <format dxfId="41">
      <pivotArea dataOnly="0" labelOnly="1" grandRow="1" outline="0" fieldPosition="0"/>
    </format>
    <format dxfId="40">
      <pivotArea dataOnly="0" labelOnly="1" outline="0" fieldPosition="0">
        <references count="1">
          <reference field="4294967294" count="1">
            <x v="1"/>
          </reference>
        </references>
      </pivotArea>
    </format>
    <format dxfId="39">
      <pivotArea outline="0" collapsedLevelsAreSubtotals="1" fieldPosition="0">
        <references count="1">
          <reference field="4294967294" count="1" selected="0">
            <x v="0"/>
          </reference>
        </references>
      </pivotArea>
    </format>
    <format dxfId="38">
      <pivotArea dataOnly="0" labelOnly="1" outline="0" fieldPosition="0">
        <references count="1">
          <reference field="4294967294" count="1">
            <x v="0"/>
          </reference>
        </references>
      </pivotArea>
    </format>
    <format dxfId="37">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A1:C3" firstHeaderRow="0" firstDataRow="1" firstDataCol="1"/>
  <pivotFields count="53">
    <pivotField showAll="0"/>
    <pivotField showAll="0"/>
    <pivotField axis="axisRow" showAll="0">
      <items count="14">
        <item h="1" x="1"/>
        <item h="1" x="2"/>
        <item h="1" m="1" x="12"/>
        <item h="1" x="4"/>
        <item h="1" x="5"/>
        <item n="Concrete Cut-off Walls" x="6"/>
        <item h="1" x="7"/>
        <item h="1" x="8"/>
        <item h="1" x="9"/>
        <item h="1" x="10"/>
        <item h="1" x="11"/>
        <item h="1" x="3"/>
        <item h="1" x="0"/>
        <item t="default"/>
      </items>
    </pivotField>
    <pivotField showAll="0"/>
    <pivotField showAll="0" defaultSubtotal="0"/>
    <pivotField showAll="0"/>
    <pivotField showAll="0" defaultSubtotal="0"/>
    <pivotField showAll="0"/>
    <pivotField showAll="0" defaultSubtotal="0"/>
    <pivotField showAll="0" defaultSubtotal="0"/>
    <pivotField showAll="0" defaultSubtota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dataField="1" numFmtId="164" showAll="0" defaultSubtotal="0"/>
  </pivotFields>
  <rowFields count="1">
    <field x="2"/>
  </rowFields>
  <rowItems count="2">
    <i>
      <x v="5"/>
    </i>
    <i t="grand">
      <x/>
    </i>
  </rowItems>
  <colFields count="1">
    <field x="-2"/>
  </colFields>
  <colItems count="2">
    <i>
      <x/>
    </i>
    <i i="1">
      <x v="1"/>
    </i>
  </colItems>
  <dataFields count="2">
    <dataField name="Sum of CONCRETE (m³)" fld="12" baseField="2" baseItem="5"/>
    <dataField name="Sum of Costs " fld="52" baseField="0" baseItem="0"/>
  </dataFields>
  <formats count="13">
    <format dxfId="36">
      <pivotArea outline="0" collapsedLevelsAreSubtotals="1" fieldPosition="0"/>
    </format>
    <format dxfId="35">
      <pivotArea dataOnly="0" labelOnly="1" outline="0" axis="axisValues" fieldPosition="0"/>
    </format>
    <format dxfId="34">
      <pivotArea outline="0" collapsedLevelsAreSubtotals="1" fieldPosition="0">
        <references count="1">
          <reference field="4294967294" count="1" selected="0">
            <x v="0"/>
          </reference>
        </references>
      </pivotArea>
    </format>
    <format dxfId="33">
      <pivotArea dataOnly="0" labelOnly="1" outline="0" fieldPosition="0">
        <references count="1">
          <reference field="4294967294" count="1">
            <x v="0"/>
          </reference>
        </references>
      </pivotArea>
    </format>
    <format dxfId="32">
      <pivotArea collapsedLevelsAreSubtotals="1" fieldPosition="0">
        <references count="2">
          <reference field="4294967294" count="1" selected="0">
            <x v="0"/>
          </reference>
          <reference field="2" count="0"/>
        </references>
      </pivotArea>
    </format>
    <format dxfId="31">
      <pivotArea field="2" grandRow="1" outline="0" collapsedLevelsAreSubtotals="1" axis="axisRow" fieldPosition="0">
        <references count="1">
          <reference field="4294967294" count="1" selected="0">
            <x v="0"/>
          </reference>
        </references>
      </pivotArea>
    </format>
    <format dxfId="30">
      <pivotArea type="all" dataOnly="0" outline="0" fieldPosition="0"/>
    </format>
    <format dxfId="29">
      <pivotArea outline="0" collapsedLevelsAreSubtotals="1" fieldPosition="0"/>
    </format>
    <format dxfId="28">
      <pivotArea field="2" type="button" dataOnly="0" labelOnly="1" outline="0" axis="axisRow" fieldPosition="0"/>
    </format>
    <format dxfId="27">
      <pivotArea dataOnly="0" labelOnly="1" fieldPosition="0">
        <references count="1">
          <reference field="2" count="0"/>
        </references>
      </pivotArea>
    </format>
    <format dxfId="26">
      <pivotArea dataOnly="0" labelOnly="1" grandRow="1" outline="0" fieldPosition="0"/>
    </format>
    <format dxfId="25">
      <pivotArea dataOnly="0" labelOnly="1" outline="0" fieldPosition="0">
        <references count="1">
          <reference field="4294967294" count="2">
            <x v="0"/>
            <x v="1"/>
          </reference>
        </references>
      </pivotArea>
    </format>
    <format dxfId="24">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4"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A1:C3" firstHeaderRow="0" firstDataRow="1" firstDataCol="1"/>
  <pivotFields count="53">
    <pivotField showAll="0"/>
    <pivotField showAll="0"/>
    <pivotField axis="axisRow" showAll="0">
      <items count="14">
        <item h="1" x="1"/>
        <item h="1" x="2"/>
        <item h="1" m="1" x="12"/>
        <item h="1" x="4"/>
        <item x="5"/>
        <item h="1" x="6"/>
        <item h="1" x="7"/>
        <item h="1" x="8"/>
        <item h="1" x="9"/>
        <item h="1" x="10"/>
        <item h="1" x="11"/>
        <item h="1" x="3"/>
        <item h="1" x="0"/>
        <item t="default"/>
      </items>
    </pivotField>
    <pivotField showAll="0"/>
    <pivotField showAll="0" defaultSubtotal="0"/>
    <pivotField showAll="0"/>
    <pivotField showAll="0" defaultSubtotal="0"/>
    <pivotField showAll="0"/>
    <pivotField showAll="0" defaultSubtotal="0"/>
    <pivotField showAll="0" defaultSubtotal="0"/>
    <pivotField showAll="0" defaultSubtota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dataField="1" numFmtId="164" showAll="0" defaultSubtotal="0"/>
  </pivotFields>
  <rowFields count="1">
    <field x="2"/>
  </rowFields>
  <rowItems count="2">
    <i>
      <x v="4"/>
    </i>
    <i t="grand">
      <x/>
    </i>
  </rowItems>
  <colFields count="1">
    <field x="-2"/>
  </colFields>
  <colItems count="2">
    <i>
      <x/>
    </i>
    <i i="1">
      <x v="1"/>
    </i>
  </colItems>
  <dataFields count="2">
    <dataField name="Sum of CONCRETE (m³)" fld="12" baseField="2" baseItem="0"/>
    <dataField name="Sum of Costs " fld="52" baseField="0" baseItem="0"/>
  </dataFields>
  <formats count="10">
    <format dxfId="23">
      <pivotArea outline="0" collapsedLevelsAreSubtotals="1" fieldPosition="0"/>
    </format>
    <format dxfId="22">
      <pivotArea dataOnly="0" labelOnly="1" outline="0" axis="axisValues" fieldPosition="0"/>
    </format>
    <format dxfId="21">
      <pivotArea outline="0" collapsedLevelsAreSubtotals="1" fieldPosition="0">
        <references count="1">
          <reference field="4294967294" count="1" selected="0">
            <x v="0"/>
          </reference>
        </references>
      </pivotArea>
    </format>
    <format dxfId="20">
      <pivotArea dataOnly="0" labelOnly="1" outline="0" fieldPosition="0">
        <references count="1">
          <reference field="4294967294" count="1">
            <x v="0"/>
          </reference>
        </references>
      </pivotArea>
    </format>
    <format dxfId="19">
      <pivotArea type="all" dataOnly="0" outline="0" fieldPosition="0"/>
    </format>
    <format dxfId="18">
      <pivotArea outline="0" collapsedLevelsAreSubtotals="1" fieldPosition="0"/>
    </format>
    <format dxfId="17">
      <pivotArea field="2" type="button" dataOnly="0" labelOnly="1" outline="0" axis="axisRow" fieldPosition="0"/>
    </format>
    <format dxfId="16">
      <pivotArea dataOnly="0" labelOnly="1" fieldPosition="0">
        <references count="1">
          <reference field="2" count="0"/>
        </references>
      </pivotArea>
    </format>
    <format dxfId="15">
      <pivotArea dataOnly="0" labelOnly="1" grandRow="1" outline="0" fieldPosition="0"/>
    </format>
    <format dxfId="14">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A1:D6" firstHeaderRow="0" firstDataRow="1" firstDataCol="1"/>
  <pivotFields count="53">
    <pivotField showAll="0"/>
    <pivotField showAll="0"/>
    <pivotField axis="axisRow" showAll="0">
      <items count="14">
        <item x="1"/>
        <item x="2"/>
        <item h="1" m="1" x="12"/>
        <item x="4"/>
        <item h="1" x="5"/>
        <item h="1" x="6"/>
        <item h="1" x="7"/>
        <item h="1" x="8"/>
        <item h="1" x="9"/>
        <item h="1" x="10"/>
        <item h="1" x="11"/>
        <item x="3"/>
        <item h="1" x="0"/>
        <item t="default"/>
      </items>
    </pivotField>
    <pivotField showAll="0"/>
    <pivotField showAll="0" defaultSubtotal="0"/>
    <pivotField showAll="0"/>
    <pivotField showAll="0" defaultSubtotal="0"/>
    <pivotField showAll="0"/>
    <pivotField showAll="0" defaultSubtotal="0"/>
    <pivotField showAll="0" defaultSubtotal="0"/>
    <pivotField showAll="0" defaultSubtota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dataField="1" numFmtId="164" showAll="0" defaultSubtotal="0"/>
  </pivotFields>
  <rowFields count="1">
    <field x="2"/>
  </rowFields>
  <rowItems count="5">
    <i>
      <x/>
    </i>
    <i>
      <x v="1"/>
    </i>
    <i>
      <x v="3"/>
    </i>
    <i>
      <x v="11"/>
    </i>
    <i t="grand">
      <x/>
    </i>
  </rowItems>
  <colFields count="1">
    <field x="-2"/>
  </colFields>
  <colItems count="3">
    <i>
      <x/>
    </i>
    <i i="1">
      <x v="1"/>
    </i>
    <i i="2">
      <x v="2"/>
    </i>
  </colItems>
  <dataFields count="3">
    <dataField name="Sum of EARTHWORKS (m3)" fld="15" baseField="2" baseItem="0"/>
    <dataField name="Sum of Wetland Soil Backfill (m3)" fld="31" baseField="2" baseItem="0"/>
    <dataField name="Sum of Costs " fld="52" baseField="0" baseItem="0"/>
  </dataFields>
  <formats count="14">
    <format dxfId="13">
      <pivotArea outline="0" collapsedLevelsAreSubtotals="1" fieldPosition="0"/>
    </format>
    <format dxfId="12">
      <pivotArea dataOnly="0" labelOnly="1" outline="0" axis="axisValues" fieldPosition="0"/>
    </format>
    <format dxfId="11">
      <pivotArea outline="0" collapsedLevelsAreSubtotals="1" fieldPosition="0">
        <references count="1">
          <reference field="4294967294" count="1" selected="0">
            <x v="1"/>
          </reference>
        </references>
      </pivotArea>
    </format>
    <format dxfId="10">
      <pivotArea dataOnly="0" labelOnly="1" outline="0" fieldPosition="0">
        <references count="1">
          <reference field="4294967294" count="1">
            <x v="1"/>
          </reference>
        </references>
      </pivotArea>
    </format>
    <format dxfId="9">
      <pivotArea outline="0" collapsedLevelsAreSubtotals="1" fieldPosition="0">
        <references count="1">
          <reference field="4294967294" count="1" selected="0">
            <x v="0"/>
          </reference>
        </references>
      </pivotArea>
    </format>
    <format dxfId="8">
      <pivotArea dataOnly="0" labelOnly="1" outline="0" fieldPosition="0">
        <references count="1">
          <reference field="4294967294" count="1">
            <x v="0"/>
          </reference>
        </references>
      </pivotArea>
    </format>
    <format dxfId="7">
      <pivotArea type="all" dataOnly="0" outline="0" fieldPosition="0"/>
    </format>
    <format dxfId="6">
      <pivotArea outline="0" collapsedLevelsAreSubtotals="1" fieldPosition="0"/>
    </format>
    <format dxfId="5">
      <pivotArea field="2" type="button" dataOnly="0" labelOnly="1" outline="0" axis="axisRow" fieldPosition="0"/>
    </format>
    <format dxfId="4">
      <pivotArea dataOnly="0" labelOnly="1" fieldPosition="0">
        <references count="1">
          <reference field="2" count="0"/>
        </references>
      </pivotArea>
    </format>
    <format dxfId="3">
      <pivotArea dataOnly="0" labelOnly="1" grandRow="1" outline="0" fieldPosition="0"/>
    </format>
    <format dxfId="2">
      <pivotArea dataOnly="0" labelOnly="1" outline="0" fieldPosition="0">
        <references count="1">
          <reference field="4294967294" count="2">
            <x v="0"/>
            <x v="1"/>
          </reference>
        </references>
      </pivotArea>
    </format>
    <format dxfId="1">
      <pivotArea field="2" type="button" dataOnly="0" labelOnly="1" outline="0" axis="axisRow" fieldPosition="0"/>
    </format>
    <format dxfId="0">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1" cacheId="3" applyNumberFormats="0" applyBorderFormats="0" applyFontFormats="0" applyPatternFormats="0" applyAlignmentFormats="0" applyWidthHeightFormats="1" dataCaption="Values" missingCaption="None" showMissing="0" updatedVersion="5" minRefreshableVersion="3" useAutoFormatting="1" itemPrintTitles="1" createdVersion="5" indent="0" outline="1" outlineData="1" multipleFieldFilters="0">
  <location ref="A1:A1886" firstHeaderRow="1" firstDataRow="1" firstDataCol="1"/>
  <pivotFields count="263">
    <pivotField showAll="0"/>
    <pivotField showAll="0"/>
    <pivotField showAll="0"/>
    <pivotField showAll="0"/>
    <pivotField axis="axisRow" showAll="0">
      <items count="11">
        <item x="5"/>
        <item h="1" sd="0" x="1"/>
        <item h="1" sd="0" x="0"/>
        <item h="1" sd="0" x="4"/>
        <item h="1" sd="0" x="6"/>
        <item h="1" sd="0" x="3"/>
        <item h="1" sd="0" x="7"/>
        <item h="1" sd="0" x="8"/>
        <item h="1" sd="0" x="9"/>
        <item h="1" sd="0" x="2"/>
        <item t="default"/>
      </items>
    </pivotField>
    <pivotField showAll="0" defaultSubtotal="0"/>
    <pivotField showAll="0" defaultSubtotal="0"/>
    <pivotField showAll="0" defaultSubtotal="0"/>
    <pivotField showAll="0" defaultSubtota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pivotField showAll="0"/>
    <pivotField showAll="0"/>
    <pivotField showAll="0"/>
    <pivotField showAll="0"/>
    <pivotField showAll="0"/>
    <pivotField showAll="0"/>
    <pivotField showAll="0"/>
    <pivotField showAll="0"/>
    <pivotField showAll="0"/>
    <pivotField showAll="0" defaultSubtotal="0"/>
    <pivotField showAll="0" defaultSubtota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defaultSubtotal="0"/>
    <pivotField numFmtId="164" showAll="0" defaultSubtotal="0"/>
    <pivotField numFmtId="164" showAll="0" defaultSubtotal="0"/>
    <pivotField numFmtId="164" showAll="0" defaultSubtotal="0"/>
    <pivotField numFmtId="164" showAll="0" defaultSubtotal="0"/>
    <pivotField numFmtId="164" showAll="0" defaultSubtotal="0"/>
    <pivotField numFmtId="164" showAll="0" defaultSubtotal="0"/>
    <pivotField numFmtId="164" showAll="0" defaultSubtotal="0"/>
    <pivotField numFmtId="164" showAll="0" defaultSubtotal="0"/>
    <pivotField numFmtId="164" showAll="0" defaultSubtotal="0"/>
    <pivotField numFmtId="164" showAll="0" defaultSubtotal="0"/>
    <pivotField numFmtId="164" showAll="0" defaultSubtotal="0"/>
    <pivotField numFmtId="164" showAll="0" defaultSubtotal="0"/>
    <pivotField numFmtId="164" showAll="0" defaultSubtotal="0"/>
    <pivotField numFmtId="164" showAll="0" defaultSubtotal="0"/>
    <pivotField numFmtId="164" showAll="0" defaultSubtotal="0"/>
    <pivotField numFmtId="164" showAll="0" defaultSubtotal="0"/>
    <pivotField numFmtId="164" showAll="0"/>
    <pivotField numFmtId="164" showAll="0" defaultSubtotal="0"/>
    <pivotField numFmtId="164" showAll="0" defaultSubtotal="0"/>
    <pivotField numFmtId="164" showAll="0" defaultSubtotal="0"/>
    <pivotField numFmtId="164" showAll="0" defaultSubtotal="0"/>
    <pivotField numFmtId="164"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Row" showAll="0">
      <items count="360">
        <item sd="0" m="1" x="53"/>
        <item m="1" x="338"/>
        <item m="1" x="240"/>
        <item m="1" x="349"/>
        <item m="1" x="195"/>
        <item m="1" x="288"/>
        <item m="1" x="356"/>
        <item m="1" x="181"/>
        <item m="1" x="83"/>
        <item m="1" x="93"/>
        <item m="1" x="225"/>
        <item m="1" x="85"/>
        <item m="1" x="189"/>
        <item m="1" x="354"/>
        <item m="1" x="309"/>
        <item m="1" x="77"/>
        <item m="1" x="269"/>
        <item m="1" x="159"/>
        <item m="1" x="107"/>
        <item m="1" x="246"/>
        <item m="1" x="56"/>
        <item m="1" x="336"/>
        <item m="1" x="328"/>
        <item m="1" x="124"/>
        <item m="1" x="138"/>
        <item m="1" x="303"/>
        <item m="1" x="215"/>
        <item m="1" x="203"/>
        <item m="1" x="151"/>
        <item m="1" x="81"/>
        <item m="1" x="347"/>
        <item m="1" x="241"/>
        <item m="1" x="318"/>
        <item m="1" x="94"/>
        <item m="1" x="165"/>
        <item m="1" x="196"/>
        <item m="1" x="58"/>
        <item m="1" x="182"/>
        <item m="1" x="173"/>
        <item m="1" x="88"/>
        <item m="1" x="235"/>
        <item m="1" x="267"/>
        <item m="1" x="190"/>
        <item m="1" x="229"/>
        <item x="0"/>
        <item m="1" x="121"/>
        <item m="1" x="59"/>
        <item m="1" x="320"/>
        <item m="1" x="283"/>
        <item m="1" x="304"/>
        <item m="1" x="284"/>
        <item m="1" x="305"/>
        <item m="1" x="306"/>
        <item m="1" x="169"/>
        <item m="1" x="106"/>
        <item m="1" x="321"/>
        <item m="1" x="322"/>
        <item m="1" x="69"/>
        <item m="1" x="70"/>
        <item m="1" x="89"/>
        <item m="1" x="170"/>
        <item m="1" x="79"/>
        <item m="1" x="80"/>
        <item m="1" x="137"/>
        <item m="1" x="125"/>
        <item m="1" x="160"/>
        <item m="1" x="143"/>
        <item m="1" x="144"/>
        <item m="1" x="145"/>
        <item m="1" x="71"/>
        <item m="1" x="210"/>
        <item m="1" x="123"/>
        <item m="1" x="146"/>
        <item m="1" x="155"/>
        <item m="1" x="147"/>
        <item m="1" x="148"/>
        <item m="1" x="149"/>
        <item m="1" x="135"/>
        <item m="1" x="171"/>
        <item m="1" x="296"/>
        <item m="1" x="337"/>
        <item m="1" x="324"/>
        <item m="1" x="72"/>
        <item m="1" x="323"/>
        <item m="1" x="345"/>
        <item m="1" x="346"/>
        <item m="1" x="285"/>
        <item m="1" x="286"/>
        <item m="1" x="308"/>
        <item m="1" x="206"/>
        <item m="1" x="217"/>
        <item m="1" x="252"/>
        <item m="1" x="126"/>
        <item m="1" x="152"/>
        <item m="1" x="287"/>
        <item m="1" x="185"/>
        <item m="1" x="262"/>
        <item m="1" x="220"/>
        <item m="1" x="357"/>
        <item m="1" x="263"/>
        <item m="1" x="68"/>
        <item m="1" x="172"/>
        <item m="1" x="187"/>
        <item m="1" x="342"/>
        <item m="1" x="188"/>
        <item m="1" x="348"/>
        <item m="1" x="334"/>
        <item m="1" x="291"/>
        <item m="1" x="120"/>
        <item m="1" x="176"/>
        <item m="1" x="117"/>
        <item m="1" x="186"/>
        <item m="1" x="214"/>
        <item m="1" x="343"/>
        <item m="1" x="92"/>
        <item m="1" x="335"/>
        <item m="1" x="344"/>
        <item m="1" x="193"/>
        <item m="1" x="290"/>
        <item m="1" x="265"/>
        <item m="1" x="108"/>
        <item m="1" x="139"/>
        <item m="1" x="82"/>
        <item m="1" x="205"/>
        <item m="1" x="297"/>
        <item m="1" x="226"/>
        <item m="1" x="230"/>
        <item m="1" x="199"/>
        <item m="1" x="231"/>
        <item m="1" x="200"/>
        <item m="1" x="201"/>
        <item m="1" x="113"/>
        <item m="1" x="91"/>
        <item m="1" x="227"/>
        <item m="1" x="228"/>
        <item m="1" x="236"/>
        <item m="1" x="237"/>
        <item m="1" x="293"/>
        <item m="1" x="114"/>
        <item m="1" x="254"/>
        <item m="1" x="255"/>
        <item m="1" x="340"/>
        <item m="1" x="67"/>
        <item m="1" x="339"/>
        <item m="1" x="310"/>
        <item m="1" x="311"/>
        <item m="1" x="312"/>
        <item m="1" x="238"/>
        <item m="1" x="191"/>
        <item m="1" x="302"/>
        <item m="1" x="276"/>
        <item m="1" x="179"/>
        <item m="1" x="277"/>
        <item m="1" x="278"/>
        <item m="1" x="279"/>
        <item m="1" x="266"/>
        <item m="1" x="157"/>
        <item m="1" x="282"/>
        <item m="1" x="142"/>
        <item m="1" x="178"/>
        <item m="1" x="280"/>
        <item m="1" x="301"/>
        <item m="1" x="162"/>
        <item m="1" x="163"/>
        <item m="1" x="316"/>
        <item m="1" x="317"/>
        <item m="1" x="216"/>
        <item m="1" x="184"/>
        <item m="1" x="54"/>
        <item m="1" x="133"/>
        <item m="1" x="248"/>
        <item m="1" x="66"/>
        <item m="1" x="319"/>
        <item m="1" x="150"/>
        <item m="1" x="140"/>
        <item m="1" x="174"/>
        <item m="1" x="245"/>
        <item m="1" x="161"/>
        <item m="1" x="294"/>
        <item m="1" x="239"/>
        <item m="1" x="204"/>
        <item m="1" x="292"/>
        <item m="1" x="251"/>
        <item m="1" x="192"/>
        <item m="1" x="103"/>
        <item m="1" x="118"/>
        <item m="1" x="351"/>
        <item m="1" x="105"/>
        <item m="1" x="244"/>
        <item m="1" x="355"/>
        <item m="1" x="60"/>
        <item m="1" x="219"/>
        <item m="1" x="156"/>
        <item m="1" x="331"/>
        <item m="1" x="253"/>
        <item m="1" x="183"/>
        <item m="1" x="164"/>
        <item m="1" x="109"/>
        <item m="1" x="112"/>
        <item m="1" x="264"/>
        <item m="1" x="299"/>
        <item x="29"/>
        <item m="1" x="115"/>
        <item m="1" x="73"/>
        <item m="1" x="61"/>
        <item m="1" x="207"/>
        <item m="1" x="62"/>
        <item m="1" x="208"/>
        <item m="1" x="209"/>
        <item m="1" x="313"/>
        <item m="1" x="289"/>
        <item m="1" x="74"/>
        <item m="1" x="75"/>
        <item m="1" x="221"/>
        <item m="1" x="222"/>
        <item m="1" x="212"/>
        <item m="1" x="314"/>
        <item m="1" x="86"/>
        <item m="1" x="87"/>
        <item m="1" x="218"/>
        <item m="1" x="119"/>
        <item m="1" x="232"/>
        <item m="1" x="96"/>
        <item m="1" x="97"/>
        <item m="1" x="98"/>
        <item m="1" x="223"/>
        <item m="1" x="55"/>
        <item m="1" x="90"/>
        <item m="1" x="99"/>
        <item m="1" x="78"/>
        <item m="1" x="100"/>
        <item m="1" x="101"/>
        <item m="1" x="102"/>
        <item m="1" x="242"/>
        <item m="1" x="315"/>
        <item m="1" x="202"/>
        <item m="1" x="167"/>
        <item m="1" x="250"/>
        <item m="1" x="224"/>
        <item m="1" x="76"/>
        <item m="1" x="257"/>
        <item m="1" x="258"/>
        <item m="1" x="63"/>
        <item m="1" x="64"/>
        <item x="17"/>
        <item x="18"/>
        <item x="20"/>
        <item m="1" x="259"/>
        <item x="23"/>
        <item m="1" x="57"/>
        <item m="1" x="104"/>
        <item m="1" x="213"/>
        <item x="32"/>
        <item m="1" x="153"/>
        <item m="1" x="95"/>
        <item m="1" x="330"/>
        <item m="1" x="350"/>
        <item x="49"/>
        <item x="50"/>
        <item x="51"/>
        <item x="52"/>
        <item m="1" x="158"/>
        <item m="1" x="127"/>
        <item m="1" x="111"/>
        <item m="1" x="358"/>
        <item m="1" x="194"/>
        <item m="1" x="110"/>
        <item x="9"/>
        <item x="16"/>
        <item x="21"/>
        <item x="24"/>
        <item x="31"/>
        <item x="43"/>
        <item x="44"/>
        <item x="45"/>
        <item x="48"/>
        <item m="1" x="307"/>
        <item m="1" x="247"/>
        <item x="4"/>
        <item m="1" x="168"/>
        <item x="6"/>
        <item m="1" x="180"/>
        <item x="25"/>
        <item x="27"/>
        <item m="1" x="298"/>
        <item m="1" x="300"/>
        <item m="1" x="177"/>
        <item x="1"/>
        <item x="2"/>
        <item x="3"/>
        <item m="1" x="122"/>
        <item m="1" x="260"/>
        <item m="1" x="141"/>
        <item x="22"/>
        <item m="1" x="353"/>
        <item m="1" x="256"/>
        <item m="1" x="175"/>
        <item m="1" x="65"/>
        <item m="1" x="166"/>
        <item m="1" x="249"/>
        <item m="1" x="154"/>
        <item x="46"/>
        <item x="47"/>
        <item x="5"/>
        <item x="7"/>
        <item x="8"/>
        <item x="10"/>
        <item x="11"/>
        <item x="12"/>
        <item x="13"/>
        <item x="14"/>
        <item x="15"/>
        <item x="19"/>
        <item m="1" x="84"/>
        <item m="1" x="325"/>
        <item m="1" x="326"/>
        <item m="1" x="128"/>
        <item m="1" x="129"/>
        <item m="1" x="136"/>
        <item m="1" x="197"/>
        <item m="1" x="131"/>
        <item m="1" x="132"/>
        <item m="1" x="295"/>
        <item m="1" x="211"/>
        <item m="1" x="281"/>
        <item m="1" x="270"/>
        <item m="1" x="271"/>
        <item m="1" x="272"/>
        <item m="1" x="130"/>
        <item m="1" x="134"/>
        <item x="30"/>
        <item x="33"/>
        <item m="1" x="352"/>
        <item m="1" x="116"/>
        <item m="1" x="273"/>
        <item m="1" x="274"/>
        <item m="1" x="275"/>
        <item m="1" x="268"/>
        <item m="1" x="198"/>
        <item m="1" x="329"/>
        <item m="1" x="243"/>
        <item m="1" x="261"/>
        <item m="1" x="341"/>
        <item x="37"/>
        <item m="1" x="327"/>
        <item m="1" x="233"/>
        <item m="1" x="234"/>
        <item m="1" x="332"/>
        <item m="1" x="333"/>
        <item x="26"/>
        <item x="28"/>
        <item x="34"/>
        <item x="36"/>
        <item x="35"/>
        <item x="38"/>
        <item x="39"/>
        <item x="40"/>
        <item x="41"/>
        <item x="42"/>
        <item t="default"/>
      </items>
    </pivotField>
    <pivotField axis="axisRow" showAll="0">
      <items count="274">
        <item m="1" x="19"/>
        <item m="1" x="102"/>
        <item m="1" x="90"/>
        <item m="1" x="71"/>
        <item m="1" x="215"/>
        <item m="1" x="175"/>
        <item m="1" x="94"/>
        <item m="1" x="139"/>
        <item m="1" x="170"/>
        <item m="1" x="23"/>
        <item m="1" x="129"/>
        <item m="1" x="209"/>
        <item m="1" x="165"/>
        <item m="1" x="261"/>
        <item m="1" x="247"/>
        <item m="1" x="126"/>
        <item m="1" x="73"/>
        <item m="1" x="135"/>
        <item m="1" x="235"/>
        <item m="1" x="176"/>
        <item m="1" x="56"/>
        <item m="1" x="156"/>
        <item m="1" x="122"/>
        <item m="1" x="141"/>
        <item x="0"/>
        <item m="1" x="34"/>
        <item m="1" x="196"/>
        <item m="1" x="58"/>
        <item m="1" x="188"/>
        <item m="1" x="80"/>
        <item m="1" x="85"/>
        <item m="1" x="106"/>
        <item m="1" x="197"/>
        <item m="1" x="228"/>
        <item m="1" x="216"/>
        <item m="1" x="217"/>
        <item m="1" x="117"/>
        <item m="1" x="234"/>
        <item m="1" x="248"/>
        <item m="1" x="41"/>
        <item m="1" x="54"/>
        <item m="1" x="186"/>
        <item m="1" x="237"/>
        <item m="1" x="105"/>
        <item m="1" x="95"/>
        <item m="1" x="187"/>
        <item m="1" x="164"/>
        <item m="1" x="37"/>
        <item m="1" x="81"/>
        <item m="1" x="120"/>
        <item m="1" x="84"/>
        <item m="1" x="31"/>
        <item m="1" x="27"/>
        <item m="1" x="68"/>
        <item m="1" x="169"/>
        <item m="1" x="82"/>
        <item m="1" x="125"/>
        <item m="1" x="229"/>
        <item m="1" x="153"/>
        <item m="1" x="182"/>
        <item m="1" x="185"/>
        <item m="1" x="263"/>
        <item m="1" x="203"/>
        <item m="1" x="62"/>
        <item m="1" x="269"/>
        <item m="1" x="233"/>
        <item m="1" x="166"/>
        <item m="1" x="127"/>
        <item m="1" x="20"/>
        <item m="1" x="67"/>
        <item m="1" x="48"/>
        <item m="1" x="46"/>
        <item m="1" x="111"/>
        <item m="1" x="124"/>
        <item m="1" x="212"/>
        <item m="1" x="88"/>
        <item m="1" x="158"/>
        <item m="1" x="180"/>
        <item m="1" x="50"/>
        <item m="1" x="178"/>
        <item m="1" x="221"/>
        <item m="1" x="250"/>
        <item m="1" x="136"/>
        <item m="1" x="227"/>
        <item m="1" x="201"/>
        <item m="1" x="195"/>
        <item m="1" x="55"/>
        <item m="1" x="77"/>
        <item m="1" x="259"/>
        <item m="1" x="113"/>
        <item m="1" x="98"/>
        <item m="1" x="63"/>
        <item m="1" x="93"/>
        <item m="1" x="146"/>
        <item m="1" x="154"/>
        <item m="1" x="24"/>
        <item m="1" x="155"/>
        <item m="1" x="157"/>
        <item m="1" x="220"/>
        <item m="1" x="89"/>
        <item m="1" x="205"/>
        <item m="1" x="174"/>
        <item m="1" x="194"/>
        <item m="1" x="161"/>
        <item m="1" x="168"/>
        <item m="1" x="210"/>
        <item m="1" x="130"/>
        <item m="1" x="131"/>
        <item m="1" x="96"/>
        <item m="1" x="160"/>
        <item m="1" x="25"/>
        <item m="1" x="61"/>
        <item m="1" x="204"/>
        <item m="1" x="91"/>
        <item m="1" x="133"/>
        <item m="1" x="143"/>
        <item m="1" x="266"/>
        <item m="1" x="75"/>
        <item m="1" x="219"/>
        <item m="1" x="92"/>
        <item m="1" x="213"/>
        <item m="1" x="118"/>
        <item m="1" x="265"/>
        <item m="1" x="163"/>
        <item m="1" x="70"/>
        <item m="1" x="32"/>
        <item m="1" x="119"/>
        <item m="1" x="244"/>
        <item m="1" x="64"/>
        <item m="1" x="245"/>
        <item m="1" x="43"/>
        <item m="1" x="140"/>
        <item m="1" x="132"/>
        <item m="1" x="236"/>
        <item m="1" x="28"/>
        <item m="1" x="171"/>
        <item m="1" x="191"/>
        <item m="1" x="36"/>
        <item m="1" x="76"/>
        <item m="1" x="231"/>
        <item m="1" x="72"/>
        <item m="1" x="110"/>
        <item m="1" x="60"/>
        <item m="1" x="147"/>
        <item m="1" x="246"/>
        <item m="1" x="183"/>
        <item m="1" x="243"/>
        <item m="1" x="198"/>
        <item m="1" x="214"/>
        <item m="1" x="241"/>
        <item m="1" x="152"/>
        <item m="1" x="86"/>
        <item m="1" x="224"/>
        <item m="1" x="30"/>
        <item m="1" x="181"/>
        <item m="1" x="35"/>
        <item m="1" x="151"/>
        <item m="1" x="232"/>
        <item m="1" x="260"/>
        <item m="1" x="40"/>
        <item m="1" x="128"/>
        <item m="1" x="29"/>
        <item m="1" x="142"/>
        <item m="1" x="272"/>
        <item m="1" x="78"/>
        <item m="1" x="107"/>
        <item m="1" x="87"/>
        <item m="1" x="226"/>
        <item m="1" x="52"/>
        <item m="1" x="44"/>
        <item m="1" x="218"/>
        <item m="1" x="42"/>
        <item m="1" x="184"/>
        <item m="1" x="123"/>
        <item m="1" x="239"/>
        <item m="1" x="148"/>
        <item m="1" x="74"/>
        <item m="1" x="137"/>
        <item m="1" x="202"/>
        <item m="1" x="230"/>
        <item m="1" x="207"/>
        <item m="1" x="208"/>
        <item m="1" x="21"/>
        <item m="1" x="189"/>
        <item m="1" x="206"/>
        <item m="1" x="222"/>
        <item m="1" x="223"/>
        <item m="1" x="240"/>
        <item m="1" x="53"/>
        <item m="1" x="271"/>
        <item m="1" x="104"/>
        <item m="1" x="109"/>
        <item m="1" x="252"/>
        <item m="1" x="253"/>
        <item m="1" x="38"/>
        <item m="1" x="254"/>
        <item m="1" x="45"/>
        <item m="1" x="47"/>
        <item m="1" x="79"/>
        <item m="1" x="167"/>
        <item m="1" x="65"/>
        <item m="1" x="200"/>
        <item m="1" x="193"/>
        <item m="1" x="162"/>
        <item m="1" x="114"/>
        <item m="1" x="115"/>
        <item m="1" x="39"/>
        <item m="1" x="59"/>
        <item m="1" x="192"/>
        <item m="1" x="121"/>
        <item m="1" x="159"/>
        <item m="1" x="270"/>
        <item m="1" x="258"/>
        <item m="1" x="268"/>
        <item m="1" x="103"/>
        <item m="1" x="179"/>
        <item m="1" x="255"/>
        <item m="1" x="97"/>
        <item m="1" x="66"/>
        <item m="1" x="33"/>
        <item m="1" x="22"/>
        <item m="1" x="256"/>
        <item m="1" x="149"/>
        <item m="1" x="242"/>
        <item m="1" x="150"/>
        <item m="1" x="57"/>
        <item m="1" x="251"/>
        <item m="1" x="190"/>
        <item m="1" x="116"/>
        <item m="1" x="262"/>
        <item m="1" x="100"/>
        <item m="1" x="26"/>
        <item m="1" x="138"/>
        <item m="1" x="108"/>
        <item m="1" x="99"/>
        <item m="1" x="238"/>
        <item m="1" x="49"/>
        <item m="1" x="211"/>
        <item m="1" x="257"/>
        <item m="1" x="101"/>
        <item m="1" x="83"/>
        <item m="1" x="225"/>
        <item m="1" x="69"/>
        <item m="1" x="199"/>
        <item m="1" x="173"/>
        <item m="1" x="51"/>
        <item m="1" x="264"/>
        <item m="1" x="145"/>
        <item m="1" x="112"/>
        <item m="1" x="134"/>
        <item m="1" x="144"/>
        <item m="1" x="267"/>
        <item m="1" x="177"/>
        <item m="1" x="249"/>
        <item m="1" x="172"/>
        <item x="1"/>
        <item x="2"/>
        <item x="3"/>
        <item x="4"/>
        <item x="5"/>
        <item x="6"/>
        <item x="7"/>
        <item x="8"/>
        <item x="9"/>
        <item x="10"/>
        <item x="11"/>
        <item x="12"/>
        <item x="13"/>
        <item x="14"/>
        <item x="15"/>
        <item x="16"/>
        <item x="17"/>
        <item x="18"/>
        <item t="default"/>
      </items>
    </pivotField>
    <pivotField axis="axisRow" showAll="0">
      <items count="31">
        <item m="1" x="29"/>
        <item m="1" x="5"/>
        <item x="0"/>
        <item m="1" x="22"/>
        <item m="1" x="26"/>
        <item m="1" x="20"/>
        <item m="1" x="18"/>
        <item m="1" x="6"/>
        <item m="1" x="12"/>
        <item m="1" x="25"/>
        <item m="1" x="10"/>
        <item m="1" x="3"/>
        <item m="1" x="27"/>
        <item m="1" x="14"/>
        <item m="1" x="8"/>
        <item m="1" x="9"/>
        <item m="1" x="7"/>
        <item m="1" x="1"/>
        <item m="1" x="24"/>
        <item m="1" x="17"/>
        <item m="1" x="15"/>
        <item m="1" x="16"/>
        <item m="1" x="13"/>
        <item m="1" x="23"/>
        <item m="1" x="28"/>
        <item m="1" x="2"/>
        <item m="1" x="19"/>
        <item m="1" x="4"/>
        <item m="1" x="21"/>
        <item m="1" x="11"/>
        <item t="default"/>
      </items>
    </pivotField>
    <pivotField axis="axisRow" showAll="0">
      <items count="3">
        <item m="1" x="1"/>
        <item x="0"/>
        <item t="default"/>
      </items>
    </pivotField>
    <pivotField axis="axisRow" showAll="0">
      <items count="3">
        <item m="1" x="1"/>
        <item x="0"/>
        <item t="default"/>
      </items>
    </pivotField>
    <pivotField axis="axisRow" showAll="0">
      <items count="558">
        <item m="1" x="362"/>
        <item m="1" x="330"/>
        <item m="1" x="371"/>
        <item m="1" x="361"/>
        <item m="1" x="250"/>
        <item m="1" x="504"/>
        <item m="1" x="325"/>
        <item m="1" x="432"/>
        <item m="1" x="398"/>
        <item m="1" x="275"/>
        <item m="1" x="391"/>
        <item m="1" x="348"/>
        <item m="1" x="549"/>
        <item m="1" x="245"/>
        <item m="1" x="259"/>
        <item m="1" x="521"/>
        <item m="1" x="171"/>
        <item m="1" x="168"/>
        <item m="1" x="169"/>
        <item m="1" x="209"/>
        <item m="1" x="411"/>
        <item m="1" x="194"/>
        <item m="1" x="207"/>
        <item m="1" x="273"/>
        <item m="1" x="424"/>
        <item m="1" x="416"/>
        <item m="1" x="231"/>
        <item m="1" x="434"/>
        <item m="1" x="455"/>
        <item m="1" x="204"/>
        <item m="1" x="303"/>
        <item m="1" x="277"/>
        <item m="1" x="287"/>
        <item m="1" x="289"/>
        <item m="1" x="537"/>
        <item m="1" x="522"/>
        <item m="1" x="104"/>
        <item m="1" x="222"/>
        <item m="1" x="415"/>
        <item m="1" x="538"/>
        <item m="1" x="368"/>
        <item m="1" x="301"/>
        <item m="1" x="369"/>
        <item m="1" x="474"/>
        <item m="1" x="483"/>
        <item m="1" x="519"/>
        <item m="1" x="235"/>
        <item m="1" x="329"/>
        <item m="1" x="167"/>
        <item m="1" x="425"/>
        <item m="1" x="163"/>
        <item m="1" x="131"/>
        <item m="1" x="535"/>
        <item m="1" x="135"/>
        <item m="1" x="215"/>
        <item m="1" x="125"/>
        <item m="1" x="133"/>
        <item m="1" x="269"/>
        <item m="1" x="142"/>
        <item m="1" x="139"/>
        <item m="1" x="352"/>
        <item m="1" x="490"/>
        <item m="1" x="520"/>
        <item m="1" x="129"/>
        <item m="1" x="149"/>
        <item m="1" x="399"/>
        <item m="1" x="342"/>
        <item m="1" x="500"/>
        <item m="1" x="324"/>
        <item m="1" x="112"/>
        <item m="1" x="162"/>
        <item m="1" x="501"/>
        <item m="1" x="422"/>
        <item m="1" x="320"/>
        <item m="1" x="450"/>
        <item m="1" x="258"/>
        <item m="1" x="105"/>
        <item m="1" x="270"/>
        <item m="1" x="220"/>
        <item m="1" x="234"/>
        <item m="1" x="249"/>
        <item m="1" x="367"/>
        <item m="1" x="120"/>
        <item m="1" x="344"/>
        <item m="1" x="147"/>
        <item m="1" x="272"/>
        <item m="1" x="243"/>
        <item m="1" x="364"/>
        <item m="1" x="327"/>
        <item m="1" x="397"/>
        <item m="1" x="502"/>
        <item m="1" x="114"/>
        <item m="1" x="297"/>
        <item m="1" x="339"/>
        <item m="1" x="503"/>
        <item m="1" x="291"/>
        <item m="1" x="540"/>
        <item m="1" x="401"/>
        <item m="1" x="124"/>
        <item m="1" x="189"/>
        <item m="1" x="138"/>
        <item m="1" x="337"/>
        <item m="1" x="511"/>
        <item m="1" x="396"/>
        <item m="1" x="439"/>
        <item m="1" x="524"/>
        <item m="1" x="335"/>
        <item m="1" x="554"/>
        <item m="1" x="409"/>
        <item m="1" x="492"/>
        <item m="1" x="185"/>
        <item m="1" x="261"/>
        <item m="1" x="405"/>
        <item x="1"/>
        <item m="1" x="192"/>
        <item m="1" x="164"/>
        <item m="1" x="118"/>
        <item m="1" x="429"/>
        <item m="1" x="496"/>
        <item m="1" x="242"/>
        <item m="1" x="336"/>
        <item m="1" x="407"/>
        <item m="1" x="375"/>
        <item m="1" x="307"/>
        <item m="1" x="308"/>
        <item m="1" x="200"/>
        <item m="1" x="263"/>
        <item m="1" x="152"/>
        <item m="1" x="295"/>
        <item m="1" x="251"/>
        <item m="1" x="132"/>
        <item m="1" x="534"/>
        <item m="1" x="414"/>
        <item m="1" x="331"/>
        <item m="1" x="552"/>
        <item m="1" x="156"/>
        <item m="1" x="180"/>
        <item m="1" x="435"/>
        <item m="1" x="221"/>
        <item m="1" x="284"/>
        <item m="1" x="267"/>
        <item m="1" x="201"/>
        <item m="1" x="530"/>
        <item m="1" x="376"/>
        <item m="1" x="145"/>
        <item m="1" x="252"/>
        <item m="1" x="199"/>
        <item m="1" x="442"/>
        <item m="1" x="456"/>
        <item m="1" x="230"/>
        <item m="1" x="366"/>
        <item m="1" x="103"/>
        <item m="1" x="302"/>
        <item m="1" x="296"/>
        <item m="1" x="459"/>
        <item m="1" x="420"/>
        <item m="1" x="400"/>
        <item m="1" x="225"/>
        <item m="1" x="444"/>
        <item m="1" x="186"/>
        <item m="1" x="191"/>
        <item m="1" x="202"/>
        <item m="1" x="226"/>
        <item m="1" x="115"/>
        <item m="1" x="358"/>
        <item m="1" x="116"/>
        <item m="1" x="187"/>
        <item m="1" x="477"/>
        <item m="1" x="548"/>
        <item m="1" x="253"/>
        <item m="1" x="380"/>
        <item m="1" x="547"/>
        <item m="1" x="266"/>
        <item m="1" x="392"/>
        <item m="1" x="421"/>
        <item m="1" x="527"/>
        <item m="1" x="177"/>
        <item m="1" x="363"/>
        <item m="1" x="347"/>
        <item m="1" x="203"/>
        <item m="1" x="278"/>
        <item m="1" x="229"/>
        <item m="1" x="155"/>
        <item m="1" x="175"/>
        <item m="1" x="509"/>
        <item m="1" x="205"/>
        <item m="1" x="525"/>
        <item m="1" x="526"/>
        <item m="1" x="206"/>
        <item m="1" x="355"/>
        <item m="1" x="315"/>
        <item m="1" x="350"/>
        <item m="1" x="99"/>
        <item m="1" x="148"/>
        <item m="1" x="190"/>
        <item m="1" x="233"/>
        <item m="1" x="219"/>
        <item m="1" x="443"/>
        <item m="1" x="393"/>
        <item m="1" x="453"/>
        <item m="1" x="555"/>
        <item m="1" x="317"/>
        <item m="1" x="465"/>
        <item m="1" x="211"/>
        <item m="1" x="212"/>
        <item m="1" x="255"/>
        <item m="1" x="154"/>
        <item m="1" x="290"/>
        <item m="1" x="316"/>
        <item m="1" x="183"/>
        <item m="1" x="128"/>
        <item m="1" x="157"/>
        <item m="1" x="463"/>
        <item m="1" x="542"/>
        <item m="1" x="322"/>
        <item m="1" x="419"/>
        <item m="1" x="403"/>
        <item m="1" x="388"/>
        <item m="1" x="224"/>
        <item m="1" x="146"/>
        <item m="1" x="365"/>
        <item m="1" x="173"/>
        <item m="1" x="517"/>
        <item m="1" x="510"/>
        <item m="1" x="386"/>
        <item m="1" x="321"/>
        <item m="1" x="160"/>
        <item m="1" x="159"/>
        <item m="1" x="137"/>
        <item m="1" x="475"/>
        <item m="1" x="96"/>
        <item m="1" x="412"/>
        <item m="1" x="240"/>
        <item m="1" x="404"/>
        <item m="1" x="97"/>
        <item m="1" x="430"/>
        <item m="1" x="241"/>
        <item m="1" x="427"/>
        <item m="1" x="172"/>
        <item m="1" x="505"/>
        <item m="1" x="413"/>
        <item m="1" x="179"/>
        <item m="1" x="428"/>
        <item m="1" x="479"/>
        <item m="1" x="494"/>
        <item m="1" x="480"/>
        <item m="1" x="438"/>
        <item m="1" x="130"/>
        <item m="1" x="406"/>
        <item m="1" x="481"/>
        <item m="1" x="541"/>
        <item m="1" x="498"/>
        <item m="1" x="232"/>
        <item m="1" x="323"/>
        <item m="1" x="514"/>
        <item m="1" x="410"/>
        <item m="1" x="449"/>
        <item m="1" x="383"/>
        <item m="1" x="515"/>
        <item m="1" x="437"/>
        <item m="1" x="228"/>
        <item m="1" x="546"/>
        <item m="1" x="176"/>
        <item m="1" x="431"/>
        <item m="1" x="381"/>
        <item m="1" x="198"/>
        <item m="1" x="341"/>
        <item m="1" x="370"/>
        <item m="1" x="550"/>
        <item m="1" x="451"/>
        <item m="1" x="462"/>
        <item m="1" x="385"/>
        <item m="1" x="491"/>
        <item m="1" x="279"/>
        <item m="1" x="390"/>
        <item m="1" x="507"/>
        <item m="1" x="305"/>
        <item m="1" x="493"/>
        <item m="1" x="326"/>
        <item m="1" x="485"/>
        <item m="1" x="213"/>
        <item m="1" x="311"/>
        <item m="1" x="184"/>
        <item m="1" x="181"/>
        <item m="1" x="417"/>
        <item m="1" x="418"/>
        <item m="1" x="471"/>
        <item m="1" x="144"/>
        <item m="1" x="470"/>
        <item m="1" x="476"/>
        <item m="1" x="473"/>
        <item m="1" x="436"/>
        <item m="1" x="374"/>
        <item m="1" x="478"/>
        <item m="1" x="343"/>
        <item m="1" x="448"/>
        <item m="1" x="472"/>
        <item m="1" x="319"/>
        <item m="1" x="464"/>
        <item m="1" x="117"/>
        <item m="1" x="359"/>
        <item m="1" x="227"/>
        <item m="1" x="309"/>
        <item m="1" x="165"/>
        <item m="1" x="293"/>
        <item m="1" x="488"/>
        <item m="1" x="274"/>
        <item m="1" x="113"/>
        <item m="1" x="262"/>
        <item m="1" x="196"/>
        <item m="1" x="482"/>
        <item m="1" x="182"/>
        <item m="1" x="121"/>
        <item m="1" x="268"/>
        <item m="1" x="218"/>
        <item m="1" x="528"/>
        <item m="1" x="122"/>
        <item m="1" x="551"/>
        <item m="1" x="543"/>
        <item m="1" x="140"/>
        <item m="1" x="516"/>
        <item m="1" x="495"/>
        <item m="1" x="518"/>
        <item m="1" x="556"/>
        <item m="1" x="141"/>
        <item m="1" x="457"/>
        <item m="1" x="188"/>
        <item m="1" x="458"/>
        <item m="1" x="333"/>
        <item m="1" x="288"/>
        <item m="1" x="423"/>
        <item m="1" x="460"/>
        <item m="1" x="134"/>
        <item m="1" x="532"/>
        <item m="1" x="454"/>
        <item m="1" x="384"/>
        <item m="1" x="254"/>
        <item m="1" x="300"/>
        <item m="1" x="101"/>
        <item m="1" x="378"/>
        <item m="1" x="523"/>
        <item m="1" x="338"/>
        <item m="1" x="360"/>
        <item m="1" x="208"/>
        <item m="1" x="328"/>
        <item m="1" x="306"/>
        <item m="1" x="294"/>
        <item m="1" x="346"/>
        <item m="1" x="531"/>
        <item m="1" x="283"/>
        <item m="1" x="197"/>
        <item m="1" x="484"/>
        <item m="1" x="123"/>
        <item m="1" x="469"/>
        <item m="1" x="304"/>
        <item m="1" x="126"/>
        <item m="1" x="433"/>
        <item m="1" x="237"/>
        <item m="1" x="486"/>
        <item m="1" x="102"/>
        <item m="1" x="487"/>
        <item m="1" x="536"/>
        <item m="1" x="402"/>
        <item m="1" x="452"/>
        <item m="1" x="389"/>
        <item m="1" x="356"/>
        <item m="1" x="506"/>
        <item m="1" x="216"/>
        <item m="1" x="108"/>
        <item m="1" x="109"/>
        <item m="1" x="351"/>
        <item m="1" x="260"/>
        <item m="1" x="170"/>
        <item m="1" x="100"/>
        <item m="1" x="354"/>
        <item m="1" x="440"/>
        <item m="1" x="513"/>
        <item m="1" x="310"/>
        <item m="1" x="195"/>
        <item m="1" x="239"/>
        <item m="1" x="150"/>
        <item m="1" x="151"/>
        <item m="1" x="441"/>
        <item m="1" x="373"/>
        <item m="1" x="299"/>
        <item m="1" x="143"/>
        <item m="1" x="238"/>
        <item m="1" x="193"/>
        <item m="1" x="257"/>
        <item m="1" x="318"/>
        <item m="1" x="340"/>
        <item m="1" x="489"/>
        <item m="1" x="394"/>
        <item m="1" x="395"/>
        <item m="1" x="408"/>
        <item m="1" x="357"/>
        <item m="1" x="461"/>
        <item m="1" x="166"/>
        <item m="1" x="512"/>
        <item m="1" x="106"/>
        <item m="1" x="107"/>
        <item m="1" x="248"/>
        <item m="1" x="545"/>
        <item m="1" x="119"/>
        <item m="1" x="313"/>
        <item m="1" x="174"/>
        <item m="1" x="158"/>
        <item m="1" x="247"/>
        <item m="1" x="153"/>
        <item m="1" x="314"/>
        <item m="1" x="264"/>
        <item m="1" x="533"/>
        <item m="1" x="265"/>
        <item m="1" x="312"/>
        <item m="1" x="178"/>
        <item m="1" x="467"/>
        <item m="1" x="223"/>
        <item m="1" x="210"/>
        <item m="1" x="353"/>
        <item m="1" x="377"/>
        <item m="1" x="292"/>
        <item m="1" x="387"/>
        <item m="1" x="127"/>
        <item m="1" x="280"/>
        <item m="1" x="256"/>
        <item m="1" x="285"/>
        <item m="1" x="95"/>
        <item m="1" x="379"/>
        <item m="1" x="447"/>
        <item m="1" x="286"/>
        <item m="1" x="372"/>
        <item m="1" x="446"/>
        <item m="1" x="332"/>
        <item m="1" x="345"/>
        <item m="1" x="349"/>
        <item m="1" x="276"/>
        <item m="1" x="544"/>
        <item m="1" x="161"/>
        <item x="0"/>
        <item x="2"/>
        <item x="3"/>
        <item x="4"/>
        <item x="5"/>
        <item x="6"/>
        <item x="7"/>
        <item x="8"/>
        <item x="9"/>
        <item x="10"/>
        <item x="11"/>
        <item x="12"/>
        <item x="13"/>
        <item x="14"/>
        <item x="15"/>
        <item x="16"/>
        <item x="17"/>
        <item x="18"/>
        <item x="19"/>
        <item x="20"/>
        <item x="21"/>
        <item x="22"/>
        <item x="23"/>
        <item x="24"/>
        <item x="25"/>
        <item x="26"/>
        <item x="27"/>
        <item m="1" x="382"/>
        <item m="1" x="466"/>
        <item x="30"/>
        <item x="31"/>
        <item x="32"/>
        <item m="1" x="553"/>
        <item m="1" x="246"/>
        <item m="1" x="281"/>
        <item m="1" x="334"/>
        <item m="1" x="136"/>
        <item m="1" x="214"/>
        <item m="1" x="298"/>
        <item m="1" x="282"/>
        <item m="1" x="110"/>
        <item m="1" x="539"/>
        <item m="1" x="111"/>
        <item x="44"/>
        <item x="45"/>
        <item x="46"/>
        <item x="47"/>
        <item x="48"/>
        <item x="49"/>
        <item m="1" x="236"/>
        <item x="51"/>
        <item m="1" x="426"/>
        <item x="53"/>
        <item m="1" x="271"/>
        <item m="1" x="529"/>
        <item m="1" x="98"/>
        <item x="57"/>
        <item x="58"/>
        <item x="59"/>
        <item x="60"/>
        <item x="61"/>
        <item m="1" x="499"/>
        <item x="63"/>
        <item x="64"/>
        <item x="65"/>
        <item x="66"/>
        <item x="67"/>
        <item x="68"/>
        <item x="69"/>
        <item x="70"/>
        <item m="1" x="497"/>
        <item m="1" x="508"/>
        <item m="1" x="468"/>
        <item m="1" x="445"/>
        <item m="1" x="244"/>
        <item m="1" x="217"/>
        <item x="76"/>
        <item x="77"/>
        <item x="78"/>
        <item x="79"/>
        <item x="80"/>
        <item x="81"/>
        <item x="82"/>
        <item x="83"/>
        <item x="84"/>
        <item x="85"/>
        <item x="86"/>
        <item x="87"/>
        <item x="88"/>
        <item x="89"/>
        <item x="90"/>
        <item x="91"/>
        <item x="92"/>
        <item x="93"/>
        <item x="94"/>
        <item x="28"/>
        <item x="29"/>
        <item x="33"/>
        <item x="34"/>
        <item x="35"/>
        <item x="36"/>
        <item x="37"/>
        <item x="38"/>
        <item x="39"/>
        <item x="40"/>
        <item x="41"/>
        <item x="42"/>
        <item x="43"/>
        <item x="50"/>
        <item x="52"/>
        <item x="54"/>
        <item x="55"/>
        <item x="56"/>
        <item x="62"/>
        <item x="71"/>
        <item x="72"/>
        <item x="73"/>
        <item x="74"/>
        <item x="75"/>
        <item t="default"/>
      </items>
    </pivotField>
    <pivotField axis="axisRow" showAll="0">
      <items count="262">
        <item m="1" x="67"/>
        <item m="1" x="219"/>
        <item m="1" x="81"/>
        <item m="1" x="226"/>
        <item m="1" x="42"/>
        <item m="1" x="181"/>
        <item m="1" x="218"/>
        <item m="1" x="144"/>
        <item m="1" x="27"/>
        <item m="1" x="115"/>
        <item m="1" x="116"/>
        <item m="1" x="48"/>
        <item m="1" x="15"/>
        <item m="1" x="229"/>
        <item m="1" x="92"/>
        <item m="1" x="239"/>
        <item m="1" x="123"/>
        <item m="1" x="8"/>
        <item m="1" x="71"/>
        <item m="1" x="231"/>
        <item m="1" x="206"/>
        <item m="1" x="90"/>
        <item m="1" x="58"/>
        <item m="1" x="86"/>
        <item m="1" x="160"/>
        <item m="1" x="117"/>
        <item m="1" x="62"/>
        <item m="1" x="257"/>
        <item m="1" x="121"/>
        <item m="1" x="171"/>
        <item m="1" x="228"/>
        <item m="1" x="112"/>
        <item m="1" x="190"/>
        <item m="1" x="210"/>
        <item m="1" x="60"/>
        <item m="1" x="80"/>
        <item m="1" x="232"/>
        <item m="1" x="74"/>
        <item m="1" x="49"/>
        <item m="1" x="23"/>
        <item m="1" x="14"/>
        <item x="0"/>
        <item m="1" x="56"/>
        <item m="1" x="148"/>
        <item m="1" x="187"/>
        <item m="1" x="110"/>
        <item m="1" x="159"/>
        <item m="1" x="126"/>
        <item m="1" x="249"/>
        <item m="1" x="46"/>
        <item m="1" x="25"/>
        <item m="1" x="26"/>
        <item m="1" x="47"/>
        <item m="1" x="32"/>
        <item m="1" x="235"/>
        <item m="1" x="260"/>
        <item m="1" x="18"/>
        <item m="1" x="186"/>
        <item m="1" x="216"/>
        <item m="1" x="125"/>
        <item m="1" x="104"/>
        <item m="1" x="111"/>
        <item m="1" x="184"/>
        <item m="1" x="68"/>
        <item m="1" x="158"/>
        <item m="1" x="212"/>
        <item m="1" x="251"/>
        <item m="1" x="233"/>
        <item m="1" x="66"/>
        <item m="1" x="98"/>
        <item m="1" x="69"/>
        <item m="1" x="167"/>
        <item m="1" x="16"/>
        <item m="1" x="203"/>
        <item m="1" x="30"/>
        <item m="1" x="220"/>
        <item m="1" x="180"/>
        <item m="1" x="213"/>
        <item m="1" x="133"/>
        <item m="1" x="141"/>
        <item m="1" x="73"/>
        <item m="1" x="204"/>
        <item m="1" x="188"/>
        <item m="1" x="34"/>
        <item m="1" x="39"/>
        <item m="1" x="134"/>
        <item m="1" x="91"/>
        <item m="1" x="223"/>
        <item m="1" x="93"/>
        <item m="1" x="83"/>
        <item m="1" x="84"/>
        <item m="1" x="88"/>
        <item m="1" x="13"/>
        <item m="1" x="143"/>
        <item m="1" x="149"/>
        <item m="1" x="22"/>
        <item m="1" x="244"/>
        <item m="1" x="38"/>
        <item m="1" x="113"/>
        <item m="1" x="238"/>
        <item m="1" x="254"/>
        <item m="1" x="122"/>
        <item m="1" x="70"/>
        <item m="1" x="173"/>
        <item m="1" x="166"/>
        <item m="1" x="242"/>
        <item m="1" x="79"/>
        <item m="1" x="196"/>
        <item m="1" x="161"/>
        <item m="1" x="77"/>
        <item m="1" x="102"/>
        <item m="1" x="178"/>
        <item m="1" x="142"/>
        <item m="1" x="139"/>
        <item m="1" x="37"/>
        <item m="1" x="64"/>
        <item m="1" x="174"/>
        <item m="1" x="11"/>
        <item m="1" x="247"/>
        <item m="1" x="192"/>
        <item m="1" x="43"/>
        <item m="1" x="252"/>
        <item m="1" x="259"/>
        <item m="1" x="250"/>
        <item m="1" x="209"/>
        <item m="1" x="17"/>
        <item m="1" x="221"/>
        <item m="1" x="199"/>
        <item m="1" x="40"/>
        <item m="1" x="41"/>
        <item m="1" x="129"/>
        <item m="1" x="224"/>
        <item m="1" x="182"/>
        <item m="1" x="61"/>
        <item m="1" x="172"/>
        <item m="1" x="63"/>
        <item m="1" x="130"/>
        <item m="1" x="205"/>
        <item m="1" x="78"/>
        <item m="1" x="138"/>
        <item m="1" x="105"/>
        <item m="1" x="10"/>
        <item m="1" x="191"/>
        <item m="1" x="57"/>
        <item m="1" x="151"/>
        <item m="1" x="198"/>
        <item m="1" x="89"/>
        <item m="1" x="20"/>
        <item m="1" x="96"/>
        <item m="1" x="240"/>
        <item m="1" x="45"/>
        <item m="1" x="87"/>
        <item m="1" x="31"/>
        <item m="1" x="170"/>
        <item m="1" x="201"/>
        <item m="1" x="256"/>
        <item m="1" x="147"/>
        <item m="1" x="195"/>
        <item m="1" x="82"/>
        <item m="1" x="52"/>
        <item m="1" x="243"/>
        <item m="1" x="177"/>
        <item m="1" x="65"/>
        <item m="1" x="168"/>
        <item m="1" x="75"/>
        <item m="1" x="150"/>
        <item m="1" x="24"/>
        <item m="1" x="118"/>
        <item m="1" x="119"/>
        <item m="1" x="33"/>
        <item m="1" x="36"/>
        <item m="1" x="44"/>
        <item m="1" x="51"/>
        <item m="1" x="109"/>
        <item m="1" x="215"/>
        <item m="1" x="99"/>
        <item m="1" x="217"/>
        <item m="1" x="35"/>
        <item m="1" x="21"/>
        <item m="1" x="72"/>
        <item m="1" x="120"/>
        <item m="1" x="95"/>
        <item m="1" x="162"/>
        <item m="1" x="50"/>
        <item m="1" x="107"/>
        <item m="1" x="97"/>
        <item m="1" x="146"/>
        <item m="1" x="225"/>
        <item m="1" x="101"/>
        <item m="1" x="154"/>
        <item m="1" x="114"/>
        <item m="1" x="234"/>
        <item m="1" x="136"/>
        <item m="1" x="153"/>
        <item m="1" x="53"/>
        <item m="1" x="152"/>
        <item m="1" x="248"/>
        <item m="1" x="197"/>
        <item m="1" x="156"/>
        <item m="1" x="253"/>
        <item m="1" x="211"/>
        <item m="1" x="214"/>
        <item m="1" x="207"/>
        <item m="1" x="237"/>
        <item m="1" x="127"/>
        <item m="1" x="175"/>
        <item m="1" x="94"/>
        <item m="1" x="200"/>
        <item m="1" x="185"/>
        <item m="1" x="164"/>
        <item m="1" x="131"/>
        <item m="1" x="128"/>
        <item m="1" x="85"/>
        <item m="1" x="230"/>
        <item m="1" x="145"/>
        <item m="1" x="258"/>
        <item m="1" x="245"/>
        <item m="1" x="246"/>
        <item m="1" x="163"/>
        <item m="1" x="208"/>
        <item m="1" x="236"/>
        <item m="1" x="28"/>
        <item m="1" x="241"/>
        <item m="1" x="255"/>
        <item m="1" x="55"/>
        <item m="1" x="106"/>
        <item m="1" x="135"/>
        <item m="1" x="169"/>
        <item m="1" x="19"/>
        <item m="1" x="227"/>
        <item m="1" x="193"/>
        <item m="1" x="155"/>
        <item m="1" x="108"/>
        <item m="1" x="103"/>
        <item m="1" x="100"/>
        <item m="1" x="124"/>
        <item m="1" x="132"/>
        <item m="1" x="176"/>
        <item m="1" x="194"/>
        <item m="1" x="137"/>
        <item m="1" x="165"/>
        <item m="1" x="179"/>
        <item m="1" x="183"/>
        <item m="1" x="54"/>
        <item m="1" x="140"/>
        <item m="1" x="29"/>
        <item m="1" x="12"/>
        <item m="1" x="222"/>
        <item m="1" x="202"/>
        <item x="1"/>
        <item x="2"/>
        <item x="3"/>
        <item x="4"/>
        <item x="5"/>
        <item x="6"/>
        <item m="1" x="157"/>
        <item m="1" x="9"/>
        <item m="1" x="76"/>
        <item m="1" x="189"/>
        <item m="1" x="59"/>
        <item x="7"/>
        <item t="default"/>
      </items>
    </pivotField>
    <pivotField axis="axisRow" showAll="0">
      <items count="262">
        <item m="1" x="66"/>
        <item m="1" x="86"/>
        <item m="1" x="146"/>
        <item m="1" x="125"/>
        <item m="1" x="139"/>
        <item m="1" x="225"/>
        <item m="1" x="204"/>
        <item m="1" x="244"/>
        <item m="1" x="159"/>
        <item m="1" x="47"/>
        <item m="1" x="48"/>
        <item m="1" x="145"/>
        <item m="1" x="39"/>
        <item m="1" x="164"/>
        <item m="1" x="226"/>
        <item m="1" x="93"/>
        <item m="1" x="98"/>
        <item m="1" x="70"/>
        <item m="1" x="165"/>
        <item m="1" x="19"/>
        <item m="1" x="115"/>
        <item m="1" x="223"/>
        <item m="1" x="18"/>
        <item m="1" x="136"/>
        <item m="1" x="81"/>
        <item m="1" x="124"/>
        <item m="1" x="219"/>
        <item m="1" x="191"/>
        <item m="1" x="188"/>
        <item m="1" x="200"/>
        <item m="1" x="246"/>
        <item m="1" x="76"/>
        <item m="1" x="163"/>
        <item m="1" x="121"/>
        <item m="1" x="149"/>
        <item m="1" x="245"/>
        <item m="1" x="158"/>
        <item m="1" x="253"/>
        <item m="1" x="171"/>
        <item m="1" x="50"/>
        <item m="1" x="99"/>
        <item x="0"/>
        <item m="1" x="161"/>
        <item m="1" x="69"/>
        <item m="1" x="105"/>
        <item m="1" x="183"/>
        <item m="1" x="174"/>
        <item m="1" x="172"/>
        <item m="1" x="186"/>
        <item m="1" x="133"/>
        <item m="1" x="166"/>
        <item m="1" x="167"/>
        <item m="1" x="153"/>
        <item m="1" x="51"/>
        <item m="1" x="60"/>
        <item m="1" x="240"/>
        <item m="1" x="83"/>
        <item m="1" x="184"/>
        <item m="1" x="194"/>
        <item m="1" x="44"/>
        <item m="1" x="179"/>
        <item m="1" x="216"/>
        <item m="1" x="214"/>
        <item m="1" x="151"/>
        <item m="1" x="82"/>
        <item m="1" x="43"/>
        <item m="1" x="87"/>
        <item m="1" x="85"/>
        <item m="1" x="187"/>
        <item m="1" x="118"/>
        <item m="1" x="218"/>
        <item m="1" x="190"/>
        <item m="1" x="227"/>
        <item m="1" x="189"/>
        <item m="1" x="119"/>
        <item m="1" x="209"/>
        <item m="1" x="109"/>
        <item m="1" x="126"/>
        <item m="1" x="22"/>
        <item m="1" x="160"/>
        <item m="1" x="142"/>
        <item m="1" x="137"/>
        <item m="1" x="199"/>
        <item m="1" x="73"/>
        <item m="1" x="46"/>
        <item m="1" x="239"/>
        <item m="1" x="120"/>
        <item m="1" x="211"/>
        <item m="1" x="33"/>
        <item m="1" x="64"/>
        <item m="1" x="65"/>
        <item m="1" x="197"/>
        <item m="1" x="63"/>
        <item m="1" x="79"/>
        <item m="1" x="148"/>
        <item m="1" x="21"/>
        <item m="1" x="258"/>
        <item m="1" x="237"/>
        <item m="1" x="169"/>
        <item m="1" x="182"/>
        <item m="1" x="71"/>
        <item m="1" x="177"/>
        <item m="1" x="259"/>
        <item m="1" x="195"/>
        <item m="1" x="88"/>
        <item m="1" x="80"/>
        <item m="1" x="37"/>
        <item m="1" x="96"/>
        <item m="1" x="123"/>
        <item m="1" x="168"/>
        <item m="1" x="28"/>
        <item m="1" x="54"/>
        <item m="1" x="16"/>
        <item m="1" x="56"/>
        <item m="1" x="74"/>
        <item m="1" x="106"/>
        <item m="1" x="257"/>
        <item m="1" x="49"/>
        <item m="1" x="29"/>
        <item m="1" x="57"/>
        <item m="1" x="26"/>
        <item m="1" x="222"/>
        <item m="1" x="30"/>
        <item m="1" x="241"/>
        <item m="1" x="67"/>
        <item m="1" x="110"/>
        <item m="1" x="97"/>
        <item m="1" x="242"/>
        <item m="1" x="235"/>
        <item m="1" x="236"/>
        <item m="1" x="132"/>
        <item m="1" x="59"/>
        <item m="1" x="92"/>
        <item m="1" x="217"/>
        <item m="1" x="55"/>
        <item m="1" x="127"/>
        <item m="1" x="24"/>
        <item m="1" x="230"/>
        <item m="1" x="40"/>
        <item m="1" x="180"/>
        <item m="1" x="107"/>
        <item m="1" x="224"/>
        <item m="1" x="252"/>
        <item m="1" x="143"/>
        <item m="1" x="94"/>
        <item m="1" x="250"/>
        <item m="1" x="122"/>
        <item m="1" x="173"/>
        <item m="1" x="25"/>
        <item m="1" x="229"/>
        <item m="1" x="38"/>
        <item m="1" x="206"/>
        <item m="1" x="42"/>
        <item m="1" x="89"/>
        <item m="1" x="138"/>
        <item m="1" x="198"/>
        <item m="1" x="27"/>
        <item m="1" x="234"/>
        <item m="1" x="53"/>
        <item x="1"/>
        <item m="1" x="102"/>
        <item m="1" x="84"/>
        <item m="1" x="129"/>
        <item m="1" x="34"/>
        <item m="1" x="75"/>
        <item m="1" x="233"/>
        <item m="1" x="231"/>
        <item m="1" x="192"/>
        <item m="1" x="178"/>
        <item m="1" x="100"/>
        <item m="1" x="95"/>
        <item m="1" x="32"/>
        <item m="1" x="17"/>
        <item m="1" x="212"/>
        <item m="1" x="90"/>
        <item m="1" x="141"/>
        <item m="1" x="147"/>
        <item m="1" x="61"/>
        <item m="1" x="62"/>
        <item m="1" x="135"/>
        <item m="1" x="181"/>
        <item m="1" x="175"/>
        <item m="1" x="41"/>
        <item m="1" x="255"/>
        <item m="1" x="36"/>
        <item m="1" x="20"/>
        <item m="1" x="77"/>
        <item m="1" x="243"/>
        <item m="1" x="185"/>
        <item m="1" x="238"/>
        <item m="1" x="215"/>
        <item m="1" x="134"/>
        <item m="1" x="208"/>
        <item m="1" x="228"/>
        <item m="1" x="58"/>
        <item m="1" x="251"/>
        <item m="1" x="155"/>
        <item m="1" x="68"/>
        <item m="1" x="78"/>
        <item m="1" x="221"/>
        <item m="1" x="203"/>
        <item m="1" x="130"/>
        <item m="1" x="23"/>
        <item m="1" x="112"/>
        <item m="1" x="205"/>
        <item m="1" x="176"/>
        <item m="1" x="45"/>
        <item m="1" x="201"/>
        <item x="2"/>
        <item m="1" x="144"/>
        <item m="1" x="72"/>
        <item m="1" x="117"/>
        <item m="1" x="202"/>
        <item m="1" x="247"/>
        <item m="1" x="232"/>
        <item m="1" x="91"/>
        <item x="10"/>
        <item m="1" x="210"/>
        <item m="1" x="103"/>
        <item m="1" x="104"/>
        <item m="1" x="196"/>
        <item m="1" x="31"/>
        <item m="1" x="35"/>
        <item m="1" x="249"/>
        <item m="1" x="128"/>
        <item m="1" x="116"/>
        <item m="1" x="108"/>
        <item m="1" x="156"/>
        <item m="1" x="220"/>
        <item m="1" x="213"/>
        <item m="1" x="254"/>
        <item m="1" x="113"/>
        <item m="1" x="101"/>
        <item m="1" x="248"/>
        <item x="11"/>
        <item x="12"/>
        <item m="1" x="162"/>
        <item m="1" x="114"/>
        <item m="1" x="193"/>
        <item m="1" x="256"/>
        <item m="1" x="157"/>
        <item m="1" x="52"/>
        <item m="1" x="154"/>
        <item m="1" x="260"/>
        <item m="1" x="140"/>
        <item m="1" x="150"/>
        <item x="14"/>
        <item m="1" x="131"/>
        <item m="1" x="170"/>
        <item m="1" x="207"/>
        <item m="1" x="111"/>
        <item m="1" x="152"/>
        <item x="3"/>
        <item x="4"/>
        <item x="5"/>
        <item x="6"/>
        <item x="7"/>
        <item x="8"/>
        <item x="9"/>
        <item x="13"/>
        <item x="15"/>
        <item t="default"/>
      </items>
    </pivotField>
    <pivotField axis="axisRow" showAll="0">
      <items count="492">
        <item m="1" x="307"/>
        <item m="1" x="417"/>
        <item m="1" x="390"/>
        <item m="1" x="430"/>
        <item m="1" x="391"/>
        <item m="1" x="431"/>
        <item m="1" x="432"/>
        <item m="1" x="86"/>
        <item m="1" x="467"/>
        <item m="1" x="418"/>
        <item m="1" x="419"/>
        <item m="1" x="462"/>
        <item m="1" x="463"/>
        <item m="1" x="438"/>
        <item m="1" x="87"/>
        <item m="1" x="446"/>
        <item m="1" x="447"/>
        <item m="1" x="450"/>
        <item m="1" x="158"/>
        <item m="1" x="476"/>
        <item m="1" x="59"/>
        <item m="1" x="60"/>
        <item m="1" x="61"/>
        <item m="1" x="464"/>
        <item m="1" x="383"/>
        <item m="1" x="375"/>
        <item m="1" x="303"/>
        <item m="1" x="474"/>
        <item m="1" x="62"/>
        <item m="1" x="481"/>
        <item m="1" x="63"/>
        <item m="1" x="64"/>
        <item m="1" x="65"/>
        <item m="1" x="84"/>
        <item m="1" x="88"/>
        <item m="1" x="403"/>
        <item m="1" x="469"/>
        <item m="1" x="168"/>
        <item m="1" x="465"/>
        <item m="1" x="420"/>
        <item m="1" x="434"/>
        <item m="1" x="435"/>
        <item m="1" x="392"/>
        <item m="1" x="393"/>
        <item m="1" x="480"/>
        <item m="1" x="247"/>
        <item m="1" x="92"/>
        <item m="1" x="200"/>
        <item m="1" x="66"/>
        <item m="1" x="174"/>
        <item m="1" x="483"/>
        <item m="1" x="97"/>
        <item m="1" x="146"/>
        <item m="1" x="309"/>
        <item m="1" x="442"/>
        <item m="1" x="357"/>
        <item m="1" x="468"/>
        <item m="1" x="127"/>
        <item m="1" x="286"/>
        <item m="1" x="364"/>
        <item m="1" x="169"/>
        <item m="1" x="210"/>
        <item m="1" x="396"/>
        <item m="1" x="228"/>
        <item m="1" x="429"/>
        <item m="1" x="347"/>
        <item m="1" x="143"/>
        <item m="1" x="395"/>
        <item m="1" x="452"/>
        <item m="1" x="288"/>
        <item m="1" x="451"/>
        <item m="1" x="275"/>
        <item m="1" x="360"/>
        <item m="1" x="342"/>
        <item m="1" x="370"/>
        <item m="1" x="477"/>
        <item m="1" x="460"/>
        <item m="1" x="208"/>
        <item m="1" x="173"/>
        <item m="1" x="258"/>
        <item m="1" x="250"/>
        <item m="1" x="257"/>
        <item m="1" x="56"/>
        <item m="1" x="240"/>
        <item m="1" x="408"/>
        <item m="1" x="94"/>
        <item m="1" x="130"/>
        <item x="0"/>
        <item m="1" x="293"/>
        <item m="1" x="68"/>
        <item m="1" x="181"/>
        <item m="1" x="69"/>
        <item m="1" x="182"/>
        <item m="1" x="183"/>
        <item m="1" x="260"/>
        <item m="1" x="253"/>
        <item m="1" x="294"/>
        <item m="1" x="295"/>
        <item m="1" x="195"/>
        <item m="1" x="196"/>
        <item m="1" x="421"/>
        <item m="1" x="261"/>
        <item m="1" x="305"/>
        <item m="1" x="306"/>
        <item m="1" x="216"/>
        <item m="1" x="132"/>
        <item m="1" x="428"/>
        <item m="1" x="319"/>
        <item m="1" x="320"/>
        <item m="1" x="321"/>
        <item m="1" x="197"/>
        <item m="1" x="278"/>
        <item m="1" x="95"/>
        <item m="1" x="322"/>
        <item m="1" x="379"/>
        <item m="1" x="323"/>
        <item m="1" x="324"/>
        <item m="1" x="325"/>
        <item m="1" x="204"/>
        <item m="1" x="262"/>
        <item m="1" x="284"/>
        <item m="1" x="136"/>
        <item m="1" x="274"/>
        <item m="1" x="198"/>
        <item m="1" x="296"/>
        <item m="1" x="243"/>
        <item m="1" x="244"/>
        <item m="1" x="70"/>
        <item m="1" x="71"/>
        <item m="1" x="81"/>
        <item m="1" x="289"/>
        <item m="1" x="135"/>
        <item m="1" x="338"/>
        <item m="1" x="93"/>
        <item m="1" x="443"/>
        <item m="1" x="172"/>
        <item m="1" x="219"/>
        <item m="1" x="239"/>
        <item m="1" x="180"/>
        <item m="1" x="367"/>
        <item m="1" x="401"/>
        <item m="1" x="426"/>
        <item m="1" x="118"/>
        <item m="1" x="171"/>
        <item m="1" x="397"/>
        <item m="1" x="199"/>
        <item m="1" x="179"/>
        <item m="1" x="466"/>
        <item m="1" x="123"/>
        <item m="1" x="167"/>
        <item m="1" x="245"/>
        <item m="1" x="119"/>
        <item m="1" x="489"/>
        <item m="1" x="349"/>
        <item m="1" x="108"/>
        <item m="1" x="482"/>
        <item m="1" x="131"/>
        <item m="1" x="318"/>
        <item m="1" x="386"/>
        <item m="1" x="380"/>
        <item m="1" x="89"/>
        <item m="1" x="337"/>
        <item m="1" x="161"/>
        <item m="1" x="361"/>
        <item m="1" x="203"/>
        <item m="1" x="326"/>
        <item m="1" x="304"/>
        <item m="1" x="255"/>
        <item m="1" x="248"/>
        <item m="1" x="128"/>
        <item m="1" x="414"/>
        <item m="1" x="422"/>
        <item m="1" x="205"/>
        <item m="1" x="423"/>
        <item m="1" x="206"/>
        <item m="1" x="207"/>
        <item m="1" x="344"/>
        <item m="1" x="444"/>
        <item m="1" x="415"/>
        <item m="1" x="416"/>
        <item m="1" x="75"/>
        <item m="1" x="76"/>
        <item m="1" x="83"/>
        <item m="1" x="345"/>
        <item m="1" x="301"/>
        <item m="1" x="302"/>
        <item m="1" x="400"/>
        <item m="1" x="147"/>
        <item m="1" x="398"/>
        <item m="1" x="191"/>
        <item m="1" x="192"/>
        <item m="1" x="193"/>
        <item m="1" x="77"/>
        <item m="1" x="98"/>
        <item m="1" x="292"/>
        <item m="1" x="185"/>
        <item m="1" x="308"/>
        <item m="1" x="186"/>
        <item m="1" x="187"/>
        <item m="1" x="188"/>
        <item m="1" x="138"/>
        <item m="1" x="368"/>
        <item m="1" x="58"/>
        <item m="1" x="300"/>
        <item m="1" x="90"/>
        <item m="1" x="189"/>
        <item m="1" x="280"/>
        <item m="1" x="457"/>
        <item m="1" x="458"/>
        <item m="1" x="384"/>
        <item m="1" x="385"/>
        <item m="1" x="285"/>
        <item m="1" x="153"/>
        <item m="1" x="251"/>
        <item m="1" x="177"/>
        <item m="1" x="232"/>
        <item m="1" x="346"/>
        <item m="1" x="163"/>
        <item m="1" x="149"/>
        <item m="1" x="311"/>
        <item m="1" x="78"/>
        <item m="1" x="134"/>
        <item m="1" x="394"/>
        <item m="1" x="164"/>
        <item m="1" x="145"/>
        <item m="1" x="129"/>
        <item m="1" x="237"/>
        <item m="1" x="363"/>
        <item m="1" x="142"/>
        <item m="1" x="382"/>
        <item m="1" x="436"/>
        <item m="1" x="151"/>
        <item m="1" x="441"/>
        <item m="1" x="178"/>
        <item m="1" x="453"/>
        <item m="1" x="413"/>
        <item m="1" x="57"/>
        <item m="1" x="117"/>
        <item m="1" x="348"/>
        <item m="1" x="137"/>
        <item m="1" x="67"/>
        <item m="1" x="328"/>
        <item m="1" x="72"/>
        <item m="1" x="378"/>
        <item m="1" x="341"/>
        <item m="1" x="475"/>
        <item m="1" x="399"/>
        <item m="1" x="268"/>
        <item m="1" x="218"/>
        <item m="1" x="109"/>
        <item m="1" x="241"/>
        <item m="1" x="454"/>
        <item m="1" x="312"/>
        <item m="1" x="409"/>
        <item m="1" x="154"/>
        <item m="1" x="410"/>
        <item m="1" x="155"/>
        <item m="1" x="156"/>
        <item m="1" x="281"/>
        <item m="1" x="381"/>
        <item m="1" x="313"/>
        <item m="1" x="314"/>
        <item m="1" x="470"/>
        <item m="1" x="471"/>
        <item m="1" x="365"/>
        <item m="1" x="282"/>
        <item m="1" x="211"/>
        <item m="1" x="212"/>
        <item m="1" x="369"/>
        <item m="1" x="235"/>
        <item m="1" x="259"/>
        <item m="1" x="110"/>
        <item m="1" x="111"/>
        <item m="1" x="112"/>
        <item m="1" x="472"/>
        <item m="1" x="406"/>
        <item m="1" x="214"/>
        <item m="1" x="113"/>
        <item m="1" x="358"/>
        <item m="1" x="114"/>
        <item m="1" x="115"/>
        <item m="1" x="116"/>
        <item m="1" x="376"/>
        <item m="1" x="283"/>
        <item m="1" x="80"/>
        <item m="1" x="176"/>
        <item m="1" x="160"/>
        <item m="1" x="473"/>
        <item m="1" x="315"/>
        <item m="1" x="484"/>
        <item m="1" x="485"/>
        <item m="1" x="411"/>
        <item m="1" x="412"/>
        <item m="1" x="270"/>
        <item m="1" x="238"/>
        <item m="1" x="96"/>
        <item m="1" x="202"/>
        <item m="1" x="425"/>
        <item m="1" x="316"/>
        <item m="1" x="310"/>
        <item m="1" x="276"/>
        <item m="1" x="184"/>
        <item m="1" x="82"/>
        <item m="1" x="190"/>
        <item m="1" x="402"/>
        <item m="1" x="486"/>
        <item m="1" x="246"/>
        <item m="1" x="165"/>
        <item m="1" x="343"/>
        <item m="1" x="170"/>
        <item m="1" x="269"/>
        <item m="1" x="139"/>
        <item m="1" x="252"/>
        <item m="1" x="267"/>
        <item m="1" x="405"/>
        <item m="1" x="249"/>
        <item m="1" x="449"/>
        <item m="1" x="85"/>
        <item m="1" x="148"/>
        <item m="1" x="140"/>
        <item m="1" x="331"/>
        <item m="1" x="362"/>
        <item m="1" x="461"/>
        <item m="1" x="91"/>
        <item m="1" x="133"/>
        <item m="1" x="297"/>
        <item m="1" x="371"/>
        <item m="1" x="336"/>
        <item m="1" x="256"/>
        <item m="1" x="291"/>
        <item m="1" x="106"/>
        <item m="1" x="487"/>
        <item m="1" x="107"/>
        <item m="1" x="277"/>
        <item m="1" x="152"/>
        <item m="1" x="150"/>
        <item m="1" x="217"/>
        <item m="1" x="329"/>
        <item m="1" x="445"/>
        <item m="1" x="433"/>
        <item m="1" x="144"/>
        <item m="1" x="126"/>
        <item m="1" x="359"/>
        <item m="1" x="201"/>
        <item m="1" x="332"/>
        <item m="1" x="194"/>
        <item m="1" x="455"/>
        <item m="1" x="166"/>
        <item m="1" x="356"/>
        <item m="1" x="175"/>
        <item m="1" x="159"/>
        <item m="1" x="479"/>
        <item m="1" x="254"/>
        <item m="1" x="209"/>
        <item m="1" x="437"/>
        <item m="1" x="327"/>
        <item m="1" x="220"/>
        <item m="1" x="224"/>
        <item m="1" x="120"/>
        <item m="1" x="225"/>
        <item m="1" x="121"/>
        <item m="1" x="122"/>
        <item m="1" x="387"/>
        <item m="1" x="236"/>
        <item m="1" x="221"/>
        <item m="1" x="222"/>
        <item m="1" x="263"/>
        <item m="1" x="264"/>
        <item m="1" x="478"/>
        <item m="1" x="388"/>
        <item m="1" x="373"/>
        <item m="1" x="374"/>
        <item m="1" x="215"/>
        <item m="1" x="79"/>
        <item m="1" x="213"/>
        <item m="1" x="99"/>
        <item m="1" x="100"/>
        <item m="1" x="101"/>
        <item m="1" x="265"/>
        <item m="1" x="377"/>
        <item m="1" x="488"/>
        <item m="1" x="105"/>
        <item m="1" x="366"/>
        <item m="1" x="459"/>
        <item m="1" x="102"/>
        <item m="1" x="103"/>
        <item m="1" x="104"/>
        <item m="1" x="427"/>
        <item m="1" x="389"/>
        <item m="1" x="290"/>
        <item m="1" x="372"/>
        <item m="1" x="424"/>
        <item m="1" x="266"/>
        <item m="1" x="223"/>
        <item m="1" x="73"/>
        <item m="1" x="74"/>
        <item m="1" x="226"/>
        <item m="1" x="227"/>
        <item x="1"/>
        <item x="2"/>
        <item x="3"/>
        <item x="4"/>
        <item x="5"/>
        <item x="6"/>
        <item x="7"/>
        <item x="8"/>
        <item x="9"/>
        <item x="10"/>
        <item x="11"/>
        <item x="12"/>
        <item x="13"/>
        <item x="14"/>
        <item x="15"/>
        <item x="16"/>
        <item x="17"/>
        <item x="18"/>
        <item x="19"/>
        <item m="1" x="287"/>
        <item m="1" x="333"/>
        <item m="1" x="334"/>
        <item m="1" x="229"/>
        <item m="1" x="230"/>
        <item x="20"/>
        <item x="21"/>
        <item m="1" x="440"/>
        <item m="1" x="298"/>
        <item m="1" x="339"/>
        <item x="22"/>
        <item m="1" x="340"/>
        <item x="23"/>
        <item x="25"/>
        <item x="26"/>
        <item m="1" x="233"/>
        <item x="28"/>
        <item m="1" x="404"/>
        <item m="1" x="242"/>
        <item m="1" x="157"/>
        <item m="1" x="448"/>
        <item m="1" x="350"/>
        <item m="1" x="351"/>
        <item m="1" x="352"/>
        <item m="1" x="231"/>
        <item m="1" x="490"/>
        <item m="1" x="271"/>
        <item x="30"/>
        <item x="31"/>
        <item x="32"/>
        <item x="33"/>
        <item x="34"/>
        <item m="1" x="456"/>
        <item m="1" x="407"/>
        <item m="1" x="353"/>
        <item m="1" x="354"/>
        <item m="1" x="355"/>
        <item m="1" x="234"/>
        <item m="1" x="299"/>
        <item m="1" x="141"/>
        <item m="1" x="162"/>
        <item m="1" x="317"/>
        <item x="38"/>
        <item m="1" x="335"/>
        <item m="1" x="272"/>
        <item m="1" x="273"/>
        <item m="1" x="124"/>
        <item m="1" x="125"/>
        <item m="1" x="439"/>
        <item m="1" x="330"/>
        <item m="1" x="279"/>
        <item x="44"/>
        <item x="45"/>
        <item x="46"/>
        <item x="47"/>
        <item x="48"/>
        <item x="49"/>
        <item x="50"/>
        <item x="51"/>
        <item x="52"/>
        <item x="53"/>
        <item x="54"/>
        <item x="55"/>
        <item x="24"/>
        <item x="27"/>
        <item x="29"/>
        <item x="35"/>
        <item x="37"/>
        <item x="36"/>
        <item x="39"/>
        <item x="40"/>
        <item x="41"/>
        <item x="42"/>
        <item x="43"/>
        <item t="default"/>
      </items>
    </pivotField>
    <pivotField axis="axisRow" showAll="0">
      <items count="538">
        <item m="1" x="335"/>
        <item m="1" x="85"/>
        <item m="1" x="526"/>
        <item m="1" x="443"/>
        <item m="1" x="382"/>
        <item m="1" x="471"/>
        <item m="1" x="383"/>
        <item m="1" x="472"/>
        <item m="1" x="473"/>
        <item m="1" x="227"/>
        <item m="1" x="114"/>
        <item m="1" x="444"/>
        <item m="1" x="445"/>
        <item m="1" x="68"/>
        <item m="1" x="69"/>
        <item m="1" x="480"/>
        <item m="1" x="228"/>
        <item m="1" x="515"/>
        <item m="1" x="516"/>
        <item m="1" x="466"/>
        <item m="1" x="519"/>
        <item m="1" x="338"/>
        <item m="1" x="91"/>
        <item m="1" x="119"/>
        <item m="1" x="120"/>
        <item m="1" x="121"/>
        <item m="1" x="70"/>
        <item m="1" x="367"/>
        <item m="1" x="487"/>
        <item m="1" x="342"/>
        <item m="1" x="171"/>
        <item m="1" x="84"/>
        <item m="1" x="122"/>
        <item m="1" x="389"/>
        <item m="1" x="123"/>
        <item m="1" x="124"/>
        <item m="1" x="125"/>
        <item m="1" x="178"/>
        <item m="1" x="229"/>
        <item m="1" x="405"/>
        <item m="1" x="76"/>
        <item m="1" x="350"/>
        <item m="1" x="71"/>
        <item m="1" x="446"/>
        <item m="1" x="502"/>
        <item m="1" x="503"/>
        <item m="1" x="384"/>
        <item m="1" x="385"/>
        <item m="1" x="242"/>
        <item m="1" x="530"/>
        <item m="1" x="410"/>
        <item m="1" x="127"/>
        <item m="1" x="361"/>
        <item m="1" x="393"/>
        <item m="1" x="205"/>
        <item m="1" x="313"/>
        <item m="1" x="182"/>
        <item m="1" x="387"/>
        <item m="1" x="470"/>
        <item m="1" x="78"/>
        <item m="1" x="255"/>
        <item m="1" x="131"/>
        <item m="1" x="329"/>
        <item m="1" x="386"/>
        <item m="1" x="476"/>
        <item m="1" x="155"/>
        <item m="1" x="351"/>
        <item m="1" x="494"/>
        <item m="1" x="274"/>
        <item m="1" x="505"/>
        <item m="1" x="303"/>
        <item m="1" x="272"/>
        <item m="1" x="520"/>
        <item m="1" x="490"/>
        <item m="1" x="353"/>
        <item m="1" x="507"/>
        <item m="1" x="112"/>
        <item m="1" x="344"/>
        <item m="1" x="259"/>
        <item m="1" x="336"/>
        <item m="1" x="126"/>
        <item m="1" x="60"/>
        <item m="1" x="455"/>
        <item m="1" x="360"/>
        <item m="1" x="108"/>
        <item m="1" x="59"/>
        <item m="1" x="63"/>
        <item m="1" x="118"/>
        <item x="4"/>
        <item m="1" x="415"/>
        <item m="1" x="148"/>
        <item m="1" x="211"/>
        <item m="1" x="183"/>
        <item m="1" x="187"/>
        <item m="1" x="407"/>
        <item m="1" x="188"/>
        <item m="1" x="408"/>
        <item m="1" x="409"/>
        <item m="1" x="72"/>
        <item m="1" x="534"/>
        <item m="1" x="184"/>
        <item m="1" x="185"/>
        <item m="1" x="439"/>
        <item m="1" x="440"/>
        <item m="1" x="465"/>
        <item m="1" x="73"/>
        <item m="1" x="209"/>
        <item m="1" x="210"/>
        <item m="1" x="478"/>
        <item m="1" x="291"/>
        <item m="1" x="477"/>
        <item m="1" x="244"/>
        <item m="1" x="245"/>
        <item m="1" x="246"/>
        <item m="1" x="441"/>
        <item m="1" x="160"/>
        <item m="1" x="251"/>
        <item m="1" x="247"/>
        <item m="1" x="62"/>
        <item m="1" x="248"/>
        <item m="1" x="249"/>
        <item m="1" x="250"/>
        <item m="1" x="461"/>
        <item m="1" x="74"/>
        <item m="1" x="414"/>
        <item m="1" x="296"/>
        <item m="1" x="110"/>
        <item m="1" x="442"/>
        <item m="1" x="186"/>
        <item m="1" x="510"/>
        <item m="1" x="511"/>
        <item m="1" x="189"/>
        <item m="1" x="190"/>
        <item m="1" x="161"/>
        <item m="1" x="128"/>
        <item m="1" x="264"/>
        <item m="1" x="332"/>
        <item m="1" x="181"/>
        <item m="1" x="500"/>
        <item m="1" x="355"/>
        <item m="1" x="164"/>
        <item m="1" x="90"/>
        <item m="1" x="373"/>
        <item m="1" x="328"/>
        <item m="1" x="401"/>
        <item m="1" x="456"/>
        <item m="1" x="226"/>
        <item m="1" x="356"/>
        <item m="1" x="457"/>
        <item m="1" x="94"/>
        <item m="1" x="364"/>
        <item m="1" x="100"/>
        <item m="1" x="398"/>
        <item m="1" x="260"/>
        <item m="1" x="512"/>
        <item m="1" x="524"/>
        <item m="1" x="406"/>
        <item m="1" x="75"/>
        <item m="1" x="98"/>
        <item m="1" x="271"/>
        <item m="1" x="220"/>
        <item m="1" x="96"/>
        <item m="1" x="400"/>
        <item m="1" x="192"/>
        <item m="1" x="372"/>
        <item m="1" x="357"/>
        <item m="1" x="179"/>
        <item m="1" x="257"/>
        <item m="1" x="337"/>
        <item m="1" x="319"/>
        <item m="1" x="421"/>
        <item m="1" x="202"/>
        <item m="1" x="533"/>
        <item m="1" x="223"/>
        <item m="1" x="331"/>
        <item m="1" x="425"/>
        <item m="1" x="435"/>
        <item m="1" x="417"/>
        <item m="1" x="436"/>
        <item m="1" x="418"/>
        <item m="1" x="419"/>
        <item m="1" x="293"/>
        <item m="1" x="531"/>
        <item m="1" x="426"/>
        <item m="1" x="427"/>
        <item m="1" x="151"/>
        <item m="1" x="152"/>
        <item m="1" x="163"/>
        <item m="1" x="294"/>
        <item m="1" x="157"/>
        <item m="1" x="158"/>
        <item m="1" x="392"/>
        <item m="1" x="312"/>
        <item m="1" x="379"/>
        <item m="1" x="374"/>
        <item m="1" x="375"/>
        <item m="1" x="376"/>
        <item m="1" x="153"/>
        <item m="1" x="204"/>
        <item m="1" x="253"/>
        <item m="1" x="101"/>
        <item m="1" x="388"/>
        <item m="1" x="102"/>
        <item m="1" x="103"/>
        <item m="1" x="104"/>
        <item m="1" x="420"/>
        <item m="1" x="325"/>
        <item m="1" x="77"/>
        <item m="1" x="193"/>
        <item m="1" x="176"/>
        <item m="1" x="518"/>
        <item m="1" x="345"/>
        <item m="1" x="527"/>
        <item m="1" x="528"/>
        <item m="1" x="462"/>
        <item m="1" x="463"/>
        <item m="1" x="117"/>
        <item m="1" x="320"/>
        <item m="1" x="525"/>
        <item m="1" x="432"/>
        <item m="1" x="475"/>
        <item m="1" x="262"/>
        <item m="1" x="334"/>
        <item m="1" x="315"/>
        <item m="1" x="365"/>
        <item m="1" x="165"/>
        <item m="1" x="269"/>
        <item m="1" x="422"/>
        <item m="1" x="340"/>
        <item m="1" x="333"/>
        <item m="1" x="277"/>
        <item m="1" x="499"/>
        <item m="1" x="326"/>
        <item m="1" x="324"/>
        <item m="1" x="362"/>
        <item m="1" x="252"/>
        <item m="1" x="469"/>
        <item m="1" x="316"/>
        <item m="1" x="491"/>
        <item m="1" x="363"/>
        <item m="1" x="488"/>
        <item m="1" x="254"/>
        <item m="1" x="430"/>
        <item m="1" x="162"/>
        <item m="1" x="221"/>
        <item m="1" x="297"/>
        <item m="1" x="270"/>
        <item m="1" x="130"/>
        <item m="1" x="213"/>
        <item m="1" x="159"/>
        <item m="1" x="346"/>
        <item m="1" x="287"/>
        <item m="1" x="83"/>
        <item m="1" x="397"/>
        <item m="1" x="93"/>
        <item m="1" x="256"/>
        <item m="1" x="509"/>
        <item m="1" x="523"/>
        <item m="1" x="280"/>
        <item m="1" x="495"/>
        <item m="1" x="394"/>
        <item m="1" x="496"/>
        <item m="1" x="395"/>
        <item m="1" x="396"/>
        <item m="1" x="230"/>
        <item m="1" x="458"/>
        <item m="1" x="281"/>
        <item m="1" x="282"/>
        <item m="1" x="167"/>
        <item m="1" x="168"/>
        <item m="1" x="399"/>
        <item m="1" x="231"/>
        <item m="1" x="513"/>
        <item m="1" x="514"/>
        <item m="1" x="404"/>
        <item m="1" x="61"/>
        <item m="1" x="173"/>
        <item m="1" x="305"/>
        <item m="1" x="306"/>
        <item m="1" x="307"/>
        <item m="1" x="169"/>
        <item m="1" x="492"/>
        <item m="1" x="517"/>
        <item m="1" x="308"/>
        <item m="1" x="288"/>
        <item m="1" x="309"/>
        <item m="1" x="310"/>
        <item m="1" x="311"/>
        <item m="1" x="429"/>
        <item m="1" x="232"/>
        <item m="1" x="150"/>
        <item m="1" x="358"/>
        <item m="1" x="504"/>
        <item m="1" x="170"/>
        <item m="1" x="283"/>
        <item m="1" x="197"/>
        <item m="1" x="198"/>
        <item m="1" x="497"/>
        <item m="1" x="498"/>
        <item m="1" x="299"/>
        <item m="1" x="113"/>
        <item m="1" x="327"/>
        <item m="1" x="416"/>
        <item m="1" x="177"/>
        <item m="1" x="489"/>
        <item m="1" x="343"/>
        <item m="1" x="115"/>
        <item m="1" x="377"/>
        <item m="1" x="206"/>
        <item m="1" x="428"/>
        <item m="1" x="402"/>
        <item m="1" x="143"/>
        <item m="1" x="532"/>
        <item m="1" x="341"/>
        <item m="1" x="452"/>
        <item m="1" x="354"/>
        <item m="1" x="95"/>
        <item m="1" x="279"/>
        <item m="1" x="222"/>
        <item m="1" x="58"/>
        <item m="1" x="89"/>
        <item m="1" x="142"/>
        <item m="1" x="535"/>
        <item m="1" x="284"/>
        <item m="1" x="508"/>
        <item m="1" x="203"/>
        <item m="1" x="314"/>
        <item m="1" x="506"/>
        <item m="1" x="240"/>
        <item m="1" x="322"/>
        <item m="1" x="243"/>
        <item m="1" x="233"/>
        <item m="1" x="302"/>
        <item m="1" x="194"/>
        <item m="1" x="339"/>
        <item m="1" x="501"/>
        <item m="1" x="106"/>
        <item m="1" x="180"/>
        <item m="1" x="275"/>
        <item m="1" x="105"/>
        <item m="1" x="467"/>
        <item m="1" x="276"/>
        <item m="1" x="116"/>
        <item m="1" x="468"/>
        <item m="1" x="317"/>
        <item m="1" x="318"/>
        <item m="1" x="214"/>
        <item m="1" x="352"/>
        <item m="1" x="295"/>
        <item m="1" x="129"/>
        <item m="1" x="479"/>
        <item m="1" x="267"/>
        <item m="1" x="380"/>
        <item m="1" x="149"/>
        <item m="1" x="493"/>
        <item m="1" x="381"/>
        <item m="1" x="174"/>
        <item m="1" x="57"/>
        <item m="1" x="359"/>
        <item m="1" x="536"/>
        <item m="1" x="216"/>
        <item m="1" x="79"/>
        <item m="1" x="138"/>
        <item m="1" x="80"/>
        <item m="1" x="139"/>
        <item m="1" x="140"/>
        <item m="1" x="486"/>
        <item m="1" x="447"/>
        <item m="1" x="437"/>
        <item m="1" x="217"/>
        <item m="1" x="218"/>
        <item m="1" x="144"/>
        <item m="1" x="145"/>
        <item m="1" x="290"/>
        <item m="1" x="448"/>
        <item m="1" x="224"/>
        <item m="1" x="196"/>
        <item m="1" x="225"/>
        <item m="1" x="289"/>
        <item m="1" x="141"/>
        <item m="1" x="323"/>
        <item m="1" x="411"/>
        <item m="1" x="278"/>
        <item m="1" x="195"/>
        <item m="1" x="166"/>
        <item m="1" x="107"/>
        <item m="1" x="292"/>
        <item m="1" x="234"/>
        <item m="1" x="235"/>
        <item m="1" x="236"/>
        <item m="1" x="146"/>
        <item m="1" x="301"/>
        <item m="1" x="321"/>
        <item m="1" x="207"/>
        <item m="1" x="412"/>
        <item m="1" x="366"/>
        <item m="1" x="92"/>
        <item m="1" x="298"/>
        <item m="1" x="263"/>
        <item m="1" x="237"/>
        <item m="1" x="238"/>
        <item m="1" x="239"/>
        <item m="1" x="154"/>
        <item m="1" x="449"/>
        <item m="1" x="97"/>
        <item m="1" x="273"/>
        <item m="1" x="454"/>
        <item m="1" x="147"/>
        <item m="1" x="219"/>
        <item m="1" x="433"/>
        <item m="1" x="434"/>
        <item m="1" x="81"/>
        <item m="1" x="82"/>
        <item m="1" x="111"/>
        <item m="1" x="172"/>
        <item m="1" x="474"/>
        <item m="1" x="175"/>
        <item m="1" x="99"/>
        <item m="1" x="378"/>
        <item m="1" x="109"/>
        <item m="1" x="529"/>
        <item m="1" x="460"/>
        <item m="1" x="86"/>
        <item m="1" x="403"/>
        <item m="1" x="191"/>
        <item m="1" x="156"/>
        <item m="1" x="304"/>
        <item m="1" x="450"/>
        <item m="1" x="438"/>
        <item m="1" x="258"/>
        <item m="1" x="390"/>
        <item m="1" x="368"/>
        <item m="1" x="482"/>
        <item m="1" x="199"/>
        <item m="1" x="483"/>
        <item m="1" x="200"/>
        <item m="1" x="201"/>
        <item m="1" x="347"/>
        <item m="1" x="464"/>
        <item m="1" x="369"/>
        <item m="1" x="370"/>
        <item m="1" x="64"/>
        <item m="1" x="65"/>
        <item m="1" x="451"/>
        <item m="1" x="348"/>
        <item m="1" x="265"/>
        <item m="1" x="266"/>
        <item m="1" x="453"/>
        <item m="1" x="300"/>
        <item m="1" x="330"/>
        <item m="1" x="132"/>
        <item m="1" x="133"/>
        <item m="1" x="134"/>
        <item m="1" x="66"/>
        <item m="1" x="481"/>
        <item m="1" x="268"/>
        <item m="1" x="215"/>
        <item m="1" x="431"/>
        <item m="1" x="135"/>
        <item m="1" x="136"/>
        <item m="1" x="137"/>
        <item m="1" x="459"/>
        <item m="1" x="349"/>
        <item m="1" x="423"/>
        <item m="1" x="241"/>
        <item m="1" x="208"/>
        <item m="1" x="67"/>
        <item m="1" x="371"/>
        <item m="1" x="87"/>
        <item m="1" x="88"/>
        <item m="1" x="484"/>
        <item m="1" x="485"/>
        <item x="0"/>
        <item x="1"/>
        <item x="2"/>
        <item x="3"/>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m="1" x="391"/>
        <item x="38"/>
        <item x="39"/>
        <item m="1" x="424"/>
        <item m="1" x="285"/>
        <item m="1" x="286"/>
        <item m="1" x="521"/>
        <item m="1" x="522"/>
        <item m="1" x="212"/>
        <item m="1" x="261"/>
        <item m="1" x="413"/>
        <item x="45"/>
        <item x="46"/>
        <item x="47"/>
        <item x="48"/>
        <item x="49"/>
        <item x="50"/>
        <item x="51"/>
        <item x="52"/>
        <item x="53"/>
        <item x="54"/>
        <item x="55"/>
        <item x="56"/>
        <item x="37"/>
        <item x="40"/>
        <item x="41"/>
        <item x="42"/>
        <item x="43"/>
        <item x="44"/>
        <item t="default"/>
      </items>
    </pivotField>
    <pivotField axis="axisRow" showAll="0">
      <items count="110">
        <item m="1" x="32"/>
        <item x="1"/>
        <item m="1" x="68"/>
        <item m="1" x="45"/>
        <item m="1" x="16"/>
        <item m="1" x="108"/>
        <item m="1" x="103"/>
        <item m="1" x="56"/>
        <item m="1" x="29"/>
        <item m="1" x="26"/>
        <item m="1" x="66"/>
        <item m="1" x="37"/>
        <item m="1" x="51"/>
        <item m="1" x="100"/>
        <item m="1" x="33"/>
        <item m="1" x="73"/>
        <item m="1" x="42"/>
        <item m="1" x="82"/>
        <item m="1" x="20"/>
        <item m="1" x="81"/>
        <item m="1" x="80"/>
        <item m="1" x="106"/>
        <item m="1" x="91"/>
        <item m="1" x="86"/>
        <item m="1" x="64"/>
        <item m="1" x="76"/>
        <item m="1" x="78"/>
        <item m="1" x="96"/>
        <item m="1" x="95"/>
        <item m="1" x="74"/>
        <item m="1" x="84"/>
        <item m="1" x="67"/>
        <item m="1" x="79"/>
        <item m="1" x="46"/>
        <item m="1" x="43"/>
        <item m="1" x="94"/>
        <item m="1" x="54"/>
        <item m="1" x="27"/>
        <item m="1" x="24"/>
        <item m="1" x="63"/>
        <item m="1" x="70"/>
        <item m="1" x="52"/>
        <item m="1" x="102"/>
        <item m="1" x="23"/>
        <item m="1" x="34"/>
        <item m="1" x="19"/>
        <item m="1" x="39"/>
        <item m="1" x="83"/>
        <item m="1" x="18"/>
        <item m="1" x="22"/>
        <item m="1" x="59"/>
        <item m="1" x="77"/>
        <item m="1" x="62"/>
        <item m="1" x="60"/>
        <item m="1" x="40"/>
        <item m="1" x="93"/>
        <item m="1" x="50"/>
        <item m="1" x="99"/>
        <item m="1" x="97"/>
        <item m="1" x="47"/>
        <item m="1" x="55"/>
        <item m="1" x="30"/>
        <item m="1" x="17"/>
        <item m="1" x="38"/>
        <item m="1" x="14"/>
        <item m="1" x="57"/>
        <item m="1" x="49"/>
        <item m="1" x="48"/>
        <item m="1" x="85"/>
        <item m="1" x="53"/>
        <item m="1" x="104"/>
        <item m="1" x="31"/>
        <item m="1" x="28"/>
        <item m="1" x="25"/>
        <item m="1" x="58"/>
        <item m="1" x="75"/>
        <item m="1" x="69"/>
        <item m="1" x="65"/>
        <item m="1" x="15"/>
        <item m="1" x="89"/>
        <item m="1" x="105"/>
        <item m="1" x="71"/>
        <item m="1" x="90"/>
        <item m="1" x="35"/>
        <item m="1" x="101"/>
        <item m="1" x="107"/>
        <item m="1" x="92"/>
        <item m="1" x="72"/>
        <item m="1" x="21"/>
        <item m="1" x="41"/>
        <item m="1" x="44"/>
        <item m="1" x="88"/>
        <item m="1" x="61"/>
        <item m="1" x="87"/>
        <item m="1" x="98"/>
        <item m="1" x="36"/>
        <item x="0"/>
        <item x="2"/>
        <item x="3"/>
        <item x="4"/>
        <item x="5"/>
        <item x="6"/>
        <item x="7"/>
        <item x="8"/>
        <item x="9"/>
        <item x="10"/>
        <item x="11"/>
        <item x="12"/>
        <item x="13"/>
        <item t="default"/>
      </items>
    </pivotField>
    <pivotField axis="axisRow" showAll="0">
      <items count="15">
        <item m="1" x="13"/>
        <item x="1"/>
        <item m="1" x="7"/>
        <item x="0"/>
        <item x="2"/>
        <item x="3"/>
        <item x="4"/>
        <item x="5"/>
        <item m="1" x="9"/>
        <item m="1" x="10"/>
        <item m="1" x="12"/>
        <item m="1" x="11"/>
        <item m="1" x="8"/>
        <item x="6"/>
        <item t="default"/>
      </items>
    </pivotField>
    <pivotField axis="axisRow" showAll="0">
      <items count="435">
        <item m="1" x="70"/>
        <item m="1" x="381"/>
        <item m="1" x="379"/>
        <item m="1" x="320"/>
        <item m="1" x="249"/>
        <item m="1" x="426"/>
        <item m="1" x="142"/>
        <item m="1" x="94"/>
        <item m="1" x="391"/>
        <item m="1" x="409"/>
        <item m="1" x="291"/>
        <item m="1" x="102"/>
        <item m="1" x="125"/>
        <item m="1" x="428"/>
        <item m="1" x="240"/>
        <item m="1" x="330"/>
        <item m="1" x="280"/>
        <item m="1" x="146"/>
        <item m="1" x="262"/>
        <item m="1" x="318"/>
        <item m="1" x="314"/>
        <item m="1" x="419"/>
        <item m="1" x="334"/>
        <item m="1" x="225"/>
        <item m="1" x="338"/>
        <item m="1" x="377"/>
        <item m="1" x="420"/>
        <item m="1" x="160"/>
        <item m="1" x="400"/>
        <item m="1" x="161"/>
        <item m="1" x="346"/>
        <item m="1" x="222"/>
        <item m="1" x="245"/>
        <item m="1" x="370"/>
        <item m="1" x="250"/>
        <item m="1" x="100"/>
        <item m="1" x="188"/>
        <item m="1" x="339"/>
        <item m="1" x="251"/>
        <item m="1" x="289"/>
        <item m="1" x="124"/>
        <item m="1" x="104"/>
        <item m="1" x="272"/>
        <item m="1" x="155"/>
        <item m="1" x="85"/>
        <item m="1" x="174"/>
        <item m="1" x="228"/>
        <item m="1" x="324"/>
        <item m="1" x="229"/>
        <item m="1" x="423"/>
        <item m="1" x="388"/>
        <item m="1" x="132"/>
        <item m="1" x="259"/>
        <item m="1" x="226"/>
        <item m="1" x="224"/>
        <item m="1" x="347"/>
        <item m="1" x="385"/>
        <item m="1" x="77"/>
        <item m="1" x="402"/>
        <item m="1" x="348"/>
        <item m="1" x="105"/>
        <item m="1" x="149"/>
        <item m="1" x="231"/>
        <item m="1" x="425"/>
        <item m="1" x="299"/>
        <item m="1" x="79"/>
        <item x="0"/>
        <item m="1" x="403"/>
        <item m="1" x="130"/>
        <item m="1" x="148"/>
        <item m="1" x="182"/>
        <item m="1" x="234"/>
        <item m="1" x="236"/>
        <item m="1" x="76"/>
        <item m="1" x="304"/>
        <item m="1" x="119"/>
        <item m="1" x="181"/>
        <item m="1" x="185"/>
        <item m="1" x="317"/>
        <item m="1" x="349"/>
        <item m="1" x="192"/>
        <item m="1" x="186"/>
        <item m="1" x="150"/>
        <item m="1" x="207"/>
        <item m="1" x="392"/>
        <item m="1" x="313"/>
        <item m="1" x="293"/>
        <item m="1" x="81"/>
        <item m="1" x="193"/>
        <item m="1" x="196"/>
        <item m="1" x="355"/>
        <item m="1" x="183"/>
        <item m="1" x="319"/>
        <item m="1" x="84"/>
        <item m="1" x="278"/>
        <item m="1" x="235"/>
        <item m="1" x="147"/>
        <item m="1" x="246"/>
        <item m="1" x="166"/>
        <item m="1" x="359"/>
        <item m="1" x="335"/>
        <item m="1" x="191"/>
        <item m="1" x="129"/>
        <item m="1" x="164"/>
        <item m="1" x="308"/>
        <item m="1" x="167"/>
        <item m="1" x="115"/>
        <item m="1" x="430"/>
        <item m="1" x="187"/>
        <item m="1" x="394"/>
        <item m="1" x="180"/>
        <item m="1" x="311"/>
        <item m="1" x="189"/>
        <item m="1" x="190"/>
        <item m="1" x="395"/>
        <item m="1" x="353"/>
        <item m="1" x="386"/>
        <item m="1" x="354"/>
        <item m="1" x="312"/>
        <item m="1" x="158"/>
        <item m="1" x="283"/>
        <item m="1" x="165"/>
        <item m="1" x="387"/>
        <item m="1" x="307"/>
        <item m="1" x="396"/>
        <item m="1" x="230"/>
        <item m="1" x="199"/>
        <item m="1" x="284"/>
        <item m="1" x="433"/>
        <item m="1" x="126"/>
        <item m="1" x="195"/>
        <item m="1" x="414"/>
        <item m="1" x="244"/>
        <item m="1" x="238"/>
        <item m="1" x="309"/>
        <item m="1" x="356"/>
        <item m="1" x="209"/>
        <item m="1" x="173"/>
        <item m="1" x="305"/>
        <item m="1" x="122"/>
        <item m="1" x="175"/>
        <item m="1" x="223"/>
        <item m="1" x="340"/>
        <item m="1" x="239"/>
        <item m="1" x="176"/>
        <item m="1" x="254"/>
        <item m="1" x="344"/>
        <item m="1" x="408"/>
        <item m="1" x="194"/>
        <item m="1" x="177"/>
        <item m="1" x="171"/>
        <item m="1" x="337"/>
        <item m="1" x="133"/>
        <item m="1" x="372"/>
        <item m="1" x="121"/>
        <item m="1" x="237"/>
        <item m="1" x="294"/>
        <item m="1" x="136"/>
        <item m="1" x="371"/>
        <item m="1" x="365"/>
        <item m="1" x="131"/>
        <item m="1" x="375"/>
        <item m="1" x="112"/>
        <item m="1" x="374"/>
        <item m="1" x="153"/>
        <item m="1" x="364"/>
        <item m="1" x="367"/>
        <item m="1" x="366"/>
        <item m="1" x="376"/>
        <item m="1" x="360"/>
        <item m="1" x="221"/>
        <item m="1" x="134"/>
        <item m="1" x="326"/>
        <item m="1" x="110"/>
        <item m="1" x="203"/>
        <item m="1" x="310"/>
        <item m="1" x="152"/>
        <item m="1" x="327"/>
        <item m="1" x="219"/>
        <item m="1" x="206"/>
        <item m="1" x="220"/>
        <item m="1" x="163"/>
        <item m="1" x="96"/>
        <item m="1" x="88"/>
        <item m="1" x="93"/>
        <item m="1" x="95"/>
        <item m="1" x="232"/>
        <item m="1" x="168"/>
        <item m="1" x="116"/>
        <item m="1" x="184"/>
        <item m="1" x="89"/>
        <item m="1" x="92"/>
        <item m="1" x="432"/>
        <item m="1" x="415"/>
        <item m="1" x="179"/>
        <item m="1" x="271"/>
        <item m="1" x="233"/>
        <item m="1" x="257"/>
        <item m="1" x="303"/>
        <item m="1" x="109"/>
        <item m="1" x="424"/>
        <item m="1" x="361"/>
        <item m="1" x="78"/>
        <item m="1" x="113"/>
        <item m="1" x="401"/>
        <item m="1" x="315"/>
        <item m="1" x="172"/>
        <item m="1" x="114"/>
        <item m="1" x="281"/>
        <item m="1" x="328"/>
        <item m="1" x="412"/>
        <item m="1" x="378"/>
        <item m="1" x="137"/>
        <item m="1" x="405"/>
        <item m="1" x="333"/>
        <item m="1" x="406"/>
        <item m="1" x="87"/>
        <item m="1" x="243"/>
        <item m="1" x="411"/>
        <item m="1" x="111"/>
        <item m="1" x="295"/>
        <item m="1" x="277"/>
        <item m="1" x="268"/>
        <item m="1" x="286"/>
        <item m="1" x="287"/>
        <item m="1" x="241"/>
        <item m="1" x="322"/>
        <item m="1" x="298"/>
        <item m="1" x="261"/>
        <item m="1" x="275"/>
        <item m="1" x="270"/>
        <item m="1" x="288"/>
        <item m="1" x="255"/>
        <item m="1" x="397"/>
        <item m="1" x="266"/>
        <item m="1" x="156"/>
        <item m="1" x="218"/>
        <item m="1" x="369"/>
        <item m="1" x="135"/>
        <item m="1" x="297"/>
        <item m="1" x="157"/>
        <item m="1" x="398"/>
        <item m="1" x="373"/>
        <item m="1" x="399"/>
        <item m="1" x="421"/>
        <item m="1" x="279"/>
        <item m="1" x="82"/>
        <item m="1" x="162"/>
        <item m="1" x="227"/>
        <item m="1" x="74"/>
        <item m="1" x="265"/>
        <item m="1" x="73"/>
        <item m="1" x="86"/>
        <item m="1" x="83"/>
        <item m="1" x="128"/>
        <item m="1" x="140"/>
        <item m="1" x="363"/>
        <item m="1" x="282"/>
        <item m="1" x="91"/>
        <item m="1" x="302"/>
        <item m="1" x="205"/>
        <item m="1" x="410"/>
        <item m="1" x="382"/>
        <item m="1" x="368"/>
        <item m="1" x="106"/>
        <item m="1" x="145"/>
        <item m="1" x="383"/>
        <item m="1" x="117"/>
        <item m="1" x="99"/>
        <item m="1" x="393"/>
        <item m="1" x="384"/>
        <item m="1" x="325"/>
        <item m="1" x="217"/>
        <item m="1" x="362"/>
        <item m="1" x="108"/>
        <item m="1" x="390"/>
        <item m="1" x="357"/>
        <item m="1" x="103"/>
        <item m="1" x="358"/>
        <item m="1" x="138"/>
        <item m="1" x="80"/>
        <item m="1" x="120"/>
        <item m="1" x="143"/>
        <item m="1" x="321"/>
        <item m="1" x="407"/>
        <item m="1" x="202"/>
        <item m="1" x="316"/>
        <item m="1" x="212"/>
        <item m="1" x="301"/>
        <item m="1" x="214"/>
        <item m="1" x="98"/>
        <item m="1" x="200"/>
        <item m="1" x="204"/>
        <item m="1" x="201"/>
        <item m="1" x="213"/>
        <item m="1" x="198"/>
        <item m="1" x="352"/>
        <item m="1" x="90"/>
        <item m="1" x="169"/>
        <item m="1" x="75"/>
        <item m="1" x="343"/>
        <item m="1" x="389"/>
        <item m="1" x="97"/>
        <item m="1" x="170"/>
        <item m="1" x="350"/>
        <item m="1" x="345"/>
        <item m="1" x="351"/>
        <item x="59"/>
        <item x="60"/>
        <item x="61"/>
        <item x="62"/>
        <item x="63"/>
        <item x="64"/>
        <item x="65"/>
        <item x="66"/>
        <item x="67"/>
        <item x="68"/>
        <item x="69"/>
        <item m="1" x="323"/>
        <item x="2"/>
        <item x="3"/>
        <item m="1" x="118"/>
        <item m="1" x="139"/>
        <item m="1" x="341"/>
        <item m="1" x="107"/>
        <item x="1"/>
        <item m="1" x="123"/>
        <item m="1" x="154"/>
        <item m="1" x="127"/>
        <item m="1" x="416"/>
        <item m="1" x="300"/>
        <item m="1" x="431"/>
        <item m="1" x="404"/>
        <item m="1" x="101"/>
        <item m="1" x="296"/>
        <item x="4"/>
        <item x="5"/>
        <item x="6"/>
        <item x="7"/>
        <item x="8"/>
        <item x="9"/>
        <item x="10"/>
        <item x="11"/>
        <item m="1" x="285"/>
        <item m="1" x="427"/>
        <item m="1" x="258"/>
        <item m="1" x="263"/>
        <item m="1" x="332"/>
        <item m="1" x="429"/>
        <item m="1" x="276"/>
        <item m="1" x="264"/>
        <item m="1" x="144"/>
        <item m="1" x="336"/>
        <item m="1" x="197"/>
        <item m="1" x="151"/>
        <item m="1" x="260"/>
        <item m="1" x="247"/>
        <item m="1" x="252"/>
        <item m="1" x="329"/>
        <item m="1" x="269"/>
        <item m="1" x="267"/>
        <item m="1" x="248"/>
        <item m="1" x="417"/>
        <item m="1" x="159"/>
        <item m="1" x="418"/>
        <item m="1" x="331"/>
        <item m="1" x="253"/>
        <item m="1" x="306"/>
        <item m="1" x="274"/>
        <item m="1" x="290"/>
        <item m="1" x="273"/>
        <item x="43"/>
        <item x="44"/>
        <item m="1" x="210"/>
        <item m="1" x="342"/>
        <item m="1" x="178"/>
        <item m="1" x="413"/>
        <item m="1" x="211"/>
        <item m="1" x="72"/>
        <item m="1" x="215"/>
        <item m="1" x="208"/>
        <item m="1" x="422"/>
        <item x="54"/>
        <item m="1" x="141"/>
        <item m="1" x="256"/>
        <item m="1" x="292"/>
        <item m="1" x="216"/>
        <item m="1" x="71"/>
        <item x="12"/>
        <item x="13"/>
        <item x="14"/>
        <item x="15"/>
        <item x="16"/>
        <item x="17"/>
        <item x="18"/>
        <item x="19"/>
        <item x="20"/>
        <item x="21"/>
        <item x="22"/>
        <item x="23"/>
        <item x="24"/>
        <item x="36"/>
        <item x="37"/>
        <item x="38"/>
        <item x="39"/>
        <item x="40"/>
        <item x="41"/>
        <item m="1" x="380"/>
        <item x="45"/>
        <item x="46"/>
        <item x="47"/>
        <item x="48"/>
        <item m="1" x="242"/>
        <item x="50"/>
        <item x="51"/>
        <item x="52"/>
        <item x="53"/>
        <item x="25"/>
        <item x="26"/>
        <item x="27"/>
        <item x="28"/>
        <item x="29"/>
        <item x="30"/>
        <item x="31"/>
        <item x="32"/>
        <item x="33"/>
        <item x="34"/>
        <item x="35"/>
        <item x="42"/>
        <item x="49"/>
        <item x="55"/>
        <item x="56"/>
        <item x="57"/>
        <item x="58"/>
        <item t="default"/>
      </items>
    </pivotField>
    <pivotField axis="axisRow" showAll="0">
      <items count="263">
        <item m="1" x="17"/>
        <item m="1" x="223"/>
        <item m="1" x="36"/>
        <item m="1" x="56"/>
        <item m="1" x="20"/>
        <item m="1" x="240"/>
        <item m="1" x="43"/>
        <item m="1" x="55"/>
        <item m="1" x="212"/>
        <item m="1" x="248"/>
        <item m="1" x="249"/>
        <item m="1" x="93"/>
        <item m="1" x="122"/>
        <item m="1" x="67"/>
        <item m="1" x="48"/>
        <item m="1" x="89"/>
        <item m="1" x="90"/>
        <item m="1" x="245"/>
        <item m="1" x="83"/>
        <item m="1" x="190"/>
        <item m="1" x="199"/>
        <item m="1" x="75"/>
        <item m="1" x="37"/>
        <item m="1" x="198"/>
        <item m="1" x="124"/>
        <item m="1" x="68"/>
        <item m="1" x="25"/>
        <item m="1" x="27"/>
        <item m="1" x="31"/>
        <item m="1" x="69"/>
        <item m="1" x="231"/>
        <item m="1" x="115"/>
        <item m="1" x="165"/>
        <item m="1" x="250"/>
        <item m="1" x="161"/>
        <item m="1" x="257"/>
        <item m="1" x="185"/>
        <item m="1" x="45"/>
        <item m="1" x="40"/>
        <item m="1" x="200"/>
        <item m="1" x="183"/>
        <item m="1" x="252"/>
        <item x="0"/>
        <item m="1" x="94"/>
        <item m="1" x="26"/>
        <item m="1" x="92"/>
        <item m="1" x="171"/>
        <item m="1" x="41"/>
        <item m="1" x="107"/>
        <item m="1" x="42"/>
        <item m="1" x="256"/>
        <item m="1" x="73"/>
        <item m="1" x="74"/>
        <item m="1" x="44"/>
        <item m="1" x="208"/>
        <item m="1" x="187"/>
        <item m="1" x="135"/>
        <item m="1" x="202"/>
        <item m="1" x="203"/>
        <item m="1" x="172"/>
        <item m="1" x="104"/>
        <item m="1" x="206"/>
        <item m="1" x="136"/>
        <item m="1" x="106"/>
        <item m="1" x="217"/>
        <item m="1" x="195"/>
        <item m="1" x="188"/>
        <item m="1" x="207"/>
        <item m="1" x="129"/>
        <item m="1" x="218"/>
        <item m="1" x="189"/>
        <item m="1" x="164"/>
        <item m="1" x="230"/>
        <item m="1" x="103"/>
        <item m="1" x="82"/>
        <item m="1" x="130"/>
        <item m="1" x="170"/>
        <item m="1" x="224"/>
        <item m="1" x="193"/>
        <item m="1" x="163"/>
        <item m="1" x="153"/>
        <item m="1" x="175"/>
        <item m="1" x="30"/>
        <item m="1" x="123"/>
        <item m="1" x="102"/>
        <item m="1" x="38"/>
        <item m="1" x="174"/>
        <item m="1" x="110"/>
        <item m="1" x="237"/>
        <item m="1" x="242"/>
        <item m="1" x="84"/>
        <item m="1" x="210"/>
        <item m="1" x="211"/>
        <item m="1" x="247"/>
        <item m="1" x="228"/>
        <item m="1" x="28"/>
        <item m="1" x="241"/>
        <item m="1" x="50"/>
        <item m="1" x="51"/>
        <item m="1" x="57"/>
        <item m="1" x="213"/>
        <item m="1" x="76"/>
        <item m="1" x="32"/>
        <item m="1" x="128"/>
        <item m="1" x="121"/>
        <item m="1" x="253"/>
        <item m="1" x="29"/>
        <item m="1" x="227"/>
        <item m="1" x="105"/>
        <item m="1" x="155"/>
        <item m="1" x="259"/>
        <item m="1" x="46"/>
        <item m="1" x="114"/>
        <item m="1" x="243"/>
        <item m="1" x="222"/>
        <item m="1" x="33"/>
        <item m="1" x="35"/>
        <item m="1" x="111"/>
        <item m="1" x="258"/>
        <item m="1" x="108"/>
        <item m="1" x="251"/>
        <item m="1" x="53"/>
        <item m="1" x="66"/>
        <item m="1" x="116"/>
        <item m="1" x="235"/>
        <item m="1" x="143"/>
        <item m="1" x="22"/>
        <item m="1" x="191"/>
        <item m="1" x="18"/>
        <item m="1" x="225"/>
        <item m="1" x="87"/>
        <item m="1" x="131"/>
        <item m="1" x="132"/>
        <item m="1" x="260"/>
        <item m="1" x="99"/>
        <item m="1" x="145"/>
        <item m="1" x="214"/>
        <item m="1" x="156"/>
        <item m="1" x="157"/>
        <item m="1" x="58"/>
        <item m="1" x="77"/>
        <item m="1" x="176"/>
        <item m="1" x="179"/>
        <item m="1" x="150"/>
        <item m="1" x="137"/>
        <item m="1" x="238"/>
        <item m="1" x="146"/>
        <item m="1" x="70"/>
        <item m="1" x="72"/>
        <item m="1" x="168"/>
        <item m="1" x="147"/>
        <item m="1" x="219"/>
        <item m="1" x="95"/>
        <item m="1" x="112"/>
        <item m="1" x="60"/>
        <item m="1" x="194"/>
        <item m="1" x="196"/>
        <item m="1" x="85"/>
        <item m="1" x="139"/>
        <item m="1" x="79"/>
        <item m="1" x="118"/>
        <item m="1" x="233"/>
        <item m="1" x="254"/>
        <item m="1" x="62"/>
        <item m="1" x="181"/>
        <item m="1" x="63"/>
        <item m="1" x="182"/>
        <item m="1" x="154"/>
        <item m="1" x="109"/>
        <item m="1" x="64"/>
        <item m="1" x="204"/>
        <item m="1" x="65"/>
        <item m="1" x="205"/>
        <item m="1" x="186"/>
        <item m="1" x="117"/>
        <item m="1" x="236"/>
        <item m="1" x="144"/>
        <item m="1" x="23"/>
        <item m="1" x="192"/>
        <item m="1" x="19"/>
        <item m="1" x="226"/>
        <item m="1" x="88"/>
        <item m="1" x="133"/>
        <item m="1" x="134"/>
        <item m="1" x="261"/>
        <item m="1" x="100"/>
        <item m="1" x="184"/>
        <item m="1" x="215"/>
        <item m="1" x="158"/>
        <item m="1" x="159"/>
        <item m="1" x="59"/>
        <item m="1" x="78"/>
        <item m="1" x="177"/>
        <item m="1" x="180"/>
        <item m="1" x="151"/>
        <item m="1" x="138"/>
        <item m="1" x="239"/>
        <item m="1" x="209"/>
        <item m="1" x="148"/>
        <item m="1" x="71"/>
        <item m="1" x="54"/>
        <item m="1" x="169"/>
        <item m="1" x="149"/>
        <item m="1" x="220"/>
        <item m="1" x="96"/>
        <item m="1" x="113"/>
        <item m="1" x="61"/>
        <item m="1" x="97"/>
        <item m="1" x="197"/>
        <item m="1" x="86"/>
        <item m="1" x="140"/>
        <item m="1" x="80"/>
        <item m="1" x="119"/>
        <item m="1" x="234"/>
        <item m="1" x="255"/>
        <item x="1"/>
        <item x="2"/>
        <item x="3"/>
        <item x="4"/>
        <item x="5"/>
        <item x="6"/>
        <item x="7"/>
        <item x="8"/>
        <item x="9"/>
        <item x="10"/>
        <item x="11"/>
        <item x="12"/>
        <item m="1" x="34"/>
        <item m="1" x="125"/>
        <item m="1" x="126"/>
        <item m="1" x="141"/>
        <item m="1" x="52"/>
        <item m="1" x="229"/>
        <item m="1" x="39"/>
        <item m="1" x="166"/>
        <item m="1" x="167"/>
        <item m="1" x="244"/>
        <item m="1" x="21"/>
        <item m="1" x="216"/>
        <item m="1" x="221"/>
        <item m="1" x="162"/>
        <item m="1" x="142"/>
        <item m="1" x="98"/>
        <item m="1" x="178"/>
        <item x="13"/>
        <item x="14"/>
        <item m="1" x="232"/>
        <item m="1" x="201"/>
        <item m="1" x="160"/>
        <item m="1" x="47"/>
        <item m="1" x="49"/>
        <item m="1" x="81"/>
        <item m="1" x="246"/>
        <item m="1" x="173"/>
        <item m="1" x="120"/>
        <item x="15"/>
        <item m="1" x="152"/>
        <item m="1" x="24"/>
        <item m="1" x="101"/>
        <item m="1" x="91"/>
        <item m="1" x="127"/>
        <item x="16"/>
        <item t="default"/>
      </items>
    </pivotField>
    <pivotField axis="axisRow" showAll="0">
      <items count="28">
        <item m="1" x="4"/>
        <item m="1" x="19"/>
        <item m="1" x="7"/>
        <item m="1" x="25"/>
        <item x="0"/>
        <item m="1" x="26"/>
        <item m="1" x="10"/>
        <item m="1" x="17"/>
        <item m="1" x="9"/>
        <item m="1" x="8"/>
        <item m="1" x="20"/>
        <item m="1" x="11"/>
        <item m="1" x="15"/>
        <item m="1" x="16"/>
        <item m="1" x="22"/>
        <item m="1" x="18"/>
        <item m="1" x="21"/>
        <item m="1" x="23"/>
        <item m="1" x="24"/>
        <item m="1" x="5"/>
        <item m="1" x="13"/>
        <item m="1" x="14"/>
        <item x="1"/>
        <item x="2"/>
        <item x="3"/>
        <item m="1" x="6"/>
        <item m="1" x="12"/>
        <item t="default"/>
      </items>
    </pivotField>
    <pivotField axis="axisRow" showAll="0">
      <items count="6">
        <item m="1" x="1"/>
        <item x="0"/>
        <item m="1" x="3"/>
        <item m="1" x="4"/>
        <item m="1" x="2"/>
        <item t="default"/>
      </items>
    </pivotField>
    <pivotField axis="axisRow" showAll="0" defaultSubtotal="0">
      <items count="273">
        <item m="1" x="19"/>
        <item m="1" x="232"/>
        <item m="1" x="66"/>
        <item m="1" x="158"/>
        <item m="1" x="27"/>
        <item m="1" x="61"/>
        <item m="1" x="40"/>
        <item m="1" x="148"/>
        <item m="1" x="142"/>
        <item m="1" x="100"/>
        <item m="1" x="30"/>
        <item m="1" x="85"/>
        <item m="1" x="53"/>
        <item m="1" x="25"/>
        <item m="1" x="57"/>
        <item m="1" x="84"/>
        <item m="1" x="178"/>
        <item m="1" x="87"/>
        <item m="1" x="208"/>
        <item m="1" x="231"/>
        <item m="1" x="218"/>
        <item m="1" x="108"/>
        <item m="1" x="228"/>
        <item m="1" x="71"/>
        <item m="1" x="62"/>
        <item m="1" x="131"/>
        <item m="1" x="150"/>
        <item m="1" x="236"/>
        <item m="1" x="128"/>
        <item m="1" x="240"/>
        <item m="1" x="179"/>
        <item m="1" x="266"/>
        <item m="1" x="225"/>
        <item m="1" x="200"/>
        <item m="1" x="37"/>
        <item m="1" x="249"/>
        <item m="1" x="259"/>
        <item m="1" x="180"/>
        <item m="1" x="90"/>
        <item m="1" x="92"/>
        <item m="1" x="86"/>
        <item x="0"/>
        <item m="1" x="29"/>
        <item m="1" x="190"/>
        <item m="1" x="103"/>
        <item m="1" x="42"/>
        <item m="1" x="241"/>
        <item m="1" x="176"/>
        <item m="1" x="242"/>
        <item m="1" x="217"/>
        <item m="1" x="174"/>
        <item m="1" x="43"/>
        <item m="1" x="268"/>
        <item m="1" x="38"/>
        <item m="1" x="219"/>
        <item m="1" x="263"/>
        <item m="1" x="69"/>
        <item m="1" x="96"/>
        <item m="1" x="262"/>
        <item m="1" x="125"/>
        <item m="1" x="216"/>
        <item m="1" x="60"/>
        <item m="1" x="20"/>
        <item m="1" x="221"/>
        <item m="1" x="198"/>
        <item m="1" x="233"/>
        <item m="1" x="83"/>
        <item m="1" x="255"/>
        <item m="1" x="183"/>
        <item m="1" x="124"/>
        <item m="1" x="105"/>
        <item m="1" x="132"/>
        <item m="1" x="145"/>
        <item m="1" x="28"/>
        <item m="1" x="269"/>
        <item m="1" x="91"/>
        <item m="1" x="109"/>
        <item m="1" x="33"/>
        <item m="1" x="143"/>
        <item m="1" x="113"/>
        <item m="1" x="270"/>
        <item m="1" x="44"/>
        <item m="1" x="56"/>
        <item m="1" x="151"/>
        <item m="1" x="162"/>
        <item m="1" x="235"/>
        <item m="1" x="203"/>
        <item m="1" x="107"/>
        <item m="1" x="204"/>
        <item m="1" x="182"/>
        <item m="1" x="226"/>
        <item m="1" x="72"/>
        <item m="1" x="79"/>
        <item m="1" x="161"/>
        <item m="1" x="184"/>
        <item m="1" x="212"/>
        <item m="1" x="58"/>
        <item m="1" x="133"/>
        <item m="1" x="147"/>
        <item m="1" x="146"/>
        <item m="1" x="172"/>
        <item m="1" x="104"/>
        <item m="1" x="64"/>
        <item m="1" x="205"/>
        <item m="1" x="111"/>
        <item m="1" x="206"/>
        <item m="1" x="213"/>
        <item m="1" x="139"/>
        <item m="1" x="155"/>
        <item m="1" x="264"/>
        <item m="1" x="156"/>
        <item m="1" x="67"/>
        <item m="1" x="260"/>
        <item m="1" x="52"/>
        <item m="1" x="46"/>
        <item m="1" x="94"/>
        <item m="1" x="244"/>
        <item m="1" x="65"/>
        <item m="1" x="250"/>
        <item m="1" x="115"/>
        <item m="1" x="220"/>
        <item m="1" x="254"/>
        <item m="1" x="223"/>
        <item m="1" x="75"/>
        <item m="1" x="187"/>
        <item m="1" x="230"/>
        <item m="1" x="135"/>
        <item m="1" x="137"/>
        <item m="1" x="26"/>
        <item m="1" x="144"/>
        <item m="1" x="227"/>
        <item m="1" x="195"/>
        <item m="1" x="138"/>
        <item m="1" x="48"/>
        <item m="1" x="164"/>
        <item m="1" x="88"/>
        <item m="1" x="21"/>
        <item m="1" x="202"/>
        <item m="1" x="214"/>
        <item m="1" x="73"/>
        <item m="1" x="63"/>
        <item m="1" x="140"/>
        <item m="1" x="181"/>
        <item m="1" x="102"/>
        <item m="1" x="59"/>
        <item m="1" x="126"/>
        <item m="1" x="197"/>
        <item m="1" x="167"/>
        <item m="1" x="141"/>
        <item m="1" x="149"/>
        <item m="1" x="267"/>
        <item m="1" x="70"/>
        <item m="1" x="136"/>
        <item m="1" x="157"/>
        <item m="1" x="45"/>
        <item m="1" x="95"/>
        <item m="1" x="114"/>
        <item m="1" x="130"/>
        <item m="1" x="265"/>
        <item m="1" x="39"/>
        <item m="1" x="215"/>
        <item m="1" x="55"/>
        <item m="1" x="211"/>
        <item m="1" x="169"/>
        <item m="1" x="257"/>
        <item m="1" x="170"/>
        <item m="1" x="258"/>
        <item m="1" x="224"/>
        <item m="1" x="76"/>
        <item m="1" x="188"/>
        <item m="1" x="272"/>
        <item m="1" x="127"/>
        <item m="1" x="51"/>
        <item m="1" x="177"/>
        <item m="1" x="41"/>
        <item m="1" x="193"/>
        <item m="1" x="239"/>
        <item m="1" x="22"/>
        <item m="1" x="234"/>
        <item m="1" x="165"/>
        <item m="1" x="89"/>
        <item m="1" x="168"/>
        <item m="1" x="32"/>
        <item m="1" x="98"/>
        <item m="1" x="99"/>
        <item m="1" x="237"/>
        <item m="1" x="248"/>
        <item m="1" x="119"/>
        <item m="1" x="82"/>
        <item m="1" x="47"/>
        <item m="1" x="68"/>
        <item m="1" x="78"/>
        <item m="1" x="35"/>
        <item m="1" x="186"/>
        <item m="1" x="118"/>
        <item m="1" x="209"/>
        <item m="1" x="116"/>
        <item m="1" x="192"/>
        <item m="1" x="80"/>
        <item m="1" x="153"/>
        <item m="1" x="185"/>
        <item m="1" x="222"/>
        <item m="1" x="247"/>
        <item m="1" x="271"/>
        <item m="1" x="238"/>
        <item m="1" x="54"/>
        <item m="1" x="207"/>
        <item m="1" x="166"/>
        <item m="1" x="210"/>
        <item x="2"/>
        <item m="1" x="121"/>
        <item x="4"/>
        <item m="1" x="122"/>
        <item m="1" x="23"/>
        <item m="1" x="256"/>
        <item x="1"/>
        <item m="1" x="173"/>
        <item m="1" x="245"/>
        <item m="1" x="251"/>
        <item m="1" x="175"/>
        <item m="1" x="74"/>
        <item m="1" x="24"/>
        <item m="1" x="123"/>
        <item m="1" x="117"/>
        <item m="1" x="110"/>
        <item m="1" x="129"/>
        <item m="1" x="112"/>
        <item m="1" x="171"/>
        <item x="3"/>
        <item x="5"/>
        <item x="6"/>
        <item x="7"/>
        <item x="8"/>
        <item x="9"/>
        <item x="10"/>
        <item x="11"/>
        <item x="12"/>
        <item x="13"/>
        <item x="14"/>
        <item m="1" x="106"/>
        <item m="1" x="93"/>
        <item m="1" x="120"/>
        <item m="1" x="31"/>
        <item m="1" x="154"/>
        <item m="1" x="152"/>
        <item m="1" x="261"/>
        <item m="1" x="252"/>
        <item m="1" x="159"/>
        <item m="1" x="194"/>
        <item m="1" x="229"/>
        <item m="1" x="36"/>
        <item m="1" x="163"/>
        <item m="1" x="97"/>
        <item m="1" x="101"/>
        <item m="1" x="34"/>
        <item x="15"/>
        <item x="16"/>
        <item m="1" x="199"/>
        <item m="1" x="246"/>
        <item m="1" x="201"/>
        <item m="1" x="253"/>
        <item m="1" x="81"/>
        <item m="1" x="196"/>
        <item m="1" x="50"/>
        <item m="1" x="49"/>
        <item m="1" x="243"/>
        <item x="17"/>
        <item m="1" x="77"/>
        <item m="1" x="189"/>
        <item m="1" x="160"/>
        <item m="1" x="134"/>
        <item m="1" x="191"/>
        <item x="18"/>
      </items>
    </pivotField>
    <pivotField axis="axisRow" showAll="0" defaultSubtotal="0">
      <items count="210">
        <item m="1" x="15"/>
        <item m="1" x="25"/>
        <item m="1" x="18"/>
        <item m="1" x="74"/>
        <item m="1" x="176"/>
        <item m="1" x="199"/>
        <item m="1" x="127"/>
        <item m="1" x="195"/>
        <item m="1" x="158"/>
        <item m="1" x="167"/>
        <item m="1" x="149"/>
        <item m="1" x="92"/>
        <item m="1" x="93"/>
        <item m="1" x="99"/>
        <item m="1" x="79"/>
        <item m="1" x="39"/>
        <item m="1" x="209"/>
        <item m="1" x="151"/>
        <item m="1" x="152"/>
        <item m="1" x="54"/>
        <item m="1" x="38"/>
        <item m="1" x="85"/>
        <item m="1" x="169"/>
        <item m="1" x="43"/>
        <item m="1" x="200"/>
        <item m="1" x="116"/>
        <item m="1" x="103"/>
        <item m="1" x="189"/>
        <item m="1" x="128"/>
        <item m="1" x="207"/>
        <item m="1" x="182"/>
        <item m="1" x="155"/>
        <item m="1" x="102"/>
        <item m="1" x="119"/>
        <item m="1" x="132"/>
        <item m="1" x="173"/>
        <item m="1" x="42"/>
        <item m="1" x="27"/>
        <item m="1" x="47"/>
        <item m="1" x="190"/>
        <item x="0"/>
        <item m="1" x="30"/>
        <item m="1" x="131"/>
        <item m="1" x="208"/>
        <item m="1" x="73"/>
        <item m="1" x="140"/>
        <item m="1" x="29"/>
        <item m="1" x="180"/>
        <item m="1" x="161"/>
        <item m="1" x="33"/>
        <item m="1" x="34"/>
        <item m="1" x="52"/>
        <item m="1" x="81"/>
        <item m="1" x="89"/>
        <item m="1" x="191"/>
        <item m="1" x="135"/>
        <item m="1" x="136"/>
        <item m="1" x="197"/>
        <item m="1" x="150"/>
        <item m="1" x="64"/>
        <item m="1" x="35"/>
        <item m="1" x="205"/>
        <item m="1" x="65"/>
        <item m="1" x="76"/>
        <item m="1" x="164"/>
        <item m="1" x="49"/>
        <item m="1" x="108"/>
        <item m="1" x="125"/>
        <item m="1" x="61"/>
        <item m="1" x="22"/>
        <item m="1" x="105"/>
        <item m="1" x="106"/>
        <item m="1" x="57"/>
        <item m="1" x="71"/>
        <item m="1" x="69"/>
        <item m="1" x="118"/>
        <item m="1" x="82"/>
        <item m="1" x="162"/>
        <item m="1" x="44"/>
        <item m="1" x="184"/>
        <item m="1" x="120"/>
        <item m="1" x="107"/>
        <item m="1" x="62"/>
        <item m="1" x="67"/>
        <item m="1" x="78"/>
        <item m="1" x="201"/>
        <item m="1" x="121"/>
        <item m="1" x="95"/>
        <item m="1" x="83"/>
        <item m="1" x="84"/>
        <item m="1" x="133"/>
        <item m="1" x="147"/>
        <item m="1" x="157"/>
        <item m="1" x="142"/>
        <item m="1" x="112"/>
        <item m="1" x="113"/>
        <item m="1" x="194"/>
        <item m="1" x="21"/>
        <item m="1" x="111"/>
        <item m="1" x="171"/>
        <item m="1" x="80"/>
        <item m="1" x="53"/>
        <item m="1" x="202"/>
        <item m="1" x="177"/>
        <item m="1" x="104"/>
        <item m="1" x="55"/>
        <item m="1" x="91"/>
        <item m="1" x="94"/>
        <item m="1" x="75"/>
        <item m="1" x="88"/>
        <item m="1" x="87"/>
        <item m="1" x="45"/>
        <item m="1" x="192"/>
        <item m="1" x="51"/>
        <item m="1" x="115"/>
        <item m="1" x="114"/>
        <item m="1" x="50"/>
        <item m="1" x="109"/>
        <item m="1" x="28"/>
        <item m="1" x="48"/>
        <item m="1" x="58"/>
        <item m="1" x="170"/>
        <item m="1" x="66"/>
        <item m="1" x="37"/>
        <item m="1" x="122"/>
        <item m="1" x="16"/>
        <item m="1" x="185"/>
        <item m="1" x="23"/>
        <item m="1" x="24"/>
        <item m="1" x="154"/>
        <item m="1" x="86"/>
        <item m="1" x="60"/>
        <item m="1" x="36"/>
        <item m="1" x="174"/>
        <item m="1" x="175"/>
        <item m="1" x="203"/>
        <item m="1" x="196"/>
        <item m="1" x="97"/>
        <item m="1" x="163"/>
        <item m="1" x="144"/>
        <item m="1" x="193"/>
        <item m="1" x="145"/>
        <item m="1" x="130"/>
        <item m="1" x="166"/>
        <item m="1" x="90"/>
        <item m="1" x="101"/>
        <item m="1" x="41"/>
        <item m="1" x="46"/>
        <item m="1" x="179"/>
        <item m="1" x="17"/>
        <item m="1" x="77"/>
        <item m="1" x="100"/>
        <item m="1" x="63"/>
        <item m="1" x="126"/>
        <item m="1" x="183"/>
        <item m="1" x="148"/>
        <item m="1" x="70"/>
        <item m="1" x="32"/>
        <item x="1"/>
        <item x="2"/>
        <item m="1" x="206"/>
        <item m="1" x="72"/>
        <item m="1" x="187"/>
        <item m="1" x="204"/>
        <item m="1" x="156"/>
        <item m="1" x="19"/>
        <item m="1" x="26"/>
        <item m="1" x="141"/>
        <item x="3"/>
        <item x="4"/>
        <item x="5"/>
        <item x="6"/>
        <item x="7"/>
        <item x="8"/>
        <item x="9"/>
        <item x="10"/>
        <item m="1" x="20"/>
        <item m="1" x="159"/>
        <item m="1" x="160"/>
        <item m="1" x="110"/>
        <item m="1" x="59"/>
        <item m="1" x="96"/>
        <item m="1" x="134"/>
        <item m="1" x="123"/>
        <item m="1" x="124"/>
        <item m="1" x="165"/>
        <item m="1" x="153"/>
        <item m="1" x="168"/>
        <item m="1" x="188"/>
        <item m="1" x="56"/>
        <item m="1" x="129"/>
        <item m="1" x="146"/>
        <item x="11"/>
        <item x="12"/>
        <item m="1" x="117"/>
        <item m="1" x="139"/>
        <item m="1" x="143"/>
        <item m="1" x="98"/>
        <item m="1" x="138"/>
        <item m="1" x="137"/>
        <item m="1" x="31"/>
        <item m="1" x="68"/>
        <item m="1" x="186"/>
        <item x="13"/>
        <item m="1" x="181"/>
        <item m="1" x="178"/>
        <item m="1" x="40"/>
        <item m="1" x="172"/>
        <item m="1" x="198"/>
        <item x="14"/>
      </items>
    </pivotField>
    <pivotField axis="axisRow" showAll="0">
      <items count="3">
        <item m="1" x="1"/>
        <item x="0"/>
        <item t="default"/>
      </items>
    </pivotField>
    <pivotField axis="axisRow" showAll="0">
      <items count="260">
        <item m="1" x="15"/>
        <item m="1" x="106"/>
        <item m="1" x="193"/>
        <item m="1" x="231"/>
        <item m="1" x="113"/>
        <item m="1" x="226"/>
        <item m="1" x="234"/>
        <item m="1" x="163"/>
        <item m="1" x="210"/>
        <item m="1" x="45"/>
        <item m="1" x="137"/>
        <item m="1" x="221"/>
        <item m="1" x="28"/>
        <item m="1" x="88"/>
        <item m="1" x="101"/>
        <item m="1" x="186"/>
        <item m="1" x="178"/>
        <item m="1" x="30"/>
        <item m="1" x="174"/>
        <item m="1" x="256"/>
        <item m="1" x="102"/>
        <item m="1" x="103"/>
        <item m="1" x="100"/>
        <item m="1" x="246"/>
        <item m="1" x="50"/>
        <item m="1" x="216"/>
        <item m="1" x="99"/>
        <item m="1" x="40"/>
        <item m="1" x="78"/>
        <item m="1" x="67"/>
        <item m="1" x="16"/>
        <item m="1" x="24"/>
        <item m="1" x="58"/>
        <item m="1" x="211"/>
        <item m="1" x="52"/>
        <item m="1" x="19"/>
        <item m="1" x="185"/>
        <item m="1" x="215"/>
        <item m="1" x="53"/>
        <item m="1" x="23"/>
        <item m="1" x="164"/>
        <item m="1" x="18"/>
        <item x="0"/>
        <item m="1" x="219"/>
        <item m="1" x="55"/>
        <item m="1" x="222"/>
        <item m="1" x="250"/>
        <item m="1" x="227"/>
        <item m="1" x="235"/>
        <item m="1" x="150"/>
        <item m="1" x="121"/>
        <item m="1" x="91"/>
        <item m="1" x="36"/>
        <item m="1" x="31"/>
        <item m="1" x="95"/>
        <item m="1" x="218"/>
        <item m="1" x="167"/>
        <item m="1" x="162"/>
        <item m="1" x="41"/>
        <item m="1" x="237"/>
        <item m="1" x="173"/>
        <item m="1" x="196"/>
        <item m="1" x="201"/>
        <item m="1" x="232"/>
        <item m="1" x="25"/>
        <item m="1" x="230"/>
        <item m="1" x="209"/>
        <item m="1" x="51"/>
        <item m="1" x="66"/>
        <item m="1" x="217"/>
        <item m="1" x="110"/>
        <item m="1" x="96"/>
        <item m="1" x="245"/>
        <item m="1" x="213"/>
        <item m="1" x="141"/>
        <item m="1" x="43"/>
        <item m="1" x="149"/>
        <item m="1" x="153"/>
        <item m="1" x="65"/>
        <item m="1" x="27"/>
        <item m="1" x="229"/>
        <item m="1" x="165"/>
        <item m="1" x="156"/>
        <item m="1" x="238"/>
        <item m="1" x="62"/>
        <item m="1" x="131"/>
        <item m="1" x="42"/>
        <item m="1" x="197"/>
        <item m="1" x="257"/>
        <item m="1" x="214"/>
        <item m="1" x="83"/>
        <item m="1" x="26"/>
        <item m="1" x="243"/>
        <item m="1" x="195"/>
        <item m="1" x="142"/>
        <item m="1" x="171"/>
        <item m="1" x="166"/>
        <item m="1" x="258"/>
        <item m="1" x="190"/>
        <item m="1" x="204"/>
        <item m="1" x="114"/>
        <item m="1" x="93"/>
        <item m="1" x="220"/>
        <item m="1" x="224"/>
        <item m="1" x="228"/>
        <item m="1" x="21"/>
        <item m="1" x="202"/>
        <item m="1" x="109"/>
        <item m="1" x="134"/>
        <item m="1" x="35"/>
        <item m="1" x="39"/>
        <item m="1" x="189"/>
        <item m="1" x="64"/>
        <item m="1" x="139"/>
        <item m="1" x="32"/>
        <item m="1" x="54"/>
        <item m="1" x="98"/>
        <item m="1" x="68"/>
        <item m="1" x="168"/>
        <item m="1" x="33"/>
        <item m="1" x="236"/>
        <item m="1" x="117"/>
        <item m="1" x="63"/>
        <item m="1" x="61"/>
        <item m="1" x="104"/>
        <item m="1" x="71"/>
        <item m="1" x="212"/>
        <item m="1" x="207"/>
        <item m="1" x="249"/>
        <item m="1" x="17"/>
        <item m="1" x="181"/>
        <item m="1" x="86"/>
        <item m="1" x="84"/>
        <item m="1" x="240"/>
        <item m="1" x="183"/>
        <item m="1" x="239"/>
        <item m="1" x="254"/>
        <item m="1" x="80"/>
        <item m="1" x="176"/>
        <item m="1" x="143"/>
        <item m="1" x="37"/>
        <item m="1" x="160"/>
        <item m="1" x="129"/>
        <item m="1" x="107"/>
        <item m="1" x="135"/>
        <item m="1" x="205"/>
        <item m="1" x="132"/>
        <item m="1" x="44"/>
        <item m="1" x="92"/>
        <item m="1" x="76"/>
        <item m="1" x="147"/>
        <item m="1" x="199"/>
        <item m="1" x="187"/>
        <item m="1" x="111"/>
        <item m="1" x="122"/>
        <item m="1" x="49"/>
        <item m="1" x="73"/>
        <item m="1" x="198"/>
        <item m="1" x="145"/>
        <item m="1" x="127"/>
        <item m="1" x="47"/>
        <item m="1" x="69"/>
        <item m="1" x="191"/>
        <item m="1" x="157"/>
        <item m="1" x="158"/>
        <item m="1" x="115"/>
        <item m="1" x="29"/>
        <item m="1" x="203"/>
        <item m="1" x="179"/>
        <item m="1" x="94"/>
        <item m="1" x="252"/>
        <item m="1" x="119"/>
        <item m="1" x="72"/>
        <item m="1" x="59"/>
        <item m="1" x="138"/>
        <item m="1" x="56"/>
        <item m="1" x="89"/>
        <item m="1" x="172"/>
        <item m="1" x="118"/>
        <item m="1" x="151"/>
        <item m="1" x="126"/>
        <item m="1" x="194"/>
        <item m="1" x="34"/>
        <item m="1" x="140"/>
        <item m="1" x="116"/>
        <item m="1" x="225"/>
        <item m="1" x="242"/>
        <item m="1" x="105"/>
        <item m="1" x="152"/>
        <item m="1" x="244"/>
        <item m="1" x="247"/>
        <item m="1" x="82"/>
        <item m="1" x="75"/>
        <item m="1" x="20"/>
        <item m="1" x="133"/>
        <item m="1" x="22"/>
        <item m="1" x="155"/>
        <item m="1" x="248"/>
        <item m="1" x="79"/>
        <item m="1" x="233"/>
        <item m="1" x="175"/>
        <item m="1" x="169"/>
        <item m="1" x="124"/>
        <item m="1" x="154"/>
        <item m="1" x="159"/>
        <item m="1" x="90"/>
        <item m="1" x="57"/>
        <item m="1" x="125"/>
        <item m="1" x="60"/>
        <item m="1" x="223"/>
        <item m="1" x="46"/>
        <item m="1" x="251"/>
        <item m="1" x="208"/>
        <item m="1" x="97"/>
        <item x="1"/>
        <item x="2"/>
        <item x="3"/>
        <item x="4"/>
        <item x="5"/>
        <item x="6"/>
        <item x="7"/>
        <item x="8"/>
        <item x="9"/>
        <item x="10"/>
        <item m="1" x="182"/>
        <item m="1" x="87"/>
        <item m="1" x="85"/>
        <item m="1" x="241"/>
        <item m="1" x="184"/>
        <item m="1" x="253"/>
        <item m="1" x="255"/>
        <item m="1" x="81"/>
        <item m="1" x="177"/>
        <item m="1" x="144"/>
        <item m="1" x="38"/>
        <item m="1" x="161"/>
        <item m="1" x="130"/>
        <item m="1" x="108"/>
        <item m="1" x="136"/>
        <item m="1" x="206"/>
        <item m="1" x="170"/>
        <item x="11"/>
        <item x="12"/>
        <item m="1" x="180"/>
        <item m="1" x="77"/>
        <item m="1" x="148"/>
        <item m="1" x="200"/>
        <item m="1" x="188"/>
        <item m="1" x="112"/>
        <item m="1" x="123"/>
        <item m="1" x="120"/>
        <item m="1" x="74"/>
        <item x="13"/>
        <item m="1" x="146"/>
        <item m="1" x="128"/>
        <item m="1" x="48"/>
        <item m="1" x="70"/>
        <item m="1" x="192"/>
        <item x="14"/>
        <item t="default"/>
      </items>
    </pivotField>
    <pivotField axis="axisRow" showAll="0">
      <items count="3">
        <item m="1" x="1"/>
        <item x="0"/>
        <item t="default"/>
      </items>
    </pivotField>
    <pivotField axis="axisRow" showAll="0">
      <items count="270">
        <item m="1" x="19"/>
        <item m="1" x="158"/>
        <item m="1" x="208"/>
        <item m="1" x="230"/>
        <item m="1" x="255"/>
        <item m="1" x="123"/>
        <item m="1" x="194"/>
        <item m="1" x="258"/>
        <item m="1" x="202"/>
        <item m="1" x="66"/>
        <item m="1" x="75"/>
        <item m="1" x="87"/>
        <item m="1" x="212"/>
        <item m="1" x="160"/>
        <item m="1" x="161"/>
        <item m="1" x="40"/>
        <item m="1" x="42"/>
        <item m="1" x="224"/>
        <item m="1" x="142"/>
        <item m="1" x="99"/>
        <item m="1" x="225"/>
        <item m="1" x="209"/>
        <item m="1" x="235"/>
        <item m="1" x="191"/>
        <item m="1" x="241"/>
        <item m="1" x="231"/>
        <item m="1" x="256"/>
        <item m="1" x="74"/>
        <item m="1" x="159"/>
        <item m="1" x="36"/>
        <item m="1" x="71"/>
        <item m="1" x="98"/>
        <item m="1" x="193"/>
        <item m="1" x="199"/>
        <item m="1" x="134"/>
        <item m="1" x="108"/>
        <item m="1" x="249"/>
        <item m="1" x="211"/>
        <item m="1" x="114"/>
        <item m="1" x="257"/>
        <item m="1" x="260"/>
        <item m="1" x="153"/>
        <item x="0"/>
        <item m="1" x="121"/>
        <item m="1" x="169"/>
        <item m="1" x="175"/>
        <item m="1" x="109"/>
        <item m="1" x="64"/>
        <item m="1" x="236"/>
        <item m="1" x="240"/>
        <item m="1" x="27"/>
        <item m="1" x="219"/>
        <item m="1" x="139"/>
        <item m="1" x="221"/>
        <item m="1" x="47"/>
        <item m="1" x="102"/>
        <item m="1" x="172"/>
        <item m="1" x="72"/>
        <item m="1" x="48"/>
        <item m="1" x="192"/>
        <item m="1" x="115"/>
        <item m="1" x="242"/>
        <item m="1" x="133"/>
        <item m="1" x="261"/>
        <item m="1" x="226"/>
        <item m="1" x="179"/>
        <item m="1" x="132"/>
        <item m="1" x="56"/>
        <item m="1" x="105"/>
        <item m="1" x="59"/>
        <item m="1" x="76"/>
        <item m="1" x="197"/>
        <item m="1" x="203"/>
        <item m="1" x="94"/>
        <item m="1" x="49"/>
        <item m="1" x="60"/>
        <item m="1" x="149"/>
        <item m="1" x="176"/>
        <item m="1" x="20"/>
        <item m="1" x="21"/>
        <item m="1" x="259"/>
        <item m="1" x="126"/>
        <item m="1" x="265"/>
        <item m="1" x="145"/>
        <item m="1" x="198"/>
        <item m="1" x="162"/>
        <item m="1" x="166"/>
        <item m="1" x="165"/>
        <item m="1" x="95"/>
        <item m="1" x="210"/>
        <item m="1" x="173"/>
        <item m="1" x="143"/>
        <item m="1" x="90"/>
        <item m="1" x="120"/>
        <item m="1" x="55"/>
        <item m="1" x="214"/>
        <item m="1" x="43"/>
        <item m="1" x="227"/>
        <item m="1" x="24"/>
        <item m="1" x="44"/>
        <item m="1" x="61"/>
        <item m="1" x="144"/>
        <item m="1" x="190"/>
        <item m="1" x="237"/>
        <item m="1" x="254"/>
        <item m="1" x="250"/>
        <item m="1" x="118"/>
        <item m="1" x="229"/>
        <item m="1" x="195"/>
        <item m="1" x="178"/>
        <item m="1" x="67"/>
        <item m="1" x="23"/>
        <item m="1" x="234"/>
        <item m="1" x="148"/>
        <item m="1" x="30"/>
        <item m="1" x="65"/>
        <item m="1" x="245"/>
        <item m="1" x="177"/>
        <item m="1" x="220"/>
        <item m="1" x="131"/>
        <item m="1" x="130"/>
        <item m="1" x="150"/>
        <item m="1" x="29"/>
        <item m="1" x="238"/>
        <item m="1" x="186"/>
        <item m="1" x="62"/>
        <item m="1" x="119"/>
        <item m="1" x="207"/>
        <item m="1" x="183"/>
        <item m="1" x="68"/>
        <item m="1" x="128"/>
        <item m="1" x="83"/>
        <item m="1" x="135"/>
        <item m="1" x="112"/>
        <item m="1" x="31"/>
        <item m="1" x="156"/>
        <item m="1" x="243"/>
        <item m="1" x="34"/>
        <item m="1" x="78"/>
        <item m="1" x="188"/>
        <item m="1" x="184"/>
        <item m="1" x="263"/>
        <item m="1" x="154"/>
        <item m="1" x="222"/>
        <item m="1" x="106"/>
        <item m="1" x="163"/>
        <item m="1" x="171"/>
        <item m="1" x="213"/>
        <item m="1" x="86"/>
        <item m="1" x="45"/>
        <item m="1" x="96"/>
        <item m="1" x="266"/>
        <item m="1" x="146"/>
        <item m="1" x="247"/>
        <item m="1" x="79"/>
        <item m="1" x="51"/>
        <item m="1" x="181"/>
        <item m="1" x="63"/>
        <item m="1" x="124"/>
        <item m="1" x="151"/>
        <item m="1" x="103"/>
        <item m="1" x="116"/>
        <item m="1" x="92"/>
        <item m="1" x="69"/>
        <item m="1" x="88"/>
        <item m="1" x="89"/>
        <item m="1" x="251"/>
        <item m="1" x="28"/>
        <item m="1" x="33"/>
        <item m="1" x="174"/>
        <item m="1" x="167"/>
        <item m="1" x="52"/>
        <item m="1" x="53"/>
        <item m="1" x="215"/>
        <item m="1" x="205"/>
        <item m="1" x="252"/>
        <item m="1" x="180"/>
        <item m="1" x="100"/>
        <item m="1" x="101"/>
        <item m="1" x="228"/>
        <item m="1" x="216"/>
        <item m="1" x="137"/>
        <item m="1" x="232"/>
        <item m="1" x="127"/>
        <item m="1" x="122"/>
        <item m="1" x="77"/>
        <item m="1" x="140"/>
        <item m="1" x="239"/>
        <item m="1" x="110"/>
        <item m="1" x="187"/>
        <item m="1" x="91"/>
        <item m="1" x="54"/>
        <item m="1" x="57"/>
        <item m="1" x="170"/>
        <item m="1" x="262"/>
        <item m="1" x="37"/>
        <item m="1" x="50"/>
        <item m="1" x="58"/>
        <item m="1" x="217"/>
        <item m="1" x="246"/>
        <item m="1" x="268"/>
        <item m="1" x="157"/>
        <item m="1" x="25"/>
        <item m="1" x="201"/>
        <item m="1" x="26"/>
        <item m="1" x="196"/>
        <item m="1" x="111"/>
        <item m="1" x="39"/>
        <item m="1" x="41"/>
        <item m="1" x="200"/>
        <item m="1" x="70"/>
        <item m="1" x="38"/>
        <item m="1" x="85"/>
        <item m="1" x="138"/>
        <item m="1" x="233"/>
        <item m="1" x="218"/>
        <item m="1" x="204"/>
        <item m="1" x="82"/>
        <item m="1" x="141"/>
        <item m="1" x="22"/>
        <item x="1"/>
        <item x="2"/>
        <item x="3"/>
        <item x="4"/>
        <item x="5"/>
        <item x="6"/>
        <item x="7"/>
        <item x="8"/>
        <item x="9"/>
        <item x="10"/>
        <item x="11"/>
        <item x="12"/>
        <item x="13"/>
        <item m="1" x="129"/>
        <item m="1" x="84"/>
        <item m="1" x="136"/>
        <item m="1" x="113"/>
        <item m="1" x="32"/>
        <item m="1" x="206"/>
        <item m="1" x="244"/>
        <item m="1" x="35"/>
        <item m="1" x="80"/>
        <item m="1" x="189"/>
        <item m="1" x="185"/>
        <item m="1" x="264"/>
        <item m="1" x="155"/>
        <item m="1" x="223"/>
        <item m="1" x="107"/>
        <item m="1" x="164"/>
        <item m="1" x="73"/>
        <item x="14"/>
        <item x="15"/>
        <item m="1" x="168"/>
        <item m="1" x="46"/>
        <item m="1" x="97"/>
        <item m="1" x="267"/>
        <item m="1" x="147"/>
        <item m="1" x="248"/>
        <item m="1" x="81"/>
        <item m="1" x="253"/>
        <item m="1" x="182"/>
        <item x="17"/>
        <item m="1" x="125"/>
        <item m="1" x="152"/>
        <item m="1" x="104"/>
        <item m="1" x="117"/>
        <item m="1" x="93"/>
        <item x="16"/>
        <item x="18"/>
        <item t="default"/>
      </items>
    </pivotField>
    <pivotField axis="axisRow" showAll="0">
      <items count="5">
        <item m="1" x="1"/>
        <item x="0"/>
        <item m="1" x="2"/>
        <item m="1" x="3"/>
        <item t="default"/>
      </items>
    </pivotField>
    <pivotField axis="axisRow" showAll="0">
      <items count="48">
        <item m="1" x="1"/>
        <item x="0"/>
        <item m="1" x="22"/>
        <item m="1" x="11"/>
        <item m="1" x="12"/>
        <item m="1" x="5"/>
        <item m="1" x="34"/>
        <item m="1" x="24"/>
        <item m="1" x="37"/>
        <item m="1" x="2"/>
        <item m="1" x="36"/>
        <item m="1" x="44"/>
        <item m="1" x="21"/>
        <item m="1" x="41"/>
        <item m="1" x="32"/>
        <item m="1" x="38"/>
        <item m="1" x="35"/>
        <item m="1" x="46"/>
        <item m="1" x="18"/>
        <item m="1" x="45"/>
        <item m="1" x="43"/>
        <item m="1" x="19"/>
        <item m="1" x="14"/>
        <item m="1" x="42"/>
        <item m="1" x="15"/>
        <item m="1" x="16"/>
        <item m="1" x="9"/>
        <item m="1" x="30"/>
        <item m="1" x="17"/>
        <item m="1" x="33"/>
        <item m="1" x="25"/>
        <item m="1" x="28"/>
        <item m="1" x="4"/>
        <item m="1" x="23"/>
        <item m="1" x="29"/>
        <item m="1" x="26"/>
        <item m="1" x="3"/>
        <item m="1" x="7"/>
        <item m="1" x="27"/>
        <item m="1" x="40"/>
        <item m="1" x="20"/>
        <item m="1" x="8"/>
        <item m="1" x="10"/>
        <item m="1" x="31"/>
        <item m="1" x="13"/>
        <item m="1" x="39"/>
        <item m="1" x="6"/>
        <item t="default"/>
      </items>
    </pivotField>
    <pivotField axis="axisRow" showAll="0">
      <items count="4">
        <item m="1" x="1"/>
        <item x="0"/>
        <item m="1" x="2"/>
        <item t="default"/>
      </items>
    </pivotField>
    <pivotField axis="axisRow" showAll="0">
      <items count="48">
        <item m="1" x="1"/>
        <item x="0"/>
        <item m="1" x="26"/>
        <item m="1" x="22"/>
        <item m="1" x="10"/>
        <item m="1" x="41"/>
        <item m="1" x="38"/>
        <item m="1" x="25"/>
        <item m="1" x="9"/>
        <item m="1" x="35"/>
        <item m="1" x="33"/>
        <item m="1" x="24"/>
        <item m="1" x="42"/>
        <item m="1" x="34"/>
        <item m="1" x="37"/>
        <item m="1" x="7"/>
        <item m="1" x="19"/>
        <item m="1" x="44"/>
        <item m="1" x="4"/>
        <item m="1" x="3"/>
        <item m="1" x="28"/>
        <item m="1" x="32"/>
        <item m="1" x="36"/>
        <item m="1" x="31"/>
        <item m="1" x="6"/>
        <item m="1" x="2"/>
        <item m="1" x="39"/>
        <item m="1" x="13"/>
        <item m="1" x="16"/>
        <item m="1" x="14"/>
        <item m="1" x="15"/>
        <item m="1" x="21"/>
        <item m="1" x="8"/>
        <item m="1" x="45"/>
        <item m="1" x="30"/>
        <item m="1" x="43"/>
        <item m="1" x="11"/>
        <item m="1" x="29"/>
        <item m="1" x="40"/>
        <item m="1" x="20"/>
        <item m="1" x="23"/>
        <item m="1" x="5"/>
        <item m="1" x="12"/>
        <item m="1" x="46"/>
        <item m="1" x="18"/>
        <item m="1" x="17"/>
        <item m="1" x="27"/>
        <item t="default"/>
      </items>
    </pivotField>
    <pivotField axis="axisRow" showAll="0">
      <items count="3">
        <item m="1" x="1"/>
        <item x="0"/>
        <item t="default"/>
      </items>
    </pivotField>
    <pivotField axis="axisRow" showAll="0">
      <items count="185">
        <item m="1" x="12"/>
        <item x="0"/>
        <item m="1" x="164"/>
        <item m="1" x="174"/>
        <item m="1" x="13"/>
        <item m="1" x="14"/>
        <item m="1" x="18"/>
        <item m="1" x="27"/>
        <item m="1" x="130"/>
        <item m="1" x="165"/>
        <item m="1" x="166"/>
        <item m="1" x="167"/>
        <item m="1" x="168"/>
        <item m="1" x="113"/>
        <item m="1" x="83"/>
        <item m="1" x="169"/>
        <item m="1" x="131"/>
        <item m="1" x="132"/>
        <item m="1" x="88"/>
        <item m="1" x="114"/>
        <item m="1" x="115"/>
        <item m="1" x="170"/>
        <item m="1" x="171"/>
        <item m="1" x="175"/>
        <item m="1" x="176"/>
        <item m="1" x="177"/>
        <item m="1" x="100"/>
        <item m="1" x="104"/>
        <item m="1" x="101"/>
        <item m="1" x="75"/>
        <item m="1" x="127"/>
        <item m="1" x="111"/>
        <item m="1" x="76"/>
        <item m="1" x="128"/>
        <item m="1" x="28"/>
        <item m="1" x="77"/>
        <item m="1" x="102"/>
        <item m="1" x="103"/>
        <item m="1" x="43"/>
        <item m="1" x="145"/>
        <item m="1" x="141"/>
        <item m="1" x="138"/>
        <item m="1" x="139"/>
        <item m="1" x="137"/>
        <item m="1" x="136"/>
        <item m="1" x="155"/>
        <item m="1" x="146"/>
        <item m="1" x="147"/>
        <item m="1" x="148"/>
        <item m="1" x="149"/>
        <item m="1" x="160"/>
        <item m="1" x="84"/>
        <item m="1" x="150"/>
        <item m="1" x="156"/>
        <item m="1" x="157"/>
        <item m="1" x="66"/>
        <item m="1" x="161"/>
        <item m="1" x="162"/>
        <item m="1" x="151"/>
        <item m="1" x="152"/>
        <item m="1" x="142"/>
        <item m="1" x="143"/>
        <item m="1" x="144"/>
        <item m="1" x="153"/>
        <item m="1" x="163"/>
        <item m="1" x="140"/>
        <item m="1" x="85"/>
        <item m="1" x="16"/>
        <item m="1" x="172"/>
        <item m="1" x="86"/>
        <item m="1" x="17"/>
        <item m="1" x="173"/>
        <item m="1" x="87"/>
        <item m="1" x="158"/>
        <item m="1" x="159"/>
        <item m="1" x="15"/>
        <item m="1" x="94"/>
        <item m="1" x="95"/>
        <item m="1" x="78"/>
        <item m="1" x="79"/>
        <item m="1" x="44"/>
        <item m="1" x="21"/>
        <item m="1" x="178"/>
        <item m="1" x="179"/>
        <item m="1" x="129"/>
        <item m="1" x="96"/>
        <item m="1" x="69"/>
        <item m="1" x="45"/>
        <item m="1" x="46"/>
        <item m="1" x="47"/>
        <item m="1" x="48"/>
        <item m="1" x="97"/>
        <item m="1" x="70"/>
        <item m="1" x="49"/>
        <item m="1" x="71"/>
        <item m="1" x="72"/>
        <item m="1" x="20"/>
        <item m="1" x="98"/>
        <item m="1" x="99"/>
        <item m="1" x="50"/>
        <item m="1" x="51"/>
        <item m="1" x="22"/>
        <item m="1" x="23"/>
        <item m="1" x="24"/>
        <item m="1" x="52"/>
        <item m="1" x="105"/>
        <item m="1" x="108"/>
        <item m="1" x="25"/>
        <item m="1" x="109"/>
        <item m="1" x="26"/>
        <item m="1" x="53"/>
        <item m="1" x="110"/>
        <item m="1" x="73"/>
        <item m="1" x="74"/>
        <item m="1" x="57"/>
        <item m="1" x="90"/>
        <item m="1" x="134"/>
        <item m="1" x="135"/>
        <item m="1" x="183"/>
        <item m="1" x="35"/>
        <item m="1" x="29"/>
        <item m="1" x="58"/>
        <item m="1" x="59"/>
        <item m="1" x="60"/>
        <item m="1" x="61"/>
        <item m="1" x="180"/>
        <item m="1" x="30"/>
        <item m="1" x="62"/>
        <item m="1" x="31"/>
        <item m="1" x="32"/>
        <item m="1" x="126"/>
        <item m="1" x="181"/>
        <item m="1" x="182"/>
        <item m="1" x="63"/>
        <item m="1" x="64"/>
        <item m="1" x="91"/>
        <item m="1" x="92"/>
        <item m="1" x="93"/>
        <item m="1" x="65"/>
        <item m="1" x="89"/>
        <item m="1" x="80"/>
        <item m="1" x="106"/>
        <item m="1" x="81"/>
        <item m="1" x="107"/>
        <item m="1" x="133"/>
        <item m="1" x="82"/>
        <item m="1" x="33"/>
        <item m="1" x="34"/>
        <item x="1"/>
        <item x="2"/>
        <item x="3"/>
        <item x="4"/>
        <item x="5"/>
        <item x="6"/>
        <item x="7"/>
        <item x="8"/>
        <item x="9"/>
        <item m="1" x="119"/>
        <item m="1" x="120"/>
        <item m="1" x="121"/>
        <item m="1" x="122"/>
        <item m="1" x="116"/>
        <item m="1" x="36"/>
        <item m="1" x="123"/>
        <item m="1" x="37"/>
        <item m="1" x="38"/>
        <item m="1" x="154"/>
        <item m="1" x="117"/>
        <item m="1" x="118"/>
        <item m="1" x="124"/>
        <item m="1" x="125"/>
        <item m="1" x="41"/>
        <item m="1" x="42"/>
        <item x="10"/>
        <item x="11"/>
        <item m="1" x="112"/>
        <item m="1" x="54"/>
        <item m="1" x="67"/>
        <item m="1" x="55"/>
        <item m="1" x="68"/>
        <item m="1" x="19"/>
        <item m="1" x="56"/>
        <item m="1" x="39"/>
        <item m="1" x="40"/>
        <item t="default"/>
      </items>
    </pivotField>
    <pivotField axis="axisRow" showAll="0">
      <items count="241">
        <item m="1" x="44"/>
        <item m="1" x="205"/>
        <item m="1" x="201"/>
        <item m="1" x="228"/>
        <item m="1" x="168"/>
        <item m="1" x="108"/>
        <item m="1" x="107"/>
        <item m="1" x="137"/>
        <item m="1" x="118"/>
        <item m="1" x="206"/>
        <item m="1" x="207"/>
        <item m="1" x="52"/>
        <item m="1" x="179"/>
        <item m="1" x="150"/>
        <item m="1" x="157"/>
        <item m="1" x="234"/>
        <item m="1" x="235"/>
        <item m="1" x="57"/>
        <item m="1" x="215"/>
        <item m="1" x="223"/>
        <item m="1" x="194"/>
        <item m="1" x="232"/>
        <item m="1" x="138"/>
        <item m="1" x="148"/>
        <item m="1" x="130"/>
        <item m="1" x="173"/>
        <item m="1" x="119"/>
        <item m="1" x="237"/>
        <item m="1" x="99"/>
        <item m="1" x="73"/>
        <item m="1" x="135"/>
        <item m="1" x="131"/>
        <item m="1" x="238"/>
        <item m="1" x="122"/>
        <item m="1" x="226"/>
        <item m="1" x="212"/>
        <item m="1" x="203"/>
        <item m="1" x="193"/>
        <item m="1" x="178"/>
        <item m="1" x="58"/>
        <item m="1" x="59"/>
        <item x="0"/>
        <item m="1" x="126"/>
        <item m="1" x="156"/>
        <item m="1" x="112"/>
        <item m="1" x="78"/>
        <item m="1" x="133"/>
        <item m="1" x="146"/>
        <item m="1" x="64"/>
        <item m="1" x="151"/>
        <item m="1" x="127"/>
        <item m="1" x="128"/>
        <item m="1" x="189"/>
        <item m="1" x="140"/>
        <item m="1" x="50"/>
        <item m="1" x="171"/>
        <item m="1" x="210"/>
        <item m="1" x="211"/>
        <item m="1" x="61"/>
        <item m="1" x="90"/>
        <item m="1" x="105"/>
        <item m="1" x="62"/>
        <item m="1" x="103"/>
        <item m="1" x="65"/>
        <item m="1" x="213"/>
        <item m="1" x="197"/>
        <item m="1" x="152"/>
        <item m="1" x="195"/>
        <item m="1" x="125"/>
        <item m="1" x="124"/>
        <item m="1" x="129"/>
        <item m="1" x="147"/>
        <item m="1" x="174"/>
        <item m="1" x="66"/>
        <item m="1" x="214"/>
        <item m="1" x="87"/>
        <item m="1" x="136"/>
        <item m="1" x="63"/>
        <item m="1" x="81"/>
        <item m="1" x="220"/>
        <item m="1" x="221"/>
        <item m="1" x="74"/>
        <item m="1" x="202"/>
        <item m="1" x="46"/>
        <item m="1" x="72"/>
        <item m="1" x="49"/>
        <item m="1" x="216"/>
        <item m="1" x="161"/>
        <item m="1" x="47"/>
        <item m="1" x="75"/>
        <item m="1" x="76"/>
        <item m="1" x="111"/>
        <item m="1" x="153"/>
        <item m="1" x="121"/>
        <item m="1" x="67"/>
        <item m="1" x="116"/>
        <item m="1" x="117"/>
        <item m="1" x="204"/>
        <item m="1" x="80"/>
        <item m="1" x="217"/>
        <item m="1" x="199"/>
        <item m="1" x="45"/>
        <item m="1" x="162"/>
        <item m="1" x="187"/>
        <item m="1" x="190"/>
        <item m="1" x="53"/>
        <item m="1" x="222"/>
        <item m="1" x="100"/>
        <item m="1" x="98"/>
        <item m="1" x="91"/>
        <item m="1" x="77"/>
        <item m="1" x="227"/>
        <item m="1" x="175"/>
        <item m="1" x="142"/>
        <item m="1" x="172"/>
        <item m="1" x="85"/>
        <item m="1" x="184"/>
        <item m="1" x="149"/>
        <item m="1" x="154"/>
        <item m="1" x="155"/>
        <item m="1" x="180"/>
        <item m="1" x="115"/>
        <item m="1" x="68"/>
        <item m="1" x="71"/>
        <item m="1" x="166"/>
        <item m="1" x="139"/>
        <item m="1" x="55"/>
        <item m="1" x="230"/>
        <item m="1" x="181"/>
        <item m="1" x="182"/>
        <item m="1" x="198"/>
        <item m="1" x="191"/>
        <item m="1" x="200"/>
        <item m="1" x="236"/>
        <item m="1" x="185"/>
        <item m="1" x="186"/>
        <item m="1" x="109"/>
        <item m="1" x="144"/>
        <item m="1" x="106"/>
        <item m="1" x="102"/>
        <item m="1" x="101"/>
        <item m="1" x="56"/>
        <item m="1" x="177"/>
        <item m="1" x="159"/>
        <item m="1" x="231"/>
        <item m="1" x="218"/>
        <item m="1" x="123"/>
        <item m="1" x="188"/>
        <item m="1" x="169"/>
        <item m="1" x="120"/>
        <item m="1" x="229"/>
        <item m="1" x="86"/>
        <item m="1" x="225"/>
        <item m="1" x="84"/>
        <item m="1" x="160"/>
        <item m="1" x="94"/>
        <item m="1" x="54"/>
        <item m="1" x="96"/>
        <item m="1" x="97"/>
        <item m="1" x="88"/>
        <item x="2"/>
        <item x="3"/>
        <item m="1" x="95"/>
        <item x="1"/>
        <item m="1" x="51"/>
        <item m="1" x="233"/>
        <item m="1" x="143"/>
        <item m="1" x="192"/>
        <item m="1" x="176"/>
        <item x="4"/>
        <item x="5"/>
        <item x="6"/>
        <item x="7"/>
        <item x="8"/>
        <item x="9"/>
        <item x="10"/>
        <item x="11"/>
        <item m="1" x="60"/>
        <item m="1" x="163"/>
        <item m="1" x="164"/>
        <item m="1" x="89"/>
        <item m="1" x="104"/>
        <item m="1" x="48"/>
        <item m="1" x="158"/>
        <item m="1" x="92"/>
        <item m="1" x="93"/>
        <item m="1" x="114"/>
        <item m="1" x="167"/>
        <item m="1" x="239"/>
        <item m="1" x="113"/>
        <item m="1" x="145"/>
        <item m="1" x="224"/>
        <item m="1" x="110"/>
        <item x="31"/>
        <item x="32"/>
        <item m="1" x="183"/>
        <item m="1" x="134"/>
        <item m="1" x="132"/>
        <item m="1" x="170"/>
        <item m="1" x="79"/>
        <item m="1" x="209"/>
        <item m="1" x="208"/>
        <item m="1" x="219"/>
        <item x="42"/>
        <item m="1" x="83"/>
        <item m="1" x="196"/>
        <item m="1" x="141"/>
        <item m="1" x="69"/>
        <item m="1" x="70"/>
        <item x="12"/>
        <item x="13"/>
        <item x="14"/>
        <item x="15"/>
        <item x="16"/>
        <item x="17"/>
        <item x="18"/>
        <item x="19"/>
        <item x="20"/>
        <item x="21"/>
        <item x="22"/>
        <item x="23"/>
        <item x="24"/>
        <item x="25"/>
        <item x="26"/>
        <item x="27"/>
        <item x="28"/>
        <item x="29"/>
        <item m="1" x="165"/>
        <item x="33"/>
        <item x="34"/>
        <item x="35"/>
        <item x="36"/>
        <item m="1" x="82"/>
        <item x="38"/>
        <item x="39"/>
        <item x="40"/>
        <item x="41"/>
        <item x="30"/>
        <item x="37"/>
        <item x="43"/>
        <item t="default"/>
      </items>
    </pivotField>
    <pivotField axis="axisRow" showAll="0">
      <items count="3">
        <item m="1" x="1"/>
        <item x="0"/>
        <item t="default"/>
      </items>
    </pivotField>
    <pivotField axis="axisRow" showAll="0">
      <items count="33">
        <item m="1" x="4"/>
        <item m="1" x="20"/>
        <item m="1" x="18"/>
        <item m="1" x="5"/>
        <item m="1" x="8"/>
        <item m="1" x="6"/>
        <item m="1" x="25"/>
        <item m="1" x="17"/>
        <item m="1" x="31"/>
        <item x="0"/>
        <item m="1" x="19"/>
        <item m="1" x="7"/>
        <item m="1" x="26"/>
        <item m="1" x="9"/>
        <item m="1" x="15"/>
        <item m="1" x="10"/>
        <item m="1" x="16"/>
        <item m="1" x="11"/>
        <item m="1" x="13"/>
        <item m="1" x="14"/>
        <item m="1" x="22"/>
        <item m="1" x="12"/>
        <item m="1" x="21"/>
        <item m="1" x="27"/>
        <item m="1" x="29"/>
        <item m="1" x="23"/>
        <item m="1" x="28"/>
        <item m="1" x="30"/>
        <item m="1" x="24"/>
        <item x="1"/>
        <item x="2"/>
        <item x="3"/>
        <item t="default"/>
      </items>
    </pivotField>
    <pivotField axis="axisRow" showAll="0">
      <items count="10">
        <item m="1" x="1"/>
        <item m="1" x="8"/>
        <item m="1" x="3"/>
        <item m="1" x="2"/>
        <item x="0"/>
        <item m="1" x="5"/>
        <item m="1" x="4"/>
        <item m="1" x="6"/>
        <item m="1" x="7"/>
        <item t="default"/>
      </items>
    </pivotField>
    <pivotField axis="axisRow" showAll="0">
      <items count="610">
        <item m="1" x="34"/>
        <item m="1" x="607"/>
        <item m="1" x="49"/>
        <item m="1" x="569"/>
        <item m="1" x="389"/>
        <item m="1" x="205"/>
        <item m="1" x="439"/>
        <item m="1" x="319"/>
        <item m="1" x="438"/>
        <item m="1" x="564"/>
        <item m="1" x="508"/>
        <item m="1" x="383"/>
        <item m="1" x="126"/>
        <item m="1" x="35"/>
        <item m="1" x="36"/>
        <item m="1" x="288"/>
        <item m="1" x="340"/>
        <item m="1" x="471"/>
        <item m="1" x="283"/>
        <item m="1" x="258"/>
        <item m="1" x="358"/>
        <item m="1" x="578"/>
        <item m="1" x="321"/>
        <item m="1" x="394"/>
        <item m="1" x="490"/>
        <item m="1" x="345"/>
        <item m="1" x="487"/>
        <item m="1" x="499"/>
        <item m="1" x="572"/>
        <item m="1" x="485"/>
        <item m="1" x="350"/>
        <item m="1" x="145"/>
        <item m="1" x="497"/>
        <item m="1" x="274"/>
        <item m="1" x="220"/>
        <item m="1" x="269"/>
        <item m="1" x="403"/>
        <item m="1" x="459"/>
        <item m="1" x="491"/>
        <item m="1" x="120"/>
        <item m="1" x="119"/>
        <item m="1" x="580"/>
        <item m="1" x="393"/>
        <item m="1" x="467"/>
        <item m="1" x="239"/>
        <item m="1" x="434"/>
        <item m="1" x="466"/>
        <item m="1" x="511"/>
        <item m="1" x="77"/>
        <item m="1" x="346"/>
        <item m="1" x="209"/>
        <item m="1" x="384"/>
        <item m="1" x="406"/>
        <item m="1" x="432"/>
        <item m="1" x="474"/>
        <item m="1" x="241"/>
        <item m="1" x="423"/>
        <item m="1" x="135"/>
        <item m="1" x="351"/>
        <item m="1" x="359"/>
        <item m="1" x="204"/>
        <item m="1" x="550"/>
        <item m="1" x="259"/>
        <item m="1" x="509"/>
        <item m="1" x="180"/>
        <item m="1" x="571"/>
        <item m="1" x="156"/>
        <item m="1" x="475"/>
        <item m="1" x="379"/>
        <item m="1" x="244"/>
        <item m="1" x="570"/>
        <item m="1" x="122"/>
        <item m="1" x="419"/>
        <item m="1" x="192"/>
        <item m="1" x="562"/>
        <item m="1" x="451"/>
        <item m="1" x="316"/>
        <item m="1" x="343"/>
        <item m="1" x="95"/>
        <item m="1" x="149"/>
        <item m="1" x="297"/>
        <item m="1" x="428"/>
        <item m="1" x="54"/>
        <item m="1" x="163"/>
        <item m="1" x="482"/>
        <item m="1" x="131"/>
        <item m="1" x="598"/>
        <item m="1" x="103"/>
        <item m="1" x="58"/>
        <item m="1" x="452"/>
        <item m="1" x="158"/>
        <item m="1" x="444"/>
        <item m="1" x="563"/>
        <item m="1" x="59"/>
        <item m="1" x="74"/>
        <item m="1" x="492"/>
        <item x="0"/>
        <item m="1" x="38"/>
        <item m="1" x="261"/>
        <item m="1" x="464"/>
        <item m="1" x="189"/>
        <item m="1" x="46"/>
        <item m="1" x="171"/>
        <item m="1" x="337"/>
        <item m="1" x="186"/>
        <item m="1" x="112"/>
        <item m="1" x="109"/>
        <item m="1" x="110"/>
        <item m="1" x="270"/>
        <item m="1" x="62"/>
        <item m="1" x="540"/>
        <item m="1" x="167"/>
        <item m="1" x="73"/>
        <item m="1" x="489"/>
        <item m="1" x="208"/>
        <item m="1" x="527"/>
        <item m="1" x="505"/>
        <item m="1" x="178"/>
        <item m="1" x="504"/>
        <item m="1" x="525"/>
        <item m="1" x="585"/>
        <item m="1" x="197"/>
        <item m="1" x="228"/>
        <item m="1" x="63"/>
        <item m="1" x="335"/>
        <item m="1" x="111"/>
        <item m="1" x="532"/>
        <item m="1" x="52"/>
        <item m="1" x="61"/>
        <item m="1" x="582"/>
        <item m="1" x="53"/>
        <item m="1" x="47"/>
        <item m="1" x="542"/>
        <item m="1" x="331"/>
        <item m="1" x="388"/>
        <item m="1" x="352"/>
        <item m="1" x="460"/>
        <item m="1" x="48"/>
        <item m="1" x="362"/>
        <item m="1" x="182"/>
        <item m="1" x="589"/>
        <item m="1" x="344"/>
        <item m="1" x="234"/>
        <item m="1" x="57"/>
        <item m="1" x="250"/>
        <item m="1" x="544"/>
        <item m="1" x="223"/>
        <item m="1" x="245"/>
        <item m="1" x="153"/>
        <item m="1" x="90"/>
        <item m="1" x="224"/>
        <item m="1" x="326"/>
        <item m="1" x="96"/>
        <item m="1" x="445"/>
        <item m="1" x="378"/>
        <item m="1" x="39"/>
        <item m="1" x="588"/>
        <item m="1" x="520"/>
        <item m="1" x="118"/>
        <item m="1" x="247"/>
        <item m="1" x="265"/>
        <item m="1" x="587"/>
        <item m="1" x="164"/>
        <item m="1" x="177"/>
        <item m="1" x="590"/>
        <item m="1" x="93"/>
        <item m="1" x="536"/>
        <item m="1" x="218"/>
        <item m="1" x="447"/>
        <item m="1" x="42"/>
        <item m="1" x="515"/>
        <item m="1" x="516"/>
        <item m="1" x="67"/>
        <item m="1" x="534"/>
        <item m="1" x="99"/>
        <item m="1" x="188"/>
        <item m="1" x="418"/>
        <item m="1" x="290"/>
        <item m="1" x="161"/>
        <item m="1" x="478"/>
        <item m="1" x="547"/>
        <item m="1" x="368"/>
        <item m="1" x="512"/>
        <item m="1" x="246"/>
        <item m="1" x="165"/>
        <item m="1" x="551"/>
        <item m="1" x="426"/>
        <item m="1" x="262"/>
        <item m="1" x="483"/>
        <item m="1" x="558"/>
        <item m="1" x="341"/>
        <item m="1" x="420"/>
        <item m="1" x="367"/>
        <item m="1" x="132"/>
        <item m="1" x="513"/>
        <item m="1" x="157"/>
        <item m="1" x="602"/>
        <item m="1" x="409"/>
        <item m="1" x="575"/>
        <item m="1" x="355"/>
        <item m="1" x="81"/>
        <item m="1" x="194"/>
        <item m="1" x="154"/>
        <item m="1" x="104"/>
        <item m="1" x="191"/>
        <item m="1" x="237"/>
        <item m="1" x="293"/>
        <item m="1" x="425"/>
        <item m="1" x="166"/>
        <item m="1" x="470"/>
        <item m="1" x="477"/>
        <item m="1" x="456"/>
        <item m="1" x="147"/>
        <item m="1" x="429"/>
        <item m="1" x="422"/>
        <item m="1" x="577"/>
        <item m="1" x="307"/>
        <item m="1" x="365"/>
        <item m="1" x="56"/>
        <item m="1" x="229"/>
        <item m="1" x="64"/>
        <item m="1" x="107"/>
        <item m="1" x="592"/>
        <item m="1" x="116"/>
        <item m="1" x="123"/>
        <item m="1" x="238"/>
        <item m="1" x="308"/>
        <item m="1" x="155"/>
        <item m="1" x="354"/>
        <item m="1" x="503"/>
        <item m="1" x="473"/>
        <item m="1" x="401"/>
        <item m="1" x="309"/>
        <item m="1" x="193"/>
        <item m="1" x="97"/>
        <item m="1" x="98"/>
        <item m="1" x="370"/>
        <item m="1" x="298"/>
        <item m="1" x="498"/>
        <item m="1" x="583"/>
        <item m="1" x="581"/>
        <item m="1" x="541"/>
        <item m="1" x="522"/>
        <item m="1" x="455"/>
        <item m="1" x="494"/>
        <item m="1" x="561"/>
        <item m="1" x="472"/>
        <item m="1" x="517"/>
        <item m="1" x="51"/>
        <item m="1" x="190"/>
        <item m="1" x="560"/>
        <item m="1" x="174"/>
        <item m="1" x="150"/>
        <item m="1" x="295"/>
        <item m="1" x="86"/>
        <item m="1" x="381"/>
        <item m="1" x="117"/>
        <item m="1" x="221"/>
        <item m="1" x="440"/>
        <item m="1" x="526"/>
        <item m="1" x="286"/>
        <item m="1" x="533"/>
        <item m="1" x="437"/>
        <item m="1" x="140"/>
        <item m="1" x="608"/>
        <item m="1" x="92"/>
        <item m="1" x="146"/>
        <item m="1" x="311"/>
        <item m="1" x="313"/>
        <item m="1" x="574"/>
        <item m="1" x="357"/>
        <item m="1" x="573"/>
        <item m="1" x="272"/>
        <item m="1" x="253"/>
        <item m="1" x="232"/>
        <item m="1" x="124"/>
        <item m="1" x="431"/>
        <item m="1" x="415"/>
        <item m="1" x="448"/>
        <item m="1" x="369"/>
        <item m="1" x="80"/>
        <item m="1" x="484"/>
        <item m="1" x="143"/>
        <item m="1" x="312"/>
        <item m="1" x="529"/>
        <item m="1" x="172"/>
        <item m="1" x="427"/>
        <item m="1" x="521"/>
        <item m="1" x="523"/>
        <item m="1" x="105"/>
        <item m="1" x="71"/>
        <item m="1" x="430"/>
        <item m="1" x="301"/>
        <item m="1" x="397"/>
        <item m="1" x="230"/>
        <item m="1" x="334"/>
        <item m="1" x="281"/>
        <item m="1" x="476"/>
        <item m="1" x="291"/>
        <item m="1" x="292"/>
        <item m="1" x="243"/>
        <item m="1" x="294"/>
        <item m="1" x="407"/>
        <item m="1" x="411"/>
        <item m="1" x="148"/>
        <item m="1" x="248"/>
        <item m="1" x="392"/>
        <item m="1" x="375"/>
        <item m="1" x="282"/>
        <item m="1" x="267"/>
        <item m="1" x="280"/>
        <item m="1" x="373"/>
        <item m="1" x="417"/>
        <item m="1" x="320"/>
        <item m="1" x="449"/>
        <item m="1" x="315"/>
        <item m="1" x="545"/>
        <item m="1" x="284"/>
        <item m="1" x="601"/>
        <item m="1" x="594"/>
        <item m="1" x="443"/>
        <item m="1" x="257"/>
        <item m="1" x="342"/>
        <item m="1" x="332"/>
        <item m="1" x="546"/>
        <item m="1" x="457"/>
        <item m="1" x="518"/>
        <item m="1" x="176"/>
        <item m="1" x="68"/>
        <item m="1" x="463"/>
        <item m="1" x="506"/>
        <item m="1" x="514"/>
        <item m="1" x="468"/>
        <item m="1" x="199"/>
        <item m="1" x="400"/>
        <item m="1" x="353"/>
        <item m="1" x="374"/>
        <item m="1" x="289"/>
        <item m="1" x="328"/>
        <item m="1" x="339"/>
        <item m="1" x="89"/>
        <item m="1" x="543"/>
        <item m="1" x="519"/>
        <item m="1" x="454"/>
        <item m="1" x="502"/>
        <item m="1" x="43"/>
        <item m="1" x="162"/>
        <item m="1" x="130"/>
        <item m="1" x="500"/>
        <item m="1" x="273"/>
        <item m="1" x="82"/>
        <item m="1" x="300"/>
        <item m="1" x="387"/>
        <item m="1" x="324"/>
        <item m="1" x="44"/>
        <item m="1" x="501"/>
        <item m="1" x="548"/>
        <item m="1" x="219"/>
        <item m="1" x="408"/>
        <item m="1" x="217"/>
        <item m="1" x="215"/>
        <item m="1" x="555"/>
        <item m="1" x="495"/>
        <item m="1" x="496"/>
        <item m="1" x="433"/>
        <item m="1" x="531"/>
        <item m="1" x="376"/>
        <item m="1" x="461"/>
        <item m="1" x="144"/>
        <item m="1" x="329"/>
        <item m="1" x="285"/>
        <item m="1" x="129"/>
        <item m="1" x="557"/>
        <item m="1" x="576"/>
        <item m="1" x="568"/>
        <item m="1" x="137"/>
        <item m="1" x="113"/>
        <item m="1" x="201"/>
        <item m="1" x="216"/>
        <item m="1" x="214"/>
        <item m="1" x="187"/>
        <item m="1" x="88"/>
        <item m="1" x="479"/>
        <item m="1" x="55"/>
        <item m="1" x="235"/>
        <item m="1" x="412"/>
        <item m="1" x="453"/>
        <item m="1" x="559"/>
        <item m="1" x="465"/>
        <item m="1" x="410"/>
        <item m="1" x="173"/>
        <item m="1" x="424"/>
        <item m="1" x="591"/>
        <item m="1" x="371"/>
        <item m="1" x="114"/>
        <item m="1" x="405"/>
        <item m="1" x="226"/>
        <item m="1" x="133"/>
        <item m="1" x="325"/>
        <item m="1" x="142"/>
        <item m="1" x="87"/>
        <item m="1" x="524"/>
        <item m="1" x="364"/>
        <item m="1" x="242"/>
        <item m="1" x="102"/>
        <item m="1" x="41"/>
        <item m="1" x="106"/>
        <item m="1" x="108"/>
        <item m="1" x="275"/>
        <item m="1" x="549"/>
        <item m="1" x="435"/>
        <item m="1" x="249"/>
        <item m="1" x="227"/>
        <item m="1" x="579"/>
        <item m="1" x="604"/>
        <item m="1" x="336"/>
        <item m="1" x="347"/>
        <item m="1" x="203"/>
        <item m="1" x="128"/>
        <item m="1" x="287"/>
        <item m="1" x="37"/>
        <item m="1" x="416"/>
        <item m="1" x="141"/>
        <item m="1" x="391"/>
        <item m="1" x="66"/>
        <item m="1" x="318"/>
        <item m="1" x="304"/>
        <item m="1" x="305"/>
        <item m="1" x="382"/>
        <item m="1" x="372"/>
        <item m="1" x="207"/>
        <item m="1" x="279"/>
        <item m="1" x="251"/>
        <item m="1" x="462"/>
        <item m="1" x="556"/>
        <item m="1" x="566"/>
        <item m="1" x="183"/>
        <item m="1" x="125"/>
        <item m="1" x="152"/>
        <item m="1" x="530"/>
        <item m="1" x="552"/>
        <item m="1" x="83"/>
        <item m="1" x="200"/>
        <item m="1" x="553"/>
        <item m="1" x="175"/>
        <item m="1" x="233"/>
        <item m="1" x="231"/>
        <item m="1" x="493"/>
        <item m="1" x="263"/>
        <item m="1" x="399"/>
        <item m="1" x="264"/>
        <item m="1" x="101"/>
        <item m="1" x="198"/>
        <item m="1" x="306"/>
        <item m="1" x="210"/>
        <item m="1" x="211"/>
        <item m="1" x="255"/>
        <item m="1" x="299"/>
        <item m="1" x="79"/>
        <item m="1" x="338"/>
        <item m="1" x="254"/>
        <item m="1" x="565"/>
        <item m="1" x="278"/>
        <item m="1" x="600"/>
        <item m="1" x="168"/>
        <item m="1" x="213"/>
        <item m="1" x="196"/>
        <item m="1" x="390"/>
        <item m="1" x="69"/>
        <item m="1" x="202"/>
        <item m="1" x="537"/>
        <item m="1" x="268"/>
        <item m="1" x="348"/>
        <item m="1" x="535"/>
        <item m="1" x="212"/>
        <item m="1" x="413"/>
        <item m="1" x="303"/>
        <item m="1" x="134"/>
        <item m="1" x="380"/>
        <item m="1" x="330"/>
        <item m="1" x="322"/>
        <item m="1" x="169"/>
        <item m="1" x="323"/>
        <item m="1" x="170"/>
        <item m="1" x="599"/>
        <item m="1" x="75"/>
        <item m="1" x="225"/>
        <item m="1" x="40"/>
        <item m="1" x="469"/>
        <item m="1" x="84"/>
        <item m="1" x="395"/>
        <item m="1" x="85"/>
        <item m="1" x="386"/>
        <item m="1" x="179"/>
        <item m="1" x="554"/>
        <item m="1" x="252"/>
        <item m="1" x="302"/>
        <item m="1" x="260"/>
        <item m="1" x="507"/>
        <item m="1" x="115"/>
        <item m="1" x="349"/>
        <item m="1" x="138"/>
        <item m="1" x="139"/>
        <item m="1" x="76"/>
        <item m="1" x="151"/>
        <item m="1" x="60"/>
        <item m="1" x="333"/>
        <item m="1" x="539"/>
        <item m="1" x="595"/>
        <item m="1" x="310"/>
        <item m="1" x="458"/>
        <item m="1" x="121"/>
        <item m="1" x="240"/>
        <item m="1" x="396"/>
        <item m="1" x="605"/>
        <item m="1" x="236"/>
        <item m="1" x="377"/>
        <item m="1" x="606"/>
        <item m="1" x="317"/>
        <item m="1" x="256"/>
        <item m="1" x="181"/>
        <item m="1" x="486"/>
        <item m="1" x="436"/>
        <item m="1" x="356"/>
        <item m="1" x="159"/>
        <item m="1" x="398"/>
        <item m="1" x="271"/>
        <item m="1" x="91"/>
        <item m="1" x="567"/>
        <item m="1" x="528"/>
        <item m="1" x="481"/>
        <item m="1" x="450"/>
        <item m="1" x="593"/>
        <item m="1" x="266"/>
        <item m="1" x="597"/>
        <item m="1" x="446"/>
        <item m="1" x="596"/>
        <item m="1" x="160"/>
        <item m="1" x="327"/>
        <item m="1" x="195"/>
        <item m="1" x="385"/>
        <item m="1" x="78"/>
        <item m="1" x="65"/>
        <item m="1" x="538"/>
        <item m="1" x="206"/>
        <item m="1" x="488"/>
        <item m="1" x="421"/>
        <item m="1" x="276"/>
        <item m="1" x="404"/>
        <item m="1" x="45"/>
        <item m="1" x="127"/>
        <item m="1" x="414"/>
        <item m="1" x="314"/>
        <item m="1" x="222"/>
        <item m="1" x="70"/>
        <item m="1" x="363"/>
        <item m="1" x="184"/>
        <item m="1" x="185"/>
        <item m="1" x="94"/>
        <item m="1" x="50"/>
        <item m="1" x="366"/>
        <item m="1" x="584"/>
        <item m="1" x="603"/>
        <item m="1" x="441"/>
        <item m="1" x="402"/>
        <item m="1" x="277"/>
        <item m="1" x="361"/>
        <item m="1" x="100"/>
        <item m="1" x="480"/>
        <item m="1" x="442"/>
        <item m="1" x="360"/>
        <item m="1" x="510"/>
        <item m="1" x="72"/>
        <item m="1" x="296"/>
        <item m="1" x="136"/>
        <item m="1" x="586"/>
        <item x="1"/>
        <item x="2"/>
        <item x="3"/>
        <item x="4"/>
        <item x="5"/>
        <item x="6"/>
        <item x="7"/>
        <item x="8"/>
        <item x="9"/>
        <item x="10"/>
        <item x="11"/>
        <item x="12"/>
        <item x="13"/>
        <item x="14"/>
        <item x="15"/>
        <item x="16"/>
        <item x="17"/>
        <item x="18"/>
        <item x="19"/>
        <item x="20"/>
        <item x="21"/>
        <item x="22"/>
        <item x="23"/>
        <item x="25"/>
        <item x="26"/>
        <item x="27"/>
        <item x="28"/>
        <item x="29"/>
        <item x="30"/>
        <item x="31"/>
        <item x="32"/>
        <item x="33"/>
        <item x="24"/>
        <item t="default"/>
      </items>
    </pivotField>
    <pivotField axis="axisRow" showAll="0">
      <items count="42">
        <item m="1" x="5"/>
        <item m="1" x="36"/>
        <item m="1" x="7"/>
        <item m="1" x="38"/>
        <item m="1" x="15"/>
        <item m="1" x="31"/>
        <item m="1" x="18"/>
        <item x="0"/>
        <item m="1" x="10"/>
        <item m="1" x="32"/>
        <item m="1" x="11"/>
        <item m="1" x="39"/>
        <item m="1" x="23"/>
        <item m="1" x="27"/>
        <item m="1" x="14"/>
        <item m="1" x="22"/>
        <item m="1" x="25"/>
        <item m="1" x="29"/>
        <item m="1" x="21"/>
        <item m="1" x="16"/>
        <item m="1" x="34"/>
        <item m="1" x="19"/>
        <item m="1" x="26"/>
        <item m="1" x="37"/>
        <item m="1" x="24"/>
        <item m="1" x="40"/>
        <item m="1" x="30"/>
        <item m="1" x="8"/>
        <item m="1" x="9"/>
        <item m="1" x="17"/>
        <item m="1" x="35"/>
        <item m="1" x="20"/>
        <item m="1" x="13"/>
        <item m="1" x="6"/>
        <item m="1" x="28"/>
        <item m="1" x="33"/>
        <item m="1" x="12"/>
        <item x="1"/>
        <item x="2"/>
        <item x="3"/>
        <item x="4"/>
        <item t="default"/>
      </items>
    </pivotField>
    <pivotField axis="axisRow" showAll="0">
      <items count="3">
        <item m="1" x="1"/>
        <item x="0"/>
        <item t="default"/>
      </items>
    </pivotField>
    <pivotField axis="axisRow" showAll="0">
      <items count="18">
        <item m="1" x="6"/>
        <item m="1" x="12"/>
        <item m="1" x="13"/>
        <item m="1" x="14"/>
        <item m="1" x="15"/>
        <item m="1" x="16"/>
        <item x="0"/>
        <item m="1" x="7"/>
        <item m="1" x="8"/>
        <item m="1" x="9"/>
        <item m="1" x="10"/>
        <item m="1" x="11"/>
        <item x="1"/>
        <item x="2"/>
        <item x="3"/>
        <item x="4"/>
        <item x="5"/>
        <item t="default"/>
      </items>
    </pivotField>
    <pivotField axis="axisRow" showAll="0">
      <items count="3">
        <item m="1" x="1"/>
        <item x="0"/>
        <item t="default"/>
      </items>
    </pivotField>
    <pivotField axis="axisRow" showAll="0">
      <items count="5">
        <item m="1" x="3"/>
        <item x="0"/>
        <item x="1"/>
        <item x="2"/>
        <item t="default"/>
      </items>
    </pivotField>
    <pivotField axis="axisRow" showAll="0">
      <items count="23">
        <item m="1" x="6"/>
        <item m="1" x="11"/>
        <item m="1" x="14"/>
        <item m="1" x="20"/>
        <item m="1" x="17"/>
        <item m="1" x="15"/>
        <item x="0"/>
        <item m="1" x="18"/>
        <item m="1" x="9"/>
        <item m="1" x="13"/>
        <item m="1" x="19"/>
        <item m="1" x="10"/>
        <item m="1" x="16"/>
        <item m="1" x="7"/>
        <item m="1" x="21"/>
        <item m="1" x="12"/>
        <item m="1" x="8"/>
        <item x="1"/>
        <item x="2"/>
        <item x="3"/>
        <item x="4"/>
        <item x="5"/>
        <item t="default"/>
      </items>
    </pivotField>
    <pivotField axis="axisRow" showAll="0">
      <items count="11">
        <item m="1" x="1"/>
        <item m="1" x="4"/>
        <item m="1" x="3"/>
        <item x="0"/>
        <item m="1" x="7"/>
        <item m="1" x="9"/>
        <item m="1" x="6"/>
        <item m="1" x="5"/>
        <item m="1" x="8"/>
        <item m="1" x="2"/>
        <item t="default"/>
      </items>
    </pivotField>
    <pivotField axis="axisRow" showAll="0">
      <items count="3">
        <item m="1" x="1"/>
        <item x="0"/>
        <item t="default"/>
      </items>
    </pivotField>
    <pivotField axis="axisRow" showAll="0">
      <items count="3">
        <item m="1" x="1"/>
        <item x="0"/>
        <item t="default"/>
      </items>
    </pivotField>
    <pivotField axis="axisRow" showAll="0">
      <items count="23">
        <item m="1" x="6"/>
        <item m="1" x="13"/>
        <item m="1" x="8"/>
        <item m="1" x="11"/>
        <item m="1" x="18"/>
        <item m="1" x="20"/>
        <item x="0"/>
        <item m="1" x="9"/>
        <item m="1" x="21"/>
        <item m="1" x="17"/>
        <item m="1" x="15"/>
        <item m="1" x="7"/>
        <item m="1" x="10"/>
        <item m="1" x="12"/>
        <item m="1" x="19"/>
        <item m="1" x="16"/>
        <item m="1" x="14"/>
        <item x="1"/>
        <item x="2"/>
        <item x="3"/>
        <item x="4"/>
        <item x="5"/>
        <item t="default"/>
      </items>
    </pivotField>
    <pivotField axis="axisRow" showAll="0">
      <items count="3">
        <item m="1" x="1"/>
        <item x="0"/>
        <item t="default"/>
      </items>
    </pivotField>
    <pivotField axis="axisRow" showAll="0">
      <items count="3">
        <item m="1" x="1"/>
        <item x="0"/>
        <item t="default"/>
      </items>
    </pivotField>
    <pivotField axis="axisRow" showAll="0">
      <items count="3">
        <item m="1" x="1"/>
        <item x="0"/>
        <item t="default"/>
      </items>
    </pivotField>
    <pivotField axis="axisRow" showAll="0">
      <items count="3">
        <item m="1" x="1"/>
        <item x="0"/>
        <item t="default"/>
      </items>
    </pivotField>
    <pivotField axis="axisRow" showAll="0">
      <items count="3">
        <item m="1" x="1"/>
        <item x="0"/>
        <item t="default"/>
      </items>
    </pivotField>
    <pivotField axis="axisRow" showAll="0">
      <items count="3">
        <item m="1" x="1"/>
        <item x="0"/>
        <item t="default"/>
      </items>
    </pivotField>
    <pivotField axis="axisRow" showAll="0">
      <items count="3">
        <item m="1" x="1"/>
        <item x="0"/>
        <item t="default"/>
      </items>
    </pivotField>
    <pivotField axis="axisRow" showAll="0">
      <items count="3">
        <item m="1" x="1"/>
        <item x="0"/>
        <item t="default"/>
      </items>
    </pivotField>
    <pivotField axis="axisRow" showAll="0">
      <items count="3">
        <item m="1" x="1"/>
        <item x="0"/>
        <item t="default"/>
      </items>
    </pivotField>
    <pivotField axis="axisRow" showAll="0">
      <items count="3">
        <item m="1" x="1"/>
        <item x="0"/>
        <item t="default"/>
      </items>
    </pivotField>
    <pivotField axis="axisRow" showAll="0">
      <items count="28">
        <item m="1" x="8"/>
        <item m="1" x="14"/>
        <item m="1" x="20"/>
        <item m="1" x="23"/>
        <item m="1" x="15"/>
        <item m="1" x="25"/>
        <item m="1" x="16"/>
        <item x="0"/>
        <item m="1" x="18"/>
        <item m="1" x="21"/>
        <item m="1" x="26"/>
        <item m="1" x="22"/>
        <item m="1" x="9"/>
        <item m="1" x="24"/>
        <item m="1" x="19"/>
        <item m="1" x="13"/>
        <item m="1" x="17"/>
        <item m="1" x="10"/>
        <item x="3"/>
        <item x="4"/>
        <item x="5"/>
        <item x="6"/>
        <item x="7"/>
        <item m="1" x="11"/>
        <item m="1" x="12"/>
        <item x="1"/>
        <item x="2"/>
        <item t="default"/>
      </items>
    </pivotField>
    <pivotField axis="axisRow" showAll="0">
      <items count="3">
        <item m="1" x="1"/>
        <item x="0"/>
        <item t="default"/>
      </items>
    </pivotField>
    <pivotField axis="axisRow" showAll="0">
      <items count="3">
        <item m="1" x="1"/>
        <item x="0"/>
        <item t="default"/>
      </items>
    </pivotField>
    <pivotField axis="axisRow" showAll="0">
      <items count="12">
        <item m="1" x="2"/>
        <item m="1" x="8"/>
        <item m="1" x="3"/>
        <item x="0"/>
        <item m="1" x="4"/>
        <item m="1" x="9"/>
        <item m="1" x="7"/>
        <item m="1" x="6"/>
        <item m="1" x="10"/>
        <item m="1" x="5"/>
        <item x="1"/>
        <item t="default"/>
      </items>
    </pivotField>
    <pivotField axis="axisRow" showAll="0">
      <items count="3">
        <item m="1" x="1"/>
        <item x="0"/>
        <item t="default"/>
      </items>
    </pivotField>
    <pivotField axis="axisRow" showAll="0">
      <items count="3">
        <item m="1" x="1"/>
        <item x="0"/>
        <item t="default"/>
      </items>
    </pivotField>
    <pivotField axis="axisRow" showAll="0">
      <items count="7">
        <item m="1" x="3"/>
        <item x="0"/>
        <item m="1" x="4"/>
        <item m="1" x="5"/>
        <item x="1"/>
        <item x="2"/>
        <item t="default"/>
      </items>
    </pivotField>
    <pivotField axis="axisRow" showAll="0">
      <items count="59">
        <item m="1" x="9"/>
        <item m="1" x="33"/>
        <item m="1" x="55"/>
        <item m="1" x="28"/>
        <item m="1" x="37"/>
        <item m="1" x="57"/>
        <item m="1" x="47"/>
        <item m="1" x="10"/>
        <item m="1" x="27"/>
        <item m="1" x="23"/>
        <item m="1" x="34"/>
        <item m="1" x="11"/>
        <item m="1" x="41"/>
        <item m="1" x="12"/>
        <item m="1" x="26"/>
        <item m="1" x="22"/>
        <item m="1" x="39"/>
        <item x="0"/>
        <item m="1" x="20"/>
        <item m="1" x="38"/>
        <item m="1" x="31"/>
        <item m="1" x="35"/>
        <item m="1" x="25"/>
        <item m="1" x="29"/>
        <item m="1" x="16"/>
        <item m="1" x="42"/>
        <item m="1" x="45"/>
        <item m="1" x="32"/>
        <item m="1" x="18"/>
        <item m="1" x="43"/>
        <item m="1" x="46"/>
        <item m="1" x="54"/>
        <item m="1" x="52"/>
        <item m="1" x="40"/>
        <item m="1" x="13"/>
        <item m="1" x="49"/>
        <item m="1" x="19"/>
        <item m="1" x="21"/>
        <item m="1" x="56"/>
        <item m="1" x="30"/>
        <item m="1" x="36"/>
        <item m="1" x="50"/>
        <item m="1" x="48"/>
        <item m="1" x="17"/>
        <item m="1" x="44"/>
        <item m="1" x="14"/>
        <item m="1" x="24"/>
        <item m="1" x="53"/>
        <item m="1" x="51"/>
        <item m="1" x="15"/>
        <item x="8"/>
        <item x="7"/>
        <item x="1"/>
        <item x="2"/>
        <item x="3"/>
        <item x="4"/>
        <item x="5"/>
        <item x="6"/>
        <item t="default"/>
      </items>
    </pivotField>
    <pivotField axis="axisRow" showAll="0">
      <items count="15">
        <item m="1" x="1"/>
        <item m="1" x="3"/>
        <item m="1" x="6"/>
        <item m="1" x="9"/>
        <item x="0"/>
        <item m="1" x="7"/>
        <item m="1" x="5"/>
        <item m="1" x="13"/>
        <item m="1" x="12"/>
        <item m="1" x="4"/>
        <item m="1" x="11"/>
        <item m="1" x="2"/>
        <item m="1" x="10"/>
        <item m="1" x="8"/>
        <item t="default"/>
      </items>
    </pivotField>
    <pivotField axis="axisRow" showAll="0">
      <items count="3">
        <item m="1" x="1"/>
        <item x="0"/>
        <item t="default"/>
      </items>
    </pivotField>
    <pivotField axis="axisRow" showAll="0">
      <items count="3">
        <item m="1" x="1"/>
        <item x="0"/>
        <item t="default"/>
      </items>
    </pivotField>
    <pivotField axis="axisRow" showAll="0">
      <items count="3">
        <item m="1" x="1"/>
        <item x="0"/>
        <item t="default"/>
      </items>
    </pivotField>
    <pivotField axis="axisRow" showAll="0">
      <items count="3">
        <item m="1" x="1"/>
        <item x="0"/>
        <item t="default"/>
      </items>
    </pivotField>
    <pivotField axis="axisRow" showAll="0">
      <items count="3">
        <item m="1" x="1"/>
        <item x="0"/>
        <item t="default"/>
      </items>
    </pivotField>
    <pivotField axis="axisRow" showAll="0">
      <items count="3">
        <item m="1" x="1"/>
        <item x="0"/>
        <item t="default"/>
      </items>
    </pivotField>
    <pivotField axis="axisRow" showAll="0">
      <items count="3">
        <item m="1" x="1"/>
        <item x="0"/>
        <item t="default"/>
      </items>
    </pivotField>
    <pivotField axis="axisRow" showAll="0">
      <items count="3">
        <item m="1" x="1"/>
        <item x="0"/>
        <item t="default"/>
      </items>
    </pivotField>
    <pivotField axis="axisRow" showAll="0">
      <items count="12">
        <item m="1" x="2"/>
        <item m="1" x="3"/>
        <item m="1" x="6"/>
        <item m="1" x="8"/>
        <item x="0"/>
        <item m="1" x="7"/>
        <item m="1" x="9"/>
        <item m="1" x="10"/>
        <item m="1" x="4"/>
        <item m="1" x="5"/>
        <item x="1"/>
        <item t="default"/>
      </items>
    </pivotField>
    <pivotField axis="axisRow" showAll="0">
      <items count="11">
        <item m="1" x="3"/>
        <item m="1" x="7"/>
        <item m="1" x="5"/>
        <item m="1" x="9"/>
        <item m="1" x="8"/>
        <item x="0"/>
        <item m="1" x="4"/>
        <item m="1" x="6"/>
        <item x="1"/>
        <item x="2"/>
        <item t="default"/>
      </items>
    </pivotField>
    <pivotField axis="axisRow" showAll="0" defaultSubtotal="0">
      <items count="9">
        <item x="0"/>
        <item m="1" x="6"/>
        <item m="1" x="8"/>
        <item m="1" x="7"/>
        <item m="1" x="5"/>
        <item m="1" x="4"/>
        <item m="1" x="3"/>
        <item x="1"/>
        <item x="2"/>
      </items>
    </pivotField>
  </pivotFields>
  <rowFields count="74">
    <field x="4"/>
    <field x="190"/>
    <field x="195"/>
    <field x="196"/>
    <field x="197"/>
    <field x="191"/>
    <field x="192"/>
    <field x="193"/>
    <field x="194"/>
    <field x="198"/>
    <field x="199"/>
    <field x="200"/>
    <field x="201"/>
    <field x="202"/>
    <field x="203"/>
    <field x="204"/>
    <field x="205"/>
    <field x="208"/>
    <field x="209"/>
    <field x="210"/>
    <field x="211"/>
    <field x="212"/>
    <field x="213"/>
    <field x="214"/>
    <field x="215"/>
    <field x="216"/>
    <field x="217"/>
    <field x="218"/>
    <field x="219"/>
    <field x="220"/>
    <field x="221"/>
    <field x="222"/>
    <field x="223"/>
    <field x="224"/>
    <field x="225"/>
    <field x="226"/>
    <field x="227"/>
    <field x="228"/>
    <field x="229"/>
    <field x="230"/>
    <field x="231"/>
    <field x="232"/>
    <field x="233"/>
    <field x="234"/>
    <field x="235"/>
    <field x="236"/>
    <field x="237"/>
    <field x="238"/>
    <field x="239"/>
    <field x="240"/>
    <field x="241"/>
    <field x="242"/>
    <field x="243"/>
    <field x="244"/>
    <field x="245"/>
    <field x="246"/>
    <field x="247"/>
    <field x="248"/>
    <field x="249"/>
    <field x="250"/>
    <field x="251"/>
    <field x="252"/>
    <field x="253"/>
    <field x="254"/>
    <field x="255"/>
    <field x="256"/>
    <field x="257"/>
    <field x="258"/>
    <field x="260"/>
    <field x="259"/>
    <field x="261"/>
    <field x="206"/>
    <field x="207"/>
    <field x="262"/>
  </rowFields>
  <rowItems count="1885">
    <i>
      <x/>
    </i>
    <i r="1">
      <x v="44"/>
    </i>
    <i r="2">
      <x v="467"/>
    </i>
    <i r="3">
      <x v="41"/>
    </i>
    <i r="4">
      <x v="41"/>
    </i>
    <i r="5">
      <x v="24"/>
    </i>
    <i r="6">
      <x v="2"/>
    </i>
    <i r="7">
      <x v="1"/>
    </i>
    <i r="8">
      <x v="1"/>
    </i>
    <i r="9">
      <x v="87"/>
    </i>
    <i r="10">
      <x v="88"/>
    </i>
    <i r="11">
      <x v="1"/>
    </i>
    <i r="12">
      <x v="1"/>
    </i>
    <i r="13">
      <x v="398"/>
    </i>
    <i r="14">
      <x v="42"/>
    </i>
    <i r="15">
      <x v="4"/>
    </i>
    <i r="16">
      <x v="1"/>
    </i>
    <i r="17">
      <x v="1"/>
    </i>
    <i r="18">
      <x v="42"/>
    </i>
    <i r="19">
      <x v="1"/>
    </i>
    <i r="20">
      <x v="42"/>
    </i>
    <i r="21">
      <x v="1"/>
    </i>
    <i r="22">
      <x v="1"/>
    </i>
    <i r="23">
      <x v="1"/>
    </i>
    <i r="24">
      <x v="1"/>
    </i>
    <i r="25">
      <x v="1"/>
    </i>
    <i r="26">
      <x v="1"/>
    </i>
    <i r="27">
      <x v="218"/>
    </i>
    <i r="28">
      <x v="1"/>
    </i>
    <i r="29">
      <x v="9"/>
    </i>
    <i r="30">
      <x v="4"/>
    </i>
    <i r="31">
      <x v="96"/>
    </i>
    <i r="32">
      <x v="7"/>
    </i>
    <i r="33">
      <x v="1"/>
    </i>
    <i r="34">
      <x v="6"/>
    </i>
    <i r="35">
      <x v="1"/>
    </i>
    <i r="36">
      <x v="1"/>
    </i>
    <i r="37">
      <x v="6"/>
    </i>
    <i r="38">
      <x v="3"/>
    </i>
    <i r="39">
      <x v="1"/>
    </i>
    <i r="40">
      <x v="1"/>
    </i>
    <i r="41">
      <x v="6"/>
    </i>
    <i r="42">
      <x v="1"/>
    </i>
    <i r="43">
      <x v="1"/>
    </i>
    <i r="44">
      <x v="1"/>
    </i>
    <i r="45">
      <x v="1"/>
    </i>
    <i r="46">
      <x v="1"/>
    </i>
    <i r="47">
      <x v="1"/>
    </i>
    <i r="48">
      <x v="1"/>
    </i>
    <i r="49">
      <x v="1"/>
    </i>
    <i r="50">
      <x v="1"/>
    </i>
    <i r="51">
      <x v="1"/>
    </i>
    <i r="52">
      <x v="7"/>
    </i>
    <i r="53">
      <x v="1"/>
    </i>
    <i r="54">
      <x v="1"/>
    </i>
    <i r="55">
      <x v="3"/>
    </i>
    <i r="56">
      <x v="1"/>
    </i>
    <i r="57">
      <x v="1"/>
    </i>
    <i r="58">
      <x v="1"/>
    </i>
    <i r="59">
      <x v="17"/>
    </i>
    <i r="60">
      <x v="4"/>
    </i>
    <i r="61">
      <x v="1"/>
    </i>
    <i r="62">
      <x v="1"/>
    </i>
    <i r="63">
      <x v="1"/>
    </i>
    <i r="64">
      <x v="1"/>
    </i>
    <i r="65">
      <x v="1"/>
    </i>
    <i r="66">
      <x v="1"/>
    </i>
    <i r="67">
      <x v="1"/>
    </i>
    <i r="68">
      <x v="4"/>
    </i>
    <i r="69">
      <x v="1"/>
    </i>
    <i r="70">
      <x v="5"/>
    </i>
    <i r="71">
      <x v="41"/>
    </i>
    <i r="72">
      <x v="40"/>
    </i>
    <i r="73">
      <x/>
    </i>
    <i r="2">
      <x v="468"/>
    </i>
    <i r="3">
      <x v="41"/>
    </i>
    <i r="4">
      <x v="41"/>
    </i>
    <i r="5">
      <x v="24"/>
    </i>
    <i r="6">
      <x v="2"/>
    </i>
    <i r="7">
      <x v="1"/>
    </i>
    <i r="8">
      <x v="1"/>
    </i>
    <i r="9">
      <x v="87"/>
    </i>
    <i r="10">
      <x v="88"/>
    </i>
    <i r="11">
      <x v="1"/>
    </i>
    <i r="12">
      <x v="1"/>
    </i>
    <i r="13">
      <x v="399"/>
    </i>
    <i r="14">
      <x v="42"/>
    </i>
    <i r="15">
      <x v="4"/>
    </i>
    <i r="16">
      <x v="1"/>
    </i>
    <i r="17">
      <x v="1"/>
    </i>
    <i r="18">
      <x v="42"/>
    </i>
    <i r="19">
      <x v="1"/>
    </i>
    <i r="20">
      <x v="42"/>
    </i>
    <i r="21">
      <x v="1"/>
    </i>
    <i r="22">
      <x v="1"/>
    </i>
    <i r="23">
      <x v="1"/>
    </i>
    <i r="24">
      <x v="1"/>
    </i>
    <i r="25">
      <x v="1"/>
    </i>
    <i r="26">
      <x v="1"/>
    </i>
    <i r="27">
      <x v="219"/>
    </i>
    <i r="28">
      <x v="1"/>
    </i>
    <i r="29">
      <x v="9"/>
    </i>
    <i r="30">
      <x v="4"/>
    </i>
    <i r="31">
      <x v="96"/>
    </i>
    <i r="32">
      <x v="7"/>
    </i>
    <i r="33">
      <x v="1"/>
    </i>
    <i r="34">
      <x v="6"/>
    </i>
    <i r="35">
      <x v="1"/>
    </i>
    <i r="36">
      <x v="1"/>
    </i>
    <i r="37">
      <x v="6"/>
    </i>
    <i r="38">
      <x v="3"/>
    </i>
    <i r="39">
      <x v="1"/>
    </i>
    <i r="40">
      <x v="1"/>
    </i>
    <i r="41">
      <x v="6"/>
    </i>
    <i r="42">
      <x v="1"/>
    </i>
    <i r="43">
      <x v="1"/>
    </i>
    <i r="44">
      <x v="1"/>
    </i>
    <i r="45">
      <x v="1"/>
    </i>
    <i r="46">
      <x v="1"/>
    </i>
    <i r="47">
      <x v="1"/>
    </i>
    <i r="48">
      <x v="1"/>
    </i>
    <i r="49">
      <x v="1"/>
    </i>
    <i r="50">
      <x v="1"/>
    </i>
    <i r="51">
      <x v="1"/>
    </i>
    <i r="52">
      <x v="7"/>
    </i>
    <i r="53">
      <x v="1"/>
    </i>
    <i r="54">
      <x v="1"/>
    </i>
    <i r="55">
      <x v="3"/>
    </i>
    <i r="56">
      <x v="1"/>
    </i>
    <i r="57">
      <x v="1"/>
    </i>
    <i r="58">
      <x v="1"/>
    </i>
    <i r="59">
      <x v="17"/>
    </i>
    <i r="60">
      <x v="4"/>
    </i>
    <i r="61">
      <x v="1"/>
    </i>
    <i r="62">
      <x v="1"/>
    </i>
    <i r="63">
      <x v="1"/>
    </i>
    <i r="64">
      <x v="1"/>
    </i>
    <i r="65">
      <x v="1"/>
    </i>
    <i r="66">
      <x v="1"/>
    </i>
    <i r="67">
      <x v="1"/>
    </i>
    <i r="68">
      <x v="4"/>
    </i>
    <i r="69">
      <x v="1"/>
    </i>
    <i r="70">
      <x v="5"/>
    </i>
    <i r="71">
      <x v="41"/>
    </i>
    <i r="72">
      <x v="40"/>
    </i>
    <i r="73">
      <x/>
    </i>
    <i r="2">
      <x v="469"/>
    </i>
    <i r="3">
      <x v="41"/>
    </i>
    <i r="4">
      <x v="41"/>
    </i>
    <i r="5">
      <x v="24"/>
    </i>
    <i r="6">
      <x v="2"/>
    </i>
    <i r="7">
      <x v="1"/>
    </i>
    <i r="8">
      <x v="1"/>
    </i>
    <i r="9">
      <x v="87"/>
    </i>
    <i r="10">
      <x v="88"/>
    </i>
    <i r="11">
      <x v="1"/>
    </i>
    <i r="12">
      <x v="1"/>
    </i>
    <i r="13">
      <x v="400"/>
    </i>
    <i r="14">
      <x v="42"/>
    </i>
    <i r="15">
      <x v="4"/>
    </i>
    <i r="16">
      <x v="1"/>
    </i>
    <i r="17">
      <x v="1"/>
    </i>
    <i r="18">
      <x v="42"/>
    </i>
    <i r="19">
      <x v="1"/>
    </i>
    <i r="20">
      <x v="42"/>
    </i>
    <i r="21">
      <x v="1"/>
    </i>
    <i r="22">
      <x v="1"/>
    </i>
    <i r="23">
      <x v="1"/>
    </i>
    <i r="24">
      <x v="1"/>
    </i>
    <i r="25">
      <x v="1"/>
    </i>
    <i r="26">
      <x v="1"/>
    </i>
    <i r="27">
      <x v="220"/>
    </i>
    <i r="28">
      <x v="1"/>
    </i>
    <i r="29">
      <x v="9"/>
    </i>
    <i r="30">
      <x v="4"/>
    </i>
    <i r="31">
      <x v="96"/>
    </i>
    <i r="32">
      <x v="7"/>
    </i>
    <i r="33">
      <x v="1"/>
    </i>
    <i r="34">
      <x v="6"/>
    </i>
    <i r="35">
      <x v="1"/>
    </i>
    <i r="36">
      <x v="1"/>
    </i>
    <i r="37">
      <x v="6"/>
    </i>
    <i r="38">
      <x v="3"/>
    </i>
    <i r="39">
      <x v="1"/>
    </i>
    <i r="40">
      <x v="1"/>
    </i>
    <i r="41">
      <x v="6"/>
    </i>
    <i r="42">
      <x v="1"/>
    </i>
    <i r="43">
      <x v="1"/>
    </i>
    <i r="44">
      <x v="1"/>
    </i>
    <i r="45">
      <x v="1"/>
    </i>
    <i r="46">
      <x v="1"/>
    </i>
    <i r="47">
      <x v="1"/>
    </i>
    <i r="48">
      <x v="1"/>
    </i>
    <i r="49">
      <x v="1"/>
    </i>
    <i r="50">
      <x v="1"/>
    </i>
    <i r="51">
      <x v="1"/>
    </i>
    <i r="52">
      <x v="7"/>
    </i>
    <i r="53">
      <x v="1"/>
    </i>
    <i r="54">
      <x v="1"/>
    </i>
    <i r="55">
      <x v="3"/>
    </i>
    <i r="56">
      <x v="1"/>
    </i>
    <i r="57">
      <x v="1"/>
    </i>
    <i r="58">
      <x v="1"/>
    </i>
    <i r="59">
      <x v="17"/>
    </i>
    <i r="60">
      <x v="4"/>
    </i>
    <i r="61">
      <x v="1"/>
    </i>
    <i r="62">
      <x v="1"/>
    </i>
    <i r="63">
      <x v="1"/>
    </i>
    <i r="64">
      <x v="1"/>
    </i>
    <i r="65">
      <x v="1"/>
    </i>
    <i r="66">
      <x v="1"/>
    </i>
    <i r="67">
      <x v="1"/>
    </i>
    <i r="68">
      <x v="4"/>
    </i>
    <i r="69">
      <x v="1"/>
    </i>
    <i r="70">
      <x v="5"/>
    </i>
    <i r="71">
      <x v="41"/>
    </i>
    <i r="72">
      <x v="40"/>
    </i>
    <i r="73">
      <x/>
    </i>
    <i r="2">
      <x v="495"/>
    </i>
    <i r="3">
      <x v="41"/>
    </i>
    <i r="4">
      <x v="41"/>
    </i>
    <i r="5">
      <x v="24"/>
    </i>
    <i r="6">
      <x v="2"/>
    </i>
    <i r="7">
      <x v="1"/>
    </i>
    <i r="8">
      <x v="1"/>
    </i>
    <i r="9">
      <x v="87"/>
    </i>
    <i r="10">
      <x v="88"/>
    </i>
    <i r="11">
      <x v="1"/>
    </i>
    <i r="12">
      <x v="1"/>
    </i>
    <i r="13">
      <x v="408"/>
    </i>
    <i r="14">
      <x v="42"/>
    </i>
    <i r="15">
      <x v="4"/>
    </i>
    <i r="16">
      <x v="1"/>
    </i>
    <i r="17">
      <x v="1"/>
    </i>
    <i r="18">
      <x v="42"/>
    </i>
    <i r="19">
      <x v="1"/>
    </i>
    <i r="20">
      <x v="42"/>
    </i>
    <i r="21">
      <x v="1"/>
    </i>
    <i r="22">
      <x v="1"/>
    </i>
    <i r="23">
      <x v="1"/>
    </i>
    <i r="24">
      <x v="1"/>
    </i>
    <i r="25">
      <x v="1"/>
    </i>
    <i r="26">
      <x v="1"/>
    </i>
    <i r="27">
      <x v="228"/>
    </i>
    <i r="28">
      <x v="1"/>
    </i>
    <i r="29">
      <x v="9"/>
    </i>
    <i r="30">
      <x v="4"/>
    </i>
    <i r="31">
      <x v="96"/>
    </i>
    <i r="32">
      <x v="7"/>
    </i>
    <i r="33">
      <x v="1"/>
    </i>
    <i r="34">
      <x v="6"/>
    </i>
    <i r="35">
      <x v="1"/>
    </i>
    <i r="36">
      <x v="1"/>
    </i>
    <i r="37">
      <x v="6"/>
    </i>
    <i r="38">
      <x v="3"/>
    </i>
    <i r="39">
      <x v="1"/>
    </i>
    <i r="40">
      <x v="1"/>
    </i>
    <i r="41">
      <x v="6"/>
    </i>
    <i r="42">
      <x v="1"/>
    </i>
    <i r="43">
      <x v="1"/>
    </i>
    <i r="44">
      <x v="1"/>
    </i>
    <i r="45">
      <x v="1"/>
    </i>
    <i r="46">
      <x v="1"/>
    </i>
    <i r="47">
      <x v="1"/>
    </i>
    <i r="48">
      <x v="1"/>
    </i>
    <i r="49">
      <x v="1"/>
    </i>
    <i r="50">
      <x v="1"/>
    </i>
    <i r="51">
      <x v="1"/>
    </i>
    <i r="52">
      <x v="7"/>
    </i>
    <i r="53">
      <x v="1"/>
    </i>
    <i r="54">
      <x v="1"/>
    </i>
    <i r="55">
      <x v="3"/>
    </i>
    <i r="56">
      <x v="1"/>
    </i>
    <i r="57">
      <x v="1"/>
    </i>
    <i r="58">
      <x v="1"/>
    </i>
    <i r="59">
      <x v="17"/>
    </i>
    <i r="60">
      <x v="4"/>
    </i>
    <i r="61">
      <x v="1"/>
    </i>
    <i r="62">
      <x v="1"/>
    </i>
    <i r="63">
      <x v="1"/>
    </i>
    <i r="64">
      <x v="1"/>
    </i>
    <i r="65">
      <x v="1"/>
    </i>
    <i r="66">
      <x v="1"/>
    </i>
    <i r="67">
      <x v="1"/>
    </i>
    <i r="68">
      <x v="4"/>
    </i>
    <i r="69">
      <x v="1"/>
    </i>
    <i r="70">
      <x v="5"/>
    </i>
    <i r="71">
      <x v="41"/>
    </i>
    <i r="72">
      <x v="40"/>
    </i>
    <i r="73">
      <x/>
    </i>
    <i r="2">
      <x v="496"/>
    </i>
    <i r="3">
      <x v="41"/>
    </i>
    <i r="4">
      <x v="41"/>
    </i>
    <i r="5">
      <x v="24"/>
    </i>
    <i r="6">
      <x v="2"/>
    </i>
    <i r="7">
      <x v="1"/>
    </i>
    <i r="8">
      <x v="1"/>
    </i>
    <i r="9">
      <x v="87"/>
    </i>
    <i r="10">
      <x v="88"/>
    </i>
    <i r="11">
      <x v="1"/>
    </i>
    <i r="12">
      <x v="1"/>
    </i>
    <i r="13">
      <x v="409"/>
    </i>
    <i r="14">
      <x v="42"/>
    </i>
    <i r="15">
      <x v="4"/>
    </i>
    <i r="16">
      <x v="1"/>
    </i>
    <i r="17">
      <x v="1"/>
    </i>
    <i r="18">
      <x v="42"/>
    </i>
    <i r="19">
      <x v="1"/>
    </i>
    <i r="20">
      <x v="42"/>
    </i>
    <i r="21">
      <x v="1"/>
    </i>
    <i r="22">
      <x v="1"/>
    </i>
    <i r="23">
      <x v="1"/>
    </i>
    <i r="24">
      <x v="1"/>
    </i>
    <i r="25">
      <x v="1"/>
    </i>
    <i r="26">
      <x v="1"/>
    </i>
    <i r="27">
      <x v="229"/>
    </i>
    <i r="28">
      <x v="1"/>
    </i>
    <i r="29">
      <x v="9"/>
    </i>
    <i r="30">
      <x v="4"/>
    </i>
    <i r="31">
      <x v="96"/>
    </i>
    <i r="32">
      <x v="7"/>
    </i>
    <i r="33">
      <x v="1"/>
    </i>
    <i r="34">
      <x v="6"/>
    </i>
    <i r="35">
      <x v="1"/>
    </i>
    <i r="36">
      <x v="1"/>
    </i>
    <i r="37">
      <x v="6"/>
    </i>
    <i r="38">
      <x v="3"/>
    </i>
    <i r="39">
      <x v="1"/>
    </i>
    <i r="40">
      <x v="1"/>
    </i>
    <i r="41">
      <x v="6"/>
    </i>
    <i r="42">
      <x v="1"/>
    </i>
    <i r="43">
      <x v="1"/>
    </i>
    <i r="44">
      <x v="1"/>
    </i>
    <i r="45">
      <x v="1"/>
    </i>
    <i r="46">
      <x v="1"/>
    </i>
    <i r="47">
      <x v="1"/>
    </i>
    <i r="48">
      <x v="1"/>
    </i>
    <i r="49">
      <x v="1"/>
    </i>
    <i r="50">
      <x v="1"/>
    </i>
    <i r="51">
      <x v="1"/>
    </i>
    <i r="52">
      <x v="7"/>
    </i>
    <i r="53">
      <x v="1"/>
    </i>
    <i r="54">
      <x v="1"/>
    </i>
    <i r="55">
      <x v="3"/>
    </i>
    <i r="56">
      <x v="1"/>
    </i>
    <i r="57">
      <x v="1"/>
    </i>
    <i r="58">
      <x v="1"/>
    </i>
    <i r="59">
      <x v="17"/>
    </i>
    <i r="60">
      <x v="4"/>
    </i>
    <i r="61">
      <x v="1"/>
    </i>
    <i r="62">
      <x v="1"/>
    </i>
    <i r="63">
      <x v="1"/>
    </i>
    <i r="64">
      <x v="1"/>
    </i>
    <i r="65">
      <x v="1"/>
    </i>
    <i r="66">
      <x v="1"/>
    </i>
    <i r="67">
      <x v="1"/>
    </i>
    <i r="68">
      <x v="4"/>
    </i>
    <i r="69">
      <x v="1"/>
    </i>
    <i r="70">
      <x v="5"/>
    </i>
    <i r="71">
      <x v="41"/>
    </i>
    <i r="72">
      <x v="40"/>
    </i>
    <i r="73">
      <x/>
    </i>
    <i r="2">
      <x v="497"/>
    </i>
    <i r="3">
      <x v="41"/>
    </i>
    <i r="4">
      <x v="41"/>
    </i>
    <i r="5">
      <x v="24"/>
    </i>
    <i r="6">
      <x v="2"/>
    </i>
    <i r="7">
      <x v="1"/>
    </i>
    <i r="8">
      <x v="1"/>
    </i>
    <i r="9">
      <x v="87"/>
    </i>
    <i r="10">
      <x v="88"/>
    </i>
    <i r="11">
      <x v="1"/>
    </i>
    <i r="12">
      <x v="1"/>
    </i>
    <i r="13">
      <x v="410"/>
    </i>
    <i r="14">
      <x v="42"/>
    </i>
    <i r="15">
      <x v="4"/>
    </i>
    <i r="16">
      <x v="1"/>
    </i>
    <i r="17">
      <x v="1"/>
    </i>
    <i r="18">
      <x v="42"/>
    </i>
    <i r="19">
      <x v="1"/>
    </i>
    <i r="20">
      <x v="42"/>
    </i>
    <i r="21">
      <x v="1"/>
    </i>
    <i r="22">
      <x v="1"/>
    </i>
    <i r="23">
      <x v="1"/>
    </i>
    <i r="24">
      <x v="1"/>
    </i>
    <i r="25">
      <x v="1"/>
    </i>
    <i r="26">
      <x v="1"/>
    </i>
    <i r="27">
      <x v="230"/>
    </i>
    <i r="28">
      <x v="1"/>
    </i>
    <i r="29">
      <x v="9"/>
    </i>
    <i r="30">
      <x v="4"/>
    </i>
    <i r="31">
      <x v="96"/>
    </i>
    <i r="32">
      <x v="7"/>
    </i>
    <i r="33">
      <x v="1"/>
    </i>
    <i r="34">
      <x v="6"/>
    </i>
    <i r="35">
      <x v="1"/>
    </i>
    <i r="36">
      <x v="1"/>
    </i>
    <i r="37">
      <x v="6"/>
    </i>
    <i r="38">
      <x v="3"/>
    </i>
    <i r="39">
      <x v="1"/>
    </i>
    <i r="40">
      <x v="1"/>
    </i>
    <i r="41">
      <x v="6"/>
    </i>
    <i r="42">
      <x v="1"/>
    </i>
    <i r="43">
      <x v="1"/>
    </i>
    <i r="44">
      <x v="1"/>
    </i>
    <i r="45">
      <x v="1"/>
    </i>
    <i r="46">
      <x v="1"/>
    </i>
    <i r="47">
      <x v="1"/>
    </i>
    <i r="48">
      <x v="1"/>
    </i>
    <i r="49">
      <x v="1"/>
    </i>
    <i r="50">
      <x v="1"/>
    </i>
    <i r="51">
      <x v="1"/>
    </i>
    <i r="52">
      <x v="7"/>
    </i>
    <i r="53">
      <x v="1"/>
    </i>
    <i r="54">
      <x v="1"/>
    </i>
    <i r="55">
      <x v="3"/>
    </i>
    <i r="56">
      <x v="1"/>
    </i>
    <i r="57">
      <x v="1"/>
    </i>
    <i r="58">
      <x v="1"/>
    </i>
    <i r="59">
      <x v="17"/>
    </i>
    <i r="60">
      <x v="4"/>
    </i>
    <i r="61">
      <x v="1"/>
    </i>
    <i r="62">
      <x v="1"/>
    </i>
    <i r="63">
      <x v="1"/>
    </i>
    <i r="64">
      <x v="1"/>
    </i>
    <i r="65">
      <x v="1"/>
    </i>
    <i r="66">
      <x v="1"/>
    </i>
    <i r="67">
      <x v="1"/>
    </i>
    <i r="68">
      <x v="4"/>
    </i>
    <i r="69">
      <x v="1"/>
    </i>
    <i r="70">
      <x v="5"/>
    </i>
    <i r="71">
      <x v="41"/>
    </i>
    <i r="72">
      <x v="40"/>
    </i>
    <i r="73">
      <x/>
    </i>
    <i r="2">
      <x v="498"/>
    </i>
    <i r="3">
      <x v="41"/>
    </i>
    <i r="4">
      <x v="41"/>
    </i>
    <i r="5">
      <x v="24"/>
    </i>
    <i r="6">
      <x v="2"/>
    </i>
    <i r="7">
      <x v="1"/>
    </i>
    <i r="8">
      <x v="1"/>
    </i>
    <i r="9">
      <x v="87"/>
    </i>
    <i r="10">
      <x v="88"/>
    </i>
    <i r="11">
      <x v="1"/>
    </i>
    <i r="12">
      <x v="1"/>
    </i>
    <i r="13">
      <x v="411"/>
    </i>
    <i r="14">
      <x v="42"/>
    </i>
    <i r="15">
      <x v="4"/>
    </i>
    <i r="16">
      <x v="1"/>
    </i>
    <i r="17">
      <x v="1"/>
    </i>
    <i r="18">
      <x v="42"/>
    </i>
    <i r="19">
      <x v="1"/>
    </i>
    <i r="20">
      <x v="42"/>
    </i>
    <i r="21">
      <x v="1"/>
    </i>
    <i r="22">
      <x v="1"/>
    </i>
    <i r="23">
      <x v="1"/>
    </i>
    <i r="24">
      <x v="1"/>
    </i>
    <i r="25">
      <x v="1"/>
    </i>
    <i r="26">
      <x v="1"/>
    </i>
    <i r="27">
      <x v="231"/>
    </i>
    <i r="28">
      <x v="1"/>
    </i>
    <i r="29">
      <x v="9"/>
    </i>
    <i r="30">
      <x v="4"/>
    </i>
    <i r="31">
      <x v="96"/>
    </i>
    <i r="32">
      <x v="7"/>
    </i>
    <i r="33">
      <x v="1"/>
    </i>
    <i r="34">
      <x v="6"/>
    </i>
    <i r="35">
      <x v="1"/>
    </i>
    <i r="36">
      <x v="1"/>
    </i>
    <i r="37">
      <x v="6"/>
    </i>
    <i r="38">
      <x v="3"/>
    </i>
    <i r="39">
      <x v="1"/>
    </i>
    <i r="40">
      <x v="1"/>
    </i>
    <i r="41">
      <x v="6"/>
    </i>
    <i r="42">
      <x v="1"/>
    </i>
    <i r="43">
      <x v="1"/>
    </i>
    <i r="44">
      <x v="1"/>
    </i>
    <i r="45">
      <x v="1"/>
    </i>
    <i r="46">
      <x v="1"/>
    </i>
    <i r="47">
      <x v="1"/>
    </i>
    <i r="48">
      <x v="1"/>
    </i>
    <i r="49">
      <x v="1"/>
    </i>
    <i r="50">
      <x v="1"/>
    </i>
    <i r="51">
      <x v="1"/>
    </i>
    <i r="52">
      <x v="7"/>
    </i>
    <i r="53">
      <x v="1"/>
    </i>
    <i r="54">
      <x v="1"/>
    </i>
    <i r="55">
      <x v="3"/>
    </i>
    <i r="56">
      <x v="1"/>
    </i>
    <i r="57">
      <x v="1"/>
    </i>
    <i r="58">
      <x v="1"/>
    </i>
    <i r="59">
      <x v="17"/>
    </i>
    <i r="60">
      <x v="4"/>
    </i>
    <i r="61">
      <x v="1"/>
    </i>
    <i r="62">
      <x v="1"/>
    </i>
    <i r="63">
      <x v="1"/>
    </i>
    <i r="64">
      <x v="1"/>
    </i>
    <i r="65">
      <x v="1"/>
    </i>
    <i r="66">
      <x v="1"/>
    </i>
    <i r="67">
      <x v="1"/>
    </i>
    <i r="68">
      <x v="4"/>
    </i>
    <i r="69">
      <x v="1"/>
    </i>
    <i r="70">
      <x v="5"/>
    </i>
    <i r="71">
      <x v="41"/>
    </i>
    <i r="72">
      <x v="40"/>
    </i>
    <i r="73">
      <x/>
    </i>
    <i r="2">
      <x v="500"/>
    </i>
    <i r="3">
      <x v="41"/>
    </i>
    <i r="4">
      <x v="41"/>
    </i>
    <i r="5">
      <x v="24"/>
    </i>
    <i r="6">
      <x v="2"/>
    </i>
    <i r="7">
      <x v="1"/>
    </i>
    <i r="8">
      <x v="1"/>
    </i>
    <i r="9">
      <x v="87"/>
    </i>
    <i r="10">
      <x v="88"/>
    </i>
    <i r="11">
      <x v="1"/>
    </i>
    <i r="12">
      <x v="1"/>
    </i>
    <i r="13">
      <x v="413"/>
    </i>
    <i r="14">
      <x v="42"/>
    </i>
    <i r="15">
      <x v="4"/>
    </i>
    <i r="16">
      <x v="1"/>
    </i>
    <i r="17">
      <x v="1"/>
    </i>
    <i r="18">
      <x v="42"/>
    </i>
    <i r="19">
      <x v="1"/>
    </i>
    <i r="20">
      <x v="42"/>
    </i>
    <i r="21">
      <x v="1"/>
    </i>
    <i r="22">
      <x v="1"/>
    </i>
    <i r="23">
      <x v="1"/>
    </i>
    <i r="24">
      <x v="1"/>
    </i>
    <i r="25">
      <x v="1"/>
    </i>
    <i r="26">
      <x v="1"/>
    </i>
    <i r="27">
      <x v="233"/>
    </i>
    <i r="28">
      <x v="1"/>
    </i>
    <i r="29">
      <x v="9"/>
    </i>
    <i r="30">
      <x v="4"/>
    </i>
    <i r="31">
      <x v="96"/>
    </i>
    <i r="32">
      <x v="7"/>
    </i>
    <i r="33">
      <x v="1"/>
    </i>
    <i r="34">
      <x v="6"/>
    </i>
    <i r="35">
      <x v="1"/>
    </i>
    <i r="36">
      <x v="1"/>
    </i>
    <i r="37">
      <x v="6"/>
    </i>
    <i r="38">
      <x v="3"/>
    </i>
    <i r="39">
      <x v="1"/>
    </i>
    <i r="40">
      <x v="1"/>
    </i>
    <i r="41">
      <x v="6"/>
    </i>
    <i r="42">
      <x v="1"/>
    </i>
    <i r="43">
      <x v="1"/>
    </i>
    <i r="44">
      <x v="1"/>
    </i>
    <i r="45">
      <x v="1"/>
    </i>
    <i r="46">
      <x v="1"/>
    </i>
    <i r="47">
      <x v="1"/>
    </i>
    <i r="48">
      <x v="1"/>
    </i>
    <i r="49">
      <x v="1"/>
    </i>
    <i r="50">
      <x v="1"/>
    </i>
    <i r="51">
      <x v="1"/>
    </i>
    <i r="52">
      <x v="7"/>
    </i>
    <i r="53">
      <x v="1"/>
    </i>
    <i r="54">
      <x v="1"/>
    </i>
    <i r="55">
      <x v="3"/>
    </i>
    <i r="56">
      <x v="1"/>
    </i>
    <i r="57">
      <x v="1"/>
    </i>
    <i r="58">
      <x v="1"/>
    </i>
    <i r="59">
      <x v="17"/>
    </i>
    <i r="60">
      <x v="4"/>
    </i>
    <i r="61">
      <x v="1"/>
    </i>
    <i r="62">
      <x v="1"/>
    </i>
    <i r="63">
      <x v="1"/>
    </i>
    <i r="64">
      <x v="1"/>
    </i>
    <i r="65">
      <x v="1"/>
    </i>
    <i r="66">
      <x v="1"/>
    </i>
    <i r="67">
      <x v="1"/>
    </i>
    <i r="68">
      <x v="4"/>
    </i>
    <i r="69">
      <x v="1"/>
    </i>
    <i r="70">
      <x v="5"/>
    </i>
    <i r="71">
      <x v="41"/>
    </i>
    <i r="72">
      <x v="40"/>
    </i>
    <i r="73">
      <x/>
    </i>
    <i r="2">
      <x v="501"/>
    </i>
    <i r="3">
      <x v="41"/>
    </i>
    <i r="4">
      <x v="41"/>
    </i>
    <i r="5">
      <x v="24"/>
    </i>
    <i r="6">
      <x v="2"/>
    </i>
    <i r="7">
      <x v="1"/>
    </i>
    <i r="8">
      <x v="1"/>
    </i>
    <i r="9">
      <x v="87"/>
    </i>
    <i r="10">
      <x v="88"/>
    </i>
    <i r="11">
      <x v="1"/>
    </i>
    <i r="12">
      <x v="1"/>
    </i>
    <i r="13">
      <x v="414"/>
    </i>
    <i r="14">
      <x v="42"/>
    </i>
    <i r="15">
      <x v="4"/>
    </i>
    <i r="16">
      <x v="1"/>
    </i>
    <i r="17">
      <x v="1"/>
    </i>
    <i r="18">
      <x v="42"/>
    </i>
    <i r="19">
      <x v="1"/>
    </i>
    <i r="20">
      <x v="42"/>
    </i>
    <i r="21">
      <x v="1"/>
    </i>
    <i r="22">
      <x v="1"/>
    </i>
    <i r="23">
      <x v="1"/>
    </i>
    <i r="24">
      <x v="1"/>
    </i>
    <i r="25">
      <x v="1"/>
    </i>
    <i r="26">
      <x v="1"/>
    </i>
    <i r="27">
      <x v="234"/>
    </i>
    <i r="28">
      <x v="1"/>
    </i>
    <i r="29">
      <x v="9"/>
    </i>
    <i r="30">
      <x v="4"/>
    </i>
    <i r="31">
      <x v="96"/>
    </i>
    <i r="32">
      <x v="7"/>
    </i>
    <i r="33">
      <x v="1"/>
    </i>
    <i r="34">
      <x v="6"/>
    </i>
    <i r="35">
      <x v="1"/>
    </i>
    <i r="36">
      <x v="1"/>
    </i>
    <i r="37">
      <x v="6"/>
    </i>
    <i r="38">
      <x v="3"/>
    </i>
    <i r="39">
      <x v="1"/>
    </i>
    <i r="40">
      <x v="1"/>
    </i>
    <i r="41">
      <x v="6"/>
    </i>
    <i r="42">
      <x v="1"/>
    </i>
    <i r="43">
      <x v="1"/>
    </i>
    <i r="44">
      <x v="1"/>
    </i>
    <i r="45">
      <x v="1"/>
    </i>
    <i r="46">
      <x v="1"/>
    </i>
    <i r="47">
      <x v="1"/>
    </i>
    <i r="48">
      <x v="1"/>
    </i>
    <i r="49">
      <x v="1"/>
    </i>
    <i r="50">
      <x v="1"/>
    </i>
    <i r="51">
      <x v="1"/>
    </i>
    <i r="52">
      <x v="7"/>
    </i>
    <i r="53">
      <x v="1"/>
    </i>
    <i r="54">
      <x v="1"/>
    </i>
    <i r="55">
      <x v="3"/>
    </i>
    <i r="56">
      <x v="1"/>
    </i>
    <i r="57">
      <x v="1"/>
    </i>
    <i r="58">
      <x v="1"/>
    </i>
    <i r="59">
      <x v="17"/>
    </i>
    <i r="60">
      <x v="4"/>
    </i>
    <i r="61">
      <x v="1"/>
    </i>
    <i r="62">
      <x v="1"/>
    </i>
    <i r="63">
      <x v="1"/>
    </i>
    <i r="64">
      <x v="1"/>
    </i>
    <i r="65">
      <x v="1"/>
    </i>
    <i r="66">
      <x v="1"/>
    </i>
    <i r="67">
      <x v="1"/>
    </i>
    <i r="68">
      <x v="4"/>
    </i>
    <i r="69">
      <x v="1"/>
    </i>
    <i r="70">
      <x v="5"/>
    </i>
    <i r="71">
      <x v="41"/>
    </i>
    <i r="72">
      <x v="40"/>
    </i>
    <i r="73">
      <x/>
    </i>
    <i r="2">
      <x v="502"/>
    </i>
    <i r="3">
      <x v="41"/>
    </i>
    <i r="4">
      <x v="41"/>
    </i>
    <i r="5">
      <x v="24"/>
    </i>
    <i r="6">
      <x v="2"/>
    </i>
    <i r="7">
      <x v="1"/>
    </i>
    <i r="8">
      <x v="1"/>
    </i>
    <i r="9">
      <x v="87"/>
    </i>
    <i r="10">
      <x v="88"/>
    </i>
    <i r="11">
      <x v="1"/>
    </i>
    <i r="12">
      <x v="1"/>
    </i>
    <i r="13">
      <x v="415"/>
    </i>
    <i r="14">
      <x v="42"/>
    </i>
    <i r="15">
      <x v="4"/>
    </i>
    <i r="16">
      <x v="1"/>
    </i>
    <i r="17">
      <x v="1"/>
    </i>
    <i r="18">
      <x v="42"/>
    </i>
    <i r="19">
      <x v="1"/>
    </i>
    <i r="20">
      <x v="267"/>
    </i>
    <i r="21">
      <x v="1"/>
    </i>
    <i r="22">
      <x v="1"/>
    </i>
    <i r="23">
      <x v="1"/>
    </i>
    <i r="24">
      <x v="1"/>
    </i>
    <i r="25">
      <x v="1"/>
    </i>
    <i r="26">
      <x v="1"/>
    </i>
    <i r="27">
      <x v="235"/>
    </i>
    <i r="28">
      <x v="1"/>
    </i>
    <i r="29">
      <x v="9"/>
    </i>
    <i r="30">
      <x v="4"/>
    </i>
    <i r="31">
      <x v="96"/>
    </i>
    <i r="32">
      <x v="7"/>
    </i>
    <i r="33">
      <x v="1"/>
    </i>
    <i r="34">
      <x v="6"/>
    </i>
    <i r="35">
      <x v="1"/>
    </i>
    <i r="36">
      <x v="1"/>
    </i>
    <i r="37">
      <x v="6"/>
    </i>
    <i r="38">
      <x v="3"/>
    </i>
    <i r="39">
      <x v="1"/>
    </i>
    <i r="40">
      <x v="1"/>
    </i>
    <i r="41">
      <x v="6"/>
    </i>
    <i r="42">
      <x v="1"/>
    </i>
    <i r="43">
      <x v="1"/>
    </i>
    <i r="44">
      <x v="1"/>
    </i>
    <i r="45">
      <x v="1"/>
    </i>
    <i r="46">
      <x v="1"/>
    </i>
    <i r="47">
      <x v="1"/>
    </i>
    <i r="48">
      <x v="1"/>
    </i>
    <i r="49">
      <x v="1"/>
    </i>
    <i r="50">
      <x v="1"/>
    </i>
    <i r="51">
      <x v="1"/>
    </i>
    <i r="52">
      <x v="7"/>
    </i>
    <i r="53">
      <x v="1"/>
    </i>
    <i r="54">
      <x v="1"/>
    </i>
    <i r="55">
      <x v="3"/>
    </i>
    <i r="56">
      <x v="1"/>
    </i>
    <i r="57">
      <x v="1"/>
    </i>
    <i r="58">
      <x v="1"/>
    </i>
    <i r="59">
      <x v="17"/>
    </i>
    <i r="60">
      <x v="4"/>
    </i>
    <i r="61">
      <x v="1"/>
    </i>
    <i r="62">
      <x v="1"/>
    </i>
    <i r="63">
      <x v="1"/>
    </i>
    <i r="64">
      <x v="1"/>
    </i>
    <i r="65">
      <x v="1"/>
    </i>
    <i r="66">
      <x v="1"/>
    </i>
    <i r="67">
      <x v="1"/>
    </i>
    <i r="68">
      <x v="4"/>
    </i>
    <i r="69">
      <x v="1"/>
    </i>
    <i r="70">
      <x v="5"/>
    </i>
    <i r="71">
      <x v="41"/>
    </i>
    <i r="72">
      <x v="40"/>
    </i>
    <i r="73">
      <x/>
    </i>
    <i r="2">
      <x v="504"/>
    </i>
    <i r="3">
      <x v="41"/>
    </i>
    <i r="4">
      <x v="41"/>
    </i>
    <i r="5">
      <x v="24"/>
    </i>
    <i r="6">
      <x v="2"/>
    </i>
    <i r="7">
      <x v="1"/>
    </i>
    <i r="8">
      <x v="1"/>
    </i>
    <i r="9">
      <x v="87"/>
    </i>
    <i r="10">
      <x v="88"/>
    </i>
    <i r="11">
      <x v="1"/>
    </i>
    <i r="12">
      <x v="5"/>
    </i>
    <i r="13">
      <x v="66"/>
    </i>
    <i r="14">
      <x v="42"/>
    </i>
    <i r="15">
      <x v="4"/>
    </i>
    <i r="16">
      <x v="1"/>
    </i>
    <i r="17">
      <x v="1"/>
    </i>
    <i r="18">
      <x v="42"/>
    </i>
    <i r="19">
      <x v="1"/>
    </i>
    <i r="20">
      <x v="42"/>
    </i>
    <i r="21">
      <x v="1"/>
    </i>
    <i r="22">
      <x v="1"/>
    </i>
    <i r="23">
      <x v="1"/>
    </i>
    <i r="24">
      <x v="1"/>
    </i>
    <i r="25">
      <x v="1"/>
    </i>
    <i r="26">
      <x v="1"/>
    </i>
    <i r="27">
      <x v="41"/>
    </i>
    <i r="28">
      <x v="1"/>
    </i>
    <i r="29">
      <x v="9"/>
    </i>
    <i r="30">
      <x v="4"/>
    </i>
    <i r="31">
      <x v="96"/>
    </i>
    <i r="32">
      <x v="7"/>
    </i>
    <i r="33">
      <x v="1"/>
    </i>
    <i r="34">
      <x v="6"/>
    </i>
    <i r="35">
      <x v="1"/>
    </i>
    <i r="36">
      <x v="1"/>
    </i>
    <i r="37">
      <x v="6"/>
    </i>
    <i r="38">
      <x v="3"/>
    </i>
    <i r="39">
      <x v="1"/>
    </i>
    <i r="40">
      <x v="1"/>
    </i>
    <i r="41">
      <x v="6"/>
    </i>
    <i r="42">
      <x v="1"/>
    </i>
    <i r="43">
      <x v="1"/>
    </i>
    <i r="44">
      <x v="1"/>
    </i>
    <i r="45">
      <x v="1"/>
    </i>
    <i r="46">
      <x v="1"/>
    </i>
    <i r="47">
      <x v="1"/>
    </i>
    <i r="48">
      <x v="1"/>
    </i>
    <i r="49">
      <x v="1"/>
    </i>
    <i r="50">
      <x v="1"/>
    </i>
    <i r="51">
      <x v="1"/>
    </i>
    <i r="52">
      <x v="7"/>
    </i>
    <i r="53">
      <x v="1"/>
    </i>
    <i r="54">
      <x v="1"/>
    </i>
    <i r="55">
      <x v="3"/>
    </i>
    <i r="56">
      <x v="1"/>
    </i>
    <i r="57">
      <x v="1"/>
    </i>
    <i r="58">
      <x v="1"/>
    </i>
    <i r="59">
      <x v="51"/>
    </i>
    <i r="60">
      <x v="4"/>
    </i>
    <i r="61">
      <x v="1"/>
    </i>
    <i r="62">
      <x v="1"/>
    </i>
    <i r="63">
      <x v="1"/>
    </i>
    <i r="64">
      <x v="1"/>
    </i>
    <i r="65">
      <x v="1"/>
    </i>
    <i r="66">
      <x v="1"/>
    </i>
    <i r="67">
      <x v="1"/>
    </i>
    <i r="68">
      <x v="4"/>
    </i>
    <i r="69">
      <x v="1"/>
    </i>
    <i r="70">
      <x v="5"/>
    </i>
    <i r="71">
      <x v="41"/>
    </i>
    <i r="72">
      <x v="40"/>
    </i>
    <i r="73">
      <x/>
    </i>
    <i r="2">
      <x v="505"/>
    </i>
    <i r="3">
      <x v="41"/>
    </i>
    <i r="4">
      <x v="41"/>
    </i>
    <i r="5">
      <x v="24"/>
    </i>
    <i r="6">
      <x v="2"/>
    </i>
    <i r="7">
      <x v="1"/>
    </i>
    <i r="8">
      <x v="1"/>
    </i>
    <i r="9">
      <x v="484"/>
    </i>
    <i r="10">
      <x v="509"/>
    </i>
    <i r="11">
      <x v="1"/>
    </i>
    <i r="12">
      <x v="1"/>
    </i>
    <i r="13">
      <x v="66"/>
    </i>
    <i r="14">
      <x v="42"/>
    </i>
    <i r="15">
      <x v="4"/>
    </i>
    <i r="16">
      <x v="1"/>
    </i>
    <i r="17">
      <x v="1"/>
    </i>
    <i r="18">
      <x v="42"/>
    </i>
    <i r="19">
      <x v="1"/>
    </i>
    <i r="20">
      <x v="42"/>
    </i>
    <i r="21">
      <x v="1"/>
    </i>
    <i r="22">
      <x v="1"/>
    </i>
    <i r="23">
      <x v="1"/>
    </i>
    <i r="24">
      <x v="1"/>
    </i>
    <i r="25">
      <x v="1"/>
    </i>
    <i r="26">
      <x v="1"/>
    </i>
    <i r="27">
      <x v="41"/>
    </i>
    <i r="28">
      <x v="1"/>
    </i>
    <i r="29">
      <x v="9"/>
    </i>
    <i r="30">
      <x v="4"/>
    </i>
    <i r="31">
      <x v="598"/>
    </i>
    <i r="32">
      <x v="7"/>
    </i>
    <i r="33">
      <x v="1"/>
    </i>
    <i r="34">
      <x v="6"/>
    </i>
    <i r="35">
      <x v="1"/>
    </i>
    <i r="36">
      <x v="1"/>
    </i>
    <i r="37">
      <x v="6"/>
    </i>
    <i r="38">
      <x v="3"/>
    </i>
    <i r="39">
      <x v="1"/>
    </i>
    <i r="40">
      <x v="1"/>
    </i>
    <i r="41">
      <x v="6"/>
    </i>
    <i r="42">
      <x v="1"/>
    </i>
    <i r="43">
      <x v="1"/>
    </i>
    <i r="44">
      <x v="1"/>
    </i>
    <i r="45">
      <x v="1"/>
    </i>
    <i r="46">
      <x v="1"/>
    </i>
    <i r="47">
      <x v="1"/>
    </i>
    <i r="48">
      <x v="1"/>
    </i>
    <i r="49">
      <x v="1"/>
    </i>
    <i r="50">
      <x v="1"/>
    </i>
    <i r="51">
      <x v="1"/>
    </i>
    <i r="52">
      <x v="7"/>
    </i>
    <i r="53">
      <x v="1"/>
    </i>
    <i r="54">
      <x v="1"/>
    </i>
    <i r="55">
      <x v="3"/>
    </i>
    <i r="56">
      <x v="1"/>
    </i>
    <i r="57">
      <x v="1"/>
    </i>
    <i r="58">
      <x v="1"/>
    </i>
    <i r="59">
      <x v="17"/>
    </i>
    <i r="60">
      <x v="4"/>
    </i>
    <i r="61">
      <x v="1"/>
    </i>
    <i r="62">
      <x v="1"/>
    </i>
    <i r="63">
      <x v="1"/>
    </i>
    <i r="64">
      <x v="1"/>
    </i>
    <i r="65">
      <x v="1"/>
    </i>
    <i r="66">
      <x v="1"/>
    </i>
    <i r="67">
      <x v="1"/>
    </i>
    <i r="68">
      <x v="4"/>
    </i>
    <i r="69">
      <x v="1"/>
    </i>
    <i r="70">
      <x v="5"/>
    </i>
    <i r="71">
      <x v="41"/>
    </i>
    <i r="72">
      <x v="40"/>
    </i>
    <i r="73">
      <x/>
    </i>
    <i r="2">
      <x v="551"/>
    </i>
    <i r="3">
      <x v="41"/>
    </i>
    <i r="4">
      <x v="41"/>
    </i>
    <i r="5">
      <x v="24"/>
    </i>
    <i r="6">
      <x v="2"/>
    </i>
    <i r="7">
      <x v="1"/>
    </i>
    <i r="8">
      <x v="1"/>
    </i>
    <i r="9">
      <x v="87"/>
    </i>
    <i r="10">
      <x v="88"/>
    </i>
    <i r="11">
      <x v="1"/>
    </i>
    <i r="12">
      <x v="1"/>
    </i>
    <i r="13">
      <x v="429"/>
    </i>
    <i r="14">
      <x v="42"/>
    </i>
    <i r="15">
      <x v="4"/>
    </i>
    <i r="16">
      <x v="1"/>
    </i>
    <i r="17">
      <x v="1"/>
    </i>
    <i r="18">
      <x v="42"/>
    </i>
    <i r="19">
      <x v="1"/>
    </i>
    <i r="20">
      <x v="42"/>
    </i>
    <i r="21">
      <x v="1"/>
    </i>
    <i r="22">
      <x v="1"/>
    </i>
    <i r="23">
      <x v="1"/>
    </i>
    <i r="24">
      <x v="1"/>
    </i>
    <i r="25">
      <x v="1"/>
    </i>
    <i r="26">
      <x v="1"/>
    </i>
    <i r="27">
      <x v="238"/>
    </i>
    <i r="28">
      <x v="1"/>
    </i>
    <i r="29">
      <x v="9"/>
    </i>
    <i r="30">
      <x v="4"/>
    </i>
    <i r="31">
      <x v="96"/>
    </i>
    <i r="32">
      <x v="7"/>
    </i>
    <i r="33">
      <x v="1"/>
    </i>
    <i r="34">
      <x v="6"/>
    </i>
    <i r="35">
      <x v="1"/>
    </i>
    <i r="36">
      <x v="1"/>
    </i>
    <i r="37">
      <x v="6"/>
    </i>
    <i r="38">
      <x v="3"/>
    </i>
    <i r="39">
      <x v="1"/>
    </i>
    <i r="40">
      <x v="1"/>
    </i>
    <i r="41">
      <x v="6"/>
    </i>
    <i r="42">
      <x v="1"/>
    </i>
    <i r="43">
      <x v="1"/>
    </i>
    <i r="44">
      <x v="1"/>
    </i>
    <i r="45">
      <x v="1"/>
    </i>
    <i r="46">
      <x v="1"/>
    </i>
    <i r="47">
      <x v="1"/>
    </i>
    <i r="48">
      <x v="1"/>
    </i>
    <i r="49">
      <x v="1"/>
    </i>
    <i r="50">
      <x v="1"/>
    </i>
    <i r="51">
      <x v="1"/>
    </i>
    <i r="52">
      <x v="7"/>
    </i>
    <i r="53">
      <x v="1"/>
    </i>
    <i r="54">
      <x v="1"/>
    </i>
    <i r="55">
      <x v="3"/>
    </i>
    <i r="56">
      <x v="1"/>
    </i>
    <i r="57">
      <x v="1"/>
    </i>
    <i r="58">
      <x v="1"/>
    </i>
    <i r="59">
      <x v="17"/>
    </i>
    <i r="60">
      <x v="4"/>
    </i>
    <i r="61">
      <x v="1"/>
    </i>
    <i r="62">
      <x v="1"/>
    </i>
    <i r="63">
      <x v="1"/>
    </i>
    <i r="64">
      <x v="1"/>
    </i>
    <i r="65">
      <x v="1"/>
    </i>
    <i r="66">
      <x v="1"/>
    </i>
    <i r="67">
      <x v="1"/>
    </i>
    <i r="68">
      <x v="4"/>
    </i>
    <i r="69">
      <x v="1"/>
    </i>
    <i r="70">
      <x v="5"/>
    </i>
    <i r="71">
      <x v="41"/>
    </i>
    <i r="72">
      <x v="40"/>
    </i>
    <i r="73">
      <x/>
    </i>
    <i r="2">
      <x v="553"/>
    </i>
    <i r="3">
      <x v="41"/>
    </i>
    <i r="4">
      <x v="41"/>
    </i>
    <i r="5">
      <x v="24"/>
    </i>
    <i r="6">
      <x v="2"/>
    </i>
    <i r="7">
      <x v="1"/>
    </i>
    <i r="8">
      <x v="1"/>
    </i>
    <i r="9">
      <x v="87"/>
    </i>
    <i r="10">
      <x v="88"/>
    </i>
    <i r="11">
      <x v="1"/>
    </i>
    <i r="12">
      <x v="1"/>
    </i>
    <i r="13">
      <x v="431"/>
    </i>
    <i r="14">
      <x v="42"/>
    </i>
    <i r="15">
      <x v="4"/>
    </i>
    <i r="16">
      <x v="1"/>
    </i>
    <i r="17">
      <x v="1"/>
    </i>
    <i r="18">
      <x v="42"/>
    </i>
    <i r="19">
      <x v="1"/>
    </i>
    <i r="20">
      <x v="42"/>
    </i>
    <i r="21">
      <x v="1"/>
    </i>
    <i r="22">
      <x v="1"/>
    </i>
    <i r="23">
      <x v="1"/>
    </i>
    <i r="24">
      <x v="1"/>
    </i>
    <i r="25">
      <x v="1"/>
    </i>
    <i r="26">
      <x v="1"/>
    </i>
    <i r="27">
      <x v="41"/>
    </i>
    <i r="28">
      <x v="1"/>
    </i>
    <i r="29">
      <x v="9"/>
    </i>
    <i r="30">
      <x v="4"/>
    </i>
    <i r="31">
      <x v="96"/>
    </i>
    <i r="32">
      <x v="7"/>
    </i>
    <i r="33">
      <x v="1"/>
    </i>
    <i r="34">
      <x v="6"/>
    </i>
    <i r="35">
      <x v="1"/>
    </i>
    <i r="36">
      <x v="1"/>
    </i>
    <i r="37">
      <x v="6"/>
    </i>
    <i r="38">
      <x v="3"/>
    </i>
    <i r="39">
      <x v="1"/>
    </i>
    <i r="40">
      <x v="1"/>
    </i>
    <i r="41">
      <x v="6"/>
    </i>
    <i r="42">
      <x v="1"/>
    </i>
    <i r="43">
      <x v="1"/>
    </i>
    <i r="44">
      <x v="1"/>
    </i>
    <i r="45">
      <x v="1"/>
    </i>
    <i r="46">
      <x v="1"/>
    </i>
    <i r="47">
      <x v="1"/>
    </i>
    <i r="48">
      <x v="1"/>
    </i>
    <i r="49">
      <x v="1"/>
    </i>
    <i r="50">
      <x v="1"/>
    </i>
    <i r="51">
      <x v="1"/>
    </i>
    <i r="52">
      <x v="7"/>
    </i>
    <i r="53">
      <x v="1"/>
    </i>
    <i r="54">
      <x v="1"/>
    </i>
    <i r="55">
      <x v="3"/>
    </i>
    <i r="56">
      <x v="1"/>
    </i>
    <i r="57">
      <x v="1"/>
    </i>
    <i r="58">
      <x v="1"/>
    </i>
    <i r="59">
      <x v="17"/>
    </i>
    <i r="60">
      <x v="4"/>
    </i>
    <i r="61">
      <x v="1"/>
    </i>
    <i r="62">
      <x v="1"/>
    </i>
    <i r="63">
      <x v="1"/>
    </i>
    <i r="64">
      <x v="1"/>
    </i>
    <i r="65">
      <x v="1"/>
    </i>
    <i r="66">
      <x v="1"/>
    </i>
    <i r="67">
      <x v="1"/>
    </i>
    <i r="68">
      <x v="4"/>
    </i>
    <i r="69">
      <x v="1"/>
    </i>
    <i r="70">
      <x v="5"/>
    </i>
    <i r="71">
      <x v="41"/>
    </i>
    <i r="72">
      <x v="40"/>
    </i>
    <i r="73">
      <x/>
    </i>
    <i r="2">
      <x v="554"/>
    </i>
    <i r="3">
      <x v="41"/>
    </i>
    <i r="4">
      <x v="41"/>
    </i>
    <i r="5">
      <x v="24"/>
    </i>
    <i r="6">
      <x v="2"/>
    </i>
    <i r="7">
      <x v="1"/>
    </i>
    <i r="8">
      <x v="1"/>
    </i>
    <i r="9">
      <x v="87"/>
    </i>
    <i r="10">
      <x v="88"/>
    </i>
    <i r="11">
      <x v="1"/>
    </i>
    <i r="12">
      <x v="1"/>
    </i>
    <i r="13">
      <x v="432"/>
    </i>
    <i r="14">
      <x v="42"/>
    </i>
    <i r="15">
      <x v="4"/>
    </i>
    <i r="16">
      <x v="1"/>
    </i>
    <i r="17">
      <x v="1"/>
    </i>
    <i r="18">
      <x v="42"/>
    </i>
    <i r="19">
      <x v="1"/>
    </i>
    <i r="20">
      <x v="42"/>
    </i>
    <i r="21">
      <x v="1"/>
    </i>
    <i r="22">
      <x v="1"/>
    </i>
    <i r="23">
      <x v="1"/>
    </i>
    <i r="24">
      <x v="1"/>
    </i>
    <i r="25">
      <x v="1"/>
    </i>
    <i r="26">
      <x v="1"/>
    </i>
    <i r="27">
      <x v="41"/>
    </i>
    <i r="28">
      <x v="1"/>
    </i>
    <i r="29">
      <x v="9"/>
    </i>
    <i r="30">
      <x v="4"/>
    </i>
    <i r="31">
      <x v="96"/>
    </i>
    <i r="32">
      <x v="7"/>
    </i>
    <i r="33">
      <x v="1"/>
    </i>
    <i r="34">
      <x v="6"/>
    </i>
    <i r="35">
      <x v="1"/>
    </i>
    <i r="36">
      <x v="1"/>
    </i>
    <i r="37">
      <x v="6"/>
    </i>
    <i r="38">
      <x v="3"/>
    </i>
    <i r="39">
      <x v="1"/>
    </i>
    <i r="40">
      <x v="1"/>
    </i>
    <i r="41">
      <x v="6"/>
    </i>
    <i r="42">
      <x v="1"/>
    </i>
    <i r="43">
      <x v="1"/>
    </i>
    <i r="44">
      <x v="1"/>
    </i>
    <i r="45">
      <x v="1"/>
    </i>
    <i r="46">
      <x v="1"/>
    </i>
    <i r="47">
      <x v="1"/>
    </i>
    <i r="48">
      <x v="1"/>
    </i>
    <i r="49">
      <x v="1"/>
    </i>
    <i r="50">
      <x v="1"/>
    </i>
    <i r="51">
      <x v="1"/>
    </i>
    <i r="52">
      <x v="7"/>
    </i>
    <i r="53">
      <x v="1"/>
    </i>
    <i r="54">
      <x v="1"/>
    </i>
    <i r="55">
      <x v="3"/>
    </i>
    <i r="56">
      <x v="1"/>
    </i>
    <i r="57">
      <x v="1"/>
    </i>
    <i r="58">
      <x v="1"/>
    </i>
    <i r="59">
      <x v="17"/>
    </i>
    <i r="60">
      <x v="4"/>
    </i>
    <i r="61">
      <x v="1"/>
    </i>
    <i r="62">
      <x v="1"/>
    </i>
    <i r="63">
      <x v="1"/>
    </i>
    <i r="64">
      <x v="1"/>
    </i>
    <i r="65">
      <x v="1"/>
    </i>
    <i r="66">
      <x v="1"/>
    </i>
    <i r="67">
      <x v="1"/>
    </i>
    <i r="68">
      <x v="4"/>
    </i>
    <i r="69">
      <x v="1"/>
    </i>
    <i r="70">
      <x v="5"/>
    </i>
    <i r="71">
      <x v="41"/>
    </i>
    <i r="72">
      <x v="40"/>
    </i>
    <i r="73">
      <x/>
    </i>
    <i r="2">
      <x v="555"/>
    </i>
    <i r="3">
      <x v="41"/>
    </i>
    <i r="4">
      <x v="41"/>
    </i>
    <i r="5">
      <x v="24"/>
    </i>
    <i r="6">
      <x v="2"/>
    </i>
    <i r="7">
      <x v="1"/>
    </i>
    <i r="8">
      <x v="1"/>
    </i>
    <i r="9">
      <x v="87"/>
    </i>
    <i r="10">
      <x v="88"/>
    </i>
    <i r="11">
      <x v="1"/>
    </i>
    <i r="12">
      <x v="1"/>
    </i>
    <i r="13">
      <x v="433"/>
    </i>
    <i r="14">
      <x v="42"/>
    </i>
    <i r="15">
      <x v="4"/>
    </i>
    <i r="16">
      <x v="1"/>
    </i>
    <i r="17">
      <x v="1"/>
    </i>
    <i r="18">
      <x v="42"/>
    </i>
    <i r="19">
      <x v="1"/>
    </i>
    <i r="20">
      <x v="42"/>
    </i>
    <i r="21">
      <x v="1"/>
    </i>
    <i r="22">
      <x v="1"/>
    </i>
    <i r="23">
      <x v="1"/>
    </i>
    <i r="24">
      <x v="1"/>
    </i>
    <i r="25">
      <x v="1"/>
    </i>
    <i r="26">
      <x v="1"/>
    </i>
    <i r="27">
      <x v="41"/>
    </i>
    <i r="28">
      <x v="1"/>
    </i>
    <i r="29">
      <x v="9"/>
    </i>
    <i r="30">
      <x v="4"/>
    </i>
    <i r="31">
      <x v="96"/>
    </i>
    <i r="32">
      <x v="7"/>
    </i>
    <i r="33">
      <x v="1"/>
    </i>
    <i r="34">
      <x v="6"/>
    </i>
    <i r="35">
      <x v="1"/>
    </i>
    <i r="36">
      <x v="1"/>
    </i>
    <i r="37">
      <x v="6"/>
    </i>
    <i r="38">
      <x v="3"/>
    </i>
    <i r="39">
      <x v="1"/>
    </i>
    <i r="40">
      <x v="1"/>
    </i>
    <i r="41">
      <x v="6"/>
    </i>
    <i r="42">
      <x v="1"/>
    </i>
    <i r="43">
      <x v="1"/>
    </i>
    <i r="44">
      <x v="1"/>
    </i>
    <i r="45">
      <x v="1"/>
    </i>
    <i r="46">
      <x v="1"/>
    </i>
    <i r="47">
      <x v="1"/>
    </i>
    <i r="48">
      <x v="1"/>
    </i>
    <i r="49">
      <x v="1"/>
    </i>
    <i r="50">
      <x v="1"/>
    </i>
    <i r="51">
      <x v="1"/>
    </i>
    <i r="52">
      <x v="7"/>
    </i>
    <i r="53">
      <x v="1"/>
    </i>
    <i r="54">
      <x v="1"/>
    </i>
    <i r="55">
      <x v="3"/>
    </i>
    <i r="56">
      <x v="1"/>
    </i>
    <i r="57">
      <x v="1"/>
    </i>
    <i r="58">
      <x v="1"/>
    </i>
    <i r="59">
      <x v="17"/>
    </i>
    <i r="60">
      <x v="4"/>
    </i>
    <i r="61">
      <x v="1"/>
    </i>
    <i r="62">
      <x v="1"/>
    </i>
    <i r="63">
      <x v="1"/>
    </i>
    <i r="64">
      <x v="1"/>
    </i>
    <i r="65">
      <x v="1"/>
    </i>
    <i r="66">
      <x v="1"/>
    </i>
    <i r="67">
      <x v="1"/>
    </i>
    <i r="68">
      <x v="4"/>
    </i>
    <i r="69">
      <x v="1"/>
    </i>
    <i r="70">
      <x v="5"/>
    </i>
    <i r="71">
      <x v="41"/>
    </i>
    <i r="72">
      <x v="40"/>
    </i>
    <i r="73">
      <x/>
    </i>
    <i r="1">
      <x v="331"/>
    </i>
    <i r="2">
      <x v="494"/>
    </i>
    <i r="3">
      <x v="253"/>
    </i>
    <i r="4">
      <x v="235"/>
    </i>
    <i r="5">
      <x v="24"/>
    </i>
    <i r="6">
      <x v="2"/>
    </i>
    <i r="7">
      <x v="1"/>
    </i>
    <i r="8">
      <x v="1"/>
    </i>
    <i r="9">
      <x v="448"/>
    </i>
    <i r="10">
      <x v="506"/>
    </i>
    <i r="11">
      <x v="1"/>
    </i>
    <i r="12">
      <x v="4"/>
    </i>
    <i r="13">
      <x v="372"/>
    </i>
    <i r="14">
      <x v="245"/>
    </i>
    <i r="15">
      <x v="4"/>
    </i>
    <i r="16">
      <x v="1"/>
    </i>
    <i r="17">
      <x v="1"/>
    </i>
    <i r="18">
      <x v="242"/>
    </i>
    <i r="19">
      <x v="1"/>
    </i>
    <i r="20">
      <x v="251"/>
    </i>
    <i r="21">
      <x v="1"/>
    </i>
    <i r="22">
      <x v="1"/>
    </i>
    <i r="23">
      <x v="1"/>
    </i>
    <i r="24">
      <x v="1"/>
    </i>
    <i r="25">
      <x v="1"/>
    </i>
    <i r="26">
      <x v="174"/>
    </i>
    <i r="27">
      <x v="194"/>
    </i>
    <i r="28">
      <x v="1"/>
    </i>
    <i r="29">
      <x v="9"/>
    </i>
    <i r="30">
      <x v="4"/>
    </i>
    <i r="31">
      <x v="597"/>
    </i>
    <i r="32">
      <x v="7"/>
    </i>
    <i r="33">
      <x v="1"/>
    </i>
    <i r="34">
      <x v="6"/>
    </i>
    <i r="35">
      <x v="1"/>
    </i>
    <i r="36">
      <x v="1"/>
    </i>
    <i r="37">
      <x v="6"/>
    </i>
    <i r="38">
      <x v="3"/>
    </i>
    <i r="39">
      <x v="1"/>
    </i>
    <i r="40">
      <x v="1"/>
    </i>
    <i r="41">
      <x v="6"/>
    </i>
    <i r="42">
      <x v="1"/>
    </i>
    <i r="43">
      <x v="1"/>
    </i>
    <i r="44">
      <x v="1"/>
    </i>
    <i r="45">
      <x v="1"/>
    </i>
    <i r="46">
      <x v="1"/>
    </i>
    <i r="47">
      <x v="1"/>
    </i>
    <i r="48">
      <x v="1"/>
    </i>
    <i r="49">
      <x v="1"/>
    </i>
    <i r="50">
      <x v="1"/>
    </i>
    <i r="51">
      <x v="1"/>
    </i>
    <i r="52">
      <x v="7"/>
    </i>
    <i r="53">
      <x v="1"/>
    </i>
    <i r="54">
      <x v="1"/>
    </i>
    <i r="55">
      <x v="3"/>
    </i>
    <i r="56">
      <x v="1"/>
    </i>
    <i r="57">
      <x v="1"/>
    </i>
    <i r="58">
      <x v="1"/>
    </i>
    <i r="59">
      <x v="17"/>
    </i>
    <i r="60">
      <x v="4"/>
    </i>
    <i r="61">
      <x v="1"/>
    </i>
    <i r="62">
      <x v="1"/>
    </i>
    <i r="63">
      <x v="1"/>
    </i>
    <i r="64">
      <x v="1"/>
    </i>
    <i r="65">
      <x v="1"/>
    </i>
    <i r="66">
      <x v="1"/>
    </i>
    <i r="67">
      <x v="1"/>
    </i>
    <i r="68">
      <x v="4"/>
    </i>
    <i r="69">
      <x v="1"/>
    </i>
    <i r="70">
      <x v="5"/>
    </i>
    <i r="71">
      <x v="256"/>
    </i>
    <i r="72">
      <x v="193"/>
    </i>
    <i r="73">
      <x/>
    </i>
    <i r="1">
      <x v="343"/>
    </i>
    <i r="2">
      <x v="507"/>
    </i>
    <i r="3">
      <x v="254"/>
    </i>
    <i r="4">
      <x v="246"/>
    </i>
    <i r="5">
      <x v="24"/>
    </i>
    <i r="6">
      <x v="2"/>
    </i>
    <i r="7">
      <x v="1"/>
    </i>
    <i r="8">
      <x v="1"/>
    </i>
    <i r="9">
      <x v="459"/>
    </i>
    <i r="10">
      <x v="510"/>
    </i>
    <i r="11">
      <x v="1"/>
    </i>
    <i r="12">
      <x v="7"/>
    </i>
    <i r="13">
      <x v="382"/>
    </i>
    <i r="14">
      <x v="255"/>
    </i>
    <i r="15">
      <x v="4"/>
    </i>
    <i r="16">
      <x v="1"/>
    </i>
    <i r="17">
      <x v="1"/>
    </i>
    <i r="18">
      <x v="252"/>
    </i>
    <i r="19">
      <x v="1"/>
    </i>
    <i r="20">
      <x v="261"/>
    </i>
    <i r="21">
      <x v="1"/>
    </i>
    <i r="22">
      <x v="1"/>
    </i>
    <i r="23">
      <x v="1"/>
    </i>
    <i r="24">
      <x v="1"/>
    </i>
    <i r="25">
      <x v="1"/>
    </i>
    <i r="26">
      <x v="1"/>
    </i>
    <i r="27">
      <x v="203"/>
    </i>
    <i r="28">
      <x v="1"/>
    </i>
    <i r="29">
      <x v="9"/>
    </i>
    <i r="30">
      <x v="4"/>
    </i>
    <i r="31">
      <x v="96"/>
    </i>
    <i r="32">
      <x v="7"/>
    </i>
    <i r="33">
      <x v="1"/>
    </i>
    <i r="34">
      <x v="6"/>
    </i>
    <i r="35">
      <x v="1"/>
    </i>
    <i r="36">
      <x v="1"/>
    </i>
    <i r="37">
      <x v="6"/>
    </i>
    <i r="38">
      <x v="3"/>
    </i>
    <i r="39">
      <x v="1"/>
    </i>
    <i r="40">
      <x v="1"/>
    </i>
    <i r="41">
      <x v="6"/>
    </i>
    <i r="42">
      <x v="1"/>
    </i>
    <i r="43">
      <x v="1"/>
    </i>
    <i r="44">
      <x v="1"/>
    </i>
    <i r="45">
      <x v="1"/>
    </i>
    <i r="46">
      <x v="1"/>
    </i>
    <i r="47">
      <x v="1"/>
    </i>
    <i r="48">
      <x v="1"/>
    </i>
    <i r="49">
      <x v="1"/>
    </i>
    <i r="50">
      <x v="1"/>
    </i>
    <i r="51">
      <x v="1"/>
    </i>
    <i r="52">
      <x v="7"/>
    </i>
    <i r="53">
      <x v="1"/>
    </i>
    <i r="54">
      <x v="1"/>
    </i>
    <i r="55">
      <x v="3"/>
    </i>
    <i r="56">
      <x v="1"/>
    </i>
    <i r="57">
      <x v="1"/>
    </i>
    <i r="58">
      <x v="1"/>
    </i>
    <i r="59">
      <x v="17"/>
    </i>
    <i r="60">
      <x v="4"/>
    </i>
    <i r="61">
      <x v="1"/>
    </i>
    <i r="62">
      <x v="1"/>
    </i>
    <i r="63">
      <x v="1"/>
    </i>
    <i r="64">
      <x v="1"/>
    </i>
    <i r="65">
      <x v="1"/>
    </i>
    <i r="66">
      <x v="1"/>
    </i>
    <i r="67">
      <x v="1"/>
    </i>
    <i r="68">
      <x v="4"/>
    </i>
    <i r="69">
      <x v="1"/>
    </i>
    <i r="70">
      <x v="5"/>
    </i>
    <i r="71">
      <x v="266"/>
    </i>
    <i r="72">
      <x v="203"/>
    </i>
    <i r="73">
      <x/>
    </i>
    <i r="1">
      <x v="351"/>
    </i>
    <i r="2">
      <x v="503"/>
    </i>
    <i r="3">
      <x v="41"/>
    </i>
    <i r="4">
      <x v="41"/>
    </i>
    <i r="5">
      <x v="24"/>
    </i>
    <i r="6">
      <x v="2"/>
    </i>
    <i r="7">
      <x v="1"/>
    </i>
    <i r="8">
      <x v="1"/>
    </i>
    <i r="9">
      <x v="483"/>
    </i>
    <i r="10">
      <x v="507"/>
    </i>
    <i r="11">
      <x v="1"/>
    </i>
    <i r="12">
      <x v="1"/>
    </i>
    <i r="13">
      <x v="416"/>
    </i>
    <i r="14">
      <x v="42"/>
    </i>
    <i r="15">
      <x v="4"/>
    </i>
    <i r="16">
      <x v="1"/>
    </i>
    <i r="17">
      <x v="1"/>
    </i>
    <i r="18">
      <x v="42"/>
    </i>
    <i r="19">
      <x v="1"/>
    </i>
    <i r="20">
      <x v="42"/>
    </i>
    <i r="21">
      <x v="1"/>
    </i>
    <i r="22">
      <x v="1"/>
    </i>
    <i r="23">
      <x v="1"/>
    </i>
    <i r="24">
      <x v="1"/>
    </i>
    <i r="25">
      <x v="1"/>
    </i>
    <i r="26">
      <x v="1"/>
    </i>
    <i r="27">
      <x v="236"/>
    </i>
    <i r="28">
      <x v="1"/>
    </i>
    <i r="29">
      <x v="9"/>
    </i>
    <i r="30">
      <x v="4"/>
    </i>
    <i r="31">
      <x v="96"/>
    </i>
    <i r="32">
      <x v="7"/>
    </i>
    <i r="33">
      <x v="1"/>
    </i>
    <i r="34">
      <x v="6"/>
    </i>
    <i r="35">
      <x v="1"/>
    </i>
    <i r="36">
      <x v="1"/>
    </i>
    <i r="37">
      <x v="6"/>
    </i>
    <i r="38">
      <x v="3"/>
    </i>
    <i r="39">
      <x v="1"/>
    </i>
    <i r="40">
      <x v="1"/>
    </i>
    <i r="41">
      <x v="6"/>
    </i>
    <i r="42">
      <x v="1"/>
    </i>
    <i r="43">
      <x v="1"/>
    </i>
    <i r="44">
      <x v="1"/>
    </i>
    <i r="45">
      <x v="1"/>
    </i>
    <i r="46">
      <x v="1"/>
    </i>
    <i r="47">
      <x v="1"/>
    </i>
    <i r="48">
      <x v="1"/>
    </i>
    <i r="49">
      <x v="1"/>
    </i>
    <i r="50">
      <x v="1"/>
    </i>
    <i r="51">
      <x v="1"/>
    </i>
    <i r="52">
      <x v="7"/>
    </i>
    <i r="53">
      <x v="1"/>
    </i>
    <i r="54">
      <x v="1"/>
    </i>
    <i r="55">
      <x v="3"/>
    </i>
    <i r="56">
      <x v="1"/>
    </i>
    <i r="57">
      <x v="1"/>
    </i>
    <i r="58">
      <x v="1"/>
    </i>
    <i r="59">
      <x v="17"/>
    </i>
    <i r="60">
      <x v="4"/>
    </i>
    <i r="61">
      <x v="1"/>
    </i>
    <i r="62">
      <x v="1"/>
    </i>
    <i r="63">
      <x v="1"/>
    </i>
    <i r="64">
      <x v="1"/>
    </i>
    <i r="65">
      <x v="1"/>
    </i>
    <i r="66">
      <x v="1"/>
    </i>
    <i r="67">
      <x v="1"/>
    </i>
    <i r="68">
      <x v="4"/>
    </i>
    <i r="69">
      <x v="1"/>
    </i>
    <i r="70">
      <x v="5"/>
    </i>
    <i r="71">
      <x v="41"/>
    </i>
    <i r="72">
      <x v="40"/>
    </i>
    <i r="73">
      <x/>
    </i>
    <i r="1">
      <x v="352"/>
    </i>
    <i r="2">
      <x v="506"/>
    </i>
    <i r="3">
      <x v="41"/>
    </i>
    <i r="4">
      <x v="259"/>
    </i>
    <i r="5">
      <x v="24"/>
    </i>
    <i r="6">
      <x v="2"/>
    </i>
    <i r="7">
      <x v="1"/>
    </i>
    <i r="8">
      <x v="1"/>
    </i>
    <i r="9">
      <x v="87"/>
    </i>
    <i r="10">
      <x v="88"/>
    </i>
    <i r="11">
      <x v="1"/>
    </i>
    <i r="12">
      <x v="6"/>
    </i>
    <i r="13">
      <x v="66"/>
    </i>
    <i r="14">
      <x v="42"/>
    </i>
    <i r="15">
      <x v="4"/>
    </i>
    <i r="16">
      <x v="1"/>
    </i>
    <i r="17">
      <x v="1"/>
    </i>
    <i r="18">
      <x v="42"/>
    </i>
    <i r="19">
      <x v="1"/>
    </i>
    <i r="20">
      <x v="42"/>
    </i>
    <i r="21">
      <x v="1"/>
    </i>
    <i r="22">
      <x v="1"/>
    </i>
    <i r="23">
      <x v="1"/>
    </i>
    <i r="24">
      <x v="1"/>
    </i>
    <i r="25">
      <x v="1"/>
    </i>
    <i r="26">
      <x v="1"/>
    </i>
    <i r="27">
      <x v="41"/>
    </i>
    <i r="28">
      <x v="1"/>
    </i>
    <i r="29">
      <x v="9"/>
    </i>
    <i r="30">
      <x v="4"/>
    </i>
    <i r="31">
      <x v="96"/>
    </i>
    <i r="32">
      <x v="7"/>
    </i>
    <i r="33">
      <x v="1"/>
    </i>
    <i r="34">
      <x v="6"/>
    </i>
    <i r="35">
      <x v="1"/>
    </i>
    <i r="36">
      <x v="1"/>
    </i>
    <i r="37">
      <x v="6"/>
    </i>
    <i r="38">
      <x v="3"/>
    </i>
    <i r="39">
      <x v="1"/>
    </i>
    <i r="40">
      <x v="1"/>
    </i>
    <i r="41">
      <x v="6"/>
    </i>
    <i r="42">
      <x v="1"/>
    </i>
    <i r="43">
      <x v="1"/>
    </i>
    <i r="44">
      <x v="1"/>
    </i>
    <i r="45">
      <x v="1"/>
    </i>
    <i r="46">
      <x v="1"/>
    </i>
    <i r="47">
      <x v="1"/>
    </i>
    <i r="48">
      <x v="1"/>
    </i>
    <i r="49">
      <x v="1"/>
    </i>
    <i r="50">
      <x v="1"/>
    </i>
    <i r="51">
      <x v="1"/>
    </i>
    <i r="52">
      <x v="7"/>
    </i>
    <i r="53">
      <x v="1"/>
    </i>
    <i r="54">
      <x v="1"/>
    </i>
    <i r="55">
      <x v="10"/>
    </i>
    <i r="56">
      <x v="1"/>
    </i>
    <i r="57">
      <x v="1"/>
    </i>
    <i r="58">
      <x v="1"/>
    </i>
    <i r="59">
      <x v="17"/>
    </i>
    <i r="60">
      <x v="4"/>
    </i>
    <i r="61">
      <x v="1"/>
    </i>
    <i r="62">
      <x v="1"/>
    </i>
    <i r="63">
      <x v="1"/>
    </i>
    <i r="64">
      <x v="1"/>
    </i>
    <i r="65">
      <x v="1"/>
    </i>
    <i r="66">
      <x v="1"/>
    </i>
    <i r="67">
      <x v="1"/>
    </i>
    <i r="68">
      <x v="4"/>
    </i>
    <i r="69">
      <x v="1"/>
    </i>
    <i r="70">
      <x v="5"/>
    </i>
    <i r="71">
      <x v="41"/>
    </i>
    <i r="72">
      <x v="40"/>
    </i>
    <i r="73">
      <x/>
    </i>
    <i r="1">
      <x v="353"/>
    </i>
    <i r="2">
      <x v="113"/>
    </i>
    <i r="3">
      <x v="41"/>
    </i>
    <i r="4">
      <x v="41"/>
    </i>
    <i r="5">
      <x v="24"/>
    </i>
    <i r="6">
      <x v="2"/>
    </i>
    <i r="7">
      <x v="1"/>
    </i>
    <i r="8">
      <x v="1"/>
    </i>
    <i r="9">
      <x v="485"/>
    </i>
    <i r="10">
      <x v="531"/>
    </i>
    <i r="11">
      <x v="1"/>
    </i>
    <i r="12">
      <x v="1"/>
    </i>
    <i r="13">
      <x v="66"/>
    </i>
    <i r="14">
      <x v="42"/>
    </i>
    <i r="15">
      <x v="4"/>
    </i>
    <i r="16">
      <x v="1"/>
    </i>
    <i r="17">
      <x v="1"/>
    </i>
    <i r="18">
      <x v="42"/>
    </i>
    <i r="19">
      <x v="1"/>
    </i>
    <i r="20">
      <x v="42"/>
    </i>
    <i r="21">
      <x v="1"/>
    </i>
    <i r="22">
      <x v="1"/>
    </i>
    <i r="23">
      <x v="1"/>
    </i>
    <i r="24">
      <x v="1"/>
    </i>
    <i r="25">
      <x v="1"/>
    </i>
    <i r="26">
      <x v="1"/>
    </i>
    <i r="27">
      <x v="41"/>
    </i>
    <i r="28">
      <x v="1"/>
    </i>
    <i r="29">
      <x v="9"/>
    </i>
    <i r="30">
      <x v="4"/>
    </i>
    <i r="31">
      <x v="96"/>
    </i>
    <i r="32">
      <x v="7"/>
    </i>
    <i r="33">
      <x v="1"/>
    </i>
    <i r="34">
      <x v="6"/>
    </i>
    <i r="35">
      <x v="1"/>
    </i>
    <i r="36">
      <x v="1"/>
    </i>
    <i r="37">
      <x v="6"/>
    </i>
    <i r="38">
      <x v="3"/>
    </i>
    <i r="39">
      <x v="1"/>
    </i>
    <i r="40">
      <x v="1"/>
    </i>
    <i r="41">
      <x v="6"/>
    </i>
    <i r="42">
      <x v="1"/>
    </i>
    <i r="43">
      <x v="1"/>
    </i>
    <i r="44">
      <x v="1"/>
    </i>
    <i r="45">
      <x v="1"/>
    </i>
    <i r="46">
      <x v="1"/>
    </i>
    <i r="47">
      <x v="1"/>
    </i>
    <i r="48">
      <x v="1"/>
    </i>
    <i r="49">
      <x v="1"/>
    </i>
    <i r="50">
      <x v="1"/>
    </i>
    <i r="51">
      <x v="1"/>
    </i>
    <i r="52">
      <x v="7"/>
    </i>
    <i r="53">
      <x v="1"/>
    </i>
    <i r="54">
      <x v="1"/>
    </i>
    <i r="55">
      <x v="3"/>
    </i>
    <i r="56">
      <x v="1"/>
    </i>
    <i r="57">
      <x v="1"/>
    </i>
    <i r="58">
      <x v="1"/>
    </i>
    <i r="59">
      <x v="17"/>
    </i>
    <i r="60">
      <x v="4"/>
    </i>
    <i r="61">
      <x v="1"/>
    </i>
    <i r="62">
      <x v="1"/>
    </i>
    <i r="63">
      <x v="1"/>
    </i>
    <i r="64">
      <x v="1"/>
    </i>
    <i r="65">
      <x v="1"/>
    </i>
    <i r="66">
      <x v="1"/>
    </i>
    <i r="67">
      <x v="1"/>
    </i>
    <i r="68">
      <x v="4"/>
    </i>
    <i r="69">
      <x v="1"/>
    </i>
    <i r="70">
      <x v="5"/>
    </i>
    <i r="71">
      <x v="41"/>
    </i>
    <i r="72">
      <x v="40"/>
    </i>
    <i r="73">
      <x/>
    </i>
    <i r="1">
      <x v="354"/>
    </i>
    <i r="2">
      <x v="552"/>
    </i>
    <i r="3">
      <x v="260"/>
    </i>
    <i r="4">
      <x v="260"/>
    </i>
    <i r="5">
      <x v="24"/>
    </i>
    <i r="6">
      <x v="2"/>
    </i>
    <i r="7">
      <x v="1"/>
    </i>
    <i r="8">
      <x v="1"/>
    </i>
    <i r="9">
      <x v="486"/>
    </i>
    <i r="10">
      <x v="532"/>
    </i>
    <i r="11">
      <x v="1"/>
    </i>
    <i r="12">
      <x v="13"/>
    </i>
    <i r="13">
      <x v="430"/>
    </i>
    <i r="14">
      <x v="261"/>
    </i>
    <i r="15">
      <x v="4"/>
    </i>
    <i r="16">
      <x v="1"/>
    </i>
    <i r="17">
      <x v="1"/>
    </i>
    <i r="18">
      <x v="258"/>
    </i>
    <i r="19">
      <x v="1"/>
    </i>
    <i r="20">
      <x v="268"/>
    </i>
    <i r="21">
      <x v="1"/>
    </i>
    <i r="22">
      <x v="1"/>
    </i>
    <i r="23">
      <x v="1"/>
    </i>
    <i r="24">
      <x v="1"/>
    </i>
    <i r="25">
      <x v="1"/>
    </i>
    <i r="26">
      <x v="1"/>
    </i>
    <i r="27">
      <x v="239"/>
    </i>
    <i r="28">
      <x v="1"/>
    </i>
    <i r="29">
      <x v="9"/>
    </i>
    <i r="30">
      <x v="4"/>
    </i>
    <i r="31">
      <x v="96"/>
    </i>
    <i r="32">
      <x v="7"/>
    </i>
    <i r="33">
      <x v="1"/>
    </i>
    <i r="34">
      <x v="6"/>
    </i>
    <i r="35">
      <x v="1"/>
    </i>
    <i r="36">
      <x v="1"/>
    </i>
    <i r="37">
      <x v="6"/>
    </i>
    <i r="38">
      <x v="3"/>
    </i>
    <i r="39">
      <x v="1"/>
    </i>
    <i r="40">
      <x v="1"/>
    </i>
    <i r="41">
      <x v="6"/>
    </i>
    <i r="42">
      <x v="1"/>
    </i>
    <i r="43">
      <x v="1"/>
    </i>
    <i r="44">
      <x v="1"/>
    </i>
    <i r="45">
      <x v="1"/>
    </i>
    <i r="46">
      <x v="1"/>
    </i>
    <i r="47">
      <x v="1"/>
    </i>
    <i r="48">
      <x v="1"/>
    </i>
    <i r="49">
      <x v="1"/>
    </i>
    <i r="50">
      <x v="1"/>
    </i>
    <i r="51">
      <x v="1"/>
    </i>
    <i r="52">
      <x v="7"/>
    </i>
    <i r="53">
      <x v="1"/>
    </i>
    <i r="54">
      <x v="1"/>
    </i>
    <i r="55">
      <x v="3"/>
    </i>
    <i r="56">
      <x v="1"/>
    </i>
    <i r="57">
      <x v="1"/>
    </i>
    <i r="58">
      <x v="1"/>
    </i>
    <i r="59">
      <x v="17"/>
    </i>
    <i r="60">
      <x v="4"/>
    </i>
    <i r="61">
      <x v="1"/>
    </i>
    <i r="62">
      <x v="1"/>
    </i>
    <i r="63">
      <x v="1"/>
    </i>
    <i r="64">
      <x v="1"/>
    </i>
    <i r="65">
      <x v="1"/>
    </i>
    <i r="66">
      <x v="1"/>
    </i>
    <i r="67">
      <x v="1"/>
    </i>
    <i r="68">
      <x v="4"/>
    </i>
    <i r="69">
      <x v="1"/>
    </i>
    <i r="70">
      <x v="5"/>
    </i>
    <i r="71">
      <x v="272"/>
    </i>
    <i r="72">
      <x v="209"/>
    </i>
    <i r="73">
      <x/>
    </i>
    <i r="1">
      <x v="355"/>
    </i>
    <i r="2">
      <x v="113"/>
    </i>
    <i r="3">
      <x v="41"/>
    </i>
    <i r="4">
      <x v="41"/>
    </i>
    <i r="5">
      <x v="24"/>
    </i>
    <i r="6">
      <x v="2"/>
    </i>
    <i r="7">
      <x v="1"/>
    </i>
    <i r="8">
      <x v="1"/>
    </i>
    <i r="9">
      <x v="487"/>
    </i>
    <i r="10">
      <x v="533"/>
    </i>
    <i r="11">
      <x v="1"/>
    </i>
    <i r="12">
      <x v="1"/>
    </i>
    <i r="13">
      <x v="66"/>
    </i>
    <i r="14">
      <x v="42"/>
    </i>
    <i r="15">
      <x v="4"/>
    </i>
    <i r="16">
      <x v="1"/>
    </i>
    <i r="17">
      <x v="1"/>
    </i>
    <i r="18">
      <x v="42"/>
    </i>
    <i r="19">
      <x v="1"/>
    </i>
    <i r="20">
      <x v="42"/>
    </i>
    <i r="21">
      <x v="1"/>
    </i>
    <i r="22">
      <x v="1"/>
    </i>
    <i r="23">
      <x v="1"/>
    </i>
    <i r="24">
      <x v="1"/>
    </i>
    <i r="25">
      <x v="1"/>
    </i>
    <i r="26">
      <x v="1"/>
    </i>
    <i r="27">
      <x v="41"/>
    </i>
    <i r="28">
      <x v="1"/>
    </i>
    <i r="29">
      <x v="9"/>
    </i>
    <i r="30">
      <x v="4"/>
    </i>
    <i r="31">
      <x v="608"/>
    </i>
    <i r="32">
      <x v="7"/>
    </i>
    <i r="33">
      <x v="1"/>
    </i>
    <i r="34">
      <x v="6"/>
    </i>
    <i r="35">
      <x v="1"/>
    </i>
    <i r="36">
      <x v="1"/>
    </i>
    <i r="37">
      <x v="6"/>
    </i>
    <i r="38">
      <x v="3"/>
    </i>
    <i r="39">
      <x v="1"/>
    </i>
    <i r="40">
      <x v="1"/>
    </i>
    <i r="41">
      <x v="6"/>
    </i>
    <i r="42">
      <x v="1"/>
    </i>
    <i r="43">
      <x v="1"/>
    </i>
    <i r="44">
      <x v="1"/>
    </i>
    <i r="45">
      <x v="1"/>
    </i>
    <i r="46">
      <x v="1"/>
    </i>
    <i r="47">
      <x v="1"/>
    </i>
    <i r="48">
      <x v="1"/>
    </i>
    <i r="49">
      <x v="1"/>
    </i>
    <i r="50">
      <x v="1"/>
    </i>
    <i r="51">
      <x v="1"/>
    </i>
    <i r="52">
      <x v="7"/>
    </i>
    <i r="53">
      <x v="1"/>
    </i>
    <i r="54">
      <x v="1"/>
    </i>
    <i r="55">
      <x v="3"/>
    </i>
    <i r="56">
      <x v="1"/>
    </i>
    <i r="57">
      <x v="1"/>
    </i>
    <i r="58">
      <x v="1"/>
    </i>
    <i r="59">
      <x v="17"/>
    </i>
    <i r="60">
      <x v="4"/>
    </i>
    <i r="61">
      <x v="1"/>
    </i>
    <i r="62">
      <x v="1"/>
    </i>
    <i r="63">
      <x v="1"/>
    </i>
    <i r="64">
      <x v="1"/>
    </i>
    <i r="65">
      <x v="1"/>
    </i>
    <i r="66">
      <x v="1"/>
    </i>
    <i r="67">
      <x v="1"/>
    </i>
    <i r="68">
      <x v="4"/>
    </i>
    <i r="69">
      <x v="1"/>
    </i>
    <i r="70">
      <x v="5"/>
    </i>
    <i r="71">
      <x v="41"/>
    </i>
    <i r="72">
      <x v="40"/>
    </i>
    <i r="73">
      <x/>
    </i>
    <i r="1">
      <x v="356"/>
    </i>
    <i r="2">
      <x v="556"/>
    </i>
    <i r="3">
      <x v="41"/>
    </i>
    <i r="4">
      <x v="41"/>
    </i>
    <i r="5">
      <x v="24"/>
    </i>
    <i r="6">
      <x v="2"/>
    </i>
    <i r="7">
      <x v="1"/>
    </i>
    <i r="8">
      <x v="1"/>
    </i>
    <i r="9">
      <x v="488"/>
    </i>
    <i r="10">
      <x v="534"/>
    </i>
    <i r="11">
      <x v="1"/>
    </i>
    <i r="12">
      <x v="1"/>
    </i>
    <i r="13">
      <x v="66"/>
    </i>
    <i r="14">
      <x v="42"/>
    </i>
    <i r="15">
      <x v="4"/>
    </i>
    <i r="16">
      <x v="1"/>
    </i>
    <i r="17">
      <x v="1"/>
    </i>
    <i r="18">
      <x v="42"/>
    </i>
    <i r="19">
      <x v="1"/>
    </i>
    <i r="20">
      <x v="42"/>
    </i>
    <i r="21">
      <x v="1"/>
    </i>
    <i r="22">
      <x v="1"/>
    </i>
    <i r="23">
      <x v="1"/>
    </i>
    <i r="24">
      <x v="1"/>
    </i>
    <i r="25">
      <x v="1"/>
    </i>
    <i r="26">
      <x v="1"/>
    </i>
    <i r="27">
      <x v="41"/>
    </i>
    <i r="28">
      <x v="1"/>
    </i>
    <i r="29">
      <x v="9"/>
    </i>
    <i r="30">
      <x v="4"/>
    </i>
    <i r="31">
      <x v="96"/>
    </i>
    <i r="32">
      <x v="7"/>
    </i>
    <i r="33">
      <x v="1"/>
    </i>
    <i r="34">
      <x v="6"/>
    </i>
    <i r="35">
      <x v="1"/>
    </i>
    <i r="36">
      <x v="1"/>
    </i>
    <i r="37">
      <x v="6"/>
    </i>
    <i r="38">
      <x v="3"/>
    </i>
    <i r="39">
      <x v="1"/>
    </i>
    <i r="40">
      <x v="1"/>
    </i>
    <i r="41">
      <x v="6"/>
    </i>
    <i r="42">
      <x v="1"/>
    </i>
    <i r="43">
      <x v="1"/>
    </i>
    <i r="44">
      <x v="1"/>
    </i>
    <i r="45">
      <x v="1"/>
    </i>
    <i r="46">
      <x v="1"/>
    </i>
    <i r="47">
      <x v="1"/>
    </i>
    <i r="48">
      <x v="1"/>
    </i>
    <i r="49">
      <x v="1"/>
    </i>
    <i r="50">
      <x v="1"/>
    </i>
    <i r="51">
      <x v="1"/>
    </i>
    <i r="52">
      <x v="7"/>
    </i>
    <i r="53">
      <x v="1"/>
    </i>
    <i r="54">
      <x v="1"/>
    </i>
    <i r="55">
      <x v="3"/>
    </i>
    <i r="56">
      <x v="1"/>
    </i>
    <i r="57">
      <x v="1"/>
    </i>
    <i r="58">
      <x v="1"/>
    </i>
    <i r="59">
      <x v="17"/>
    </i>
    <i r="60">
      <x v="4"/>
    </i>
    <i r="61">
      <x v="1"/>
    </i>
    <i r="62">
      <x v="1"/>
    </i>
    <i r="63">
      <x v="1"/>
    </i>
    <i r="64">
      <x v="1"/>
    </i>
    <i r="65">
      <x v="1"/>
    </i>
    <i r="66">
      <x v="1"/>
    </i>
    <i r="67">
      <x v="1"/>
    </i>
    <i r="68">
      <x v="4"/>
    </i>
    <i r="69">
      <x v="1"/>
    </i>
    <i r="70">
      <x v="5"/>
    </i>
    <i r="71">
      <x v="41"/>
    </i>
    <i r="72">
      <x v="40"/>
    </i>
    <i r="73">
      <x/>
    </i>
    <i r="1">
      <x v="357"/>
    </i>
    <i r="2">
      <x v="113"/>
    </i>
    <i r="3">
      <x v="41"/>
    </i>
    <i r="4">
      <x v="41"/>
    </i>
    <i r="5">
      <x v="24"/>
    </i>
    <i r="6">
      <x v="2"/>
    </i>
    <i r="7">
      <x v="1"/>
    </i>
    <i r="8">
      <x v="1"/>
    </i>
    <i r="9">
      <x v="489"/>
    </i>
    <i r="10">
      <x v="535"/>
    </i>
    <i r="11">
      <x v="1"/>
    </i>
    <i r="12">
      <x v="1"/>
    </i>
    <i r="13">
      <x v="66"/>
    </i>
    <i r="14">
      <x v="42"/>
    </i>
    <i r="15">
      <x v="4"/>
    </i>
    <i r="16">
      <x v="1"/>
    </i>
    <i r="17">
      <x v="1"/>
    </i>
    <i r="18">
      <x v="42"/>
    </i>
    <i r="19">
      <x v="1"/>
    </i>
    <i r="20">
      <x v="42"/>
    </i>
    <i r="21">
      <x v="1"/>
    </i>
    <i r="22">
      <x v="1"/>
    </i>
    <i r="23">
      <x v="1"/>
    </i>
    <i r="24">
      <x v="1"/>
    </i>
    <i r="25">
      <x v="1"/>
    </i>
    <i r="26">
      <x v="1"/>
    </i>
    <i r="27">
      <x v="41"/>
    </i>
    <i r="28">
      <x v="1"/>
    </i>
    <i r="29">
      <x v="9"/>
    </i>
    <i r="30">
      <x v="4"/>
    </i>
    <i r="31">
      <x v="96"/>
    </i>
    <i r="32">
      <x v="7"/>
    </i>
    <i r="33">
      <x v="1"/>
    </i>
    <i r="34">
      <x v="6"/>
    </i>
    <i r="35">
      <x v="1"/>
    </i>
    <i r="36">
      <x v="1"/>
    </i>
    <i r="37">
      <x v="6"/>
    </i>
    <i r="38">
      <x v="3"/>
    </i>
    <i r="39">
      <x v="1"/>
    </i>
    <i r="40">
      <x v="1"/>
    </i>
    <i r="41">
      <x v="6"/>
    </i>
    <i r="42">
      <x v="1"/>
    </i>
    <i r="43">
      <x v="1"/>
    </i>
    <i r="44">
      <x v="1"/>
    </i>
    <i r="45">
      <x v="1"/>
    </i>
    <i r="46">
      <x v="1"/>
    </i>
    <i r="47">
      <x v="1"/>
    </i>
    <i r="48">
      <x v="1"/>
    </i>
    <i r="49">
      <x v="1"/>
    </i>
    <i r="50">
      <x v="1"/>
    </i>
    <i r="51">
      <x v="1"/>
    </i>
    <i r="52">
      <x v="7"/>
    </i>
    <i r="53">
      <x v="1"/>
    </i>
    <i r="54">
      <x v="1"/>
    </i>
    <i r="55">
      <x v="3"/>
    </i>
    <i r="56">
      <x v="1"/>
    </i>
    <i r="57">
      <x v="1"/>
    </i>
    <i r="58">
      <x v="1"/>
    </i>
    <i r="59">
      <x v="17"/>
    </i>
    <i r="60">
      <x v="4"/>
    </i>
    <i r="61">
      <x v="1"/>
    </i>
    <i r="62">
      <x v="1"/>
    </i>
    <i r="63">
      <x v="1"/>
    </i>
    <i r="64">
      <x v="1"/>
    </i>
    <i r="65">
      <x v="1"/>
    </i>
    <i r="66">
      <x v="1"/>
    </i>
    <i r="67">
      <x v="1"/>
    </i>
    <i r="68">
      <x v="4"/>
    </i>
    <i r="69">
      <x v="1"/>
    </i>
    <i r="70">
      <x v="5"/>
    </i>
    <i r="71">
      <x v="41"/>
    </i>
    <i r="72">
      <x v="40"/>
    </i>
    <i r="73">
      <x/>
    </i>
    <i r="1">
      <x v="358"/>
    </i>
    <i r="2">
      <x v="113"/>
    </i>
    <i r="3">
      <x v="41"/>
    </i>
    <i r="4">
      <x v="41"/>
    </i>
    <i r="5">
      <x v="24"/>
    </i>
    <i r="6">
      <x v="2"/>
    </i>
    <i r="7">
      <x v="1"/>
    </i>
    <i r="8">
      <x v="1"/>
    </i>
    <i r="9">
      <x v="490"/>
    </i>
    <i r="10">
      <x v="536"/>
    </i>
    <i r="11">
      <x v="1"/>
    </i>
    <i r="12">
      <x v="1"/>
    </i>
    <i r="13">
      <x v="66"/>
    </i>
    <i r="14">
      <x v="42"/>
    </i>
    <i r="15">
      <x v="4"/>
    </i>
    <i r="16">
      <x v="1"/>
    </i>
    <i r="17">
      <x v="1"/>
    </i>
    <i r="18">
      <x v="42"/>
    </i>
    <i r="19">
      <x v="1"/>
    </i>
    <i r="20">
      <x v="42"/>
    </i>
    <i r="21">
      <x v="1"/>
    </i>
    <i r="22">
      <x v="1"/>
    </i>
    <i r="23">
      <x v="1"/>
    </i>
    <i r="24">
      <x v="1"/>
    </i>
    <i r="25">
      <x v="1"/>
    </i>
    <i r="26">
      <x v="1"/>
    </i>
    <i r="27">
      <x v="41"/>
    </i>
    <i r="28">
      <x v="1"/>
    </i>
    <i r="29">
      <x v="9"/>
    </i>
    <i r="30">
      <x v="4"/>
    </i>
    <i r="31">
      <x v="96"/>
    </i>
    <i r="32">
      <x v="7"/>
    </i>
    <i r="33">
      <x v="1"/>
    </i>
    <i r="34">
      <x v="6"/>
    </i>
    <i r="35">
      <x v="1"/>
    </i>
    <i r="36">
      <x v="1"/>
    </i>
    <i r="37">
      <x v="6"/>
    </i>
    <i r="38">
      <x v="3"/>
    </i>
    <i r="39">
      <x v="1"/>
    </i>
    <i r="40">
      <x v="1"/>
    </i>
    <i r="41">
      <x v="6"/>
    </i>
    <i r="42">
      <x v="1"/>
    </i>
    <i r="43">
      <x v="1"/>
    </i>
    <i r="44">
      <x v="1"/>
    </i>
    <i r="45">
      <x v="1"/>
    </i>
    <i r="46">
      <x v="1"/>
    </i>
    <i r="47">
      <x v="1"/>
    </i>
    <i r="48">
      <x v="1"/>
    </i>
    <i r="49">
      <x v="1"/>
    </i>
    <i r="50">
      <x v="1"/>
    </i>
    <i r="51">
      <x v="1"/>
    </i>
    <i r="52">
      <x v="7"/>
    </i>
    <i r="53">
      <x v="1"/>
    </i>
    <i r="54">
      <x v="1"/>
    </i>
    <i r="55">
      <x v="3"/>
    </i>
    <i r="56">
      <x v="1"/>
    </i>
    <i r="57">
      <x v="1"/>
    </i>
    <i r="58">
      <x v="1"/>
    </i>
    <i r="59">
      <x v="17"/>
    </i>
    <i r="60">
      <x v="4"/>
    </i>
    <i r="61">
      <x v="1"/>
    </i>
    <i r="62">
      <x v="1"/>
    </i>
    <i r="63">
      <x v="1"/>
    </i>
    <i r="64">
      <x v="1"/>
    </i>
    <i r="65">
      <x v="1"/>
    </i>
    <i r="66">
      <x v="1"/>
    </i>
    <i r="67">
      <x v="1"/>
    </i>
    <i r="68">
      <x v="4"/>
    </i>
    <i r="69">
      <x v="1"/>
    </i>
    <i r="70">
      <x v="5"/>
    </i>
    <i r="71">
      <x v="41"/>
    </i>
    <i r="72">
      <x v="40"/>
    </i>
    <i r="73">
      <x/>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1" cacheId="3" applyNumberFormats="0" applyBorderFormats="0" applyFontFormats="0" applyPatternFormats="0" applyAlignmentFormats="0" applyWidthHeightFormats="1" dataCaption="Values" missingCaption="None" showMissing="0" updatedVersion="5" minRefreshableVersion="3" useAutoFormatting="1" itemPrintTitles="1" createdVersion="5" indent="0" outline="1" outlineData="1" multipleFieldFilters="0">
  <location ref="A1:A575" firstHeaderRow="1" firstDataRow="1" firstDataCol="1"/>
  <pivotFields count="263">
    <pivotField showAll="0"/>
    <pivotField showAll="0"/>
    <pivotField showAll="0"/>
    <pivotField showAll="0"/>
    <pivotField axis="axisRow" showAll="0">
      <items count="11">
        <item h="1" x="5"/>
        <item h="1" sd="0" x="1"/>
        <item x="0"/>
        <item h="1" sd="0" x="4"/>
        <item h="1" sd="0" x="6"/>
        <item h="1" sd="0" x="3"/>
        <item h="1" sd="0" x="7"/>
        <item h="1" sd="0" x="8"/>
        <item h="1" sd="0" x="9"/>
        <item h="1" sd="0" x="2"/>
        <item t="default"/>
      </items>
    </pivotField>
    <pivotField showAll="0" defaultSubtotal="0"/>
    <pivotField showAll="0" defaultSubtotal="0"/>
    <pivotField showAll="0" defaultSubtotal="0"/>
    <pivotField showAll="0" defaultSubtota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pivotField showAll="0"/>
    <pivotField showAll="0"/>
    <pivotField showAll="0"/>
    <pivotField showAll="0"/>
    <pivotField showAll="0"/>
    <pivotField showAll="0"/>
    <pivotField showAll="0"/>
    <pivotField showAll="0"/>
    <pivotField showAll="0"/>
    <pivotField showAll="0" defaultSubtotal="0"/>
    <pivotField showAll="0" defaultSubtota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defaultSubtotal="0"/>
    <pivotField numFmtId="164" showAll="0" defaultSubtotal="0"/>
    <pivotField numFmtId="164" showAll="0" defaultSubtotal="0"/>
    <pivotField numFmtId="164" showAll="0" defaultSubtotal="0"/>
    <pivotField numFmtId="164" showAll="0" defaultSubtotal="0"/>
    <pivotField numFmtId="164" showAll="0" defaultSubtotal="0"/>
    <pivotField numFmtId="164" showAll="0" defaultSubtotal="0"/>
    <pivotField numFmtId="164" showAll="0" defaultSubtotal="0"/>
    <pivotField numFmtId="164" showAll="0" defaultSubtotal="0"/>
    <pivotField numFmtId="164" showAll="0" defaultSubtotal="0"/>
    <pivotField numFmtId="164" showAll="0" defaultSubtotal="0"/>
    <pivotField numFmtId="164" showAll="0" defaultSubtotal="0"/>
    <pivotField numFmtId="164" showAll="0" defaultSubtotal="0"/>
    <pivotField numFmtId="164" showAll="0" defaultSubtotal="0"/>
    <pivotField numFmtId="164" showAll="0" defaultSubtotal="0"/>
    <pivotField numFmtId="164" showAll="0" defaultSubtotal="0"/>
    <pivotField numFmtId="164" showAll="0" defaultSubtotal="0"/>
    <pivotField numFmtId="164" showAll="0"/>
    <pivotField numFmtId="164" showAll="0" defaultSubtotal="0"/>
    <pivotField numFmtId="164" showAll="0" defaultSubtotal="0"/>
    <pivotField numFmtId="164" showAll="0" defaultSubtotal="0"/>
    <pivotField numFmtId="164" showAll="0" defaultSubtotal="0"/>
    <pivotField numFmtId="164"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Row" showAll="0">
      <items count="360">
        <item sd="0" m="1" x="53"/>
        <item m="1" x="338"/>
        <item m="1" x="240"/>
        <item m="1" x="349"/>
        <item m="1" x="195"/>
        <item m="1" x="288"/>
        <item m="1" x="356"/>
        <item m="1" x="181"/>
        <item m="1" x="83"/>
        <item m="1" x="93"/>
        <item m="1" x="225"/>
        <item m="1" x="85"/>
        <item m="1" x="189"/>
        <item m="1" x="354"/>
        <item m="1" x="309"/>
        <item m="1" x="77"/>
        <item m="1" x="269"/>
        <item m="1" x="159"/>
        <item m="1" x="107"/>
        <item m="1" x="246"/>
        <item m="1" x="56"/>
        <item m="1" x="336"/>
        <item m="1" x="328"/>
        <item m="1" x="124"/>
        <item m="1" x="138"/>
        <item m="1" x="303"/>
        <item m="1" x="215"/>
        <item m="1" x="203"/>
        <item m="1" x="151"/>
        <item m="1" x="81"/>
        <item m="1" x="347"/>
        <item m="1" x="241"/>
        <item m="1" x="318"/>
        <item m="1" x="94"/>
        <item m="1" x="165"/>
        <item m="1" x="196"/>
        <item m="1" x="58"/>
        <item m="1" x="182"/>
        <item m="1" x="173"/>
        <item m="1" x="88"/>
        <item m="1" x="235"/>
        <item m="1" x="267"/>
        <item m="1" x="190"/>
        <item m="1" x="229"/>
        <item x="0"/>
        <item m="1" x="121"/>
        <item m="1" x="59"/>
        <item m="1" x="320"/>
        <item m="1" x="283"/>
        <item m="1" x="304"/>
        <item m="1" x="284"/>
        <item m="1" x="305"/>
        <item m="1" x="306"/>
        <item m="1" x="169"/>
        <item m="1" x="106"/>
        <item m="1" x="321"/>
        <item m="1" x="322"/>
        <item m="1" x="69"/>
        <item m="1" x="70"/>
        <item m="1" x="89"/>
        <item m="1" x="170"/>
        <item m="1" x="79"/>
        <item m="1" x="80"/>
        <item m="1" x="137"/>
        <item m="1" x="125"/>
        <item m="1" x="160"/>
        <item m="1" x="143"/>
        <item m="1" x="144"/>
        <item m="1" x="145"/>
        <item m="1" x="71"/>
        <item m="1" x="210"/>
        <item m="1" x="123"/>
        <item m="1" x="146"/>
        <item m="1" x="155"/>
        <item m="1" x="147"/>
        <item m="1" x="148"/>
        <item m="1" x="149"/>
        <item m="1" x="135"/>
        <item m="1" x="171"/>
        <item m="1" x="296"/>
        <item m="1" x="337"/>
        <item m="1" x="324"/>
        <item m="1" x="72"/>
        <item m="1" x="323"/>
        <item m="1" x="345"/>
        <item m="1" x="346"/>
        <item m="1" x="285"/>
        <item m="1" x="286"/>
        <item m="1" x="308"/>
        <item m="1" x="206"/>
        <item m="1" x="217"/>
        <item m="1" x="252"/>
        <item m="1" x="126"/>
        <item m="1" x="152"/>
        <item m="1" x="287"/>
        <item m="1" x="185"/>
        <item m="1" x="262"/>
        <item m="1" x="220"/>
        <item m="1" x="357"/>
        <item m="1" x="263"/>
        <item m="1" x="68"/>
        <item m="1" x="172"/>
        <item m="1" x="187"/>
        <item m="1" x="342"/>
        <item m="1" x="188"/>
        <item m="1" x="348"/>
        <item m="1" x="334"/>
        <item m="1" x="291"/>
        <item m="1" x="120"/>
        <item m="1" x="176"/>
        <item m="1" x="117"/>
        <item m="1" x="186"/>
        <item m="1" x="214"/>
        <item m="1" x="343"/>
        <item m="1" x="92"/>
        <item m="1" x="335"/>
        <item m="1" x="344"/>
        <item m="1" x="193"/>
        <item m="1" x="290"/>
        <item m="1" x="265"/>
        <item m="1" x="108"/>
        <item m="1" x="139"/>
        <item m="1" x="82"/>
        <item m="1" x="205"/>
        <item m="1" x="297"/>
        <item m="1" x="226"/>
        <item m="1" x="230"/>
        <item m="1" x="199"/>
        <item m="1" x="231"/>
        <item m="1" x="200"/>
        <item m="1" x="201"/>
        <item m="1" x="113"/>
        <item m="1" x="91"/>
        <item m="1" x="227"/>
        <item m="1" x="228"/>
        <item m="1" x="236"/>
        <item m="1" x="237"/>
        <item m="1" x="293"/>
        <item m="1" x="114"/>
        <item m="1" x="254"/>
        <item m="1" x="255"/>
        <item m="1" x="340"/>
        <item m="1" x="67"/>
        <item m="1" x="339"/>
        <item m="1" x="310"/>
        <item m="1" x="311"/>
        <item m="1" x="312"/>
        <item m="1" x="238"/>
        <item m="1" x="191"/>
        <item m="1" x="302"/>
        <item m="1" x="276"/>
        <item m="1" x="179"/>
        <item m="1" x="277"/>
        <item m="1" x="278"/>
        <item m="1" x="279"/>
        <item m="1" x="266"/>
        <item m="1" x="157"/>
        <item m="1" x="282"/>
        <item m="1" x="142"/>
        <item m="1" x="178"/>
        <item m="1" x="280"/>
        <item m="1" x="301"/>
        <item m="1" x="162"/>
        <item m="1" x="163"/>
        <item m="1" x="316"/>
        <item m="1" x="317"/>
        <item m="1" x="216"/>
        <item m="1" x="184"/>
        <item m="1" x="54"/>
        <item m="1" x="133"/>
        <item m="1" x="248"/>
        <item m="1" x="66"/>
        <item m="1" x="319"/>
        <item m="1" x="150"/>
        <item m="1" x="140"/>
        <item m="1" x="174"/>
        <item m="1" x="245"/>
        <item m="1" x="161"/>
        <item m="1" x="294"/>
        <item m="1" x="239"/>
        <item m="1" x="204"/>
        <item m="1" x="292"/>
        <item m="1" x="251"/>
        <item m="1" x="192"/>
        <item m="1" x="103"/>
        <item m="1" x="118"/>
        <item m="1" x="351"/>
        <item m="1" x="105"/>
        <item m="1" x="244"/>
        <item m="1" x="355"/>
        <item m="1" x="60"/>
        <item m="1" x="219"/>
        <item m="1" x="156"/>
        <item m="1" x="331"/>
        <item m="1" x="253"/>
        <item m="1" x="183"/>
        <item m="1" x="164"/>
        <item m="1" x="109"/>
        <item m="1" x="112"/>
        <item m="1" x="264"/>
        <item m="1" x="299"/>
        <item x="29"/>
        <item m="1" x="115"/>
        <item m="1" x="73"/>
        <item m="1" x="61"/>
        <item m="1" x="207"/>
        <item m="1" x="62"/>
        <item m="1" x="208"/>
        <item m="1" x="209"/>
        <item m="1" x="313"/>
        <item m="1" x="289"/>
        <item m="1" x="74"/>
        <item m="1" x="75"/>
        <item m="1" x="221"/>
        <item m="1" x="222"/>
        <item m="1" x="212"/>
        <item m="1" x="314"/>
        <item m="1" x="86"/>
        <item m="1" x="87"/>
        <item m="1" x="218"/>
        <item m="1" x="119"/>
        <item m="1" x="232"/>
        <item m="1" x="96"/>
        <item m="1" x="97"/>
        <item m="1" x="98"/>
        <item m="1" x="223"/>
        <item m="1" x="55"/>
        <item m="1" x="90"/>
        <item m="1" x="99"/>
        <item m="1" x="78"/>
        <item m="1" x="100"/>
        <item m="1" x="101"/>
        <item m="1" x="102"/>
        <item m="1" x="242"/>
        <item m="1" x="315"/>
        <item m="1" x="202"/>
        <item m="1" x="167"/>
        <item m="1" x="250"/>
        <item m="1" x="224"/>
        <item m="1" x="76"/>
        <item m="1" x="257"/>
        <item m="1" x="258"/>
        <item m="1" x="63"/>
        <item m="1" x="64"/>
        <item x="17"/>
        <item x="18"/>
        <item x="20"/>
        <item m="1" x="259"/>
        <item x="23"/>
        <item m="1" x="57"/>
        <item m="1" x="104"/>
        <item m="1" x="213"/>
        <item x="32"/>
        <item m="1" x="153"/>
        <item m="1" x="95"/>
        <item m="1" x="330"/>
        <item m="1" x="350"/>
        <item x="49"/>
        <item x="50"/>
        <item x="51"/>
        <item x="52"/>
        <item m="1" x="158"/>
        <item m="1" x="127"/>
        <item m="1" x="111"/>
        <item m="1" x="358"/>
        <item m="1" x="194"/>
        <item m="1" x="110"/>
        <item x="9"/>
        <item x="16"/>
        <item x="21"/>
        <item x="24"/>
        <item x="31"/>
        <item x="43"/>
        <item x="44"/>
        <item x="45"/>
        <item x="48"/>
        <item m="1" x="307"/>
        <item m="1" x="247"/>
        <item x="4"/>
        <item m="1" x="168"/>
        <item x="6"/>
        <item m="1" x="180"/>
        <item x="25"/>
        <item x="27"/>
        <item m="1" x="298"/>
        <item m="1" x="300"/>
        <item m="1" x="177"/>
        <item x="1"/>
        <item x="2"/>
        <item x="3"/>
        <item m="1" x="122"/>
        <item m="1" x="260"/>
        <item m="1" x="141"/>
        <item x="22"/>
        <item m="1" x="353"/>
        <item m="1" x="256"/>
        <item m="1" x="175"/>
        <item m="1" x="65"/>
        <item m="1" x="166"/>
        <item m="1" x="249"/>
        <item m="1" x="154"/>
        <item x="46"/>
        <item x="47"/>
        <item x="5"/>
        <item x="7"/>
        <item x="8"/>
        <item x="10"/>
        <item x="11"/>
        <item x="12"/>
        <item x="13"/>
        <item x="14"/>
        <item x="15"/>
        <item x="19"/>
        <item m="1" x="84"/>
        <item m="1" x="325"/>
        <item m="1" x="326"/>
        <item m="1" x="128"/>
        <item m="1" x="129"/>
        <item m="1" x="136"/>
        <item m="1" x="197"/>
        <item m="1" x="131"/>
        <item m="1" x="132"/>
        <item m="1" x="295"/>
        <item m="1" x="211"/>
        <item m="1" x="281"/>
        <item m="1" x="270"/>
        <item m="1" x="271"/>
        <item m="1" x="272"/>
        <item m="1" x="130"/>
        <item m="1" x="134"/>
        <item x="30"/>
        <item x="33"/>
        <item m="1" x="352"/>
        <item m="1" x="116"/>
        <item m="1" x="273"/>
        <item m="1" x="274"/>
        <item m="1" x="275"/>
        <item m="1" x="268"/>
        <item m="1" x="198"/>
        <item m="1" x="329"/>
        <item m="1" x="243"/>
        <item m="1" x="261"/>
        <item m="1" x="341"/>
        <item x="37"/>
        <item m="1" x="327"/>
        <item m="1" x="233"/>
        <item m="1" x="234"/>
        <item m="1" x="332"/>
        <item m="1" x="333"/>
        <item x="26"/>
        <item x="28"/>
        <item x="34"/>
        <item x="36"/>
        <item x="35"/>
        <item x="38"/>
        <item x="39"/>
        <item x="40"/>
        <item x="41"/>
        <item x="42"/>
        <item t="default"/>
      </items>
    </pivotField>
    <pivotField axis="axisRow" showAll="0">
      <items count="274">
        <item m="1" x="19"/>
        <item m="1" x="102"/>
        <item m="1" x="90"/>
        <item m="1" x="71"/>
        <item m="1" x="215"/>
        <item m="1" x="175"/>
        <item m="1" x="94"/>
        <item m="1" x="139"/>
        <item m="1" x="170"/>
        <item m="1" x="23"/>
        <item m="1" x="129"/>
        <item m="1" x="209"/>
        <item m="1" x="165"/>
        <item m="1" x="261"/>
        <item m="1" x="247"/>
        <item m="1" x="126"/>
        <item m="1" x="73"/>
        <item m="1" x="135"/>
        <item m="1" x="235"/>
        <item m="1" x="176"/>
        <item m="1" x="56"/>
        <item m="1" x="156"/>
        <item m="1" x="122"/>
        <item m="1" x="141"/>
        <item x="0"/>
        <item m="1" x="34"/>
        <item m="1" x="196"/>
        <item m="1" x="58"/>
        <item m="1" x="188"/>
        <item m="1" x="80"/>
        <item m="1" x="85"/>
        <item m="1" x="106"/>
        <item m="1" x="197"/>
        <item m="1" x="228"/>
        <item m="1" x="216"/>
        <item m="1" x="217"/>
        <item m="1" x="117"/>
        <item m="1" x="234"/>
        <item m="1" x="248"/>
        <item m="1" x="41"/>
        <item m="1" x="54"/>
        <item m="1" x="186"/>
        <item m="1" x="237"/>
        <item m="1" x="105"/>
        <item m="1" x="95"/>
        <item m="1" x="187"/>
        <item m="1" x="164"/>
        <item m="1" x="37"/>
        <item m="1" x="81"/>
        <item m="1" x="120"/>
        <item m="1" x="84"/>
        <item m="1" x="31"/>
        <item m="1" x="27"/>
        <item m="1" x="68"/>
        <item m="1" x="169"/>
        <item m="1" x="82"/>
        <item m="1" x="125"/>
        <item m="1" x="229"/>
        <item m="1" x="153"/>
        <item m="1" x="182"/>
        <item m="1" x="185"/>
        <item m="1" x="263"/>
        <item m="1" x="203"/>
        <item m="1" x="62"/>
        <item m="1" x="269"/>
        <item m="1" x="233"/>
        <item m="1" x="166"/>
        <item m="1" x="127"/>
        <item m="1" x="20"/>
        <item m="1" x="67"/>
        <item m="1" x="48"/>
        <item m="1" x="46"/>
        <item m="1" x="111"/>
        <item m="1" x="124"/>
        <item m="1" x="212"/>
        <item m="1" x="88"/>
        <item m="1" x="158"/>
        <item m="1" x="180"/>
        <item m="1" x="50"/>
        <item m="1" x="178"/>
        <item m="1" x="221"/>
        <item m="1" x="250"/>
        <item m="1" x="136"/>
        <item m="1" x="227"/>
        <item m="1" x="201"/>
        <item m="1" x="195"/>
        <item m="1" x="55"/>
        <item m="1" x="77"/>
        <item m="1" x="259"/>
        <item m="1" x="113"/>
        <item m="1" x="98"/>
        <item m="1" x="63"/>
        <item m="1" x="93"/>
        <item m="1" x="146"/>
        <item m="1" x="154"/>
        <item m="1" x="24"/>
        <item m="1" x="155"/>
        <item m="1" x="157"/>
        <item m="1" x="220"/>
        <item m="1" x="89"/>
        <item m="1" x="205"/>
        <item m="1" x="174"/>
        <item m="1" x="194"/>
        <item m="1" x="161"/>
        <item m="1" x="168"/>
        <item m="1" x="210"/>
        <item m="1" x="130"/>
        <item m="1" x="131"/>
        <item m="1" x="96"/>
        <item m="1" x="160"/>
        <item m="1" x="25"/>
        <item m="1" x="61"/>
        <item m="1" x="204"/>
        <item m="1" x="91"/>
        <item m="1" x="133"/>
        <item m="1" x="143"/>
        <item m="1" x="266"/>
        <item m="1" x="75"/>
        <item m="1" x="219"/>
        <item m="1" x="92"/>
        <item m="1" x="213"/>
        <item m="1" x="118"/>
        <item m="1" x="265"/>
        <item m="1" x="163"/>
        <item m="1" x="70"/>
        <item m="1" x="32"/>
        <item m="1" x="119"/>
        <item m="1" x="244"/>
        <item m="1" x="64"/>
        <item m="1" x="245"/>
        <item m="1" x="43"/>
        <item m="1" x="140"/>
        <item m="1" x="132"/>
        <item m="1" x="236"/>
        <item m="1" x="28"/>
        <item m="1" x="171"/>
        <item m="1" x="191"/>
        <item m="1" x="36"/>
        <item m="1" x="76"/>
        <item m="1" x="231"/>
        <item m="1" x="72"/>
        <item m="1" x="110"/>
        <item m="1" x="60"/>
        <item m="1" x="147"/>
        <item m="1" x="246"/>
        <item m="1" x="183"/>
        <item m="1" x="243"/>
        <item m="1" x="198"/>
        <item m="1" x="214"/>
        <item m="1" x="241"/>
        <item m="1" x="152"/>
        <item m="1" x="86"/>
        <item m="1" x="224"/>
        <item m="1" x="30"/>
        <item m="1" x="181"/>
        <item m="1" x="35"/>
        <item m="1" x="151"/>
        <item m="1" x="232"/>
        <item m="1" x="260"/>
        <item m="1" x="40"/>
        <item m="1" x="128"/>
        <item m="1" x="29"/>
        <item m="1" x="142"/>
        <item m="1" x="272"/>
        <item m="1" x="78"/>
        <item m="1" x="107"/>
        <item m="1" x="87"/>
        <item m="1" x="226"/>
        <item m="1" x="52"/>
        <item m="1" x="44"/>
        <item m="1" x="218"/>
        <item m="1" x="42"/>
        <item m="1" x="184"/>
        <item m="1" x="123"/>
        <item m="1" x="239"/>
        <item m="1" x="148"/>
        <item m="1" x="74"/>
        <item m="1" x="137"/>
        <item m="1" x="202"/>
        <item m="1" x="230"/>
        <item m="1" x="207"/>
        <item m="1" x="208"/>
        <item m="1" x="21"/>
        <item m="1" x="189"/>
        <item m="1" x="206"/>
        <item m="1" x="222"/>
        <item m="1" x="223"/>
        <item m="1" x="240"/>
        <item m="1" x="53"/>
        <item m="1" x="271"/>
        <item m="1" x="104"/>
        <item m="1" x="109"/>
        <item m="1" x="252"/>
        <item m="1" x="253"/>
        <item m="1" x="38"/>
        <item m="1" x="254"/>
        <item m="1" x="45"/>
        <item m="1" x="47"/>
        <item m="1" x="79"/>
        <item m="1" x="167"/>
        <item m="1" x="65"/>
        <item m="1" x="200"/>
        <item m="1" x="193"/>
        <item m="1" x="162"/>
        <item m="1" x="114"/>
        <item m="1" x="115"/>
        <item m="1" x="39"/>
        <item m="1" x="59"/>
        <item m="1" x="192"/>
        <item m="1" x="121"/>
        <item m="1" x="159"/>
        <item m="1" x="270"/>
        <item m="1" x="258"/>
        <item m="1" x="268"/>
        <item m="1" x="103"/>
        <item m="1" x="179"/>
        <item m="1" x="255"/>
        <item m="1" x="97"/>
        <item m="1" x="66"/>
        <item m="1" x="33"/>
        <item m="1" x="22"/>
        <item m="1" x="256"/>
        <item m="1" x="149"/>
        <item m="1" x="242"/>
        <item m="1" x="150"/>
        <item m="1" x="57"/>
        <item m="1" x="251"/>
        <item m="1" x="190"/>
        <item m="1" x="116"/>
        <item m="1" x="262"/>
        <item m="1" x="100"/>
        <item m="1" x="26"/>
        <item m="1" x="138"/>
        <item m="1" x="108"/>
        <item m="1" x="99"/>
        <item m="1" x="238"/>
        <item m="1" x="49"/>
        <item m="1" x="211"/>
        <item m="1" x="257"/>
        <item m="1" x="101"/>
        <item m="1" x="83"/>
        <item m="1" x="225"/>
        <item m="1" x="69"/>
        <item m="1" x="199"/>
        <item m="1" x="173"/>
        <item m="1" x="51"/>
        <item m="1" x="264"/>
        <item m="1" x="145"/>
        <item m="1" x="112"/>
        <item m="1" x="134"/>
        <item m="1" x="144"/>
        <item m="1" x="267"/>
        <item m="1" x="177"/>
        <item m="1" x="249"/>
        <item m="1" x="172"/>
        <item x="1"/>
        <item x="2"/>
        <item x="3"/>
        <item x="4"/>
        <item x="5"/>
        <item x="6"/>
        <item x="7"/>
        <item x="8"/>
        <item x="9"/>
        <item x="10"/>
        <item x="11"/>
        <item x="12"/>
        <item x="13"/>
        <item x="14"/>
        <item x="15"/>
        <item x="16"/>
        <item x="17"/>
        <item x="18"/>
        <item t="default"/>
      </items>
    </pivotField>
    <pivotField axis="axisRow" showAll="0">
      <items count="31">
        <item m="1" x="29"/>
        <item m="1" x="5"/>
        <item x="0"/>
        <item m="1" x="22"/>
        <item m="1" x="26"/>
        <item m="1" x="20"/>
        <item m="1" x="18"/>
        <item m="1" x="6"/>
        <item m="1" x="12"/>
        <item m="1" x="25"/>
        <item m="1" x="10"/>
        <item m="1" x="3"/>
        <item m="1" x="27"/>
        <item m="1" x="14"/>
        <item m="1" x="8"/>
        <item m="1" x="9"/>
        <item m="1" x="7"/>
        <item m="1" x="1"/>
        <item m="1" x="24"/>
        <item m="1" x="17"/>
        <item m="1" x="15"/>
        <item m="1" x="16"/>
        <item m="1" x="13"/>
        <item m="1" x="23"/>
        <item m="1" x="28"/>
        <item m="1" x="2"/>
        <item m="1" x="19"/>
        <item m="1" x="4"/>
        <item m="1" x="21"/>
        <item m="1" x="11"/>
        <item t="default"/>
      </items>
    </pivotField>
    <pivotField axis="axisRow" showAll="0">
      <items count="3">
        <item m="1" x="1"/>
        <item x="0"/>
        <item t="default"/>
      </items>
    </pivotField>
    <pivotField axis="axisRow" showAll="0">
      <items count="3">
        <item m="1" x="1"/>
        <item x="0"/>
        <item t="default"/>
      </items>
    </pivotField>
    <pivotField axis="axisRow" showAll="0">
      <items count="558">
        <item m="1" x="362"/>
        <item m="1" x="330"/>
        <item m="1" x="371"/>
        <item m="1" x="361"/>
        <item m="1" x="250"/>
        <item m="1" x="504"/>
        <item m="1" x="325"/>
        <item m="1" x="432"/>
        <item m="1" x="398"/>
        <item m="1" x="275"/>
        <item m="1" x="391"/>
        <item m="1" x="348"/>
        <item m="1" x="549"/>
        <item m="1" x="245"/>
        <item m="1" x="259"/>
        <item m="1" x="521"/>
        <item m="1" x="171"/>
        <item m="1" x="168"/>
        <item m="1" x="169"/>
        <item m="1" x="209"/>
        <item m="1" x="411"/>
        <item m="1" x="194"/>
        <item m="1" x="207"/>
        <item m="1" x="273"/>
        <item m="1" x="424"/>
        <item m="1" x="416"/>
        <item m="1" x="231"/>
        <item m="1" x="434"/>
        <item m="1" x="455"/>
        <item m="1" x="204"/>
        <item m="1" x="303"/>
        <item m="1" x="277"/>
        <item m="1" x="287"/>
        <item m="1" x="289"/>
        <item m="1" x="537"/>
        <item m="1" x="522"/>
        <item m="1" x="104"/>
        <item m="1" x="222"/>
        <item m="1" x="415"/>
        <item m="1" x="538"/>
        <item m="1" x="368"/>
        <item m="1" x="301"/>
        <item m="1" x="369"/>
        <item m="1" x="474"/>
        <item m="1" x="483"/>
        <item m="1" x="519"/>
        <item m="1" x="235"/>
        <item m="1" x="329"/>
        <item m="1" x="167"/>
        <item m="1" x="425"/>
        <item m="1" x="163"/>
        <item m="1" x="131"/>
        <item m="1" x="535"/>
        <item m="1" x="135"/>
        <item m="1" x="215"/>
        <item m="1" x="125"/>
        <item m="1" x="133"/>
        <item m="1" x="269"/>
        <item m="1" x="142"/>
        <item m="1" x="139"/>
        <item m="1" x="352"/>
        <item m="1" x="490"/>
        <item m="1" x="520"/>
        <item m="1" x="129"/>
        <item m="1" x="149"/>
        <item m="1" x="399"/>
        <item m="1" x="342"/>
        <item m="1" x="500"/>
        <item m="1" x="324"/>
        <item m="1" x="112"/>
        <item m="1" x="162"/>
        <item m="1" x="501"/>
        <item m="1" x="422"/>
        <item m="1" x="320"/>
        <item m="1" x="450"/>
        <item m="1" x="258"/>
        <item m="1" x="105"/>
        <item m="1" x="270"/>
        <item m="1" x="220"/>
        <item m="1" x="234"/>
        <item m="1" x="249"/>
        <item m="1" x="367"/>
        <item m="1" x="120"/>
        <item m="1" x="344"/>
        <item m="1" x="147"/>
        <item m="1" x="272"/>
        <item m="1" x="243"/>
        <item m="1" x="364"/>
        <item m="1" x="327"/>
        <item m="1" x="397"/>
        <item m="1" x="502"/>
        <item m="1" x="114"/>
        <item m="1" x="297"/>
        <item m="1" x="339"/>
        <item m="1" x="503"/>
        <item m="1" x="291"/>
        <item m="1" x="540"/>
        <item m="1" x="401"/>
        <item m="1" x="124"/>
        <item m="1" x="189"/>
        <item m="1" x="138"/>
        <item m="1" x="337"/>
        <item m="1" x="511"/>
        <item m="1" x="396"/>
        <item m="1" x="439"/>
        <item m="1" x="524"/>
        <item m="1" x="335"/>
        <item m="1" x="554"/>
        <item m="1" x="409"/>
        <item m="1" x="492"/>
        <item m="1" x="185"/>
        <item m="1" x="261"/>
        <item m="1" x="405"/>
        <item x="1"/>
        <item m="1" x="192"/>
        <item m="1" x="164"/>
        <item m="1" x="118"/>
        <item m="1" x="429"/>
        <item m="1" x="496"/>
        <item m="1" x="242"/>
        <item m="1" x="336"/>
        <item m="1" x="407"/>
        <item m="1" x="375"/>
        <item m="1" x="307"/>
        <item m="1" x="308"/>
        <item m="1" x="200"/>
        <item m="1" x="263"/>
        <item m="1" x="152"/>
        <item m="1" x="295"/>
        <item m="1" x="251"/>
        <item m="1" x="132"/>
        <item m="1" x="534"/>
        <item m="1" x="414"/>
        <item m="1" x="331"/>
        <item m="1" x="552"/>
        <item m="1" x="156"/>
        <item m="1" x="180"/>
        <item m="1" x="435"/>
        <item m="1" x="221"/>
        <item m="1" x="284"/>
        <item m="1" x="267"/>
        <item m="1" x="201"/>
        <item m="1" x="530"/>
        <item m="1" x="376"/>
        <item m="1" x="145"/>
        <item m="1" x="252"/>
        <item m="1" x="199"/>
        <item m="1" x="442"/>
        <item m="1" x="456"/>
        <item m="1" x="230"/>
        <item m="1" x="366"/>
        <item m="1" x="103"/>
        <item m="1" x="302"/>
        <item m="1" x="296"/>
        <item m="1" x="459"/>
        <item m="1" x="420"/>
        <item m="1" x="400"/>
        <item m="1" x="225"/>
        <item m="1" x="444"/>
        <item m="1" x="186"/>
        <item m="1" x="191"/>
        <item m="1" x="202"/>
        <item m="1" x="226"/>
        <item m="1" x="115"/>
        <item m="1" x="358"/>
        <item m="1" x="116"/>
        <item m="1" x="187"/>
        <item m="1" x="477"/>
        <item m="1" x="548"/>
        <item m="1" x="253"/>
        <item m="1" x="380"/>
        <item m="1" x="547"/>
        <item m="1" x="266"/>
        <item m="1" x="392"/>
        <item m="1" x="421"/>
        <item m="1" x="527"/>
        <item m="1" x="177"/>
        <item m="1" x="363"/>
        <item m="1" x="347"/>
        <item m="1" x="203"/>
        <item m="1" x="278"/>
        <item m="1" x="229"/>
        <item m="1" x="155"/>
        <item m="1" x="175"/>
        <item m="1" x="509"/>
        <item m="1" x="205"/>
        <item m="1" x="525"/>
        <item m="1" x="526"/>
        <item m="1" x="206"/>
        <item m="1" x="355"/>
        <item m="1" x="315"/>
        <item m="1" x="350"/>
        <item m="1" x="99"/>
        <item m="1" x="148"/>
        <item m="1" x="190"/>
        <item m="1" x="233"/>
        <item m="1" x="219"/>
        <item m="1" x="443"/>
        <item m="1" x="393"/>
        <item m="1" x="453"/>
        <item m="1" x="555"/>
        <item m="1" x="317"/>
        <item m="1" x="465"/>
        <item m="1" x="211"/>
        <item m="1" x="212"/>
        <item m="1" x="255"/>
        <item m="1" x="154"/>
        <item m="1" x="290"/>
        <item m="1" x="316"/>
        <item m="1" x="183"/>
        <item m="1" x="128"/>
        <item m="1" x="157"/>
        <item m="1" x="463"/>
        <item m="1" x="542"/>
        <item m="1" x="322"/>
        <item m="1" x="419"/>
        <item m="1" x="403"/>
        <item m="1" x="388"/>
        <item m="1" x="224"/>
        <item m="1" x="146"/>
        <item m="1" x="365"/>
        <item m="1" x="173"/>
        <item m="1" x="517"/>
        <item m="1" x="510"/>
        <item m="1" x="386"/>
        <item m="1" x="321"/>
        <item m="1" x="160"/>
        <item m="1" x="159"/>
        <item m="1" x="137"/>
        <item m="1" x="475"/>
        <item m="1" x="96"/>
        <item m="1" x="412"/>
        <item m="1" x="240"/>
        <item m="1" x="404"/>
        <item m="1" x="97"/>
        <item m="1" x="430"/>
        <item m="1" x="241"/>
        <item m="1" x="427"/>
        <item m="1" x="172"/>
        <item m="1" x="505"/>
        <item m="1" x="413"/>
        <item m="1" x="179"/>
        <item m="1" x="428"/>
        <item m="1" x="479"/>
        <item m="1" x="494"/>
        <item m="1" x="480"/>
        <item m="1" x="438"/>
        <item m="1" x="130"/>
        <item m="1" x="406"/>
        <item m="1" x="481"/>
        <item m="1" x="541"/>
        <item m="1" x="498"/>
        <item m="1" x="232"/>
        <item m="1" x="323"/>
        <item m="1" x="514"/>
        <item m="1" x="410"/>
        <item m="1" x="449"/>
        <item m="1" x="383"/>
        <item m="1" x="515"/>
        <item m="1" x="437"/>
        <item m="1" x="228"/>
        <item m="1" x="546"/>
        <item m="1" x="176"/>
        <item m="1" x="431"/>
        <item m="1" x="381"/>
        <item m="1" x="198"/>
        <item m="1" x="341"/>
        <item m="1" x="370"/>
        <item m="1" x="550"/>
        <item m="1" x="451"/>
        <item m="1" x="462"/>
        <item m="1" x="385"/>
        <item m="1" x="491"/>
        <item m="1" x="279"/>
        <item m="1" x="390"/>
        <item m="1" x="507"/>
        <item m="1" x="305"/>
        <item m="1" x="493"/>
        <item m="1" x="326"/>
        <item m="1" x="485"/>
        <item m="1" x="213"/>
        <item m="1" x="311"/>
        <item m="1" x="184"/>
        <item m="1" x="181"/>
        <item m="1" x="417"/>
        <item m="1" x="418"/>
        <item m="1" x="471"/>
        <item m="1" x="144"/>
        <item m="1" x="470"/>
        <item m="1" x="476"/>
        <item m="1" x="473"/>
        <item m="1" x="436"/>
        <item m="1" x="374"/>
        <item m="1" x="478"/>
        <item m="1" x="343"/>
        <item m="1" x="448"/>
        <item m="1" x="472"/>
        <item m="1" x="319"/>
        <item m="1" x="464"/>
        <item m="1" x="117"/>
        <item m="1" x="359"/>
        <item m="1" x="227"/>
        <item m="1" x="309"/>
        <item m="1" x="165"/>
        <item m="1" x="293"/>
        <item m="1" x="488"/>
        <item m="1" x="274"/>
        <item m="1" x="113"/>
        <item m="1" x="262"/>
        <item m="1" x="196"/>
        <item m="1" x="482"/>
        <item m="1" x="182"/>
        <item m="1" x="121"/>
        <item m="1" x="268"/>
        <item m="1" x="218"/>
        <item m="1" x="528"/>
        <item m="1" x="122"/>
        <item m="1" x="551"/>
        <item m="1" x="543"/>
        <item m="1" x="140"/>
        <item m="1" x="516"/>
        <item m="1" x="495"/>
        <item m="1" x="518"/>
        <item m="1" x="556"/>
        <item m="1" x="141"/>
        <item m="1" x="457"/>
        <item m="1" x="188"/>
        <item m="1" x="458"/>
        <item m="1" x="333"/>
        <item m="1" x="288"/>
        <item m="1" x="423"/>
        <item m="1" x="460"/>
        <item m="1" x="134"/>
        <item m="1" x="532"/>
        <item m="1" x="454"/>
        <item m="1" x="384"/>
        <item m="1" x="254"/>
        <item m="1" x="300"/>
        <item m="1" x="101"/>
        <item m="1" x="378"/>
        <item m="1" x="523"/>
        <item m="1" x="338"/>
        <item m="1" x="360"/>
        <item m="1" x="208"/>
        <item m="1" x="328"/>
        <item m="1" x="306"/>
        <item m="1" x="294"/>
        <item m="1" x="346"/>
        <item m="1" x="531"/>
        <item m="1" x="283"/>
        <item m="1" x="197"/>
        <item m="1" x="484"/>
        <item m="1" x="123"/>
        <item m="1" x="469"/>
        <item m="1" x="304"/>
        <item m="1" x="126"/>
        <item m="1" x="433"/>
        <item m="1" x="237"/>
        <item m="1" x="486"/>
        <item m="1" x="102"/>
        <item m="1" x="487"/>
        <item m="1" x="536"/>
        <item m="1" x="402"/>
        <item m="1" x="452"/>
        <item m="1" x="389"/>
        <item m="1" x="356"/>
        <item m="1" x="506"/>
        <item m="1" x="216"/>
        <item m="1" x="108"/>
        <item m="1" x="109"/>
        <item m="1" x="351"/>
        <item m="1" x="260"/>
        <item m="1" x="170"/>
        <item m="1" x="100"/>
        <item m="1" x="354"/>
        <item m="1" x="440"/>
        <item m="1" x="513"/>
        <item m="1" x="310"/>
        <item m="1" x="195"/>
        <item m="1" x="239"/>
        <item m="1" x="150"/>
        <item m="1" x="151"/>
        <item m="1" x="441"/>
        <item m="1" x="373"/>
        <item m="1" x="299"/>
        <item m="1" x="143"/>
        <item m="1" x="238"/>
        <item m="1" x="193"/>
        <item m="1" x="257"/>
        <item m="1" x="318"/>
        <item m="1" x="340"/>
        <item m="1" x="489"/>
        <item m="1" x="394"/>
        <item m="1" x="395"/>
        <item m="1" x="408"/>
        <item m="1" x="357"/>
        <item m="1" x="461"/>
        <item m="1" x="166"/>
        <item m="1" x="512"/>
        <item m="1" x="106"/>
        <item m="1" x="107"/>
        <item m="1" x="248"/>
        <item m="1" x="545"/>
        <item m="1" x="119"/>
        <item m="1" x="313"/>
        <item m="1" x="174"/>
        <item m="1" x="158"/>
        <item m="1" x="247"/>
        <item m="1" x="153"/>
        <item m="1" x="314"/>
        <item m="1" x="264"/>
        <item m="1" x="533"/>
        <item m="1" x="265"/>
        <item m="1" x="312"/>
        <item m="1" x="178"/>
        <item m="1" x="467"/>
        <item m="1" x="223"/>
        <item m="1" x="210"/>
        <item m="1" x="353"/>
        <item m="1" x="377"/>
        <item m="1" x="292"/>
        <item m="1" x="387"/>
        <item m="1" x="127"/>
        <item m="1" x="280"/>
        <item m="1" x="256"/>
        <item m="1" x="285"/>
        <item m="1" x="95"/>
        <item m="1" x="379"/>
        <item m="1" x="447"/>
        <item m="1" x="286"/>
        <item m="1" x="372"/>
        <item m="1" x="446"/>
        <item m="1" x="332"/>
        <item m="1" x="345"/>
        <item m="1" x="349"/>
        <item m="1" x="276"/>
        <item m="1" x="544"/>
        <item m="1" x="161"/>
        <item x="0"/>
        <item x="2"/>
        <item x="3"/>
        <item x="4"/>
        <item x="5"/>
        <item x="6"/>
        <item x="7"/>
        <item x="8"/>
        <item x="9"/>
        <item x="10"/>
        <item x="11"/>
        <item x="12"/>
        <item x="13"/>
        <item x="14"/>
        <item x="15"/>
        <item x="16"/>
        <item x="17"/>
        <item x="18"/>
        <item x="19"/>
        <item x="20"/>
        <item x="21"/>
        <item x="22"/>
        <item x="23"/>
        <item x="24"/>
        <item x="25"/>
        <item x="26"/>
        <item x="27"/>
        <item m="1" x="382"/>
        <item m="1" x="466"/>
        <item x="30"/>
        <item x="31"/>
        <item x="32"/>
        <item m="1" x="553"/>
        <item m="1" x="246"/>
        <item m="1" x="281"/>
        <item m="1" x="334"/>
        <item m="1" x="136"/>
        <item m="1" x="214"/>
        <item m="1" x="298"/>
        <item m="1" x="282"/>
        <item m="1" x="110"/>
        <item m="1" x="539"/>
        <item m="1" x="111"/>
        <item x="44"/>
        <item x="45"/>
        <item x="46"/>
        <item x="47"/>
        <item x="48"/>
        <item x="49"/>
        <item m="1" x="236"/>
        <item x="51"/>
        <item m="1" x="426"/>
        <item x="53"/>
        <item m="1" x="271"/>
        <item m="1" x="529"/>
        <item m="1" x="98"/>
        <item x="57"/>
        <item x="58"/>
        <item x="59"/>
        <item x="60"/>
        <item x="61"/>
        <item m="1" x="499"/>
        <item x="63"/>
        <item x="64"/>
        <item x="65"/>
        <item x="66"/>
        <item x="67"/>
        <item x="68"/>
        <item x="69"/>
        <item x="70"/>
        <item m="1" x="497"/>
        <item m="1" x="508"/>
        <item m="1" x="468"/>
        <item m="1" x="445"/>
        <item m="1" x="244"/>
        <item m="1" x="217"/>
        <item x="76"/>
        <item x="77"/>
        <item x="78"/>
        <item x="79"/>
        <item x="80"/>
        <item x="81"/>
        <item x="82"/>
        <item x="83"/>
        <item x="84"/>
        <item x="85"/>
        <item x="86"/>
        <item x="87"/>
        <item x="88"/>
        <item x="89"/>
        <item x="90"/>
        <item x="91"/>
        <item x="92"/>
        <item x="93"/>
        <item x="94"/>
        <item x="28"/>
        <item x="29"/>
        <item x="33"/>
        <item x="34"/>
        <item x="35"/>
        <item x="36"/>
        <item x="37"/>
        <item x="38"/>
        <item x="39"/>
        <item x="40"/>
        <item x="41"/>
        <item x="42"/>
        <item x="43"/>
        <item x="50"/>
        <item x="52"/>
        <item x="54"/>
        <item x="55"/>
        <item x="56"/>
        <item x="62"/>
        <item x="71"/>
        <item x="72"/>
        <item x="73"/>
        <item x="74"/>
        <item x="75"/>
        <item t="default"/>
      </items>
    </pivotField>
    <pivotField axis="axisRow" showAll="0">
      <items count="262">
        <item m="1" x="67"/>
        <item m="1" x="219"/>
        <item m="1" x="81"/>
        <item m="1" x="226"/>
        <item m="1" x="42"/>
        <item m="1" x="181"/>
        <item m="1" x="218"/>
        <item m="1" x="144"/>
        <item m="1" x="27"/>
        <item m="1" x="115"/>
        <item m="1" x="116"/>
        <item m="1" x="48"/>
        <item m="1" x="15"/>
        <item m="1" x="229"/>
        <item m="1" x="92"/>
        <item m="1" x="239"/>
        <item m="1" x="123"/>
        <item m="1" x="8"/>
        <item m="1" x="71"/>
        <item m="1" x="231"/>
        <item m="1" x="206"/>
        <item m="1" x="90"/>
        <item m="1" x="58"/>
        <item m="1" x="86"/>
        <item m="1" x="160"/>
        <item m="1" x="117"/>
        <item m="1" x="62"/>
        <item m="1" x="257"/>
        <item m="1" x="121"/>
        <item m="1" x="171"/>
        <item m="1" x="228"/>
        <item m="1" x="112"/>
        <item m="1" x="190"/>
        <item m="1" x="210"/>
        <item m="1" x="60"/>
        <item m="1" x="80"/>
        <item m="1" x="232"/>
        <item m="1" x="74"/>
        <item m="1" x="49"/>
        <item m="1" x="23"/>
        <item m="1" x="14"/>
        <item x="0"/>
        <item m="1" x="56"/>
        <item m="1" x="148"/>
        <item m="1" x="187"/>
        <item m="1" x="110"/>
        <item m="1" x="159"/>
        <item m="1" x="126"/>
        <item m="1" x="249"/>
        <item m="1" x="46"/>
        <item m="1" x="25"/>
        <item m="1" x="26"/>
        <item m="1" x="47"/>
        <item m="1" x="32"/>
        <item m="1" x="235"/>
        <item m="1" x="260"/>
        <item m="1" x="18"/>
        <item m="1" x="186"/>
        <item m="1" x="216"/>
        <item m="1" x="125"/>
        <item m="1" x="104"/>
        <item m="1" x="111"/>
        <item m="1" x="184"/>
        <item m="1" x="68"/>
        <item m="1" x="158"/>
        <item m="1" x="212"/>
        <item m="1" x="251"/>
        <item m="1" x="233"/>
        <item m="1" x="66"/>
        <item m="1" x="98"/>
        <item m="1" x="69"/>
        <item m="1" x="167"/>
        <item m="1" x="16"/>
        <item m="1" x="203"/>
        <item m="1" x="30"/>
        <item m="1" x="220"/>
        <item m="1" x="180"/>
        <item m="1" x="213"/>
        <item m="1" x="133"/>
        <item m="1" x="141"/>
        <item m="1" x="73"/>
        <item m="1" x="204"/>
        <item m="1" x="188"/>
        <item m="1" x="34"/>
        <item m="1" x="39"/>
        <item m="1" x="134"/>
        <item m="1" x="91"/>
        <item m="1" x="223"/>
        <item m="1" x="93"/>
        <item m="1" x="83"/>
        <item m="1" x="84"/>
        <item m="1" x="88"/>
        <item m="1" x="13"/>
        <item m="1" x="143"/>
        <item m="1" x="149"/>
        <item m="1" x="22"/>
        <item m="1" x="244"/>
        <item m="1" x="38"/>
        <item m="1" x="113"/>
        <item m="1" x="238"/>
        <item m="1" x="254"/>
        <item m="1" x="122"/>
        <item m="1" x="70"/>
        <item m="1" x="173"/>
        <item m="1" x="166"/>
        <item m="1" x="242"/>
        <item m="1" x="79"/>
        <item m="1" x="196"/>
        <item m="1" x="161"/>
        <item m="1" x="77"/>
        <item m="1" x="102"/>
        <item m="1" x="178"/>
        <item m="1" x="142"/>
        <item m="1" x="139"/>
        <item m="1" x="37"/>
        <item m="1" x="64"/>
        <item m="1" x="174"/>
        <item m="1" x="11"/>
        <item m="1" x="247"/>
        <item m="1" x="192"/>
        <item m="1" x="43"/>
        <item m="1" x="252"/>
        <item m="1" x="259"/>
        <item m="1" x="250"/>
        <item m="1" x="209"/>
        <item m="1" x="17"/>
        <item m="1" x="221"/>
        <item m="1" x="199"/>
        <item m="1" x="40"/>
        <item m="1" x="41"/>
        <item m="1" x="129"/>
        <item m="1" x="224"/>
        <item m="1" x="182"/>
        <item m="1" x="61"/>
        <item m="1" x="172"/>
        <item m="1" x="63"/>
        <item m="1" x="130"/>
        <item m="1" x="205"/>
        <item m="1" x="78"/>
        <item m="1" x="138"/>
        <item m="1" x="105"/>
        <item m="1" x="10"/>
        <item m="1" x="191"/>
        <item m="1" x="57"/>
        <item m="1" x="151"/>
        <item m="1" x="198"/>
        <item m="1" x="89"/>
        <item m="1" x="20"/>
        <item m="1" x="96"/>
        <item m="1" x="240"/>
        <item m="1" x="45"/>
        <item m="1" x="87"/>
        <item m="1" x="31"/>
        <item m="1" x="170"/>
        <item m="1" x="201"/>
        <item m="1" x="256"/>
        <item m="1" x="147"/>
        <item m="1" x="195"/>
        <item m="1" x="82"/>
        <item m="1" x="52"/>
        <item m="1" x="243"/>
        <item m="1" x="177"/>
        <item m="1" x="65"/>
        <item m="1" x="168"/>
        <item m="1" x="75"/>
        <item m="1" x="150"/>
        <item m="1" x="24"/>
        <item m="1" x="118"/>
        <item m="1" x="119"/>
        <item m="1" x="33"/>
        <item m="1" x="36"/>
        <item m="1" x="44"/>
        <item m="1" x="51"/>
        <item m="1" x="109"/>
        <item m="1" x="215"/>
        <item m="1" x="99"/>
        <item m="1" x="217"/>
        <item m="1" x="35"/>
        <item m="1" x="21"/>
        <item m="1" x="72"/>
        <item m="1" x="120"/>
        <item m="1" x="95"/>
        <item m="1" x="162"/>
        <item m="1" x="50"/>
        <item m="1" x="107"/>
        <item m="1" x="97"/>
        <item m="1" x="146"/>
        <item m="1" x="225"/>
        <item m="1" x="101"/>
        <item m="1" x="154"/>
        <item m="1" x="114"/>
        <item m="1" x="234"/>
        <item m="1" x="136"/>
        <item m="1" x="153"/>
        <item m="1" x="53"/>
        <item m="1" x="152"/>
        <item m="1" x="248"/>
        <item m="1" x="197"/>
        <item m="1" x="156"/>
        <item m="1" x="253"/>
        <item m="1" x="211"/>
        <item m="1" x="214"/>
        <item m="1" x="207"/>
        <item m="1" x="237"/>
        <item m="1" x="127"/>
        <item m="1" x="175"/>
        <item m="1" x="94"/>
        <item m="1" x="200"/>
        <item m="1" x="185"/>
        <item m="1" x="164"/>
        <item m="1" x="131"/>
        <item m="1" x="128"/>
        <item m="1" x="85"/>
        <item m="1" x="230"/>
        <item m="1" x="145"/>
        <item m="1" x="258"/>
        <item m="1" x="245"/>
        <item m="1" x="246"/>
        <item m="1" x="163"/>
        <item m="1" x="208"/>
        <item m="1" x="236"/>
        <item m="1" x="28"/>
        <item m="1" x="241"/>
        <item m="1" x="255"/>
        <item m="1" x="55"/>
        <item m="1" x="106"/>
        <item m="1" x="135"/>
        <item m="1" x="169"/>
        <item m="1" x="19"/>
        <item m="1" x="227"/>
        <item m="1" x="193"/>
        <item m="1" x="155"/>
        <item m="1" x="108"/>
        <item m="1" x="103"/>
        <item m="1" x="100"/>
        <item m="1" x="124"/>
        <item m="1" x="132"/>
        <item m="1" x="176"/>
        <item m="1" x="194"/>
        <item m="1" x="137"/>
        <item m="1" x="165"/>
        <item m="1" x="179"/>
        <item m="1" x="183"/>
        <item m="1" x="54"/>
        <item m="1" x="140"/>
        <item m="1" x="29"/>
        <item m="1" x="12"/>
        <item m="1" x="222"/>
        <item m="1" x="202"/>
        <item x="1"/>
        <item x="2"/>
        <item x="3"/>
        <item x="4"/>
        <item x="5"/>
        <item x="6"/>
        <item m="1" x="157"/>
        <item m="1" x="9"/>
        <item m="1" x="76"/>
        <item m="1" x="189"/>
        <item m="1" x="59"/>
        <item x="7"/>
        <item t="default"/>
      </items>
    </pivotField>
    <pivotField axis="axisRow" showAll="0">
      <items count="262">
        <item m="1" x="66"/>
        <item m="1" x="86"/>
        <item m="1" x="146"/>
        <item m="1" x="125"/>
        <item m="1" x="139"/>
        <item m="1" x="225"/>
        <item m="1" x="204"/>
        <item m="1" x="244"/>
        <item m="1" x="159"/>
        <item m="1" x="47"/>
        <item m="1" x="48"/>
        <item m="1" x="145"/>
        <item m="1" x="39"/>
        <item m="1" x="164"/>
        <item m="1" x="226"/>
        <item m="1" x="93"/>
        <item m="1" x="98"/>
        <item m="1" x="70"/>
        <item m="1" x="165"/>
        <item m="1" x="19"/>
        <item m="1" x="115"/>
        <item m="1" x="223"/>
        <item m="1" x="18"/>
        <item m="1" x="136"/>
        <item m="1" x="81"/>
        <item m="1" x="124"/>
        <item m="1" x="219"/>
        <item m="1" x="191"/>
        <item m="1" x="188"/>
        <item m="1" x="200"/>
        <item m="1" x="246"/>
        <item m="1" x="76"/>
        <item m="1" x="163"/>
        <item m="1" x="121"/>
        <item m="1" x="149"/>
        <item m="1" x="245"/>
        <item m="1" x="158"/>
        <item m="1" x="253"/>
        <item m="1" x="171"/>
        <item m="1" x="50"/>
        <item m="1" x="99"/>
        <item x="0"/>
        <item m="1" x="161"/>
        <item m="1" x="69"/>
        <item m="1" x="105"/>
        <item m="1" x="183"/>
        <item m="1" x="174"/>
        <item m="1" x="172"/>
        <item m="1" x="186"/>
        <item m="1" x="133"/>
        <item m="1" x="166"/>
        <item m="1" x="167"/>
        <item m="1" x="153"/>
        <item m="1" x="51"/>
        <item m="1" x="60"/>
        <item m="1" x="240"/>
        <item m="1" x="83"/>
        <item m="1" x="184"/>
        <item m="1" x="194"/>
        <item m="1" x="44"/>
        <item m="1" x="179"/>
        <item m="1" x="216"/>
        <item m="1" x="214"/>
        <item m="1" x="151"/>
        <item m="1" x="82"/>
        <item m="1" x="43"/>
        <item m="1" x="87"/>
        <item m="1" x="85"/>
        <item m="1" x="187"/>
        <item m="1" x="118"/>
        <item m="1" x="218"/>
        <item m="1" x="190"/>
        <item m="1" x="227"/>
        <item m="1" x="189"/>
        <item m="1" x="119"/>
        <item m="1" x="209"/>
        <item m="1" x="109"/>
        <item m="1" x="126"/>
        <item m="1" x="22"/>
        <item m="1" x="160"/>
        <item m="1" x="142"/>
        <item m="1" x="137"/>
        <item m="1" x="199"/>
        <item m="1" x="73"/>
        <item m="1" x="46"/>
        <item m="1" x="239"/>
        <item m="1" x="120"/>
        <item m="1" x="211"/>
        <item m="1" x="33"/>
        <item m="1" x="64"/>
        <item m="1" x="65"/>
        <item m="1" x="197"/>
        <item m="1" x="63"/>
        <item m="1" x="79"/>
        <item m="1" x="148"/>
        <item m="1" x="21"/>
        <item m="1" x="258"/>
        <item m="1" x="237"/>
        <item m="1" x="169"/>
        <item m="1" x="182"/>
        <item m="1" x="71"/>
        <item m="1" x="177"/>
        <item m="1" x="259"/>
        <item m="1" x="195"/>
        <item m="1" x="88"/>
        <item m="1" x="80"/>
        <item m="1" x="37"/>
        <item m="1" x="96"/>
        <item m="1" x="123"/>
        <item m="1" x="168"/>
        <item m="1" x="28"/>
        <item m="1" x="54"/>
        <item m="1" x="16"/>
        <item m="1" x="56"/>
        <item m="1" x="74"/>
        <item m="1" x="106"/>
        <item m="1" x="257"/>
        <item m="1" x="49"/>
        <item m="1" x="29"/>
        <item m="1" x="57"/>
        <item m="1" x="26"/>
        <item m="1" x="222"/>
        <item m="1" x="30"/>
        <item m="1" x="241"/>
        <item m="1" x="67"/>
        <item m="1" x="110"/>
        <item m="1" x="97"/>
        <item m="1" x="242"/>
        <item m="1" x="235"/>
        <item m="1" x="236"/>
        <item m="1" x="132"/>
        <item m="1" x="59"/>
        <item m="1" x="92"/>
        <item m="1" x="217"/>
        <item m="1" x="55"/>
        <item m="1" x="127"/>
        <item m="1" x="24"/>
        <item m="1" x="230"/>
        <item m="1" x="40"/>
        <item m="1" x="180"/>
        <item m="1" x="107"/>
        <item m="1" x="224"/>
        <item m="1" x="252"/>
        <item m="1" x="143"/>
        <item m="1" x="94"/>
        <item m="1" x="250"/>
        <item m="1" x="122"/>
        <item m="1" x="173"/>
        <item m="1" x="25"/>
        <item m="1" x="229"/>
        <item m="1" x="38"/>
        <item m="1" x="206"/>
        <item m="1" x="42"/>
        <item m="1" x="89"/>
        <item m="1" x="138"/>
        <item m="1" x="198"/>
        <item m="1" x="27"/>
        <item m="1" x="234"/>
        <item m="1" x="53"/>
        <item x="1"/>
        <item m="1" x="102"/>
        <item m="1" x="84"/>
        <item m="1" x="129"/>
        <item m="1" x="34"/>
        <item m="1" x="75"/>
        <item m="1" x="233"/>
        <item m="1" x="231"/>
        <item m="1" x="192"/>
        <item m="1" x="178"/>
        <item m="1" x="100"/>
        <item m="1" x="95"/>
        <item m="1" x="32"/>
        <item m="1" x="17"/>
        <item m="1" x="212"/>
        <item m="1" x="90"/>
        <item m="1" x="141"/>
        <item m="1" x="147"/>
        <item m="1" x="61"/>
        <item m="1" x="62"/>
        <item m="1" x="135"/>
        <item m="1" x="181"/>
        <item m="1" x="175"/>
        <item m="1" x="41"/>
        <item m="1" x="255"/>
        <item m="1" x="36"/>
        <item m="1" x="20"/>
        <item m="1" x="77"/>
        <item m="1" x="243"/>
        <item m="1" x="185"/>
        <item m="1" x="238"/>
        <item m="1" x="215"/>
        <item m="1" x="134"/>
        <item m="1" x="208"/>
        <item m="1" x="228"/>
        <item m="1" x="58"/>
        <item m="1" x="251"/>
        <item m="1" x="155"/>
        <item m="1" x="68"/>
        <item m="1" x="78"/>
        <item m="1" x="221"/>
        <item m="1" x="203"/>
        <item m="1" x="130"/>
        <item m="1" x="23"/>
        <item m="1" x="112"/>
        <item m="1" x="205"/>
        <item m="1" x="176"/>
        <item m="1" x="45"/>
        <item m="1" x="201"/>
        <item x="2"/>
        <item m="1" x="144"/>
        <item m="1" x="72"/>
        <item m="1" x="117"/>
        <item m="1" x="202"/>
        <item m="1" x="247"/>
        <item m="1" x="232"/>
        <item m="1" x="91"/>
        <item x="10"/>
        <item m="1" x="210"/>
        <item m="1" x="103"/>
        <item m="1" x="104"/>
        <item m="1" x="196"/>
        <item m="1" x="31"/>
        <item m="1" x="35"/>
        <item m="1" x="249"/>
        <item m="1" x="128"/>
        <item m="1" x="116"/>
        <item m="1" x="108"/>
        <item m="1" x="156"/>
        <item m="1" x="220"/>
        <item m="1" x="213"/>
        <item m="1" x="254"/>
        <item m="1" x="113"/>
        <item m="1" x="101"/>
        <item m="1" x="248"/>
        <item x="11"/>
        <item x="12"/>
        <item m="1" x="162"/>
        <item m="1" x="114"/>
        <item m="1" x="193"/>
        <item m="1" x="256"/>
        <item m="1" x="157"/>
        <item m="1" x="52"/>
        <item m="1" x="154"/>
        <item m="1" x="260"/>
        <item m="1" x="140"/>
        <item m="1" x="150"/>
        <item x="14"/>
        <item m="1" x="131"/>
        <item m="1" x="170"/>
        <item m="1" x="207"/>
        <item m="1" x="111"/>
        <item m="1" x="152"/>
        <item x="3"/>
        <item x="4"/>
        <item x="5"/>
        <item x="6"/>
        <item x="7"/>
        <item x="8"/>
        <item x="9"/>
        <item x="13"/>
        <item x="15"/>
        <item t="default"/>
      </items>
    </pivotField>
    <pivotField axis="axisRow" showAll="0">
      <items count="492">
        <item m="1" x="307"/>
        <item m="1" x="417"/>
        <item m="1" x="390"/>
        <item m="1" x="430"/>
        <item m="1" x="391"/>
        <item m="1" x="431"/>
        <item m="1" x="432"/>
        <item m="1" x="86"/>
        <item m="1" x="467"/>
        <item m="1" x="418"/>
        <item m="1" x="419"/>
        <item m="1" x="462"/>
        <item m="1" x="463"/>
        <item m="1" x="438"/>
        <item m="1" x="87"/>
        <item m="1" x="446"/>
        <item m="1" x="447"/>
        <item m="1" x="450"/>
        <item m="1" x="158"/>
        <item m="1" x="476"/>
        <item m="1" x="59"/>
        <item m="1" x="60"/>
        <item m="1" x="61"/>
        <item m="1" x="464"/>
        <item m="1" x="383"/>
        <item m="1" x="375"/>
        <item m="1" x="303"/>
        <item m="1" x="474"/>
        <item m="1" x="62"/>
        <item m="1" x="481"/>
        <item m="1" x="63"/>
        <item m="1" x="64"/>
        <item m="1" x="65"/>
        <item m="1" x="84"/>
        <item m="1" x="88"/>
        <item m="1" x="403"/>
        <item m="1" x="469"/>
        <item m="1" x="168"/>
        <item m="1" x="465"/>
        <item m="1" x="420"/>
        <item m="1" x="434"/>
        <item m="1" x="435"/>
        <item m="1" x="392"/>
        <item m="1" x="393"/>
        <item m="1" x="480"/>
        <item m="1" x="247"/>
        <item m="1" x="92"/>
        <item m="1" x="200"/>
        <item m="1" x="66"/>
        <item m="1" x="174"/>
        <item m="1" x="483"/>
        <item m="1" x="97"/>
        <item m="1" x="146"/>
        <item m="1" x="309"/>
        <item m="1" x="442"/>
        <item m="1" x="357"/>
        <item m="1" x="468"/>
        <item m="1" x="127"/>
        <item m="1" x="286"/>
        <item m="1" x="364"/>
        <item m="1" x="169"/>
        <item m="1" x="210"/>
        <item m="1" x="396"/>
        <item m="1" x="228"/>
        <item m="1" x="429"/>
        <item m="1" x="347"/>
        <item m="1" x="143"/>
        <item m="1" x="395"/>
        <item m="1" x="452"/>
        <item m="1" x="288"/>
        <item m="1" x="451"/>
        <item m="1" x="275"/>
        <item m="1" x="360"/>
        <item m="1" x="342"/>
        <item m="1" x="370"/>
        <item m="1" x="477"/>
        <item m="1" x="460"/>
        <item m="1" x="208"/>
        <item m="1" x="173"/>
        <item m="1" x="258"/>
        <item m="1" x="250"/>
        <item m="1" x="257"/>
        <item m="1" x="56"/>
        <item m="1" x="240"/>
        <item m="1" x="408"/>
        <item m="1" x="94"/>
        <item m="1" x="130"/>
        <item x="0"/>
        <item m="1" x="293"/>
        <item m="1" x="68"/>
        <item m="1" x="181"/>
        <item m="1" x="69"/>
        <item m="1" x="182"/>
        <item m="1" x="183"/>
        <item m="1" x="260"/>
        <item m="1" x="253"/>
        <item m="1" x="294"/>
        <item m="1" x="295"/>
        <item m="1" x="195"/>
        <item m="1" x="196"/>
        <item m="1" x="421"/>
        <item m="1" x="261"/>
        <item m="1" x="305"/>
        <item m="1" x="306"/>
        <item m="1" x="216"/>
        <item m="1" x="132"/>
        <item m="1" x="428"/>
        <item m="1" x="319"/>
        <item m="1" x="320"/>
        <item m="1" x="321"/>
        <item m="1" x="197"/>
        <item m="1" x="278"/>
        <item m="1" x="95"/>
        <item m="1" x="322"/>
        <item m="1" x="379"/>
        <item m="1" x="323"/>
        <item m="1" x="324"/>
        <item m="1" x="325"/>
        <item m="1" x="204"/>
        <item m="1" x="262"/>
        <item m="1" x="284"/>
        <item m="1" x="136"/>
        <item m="1" x="274"/>
        <item m="1" x="198"/>
        <item m="1" x="296"/>
        <item m="1" x="243"/>
        <item m="1" x="244"/>
        <item m="1" x="70"/>
        <item m="1" x="71"/>
        <item m="1" x="81"/>
        <item m="1" x="289"/>
        <item m="1" x="135"/>
        <item m="1" x="338"/>
        <item m="1" x="93"/>
        <item m="1" x="443"/>
        <item m="1" x="172"/>
        <item m="1" x="219"/>
        <item m="1" x="239"/>
        <item m="1" x="180"/>
        <item m="1" x="367"/>
        <item m="1" x="401"/>
        <item m="1" x="426"/>
        <item m="1" x="118"/>
        <item m="1" x="171"/>
        <item m="1" x="397"/>
        <item m="1" x="199"/>
        <item m="1" x="179"/>
        <item m="1" x="466"/>
        <item m="1" x="123"/>
        <item m="1" x="167"/>
        <item m="1" x="245"/>
        <item m="1" x="119"/>
        <item m="1" x="489"/>
        <item m="1" x="349"/>
        <item m="1" x="108"/>
        <item m="1" x="482"/>
        <item m="1" x="131"/>
        <item m="1" x="318"/>
        <item m="1" x="386"/>
        <item m="1" x="380"/>
        <item m="1" x="89"/>
        <item m="1" x="337"/>
        <item m="1" x="161"/>
        <item m="1" x="361"/>
        <item m="1" x="203"/>
        <item m="1" x="326"/>
        <item m="1" x="304"/>
        <item m="1" x="255"/>
        <item m="1" x="248"/>
        <item m="1" x="128"/>
        <item m="1" x="414"/>
        <item m="1" x="422"/>
        <item m="1" x="205"/>
        <item m="1" x="423"/>
        <item m="1" x="206"/>
        <item m="1" x="207"/>
        <item m="1" x="344"/>
        <item m="1" x="444"/>
        <item m="1" x="415"/>
        <item m="1" x="416"/>
        <item m="1" x="75"/>
        <item m="1" x="76"/>
        <item m="1" x="83"/>
        <item m="1" x="345"/>
        <item m="1" x="301"/>
        <item m="1" x="302"/>
        <item m="1" x="400"/>
        <item m="1" x="147"/>
        <item m="1" x="398"/>
        <item m="1" x="191"/>
        <item m="1" x="192"/>
        <item m="1" x="193"/>
        <item m="1" x="77"/>
        <item m="1" x="98"/>
        <item m="1" x="292"/>
        <item m="1" x="185"/>
        <item m="1" x="308"/>
        <item m="1" x="186"/>
        <item m="1" x="187"/>
        <item m="1" x="188"/>
        <item m="1" x="138"/>
        <item m="1" x="368"/>
        <item m="1" x="58"/>
        <item m="1" x="300"/>
        <item m="1" x="90"/>
        <item m="1" x="189"/>
        <item m="1" x="280"/>
        <item m="1" x="457"/>
        <item m="1" x="458"/>
        <item m="1" x="384"/>
        <item m="1" x="385"/>
        <item m="1" x="285"/>
        <item m="1" x="153"/>
        <item m="1" x="251"/>
        <item m="1" x="177"/>
        <item m="1" x="232"/>
        <item m="1" x="346"/>
        <item m="1" x="163"/>
        <item m="1" x="149"/>
        <item m="1" x="311"/>
        <item m="1" x="78"/>
        <item m="1" x="134"/>
        <item m="1" x="394"/>
        <item m="1" x="164"/>
        <item m="1" x="145"/>
        <item m="1" x="129"/>
        <item m="1" x="237"/>
        <item m="1" x="363"/>
        <item m="1" x="142"/>
        <item m="1" x="382"/>
        <item m="1" x="436"/>
        <item m="1" x="151"/>
        <item m="1" x="441"/>
        <item m="1" x="178"/>
        <item m="1" x="453"/>
        <item m="1" x="413"/>
        <item m="1" x="57"/>
        <item m="1" x="117"/>
        <item m="1" x="348"/>
        <item m="1" x="137"/>
        <item m="1" x="67"/>
        <item m="1" x="328"/>
        <item m="1" x="72"/>
        <item m="1" x="378"/>
        <item m="1" x="341"/>
        <item m="1" x="475"/>
        <item m="1" x="399"/>
        <item m="1" x="268"/>
        <item m="1" x="218"/>
        <item m="1" x="109"/>
        <item m="1" x="241"/>
        <item m="1" x="454"/>
        <item m="1" x="312"/>
        <item m="1" x="409"/>
        <item m="1" x="154"/>
        <item m="1" x="410"/>
        <item m="1" x="155"/>
        <item m="1" x="156"/>
        <item m="1" x="281"/>
        <item m="1" x="381"/>
        <item m="1" x="313"/>
        <item m="1" x="314"/>
        <item m="1" x="470"/>
        <item m="1" x="471"/>
        <item m="1" x="365"/>
        <item m="1" x="282"/>
        <item m="1" x="211"/>
        <item m="1" x="212"/>
        <item m="1" x="369"/>
        <item m="1" x="235"/>
        <item m="1" x="259"/>
        <item m="1" x="110"/>
        <item m="1" x="111"/>
        <item m="1" x="112"/>
        <item m="1" x="472"/>
        <item m="1" x="406"/>
        <item m="1" x="214"/>
        <item m="1" x="113"/>
        <item m="1" x="358"/>
        <item m="1" x="114"/>
        <item m="1" x="115"/>
        <item m="1" x="116"/>
        <item m="1" x="376"/>
        <item m="1" x="283"/>
        <item m="1" x="80"/>
        <item m="1" x="176"/>
        <item m="1" x="160"/>
        <item m="1" x="473"/>
        <item m="1" x="315"/>
        <item m="1" x="484"/>
        <item m="1" x="485"/>
        <item m="1" x="411"/>
        <item m="1" x="412"/>
        <item m="1" x="270"/>
        <item m="1" x="238"/>
        <item m="1" x="96"/>
        <item m="1" x="202"/>
        <item m="1" x="425"/>
        <item m="1" x="316"/>
        <item m="1" x="310"/>
        <item m="1" x="276"/>
        <item m="1" x="184"/>
        <item m="1" x="82"/>
        <item m="1" x="190"/>
        <item m="1" x="402"/>
        <item m="1" x="486"/>
        <item m="1" x="246"/>
        <item m="1" x="165"/>
        <item m="1" x="343"/>
        <item m="1" x="170"/>
        <item m="1" x="269"/>
        <item m="1" x="139"/>
        <item m="1" x="252"/>
        <item m="1" x="267"/>
        <item m="1" x="405"/>
        <item m="1" x="249"/>
        <item m="1" x="449"/>
        <item m="1" x="85"/>
        <item m="1" x="148"/>
        <item m="1" x="140"/>
        <item m="1" x="331"/>
        <item m="1" x="362"/>
        <item m="1" x="461"/>
        <item m="1" x="91"/>
        <item m="1" x="133"/>
        <item m="1" x="297"/>
        <item m="1" x="371"/>
        <item m="1" x="336"/>
        <item m="1" x="256"/>
        <item m="1" x="291"/>
        <item m="1" x="106"/>
        <item m="1" x="487"/>
        <item m="1" x="107"/>
        <item m="1" x="277"/>
        <item m="1" x="152"/>
        <item m="1" x="150"/>
        <item m="1" x="217"/>
        <item m="1" x="329"/>
        <item m="1" x="445"/>
        <item m="1" x="433"/>
        <item m="1" x="144"/>
        <item m="1" x="126"/>
        <item m="1" x="359"/>
        <item m="1" x="201"/>
        <item m="1" x="332"/>
        <item m="1" x="194"/>
        <item m="1" x="455"/>
        <item m="1" x="166"/>
        <item m="1" x="356"/>
        <item m="1" x="175"/>
        <item m="1" x="159"/>
        <item m="1" x="479"/>
        <item m="1" x="254"/>
        <item m="1" x="209"/>
        <item m="1" x="437"/>
        <item m="1" x="327"/>
        <item m="1" x="220"/>
        <item m="1" x="224"/>
        <item m="1" x="120"/>
        <item m="1" x="225"/>
        <item m="1" x="121"/>
        <item m="1" x="122"/>
        <item m="1" x="387"/>
        <item m="1" x="236"/>
        <item m="1" x="221"/>
        <item m="1" x="222"/>
        <item m="1" x="263"/>
        <item m="1" x="264"/>
        <item m="1" x="478"/>
        <item m="1" x="388"/>
        <item m="1" x="373"/>
        <item m="1" x="374"/>
        <item m="1" x="215"/>
        <item m="1" x="79"/>
        <item m="1" x="213"/>
        <item m="1" x="99"/>
        <item m="1" x="100"/>
        <item m="1" x="101"/>
        <item m="1" x="265"/>
        <item m="1" x="377"/>
        <item m="1" x="488"/>
        <item m="1" x="105"/>
        <item m="1" x="366"/>
        <item m="1" x="459"/>
        <item m="1" x="102"/>
        <item m="1" x="103"/>
        <item m="1" x="104"/>
        <item m="1" x="427"/>
        <item m="1" x="389"/>
        <item m="1" x="290"/>
        <item m="1" x="372"/>
        <item m="1" x="424"/>
        <item m="1" x="266"/>
        <item m="1" x="223"/>
        <item m="1" x="73"/>
        <item m="1" x="74"/>
        <item m="1" x="226"/>
        <item m="1" x="227"/>
        <item x="1"/>
        <item x="2"/>
        <item x="3"/>
        <item x="4"/>
        <item x="5"/>
        <item x="6"/>
        <item x="7"/>
        <item x="8"/>
        <item x="9"/>
        <item x="10"/>
        <item x="11"/>
        <item x="12"/>
        <item x="13"/>
        <item x="14"/>
        <item x="15"/>
        <item x="16"/>
        <item x="17"/>
        <item x="18"/>
        <item x="19"/>
        <item m="1" x="287"/>
        <item m="1" x="333"/>
        <item m="1" x="334"/>
        <item m="1" x="229"/>
        <item m="1" x="230"/>
        <item x="20"/>
        <item x="21"/>
        <item m="1" x="440"/>
        <item m="1" x="298"/>
        <item m="1" x="339"/>
        <item x="22"/>
        <item m="1" x="340"/>
        <item x="23"/>
        <item x="25"/>
        <item x="26"/>
        <item m="1" x="233"/>
        <item x="28"/>
        <item m="1" x="404"/>
        <item m="1" x="242"/>
        <item m="1" x="157"/>
        <item m="1" x="448"/>
        <item m="1" x="350"/>
        <item m="1" x="351"/>
        <item m="1" x="352"/>
        <item m="1" x="231"/>
        <item m="1" x="490"/>
        <item m="1" x="271"/>
        <item x="30"/>
        <item x="31"/>
        <item x="32"/>
        <item x="33"/>
        <item x="34"/>
        <item m="1" x="456"/>
        <item m="1" x="407"/>
        <item m="1" x="353"/>
        <item m="1" x="354"/>
        <item m="1" x="355"/>
        <item m="1" x="234"/>
        <item m="1" x="299"/>
        <item m="1" x="141"/>
        <item m="1" x="162"/>
        <item m="1" x="317"/>
        <item x="38"/>
        <item m="1" x="335"/>
        <item m="1" x="272"/>
        <item m="1" x="273"/>
        <item m="1" x="124"/>
        <item m="1" x="125"/>
        <item m="1" x="439"/>
        <item m="1" x="330"/>
        <item m="1" x="279"/>
        <item x="44"/>
        <item x="45"/>
        <item x="46"/>
        <item x="47"/>
        <item x="48"/>
        <item x="49"/>
        <item x="50"/>
        <item x="51"/>
        <item x="52"/>
        <item x="53"/>
        <item x="54"/>
        <item x="55"/>
        <item x="24"/>
        <item x="27"/>
        <item x="29"/>
        <item x="35"/>
        <item x="37"/>
        <item x="36"/>
        <item x="39"/>
        <item x="40"/>
        <item x="41"/>
        <item x="42"/>
        <item x="43"/>
        <item t="default"/>
      </items>
    </pivotField>
    <pivotField axis="axisRow" showAll="0">
      <items count="538">
        <item m="1" x="335"/>
        <item m="1" x="85"/>
        <item m="1" x="526"/>
        <item m="1" x="443"/>
        <item m="1" x="382"/>
        <item m="1" x="471"/>
        <item m="1" x="383"/>
        <item m="1" x="472"/>
        <item m="1" x="473"/>
        <item m="1" x="227"/>
        <item m="1" x="114"/>
        <item m="1" x="444"/>
        <item m="1" x="445"/>
        <item m="1" x="68"/>
        <item m="1" x="69"/>
        <item m="1" x="480"/>
        <item m="1" x="228"/>
        <item m="1" x="515"/>
        <item m="1" x="516"/>
        <item m="1" x="466"/>
        <item m="1" x="519"/>
        <item m="1" x="338"/>
        <item m="1" x="91"/>
        <item m="1" x="119"/>
        <item m="1" x="120"/>
        <item m="1" x="121"/>
        <item m="1" x="70"/>
        <item m="1" x="367"/>
        <item m="1" x="487"/>
        <item m="1" x="342"/>
        <item m="1" x="171"/>
        <item m="1" x="84"/>
        <item m="1" x="122"/>
        <item m="1" x="389"/>
        <item m="1" x="123"/>
        <item m="1" x="124"/>
        <item m="1" x="125"/>
        <item m="1" x="178"/>
        <item m="1" x="229"/>
        <item m="1" x="405"/>
        <item m="1" x="76"/>
        <item m="1" x="350"/>
        <item m="1" x="71"/>
        <item m="1" x="446"/>
        <item m="1" x="502"/>
        <item m="1" x="503"/>
        <item m="1" x="384"/>
        <item m="1" x="385"/>
        <item m="1" x="242"/>
        <item m="1" x="530"/>
        <item m="1" x="410"/>
        <item m="1" x="127"/>
        <item m="1" x="361"/>
        <item m="1" x="393"/>
        <item m="1" x="205"/>
        <item m="1" x="313"/>
        <item m="1" x="182"/>
        <item m="1" x="387"/>
        <item m="1" x="470"/>
        <item m="1" x="78"/>
        <item m="1" x="255"/>
        <item m="1" x="131"/>
        <item m="1" x="329"/>
        <item m="1" x="386"/>
        <item m="1" x="476"/>
        <item m="1" x="155"/>
        <item m="1" x="351"/>
        <item m="1" x="494"/>
        <item m="1" x="274"/>
        <item m="1" x="505"/>
        <item m="1" x="303"/>
        <item m="1" x="272"/>
        <item m="1" x="520"/>
        <item m="1" x="490"/>
        <item m="1" x="353"/>
        <item m="1" x="507"/>
        <item m="1" x="112"/>
        <item m="1" x="344"/>
        <item m="1" x="259"/>
        <item m="1" x="336"/>
        <item m="1" x="126"/>
        <item m="1" x="60"/>
        <item m="1" x="455"/>
        <item m="1" x="360"/>
        <item m="1" x="108"/>
        <item m="1" x="59"/>
        <item m="1" x="63"/>
        <item m="1" x="118"/>
        <item x="4"/>
        <item m="1" x="415"/>
        <item m="1" x="148"/>
        <item m="1" x="211"/>
        <item m="1" x="183"/>
        <item m="1" x="187"/>
        <item m="1" x="407"/>
        <item m="1" x="188"/>
        <item m="1" x="408"/>
        <item m="1" x="409"/>
        <item m="1" x="72"/>
        <item m="1" x="534"/>
        <item m="1" x="184"/>
        <item m="1" x="185"/>
        <item m="1" x="439"/>
        <item m="1" x="440"/>
        <item m="1" x="465"/>
        <item m="1" x="73"/>
        <item m="1" x="209"/>
        <item m="1" x="210"/>
        <item m="1" x="478"/>
        <item m="1" x="291"/>
        <item m="1" x="477"/>
        <item m="1" x="244"/>
        <item m="1" x="245"/>
        <item m="1" x="246"/>
        <item m="1" x="441"/>
        <item m="1" x="160"/>
        <item m="1" x="251"/>
        <item m="1" x="247"/>
        <item m="1" x="62"/>
        <item m="1" x="248"/>
        <item m="1" x="249"/>
        <item m="1" x="250"/>
        <item m="1" x="461"/>
        <item m="1" x="74"/>
        <item m="1" x="414"/>
        <item m="1" x="296"/>
        <item m="1" x="110"/>
        <item m="1" x="442"/>
        <item m="1" x="186"/>
        <item m="1" x="510"/>
        <item m="1" x="511"/>
        <item m="1" x="189"/>
        <item m="1" x="190"/>
        <item m="1" x="161"/>
        <item m="1" x="128"/>
        <item m="1" x="264"/>
        <item m="1" x="332"/>
        <item m="1" x="181"/>
        <item m="1" x="500"/>
        <item m="1" x="355"/>
        <item m="1" x="164"/>
        <item m="1" x="90"/>
        <item m="1" x="373"/>
        <item m="1" x="328"/>
        <item m="1" x="401"/>
        <item m="1" x="456"/>
        <item m="1" x="226"/>
        <item m="1" x="356"/>
        <item m="1" x="457"/>
        <item m="1" x="94"/>
        <item m="1" x="364"/>
        <item m="1" x="100"/>
        <item m="1" x="398"/>
        <item m="1" x="260"/>
        <item m="1" x="512"/>
        <item m="1" x="524"/>
        <item m="1" x="406"/>
        <item m="1" x="75"/>
        <item m="1" x="98"/>
        <item m="1" x="271"/>
        <item m="1" x="220"/>
        <item m="1" x="96"/>
        <item m="1" x="400"/>
        <item m="1" x="192"/>
        <item m="1" x="372"/>
        <item m="1" x="357"/>
        <item m="1" x="179"/>
        <item m="1" x="257"/>
        <item m="1" x="337"/>
        <item m="1" x="319"/>
        <item m="1" x="421"/>
        <item m="1" x="202"/>
        <item m="1" x="533"/>
        <item m="1" x="223"/>
        <item m="1" x="331"/>
        <item m="1" x="425"/>
        <item m="1" x="435"/>
        <item m="1" x="417"/>
        <item m="1" x="436"/>
        <item m="1" x="418"/>
        <item m="1" x="419"/>
        <item m="1" x="293"/>
        <item m="1" x="531"/>
        <item m="1" x="426"/>
        <item m="1" x="427"/>
        <item m="1" x="151"/>
        <item m="1" x="152"/>
        <item m="1" x="163"/>
        <item m="1" x="294"/>
        <item m="1" x="157"/>
        <item m="1" x="158"/>
        <item m="1" x="392"/>
        <item m="1" x="312"/>
        <item m="1" x="379"/>
        <item m="1" x="374"/>
        <item m="1" x="375"/>
        <item m="1" x="376"/>
        <item m="1" x="153"/>
        <item m="1" x="204"/>
        <item m="1" x="253"/>
        <item m="1" x="101"/>
        <item m="1" x="388"/>
        <item m="1" x="102"/>
        <item m="1" x="103"/>
        <item m="1" x="104"/>
        <item m="1" x="420"/>
        <item m="1" x="325"/>
        <item m="1" x="77"/>
        <item m="1" x="193"/>
        <item m="1" x="176"/>
        <item m="1" x="518"/>
        <item m="1" x="345"/>
        <item m="1" x="527"/>
        <item m="1" x="528"/>
        <item m="1" x="462"/>
        <item m="1" x="463"/>
        <item m="1" x="117"/>
        <item m="1" x="320"/>
        <item m="1" x="525"/>
        <item m="1" x="432"/>
        <item m="1" x="475"/>
        <item m="1" x="262"/>
        <item m="1" x="334"/>
        <item m="1" x="315"/>
        <item m="1" x="365"/>
        <item m="1" x="165"/>
        <item m="1" x="269"/>
        <item m="1" x="422"/>
        <item m="1" x="340"/>
        <item m="1" x="333"/>
        <item m="1" x="277"/>
        <item m="1" x="499"/>
        <item m="1" x="326"/>
        <item m="1" x="324"/>
        <item m="1" x="362"/>
        <item m="1" x="252"/>
        <item m="1" x="469"/>
        <item m="1" x="316"/>
        <item m="1" x="491"/>
        <item m="1" x="363"/>
        <item m="1" x="488"/>
        <item m="1" x="254"/>
        <item m="1" x="430"/>
        <item m="1" x="162"/>
        <item m="1" x="221"/>
        <item m="1" x="297"/>
        <item m="1" x="270"/>
        <item m="1" x="130"/>
        <item m="1" x="213"/>
        <item m="1" x="159"/>
        <item m="1" x="346"/>
        <item m="1" x="287"/>
        <item m="1" x="83"/>
        <item m="1" x="397"/>
        <item m="1" x="93"/>
        <item m="1" x="256"/>
        <item m="1" x="509"/>
        <item m="1" x="523"/>
        <item m="1" x="280"/>
        <item m="1" x="495"/>
        <item m="1" x="394"/>
        <item m="1" x="496"/>
        <item m="1" x="395"/>
        <item m="1" x="396"/>
        <item m="1" x="230"/>
        <item m="1" x="458"/>
        <item m="1" x="281"/>
        <item m="1" x="282"/>
        <item m="1" x="167"/>
        <item m="1" x="168"/>
        <item m="1" x="399"/>
        <item m="1" x="231"/>
        <item m="1" x="513"/>
        <item m="1" x="514"/>
        <item m="1" x="404"/>
        <item m="1" x="61"/>
        <item m="1" x="173"/>
        <item m="1" x="305"/>
        <item m="1" x="306"/>
        <item m="1" x="307"/>
        <item m="1" x="169"/>
        <item m="1" x="492"/>
        <item m="1" x="517"/>
        <item m="1" x="308"/>
        <item m="1" x="288"/>
        <item m="1" x="309"/>
        <item m="1" x="310"/>
        <item m="1" x="311"/>
        <item m="1" x="429"/>
        <item m="1" x="232"/>
        <item m="1" x="150"/>
        <item m="1" x="358"/>
        <item m="1" x="504"/>
        <item m="1" x="170"/>
        <item m="1" x="283"/>
        <item m="1" x="197"/>
        <item m="1" x="198"/>
        <item m="1" x="497"/>
        <item m="1" x="498"/>
        <item m="1" x="299"/>
        <item m="1" x="113"/>
        <item m="1" x="327"/>
        <item m="1" x="416"/>
        <item m="1" x="177"/>
        <item m="1" x="489"/>
        <item m="1" x="343"/>
        <item m="1" x="115"/>
        <item m="1" x="377"/>
        <item m="1" x="206"/>
        <item m="1" x="428"/>
        <item m="1" x="402"/>
        <item m="1" x="143"/>
        <item m="1" x="532"/>
        <item m="1" x="341"/>
        <item m="1" x="452"/>
        <item m="1" x="354"/>
        <item m="1" x="95"/>
        <item m="1" x="279"/>
        <item m="1" x="222"/>
        <item m="1" x="58"/>
        <item m="1" x="89"/>
        <item m="1" x="142"/>
        <item m="1" x="535"/>
        <item m="1" x="284"/>
        <item m="1" x="508"/>
        <item m="1" x="203"/>
        <item m="1" x="314"/>
        <item m="1" x="506"/>
        <item m="1" x="240"/>
        <item m="1" x="322"/>
        <item m="1" x="243"/>
        <item m="1" x="233"/>
        <item m="1" x="302"/>
        <item m="1" x="194"/>
        <item m="1" x="339"/>
        <item m="1" x="501"/>
        <item m="1" x="106"/>
        <item m="1" x="180"/>
        <item m="1" x="275"/>
        <item m="1" x="105"/>
        <item m="1" x="467"/>
        <item m="1" x="276"/>
        <item m="1" x="116"/>
        <item m="1" x="468"/>
        <item m="1" x="317"/>
        <item m="1" x="318"/>
        <item m="1" x="214"/>
        <item m="1" x="352"/>
        <item m="1" x="295"/>
        <item m="1" x="129"/>
        <item m="1" x="479"/>
        <item m="1" x="267"/>
        <item m="1" x="380"/>
        <item m="1" x="149"/>
        <item m="1" x="493"/>
        <item m="1" x="381"/>
        <item m="1" x="174"/>
        <item m="1" x="57"/>
        <item m="1" x="359"/>
        <item m="1" x="536"/>
        <item m="1" x="216"/>
        <item m="1" x="79"/>
        <item m="1" x="138"/>
        <item m="1" x="80"/>
        <item m="1" x="139"/>
        <item m="1" x="140"/>
        <item m="1" x="486"/>
        <item m="1" x="447"/>
        <item m="1" x="437"/>
        <item m="1" x="217"/>
        <item m="1" x="218"/>
        <item m="1" x="144"/>
        <item m="1" x="145"/>
        <item m="1" x="290"/>
        <item m="1" x="448"/>
        <item m="1" x="224"/>
        <item m="1" x="196"/>
        <item m="1" x="225"/>
        <item m="1" x="289"/>
        <item m="1" x="141"/>
        <item m="1" x="323"/>
        <item m="1" x="411"/>
        <item m="1" x="278"/>
        <item m="1" x="195"/>
        <item m="1" x="166"/>
        <item m="1" x="107"/>
        <item m="1" x="292"/>
        <item m="1" x="234"/>
        <item m="1" x="235"/>
        <item m="1" x="236"/>
        <item m="1" x="146"/>
        <item m="1" x="301"/>
        <item m="1" x="321"/>
        <item m="1" x="207"/>
        <item m="1" x="412"/>
        <item m="1" x="366"/>
        <item m="1" x="92"/>
        <item m="1" x="298"/>
        <item m="1" x="263"/>
        <item m="1" x="237"/>
        <item m="1" x="238"/>
        <item m="1" x="239"/>
        <item m="1" x="154"/>
        <item m="1" x="449"/>
        <item m="1" x="97"/>
        <item m="1" x="273"/>
        <item m="1" x="454"/>
        <item m="1" x="147"/>
        <item m="1" x="219"/>
        <item m="1" x="433"/>
        <item m="1" x="434"/>
        <item m="1" x="81"/>
        <item m="1" x="82"/>
        <item m="1" x="111"/>
        <item m="1" x="172"/>
        <item m="1" x="474"/>
        <item m="1" x="175"/>
        <item m="1" x="99"/>
        <item m="1" x="378"/>
        <item m="1" x="109"/>
        <item m="1" x="529"/>
        <item m="1" x="460"/>
        <item m="1" x="86"/>
        <item m="1" x="403"/>
        <item m="1" x="191"/>
        <item m="1" x="156"/>
        <item m="1" x="304"/>
        <item m="1" x="450"/>
        <item m="1" x="438"/>
        <item m="1" x="258"/>
        <item m="1" x="390"/>
        <item m="1" x="368"/>
        <item m="1" x="482"/>
        <item m="1" x="199"/>
        <item m="1" x="483"/>
        <item m="1" x="200"/>
        <item m="1" x="201"/>
        <item m="1" x="347"/>
        <item m="1" x="464"/>
        <item m="1" x="369"/>
        <item m="1" x="370"/>
        <item m="1" x="64"/>
        <item m="1" x="65"/>
        <item m="1" x="451"/>
        <item m="1" x="348"/>
        <item m="1" x="265"/>
        <item m="1" x="266"/>
        <item m="1" x="453"/>
        <item m="1" x="300"/>
        <item m="1" x="330"/>
        <item m="1" x="132"/>
        <item m="1" x="133"/>
        <item m="1" x="134"/>
        <item m="1" x="66"/>
        <item m="1" x="481"/>
        <item m="1" x="268"/>
        <item m="1" x="215"/>
        <item m="1" x="431"/>
        <item m="1" x="135"/>
        <item m="1" x="136"/>
        <item m="1" x="137"/>
        <item m="1" x="459"/>
        <item m="1" x="349"/>
        <item m="1" x="423"/>
        <item m="1" x="241"/>
        <item m="1" x="208"/>
        <item m="1" x="67"/>
        <item m="1" x="371"/>
        <item m="1" x="87"/>
        <item m="1" x="88"/>
        <item m="1" x="484"/>
        <item m="1" x="485"/>
        <item x="0"/>
        <item x="1"/>
        <item x="2"/>
        <item x="3"/>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m="1" x="391"/>
        <item x="38"/>
        <item x="39"/>
        <item m="1" x="424"/>
        <item m="1" x="285"/>
        <item m="1" x="286"/>
        <item m="1" x="521"/>
        <item m="1" x="522"/>
        <item m="1" x="212"/>
        <item m="1" x="261"/>
        <item m="1" x="413"/>
        <item x="45"/>
        <item x="46"/>
        <item x="47"/>
        <item x="48"/>
        <item x="49"/>
        <item x="50"/>
        <item x="51"/>
        <item x="52"/>
        <item x="53"/>
        <item x="54"/>
        <item x="55"/>
        <item x="56"/>
        <item x="37"/>
        <item x="40"/>
        <item x="41"/>
        <item x="42"/>
        <item x="43"/>
        <item x="44"/>
        <item t="default"/>
      </items>
    </pivotField>
    <pivotField axis="axisRow" showAll="0">
      <items count="110">
        <item m="1" x="32"/>
        <item x="1"/>
        <item m="1" x="68"/>
        <item m="1" x="45"/>
        <item m="1" x="16"/>
        <item m="1" x="108"/>
        <item m="1" x="103"/>
        <item m="1" x="56"/>
        <item m="1" x="29"/>
        <item m="1" x="26"/>
        <item m="1" x="66"/>
        <item m="1" x="37"/>
        <item m="1" x="51"/>
        <item m="1" x="100"/>
        <item m="1" x="33"/>
        <item m="1" x="73"/>
        <item m="1" x="42"/>
        <item m="1" x="82"/>
        <item m="1" x="20"/>
        <item m="1" x="81"/>
        <item m="1" x="80"/>
        <item m="1" x="106"/>
        <item m="1" x="91"/>
        <item m="1" x="86"/>
        <item m="1" x="64"/>
        <item m="1" x="76"/>
        <item m="1" x="78"/>
        <item m="1" x="96"/>
        <item m="1" x="95"/>
        <item m="1" x="74"/>
        <item m="1" x="84"/>
        <item m="1" x="67"/>
        <item m="1" x="79"/>
        <item m="1" x="46"/>
        <item m="1" x="43"/>
        <item m="1" x="94"/>
        <item m="1" x="54"/>
        <item m="1" x="27"/>
        <item m="1" x="24"/>
        <item m="1" x="63"/>
        <item m="1" x="70"/>
        <item m="1" x="52"/>
        <item m="1" x="102"/>
        <item m="1" x="23"/>
        <item m="1" x="34"/>
        <item m="1" x="19"/>
        <item m="1" x="39"/>
        <item m="1" x="83"/>
        <item m="1" x="18"/>
        <item m="1" x="22"/>
        <item m="1" x="59"/>
        <item m="1" x="77"/>
        <item m="1" x="62"/>
        <item m="1" x="60"/>
        <item m="1" x="40"/>
        <item m="1" x="93"/>
        <item m="1" x="50"/>
        <item m="1" x="99"/>
        <item m="1" x="97"/>
        <item m="1" x="47"/>
        <item m="1" x="55"/>
        <item m="1" x="30"/>
        <item m="1" x="17"/>
        <item m="1" x="38"/>
        <item m="1" x="14"/>
        <item m="1" x="57"/>
        <item m="1" x="49"/>
        <item m="1" x="48"/>
        <item m="1" x="85"/>
        <item m="1" x="53"/>
        <item m="1" x="104"/>
        <item m="1" x="31"/>
        <item m="1" x="28"/>
        <item m="1" x="25"/>
        <item m="1" x="58"/>
        <item m="1" x="75"/>
        <item m="1" x="69"/>
        <item m="1" x="65"/>
        <item m="1" x="15"/>
        <item m="1" x="89"/>
        <item m="1" x="105"/>
        <item m="1" x="71"/>
        <item m="1" x="90"/>
        <item m="1" x="35"/>
        <item m="1" x="101"/>
        <item m="1" x="107"/>
        <item m="1" x="92"/>
        <item m="1" x="72"/>
        <item m="1" x="21"/>
        <item m="1" x="41"/>
        <item m="1" x="44"/>
        <item m="1" x="88"/>
        <item m="1" x="61"/>
        <item m="1" x="87"/>
        <item m="1" x="98"/>
        <item m="1" x="36"/>
        <item x="0"/>
        <item x="2"/>
        <item x="3"/>
        <item x="4"/>
        <item x="5"/>
        <item x="6"/>
        <item x="7"/>
        <item x="8"/>
        <item x="9"/>
        <item x="10"/>
        <item x="11"/>
        <item x="12"/>
        <item x="13"/>
        <item t="default"/>
      </items>
    </pivotField>
    <pivotField axis="axisRow" showAll="0">
      <items count="15">
        <item m="1" x="13"/>
        <item x="1"/>
        <item m="1" x="7"/>
        <item x="0"/>
        <item x="2"/>
        <item x="3"/>
        <item x="4"/>
        <item x="5"/>
        <item m="1" x="9"/>
        <item m="1" x="10"/>
        <item m="1" x="12"/>
        <item m="1" x="11"/>
        <item m="1" x="8"/>
        <item x="6"/>
        <item t="default"/>
      </items>
    </pivotField>
    <pivotField axis="axisRow" showAll="0">
      <items count="435">
        <item m="1" x="70"/>
        <item m="1" x="381"/>
        <item m="1" x="379"/>
        <item m="1" x="320"/>
        <item m="1" x="249"/>
        <item m="1" x="426"/>
        <item m="1" x="142"/>
        <item m="1" x="94"/>
        <item m="1" x="391"/>
        <item m="1" x="409"/>
        <item m="1" x="291"/>
        <item m="1" x="102"/>
        <item m="1" x="125"/>
        <item m="1" x="428"/>
        <item m="1" x="240"/>
        <item m="1" x="330"/>
        <item m="1" x="280"/>
        <item m="1" x="146"/>
        <item m="1" x="262"/>
        <item m="1" x="318"/>
        <item m="1" x="314"/>
        <item m="1" x="419"/>
        <item m="1" x="334"/>
        <item m="1" x="225"/>
        <item m="1" x="338"/>
        <item m="1" x="377"/>
        <item m="1" x="420"/>
        <item m="1" x="160"/>
        <item m="1" x="400"/>
        <item m="1" x="161"/>
        <item m="1" x="346"/>
        <item m="1" x="222"/>
        <item m="1" x="245"/>
        <item m="1" x="370"/>
        <item m="1" x="250"/>
        <item m="1" x="100"/>
        <item m="1" x="188"/>
        <item m="1" x="339"/>
        <item m="1" x="251"/>
        <item m="1" x="289"/>
        <item m="1" x="124"/>
        <item m="1" x="104"/>
        <item m="1" x="272"/>
        <item m="1" x="155"/>
        <item m="1" x="85"/>
        <item m="1" x="174"/>
        <item m="1" x="228"/>
        <item m="1" x="324"/>
        <item m="1" x="229"/>
        <item m="1" x="423"/>
        <item m="1" x="388"/>
        <item m="1" x="132"/>
        <item m="1" x="259"/>
        <item m="1" x="226"/>
        <item m="1" x="224"/>
        <item m="1" x="347"/>
        <item m="1" x="385"/>
        <item m="1" x="77"/>
        <item m="1" x="402"/>
        <item m="1" x="348"/>
        <item m="1" x="105"/>
        <item m="1" x="149"/>
        <item m="1" x="231"/>
        <item m="1" x="425"/>
        <item m="1" x="299"/>
        <item m="1" x="79"/>
        <item x="0"/>
        <item m="1" x="403"/>
        <item m="1" x="130"/>
        <item m="1" x="148"/>
        <item m="1" x="182"/>
        <item m="1" x="234"/>
        <item m="1" x="236"/>
        <item m="1" x="76"/>
        <item m="1" x="304"/>
        <item m="1" x="119"/>
        <item m="1" x="181"/>
        <item m="1" x="185"/>
        <item m="1" x="317"/>
        <item m="1" x="349"/>
        <item m="1" x="192"/>
        <item m="1" x="186"/>
        <item m="1" x="150"/>
        <item m="1" x="207"/>
        <item m="1" x="392"/>
        <item m="1" x="313"/>
        <item m="1" x="293"/>
        <item m="1" x="81"/>
        <item m="1" x="193"/>
        <item m="1" x="196"/>
        <item m="1" x="355"/>
        <item m="1" x="183"/>
        <item m="1" x="319"/>
        <item m="1" x="84"/>
        <item m="1" x="278"/>
        <item m="1" x="235"/>
        <item m="1" x="147"/>
        <item m="1" x="246"/>
        <item m="1" x="166"/>
        <item m="1" x="359"/>
        <item m="1" x="335"/>
        <item m="1" x="191"/>
        <item m="1" x="129"/>
        <item m="1" x="164"/>
        <item m="1" x="308"/>
        <item m="1" x="167"/>
        <item m="1" x="115"/>
        <item m="1" x="430"/>
        <item m="1" x="187"/>
        <item m="1" x="394"/>
        <item m="1" x="180"/>
        <item m="1" x="311"/>
        <item m="1" x="189"/>
        <item m="1" x="190"/>
        <item m="1" x="395"/>
        <item m="1" x="353"/>
        <item m="1" x="386"/>
        <item m="1" x="354"/>
        <item m="1" x="312"/>
        <item m="1" x="158"/>
        <item m="1" x="283"/>
        <item m="1" x="165"/>
        <item m="1" x="387"/>
        <item m="1" x="307"/>
        <item m="1" x="396"/>
        <item m="1" x="230"/>
        <item m="1" x="199"/>
        <item m="1" x="284"/>
        <item m="1" x="433"/>
        <item m="1" x="126"/>
        <item m="1" x="195"/>
        <item m="1" x="414"/>
        <item m="1" x="244"/>
        <item m="1" x="238"/>
        <item m="1" x="309"/>
        <item m="1" x="356"/>
        <item m="1" x="209"/>
        <item m="1" x="173"/>
        <item m="1" x="305"/>
        <item m="1" x="122"/>
        <item m="1" x="175"/>
        <item m="1" x="223"/>
        <item m="1" x="340"/>
        <item m="1" x="239"/>
        <item m="1" x="176"/>
        <item m="1" x="254"/>
        <item m="1" x="344"/>
        <item m="1" x="408"/>
        <item m="1" x="194"/>
        <item m="1" x="177"/>
        <item m="1" x="171"/>
        <item m="1" x="337"/>
        <item m="1" x="133"/>
        <item m="1" x="372"/>
        <item m="1" x="121"/>
        <item m="1" x="237"/>
        <item m="1" x="294"/>
        <item m="1" x="136"/>
        <item m="1" x="371"/>
        <item m="1" x="365"/>
        <item m="1" x="131"/>
        <item m="1" x="375"/>
        <item m="1" x="112"/>
        <item m="1" x="374"/>
        <item m="1" x="153"/>
        <item m="1" x="364"/>
        <item m="1" x="367"/>
        <item m="1" x="366"/>
        <item m="1" x="376"/>
        <item m="1" x="360"/>
        <item m="1" x="221"/>
        <item m="1" x="134"/>
        <item m="1" x="326"/>
        <item m="1" x="110"/>
        <item m="1" x="203"/>
        <item m="1" x="310"/>
        <item m="1" x="152"/>
        <item m="1" x="327"/>
        <item m="1" x="219"/>
        <item m="1" x="206"/>
        <item m="1" x="220"/>
        <item m="1" x="163"/>
        <item m="1" x="96"/>
        <item m="1" x="88"/>
        <item m="1" x="93"/>
        <item m="1" x="95"/>
        <item m="1" x="232"/>
        <item m="1" x="168"/>
        <item m="1" x="116"/>
        <item m="1" x="184"/>
        <item m="1" x="89"/>
        <item m="1" x="92"/>
        <item m="1" x="432"/>
        <item m="1" x="415"/>
        <item m="1" x="179"/>
        <item m="1" x="271"/>
        <item m="1" x="233"/>
        <item m="1" x="257"/>
        <item m="1" x="303"/>
        <item m="1" x="109"/>
        <item m="1" x="424"/>
        <item m="1" x="361"/>
        <item m="1" x="78"/>
        <item m="1" x="113"/>
        <item m="1" x="401"/>
        <item m="1" x="315"/>
        <item m="1" x="172"/>
        <item m="1" x="114"/>
        <item m="1" x="281"/>
        <item m="1" x="328"/>
        <item m="1" x="412"/>
        <item m="1" x="378"/>
        <item m="1" x="137"/>
        <item m="1" x="405"/>
        <item m="1" x="333"/>
        <item m="1" x="406"/>
        <item m="1" x="87"/>
        <item m="1" x="243"/>
        <item m="1" x="411"/>
        <item m="1" x="111"/>
        <item m="1" x="295"/>
        <item m="1" x="277"/>
        <item m="1" x="268"/>
        <item m="1" x="286"/>
        <item m="1" x="287"/>
        <item m="1" x="241"/>
        <item m="1" x="322"/>
        <item m="1" x="298"/>
        <item m="1" x="261"/>
        <item m="1" x="275"/>
        <item m="1" x="270"/>
        <item m="1" x="288"/>
        <item m="1" x="255"/>
        <item m="1" x="397"/>
        <item m="1" x="266"/>
        <item m="1" x="156"/>
        <item m="1" x="218"/>
        <item m="1" x="369"/>
        <item m="1" x="135"/>
        <item m="1" x="297"/>
        <item m="1" x="157"/>
        <item m="1" x="398"/>
        <item m="1" x="373"/>
        <item m="1" x="399"/>
        <item m="1" x="421"/>
        <item m="1" x="279"/>
        <item m="1" x="82"/>
        <item m="1" x="162"/>
        <item m="1" x="227"/>
        <item m="1" x="74"/>
        <item m="1" x="265"/>
        <item m="1" x="73"/>
        <item m="1" x="86"/>
        <item m="1" x="83"/>
        <item m="1" x="128"/>
        <item m="1" x="140"/>
        <item m="1" x="363"/>
        <item m="1" x="282"/>
        <item m="1" x="91"/>
        <item m="1" x="302"/>
        <item m="1" x="205"/>
        <item m="1" x="410"/>
        <item m="1" x="382"/>
        <item m="1" x="368"/>
        <item m="1" x="106"/>
        <item m="1" x="145"/>
        <item m="1" x="383"/>
        <item m="1" x="117"/>
        <item m="1" x="99"/>
        <item m="1" x="393"/>
        <item m="1" x="384"/>
        <item m="1" x="325"/>
        <item m="1" x="217"/>
        <item m="1" x="362"/>
        <item m="1" x="108"/>
        <item m="1" x="390"/>
        <item m="1" x="357"/>
        <item m="1" x="103"/>
        <item m="1" x="358"/>
        <item m="1" x="138"/>
        <item m="1" x="80"/>
        <item m="1" x="120"/>
        <item m="1" x="143"/>
        <item m="1" x="321"/>
        <item m="1" x="407"/>
        <item m="1" x="202"/>
        <item m="1" x="316"/>
        <item m="1" x="212"/>
        <item m="1" x="301"/>
        <item m="1" x="214"/>
        <item m="1" x="98"/>
        <item m="1" x="200"/>
        <item m="1" x="204"/>
        <item m="1" x="201"/>
        <item m="1" x="213"/>
        <item m="1" x="198"/>
        <item m="1" x="352"/>
        <item m="1" x="90"/>
        <item m="1" x="169"/>
        <item m="1" x="75"/>
        <item m="1" x="343"/>
        <item m="1" x="389"/>
        <item m="1" x="97"/>
        <item m="1" x="170"/>
        <item m="1" x="350"/>
        <item m="1" x="345"/>
        <item m="1" x="351"/>
        <item x="59"/>
        <item x="60"/>
        <item x="61"/>
        <item x="62"/>
        <item x="63"/>
        <item x="64"/>
        <item x="65"/>
        <item x="66"/>
        <item x="67"/>
        <item x="68"/>
        <item x="69"/>
        <item m="1" x="323"/>
        <item x="2"/>
        <item x="3"/>
        <item m="1" x="118"/>
        <item m="1" x="139"/>
        <item m="1" x="341"/>
        <item m="1" x="107"/>
        <item x="1"/>
        <item m="1" x="123"/>
        <item m="1" x="154"/>
        <item m="1" x="127"/>
        <item m="1" x="416"/>
        <item m="1" x="300"/>
        <item m="1" x="431"/>
        <item m="1" x="404"/>
        <item m="1" x="101"/>
        <item m="1" x="296"/>
        <item x="4"/>
        <item x="5"/>
        <item x="6"/>
        <item x="7"/>
        <item x="8"/>
        <item x="9"/>
        <item x="10"/>
        <item x="11"/>
        <item m="1" x="285"/>
        <item m="1" x="427"/>
        <item m="1" x="258"/>
        <item m="1" x="263"/>
        <item m="1" x="332"/>
        <item m="1" x="429"/>
        <item m="1" x="276"/>
        <item m="1" x="264"/>
        <item m="1" x="144"/>
        <item m="1" x="336"/>
        <item m="1" x="197"/>
        <item m="1" x="151"/>
        <item m="1" x="260"/>
        <item m="1" x="247"/>
        <item m="1" x="252"/>
        <item m="1" x="329"/>
        <item m="1" x="269"/>
        <item m="1" x="267"/>
        <item m="1" x="248"/>
        <item m="1" x="417"/>
        <item m="1" x="159"/>
        <item m="1" x="418"/>
        <item m="1" x="331"/>
        <item m="1" x="253"/>
        <item m="1" x="306"/>
        <item m="1" x="274"/>
        <item m="1" x="290"/>
        <item m="1" x="273"/>
        <item x="43"/>
        <item x="44"/>
        <item m="1" x="210"/>
        <item m="1" x="342"/>
        <item m="1" x="178"/>
        <item m="1" x="413"/>
        <item m="1" x="211"/>
        <item m="1" x="72"/>
        <item m="1" x="215"/>
        <item m="1" x="208"/>
        <item m="1" x="422"/>
        <item x="54"/>
        <item m="1" x="141"/>
        <item m="1" x="256"/>
        <item m="1" x="292"/>
        <item m="1" x="216"/>
        <item m="1" x="71"/>
        <item x="12"/>
        <item x="13"/>
        <item x="14"/>
        <item x="15"/>
        <item x="16"/>
        <item x="17"/>
        <item x="18"/>
        <item x="19"/>
        <item x="20"/>
        <item x="21"/>
        <item x="22"/>
        <item x="23"/>
        <item x="24"/>
        <item x="36"/>
        <item x="37"/>
        <item x="38"/>
        <item x="39"/>
        <item x="40"/>
        <item x="41"/>
        <item m="1" x="380"/>
        <item x="45"/>
        <item x="46"/>
        <item x="47"/>
        <item x="48"/>
        <item m="1" x="242"/>
        <item x="50"/>
        <item x="51"/>
        <item x="52"/>
        <item x="53"/>
        <item x="25"/>
        <item x="26"/>
        <item x="27"/>
        <item x="28"/>
        <item x="29"/>
        <item x="30"/>
        <item x="31"/>
        <item x="32"/>
        <item x="33"/>
        <item x="34"/>
        <item x="35"/>
        <item x="42"/>
        <item x="49"/>
        <item x="55"/>
        <item x="56"/>
        <item x="57"/>
        <item x="58"/>
        <item t="default"/>
      </items>
    </pivotField>
    <pivotField axis="axisRow" showAll="0">
      <items count="263">
        <item m="1" x="17"/>
        <item m="1" x="223"/>
        <item m="1" x="36"/>
        <item m="1" x="56"/>
        <item m="1" x="20"/>
        <item m="1" x="240"/>
        <item m="1" x="43"/>
        <item m="1" x="55"/>
        <item m="1" x="212"/>
        <item m="1" x="248"/>
        <item m="1" x="249"/>
        <item m="1" x="93"/>
        <item m="1" x="122"/>
        <item m="1" x="67"/>
        <item m="1" x="48"/>
        <item m="1" x="89"/>
        <item m="1" x="90"/>
        <item m="1" x="245"/>
        <item m="1" x="83"/>
        <item m="1" x="190"/>
        <item m="1" x="199"/>
        <item m="1" x="75"/>
        <item m="1" x="37"/>
        <item m="1" x="198"/>
        <item m="1" x="124"/>
        <item m="1" x="68"/>
        <item m="1" x="25"/>
        <item m="1" x="27"/>
        <item m="1" x="31"/>
        <item m="1" x="69"/>
        <item m="1" x="231"/>
        <item m="1" x="115"/>
        <item m="1" x="165"/>
        <item m="1" x="250"/>
        <item m="1" x="161"/>
        <item m="1" x="257"/>
        <item m="1" x="185"/>
        <item m="1" x="45"/>
        <item m="1" x="40"/>
        <item m="1" x="200"/>
        <item m="1" x="183"/>
        <item m="1" x="252"/>
        <item x="0"/>
        <item m="1" x="94"/>
        <item m="1" x="26"/>
        <item m="1" x="92"/>
        <item m="1" x="171"/>
        <item m="1" x="41"/>
        <item m="1" x="107"/>
        <item m="1" x="42"/>
        <item m="1" x="256"/>
        <item m="1" x="73"/>
        <item m="1" x="74"/>
        <item m="1" x="44"/>
        <item m="1" x="208"/>
        <item m="1" x="187"/>
        <item m="1" x="135"/>
        <item m="1" x="202"/>
        <item m="1" x="203"/>
        <item m="1" x="172"/>
        <item m="1" x="104"/>
        <item m="1" x="206"/>
        <item m="1" x="136"/>
        <item m="1" x="106"/>
        <item m="1" x="217"/>
        <item m="1" x="195"/>
        <item m="1" x="188"/>
        <item m="1" x="207"/>
        <item m="1" x="129"/>
        <item m="1" x="218"/>
        <item m="1" x="189"/>
        <item m="1" x="164"/>
        <item m="1" x="230"/>
        <item m="1" x="103"/>
        <item m="1" x="82"/>
        <item m="1" x="130"/>
        <item m="1" x="170"/>
        <item m="1" x="224"/>
        <item m="1" x="193"/>
        <item m="1" x="163"/>
        <item m="1" x="153"/>
        <item m="1" x="175"/>
        <item m="1" x="30"/>
        <item m="1" x="123"/>
        <item m="1" x="102"/>
        <item m="1" x="38"/>
        <item m="1" x="174"/>
        <item m="1" x="110"/>
        <item m="1" x="237"/>
        <item m="1" x="242"/>
        <item m="1" x="84"/>
        <item m="1" x="210"/>
        <item m="1" x="211"/>
        <item m="1" x="247"/>
        <item m="1" x="228"/>
        <item m="1" x="28"/>
        <item m="1" x="241"/>
        <item m="1" x="50"/>
        <item m="1" x="51"/>
        <item m="1" x="57"/>
        <item m="1" x="213"/>
        <item m="1" x="76"/>
        <item m="1" x="32"/>
        <item m="1" x="128"/>
        <item m="1" x="121"/>
        <item m="1" x="253"/>
        <item m="1" x="29"/>
        <item m="1" x="227"/>
        <item m="1" x="105"/>
        <item m="1" x="155"/>
        <item m="1" x="259"/>
        <item m="1" x="46"/>
        <item m="1" x="114"/>
        <item m="1" x="243"/>
        <item m="1" x="222"/>
        <item m="1" x="33"/>
        <item m="1" x="35"/>
        <item m="1" x="111"/>
        <item m="1" x="258"/>
        <item m="1" x="108"/>
        <item m="1" x="251"/>
        <item m="1" x="53"/>
        <item m="1" x="66"/>
        <item m="1" x="116"/>
        <item m="1" x="235"/>
        <item m="1" x="143"/>
        <item m="1" x="22"/>
        <item m="1" x="191"/>
        <item m="1" x="18"/>
        <item m="1" x="225"/>
        <item m="1" x="87"/>
        <item m="1" x="131"/>
        <item m="1" x="132"/>
        <item m="1" x="260"/>
        <item m="1" x="99"/>
        <item m="1" x="145"/>
        <item m="1" x="214"/>
        <item m="1" x="156"/>
        <item m="1" x="157"/>
        <item m="1" x="58"/>
        <item m="1" x="77"/>
        <item m="1" x="176"/>
        <item m="1" x="179"/>
        <item m="1" x="150"/>
        <item m="1" x="137"/>
        <item m="1" x="238"/>
        <item m="1" x="146"/>
        <item m="1" x="70"/>
        <item m="1" x="72"/>
        <item m="1" x="168"/>
        <item m="1" x="147"/>
        <item m="1" x="219"/>
        <item m="1" x="95"/>
        <item m="1" x="112"/>
        <item m="1" x="60"/>
        <item m="1" x="194"/>
        <item m="1" x="196"/>
        <item m="1" x="85"/>
        <item m="1" x="139"/>
        <item m="1" x="79"/>
        <item m="1" x="118"/>
        <item m="1" x="233"/>
        <item m="1" x="254"/>
        <item m="1" x="62"/>
        <item m="1" x="181"/>
        <item m="1" x="63"/>
        <item m="1" x="182"/>
        <item m="1" x="154"/>
        <item m="1" x="109"/>
        <item m="1" x="64"/>
        <item m="1" x="204"/>
        <item m="1" x="65"/>
        <item m="1" x="205"/>
        <item m="1" x="186"/>
        <item m="1" x="117"/>
        <item m="1" x="236"/>
        <item m="1" x="144"/>
        <item m="1" x="23"/>
        <item m="1" x="192"/>
        <item m="1" x="19"/>
        <item m="1" x="226"/>
        <item m="1" x="88"/>
        <item m="1" x="133"/>
        <item m="1" x="134"/>
        <item m="1" x="261"/>
        <item m="1" x="100"/>
        <item m="1" x="184"/>
        <item m="1" x="215"/>
        <item m="1" x="158"/>
        <item m="1" x="159"/>
        <item m="1" x="59"/>
        <item m="1" x="78"/>
        <item m="1" x="177"/>
        <item m="1" x="180"/>
        <item m="1" x="151"/>
        <item m="1" x="138"/>
        <item m="1" x="239"/>
        <item m="1" x="209"/>
        <item m="1" x="148"/>
        <item m="1" x="71"/>
        <item m="1" x="54"/>
        <item m="1" x="169"/>
        <item m="1" x="149"/>
        <item m="1" x="220"/>
        <item m="1" x="96"/>
        <item m="1" x="113"/>
        <item m="1" x="61"/>
        <item m="1" x="97"/>
        <item m="1" x="197"/>
        <item m="1" x="86"/>
        <item m="1" x="140"/>
        <item m="1" x="80"/>
        <item m="1" x="119"/>
        <item m="1" x="234"/>
        <item m="1" x="255"/>
        <item x="1"/>
        <item x="2"/>
        <item x="3"/>
        <item x="4"/>
        <item x="5"/>
        <item x="6"/>
        <item x="7"/>
        <item x="8"/>
        <item x="9"/>
        <item x="10"/>
        <item x="11"/>
        <item x="12"/>
        <item m="1" x="34"/>
        <item m="1" x="125"/>
        <item m="1" x="126"/>
        <item m="1" x="141"/>
        <item m="1" x="52"/>
        <item m="1" x="229"/>
        <item m="1" x="39"/>
        <item m="1" x="166"/>
        <item m="1" x="167"/>
        <item m="1" x="244"/>
        <item m="1" x="21"/>
        <item m="1" x="216"/>
        <item m="1" x="221"/>
        <item m="1" x="162"/>
        <item m="1" x="142"/>
        <item m="1" x="98"/>
        <item m="1" x="178"/>
        <item x="13"/>
        <item x="14"/>
        <item m="1" x="232"/>
        <item m="1" x="201"/>
        <item m="1" x="160"/>
        <item m="1" x="47"/>
        <item m="1" x="49"/>
        <item m="1" x="81"/>
        <item m="1" x="246"/>
        <item m="1" x="173"/>
        <item m="1" x="120"/>
        <item x="15"/>
        <item m="1" x="152"/>
        <item m="1" x="24"/>
        <item m="1" x="101"/>
        <item m="1" x="91"/>
        <item m="1" x="127"/>
        <item x="16"/>
        <item t="default"/>
      </items>
    </pivotField>
    <pivotField axis="axisRow" showAll="0">
      <items count="28">
        <item m="1" x="4"/>
        <item m="1" x="19"/>
        <item m="1" x="7"/>
        <item m="1" x="25"/>
        <item x="0"/>
        <item m="1" x="26"/>
        <item m="1" x="10"/>
        <item m="1" x="17"/>
        <item m="1" x="9"/>
        <item m="1" x="8"/>
        <item m="1" x="20"/>
        <item m="1" x="11"/>
        <item m="1" x="15"/>
        <item m="1" x="16"/>
        <item m="1" x="22"/>
        <item m="1" x="18"/>
        <item m="1" x="21"/>
        <item m="1" x="23"/>
        <item m="1" x="24"/>
        <item m="1" x="5"/>
        <item m="1" x="13"/>
        <item m="1" x="14"/>
        <item x="1"/>
        <item x="2"/>
        <item x="3"/>
        <item m="1" x="6"/>
        <item m="1" x="12"/>
        <item t="default"/>
      </items>
    </pivotField>
    <pivotField axis="axisRow" showAll="0">
      <items count="6">
        <item m="1" x="1"/>
        <item x="0"/>
        <item m="1" x="3"/>
        <item m="1" x="4"/>
        <item m="1" x="2"/>
        <item t="default"/>
      </items>
    </pivotField>
    <pivotField axis="axisRow" showAll="0" defaultSubtotal="0">
      <items count="273">
        <item m="1" x="19"/>
        <item m="1" x="232"/>
        <item m="1" x="66"/>
        <item m="1" x="158"/>
        <item m="1" x="27"/>
        <item m="1" x="61"/>
        <item m="1" x="40"/>
        <item m="1" x="148"/>
        <item m="1" x="142"/>
        <item m="1" x="100"/>
        <item m="1" x="30"/>
        <item m="1" x="85"/>
        <item m="1" x="53"/>
        <item m="1" x="25"/>
        <item m="1" x="57"/>
        <item m="1" x="84"/>
        <item m="1" x="178"/>
        <item m="1" x="87"/>
        <item m="1" x="208"/>
        <item m="1" x="231"/>
        <item m="1" x="218"/>
        <item m="1" x="108"/>
        <item m="1" x="228"/>
        <item m="1" x="71"/>
        <item m="1" x="62"/>
        <item m="1" x="131"/>
        <item m="1" x="150"/>
        <item m="1" x="236"/>
        <item m="1" x="128"/>
        <item m="1" x="240"/>
        <item m="1" x="179"/>
        <item m="1" x="266"/>
        <item m="1" x="225"/>
        <item m="1" x="200"/>
        <item m="1" x="37"/>
        <item m="1" x="249"/>
        <item m="1" x="259"/>
        <item m="1" x="180"/>
        <item m="1" x="90"/>
        <item m="1" x="92"/>
        <item m="1" x="86"/>
        <item x="0"/>
        <item m="1" x="29"/>
        <item m="1" x="190"/>
        <item m="1" x="103"/>
        <item m="1" x="42"/>
        <item m="1" x="241"/>
        <item m="1" x="176"/>
        <item m="1" x="242"/>
        <item m="1" x="217"/>
        <item m="1" x="174"/>
        <item m="1" x="43"/>
        <item m="1" x="268"/>
        <item m="1" x="38"/>
        <item m="1" x="219"/>
        <item m="1" x="263"/>
        <item m="1" x="69"/>
        <item m="1" x="96"/>
        <item m="1" x="262"/>
        <item m="1" x="125"/>
        <item m="1" x="216"/>
        <item m="1" x="60"/>
        <item m="1" x="20"/>
        <item m="1" x="221"/>
        <item m="1" x="198"/>
        <item m="1" x="233"/>
        <item m="1" x="83"/>
        <item m="1" x="255"/>
        <item m="1" x="183"/>
        <item m="1" x="124"/>
        <item m="1" x="105"/>
        <item m="1" x="132"/>
        <item m="1" x="145"/>
        <item m="1" x="28"/>
        <item m="1" x="269"/>
        <item m="1" x="91"/>
        <item m="1" x="109"/>
        <item m="1" x="33"/>
        <item m="1" x="143"/>
        <item m="1" x="113"/>
        <item m="1" x="270"/>
        <item m="1" x="44"/>
        <item m="1" x="56"/>
        <item m="1" x="151"/>
        <item m="1" x="162"/>
        <item m="1" x="235"/>
        <item m="1" x="203"/>
        <item m="1" x="107"/>
        <item m="1" x="204"/>
        <item m="1" x="182"/>
        <item m="1" x="226"/>
        <item m="1" x="72"/>
        <item m="1" x="79"/>
        <item m="1" x="161"/>
        <item m="1" x="184"/>
        <item m="1" x="212"/>
        <item m="1" x="58"/>
        <item m="1" x="133"/>
        <item m="1" x="147"/>
        <item m="1" x="146"/>
        <item m="1" x="172"/>
        <item m="1" x="104"/>
        <item m="1" x="64"/>
        <item m="1" x="205"/>
        <item m="1" x="111"/>
        <item m="1" x="206"/>
        <item m="1" x="213"/>
        <item m="1" x="139"/>
        <item m="1" x="155"/>
        <item m="1" x="264"/>
        <item m="1" x="156"/>
        <item m="1" x="67"/>
        <item m="1" x="260"/>
        <item m="1" x="52"/>
        <item m="1" x="46"/>
        <item m="1" x="94"/>
        <item m="1" x="244"/>
        <item m="1" x="65"/>
        <item m="1" x="250"/>
        <item m="1" x="115"/>
        <item m="1" x="220"/>
        <item m="1" x="254"/>
        <item m="1" x="223"/>
        <item m="1" x="75"/>
        <item m="1" x="187"/>
        <item m="1" x="230"/>
        <item m="1" x="135"/>
        <item m="1" x="137"/>
        <item m="1" x="26"/>
        <item m="1" x="144"/>
        <item m="1" x="227"/>
        <item m="1" x="195"/>
        <item m="1" x="138"/>
        <item m="1" x="48"/>
        <item m="1" x="164"/>
        <item m="1" x="88"/>
        <item m="1" x="21"/>
        <item m="1" x="202"/>
        <item m="1" x="214"/>
        <item m="1" x="73"/>
        <item m="1" x="63"/>
        <item m="1" x="140"/>
        <item m="1" x="181"/>
        <item m="1" x="102"/>
        <item m="1" x="59"/>
        <item m="1" x="126"/>
        <item m="1" x="197"/>
        <item m="1" x="167"/>
        <item m="1" x="141"/>
        <item m="1" x="149"/>
        <item m="1" x="267"/>
        <item m="1" x="70"/>
        <item m="1" x="136"/>
        <item m="1" x="157"/>
        <item m="1" x="45"/>
        <item m="1" x="95"/>
        <item m="1" x="114"/>
        <item m="1" x="130"/>
        <item m="1" x="265"/>
        <item m="1" x="39"/>
        <item m="1" x="215"/>
        <item m="1" x="55"/>
        <item m="1" x="211"/>
        <item m="1" x="169"/>
        <item m="1" x="257"/>
        <item m="1" x="170"/>
        <item m="1" x="258"/>
        <item m="1" x="224"/>
        <item m="1" x="76"/>
        <item m="1" x="188"/>
        <item m="1" x="272"/>
        <item m="1" x="127"/>
        <item m="1" x="51"/>
        <item m="1" x="177"/>
        <item m="1" x="41"/>
        <item m="1" x="193"/>
        <item m="1" x="239"/>
        <item m="1" x="22"/>
        <item m="1" x="234"/>
        <item m="1" x="165"/>
        <item m="1" x="89"/>
        <item m="1" x="168"/>
        <item m="1" x="32"/>
        <item m="1" x="98"/>
        <item m="1" x="99"/>
        <item m="1" x="237"/>
        <item m="1" x="248"/>
        <item m="1" x="119"/>
        <item m="1" x="82"/>
        <item m="1" x="47"/>
        <item m="1" x="68"/>
        <item m="1" x="78"/>
        <item m="1" x="35"/>
        <item m="1" x="186"/>
        <item m="1" x="118"/>
        <item m="1" x="209"/>
        <item m="1" x="116"/>
        <item m="1" x="192"/>
        <item m="1" x="80"/>
        <item m="1" x="153"/>
        <item m="1" x="185"/>
        <item m="1" x="222"/>
        <item m="1" x="247"/>
        <item m="1" x="271"/>
        <item m="1" x="238"/>
        <item m="1" x="54"/>
        <item m="1" x="207"/>
        <item m="1" x="166"/>
        <item m="1" x="210"/>
        <item x="2"/>
        <item m="1" x="121"/>
        <item x="4"/>
        <item m="1" x="122"/>
        <item m="1" x="23"/>
        <item m="1" x="256"/>
        <item x="1"/>
        <item m="1" x="173"/>
        <item m="1" x="245"/>
        <item m="1" x="251"/>
        <item m="1" x="175"/>
        <item m="1" x="74"/>
        <item m="1" x="24"/>
        <item m="1" x="123"/>
        <item m="1" x="117"/>
        <item m="1" x="110"/>
        <item m="1" x="129"/>
        <item m="1" x="112"/>
        <item m="1" x="171"/>
        <item x="3"/>
        <item x="5"/>
        <item x="6"/>
        <item x="7"/>
        <item x="8"/>
        <item x="9"/>
        <item x="10"/>
        <item x="11"/>
        <item x="12"/>
        <item x="13"/>
        <item x="14"/>
        <item m="1" x="106"/>
        <item m="1" x="93"/>
        <item m="1" x="120"/>
        <item m="1" x="31"/>
        <item m="1" x="154"/>
        <item m="1" x="152"/>
        <item m="1" x="261"/>
        <item m="1" x="252"/>
        <item m="1" x="159"/>
        <item m="1" x="194"/>
        <item m="1" x="229"/>
        <item m="1" x="36"/>
        <item m="1" x="163"/>
        <item m="1" x="97"/>
        <item m="1" x="101"/>
        <item m="1" x="34"/>
        <item x="15"/>
        <item x="16"/>
        <item m="1" x="199"/>
        <item m="1" x="246"/>
        <item m="1" x="201"/>
        <item m="1" x="253"/>
        <item m="1" x="81"/>
        <item m="1" x="196"/>
        <item m="1" x="50"/>
        <item m="1" x="49"/>
        <item m="1" x="243"/>
        <item x="17"/>
        <item m="1" x="77"/>
        <item m="1" x="189"/>
        <item m="1" x="160"/>
        <item m="1" x="134"/>
        <item m="1" x="191"/>
        <item x="18"/>
      </items>
    </pivotField>
    <pivotField axis="axisRow" showAll="0" defaultSubtotal="0">
      <items count="210">
        <item m="1" x="15"/>
        <item m="1" x="25"/>
        <item m="1" x="18"/>
        <item m="1" x="74"/>
        <item m="1" x="176"/>
        <item m="1" x="199"/>
        <item m="1" x="127"/>
        <item m="1" x="195"/>
        <item m="1" x="158"/>
        <item m="1" x="167"/>
        <item m="1" x="149"/>
        <item m="1" x="92"/>
        <item m="1" x="93"/>
        <item m="1" x="99"/>
        <item m="1" x="79"/>
        <item m="1" x="39"/>
        <item m="1" x="209"/>
        <item m="1" x="151"/>
        <item m="1" x="152"/>
        <item m="1" x="54"/>
        <item m="1" x="38"/>
        <item m="1" x="85"/>
        <item m="1" x="169"/>
        <item m="1" x="43"/>
        <item m="1" x="200"/>
        <item m="1" x="116"/>
        <item m="1" x="103"/>
        <item m="1" x="189"/>
        <item m="1" x="128"/>
        <item m="1" x="207"/>
        <item m="1" x="182"/>
        <item m="1" x="155"/>
        <item m="1" x="102"/>
        <item m="1" x="119"/>
        <item m="1" x="132"/>
        <item m="1" x="173"/>
        <item m="1" x="42"/>
        <item m="1" x="27"/>
        <item m="1" x="47"/>
        <item m="1" x="190"/>
        <item x="0"/>
        <item m="1" x="30"/>
        <item m="1" x="131"/>
        <item m="1" x="208"/>
        <item m="1" x="73"/>
        <item m="1" x="140"/>
        <item m="1" x="29"/>
        <item m="1" x="180"/>
        <item m="1" x="161"/>
        <item m="1" x="33"/>
        <item m="1" x="34"/>
        <item m="1" x="52"/>
        <item m="1" x="81"/>
        <item m="1" x="89"/>
        <item m="1" x="191"/>
        <item m="1" x="135"/>
        <item m="1" x="136"/>
        <item m="1" x="197"/>
        <item m="1" x="150"/>
        <item m="1" x="64"/>
        <item m="1" x="35"/>
        <item m="1" x="205"/>
        <item m="1" x="65"/>
        <item m="1" x="76"/>
        <item m="1" x="164"/>
        <item m="1" x="49"/>
        <item m="1" x="108"/>
        <item m="1" x="125"/>
        <item m="1" x="61"/>
        <item m="1" x="22"/>
        <item m="1" x="105"/>
        <item m="1" x="106"/>
        <item m="1" x="57"/>
        <item m="1" x="71"/>
        <item m="1" x="69"/>
        <item m="1" x="118"/>
        <item m="1" x="82"/>
        <item m="1" x="162"/>
        <item m="1" x="44"/>
        <item m="1" x="184"/>
        <item m="1" x="120"/>
        <item m="1" x="107"/>
        <item m="1" x="62"/>
        <item m="1" x="67"/>
        <item m="1" x="78"/>
        <item m="1" x="201"/>
        <item m="1" x="121"/>
        <item m="1" x="95"/>
        <item m="1" x="83"/>
        <item m="1" x="84"/>
        <item m="1" x="133"/>
        <item m="1" x="147"/>
        <item m="1" x="157"/>
        <item m="1" x="142"/>
        <item m="1" x="112"/>
        <item m="1" x="113"/>
        <item m="1" x="194"/>
        <item m="1" x="21"/>
        <item m="1" x="111"/>
        <item m="1" x="171"/>
        <item m="1" x="80"/>
        <item m="1" x="53"/>
        <item m="1" x="202"/>
        <item m="1" x="177"/>
        <item m="1" x="104"/>
        <item m="1" x="55"/>
        <item m="1" x="91"/>
        <item m="1" x="94"/>
        <item m="1" x="75"/>
        <item m="1" x="88"/>
        <item m="1" x="87"/>
        <item m="1" x="45"/>
        <item m="1" x="192"/>
        <item m="1" x="51"/>
        <item m="1" x="115"/>
        <item m="1" x="114"/>
        <item m="1" x="50"/>
        <item m="1" x="109"/>
        <item m="1" x="28"/>
        <item m="1" x="48"/>
        <item m="1" x="58"/>
        <item m="1" x="170"/>
        <item m="1" x="66"/>
        <item m="1" x="37"/>
        <item m="1" x="122"/>
        <item m="1" x="16"/>
        <item m="1" x="185"/>
        <item m="1" x="23"/>
        <item m="1" x="24"/>
        <item m="1" x="154"/>
        <item m="1" x="86"/>
        <item m="1" x="60"/>
        <item m="1" x="36"/>
        <item m="1" x="174"/>
        <item m="1" x="175"/>
        <item m="1" x="203"/>
        <item m="1" x="196"/>
        <item m="1" x="97"/>
        <item m="1" x="163"/>
        <item m="1" x="144"/>
        <item m="1" x="193"/>
        <item m="1" x="145"/>
        <item m="1" x="130"/>
        <item m="1" x="166"/>
        <item m="1" x="90"/>
        <item m="1" x="101"/>
        <item m="1" x="41"/>
        <item m="1" x="46"/>
        <item m="1" x="179"/>
        <item m="1" x="17"/>
        <item m="1" x="77"/>
        <item m="1" x="100"/>
        <item m="1" x="63"/>
        <item m="1" x="126"/>
        <item m="1" x="183"/>
        <item m="1" x="148"/>
        <item m="1" x="70"/>
        <item m="1" x="32"/>
        <item x="1"/>
        <item x="2"/>
        <item m="1" x="206"/>
        <item m="1" x="72"/>
        <item m="1" x="187"/>
        <item m="1" x="204"/>
        <item m="1" x="156"/>
        <item m="1" x="19"/>
        <item m="1" x="26"/>
        <item m="1" x="141"/>
        <item x="3"/>
        <item x="4"/>
        <item x="5"/>
        <item x="6"/>
        <item x="7"/>
        <item x="8"/>
        <item x="9"/>
        <item x="10"/>
        <item m="1" x="20"/>
        <item m="1" x="159"/>
        <item m="1" x="160"/>
        <item m="1" x="110"/>
        <item m="1" x="59"/>
        <item m="1" x="96"/>
        <item m="1" x="134"/>
        <item m="1" x="123"/>
        <item m="1" x="124"/>
        <item m="1" x="165"/>
        <item m="1" x="153"/>
        <item m="1" x="168"/>
        <item m="1" x="188"/>
        <item m="1" x="56"/>
        <item m="1" x="129"/>
        <item m="1" x="146"/>
        <item x="11"/>
        <item x="12"/>
        <item m="1" x="117"/>
        <item m="1" x="139"/>
        <item m="1" x="143"/>
        <item m="1" x="98"/>
        <item m="1" x="138"/>
        <item m="1" x="137"/>
        <item m="1" x="31"/>
        <item m="1" x="68"/>
        <item m="1" x="186"/>
        <item x="13"/>
        <item m="1" x="181"/>
        <item m="1" x="178"/>
        <item m="1" x="40"/>
        <item m="1" x="172"/>
        <item m="1" x="198"/>
        <item x="14"/>
      </items>
    </pivotField>
    <pivotField axis="axisRow" showAll="0">
      <items count="3">
        <item m="1" x="1"/>
        <item x="0"/>
        <item t="default"/>
      </items>
    </pivotField>
    <pivotField axis="axisRow" showAll="0">
      <items count="260">
        <item m="1" x="15"/>
        <item m="1" x="106"/>
        <item m="1" x="193"/>
        <item m="1" x="231"/>
        <item m="1" x="113"/>
        <item m="1" x="226"/>
        <item m="1" x="234"/>
        <item m="1" x="163"/>
        <item m="1" x="210"/>
        <item m="1" x="45"/>
        <item m="1" x="137"/>
        <item m="1" x="221"/>
        <item m="1" x="28"/>
        <item m="1" x="88"/>
        <item m="1" x="101"/>
        <item m="1" x="186"/>
        <item m="1" x="178"/>
        <item m="1" x="30"/>
        <item m="1" x="174"/>
        <item m="1" x="256"/>
        <item m="1" x="102"/>
        <item m="1" x="103"/>
        <item m="1" x="100"/>
        <item m="1" x="246"/>
        <item m="1" x="50"/>
        <item m="1" x="216"/>
        <item m="1" x="99"/>
        <item m="1" x="40"/>
        <item m="1" x="78"/>
        <item m="1" x="67"/>
        <item m="1" x="16"/>
        <item m="1" x="24"/>
        <item m="1" x="58"/>
        <item m="1" x="211"/>
        <item m="1" x="52"/>
        <item m="1" x="19"/>
        <item m="1" x="185"/>
        <item m="1" x="215"/>
        <item m="1" x="53"/>
        <item m="1" x="23"/>
        <item m="1" x="164"/>
        <item m="1" x="18"/>
        <item x="0"/>
        <item m="1" x="219"/>
        <item m="1" x="55"/>
        <item m="1" x="222"/>
        <item m="1" x="250"/>
        <item m="1" x="227"/>
        <item m="1" x="235"/>
        <item m="1" x="150"/>
        <item m="1" x="121"/>
        <item m="1" x="91"/>
        <item m="1" x="36"/>
        <item m="1" x="31"/>
        <item m="1" x="95"/>
        <item m="1" x="218"/>
        <item m="1" x="167"/>
        <item m="1" x="162"/>
        <item m="1" x="41"/>
        <item m="1" x="237"/>
        <item m="1" x="173"/>
        <item m="1" x="196"/>
        <item m="1" x="201"/>
        <item m="1" x="232"/>
        <item m="1" x="25"/>
        <item m="1" x="230"/>
        <item m="1" x="209"/>
        <item m="1" x="51"/>
        <item m="1" x="66"/>
        <item m="1" x="217"/>
        <item m="1" x="110"/>
        <item m="1" x="96"/>
        <item m="1" x="245"/>
        <item m="1" x="213"/>
        <item m="1" x="141"/>
        <item m="1" x="43"/>
        <item m="1" x="149"/>
        <item m="1" x="153"/>
        <item m="1" x="65"/>
        <item m="1" x="27"/>
        <item m="1" x="229"/>
        <item m="1" x="165"/>
        <item m="1" x="156"/>
        <item m="1" x="238"/>
        <item m="1" x="62"/>
        <item m="1" x="131"/>
        <item m="1" x="42"/>
        <item m="1" x="197"/>
        <item m="1" x="257"/>
        <item m="1" x="214"/>
        <item m="1" x="83"/>
        <item m="1" x="26"/>
        <item m="1" x="243"/>
        <item m="1" x="195"/>
        <item m="1" x="142"/>
        <item m="1" x="171"/>
        <item m="1" x="166"/>
        <item m="1" x="258"/>
        <item m="1" x="190"/>
        <item m="1" x="204"/>
        <item m="1" x="114"/>
        <item m="1" x="93"/>
        <item m="1" x="220"/>
        <item m="1" x="224"/>
        <item m="1" x="228"/>
        <item m="1" x="21"/>
        <item m="1" x="202"/>
        <item m="1" x="109"/>
        <item m="1" x="134"/>
        <item m="1" x="35"/>
        <item m="1" x="39"/>
        <item m="1" x="189"/>
        <item m="1" x="64"/>
        <item m="1" x="139"/>
        <item m="1" x="32"/>
        <item m="1" x="54"/>
        <item m="1" x="98"/>
        <item m="1" x="68"/>
        <item m="1" x="168"/>
        <item m="1" x="33"/>
        <item m="1" x="236"/>
        <item m="1" x="117"/>
        <item m="1" x="63"/>
        <item m="1" x="61"/>
        <item m="1" x="104"/>
        <item m="1" x="71"/>
        <item m="1" x="212"/>
        <item m="1" x="207"/>
        <item m="1" x="249"/>
        <item m="1" x="17"/>
        <item m="1" x="181"/>
        <item m="1" x="86"/>
        <item m="1" x="84"/>
        <item m="1" x="240"/>
        <item m="1" x="183"/>
        <item m="1" x="239"/>
        <item m="1" x="254"/>
        <item m="1" x="80"/>
        <item m="1" x="176"/>
        <item m="1" x="143"/>
        <item m="1" x="37"/>
        <item m="1" x="160"/>
        <item m="1" x="129"/>
        <item m="1" x="107"/>
        <item m="1" x="135"/>
        <item m="1" x="205"/>
        <item m="1" x="132"/>
        <item m="1" x="44"/>
        <item m="1" x="92"/>
        <item m="1" x="76"/>
        <item m="1" x="147"/>
        <item m="1" x="199"/>
        <item m="1" x="187"/>
        <item m="1" x="111"/>
        <item m="1" x="122"/>
        <item m="1" x="49"/>
        <item m="1" x="73"/>
        <item m="1" x="198"/>
        <item m="1" x="145"/>
        <item m="1" x="127"/>
        <item m="1" x="47"/>
        <item m="1" x="69"/>
        <item m="1" x="191"/>
        <item m="1" x="157"/>
        <item m="1" x="158"/>
        <item m="1" x="115"/>
        <item m="1" x="29"/>
        <item m="1" x="203"/>
        <item m="1" x="179"/>
        <item m="1" x="94"/>
        <item m="1" x="252"/>
        <item m="1" x="119"/>
        <item m="1" x="72"/>
        <item m="1" x="59"/>
        <item m="1" x="138"/>
        <item m="1" x="56"/>
        <item m="1" x="89"/>
        <item m="1" x="172"/>
        <item m="1" x="118"/>
        <item m="1" x="151"/>
        <item m="1" x="126"/>
        <item m="1" x="194"/>
        <item m="1" x="34"/>
        <item m="1" x="140"/>
        <item m="1" x="116"/>
        <item m="1" x="225"/>
        <item m="1" x="242"/>
        <item m="1" x="105"/>
        <item m="1" x="152"/>
        <item m="1" x="244"/>
        <item m="1" x="247"/>
        <item m="1" x="82"/>
        <item m="1" x="75"/>
        <item m="1" x="20"/>
        <item m="1" x="133"/>
        <item m="1" x="22"/>
        <item m="1" x="155"/>
        <item m="1" x="248"/>
        <item m="1" x="79"/>
        <item m="1" x="233"/>
        <item m="1" x="175"/>
        <item m="1" x="169"/>
        <item m="1" x="124"/>
        <item m="1" x="154"/>
        <item m="1" x="159"/>
        <item m="1" x="90"/>
        <item m="1" x="57"/>
        <item m="1" x="125"/>
        <item m="1" x="60"/>
        <item m="1" x="223"/>
        <item m="1" x="46"/>
        <item m="1" x="251"/>
        <item m="1" x="208"/>
        <item m="1" x="97"/>
        <item x="1"/>
        <item x="2"/>
        <item x="3"/>
        <item x="4"/>
        <item x="5"/>
        <item x="6"/>
        <item x="7"/>
        <item x="8"/>
        <item x="9"/>
        <item x="10"/>
        <item m="1" x="182"/>
        <item m="1" x="87"/>
        <item m="1" x="85"/>
        <item m="1" x="241"/>
        <item m="1" x="184"/>
        <item m="1" x="253"/>
        <item m="1" x="255"/>
        <item m="1" x="81"/>
        <item m="1" x="177"/>
        <item m="1" x="144"/>
        <item m="1" x="38"/>
        <item m="1" x="161"/>
        <item m="1" x="130"/>
        <item m="1" x="108"/>
        <item m="1" x="136"/>
        <item m="1" x="206"/>
        <item m="1" x="170"/>
        <item x="11"/>
        <item x="12"/>
        <item m="1" x="180"/>
        <item m="1" x="77"/>
        <item m="1" x="148"/>
        <item m="1" x="200"/>
        <item m="1" x="188"/>
        <item m="1" x="112"/>
        <item m="1" x="123"/>
        <item m="1" x="120"/>
        <item m="1" x="74"/>
        <item x="13"/>
        <item m="1" x="146"/>
        <item m="1" x="128"/>
        <item m="1" x="48"/>
        <item m="1" x="70"/>
        <item m="1" x="192"/>
        <item x="14"/>
        <item t="default"/>
      </items>
    </pivotField>
    <pivotField axis="axisRow" showAll="0">
      <items count="3">
        <item m="1" x="1"/>
        <item x="0"/>
        <item t="default"/>
      </items>
    </pivotField>
    <pivotField axis="axisRow" showAll="0">
      <items count="270">
        <item m="1" x="19"/>
        <item m="1" x="158"/>
        <item m="1" x="208"/>
        <item m="1" x="230"/>
        <item m="1" x="255"/>
        <item m="1" x="123"/>
        <item m="1" x="194"/>
        <item m="1" x="258"/>
        <item m="1" x="202"/>
        <item m="1" x="66"/>
        <item m="1" x="75"/>
        <item m="1" x="87"/>
        <item m="1" x="212"/>
        <item m="1" x="160"/>
        <item m="1" x="161"/>
        <item m="1" x="40"/>
        <item m="1" x="42"/>
        <item m="1" x="224"/>
        <item m="1" x="142"/>
        <item m="1" x="99"/>
        <item m="1" x="225"/>
        <item m="1" x="209"/>
        <item m="1" x="235"/>
        <item m="1" x="191"/>
        <item m="1" x="241"/>
        <item m="1" x="231"/>
        <item m="1" x="256"/>
        <item m="1" x="74"/>
        <item m="1" x="159"/>
        <item m="1" x="36"/>
        <item m="1" x="71"/>
        <item m="1" x="98"/>
        <item m="1" x="193"/>
        <item m="1" x="199"/>
        <item m="1" x="134"/>
        <item m="1" x="108"/>
        <item m="1" x="249"/>
        <item m="1" x="211"/>
        <item m="1" x="114"/>
        <item m="1" x="257"/>
        <item m="1" x="260"/>
        <item m="1" x="153"/>
        <item x="0"/>
        <item m="1" x="121"/>
        <item m="1" x="169"/>
        <item m="1" x="175"/>
        <item m="1" x="109"/>
        <item m="1" x="64"/>
        <item m="1" x="236"/>
        <item m="1" x="240"/>
        <item m="1" x="27"/>
        <item m="1" x="219"/>
        <item m="1" x="139"/>
        <item m="1" x="221"/>
        <item m="1" x="47"/>
        <item m="1" x="102"/>
        <item m="1" x="172"/>
        <item m="1" x="72"/>
        <item m="1" x="48"/>
        <item m="1" x="192"/>
        <item m="1" x="115"/>
        <item m="1" x="242"/>
        <item m="1" x="133"/>
        <item m="1" x="261"/>
        <item m="1" x="226"/>
        <item m="1" x="179"/>
        <item m="1" x="132"/>
        <item m="1" x="56"/>
        <item m="1" x="105"/>
        <item m="1" x="59"/>
        <item m="1" x="76"/>
        <item m="1" x="197"/>
        <item m="1" x="203"/>
        <item m="1" x="94"/>
        <item m="1" x="49"/>
        <item m="1" x="60"/>
        <item m="1" x="149"/>
        <item m="1" x="176"/>
        <item m="1" x="20"/>
        <item m="1" x="21"/>
        <item m="1" x="259"/>
        <item m="1" x="126"/>
        <item m="1" x="265"/>
        <item m="1" x="145"/>
        <item m="1" x="198"/>
        <item m="1" x="162"/>
        <item m="1" x="166"/>
        <item m="1" x="165"/>
        <item m="1" x="95"/>
        <item m="1" x="210"/>
        <item m="1" x="173"/>
        <item m="1" x="143"/>
        <item m="1" x="90"/>
        <item m="1" x="120"/>
        <item m="1" x="55"/>
        <item m="1" x="214"/>
        <item m="1" x="43"/>
        <item m="1" x="227"/>
        <item m="1" x="24"/>
        <item m="1" x="44"/>
        <item m="1" x="61"/>
        <item m="1" x="144"/>
        <item m="1" x="190"/>
        <item m="1" x="237"/>
        <item m="1" x="254"/>
        <item m="1" x="250"/>
        <item m="1" x="118"/>
        <item m="1" x="229"/>
        <item m="1" x="195"/>
        <item m="1" x="178"/>
        <item m="1" x="67"/>
        <item m="1" x="23"/>
        <item m="1" x="234"/>
        <item m="1" x="148"/>
        <item m="1" x="30"/>
        <item m="1" x="65"/>
        <item m="1" x="245"/>
        <item m="1" x="177"/>
        <item m="1" x="220"/>
        <item m="1" x="131"/>
        <item m="1" x="130"/>
        <item m="1" x="150"/>
        <item m="1" x="29"/>
        <item m="1" x="238"/>
        <item m="1" x="186"/>
        <item m="1" x="62"/>
        <item m="1" x="119"/>
        <item m="1" x="207"/>
        <item m="1" x="183"/>
        <item m="1" x="68"/>
        <item m="1" x="128"/>
        <item m="1" x="83"/>
        <item m="1" x="135"/>
        <item m="1" x="112"/>
        <item m="1" x="31"/>
        <item m="1" x="156"/>
        <item m="1" x="243"/>
        <item m="1" x="34"/>
        <item m="1" x="78"/>
        <item m="1" x="188"/>
        <item m="1" x="184"/>
        <item m="1" x="263"/>
        <item m="1" x="154"/>
        <item m="1" x="222"/>
        <item m="1" x="106"/>
        <item m="1" x="163"/>
        <item m="1" x="171"/>
        <item m="1" x="213"/>
        <item m="1" x="86"/>
        <item m="1" x="45"/>
        <item m="1" x="96"/>
        <item m="1" x="266"/>
        <item m="1" x="146"/>
        <item m="1" x="247"/>
        <item m="1" x="79"/>
        <item m="1" x="51"/>
        <item m="1" x="181"/>
        <item m="1" x="63"/>
        <item m="1" x="124"/>
        <item m="1" x="151"/>
        <item m="1" x="103"/>
        <item m="1" x="116"/>
        <item m="1" x="92"/>
        <item m="1" x="69"/>
        <item m="1" x="88"/>
        <item m="1" x="89"/>
        <item m="1" x="251"/>
        <item m="1" x="28"/>
        <item m="1" x="33"/>
        <item m="1" x="174"/>
        <item m="1" x="167"/>
        <item m="1" x="52"/>
        <item m="1" x="53"/>
        <item m="1" x="215"/>
        <item m="1" x="205"/>
        <item m="1" x="252"/>
        <item m="1" x="180"/>
        <item m="1" x="100"/>
        <item m="1" x="101"/>
        <item m="1" x="228"/>
        <item m="1" x="216"/>
        <item m="1" x="137"/>
        <item m="1" x="232"/>
        <item m="1" x="127"/>
        <item m="1" x="122"/>
        <item m="1" x="77"/>
        <item m="1" x="140"/>
        <item m="1" x="239"/>
        <item m="1" x="110"/>
        <item m="1" x="187"/>
        <item m="1" x="91"/>
        <item m="1" x="54"/>
        <item m="1" x="57"/>
        <item m="1" x="170"/>
        <item m="1" x="262"/>
        <item m="1" x="37"/>
        <item m="1" x="50"/>
        <item m="1" x="58"/>
        <item m="1" x="217"/>
        <item m="1" x="246"/>
        <item m="1" x="268"/>
        <item m="1" x="157"/>
        <item m="1" x="25"/>
        <item m="1" x="201"/>
        <item m="1" x="26"/>
        <item m="1" x="196"/>
        <item m="1" x="111"/>
        <item m="1" x="39"/>
        <item m="1" x="41"/>
        <item m="1" x="200"/>
        <item m="1" x="70"/>
        <item m="1" x="38"/>
        <item m="1" x="85"/>
        <item m="1" x="138"/>
        <item m="1" x="233"/>
        <item m="1" x="218"/>
        <item m="1" x="204"/>
        <item m="1" x="82"/>
        <item m="1" x="141"/>
        <item m="1" x="22"/>
        <item x="1"/>
        <item x="2"/>
        <item x="3"/>
        <item x="4"/>
        <item x="5"/>
        <item x="6"/>
        <item x="7"/>
        <item x="8"/>
        <item x="9"/>
        <item x="10"/>
        <item x="11"/>
        <item x="12"/>
        <item x="13"/>
        <item m="1" x="129"/>
        <item m="1" x="84"/>
        <item m="1" x="136"/>
        <item m="1" x="113"/>
        <item m="1" x="32"/>
        <item m="1" x="206"/>
        <item m="1" x="244"/>
        <item m="1" x="35"/>
        <item m="1" x="80"/>
        <item m="1" x="189"/>
        <item m="1" x="185"/>
        <item m="1" x="264"/>
        <item m="1" x="155"/>
        <item m="1" x="223"/>
        <item m="1" x="107"/>
        <item m="1" x="164"/>
        <item m="1" x="73"/>
        <item x="14"/>
        <item x="15"/>
        <item m="1" x="168"/>
        <item m="1" x="46"/>
        <item m="1" x="97"/>
        <item m="1" x="267"/>
        <item m="1" x="147"/>
        <item m="1" x="248"/>
        <item m="1" x="81"/>
        <item m="1" x="253"/>
        <item m="1" x="182"/>
        <item x="17"/>
        <item m="1" x="125"/>
        <item m="1" x="152"/>
        <item m="1" x="104"/>
        <item m="1" x="117"/>
        <item m="1" x="93"/>
        <item x="16"/>
        <item x="18"/>
        <item t="default"/>
      </items>
    </pivotField>
    <pivotField axis="axisRow" showAll="0">
      <items count="5">
        <item m="1" x="1"/>
        <item x="0"/>
        <item m="1" x="2"/>
        <item m="1" x="3"/>
        <item t="default"/>
      </items>
    </pivotField>
    <pivotField axis="axisRow" showAll="0">
      <items count="48">
        <item m="1" x="1"/>
        <item x="0"/>
        <item m="1" x="22"/>
        <item m="1" x="11"/>
        <item m="1" x="12"/>
        <item m="1" x="5"/>
        <item m="1" x="34"/>
        <item m="1" x="24"/>
        <item m="1" x="37"/>
        <item m="1" x="2"/>
        <item m="1" x="36"/>
        <item m="1" x="44"/>
        <item m="1" x="21"/>
        <item m="1" x="41"/>
        <item m="1" x="32"/>
        <item m="1" x="38"/>
        <item m="1" x="35"/>
        <item m="1" x="46"/>
        <item m="1" x="18"/>
        <item m="1" x="45"/>
        <item m="1" x="43"/>
        <item m="1" x="19"/>
        <item m="1" x="14"/>
        <item m="1" x="42"/>
        <item m="1" x="15"/>
        <item m="1" x="16"/>
        <item m="1" x="9"/>
        <item m="1" x="30"/>
        <item m="1" x="17"/>
        <item m="1" x="33"/>
        <item m="1" x="25"/>
        <item m="1" x="28"/>
        <item m="1" x="4"/>
        <item m="1" x="23"/>
        <item m="1" x="29"/>
        <item m="1" x="26"/>
        <item m="1" x="3"/>
        <item m="1" x="7"/>
        <item m="1" x="27"/>
        <item m="1" x="40"/>
        <item m="1" x="20"/>
        <item m="1" x="8"/>
        <item m="1" x="10"/>
        <item m="1" x="31"/>
        <item m="1" x="13"/>
        <item m="1" x="39"/>
        <item m="1" x="6"/>
        <item t="default"/>
      </items>
    </pivotField>
    <pivotField axis="axisRow" showAll="0">
      <items count="4">
        <item m="1" x="1"/>
        <item x="0"/>
        <item m="1" x="2"/>
        <item t="default"/>
      </items>
    </pivotField>
    <pivotField axis="axisRow" showAll="0">
      <items count="48">
        <item m="1" x="1"/>
        <item x="0"/>
        <item m="1" x="26"/>
        <item m="1" x="22"/>
        <item m="1" x="10"/>
        <item m="1" x="41"/>
        <item m="1" x="38"/>
        <item m="1" x="25"/>
        <item m="1" x="9"/>
        <item m="1" x="35"/>
        <item m="1" x="33"/>
        <item m="1" x="24"/>
        <item m="1" x="42"/>
        <item m="1" x="34"/>
        <item m="1" x="37"/>
        <item m="1" x="7"/>
        <item m="1" x="19"/>
        <item m="1" x="44"/>
        <item m="1" x="4"/>
        <item m="1" x="3"/>
        <item m="1" x="28"/>
        <item m="1" x="32"/>
        <item m="1" x="36"/>
        <item m="1" x="31"/>
        <item m="1" x="6"/>
        <item m="1" x="2"/>
        <item m="1" x="39"/>
        <item m="1" x="13"/>
        <item m="1" x="16"/>
        <item m="1" x="14"/>
        <item m="1" x="15"/>
        <item m="1" x="21"/>
        <item m="1" x="8"/>
        <item m="1" x="45"/>
        <item m="1" x="30"/>
        <item m="1" x="43"/>
        <item m="1" x="11"/>
        <item m="1" x="29"/>
        <item m="1" x="40"/>
        <item m="1" x="20"/>
        <item m="1" x="23"/>
        <item m="1" x="5"/>
        <item m="1" x="12"/>
        <item m="1" x="46"/>
        <item m="1" x="18"/>
        <item m="1" x="17"/>
        <item m="1" x="27"/>
        <item t="default"/>
      </items>
    </pivotField>
    <pivotField axis="axisRow" showAll="0">
      <items count="3">
        <item m="1" x="1"/>
        <item x="0"/>
        <item t="default"/>
      </items>
    </pivotField>
    <pivotField axis="axisRow" showAll="0">
      <items count="185">
        <item m="1" x="12"/>
        <item x="0"/>
        <item m="1" x="164"/>
        <item m="1" x="174"/>
        <item m="1" x="13"/>
        <item m="1" x="14"/>
        <item m="1" x="18"/>
        <item m="1" x="27"/>
        <item m="1" x="130"/>
        <item m="1" x="165"/>
        <item m="1" x="166"/>
        <item m="1" x="167"/>
        <item m="1" x="168"/>
        <item m="1" x="113"/>
        <item m="1" x="83"/>
        <item m="1" x="169"/>
        <item m="1" x="131"/>
        <item m="1" x="132"/>
        <item m="1" x="88"/>
        <item m="1" x="114"/>
        <item m="1" x="115"/>
        <item m="1" x="170"/>
        <item m="1" x="171"/>
        <item m="1" x="175"/>
        <item m="1" x="176"/>
        <item m="1" x="177"/>
        <item m="1" x="100"/>
        <item m="1" x="104"/>
        <item m="1" x="101"/>
        <item m="1" x="75"/>
        <item m="1" x="127"/>
        <item m="1" x="111"/>
        <item m="1" x="76"/>
        <item m="1" x="128"/>
        <item m="1" x="28"/>
        <item m="1" x="77"/>
        <item m="1" x="102"/>
        <item m="1" x="103"/>
        <item m="1" x="43"/>
        <item m="1" x="145"/>
        <item m="1" x="141"/>
        <item m="1" x="138"/>
        <item m="1" x="139"/>
        <item m="1" x="137"/>
        <item m="1" x="136"/>
        <item m="1" x="155"/>
        <item m="1" x="146"/>
        <item m="1" x="147"/>
        <item m="1" x="148"/>
        <item m="1" x="149"/>
        <item m="1" x="160"/>
        <item m="1" x="84"/>
        <item m="1" x="150"/>
        <item m="1" x="156"/>
        <item m="1" x="157"/>
        <item m="1" x="66"/>
        <item m="1" x="161"/>
        <item m="1" x="162"/>
        <item m="1" x="151"/>
        <item m="1" x="152"/>
        <item m="1" x="142"/>
        <item m="1" x="143"/>
        <item m="1" x="144"/>
        <item m="1" x="153"/>
        <item m="1" x="163"/>
        <item m="1" x="140"/>
        <item m="1" x="85"/>
        <item m="1" x="16"/>
        <item m="1" x="172"/>
        <item m="1" x="86"/>
        <item m="1" x="17"/>
        <item m="1" x="173"/>
        <item m="1" x="87"/>
        <item m="1" x="158"/>
        <item m="1" x="159"/>
        <item m="1" x="15"/>
        <item m="1" x="94"/>
        <item m="1" x="95"/>
        <item m="1" x="78"/>
        <item m="1" x="79"/>
        <item m="1" x="44"/>
        <item m="1" x="21"/>
        <item m="1" x="178"/>
        <item m="1" x="179"/>
        <item m="1" x="129"/>
        <item m="1" x="96"/>
        <item m="1" x="69"/>
        <item m="1" x="45"/>
        <item m="1" x="46"/>
        <item m="1" x="47"/>
        <item m="1" x="48"/>
        <item m="1" x="97"/>
        <item m="1" x="70"/>
        <item m="1" x="49"/>
        <item m="1" x="71"/>
        <item m="1" x="72"/>
        <item m="1" x="20"/>
        <item m="1" x="98"/>
        <item m="1" x="99"/>
        <item m="1" x="50"/>
        <item m="1" x="51"/>
        <item m="1" x="22"/>
        <item m="1" x="23"/>
        <item m="1" x="24"/>
        <item m="1" x="52"/>
        <item m="1" x="105"/>
        <item m="1" x="108"/>
        <item m="1" x="25"/>
        <item m="1" x="109"/>
        <item m="1" x="26"/>
        <item m="1" x="53"/>
        <item m="1" x="110"/>
        <item m="1" x="73"/>
        <item m="1" x="74"/>
        <item m="1" x="57"/>
        <item m="1" x="90"/>
        <item m="1" x="134"/>
        <item m="1" x="135"/>
        <item m="1" x="183"/>
        <item m="1" x="35"/>
        <item m="1" x="29"/>
        <item m="1" x="58"/>
        <item m="1" x="59"/>
        <item m="1" x="60"/>
        <item m="1" x="61"/>
        <item m="1" x="180"/>
        <item m="1" x="30"/>
        <item m="1" x="62"/>
        <item m="1" x="31"/>
        <item m="1" x="32"/>
        <item m="1" x="126"/>
        <item m="1" x="181"/>
        <item m="1" x="182"/>
        <item m="1" x="63"/>
        <item m="1" x="64"/>
        <item m="1" x="91"/>
        <item m="1" x="92"/>
        <item m="1" x="93"/>
        <item m="1" x="65"/>
        <item m="1" x="89"/>
        <item m="1" x="80"/>
        <item m="1" x="106"/>
        <item m="1" x="81"/>
        <item m="1" x="107"/>
        <item m="1" x="133"/>
        <item m="1" x="82"/>
        <item m="1" x="33"/>
        <item m="1" x="34"/>
        <item x="1"/>
        <item x="2"/>
        <item x="3"/>
        <item x="4"/>
        <item x="5"/>
        <item x="6"/>
        <item x="7"/>
        <item x="8"/>
        <item x="9"/>
        <item m="1" x="119"/>
        <item m="1" x="120"/>
        <item m="1" x="121"/>
        <item m="1" x="122"/>
        <item m="1" x="116"/>
        <item m="1" x="36"/>
        <item m="1" x="123"/>
        <item m="1" x="37"/>
        <item m="1" x="38"/>
        <item m="1" x="154"/>
        <item m="1" x="117"/>
        <item m="1" x="118"/>
        <item m="1" x="124"/>
        <item m="1" x="125"/>
        <item m="1" x="41"/>
        <item m="1" x="42"/>
        <item x="10"/>
        <item x="11"/>
        <item m="1" x="112"/>
        <item m="1" x="54"/>
        <item m="1" x="67"/>
        <item m="1" x="55"/>
        <item m="1" x="68"/>
        <item m="1" x="19"/>
        <item m="1" x="56"/>
        <item m="1" x="39"/>
        <item m="1" x="40"/>
        <item t="default"/>
      </items>
    </pivotField>
    <pivotField axis="axisRow" showAll="0">
      <items count="241">
        <item m="1" x="44"/>
        <item m="1" x="205"/>
        <item m="1" x="201"/>
        <item m="1" x="228"/>
        <item m="1" x="168"/>
        <item m="1" x="108"/>
        <item m="1" x="107"/>
        <item m="1" x="137"/>
        <item m="1" x="118"/>
        <item m="1" x="206"/>
        <item m="1" x="207"/>
        <item m="1" x="52"/>
        <item m="1" x="179"/>
        <item m="1" x="150"/>
        <item m="1" x="157"/>
        <item m="1" x="234"/>
        <item m="1" x="235"/>
        <item m="1" x="57"/>
        <item m="1" x="215"/>
        <item m="1" x="223"/>
        <item m="1" x="194"/>
        <item m="1" x="232"/>
        <item m="1" x="138"/>
        <item m="1" x="148"/>
        <item m="1" x="130"/>
        <item m="1" x="173"/>
        <item m="1" x="119"/>
        <item m="1" x="237"/>
        <item m="1" x="99"/>
        <item m="1" x="73"/>
        <item m="1" x="135"/>
        <item m="1" x="131"/>
        <item m="1" x="238"/>
        <item m="1" x="122"/>
        <item m="1" x="226"/>
        <item m="1" x="212"/>
        <item m="1" x="203"/>
        <item m="1" x="193"/>
        <item m="1" x="178"/>
        <item m="1" x="58"/>
        <item m="1" x="59"/>
        <item x="0"/>
        <item m="1" x="126"/>
        <item m="1" x="156"/>
        <item m="1" x="112"/>
        <item m="1" x="78"/>
        <item m="1" x="133"/>
        <item m="1" x="146"/>
        <item m="1" x="64"/>
        <item m="1" x="151"/>
        <item m="1" x="127"/>
        <item m="1" x="128"/>
        <item m="1" x="189"/>
        <item m="1" x="140"/>
        <item m="1" x="50"/>
        <item m="1" x="171"/>
        <item m="1" x="210"/>
        <item m="1" x="211"/>
        <item m="1" x="61"/>
        <item m="1" x="90"/>
        <item m="1" x="105"/>
        <item m="1" x="62"/>
        <item m="1" x="103"/>
        <item m="1" x="65"/>
        <item m="1" x="213"/>
        <item m="1" x="197"/>
        <item m="1" x="152"/>
        <item m="1" x="195"/>
        <item m="1" x="125"/>
        <item m="1" x="124"/>
        <item m="1" x="129"/>
        <item m="1" x="147"/>
        <item m="1" x="174"/>
        <item m="1" x="66"/>
        <item m="1" x="214"/>
        <item m="1" x="87"/>
        <item m="1" x="136"/>
        <item m="1" x="63"/>
        <item m="1" x="81"/>
        <item m="1" x="220"/>
        <item m="1" x="221"/>
        <item m="1" x="74"/>
        <item m="1" x="202"/>
        <item m="1" x="46"/>
        <item m="1" x="72"/>
        <item m="1" x="49"/>
        <item m="1" x="216"/>
        <item m="1" x="161"/>
        <item m="1" x="47"/>
        <item m="1" x="75"/>
        <item m="1" x="76"/>
        <item m="1" x="111"/>
        <item m="1" x="153"/>
        <item m="1" x="121"/>
        <item m="1" x="67"/>
        <item m="1" x="116"/>
        <item m="1" x="117"/>
        <item m="1" x="204"/>
        <item m="1" x="80"/>
        <item m="1" x="217"/>
        <item m="1" x="199"/>
        <item m="1" x="45"/>
        <item m="1" x="162"/>
        <item m="1" x="187"/>
        <item m="1" x="190"/>
        <item m="1" x="53"/>
        <item m="1" x="222"/>
        <item m="1" x="100"/>
        <item m="1" x="98"/>
        <item m="1" x="91"/>
        <item m="1" x="77"/>
        <item m="1" x="227"/>
        <item m="1" x="175"/>
        <item m="1" x="142"/>
        <item m="1" x="172"/>
        <item m="1" x="85"/>
        <item m="1" x="184"/>
        <item m="1" x="149"/>
        <item m="1" x="154"/>
        <item m="1" x="155"/>
        <item m="1" x="180"/>
        <item m="1" x="115"/>
        <item m="1" x="68"/>
        <item m="1" x="71"/>
        <item m="1" x="166"/>
        <item m="1" x="139"/>
        <item m="1" x="55"/>
        <item m="1" x="230"/>
        <item m="1" x="181"/>
        <item m="1" x="182"/>
        <item m="1" x="198"/>
        <item m="1" x="191"/>
        <item m="1" x="200"/>
        <item m="1" x="236"/>
        <item m="1" x="185"/>
        <item m="1" x="186"/>
        <item m="1" x="109"/>
        <item m="1" x="144"/>
        <item m="1" x="106"/>
        <item m="1" x="102"/>
        <item m="1" x="101"/>
        <item m="1" x="56"/>
        <item m="1" x="177"/>
        <item m="1" x="159"/>
        <item m="1" x="231"/>
        <item m="1" x="218"/>
        <item m="1" x="123"/>
        <item m="1" x="188"/>
        <item m="1" x="169"/>
        <item m="1" x="120"/>
        <item m="1" x="229"/>
        <item m="1" x="86"/>
        <item m="1" x="225"/>
        <item m="1" x="84"/>
        <item m="1" x="160"/>
        <item m="1" x="94"/>
        <item m="1" x="54"/>
        <item m="1" x="96"/>
        <item m="1" x="97"/>
        <item m="1" x="88"/>
        <item x="2"/>
        <item x="3"/>
        <item m="1" x="95"/>
        <item x="1"/>
        <item m="1" x="51"/>
        <item m="1" x="233"/>
        <item m="1" x="143"/>
        <item m="1" x="192"/>
        <item m="1" x="176"/>
        <item x="4"/>
        <item x="5"/>
        <item x="6"/>
        <item x="7"/>
        <item x="8"/>
        <item x="9"/>
        <item x="10"/>
        <item x="11"/>
        <item m="1" x="60"/>
        <item m="1" x="163"/>
        <item m="1" x="164"/>
        <item m="1" x="89"/>
        <item m="1" x="104"/>
        <item m="1" x="48"/>
        <item m="1" x="158"/>
        <item m="1" x="92"/>
        <item m="1" x="93"/>
        <item m="1" x="114"/>
        <item m="1" x="167"/>
        <item m="1" x="239"/>
        <item m="1" x="113"/>
        <item m="1" x="145"/>
        <item m="1" x="224"/>
        <item m="1" x="110"/>
        <item x="31"/>
        <item x="32"/>
        <item m="1" x="183"/>
        <item m="1" x="134"/>
        <item m="1" x="132"/>
        <item m="1" x="170"/>
        <item m="1" x="79"/>
        <item m="1" x="209"/>
        <item m="1" x="208"/>
        <item m="1" x="219"/>
        <item x="42"/>
        <item m="1" x="83"/>
        <item m="1" x="196"/>
        <item m="1" x="141"/>
        <item m="1" x="69"/>
        <item m="1" x="70"/>
        <item x="12"/>
        <item x="13"/>
        <item x="14"/>
        <item x="15"/>
        <item x="16"/>
        <item x="17"/>
        <item x="18"/>
        <item x="19"/>
        <item x="20"/>
        <item x="21"/>
        <item x="22"/>
        <item x="23"/>
        <item x="24"/>
        <item x="25"/>
        <item x="26"/>
        <item x="27"/>
        <item x="28"/>
        <item x="29"/>
        <item m="1" x="165"/>
        <item x="33"/>
        <item x="34"/>
        <item x="35"/>
        <item x="36"/>
        <item m="1" x="82"/>
        <item x="38"/>
        <item x="39"/>
        <item x="40"/>
        <item x="41"/>
        <item x="30"/>
        <item x="37"/>
        <item x="43"/>
        <item t="default"/>
      </items>
    </pivotField>
    <pivotField axis="axisRow" showAll="0">
      <items count="3">
        <item m="1" x="1"/>
        <item x="0"/>
        <item t="default"/>
      </items>
    </pivotField>
    <pivotField axis="axisRow" showAll="0">
      <items count="33">
        <item m="1" x="4"/>
        <item m="1" x="20"/>
        <item m="1" x="18"/>
        <item m="1" x="5"/>
        <item m="1" x="8"/>
        <item m="1" x="6"/>
        <item m="1" x="25"/>
        <item m="1" x="17"/>
        <item m="1" x="31"/>
        <item x="0"/>
        <item m="1" x="19"/>
        <item m="1" x="7"/>
        <item m="1" x="26"/>
        <item m="1" x="9"/>
        <item m="1" x="15"/>
        <item m="1" x="10"/>
        <item m="1" x="16"/>
        <item m="1" x="11"/>
        <item m="1" x="13"/>
        <item m="1" x="14"/>
        <item m="1" x="22"/>
        <item m="1" x="12"/>
        <item m="1" x="21"/>
        <item m="1" x="27"/>
        <item m="1" x="29"/>
        <item m="1" x="23"/>
        <item m="1" x="28"/>
        <item m="1" x="30"/>
        <item m="1" x="24"/>
        <item x="1"/>
        <item x="2"/>
        <item x="3"/>
        <item t="default"/>
      </items>
    </pivotField>
    <pivotField axis="axisRow" showAll="0">
      <items count="10">
        <item m="1" x="1"/>
        <item m="1" x="8"/>
        <item m="1" x="3"/>
        <item m="1" x="2"/>
        <item x="0"/>
        <item m="1" x="5"/>
        <item m="1" x="4"/>
        <item m="1" x="6"/>
        <item m="1" x="7"/>
        <item t="default"/>
      </items>
    </pivotField>
    <pivotField axis="axisRow" showAll="0">
      <items count="610">
        <item m="1" x="34"/>
        <item m="1" x="607"/>
        <item m="1" x="49"/>
        <item m="1" x="569"/>
        <item m="1" x="389"/>
        <item m="1" x="205"/>
        <item m="1" x="439"/>
        <item m="1" x="319"/>
        <item m="1" x="438"/>
        <item m="1" x="564"/>
        <item m="1" x="508"/>
        <item m="1" x="383"/>
        <item m="1" x="126"/>
        <item m="1" x="35"/>
        <item m="1" x="36"/>
        <item m="1" x="288"/>
        <item m="1" x="340"/>
        <item m="1" x="471"/>
        <item m="1" x="283"/>
        <item m="1" x="258"/>
        <item m="1" x="358"/>
        <item m="1" x="578"/>
        <item m="1" x="321"/>
        <item m="1" x="394"/>
        <item m="1" x="490"/>
        <item m="1" x="345"/>
        <item m="1" x="487"/>
        <item m="1" x="499"/>
        <item m="1" x="572"/>
        <item m="1" x="485"/>
        <item m="1" x="350"/>
        <item m="1" x="145"/>
        <item m="1" x="497"/>
        <item m="1" x="274"/>
        <item m="1" x="220"/>
        <item m="1" x="269"/>
        <item m="1" x="403"/>
        <item m="1" x="459"/>
        <item m="1" x="491"/>
        <item m="1" x="120"/>
        <item m="1" x="119"/>
        <item m="1" x="580"/>
        <item m="1" x="393"/>
        <item m="1" x="467"/>
        <item m="1" x="239"/>
        <item m="1" x="434"/>
        <item m="1" x="466"/>
        <item m="1" x="511"/>
        <item m="1" x="77"/>
        <item m="1" x="346"/>
        <item m="1" x="209"/>
        <item m="1" x="384"/>
        <item m="1" x="406"/>
        <item m="1" x="432"/>
        <item m="1" x="474"/>
        <item m="1" x="241"/>
        <item m="1" x="423"/>
        <item m="1" x="135"/>
        <item m="1" x="351"/>
        <item m="1" x="359"/>
        <item m="1" x="204"/>
        <item m="1" x="550"/>
        <item m="1" x="259"/>
        <item m="1" x="509"/>
        <item m="1" x="180"/>
        <item m="1" x="571"/>
        <item m="1" x="156"/>
        <item m="1" x="475"/>
        <item m="1" x="379"/>
        <item m="1" x="244"/>
        <item m="1" x="570"/>
        <item m="1" x="122"/>
        <item m="1" x="419"/>
        <item m="1" x="192"/>
        <item m="1" x="562"/>
        <item m="1" x="451"/>
        <item m="1" x="316"/>
        <item m="1" x="343"/>
        <item m="1" x="95"/>
        <item m="1" x="149"/>
        <item m="1" x="297"/>
        <item m="1" x="428"/>
        <item m="1" x="54"/>
        <item m="1" x="163"/>
        <item m="1" x="482"/>
        <item m="1" x="131"/>
        <item m="1" x="598"/>
        <item m="1" x="103"/>
        <item m="1" x="58"/>
        <item m="1" x="452"/>
        <item m="1" x="158"/>
        <item m="1" x="444"/>
        <item m="1" x="563"/>
        <item m="1" x="59"/>
        <item m="1" x="74"/>
        <item m="1" x="492"/>
        <item x="0"/>
        <item m="1" x="38"/>
        <item m="1" x="261"/>
        <item m="1" x="464"/>
        <item m="1" x="189"/>
        <item m="1" x="46"/>
        <item m="1" x="171"/>
        <item m="1" x="337"/>
        <item m="1" x="186"/>
        <item m="1" x="112"/>
        <item m="1" x="109"/>
        <item m="1" x="110"/>
        <item m="1" x="270"/>
        <item m="1" x="62"/>
        <item m="1" x="540"/>
        <item m="1" x="167"/>
        <item m="1" x="73"/>
        <item m="1" x="489"/>
        <item m="1" x="208"/>
        <item m="1" x="527"/>
        <item m="1" x="505"/>
        <item m="1" x="178"/>
        <item m="1" x="504"/>
        <item m="1" x="525"/>
        <item m="1" x="585"/>
        <item m="1" x="197"/>
        <item m="1" x="228"/>
        <item m="1" x="63"/>
        <item m="1" x="335"/>
        <item m="1" x="111"/>
        <item m="1" x="532"/>
        <item m="1" x="52"/>
        <item m="1" x="61"/>
        <item m="1" x="582"/>
        <item m="1" x="53"/>
        <item m="1" x="47"/>
        <item m="1" x="542"/>
        <item m="1" x="331"/>
        <item m="1" x="388"/>
        <item m="1" x="352"/>
        <item m="1" x="460"/>
        <item m="1" x="48"/>
        <item m="1" x="362"/>
        <item m="1" x="182"/>
        <item m="1" x="589"/>
        <item m="1" x="344"/>
        <item m="1" x="234"/>
        <item m="1" x="57"/>
        <item m="1" x="250"/>
        <item m="1" x="544"/>
        <item m="1" x="223"/>
        <item m="1" x="245"/>
        <item m="1" x="153"/>
        <item m="1" x="90"/>
        <item m="1" x="224"/>
        <item m="1" x="326"/>
        <item m="1" x="96"/>
        <item m="1" x="445"/>
        <item m="1" x="378"/>
        <item m="1" x="39"/>
        <item m="1" x="588"/>
        <item m="1" x="520"/>
        <item m="1" x="118"/>
        <item m="1" x="247"/>
        <item m="1" x="265"/>
        <item m="1" x="587"/>
        <item m="1" x="164"/>
        <item m="1" x="177"/>
        <item m="1" x="590"/>
        <item m="1" x="93"/>
        <item m="1" x="536"/>
        <item m="1" x="218"/>
        <item m="1" x="447"/>
        <item m="1" x="42"/>
        <item m="1" x="515"/>
        <item m="1" x="516"/>
        <item m="1" x="67"/>
        <item m="1" x="534"/>
        <item m="1" x="99"/>
        <item m="1" x="188"/>
        <item m="1" x="418"/>
        <item m="1" x="290"/>
        <item m="1" x="161"/>
        <item m="1" x="478"/>
        <item m="1" x="547"/>
        <item m="1" x="368"/>
        <item m="1" x="512"/>
        <item m="1" x="246"/>
        <item m="1" x="165"/>
        <item m="1" x="551"/>
        <item m="1" x="426"/>
        <item m="1" x="262"/>
        <item m="1" x="483"/>
        <item m="1" x="558"/>
        <item m="1" x="341"/>
        <item m="1" x="420"/>
        <item m="1" x="367"/>
        <item m="1" x="132"/>
        <item m="1" x="513"/>
        <item m="1" x="157"/>
        <item m="1" x="602"/>
        <item m="1" x="409"/>
        <item m="1" x="575"/>
        <item m="1" x="355"/>
        <item m="1" x="81"/>
        <item m="1" x="194"/>
        <item m="1" x="154"/>
        <item m="1" x="104"/>
        <item m="1" x="191"/>
        <item m="1" x="237"/>
        <item m="1" x="293"/>
        <item m="1" x="425"/>
        <item m="1" x="166"/>
        <item m="1" x="470"/>
        <item m="1" x="477"/>
        <item m="1" x="456"/>
        <item m="1" x="147"/>
        <item m="1" x="429"/>
        <item m="1" x="422"/>
        <item m="1" x="577"/>
        <item m="1" x="307"/>
        <item m="1" x="365"/>
        <item m="1" x="56"/>
        <item m="1" x="229"/>
        <item m="1" x="64"/>
        <item m="1" x="107"/>
        <item m="1" x="592"/>
        <item m="1" x="116"/>
        <item m="1" x="123"/>
        <item m="1" x="238"/>
        <item m="1" x="308"/>
        <item m="1" x="155"/>
        <item m="1" x="354"/>
        <item m="1" x="503"/>
        <item m="1" x="473"/>
        <item m="1" x="401"/>
        <item m="1" x="309"/>
        <item m="1" x="193"/>
        <item m="1" x="97"/>
        <item m="1" x="98"/>
        <item m="1" x="370"/>
        <item m="1" x="298"/>
        <item m="1" x="498"/>
        <item m="1" x="583"/>
        <item m="1" x="581"/>
        <item m="1" x="541"/>
        <item m="1" x="522"/>
        <item m="1" x="455"/>
        <item m="1" x="494"/>
        <item m="1" x="561"/>
        <item m="1" x="472"/>
        <item m="1" x="517"/>
        <item m="1" x="51"/>
        <item m="1" x="190"/>
        <item m="1" x="560"/>
        <item m="1" x="174"/>
        <item m="1" x="150"/>
        <item m="1" x="295"/>
        <item m="1" x="86"/>
        <item m="1" x="381"/>
        <item m="1" x="117"/>
        <item m="1" x="221"/>
        <item m="1" x="440"/>
        <item m="1" x="526"/>
        <item m="1" x="286"/>
        <item m="1" x="533"/>
        <item m="1" x="437"/>
        <item m="1" x="140"/>
        <item m="1" x="608"/>
        <item m="1" x="92"/>
        <item m="1" x="146"/>
        <item m="1" x="311"/>
        <item m="1" x="313"/>
        <item m="1" x="574"/>
        <item m="1" x="357"/>
        <item m="1" x="573"/>
        <item m="1" x="272"/>
        <item m="1" x="253"/>
        <item m="1" x="232"/>
        <item m="1" x="124"/>
        <item m="1" x="431"/>
        <item m="1" x="415"/>
        <item m="1" x="448"/>
        <item m="1" x="369"/>
        <item m="1" x="80"/>
        <item m="1" x="484"/>
        <item m="1" x="143"/>
        <item m="1" x="312"/>
        <item m="1" x="529"/>
        <item m="1" x="172"/>
        <item m="1" x="427"/>
        <item m="1" x="521"/>
        <item m="1" x="523"/>
        <item m="1" x="105"/>
        <item m="1" x="71"/>
        <item m="1" x="430"/>
        <item m="1" x="301"/>
        <item m="1" x="397"/>
        <item m="1" x="230"/>
        <item m="1" x="334"/>
        <item m="1" x="281"/>
        <item m="1" x="476"/>
        <item m="1" x="291"/>
        <item m="1" x="292"/>
        <item m="1" x="243"/>
        <item m="1" x="294"/>
        <item m="1" x="407"/>
        <item m="1" x="411"/>
        <item m="1" x="148"/>
        <item m="1" x="248"/>
        <item m="1" x="392"/>
        <item m="1" x="375"/>
        <item m="1" x="282"/>
        <item m="1" x="267"/>
        <item m="1" x="280"/>
        <item m="1" x="373"/>
        <item m="1" x="417"/>
        <item m="1" x="320"/>
        <item m="1" x="449"/>
        <item m="1" x="315"/>
        <item m="1" x="545"/>
        <item m="1" x="284"/>
        <item m="1" x="601"/>
        <item m="1" x="594"/>
        <item m="1" x="443"/>
        <item m="1" x="257"/>
        <item m="1" x="342"/>
        <item m="1" x="332"/>
        <item m="1" x="546"/>
        <item m="1" x="457"/>
        <item m="1" x="518"/>
        <item m="1" x="176"/>
        <item m="1" x="68"/>
        <item m="1" x="463"/>
        <item m="1" x="506"/>
        <item m="1" x="514"/>
        <item m="1" x="468"/>
        <item m="1" x="199"/>
        <item m="1" x="400"/>
        <item m="1" x="353"/>
        <item m="1" x="374"/>
        <item m="1" x="289"/>
        <item m="1" x="328"/>
        <item m="1" x="339"/>
        <item m="1" x="89"/>
        <item m="1" x="543"/>
        <item m="1" x="519"/>
        <item m="1" x="454"/>
        <item m="1" x="502"/>
        <item m="1" x="43"/>
        <item m="1" x="162"/>
        <item m="1" x="130"/>
        <item m="1" x="500"/>
        <item m="1" x="273"/>
        <item m="1" x="82"/>
        <item m="1" x="300"/>
        <item m="1" x="387"/>
        <item m="1" x="324"/>
        <item m="1" x="44"/>
        <item m="1" x="501"/>
        <item m="1" x="548"/>
        <item m="1" x="219"/>
        <item m="1" x="408"/>
        <item m="1" x="217"/>
        <item m="1" x="215"/>
        <item m="1" x="555"/>
        <item m="1" x="495"/>
        <item m="1" x="496"/>
        <item m="1" x="433"/>
        <item m="1" x="531"/>
        <item m="1" x="376"/>
        <item m="1" x="461"/>
        <item m="1" x="144"/>
        <item m="1" x="329"/>
        <item m="1" x="285"/>
        <item m="1" x="129"/>
        <item m="1" x="557"/>
        <item m="1" x="576"/>
        <item m="1" x="568"/>
        <item m="1" x="137"/>
        <item m="1" x="113"/>
        <item m="1" x="201"/>
        <item m="1" x="216"/>
        <item m="1" x="214"/>
        <item m="1" x="187"/>
        <item m="1" x="88"/>
        <item m="1" x="479"/>
        <item m="1" x="55"/>
        <item m="1" x="235"/>
        <item m="1" x="412"/>
        <item m="1" x="453"/>
        <item m="1" x="559"/>
        <item m="1" x="465"/>
        <item m="1" x="410"/>
        <item m="1" x="173"/>
        <item m="1" x="424"/>
        <item m="1" x="591"/>
        <item m="1" x="371"/>
        <item m="1" x="114"/>
        <item m="1" x="405"/>
        <item m="1" x="226"/>
        <item m="1" x="133"/>
        <item m="1" x="325"/>
        <item m="1" x="142"/>
        <item m="1" x="87"/>
        <item m="1" x="524"/>
        <item m="1" x="364"/>
        <item m="1" x="242"/>
        <item m="1" x="102"/>
        <item m="1" x="41"/>
        <item m="1" x="106"/>
        <item m="1" x="108"/>
        <item m="1" x="275"/>
        <item m="1" x="549"/>
        <item m="1" x="435"/>
        <item m="1" x="249"/>
        <item m="1" x="227"/>
        <item m="1" x="579"/>
        <item m="1" x="604"/>
        <item m="1" x="336"/>
        <item m="1" x="347"/>
        <item m="1" x="203"/>
        <item m="1" x="128"/>
        <item m="1" x="287"/>
        <item m="1" x="37"/>
        <item m="1" x="416"/>
        <item m="1" x="141"/>
        <item m="1" x="391"/>
        <item m="1" x="66"/>
        <item m="1" x="318"/>
        <item m="1" x="304"/>
        <item m="1" x="305"/>
        <item m="1" x="382"/>
        <item m="1" x="372"/>
        <item m="1" x="207"/>
        <item m="1" x="279"/>
        <item m="1" x="251"/>
        <item m="1" x="462"/>
        <item m="1" x="556"/>
        <item m="1" x="566"/>
        <item m="1" x="183"/>
        <item m="1" x="125"/>
        <item m="1" x="152"/>
        <item m="1" x="530"/>
        <item m="1" x="552"/>
        <item m="1" x="83"/>
        <item m="1" x="200"/>
        <item m="1" x="553"/>
        <item m="1" x="175"/>
        <item m="1" x="233"/>
        <item m="1" x="231"/>
        <item m="1" x="493"/>
        <item m="1" x="263"/>
        <item m="1" x="399"/>
        <item m="1" x="264"/>
        <item m="1" x="101"/>
        <item m="1" x="198"/>
        <item m="1" x="306"/>
        <item m="1" x="210"/>
        <item m="1" x="211"/>
        <item m="1" x="255"/>
        <item m="1" x="299"/>
        <item m="1" x="79"/>
        <item m="1" x="338"/>
        <item m="1" x="254"/>
        <item m="1" x="565"/>
        <item m="1" x="278"/>
        <item m="1" x="600"/>
        <item m="1" x="168"/>
        <item m="1" x="213"/>
        <item m="1" x="196"/>
        <item m="1" x="390"/>
        <item m="1" x="69"/>
        <item m="1" x="202"/>
        <item m="1" x="537"/>
        <item m="1" x="268"/>
        <item m="1" x="348"/>
        <item m="1" x="535"/>
        <item m="1" x="212"/>
        <item m="1" x="413"/>
        <item m="1" x="303"/>
        <item m="1" x="134"/>
        <item m="1" x="380"/>
        <item m="1" x="330"/>
        <item m="1" x="322"/>
        <item m="1" x="169"/>
        <item m="1" x="323"/>
        <item m="1" x="170"/>
        <item m="1" x="599"/>
        <item m="1" x="75"/>
        <item m="1" x="225"/>
        <item m="1" x="40"/>
        <item m="1" x="469"/>
        <item m="1" x="84"/>
        <item m="1" x="395"/>
        <item m="1" x="85"/>
        <item m="1" x="386"/>
        <item m="1" x="179"/>
        <item m="1" x="554"/>
        <item m="1" x="252"/>
        <item m="1" x="302"/>
        <item m="1" x="260"/>
        <item m="1" x="507"/>
        <item m="1" x="115"/>
        <item m="1" x="349"/>
        <item m="1" x="138"/>
        <item m="1" x="139"/>
        <item m="1" x="76"/>
        <item m="1" x="151"/>
        <item m="1" x="60"/>
        <item m="1" x="333"/>
        <item m="1" x="539"/>
        <item m="1" x="595"/>
        <item m="1" x="310"/>
        <item m="1" x="458"/>
        <item m="1" x="121"/>
        <item m="1" x="240"/>
        <item m="1" x="396"/>
        <item m="1" x="605"/>
        <item m="1" x="236"/>
        <item m="1" x="377"/>
        <item m="1" x="606"/>
        <item m="1" x="317"/>
        <item m="1" x="256"/>
        <item m="1" x="181"/>
        <item m="1" x="486"/>
        <item m="1" x="436"/>
        <item m="1" x="356"/>
        <item m="1" x="159"/>
        <item m="1" x="398"/>
        <item m="1" x="271"/>
        <item m="1" x="91"/>
        <item m="1" x="567"/>
        <item m="1" x="528"/>
        <item m="1" x="481"/>
        <item m="1" x="450"/>
        <item m="1" x="593"/>
        <item m="1" x="266"/>
        <item m="1" x="597"/>
        <item m="1" x="446"/>
        <item m="1" x="596"/>
        <item m="1" x="160"/>
        <item m="1" x="327"/>
        <item m="1" x="195"/>
        <item m="1" x="385"/>
        <item m="1" x="78"/>
        <item m="1" x="65"/>
        <item m="1" x="538"/>
        <item m="1" x="206"/>
        <item m="1" x="488"/>
        <item m="1" x="421"/>
        <item m="1" x="276"/>
        <item m="1" x="404"/>
        <item m="1" x="45"/>
        <item m="1" x="127"/>
        <item m="1" x="414"/>
        <item m="1" x="314"/>
        <item m="1" x="222"/>
        <item m="1" x="70"/>
        <item m="1" x="363"/>
        <item m="1" x="184"/>
        <item m="1" x="185"/>
        <item m="1" x="94"/>
        <item m="1" x="50"/>
        <item m="1" x="366"/>
        <item m="1" x="584"/>
        <item m="1" x="603"/>
        <item m="1" x="441"/>
        <item m="1" x="402"/>
        <item m="1" x="277"/>
        <item m="1" x="361"/>
        <item m="1" x="100"/>
        <item m="1" x="480"/>
        <item m="1" x="442"/>
        <item m="1" x="360"/>
        <item m="1" x="510"/>
        <item m="1" x="72"/>
        <item m="1" x="296"/>
        <item m="1" x="136"/>
        <item m="1" x="586"/>
        <item x="1"/>
        <item x="2"/>
        <item x="3"/>
        <item x="4"/>
        <item x="5"/>
        <item x="6"/>
        <item x="7"/>
        <item x="8"/>
        <item x="9"/>
        <item x="10"/>
        <item x="11"/>
        <item x="12"/>
        <item x="13"/>
        <item x="14"/>
        <item x="15"/>
        <item x="16"/>
        <item x="17"/>
        <item x="18"/>
        <item x="19"/>
        <item x="20"/>
        <item x="21"/>
        <item x="22"/>
        <item x="23"/>
        <item x="25"/>
        <item x="26"/>
        <item x="27"/>
        <item x="28"/>
        <item x="29"/>
        <item x="30"/>
        <item x="31"/>
        <item x="32"/>
        <item x="33"/>
        <item x="24"/>
        <item t="default"/>
      </items>
    </pivotField>
    <pivotField axis="axisRow" showAll="0">
      <items count="42">
        <item m="1" x="5"/>
        <item m="1" x="36"/>
        <item m="1" x="7"/>
        <item m="1" x="38"/>
        <item m="1" x="15"/>
        <item m="1" x="31"/>
        <item m="1" x="18"/>
        <item x="0"/>
        <item m="1" x="10"/>
        <item m="1" x="32"/>
        <item m="1" x="11"/>
        <item m="1" x="39"/>
        <item m="1" x="23"/>
        <item m="1" x="27"/>
        <item m="1" x="14"/>
        <item m="1" x="22"/>
        <item m="1" x="25"/>
        <item m="1" x="29"/>
        <item m="1" x="21"/>
        <item m="1" x="16"/>
        <item m="1" x="34"/>
        <item m="1" x="19"/>
        <item m="1" x="26"/>
        <item m="1" x="37"/>
        <item m="1" x="24"/>
        <item m="1" x="40"/>
        <item m="1" x="30"/>
        <item m="1" x="8"/>
        <item m="1" x="9"/>
        <item m="1" x="17"/>
        <item m="1" x="35"/>
        <item m="1" x="20"/>
        <item m="1" x="13"/>
        <item m="1" x="6"/>
        <item m="1" x="28"/>
        <item m="1" x="33"/>
        <item m="1" x="12"/>
        <item x="1"/>
        <item x="2"/>
        <item x="3"/>
        <item x="4"/>
        <item t="default"/>
      </items>
    </pivotField>
    <pivotField axis="axisRow" showAll="0">
      <items count="3">
        <item m="1" x="1"/>
        <item x="0"/>
        <item t="default"/>
      </items>
    </pivotField>
    <pivotField axis="axisRow" showAll="0">
      <items count="18">
        <item m="1" x="6"/>
        <item m="1" x="12"/>
        <item m="1" x="13"/>
        <item m="1" x="14"/>
        <item m="1" x="15"/>
        <item m="1" x="16"/>
        <item x="0"/>
        <item m="1" x="7"/>
        <item m="1" x="8"/>
        <item m="1" x="9"/>
        <item m="1" x="10"/>
        <item m="1" x="11"/>
        <item x="1"/>
        <item x="2"/>
        <item x="3"/>
        <item x="4"/>
        <item x="5"/>
        <item t="default"/>
      </items>
    </pivotField>
    <pivotField axis="axisRow" showAll="0">
      <items count="3">
        <item m="1" x="1"/>
        <item x="0"/>
        <item t="default"/>
      </items>
    </pivotField>
    <pivotField axis="axisRow" showAll="0">
      <items count="5">
        <item m="1" x="3"/>
        <item x="0"/>
        <item x="1"/>
        <item x="2"/>
        <item t="default"/>
      </items>
    </pivotField>
    <pivotField axis="axisRow" showAll="0">
      <items count="23">
        <item m="1" x="6"/>
        <item m="1" x="11"/>
        <item m="1" x="14"/>
        <item m="1" x="20"/>
        <item m="1" x="17"/>
        <item m="1" x="15"/>
        <item x="0"/>
        <item m="1" x="18"/>
        <item m="1" x="9"/>
        <item m="1" x="13"/>
        <item m="1" x="19"/>
        <item m="1" x="10"/>
        <item m="1" x="16"/>
        <item m="1" x="7"/>
        <item m="1" x="21"/>
        <item m="1" x="12"/>
        <item m="1" x="8"/>
        <item x="1"/>
        <item x="2"/>
        <item x="3"/>
        <item x="4"/>
        <item x="5"/>
        <item t="default"/>
      </items>
    </pivotField>
    <pivotField axis="axisRow" showAll="0">
      <items count="11">
        <item m="1" x="1"/>
        <item m="1" x="4"/>
        <item m="1" x="3"/>
        <item x="0"/>
        <item m="1" x="7"/>
        <item m="1" x="9"/>
        <item m="1" x="6"/>
        <item m="1" x="5"/>
        <item m="1" x="8"/>
        <item m="1" x="2"/>
        <item t="default"/>
      </items>
    </pivotField>
    <pivotField axis="axisRow" showAll="0">
      <items count="3">
        <item m="1" x="1"/>
        <item x="0"/>
        <item t="default"/>
      </items>
    </pivotField>
    <pivotField axis="axisRow" showAll="0">
      <items count="3">
        <item m="1" x="1"/>
        <item x="0"/>
        <item t="default"/>
      </items>
    </pivotField>
    <pivotField axis="axisRow" showAll="0">
      <items count="23">
        <item m="1" x="6"/>
        <item m="1" x="13"/>
        <item m="1" x="8"/>
        <item m="1" x="11"/>
        <item m="1" x="18"/>
        <item m="1" x="20"/>
        <item x="0"/>
        <item m="1" x="9"/>
        <item m="1" x="21"/>
        <item m="1" x="17"/>
        <item m="1" x="15"/>
        <item m="1" x="7"/>
        <item m="1" x="10"/>
        <item m="1" x="12"/>
        <item m="1" x="19"/>
        <item m="1" x="16"/>
        <item m="1" x="14"/>
        <item x="1"/>
        <item x="2"/>
        <item x="3"/>
        <item x="4"/>
        <item x="5"/>
        <item t="default"/>
      </items>
    </pivotField>
    <pivotField axis="axisRow" showAll="0">
      <items count="3">
        <item m="1" x="1"/>
        <item x="0"/>
        <item t="default"/>
      </items>
    </pivotField>
    <pivotField axis="axisRow" showAll="0">
      <items count="3">
        <item m="1" x="1"/>
        <item x="0"/>
        <item t="default"/>
      </items>
    </pivotField>
    <pivotField axis="axisRow" showAll="0">
      <items count="3">
        <item m="1" x="1"/>
        <item x="0"/>
        <item t="default"/>
      </items>
    </pivotField>
    <pivotField axis="axisRow" showAll="0">
      <items count="3">
        <item m="1" x="1"/>
        <item x="0"/>
        <item t="default"/>
      </items>
    </pivotField>
    <pivotField axis="axisRow" showAll="0">
      <items count="3">
        <item m="1" x="1"/>
        <item x="0"/>
        <item t="default"/>
      </items>
    </pivotField>
    <pivotField axis="axisRow" showAll="0">
      <items count="3">
        <item m="1" x="1"/>
        <item x="0"/>
        <item t="default"/>
      </items>
    </pivotField>
    <pivotField axis="axisRow" showAll="0">
      <items count="3">
        <item m="1" x="1"/>
        <item x="0"/>
        <item t="default"/>
      </items>
    </pivotField>
    <pivotField axis="axisRow" showAll="0">
      <items count="3">
        <item m="1" x="1"/>
        <item x="0"/>
        <item t="default"/>
      </items>
    </pivotField>
    <pivotField axis="axisRow" showAll="0">
      <items count="3">
        <item m="1" x="1"/>
        <item x="0"/>
        <item t="default"/>
      </items>
    </pivotField>
    <pivotField axis="axisRow" showAll="0">
      <items count="3">
        <item m="1" x="1"/>
        <item x="0"/>
        <item t="default"/>
      </items>
    </pivotField>
    <pivotField axis="axisRow" showAll="0">
      <items count="28">
        <item m="1" x="8"/>
        <item m="1" x="14"/>
        <item m="1" x="20"/>
        <item m="1" x="23"/>
        <item m="1" x="15"/>
        <item m="1" x="25"/>
        <item m="1" x="16"/>
        <item x="0"/>
        <item m="1" x="18"/>
        <item m="1" x="21"/>
        <item m="1" x="26"/>
        <item m="1" x="22"/>
        <item m="1" x="9"/>
        <item m="1" x="24"/>
        <item m="1" x="19"/>
        <item m="1" x="13"/>
        <item m="1" x="17"/>
        <item m="1" x="10"/>
        <item x="3"/>
        <item x="4"/>
        <item x="5"/>
        <item x="6"/>
        <item x="7"/>
        <item m="1" x="11"/>
        <item m="1" x="12"/>
        <item x="1"/>
        <item x="2"/>
        <item t="default"/>
      </items>
    </pivotField>
    <pivotField axis="axisRow" showAll="0">
      <items count="3">
        <item m="1" x="1"/>
        <item x="0"/>
        <item t="default"/>
      </items>
    </pivotField>
    <pivotField axis="axisRow" showAll="0">
      <items count="3">
        <item m="1" x="1"/>
        <item x="0"/>
        <item t="default"/>
      </items>
    </pivotField>
    <pivotField axis="axisRow" showAll="0">
      <items count="12">
        <item m="1" x="2"/>
        <item m="1" x="8"/>
        <item m="1" x="3"/>
        <item x="0"/>
        <item m="1" x="4"/>
        <item m="1" x="9"/>
        <item m="1" x="7"/>
        <item m="1" x="6"/>
        <item m="1" x="10"/>
        <item m="1" x="5"/>
        <item x="1"/>
        <item t="default"/>
      </items>
    </pivotField>
    <pivotField axis="axisRow" showAll="0">
      <items count="3">
        <item m="1" x="1"/>
        <item x="0"/>
        <item t="default"/>
      </items>
    </pivotField>
    <pivotField axis="axisRow" showAll="0">
      <items count="3">
        <item m="1" x="1"/>
        <item x="0"/>
        <item t="default"/>
      </items>
    </pivotField>
    <pivotField axis="axisRow" showAll="0">
      <items count="7">
        <item m="1" x="3"/>
        <item x="0"/>
        <item m="1" x="4"/>
        <item m="1" x="5"/>
        <item x="1"/>
        <item x="2"/>
        <item t="default"/>
      </items>
    </pivotField>
    <pivotField axis="axisRow" showAll="0">
      <items count="59">
        <item m="1" x="9"/>
        <item m="1" x="33"/>
        <item m="1" x="55"/>
        <item m="1" x="28"/>
        <item m="1" x="37"/>
        <item m="1" x="57"/>
        <item m="1" x="47"/>
        <item m="1" x="10"/>
        <item m="1" x="27"/>
        <item m="1" x="23"/>
        <item m="1" x="34"/>
        <item m="1" x="11"/>
        <item m="1" x="41"/>
        <item m="1" x="12"/>
        <item m="1" x="26"/>
        <item m="1" x="22"/>
        <item m="1" x="39"/>
        <item x="0"/>
        <item m="1" x="20"/>
        <item m="1" x="38"/>
        <item m="1" x="31"/>
        <item m="1" x="35"/>
        <item m="1" x="25"/>
        <item m="1" x="29"/>
        <item m="1" x="16"/>
        <item m="1" x="42"/>
        <item m="1" x="45"/>
        <item m="1" x="32"/>
        <item m="1" x="18"/>
        <item m="1" x="43"/>
        <item m="1" x="46"/>
        <item m="1" x="54"/>
        <item m="1" x="52"/>
        <item m="1" x="40"/>
        <item m="1" x="13"/>
        <item m="1" x="49"/>
        <item m="1" x="19"/>
        <item m="1" x="21"/>
        <item m="1" x="56"/>
        <item m="1" x="30"/>
        <item m="1" x="36"/>
        <item m="1" x="50"/>
        <item m="1" x="48"/>
        <item m="1" x="17"/>
        <item m="1" x="44"/>
        <item m="1" x="14"/>
        <item m="1" x="24"/>
        <item m="1" x="53"/>
        <item m="1" x="51"/>
        <item m="1" x="15"/>
        <item x="8"/>
        <item x="7"/>
        <item x="1"/>
        <item x="2"/>
        <item x="3"/>
        <item x="4"/>
        <item x="5"/>
        <item x="6"/>
        <item t="default"/>
      </items>
    </pivotField>
    <pivotField axis="axisRow" showAll="0">
      <items count="15">
        <item m="1" x="1"/>
        <item m="1" x="3"/>
        <item m="1" x="6"/>
        <item m="1" x="9"/>
        <item x="0"/>
        <item m="1" x="7"/>
        <item m="1" x="5"/>
        <item m="1" x="13"/>
        <item m="1" x="12"/>
        <item m="1" x="4"/>
        <item m="1" x="11"/>
        <item m="1" x="2"/>
        <item m="1" x="10"/>
        <item m="1" x="8"/>
        <item t="default"/>
      </items>
    </pivotField>
    <pivotField axis="axisRow" showAll="0">
      <items count="3">
        <item m="1" x="1"/>
        <item x="0"/>
        <item t="default"/>
      </items>
    </pivotField>
    <pivotField axis="axisRow" showAll="0">
      <items count="3">
        <item m="1" x="1"/>
        <item x="0"/>
        <item t="default"/>
      </items>
    </pivotField>
    <pivotField axis="axisRow" showAll="0">
      <items count="3">
        <item m="1" x="1"/>
        <item x="0"/>
        <item t="default"/>
      </items>
    </pivotField>
    <pivotField axis="axisRow" showAll="0">
      <items count="3">
        <item m="1" x="1"/>
        <item x="0"/>
        <item t="default"/>
      </items>
    </pivotField>
    <pivotField axis="axisRow" showAll="0">
      <items count="3">
        <item m="1" x="1"/>
        <item x="0"/>
        <item t="default"/>
      </items>
    </pivotField>
    <pivotField axis="axisRow" showAll="0">
      <items count="3">
        <item m="1" x="1"/>
        <item x="0"/>
        <item t="default"/>
      </items>
    </pivotField>
    <pivotField axis="axisRow" showAll="0">
      <items count="3">
        <item m="1" x="1"/>
        <item x="0"/>
        <item t="default"/>
      </items>
    </pivotField>
    <pivotField axis="axisRow" showAll="0">
      <items count="3">
        <item m="1" x="1"/>
        <item x="0"/>
        <item t="default"/>
      </items>
    </pivotField>
    <pivotField axis="axisRow" showAll="0">
      <items count="12">
        <item m="1" x="2"/>
        <item m="1" x="3"/>
        <item m="1" x="6"/>
        <item m="1" x="8"/>
        <item x="0"/>
        <item m="1" x="7"/>
        <item m="1" x="9"/>
        <item m="1" x="10"/>
        <item m="1" x="4"/>
        <item m="1" x="5"/>
        <item x="1"/>
        <item t="default"/>
      </items>
    </pivotField>
    <pivotField axis="axisRow" showAll="0">
      <items count="11">
        <item m="1" x="3"/>
        <item m="1" x="7"/>
        <item m="1" x="5"/>
        <item m="1" x="9"/>
        <item m="1" x="8"/>
        <item x="0"/>
        <item m="1" x="4"/>
        <item m="1" x="6"/>
        <item x="1"/>
        <item x="2"/>
        <item t="default"/>
      </items>
    </pivotField>
    <pivotField showAll="0" defaultSubtotal="0"/>
  </pivotFields>
  <rowFields count="73">
    <field x="4"/>
    <field x="190"/>
    <field x="195"/>
    <field x="196"/>
    <field x="197"/>
    <field x="191"/>
    <field x="192"/>
    <field x="193"/>
    <field x="194"/>
    <field x="198"/>
    <field x="199"/>
    <field x="200"/>
    <field x="201"/>
    <field x="202"/>
    <field x="203"/>
    <field x="204"/>
    <field x="205"/>
    <field x="208"/>
    <field x="209"/>
    <field x="210"/>
    <field x="211"/>
    <field x="212"/>
    <field x="213"/>
    <field x="214"/>
    <field x="215"/>
    <field x="216"/>
    <field x="217"/>
    <field x="218"/>
    <field x="219"/>
    <field x="220"/>
    <field x="221"/>
    <field x="222"/>
    <field x="223"/>
    <field x="224"/>
    <field x="225"/>
    <field x="226"/>
    <field x="227"/>
    <field x="228"/>
    <field x="229"/>
    <field x="230"/>
    <field x="231"/>
    <field x="232"/>
    <field x="233"/>
    <field x="234"/>
    <field x="235"/>
    <field x="236"/>
    <field x="237"/>
    <field x="238"/>
    <field x="239"/>
    <field x="240"/>
    <field x="241"/>
    <field x="242"/>
    <field x="243"/>
    <field x="244"/>
    <field x="245"/>
    <field x="246"/>
    <field x="247"/>
    <field x="248"/>
    <field x="249"/>
    <field x="250"/>
    <field x="251"/>
    <field x="252"/>
    <field x="253"/>
    <field x="254"/>
    <field x="255"/>
    <field x="256"/>
    <field x="257"/>
    <field x="258"/>
    <field x="260"/>
    <field x="259"/>
    <field x="261"/>
    <field x="206"/>
    <field x="207"/>
  </rowFields>
  <rowItems count="574">
    <i>
      <x v="2"/>
    </i>
    <i r="1">
      <x v="44"/>
    </i>
    <i r="2">
      <x v="438"/>
    </i>
    <i r="3">
      <x v="41"/>
    </i>
    <i r="4">
      <x v="41"/>
    </i>
    <i r="5">
      <x v="24"/>
    </i>
    <i r="6">
      <x v="2"/>
    </i>
    <i r="7">
      <x v="1"/>
    </i>
    <i r="8">
      <x v="1"/>
    </i>
    <i r="9">
      <x v="87"/>
    </i>
    <i r="10">
      <x v="472"/>
    </i>
    <i r="11">
      <x v="96"/>
    </i>
    <i r="12">
      <x v="3"/>
    </i>
    <i r="13">
      <x v="66"/>
    </i>
    <i r="14">
      <x v="42"/>
    </i>
    <i r="15">
      <x v="4"/>
    </i>
    <i r="16">
      <x v="1"/>
    </i>
    <i r="17">
      <x v="1"/>
    </i>
    <i r="18">
      <x v="42"/>
    </i>
    <i r="19">
      <x v="1"/>
    </i>
    <i r="20">
      <x v="42"/>
    </i>
    <i r="21">
      <x v="1"/>
    </i>
    <i r="22">
      <x v="1"/>
    </i>
    <i r="23">
      <x v="1"/>
    </i>
    <i r="24">
      <x v="1"/>
    </i>
    <i r="25">
      <x v="1"/>
    </i>
    <i r="26">
      <x v="1"/>
    </i>
    <i r="27">
      <x v="41"/>
    </i>
    <i r="28">
      <x v="1"/>
    </i>
    <i r="29">
      <x v="9"/>
    </i>
    <i r="30">
      <x v="4"/>
    </i>
    <i r="31">
      <x v="96"/>
    </i>
    <i r="32">
      <x v="7"/>
    </i>
    <i r="33">
      <x v="1"/>
    </i>
    <i r="34">
      <x v="6"/>
    </i>
    <i r="35">
      <x v="1"/>
    </i>
    <i r="36">
      <x v="1"/>
    </i>
    <i r="37">
      <x v="6"/>
    </i>
    <i r="38">
      <x v="3"/>
    </i>
    <i r="39">
      <x v="1"/>
    </i>
    <i r="40">
      <x v="1"/>
    </i>
    <i r="41">
      <x v="6"/>
    </i>
    <i r="42">
      <x v="1"/>
    </i>
    <i r="43">
      <x v="1"/>
    </i>
    <i r="44">
      <x v="1"/>
    </i>
    <i r="45">
      <x v="1"/>
    </i>
    <i r="46">
      <x v="1"/>
    </i>
    <i r="47">
      <x v="1"/>
    </i>
    <i r="48">
      <x v="1"/>
    </i>
    <i r="49">
      <x v="1"/>
    </i>
    <i r="50">
      <x v="1"/>
    </i>
    <i r="51">
      <x v="1"/>
    </i>
    <i r="52">
      <x v="7"/>
    </i>
    <i r="53">
      <x v="1"/>
    </i>
    <i r="54">
      <x v="1"/>
    </i>
    <i r="55">
      <x v="3"/>
    </i>
    <i r="56">
      <x v="1"/>
    </i>
    <i r="57">
      <x v="1"/>
    </i>
    <i r="58">
      <x v="1"/>
    </i>
    <i r="59">
      <x v="17"/>
    </i>
    <i r="60">
      <x v="4"/>
    </i>
    <i r="61">
      <x v="1"/>
    </i>
    <i r="62">
      <x v="1"/>
    </i>
    <i r="63">
      <x v="1"/>
    </i>
    <i r="64">
      <x v="1"/>
    </i>
    <i r="65">
      <x v="1"/>
    </i>
    <i r="66">
      <x v="1"/>
    </i>
    <i r="67">
      <x v="1"/>
    </i>
    <i r="68">
      <x v="4"/>
    </i>
    <i r="69">
      <x v="1"/>
    </i>
    <i r="70">
      <x v="5"/>
    </i>
    <i r="71">
      <x v="41"/>
    </i>
    <i r="72">
      <x v="40"/>
    </i>
    <i r="2">
      <x v="547"/>
    </i>
    <i r="3">
      <x v="41"/>
    </i>
    <i r="4">
      <x v="41"/>
    </i>
    <i r="5">
      <x v="24"/>
    </i>
    <i r="6">
      <x v="2"/>
    </i>
    <i r="7">
      <x v="1"/>
    </i>
    <i r="8">
      <x v="1"/>
    </i>
    <i r="9">
      <x v="87"/>
    </i>
    <i r="10">
      <x v="88"/>
    </i>
    <i r="11">
      <x v="1"/>
    </i>
    <i r="12">
      <x v="1"/>
    </i>
    <i r="13">
      <x v="66"/>
    </i>
    <i r="14">
      <x v="42"/>
    </i>
    <i r="15">
      <x v="4"/>
    </i>
    <i r="16">
      <x v="1"/>
    </i>
    <i r="17">
      <x v="1"/>
    </i>
    <i r="18">
      <x v="42"/>
    </i>
    <i r="19">
      <x v="1"/>
    </i>
    <i r="20">
      <x v="42"/>
    </i>
    <i r="21">
      <x v="1"/>
    </i>
    <i r="22">
      <x v="1"/>
    </i>
    <i r="23">
      <x v="1"/>
    </i>
    <i r="24">
      <x v="1"/>
    </i>
    <i r="25">
      <x v="1"/>
    </i>
    <i r="26">
      <x v="1"/>
    </i>
    <i r="27">
      <x v="41"/>
    </i>
    <i r="28">
      <x v="1"/>
    </i>
    <i r="29">
      <x v="9"/>
    </i>
    <i r="30">
      <x v="4"/>
    </i>
    <i r="31">
      <x v="96"/>
    </i>
    <i r="32">
      <x v="7"/>
    </i>
    <i r="33">
      <x v="1"/>
    </i>
    <i r="34">
      <x v="6"/>
    </i>
    <i r="35">
      <x v="1"/>
    </i>
    <i r="36">
      <x v="1"/>
    </i>
    <i r="37">
      <x v="6"/>
    </i>
    <i r="38">
      <x v="3"/>
    </i>
    <i r="39">
      <x v="1"/>
    </i>
    <i r="40">
      <x v="1"/>
    </i>
    <i r="41">
      <x v="6"/>
    </i>
    <i r="42">
      <x v="1"/>
    </i>
    <i r="43">
      <x v="1"/>
    </i>
    <i r="44">
      <x v="1"/>
    </i>
    <i r="45">
      <x v="1"/>
    </i>
    <i r="46">
      <x v="1"/>
    </i>
    <i r="47">
      <x v="1"/>
    </i>
    <i r="48">
      <x v="1"/>
    </i>
    <i r="49">
      <x v="1"/>
    </i>
    <i r="50">
      <x v="1"/>
    </i>
    <i r="51">
      <x v="1"/>
    </i>
    <i r="52">
      <x v="7"/>
    </i>
    <i r="53">
      <x v="1"/>
    </i>
    <i r="54">
      <x v="1"/>
    </i>
    <i r="55">
      <x v="3"/>
    </i>
    <i r="56">
      <x v="1"/>
    </i>
    <i r="57">
      <x v="1"/>
    </i>
    <i r="58">
      <x v="1"/>
    </i>
    <i r="59">
      <x v="54"/>
    </i>
    <i r="60">
      <x v="4"/>
    </i>
    <i r="61">
      <x v="1"/>
    </i>
    <i r="62">
      <x v="1"/>
    </i>
    <i r="63">
      <x v="1"/>
    </i>
    <i r="64">
      <x v="1"/>
    </i>
    <i r="65">
      <x v="1"/>
    </i>
    <i r="66">
      <x v="1"/>
    </i>
    <i r="67">
      <x v="1"/>
    </i>
    <i r="68">
      <x v="4"/>
    </i>
    <i r="69">
      <x v="1"/>
    </i>
    <i r="70">
      <x v="5"/>
    </i>
    <i r="71">
      <x v="41"/>
    </i>
    <i r="72">
      <x v="40"/>
    </i>
    <i r="2">
      <x v="548"/>
    </i>
    <i r="3">
      <x v="41"/>
    </i>
    <i r="4">
      <x v="41"/>
    </i>
    <i r="5">
      <x v="24"/>
    </i>
    <i r="6">
      <x v="2"/>
    </i>
    <i r="7">
      <x v="1"/>
    </i>
    <i r="8">
      <x v="1"/>
    </i>
    <i r="9">
      <x v="87"/>
    </i>
    <i r="10">
      <x v="88"/>
    </i>
    <i r="11">
      <x v="1"/>
    </i>
    <i r="12">
      <x v="1"/>
    </i>
    <i r="13">
      <x v="66"/>
    </i>
    <i r="14">
      <x v="42"/>
    </i>
    <i r="15">
      <x v="4"/>
    </i>
    <i r="16">
      <x v="1"/>
    </i>
    <i r="17">
      <x v="1"/>
    </i>
    <i r="18">
      <x v="42"/>
    </i>
    <i r="19">
      <x v="1"/>
    </i>
    <i r="20">
      <x v="42"/>
    </i>
    <i r="21">
      <x v="1"/>
    </i>
    <i r="22">
      <x v="1"/>
    </i>
    <i r="23">
      <x v="1"/>
    </i>
    <i r="24">
      <x v="1"/>
    </i>
    <i r="25">
      <x v="1"/>
    </i>
    <i r="26">
      <x v="1"/>
    </i>
    <i r="27">
      <x v="41"/>
    </i>
    <i r="28">
      <x v="1"/>
    </i>
    <i r="29">
      <x v="9"/>
    </i>
    <i r="30">
      <x v="4"/>
    </i>
    <i r="31">
      <x v="96"/>
    </i>
    <i r="32">
      <x v="7"/>
    </i>
    <i r="33">
      <x v="1"/>
    </i>
    <i r="34">
      <x v="6"/>
    </i>
    <i r="35">
      <x v="1"/>
    </i>
    <i r="36">
      <x v="1"/>
    </i>
    <i r="37">
      <x v="6"/>
    </i>
    <i r="38">
      <x v="3"/>
    </i>
    <i r="39">
      <x v="1"/>
    </i>
    <i r="40">
      <x v="1"/>
    </i>
    <i r="41">
      <x v="6"/>
    </i>
    <i r="42">
      <x v="1"/>
    </i>
    <i r="43">
      <x v="1"/>
    </i>
    <i r="44">
      <x v="1"/>
    </i>
    <i r="45">
      <x v="1"/>
    </i>
    <i r="46">
      <x v="1"/>
    </i>
    <i r="47">
      <x v="1"/>
    </i>
    <i r="48">
      <x v="1"/>
    </i>
    <i r="49">
      <x v="1"/>
    </i>
    <i r="50">
      <x v="1"/>
    </i>
    <i r="51">
      <x v="1"/>
    </i>
    <i r="52">
      <x v="7"/>
    </i>
    <i r="53">
      <x v="1"/>
    </i>
    <i r="54">
      <x v="1"/>
    </i>
    <i r="55">
      <x v="3"/>
    </i>
    <i r="56">
      <x v="1"/>
    </i>
    <i r="57">
      <x v="1"/>
    </i>
    <i r="58">
      <x v="1"/>
    </i>
    <i r="59">
      <x v="55"/>
    </i>
    <i r="60">
      <x v="4"/>
    </i>
    <i r="61">
      <x v="1"/>
    </i>
    <i r="62">
      <x v="1"/>
    </i>
    <i r="63">
      <x v="1"/>
    </i>
    <i r="64">
      <x v="1"/>
    </i>
    <i r="65">
      <x v="1"/>
    </i>
    <i r="66">
      <x v="1"/>
    </i>
    <i r="67">
      <x v="1"/>
    </i>
    <i r="68">
      <x v="4"/>
    </i>
    <i r="69">
      <x v="1"/>
    </i>
    <i r="70">
      <x v="5"/>
    </i>
    <i r="71">
      <x v="41"/>
    </i>
    <i r="72">
      <x v="40"/>
    </i>
    <i r="2">
      <x v="549"/>
    </i>
    <i r="3">
      <x v="41"/>
    </i>
    <i r="4">
      <x v="41"/>
    </i>
    <i r="5">
      <x v="24"/>
    </i>
    <i r="6">
      <x v="2"/>
    </i>
    <i r="7">
      <x v="1"/>
    </i>
    <i r="8">
      <x v="1"/>
    </i>
    <i r="9">
      <x v="87"/>
    </i>
    <i r="10">
      <x v="88"/>
    </i>
    <i r="11">
      <x v="1"/>
    </i>
    <i r="12">
      <x v="1"/>
    </i>
    <i r="13">
      <x v="66"/>
    </i>
    <i r="14">
      <x v="42"/>
    </i>
    <i r="15">
      <x v="4"/>
    </i>
    <i r="16">
      <x v="1"/>
    </i>
    <i r="17">
      <x v="1"/>
    </i>
    <i r="18">
      <x v="42"/>
    </i>
    <i r="19">
      <x v="1"/>
    </i>
    <i r="20">
      <x v="42"/>
    </i>
    <i r="21">
      <x v="1"/>
    </i>
    <i r="22">
      <x v="1"/>
    </i>
    <i r="23">
      <x v="1"/>
    </i>
    <i r="24">
      <x v="1"/>
    </i>
    <i r="25">
      <x v="1"/>
    </i>
    <i r="26">
      <x v="1"/>
    </i>
    <i r="27">
      <x v="41"/>
    </i>
    <i r="28">
      <x v="1"/>
    </i>
    <i r="29">
      <x v="9"/>
    </i>
    <i r="30">
      <x v="4"/>
    </i>
    <i r="31">
      <x v="96"/>
    </i>
    <i r="32">
      <x v="7"/>
    </i>
    <i r="33">
      <x v="1"/>
    </i>
    <i r="34">
      <x v="6"/>
    </i>
    <i r="35">
      <x v="1"/>
    </i>
    <i r="36">
      <x v="1"/>
    </i>
    <i r="37">
      <x v="6"/>
    </i>
    <i r="38">
      <x v="3"/>
    </i>
    <i r="39">
      <x v="1"/>
    </i>
    <i r="40">
      <x v="1"/>
    </i>
    <i r="41">
      <x v="6"/>
    </i>
    <i r="42">
      <x v="1"/>
    </i>
    <i r="43">
      <x v="1"/>
    </i>
    <i r="44">
      <x v="1"/>
    </i>
    <i r="45">
      <x v="1"/>
    </i>
    <i r="46">
      <x v="1"/>
    </i>
    <i r="47">
      <x v="1"/>
    </i>
    <i r="48">
      <x v="1"/>
    </i>
    <i r="49">
      <x v="1"/>
    </i>
    <i r="50">
      <x v="1"/>
    </i>
    <i r="51">
      <x v="1"/>
    </i>
    <i r="52">
      <x v="7"/>
    </i>
    <i r="53">
      <x v="1"/>
    </i>
    <i r="54">
      <x v="1"/>
    </i>
    <i r="55">
      <x v="3"/>
    </i>
    <i r="56">
      <x v="1"/>
    </i>
    <i r="57">
      <x v="1"/>
    </i>
    <i r="58">
      <x v="1"/>
    </i>
    <i r="59">
      <x v="56"/>
    </i>
    <i r="60">
      <x v="4"/>
    </i>
    <i r="61">
      <x v="1"/>
    </i>
    <i r="62">
      <x v="1"/>
    </i>
    <i r="63">
      <x v="1"/>
    </i>
    <i r="64">
      <x v="1"/>
    </i>
    <i r="65">
      <x v="1"/>
    </i>
    <i r="66">
      <x v="1"/>
    </i>
    <i r="67">
      <x v="1"/>
    </i>
    <i r="68">
      <x v="4"/>
    </i>
    <i r="69">
      <x v="1"/>
    </i>
    <i r="70">
      <x v="5"/>
    </i>
    <i r="71">
      <x v="41"/>
    </i>
    <i r="72">
      <x v="40"/>
    </i>
    <i r="2">
      <x v="550"/>
    </i>
    <i r="3">
      <x v="41"/>
    </i>
    <i r="4">
      <x v="41"/>
    </i>
    <i r="5">
      <x v="24"/>
    </i>
    <i r="6">
      <x v="2"/>
    </i>
    <i r="7">
      <x v="1"/>
    </i>
    <i r="8">
      <x v="1"/>
    </i>
    <i r="9">
      <x v="87"/>
    </i>
    <i r="10">
      <x v="88"/>
    </i>
    <i r="11">
      <x v="1"/>
    </i>
    <i r="12">
      <x v="1"/>
    </i>
    <i r="13">
      <x v="66"/>
    </i>
    <i r="14">
      <x v="42"/>
    </i>
    <i r="15">
      <x v="4"/>
    </i>
    <i r="16">
      <x v="1"/>
    </i>
    <i r="17">
      <x v="1"/>
    </i>
    <i r="18">
      <x v="42"/>
    </i>
    <i r="19">
      <x v="1"/>
    </i>
    <i r="20">
      <x v="42"/>
    </i>
    <i r="21">
      <x v="1"/>
    </i>
    <i r="22">
      <x v="1"/>
    </i>
    <i r="23">
      <x v="1"/>
    </i>
    <i r="24">
      <x v="1"/>
    </i>
    <i r="25">
      <x v="1"/>
    </i>
    <i r="26">
      <x v="1"/>
    </i>
    <i r="27">
      <x v="41"/>
    </i>
    <i r="28">
      <x v="1"/>
    </i>
    <i r="29">
      <x v="9"/>
    </i>
    <i r="30">
      <x v="4"/>
    </i>
    <i r="31">
      <x v="96"/>
    </i>
    <i r="32">
      <x v="7"/>
    </i>
    <i r="33">
      <x v="1"/>
    </i>
    <i r="34">
      <x v="6"/>
    </i>
    <i r="35">
      <x v="1"/>
    </i>
    <i r="36">
      <x v="1"/>
    </i>
    <i r="37">
      <x v="6"/>
    </i>
    <i r="38">
      <x v="3"/>
    </i>
    <i r="39">
      <x v="1"/>
    </i>
    <i r="40">
      <x v="1"/>
    </i>
    <i r="41">
      <x v="6"/>
    </i>
    <i r="42">
      <x v="1"/>
    </i>
    <i r="43">
      <x v="1"/>
    </i>
    <i r="44">
      <x v="1"/>
    </i>
    <i r="45">
      <x v="1"/>
    </i>
    <i r="46">
      <x v="1"/>
    </i>
    <i r="47">
      <x v="1"/>
    </i>
    <i r="48">
      <x v="1"/>
    </i>
    <i r="49">
      <x v="1"/>
    </i>
    <i r="50">
      <x v="1"/>
    </i>
    <i r="51">
      <x v="1"/>
    </i>
    <i r="52">
      <x v="7"/>
    </i>
    <i r="53">
      <x v="1"/>
    </i>
    <i r="54">
      <x v="1"/>
    </i>
    <i r="55">
      <x v="3"/>
    </i>
    <i r="56">
      <x v="1"/>
    </i>
    <i r="57">
      <x v="1"/>
    </i>
    <i r="58">
      <x v="1"/>
    </i>
    <i r="59">
      <x v="57"/>
    </i>
    <i r="60">
      <x v="4"/>
    </i>
    <i r="61">
      <x v="1"/>
    </i>
    <i r="62">
      <x v="1"/>
    </i>
    <i r="63">
      <x v="1"/>
    </i>
    <i r="64">
      <x v="1"/>
    </i>
    <i r="65">
      <x v="1"/>
    </i>
    <i r="66">
      <x v="1"/>
    </i>
    <i r="67">
      <x v="1"/>
    </i>
    <i r="68">
      <x v="4"/>
    </i>
    <i r="69">
      <x v="1"/>
    </i>
    <i r="70">
      <x v="5"/>
    </i>
    <i r="71">
      <x v="41"/>
    </i>
    <i r="72">
      <x v="40"/>
    </i>
    <i r="1">
      <x v="252"/>
    </i>
    <i r="2">
      <x v="113"/>
    </i>
    <i r="3">
      <x v="41"/>
    </i>
    <i r="4">
      <x v="41"/>
    </i>
    <i r="5">
      <x v="24"/>
    </i>
    <i r="6">
      <x v="2"/>
    </i>
    <i r="7">
      <x v="1"/>
    </i>
    <i r="8">
      <x v="1"/>
    </i>
    <i r="9">
      <x v="447"/>
    </i>
    <i r="10">
      <x v="505"/>
    </i>
    <i r="11">
      <x v="1"/>
    </i>
    <i r="12">
      <x v="1"/>
    </i>
    <i r="13">
      <x v="66"/>
    </i>
    <i r="14">
      <x v="42"/>
    </i>
    <i r="15">
      <x v="4"/>
    </i>
    <i r="16">
      <x v="1"/>
    </i>
    <i r="17">
      <x v="1"/>
    </i>
    <i r="18">
      <x v="42"/>
    </i>
    <i r="19">
      <x v="1"/>
    </i>
    <i r="20">
      <x v="42"/>
    </i>
    <i r="21">
      <x v="1"/>
    </i>
    <i r="22">
      <x v="1"/>
    </i>
    <i r="23">
      <x v="1"/>
    </i>
    <i r="24">
      <x v="1"/>
    </i>
    <i r="25">
      <x v="1"/>
    </i>
    <i r="26">
      <x v="1"/>
    </i>
    <i r="27">
      <x v="41"/>
    </i>
    <i r="28">
      <x v="1"/>
    </i>
    <i r="29">
      <x v="9"/>
    </i>
    <i r="30">
      <x v="4"/>
    </i>
    <i r="31">
      <x v="596"/>
    </i>
    <i r="32">
      <x v="7"/>
    </i>
    <i r="33">
      <x v="1"/>
    </i>
    <i r="34">
      <x v="6"/>
    </i>
    <i r="35">
      <x v="1"/>
    </i>
    <i r="36">
      <x v="1"/>
    </i>
    <i r="37">
      <x v="6"/>
    </i>
    <i r="38">
      <x v="3"/>
    </i>
    <i r="39">
      <x v="1"/>
    </i>
    <i r="40">
      <x v="1"/>
    </i>
    <i r="41">
      <x v="6"/>
    </i>
    <i r="42">
      <x v="1"/>
    </i>
    <i r="43">
      <x v="1"/>
    </i>
    <i r="44">
      <x v="1"/>
    </i>
    <i r="45">
      <x v="1"/>
    </i>
    <i r="46">
      <x v="1"/>
    </i>
    <i r="47">
      <x v="1"/>
    </i>
    <i r="48">
      <x v="1"/>
    </i>
    <i r="49">
      <x v="1"/>
    </i>
    <i r="50">
      <x v="1"/>
    </i>
    <i r="51">
      <x v="1"/>
    </i>
    <i r="52">
      <x v="7"/>
    </i>
    <i r="53">
      <x v="1"/>
    </i>
    <i r="54">
      <x v="1"/>
    </i>
    <i r="55">
      <x v="3"/>
    </i>
    <i r="56">
      <x v="1"/>
    </i>
    <i r="57">
      <x v="1"/>
    </i>
    <i r="58">
      <x v="1"/>
    </i>
    <i r="59">
      <x v="17"/>
    </i>
    <i r="60">
      <x v="4"/>
    </i>
    <i r="61">
      <x v="1"/>
    </i>
    <i r="62">
      <x v="1"/>
    </i>
    <i r="63">
      <x v="1"/>
    </i>
    <i r="64">
      <x v="1"/>
    </i>
    <i r="65">
      <x v="1"/>
    </i>
    <i r="66">
      <x v="1"/>
    </i>
    <i r="67">
      <x v="1"/>
    </i>
    <i r="68">
      <x v="4"/>
    </i>
    <i r="69">
      <x v="1"/>
    </i>
    <i r="70">
      <x v="5"/>
    </i>
    <i r="71">
      <x v="41"/>
    </i>
    <i r="72">
      <x v="40"/>
    </i>
    <i r="1">
      <x v="271"/>
    </i>
    <i r="2">
      <x v="113"/>
    </i>
    <i r="3">
      <x v="41"/>
    </i>
    <i r="4">
      <x v="41"/>
    </i>
    <i r="5">
      <x v="266"/>
    </i>
    <i r="6">
      <x v="2"/>
    </i>
    <i r="7">
      <x v="1"/>
    </i>
    <i r="8">
      <x v="1"/>
    </i>
    <i r="9">
      <x v="446"/>
    </i>
    <i r="10">
      <x v="504"/>
    </i>
    <i r="11">
      <x v="1"/>
    </i>
    <i r="12">
      <x v="1"/>
    </i>
    <i r="13">
      <x v="66"/>
    </i>
    <i r="14">
      <x v="42"/>
    </i>
    <i r="15">
      <x v="4"/>
    </i>
    <i r="16">
      <x v="1"/>
    </i>
    <i r="17">
      <x v="1"/>
    </i>
    <i r="18">
      <x v="42"/>
    </i>
    <i r="19">
      <x v="1"/>
    </i>
    <i r="20">
      <x v="42"/>
    </i>
    <i r="21">
      <x v="1"/>
    </i>
    <i r="22">
      <x v="1"/>
    </i>
    <i r="23">
      <x v="1"/>
    </i>
    <i r="24">
      <x v="1"/>
    </i>
    <i r="25">
      <x v="1"/>
    </i>
    <i r="26">
      <x v="1"/>
    </i>
    <i r="27">
      <x v="41"/>
    </i>
    <i r="28">
      <x v="1"/>
    </i>
    <i r="29">
      <x v="9"/>
    </i>
    <i r="30">
      <x v="4"/>
    </i>
    <i r="31">
      <x v="96"/>
    </i>
    <i r="32">
      <x v="7"/>
    </i>
    <i r="33">
      <x v="1"/>
    </i>
    <i r="34">
      <x v="6"/>
    </i>
    <i r="35">
      <x v="1"/>
    </i>
    <i r="36">
      <x v="1"/>
    </i>
    <i r="37">
      <x v="6"/>
    </i>
    <i r="38">
      <x v="3"/>
    </i>
    <i r="39">
      <x v="1"/>
    </i>
    <i r="40">
      <x v="1"/>
    </i>
    <i r="41">
      <x v="6"/>
    </i>
    <i r="42">
      <x v="1"/>
    </i>
    <i r="43">
      <x v="1"/>
    </i>
    <i r="44">
      <x v="1"/>
    </i>
    <i r="45">
      <x v="1"/>
    </i>
    <i r="46">
      <x v="1"/>
    </i>
    <i r="47">
      <x v="1"/>
    </i>
    <i r="48">
      <x v="1"/>
    </i>
    <i r="49">
      <x v="1"/>
    </i>
    <i r="50">
      <x v="1"/>
    </i>
    <i r="51">
      <x v="1"/>
    </i>
    <i r="52">
      <x v="7"/>
    </i>
    <i r="53">
      <x v="1"/>
    </i>
    <i r="54">
      <x v="1"/>
    </i>
    <i r="55">
      <x v="3"/>
    </i>
    <i r="56">
      <x v="1"/>
    </i>
    <i r="57">
      <x v="1"/>
    </i>
    <i r="58">
      <x v="1"/>
    </i>
    <i r="59">
      <x v="17"/>
    </i>
    <i r="60">
      <x v="4"/>
    </i>
    <i r="61">
      <x v="1"/>
    </i>
    <i r="62">
      <x v="1"/>
    </i>
    <i r="63">
      <x v="1"/>
    </i>
    <i r="64">
      <x v="1"/>
    </i>
    <i r="65">
      <x v="1"/>
    </i>
    <i r="66">
      <x v="1"/>
    </i>
    <i r="67">
      <x v="1"/>
    </i>
    <i r="68">
      <x v="4"/>
    </i>
    <i r="69">
      <x v="1"/>
    </i>
    <i r="70">
      <x v="5"/>
    </i>
    <i r="71">
      <x v="41"/>
    </i>
    <i r="72">
      <x v="40"/>
    </i>
    <i r="1">
      <x v="330"/>
    </i>
    <i r="2">
      <x v="490"/>
    </i>
    <i r="3">
      <x v="252"/>
    </i>
    <i r="4">
      <x v="234"/>
    </i>
    <i r="5">
      <x v="24"/>
    </i>
    <i r="6">
      <x v="2"/>
    </i>
    <i r="7">
      <x v="1"/>
    </i>
    <i r="8">
      <x v="1"/>
    </i>
    <i r="9">
      <x v="445"/>
    </i>
    <i r="10">
      <x v="503"/>
    </i>
    <i r="11">
      <x v="1"/>
    </i>
    <i r="12">
      <x v="1"/>
    </i>
    <i r="13">
      <x v="371"/>
    </i>
    <i r="14">
      <x v="244"/>
    </i>
    <i r="15">
      <x v="4"/>
    </i>
    <i r="16">
      <x v="1"/>
    </i>
    <i r="17">
      <x v="1"/>
    </i>
    <i r="18">
      <x v="241"/>
    </i>
    <i r="19">
      <x v="1"/>
    </i>
    <i r="20">
      <x v="250"/>
    </i>
    <i r="21">
      <x v="1"/>
    </i>
    <i r="22">
      <x v="1"/>
    </i>
    <i r="23">
      <x v="1"/>
    </i>
    <i r="24">
      <x v="1"/>
    </i>
    <i r="25">
      <x v="1"/>
    </i>
    <i r="26">
      <x v="173"/>
    </i>
    <i r="27">
      <x v="193"/>
    </i>
    <i r="28">
      <x v="1"/>
    </i>
    <i r="29">
      <x v="9"/>
    </i>
    <i r="30">
      <x v="4"/>
    </i>
    <i r="31">
      <x v="595"/>
    </i>
    <i r="32">
      <x v="7"/>
    </i>
    <i r="33">
      <x v="1"/>
    </i>
    <i r="34">
      <x v="6"/>
    </i>
    <i r="35">
      <x v="1"/>
    </i>
    <i r="36">
      <x v="1"/>
    </i>
    <i r="37">
      <x v="6"/>
    </i>
    <i r="38">
      <x v="3"/>
    </i>
    <i r="39">
      <x v="1"/>
    </i>
    <i r="40">
      <x v="1"/>
    </i>
    <i r="41">
      <x v="6"/>
    </i>
    <i r="42">
      <x v="1"/>
    </i>
    <i r="43">
      <x v="1"/>
    </i>
    <i r="44">
      <x v="1"/>
    </i>
    <i r="45">
      <x v="1"/>
    </i>
    <i r="46">
      <x v="1"/>
    </i>
    <i r="47">
      <x v="1"/>
    </i>
    <i r="48">
      <x v="1"/>
    </i>
    <i r="49">
      <x v="1"/>
    </i>
    <i r="50">
      <x v="1"/>
    </i>
    <i r="51">
      <x v="1"/>
    </i>
    <i r="52">
      <x v="7"/>
    </i>
    <i r="53">
      <x v="1"/>
    </i>
    <i r="54">
      <x v="1"/>
    </i>
    <i r="55">
      <x v="3"/>
    </i>
    <i r="56">
      <x v="1"/>
    </i>
    <i r="57">
      <x v="1"/>
    </i>
    <i r="58">
      <x v="1"/>
    </i>
    <i r="59">
      <x v="17"/>
    </i>
    <i r="60">
      <x v="4"/>
    </i>
    <i r="61">
      <x v="1"/>
    </i>
    <i r="62">
      <x v="1"/>
    </i>
    <i r="63">
      <x v="1"/>
    </i>
    <i r="64">
      <x v="1"/>
    </i>
    <i r="65">
      <x v="1"/>
    </i>
    <i r="66">
      <x v="1"/>
    </i>
    <i r="67">
      <x v="1"/>
    </i>
    <i r="68">
      <x v="4"/>
    </i>
    <i r="69">
      <x v="1"/>
    </i>
    <i r="70">
      <x v="5"/>
    </i>
    <i r="71">
      <x v="255"/>
    </i>
    <i r="72">
      <x v="192"/>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7" cacheId="1" applyNumberFormats="0" applyBorderFormats="0" applyFontFormats="0" applyPatternFormats="0" applyAlignmentFormats="0" applyWidthHeightFormats="1" dataCaption="Values" missingCaption="None" showMissing="0" updatedVersion="5" minRefreshableVersion="3" useAutoFormatting="1" itemPrintTitles="1" createdVersion="5" indent="0" outline="1" outlineData="1" multipleFieldFilters="0">
  <location ref="A1:A930" firstHeaderRow="1" firstDataRow="1" firstDataCol="1"/>
  <pivotFields count="283">
    <pivotField showAll="0"/>
    <pivotField showAll="0"/>
    <pivotField showAll="0"/>
    <pivotField showAll="0"/>
    <pivotField axis="axisRow" showAll="0">
      <items count="12">
        <item h="1" x="5"/>
        <item h="1" sd="0" x="1"/>
        <item h="1" x="0"/>
        <item x="4"/>
        <item h="1" sd="0" x="6"/>
        <item h="1" sd="0" x="3"/>
        <item h="1" sd="0" x="7"/>
        <item h="1" sd="0" x="8"/>
        <item h="1" sd="0" x="9"/>
        <item h="1" sd="0" x="2"/>
        <item h="1" x="10"/>
        <item t="default"/>
      </items>
    </pivotField>
    <pivotField showAll="0" defaultSubtotal="0"/>
    <pivotField showAll="0" defaultSubtotal="0"/>
    <pivotField showAll="0" defaultSubtotal="0"/>
    <pivotField showAll="0" defaultSubtota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pivotField showAll="0"/>
    <pivotField showAll="0"/>
    <pivotField showAll="0"/>
    <pivotField showAll="0"/>
    <pivotField showAll="0"/>
    <pivotField showAll="0"/>
    <pivotField showAll="0"/>
    <pivotField showAll="0"/>
    <pivotField showAll="0"/>
    <pivotField showAll="0" defaultSubtotal="0"/>
    <pivotField showAll="0" defaultSubtota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defaultSubtotal="0"/>
    <pivotField numFmtId="164" showAll="0" defaultSubtotal="0"/>
    <pivotField numFmtId="164" showAll="0" defaultSubtotal="0"/>
    <pivotField numFmtId="164" showAll="0" defaultSubtotal="0"/>
    <pivotField numFmtId="164" showAll="0" defaultSubtotal="0"/>
    <pivotField numFmtId="164" showAll="0" defaultSubtotal="0"/>
    <pivotField numFmtId="164" showAll="0" defaultSubtotal="0"/>
    <pivotField numFmtId="164" showAll="0" defaultSubtotal="0"/>
    <pivotField numFmtId="164" showAll="0" defaultSubtotal="0"/>
    <pivotField numFmtId="164" showAll="0" defaultSubtotal="0"/>
    <pivotField numFmtId="164" showAll="0" defaultSubtotal="0"/>
    <pivotField numFmtId="164" showAll="0" defaultSubtotal="0"/>
    <pivotField numFmtId="164" showAll="0" defaultSubtotal="0"/>
    <pivotField numFmtId="164" showAll="0" defaultSubtotal="0"/>
    <pivotField numFmtId="164" showAll="0" defaultSubtotal="0"/>
    <pivotField numFmtId="164" showAll="0" defaultSubtotal="0"/>
    <pivotField numFmtId="164" showAll="0" defaultSubtotal="0"/>
    <pivotField numFmtId="164" showAll="0"/>
    <pivotField numFmtId="164" showAll="0" defaultSubtotal="0"/>
    <pivotField numFmtId="164" showAll="0" defaultSubtotal="0"/>
    <pivotField numFmtId="164" showAll="0" defaultSubtotal="0"/>
    <pivotField numFmtId="164" showAll="0" defaultSubtotal="0"/>
    <pivotField numFmtId="164"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Row" showAll="0">
      <items count="102">
        <item x="0"/>
        <item x="29"/>
        <item x="17"/>
        <item x="18"/>
        <item x="20"/>
        <item x="23"/>
        <item m="1" x="64"/>
        <item m="1" x="77"/>
        <item x="32"/>
        <item m="1" x="74"/>
        <item m="1" x="69"/>
        <item m="1" x="79"/>
        <item x="49"/>
        <item x="50"/>
        <item x="51"/>
        <item x="52"/>
        <item x="53"/>
        <item x="54"/>
        <item x="55"/>
        <item x="56"/>
        <item x="58"/>
        <item x="59"/>
        <item x="9"/>
        <item x="16"/>
        <item x="21"/>
        <item x="24"/>
        <item x="31"/>
        <item x="43"/>
        <item x="44"/>
        <item x="45"/>
        <item x="48"/>
        <item x="57"/>
        <item x="60"/>
        <item x="4"/>
        <item x="6"/>
        <item x="25"/>
        <item x="27"/>
        <item x="1"/>
        <item x="2"/>
        <item x="3"/>
        <item x="22"/>
        <item m="1" x="72"/>
        <item m="1" x="86"/>
        <item x="46"/>
        <item x="47"/>
        <item x="5"/>
        <item x="7"/>
        <item x="8"/>
        <item x="10"/>
        <item x="11"/>
        <item x="12"/>
        <item x="13"/>
        <item x="14"/>
        <item x="15"/>
        <item x="19"/>
        <item m="1" x="73"/>
        <item m="1" x="81"/>
        <item m="1" x="82"/>
        <item m="1" x="92"/>
        <item m="1" x="93"/>
        <item m="1" x="85"/>
        <item m="1" x="75"/>
        <item m="1" x="89"/>
        <item m="1" x="90"/>
        <item m="1" x="61"/>
        <item m="1" x="65"/>
        <item m="1" x="91"/>
        <item m="1" x="95"/>
        <item m="1" x="96"/>
        <item m="1" x="97"/>
        <item m="1" x="94"/>
        <item m="1" x="80"/>
        <item x="30"/>
        <item x="33"/>
        <item m="1" x="63"/>
        <item m="1" x="68"/>
        <item m="1" x="98"/>
        <item m="1" x="99"/>
        <item m="1" x="100"/>
        <item m="1" x="62"/>
        <item m="1" x="76"/>
        <item m="1" x="84"/>
        <item m="1" x="78"/>
        <item m="1" x="66"/>
        <item m="1" x="67"/>
        <item x="37"/>
        <item m="1" x="83"/>
        <item m="1" x="70"/>
        <item m="1" x="71"/>
        <item m="1" x="87"/>
        <item m="1" x="88"/>
        <item x="26"/>
        <item x="28"/>
        <item x="34"/>
        <item x="36"/>
        <item x="35"/>
        <item x="38"/>
        <item x="39"/>
        <item x="40"/>
        <item x="41"/>
        <item x="42"/>
        <item t="default"/>
      </items>
    </pivotField>
    <pivotField axis="axisRow" showAll="0">
      <items count="47">
        <item x="0"/>
        <item m="1" x="21"/>
        <item m="1" x="22"/>
        <item m="1" x="30"/>
        <item m="1" x="42"/>
        <item m="1" x="35"/>
        <item m="1" x="41"/>
        <item m="1" x="28"/>
        <item m="1" x="45"/>
        <item m="1" x="27"/>
        <item m="1" x="36"/>
        <item m="1" x="44"/>
        <item m="1" x="40"/>
        <item m="1" x="32"/>
        <item m="1" x="43"/>
        <item m="1" x="31"/>
        <item m="1" x="26"/>
        <item m="1" x="37"/>
        <item m="1" x="25"/>
        <item m="1" x="24"/>
        <item m="1" x="33"/>
        <item m="1" x="39"/>
        <item m="1" x="23"/>
        <item m="1" x="38"/>
        <item m="1" x="34"/>
        <item m="1" x="29"/>
        <item x="1"/>
        <item x="2"/>
        <item x="3"/>
        <item x="4"/>
        <item x="5"/>
        <item x="6"/>
        <item x="7"/>
        <item x="8"/>
        <item x="9"/>
        <item x="10"/>
        <item x="11"/>
        <item x="12"/>
        <item x="13"/>
        <item x="14"/>
        <item x="15"/>
        <item x="16"/>
        <item x="17"/>
        <item x="18"/>
        <item x="19"/>
        <item x="20"/>
        <item t="default"/>
      </items>
    </pivotField>
    <pivotField axis="axisRow" showAll="0">
      <items count="3">
        <item x="0"/>
        <item x="1"/>
        <item t="default"/>
      </items>
    </pivotField>
    <pivotField axis="axisRow" showAll="0">
      <items count="2">
        <item x="0"/>
        <item t="default"/>
      </items>
    </pivotField>
    <pivotField axis="axisRow" showAll="0">
      <items count="2">
        <item x="0"/>
        <item t="default"/>
      </items>
    </pivotField>
    <pivotField axis="axisRow" showAll="0">
      <items count="226">
        <item x="1"/>
        <item m="1" x="211"/>
        <item m="1" x="159"/>
        <item m="1" x="168"/>
        <item m="1" x="224"/>
        <item m="1" x="127"/>
        <item m="1" x="143"/>
        <item m="1" x="154"/>
        <item m="1" x="115"/>
        <item m="1" x="220"/>
        <item m="1" x="103"/>
        <item m="1" x="191"/>
        <item m="1" x="218"/>
        <item m="1" x="216"/>
        <item m="1" x="177"/>
        <item m="1" x="197"/>
        <item m="1" x="108"/>
        <item m="1" x="147"/>
        <item m="1" x="106"/>
        <item m="1" x="109"/>
        <item m="1" x="173"/>
        <item m="1" x="111"/>
        <item m="1" x="157"/>
        <item m="1" x="187"/>
        <item m="1" x="133"/>
        <item m="1" x="185"/>
        <item m="1" x="175"/>
        <item m="1" x="107"/>
        <item m="1" x="150"/>
        <item m="1" x="210"/>
        <item m="1" x="161"/>
        <item m="1" x="117"/>
        <item m="1" x="104"/>
        <item m="1" x="217"/>
        <item m="1" x="178"/>
        <item m="1" x="119"/>
        <item m="1" x="120"/>
        <item m="1" x="188"/>
        <item m="1" x="176"/>
        <item m="1" x="179"/>
        <item m="1" x="144"/>
        <item m="1" x="223"/>
        <item m="1" x="183"/>
        <item m="1" x="131"/>
        <item m="1" x="140"/>
        <item m="1" x="203"/>
        <item m="1" x="199"/>
        <item m="1" x="180"/>
        <item m="1" x="181"/>
        <item m="1" x="219"/>
        <item m="1" x="125"/>
        <item m="1" x="128"/>
        <item m="1" x="135"/>
        <item m="1" x="155"/>
        <item m="1" x="209"/>
        <item m="1" x="146"/>
        <item m="1" x="163"/>
        <item m="1" x="152"/>
        <item m="1" x="114"/>
        <item m="1" x="123"/>
        <item m="1" x="165"/>
        <item m="1" x="196"/>
        <item m="1" x="160"/>
        <item m="1" x="214"/>
        <item m="1" x="124"/>
        <item m="1" x="201"/>
        <item m="1" x="158"/>
        <item m="1" x="202"/>
        <item m="1" x="121"/>
        <item m="1" x="186"/>
        <item m="1" x="130"/>
        <item m="1" x="182"/>
        <item m="1" x="193"/>
        <item m="1" x="105"/>
        <item m="1" x="172"/>
        <item m="1" x="190"/>
        <item m="1" x="174"/>
        <item m="1" x="113"/>
        <item m="1" x="122"/>
        <item m="1" x="200"/>
        <item m="1" x="221"/>
        <item m="1" x="145"/>
        <item m="1" x="170"/>
        <item m="1" x="156"/>
        <item m="1" x="166"/>
        <item m="1" x="222"/>
        <item m="1" x="139"/>
        <item m="1" x="141"/>
        <item m="1" x="148"/>
        <item m="1" x="198"/>
        <item m="1" x="162"/>
        <item m="1" x="208"/>
        <item m="1" x="212"/>
        <item m="1" x="171"/>
        <item m="1" x="132"/>
        <item m="1" x="167"/>
        <item m="1" x="192"/>
        <item m="1" x="149"/>
        <item m="1" x="129"/>
        <item x="0"/>
        <item x="2"/>
        <item x="3"/>
        <item x="4"/>
        <item x="5"/>
        <item x="6"/>
        <item x="7"/>
        <item x="8"/>
        <item x="9"/>
        <item x="10"/>
        <item x="11"/>
        <item x="12"/>
        <item x="13"/>
        <item x="14"/>
        <item x="15"/>
        <item x="16"/>
        <item x="17"/>
        <item x="18"/>
        <item x="19"/>
        <item x="20"/>
        <item x="21"/>
        <item x="22"/>
        <item x="23"/>
        <item x="24"/>
        <item x="25"/>
        <item x="26"/>
        <item x="27"/>
        <item m="1" x="169"/>
        <item m="1" x="204"/>
        <item x="30"/>
        <item x="31"/>
        <item x="32"/>
        <item m="1" x="134"/>
        <item m="1" x="112"/>
        <item m="1" x="206"/>
        <item m="1" x="164"/>
        <item m="1" x="151"/>
        <item m="1" x="102"/>
        <item m="1" x="213"/>
        <item m="1" x="207"/>
        <item m="1" x="136"/>
        <item m="1" x="138"/>
        <item m="1" x="137"/>
        <item x="44"/>
        <item x="45"/>
        <item x="46"/>
        <item x="47"/>
        <item x="48"/>
        <item x="49"/>
        <item m="1" x="215"/>
        <item x="51"/>
        <item m="1" x="205"/>
        <item x="53"/>
        <item m="1" x="189"/>
        <item m="1" x="142"/>
        <item m="1" x="126"/>
        <item x="57"/>
        <item x="58"/>
        <item x="59"/>
        <item x="60"/>
        <item x="61"/>
        <item m="1" x="153"/>
        <item x="63"/>
        <item x="64"/>
        <item x="65"/>
        <item x="66"/>
        <item x="67"/>
        <item x="68"/>
        <item x="69"/>
        <item x="70"/>
        <item m="1" x="110"/>
        <item m="1" x="116"/>
        <item m="1" x="195"/>
        <item m="1" x="118"/>
        <item m="1" x="184"/>
        <item m="1" x="194"/>
        <item x="76"/>
        <item x="77"/>
        <item x="78"/>
        <item x="79"/>
        <item x="80"/>
        <item x="81"/>
        <item x="82"/>
        <item x="83"/>
        <item x="84"/>
        <item x="85"/>
        <item x="86"/>
        <item x="87"/>
        <item x="88"/>
        <item x="89"/>
        <item x="90"/>
        <item x="91"/>
        <item x="92"/>
        <item x="93"/>
        <item x="94"/>
        <item x="95"/>
        <item x="96"/>
        <item x="97"/>
        <item x="98"/>
        <item x="99"/>
        <item x="100"/>
        <item x="101"/>
        <item x="28"/>
        <item x="29"/>
        <item x="33"/>
        <item x="34"/>
        <item x="35"/>
        <item x="36"/>
        <item x="37"/>
        <item x="38"/>
        <item x="39"/>
        <item x="40"/>
        <item x="41"/>
        <item x="42"/>
        <item x="43"/>
        <item x="50"/>
        <item x="52"/>
        <item x="54"/>
        <item x="55"/>
        <item x="56"/>
        <item x="62"/>
        <item x="71"/>
        <item x="72"/>
        <item x="73"/>
        <item x="74"/>
        <item x="75"/>
        <item t="default"/>
      </items>
    </pivotField>
    <pivotField axis="axisRow" showAll="0">
      <items count="57">
        <item x="0"/>
        <item m="1" x="31"/>
        <item m="1" x="53"/>
        <item m="1" x="49"/>
        <item m="1" x="39"/>
        <item m="1" x="34"/>
        <item m="1" x="24"/>
        <item m="1" x="23"/>
        <item m="1" x="17"/>
        <item m="1" x="47"/>
        <item m="1" x="29"/>
        <item m="1" x="55"/>
        <item m="1" x="51"/>
        <item m="1" x="52"/>
        <item m="1" x="33"/>
        <item m="1" x="44"/>
        <item m="1" x="48"/>
        <item m="1" x="11"/>
        <item m="1" x="50"/>
        <item m="1" x="54"/>
        <item m="1" x="14"/>
        <item m="1" x="20"/>
        <item m="1" x="26"/>
        <item m="1" x="36"/>
        <item m="1" x="10"/>
        <item m="1" x="46"/>
        <item m="1" x="41"/>
        <item m="1" x="30"/>
        <item m="1" x="21"/>
        <item m="1" x="19"/>
        <item m="1" x="18"/>
        <item m="1" x="22"/>
        <item m="1" x="25"/>
        <item m="1" x="42"/>
        <item m="1" x="27"/>
        <item m="1" x="35"/>
        <item m="1" x="37"/>
        <item m="1" x="38"/>
        <item m="1" x="13"/>
        <item m="1" x="28"/>
        <item m="1" x="12"/>
        <item m="1" x="9"/>
        <item m="1" x="45"/>
        <item m="1" x="43"/>
        <item x="1"/>
        <item x="2"/>
        <item x="3"/>
        <item x="4"/>
        <item x="5"/>
        <item x="6"/>
        <item m="1" x="32"/>
        <item m="1" x="8"/>
        <item m="1" x="16"/>
        <item m="1" x="40"/>
        <item m="1" x="15"/>
        <item x="7"/>
        <item t="default"/>
      </items>
    </pivotField>
    <pivotField axis="axisRow" showAll="0">
      <items count="56">
        <item x="0"/>
        <item x="1"/>
        <item x="2"/>
        <item m="1" x="33"/>
        <item m="1" x="19"/>
        <item m="1" x="29"/>
        <item m="1" x="43"/>
        <item m="1" x="49"/>
        <item m="1" x="48"/>
        <item m="1" x="20"/>
        <item x="10"/>
        <item m="1" x="45"/>
        <item m="1" x="22"/>
        <item m="1" x="23"/>
        <item m="1" x="42"/>
        <item m="1" x="16"/>
        <item m="1" x="17"/>
        <item m="1" x="51"/>
        <item m="1" x="30"/>
        <item m="1" x="28"/>
        <item m="1" x="24"/>
        <item m="1" x="37"/>
        <item m="1" x="47"/>
        <item m="1" x="46"/>
        <item m="1" x="52"/>
        <item m="1" x="26"/>
        <item m="1" x="21"/>
        <item m="1" x="50"/>
        <item x="11"/>
        <item x="12"/>
        <item m="1" x="39"/>
        <item m="1" x="27"/>
        <item m="1" x="41"/>
        <item m="1" x="53"/>
        <item m="1" x="38"/>
        <item m="1" x="18"/>
        <item m="1" x="36"/>
        <item m="1" x="54"/>
        <item m="1" x="32"/>
        <item m="1" x="34"/>
        <item x="14"/>
        <item m="1" x="31"/>
        <item m="1" x="40"/>
        <item m="1" x="44"/>
        <item m="1" x="25"/>
        <item m="1" x="35"/>
        <item x="3"/>
        <item x="4"/>
        <item x="5"/>
        <item x="6"/>
        <item x="7"/>
        <item x="8"/>
        <item x="9"/>
        <item x="13"/>
        <item x="15"/>
        <item t="default"/>
      </items>
    </pivotField>
    <pivotField axis="axisRow" showAll="0">
      <items count="104">
        <item x="0"/>
        <item x="1"/>
        <item x="2"/>
        <item x="3"/>
        <item x="4"/>
        <item x="5"/>
        <item x="6"/>
        <item x="7"/>
        <item x="8"/>
        <item x="9"/>
        <item x="10"/>
        <item x="11"/>
        <item x="12"/>
        <item x="13"/>
        <item x="14"/>
        <item x="15"/>
        <item x="16"/>
        <item x="17"/>
        <item x="18"/>
        <item x="19"/>
        <item m="1" x="90"/>
        <item m="1" x="96"/>
        <item m="1" x="97"/>
        <item m="1" x="73"/>
        <item m="1" x="74"/>
        <item x="20"/>
        <item x="21"/>
        <item m="1" x="71"/>
        <item m="1" x="82"/>
        <item m="1" x="91"/>
        <item x="22"/>
        <item m="1" x="92"/>
        <item x="23"/>
        <item x="25"/>
        <item x="26"/>
        <item m="1" x="69"/>
        <item x="28"/>
        <item m="1" x="101"/>
        <item m="1" x="76"/>
        <item m="1" x="80"/>
        <item m="1" x="70"/>
        <item m="1" x="84"/>
        <item m="1" x="85"/>
        <item m="1" x="86"/>
        <item m="1" x="75"/>
        <item m="1" x="78"/>
        <item m="1" x="77"/>
        <item x="30"/>
        <item x="31"/>
        <item x="32"/>
        <item x="33"/>
        <item x="34"/>
        <item m="1" x="66"/>
        <item m="1" x="102"/>
        <item m="1" x="87"/>
        <item m="1" x="88"/>
        <item m="1" x="89"/>
        <item m="1" x="72"/>
        <item m="1" x="83"/>
        <item m="1" x="65"/>
        <item m="1" x="79"/>
        <item m="1" x="99"/>
        <item x="38"/>
        <item m="1" x="98"/>
        <item m="1" x="94"/>
        <item m="1" x="95"/>
        <item m="1" x="67"/>
        <item m="1" x="68"/>
        <item m="1" x="93"/>
        <item m="1" x="100"/>
        <item m="1" x="81"/>
        <item x="44"/>
        <item x="45"/>
        <item x="46"/>
        <item x="47"/>
        <item x="48"/>
        <item x="49"/>
        <item x="50"/>
        <item x="51"/>
        <item x="52"/>
        <item x="53"/>
        <item x="54"/>
        <item x="55"/>
        <item x="56"/>
        <item x="57"/>
        <item x="58"/>
        <item x="59"/>
        <item x="60"/>
        <item x="61"/>
        <item x="62"/>
        <item x="63"/>
        <item x="64"/>
        <item x="24"/>
        <item x="27"/>
        <item x="29"/>
        <item x="35"/>
        <item x="37"/>
        <item x="36"/>
        <item x="39"/>
        <item x="40"/>
        <item x="41"/>
        <item x="42"/>
        <item x="43"/>
        <item t="default"/>
      </items>
    </pivotField>
    <pivotField axis="axisRow" showAll="0">
      <items count="167">
        <item x="4"/>
        <item m="1" x="139"/>
        <item m="1" x="138"/>
        <item m="1" x="73"/>
        <item m="1" x="144"/>
        <item m="1" x="98"/>
        <item m="1" x="112"/>
        <item m="1" x="99"/>
        <item m="1" x="162"/>
        <item m="1" x="165"/>
        <item m="1" x="113"/>
        <item m="1" x="159"/>
        <item m="1" x="146"/>
        <item m="1" x="140"/>
        <item m="1" x="104"/>
        <item m="1" x="161"/>
        <item m="1" x="82"/>
        <item m="1" x="160"/>
        <item m="1" x="109"/>
        <item m="1" x="117"/>
        <item m="1" x="118"/>
        <item m="1" x="105"/>
        <item m="1" x="78"/>
        <item m="1" x="101"/>
        <item m="1" x="158"/>
        <item m="1" x="120"/>
        <item m="1" x="85"/>
        <item m="1" x="92"/>
        <item m="1" x="142"/>
        <item m="1" x="145"/>
        <item m="1" x="93"/>
        <item m="1" x="128"/>
        <item m="1" x="141"/>
        <item m="1" x="103"/>
        <item m="1" x="116"/>
        <item m="1" x="157"/>
        <item m="1" x="136"/>
        <item m="1" x="129"/>
        <item m="1" x="164"/>
        <item m="1" x="124"/>
        <item m="1" x="149"/>
        <item m="1" x="130"/>
        <item m="1" x="74"/>
        <item m="1" x="131"/>
        <item m="1" x="75"/>
        <item m="1" x="76"/>
        <item m="1" x="153"/>
        <item m="1" x="127"/>
        <item m="1" x="150"/>
        <item m="1" x="151"/>
        <item m="1" x="94"/>
        <item m="1" x="95"/>
        <item m="1" x="147"/>
        <item m="1" x="154"/>
        <item m="1" x="71"/>
        <item m="1" x="72"/>
        <item m="1" x="156"/>
        <item m="1" x="107"/>
        <item m="1" x="67"/>
        <item m="1" x="86"/>
        <item m="1" x="87"/>
        <item m="1" x="88"/>
        <item m="1" x="96"/>
        <item m="1" x="126"/>
        <item m="1" x="77"/>
        <item m="1" x="84"/>
        <item m="1" x="135"/>
        <item m="1" x="89"/>
        <item m="1" x="90"/>
        <item m="1" x="91"/>
        <item m="1" x="108"/>
        <item m="1" x="155"/>
        <item m="1" x="106"/>
        <item m="1" x="123"/>
        <item m="1" x="100"/>
        <item m="1" x="97"/>
        <item m="1" x="152"/>
        <item m="1" x="110"/>
        <item m="1" x="111"/>
        <item m="1" x="132"/>
        <item m="1" x="133"/>
        <item m="1" x="137"/>
        <item m="1" x="125"/>
        <item m="1" x="70"/>
        <item m="1" x="143"/>
        <item m="1" x="81"/>
        <item m="1" x="114"/>
        <item m="1" x="80"/>
        <item m="1" x="119"/>
        <item m="1" x="115"/>
        <item m="1" x="134"/>
        <item x="0"/>
        <item x="1"/>
        <item x="2"/>
        <item x="3"/>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m="1" x="163"/>
        <item x="38"/>
        <item x="39"/>
        <item m="1" x="83"/>
        <item m="1" x="121"/>
        <item m="1" x="122"/>
        <item m="1" x="68"/>
        <item m="1" x="69"/>
        <item m="1" x="148"/>
        <item m="1" x="79"/>
        <item m="1" x="102"/>
        <item x="45"/>
        <item x="46"/>
        <item x="47"/>
        <item x="48"/>
        <item x="49"/>
        <item x="50"/>
        <item x="51"/>
        <item x="52"/>
        <item x="53"/>
        <item x="54"/>
        <item x="55"/>
        <item x="56"/>
        <item x="57"/>
        <item x="58"/>
        <item x="59"/>
        <item x="60"/>
        <item x="61"/>
        <item x="62"/>
        <item x="63"/>
        <item x="64"/>
        <item x="65"/>
        <item x="66"/>
        <item x="37"/>
        <item x="40"/>
        <item x="41"/>
        <item x="42"/>
        <item x="43"/>
        <item x="44"/>
        <item t="default"/>
      </items>
    </pivotField>
    <pivotField axis="axisRow" showAll="0">
      <items count="46">
        <item x="1"/>
        <item m="1" x="32"/>
        <item m="1" x="41"/>
        <item m="1" x="34"/>
        <item m="1" x="22"/>
        <item m="1" x="44"/>
        <item m="1" x="33"/>
        <item m="1" x="35"/>
        <item m="1" x="16"/>
        <item m="1" x="25"/>
        <item m="1" x="30"/>
        <item m="1" x="40"/>
        <item m="1" x="26"/>
        <item m="1" x="36"/>
        <item m="1" x="42"/>
        <item m="1" x="20"/>
        <item m="1" x="27"/>
        <item m="1" x="29"/>
        <item m="1" x="21"/>
        <item m="1" x="18"/>
        <item m="1" x="28"/>
        <item m="1" x="37"/>
        <item m="1" x="23"/>
        <item m="1" x="19"/>
        <item m="1" x="38"/>
        <item m="1" x="17"/>
        <item m="1" x="14"/>
        <item m="1" x="39"/>
        <item m="1" x="24"/>
        <item m="1" x="15"/>
        <item m="1" x="43"/>
        <item m="1" x="31"/>
        <item x="0"/>
        <item x="2"/>
        <item x="3"/>
        <item x="4"/>
        <item x="5"/>
        <item x="6"/>
        <item x="7"/>
        <item x="8"/>
        <item x="9"/>
        <item x="10"/>
        <item x="11"/>
        <item x="12"/>
        <item x="13"/>
        <item t="default"/>
      </items>
    </pivotField>
    <pivotField axis="axisRow" showAll="0">
      <items count="13">
        <item x="1"/>
        <item x="0"/>
        <item x="2"/>
        <item x="3"/>
        <item x="4"/>
        <item x="5"/>
        <item m="1" x="7"/>
        <item m="1" x="11"/>
        <item m="1" x="9"/>
        <item m="1" x="8"/>
        <item m="1" x="10"/>
        <item x="6"/>
        <item t="default"/>
      </items>
    </pivotField>
    <pivotField axis="axisRow" showAll="0">
      <items count="117">
        <item x="0"/>
        <item x="59"/>
        <item x="60"/>
        <item x="61"/>
        <item x="62"/>
        <item x="63"/>
        <item x="64"/>
        <item x="65"/>
        <item x="66"/>
        <item x="67"/>
        <item x="68"/>
        <item x="69"/>
        <item x="2"/>
        <item x="3"/>
        <item x="1"/>
        <item m="1" x="85"/>
        <item m="1" x="71"/>
        <item x="4"/>
        <item x="5"/>
        <item x="6"/>
        <item x="7"/>
        <item x="8"/>
        <item x="9"/>
        <item x="10"/>
        <item x="11"/>
        <item m="1" x="102"/>
        <item m="1" x="107"/>
        <item m="1" x="108"/>
        <item m="1" x="109"/>
        <item m="1" x="79"/>
        <item m="1" x="104"/>
        <item m="1" x="70"/>
        <item m="1" x="110"/>
        <item m="1" x="74"/>
        <item m="1" x="80"/>
        <item m="1" x="88"/>
        <item m="1" x="72"/>
        <item m="1" x="89"/>
        <item m="1" x="99"/>
        <item m="1" x="86"/>
        <item m="1" x="76"/>
        <item m="1" x="115"/>
        <item m="1" x="91"/>
        <item m="1" x="100"/>
        <item m="1" x="97"/>
        <item m="1" x="96"/>
        <item m="1" x="98"/>
        <item m="1" x="77"/>
        <item m="1" x="83"/>
        <item m="1" x="111"/>
        <item m="1" x="93"/>
        <item m="1" x="82"/>
        <item m="1" x="90"/>
        <item x="43"/>
        <item x="44"/>
        <item m="1" x="103"/>
        <item m="1" x="101"/>
        <item m="1" x="114"/>
        <item m="1" x="94"/>
        <item m="1" x="84"/>
        <item m="1" x="75"/>
        <item m="1" x="105"/>
        <item m="1" x="113"/>
        <item m="1" x="95"/>
        <item x="54"/>
        <item m="1" x="87"/>
        <item m="1" x="81"/>
        <item m="1" x="73"/>
        <item m="1" x="106"/>
        <item m="1" x="92"/>
        <item x="12"/>
        <item x="13"/>
        <item x="14"/>
        <item x="15"/>
        <item x="16"/>
        <item x="17"/>
        <item x="18"/>
        <item x="19"/>
        <item x="20"/>
        <item x="21"/>
        <item x="22"/>
        <item x="23"/>
        <item x="24"/>
        <item x="36"/>
        <item x="37"/>
        <item x="38"/>
        <item x="39"/>
        <item x="40"/>
        <item x="41"/>
        <item m="1" x="112"/>
        <item x="45"/>
        <item x="46"/>
        <item x="47"/>
        <item x="48"/>
        <item m="1" x="78"/>
        <item x="50"/>
        <item x="51"/>
        <item x="52"/>
        <item x="53"/>
        <item x="25"/>
        <item x="26"/>
        <item x="27"/>
        <item x="28"/>
        <item x="29"/>
        <item x="30"/>
        <item x="31"/>
        <item x="32"/>
        <item x="33"/>
        <item x="34"/>
        <item x="35"/>
        <item x="42"/>
        <item x="49"/>
        <item x="55"/>
        <item x="56"/>
        <item x="57"/>
        <item x="58"/>
        <item t="default"/>
      </items>
    </pivotField>
    <pivotField axis="axisRow" showAll="0">
      <items count="49">
        <item x="0"/>
        <item x="1"/>
        <item x="2"/>
        <item x="3"/>
        <item x="4"/>
        <item x="5"/>
        <item x="6"/>
        <item x="7"/>
        <item x="8"/>
        <item x="9"/>
        <item x="10"/>
        <item x="11"/>
        <item x="12"/>
        <item m="1" x="29"/>
        <item m="1" x="38"/>
        <item m="1" x="39"/>
        <item m="1" x="40"/>
        <item m="1" x="44"/>
        <item m="1" x="18"/>
        <item m="1" x="21"/>
        <item m="1" x="41"/>
        <item m="1" x="42"/>
        <item m="1" x="33"/>
        <item m="1" x="17"/>
        <item m="1" x="25"/>
        <item m="1" x="30"/>
        <item m="1" x="45"/>
        <item m="1" x="22"/>
        <item m="1" x="37"/>
        <item m="1" x="46"/>
        <item x="13"/>
        <item x="14"/>
        <item m="1" x="20"/>
        <item m="1" x="28"/>
        <item m="1" x="32"/>
        <item m="1" x="27"/>
        <item m="1" x="34"/>
        <item m="1" x="31"/>
        <item m="1" x="26"/>
        <item m="1" x="36"/>
        <item m="1" x="24"/>
        <item x="15"/>
        <item m="1" x="35"/>
        <item m="1" x="43"/>
        <item m="1" x="47"/>
        <item m="1" x="23"/>
        <item m="1" x="19"/>
        <item x="16"/>
        <item t="default"/>
      </items>
    </pivotField>
    <pivotField axis="axisRow" showAll="0">
      <items count="7">
        <item x="0"/>
        <item x="1"/>
        <item x="2"/>
        <item x="3"/>
        <item m="1" x="5"/>
        <item m="1" x="4"/>
        <item t="default"/>
      </items>
    </pivotField>
    <pivotField axis="axisRow" showAll="0">
      <items count="3">
        <item x="0"/>
        <item m="1" x="1"/>
        <item t="default"/>
      </items>
    </pivotField>
    <pivotField axis="axisRow" showAll="0" defaultSubtotal="0">
      <items count="50">
        <item x="0"/>
        <item x="2"/>
        <item x="4"/>
        <item x="1"/>
        <item m="1" x="27"/>
        <item x="3"/>
        <item x="5"/>
        <item x="6"/>
        <item x="7"/>
        <item x="8"/>
        <item x="9"/>
        <item x="10"/>
        <item x="11"/>
        <item x="12"/>
        <item x="13"/>
        <item x="14"/>
        <item m="1" x="33"/>
        <item m="1" x="30"/>
        <item m="1" x="24"/>
        <item m="1" x="40"/>
        <item m="1" x="32"/>
        <item m="1" x="36"/>
        <item m="1" x="38"/>
        <item m="1" x="35"/>
        <item m="1" x="37"/>
        <item m="1" x="42"/>
        <item m="1" x="46"/>
        <item m="1" x="48"/>
        <item m="1" x="21"/>
        <item m="1" x="29"/>
        <item m="1" x="47"/>
        <item m="1" x="26"/>
        <item x="15"/>
        <item x="16"/>
        <item m="1" x="41"/>
        <item m="1" x="44"/>
        <item m="1" x="19"/>
        <item m="1" x="43"/>
        <item m="1" x="20"/>
        <item m="1" x="45"/>
        <item m="1" x="25"/>
        <item m="1" x="22"/>
        <item m="1" x="49"/>
        <item x="17"/>
        <item m="1" x="31"/>
        <item m="1" x="23"/>
        <item m="1" x="39"/>
        <item m="1" x="28"/>
        <item m="1" x="34"/>
        <item x="18"/>
      </items>
    </pivotField>
    <pivotField axis="axisRow" showAll="0" defaultSubtotal="0">
      <items count="46">
        <item x="0"/>
        <item x="1"/>
        <item x="2"/>
        <item m="1" x="32"/>
        <item x="3"/>
        <item x="4"/>
        <item x="5"/>
        <item x="6"/>
        <item x="7"/>
        <item x="8"/>
        <item x="9"/>
        <item x="10"/>
        <item m="1" x="15"/>
        <item m="1" x="30"/>
        <item m="1" x="31"/>
        <item m="1" x="25"/>
        <item m="1" x="27"/>
        <item m="1" x="21"/>
        <item m="1" x="38"/>
        <item m="1" x="19"/>
        <item m="1" x="20"/>
        <item m="1" x="23"/>
        <item m="1" x="34"/>
        <item m="1" x="29"/>
        <item m="1" x="43"/>
        <item m="1" x="33"/>
        <item m="1" x="28"/>
        <item m="1" x="35"/>
        <item x="11"/>
        <item x="12"/>
        <item m="1" x="41"/>
        <item m="1" x="40"/>
        <item m="1" x="44"/>
        <item m="1" x="16"/>
        <item m="1" x="17"/>
        <item m="1" x="39"/>
        <item m="1" x="42"/>
        <item m="1" x="18"/>
        <item m="1" x="45"/>
        <item x="13"/>
        <item m="1" x="26"/>
        <item m="1" x="24"/>
        <item m="1" x="22"/>
        <item m="1" x="36"/>
        <item m="1" x="37"/>
        <item x="14"/>
      </items>
    </pivotField>
    <pivotField axis="axisRow" showAll="0">
      <items count="2">
        <item x="0"/>
        <item t="default"/>
      </items>
    </pivotField>
    <pivotField axis="axisRow" showAll="0">
      <items count="47">
        <item x="0"/>
        <item x="1"/>
        <item x="2"/>
        <item x="3"/>
        <item x="4"/>
        <item x="5"/>
        <item x="6"/>
        <item x="7"/>
        <item x="8"/>
        <item x="9"/>
        <item x="10"/>
        <item m="1" x="32"/>
        <item m="1" x="36"/>
        <item m="1" x="43"/>
        <item m="1" x="17"/>
        <item m="1" x="26"/>
        <item m="1" x="24"/>
        <item m="1" x="35"/>
        <item m="1" x="29"/>
        <item m="1" x="23"/>
        <item m="1" x="45"/>
        <item m="1" x="44"/>
        <item m="1" x="30"/>
        <item m="1" x="31"/>
        <item m="1" x="34"/>
        <item m="1" x="27"/>
        <item m="1" x="41"/>
        <item m="1" x="22"/>
        <item x="11"/>
        <item x="12"/>
        <item m="1" x="19"/>
        <item m="1" x="16"/>
        <item m="1" x="25"/>
        <item m="1" x="42"/>
        <item m="1" x="38"/>
        <item m="1" x="15"/>
        <item m="1" x="33"/>
        <item m="1" x="18"/>
        <item m="1" x="28"/>
        <item x="13"/>
        <item m="1" x="37"/>
        <item m="1" x="20"/>
        <item m="1" x="40"/>
        <item m="1" x="39"/>
        <item m="1" x="21"/>
        <item x="14"/>
        <item t="default"/>
      </items>
    </pivotField>
    <pivotField axis="axisRow" showAll="0">
      <items count="2">
        <item x="0"/>
        <item t="default"/>
      </items>
    </pivotField>
    <pivotField axis="axisRow" showAll="0">
      <items count="51">
        <item x="0"/>
        <item x="1"/>
        <item x="2"/>
        <item x="3"/>
        <item x="4"/>
        <item x="5"/>
        <item x="6"/>
        <item x="7"/>
        <item x="8"/>
        <item x="9"/>
        <item x="10"/>
        <item x="11"/>
        <item x="12"/>
        <item x="13"/>
        <item m="1" x="42"/>
        <item m="1" x="39"/>
        <item m="1" x="19"/>
        <item m="1" x="36"/>
        <item m="1" x="49"/>
        <item m="1" x="37"/>
        <item m="1" x="43"/>
        <item m="1" x="24"/>
        <item m="1" x="45"/>
        <item m="1" x="41"/>
        <item m="1" x="23"/>
        <item m="1" x="34"/>
        <item m="1" x="21"/>
        <item m="1" x="38"/>
        <item m="1" x="30"/>
        <item m="1" x="48"/>
        <item m="1" x="33"/>
        <item x="14"/>
        <item x="15"/>
        <item m="1" x="31"/>
        <item m="1" x="29"/>
        <item m="1" x="28"/>
        <item m="1" x="47"/>
        <item m="1" x="25"/>
        <item m="1" x="40"/>
        <item m="1" x="46"/>
        <item m="1" x="26"/>
        <item m="1" x="27"/>
        <item x="17"/>
        <item m="1" x="22"/>
        <item m="1" x="20"/>
        <item m="1" x="44"/>
        <item m="1" x="35"/>
        <item m="1" x="32"/>
        <item x="16"/>
        <item x="18"/>
        <item t="default"/>
      </items>
    </pivotField>
    <pivotField axis="axisRow" showAll="0">
      <items count="2">
        <item x="0"/>
        <item t="default"/>
      </items>
    </pivotField>
    <pivotField axis="axisRow" showAll="0">
      <items count="2">
        <item x="0"/>
        <item t="default"/>
      </items>
    </pivotField>
    <pivotField axis="axisRow" showAll="0">
      <items count="2">
        <item x="0"/>
        <item t="default"/>
      </items>
    </pivotField>
    <pivotField axis="axisRow" showAll="0">
      <items count="2">
        <item x="0"/>
        <item t="default"/>
      </items>
    </pivotField>
    <pivotField axis="axisRow" showAll="0">
      <items count="2">
        <item x="0"/>
        <item t="default"/>
      </items>
    </pivotField>
    <pivotField axis="axisRow" showAll="0">
      <items count="38">
        <item x="0"/>
        <item x="1"/>
        <item x="2"/>
        <item x="3"/>
        <item x="4"/>
        <item x="5"/>
        <item x="6"/>
        <item x="7"/>
        <item x="8"/>
        <item x="9"/>
        <item m="1" x="12"/>
        <item m="1" x="13"/>
        <item m="1" x="14"/>
        <item m="1" x="15"/>
        <item m="1" x="28"/>
        <item m="1" x="32"/>
        <item m="1" x="16"/>
        <item m="1" x="33"/>
        <item m="1" x="34"/>
        <item m="1" x="26"/>
        <item m="1" x="29"/>
        <item m="1" x="30"/>
        <item m="1" x="17"/>
        <item m="1" x="18"/>
        <item m="1" x="22"/>
        <item m="1" x="23"/>
        <item x="10"/>
        <item x="11"/>
        <item m="1" x="27"/>
        <item m="1" x="19"/>
        <item m="1" x="24"/>
        <item m="1" x="20"/>
        <item m="1" x="25"/>
        <item m="1" x="31"/>
        <item m="1" x="21"/>
        <item m="1" x="35"/>
        <item m="1" x="36"/>
        <item t="default"/>
      </items>
    </pivotField>
    <pivotField axis="axisRow" showAll="0">
      <items count="77">
        <item x="0"/>
        <item x="2"/>
        <item x="3"/>
        <item x="1"/>
        <item m="1" x="61"/>
        <item x="4"/>
        <item x="5"/>
        <item x="6"/>
        <item x="7"/>
        <item x="8"/>
        <item x="9"/>
        <item x="10"/>
        <item x="11"/>
        <item m="1" x="45"/>
        <item m="1" x="64"/>
        <item m="1" x="65"/>
        <item m="1" x="51"/>
        <item m="1" x="54"/>
        <item m="1" x="44"/>
        <item m="1" x="63"/>
        <item m="1" x="52"/>
        <item m="1" x="53"/>
        <item m="1" x="57"/>
        <item m="1" x="67"/>
        <item m="1" x="75"/>
        <item m="1" x="56"/>
        <item m="1" x="62"/>
        <item m="1" x="74"/>
        <item m="1" x="55"/>
        <item x="31"/>
        <item x="32"/>
        <item m="1" x="69"/>
        <item m="1" x="59"/>
        <item m="1" x="58"/>
        <item m="1" x="68"/>
        <item m="1" x="48"/>
        <item m="1" x="72"/>
        <item m="1" x="71"/>
        <item m="1" x="73"/>
        <item x="42"/>
        <item m="1" x="50"/>
        <item m="1" x="70"/>
        <item m="1" x="60"/>
        <item m="1" x="46"/>
        <item m="1" x="47"/>
        <item x="12"/>
        <item x="13"/>
        <item x="14"/>
        <item x="15"/>
        <item x="16"/>
        <item x="17"/>
        <item x="18"/>
        <item x="19"/>
        <item x="20"/>
        <item x="21"/>
        <item x="22"/>
        <item x="23"/>
        <item x="24"/>
        <item x="25"/>
        <item x="26"/>
        <item x="27"/>
        <item x="28"/>
        <item x="29"/>
        <item m="1" x="66"/>
        <item x="33"/>
        <item x="34"/>
        <item x="35"/>
        <item x="36"/>
        <item m="1" x="49"/>
        <item x="38"/>
        <item x="39"/>
        <item x="40"/>
        <item x="41"/>
        <item x="30"/>
        <item x="37"/>
        <item x="43"/>
        <item t="default"/>
      </items>
    </pivotField>
    <pivotField axis="axisRow" showAll="0">
      <items count="2">
        <item x="0"/>
        <item t="default"/>
      </items>
    </pivotField>
    <pivotField axis="axisRow" showAll="0">
      <items count="5">
        <item x="0"/>
        <item x="1"/>
        <item x="2"/>
        <item x="3"/>
        <item t="default"/>
      </items>
    </pivotField>
    <pivotField axis="axisRow" showAll="0">
      <items count="2">
        <item x="0"/>
        <item t="default"/>
      </items>
    </pivotField>
    <pivotField axis="axisRow" showAll="0">
      <items count="108">
        <item x="0"/>
        <item m="1" x="73"/>
        <item m="1" x="88"/>
        <item m="1" x="74"/>
        <item m="1" x="54"/>
        <item m="1" x="97"/>
        <item m="1" x="84"/>
        <item m="1" x="86"/>
        <item m="1" x="60"/>
        <item m="1" x="58"/>
        <item m="1" x="83"/>
        <item m="1" x="52"/>
        <item m="1" x="106"/>
        <item m="1" x="85"/>
        <item m="1" x="51"/>
        <item m="1" x="104"/>
        <item m="1" x="48"/>
        <item m="1" x="62"/>
        <item m="1" x="79"/>
        <item m="1" x="75"/>
        <item m="1" x="82"/>
        <item m="1" x="94"/>
        <item m="1" x="40"/>
        <item m="1" x="80"/>
        <item m="1" x="43"/>
        <item m="1" x="59"/>
        <item m="1" x="78"/>
        <item m="1" x="81"/>
        <item m="1" x="49"/>
        <item m="1" x="53"/>
        <item m="1" x="98"/>
        <item m="1" x="66"/>
        <item m="1" x="57"/>
        <item m="1" x="87"/>
        <item m="1" x="47"/>
        <item m="1" x="76"/>
        <item m="1" x="91"/>
        <item m="1" x="61"/>
        <item m="1" x="72"/>
        <item m="1" x="50"/>
        <item m="1" x="44"/>
        <item m="1" x="55"/>
        <item m="1" x="63"/>
        <item m="1" x="64"/>
        <item m="1" x="90"/>
        <item m="1" x="103"/>
        <item m="1" x="92"/>
        <item m="1" x="68"/>
        <item m="1" x="41"/>
        <item m="1" x="99"/>
        <item m="1" x="77"/>
        <item m="1" x="102"/>
        <item m="1" x="67"/>
        <item m="1" x="95"/>
        <item m="1" x="70"/>
        <item m="1" x="42"/>
        <item m="1" x="65"/>
        <item m="1" x="56"/>
        <item m="1" x="45"/>
        <item m="1" x="100"/>
        <item m="1" x="71"/>
        <item m="1" x="46"/>
        <item m="1" x="101"/>
        <item m="1" x="96"/>
        <item m="1" x="89"/>
        <item m="1" x="69"/>
        <item m="1" x="105"/>
        <item m="1" x="93"/>
        <item x="1"/>
        <item x="2"/>
        <item x="3"/>
        <item x="4"/>
        <item x="5"/>
        <item x="6"/>
        <item x="7"/>
        <item x="8"/>
        <item x="9"/>
        <item x="10"/>
        <item x="11"/>
        <item x="12"/>
        <item x="13"/>
        <item x="14"/>
        <item x="15"/>
        <item x="16"/>
        <item x="17"/>
        <item x="18"/>
        <item x="19"/>
        <item x="20"/>
        <item x="21"/>
        <item x="22"/>
        <item x="23"/>
        <item x="25"/>
        <item x="26"/>
        <item x="27"/>
        <item x="28"/>
        <item x="29"/>
        <item x="30"/>
        <item x="31"/>
        <item x="32"/>
        <item x="33"/>
        <item x="34"/>
        <item x="35"/>
        <item x="36"/>
        <item x="37"/>
        <item x="38"/>
        <item x="39"/>
        <item x="24"/>
        <item t="default"/>
      </items>
    </pivotField>
    <pivotField axis="axisRow" showAll="0">
      <items count="6">
        <item x="0"/>
        <item x="1"/>
        <item x="2"/>
        <item x="3"/>
        <item x="4"/>
        <item t="default"/>
      </items>
    </pivotField>
    <pivotField axis="axisRow" showAll="0">
      <items count="2">
        <item x="0"/>
        <item t="default"/>
      </items>
    </pivotField>
    <pivotField axis="axisRow" showAll="0">
      <items count="7">
        <item x="0"/>
        <item x="1"/>
        <item x="2"/>
        <item x="3"/>
        <item x="4"/>
        <item x="5"/>
        <item t="default"/>
      </items>
    </pivotField>
    <pivotField axis="axisRow" showAll="0">
      <items count="2">
        <item x="0"/>
        <item t="default"/>
      </items>
    </pivotField>
    <pivotField axis="axisRow" showAll="0">
      <items count="4">
        <item x="0"/>
        <item x="1"/>
        <item x="2"/>
        <item t="default"/>
      </items>
    </pivotField>
    <pivotField axis="axisRow" showAll="0">
      <items count="7">
        <item x="0"/>
        <item x="1"/>
        <item x="2"/>
        <item x="3"/>
        <item x="4"/>
        <item x="5"/>
        <item t="default"/>
      </items>
    </pivotField>
    <pivotField axis="axisRow" showAll="0">
      <items count="2">
        <item x="0"/>
        <item t="default"/>
      </items>
    </pivotField>
    <pivotField axis="axisRow" showAll="0">
      <items count="2">
        <item x="0"/>
        <item t="default"/>
      </items>
    </pivotField>
    <pivotField axis="axisRow" showAll="0">
      <items count="2">
        <item x="0"/>
        <item t="default"/>
      </items>
    </pivotField>
    <pivotField axis="axisRow" showAll="0">
      <items count="7">
        <item x="0"/>
        <item x="1"/>
        <item x="2"/>
        <item x="3"/>
        <item x="4"/>
        <item x="5"/>
        <item t="default"/>
      </items>
    </pivotField>
    <pivotField axis="axisRow" showAll="0">
      <items count="2">
        <item x="0"/>
        <item t="default"/>
      </items>
    </pivotField>
    <pivotField axis="axisRow" showAll="0">
      <items count="2">
        <item x="0"/>
        <item t="default"/>
      </items>
    </pivotField>
    <pivotField axis="axisRow" showAll="0">
      <items count="2">
        <item x="0"/>
        <item t="default"/>
      </items>
    </pivotField>
    <pivotField axis="axisRow" showAll="0">
      <items count="2">
        <item x="0"/>
        <item t="default"/>
      </items>
    </pivotField>
    <pivotField axis="axisRow" showAll="0">
      <items count="2">
        <item x="0"/>
        <item t="default"/>
      </items>
    </pivotField>
    <pivotField axis="axisRow" showAll="0">
      <items count="2">
        <item x="0"/>
        <item t="default"/>
      </items>
    </pivotField>
    <pivotField axis="axisRow" showAll="0">
      <items count="2">
        <item x="0"/>
        <item t="default"/>
      </items>
    </pivotField>
    <pivotField axis="axisRow" showAll="0">
      <items count="2">
        <item x="0"/>
        <item t="default"/>
      </items>
    </pivotField>
    <pivotField axis="axisRow" showAll="0">
      <items count="2">
        <item x="0"/>
        <item t="default"/>
      </items>
    </pivotField>
    <pivotField axis="axisRow" showAll="0">
      <items count="2">
        <item x="0"/>
        <item t="default"/>
      </items>
    </pivotField>
    <pivotField axis="axisRow" showAll="0">
      <items count="9">
        <item x="0"/>
        <item x="3"/>
        <item x="4"/>
        <item x="5"/>
        <item x="6"/>
        <item x="7"/>
        <item x="1"/>
        <item x="2"/>
        <item t="default"/>
      </items>
    </pivotField>
    <pivotField axis="axisRow" showAll="0">
      <items count="2">
        <item x="0"/>
        <item t="default"/>
      </items>
    </pivotField>
    <pivotField axis="axisRow" showAll="0">
      <items count="2">
        <item x="0"/>
        <item t="default"/>
      </items>
    </pivotField>
    <pivotField axis="axisRow" showAll="0">
      <items count="4">
        <item x="0"/>
        <item m="1" x="2"/>
        <item x="1"/>
        <item t="default"/>
      </items>
    </pivotField>
    <pivotField axis="axisRow" showAll="0">
      <items count="2">
        <item x="0"/>
        <item t="default"/>
      </items>
    </pivotField>
    <pivotField axis="axisRow" showAll="0">
      <items count="2">
        <item x="0"/>
        <item t="default"/>
      </items>
    </pivotField>
    <pivotField axis="axisRow" showAll="0">
      <items count="4">
        <item x="0"/>
        <item x="1"/>
        <item x="2"/>
        <item t="default"/>
      </items>
    </pivotField>
    <pivotField axis="axisRow" showAll="0">
      <items count="17">
        <item x="0"/>
        <item m="1" x="14"/>
        <item m="1" x="10"/>
        <item m="1" x="11"/>
        <item m="1" x="13"/>
        <item m="1" x="9"/>
        <item m="1" x="15"/>
        <item m="1" x="12"/>
        <item x="8"/>
        <item x="7"/>
        <item x="1"/>
        <item x="2"/>
        <item x="3"/>
        <item x="4"/>
        <item x="5"/>
        <item x="6"/>
        <item t="default"/>
      </items>
    </pivotField>
    <pivotField axis="axisRow" showAll="0">
      <items count="4">
        <item x="0"/>
        <item m="1" x="2"/>
        <item m="1" x="1"/>
        <item t="default"/>
      </items>
    </pivotField>
    <pivotField axis="axisRow" showAll="0">
      <items count="2">
        <item x="0"/>
        <item t="default"/>
      </items>
    </pivotField>
    <pivotField axis="axisRow" showAll="0">
      <items count="2">
        <item x="0"/>
        <item t="default"/>
      </items>
    </pivotField>
    <pivotField axis="axisRow" showAll="0">
      <items count="2">
        <item x="0"/>
        <item t="default"/>
      </items>
    </pivotField>
    <pivotField axis="axisRow" showAll="0">
      <items count="2">
        <item x="0"/>
        <item t="default"/>
      </items>
    </pivotField>
    <pivotField axis="axisRow" showAll="0">
      <items count="2">
        <item x="0"/>
        <item t="default"/>
      </items>
    </pivotField>
    <pivotField axis="axisRow" showAll="0">
      <items count="2">
        <item x="0"/>
        <item t="default"/>
      </items>
    </pivotField>
    <pivotField axis="axisRow" showAll="0">
      <items count="2">
        <item x="0"/>
        <item t="default"/>
      </items>
    </pivotField>
    <pivotField axis="axisRow" showAll="0">
      <items count="2">
        <item x="0"/>
        <item t="default"/>
      </items>
    </pivotField>
    <pivotField axis="axisRow" showAll="0">
      <items count="3">
        <item x="0"/>
        <item x="1"/>
        <item t="default"/>
      </items>
    </pivotField>
    <pivotField axis="axisRow" showAll="0">
      <items count="4">
        <item x="0"/>
        <item x="1"/>
        <item x="2"/>
        <item t="default"/>
      </items>
    </pivotField>
    <pivotField axis="axisRow" showAll="0" defaultSubtotal="0">
      <items count="5">
        <item x="0"/>
        <item m="1" x="4"/>
        <item m="1" x="3"/>
        <item x="1"/>
        <item x="2"/>
      </items>
    </pivotField>
    <pivotField axis="axisRow" showAll="0" defaultSubtotal="0">
      <items count="2">
        <item x="0"/>
        <item x="1"/>
      </items>
    </pivotField>
    <pivotField axis="axisRow" showAll="0" defaultSubtotal="0">
      <items count="2">
        <item x="0"/>
        <item x="1"/>
      </items>
    </pivotField>
    <pivotField axis="axisRow" showAll="0" defaultSubtotal="0">
      <items count="3">
        <item x="0"/>
        <item x="1"/>
        <item x="2"/>
      </items>
    </pivotField>
    <pivotField axis="axisRow" showAll="0" defaultSubtotal="0">
      <items count="3">
        <item x="0"/>
        <item x="1"/>
        <item x="2"/>
      </items>
    </pivotField>
    <pivotField axis="axisRow" showAll="0" defaultSubtotal="0">
      <items count="3">
        <item x="0"/>
        <item x="1"/>
        <item x="2"/>
      </items>
    </pivotField>
    <pivotField axis="axisRow" showAll="0" defaultSubtotal="0">
      <items count="3">
        <item x="0"/>
        <item x="1"/>
        <item x="2"/>
      </items>
    </pivotField>
    <pivotField axis="axisRow" showAll="0" defaultSubtotal="0">
      <items count="2">
        <item x="0"/>
        <item x="1"/>
      </items>
    </pivotField>
    <pivotField axis="axisRow" showAll="0" defaultSubtotal="0">
      <items count="2">
        <item x="0"/>
        <item x="1"/>
      </items>
    </pivotField>
    <pivotField axis="axisRow" showAll="0" defaultSubtotal="0">
      <items count="1">
        <item x="0"/>
      </items>
    </pivotField>
    <pivotField axis="axisRow" showAll="0" defaultSubtotal="0">
      <items count="1">
        <item x="0"/>
      </items>
    </pivotField>
    <pivotField axis="axisRow" showAll="0" defaultSubtotal="0">
      <items count="2">
        <item x="0"/>
        <item x="1"/>
      </items>
    </pivotField>
    <pivotField axis="axisRow" showAll="0" defaultSubtotal="0">
      <items count="2">
        <item x="0"/>
        <item x="1"/>
      </items>
    </pivotField>
    <pivotField axis="axisRow" showAll="0" defaultSubtotal="0">
      <items count="2">
        <item x="0"/>
        <item x="1"/>
      </items>
    </pivotField>
    <pivotField axis="axisRow" showAll="0" defaultSubtotal="0">
      <items count="2">
        <item x="0"/>
        <item x="1"/>
      </items>
    </pivotField>
    <pivotField axis="axisRow" showAll="0" defaultSubtotal="0">
      <items count="2">
        <item x="0"/>
        <item x="1"/>
      </items>
    </pivotField>
    <pivotField axis="axisRow" showAll="0" defaultSubtotal="0">
      <items count="3">
        <item x="0"/>
        <item x="1"/>
        <item x="2"/>
      </items>
    </pivotField>
    <pivotField axis="axisRow" showAll="0" defaultSubtotal="0">
      <items count="1">
        <item x="0"/>
      </items>
    </pivotField>
    <pivotField axis="axisRow" showAll="0" defaultSubtotal="0">
      <items count="1">
        <item x="0"/>
      </items>
    </pivotField>
    <pivotField axis="axisRow" showAll="0" defaultSubtotal="0">
      <items count="1">
        <item x="0"/>
      </items>
    </pivotField>
    <pivotField axis="axisRow" showAll="0" defaultSubtotal="0">
      <items count="1">
        <item x="0"/>
      </items>
    </pivotField>
  </pivotFields>
  <rowFields count="94">
    <field x="4"/>
    <field x="190"/>
    <field x="195"/>
    <field x="196"/>
    <field x="197"/>
    <field x="191"/>
    <field x="192"/>
    <field x="193"/>
    <field x="194"/>
    <field x="198"/>
    <field x="199"/>
    <field x="200"/>
    <field x="201"/>
    <field x="202"/>
    <field x="203"/>
    <field x="204"/>
    <field x="205"/>
    <field x="208"/>
    <field x="209"/>
    <field x="210"/>
    <field x="211"/>
    <field x="212"/>
    <field x="213"/>
    <field x="214"/>
    <field x="215"/>
    <field x="216"/>
    <field x="217"/>
    <field x="218"/>
    <field x="219"/>
    <field x="220"/>
    <field x="221"/>
    <field x="222"/>
    <field x="223"/>
    <field x="224"/>
    <field x="225"/>
    <field x="226"/>
    <field x="227"/>
    <field x="228"/>
    <field x="229"/>
    <field x="230"/>
    <field x="231"/>
    <field x="232"/>
    <field x="233"/>
    <field x="234"/>
    <field x="235"/>
    <field x="236"/>
    <field x="237"/>
    <field x="238"/>
    <field x="239"/>
    <field x="240"/>
    <field x="241"/>
    <field x="242"/>
    <field x="243"/>
    <field x="244"/>
    <field x="245"/>
    <field x="246"/>
    <field x="247"/>
    <field x="248"/>
    <field x="249"/>
    <field x="250"/>
    <field x="251"/>
    <field x="252"/>
    <field x="253"/>
    <field x="254"/>
    <field x="255"/>
    <field x="256"/>
    <field x="257"/>
    <field x="258"/>
    <field x="260"/>
    <field x="259"/>
    <field x="261"/>
    <field x="206"/>
    <field x="207"/>
    <field x="262"/>
    <field x="263"/>
    <field x="264"/>
    <field x="265"/>
    <field x="266"/>
    <field x="267"/>
    <field x="269"/>
    <field x="268"/>
    <field x="270"/>
    <field x="271"/>
    <field x="272"/>
    <field x="273"/>
    <field x="274"/>
    <field x="275"/>
    <field x="276"/>
    <field x="277"/>
    <field x="278"/>
    <field x="279"/>
    <field x="280"/>
    <field x="281"/>
    <field x="282"/>
  </rowFields>
  <rowItems count="929">
    <i>
      <x v="3"/>
    </i>
    <i r="1">
      <x/>
    </i>
    <i r="2">
      <x v="197"/>
    </i>
    <i r="3">
      <x/>
    </i>
    <i r="4">
      <x/>
    </i>
    <i r="5">
      <x/>
    </i>
    <i r="6">
      <x/>
    </i>
    <i r="7">
      <x/>
    </i>
    <i r="8">
      <x/>
    </i>
    <i r="9">
      <x v="89"/>
    </i>
    <i r="10">
      <x v="157"/>
    </i>
    <i r="11">
      <x/>
    </i>
    <i r="12">
      <x/>
    </i>
    <i r="13">
      <x/>
    </i>
    <i r="14">
      <x/>
    </i>
    <i r="15">
      <x/>
    </i>
    <i r="16">
      <x/>
    </i>
    <i r="17">
      <x/>
    </i>
    <i r="18">
      <x/>
    </i>
    <i r="19">
      <x/>
    </i>
    <i r="20">
      <x/>
    </i>
    <i r="21">
      <x/>
    </i>
    <i r="22">
      <x/>
    </i>
    <i r="23">
      <x/>
    </i>
    <i r="24">
      <x/>
    </i>
    <i r="25">
      <x/>
    </i>
    <i r="26">
      <x/>
    </i>
    <i r="27">
      <x/>
    </i>
    <i r="28">
      <x/>
    </i>
    <i r="29">
      <x/>
    </i>
    <i r="30">
      <x/>
    </i>
    <i r="31">
      <x/>
    </i>
    <i r="32">
      <x/>
    </i>
    <i r="33">
      <x/>
    </i>
    <i r="34">
      <x/>
    </i>
    <i r="35">
      <x/>
    </i>
    <i r="36">
      <x/>
    </i>
    <i r="37">
      <x/>
    </i>
    <i r="38">
      <x/>
    </i>
    <i r="39">
      <x/>
    </i>
    <i r="40">
      <x/>
    </i>
    <i r="41">
      <x/>
    </i>
    <i r="42">
      <x/>
    </i>
    <i r="43">
      <x/>
    </i>
    <i r="44">
      <x/>
    </i>
    <i r="45">
      <x/>
    </i>
    <i r="46">
      <x/>
    </i>
    <i r="47">
      <x/>
    </i>
    <i r="48">
      <x/>
    </i>
    <i r="49">
      <x/>
    </i>
    <i r="50">
      <x/>
    </i>
    <i r="51">
      <x/>
    </i>
    <i r="52">
      <x/>
    </i>
    <i r="53">
      <x/>
    </i>
    <i r="54">
      <x/>
    </i>
    <i r="55">
      <x/>
    </i>
    <i r="56">
      <x/>
    </i>
    <i r="57">
      <x/>
    </i>
    <i r="58">
      <x/>
    </i>
    <i r="59">
      <x/>
    </i>
    <i r="60">
      <x/>
    </i>
    <i r="61">
      <x/>
    </i>
    <i r="62">
      <x/>
    </i>
    <i r="63">
      <x/>
    </i>
    <i r="64">
      <x/>
    </i>
    <i r="65">
      <x/>
    </i>
    <i r="66">
      <x/>
    </i>
    <i r="67">
      <x/>
    </i>
    <i r="68">
      <x/>
    </i>
    <i r="69">
      <x/>
    </i>
    <i r="70">
      <x/>
    </i>
    <i r="71">
      <x/>
    </i>
    <i r="72">
      <x/>
    </i>
    <i r="73">
      <x/>
    </i>
    <i r="74">
      <x/>
    </i>
    <i r="75">
      <x/>
    </i>
    <i r="76">
      <x/>
    </i>
    <i r="77">
      <x/>
    </i>
    <i r="78">
      <x/>
    </i>
    <i r="79">
      <x/>
    </i>
    <i r="80">
      <x/>
    </i>
    <i r="81">
      <x/>
    </i>
    <i r="82">
      <x/>
    </i>
    <i r="83">
      <x/>
    </i>
    <i r="84">
      <x/>
    </i>
    <i r="85">
      <x/>
    </i>
    <i r="86">
      <x/>
    </i>
    <i r="87">
      <x/>
    </i>
    <i r="88">
      <x/>
    </i>
    <i r="89">
      <x/>
    </i>
    <i r="90">
      <x/>
    </i>
    <i r="91">
      <x/>
    </i>
    <i r="92">
      <x/>
    </i>
    <i r="93">
      <x/>
    </i>
    <i r="2">
      <x v="199"/>
    </i>
    <i r="3">
      <x/>
    </i>
    <i r="4">
      <x/>
    </i>
    <i r="5">
      <x/>
    </i>
    <i r="6">
      <x v="1"/>
    </i>
    <i r="7">
      <x/>
    </i>
    <i r="8">
      <x/>
    </i>
    <i r="9">
      <x/>
    </i>
    <i r="10">
      <x/>
    </i>
    <i r="11">
      <x/>
    </i>
    <i r="12">
      <x/>
    </i>
    <i r="13">
      <x/>
    </i>
    <i r="14">
      <x/>
    </i>
    <i r="15">
      <x/>
    </i>
    <i r="16">
      <x/>
    </i>
    <i r="17">
      <x/>
    </i>
    <i r="18">
      <x/>
    </i>
    <i r="19">
      <x/>
    </i>
    <i r="20">
      <x/>
    </i>
    <i r="21">
      <x/>
    </i>
    <i r="22">
      <x/>
    </i>
    <i r="23">
      <x/>
    </i>
    <i r="24">
      <x/>
    </i>
    <i r="25">
      <x/>
    </i>
    <i r="26">
      <x/>
    </i>
    <i r="27">
      <x/>
    </i>
    <i r="28">
      <x/>
    </i>
    <i r="29">
      <x/>
    </i>
    <i r="30">
      <x/>
    </i>
    <i r="31">
      <x/>
    </i>
    <i r="32">
      <x/>
    </i>
    <i r="33">
      <x/>
    </i>
    <i r="34">
      <x/>
    </i>
    <i r="35">
      <x/>
    </i>
    <i r="36">
      <x/>
    </i>
    <i r="37">
      <x/>
    </i>
    <i r="38">
      <x/>
    </i>
    <i r="39">
      <x/>
    </i>
    <i r="40">
      <x/>
    </i>
    <i r="41">
      <x/>
    </i>
    <i r="42">
      <x/>
    </i>
    <i r="43">
      <x/>
    </i>
    <i r="44">
      <x/>
    </i>
    <i r="45">
      <x/>
    </i>
    <i r="46">
      <x/>
    </i>
    <i r="47">
      <x/>
    </i>
    <i r="48">
      <x/>
    </i>
    <i r="49">
      <x/>
    </i>
    <i r="50">
      <x/>
    </i>
    <i r="51">
      <x/>
    </i>
    <i r="52">
      <x/>
    </i>
    <i r="53">
      <x/>
    </i>
    <i r="54">
      <x/>
    </i>
    <i r="55">
      <x/>
    </i>
    <i r="56">
      <x/>
    </i>
    <i r="57">
      <x/>
    </i>
    <i r="58">
      <x/>
    </i>
    <i r="59">
      <x/>
    </i>
    <i r="60">
      <x/>
    </i>
    <i r="61">
      <x/>
    </i>
    <i r="62">
      <x/>
    </i>
    <i r="63">
      <x/>
    </i>
    <i r="64">
      <x/>
    </i>
    <i r="65">
      <x/>
    </i>
    <i r="66">
      <x/>
    </i>
    <i r="67">
      <x/>
    </i>
    <i r="68">
      <x/>
    </i>
    <i r="69">
      <x/>
    </i>
    <i r="70">
      <x/>
    </i>
    <i r="71">
      <x/>
    </i>
    <i r="72">
      <x/>
    </i>
    <i r="73">
      <x/>
    </i>
    <i r="74">
      <x/>
    </i>
    <i r="75">
      <x/>
    </i>
    <i r="76">
      <x/>
    </i>
    <i r="77">
      <x/>
    </i>
    <i r="78">
      <x/>
    </i>
    <i r="79">
      <x v="1"/>
    </i>
    <i r="80">
      <x/>
    </i>
    <i r="81">
      <x v="1"/>
    </i>
    <i r="82">
      <x/>
    </i>
    <i r="83">
      <x/>
    </i>
    <i r="84">
      <x/>
    </i>
    <i r="85">
      <x/>
    </i>
    <i r="86">
      <x/>
    </i>
    <i r="87">
      <x/>
    </i>
    <i r="88">
      <x/>
    </i>
    <i r="89">
      <x/>
    </i>
    <i r="90">
      <x/>
    </i>
    <i r="91">
      <x/>
    </i>
    <i r="92">
      <x/>
    </i>
    <i r="93">
      <x/>
    </i>
    <i r="2">
      <x v="201"/>
    </i>
    <i r="3">
      <x/>
    </i>
    <i r="4">
      <x/>
    </i>
    <i r="5">
      <x/>
    </i>
    <i r="6">
      <x/>
    </i>
    <i r="7">
      <x/>
    </i>
    <i r="8">
      <x/>
    </i>
    <i r="9">
      <x/>
    </i>
    <i r="10">
      <x/>
    </i>
    <i r="11">
      <x/>
    </i>
    <i r="12">
      <x/>
    </i>
    <i r="13">
      <x/>
    </i>
    <i r="14">
      <x/>
    </i>
    <i r="15">
      <x/>
    </i>
    <i r="16">
      <x/>
    </i>
    <i r="17">
      <x/>
    </i>
    <i r="18">
      <x/>
    </i>
    <i r="19">
      <x/>
    </i>
    <i r="20">
      <x/>
    </i>
    <i r="21">
      <x/>
    </i>
    <i r="22">
      <x/>
    </i>
    <i r="23">
      <x/>
    </i>
    <i r="24">
      <x/>
    </i>
    <i r="25">
      <x/>
    </i>
    <i r="26">
      <x/>
    </i>
    <i r="27">
      <x/>
    </i>
    <i r="28">
      <x/>
    </i>
    <i r="29">
      <x/>
    </i>
    <i r="30">
      <x/>
    </i>
    <i r="31">
      <x/>
    </i>
    <i r="32">
      <x/>
    </i>
    <i r="33">
      <x/>
    </i>
    <i r="34">
      <x/>
    </i>
    <i r="35">
      <x/>
    </i>
    <i r="36">
      <x/>
    </i>
    <i r="37">
      <x/>
    </i>
    <i r="38">
      <x/>
    </i>
    <i r="39">
      <x/>
    </i>
    <i r="40">
      <x/>
    </i>
    <i r="41">
      <x/>
    </i>
    <i r="42">
      <x/>
    </i>
    <i r="43">
      <x/>
    </i>
    <i r="44">
      <x/>
    </i>
    <i r="45">
      <x/>
    </i>
    <i r="46">
      <x/>
    </i>
    <i r="47">
      <x/>
    </i>
    <i r="48">
      <x/>
    </i>
    <i r="49">
      <x/>
    </i>
    <i r="50">
      <x/>
    </i>
    <i r="51">
      <x/>
    </i>
    <i r="52">
      <x/>
    </i>
    <i r="53">
      <x/>
    </i>
    <i r="54">
      <x/>
    </i>
    <i r="55">
      <x/>
    </i>
    <i r="56">
      <x/>
    </i>
    <i r="57">
      <x/>
    </i>
    <i r="58">
      <x/>
    </i>
    <i r="59">
      <x v="10"/>
    </i>
    <i r="60">
      <x/>
    </i>
    <i r="61">
      <x/>
    </i>
    <i r="62">
      <x/>
    </i>
    <i r="63">
      <x/>
    </i>
    <i r="64">
      <x/>
    </i>
    <i r="65">
      <x/>
    </i>
    <i r="66">
      <x/>
    </i>
    <i r="67">
      <x/>
    </i>
    <i r="68">
      <x/>
    </i>
    <i r="69">
      <x/>
    </i>
    <i r="70">
      <x/>
    </i>
    <i r="71">
      <x/>
    </i>
    <i r="72">
      <x/>
    </i>
    <i r="73">
      <x/>
    </i>
    <i r="74">
      <x/>
    </i>
    <i r="75">
      <x/>
    </i>
    <i r="76">
      <x/>
    </i>
    <i r="77">
      <x/>
    </i>
    <i r="78">
      <x/>
    </i>
    <i r="79">
      <x/>
    </i>
    <i r="80">
      <x/>
    </i>
    <i r="81">
      <x/>
    </i>
    <i r="82">
      <x/>
    </i>
    <i r="83">
      <x/>
    </i>
    <i r="84">
      <x/>
    </i>
    <i r="85">
      <x/>
    </i>
    <i r="86">
      <x/>
    </i>
    <i r="87">
      <x/>
    </i>
    <i r="88">
      <x/>
    </i>
    <i r="89">
      <x/>
    </i>
    <i r="90">
      <x/>
    </i>
    <i r="91">
      <x/>
    </i>
    <i r="92">
      <x/>
    </i>
    <i r="93">
      <x/>
    </i>
    <i r="2">
      <x v="202"/>
    </i>
    <i r="3">
      <x/>
    </i>
    <i r="4">
      <x/>
    </i>
    <i r="5">
      <x/>
    </i>
    <i r="6">
      <x/>
    </i>
    <i r="7">
      <x/>
    </i>
    <i r="8">
      <x/>
    </i>
    <i r="9">
      <x/>
    </i>
    <i r="10">
      <x/>
    </i>
    <i r="11">
      <x/>
    </i>
    <i r="12">
      <x/>
    </i>
    <i r="13">
      <x/>
    </i>
    <i r="14">
      <x/>
    </i>
    <i r="15">
      <x/>
    </i>
    <i r="16">
      <x/>
    </i>
    <i r="17">
      <x/>
    </i>
    <i r="18">
      <x/>
    </i>
    <i r="19">
      <x/>
    </i>
    <i r="20">
      <x/>
    </i>
    <i r="21">
      <x/>
    </i>
    <i r="22">
      <x/>
    </i>
    <i r="23">
      <x/>
    </i>
    <i r="24">
      <x/>
    </i>
    <i r="25">
      <x/>
    </i>
    <i r="26">
      <x/>
    </i>
    <i r="27">
      <x/>
    </i>
    <i r="28">
      <x/>
    </i>
    <i r="29">
      <x/>
    </i>
    <i r="30">
      <x/>
    </i>
    <i r="31">
      <x/>
    </i>
    <i r="32">
      <x/>
    </i>
    <i r="33">
      <x/>
    </i>
    <i r="34">
      <x/>
    </i>
    <i r="35">
      <x/>
    </i>
    <i r="36">
      <x/>
    </i>
    <i r="37">
      <x/>
    </i>
    <i r="38">
      <x/>
    </i>
    <i r="39">
      <x/>
    </i>
    <i r="40">
      <x/>
    </i>
    <i r="41">
      <x/>
    </i>
    <i r="42">
      <x/>
    </i>
    <i r="43">
      <x/>
    </i>
    <i r="44">
      <x/>
    </i>
    <i r="45">
      <x/>
    </i>
    <i r="46">
      <x/>
    </i>
    <i r="47">
      <x/>
    </i>
    <i r="48">
      <x/>
    </i>
    <i r="49">
      <x/>
    </i>
    <i r="50">
      <x/>
    </i>
    <i r="51">
      <x/>
    </i>
    <i r="52">
      <x/>
    </i>
    <i r="53">
      <x/>
    </i>
    <i r="54">
      <x/>
    </i>
    <i r="55">
      <x/>
    </i>
    <i r="56">
      <x/>
    </i>
    <i r="57">
      <x/>
    </i>
    <i r="58">
      <x/>
    </i>
    <i r="59">
      <x v="11"/>
    </i>
    <i r="60">
      <x/>
    </i>
    <i r="61">
      <x/>
    </i>
    <i r="62">
      <x/>
    </i>
    <i r="63">
      <x/>
    </i>
    <i r="64">
      <x/>
    </i>
    <i r="65">
      <x/>
    </i>
    <i r="66">
      <x/>
    </i>
    <i r="67">
      <x/>
    </i>
    <i r="68">
      <x/>
    </i>
    <i r="69">
      <x/>
    </i>
    <i r="70">
      <x/>
    </i>
    <i r="71">
      <x/>
    </i>
    <i r="72">
      <x/>
    </i>
    <i r="73">
      <x/>
    </i>
    <i r="74">
      <x/>
    </i>
    <i r="75">
      <x/>
    </i>
    <i r="76">
      <x/>
    </i>
    <i r="77">
      <x/>
    </i>
    <i r="78">
      <x/>
    </i>
    <i r="79">
      <x/>
    </i>
    <i r="80">
      <x/>
    </i>
    <i r="81">
      <x/>
    </i>
    <i r="82">
      <x/>
    </i>
    <i r="83">
      <x/>
    </i>
    <i r="84">
      <x/>
    </i>
    <i r="85">
      <x/>
    </i>
    <i r="86">
      <x/>
    </i>
    <i r="87">
      <x/>
    </i>
    <i r="88">
      <x/>
    </i>
    <i r="89">
      <x/>
    </i>
    <i r="90">
      <x/>
    </i>
    <i r="91">
      <x/>
    </i>
    <i r="92">
      <x/>
    </i>
    <i r="93">
      <x/>
    </i>
    <i r="1">
      <x v="21"/>
    </i>
    <i r="2">
      <x v="198"/>
    </i>
    <i r="3">
      <x/>
    </i>
    <i r="4">
      <x/>
    </i>
    <i r="5">
      <x/>
    </i>
    <i r="6">
      <x/>
    </i>
    <i r="7">
      <x/>
    </i>
    <i r="8">
      <x/>
    </i>
    <i r="9">
      <x v="90"/>
    </i>
    <i r="10">
      <x v="158"/>
    </i>
    <i r="11">
      <x/>
    </i>
    <i r="12">
      <x/>
    </i>
    <i r="13">
      <x/>
    </i>
    <i r="14">
      <x/>
    </i>
    <i r="15">
      <x/>
    </i>
    <i r="16">
      <x/>
    </i>
    <i r="17">
      <x/>
    </i>
    <i r="18">
      <x/>
    </i>
    <i r="19">
      <x/>
    </i>
    <i r="20">
      <x/>
    </i>
    <i r="21">
      <x/>
    </i>
    <i r="22">
      <x/>
    </i>
    <i r="23">
      <x/>
    </i>
    <i r="24">
      <x/>
    </i>
    <i r="25">
      <x/>
    </i>
    <i r="26">
      <x/>
    </i>
    <i r="27">
      <x/>
    </i>
    <i r="28">
      <x/>
    </i>
    <i r="29">
      <x/>
    </i>
    <i r="30">
      <x/>
    </i>
    <i r="31">
      <x v="105"/>
    </i>
    <i r="32">
      <x/>
    </i>
    <i r="33">
      <x/>
    </i>
    <i r="34">
      <x/>
    </i>
    <i r="35">
      <x/>
    </i>
    <i r="36">
      <x/>
    </i>
    <i r="37">
      <x/>
    </i>
    <i r="38">
      <x/>
    </i>
    <i r="39">
      <x/>
    </i>
    <i r="40">
      <x/>
    </i>
    <i r="41">
      <x/>
    </i>
    <i r="42">
      <x/>
    </i>
    <i r="43">
      <x/>
    </i>
    <i r="44">
      <x/>
    </i>
    <i r="45">
      <x/>
    </i>
    <i r="46">
      <x/>
    </i>
    <i r="47">
      <x/>
    </i>
    <i r="48">
      <x/>
    </i>
    <i r="49">
      <x/>
    </i>
    <i r="50">
      <x/>
    </i>
    <i r="51">
      <x/>
    </i>
    <i r="52">
      <x/>
    </i>
    <i r="53">
      <x/>
    </i>
    <i r="54">
      <x/>
    </i>
    <i r="55">
      <x/>
    </i>
    <i r="56">
      <x/>
    </i>
    <i r="57">
      <x/>
    </i>
    <i r="58">
      <x/>
    </i>
    <i r="59">
      <x/>
    </i>
    <i r="60">
      <x/>
    </i>
    <i r="61">
      <x/>
    </i>
    <i r="62">
      <x/>
    </i>
    <i r="63">
      <x/>
    </i>
    <i r="64">
      <x/>
    </i>
    <i r="65">
      <x/>
    </i>
    <i r="66">
      <x/>
    </i>
    <i r="67">
      <x/>
    </i>
    <i r="68">
      <x/>
    </i>
    <i r="69">
      <x/>
    </i>
    <i r="70">
      <x/>
    </i>
    <i r="71">
      <x/>
    </i>
    <i r="72">
      <x/>
    </i>
    <i r="73">
      <x/>
    </i>
    <i r="74">
      <x/>
    </i>
    <i r="75">
      <x/>
    </i>
    <i r="76">
      <x/>
    </i>
    <i r="77">
      <x/>
    </i>
    <i r="78">
      <x/>
    </i>
    <i r="79">
      <x/>
    </i>
    <i r="80">
      <x/>
    </i>
    <i r="81">
      <x/>
    </i>
    <i r="82">
      <x/>
    </i>
    <i r="83">
      <x/>
    </i>
    <i r="84">
      <x/>
    </i>
    <i r="85">
      <x/>
    </i>
    <i r="86">
      <x/>
    </i>
    <i r="87">
      <x/>
    </i>
    <i r="88">
      <x/>
    </i>
    <i r="89">
      <x/>
    </i>
    <i r="90">
      <x/>
    </i>
    <i r="91">
      <x/>
    </i>
    <i r="92">
      <x/>
    </i>
    <i r="93">
      <x/>
    </i>
    <i r="1">
      <x v="30"/>
    </i>
    <i r="2">
      <x/>
    </i>
    <i r="3">
      <x/>
    </i>
    <i r="4">
      <x/>
    </i>
    <i r="5">
      <x v="43"/>
    </i>
    <i r="6">
      <x/>
    </i>
    <i r="7">
      <x/>
    </i>
    <i r="8">
      <x/>
    </i>
    <i r="9">
      <x v="78"/>
    </i>
    <i r="10">
      <x v="145"/>
    </i>
    <i r="11">
      <x v="44"/>
    </i>
    <i r="12">
      <x/>
    </i>
    <i r="13">
      <x/>
    </i>
    <i r="14">
      <x/>
    </i>
    <i r="15">
      <x/>
    </i>
    <i r="16">
      <x/>
    </i>
    <i r="17">
      <x/>
    </i>
    <i r="18">
      <x/>
    </i>
    <i r="19">
      <x/>
    </i>
    <i r="20">
      <x/>
    </i>
    <i r="21">
      <x/>
    </i>
    <i r="22">
      <x/>
    </i>
    <i r="23">
      <x/>
    </i>
    <i r="24">
      <x/>
    </i>
    <i r="25">
      <x/>
    </i>
    <i r="26">
      <x/>
    </i>
    <i r="27">
      <x/>
    </i>
    <i r="28">
      <x/>
    </i>
    <i r="29">
      <x/>
    </i>
    <i r="30">
      <x/>
    </i>
    <i r="31">
      <x/>
    </i>
    <i r="32">
      <x/>
    </i>
    <i r="33">
      <x/>
    </i>
    <i r="34">
      <x/>
    </i>
    <i r="35">
      <x/>
    </i>
    <i r="36">
      <x/>
    </i>
    <i r="37">
      <x/>
    </i>
    <i r="38">
      <x/>
    </i>
    <i r="39">
      <x/>
    </i>
    <i r="40">
      <x/>
    </i>
    <i r="41">
      <x/>
    </i>
    <i r="42">
      <x/>
    </i>
    <i r="43">
      <x/>
    </i>
    <i r="44">
      <x/>
    </i>
    <i r="45">
      <x/>
    </i>
    <i r="46">
      <x/>
    </i>
    <i r="47">
      <x/>
    </i>
    <i r="48">
      <x/>
    </i>
    <i r="49">
      <x/>
    </i>
    <i r="50">
      <x/>
    </i>
    <i r="51">
      <x/>
    </i>
    <i r="52">
      <x/>
    </i>
    <i r="53">
      <x/>
    </i>
    <i r="54">
      <x/>
    </i>
    <i r="55">
      <x/>
    </i>
    <i r="56">
      <x/>
    </i>
    <i r="57">
      <x/>
    </i>
    <i r="58">
      <x/>
    </i>
    <i r="59">
      <x/>
    </i>
    <i r="60">
      <x/>
    </i>
    <i r="61">
      <x/>
    </i>
    <i r="62">
      <x/>
    </i>
    <i r="63">
      <x/>
    </i>
    <i r="64">
      <x/>
    </i>
    <i r="65">
      <x/>
    </i>
    <i r="66">
      <x/>
    </i>
    <i r="67">
      <x/>
    </i>
    <i r="68">
      <x/>
    </i>
    <i r="69">
      <x/>
    </i>
    <i r="70">
      <x/>
    </i>
    <i r="71">
      <x/>
    </i>
    <i r="72">
      <x/>
    </i>
    <i r="73">
      <x/>
    </i>
    <i r="74">
      <x/>
    </i>
    <i r="75">
      <x/>
    </i>
    <i r="76">
      <x/>
    </i>
    <i r="77">
      <x/>
    </i>
    <i r="78">
      <x/>
    </i>
    <i r="79">
      <x/>
    </i>
    <i r="80">
      <x/>
    </i>
    <i r="81">
      <x/>
    </i>
    <i r="82">
      <x/>
    </i>
    <i r="83">
      <x/>
    </i>
    <i r="84">
      <x/>
    </i>
    <i r="85">
      <x/>
    </i>
    <i r="86">
      <x/>
    </i>
    <i r="87">
      <x/>
    </i>
    <i r="88">
      <x/>
    </i>
    <i r="89">
      <x/>
    </i>
    <i r="90">
      <x/>
    </i>
    <i r="91">
      <x/>
    </i>
    <i r="92">
      <x/>
    </i>
    <i r="93">
      <x/>
    </i>
    <i r="1">
      <x v="32"/>
    </i>
    <i r="2">
      <x v="200"/>
    </i>
    <i r="3">
      <x/>
    </i>
    <i r="4">
      <x/>
    </i>
    <i r="5">
      <x/>
    </i>
    <i r="6">
      <x/>
    </i>
    <i r="7">
      <x/>
    </i>
    <i r="8">
      <x/>
    </i>
    <i r="9">
      <x v="91"/>
    </i>
    <i r="10">
      <x v="159"/>
    </i>
    <i r="11">
      <x/>
    </i>
    <i r="12">
      <x/>
    </i>
    <i r="13">
      <x/>
    </i>
    <i r="14">
      <x/>
    </i>
    <i r="15">
      <x/>
    </i>
    <i r="16">
      <x/>
    </i>
    <i r="17">
      <x/>
    </i>
    <i r="18">
      <x/>
    </i>
    <i r="19">
      <x/>
    </i>
    <i r="20">
      <x/>
    </i>
    <i r="21">
      <x/>
    </i>
    <i r="22">
      <x/>
    </i>
    <i r="23">
      <x/>
    </i>
    <i r="24">
      <x/>
    </i>
    <i r="25">
      <x/>
    </i>
    <i r="26">
      <x/>
    </i>
    <i r="27">
      <x/>
    </i>
    <i r="28">
      <x/>
    </i>
    <i r="29">
      <x/>
    </i>
    <i r="30">
      <x/>
    </i>
    <i r="31">
      <x/>
    </i>
    <i r="32">
      <x/>
    </i>
    <i r="33">
      <x/>
    </i>
    <i r="34">
      <x/>
    </i>
    <i r="35">
      <x/>
    </i>
    <i r="36">
      <x/>
    </i>
    <i r="37">
      <x/>
    </i>
    <i r="38">
      <x/>
    </i>
    <i r="39">
      <x/>
    </i>
    <i r="40">
      <x/>
    </i>
    <i r="41">
      <x/>
    </i>
    <i r="42">
      <x/>
    </i>
    <i r="43">
      <x/>
    </i>
    <i r="44">
      <x/>
    </i>
    <i r="45">
      <x/>
    </i>
    <i r="46">
      <x/>
    </i>
    <i r="47">
      <x/>
    </i>
    <i r="48">
      <x/>
    </i>
    <i r="49">
      <x/>
    </i>
    <i r="50">
      <x/>
    </i>
    <i r="51">
      <x/>
    </i>
    <i r="52">
      <x/>
    </i>
    <i r="53">
      <x/>
    </i>
    <i r="54">
      <x/>
    </i>
    <i r="55">
      <x/>
    </i>
    <i r="56">
      <x/>
    </i>
    <i r="57">
      <x/>
    </i>
    <i r="58">
      <x/>
    </i>
    <i r="59">
      <x/>
    </i>
    <i r="60">
      <x/>
    </i>
    <i r="61">
      <x/>
    </i>
    <i r="62">
      <x/>
    </i>
    <i r="63">
      <x/>
    </i>
    <i r="64">
      <x/>
    </i>
    <i r="65">
      <x/>
    </i>
    <i r="66">
      <x/>
    </i>
    <i r="67">
      <x/>
    </i>
    <i r="68">
      <x/>
    </i>
    <i r="69">
      <x/>
    </i>
    <i r="70">
      <x/>
    </i>
    <i r="71">
      <x/>
    </i>
    <i r="72">
      <x/>
    </i>
    <i r="73">
      <x/>
    </i>
    <i r="74">
      <x/>
    </i>
    <i r="75">
      <x/>
    </i>
    <i r="76">
      <x/>
    </i>
    <i r="77">
      <x/>
    </i>
    <i r="78">
      <x/>
    </i>
    <i r="79">
      <x/>
    </i>
    <i r="80">
      <x/>
    </i>
    <i r="81">
      <x/>
    </i>
    <i r="82">
      <x/>
    </i>
    <i r="83">
      <x/>
    </i>
    <i r="84">
      <x/>
    </i>
    <i r="85">
      <x/>
    </i>
    <i r="86">
      <x/>
    </i>
    <i r="87">
      <x/>
    </i>
    <i r="88">
      <x/>
    </i>
    <i r="89">
      <x/>
    </i>
    <i r="90">
      <x/>
    </i>
    <i r="91">
      <x/>
    </i>
    <i r="92">
      <x/>
    </i>
    <i r="93">
      <x/>
    </i>
    <i r="1">
      <x v="36"/>
    </i>
    <i r="2">
      <x/>
    </i>
    <i r="3">
      <x/>
    </i>
    <i r="4">
      <x/>
    </i>
    <i r="5">
      <x v="36"/>
    </i>
    <i r="6">
      <x/>
    </i>
    <i r="7">
      <x/>
    </i>
    <i r="8">
      <x/>
    </i>
    <i r="9">
      <x v="36"/>
    </i>
    <i r="10">
      <x v="119"/>
    </i>
    <i r="11">
      <x/>
    </i>
    <i r="12">
      <x/>
    </i>
    <i r="13">
      <x/>
    </i>
    <i r="14">
      <x/>
    </i>
    <i r="15">
      <x/>
    </i>
    <i r="16">
      <x/>
    </i>
    <i r="17">
      <x/>
    </i>
    <i r="18">
      <x/>
    </i>
    <i r="19">
      <x/>
    </i>
    <i r="20">
      <x/>
    </i>
    <i r="21">
      <x/>
    </i>
    <i r="22">
      <x/>
    </i>
    <i r="23">
      <x/>
    </i>
    <i r="24">
      <x/>
    </i>
    <i r="25">
      <x/>
    </i>
    <i r="26">
      <x/>
    </i>
    <i r="27">
      <x/>
    </i>
    <i r="28">
      <x/>
    </i>
    <i r="29">
      <x/>
    </i>
    <i r="30">
      <x/>
    </i>
    <i r="31">
      <x/>
    </i>
    <i r="32">
      <x/>
    </i>
    <i r="33">
      <x/>
    </i>
    <i r="34">
      <x/>
    </i>
    <i r="35">
      <x/>
    </i>
    <i r="36">
      <x/>
    </i>
    <i r="37">
      <x/>
    </i>
    <i r="38">
      <x/>
    </i>
    <i r="39">
      <x/>
    </i>
    <i r="40">
      <x/>
    </i>
    <i r="41">
      <x/>
    </i>
    <i r="42">
      <x/>
    </i>
    <i r="43">
      <x/>
    </i>
    <i r="44">
      <x/>
    </i>
    <i r="45">
      <x/>
    </i>
    <i r="46">
      <x/>
    </i>
    <i r="47">
      <x/>
    </i>
    <i r="48">
      <x/>
    </i>
    <i r="49">
      <x/>
    </i>
    <i r="50">
      <x/>
    </i>
    <i r="51">
      <x/>
    </i>
    <i r="52">
      <x/>
    </i>
    <i r="53">
      <x/>
    </i>
    <i r="54">
      <x/>
    </i>
    <i r="55">
      <x/>
    </i>
    <i r="56">
      <x/>
    </i>
    <i r="57">
      <x/>
    </i>
    <i r="58">
      <x/>
    </i>
    <i r="59">
      <x/>
    </i>
    <i r="60">
      <x/>
    </i>
    <i r="61">
      <x/>
    </i>
    <i r="62">
      <x/>
    </i>
    <i r="63">
      <x/>
    </i>
    <i r="64">
      <x/>
    </i>
    <i r="65">
      <x/>
    </i>
    <i r="66">
      <x/>
    </i>
    <i r="67">
      <x/>
    </i>
    <i r="68">
      <x/>
    </i>
    <i r="69">
      <x/>
    </i>
    <i r="70">
      <x/>
    </i>
    <i r="71">
      <x/>
    </i>
    <i r="72">
      <x/>
    </i>
    <i r="73">
      <x/>
    </i>
    <i r="74">
      <x/>
    </i>
    <i r="75">
      <x/>
    </i>
    <i r="76">
      <x/>
    </i>
    <i r="77">
      <x/>
    </i>
    <i r="78">
      <x/>
    </i>
    <i r="79">
      <x/>
    </i>
    <i r="80">
      <x/>
    </i>
    <i r="81">
      <x/>
    </i>
    <i r="82">
      <x/>
    </i>
    <i r="83">
      <x/>
    </i>
    <i r="84">
      <x/>
    </i>
    <i r="85">
      <x/>
    </i>
    <i r="86">
      <x/>
    </i>
    <i r="87">
      <x/>
    </i>
    <i r="88">
      <x/>
    </i>
    <i r="89">
      <x/>
    </i>
    <i r="90">
      <x/>
    </i>
    <i r="91">
      <x/>
    </i>
    <i r="92">
      <x/>
    </i>
    <i r="93">
      <x/>
    </i>
    <i r="1">
      <x v="91"/>
    </i>
    <i r="2">
      <x/>
    </i>
    <i r="3">
      <x/>
    </i>
    <i r="4">
      <x/>
    </i>
    <i r="5">
      <x/>
    </i>
    <i r="6">
      <x/>
    </i>
    <i r="7">
      <x/>
    </i>
    <i r="8">
      <x/>
    </i>
    <i r="9">
      <x v="93"/>
    </i>
    <i r="10">
      <x v="118"/>
    </i>
    <i r="11">
      <x/>
    </i>
    <i r="12">
      <x/>
    </i>
    <i r="13">
      <x/>
    </i>
    <i r="14">
      <x/>
    </i>
    <i r="15">
      <x/>
    </i>
    <i r="16">
      <x/>
    </i>
    <i r="17">
      <x/>
    </i>
    <i r="18">
      <x/>
    </i>
    <i r="19">
      <x/>
    </i>
    <i r="20">
      <x/>
    </i>
    <i r="21">
      <x/>
    </i>
    <i r="22">
      <x/>
    </i>
    <i r="23">
      <x/>
    </i>
    <i r="24">
      <x/>
    </i>
    <i r="25">
      <x/>
    </i>
    <i r="26">
      <x/>
    </i>
    <i r="27">
      <x/>
    </i>
    <i r="28">
      <x/>
    </i>
    <i r="29">
      <x/>
    </i>
    <i r="30">
      <x/>
    </i>
    <i r="31">
      <x v="84"/>
    </i>
    <i r="32">
      <x/>
    </i>
    <i r="33">
      <x/>
    </i>
    <i r="34">
      <x/>
    </i>
    <i r="35">
      <x/>
    </i>
    <i r="36">
      <x/>
    </i>
    <i r="37">
      <x/>
    </i>
    <i r="38">
      <x/>
    </i>
    <i r="39">
      <x/>
    </i>
    <i r="40">
      <x/>
    </i>
    <i r="41">
      <x/>
    </i>
    <i r="42">
      <x/>
    </i>
    <i r="43">
      <x/>
    </i>
    <i r="44">
      <x/>
    </i>
    <i r="45">
      <x/>
    </i>
    <i r="46">
      <x/>
    </i>
    <i r="47">
      <x/>
    </i>
    <i r="48">
      <x/>
    </i>
    <i r="49">
      <x/>
    </i>
    <i r="50">
      <x/>
    </i>
    <i r="51">
      <x/>
    </i>
    <i r="52">
      <x/>
    </i>
    <i r="53">
      <x/>
    </i>
    <i r="54">
      <x/>
    </i>
    <i r="55">
      <x/>
    </i>
    <i r="56">
      <x/>
    </i>
    <i r="57">
      <x/>
    </i>
    <i r="58">
      <x/>
    </i>
    <i r="59">
      <x/>
    </i>
    <i r="60">
      <x/>
    </i>
    <i r="61">
      <x/>
    </i>
    <i r="62">
      <x/>
    </i>
    <i r="63">
      <x/>
    </i>
    <i r="64">
      <x/>
    </i>
    <i r="65">
      <x/>
    </i>
    <i r="66">
      <x/>
    </i>
    <i r="67">
      <x/>
    </i>
    <i r="68">
      <x/>
    </i>
    <i r="69">
      <x/>
    </i>
    <i r="70">
      <x/>
    </i>
    <i r="71">
      <x/>
    </i>
    <i r="72">
      <x/>
    </i>
    <i r="73">
      <x/>
    </i>
    <i r="74">
      <x/>
    </i>
    <i r="75">
      <x/>
    </i>
    <i r="76">
      <x/>
    </i>
    <i r="77">
      <x/>
    </i>
    <i r="78">
      <x/>
    </i>
    <i r="79">
      <x/>
    </i>
    <i r="80">
      <x/>
    </i>
    <i r="81">
      <x/>
    </i>
    <i r="82">
      <x/>
    </i>
    <i r="83">
      <x/>
    </i>
    <i r="84">
      <x/>
    </i>
    <i r="85">
      <x/>
    </i>
    <i r="86">
      <x/>
    </i>
    <i r="87">
      <x/>
    </i>
    <i r="88">
      <x/>
    </i>
    <i r="89">
      <x/>
    </i>
    <i r="90">
      <x/>
    </i>
    <i r="91">
      <x/>
    </i>
    <i r="92">
      <x/>
    </i>
    <i r="93">
      <x/>
    </i>
    <i r="1">
      <x v="92"/>
    </i>
    <i r="2">
      <x/>
    </i>
    <i r="3">
      <x/>
    </i>
    <i r="4">
      <x/>
    </i>
    <i r="5">
      <x/>
    </i>
    <i r="6">
      <x/>
    </i>
    <i r="7">
      <x/>
    </i>
    <i r="8">
      <x/>
    </i>
    <i r="9">
      <x v="94"/>
    </i>
    <i r="10">
      <x v="120"/>
    </i>
    <i r="11">
      <x/>
    </i>
    <i r="12">
      <x/>
    </i>
    <i r="13">
      <x/>
    </i>
    <i r="14">
      <x/>
    </i>
    <i r="15">
      <x/>
    </i>
    <i r="16">
      <x/>
    </i>
    <i r="17">
      <x/>
    </i>
    <i r="18">
      <x/>
    </i>
    <i r="19">
      <x/>
    </i>
    <i r="20">
      <x/>
    </i>
    <i r="21">
      <x/>
    </i>
    <i r="22">
      <x/>
    </i>
    <i r="23">
      <x/>
    </i>
    <i r="24">
      <x/>
    </i>
    <i r="25">
      <x/>
    </i>
    <i r="26">
      <x/>
    </i>
    <i r="27">
      <x/>
    </i>
    <i r="28">
      <x/>
    </i>
    <i r="29">
      <x/>
    </i>
    <i r="30">
      <x/>
    </i>
    <i r="31">
      <x v="85"/>
    </i>
    <i r="32">
      <x/>
    </i>
    <i r="33">
      <x/>
    </i>
    <i r="34">
      <x/>
    </i>
    <i r="35">
      <x/>
    </i>
    <i r="36">
      <x/>
    </i>
    <i r="37">
      <x/>
    </i>
    <i r="38">
      <x/>
    </i>
    <i r="39">
      <x/>
    </i>
    <i r="40">
      <x/>
    </i>
    <i r="41">
      <x/>
    </i>
    <i r="42">
      <x/>
    </i>
    <i r="43">
      <x/>
    </i>
    <i r="44">
      <x/>
    </i>
    <i r="45">
      <x/>
    </i>
    <i r="46">
      <x/>
    </i>
    <i r="47">
      <x/>
    </i>
    <i r="48">
      <x/>
    </i>
    <i r="49">
      <x/>
    </i>
    <i r="50">
      <x/>
    </i>
    <i r="51">
      <x/>
    </i>
    <i r="52">
      <x/>
    </i>
    <i r="53">
      <x/>
    </i>
    <i r="54">
      <x/>
    </i>
    <i r="55">
      <x/>
    </i>
    <i r="56">
      <x/>
    </i>
    <i r="57">
      <x/>
    </i>
    <i r="58">
      <x/>
    </i>
    <i r="59">
      <x/>
    </i>
    <i r="60">
      <x/>
    </i>
    <i r="61">
      <x/>
    </i>
    <i r="62">
      <x/>
    </i>
    <i r="63">
      <x/>
    </i>
    <i r="64">
      <x/>
    </i>
    <i r="65">
      <x/>
    </i>
    <i r="66">
      <x/>
    </i>
    <i r="67">
      <x/>
    </i>
    <i r="68">
      <x/>
    </i>
    <i r="69">
      <x/>
    </i>
    <i r="70">
      <x/>
    </i>
    <i r="71">
      <x/>
    </i>
    <i r="72">
      <x/>
    </i>
    <i r="73">
      <x/>
    </i>
    <i r="74">
      <x/>
    </i>
    <i r="75">
      <x/>
    </i>
    <i r="76">
      <x/>
    </i>
    <i r="77">
      <x/>
    </i>
    <i r="78">
      <x/>
    </i>
    <i r="79">
      <x/>
    </i>
    <i r="80">
      <x/>
    </i>
    <i r="81">
      <x/>
    </i>
    <i r="82">
      <x/>
    </i>
    <i r="83">
      <x/>
    </i>
    <i r="84">
      <x/>
    </i>
    <i r="85">
      <x/>
    </i>
    <i r="86">
      <x/>
    </i>
    <i r="87">
      <x/>
    </i>
    <i r="88">
      <x/>
    </i>
    <i r="89">
      <x/>
    </i>
    <i r="90">
      <x/>
    </i>
    <i r="91">
      <x/>
    </i>
    <i r="92">
      <x/>
    </i>
    <i r="93">
      <x/>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ivotTable9" cacheId="3" applyNumberFormats="0" applyBorderFormats="0" applyFontFormats="0" applyPatternFormats="0" applyAlignmentFormats="0" applyWidthHeightFormats="1" dataCaption="Values" missingCaption="None" showMissing="0" updatedVersion="5" minRefreshableVersion="3" useAutoFormatting="1" itemPrintTitles="1" createdVersion="5" indent="0" outline="1" outlineData="1" multipleFieldFilters="0">
  <location ref="A1:A941" firstHeaderRow="1" firstDataRow="1" firstDataCol="1"/>
  <pivotFields count="263">
    <pivotField showAll="0"/>
    <pivotField showAll="0"/>
    <pivotField showAll="0"/>
    <pivotField showAll="0"/>
    <pivotField axis="axisRow" showAll="0">
      <items count="11">
        <item h="1" x="5"/>
        <item h="1" sd="0" x="1"/>
        <item h="1" x="0"/>
        <item h="1" x="4"/>
        <item x="6"/>
        <item h="1" sd="0" x="3"/>
        <item h="1" sd="0" x="7"/>
        <item h="1" sd="0" x="8"/>
        <item h="1" sd="0" x="9"/>
        <item h="1" sd="0" x="2"/>
        <item t="default"/>
      </items>
    </pivotField>
    <pivotField showAll="0" defaultSubtotal="0"/>
    <pivotField showAll="0" defaultSubtotal="0"/>
    <pivotField showAll="0" defaultSubtotal="0"/>
    <pivotField showAll="0" defaultSubtota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pivotField showAll="0"/>
    <pivotField showAll="0"/>
    <pivotField showAll="0"/>
    <pivotField showAll="0"/>
    <pivotField showAll="0"/>
    <pivotField showAll="0"/>
    <pivotField showAll="0"/>
    <pivotField showAll="0"/>
    <pivotField showAll="0"/>
    <pivotField showAll="0" defaultSubtotal="0"/>
    <pivotField showAll="0" defaultSubtota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defaultSubtotal="0"/>
    <pivotField numFmtId="164" showAll="0" defaultSubtotal="0"/>
    <pivotField numFmtId="164" showAll="0" defaultSubtotal="0"/>
    <pivotField numFmtId="164" showAll="0" defaultSubtotal="0"/>
    <pivotField numFmtId="164" showAll="0" defaultSubtotal="0"/>
    <pivotField numFmtId="164" showAll="0" defaultSubtotal="0"/>
    <pivotField numFmtId="164" showAll="0" defaultSubtotal="0"/>
    <pivotField numFmtId="164" showAll="0" defaultSubtotal="0"/>
    <pivotField numFmtId="164" showAll="0" defaultSubtotal="0"/>
    <pivotField numFmtId="164" showAll="0" defaultSubtotal="0"/>
    <pivotField numFmtId="164" showAll="0" defaultSubtotal="0"/>
    <pivotField numFmtId="164" showAll="0" defaultSubtotal="0"/>
    <pivotField numFmtId="164" showAll="0" defaultSubtotal="0"/>
    <pivotField numFmtId="164" showAll="0" defaultSubtotal="0"/>
    <pivotField numFmtId="164" showAll="0" defaultSubtotal="0"/>
    <pivotField numFmtId="164" showAll="0" defaultSubtotal="0"/>
    <pivotField numFmtId="164" showAll="0" defaultSubtotal="0"/>
    <pivotField numFmtId="164" showAll="0"/>
    <pivotField numFmtId="164" showAll="0" defaultSubtotal="0"/>
    <pivotField numFmtId="164" showAll="0" defaultSubtotal="0"/>
    <pivotField numFmtId="164" showAll="0" defaultSubtotal="0"/>
    <pivotField numFmtId="164" showAll="0" defaultSubtotal="0"/>
    <pivotField numFmtId="164"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Row" showAll="0">
      <items count="360">
        <item sd="0" m="1" x="53"/>
        <item m="1" x="338"/>
        <item m="1" x="240"/>
        <item m="1" x="349"/>
        <item m="1" x="195"/>
        <item m="1" x="288"/>
        <item m="1" x="356"/>
        <item m="1" x="181"/>
        <item m="1" x="83"/>
        <item m="1" x="93"/>
        <item m="1" x="225"/>
        <item m="1" x="85"/>
        <item m="1" x="189"/>
        <item m="1" x="354"/>
        <item m="1" x="309"/>
        <item m="1" x="77"/>
        <item m="1" x="269"/>
        <item m="1" x="159"/>
        <item m="1" x="107"/>
        <item m="1" x="246"/>
        <item m="1" x="56"/>
        <item m="1" x="336"/>
        <item m="1" x="328"/>
        <item m="1" x="124"/>
        <item m="1" x="138"/>
        <item m="1" x="303"/>
        <item m="1" x="215"/>
        <item m="1" x="203"/>
        <item m="1" x="151"/>
        <item m="1" x="81"/>
        <item m="1" x="347"/>
        <item m="1" x="241"/>
        <item m="1" x="318"/>
        <item m="1" x="94"/>
        <item m="1" x="165"/>
        <item m="1" x="196"/>
        <item m="1" x="58"/>
        <item m="1" x="182"/>
        <item m="1" x="173"/>
        <item m="1" x="88"/>
        <item m="1" x="235"/>
        <item m="1" x="267"/>
        <item m="1" x="190"/>
        <item m="1" x="229"/>
        <item x="0"/>
        <item m="1" x="121"/>
        <item m="1" x="59"/>
        <item m="1" x="320"/>
        <item m="1" x="283"/>
        <item m="1" x="304"/>
        <item m="1" x="284"/>
        <item m="1" x="305"/>
        <item m="1" x="306"/>
        <item m="1" x="169"/>
        <item m="1" x="106"/>
        <item m="1" x="321"/>
        <item m="1" x="322"/>
        <item m="1" x="69"/>
        <item m="1" x="70"/>
        <item m="1" x="89"/>
        <item m="1" x="170"/>
        <item m="1" x="79"/>
        <item m="1" x="80"/>
        <item m="1" x="137"/>
        <item m="1" x="125"/>
        <item m="1" x="160"/>
        <item m="1" x="143"/>
        <item m="1" x="144"/>
        <item m="1" x="145"/>
        <item m="1" x="71"/>
        <item m="1" x="210"/>
        <item m="1" x="123"/>
        <item m="1" x="146"/>
        <item m="1" x="155"/>
        <item m="1" x="147"/>
        <item m="1" x="148"/>
        <item m="1" x="149"/>
        <item m="1" x="135"/>
        <item m="1" x="171"/>
        <item m="1" x="296"/>
        <item m="1" x="337"/>
        <item m="1" x="324"/>
        <item m="1" x="72"/>
        <item m="1" x="323"/>
        <item m="1" x="345"/>
        <item m="1" x="346"/>
        <item m="1" x="285"/>
        <item m="1" x="286"/>
        <item m="1" x="308"/>
        <item m="1" x="206"/>
        <item m="1" x="217"/>
        <item m="1" x="252"/>
        <item m="1" x="126"/>
        <item m="1" x="152"/>
        <item m="1" x="287"/>
        <item m="1" x="185"/>
        <item m="1" x="262"/>
        <item m="1" x="220"/>
        <item m="1" x="357"/>
        <item m="1" x="263"/>
        <item m="1" x="68"/>
        <item m="1" x="172"/>
        <item m="1" x="187"/>
        <item m="1" x="342"/>
        <item m="1" x="188"/>
        <item m="1" x="348"/>
        <item m="1" x="334"/>
        <item m="1" x="291"/>
        <item m="1" x="120"/>
        <item m="1" x="176"/>
        <item m="1" x="117"/>
        <item m="1" x="186"/>
        <item m="1" x="214"/>
        <item m="1" x="343"/>
        <item m="1" x="92"/>
        <item m="1" x="335"/>
        <item m="1" x="344"/>
        <item m="1" x="193"/>
        <item m="1" x="290"/>
        <item m="1" x="265"/>
        <item m="1" x="108"/>
        <item m="1" x="139"/>
        <item m="1" x="82"/>
        <item m="1" x="205"/>
        <item m="1" x="297"/>
        <item m="1" x="226"/>
        <item m="1" x="230"/>
        <item m="1" x="199"/>
        <item m="1" x="231"/>
        <item m="1" x="200"/>
        <item m="1" x="201"/>
        <item m="1" x="113"/>
        <item m="1" x="91"/>
        <item m="1" x="227"/>
        <item m="1" x="228"/>
        <item m="1" x="236"/>
        <item m="1" x="237"/>
        <item m="1" x="293"/>
        <item m="1" x="114"/>
        <item m="1" x="254"/>
        <item m="1" x="255"/>
        <item m="1" x="340"/>
        <item m="1" x="67"/>
        <item m="1" x="339"/>
        <item m="1" x="310"/>
        <item m="1" x="311"/>
        <item m="1" x="312"/>
        <item m="1" x="238"/>
        <item m="1" x="191"/>
        <item m="1" x="302"/>
        <item m="1" x="276"/>
        <item m="1" x="179"/>
        <item m="1" x="277"/>
        <item m="1" x="278"/>
        <item m="1" x="279"/>
        <item m="1" x="266"/>
        <item m="1" x="157"/>
        <item m="1" x="282"/>
        <item m="1" x="142"/>
        <item m="1" x="178"/>
        <item m="1" x="280"/>
        <item m="1" x="301"/>
        <item m="1" x="162"/>
        <item m="1" x="163"/>
        <item m="1" x="316"/>
        <item m="1" x="317"/>
        <item m="1" x="216"/>
        <item m="1" x="184"/>
        <item m="1" x="54"/>
        <item m="1" x="133"/>
        <item m="1" x="248"/>
        <item m="1" x="66"/>
        <item m="1" x="319"/>
        <item m="1" x="150"/>
        <item m="1" x="140"/>
        <item m="1" x="174"/>
        <item m="1" x="245"/>
        <item m="1" x="161"/>
        <item m="1" x="294"/>
        <item m="1" x="239"/>
        <item m="1" x="204"/>
        <item m="1" x="292"/>
        <item m="1" x="251"/>
        <item m="1" x="192"/>
        <item m="1" x="103"/>
        <item m="1" x="118"/>
        <item m="1" x="351"/>
        <item m="1" x="105"/>
        <item m="1" x="244"/>
        <item m="1" x="355"/>
        <item m="1" x="60"/>
        <item m="1" x="219"/>
        <item m="1" x="156"/>
        <item m="1" x="331"/>
        <item m="1" x="253"/>
        <item m="1" x="183"/>
        <item m="1" x="164"/>
        <item m="1" x="109"/>
        <item m="1" x="112"/>
        <item m="1" x="264"/>
        <item m="1" x="299"/>
        <item x="29"/>
        <item m="1" x="115"/>
        <item m="1" x="73"/>
        <item m="1" x="61"/>
        <item m="1" x="207"/>
        <item m="1" x="62"/>
        <item m="1" x="208"/>
        <item m="1" x="209"/>
        <item m="1" x="313"/>
        <item m="1" x="289"/>
        <item m="1" x="74"/>
        <item m="1" x="75"/>
        <item m="1" x="221"/>
        <item m="1" x="222"/>
        <item m="1" x="212"/>
        <item m="1" x="314"/>
        <item m="1" x="86"/>
        <item m="1" x="87"/>
        <item m="1" x="218"/>
        <item m="1" x="119"/>
        <item m="1" x="232"/>
        <item m="1" x="96"/>
        <item m="1" x="97"/>
        <item m="1" x="98"/>
        <item m="1" x="223"/>
        <item m="1" x="55"/>
        <item m="1" x="90"/>
        <item m="1" x="99"/>
        <item m="1" x="78"/>
        <item m="1" x="100"/>
        <item m="1" x="101"/>
        <item m="1" x="102"/>
        <item m="1" x="242"/>
        <item m="1" x="315"/>
        <item m="1" x="202"/>
        <item m="1" x="167"/>
        <item m="1" x="250"/>
        <item m="1" x="224"/>
        <item m="1" x="76"/>
        <item m="1" x="257"/>
        <item m="1" x="258"/>
        <item m="1" x="63"/>
        <item m="1" x="64"/>
        <item x="17"/>
        <item x="18"/>
        <item x="20"/>
        <item m="1" x="259"/>
        <item x="23"/>
        <item m="1" x="57"/>
        <item m="1" x="104"/>
        <item m="1" x="213"/>
        <item x="32"/>
        <item m="1" x="153"/>
        <item m="1" x="95"/>
        <item m="1" x="330"/>
        <item m="1" x="350"/>
        <item x="49"/>
        <item x="50"/>
        <item x="51"/>
        <item x="52"/>
        <item m="1" x="158"/>
        <item m="1" x="127"/>
        <item m="1" x="111"/>
        <item m="1" x="358"/>
        <item m="1" x="194"/>
        <item m="1" x="110"/>
        <item x="9"/>
        <item x="16"/>
        <item x="21"/>
        <item x="24"/>
        <item x="31"/>
        <item x="43"/>
        <item x="44"/>
        <item x="45"/>
        <item x="48"/>
        <item m="1" x="307"/>
        <item m="1" x="247"/>
        <item x="4"/>
        <item m="1" x="168"/>
        <item x="6"/>
        <item m="1" x="180"/>
        <item x="25"/>
        <item x="27"/>
        <item m="1" x="298"/>
        <item m="1" x="300"/>
        <item m="1" x="177"/>
        <item x="1"/>
        <item x="2"/>
        <item x="3"/>
        <item m="1" x="122"/>
        <item m="1" x="260"/>
        <item m="1" x="141"/>
        <item x="22"/>
        <item m="1" x="353"/>
        <item m="1" x="256"/>
        <item m="1" x="175"/>
        <item m="1" x="65"/>
        <item m="1" x="166"/>
        <item m="1" x="249"/>
        <item m="1" x="154"/>
        <item x="46"/>
        <item x="47"/>
        <item x="5"/>
        <item x="7"/>
        <item x="8"/>
        <item x="10"/>
        <item x="11"/>
        <item x="12"/>
        <item x="13"/>
        <item x="14"/>
        <item x="15"/>
        <item x="19"/>
        <item m="1" x="84"/>
        <item m="1" x="325"/>
        <item m="1" x="326"/>
        <item m="1" x="128"/>
        <item m="1" x="129"/>
        <item m="1" x="136"/>
        <item m="1" x="197"/>
        <item m="1" x="131"/>
        <item m="1" x="132"/>
        <item m="1" x="295"/>
        <item m="1" x="211"/>
        <item m="1" x="281"/>
        <item m="1" x="270"/>
        <item m="1" x="271"/>
        <item m="1" x="272"/>
        <item m="1" x="130"/>
        <item m="1" x="134"/>
        <item x="30"/>
        <item x="33"/>
        <item m="1" x="352"/>
        <item m="1" x="116"/>
        <item m="1" x="273"/>
        <item m="1" x="274"/>
        <item m="1" x="275"/>
        <item m="1" x="268"/>
        <item m="1" x="198"/>
        <item m="1" x="329"/>
        <item m="1" x="243"/>
        <item m="1" x="261"/>
        <item m="1" x="341"/>
        <item x="37"/>
        <item m="1" x="327"/>
        <item m="1" x="233"/>
        <item m="1" x="234"/>
        <item m="1" x="332"/>
        <item m="1" x="333"/>
        <item x="26"/>
        <item x="28"/>
        <item x="34"/>
        <item x="36"/>
        <item x="35"/>
        <item x="38"/>
        <item x="39"/>
        <item x="40"/>
        <item x="41"/>
        <item x="42"/>
        <item t="default"/>
      </items>
    </pivotField>
    <pivotField axis="axisRow" showAll="0">
      <items count="274">
        <item m="1" x="19"/>
        <item m="1" x="102"/>
        <item m="1" x="90"/>
        <item m="1" x="71"/>
        <item m="1" x="215"/>
        <item m="1" x="175"/>
        <item m="1" x="94"/>
        <item m="1" x="139"/>
        <item m="1" x="170"/>
        <item m="1" x="23"/>
        <item m="1" x="129"/>
        <item m="1" x="209"/>
        <item m="1" x="165"/>
        <item m="1" x="261"/>
        <item m="1" x="247"/>
        <item m="1" x="126"/>
        <item m="1" x="73"/>
        <item m="1" x="135"/>
        <item m="1" x="235"/>
        <item m="1" x="176"/>
        <item m="1" x="56"/>
        <item m="1" x="156"/>
        <item m="1" x="122"/>
        <item m="1" x="141"/>
        <item x="0"/>
        <item m="1" x="34"/>
        <item m="1" x="196"/>
        <item m="1" x="58"/>
        <item m="1" x="188"/>
        <item m="1" x="80"/>
        <item m="1" x="85"/>
        <item m="1" x="106"/>
        <item m="1" x="197"/>
        <item m="1" x="228"/>
        <item m="1" x="216"/>
        <item m="1" x="217"/>
        <item m="1" x="117"/>
        <item m="1" x="234"/>
        <item m="1" x="248"/>
        <item m="1" x="41"/>
        <item m="1" x="54"/>
        <item m="1" x="186"/>
        <item m="1" x="237"/>
        <item m="1" x="105"/>
        <item m="1" x="95"/>
        <item m="1" x="187"/>
        <item m="1" x="164"/>
        <item m="1" x="37"/>
        <item m="1" x="81"/>
        <item m="1" x="120"/>
        <item m="1" x="84"/>
        <item m="1" x="31"/>
        <item m="1" x="27"/>
        <item m="1" x="68"/>
        <item m="1" x="169"/>
        <item m="1" x="82"/>
        <item m="1" x="125"/>
        <item m="1" x="229"/>
        <item m="1" x="153"/>
        <item m="1" x="182"/>
        <item m="1" x="185"/>
        <item m="1" x="263"/>
        <item m="1" x="203"/>
        <item m="1" x="62"/>
        <item m="1" x="269"/>
        <item m="1" x="233"/>
        <item m="1" x="166"/>
        <item m="1" x="127"/>
        <item m="1" x="20"/>
        <item m="1" x="67"/>
        <item m="1" x="48"/>
        <item m="1" x="46"/>
        <item m="1" x="111"/>
        <item m="1" x="124"/>
        <item m="1" x="212"/>
        <item m="1" x="88"/>
        <item m="1" x="158"/>
        <item m="1" x="180"/>
        <item m="1" x="50"/>
        <item m="1" x="178"/>
        <item m="1" x="221"/>
        <item m="1" x="250"/>
        <item m="1" x="136"/>
        <item m="1" x="227"/>
        <item m="1" x="201"/>
        <item m="1" x="195"/>
        <item m="1" x="55"/>
        <item m="1" x="77"/>
        <item m="1" x="259"/>
        <item m="1" x="113"/>
        <item m="1" x="98"/>
        <item m="1" x="63"/>
        <item m="1" x="93"/>
        <item m="1" x="146"/>
        <item m="1" x="154"/>
        <item m="1" x="24"/>
        <item m="1" x="155"/>
        <item m="1" x="157"/>
        <item m="1" x="220"/>
        <item m="1" x="89"/>
        <item m="1" x="205"/>
        <item m="1" x="174"/>
        <item m="1" x="194"/>
        <item m="1" x="161"/>
        <item m="1" x="168"/>
        <item m="1" x="210"/>
        <item m="1" x="130"/>
        <item m="1" x="131"/>
        <item m="1" x="96"/>
        <item m="1" x="160"/>
        <item m="1" x="25"/>
        <item m="1" x="61"/>
        <item m="1" x="204"/>
        <item m="1" x="91"/>
        <item m="1" x="133"/>
        <item m="1" x="143"/>
        <item m="1" x="266"/>
        <item m="1" x="75"/>
        <item m="1" x="219"/>
        <item m="1" x="92"/>
        <item m="1" x="213"/>
        <item m="1" x="118"/>
        <item m="1" x="265"/>
        <item m="1" x="163"/>
        <item m="1" x="70"/>
        <item m="1" x="32"/>
        <item m="1" x="119"/>
        <item m="1" x="244"/>
        <item m="1" x="64"/>
        <item m="1" x="245"/>
        <item m="1" x="43"/>
        <item m="1" x="140"/>
        <item m="1" x="132"/>
        <item m="1" x="236"/>
        <item m="1" x="28"/>
        <item m="1" x="171"/>
        <item m="1" x="191"/>
        <item m="1" x="36"/>
        <item m="1" x="76"/>
        <item m="1" x="231"/>
        <item m="1" x="72"/>
        <item m="1" x="110"/>
        <item m="1" x="60"/>
        <item m="1" x="147"/>
        <item m="1" x="246"/>
        <item m="1" x="183"/>
        <item m="1" x="243"/>
        <item m="1" x="198"/>
        <item m="1" x="214"/>
        <item m="1" x="241"/>
        <item m="1" x="152"/>
        <item m="1" x="86"/>
        <item m="1" x="224"/>
        <item m="1" x="30"/>
        <item m="1" x="181"/>
        <item m="1" x="35"/>
        <item m="1" x="151"/>
        <item m="1" x="232"/>
        <item m="1" x="260"/>
        <item m="1" x="40"/>
        <item m="1" x="128"/>
        <item m="1" x="29"/>
        <item m="1" x="142"/>
        <item m="1" x="272"/>
        <item m="1" x="78"/>
        <item m="1" x="107"/>
        <item m="1" x="87"/>
        <item m="1" x="226"/>
        <item m="1" x="52"/>
        <item m="1" x="44"/>
        <item m="1" x="218"/>
        <item m="1" x="42"/>
        <item m="1" x="184"/>
        <item m="1" x="123"/>
        <item m="1" x="239"/>
        <item m="1" x="148"/>
        <item m="1" x="74"/>
        <item m="1" x="137"/>
        <item m="1" x="202"/>
        <item m="1" x="230"/>
        <item m="1" x="207"/>
        <item m="1" x="208"/>
        <item m="1" x="21"/>
        <item m="1" x="189"/>
        <item m="1" x="206"/>
        <item m="1" x="222"/>
        <item m="1" x="223"/>
        <item m="1" x="240"/>
        <item m="1" x="53"/>
        <item m="1" x="271"/>
        <item m="1" x="104"/>
        <item m="1" x="109"/>
        <item m="1" x="252"/>
        <item m="1" x="253"/>
        <item m="1" x="38"/>
        <item m="1" x="254"/>
        <item m="1" x="45"/>
        <item m="1" x="47"/>
        <item m="1" x="79"/>
        <item m="1" x="167"/>
        <item m="1" x="65"/>
        <item m="1" x="200"/>
        <item m="1" x="193"/>
        <item m="1" x="162"/>
        <item m="1" x="114"/>
        <item m="1" x="115"/>
        <item m="1" x="39"/>
        <item m="1" x="59"/>
        <item m="1" x="192"/>
        <item m="1" x="121"/>
        <item m="1" x="159"/>
        <item m="1" x="270"/>
        <item m="1" x="258"/>
        <item m="1" x="268"/>
        <item m="1" x="103"/>
        <item m="1" x="179"/>
        <item m="1" x="255"/>
        <item m="1" x="97"/>
        <item m="1" x="66"/>
        <item m="1" x="33"/>
        <item m="1" x="22"/>
        <item m="1" x="256"/>
        <item m="1" x="149"/>
        <item m="1" x="242"/>
        <item m="1" x="150"/>
        <item m="1" x="57"/>
        <item m="1" x="251"/>
        <item m="1" x="190"/>
        <item m="1" x="116"/>
        <item m="1" x="262"/>
        <item m="1" x="100"/>
        <item m="1" x="26"/>
        <item m="1" x="138"/>
        <item m="1" x="108"/>
        <item m="1" x="99"/>
        <item m="1" x="238"/>
        <item m="1" x="49"/>
        <item m="1" x="211"/>
        <item m="1" x="257"/>
        <item m="1" x="101"/>
        <item m="1" x="83"/>
        <item m="1" x="225"/>
        <item m="1" x="69"/>
        <item m="1" x="199"/>
        <item m="1" x="173"/>
        <item m="1" x="51"/>
        <item m="1" x="264"/>
        <item m="1" x="145"/>
        <item m="1" x="112"/>
        <item m="1" x="134"/>
        <item m="1" x="144"/>
        <item m="1" x="267"/>
        <item m="1" x="177"/>
        <item m="1" x="249"/>
        <item m="1" x="172"/>
        <item x="1"/>
        <item x="2"/>
        <item x="3"/>
        <item x="4"/>
        <item x="5"/>
        <item x="6"/>
        <item x="7"/>
        <item x="8"/>
        <item x="9"/>
        <item x="10"/>
        <item x="11"/>
        <item x="12"/>
        <item x="13"/>
        <item x="14"/>
        <item x="15"/>
        <item x="16"/>
        <item x="17"/>
        <item x="18"/>
        <item t="default"/>
      </items>
    </pivotField>
    <pivotField axis="axisRow" showAll="0">
      <items count="31">
        <item m="1" x="29"/>
        <item m="1" x="5"/>
        <item x="0"/>
        <item m="1" x="22"/>
        <item m="1" x="26"/>
        <item m="1" x="20"/>
        <item m="1" x="18"/>
        <item m="1" x="6"/>
        <item m="1" x="12"/>
        <item m="1" x="25"/>
        <item m="1" x="10"/>
        <item m="1" x="3"/>
        <item m="1" x="27"/>
        <item m="1" x="14"/>
        <item m="1" x="8"/>
        <item m="1" x="9"/>
        <item m="1" x="7"/>
        <item m="1" x="1"/>
        <item m="1" x="24"/>
        <item m="1" x="17"/>
        <item m="1" x="15"/>
        <item m="1" x="16"/>
        <item m="1" x="13"/>
        <item m="1" x="23"/>
        <item m="1" x="28"/>
        <item m="1" x="2"/>
        <item m="1" x="19"/>
        <item m="1" x="4"/>
        <item m="1" x="21"/>
        <item m="1" x="11"/>
        <item t="default"/>
      </items>
    </pivotField>
    <pivotField axis="axisRow" showAll="0">
      <items count="3">
        <item m="1" x="1"/>
        <item x="0"/>
        <item t="default"/>
      </items>
    </pivotField>
    <pivotField axis="axisRow" showAll="0">
      <items count="3">
        <item m="1" x="1"/>
        <item x="0"/>
        <item t="default"/>
      </items>
    </pivotField>
    <pivotField axis="axisRow" showAll="0">
      <items count="558">
        <item m="1" x="362"/>
        <item m="1" x="330"/>
        <item m="1" x="371"/>
        <item m="1" x="361"/>
        <item m="1" x="250"/>
        <item m="1" x="504"/>
        <item m="1" x="325"/>
        <item m="1" x="432"/>
        <item m="1" x="398"/>
        <item m="1" x="275"/>
        <item m="1" x="391"/>
        <item m="1" x="348"/>
        <item m="1" x="549"/>
        <item m="1" x="245"/>
        <item m="1" x="259"/>
        <item m="1" x="521"/>
        <item m="1" x="171"/>
        <item m="1" x="168"/>
        <item m="1" x="169"/>
        <item m="1" x="209"/>
        <item m="1" x="411"/>
        <item m="1" x="194"/>
        <item m="1" x="207"/>
        <item m="1" x="273"/>
        <item m="1" x="424"/>
        <item m="1" x="416"/>
        <item m="1" x="231"/>
        <item m="1" x="434"/>
        <item m="1" x="455"/>
        <item m="1" x="204"/>
        <item m="1" x="303"/>
        <item m="1" x="277"/>
        <item m="1" x="287"/>
        <item m="1" x="289"/>
        <item m="1" x="537"/>
        <item m="1" x="522"/>
        <item m="1" x="104"/>
        <item m="1" x="222"/>
        <item m="1" x="415"/>
        <item m="1" x="538"/>
        <item m="1" x="368"/>
        <item m="1" x="301"/>
        <item m="1" x="369"/>
        <item m="1" x="474"/>
        <item m="1" x="483"/>
        <item m="1" x="519"/>
        <item m="1" x="235"/>
        <item m="1" x="329"/>
        <item m="1" x="167"/>
        <item m="1" x="425"/>
        <item m="1" x="163"/>
        <item m="1" x="131"/>
        <item m="1" x="535"/>
        <item m="1" x="135"/>
        <item m="1" x="215"/>
        <item m="1" x="125"/>
        <item m="1" x="133"/>
        <item m="1" x="269"/>
        <item m="1" x="142"/>
        <item m="1" x="139"/>
        <item m="1" x="352"/>
        <item m="1" x="490"/>
        <item m="1" x="520"/>
        <item m="1" x="129"/>
        <item m="1" x="149"/>
        <item m="1" x="399"/>
        <item m="1" x="342"/>
        <item m="1" x="500"/>
        <item m="1" x="324"/>
        <item m="1" x="112"/>
        <item m="1" x="162"/>
        <item m="1" x="501"/>
        <item m="1" x="422"/>
        <item m="1" x="320"/>
        <item m="1" x="450"/>
        <item m="1" x="258"/>
        <item m="1" x="105"/>
        <item m="1" x="270"/>
        <item m="1" x="220"/>
        <item m="1" x="234"/>
        <item m="1" x="249"/>
        <item m="1" x="367"/>
        <item m="1" x="120"/>
        <item m="1" x="344"/>
        <item m="1" x="147"/>
        <item m="1" x="272"/>
        <item m="1" x="243"/>
        <item m="1" x="364"/>
        <item m="1" x="327"/>
        <item m="1" x="397"/>
        <item m="1" x="502"/>
        <item m="1" x="114"/>
        <item m="1" x="297"/>
        <item m="1" x="339"/>
        <item m="1" x="503"/>
        <item m="1" x="291"/>
        <item m="1" x="540"/>
        <item m="1" x="401"/>
        <item m="1" x="124"/>
        <item m="1" x="189"/>
        <item m="1" x="138"/>
        <item m="1" x="337"/>
        <item m="1" x="511"/>
        <item m="1" x="396"/>
        <item m="1" x="439"/>
        <item m="1" x="524"/>
        <item m="1" x="335"/>
        <item m="1" x="554"/>
        <item m="1" x="409"/>
        <item m="1" x="492"/>
        <item m="1" x="185"/>
        <item m="1" x="261"/>
        <item m="1" x="405"/>
        <item x="1"/>
        <item m="1" x="192"/>
        <item m="1" x="164"/>
        <item m="1" x="118"/>
        <item m="1" x="429"/>
        <item m="1" x="496"/>
        <item m="1" x="242"/>
        <item m="1" x="336"/>
        <item m="1" x="407"/>
        <item m="1" x="375"/>
        <item m="1" x="307"/>
        <item m="1" x="308"/>
        <item m="1" x="200"/>
        <item m="1" x="263"/>
        <item m="1" x="152"/>
        <item m="1" x="295"/>
        <item m="1" x="251"/>
        <item m="1" x="132"/>
        <item m="1" x="534"/>
        <item m="1" x="414"/>
        <item m="1" x="331"/>
        <item m="1" x="552"/>
        <item m="1" x="156"/>
        <item m="1" x="180"/>
        <item m="1" x="435"/>
        <item m="1" x="221"/>
        <item m="1" x="284"/>
        <item m="1" x="267"/>
        <item m="1" x="201"/>
        <item m="1" x="530"/>
        <item m="1" x="376"/>
        <item m="1" x="145"/>
        <item m="1" x="252"/>
        <item m="1" x="199"/>
        <item m="1" x="442"/>
        <item m="1" x="456"/>
        <item m="1" x="230"/>
        <item m="1" x="366"/>
        <item m="1" x="103"/>
        <item m="1" x="302"/>
        <item m="1" x="296"/>
        <item m="1" x="459"/>
        <item m="1" x="420"/>
        <item m="1" x="400"/>
        <item m="1" x="225"/>
        <item m="1" x="444"/>
        <item m="1" x="186"/>
        <item m="1" x="191"/>
        <item m="1" x="202"/>
        <item m="1" x="226"/>
        <item m="1" x="115"/>
        <item m="1" x="358"/>
        <item m="1" x="116"/>
        <item m="1" x="187"/>
        <item m="1" x="477"/>
        <item m="1" x="548"/>
        <item m="1" x="253"/>
        <item m="1" x="380"/>
        <item m="1" x="547"/>
        <item m="1" x="266"/>
        <item m="1" x="392"/>
        <item m="1" x="421"/>
        <item m="1" x="527"/>
        <item m="1" x="177"/>
        <item m="1" x="363"/>
        <item m="1" x="347"/>
        <item m="1" x="203"/>
        <item m="1" x="278"/>
        <item m="1" x="229"/>
        <item m="1" x="155"/>
        <item m="1" x="175"/>
        <item m="1" x="509"/>
        <item m="1" x="205"/>
        <item m="1" x="525"/>
        <item m="1" x="526"/>
        <item m="1" x="206"/>
        <item m="1" x="355"/>
        <item m="1" x="315"/>
        <item m="1" x="350"/>
        <item m="1" x="99"/>
        <item m="1" x="148"/>
        <item m="1" x="190"/>
        <item m="1" x="233"/>
        <item m="1" x="219"/>
        <item m="1" x="443"/>
        <item m="1" x="393"/>
        <item m="1" x="453"/>
        <item m="1" x="555"/>
        <item m="1" x="317"/>
        <item m="1" x="465"/>
        <item m="1" x="211"/>
        <item m="1" x="212"/>
        <item m="1" x="255"/>
        <item m="1" x="154"/>
        <item m="1" x="290"/>
        <item m="1" x="316"/>
        <item m="1" x="183"/>
        <item m="1" x="128"/>
        <item m="1" x="157"/>
        <item m="1" x="463"/>
        <item m="1" x="542"/>
        <item m="1" x="322"/>
        <item m="1" x="419"/>
        <item m="1" x="403"/>
        <item m="1" x="388"/>
        <item m="1" x="224"/>
        <item m="1" x="146"/>
        <item m="1" x="365"/>
        <item m="1" x="173"/>
        <item m="1" x="517"/>
        <item m="1" x="510"/>
        <item m="1" x="386"/>
        <item m="1" x="321"/>
        <item m="1" x="160"/>
        <item m="1" x="159"/>
        <item m="1" x="137"/>
        <item m="1" x="475"/>
        <item m="1" x="96"/>
        <item m="1" x="412"/>
        <item m="1" x="240"/>
        <item m="1" x="404"/>
        <item m="1" x="97"/>
        <item m="1" x="430"/>
        <item m="1" x="241"/>
        <item m="1" x="427"/>
        <item m="1" x="172"/>
        <item m="1" x="505"/>
        <item m="1" x="413"/>
        <item m="1" x="179"/>
        <item m="1" x="428"/>
        <item m="1" x="479"/>
        <item m="1" x="494"/>
        <item m="1" x="480"/>
        <item m="1" x="438"/>
        <item m="1" x="130"/>
        <item m="1" x="406"/>
        <item m="1" x="481"/>
        <item m="1" x="541"/>
        <item m="1" x="498"/>
        <item m="1" x="232"/>
        <item m="1" x="323"/>
        <item m="1" x="514"/>
        <item m="1" x="410"/>
        <item m="1" x="449"/>
        <item m="1" x="383"/>
        <item m="1" x="515"/>
        <item m="1" x="437"/>
        <item m="1" x="228"/>
        <item m="1" x="546"/>
        <item m="1" x="176"/>
        <item m="1" x="431"/>
        <item m="1" x="381"/>
        <item m="1" x="198"/>
        <item m="1" x="341"/>
        <item m="1" x="370"/>
        <item m="1" x="550"/>
        <item m="1" x="451"/>
        <item m="1" x="462"/>
        <item m="1" x="385"/>
        <item m="1" x="491"/>
        <item m="1" x="279"/>
        <item m="1" x="390"/>
        <item m="1" x="507"/>
        <item m="1" x="305"/>
        <item m="1" x="493"/>
        <item m="1" x="326"/>
        <item m="1" x="485"/>
        <item m="1" x="213"/>
        <item m="1" x="311"/>
        <item m="1" x="184"/>
        <item m="1" x="181"/>
        <item m="1" x="417"/>
        <item m="1" x="418"/>
        <item m="1" x="471"/>
        <item m="1" x="144"/>
        <item m="1" x="470"/>
        <item m="1" x="476"/>
        <item m="1" x="473"/>
        <item m="1" x="436"/>
        <item m="1" x="374"/>
        <item m="1" x="478"/>
        <item m="1" x="343"/>
        <item m="1" x="448"/>
        <item m="1" x="472"/>
        <item m="1" x="319"/>
        <item m="1" x="464"/>
        <item m="1" x="117"/>
        <item m="1" x="359"/>
        <item m="1" x="227"/>
        <item m="1" x="309"/>
        <item m="1" x="165"/>
        <item m="1" x="293"/>
        <item m="1" x="488"/>
        <item m="1" x="274"/>
        <item m="1" x="113"/>
        <item m="1" x="262"/>
        <item m="1" x="196"/>
        <item m="1" x="482"/>
        <item m="1" x="182"/>
        <item m="1" x="121"/>
        <item m="1" x="268"/>
        <item m="1" x="218"/>
        <item m="1" x="528"/>
        <item m="1" x="122"/>
        <item m="1" x="551"/>
        <item m="1" x="543"/>
        <item m="1" x="140"/>
        <item m="1" x="516"/>
        <item m="1" x="495"/>
        <item m="1" x="518"/>
        <item m="1" x="556"/>
        <item m="1" x="141"/>
        <item m="1" x="457"/>
        <item m="1" x="188"/>
        <item m="1" x="458"/>
        <item m="1" x="333"/>
        <item m="1" x="288"/>
        <item m="1" x="423"/>
        <item m="1" x="460"/>
        <item m="1" x="134"/>
        <item m="1" x="532"/>
        <item m="1" x="454"/>
        <item m="1" x="384"/>
        <item m="1" x="254"/>
        <item m="1" x="300"/>
        <item m="1" x="101"/>
        <item m="1" x="378"/>
        <item m="1" x="523"/>
        <item m="1" x="338"/>
        <item m="1" x="360"/>
        <item m="1" x="208"/>
        <item m="1" x="328"/>
        <item m="1" x="306"/>
        <item m="1" x="294"/>
        <item m="1" x="346"/>
        <item m="1" x="531"/>
        <item m="1" x="283"/>
        <item m="1" x="197"/>
        <item m="1" x="484"/>
        <item m="1" x="123"/>
        <item m="1" x="469"/>
        <item m="1" x="304"/>
        <item m="1" x="126"/>
        <item m="1" x="433"/>
        <item m="1" x="237"/>
        <item m="1" x="486"/>
        <item m="1" x="102"/>
        <item m="1" x="487"/>
        <item m="1" x="536"/>
        <item m="1" x="402"/>
        <item m="1" x="452"/>
        <item m="1" x="389"/>
        <item m="1" x="356"/>
        <item m="1" x="506"/>
        <item m="1" x="216"/>
        <item m="1" x="108"/>
        <item m="1" x="109"/>
        <item m="1" x="351"/>
        <item m="1" x="260"/>
        <item m="1" x="170"/>
        <item m="1" x="100"/>
        <item m="1" x="354"/>
        <item m="1" x="440"/>
        <item m="1" x="513"/>
        <item m="1" x="310"/>
        <item m="1" x="195"/>
        <item m="1" x="239"/>
        <item m="1" x="150"/>
        <item m="1" x="151"/>
        <item m="1" x="441"/>
        <item m="1" x="373"/>
        <item m="1" x="299"/>
        <item m="1" x="143"/>
        <item m="1" x="238"/>
        <item m="1" x="193"/>
        <item m="1" x="257"/>
        <item m="1" x="318"/>
        <item m="1" x="340"/>
        <item m="1" x="489"/>
        <item m="1" x="394"/>
        <item m="1" x="395"/>
        <item m="1" x="408"/>
        <item m="1" x="357"/>
        <item m="1" x="461"/>
        <item m="1" x="166"/>
        <item m="1" x="512"/>
        <item m="1" x="106"/>
        <item m="1" x="107"/>
        <item m="1" x="248"/>
        <item m="1" x="545"/>
        <item m="1" x="119"/>
        <item m="1" x="313"/>
        <item m="1" x="174"/>
        <item m="1" x="158"/>
        <item m="1" x="247"/>
        <item m="1" x="153"/>
        <item m="1" x="314"/>
        <item m="1" x="264"/>
        <item m="1" x="533"/>
        <item m="1" x="265"/>
        <item m="1" x="312"/>
        <item m="1" x="178"/>
        <item m="1" x="467"/>
        <item m="1" x="223"/>
        <item m="1" x="210"/>
        <item m="1" x="353"/>
        <item m="1" x="377"/>
        <item m="1" x="292"/>
        <item m="1" x="387"/>
        <item m="1" x="127"/>
        <item m="1" x="280"/>
        <item m="1" x="256"/>
        <item m="1" x="285"/>
        <item m="1" x="95"/>
        <item m="1" x="379"/>
        <item m="1" x="447"/>
        <item m="1" x="286"/>
        <item m="1" x="372"/>
        <item m="1" x="446"/>
        <item m="1" x="332"/>
        <item m="1" x="345"/>
        <item m="1" x="349"/>
        <item m="1" x="276"/>
        <item m="1" x="544"/>
        <item m="1" x="161"/>
        <item x="0"/>
        <item x="2"/>
        <item x="3"/>
        <item x="4"/>
        <item x="5"/>
        <item x="6"/>
        <item x="7"/>
        <item x="8"/>
        <item x="9"/>
        <item x="10"/>
        <item x="11"/>
        <item x="12"/>
        <item x="13"/>
        <item x="14"/>
        <item x="15"/>
        <item x="16"/>
        <item x="17"/>
        <item x="18"/>
        <item x="19"/>
        <item x="20"/>
        <item x="21"/>
        <item x="22"/>
        <item x="23"/>
        <item x="24"/>
        <item x="25"/>
        <item x="26"/>
        <item x="27"/>
        <item m="1" x="382"/>
        <item m="1" x="466"/>
        <item x="30"/>
        <item x="31"/>
        <item x="32"/>
        <item m="1" x="553"/>
        <item m="1" x="246"/>
        <item m="1" x="281"/>
        <item m="1" x="334"/>
        <item m="1" x="136"/>
        <item m="1" x="214"/>
        <item m="1" x="298"/>
        <item m="1" x="282"/>
        <item m="1" x="110"/>
        <item m="1" x="539"/>
        <item m="1" x="111"/>
        <item x="44"/>
        <item x="45"/>
        <item x="46"/>
        <item x="47"/>
        <item x="48"/>
        <item x="49"/>
        <item m="1" x="236"/>
        <item x="51"/>
        <item m="1" x="426"/>
        <item x="53"/>
        <item m="1" x="271"/>
        <item m="1" x="529"/>
        <item m="1" x="98"/>
        <item x="57"/>
        <item x="58"/>
        <item x="59"/>
        <item x="60"/>
        <item x="61"/>
        <item m="1" x="499"/>
        <item x="63"/>
        <item x="64"/>
        <item x="65"/>
        <item x="66"/>
        <item x="67"/>
        <item x="68"/>
        <item x="69"/>
        <item x="70"/>
        <item m="1" x="497"/>
        <item m="1" x="508"/>
        <item m="1" x="468"/>
        <item m="1" x="445"/>
        <item m="1" x="244"/>
        <item m="1" x="217"/>
        <item x="76"/>
        <item x="77"/>
        <item x="78"/>
        <item x="79"/>
        <item x="80"/>
        <item x="81"/>
        <item x="82"/>
        <item x="83"/>
        <item x="84"/>
        <item x="85"/>
        <item x="86"/>
        <item x="87"/>
        <item x="88"/>
        <item x="89"/>
        <item x="90"/>
        <item x="91"/>
        <item x="92"/>
        <item x="93"/>
        <item x="94"/>
        <item x="28"/>
        <item x="29"/>
        <item x="33"/>
        <item x="34"/>
        <item x="35"/>
        <item x="36"/>
        <item x="37"/>
        <item x="38"/>
        <item x="39"/>
        <item x="40"/>
        <item x="41"/>
        <item x="42"/>
        <item x="43"/>
        <item x="50"/>
        <item x="52"/>
        <item x="54"/>
        <item x="55"/>
        <item x="56"/>
        <item x="62"/>
        <item x="71"/>
        <item x="72"/>
        <item x="73"/>
        <item x="74"/>
        <item x="75"/>
        <item t="default"/>
      </items>
    </pivotField>
    <pivotField axis="axisRow" showAll="0">
      <items count="262">
        <item m="1" x="67"/>
        <item m="1" x="219"/>
        <item m="1" x="81"/>
        <item m="1" x="226"/>
        <item m="1" x="42"/>
        <item m="1" x="181"/>
        <item m="1" x="218"/>
        <item m="1" x="144"/>
        <item m="1" x="27"/>
        <item m="1" x="115"/>
        <item m="1" x="116"/>
        <item m="1" x="48"/>
        <item m="1" x="15"/>
        <item m="1" x="229"/>
        <item m="1" x="92"/>
        <item m="1" x="239"/>
        <item m="1" x="123"/>
        <item m="1" x="8"/>
        <item m="1" x="71"/>
        <item m="1" x="231"/>
        <item m="1" x="206"/>
        <item m="1" x="90"/>
        <item m="1" x="58"/>
        <item m="1" x="86"/>
        <item m="1" x="160"/>
        <item m="1" x="117"/>
        <item m="1" x="62"/>
        <item m="1" x="257"/>
        <item m="1" x="121"/>
        <item m="1" x="171"/>
        <item m="1" x="228"/>
        <item m="1" x="112"/>
        <item m="1" x="190"/>
        <item m="1" x="210"/>
        <item m="1" x="60"/>
        <item m="1" x="80"/>
        <item m="1" x="232"/>
        <item m="1" x="74"/>
        <item m="1" x="49"/>
        <item m="1" x="23"/>
        <item m="1" x="14"/>
        <item x="0"/>
        <item m="1" x="56"/>
        <item m="1" x="148"/>
        <item m="1" x="187"/>
        <item m="1" x="110"/>
        <item m="1" x="159"/>
        <item m="1" x="126"/>
        <item m="1" x="249"/>
        <item m="1" x="46"/>
        <item m="1" x="25"/>
        <item m="1" x="26"/>
        <item m="1" x="47"/>
        <item m="1" x="32"/>
        <item m="1" x="235"/>
        <item m="1" x="260"/>
        <item m="1" x="18"/>
        <item m="1" x="186"/>
        <item m="1" x="216"/>
        <item m="1" x="125"/>
        <item m="1" x="104"/>
        <item m="1" x="111"/>
        <item m="1" x="184"/>
        <item m="1" x="68"/>
        <item m="1" x="158"/>
        <item m="1" x="212"/>
        <item m="1" x="251"/>
        <item m="1" x="233"/>
        <item m="1" x="66"/>
        <item m="1" x="98"/>
        <item m="1" x="69"/>
        <item m="1" x="167"/>
        <item m="1" x="16"/>
        <item m="1" x="203"/>
        <item m="1" x="30"/>
        <item m="1" x="220"/>
        <item m="1" x="180"/>
        <item m="1" x="213"/>
        <item m="1" x="133"/>
        <item m="1" x="141"/>
        <item m="1" x="73"/>
        <item m="1" x="204"/>
        <item m="1" x="188"/>
        <item m="1" x="34"/>
        <item m="1" x="39"/>
        <item m="1" x="134"/>
        <item m="1" x="91"/>
        <item m="1" x="223"/>
        <item m="1" x="93"/>
        <item m="1" x="83"/>
        <item m="1" x="84"/>
        <item m="1" x="88"/>
        <item m="1" x="13"/>
        <item m="1" x="143"/>
        <item m="1" x="149"/>
        <item m="1" x="22"/>
        <item m="1" x="244"/>
        <item m="1" x="38"/>
        <item m="1" x="113"/>
        <item m="1" x="238"/>
        <item m="1" x="254"/>
        <item m="1" x="122"/>
        <item m="1" x="70"/>
        <item m="1" x="173"/>
        <item m="1" x="166"/>
        <item m="1" x="242"/>
        <item m="1" x="79"/>
        <item m="1" x="196"/>
        <item m="1" x="161"/>
        <item m="1" x="77"/>
        <item m="1" x="102"/>
        <item m="1" x="178"/>
        <item m="1" x="142"/>
        <item m="1" x="139"/>
        <item m="1" x="37"/>
        <item m="1" x="64"/>
        <item m="1" x="174"/>
        <item m="1" x="11"/>
        <item m="1" x="247"/>
        <item m="1" x="192"/>
        <item m="1" x="43"/>
        <item m="1" x="252"/>
        <item m="1" x="259"/>
        <item m="1" x="250"/>
        <item m="1" x="209"/>
        <item m="1" x="17"/>
        <item m="1" x="221"/>
        <item m="1" x="199"/>
        <item m="1" x="40"/>
        <item m="1" x="41"/>
        <item m="1" x="129"/>
        <item m="1" x="224"/>
        <item m="1" x="182"/>
        <item m="1" x="61"/>
        <item m="1" x="172"/>
        <item m="1" x="63"/>
        <item m="1" x="130"/>
        <item m="1" x="205"/>
        <item m="1" x="78"/>
        <item m="1" x="138"/>
        <item m="1" x="105"/>
        <item m="1" x="10"/>
        <item m="1" x="191"/>
        <item m="1" x="57"/>
        <item m="1" x="151"/>
        <item m="1" x="198"/>
        <item m="1" x="89"/>
        <item m="1" x="20"/>
        <item m="1" x="96"/>
        <item m="1" x="240"/>
        <item m="1" x="45"/>
        <item m="1" x="87"/>
        <item m="1" x="31"/>
        <item m="1" x="170"/>
        <item m="1" x="201"/>
        <item m="1" x="256"/>
        <item m="1" x="147"/>
        <item m="1" x="195"/>
        <item m="1" x="82"/>
        <item m="1" x="52"/>
        <item m="1" x="243"/>
        <item m="1" x="177"/>
        <item m="1" x="65"/>
        <item m="1" x="168"/>
        <item m="1" x="75"/>
        <item m="1" x="150"/>
        <item m="1" x="24"/>
        <item m="1" x="118"/>
        <item m="1" x="119"/>
        <item m="1" x="33"/>
        <item m="1" x="36"/>
        <item m="1" x="44"/>
        <item m="1" x="51"/>
        <item m="1" x="109"/>
        <item m="1" x="215"/>
        <item m="1" x="99"/>
        <item m="1" x="217"/>
        <item m="1" x="35"/>
        <item m="1" x="21"/>
        <item m="1" x="72"/>
        <item m="1" x="120"/>
        <item m="1" x="95"/>
        <item m="1" x="162"/>
        <item m="1" x="50"/>
        <item m="1" x="107"/>
        <item m="1" x="97"/>
        <item m="1" x="146"/>
        <item m="1" x="225"/>
        <item m="1" x="101"/>
        <item m="1" x="154"/>
        <item m="1" x="114"/>
        <item m="1" x="234"/>
        <item m="1" x="136"/>
        <item m="1" x="153"/>
        <item m="1" x="53"/>
        <item m="1" x="152"/>
        <item m="1" x="248"/>
        <item m="1" x="197"/>
        <item m="1" x="156"/>
        <item m="1" x="253"/>
        <item m="1" x="211"/>
        <item m="1" x="214"/>
        <item m="1" x="207"/>
        <item m="1" x="237"/>
        <item m="1" x="127"/>
        <item m="1" x="175"/>
        <item m="1" x="94"/>
        <item m="1" x="200"/>
        <item m="1" x="185"/>
        <item m="1" x="164"/>
        <item m="1" x="131"/>
        <item m="1" x="128"/>
        <item m="1" x="85"/>
        <item m="1" x="230"/>
        <item m="1" x="145"/>
        <item m="1" x="258"/>
        <item m="1" x="245"/>
        <item m="1" x="246"/>
        <item m="1" x="163"/>
        <item m="1" x="208"/>
        <item m="1" x="236"/>
        <item m="1" x="28"/>
        <item m="1" x="241"/>
        <item m="1" x="255"/>
        <item m="1" x="55"/>
        <item m="1" x="106"/>
        <item m="1" x="135"/>
        <item m="1" x="169"/>
        <item m="1" x="19"/>
        <item m="1" x="227"/>
        <item m="1" x="193"/>
        <item m="1" x="155"/>
        <item m="1" x="108"/>
        <item m="1" x="103"/>
        <item m="1" x="100"/>
        <item m="1" x="124"/>
        <item m="1" x="132"/>
        <item m="1" x="176"/>
        <item m="1" x="194"/>
        <item m="1" x="137"/>
        <item m="1" x="165"/>
        <item m="1" x="179"/>
        <item m="1" x="183"/>
        <item m="1" x="54"/>
        <item m="1" x="140"/>
        <item m="1" x="29"/>
        <item m="1" x="12"/>
        <item m="1" x="222"/>
        <item m="1" x="202"/>
        <item x="1"/>
        <item x="2"/>
        <item x="3"/>
        <item x="4"/>
        <item x="5"/>
        <item x="6"/>
        <item m="1" x="157"/>
        <item m="1" x="9"/>
        <item m="1" x="76"/>
        <item m="1" x="189"/>
        <item m="1" x="59"/>
        <item x="7"/>
        <item t="default"/>
      </items>
    </pivotField>
    <pivotField axis="axisRow" showAll="0">
      <items count="262">
        <item m="1" x="66"/>
        <item m="1" x="86"/>
        <item m="1" x="146"/>
        <item m="1" x="125"/>
        <item m="1" x="139"/>
        <item m="1" x="225"/>
        <item m="1" x="204"/>
        <item m="1" x="244"/>
        <item m="1" x="159"/>
        <item m="1" x="47"/>
        <item m="1" x="48"/>
        <item m="1" x="145"/>
        <item m="1" x="39"/>
        <item m="1" x="164"/>
        <item m="1" x="226"/>
        <item m="1" x="93"/>
        <item m="1" x="98"/>
        <item m="1" x="70"/>
        <item m="1" x="165"/>
        <item m="1" x="19"/>
        <item m="1" x="115"/>
        <item m="1" x="223"/>
        <item m="1" x="18"/>
        <item m="1" x="136"/>
        <item m="1" x="81"/>
        <item m="1" x="124"/>
        <item m="1" x="219"/>
        <item m="1" x="191"/>
        <item m="1" x="188"/>
        <item m="1" x="200"/>
        <item m="1" x="246"/>
        <item m="1" x="76"/>
        <item m="1" x="163"/>
        <item m="1" x="121"/>
        <item m="1" x="149"/>
        <item m="1" x="245"/>
        <item m="1" x="158"/>
        <item m="1" x="253"/>
        <item m="1" x="171"/>
        <item m="1" x="50"/>
        <item m="1" x="99"/>
        <item x="0"/>
        <item m="1" x="161"/>
        <item m="1" x="69"/>
        <item m="1" x="105"/>
        <item m="1" x="183"/>
        <item m="1" x="174"/>
        <item m="1" x="172"/>
        <item m="1" x="186"/>
        <item m="1" x="133"/>
        <item m="1" x="166"/>
        <item m="1" x="167"/>
        <item m="1" x="153"/>
        <item m="1" x="51"/>
        <item m="1" x="60"/>
        <item m="1" x="240"/>
        <item m="1" x="83"/>
        <item m="1" x="184"/>
        <item m="1" x="194"/>
        <item m="1" x="44"/>
        <item m="1" x="179"/>
        <item m="1" x="216"/>
        <item m="1" x="214"/>
        <item m="1" x="151"/>
        <item m="1" x="82"/>
        <item m="1" x="43"/>
        <item m="1" x="87"/>
        <item m="1" x="85"/>
        <item m="1" x="187"/>
        <item m="1" x="118"/>
        <item m="1" x="218"/>
        <item m="1" x="190"/>
        <item m="1" x="227"/>
        <item m="1" x="189"/>
        <item m="1" x="119"/>
        <item m="1" x="209"/>
        <item m="1" x="109"/>
        <item m="1" x="126"/>
        <item m="1" x="22"/>
        <item m="1" x="160"/>
        <item m="1" x="142"/>
        <item m="1" x="137"/>
        <item m="1" x="199"/>
        <item m="1" x="73"/>
        <item m="1" x="46"/>
        <item m="1" x="239"/>
        <item m="1" x="120"/>
        <item m="1" x="211"/>
        <item m="1" x="33"/>
        <item m="1" x="64"/>
        <item m="1" x="65"/>
        <item m="1" x="197"/>
        <item m="1" x="63"/>
        <item m="1" x="79"/>
        <item m="1" x="148"/>
        <item m="1" x="21"/>
        <item m="1" x="258"/>
        <item m="1" x="237"/>
        <item m="1" x="169"/>
        <item m="1" x="182"/>
        <item m="1" x="71"/>
        <item m="1" x="177"/>
        <item m="1" x="259"/>
        <item m="1" x="195"/>
        <item m="1" x="88"/>
        <item m="1" x="80"/>
        <item m="1" x="37"/>
        <item m="1" x="96"/>
        <item m="1" x="123"/>
        <item m="1" x="168"/>
        <item m="1" x="28"/>
        <item m="1" x="54"/>
        <item m="1" x="16"/>
        <item m="1" x="56"/>
        <item m="1" x="74"/>
        <item m="1" x="106"/>
        <item m="1" x="257"/>
        <item m="1" x="49"/>
        <item m="1" x="29"/>
        <item m="1" x="57"/>
        <item m="1" x="26"/>
        <item m="1" x="222"/>
        <item m="1" x="30"/>
        <item m="1" x="241"/>
        <item m="1" x="67"/>
        <item m="1" x="110"/>
        <item m="1" x="97"/>
        <item m="1" x="242"/>
        <item m="1" x="235"/>
        <item m="1" x="236"/>
        <item m="1" x="132"/>
        <item m="1" x="59"/>
        <item m="1" x="92"/>
        <item m="1" x="217"/>
        <item m="1" x="55"/>
        <item m="1" x="127"/>
        <item m="1" x="24"/>
        <item m="1" x="230"/>
        <item m="1" x="40"/>
        <item m="1" x="180"/>
        <item m="1" x="107"/>
        <item m="1" x="224"/>
        <item m="1" x="252"/>
        <item m="1" x="143"/>
        <item m="1" x="94"/>
        <item m="1" x="250"/>
        <item m="1" x="122"/>
        <item m="1" x="173"/>
        <item m="1" x="25"/>
        <item m="1" x="229"/>
        <item m="1" x="38"/>
        <item m="1" x="206"/>
        <item m="1" x="42"/>
        <item m="1" x="89"/>
        <item m="1" x="138"/>
        <item m="1" x="198"/>
        <item m="1" x="27"/>
        <item m="1" x="234"/>
        <item m="1" x="53"/>
        <item x="1"/>
        <item m="1" x="102"/>
        <item m="1" x="84"/>
        <item m="1" x="129"/>
        <item m="1" x="34"/>
        <item m="1" x="75"/>
        <item m="1" x="233"/>
        <item m="1" x="231"/>
        <item m="1" x="192"/>
        <item m="1" x="178"/>
        <item m="1" x="100"/>
        <item m="1" x="95"/>
        <item m="1" x="32"/>
        <item m="1" x="17"/>
        <item m="1" x="212"/>
        <item m="1" x="90"/>
        <item m="1" x="141"/>
        <item m="1" x="147"/>
        <item m="1" x="61"/>
        <item m="1" x="62"/>
        <item m="1" x="135"/>
        <item m="1" x="181"/>
        <item m="1" x="175"/>
        <item m="1" x="41"/>
        <item m="1" x="255"/>
        <item m="1" x="36"/>
        <item m="1" x="20"/>
        <item m="1" x="77"/>
        <item m="1" x="243"/>
        <item m="1" x="185"/>
        <item m="1" x="238"/>
        <item m="1" x="215"/>
        <item m="1" x="134"/>
        <item m="1" x="208"/>
        <item m="1" x="228"/>
        <item m="1" x="58"/>
        <item m="1" x="251"/>
        <item m="1" x="155"/>
        <item m="1" x="68"/>
        <item m="1" x="78"/>
        <item m="1" x="221"/>
        <item m="1" x="203"/>
        <item m="1" x="130"/>
        <item m="1" x="23"/>
        <item m="1" x="112"/>
        <item m="1" x="205"/>
        <item m="1" x="176"/>
        <item m="1" x="45"/>
        <item m="1" x="201"/>
        <item x="2"/>
        <item m="1" x="144"/>
        <item m="1" x="72"/>
        <item m="1" x="117"/>
        <item m="1" x="202"/>
        <item m="1" x="247"/>
        <item m="1" x="232"/>
        <item m="1" x="91"/>
        <item x="10"/>
        <item m="1" x="210"/>
        <item m="1" x="103"/>
        <item m="1" x="104"/>
        <item m="1" x="196"/>
        <item m="1" x="31"/>
        <item m="1" x="35"/>
        <item m="1" x="249"/>
        <item m="1" x="128"/>
        <item m="1" x="116"/>
        <item m="1" x="108"/>
        <item m="1" x="156"/>
        <item m="1" x="220"/>
        <item m="1" x="213"/>
        <item m="1" x="254"/>
        <item m="1" x="113"/>
        <item m="1" x="101"/>
        <item m="1" x="248"/>
        <item x="11"/>
        <item x="12"/>
        <item m="1" x="162"/>
        <item m="1" x="114"/>
        <item m="1" x="193"/>
        <item m="1" x="256"/>
        <item m="1" x="157"/>
        <item m="1" x="52"/>
        <item m="1" x="154"/>
        <item m="1" x="260"/>
        <item m="1" x="140"/>
        <item m="1" x="150"/>
        <item x="14"/>
        <item m="1" x="131"/>
        <item m="1" x="170"/>
        <item m="1" x="207"/>
        <item m="1" x="111"/>
        <item m="1" x="152"/>
        <item x="3"/>
        <item x="4"/>
        <item x="5"/>
        <item x="6"/>
        <item x="7"/>
        <item x="8"/>
        <item x="9"/>
        <item x="13"/>
        <item x="15"/>
        <item t="default"/>
      </items>
    </pivotField>
    <pivotField axis="axisRow" showAll="0">
      <items count="492">
        <item m="1" x="307"/>
        <item m="1" x="417"/>
        <item m="1" x="390"/>
        <item m="1" x="430"/>
        <item m="1" x="391"/>
        <item m="1" x="431"/>
        <item m="1" x="432"/>
        <item m="1" x="86"/>
        <item m="1" x="467"/>
        <item m="1" x="418"/>
        <item m="1" x="419"/>
        <item m="1" x="462"/>
        <item m="1" x="463"/>
        <item m="1" x="438"/>
        <item m="1" x="87"/>
        <item m="1" x="446"/>
        <item m="1" x="447"/>
        <item m="1" x="450"/>
        <item m="1" x="158"/>
        <item m="1" x="476"/>
        <item m="1" x="59"/>
        <item m="1" x="60"/>
        <item m="1" x="61"/>
        <item m="1" x="464"/>
        <item m="1" x="383"/>
        <item m="1" x="375"/>
        <item m="1" x="303"/>
        <item m="1" x="474"/>
        <item m="1" x="62"/>
        <item m="1" x="481"/>
        <item m="1" x="63"/>
        <item m="1" x="64"/>
        <item m="1" x="65"/>
        <item m="1" x="84"/>
        <item m="1" x="88"/>
        <item m="1" x="403"/>
        <item m="1" x="469"/>
        <item m="1" x="168"/>
        <item m="1" x="465"/>
        <item m="1" x="420"/>
        <item m="1" x="434"/>
        <item m="1" x="435"/>
        <item m="1" x="392"/>
        <item m="1" x="393"/>
        <item m="1" x="480"/>
        <item m="1" x="247"/>
        <item m="1" x="92"/>
        <item m="1" x="200"/>
        <item m="1" x="66"/>
        <item m="1" x="174"/>
        <item m="1" x="483"/>
        <item m="1" x="97"/>
        <item m="1" x="146"/>
        <item m="1" x="309"/>
        <item m="1" x="442"/>
        <item m="1" x="357"/>
        <item m="1" x="468"/>
        <item m="1" x="127"/>
        <item m="1" x="286"/>
        <item m="1" x="364"/>
        <item m="1" x="169"/>
        <item m="1" x="210"/>
        <item m="1" x="396"/>
        <item m="1" x="228"/>
        <item m="1" x="429"/>
        <item m="1" x="347"/>
        <item m="1" x="143"/>
        <item m="1" x="395"/>
        <item m="1" x="452"/>
        <item m="1" x="288"/>
        <item m="1" x="451"/>
        <item m="1" x="275"/>
        <item m="1" x="360"/>
        <item m="1" x="342"/>
        <item m="1" x="370"/>
        <item m="1" x="477"/>
        <item m="1" x="460"/>
        <item m="1" x="208"/>
        <item m="1" x="173"/>
        <item m="1" x="258"/>
        <item m="1" x="250"/>
        <item m="1" x="257"/>
        <item m="1" x="56"/>
        <item m="1" x="240"/>
        <item m="1" x="408"/>
        <item m="1" x="94"/>
        <item m="1" x="130"/>
        <item x="0"/>
        <item m="1" x="293"/>
        <item m="1" x="68"/>
        <item m="1" x="181"/>
        <item m="1" x="69"/>
        <item m="1" x="182"/>
        <item m="1" x="183"/>
        <item m="1" x="260"/>
        <item m="1" x="253"/>
        <item m="1" x="294"/>
        <item m="1" x="295"/>
        <item m="1" x="195"/>
        <item m="1" x="196"/>
        <item m="1" x="421"/>
        <item m="1" x="261"/>
        <item m="1" x="305"/>
        <item m="1" x="306"/>
        <item m="1" x="216"/>
        <item m="1" x="132"/>
        <item m="1" x="428"/>
        <item m="1" x="319"/>
        <item m="1" x="320"/>
        <item m="1" x="321"/>
        <item m="1" x="197"/>
        <item m="1" x="278"/>
        <item m="1" x="95"/>
        <item m="1" x="322"/>
        <item m="1" x="379"/>
        <item m="1" x="323"/>
        <item m="1" x="324"/>
        <item m="1" x="325"/>
        <item m="1" x="204"/>
        <item m="1" x="262"/>
        <item m="1" x="284"/>
        <item m="1" x="136"/>
        <item m="1" x="274"/>
        <item m="1" x="198"/>
        <item m="1" x="296"/>
        <item m="1" x="243"/>
        <item m="1" x="244"/>
        <item m="1" x="70"/>
        <item m="1" x="71"/>
        <item m="1" x="81"/>
        <item m="1" x="289"/>
        <item m="1" x="135"/>
        <item m="1" x="338"/>
        <item m="1" x="93"/>
        <item m="1" x="443"/>
        <item m="1" x="172"/>
        <item m="1" x="219"/>
        <item m="1" x="239"/>
        <item m="1" x="180"/>
        <item m="1" x="367"/>
        <item m="1" x="401"/>
        <item m="1" x="426"/>
        <item m="1" x="118"/>
        <item m="1" x="171"/>
        <item m="1" x="397"/>
        <item m="1" x="199"/>
        <item m="1" x="179"/>
        <item m="1" x="466"/>
        <item m="1" x="123"/>
        <item m="1" x="167"/>
        <item m="1" x="245"/>
        <item m="1" x="119"/>
        <item m="1" x="489"/>
        <item m="1" x="349"/>
        <item m="1" x="108"/>
        <item m="1" x="482"/>
        <item m="1" x="131"/>
        <item m="1" x="318"/>
        <item m="1" x="386"/>
        <item m="1" x="380"/>
        <item m="1" x="89"/>
        <item m="1" x="337"/>
        <item m="1" x="161"/>
        <item m="1" x="361"/>
        <item m="1" x="203"/>
        <item m="1" x="326"/>
        <item m="1" x="304"/>
        <item m="1" x="255"/>
        <item m="1" x="248"/>
        <item m="1" x="128"/>
        <item m="1" x="414"/>
        <item m="1" x="422"/>
        <item m="1" x="205"/>
        <item m="1" x="423"/>
        <item m="1" x="206"/>
        <item m="1" x="207"/>
        <item m="1" x="344"/>
        <item m="1" x="444"/>
        <item m="1" x="415"/>
        <item m="1" x="416"/>
        <item m="1" x="75"/>
        <item m="1" x="76"/>
        <item m="1" x="83"/>
        <item m="1" x="345"/>
        <item m="1" x="301"/>
        <item m="1" x="302"/>
        <item m="1" x="400"/>
        <item m="1" x="147"/>
        <item m="1" x="398"/>
        <item m="1" x="191"/>
        <item m="1" x="192"/>
        <item m="1" x="193"/>
        <item m="1" x="77"/>
        <item m="1" x="98"/>
        <item m="1" x="292"/>
        <item m="1" x="185"/>
        <item m="1" x="308"/>
        <item m="1" x="186"/>
        <item m="1" x="187"/>
        <item m="1" x="188"/>
        <item m="1" x="138"/>
        <item m="1" x="368"/>
        <item m="1" x="58"/>
        <item m="1" x="300"/>
        <item m="1" x="90"/>
        <item m="1" x="189"/>
        <item m="1" x="280"/>
        <item m="1" x="457"/>
        <item m="1" x="458"/>
        <item m="1" x="384"/>
        <item m="1" x="385"/>
        <item m="1" x="285"/>
        <item m="1" x="153"/>
        <item m="1" x="251"/>
        <item m="1" x="177"/>
        <item m="1" x="232"/>
        <item m="1" x="346"/>
        <item m="1" x="163"/>
        <item m="1" x="149"/>
        <item m="1" x="311"/>
        <item m="1" x="78"/>
        <item m="1" x="134"/>
        <item m="1" x="394"/>
        <item m="1" x="164"/>
        <item m="1" x="145"/>
        <item m="1" x="129"/>
        <item m="1" x="237"/>
        <item m="1" x="363"/>
        <item m="1" x="142"/>
        <item m="1" x="382"/>
        <item m="1" x="436"/>
        <item m="1" x="151"/>
        <item m="1" x="441"/>
        <item m="1" x="178"/>
        <item m="1" x="453"/>
        <item m="1" x="413"/>
        <item m="1" x="57"/>
        <item m="1" x="117"/>
        <item m="1" x="348"/>
        <item m="1" x="137"/>
        <item m="1" x="67"/>
        <item m="1" x="328"/>
        <item m="1" x="72"/>
        <item m="1" x="378"/>
        <item m="1" x="341"/>
        <item m="1" x="475"/>
        <item m="1" x="399"/>
        <item m="1" x="268"/>
        <item m="1" x="218"/>
        <item m="1" x="109"/>
        <item m="1" x="241"/>
        <item m="1" x="454"/>
        <item m="1" x="312"/>
        <item m="1" x="409"/>
        <item m="1" x="154"/>
        <item m="1" x="410"/>
        <item m="1" x="155"/>
        <item m="1" x="156"/>
        <item m="1" x="281"/>
        <item m="1" x="381"/>
        <item m="1" x="313"/>
        <item m="1" x="314"/>
        <item m="1" x="470"/>
        <item m="1" x="471"/>
        <item m="1" x="365"/>
        <item m="1" x="282"/>
        <item m="1" x="211"/>
        <item m="1" x="212"/>
        <item m="1" x="369"/>
        <item m="1" x="235"/>
        <item m="1" x="259"/>
        <item m="1" x="110"/>
        <item m="1" x="111"/>
        <item m="1" x="112"/>
        <item m="1" x="472"/>
        <item m="1" x="406"/>
        <item m="1" x="214"/>
        <item m="1" x="113"/>
        <item m="1" x="358"/>
        <item m="1" x="114"/>
        <item m="1" x="115"/>
        <item m="1" x="116"/>
        <item m="1" x="376"/>
        <item m="1" x="283"/>
        <item m="1" x="80"/>
        <item m="1" x="176"/>
        <item m="1" x="160"/>
        <item m="1" x="473"/>
        <item m="1" x="315"/>
        <item m="1" x="484"/>
        <item m="1" x="485"/>
        <item m="1" x="411"/>
        <item m="1" x="412"/>
        <item m="1" x="270"/>
        <item m="1" x="238"/>
        <item m="1" x="96"/>
        <item m="1" x="202"/>
        <item m="1" x="425"/>
        <item m="1" x="316"/>
        <item m="1" x="310"/>
        <item m="1" x="276"/>
        <item m="1" x="184"/>
        <item m="1" x="82"/>
        <item m="1" x="190"/>
        <item m="1" x="402"/>
        <item m="1" x="486"/>
        <item m="1" x="246"/>
        <item m="1" x="165"/>
        <item m="1" x="343"/>
        <item m="1" x="170"/>
        <item m="1" x="269"/>
        <item m="1" x="139"/>
        <item m="1" x="252"/>
        <item m="1" x="267"/>
        <item m="1" x="405"/>
        <item m="1" x="249"/>
        <item m="1" x="449"/>
        <item m="1" x="85"/>
        <item m="1" x="148"/>
        <item m="1" x="140"/>
        <item m="1" x="331"/>
        <item m="1" x="362"/>
        <item m="1" x="461"/>
        <item m="1" x="91"/>
        <item m="1" x="133"/>
        <item m="1" x="297"/>
        <item m="1" x="371"/>
        <item m="1" x="336"/>
        <item m="1" x="256"/>
        <item m="1" x="291"/>
        <item m="1" x="106"/>
        <item m="1" x="487"/>
        <item m="1" x="107"/>
        <item m="1" x="277"/>
        <item m="1" x="152"/>
        <item m="1" x="150"/>
        <item m="1" x="217"/>
        <item m="1" x="329"/>
        <item m="1" x="445"/>
        <item m="1" x="433"/>
        <item m="1" x="144"/>
        <item m="1" x="126"/>
        <item m="1" x="359"/>
        <item m="1" x="201"/>
        <item m="1" x="332"/>
        <item m="1" x="194"/>
        <item m="1" x="455"/>
        <item m="1" x="166"/>
        <item m="1" x="356"/>
        <item m="1" x="175"/>
        <item m="1" x="159"/>
        <item m="1" x="479"/>
        <item m="1" x="254"/>
        <item m="1" x="209"/>
        <item m="1" x="437"/>
        <item m="1" x="327"/>
        <item m="1" x="220"/>
        <item m="1" x="224"/>
        <item m="1" x="120"/>
        <item m="1" x="225"/>
        <item m="1" x="121"/>
        <item m="1" x="122"/>
        <item m="1" x="387"/>
        <item m="1" x="236"/>
        <item m="1" x="221"/>
        <item m="1" x="222"/>
        <item m="1" x="263"/>
        <item m="1" x="264"/>
        <item m="1" x="478"/>
        <item m="1" x="388"/>
        <item m="1" x="373"/>
        <item m="1" x="374"/>
        <item m="1" x="215"/>
        <item m="1" x="79"/>
        <item m="1" x="213"/>
        <item m="1" x="99"/>
        <item m="1" x="100"/>
        <item m="1" x="101"/>
        <item m="1" x="265"/>
        <item m="1" x="377"/>
        <item m="1" x="488"/>
        <item m="1" x="105"/>
        <item m="1" x="366"/>
        <item m="1" x="459"/>
        <item m="1" x="102"/>
        <item m="1" x="103"/>
        <item m="1" x="104"/>
        <item m="1" x="427"/>
        <item m="1" x="389"/>
        <item m="1" x="290"/>
        <item m="1" x="372"/>
        <item m="1" x="424"/>
        <item m="1" x="266"/>
        <item m="1" x="223"/>
        <item m="1" x="73"/>
        <item m="1" x="74"/>
        <item m="1" x="226"/>
        <item m="1" x="227"/>
        <item x="1"/>
        <item x="2"/>
        <item x="3"/>
        <item x="4"/>
        <item x="5"/>
        <item x="6"/>
        <item x="7"/>
        <item x="8"/>
        <item x="9"/>
        <item x="10"/>
        <item x="11"/>
        <item x="12"/>
        <item x="13"/>
        <item x="14"/>
        <item x="15"/>
        <item x="16"/>
        <item x="17"/>
        <item x="18"/>
        <item x="19"/>
        <item m="1" x="287"/>
        <item m="1" x="333"/>
        <item m="1" x="334"/>
        <item m="1" x="229"/>
        <item m="1" x="230"/>
        <item x="20"/>
        <item x="21"/>
        <item m="1" x="440"/>
        <item m="1" x="298"/>
        <item m="1" x="339"/>
        <item x="22"/>
        <item m="1" x="340"/>
        <item x="23"/>
        <item x="25"/>
        <item x="26"/>
        <item m="1" x="233"/>
        <item x="28"/>
        <item m="1" x="404"/>
        <item m="1" x="242"/>
        <item m="1" x="157"/>
        <item m="1" x="448"/>
        <item m="1" x="350"/>
        <item m="1" x="351"/>
        <item m="1" x="352"/>
        <item m="1" x="231"/>
        <item m="1" x="490"/>
        <item m="1" x="271"/>
        <item x="30"/>
        <item x="31"/>
        <item x="32"/>
        <item x="33"/>
        <item x="34"/>
        <item m="1" x="456"/>
        <item m="1" x="407"/>
        <item m="1" x="353"/>
        <item m="1" x="354"/>
        <item m="1" x="355"/>
        <item m="1" x="234"/>
        <item m="1" x="299"/>
        <item m="1" x="141"/>
        <item m="1" x="162"/>
        <item m="1" x="317"/>
        <item x="38"/>
        <item m="1" x="335"/>
        <item m="1" x="272"/>
        <item m="1" x="273"/>
        <item m="1" x="124"/>
        <item m="1" x="125"/>
        <item m="1" x="439"/>
        <item m="1" x="330"/>
        <item m="1" x="279"/>
        <item x="44"/>
        <item x="45"/>
        <item x="46"/>
        <item x="47"/>
        <item x="48"/>
        <item x="49"/>
        <item x="50"/>
        <item x="51"/>
        <item x="52"/>
        <item x="53"/>
        <item x="54"/>
        <item x="55"/>
        <item x="24"/>
        <item x="27"/>
        <item x="29"/>
        <item x="35"/>
        <item x="37"/>
        <item x="36"/>
        <item x="39"/>
        <item x="40"/>
        <item x="41"/>
        <item x="42"/>
        <item x="43"/>
        <item t="default"/>
      </items>
    </pivotField>
    <pivotField axis="axisRow" showAll="0">
      <items count="538">
        <item m="1" x="335"/>
        <item m="1" x="85"/>
        <item m="1" x="526"/>
        <item m="1" x="443"/>
        <item m="1" x="382"/>
        <item m="1" x="471"/>
        <item m="1" x="383"/>
        <item m="1" x="472"/>
        <item m="1" x="473"/>
        <item m="1" x="227"/>
        <item m="1" x="114"/>
        <item m="1" x="444"/>
        <item m="1" x="445"/>
        <item m="1" x="68"/>
        <item m="1" x="69"/>
        <item m="1" x="480"/>
        <item m="1" x="228"/>
        <item m="1" x="515"/>
        <item m="1" x="516"/>
        <item m="1" x="466"/>
        <item m="1" x="519"/>
        <item m="1" x="338"/>
        <item m="1" x="91"/>
        <item m="1" x="119"/>
        <item m="1" x="120"/>
        <item m="1" x="121"/>
        <item m="1" x="70"/>
        <item m="1" x="367"/>
        <item m="1" x="487"/>
        <item m="1" x="342"/>
        <item m="1" x="171"/>
        <item m="1" x="84"/>
        <item m="1" x="122"/>
        <item m="1" x="389"/>
        <item m="1" x="123"/>
        <item m="1" x="124"/>
        <item m="1" x="125"/>
        <item m="1" x="178"/>
        <item m="1" x="229"/>
        <item m="1" x="405"/>
        <item m="1" x="76"/>
        <item m="1" x="350"/>
        <item m="1" x="71"/>
        <item m="1" x="446"/>
        <item m="1" x="502"/>
        <item m="1" x="503"/>
        <item m="1" x="384"/>
        <item m="1" x="385"/>
        <item m="1" x="242"/>
        <item m="1" x="530"/>
        <item m="1" x="410"/>
        <item m="1" x="127"/>
        <item m="1" x="361"/>
        <item m="1" x="393"/>
        <item m="1" x="205"/>
        <item m="1" x="313"/>
        <item m="1" x="182"/>
        <item m="1" x="387"/>
        <item m="1" x="470"/>
        <item m="1" x="78"/>
        <item m="1" x="255"/>
        <item m="1" x="131"/>
        <item m="1" x="329"/>
        <item m="1" x="386"/>
        <item m="1" x="476"/>
        <item m="1" x="155"/>
        <item m="1" x="351"/>
        <item m="1" x="494"/>
        <item m="1" x="274"/>
        <item m="1" x="505"/>
        <item m="1" x="303"/>
        <item m="1" x="272"/>
        <item m="1" x="520"/>
        <item m="1" x="490"/>
        <item m="1" x="353"/>
        <item m="1" x="507"/>
        <item m="1" x="112"/>
        <item m="1" x="344"/>
        <item m="1" x="259"/>
        <item m="1" x="336"/>
        <item m="1" x="126"/>
        <item m="1" x="60"/>
        <item m="1" x="455"/>
        <item m="1" x="360"/>
        <item m="1" x="108"/>
        <item m="1" x="59"/>
        <item m="1" x="63"/>
        <item m="1" x="118"/>
        <item x="4"/>
        <item m="1" x="415"/>
        <item m="1" x="148"/>
        <item m="1" x="211"/>
        <item m="1" x="183"/>
        <item m="1" x="187"/>
        <item m="1" x="407"/>
        <item m="1" x="188"/>
        <item m="1" x="408"/>
        <item m="1" x="409"/>
        <item m="1" x="72"/>
        <item m="1" x="534"/>
        <item m="1" x="184"/>
        <item m="1" x="185"/>
        <item m="1" x="439"/>
        <item m="1" x="440"/>
        <item m="1" x="465"/>
        <item m="1" x="73"/>
        <item m="1" x="209"/>
        <item m="1" x="210"/>
        <item m="1" x="478"/>
        <item m="1" x="291"/>
        <item m="1" x="477"/>
        <item m="1" x="244"/>
        <item m="1" x="245"/>
        <item m="1" x="246"/>
        <item m="1" x="441"/>
        <item m="1" x="160"/>
        <item m="1" x="251"/>
        <item m="1" x="247"/>
        <item m="1" x="62"/>
        <item m="1" x="248"/>
        <item m="1" x="249"/>
        <item m="1" x="250"/>
        <item m="1" x="461"/>
        <item m="1" x="74"/>
        <item m="1" x="414"/>
        <item m="1" x="296"/>
        <item m="1" x="110"/>
        <item m="1" x="442"/>
        <item m="1" x="186"/>
        <item m="1" x="510"/>
        <item m="1" x="511"/>
        <item m="1" x="189"/>
        <item m="1" x="190"/>
        <item m="1" x="161"/>
        <item m="1" x="128"/>
        <item m="1" x="264"/>
        <item m="1" x="332"/>
        <item m="1" x="181"/>
        <item m="1" x="500"/>
        <item m="1" x="355"/>
        <item m="1" x="164"/>
        <item m="1" x="90"/>
        <item m="1" x="373"/>
        <item m="1" x="328"/>
        <item m="1" x="401"/>
        <item m="1" x="456"/>
        <item m="1" x="226"/>
        <item m="1" x="356"/>
        <item m="1" x="457"/>
        <item m="1" x="94"/>
        <item m="1" x="364"/>
        <item m="1" x="100"/>
        <item m="1" x="398"/>
        <item m="1" x="260"/>
        <item m="1" x="512"/>
        <item m="1" x="524"/>
        <item m="1" x="406"/>
        <item m="1" x="75"/>
        <item m="1" x="98"/>
        <item m="1" x="271"/>
        <item m="1" x="220"/>
        <item m="1" x="96"/>
        <item m="1" x="400"/>
        <item m="1" x="192"/>
        <item m="1" x="372"/>
        <item m="1" x="357"/>
        <item m="1" x="179"/>
        <item m="1" x="257"/>
        <item m="1" x="337"/>
        <item m="1" x="319"/>
        <item m="1" x="421"/>
        <item m="1" x="202"/>
        <item m="1" x="533"/>
        <item m="1" x="223"/>
        <item m="1" x="331"/>
        <item m="1" x="425"/>
        <item m="1" x="435"/>
        <item m="1" x="417"/>
        <item m="1" x="436"/>
        <item m="1" x="418"/>
        <item m="1" x="419"/>
        <item m="1" x="293"/>
        <item m="1" x="531"/>
        <item m="1" x="426"/>
        <item m="1" x="427"/>
        <item m="1" x="151"/>
        <item m="1" x="152"/>
        <item m="1" x="163"/>
        <item m="1" x="294"/>
        <item m="1" x="157"/>
        <item m="1" x="158"/>
        <item m="1" x="392"/>
        <item m="1" x="312"/>
        <item m="1" x="379"/>
        <item m="1" x="374"/>
        <item m="1" x="375"/>
        <item m="1" x="376"/>
        <item m="1" x="153"/>
        <item m="1" x="204"/>
        <item m="1" x="253"/>
        <item m="1" x="101"/>
        <item m="1" x="388"/>
        <item m="1" x="102"/>
        <item m="1" x="103"/>
        <item m="1" x="104"/>
        <item m="1" x="420"/>
        <item m="1" x="325"/>
        <item m="1" x="77"/>
        <item m="1" x="193"/>
        <item m="1" x="176"/>
        <item m="1" x="518"/>
        <item m="1" x="345"/>
        <item m="1" x="527"/>
        <item m="1" x="528"/>
        <item m="1" x="462"/>
        <item m="1" x="463"/>
        <item m="1" x="117"/>
        <item m="1" x="320"/>
        <item m="1" x="525"/>
        <item m="1" x="432"/>
        <item m="1" x="475"/>
        <item m="1" x="262"/>
        <item m="1" x="334"/>
        <item m="1" x="315"/>
        <item m="1" x="365"/>
        <item m="1" x="165"/>
        <item m="1" x="269"/>
        <item m="1" x="422"/>
        <item m="1" x="340"/>
        <item m="1" x="333"/>
        <item m="1" x="277"/>
        <item m="1" x="499"/>
        <item m="1" x="326"/>
        <item m="1" x="324"/>
        <item m="1" x="362"/>
        <item m="1" x="252"/>
        <item m="1" x="469"/>
        <item m="1" x="316"/>
        <item m="1" x="491"/>
        <item m="1" x="363"/>
        <item m="1" x="488"/>
        <item m="1" x="254"/>
        <item m="1" x="430"/>
        <item m="1" x="162"/>
        <item m="1" x="221"/>
        <item m="1" x="297"/>
        <item m="1" x="270"/>
        <item m="1" x="130"/>
        <item m="1" x="213"/>
        <item m="1" x="159"/>
        <item m="1" x="346"/>
        <item m="1" x="287"/>
        <item m="1" x="83"/>
        <item m="1" x="397"/>
        <item m="1" x="93"/>
        <item m="1" x="256"/>
        <item m="1" x="509"/>
        <item m="1" x="523"/>
        <item m="1" x="280"/>
        <item m="1" x="495"/>
        <item m="1" x="394"/>
        <item m="1" x="496"/>
        <item m="1" x="395"/>
        <item m="1" x="396"/>
        <item m="1" x="230"/>
        <item m="1" x="458"/>
        <item m="1" x="281"/>
        <item m="1" x="282"/>
        <item m="1" x="167"/>
        <item m="1" x="168"/>
        <item m="1" x="399"/>
        <item m="1" x="231"/>
        <item m="1" x="513"/>
        <item m="1" x="514"/>
        <item m="1" x="404"/>
        <item m="1" x="61"/>
        <item m="1" x="173"/>
        <item m="1" x="305"/>
        <item m="1" x="306"/>
        <item m="1" x="307"/>
        <item m="1" x="169"/>
        <item m="1" x="492"/>
        <item m="1" x="517"/>
        <item m="1" x="308"/>
        <item m="1" x="288"/>
        <item m="1" x="309"/>
        <item m="1" x="310"/>
        <item m="1" x="311"/>
        <item m="1" x="429"/>
        <item m="1" x="232"/>
        <item m="1" x="150"/>
        <item m="1" x="358"/>
        <item m="1" x="504"/>
        <item m="1" x="170"/>
        <item m="1" x="283"/>
        <item m="1" x="197"/>
        <item m="1" x="198"/>
        <item m="1" x="497"/>
        <item m="1" x="498"/>
        <item m="1" x="299"/>
        <item m="1" x="113"/>
        <item m="1" x="327"/>
        <item m="1" x="416"/>
        <item m="1" x="177"/>
        <item m="1" x="489"/>
        <item m="1" x="343"/>
        <item m="1" x="115"/>
        <item m="1" x="377"/>
        <item m="1" x="206"/>
        <item m="1" x="428"/>
        <item m="1" x="402"/>
        <item m="1" x="143"/>
        <item m="1" x="532"/>
        <item m="1" x="341"/>
        <item m="1" x="452"/>
        <item m="1" x="354"/>
        <item m="1" x="95"/>
        <item m="1" x="279"/>
        <item m="1" x="222"/>
        <item m="1" x="58"/>
        <item m="1" x="89"/>
        <item m="1" x="142"/>
        <item m="1" x="535"/>
        <item m="1" x="284"/>
        <item m="1" x="508"/>
        <item m="1" x="203"/>
        <item m="1" x="314"/>
        <item m="1" x="506"/>
        <item m="1" x="240"/>
        <item m="1" x="322"/>
        <item m="1" x="243"/>
        <item m="1" x="233"/>
        <item m="1" x="302"/>
        <item m="1" x="194"/>
        <item m="1" x="339"/>
        <item m="1" x="501"/>
        <item m="1" x="106"/>
        <item m="1" x="180"/>
        <item m="1" x="275"/>
        <item m="1" x="105"/>
        <item m="1" x="467"/>
        <item m="1" x="276"/>
        <item m="1" x="116"/>
        <item m="1" x="468"/>
        <item m="1" x="317"/>
        <item m="1" x="318"/>
        <item m="1" x="214"/>
        <item m="1" x="352"/>
        <item m="1" x="295"/>
        <item m="1" x="129"/>
        <item m="1" x="479"/>
        <item m="1" x="267"/>
        <item m="1" x="380"/>
        <item m="1" x="149"/>
        <item m="1" x="493"/>
        <item m="1" x="381"/>
        <item m="1" x="174"/>
        <item m="1" x="57"/>
        <item m="1" x="359"/>
        <item m="1" x="536"/>
        <item m="1" x="216"/>
        <item m="1" x="79"/>
        <item m="1" x="138"/>
        <item m="1" x="80"/>
        <item m="1" x="139"/>
        <item m="1" x="140"/>
        <item m="1" x="486"/>
        <item m="1" x="447"/>
        <item m="1" x="437"/>
        <item m="1" x="217"/>
        <item m="1" x="218"/>
        <item m="1" x="144"/>
        <item m="1" x="145"/>
        <item m="1" x="290"/>
        <item m="1" x="448"/>
        <item m="1" x="224"/>
        <item m="1" x="196"/>
        <item m="1" x="225"/>
        <item m="1" x="289"/>
        <item m="1" x="141"/>
        <item m="1" x="323"/>
        <item m="1" x="411"/>
        <item m="1" x="278"/>
        <item m="1" x="195"/>
        <item m="1" x="166"/>
        <item m="1" x="107"/>
        <item m="1" x="292"/>
        <item m="1" x="234"/>
        <item m="1" x="235"/>
        <item m="1" x="236"/>
        <item m="1" x="146"/>
        <item m="1" x="301"/>
        <item m="1" x="321"/>
        <item m="1" x="207"/>
        <item m="1" x="412"/>
        <item m="1" x="366"/>
        <item m="1" x="92"/>
        <item m="1" x="298"/>
        <item m="1" x="263"/>
        <item m="1" x="237"/>
        <item m="1" x="238"/>
        <item m="1" x="239"/>
        <item m="1" x="154"/>
        <item m="1" x="449"/>
        <item m="1" x="97"/>
        <item m="1" x="273"/>
        <item m="1" x="454"/>
        <item m="1" x="147"/>
        <item m="1" x="219"/>
        <item m="1" x="433"/>
        <item m="1" x="434"/>
        <item m="1" x="81"/>
        <item m="1" x="82"/>
        <item m="1" x="111"/>
        <item m="1" x="172"/>
        <item m="1" x="474"/>
        <item m="1" x="175"/>
        <item m="1" x="99"/>
        <item m="1" x="378"/>
        <item m="1" x="109"/>
        <item m="1" x="529"/>
        <item m="1" x="460"/>
        <item m="1" x="86"/>
        <item m="1" x="403"/>
        <item m="1" x="191"/>
        <item m="1" x="156"/>
        <item m="1" x="304"/>
        <item m="1" x="450"/>
        <item m="1" x="438"/>
        <item m="1" x="258"/>
        <item m="1" x="390"/>
        <item m="1" x="368"/>
        <item m="1" x="482"/>
        <item m="1" x="199"/>
        <item m="1" x="483"/>
        <item m="1" x="200"/>
        <item m="1" x="201"/>
        <item m="1" x="347"/>
        <item m="1" x="464"/>
        <item m="1" x="369"/>
        <item m="1" x="370"/>
        <item m="1" x="64"/>
        <item m="1" x="65"/>
        <item m="1" x="451"/>
        <item m="1" x="348"/>
        <item m="1" x="265"/>
        <item m="1" x="266"/>
        <item m="1" x="453"/>
        <item m="1" x="300"/>
        <item m="1" x="330"/>
        <item m="1" x="132"/>
        <item m="1" x="133"/>
        <item m="1" x="134"/>
        <item m="1" x="66"/>
        <item m="1" x="481"/>
        <item m="1" x="268"/>
        <item m="1" x="215"/>
        <item m="1" x="431"/>
        <item m="1" x="135"/>
        <item m="1" x="136"/>
        <item m="1" x="137"/>
        <item m="1" x="459"/>
        <item m="1" x="349"/>
        <item m="1" x="423"/>
        <item m="1" x="241"/>
        <item m="1" x="208"/>
        <item m="1" x="67"/>
        <item m="1" x="371"/>
        <item m="1" x="87"/>
        <item m="1" x="88"/>
        <item m="1" x="484"/>
        <item m="1" x="485"/>
        <item x="0"/>
        <item x="1"/>
        <item x="2"/>
        <item x="3"/>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m="1" x="391"/>
        <item x="38"/>
        <item x="39"/>
        <item m="1" x="424"/>
        <item m="1" x="285"/>
        <item m="1" x="286"/>
        <item m="1" x="521"/>
        <item m="1" x="522"/>
        <item m="1" x="212"/>
        <item m="1" x="261"/>
        <item m="1" x="413"/>
        <item x="45"/>
        <item x="46"/>
        <item x="47"/>
        <item x="48"/>
        <item x="49"/>
        <item x="50"/>
        <item x="51"/>
        <item x="52"/>
        <item x="53"/>
        <item x="54"/>
        <item x="55"/>
        <item x="56"/>
        <item x="37"/>
        <item x="40"/>
        <item x="41"/>
        <item x="42"/>
        <item x="43"/>
        <item x="44"/>
        <item t="default"/>
      </items>
    </pivotField>
    <pivotField axis="axisRow" showAll="0">
      <items count="110">
        <item m="1" x="32"/>
        <item x="1"/>
        <item m="1" x="68"/>
        <item m="1" x="45"/>
        <item m="1" x="16"/>
        <item m="1" x="108"/>
        <item m="1" x="103"/>
        <item m="1" x="56"/>
        <item m="1" x="29"/>
        <item m="1" x="26"/>
        <item m="1" x="66"/>
        <item m="1" x="37"/>
        <item m="1" x="51"/>
        <item m="1" x="100"/>
        <item m="1" x="33"/>
        <item m="1" x="73"/>
        <item m="1" x="42"/>
        <item m="1" x="82"/>
        <item m="1" x="20"/>
        <item m="1" x="81"/>
        <item m="1" x="80"/>
        <item m="1" x="106"/>
        <item m="1" x="91"/>
        <item m="1" x="86"/>
        <item m="1" x="64"/>
        <item m="1" x="76"/>
        <item m="1" x="78"/>
        <item m="1" x="96"/>
        <item m="1" x="95"/>
        <item m="1" x="74"/>
        <item m="1" x="84"/>
        <item m="1" x="67"/>
        <item m="1" x="79"/>
        <item m="1" x="46"/>
        <item m="1" x="43"/>
        <item m="1" x="94"/>
        <item m="1" x="54"/>
        <item m="1" x="27"/>
        <item m="1" x="24"/>
        <item m="1" x="63"/>
        <item m="1" x="70"/>
        <item m="1" x="52"/>
        <item m="1" x="102"/>
        <item m="1" x="23"/>
        <item m="1" x="34"/>
        <item m="1" x="19"/>
        <item m="1" x="39"/>
        <item m="1" x="83"/>
        <item m="1" x="18"/>
        <item m="1" x="22"/>
        <item m="1" x="59"/>
        <item m="1" x="77"/>
        <item m="1" x="62"/>
        <item m="1" x="60"/>
        <item m="1" x="40"/>
        <item m="1" x="93"/>
        <item m="1" x="50"/>
        <item m="1" x="99"/>
        <item m="1" x="97"/>
        <item m="1" x="47"/>
        <item m="1" x="55"/>
        <item m="1" x="30"/>
        <item m="1" x="17"/>
        <item m="1" x="38"/>
        <item m="1" x="14"/>
        <item m="1" x="57"/>
        <item m="1" x="49"/>
        <item m="1" x="48"/>
        <item m="1" x="85"/>
        <item m="1" x="53"/>
        <item m="1" x="104"/>
        <item m="1" x="31"/>
        <item m="1" x="28"/>
        <item m="1" x="25"/>
        <item m="1" x="58"/>
        <item m="1" x="75"/>
        <item m="1" x="69"/>
        <item m="1" x="65"/>
        <item m="1" x="15"/>
        <item m="1" x="89"/>
        <item m="1" x="105"/>
        <item m="1" x="71"/>
        <item m="1" x="90"/>
        <item m="1" x="35"/>
        <item m="1" x="101"/>
        <item m="1" x="107"/>
        <item m="1" x="92"/>
        <item m="1" x="72"/>
        <item m="1" x="21"/>
        <item m="1" x="41"/>
        <item m="1" x="44"/>
        <item m="1" x="88"/>
        <item m="1" x="61"/>
        <item m="1" x="87"/>
        <item m="1" x="98"/>
        <item m="1" x="36"/>
        <item x="0"/>
        <item x="2"/>
        <item x="3"/>
        <item x="4"/>
        <item x="5"/>
        <item x="6"/>
        <item x="7"/>
        <item x="8"/>
        <item x="9"/>
        <item x="10"/>
        <item x="11"/>
        <item x="12"/>
        <item x="13"/>
        <item t="default"/>
      </items>
    </pivotField>
    <pivotField axis="axisRow" showAll="0">
      <items count="15">
        <item m="1" x="13"/>
        <item x="1"/>
        <item m="1" x="7"/>
        <item x="0"/>
        <item x="2"/>
        <item x="3"/>
        <item x="4"/>
        <item x="5"/>
        <item m="1" x="9"/>
        <item m="1" x="10"/>
        <item m="1" x="12"/>
        <item m="1" x="11"/>
        <item m="1" x="8"/>
        <item x="6"/>
        <item t="default"/>
      </items>
    </pivotField>
    <pivotField axis="axisRow" showAll="0">
      <items count="435">
        <item m="1" x="70"/>
        <item m="1" x="381"/>
        <item m="1" x="379"/>
        <item m="1" x="320"/>
        <item m="1" x="249"/>
        <item m="1" x="426"/>
        <item m="1" x="142"/>
        <item m="1" x="94"/>
        <item m="1" x="391"/>
        <item m="1" x="409"/>
        <item m="1" x="291"/>
        <item m="1" x="102"/>
        <item m="1" x="125"/>
        <item m="1" x="428"/>
        <item m="1" x="240"/>
        <item m="1" x="330"/>
        <item m="1" x="280"/>
        <item m="1" x="146"/>
        <item m="1" x="262"/>
        <item m="1" x="318"/>
        <item m="1" x="314"/>
        <item m="1" x="419"/>
        <item m="1" x="334"/>
        <item m="1" x="225"/>
        <item m="1" x="338"/>
        <item m="1" x="377"/>
        <item m="1" x="420"/>
        <item m="1" x="160"/>
        <item m="1" x="400"/>
        <item m="1" x="161"/>
        <item m="1" x="346"/>
        <item m="1" x="222"/>
        <item m="1" x="245"/>
        <item m="1" x="370"/>
        <item m="1" x="250"/>
        <item m="1" x="100"/>
        <item m="1" x="188"/>
        <item m="1" x="339"/>
        <item m="1" x="251"/>
        <item m="1" x="289"/>
        <item m="1" x="124"/>
        <item m="1" x="104"/>
        <item m="1" x="272"/>
        <item m="1" x="155"/>
        <item m="1" x="85"/>
        <item m="1" x="174"/>
        <item m="1" x="228"/>
        <item m="1" x="324"/>
        <item m="1" x="229"/>
        <item m="1" x="423"/>
        <item m="1" x="388"/>
        <item m="1" x="132"/>
        <item m="1" x="259"/>
        <item m="1" x="226"/>
        <item m="1" x="224"/>
        <item m="1" x="347"/>
        <item m="1" x="385"/>
        <item m="1" x="77"/>
        <item m="1" x="402"/>
        <item m="1" x="348"/>
        <item m="1" x="105"/>
        <item m="1" x="149"/>
        <item m="1" x="231"/>
        <item m="1" x="425"/>
        <item m="1" x="299"/>
        <item m="1" x="79"/>
        <item x="0"/>
        <item m="1" x="403"/>
        <item m="1" x="130"/>
        <item m="1" x="148"/>
        <item m="1" x="182"/>
        <item m="1" x="234"/>
        <item m="1" x="236"/>
        <item m="1" x="76"/>
        <item m="1" x="304"/>
        <item m="1" x="119"/>
        <item m="1" x="181"/>
        <item m="1" x="185"/>
        <item m="1" x="317"/>
        <item m="1" x="349"/>
        <item m="1" x="192"/>
        <item m="1" x="186"/>
        <item m="1" x="150"/>
        <item m="1" x="207"/>
        <item m="1" x="392"/>
        <item m="1" x="313"/>
        <item m="1" x="293"/>
        <item m="1" x="81"/>
        <item m="1" x="193"/>
        <item m="1" x="196"/>
        <item m="1" x="355"/>
        <item m="1" x="183"/>
        <item m="1" x="319"/>
        <item m="1" x="84"/>
        <item m="1" x="278"/>
        <item m="1" x="235"/>
        <item m="1" x="147"/>
        <item m="1" x="246"/>
        <item m="1" x="166"/>
        <item m="1" x="359"/>
        <item m="1" x="335"/>
        <item m="1" x="191"/>
        <item m="1" x="129"/>
        <item m="1" x="164"/>
        <item m="1" x="308"/>
        <item m="1" x="167"/>
        <item m="1" x="115"/>
        <item m="1" x="430"/>
        <item m="1" x="187"/>
        <item m="1" x="394"/>
        <item m="1" x="180"/>
        <item m="1" x="311"/>
        <item m="1" x="189"/>
        <item m="1" x="190"/>
        <item m="1" x="395"/>
        <item m="1" x="353"/>
        <item m="1" x="386"/>
        <item m="1" x="354"/>
        <item m="1" x="312"/>
        <item m="1" x="158"/>
        <item m="1" x="283"/>
        <item m="1" x="165"/>
        <item m="1" x="387"/>
        <item m="1" x="307"/>
        <item m="1" x="396"/>
        <item m="1" x="230"/>
        <item m="1" x="199"/>
        <item m="1" x="284"/>
        <item m="1" x="433"/>
        <item m="1" x="126"/>
        <item m="1" x="195"/>
        <item m="1" x="414"/>
        <item m="1" x="244"/>
        <item m="1" x="238"/>
        <item m="1" x="309"/>
        <item m="1" x="356"/>
        <item m="1" x="209"/>
        <item m="1" x="173"/>
        <item m="1" x="305"/>
        <item m="1" x="122"/>
        <item m="1" x="175"/>
        <item m="1" x="223"/>
        <item m="1" x="340"/>
        <item m="1" x="239"/>
        <item m="1" x="176"/>
        <item m="1" x="254"/>
        <item m="1" x="344"/>
        <item m="1" x="408"/>
        <item m="1" x="194"/>
        <item m="1" x="177"/>
        <item m="1" x="171"/>
        <item m="1" x="337"/>
        <item m="1" x="133"/>
        <item m="1" x="372"/>
        <item m="1" x="121"/>
        <item m="1" x="237"/>
        <item m="1" x="294"/>
        <item m="1" x="136"/>
        <item m="1" x="371"/>
        <item m="1" x="365"/>
        <item m="1" x="131"/>
        <item m="1" x="375"/>
        <item m="1" x="112"/>
        <item m="1" x="374"/>
        <item m="1" x="153"/>
        <item m="1" x="364"/>
        <item m="1" x="367"/>
        <item m="1" x="366"/>
        <item m="1" x="376"/>
        <item m="1" x="360"/>
        <item m="1" x="221"/>
        <item m="1" x="134"/>
        <item m="1" x="326"/>
        <item m="1" x="110"/>
        <item m="1" x="203"/>
        <item m="1" x="310"/>
        <item m="1" x="152"/>
        <item m="1" x="327"/>
        <item m="1" x="219"/>
        <item m="1" x="206"/>
        <item m="1" x="220"/>
        <item m="1" x="163"/>
        <item m="1" x="96"/>
        <item m="1" x="88"/>
        <item m="1" x="93"/>
        <item m="1" x="95"/>
        <item m="1" x="232"/>
        <item m="1" x="168"/>
        <item m="1" x="116"/>
        <item m="1" x="184"/>
        <item m="1" x="89"/>
        <item m="1" x="92"/>
        <item m="1" x="432"/>
        <item m="1" x="415"/>
        <item m="1" x="179"/>
        <item m="1" x="271"/>
        <item m="1" x="233"/>
        <item m="1" x="257"/>
        <item m="1" x="303"/>
        <item m="1" x="109"/>
        <item m="1" x="424"/>
        <item m="1" x="361"/>
        <item m="1" x="78"/>
        <item m="1" x="113"/>
        <item m="1" x="401"/>
        <item m="1" x="315"/>
        <item m="1" x="172"/>
        <item m="1" x="114"/>
        <item m="1" x="281"/>
        <item m="1" x="328"/>
        <item m="1" x="412"/>
        <item m="1" x="378"/>
        <item m="1" x="137"/>
        <item m="1" x="405"/>
        <item m="1" x="333"/>
        <item m="1" x="406"/>
        <item m="1" x="87"/>
        <item m="1" x="243"/>
        <item m="1" x="411"/>
        <item m="1" x="111"/>
        <item m="1" x="295"/>
        <item m="1" x="277"/>
        <item m="1" x="268"/>
        <item m="1" x="286"/>
        <item m="1" x="287"/>
        <item m="1" x="241"/>
        <item m="1" x="322"/>
        <item m="1" x="298"/>
        <item m="1" x="261"/>
        <item m="1" x="275"/>
        <item m="1" x="270"/>
        <item m="1" x="288"/>
        <item m="1" x="255"/>
        <item m="1" x="397"/>
        <item m="1" x="266"/>
        <item m="1" x="156"/>
        <item m="1" x="218"/>
        <item m="1" x="369"/>
        <item m="1" x="135"/>
        <item m="1" x="297"/>
        <item m="1" x="157"/>
        <item m="1" x="398"/>
        <item m="1" x="373"/>
        <item m="1" x="399"/>
        <item m="1" x="421"/>
        <item m="1" x="279"/>
        <item m="1" x="82"/>
        <item m="1" x="162"/>
        <item m="1" x="227"/>
        <item m="1" x="74"/>
        <item m="1" x="265"/>
        <item m="1" x="73"/>
        <item m="1" x="86"/>
        <item m="1" x="83"/>
        <item m="1" x="128"/>
        <item m="1" x="140"/>
        <item m="1" x="363"/>
        <item m="1" x="282"/>
        <item m="1" x="91"/>
        <item m="1" x="302"/>
        <item m="1" x="205"/>
        <item m="1" x="410"/>
        <item m="1" x="382"/>
        <item m="1" x="368"/>
        <item m="1" x="106"/>
        <item m="1" x="145"/>
        <item m="1" x="383"/>
        <item m="1" x="117"/>
        <item m="1" x="99"/>
        <item m="1" x="393"/>
        <item m="1" x="384"/>
        <item m="1" x="325"/>
        <item m="1" x="217"/>
        <item m="1" x="362"/>
        <item m="1" x="108"/>
        <item m="1" x="390"/>
        <item m="1" x="357"/>
        <item m="1" x="103"/>
        <item m="1" x="358"/>
        <item m="1" x="138"/>
        <item m="1" x="80"/>
        <item m="1" x="120"/>
        <item m="1" x="143"/>
        <item m="1" x="321"/>
        <item m="1" x="407"/>
        <item m="1" x="202"/>
        <item m="1" x="316"/>
        <item m="1" x="212"/>
        <item m="1" x="301"/>
        <item m="1" x="214"/>
        <item m="1" x="98"/>
        <item m="1" x="200"/>
        <item m="1" x="204"/>
        <item m="1" x="201"/>
        <item m="1" x="213"/>
        <item m="1" x="198"/>
        <item m="1" x="352"/>
        <item m="1" x="90"/>
        <item m="1" x="169"/>
        <item m="1" x="75"/>
        <item m="1" x="343"/>
        <item m="1" x="389"/>
        <item m="1" x="97"/>
        <item m="1" x="170"/>
        <item m="1" x="350"/>
        <item m="1" x="345"/>
        <item m="1" x="351"/>
        <item x="59"/>
        <item x="60"/>
        <item x="61"/>
        <item x="62"/>
        <item x="63"/>
        <item x="64"/>
        <item x="65"/>
        <item x="66"/>
        <item x="67"/>
        <item x="68"/>
        <item x="69"/>
        <item m="1" x="323"/>
        <item x="2"/>
        <item x="3"/>
        <item m="1" x="118"/>
        <item m="1" x="139"/>
        <item m="1" x="341"/>
        <item m="1" x="107"/>
        <item x="1"/>
        <item m="1" x="123"/>
        <item m="1" x="154"/>
        <item m="1" x="127"/>
        <item m="1" x="416"/>
        <item m="1" x="300"/>
        <item m="1" x="431"/>
        <item m="1" x="404"/>
        <item m="1" x="101"/>
        <item m="1" x="296"/>
        <item x="4"/>
        <item x="5"/>
        <item x="6"/>
        <item x="7"/>
        <item x="8"/>
        <item x="9"/>
        <item x="10"/>
        <item x="11"/>
        <item m="1" x="285"/>
        <item m="1" x="427"/>
        <item m="1" x="258"/>
        <item m="1" x="263"/>
        <item m="1" x="332"/>
        <item m="1" x="429"/>
        <item m="1" x="276"/>
        <item m="1" x="264"/>
        <item m="1" x="144"/>
        <item m="1" x="336"/>
        <item m="1" x="197"/>
        <item m="1" x="151"/>
        <item m="1" x="260"/>
        <item m="1" x="247"/>
        <item m="1" x="252"/>
        <item m="1" x="329"/>
        <item m="1" x="269"/>
        <item m="1" x="267"/>
        <item m="1" x="248"/>
        <item m="1" x="417"/>
        <item m="1" x="159"/>
        <item m="1" x="418"/>
        <item m="1" x="331"/>
        <item m="1" x="253"/>
        <item m="1" x="306"/>
        <item m="1" x="274"/>
        <item m="1" x="290"/>
        <item m="1" x="273"/>
        <item x="43"/>
        <item x="44"/>
        <item m="1" x="210"/>
        <item m="1" x="342"/>
        <item m="1" x="178"/>
        <item m="1" x="413"/>
        <item m="1" x="211"/>
        <item m="1" x="72"/>
        <item m="1" x="215"/>
        <item m="1" x="208"/>
        <item m="1" x="422"/>
        <item x="54"/>
        <item m="1" x="141"/>
        <item m="1" x="256"/>
        <item m="1" x="292"/>
        <item m="1" x="216"/>
        <item m="1" x="71"/>
        <item x="12"/>
        <item x="13"/>
        <item x="14"/>
        <item x="15"/>
        <item x="16"/>
        <item x="17"/>
        <item x="18"/>
        <item x="19"/>
        <item x="20"/>
        <item x="21"/>
        <item x="22"/>
        <item x="23"/>
        <item x="24"/>
        <item x="36"/>
        <item x="37"/>
        <item x="38"/>
        <item x="39"/>
        <item x="40"/>
        <item x="41"/>
        <item m="1" x="380"/>
        <item x="45"/>
        <item x="46"/>
        <item x="47"/>
        <item x="48"/>
        <item m="1" x="242"/>
        <item x="50"/>
        <item x="51"/>
        <item x="52"/>
        <item x="53"/>
        <item x="25"/>
        <item x="26"/>
        <item x="27"/>
        <item x="28"/>
        <item x="29"/>
        <item x="30"/>
        <item x="31"/>
        <item x="32"/>
        <item x="33"/>
        <item x="34"/>
        <item x="35"/>
        <item x="42"/>
        <item x="49"/>
        <item x="55"/>
        <item x="56"/>
        <item x="57"/>
        <item x="58"/>
        <item t="default"/>
      </items>
    </pivotField>
    <pivotField axis="axisRow" showAll="0">
      <items count="263">
        <item m="1" x="17"/>
        <item m="1" x="223"/>
        <item m="1" x="36"/>
        <item m="1" x="56"/>
        <item m="1" x="20"/>
        <item m="1" x="240"/>
        <item m="1" x="43"/>
        <item m="1" x="55"/>
        <item m="1" x="212"/>
        <item m="1" x="248"/>
        <item m="1" x="249"/>
        <item m="1" x="93"/>
        <item m="1" x="122"/>
        <item m="1" x="67"/>
        <item m="1" x="48"/>
        <item m="1" x="89"/>
        <item m="1" x="90"/>
        <item m="1" x="245"/>
        <item m="1" x="83"/>
        <item m="1" x="190"/>
        <item m="1" x="199"/>
        <item m="1" x="75"/>
        <item m="1" x="37"/>
        <item m="1" x="198"/>
        <item m="1" x="124"/>
        <item m="1" x="68"/>
        <item m="1" x="25"/>
        <item m="1" x="27"/>
        <item m="1" x="31"/>
        <item m="1" x="69"/>
        <item m="1" x="231"/>
        <item m="1" x="115"/>
        <item m="1" x="165"/>
        <item m="1" x="250"/>
        <item m="1" x="161"/>
        <item m="1" x="257"/>
        <item m="1" x="185"/>
        <item m="1" x="45"/>
        <item m="1" x="40"/>
        <item m="1" x="200"/>
        <item m="1" x="183"/>
        <item m="1" x="252"/>
        <item x="0"/>
        <item m="1" x="94"/>
        <item m="1" x="26"/>
        <item m="1" x="92"/>
        <item m="1" x="171"/>
        <item m="1" x="41"/>
        <item m="1" x="107"/>
        <item m="1" x="42"/>
        <item m="1" x="256"/>
        <item m="1" x="73"/>
        <item m="1" x="74"/>
        <item m="1" x="44"/>
        <item m="1" x="208"/>
        <item m="1" x="187"/>
        <item m="1" x="135"/>
        <item m="1" x="202"/>
        <item m="1" x="203"/>
        <item m="1" x="172"/>
        <item m="1" x="104"/>
        <item m="1" x="206"/>
        <item m="1" x="136"/>
        <item m="1" x="106"/>
        <item m="1" x="217"/>
        <item m="1" x="195"/>
        <item m="1" x="188"/>
        <item m="1" x="207"/>
        <item m="1" x="129"/>
        <item m="1" x="218"/>
        <item m="1" x="189"/>
        <item m="1" x="164"/>
        <item m="1" x="230"/>
        <item m="1" x="103"/>
        <item m="1" x="82"/>
        <item m="1" x="130"/>
        <item m="1" x="170"/>
        <item m="1" x="224"/>
        <item m="1" x="193"/>
        <item m="1" x="163"/>
        <item m="1" x="153"/>
        <item m="1" x="175"/>
        <item m="1" x="30"/>
        <item m="1" x="123"/>
        <item m="1" x="102"/>
        <item m="1" x="38"/>
        <item m="1" x="174"/>
        <item m="1" x="110"/>
        <item m="1" x="237"/>
        <item m="1" x="242"/>
        <item m="1" x="84"/>
        <item m="1" x="210"/>
        <item m="1" x="211"/>
        <item m="1" x="247"/>
        <item m="1" x="228"/>
        <item m="1" x="28"/>
        <item m="1" x="241"/>
        <item m="1" x="50"/>
        <item m="1" x="51"/>
        <item m="1" x="57"/>
        <item m="1" x="213"/>
        <item m="1" x="76"/>
        <item m="1" x="32"/>
        <item m="1" x="128"/>
        <item m="1" x="121"/>
        <item m="1" x="253"/>
        <item m="1" x="29"/>
        <item m="1" x="227"/>
        <item m="1" x="105"/>
        <item m="1" x="155"/>
        <item m="1" x="259"/>
        <item m="1" x="46"/>
        <item m="1" x="114"/>
        <item m="1" x="243"/>
        <item m="1" x="222"/>
        <item m="1" x="33"/>
        <item m="1" x="35"/>
        <item m="1" x="111"/>
        <item m="1" x="258"/>
        <item m="1" x="108"/>
        <item m="1" x="251"/>
        <item m="1" x="53"/>
        <item m="1" x="66"/>
        <item m="1" x="116"/>
        <item m="1" x="235"/>
        <item m="1" x="143"/>
        <item m="1" x="22"/>
        <item m="1" x="191"/>
        <item m="1" x="18"/>
        <item m="1" x="225"/>
        <item m="1" x="87"/>
        <item m="1" x="131"/>
        <item m="1" x="132"/>
        <item m="1" x="260"/>
        <item m="1" x="99"/>
        <item m="1" x="145"/>
        <item m="1" x="214"/>
        <item m="1" x="156"/>
        <item m="1" x="157"/>
        <item m="1" x="58"/>
        <item m="1" x="77"/>
        <item m="1" x="176"/>
        <item m="1" x="179"/>
        <item m="1" x="150"/>
        <item m="1" x="137"/>
        <item m="1" x="238"/>
        <item m="1" x="146"/>
        <item m="1" x="70"/>
        <item m="1" x="72"/>
        <item m="1" x="168"/>
        <item m="1" x="147"/>
        <item m="1" x="219"/>
        <item m="1" x="95"/>
        <item m="1" x="112"/>
        <item m="1" x="60"/>
        <item m="1" x="194"/>
        <item m="1" x="196"/>
        <item m="1" x="85"/>
        <item m="1" x="139"/>
        <item m="1" x="79"/>
        <item m="1" x="118"/>
        <item m="1" x="233"/>
        <item m="1" x="254"/>
        <item m="1" x="62"/>
        <item m="1" x="181"/>
        <item m="1" x="63"/>
        <item m="1" x="182"/>
        <item m="1" x="154"/>
        <item m="1" x="109"/>
        <item m="1" x="64"/>
        <item m="1" x="204"/>
        <item m="1" x="65"/>
        <item m="1" x="205"/>
        <item m="1" x="186"/>
        <item m="1" x="117"/>
        <item m="1" x="236"/>
        <item m="1" x="144"/>
        <item m="1" x="23"/>
        <item m="1" x="192"/>
        <item m="1" x="19"/>
        <item m="1" x="226"/>
        <item m="1" x="88"/>
        <item m="1" x="133"/>
        <item m="1" x="134"/>
        <item m="1" x="261"/>
        <item m="1" x="100"/>
        <item m="1" x="184"/>
        <item m="1" x="215"/>
        <item m="1" x="158"/>
        <item m="1" x="159"/>
        <item m="1" x="59"/>
        <item m="1" x="78"/>
        <item m="1" x="177"/>
        <item m="1" x="180"/>
        <item m="1" x="151"/>
        <item m="1" x="138"/>
        <item m="1" x="239"/>
        <item m="1" x="209"/>
        <item m="1" x="148"/>
        <item m="1" x="71"/>
        <item m="1" x="54"/>
        <item m="1" x="169"/>
        <item m="1" x="149"/>
        <item m="1" x="220"/>
        <item m="1" x="96"/>
        <item m="1" x="113"/>
        <item m="1" x="61"/>
        <item m="1" x="97"/>
        <item m="1" x="197"/>
        <item m="1" x="86"/>
        <item m="1" x="140"/>
        <item m="1" x="80"/>
        <item m="1" x="119"/>
        <item m="1" x="234"/>
        <item m="1" x="255"/>
        <item x="1"/>
        <item x="2"/>
        <item x="3"/>
        <item x="4"/>
        <item x="5"/>
        <item x="6"/>
        <item x="7"/>
        <item x="8"/>
        <item x="9"/>
        <item x="10"/>
        <item x="11"/>
        <item x="12"/>
        <item m="1" x="34"/>
        <item m="1" x="125"/>
        <item m="1" x="126"/>
        <item m="1" x="141"/>
        <item m="1" x="52"/>
        <item m="1" x="229"/>
        <item m="1" x="39"/>
        <item m="1" x="166"/>
        <item m="1" x="167"/>
        <item m="1" x="244"/>
        <item m="1" x="21"/>
        <item m="1" x="216"/>
        <item m="1" x="221"/>
        <item m="1" x="162"/>
        <item m="1" x="142"/>
        <item m="1" x="98"/>
        <item m="1" x="178"/>
        <item x="13"/>
        <item x="14"/>
        <item m="1" x="232"/>
        <item m="1" x="201"/>
        <item m="1" x="160"/>
        <item m="1" x="47"/>
        <item m="1" x="49"/>
        <item m="1" x="81"/>
        <item m="1" x="246"/>
        <item m="1" x="173"/>
        <item m="1" x="120"/>
        <item x="15"/>
        <item m="1" x="152"/>
        <item m="1" x="24"/>
        <item m="1" x="101"/>
        <item m="1" x="91"/>
        <item m="1" x="127"/>
        <item x="16"/>
        <item t="default"/>
      </items>
    </pivotField>
    <pivotField axis="axisRow" showAll="0">
      <items count="28">
        <item m="1" x="4"/>
        <item m="1" x="19"/>
        <item m="1" x="7"/>
        <item m="1" x="25"/>
        <item x="0"/>
        <item m="1" x="26"/>
        <item m="1" x="10"/>
        <item m="1" x="17"/>
        <item m="1" x="9"/>
        <item m="1" x="8"/>
        <item m="1" x="20"/>
        <item m="1" x="11"/>
        <item m="1" x="15"/>
        <item m="1" x="16"/>
        <item m="1" x="22"/>
        <item m="1" x="18"/>
        <item m="1" x="21"/>
        <item m="1" x="23"/>
        <item m="1" x="24"/>
        <item m="1" x="5"/>
        <item m="1" x="13"/>
        <item m="1" x="14"/>
        <item x="1"/>
        <item x="2"/>
        <item x="3"/>
        <item m="1" x="6"/>
        <item m="1" x="12"/>
        <item t="default"/>
      </items>
    </pivotField>
    <pivotField axis="axisRow" showAll="0">
      <items count="6">
        <item m="1" x="1"/>
        <item x="0"/>
        <item m="1" x="3"/>
        <item m="1" x="4"/>
        <item m="1" x="2"/>
        <item t="default"/>
      </items>
    </pivotField>
    <pivotField axis="axisRow" showAll="0" defaultSubtotal="0">
      <items count="273">
        <item m="1" x="19"/>
        <item m="1" x="232"/>
        <item m="1" x="66"/>
        <item m="1" x="158"/>
        <item m="1" x="27"/>
        <item m="1" x="61"/>
        <item m="1" x="40"/>
        <item m="1" x="148"/>
        <item m="1" x="142"/>
        <item m="1" x="100"/>
        <item m="1" x="30"/>
        <item m="1" x="85"/>
        <item m="1" x="53"/>
        <item m="1" x="25"/>
        <item m="1" x="57"/>
        <item m="1" x="84"/>
        <item m="1" x="178"/>
        <item m="1" x="87"/>
        <item m="1" x="208"/>
        <item m="1" x="231"/>
        <item m="1" x="218"/>
        <item m="1" x="108"/>
        <item m="1" x="228"/>
        <item m="1" x="71"/>
        <item m="1" x="62"/>
        <item m="1" x="131"/>
        <item m="1" x="150"/>
        <item m="1" x="236"/>
        <item m="1" x="128"/>
        <item m="1" x="240"/>
        <item m="1" x="179"/>
        <item m="1" x="266"/>
        <item m="1" x="225"/>
        <item m="1" x="200"/>
        <item m="1" x="37"/>
        <item m="1" x="249"/>
        <item m="1" x="259"/>
        <item m="1" x="180"/>
        <item m="1" x="90"/>
        <item m="1" x="92"/>
        <item m="1" x="86"/>
        <item x="0"/>
        <item m="1" x="29"/>
        <item m="1" x="190"/>
        <item m="1" x="103"/>
        <item m="1" x="42"/>
        <item m="1" x="241"/>
        <item m="1" x="176"/>
        <item m="1" x="242"/>
        <item m="1" x="217"/>
        <item m="1" x="174"/>
        <item m="1" x="43"/>
        <item m="1" x="268"/>
        <item m="1" x="38"/>
        <item m="1" x="219"/>
        <item m="1" x="263"/>
        <item m="1" x="69"/>
        <item m="1" x="96"/>
        <item m="1" x="262"/>
        <item m="1" x="125"/>
        <item m="1" x="216"/>
        <item m="1" x="60"/>
        <item m="1" x="20"/>
        <item m="1" x="221"/>
        <item m="1" x="198"/>
        <item m="1" x="233"/>
        <item m="1" x="83"/>
        <item m="1" x="255"/>
        <item m="1" x="183"/>
        <item m="1" x="124"/>
        <item m="1" x="105"/>
        <item m="1" x="132"/>
        <item m="1" x="145"/>
        <item m="1" x="28"/>
        <item m="1" x="269"/>
        <item m="1" x="91"/>
        <item m="1" x="109"/>
        <item m="1" x="33"/>
        <item m="1" x="143"/>
        <item m="1" x="113"/>
        <item m="1" x="270"/>
        <item m="1" x="44"/>
        <item m="1" x="56"/>
        <item m="1" x="151"/>
        <item m="1" x="162"/>
        <item m="1" x="235"/>
        <item m="1" x="203"/>
        <item m="1" x="107"/>
        <item m="1" x="204"/>
        <item m="1" x="182"/>
        <item m="1" x="226"/>
        <item m="1" x="72"/>
        <item m="1" x="79"/>
        <item m="1" x="161"/>
        <item m="1" x="184"/>
        <item m="1" x="212"/>
        <item m="1" x="58"/>
        <item m="1" x="133"/>
        <item m="1" x="147"/>
        <item m="1" x="146"/>
        <item m="1" x="172"/>
        <item m="1" x="104"/>
        <item m="1" x="64"/>
        <item m="1" x="205"/>
        <item m="1" x="111"/>
        <item m="1" x="206"/>
        <item m="1" x="213"/>
        <item m="1" x="139"/>
        <item m="1" x="155"/>
        <item m="1" x="264"/>
        <item m="1" x="156"/>
        <item m="1" x="67"/>
        <item m="1" x="260"/>
        <item m="1" x="52"/>
        <item m="1" x="46"/>
        <item m="1" x="94"/>
        <item m="1" x="244"/>
        <item m="1" x="65"/>
        <item m="1" x="250"/>
        <item m="1" x="115"/>
        <item m="1" x="220"/>
        <item m="1" x="254"/>
        <item m="1" x="223"/>
        <item m="1" x="75"/>
        <item m="1" x="187"/>
        <item m="1" x="230"/>
        <item m="1" x="135"/>
        <item m="1" x="137"/>
        <item m="1" x="26"/>
        <item m="1" x="144"/>
        <item m="1" x="227"/>
        <item m="1" x="195"/>
        <item m="1" x="138"/>
        <item m="1" x="48"/>
        <item m="1" x="164"/>
        <item m="1" x="88"/>
        <item m="1" x="21"/>
        <item m="1" x="202"/>
        <item m="1" x="214"/>
        <item m="1" x="73"/>
        <item m="1" x="63"/>
        <item m="1" x="140"/>
        <item m="1" x="181"/>
        <item m="1" x="102"/>
        <item m="1" x="59"/>
        <item m="1" x="126"/>
        <item m="1" x="197"/>
        <item m="1" x="167"/>
        <item m="1" x="141"/>
        <item m="1" x="149"/>
        <item m="1" x="267"/>
        <item m="1" x="70"/>
        <item m="1" x="136"/>
        <item m="1" x="157"/>
        <item m="1" x="45"/>
        <item m="1" x="95"/>
        <item m="1" x="114"/>
        <item m="1" x="130"/>
        <item m="1" x="265"/>
        <item m="1" x="39"/>
        <item m="1" x="215"/>
        <item m="1" x="55"/>
        <item m="1" x="211"/>
        <item m="1" x="169"/>
        <item m="1" x="257"/>
        <item m="1" x="170"/>
        <item m="1" x="258"/>
        <item m="1" x="224"/>
        <item m="1" x="76"/>
        <item m="1" x="188"/>
        <item m="1" x="272"/>
        <item m="1" x="127"/>
        <item m="1" x="51"/>
        <item m="1" x="177"/>
        <item m="1" x="41"/>
        <item m="1" x="193"/>
        <item m="1" x="239"/>
        <item m="1" x="22"/>
        <item m="1" x="234"/>
        <item m="1" x="165"/>
        <item m="1" x="89"/>
        <item m="1" x="168"/>
        <item m="1" x="32"/>
        <item m="1" x="98"/>
        <item m="1" x="99"/>
        <item m="1" x="237"/>
        <item m="1" x="248"/>
        <item m="1" x="119"/>
        <item m="1" x="82"/>
        <item m="1" x="47"/>
        <item m="1" x="68"/>
        <item m="1" x="78"/>
        <item m="1" x="35"/>
        <item m="1" x="186"/>
        <item m="1" x="118"/>
        <item m="1" x="209"/>
        <item m="1" x="116"/>
        <item m="1" x="192"/>
        <item m="1" x="80"/>
        <item m="1" x="153"/>
        <item m="1" x="185"/>
        <item m="1" x="222"/>
        <item m="1" x="247"/>
        <item m="1" x="271"/>
        <item m="1" x="238"/>
        <item m="1" x="54"/>
        <item m="1" x="207"/>
        <item m="1" x="166"/>
        <item m="1" x="210"/>
        <item x="2"/>
        <item m="1" x="121"/>
        <item x="4"/>
        <item m="1" x="122"/>
        <item m="1" x="23"/>
        <item m="1" x="256"/>
        <item x="1"/>
        <item m="1" x="173"/>
        <item m="1" x="245"/>
        <item m="1" x="251"/>
        <item m="1" x="175"/>
        <item m="1" x="74"/>
        <item m="1" x="24"/>
        <item m="1" x="123"/>
        <item m="1" x="117"/>
        <item m="1" x="110"/>
        <item m="1" x="129"/>
        <item m="1" x="112"/>
        <item m="1" x="171"/>
        <item x="3"/>
        <item x="5"/>
        <item x="6"/>
        <item x="7"/>
        <item x="8"/>
        <item x="9"/>
        <item x="10"/>
        <item x="11"/>
        <item x="12"/>
        <item x="13"/>
        <item x="14"/>
        <item m="1" x="106"/>
        <item m="1" x="93"/>
        <item m="1" x="120"/>
        <item m="1" x="31"/>
        <item m="1" x="154"/>
        <item m="1" x="152"/>
        <item m="1" x="261"/>
        <item m="1" x="252"/>
        <item m="1" x="159"/>
        <item m="1" x="194"/>
        <item m="1" x="229"/>
        <item m="1" x="36"/>
        <item m="1" x="163"/>
        <item m="1" x="97"/>
        <item m="1" x="101"/>
        <item m="1" x="34"/>
        <item x="15"/>
        <item x="16"/>
        <item m="1" x="199"/>
        <item m="1" x="246"/>
        <item m="1" x="201"/>
        <item m="1" x="253"/>
        <item m="1" x="81"/>
        <item m="1" x="196"/>
        <item m="1" x="50"/>
        <item m="1" x="49"/>
        <item m="1" x="243"/>
        <item x="17"/>
        <item m="1" x="77"/>
        <item m="1" x="189"/>
        <item m="1" x="160"/>
        <item m="1" x="134"/>
        <item m="1" x="191"/>
        <item x="18"/>
      </items>
    </pivotField>
    <pivotField axis="axisRow" showAll="0" defaultSubtotal="0">
      <items count="210">
        <item m="1" x="15"/>
        <item m="1" x="25"/>
        <item m="1" x="18"/>
        <item m="1" x="74"/>
        <item m="1" x="176"/>
        <item m="1" x="199"/>
        <item m="1" x="127"/>
        <item m="1" x="195"/>
        <item m="1" x="158"/>
        <item m="1" x="167"/>
        <item m="1" x="149"/>
        <item m="1" x="92"/>
        <item m="1" x="93"/>
        <item m="1" x="99"/>
        <item m="1" x="79"/>
        <item m="1" x="39"/>
        <item m="1" x="209"/>
        <item m="1" x="151"/>
        <item m="1" x="152"/>
        <item m="1" x="54"/>
        <item m="1" x="38"/>
        <item m="1" x="85"/>
        <item m="1" x="169"/>
        <item m="1" x="43"/>
        <item m="1" x="200"/>
        <item m="1" x="116"/>
        <item m="1" x="103"/>
        <item m="1" x="189"/>
        <item m="1" x="128"/>
        <item m="1" x="207"/>
        <item m="1" x="182"/>
        <item m="1" x="155"/>
        <item m="1" x="102"/>
        <item m="1" x="119"/>
        <item m="1" x="132"/>
        <item m="1" x="173"/>
        <item m="1" x="42"/>
        <item m="1" x="27"/>
        <item m="1" x="47"/>
        <item m="1" x="190"/>
        <item x="0"/>
        <item m="1" x="30"/>
        <item m="1" x="131"/>
        <item m="1" x="208"/>
        <item m="1" x="73"/>
        <item m="1" x="140"/>
        <item m="1" x="29"/>
        <item m="1" x="180"/>
        <item m="1" x="161"/>
        <item m="1" x="33"/>
        <item m="1" x="34"/>
        <item m="1" x="52"/>
        <item m="1" x="81"/>
        <item m="1" x="89"/>
        <item m="1" x="191"/>
        <item m="1" x="135"/>
        <item m="1" x="136"/>
        <item m="1" x="197"/>
        <item m="1" x="150"/>
        <item m="1" x="64"/>
        <item m="1" x="35"/>
        <item m="1" x="205"/>
        <item m="1" x="65"/>
        <item m="1" x="76"/>
        <item m="1" x="164"/>
        <item m="1" x="49"/>
        <item m="1" x="108"/>
        <item m="1" x="125"/>
        <item m="1" x="61"/>
        <item m="1" x="22"/>
        <item m="1" x="105"/>
        <item m="1" x="106"/>
        <item m="1" x="57"/>
        <item m="1" x="71"/>
        <item m="1" x="69"/>
        <item m="1" x="118"/>
        <item m="1" x="82"/>
        <item m="1" x="162"/>
        <item m="1" x="44"/>
        <item m="1" x="184"/>
        <item m="1" x="120"/>
        <item m="1" x="107"/>
        <item m="1" x="62"/>
        <item m="1" x="67"/>
        <item m="1" x="78"/>
        <item m="1" x="201"/>
        <item m="1" x="121"/>
        <item m="1" x="95"/>
        <item m="1" x="83"/>
        <item m="1" x="84"/>
        <item m="1" x="133"/>
        <item m="1" x="147"/>
        <item m="1" x="157"/>
        <item m="1" x="142"/>
        <item m="1" x="112"/>
        <item m="1" x="113"/>
        <item m="1" x="194"/>
        <item m="1" x="21"/>
        <item m="1" x="111"/>
        <item m="1" x="171"/>
        <item m="1" x="80"/>
        <item m="1" x="53"/>
        <item m="1" x="202"/>
        <item m="1" x="177"/>
        <item m="1" x="104"/>
        <item m="1" x="55"/>
        <item m="1" x="91"/>
        <item m="1" x="94"/>
        <item m="1" x="75"/>
        <item m="1" x="88"/>
        <item m="1" x="87"/>
        <item m="1" x="45"/>
        <item m="1" x="192"/>
        <item m="1" x="51"/>
        <item m="1" x="115"/>
        <item m="1" x="114"/>
        <item m="1" x="50"/>
        <item m="1" x="109"/>
        <item m="1" x="28"/>
        <item m="1" x="48"/>
        <item m="1" x="58"/>
        <item m="1" x="170"/>
        <item m="1" x="66"/>
        <item m="1" x="37"/>
        <item m="1" x="122"/>
        <item m="1" x="16"/>
        <item m="1" x="185"/>
        <item m="1" x="23"/>
        <item m="1" x="24"/>
        <item m="1" x="154"/>
        <item m="1" x="86"/>
        <item m="1" x="60"/>
        <item m="1" x="36"/>
        <item m="1" x="174"/>
        <item m="1" x="175"/>
        <item m="1" x="203"/>
        <item m="1" x="196"/>
        <item m="1" x="97"/>
        <item m="1" x="163"/>
        <item m="1" x="144"/>
        <item m="1" x="193"/>
        <item m="1" x="145"/>
        <item m="1" x="130"/>
        <item m="1" x="166"/>
        <item m="1" x="90"/>
        <item m="1" x="101"/>
        <item m="1" x="41"/>
        <item m="1" x="46"/>
        <item m="1" x="179"/>
        <item m="1" x="17"/>
        <item m="1" x="77"/>
        <item m="1" x="100"/>
        <item m="1" x="63"/>
        <item m="1" x="126"/>
        <item m="1" x="183"/>
        <item m="1" x="148"/>
        <item m="1" x="70"/>
        <item m="1" x="32"/>
        <item x="1"/>
        <item x="2"/>
        <item m="1" x="206"/>
        <item m="1" x="72"/>
        <item m="1" x="187"/>
        <item m="1" x="204"/>
        <item m="1" x="156"/>
        <item m="1" x="19"/>
        <item m="1" x="26"/>
        <item m="1" x="141"/>
        <item x="3"/>
        <item x="4"/>
        <item x="5"/>
        <item x="6"/>
        <item x="7"/>
        <item x="8"/>
        <item x="9"/>
        <item x="10"/>
        <item m="1" x="20"/>
        <item m="1" x="159"/>
        <item m="1" x="160"/>
        <item m="1" x="110"/>
        <item m="1" x="59"/>
        <item m="1" x="96"/>
        <item m="1" x="134"/>
        <item m="1" x="123"/>
        <item m="1" x="124"/>
        <item m="1" x="165"/>
        <item m="1" x="153"/>
        <item m="1" x="168"/>
        <item m="1" x="188"/>
        <item m="1" x="56"/>
        <item m="1" x="129"/>
        <item m="1" x="146"/>
        <item x="11"/>
        <item x="12"/>
        <item m="1" x="117"/>
        <item m="1" x="139"/>
        <item m="1" x="143"/>
        <item m="1" x="98"/>
        <item m="1" x="138"/>
        <item m="1" x="137"/>
        <item m="1" x="31"/>
        <item m="1" x="68"/>
        <item m="1" x="186"/>
        <item x="13"/>
        <item m="1" x="181"/>
        <item m="1" x="178"/>
        <item m="1" x="40"/>
        <item m="1" x="172"/>
        <item m="1" x="198"/>
        <item x="14"/>
      </items>
    </pivotField>
    <pivotField axis="axisRow" showAll="0">
      <items count="3">
        <item m="1" x="1"/>
        <item x="0"/>
        <item t="default"/>
      </items>
    </pivotField>
    <pivotField axis="axisRow" showAll="0">
      <items count="260">
        <item m="1" x="15"/>
        <item m="1" x="106"/>
        <item m="1" x="193"/>
        <item m="1" x="231"/>
        <item m="1" x="113"/>
        <item m="1" x="226"/>
        <item m="1" x="234"/>
        <item m="1" x="163"/>
        <item m="1" x="210"/>
        <item m="1" x="45"/>
        <item m="1" x="137"/>
        <item m="1" x="221"/>
        <item m="1" x="28"/>
        <item m="1" x="88"/>
        <item m="1" x="101"/>
        <item m="1" x="186"/>
        <item m="1" x="178"/>
        <item m="1" x="30"/>
        <item m="1" x="174"/>
        <item m="1" x="256"/>
        <item m="1" x="102"/>
        <item m="1" x="103"/>
        <item m="1" x="100"/>
        <item m="1" x="246"/>
        <item m="1" x="50"/>
        <item m="1" x="216"/>
        <item m="1" x="99"/>
        <item m="1" x="40"/>
        <item m="1" x="78"/>
        <item m="1" x="67"/>
        <item m="1" x="16"/>
        <item m="1" x="24"/>
        <item m="1" x="58"/>
        <item m="1" x="211"/>
        <item m="1" x="52"/>
        <item m="1" x="19"/>
        <item m="1" x="185"/>
        <item m="1" x="215"/>
        <item m="1" x="53"/>
        <item m="1" x="23"/>
        <item m="1" x="164"/>
        <item m="1" x="18"/>
        <item x="0"/>
        <item m="1" x="219"/>
        <item m="1" x="55"/>
        <item m="1" x="222"/>
        <item m="1" x="250"/>
        <item m="1" x="227"/>
        <item m="1" x="235"/>
        <item m="1" x="150"/>
        <item m="1" x="121"/>
        <item m="1" x="91"/>
        <item m="1" x="36"/>
        <item m="1" x="31"/>
        <item m="1" x="95"/>
        <item m="1" x="218"/>
        <item m="1" x="167"/>
        <item m="1" x="162"/>
        <item m="1" x="41"/>
        <item m="1" x="237"/>
        <item m="1" x="173"/>
        <item m="1" x="196"/>
        <item m="1" x="201"/>
        <item m="1" x="232"/>
        <item m="1" x="25"/>
        <item m="1" x="230"/>
        <item m="1" x="209"/>
        <item m="1" x="51"/>
        <item m="1" x="66"/>
        <item m="1" x="217"/>
        <item m="1" x="110"/>
        <item m="1" x="96"/>
        <item m="1" x="245"/>
        <item m="1" x="213"/>
        <item m="1" x="141"/>
        <item m="1" x="43"/>
        <item m="1" x="149"/>
        <item m="1" x="153"/>
        <item m="1" x="65"/>
        <item m="1" x="27"/>
        <item m="1" x="229"/>
        <item m="1" x="165"/>
        <item m="1" x="156"/>
        <item m="1" x="238"/>
        <item m="1" x="62"/>
        <item m="1" x="131"/>
        <item m="1" x="42"/>
        <item m="1" x="197"/>
        <item m="1" x="257"/>
        <item m="1" x="214"/>
        <item m="1" x="83"/>
        <item m="1" x="26"/>
        <item m="1" x="243"/>
        <item m="1" x="195"/>
        <item m="1" x="142"/>
        <item m="1" x="171"/>
        <item m="1" x="166"/>
        <item m="1" x="258"/>
        <item m="1" x="190"/>
        <item m="1" x="204"/>
        <item m="1" x="114"/>
        <item m="1" x="93"/>
        <item m="1" x="220"/>
        <item m="1" x="224"/>
        <item m="1" x="228"/>
        <item m="1" x="21"/>
        <item m="1" x="202"/>
        <item m="1" x="109"/>
        <item m="1" x="134"/>
        <item m="1" x="35"/>
        <item m="1" x="39"/>
        <item m="1" x="189"/>
        <item m="1" x="64"/>
        <item m="1" x="139"/>
        <item m="1" x="32"/>
        <item m="1" x="54"/>
        <item m="1" x="98"/>
        <item m="1" x="68"/>
        <item m="1" x="168"/>
        <item m="1" x="33"/>
        <item m="1" x="236"/>
        <item m="1" x="117"/>
        <item m="1" x="63"/>
        <item m="1" x="61"/>
        <item m="1" x="104"/>
        <item m="1" x="71"/>
        <item m="1" x="212"/>
        <item m="1" x="207"/>
        <item m="1" x="249"/>
        <item m="1" x="17"/>
        <item m="1" x="181"/>
        <item m="1" x="86"/>
        <item m="1" x="84"/>
        <item m="1" x="240"/>
        <item m="1" x="183"/>
        <item m="1" x="239"/>
        <item m="1" x="254"/>
        <item m="1" x="80"/>
        <item m="1" x="176"/>
        <item m="1" x="143"/>
        <item m="1" x="37"/>
        <item m="1" x="160"/>
        <item m="1" x="129"/>
        <item m="1" x="107"/>
        <item m="1" x="135"/>
        <item m="1" x="205"/>
        <item m="1" x="132"/>
        <item m="1" x="44"/>
        <item m="1" x="92"/>
        <item m="1" x="76"/>
        <item m="1" x="147"/>
        <item m="1" x="199"/>
        <item m="1" x="187"/>
        <item m="1" x="111"/>
        <item m="1" x="122"/>
        <item m="1" x="49"/>
        <item m="1" x="73"/>
        <item m="1" x="198"/>
        <item m="1" x="145"/>
        <item m="1" x="127"/>
        <item m="1" x="47"/>
        <item m="1" x="69"/>
        <item m="1" x="191"/>
        <item m="1" x="157"/>
        <item m="1" x="158"/>
        <item m="1" x="115"/>
        <item m="1" x="29"/>
        <item m="1" x="203"/>
        <item m="1" x="179"/>
        <item m="1" x="94"/>
        <item m="1" x="252"/>
        <item m="1" x="119"/>
        <item m="1" x="72"/>
        <item m="1" x="59"/>
        <item m="1" x="138"/>
        <item m="1" x="56"/>
        <item m="1" x="89"/>
        <item m="1" x="172"/>
        <item m="1" x="118"/>
        <item m="1" x="151"/>
        <item m="1" x="126"/>
        <item m="1" x="194"/>
        <item m="1" x="34"/>
        <item m="1" x="140"/>
        <item m="1" x="116"/>
        <item m="1" x="225"/>
        <item m="1" x="242"/>
        <item m="1" x="105"/>
        <item m="1" x="152"/>
        <item m="1" x="244"/>
        <item m="1" x="247"/>
        <item m="1" x="82"/>
        <item m="1" x="75"/>
        <item m="1" x="20"/>
        <item m="1" x="133"/>
        <item m="1" x="22"/>
        <item m="1" x="155"/>
        <item m="1" x="248"/>
        <item m="1" x="79"/>
        <item m="1" x="233"/>
        <item m="1" x="175"/>
        <item m="1" x="169"/>
        <item m="1" x="124"/>
        <item m="1" x="154"/>
        <item m="1" x="159"/>
        <item m="1" x="90"/>
        <item m="1" x="57"/>
        <item m="1" x="125"/>
        <item m="1" x="60"/>
        <item m="1" x="223"/>
        <item m="1" x="46"/>
        <item m="1" x="251"/>
        <item m="1" x="208"/>
        <item m="1" x="97"/>
        <item x="1"/>
        <item x="2"/>
        <item x="3"/>
        <item x="4"/>
        <item x="5"/>
        <item x="6"/>
        <item x="7"/>
        <item x="8"/>
        <item x="9"/>
        <item x="10"/>
        <item m="1" x="182"/>
        <item m="1" x="87"/>
        <item m="1" x="85"/>
        <item m="1" x="241"/>
        <item m="1" x="184"/>
        <item m="1" x="253"/>
        <item m="1" x="255"/>
        <item m="1" x="81"/>
        <item m="1" x="177"/>
        <item m="1" x="144"/>
        <item m="1" x="38"/>
        <item m="1" x="161"/>
        <item m="1" x="130"/>
        <item m="1" x="108"/>
        <item m="1" x="136"/>
        <item m="1" x="206"/>
        <item m="1" x="170"/>
        <item x="11"/>
        <item x="12"/>
        <item m="1" x="180"/>
        <item m="1" x="77"/>
        <item m="1" x="148"/>
        <item m="1" x="200"/>
        <item m="1" x="188"/>
        <item m="1" x="112"/>
        <item m="1" x="123"/>
        <item m="1" x="120"/>
        <item m="1" x="74"/>
        <item x="13"/>
        <item m="1" x="146"/>
        <item m="1" x="128"/>
        <item m="1" x="48"/>
        <item m="1" x="70"/>
        <item m="1" x="192"/>
        <item x="14"/>
        <item t="default"/>
      </items>
    </pivotField>
    <pivotField axis="axisRow" showAll="0">
      <items count="3">
        <item m="1" x="1"/>
        <item x="0"/>
        <item t="default"/>
      </items>
    </pivotField>
    <pivotField axis="axisRow" showAll="0">
      <items count="270">
        <item m="1" x="19"/>
        <item m="1" x="158"/>
        <item m="1" x="208"/>
        <item m="1" x="230"/>
        <item m="1" x="255"/>
        <item m="1" x="123"/>
        <item m="1" x="194"/>
        <item m="1" x="258"/>
        <item m="1" x="202"/>
        <item m="1" x="66"/>
        <item m="1" x="75"/>
        <item m="1" x="87"/>
        <item m="1" x="212"/>
        <item m="1" x="160"/>
        <item m="1" x="161"/>
        <item m="1" x="40"/>
        <item m="1" x="42"/>
        <item m="1" x="224"/>
        <item m="1" x="142"/>
        <item m="1" x="99"/>
        <item m="1" x="225"/>
        <item m="1" x="209"/>
        <item m="1" x="235"/>
        <item m="1" x="191"/>
        <item m="1" x="241"/>
        <item m="1" x="231"/>
        <item m="1" x="256"/>
        <item m="1" x="74"/>
        <item m="1" x="159"/>
        <item m="1" x="36"/>
        <item m="1" x="71"/>
        <item m="1" x="98"/>
        <item m="1" x="193"/>
        <item m="1" x="199"/>
        <item m="1" x="134"/>
        <item m="1" x="108"/>
        <item m="1" x="249"/>
        <item m="1" x="211"/>
        <item m="1" x="114"/>
        <item m="1" x="257"/>
        <item m="1" x="260"/>
        <item m="1" x="153"/>
        <item x="0"/>
        <item m="1" x="121"/>
        <item m="1" x="169"/>
        <item m="1" x="175"/>
        <item m="1" x="109"/>
        <item m="1" x="64"/>
        <item m="1" x="236"/>
        <item m="1" x="240"/>
        <item m="1" x="27"/>
        <item m="1" x="219"/>
        <item m="1" x="139"/>
        <item m="1" x="221"/>
        <item m="1" x="47"/>
        <item m="1" x="102"/>
        <item m="1" x="172"/>
        <item m="1" x="72"/>
        <item m="1" x="48"/>
        <item m="1" x="192"/>
        <item m="1" x="115"/>
        <item m="1" x="242"/>
        <item m="1" x="133"/>
        <item m="1" x="261"/>
        <item m="1" x="226"/>
        <item m="1" x="179"/>
        <item m="1" x="132"/>
        <item m="1" x="56"/>
        <item m="1" x="105"/>
        <item m="1" x="59"/>
        <item m="1" x="76"/>
        <item m="1" x="197"/>
        <item m="1" x="203"/>
        <item m="1" x="94"/>
        <item m="1" x="49"/>
        <item m="1" x="60"/>
        <item m="1" x="149"/>
        <item m="1" x="176"/>
        <item m="1" x="20"/>
        <item m="1" x="21"/>
        <item m="1" x="259"/>
        <item m="1" x="126"/>
        <item m="1" x="265"/>
        <item m="1" x="145"/>
        <item m="1" x="198"/>
        <item m="1" x="162"/>
        <item m="1" x="166"/>
        <item m="1" x="165"/>
        <item m="1" x="95"/>
        <item m="1" x="210"/>
        <item m="1" x="173"/>
        <item m="1" x="143"/>
        <item m="1" x="90"/>
        <item m="1" x="120"/>
        <item m="1" x="55"/>
        <item m="1" x="214"/>
        <item m="1" x="43"/>
        <item m="1" x="227"/>
        <item m="1" x="24"/>
        <item m="1" x="44"/>
        <item m="1" x="61"/>
        <item m="1" x="144"/>
        <item m="1" x="190"/>
        <item m="1" x="237"/>
        <item m="1" x="254"/>
        <item m="1" x="250"/>
        <item m="1" x="118"/>
        <item m="1" x="229"/>
        <item m="1" x="195"/>
        <item m="1" x="178"/>
        <item m="1" x="67"/>
        <item m="1" x="23"/>
        <item m="1" x="234"/>
        <item m="1" x="148"/>
        <item m="1" x="30"/>
        <item m="1" x="65"/>
        <item m="1" x="245"/>
        <item m="1" x="177"/>
        <item m="1" x="220"/>
        <item m="1" x="131"/>
        <item m="1" x="130"/>
        <item m="1" x="150"/>
        <item m="1" x="29"/>
        <item m="1" x="238"/>
        <item m="1" x="186"/>
        <item m="1" x="62"/>
        <item m="1" x="119"/>
        <item m="1" x="207"/>
        <item m="1" x="183"/>
        <item m="1" x="68"/>
        <item m="1" x="128"/>
        <item m="1" x="83"/>
        <item m="1" x="135"/>
        <item m="1" x="112"/>
        <item m="1" x="31"/>
        <item m="1" x="156"/>
        <item m="1" x="243"/>
        <item m="1" x="34"/>
        <item m="1" x="78"/>
        <item m="1" x="188"/>
        <item m="1" x="184"/>
        <item m="1" x="263"/>
        <item m="1" x="154"/>
        <item m="1" x="222"/>
        <item m="1" x="106"/>
        <item m="1" x="163"/>
        <item m="1" x="171"/>
        <item m="1" x="213"/>
        <item m="1" x="86"/>
        <item m="1" x="45"/>
        <item m="1" x="96"/>
        <item m="1" x="266"/>
        <item m="1" x="146"/>
        <item m="1" x="247"/>
        <item m="1" x="79"/>
        <item m="1" x="51"/>
        <item m="1" x="181"/>
        <item m="1" x="63"/>
        <item m="1" x="124"/>
        <item m="1" x="151"/>
        <item m="1" x="103"/>
        <item m="1" x="116"/>
        <item m="1" x="92"/>
        <item m="1" x="69"/>
        <item m="1" x="88"/>
        <item m="1" x="89"/>
        <item m="1" x="251"/>
        <item m="1" x="28"/>
        <item m="1" x="33"/>
        <item m="1" x="174"/>
        <item m="1" x="167"/>
        <item m="1" x="52"/>
        <item m="1" x="53"/>
        <item m="1" x="215"/>
        <item m="1" x="205"/>
        <item m="1" x="252"/>
        <item m="1" x="180"/>
        <item m="1" x="100"/>
        <item m="1" x="101"/>
        <item m="1" x="228"/>
        <item m="1" x="216"/>
        <item m="1" x="137"/>
        <item m="1" x="232"/>
        <item m="1" x="127"/>
        <item m="1" x="122"/>
        <item m="1" x="77"/>
        <item m="1" x="140"/>
        <item m="1" x="239"/>
        <item m="1" x="110"/>
        <item m="1" x="187"/>
        <item m="1" x="91"/>
        <item m="1" x="54"/>
        <item m="1" x="57"/>
        <item m="1" x="170"/>
        <item m="1" x="262"/>
        <item m="1" x="37"/>
        <item m="1" x="50"/>
        <item m="1" x="58"/>
        <item m="1" x="217"/>
        <item m="1" x="246"/>
        <item m="1" x="268"/>
        <item m="1" x="157"/>
        <item m="1" x="25"/>
        <item m="1" x="201"/>
        <item m="1" x="26"/>
        <item m="1" x="196"/>
        <item m="1" x="111"/>
        <item m="1" x="39"/>
        <item m="1" x="41"/>
        <item m="1" x="200"/>
        <item m="1" x="70"/>
        <item m="1" x="38"/>
        <item m="1" x="85"/>
        <item m="1" x="138"/>
        <item m="1" x="233"/>
        <item m="1" x="218"/>
        <item m="1" x="204"/>
        <item m="1" x="82"/>
        <item m="1" x="141"/>
        <item m="1" x="22"/>
        <item x="1"/>
        <item x="2"/>
        <item x="3"/>
        <item x="4"/>
        <item x="5"/>
        <item x="6"/>
        <item x="7"/>
        <item x="8"/>
        <item x="9"/>
        <item x="10"/>
        <item x="11"/>
        <item x="12"/>
        <item x="13"/>
        <item m="1" x="129"/>
        <item m="1" x="84"/>
        <item m="1" x="136"/>
        <item m="1" x="113"/>
        <item m="1" x="32"/>
        <item m="1" x="206"/>
        <item m="1" x="244"/>
        <item m="1" x="35"/>
        <item m="1" x="80"/>
        <item m="1" x="189"/>
        <item m="1" x="185"/>
        <item m="1" x="264"/>
        <item m="1" x="155"/>
        <item m="1" x="223"/>
        <item m="1" x="107"/>
        <item m="1" x="164"/>
        <item m="1" x="73"/>
        <item x="14"/>
        <item x="15"/>
        <item m="1" x="168"/>
        <item m="1" x="46"/>
        <item m="1" x="97"/>
        <item m="1" x="267"/>
        <item m="1" x="147"/>
        <item m="1" x="248"/>
        <item m="1" x="81"/>
        <item m="1" x="253"/>
        <item m="1" x="182"/>
        <item x="17"/>
        <item m="1" x="125"/>
        <item m="1" x="152"/>
        <item m="1" x="104"/>
        <item m="1" x="117"/>
        <item m="1" x="93"/>
        <item x="16"/>
        <item x="18"/>
        <item t="default"/>
      </items>
    </pivotField>
    <pivotField axis="axisRow" showAll="0">
      <items count="5">
        <item m="1" x="1"/>
        <item x="0"/>
        <item m="1" x="2"/>
        <item m="1" x="3"/>
        <item t="default"/>
      </items>
    </pivotField>
    <pivotField axis="axisRow" showAll="0">
      <items count="48">
        <item m="1" x="1"/>
        <item x="0"/>
        <item m="1" x="22"/>
        <item m="1" x="11"/>
        <item m="1" x="12"/>
        <item m="1" x="5"/>
        <item m="1" x="34"/>
        <item m="1" x="24"/>
        <item m="1" x="37"/>
        <item m="1" x="2"/>
        <item m="1" x="36"/>
        <item m="1" x="44"/>
        <item m="1" x="21"/>
        <item m="1" x="41"/>
        <item m="1" x="32"/>
        <item m="1" x="38"/>
        <item m="1" x="35"/>
        <item m="1" x="46"/>
        <item m="1" x="18"/>
        <item m="1" x="45"/>
        <item m="1" x="43"/>
        <item m="1" x="19"/>
        <item m="1" x="14"/>
        <item m="1" x="42"/>
        <item m="1" x="15"/>
        <item m="1" x="16"/>
        <item m="1" x="9"/>
        <item m="1" x="30"/>
        <item m="1" x="17"/>
        <item m="1" x="33"/>
        <item m="1" x="25"/>
        <item m="1" x="28"/>
        <item m="1" x="4"/>
        <item m="1" x="23"/>
        <item m="1" x="29"/>
        <item m="1" x="26"/>
        <item m="1" x="3"/>
        <item m="1" x="7"/>
        <item m="1" x="27"/>
        <item m="1" x="40"/>
        <item m="1" x="20"/>
        <item m="1" x="8"/>
        <item m="1" x="10"/>
        <item m="1" x="31"/>
        <item m="1" x="13"/>
        <item m="1" x="39"/>
        <item m="1" x="6"/>
        <item t="default"/>
      </items>
    </pivotField>
    <pivotField axis="axisRow" showAll="0">
      <items count="4">
        <item m="1" x="1"/>
        <item x="0"/>
        <item m="1" x="2"/>
        <item t="default"/>
      </items>
    </pivotField>
    <pivotField axis="axisRow" showAll="0">
      <items count="48">
        <item m="1" x="1"/>
        <item x="0"/>
        <item m="1" x="26"/>
        <item m="1" x="22"/>
        <item m="1" x="10"/>
        <item m="1" x="41"/>
        <item m="1" x="38"/>
        <item m="1" x="25"/>
        <item m="1" x="9"/>
        <item m="1" x="35"/>
        <item m="1" x="33"/>
        <item m="1" x="24"/>
        <item m="1" x="42"/>
        <item m="1" x="34"/>
        <item m="1" x="37"/>
        <item m="1" x="7"/>
        <item m="1" x="19"/>
        <item m="1" x="44"/>
        <item m="1" x="4"/>
        <item m="1" x="3"/>
        <item m="1" x="28"/>
        <item m="1" x="32"/>
        <item m="1" x="36"/>
        <item m="1" x="31"/>
        <item m="1" x="6"/>
        <item m="1" x="2"/>
        <item m="1" x="39"/>
        <item m="1" x="13"/>
        <item m="1" x="16"/>
        <item m="1" x="14"/>
        <item m="1" x="15"/>
        <item m="1" x="21"/>
        <item m="1" x="8"/>
        <item m="1" x="45"/>
        <item m="1" x="30"/>
        <item m="1" x="43"/>
        <item m="1" x="11"/>
        <item m="1" x="29"/>
        <item m="1" x="40"/>
        <item m="1" x="20"/>
        <item m="1" x="23"/>
        <item m="1" x="5"/>
        <item m="1" x="12"/>
        <item m="1" x="46"/>
        <item m="1" x="18"/>
        <item m="1" x="17"/>
        <item m="1" x="27"/>
        <item t="default"/>
      </items>
    </pivotField>
    <pivotField axis="axisRow" showAll="0">
      <items count="3">
        <item m="1" x="1"/>
        <item x="0"/>
        <item t="default"/>
      </items>
    </pivotField>
    <pivotField axis="axisRow" showAll="0">
      <items count="185">
        <item m="1" x="12"/>
        <item x="0"/>
        <item m="1" x="164"/>
        <item m="1" x="174"/>
        <item m="1" x="13"/>
        <item m="1" x="14"/>
        <item m="1" x="18"/>
        <item m="1" x="27"/>
        <item m="1" x="130"/>
        <item m="1" x="165"/>
        <item m="1" x="166"/>
        <item m="1" x="167"/>
        <item m="1" x="168"/>
        <item m="1" x="113"/>
        <item m="1" x="83"/>
        <item m="1" x="169"/>
        <item m="1" x="131"/>
        <item m="1" x="132"/>
        <item m="1" x="88"/>
        <item m="1" x="114"/>
        <item m="1" x="115"/>
        <item m="1" x="170"/>
        <item m="1" x="171"/>
        <item m="1" x="175"/>
        <item m="1" x="176"/>
        <item m="1" x="177"/>
        <item m="1" x="100"/>
        <item m="1" x="104"/>
        <item m="1" x="101"/>
        <item m="1" x="75"/>
        <item m="1" x="127"/>
        <item m="1" x="111"/>
        <item m="1" x="76"/>
        <item m="1" x="128"/>
        <item m="1" x="28"/>
        <item m="1" x="77"/>
        <item m="1" x="102"/>
        <item m="1" x="103"/>
        <item m="1" x="43"/>
        <item m="1" x="145"/>
        <item m="1" x="141"/>
        <item m="1" x="138"/>
        <item m="1" x="139"/>
        <item m="1" x="137"/>
        <item m="1" x="136"/>
        <item m="1" x="155"/>
        <item m="1" x="146"/>
        <item m="1" x="147"/>
        <item m="1" x="148"/>
        <item m="1" x="149"/>
        <item m="1" x="160"/>
        <item m="1" x="84"/>
        <item m="1" x="150"/>
        <item m="1" x="156"/>
        <item m="1" x="157"/>
        <item m="1" x="66"/>
        <item m="1" x="161"/>
        <item m="1" x="162"/>
        <item m="1" x="151"/>
        <item m="1" x="152"/>
        <item m="1" x="142"/>
        <item m="1" x="143"/>
        <item m="1" x="144"/>
        <item m="1" x="153"/>
        <item m="1" x="163"/>
        <item m="1" x="140"/>
        <item m="1" x="85"/>
        <item m="1" x="16"/>
        <item m="1" x="172"/>
        <item m="1" x="86"/>
        <item m="1" x="17"/>
        <item m="1" x="173"/>
        <item m="1" x="87"/>
        <item m="1" x="158"/>
        <item m="1" x="159"/>
        <item m="1" x="15"/>
        <item m="1" x="94"/>
        <item m="1" x="95"/>
        <item m="1" x="78"/>
        <item m="1" x="79"/>
        <item m="1" x="44"/>
        <item m="1" x="21"/>
        <item m="1" x="178"/>
        <item m="1" x="179"/>
        <item m="1" x="129"/>
        <item m="1" x="96"/>
        <item m="1" x="69"/>
        <item m="1" x="45"/>
        <item m="1" x="46"/>
        <item m="1" x="47"/>
        <item m="1" x="48"/>
        <item m="1" x="97"/>
        <item m="1" x="70"/>
        <item m="1" x="49"/>
        <item m="1" x="71"/>
        <item m="1" x="72"/>
        <item m="1" x="20"/>
        <item m="1" x="98"/>
        <item m="1" x="99"/>
        <item m="1" x="50"/>
        <item m="1" x="51"/>
        <item m="1" x="22"/>
        <item m="1" x="23"/>
        <item m="1" x="24"/>
        <item m="1" x="52"/>
        <item m="1" x="105"/>
        <item m="1" x="108"/>
        <item m="1" x="25"/>
        <item m="1" x="109"/>
        <item m="1" x="26"/>
        <item m="1" x="53"/>
        <item m="1" x="110"/>
        <item m="1" x="73"/>
        <item m="1" x="74"/>
        <item m="1" x="57"/>
        <item m="1" x="90"/>
        <item m="1" x="134"/>
        <item m="1" x="135"/>
        <item m="1" x="183"/>
        <item m="1" x="35"/>
        <item m="1" x="29"/>
        <item m="1" x="58"/>
        <item m="1" x="59"/>
        <item m="1" x="60"/>
        <item m="1" x="61"/>
        <item m="1" x="180"/>
        <item m="1" x="30"/>
        <item m="1" x="62"/>
        <item m="1" x="31"/>
        <item m="1" x="32"/>
        <item m="1" x="126"/>
        <item m="1" x="181"/>
        <item m="1" x="182"/>
        <item m="1" x="63"/>
        <item m="1" x="64"/>
        <item m="1" x="91"/>
        <item m="1" x="92"/>
        <item m="1" x="93"/>
        <item m="1" x="65"/>
        <item m="1" x="89"/>
        <item m="1" x="80"/>
        <item m="1" x="106"/>
        <item m="1" x="81"/>
        <item m="1" x="107"/>
        <item m="1" x="133"/>
        <item m="1" x="82"/>
        <item m="1" x="33"/>
        <item m="1" x="34"/>
        <item x="1"/>
        <item x="2"/>
        <item x="3"/>
        <item x="4"/>
        <item x="5"/>
        <item x="6"/>
        <item x="7"/>
        <item x="8"/>
        <item x="9"/>
        <item m="1" x="119"/>
        <item m="1" x="120"/>
        <item m="1" x="121"/>
        <item m="1" x="122"/>
        <item m="1" x="116"/>
        <item m="1" x="36"/>
        <item m="1" x="123"/>
        <item m="1" x="37"/>
        <item m="1" x="38"/>
        <item m="1" x="154"/>
        <item m="1" x="117"/>
        <item m="1" x="118"/>
        <item m="1" x="124"/>
        <item m="1" x="125"/>
        <item m="1" x="41"/>
        <item m="1" x="42"/>
        <item x="10"/>
        <item x="11"/>
        <item m="1" x="112"/>
        <item m="1" x="54"/>
        <item m="1" x="67"/>
        <item m="1" x="55"/>
        <item m="1" x="68"/>
        <item m="1" x="19"/>
        <item m="1" x="56"/>
        <item m="1" x="39"/>
        <item m="1" x="40"/>
        <item t="default"/>
      </items>
    </pivotField>
    <pivotField axis="axisRow" showAll="0">
      <items count="241">
        <item m="1" x="44"/>
        <item m="1" x="205"/>
        <item m="1" x="201"/>
        <item m="1" x="228"/>
        <item m="1" x="168"/>
        <item m="1" x="108"/>
        <item m="1" x="107"/>
        <item m="1" x="137"/>
        <item m="1" x="118"/>
        <item m="1" x="206"/>
        <item m="1" x="207"/>
        <item m="1" x="52"/>
        <item m="1" x="179"/>
        <item m="1" x="150"/>
        <item m="1" x="157"/>
        <item m="1" x="234"/>
        <item m="1" x="235"/>
        <item m="1" x="57"/>
        <item m="1" x="215"/>
        <item m="1" x="223"/>
        <item m="1" x="194"/>
        <item m="1" x="232"/>
        <item m="1" x="138"/>
        <item m="1" x="148"/>
        <item m="1" x="130"/>
        <item m="1" x="173"/>
        <item m="1" x="119"/>
        <item m="1" x="237"/>
        <item m="1" x="99"/>
        <item m="1" x="73"/>
        <item m="1" x="135"/>
        <item m="1" x="131"/>
        <item m="1" x="238"/>
        <item m="1" x="122"/>
        <item m="1" x="226"/>
        <item m="1" x="212"/>
        <item m="1" x="203"/>
        <item m="1" x="193"/>
        <item m="1" x="178"/>
        <item m="1" x="58"/>
        <item m="1" x="59"/>
        <item x="0"/>
        <item m="1" x="126"/>
        <item m="1" x="156"/>
        <item m="1" x="112"/>
        <item m="1" x="78"/>
        <item m="1" x="133"/>
        <item m="1" x="146"/>
        <item m="1" x="64"/>
        <item m="1" x="151"/>
        <item m="1" x="127"/>
        <item m="1" x="128"/>
        <item m="1" x="189"/>
        <item m="1" x="140"/>
        <item m="1" x="50"/>
        <item m="1" x="171"/>
        <item m="1" x="210"/>
        <item m="1" x="211"/>
        <item m="1" x="61"/>
        <item m="1" x="90"/>
        <item m="1" x="105"/>
        <item m="1" x="62"/>
        <item m="1" x="103"/>
        <item m="1" x="65"/>
        <item m="1" x="213"/>
        <item m="1" x="197"/>
        <item m="1" x="152"/>
        <item m="1" x="195"/>
        <item m="1" x="125"/>
        <item m="1" x="124"/>
        <item m="1" x="129"/>
        <item m="1" x="147"/>
        <item m="1" x="174"/>
        <item m="1" x="66"/>
        <item m="1" x="214"/>
        <item m="1" x="87"/>
        <item m="1" x="136"/>
        <item m="1" x="63"/>
        <item m="1" x="81"/>
        <item m="1" x="220"/>
        <item m="1" x="221"/>
        <item m="1" x="74"/>
        <item m="1" x="202"/>
        <item m="1" x="46"/>
        <item m="1" x="72"/>
        <item m="1" x="49"/>
        <item m="1" x="216"/>
        <item m="1" x="161"/>
        <item m="1" x="47"/>
        <item m="1" x="75"/>
        <item m="1" x="76"/>
        <item m="1" x="111"/>
        <item m="1" x="153"/>
        <item m="1" x="121"/>
        <item m="1" x="67"/>
        <item m="1" x="116"/>
        <item m="1" x="117"/>
        <item m="1" x="204"/>
        <item m="1" x="80"/>
        <item m="1" x="217"/>
        <item m="1" x="199"/>
        <item m="1" x="45"/>
        <item m="1" x="162"/>
        <item m="1" x="187"/>
        <item m="1" x="190"/>
        <item m="1" x="53"/>
        <item m="1" x="222"/>
        <item m="1" x="100"/>
        <item m="1" x="98"/>
        <item m="1" x="91"/>
        <item m="1" x="77"/>
        <item m="1" x="227"/>
        <item m="1" x="175"/>
        <item m="1" x="142"/>
        <item m="1" x="172"/>
        <item m="1" x="85"/>
        <item m="1" x="184"/>
        <item m="1" x="149"/>
        <item m="1" x="154"/>
        <item m="1" x="155"/>
        <item m="1" x="180"/>
        <item m="1" x="115"/>
        <item m="1" x="68"/>
        <item m="1" x="71"/>
        <item m="1" x="166"/>
        <item m="1" x="139"/>
        <item m="1" x="55"/>
        <item m="1" x="230"/>
        <item m="1" x="181"/>
        <item m="1" x="182"/>
        <item m="1" x="198"/>
        <item m="1" x="191"/>
        <item m="1" x="200"/>
        <item m="1" x="236"/>
        <item m="1" x="185"/>
        <item m="1" x="186"/>
        <item m="1" x="109"/>
        <item m="1" x="144"/>
        <item m="1" x="106"/>
        <item m="1" x="102"/>
        <item m="1" x="101"/>
        <item m="1" x="56"/>
        <item m="1" x="177"/>
        <item m="1" x="159"/>
        <item m="1" x="231"/>
        <item m="1" x="218"/>
        <item m="1" x="123"/>
        <item m="1" x="188"/>
        <item m="1" x="169"/>
        <item m="1" x="120"/>
        <item m="1" x="229"/>
        <item m="1" x="86"/>
        <item m="1" x="225"/>
        <item m="1" x="84"/>
        <item m="1" x="160"/>
        <item m="1" x="94"/>
        <item m="1" x="54"/>
        <item m="1" x="96"/>
        <item m="1" x="97"/>
        <item m="1" x="88"/>
        <item x="2"/>
        <item x="3"/>
        <item m="1" x="95"/>
        <item x="1"/>
        <item m="1" x="51"/>
        <item m="1" x="233"/>
        <item m="1" x="143"/>
        <item m="1" x="192"/>
        <item m="1" x="176"/>
        <item x="4"/>
        <item x="5"/>
        <item x="6"/>
        <item x="7"/>
        <item x="8"/>
        <item x="9"/>
        <item x="10"/>
        <item x="11"/>
        <item m="1" x="60"/>
        <item m="1" x="163"/>
        <item m="1" x="164"/>
        <item m="1" x="89"/>
        <item m="1" x="104"/>
        <item m="1" x="48"/>
        <item m="1" x="158"/>
        <item m="1" x="92"/>
        <item m="1" x="93"/>
        <item m="1" x="114"/>
        <item m="1" x="167"/>
        <item m="1" x="239"/>
        <item m="1" x="113"/>
        <item m="1" x="145"/>
        <item m="1" x="224"/>
        <item m="1" x="110"/>
        <item x="31"/>
        <item x="32"/>
        <item m="1" x="183"/>
        <item m="1" x="134"/>
        <item m="1" x="132"/>
        <item m="1" x="170"/>
        <item m="1" x="79"/>
        <item m="1" x="209"/>
        <item m="1" x="208"/>
        <item m="1" x="219"/>
        <item x="42"/>
        <item m="1" x="83"/>
        <item m="1" x="196"/>
        <item m="1" x="141"/>
        <item m="1" x="69"/>
        <item m="1" x="70"/>
        <item x="12"/>
        <item x="13"/>
        <item x="14"/>
        <item x="15"/>
        <item x="16"/>
        <item x="17"/>
        <item x="18"/>
        <item x="19"/>
        <item x="20"/>
        <item x="21"/>
        <item x="22"/>
        <item x="23"/>
        <item x="24"/>
        <item x="25"/>
        <item x="26"/>
        <item x="27"/>
        <item x="28"/>
        <item x="29"/>
        <item m="1" x="165"/>
        <item x="33"/>
        <item x="34"/>
        <item x="35"/>
        <item x="36"/>
        <item m="1" x="82"/>
        <item x="38"/>
        <item x="39"/>
        <item x="40"/>
        <item x="41"/>
        <item x="30"/>
        <item x="37"/>
        <item x="43"/>
        <item t="default"/>
      </items>
    </pivotField>
    <pivotField axis="axisRow" showAll="0">
      <items count="3">
        <item m="1" x="1"/>
        <item x="0"/>
        <item t="default"/>
      </items>
    </pivotField>
    <pivotField axis="axisRow" showAll="0">
      <items count="33">
        <item m="1" x="4"/>
        <item m="1" x="20"/>
        <item m="1" x="18"/>
        <item m="1" x="5"/>
        <item m="1" x="8"/>
        <item m="1" x="6"/>
        <item m="1" x="25"/>
        <item m="1" x="17"/>
        <item m="1" x="31"/>
        <item x="0"/>
        <item m="1" x="19"/>
        <item m="1" x="7"/>
        <item m="1" x="26"/>
        <item m="1" x="9"/>
        <item m="1" x="15"/>
        <item m="1" x="10"/>
        <item m="1" x="16"/>
        <item m="1" x="11"/>
        <item m="1" x="13"/>
        <item m="1" x="14"/>
        <item m="1" x="22"/>
        <item m="1" x="12"/>
        <item m="1" x="21"/>
        <item m="1" x="27"/>
        <item m="1" x="29"/>
        <item m="1" x="23"/>
        <item m="1" x="28"/>
        <item m="1" x="30"/>
        <item m="1" x="24"/>
        <item x="1"/>
        <item x="2"/>
        <item x="3"/>
        <item t="default"/>
      </items>
    </pivotField>
    <pivotField axis="axisRow" showAll="0">
      <items count="10">
        <item m="1" x="1"/>
        <item m="1" x="8"/>
        <item m="1" x="3"/>
        <item m="1" x="2"/>
        <item x="0"/>
        <item m="1" x="5"/>
        <item m="1" x="4"/>
        <item m="1" x="6"/>
        <item m="1" x="7"/>
        <item t="default"/>
      </items>
    </pivotField>
    <pivotField axis="axisRow" showAll="0">
      <items count="610">
        <item m="1" x="34"/>
        <item m="1" x="607"/>
        <item m="1" x="49"/>
        <item m="1" x="569"/>
        <item m="1" x="389"/>
        <item m="1" x="205"/>
        <item m="1" x="439"/>
        <item m="1" x="319"/>
        <item m="1" x="438"/>
        <item m="1" x="564"/>
        <item m="1" x="508"/>
        <item m="1" x="383"/>
        <item m="1" x="126"/>
        <item m="1" x="35"/>
        <item m="1" x="36"/>
        <item m="1" x="288"/>
        <item m="1" x="340"/>
        <item m="1" x="471"/>
        <item m="1" x="283"/>
        <item m="1" x="258"/>
        <item m="1" x="358"/>
        <item m="1" x="578"/>
        <item m="1" x="321"/>
        <item m="1" x="394"/>
        <item m="1" x="490"/>
        <item m="1" x="345"/>
        <item m="1" x="487"/>
        <item m="1" x="499"/>
        <item m="1" x="572"/>
        <item m="1" x="485"/>
        <item m="1" x="350"/>
        <item m="1" x="145"/>
        <item m="1" x="497"/>
        <item m="1" x="274"/>
        <item m="1" x="220"/>
        <item m="1" x="269"/>
        <item m="1" x="403"/>
        <item m="1" x="459"/>
        <item m="1" x="491"/>
        <item m="1" x="120"/>
        <item m="1" x="119"/>
        <item m="1" x="580"/>
        <item m="1" x="393"/>
        <item m="1" x="467"/>
        <item m="1" x="239"/>
        <item m="1" x="434"/>
        <item m="1" x="466"/>
        <item m="1" x="511"/>
        <item m="1" x="77"/>
        <item m="1" x="346"/>
        <item m="1" x="209"/>
        <item m="1" x="384"/>
        <item m="1" x="406"/>
        <item m="1" x="432"/>
        <item m="1" x="474"/>
        <item m="1" x="241"/>
        <item m="1" x="423"/>
        <item m="1" x="135"/>
        <item m="1" x="351"/>
        <item m="1" x="359"/>
        <item m="1" x="204"/>
        <item m="1" x="550"/>
        <item m="1" x="259"/>
        <item m="1" x="509"/>
        <item m="1" x="180"/>
        <item m="1" x="571"/>
        <item m="1" x="156"/>
        <item m="1" x="475"/>
        <item m="1" x="379"/>
        <item m="1" x="244"/>
        <item m="1" x="570"/>
        <item m="1" x="122"/>
        <item m="1" x="419"/>
        <item m="1" x="192"/>
        <item m="1" x="562"/>
        <item m="1" x="451"/>
        <item m="1" x="316"/>
        <item m="1" x="343"/>
        <item m="1" x="95"/>
        <item m="1" x="149"/>
        <item m="1" x="297"/>
        <item m="1" x="428"/>
        <item m="1" x="54"/>
        <item m="1" x="163"/>
        <item m="1" x="482"/>
        <item m="1" x="131"/>
        <item m="1" x="598"/>
        <item m="1" x="103"/>
        <item m="1" x="58"/>
        <item m="1" x="452"/>
        <item m="1" x="158"/>
        <item m="1" x="444"/>
        <item m="1" x="563"/>
        <item m="1" x="59"/>
        <item m="1" x="74"/>
        <item m="1" x="492"/>
        <item x="0"/>
        <item m="1" x="38"/>
        <item m="1" x="261"/>
        <item m="1" x="464"/>
        <item m="1" x="189"/>
        <item m="1" x="46"/>
        <item m="1" x="171"/>
        <item m="1" x="337"/>
        <item m="1" x="186"/>
        <item m="1" x="112"/>
        <item m="1" x="109"/>
        <item m="1" x="110"/>
        <item m="1" x="270"/>
        <item m="1" x="62"/>
        <item m="1" x="540"/>
        <item m="1" x="167"/>
        <item m="1" x="73"/>
        <item m="1" x="489"/>
        <item m="1" x="208"/>
        <item m="1" x="527"/>
        <item m="1" x="505"/>
        <item m="1" x="178"/>
        <item m="1" x="504"/>
        <item m="1" x="525"/>
        <item m="1" x="585"/>
        <item m="1" x="197"/>
        <item m="1" x="228"/>
        <item m="1" x="63"/>
        <item m="1" x="335"/>
        <item m="1" x="111"/>
        <item m="1" x="532"/>
        <item m="1" x="52"/>
        <item m="1" x="61"/>
        <item m="1" x="582"/>
        <item m="1" x="53"/>
        <item m="1" x="47"/>
        <item m="1" x="542"/>
        <item m="1" x="331"/>
        <item m="1" x="388"/>
        <item m="1" x="352"/>
        <item m="1" x="460"/>
        <item m="1" x="48"/>
        <item m="1" x="362"/>
        <item m="1" x="182"/>
        <item m="1" x="589"/>
        <item m="1" x="344"/>
        <item m="1" x="234"/>
        <item m="1" x="57"/>
        <item m="1" x="250"/>
        <item m="1" x="544"/>
        <item m="1" x="223"/>
        <item m="1" x="245"/>
        <item m="1" x="153"/>
        <item m="1" x="90"/>
        <item m="1" x="224"/>
        <item m="1" x="326"/>
        <item m="1" x="96"/>
        <item m="1" x="445"/>
        <item m="1" x="378"/>
        <item m="1" x="39"/>
        <item m="1" x="588"/>
        <item m="1" x="520"/>
        <item m="1" x="118"/>
        <item m="1" x="247"/>
        <item m="1" x="265"/>
        <item m="1" x="587"/>
        <item m="1" x="164"/>
        <item m="1" x="177"/>
        <item m="1" x="590"/>
        <item m="1" x="93"/>
        <item m="1" x="536"/>
        <item m="1" x="218"/>
        <item m="1" x="447"/>
        <item m="1" x="42"/>
        <item m="1" x="515"/>
        <item m="1" x="516"/>
        <item m="1" x="67"/>
        <item m="1" x="534"/>
        <item m="1" x="99"/>
        <item m="1" x="188"/>
        <item m="1" x="418"/>
        <item m="1" x="290"/>
        <item m="1" x="161"/>
        <item m="1" x="478"/>
        <item m="1" x="547"/>
        <item m="1" x="368"/>
        <item m="1" x="512"/>
        <item m="1" x="246"/>
        <item m="1" x="165"/>
        <item m="1" x="551"/>
        <item m="1" x="426"/>
        <item m="1" x="262"/>
        <item m="1" x="483"/>
        <item m="1" x="558"/>
        <item m="1" x="341"/>
        <item m="1" x="420"/>
        <item m="1" x="367"/>
        <item m="1" x="132"/>
        <item m="1" x="513"/>
        <item m="1" x="157"/>
        <item m="1" x="602"/>
        <item m="1" x="409"/>
        <item m="1" x="575"/>
        <item m="1" x="355"/>
        <item m="1" x="81"/>
        <item m="1" x="194"/>
        <item m="1" x="154"/>
        <item m="1" x="104"/>
        <item m="1" x="191"/>
        <item m="1" x="237"/>
        <item m="1" x="293"/>
        <item m="1" x="425"/>
        <item m="1" x="166"/>
        <item m="1" x="470"/>
        <item m="1" x="477"/>
        <item m="1" x="456"/>
        <item m="1" x="147"/>
        <item m="1" x="429"/>
        <item m="1" x="422"/>
        <item m="1" x="577"/>
        <item m="1" x="307"/>
        <item m="1" x="365"/>
        <item m="1" x="56"/>
        <item m="1" x="229"/>
        <item m="1" x="64"/>
        <item m="1" x="107"/>
        <item m="1" x="592"/>
        <item m="1" x="116"/>
        <item m="1" x="123"/>
        <item m="1" x="238"/>
        <item m="1" x="308"/>
        <item m="1" x="155"/>
        <item m="1" x="354"/>
        <item m="1" x="503"/>
        <item m="1" x="473"/>
        <item m="1" x="401"/>
        <item m="1" x="309"/>
        <item m="1" x="193"/>
        <item m="1" x="97"/>
        <item m="1" x="98"/>
        <item m="1" x="370"/>
        <item m="1" x="298"/>
        <item m="1" x="498"/>
        <item m="1" x="583"/>
        <item m="1" x="581"/>
        <item m="1" x="541"/>
        <item m="1" x="522"/>
        <item m="1" x="455"/>
        <item m="1" x="494"/>
        <item m="1" x="561"/>
        <item m="1" x="472"/>
        <item m="1" x="517"/>
        <item m="1" x="51"/>
        <item m="1" x="190"/>
        <item m="1" x="560"/>
        <item m="1" x="174"/>
        <item m="1" x="150"/>
        <item m="1" x="295"/>
        <item m="1" x="86"/>
        <item m="1" x="381"/>
        <item m="1" x="117"/>
        <item m="1" x="221"/>
        <item m="1" x="440"/>
        <item m="1" x="526"/>
        <item m="1" x="286"/>
        <item m="1" x="533"/>
        <item m="1" x="437"/>
        <item m="1" x="140"/>
        <item m="1" x="608"/>
        <item m="1" x="92"/>
        <item m="1" x="146"/>
        <item m="1" x="311"/>
        <item m="1" x="313"/>
        <item m="1" x="574"/>
        <item m="1" x="357"/>
        <item m="1" x="573"/>
        <item m="1" x="272"/>
        <item m="1" x="253"/>
        <item m="1" x="232"/>
        <item m="1" x="124"/>
        <item m="1" x="431"/>
        <item m="1" x="415"/>
        <item m="1" x="448"/>
        <item m="1" x="369"/>
        <item m="1" x="80"/>
        <item m="1" x="484"/>
        <item m="1" x="143"/>
        <item m="1" x="312"/>
        <item m="1" x="529"/>
        <item m="1" x="172"/>
        <item m="1" x="427"/>
        <item m="1" x="521"/>
        <item m="1" x="523"/>
        <item m="1" x="105"/>
        <item m="1" x="71"/>
        <item m="1" x="430"/>
        <item m="1" x="301"/>
        <item m="1" x="397"/>
        <item m="1" x="230"/>
        <item m="1" x="334"/>
        <item m="1" x="281"/>
        <item m="1" x="476"/>
        <item m="1" x="291"/>
        <item m="1" x="292"/>
        <item m="1" x="243"/>
        <item m="1" x="294"/>
        <item m="1" x="407"/>
        <item m="1" x="411"/>
        <item m="1" x="148"/>
        <item m="1" x="248"/>
        <item m="1" x="392"/>
        <item m="1" x="375"/>
        <item m="1" x="282"/>
        <item m="1" x="267"/>
        <item m="1" x="280"/>
        <item m="1" x="373"/>
        <item m="1" x="417"/>
        <item m="1" x="320"/>
        <item m="1" x="449"/>
        <item m="1" x="315"/>
        <item m="1" x="545"/>
        <item m="1" x="284"/>
        <item m="1" x="601"/>
        <item m="1" x="594"/>
        <item m="1" x="443"/>
        <item m="1" x="257"/>
        <item m="1" x="342"/>
        <item m="1" x="332"/>
        <item m="1" x="546"/>
        <item m="1" x="457"/>
        <item m="1" x="518"/>
        <item m="1" x="176"/>
        <item m="1" x="68"/>
        <item m="1" x="463"/>
        <item m="1" x="506"/>
        <item m="1" x="514"/>
        <item m="1" x="468"/>
        <item m="1" x="199"/>
        <item m="1" x="400"/>
        <item m="1" x="353"/>
        <item m="1" x="374"/>
        <item m="1" x="289"/>
        <item m="1" x="328"/>
        <item m="1" x="339"/>
        <item m="1" x="89"/>
        <item m="1" x="543"/>
        <item m="1" x="519"/>
        <item m="1" x="454"/>
        <item m="1" x="502"/>
        <item m="1" x="43"/>
        <item m="1" x="162"/>
        <item m="1" x="130"/>
        <item m="1" x="500"/>
        <item m="1" x="273"/>
        <item m="1" x="82"/>
        <item m="1" x="300"/>
        <item m="1" x="387"/>
        <item m="1" x="324"/>
        <item m="1" x="44"/>
        <item m="1" x="501"/>
        <item m="1" x="548"/>
        <item m="1" x="219"/>
        <item m="1" x="408"/>
        <item m="1" x="217"/>
        <item m="1" x="215"/>
        <item m="1" x="555"/>
        <item m="1" x="495"/>
        <item m="1" x="496"/>
        <item m="1" x="433"/>
        <item m="1" x="531"/>
        <item m="1" x="376"/>
        <item m="1" x="461"/>
        <item m="1" x="144"/>
        <item m="1" x="329"/>
        <item m="1" x="285"/>
        <item m="1" x="129"/>
        <item m="1" x="557"/>
        <item m="1" x="576"/>
        <item m="1" x="568"/>
        <item m="1" x="137"/>
        <item m="1" x="113"/>
        <item m="1" x="201"/>
        <item m="1" x="216"/>
        <item m="1" x="214"/>
        <item m="1" x="187"/>
        <item m="1" x="88"/>
        <item m="1" x="479"/>
        <item m="1" x="55"/>
        <item m="1" x="235"/>
        <item m="1" x="412"/>
        <item m="1" x="453"/>
        <item m="1" x="559"/>
        <item m="1" x="465"/>
        <item m="1" x="410"/>
        <item m="1" x="173"/>
        <item m="1" x="424"/>
        <item m="1" x="591"/>
        <item m="1" x="371"/>
        <item m="1" x="114"/>
        <item m="1" x="405"/>
        <item m="1" x="226"/>
        <item m="1" x="133"/>
        <item m="1" x="325"/>
        <item m="1" x="142"/>
        <item m="1" x="87"/>
        <item m="1" x="524"/>
        <item m="1" x="364"/>
        <item m="1" x="242"/>
        <item m="1" x="102"/>
        <item m="1" x="41"/>
        <item m="1" x="106"/>
        <item m="1" x="108"/>
        <item m="1" x="275"/>
        <item m="1" x="549"/>
        <item m="1" x="435"/>
        <item m="1" x="249"/>
        <item m="1" x="227"/>
        <item m="1" x="579"/>
        <item m="1" x="604"/>
        <item m="1" x="336"/>
        <item m="1" x="347"/>
        <item m="1" x="203"/>
        <item m="1" x="128"/>
        <item m="1" x="287"/>
        <item m="1" x="37"/>
        <item m="1" x="416"/>
        <item m="1" x="141"/>
        <item m="1" x="391"/>
        <item m="1" x="66"/>
        <item m="1" x="318"/>
        <item m="1" x="304"/>
        <item m="1" x="305"/>
        <item m="1" x="382"/>
        <item m="1" x="372"/>
        <item m="1" x="207"/>
        <item m="1" x="279"/>
        <item m="1" x="251"/>
        <item m="1" x="462"/>
        <item m="1" x="556"/>
        <item m="1" x="566"/>
        <item m="1" x="183"/>
        <item m="1" x="125"/>
        <item m="1" x="152"/>
        <item m="1" x="530"/>
        <item m="1" x="552"/>
        <item m="1" x="83"/>
        <item m="1" x="200"/>
        <item m="1" x="553"/>
        <item m="1" x="175"/>
        <item m="1" x="233"/>
        <item m="1" x="231"/>
        <item m="1" x="493"/>
        <item m="1" x="263"/>
        <item m="1" x="399"/>
        <item m="1" x="264"/>
        <item m="1" x="101"/>
        <item m="1" x="198"/>
        <item m="1" x="306"/>
        <item m="1" x="210"/>
        <item m="1" x="211"/>
        <item m="1" x="255"/>
        <item m="1" x="299"/>
        <item m="1" x="79"/>
        <item m="1" x="338"/>
        <item m="1" x="254"/>
        <item m="1" x="565"/>
        <item m="1" x="278"/>
        <item m="1" x="600"/>
        <item m="1" x="168"/>
        <item m="1" x="213"/>
        <item m="1" x="196"/>
        <item m="1" x="390"/>
        <item m="1" x="69"/>
        <item m="1" x="202"/>
        <item m="1" x="537"/>
        <item m="1" x="268"/>
        <item m="1" x="348"/>
        <item m="1" x="535"/>
        <item m="1" x="212"/>
        <item m="1" x="413"/>
        <item m="1" x="303"/>
        <item m="1" x="134"/>
        <item m="1" x="380"/>
        <item m="1" x="330"/>
        <item m="1" x="322"/>
        <item m="1" x="169"/>
        <item m="1" x="323"/>
        <item m="1" x="170"/>
        <item m="1" x="599"/>
        <item m="1" x="75"/>
        <item m="1" x="225"/>
        <item m="1" x="40"/>
        <item m="1" x="469"/>
        <item m="1" x="84"/>
        <item m="1" x="395"/>
        <item m="1" x="85"/>
        <item m="1" x="386"/>
        <item m="1" x="179"/>
        <item m="1" x="554"/>
        <item m="1" x="252"/>
        <item m="1" x="302"/>
        <item m="1" x="260"/>
        <item m="1" x="507"/>
        <item m="1" x="115"/>
        <item m="1" x="349"/>
        <item m="1" x="138"/>
        <item m="1" x="139"/>
        <item m="1" x="76"/>
        <item m="1" x="151"/>
        <item m="1" x="60"/>
        <item m="1" x="333"/>
        <item m="1" x="539"/>
        <item m="1" x="595"/>
        <item m="1" x="310"/>
        <item m="1" x="458"/>
        <item m="1" x="121"/>
        <item m="1" x="240"/>
        <item m="1" x="396"/>
        <item m="1" x="605"/>
        <item m="1" x="236"/>
        <item m="1" x="377"/>
        <item m="1" x="606"/>
        <item m="1" x="317"/>
        <item m="1" x="256"/>
        <item m="1" x="181"/>
        <item m="1" x="486"/>
        <item m="1" x="436"/>
        <item m="1" x="356"/>
        <item m="1" x="159"/>
        <item m="1" x="398"/>
        <item m="1" x="271"/>
        <item m="1" x="91"/>
        <item m="1" x="567"/>
        <item m="1" x="528"/>
        <item m="1" x="481"/>
        <item m="1" x="450"/>
        <item m="1" x="593"/>
        <item m="1" x="266"/>
        <item m="1" x="597"/>
        <item m="1" x="446"/>
        <item m="1" x="596"/>
        <item m="1" x="160"/>
        <item m="1" x="327"/>
        <item m="1" x="195"/>
        <item m="1" x="385"/>
        <item m="1" x="78"/>
        <item m="1" x="65"/>
        <item m="1" x="538"/>
        <item m="1" x="206"/>
        <item m="1" x="488"/>
        <item m="1" x="421"/>
        <item m="1" x="276"/>
        <item m="1" x="404"/>
        <item m="1" x="45"/>
        <item m="1" x="127"/>
        <item m="1" x="414"/>
        <item m="1" x="314"/>
        <item m="1" x="222"/>
        <item m="1" x="70"/>
        <item m="1" x="363"/>
        <item m="1" x="184"/>
        <item m="1" x="185"/>
        <item m="1" x="94"/>
        <item m="1" x="50"/>
        <item m="1" x="366"/>
        <item m="1" x="584"/>
        <item m="1" x="603"/>
        <item m="1" x="441"/>
        <item m="1" x="402"/>
        <item m="1" x="277"/>
        <item m="1" x="361"/>
        <item m="1" x="100"/>
        <item m="1" x="480"/>
        <item m="1" x="442"/>
        <item m="1" x="360"/>
        <item m="1" x="510"/>
        <item m="1" x="72"/>
        <item m="1" x="296"/>
        <item m="1" x="136"/>
        <item m="1" x="586"/>
        <item x="1"/>
        <item x="2"/>
        <item x="3"/>
        <item x="4"/>
        <item x="5"/>
        <item x="6"/>
        <item x="7"/>
        <item x="8"/>
        <item x="9"/>
        <item x="10"/>
        <item x="11"/>
        <item x="12"/>
        <item x="13"/>
        <item x="14"/>
        <item x="15"/>
        <item x="16"/>
        <item x="17"/>
        <item x="18"/>
        <item x="19"/>
        <item x="20"/>
        <item x="21"/>
        <item x="22"/>
        <item x="23"/>
        <item x="25"/>
        <item x="26"/>
        <item x="27"/>
        <item x="28"/>
        <item x="29"/>
        <item x="30"/>
        <item x="31"/>
        <item x="32"/>
        <item x="33"/>
        <item x="24"/>
        <item t="default"/>
      </items>
    </pivotField>
    <pivotField axis="axisRow" showAll="0">
      <items count="42">
        <item m="1" x="5"/>
        <item m="1" x="36"/>
        <item m="1" x="7"/>
        <item m="1" x="38"/>
        <item m="1" x="15"/>
        <item m="1" x="31"/>
        <item m="1" x="18"/>
        <item x="0"/>
        <item m="1" x="10"/>
        <item m="1" x="32"/>
        <item m="1" x="11"/>
        <item m="1" x="39"/>
        <item m="1" x="23"/>
        <item m="1" x="27"/>
        <item m="1" x="14"/>
        <item m="1" x="22"/>
        <item m="1" x="25"/>
        <item m="1" x="29"/>
        <item m="1" x="21"/>
        <item m="1" x="16"/>
        <item m="1" x="34"/>
        <item m="1" x="19"/>
        <item m="1" x="26"/>
        <item m="1" x="37"/>
        <item m="1" x="24"/>
        <item m="1" x="40"/>
        <item m="1" x="30"/>
        <item m="1" x="8"/>
        <item m="1" x="9"/>
        <item m="1" x="17"/>
        <item m="1" x="35"/>
        <item m="1" x="20"/>
        <item m="1" x="13"/>
        <item m="1" x="6"/>
        <item m="1" x="28"/>
        <item m="1" x="33"/>
        <item m="1" x="12"/>
        <item x="1"/>
        <item x="2"/>
        <item x="3"/>
        <item x="4"/>
        <item t="default"/>
      </items>
    </pivotField>
    <pivotField axis="axisRow" showAll="0">
      <items count="3">
        <item m="1" x="1"/>
        <item x="0"/>
        <item t="default"/>
      </items>
    </pivotField>
    <pivotField axis="axisRow" showAll="0">
      <items count="18">
        <item m="1" x="6"/>
        <item m="1" x="12"/>
        <item m="1" x="13"/>
        <item m="1" x="14"/>
        <item m="1" x="15"/>
        <item m="1" x="16"/>
        <item x="0"/>
        <item m="1" x="7"/>
        <item m="1" x="8"/>
        <item m="1" x="9"/>
        <item m="1" x="10"/>
        <item m="1" x="11"/>
        <item x="1"/>
        <item x="2"/>
        <item x="3"/>
        <item x="4"/>
        <item x="5"/>
        <item t="default"/>
      </items>
    </pivotField>
    <pivotField axis="axisRow" showAll="0">
      <items count="3">
        <item m="1" x="1"/>
        <item x="0"/>
        <item t="default"/>
      </items>
    </pivotField>
    <pivotField axis="axisRow" showAll="0">
      <items count="5">
        <item m="1" x="3"/>
        <item x="0"/>
        <item x="1"/>
        <item x="2"/>
        <item t="default"/>
      </items>
    </pivotField>
    <pivotField axis="axisRow" showAll="0">
      <items count="23">
        <item m="1" x="6"/>
        <item m="1" x="11"/>
        <item m="1" x="14"/>
        <item m="1" x="20"/>
        <item m="1" x="17"/>
        <item m="1" x="15"/>
        <item x="0"/>
        <item m="1" x="18"/>
        <item m="1" x="9"/>
        <item m="1" x="13"/>
        <item m="1" x="19"/>
        <item m="1" x="10"/>
        <item m="1" x="16"/>
        <item m="1" x="7"/>
        <item m="1" x="21"/>
        <item m="1" x="12"/>
        <item m="1" x="8"/>
        <item x="1"/>
        <item x="2"/>
        <item x="3"/>
        <item x="4"/>
        <item x="5"/>
        <item t="default"/>
      </items>
    </pivotField>
    <pivotField axis="axisRow" showAll="0">
      <items count="11">
        <item m="1" x="1"/>
        <item m="1" x="4"/>
        <item m="1" x="3"/>
        <item x="0"/>
        <item m="1" x="7"/>
        <item m="1" x="9"/>
        <item m="1" x="6"/>
        <item m="1" x="5"/>
        <item m="1" x="8"/>
        <item m="1" x="2"/>
        <item t="default"/>
      </items>
    </pivotField>
    <pivotField axis="axisRow" showAll="0">
      <items count="3">
        <item m="1" x="1"/>
        <item x="0"/>
        <item t="default"/>
      </items>
    </pivotField>
    <pivotField axis="axisRow" showAll="0">
      <items count="3">
        <item m="1" x="1"/>
        <item x="0"/>
        <item t="default"/>
      </items>
    </pivotField>
    <pivotField axis="axisRow" showAll="0">
      <items count="23">
        <item m="1" x="6"/>
        <item m="1" x="13"/>
        <item m="1" x="8"/>
        <item m="1" x="11"/>
        <item m="1" x="18"/>
        <item m="1" x="20"/>
        <item x="0"/>
        <item m="1" x="9"/>
        <item m="1" x="21"/>
        <item m="1" x="17"/>
        <item m="1" x="15"/>
        <item m="1" x="7"/>
        <item m="1" x="10"/>
        <item m="1" x="12"/>
        <item m="1" x="19"/>
        <item m="1" x="16"/>
        <item m="1" x="14"/>
        <item x="1"/>
        <item x="2"/>
        <item x="3"/>
        <item x="4"/>
        <item x="5"/>
        <item t="default"/>
      </items>
    </pivotField>
    <pivotField axis="axisRow" showAll="0">
      <items count="3">
        <item m="1" x="1"/>
        <item x="0"/>
        <item t="default"/>
      </items>
    </pivotField>
    <pivotField axis="axisRow" showAll="0">
      <items count="3">
        <item m="1" x="1"/>
        <item x="0"/>
        <item t="default"/>
      </items>
    </pivotField>
    <pivotField axis="axisRow" showAll="0">
      <items count="3">
        <item m="1" x="1"/>
        <item x="0"/>
        <item t="default"/>
      </items>
    </pivotField>
    <pivotField axis="axisRow" showAll="0">
      <items count="3">
        <item m="1" x="1"/>
        <item x="0"/>
        <item t="default"/>
      </items>
    </pivotField>
    <pivotField axis="axisRow" showAll="0">
      <items count="3">
        <item m="1" x="1"/>
        <item x="0"/>
        <item t="default"/>
      </items>
    </pivotField>
    <pivotField axis="axisRow" showAll="0">
      <items count="3">
        <item m="1" x="1"/>
        <item x="0"/>
        <item t="default"/>
      </items>
    </pivotField>
    <pivotField axis="axisRow" showAll="0">
      <items count="3">
        <item m="1" x="1"/>
        <item x="0"/>
        <item t="default"/>
      </items>
    </pivotField>
    <pivotField axis="axisRow" showAll="0">
      <items count="3">
        <item m="1" x="1"/>
        <item x="0"/>
        <item t="default"/>
      </items>
    </pivotField>
    <pivotField axis="axisRow" showAll="0">
      <items count="3">
        <item m="1" x="1"/>
        <item x="0"/>
        <item t="default"/>
      </items>
    </pivotField>
    <pivotField axis="axisRow" showAll="0">
      <items count="3">
        <item m="1" x="1"/>
        <item x="0"/>
        <item t="default"/>
      </items>
    </pivotField>
    <pivotField axis="axisRow" showAll="0">
      <items count="28">
        <item m="1" x="8"/>
        <item m="1" x="14"/>
        <item m="1" x="20"/>
        <item m="1" x="23"/>
        <item m="1" x="15"/>
        <item m="1" x="25"/>
        <item m="1" x="16"/>
        <item x="0"/>
        <item m="1" x="18"/>
        <item m="1" x="21"/>
        <item m="1" x="26"/>
        <item m="1" x="22"/>
        <item m="1" x="9"/>
        <item m="1" x="24"/>
        <item m="1" x="19"/>
        <item m="1" x="13"/>
        <item m="1" x="17"/>
        <item m="1" x="10"/>
        <item x="3"/>
        <item x="4"/>
        <item x="5"/>
        <item x="6"/>
        <item x="7"/>
        <item m="1" x="11"/>
        <item m="1" x="12"/>
        <item x="1"/>
        <item x="2"/>
        <item t="default"/>
      </items>
    </pivotField>
    <pivotField axis="axisRow" showAll="0">
      <items count="3">
        <item m="1" x="1"/>
        <item x="0"/>
        <item t="default"/>
      </items>
    </pivotField>
    <pivotField axis="axisRow" showAll="0">
      <items count="3">
        <item m="1" x="1"/>
        <item x="0"/>
        <item t="default"/>
      </items>
    </pivotField>
    <pivotField axis="axisRow" showAll="0">
      <items count="12">
        <item m="1" x="2"/>
        <item m="1" x="8"/>
        <item m="1" x="3"/>
        <item x="0"/>
        <item m="1" x="4"/>
        <item m="1" x="9"/>
        <item m="1" x="7"/>
        <item m="1" x="6"/>
        <item m="1" x="10"/>
        <item m="1" x="5"/>
        <item x="1"/>
        <item t="default"/>
      </items>
    </pivotField>
    <pivotField axis="axisRow" showAll="0">
      <items count="3">
        <item m="1" x="1"/>
        <item x="0"/>
        <item t="default"/>
      </items>
    </pivotField>
    <pivotField axis="axisRow" showAll="0">
      <items count="3">
        <item m="1" x="1"/>
        <item x="0"/>
        <item t="default"/>
      </items>
    </pivotField>
    <pivotField axis="axisRow" showAll="0">
      <items count="7">
        <item m="1" x="3"/>
        <item x="0"/>
        <item m="1" x="4"/>
        <item m="1" x="5"/>
        <item x="1"/>
        <item x="2"/>
        <item t="default"/>
      </items>
    </pivotField>
    <pivotField axis="axisRow" showAll="0">
      <items count="59">
        <item m="1" x="9"/>
        <item m="1" x="33"/>
        <item m="1" x="55"/>
        <item m="1" x="28"/>
        <item m="1" x="37"/>
        <item m="1" x="57"/>
        <item m="1" x="47"/>
        <item m="1" x="10"/>
        <item m="1" x="27"/>
        <item m="1" x="23"/>
        <item m="1" x="34"/>
        <item m="1" x="11"/>
        <item m="1" x="41"/>
        <item m="1" x="12"/>
        <item m="1" x="26"/>
        <item m="1" x="22"/>
        <item m="1" x="39"/>
        <item x="0"/>
        <item m="1" x="20"/>
        <item m="1" x="38"/>
        <item m="1" x="31"/>
        <item m="1" x="35"/>
        <item m="1" x="25"/>
        <item m="1" x="29"/>
        <item m="1" x="16"/>
        <item m="1" x="42"/>
        <item m="1" x="45"/>
        <item m="1" x="32"/>
        <item m="1" x="18"/>
        <item m="1" x="43"/>
        <item m="1" x="46"/>
        <item m="1" x="54"/>
        <item m="1" x="52"/>
        <item m="1" x="40"/>
        <item m="1" x="13"/>
        <item m="1" x="49"/>
        <item m="1" x="19"/>
        <item m="1" x="21"/>
        <item m="1" x="56"/>
        <item m="1" x="30"/>
        <item m="1" x="36"/>
        <item m="1" x="50"/>
        <item m="1" x="48"/>
        <item m="1" x="17"/>
        <item m="1" x="44"/>
        <item m="1" x="14"/>
        <item m="1" x="24"/>
        <item m="1" x="53"/>
        <item m="1" x="51"/>
        <item m="1" x="15"/>
        <item x="8"/>
        <item x="7"/>
        <item x="1"/>
        <item x="2"/>
        <item x="3"/>
        <item x="4"/>
        <item x="5"/>
        <item x="6"/>
        <item t="default"/>
      </items>
    </pivotField>
    <pivotField axis="axisRow" showAll="0">
      <items count="15">
        <item m="1" x="1"/>
        <item m="1" x="3"/>
        <item m="1" x="6"/>
        <item m="1" x="9"/>
        <item x="0"/>
        <item m="1" x="7"/>
        <item m="1" x="5"/>
        <item m="1" x="13"/>
        <item m="1" x="12"/>
        <item m="1" x="4"/>
        <item m="1" x="11"/>
        <item m="1" x="2"/>
        <item m="1" x="10"/>
        <item m="1" x="8"/>
        <item t="default"/>
      </items>
    </pivotField>
    <pivotField axis="axisRow" showAll="0">
      <items count="3">
        <item m="1" x="1"/>
        <item x="0"/>
        <item t="default"/>
      </items>
    </pivotField>
    <pivotField axis="axisRow" showAll="0">
      <items count="3">
        <item m="1" x="1"/>
        <item x="0"/>
        <item t="default"/>
      </items>
    </pivotField>
    <pivotField axis="axisRow" showAll="0">
      <items count="3">
        <item m="1" x="1"/>
        <item x="0"/>
        <item t="default"/>
      </items>
    </pivotField>
    <pivotField axis="axisRow" showAll="0">
      <items count="3">
        <item m="1" x="1"/>
        <item x="0"/>
        <item t="default"/>
      </items>
    </pivotField>
    <pivotField axis="axisRow" showAll="0">
      <items count="3">
        <item m="1" x="1"/>
        <item x="0"/>
        <item t="default"/>
      </items>
    </pivotField>
    <pivotField axis="axisRow" showAll="0">
      <items count="3">
        <item m="1" x="1"/>
        <item x="0"/>
        <item t="default"/>
      </items>
    </pivotField>
    <pivotField axis="axisRow" showAll="0">
      <items count="3">
        <item m="1" x="1"/>
        <item x="0"/>
        <item t="default"/>
      </items>
    </pivotField>
    <pivotField axis="axisRow" showAll="0">
      <items count="3">
        <item m="1" x="1"/>
        <item x="0"/>
        <item t="default"/>
      </items>
    </pivotField>
    <pivotField axis="axisRow" showAll="0">
      <items count="12">
        <item m="1" x="2"/>
        <item m="1" x="3"/>
        <item m="1" x="6"/>
        <item m="1" x="8"/>
        <item x="0"/>
        <item m="1" x="7"/>
        <item m="1" x="9"/>
        <item m="1" x="10"/>
        <item m="1" x="4"/>
        <item m="1" x="5"/>
        <item x="1"/>
        <item t="default"/>
      </items>
    </pivotField>
    <pivotField axis="axisRow" showAll="0">
      <items count="11">
        <item m="1" x="3"/>
        <item m="1" x="7"/>
        <item m="1" x="5"/>
        <item m="1" x="9"/>
        <item m="1" x="8"/>
        <item x="0"/>
        <item m="1" x="4"/>
        <item m="1" x="6"/>
        <item x="1"/>
        <item x="2"/>
        <item t="default"/>
      </items>
    </pivotField>
    <pivotField axis="axisRow" showAll="0" defaultSubtotal="0">
      <items count="9">
        <item x="0"/>
        <item m="1" x="6"/>
        <item m="1" x="8"/>
        <item m="1" x="5"/>
        <item m="1" x="7"/>
        <item m="1" x="4"/>
        <item m="1" x="3"/>
        <item x="1"/>
        <item x="2"/>
      </items>
    </pivotField>
  </pivotFields>
  <rowFields count="74">
    <field x="4"/>
    <field x="190"/>
    <field x="195"/>
    <field x="196"/>
    <field x="197"/>
    <field x="191"/>
    <field x="192"/>
    <field x="193"/>
    <field x="194"/>
    <field x="198"/>
    <field x="199"/>
    <field x="200"/>
    <field x="201"/>
    <field x="202"/>
    <field x="203"/>
    <field x="204"/>
    <field x="205"/>
    <field x="208"/>
    <field x="209"/>
    <field x="210"/>
    <field x="211"/>
    <field x="212"/>
    <field x="213"/>
    <field x="214"/>
    <field x="215"/>
    <field x="216"/>
    <field x="217"/>
    <field x="218"/>
    <field x="219"/>
    <field x="220"/>
    <field x="221"/>
    <field x="222"/>
    <field x="223"/>
    <field x="224"/>
    <field x="225"/>
    <field x="226"/>
    <field x="227"/>
    <field x="228"/>
    <field x="229"/>
    <field x="230"/>
    <field x="231"/>
    <field x="232"/>
    <field x="233"/>
    <field x="234"/>
    <field x="235"/>
    <field x="236"/>
    <field x="237"/>
    <field x="238"/>
    <field x="239"/>
    <field x="240"/>
    <field x="241"/>
    <field x="242"/>
    <field x="243"/>
    <field x="244"/>
    <field x="245"/>
    <field x="246"/>
    <field x="247"/>
    <field x="248"/>
    <field x="249"/>
    <field x="250"/>
    <field x="251"/>
    <field x="252"/>
    <field x="253"/>
    <field x="254"/>
    <field x="255"/>
    <field x="256"/>
    <field x="257"/>
    <field x="258"/>
    <field x="260"/>
    <field x="259"/>
    <field x="261"/>
    <field x="206"/>
    <field x="207"/>
    <field x="262"/>
  </rowFields>
  <rowItems count="940">
    <i>
      <x v="4"/>
    </i>
    <i r="1">
      <x v="44"/>
    </i>
    <i r="2">
      <x v="535"/>
    </i>
    <i r="3">
      <x v="41"/>
    </i>
    <i r="4">
      <x v="41"/>
    </i>
    <i r="5">
      <x v="24"/>
    </i>
    <i r="6">
      <x v="2"/>
    </i>
    <i r="7">
      <x v="1"/>
    </i>
    <i r="8">
      <x v="1"/>
    </i>
    <i r="9">
      <x v="87"/>
    </i>
    <i r="10">
      <x v="88"/>
    </i>
    <i r="11">
      <x v="1"/>
    </i>
    <i r="12">
      <x v="1"/>
    </i>
    <i r="13">
      <x v="417"/>
    </i>
    <i r="14">
      <x v="42"/>
    </i>
    <i r="15">
      <x v="4"/>
    </i>
    <i r="16">
      <x v="1"/>
    </i>
    <i r="17">
      <x v="1"/>
    </i>
    <i r="18">
      <x v="42"/>
    </i>
    <i r="19">
      <x v="1"/>
    </i>
    <i r="20">
      <x v="42"/>
    </i>
    <i r="21">
      <x v="1"/>
    </i>
    <i r="22">
      <x v="1"/>
    </i>
    <i r="23">
      <x v="1"/>
    </i>
    <i r="24">
      <x v="1"/>
    </i>
    <i r="25">
      <x v="1"/>
    </i>
    <i r="26">
      <x v="1"/>
    </i>
    <i r="27">
      <x v="41"/>
    </i>
    <i r="28">
      <x v="1"/>
    </i>
    <i r="29">
      <x v="9"/>
    </i>
    <i r="30">
      <x v="4"/>
    </i>
    <i r="31">
      <x v="96"/>
    </i>
    <i r="32">
      <x v="7"/>
    </i>
    <i r="33">
      <x v="1"/>
    </i>
    <i r="34">
      <x v="6"/>
    </i>
    <i r="35">
      <x v="1"/>
    </i>
    <i r="36">
      <x v="1"/>
    </i>
    <i r="37">
      <x v="6"/>
    </i>
    <i r="38">
      <x v="3"/>
    </i>
    <i r="39">
      <x v="1"/>
    </i>
    <i r="40">
      <x v="1"/>
    </i>
    <i r="41">
      <x v="6"/>
    </i>
    <i r="42">
      <x v="1"/>
    </i>
    <i r="43">
      <x v="1"/>
    </i>
    <i r="44">
      <x v="1"/>
    </i>
    <i r="45">
      <x v="1"/>
    </i>
    <i r="46">
      <x v="1"/>
    </i>
    <i r="47">
      <x v="1"/>
    </i>
    <i r="48">
      <x v="1"/>
    </i>
    <i r="49">
      <x v="1"/>
    </i>
    <i r="50">
      <x v="1"/>
    </i>
    <i r="51">
      <x v="1"/>
    </i>
    <i r="52">
      <x v="7"/>
    </i>
    <i r="53">
      <x v="1"/>
    </i>
    <i r="54">
      <x v="1"/>
    </i>
    <i r="55">
      <x v="3"/>
    </i>
    <i r="56">
      <x v="1"/>
    </i>
    <i r="57">
      <x v="1"/>
    </i>
    <i r="58">
      <x v="1"/>
    </i>
    <i r="59">
      <x v="17"/>
    </i>
    <i r="60">
      <x v="4"/>
    </i>
    <i r="61">
      <x v="1"/>
    </i>
    <i r="62">
      <x v="1"/>
    </i>
    <i r="63">
      <x v="1"/>
    </i>
    <i r="64">
      <x v="1"/>
    </i>
    <i r="65">
      <x v="1"/>
    </i>
    <i r="66">
      <x v="1"/>
    </i>
    <i r="67">
      <x v="1"/>
    </i>
    <i r="68">
      <x v="4"/>
    </i>
    <i r="69">
      <x v="1"/>
    </i>
    <i r="70">
      <x v="5"/>
    </i>
    <i r="71">
      <x v="41"/>
    </i>
    <i r="72">
      <x v="40"/>
    </i>
    <i r="73">
      <x/>
    </i>
    <i r="2">
      <x v="536"/>
    </i>
    <i r="3">
      <x v="41"/>
    </i>
    <i r="4">
      <x v="41"/>
    </i>
    <i r="5">
      <x v="24"/>
    </i>
    <i r="6">
      <x v="2"/>
    </i>
    <i r="7">
      <x v="1"/>
    </i>
    <i r="8">
      <x v="1"/>
    </i>
    <i r="9">
      <x v="87"/>
    </i>
    <i r="10">
      <x v="88"/>
    </i>
    <i r="11">
      <x v="1"/>
    </i>
    <i r="12">
      <x v="1"/>
    </i>
    <i r="13">
      <x v="418"/>
    </i>
    <i r="14">
      <x v="42"/>
    </i>
    <i r="15">
      <x v="4"/>
    </i>
    <i r="16">
      <x v="1"/>
    </i>
    <i r="17">
      <x v="1"/>
    </i>
    <i r="18">
      <x v="42"/>
    </i>
    <i r="19">
      <x v="1"/>
    </i>
    <i r="20">
      <x v="42"/>
    </i>
    <i r="21">
      <x v="1"/>
    </i>
    <i r="22">
      <x v="1"/>
    </i>
    <i r="23">
      <x v="1"/>
    </i>
    <i r="24">
      <x v="1"/>
    </i>
    <i r="25">
      <x v="1"/>
    </i>
    <i r="26">
      <x v="1"/>
    </i>
    <i r="27">
      <x v="41"/>
    </i>
    <i r="28">
      <x v="1"/>
    </i>
    <i r="29">
      <x v="9"/>
    </i>
    <i r="30">
      <x v="4"/>
    </i>
    <i r="31">
      <x v="96"/>
    </i>
    <i r="32">
      <x v="7"/>
    </i>
    <i r="33">
      <x v="1"/>
    </i>
    <i r="34">
      <x v="6"/>
    </i>
    <i r="35">
      <x v="1"/>
    </i>
    <i r="36">
      <x v="1"/>
    </i>
    <i r="37">
      <x v="6"/>
    </i>
    <i r="38">
      <x v="3"/>
    </i>
    <i r="39">
      <x v="1"/>
    </i>
    <i r="40">
      <x v="1"/>
    </i>
    <i r="41">
      <x v="6"/>
    </i>
    <i r="42">
      <x v="1"/>
    </i>
    <i r="43">
      <x v="1"/>
    </i>
    <i r="44">
      <x v="1"/>
    </i>
    <i r="45">
      <x v="1"/>
    </i>
    <i r="46">
      <x v="1"/>
    </i>
    <i r="47">
      <x v="1"/>
    </i>
    <i r="48">
      <x v="1"/>
    </i>
    <i r="49">
      <x v="1"/>
    </i>
    <i r="50">
      <x v="1"/>
    </i>
    <i r="51">
      <x v="1"/>
    </i>
    <i r="52">
      <x v="7"/>
    </i>
    <i r="53">
      <x v="1"/>
    </i>
    <i r="54">
      <x v="1"/>
    </i>
    <i r="55">
      <x v="3"/>
    </i>
    <i r="56">
      <x v="1"/>
    </i>
    <i r="57">
      <x v="1"/>
    </i>
    <i r="58">
      <x v="1"/>
    </i>
    <i r="59">
      <x v="17"/>
    </i>
    <i r="60">
      <x v="4"/>
    </i>
    <i r="61">
      <x v="1"/>
    </i>
    <i r="62">
      <x v="1"/>
    </i>
    <i r="63">
      <x v="1"/>
    </i>
    <i r="64">
      <x v="1"/>
    </i>
    <i r="65">
      <x v="1"/>
    </i>
    <i r="66">
      <x v="1"/>
    </i>
    <i r="67">
      <x v="1"/>
    </i>
    <i r="68">
      <x v="4"/>
    </i>
    <i r="69">
      <x v="1"/>
    </i>
    <i r="70">
      <x v="5"/>
    </i>
    <i r="71">
      <x v="41"/>
    </i>
    <i r="72">
      <x v="40"/>
    </i>
    <i r="73">
      <x/>
    </i>
    <i r="2">
      <x v="537"/>
    </i>
    <i r="3">
      <x v="41"/>
    </i>
    <i r="4">
      <x v="41"/>
    </i>
    <i r="5">
      <x v="24"/>
    </i>
    <i r="6">
      <x v="2"/>
    </i>
    <i r="7">
      <x v="1"/>
    </i>
    <i r="8">
      <x v="1"/>
    </i>
    <i r="9">
      <x v="87"/>
    </i>
    <i r="10">
      <x v="88"/>
    </i>
    <i r="11">
      <x v="1"/>
    </i>
    <i r="12">
      <x v="1"/>
    </i>
    <i r="13">
      <x v="419"/>
    </i>
    <i r="14">
      <x v="42"/>
    </i>
    <i r="15">
      <x v="4"/>
    </i>
    <i r="16">
      <x v="1"/>
    </i>
    <i r="17">
      <x v="1"/>
    </i>
    <i r="18">
      <x v="42"/>
    </i>
    <i r="19">
      <x v="1"/>
    </i>
    <i r="20">
      <x v="42"/>
    </i>
    <i r="21">
      <x v="1"/>
    </i>
    <i r="22">
      <x v="1"/>
    </i>
    <i r="23">
      <x v="1"/>
    </i>
    <i r="24">
      <x v="1"/>
    </i>
    <i r="25">
      <x v="1"/>
    </i>
    <i r="26">
      <x v="1"/>
    </i>
    <i r="27">
      <x v="41"/>
    </i>
    <i r="28">
      <x v="1"/>
    </i>
    <i r="29">
      <x v="9"/>
    </i>
    <i r="30">
      <x v="4"/>
    </i>
    <i r="31">
      <x v="96"/>
    </i>
    <i r="32">
      <x v="7"/>
    </i>
    <i r="33">
      <x v="1"/>
    </i>
    <i r="34">
      <x v="6"/>
    </i>
    <i r="35">
      <x v="1"/>
    </i>
    <i r="36">
      <x v="1"/>
    </i>
    <i r="37">
      <x v="6"/>
    </i>
    <i r="38">
      <x v="3"/>
    </i>
    <i r="39">
      <x v="1"/>
    </i>
    <i r="40">
      <x v="1"/>
    </i>
    <i r="41">
      <x v="6"/>
    </i>
    <i r="42">
      <x v="1"/>
    </i>
    <i r="43">
      <x v="1"/>
    </i>
    <i r="44">
      <x v="1"/>
    </i>
    <i r="45">
      <x v="1"/>
    </i>
    <i r="46">
      <x v="1"/>
    </i>
    <i r="47">
      <x v="1"/>
    </i>
    <i r="48">
      <x v="1"/>
    </i>
    <i r="49">
      <x v="1"/>
    </i>
    <i r="50">
      <x v="1"/>
    </i>
    <i r="51">
      <x v="1"/>
    </i>
    <i r="52">
      <x v="7"/>
    </i>
    <i r="53">
      <x v="1"/>
    </i>
    <i r="54">
      <x v="1"/>
    </i>
    <i r="55">
      <x v="3"/>
    </i>
    <i r="56">
      <x v="1"/>
    </i>
    <i r="57">
      <x v="1"/>
    </i>
    <i r="58">
      <x v="1"/>
    </i>
    <i r="59">
      <x v="17"/>
    </i>
    <i r="60">
      <x v="4"/>
    </i>
    <i r="61">
      <x v="1"/>
    </i>
    <i r="62">
      <x v="1"/>
    </i>
    <i r="63">
      <x v="1"/>
    </i>
    <i r="64">
      <x v="1"/>
    </i>
    <i r="65">
      <x v="1"/>
    </i>
    <i r="66">
      <x v="1"/>
    </i>
    <i r="67">
      <x v="1"/>
    </i>
    <i r="68">
      <x v="4"/>
    </i>
    <i r="69">
      <x v="1"/>
    </i>
    <i r="70">
      <x v="5"/>
    </i>
    <i r="71">
      <x v="41"/>
    </i>
    <i r="72">
      <x v="40"/>
    </i>
    <i r="73">
      <x/>
    </i>
    <i r="2">
      <x v="538"/>
    </i>
    <i r="3">
      <x v="41"/>
    </i>
    <i r="4">
      <x v="41"/>
    </i>
    <i r="5">
      <x v="24"/>
    </i>
    <i r="6">
      <x v="2"/>
    </i>
    <i r="7">
      <x v="1"/>
    </i>
    <i r="8">
      <x v="1"/>
    </i>
    <i r="9">
      <x v="87"/>
    </i>
    <i r="10">
      <x v="88"/>
    </i>
    <i r="11">
      <x v="1"/>
    </i>
    <i r="12">
      <x v="1"/>
    </i>
    <i r="13">
      <x v="420"/>
    </i>
    <i r="14">
      <x v="42"/>
    </i>
    <i r="15">
      <x v="4"/>
    </i>
    <i r="16">
      <x v="1"/>
    </i>
    <i r="17">
      <x v="1"/>
    </i>
    <i r="18">
      <x v="42"/>
    </i>
    <i r="19">
      <x v="1"/>
    </i>
    <i r="20">
      <x v="42"/>
    </i>
    <i r="21">
      <x v="1"/>
    </i>
    <i r="22">
      <x v="1"/>
    </i>
    <i r="23">
      <x v="1"/>
    </i>
    <i r="24">
      <x v="1"/>
    </i>
    <i r="25">
      <x v="1"/>
    </i>
    <i r="26">
      <x v="1"/>
    </i>
    <i r="27">
      <x v="41"/>
    </i>
    <i r="28">
      <x v="1"/>
    </i>
    <i r="29">
      <x v="9"/>
    </i>
    <i r="30">
      <x v="4"/>
    </i>
    <i r="31">
      <x v="96"/>
    </i>
    <i r="32">
      <x v="7"/>
    </i>
    <i r="33">
      <x v="1"/>
    </i>
    <i r="34">
      <x v="6"/>
    </i>
    <i r="35">
      <x v="1"/>
    </i>
    <i r="36">
      <x v="1"/>
    </i>
    <i r="37">
      <x v="6"/>
    </i>
    <i r="38">
      <x v="3"/>
    </i>
    <i r="39">
      <x v="1"/>
    </i>
    <i r="40">
      <x v="1"/>
    </i>
    <i r="41">
      <x v="6"/>
    </i>
    <i r="42">
      <x v="1"/>
    </i>
    <i r="43">
      <x v="1"/>
    </i>
    <i r="44">
      <x v="1"/>
    </i>
    <i r="45">
      <x v="1"/>
    </i>
    <i r="46">
      <x v="1"/>
    </i>
    <i r="47">
      <x v="1"/>
    </i>
    <i r="48">
      <x v="1"/>
    </i>
    <i r="49">
      <x v="1"/>
    </i>
    <i r="50">
      <x v="1"/>
    </i>
    <i r="51">
      <x v="1"/>
    </i>
    <i r="52">
      <x v="7"/>
    </i>
    <i r="53">
      <x v="1"/>
    </i>
    <i r="54">
      <x v="1"/>
    </i>
    <i r="55">
      <x v="3"/>
    </i>
    <i r="56">
      <x v="1"/>
    </i>
    <i r="57">
      <x v="1"/>
    </i>
    <i r="58">
      <x v="1"/>
    </i>
    <i r="59">
      <x v="17"/>
    </i>
    <i r="60">
      <x v="4"/>
    </i>
    <i r="61">
      <x v="1"/>
    </i>
    <i r="62">
      <x v="1"/>
    </i>
    <i r="63">
      <x v="1"/>
    </i>
    <i r="64">
      <x v="1"/>
    </i>
    <i r="65">
      <x v="1"/>
    </i>
    <i r="66">
      <x v="1"/>
    </i>
    <i r="67">
      <x v="1"/>
    </i>
    <i r="68">
      <x v="4"/>
    </i>
    <i r="69">
      <x v="1"/>
    </i>
    <i r="70">
      <x v="5"/>
    </i>
    <i r="71">
      <x v="41"/>
    </i>
    <i r="72">
      <x v="40"/>
    </i>
    <i r="73">
      <x/>
    </i>
    <i r="2">
      <x v="539"/>
    </i>
    <i r="3">
      <x v="41"/>
    </i>
    <i r="4">
      <x v="41"/>
    </i>
    <i r="5">
      <x v="24"/>
    </i>
    <i r="6">
      <x v="2"/>
    </i>
    <i r="7">
      <x v="1"/>
    </i>
    <i r="8">
      <x v="1"/>
    </i>
    <i r="9">
      <x v="87"/>
    </i>
    <i r="10">
      <x v="88"/>
    </i>
    <i r="11">
      <x v="1"/>
    </i>
    <i r="12">
      <x v="1"/>
    </i>
    <i r="13">
      <x v="421"/>
    </i>
    <i r="14">
      <x v="42"/>
    </i>
    <i r="15">
      <x v="4"/>
    </i>
    <i r="16">
      <x v="1"/>
    </i>
    <i r="17">
      <x v="1"/>
    </i>
    <i r="18">
      <x v="42"/>
    </i>
    <i r="19">
      <x v="1"/>
    </i>
    <i r="20">
      <x v="42"/>
    </i>
    <i r="21">
      <x v="1"/>
    </i>
    <i r="22">
      <x v="1"/>
    </i>
    <i r="23">
      <x v="1"/>
    </i>
    <i r="24">
      <x v="1"/>
    </i>
    <i r="25">
      <x v="1"/>
    </i>
    <i r="26">
      <x v="1"/>
    </i>
    <i r="27">
      <x v="41"/>
    </i>
    <i r="28">
      <x v="1"/>
    </i>
    <i r="29">
      <x v="9"/>
    </i>
    <i r="30">
      <x v="4"/>
    </i>
    <i r="31">
      <x v="96"/>
    </i>
    <i r="32">
      <x v="7"/>
    </i>
    <i r="33">
      <x v="1"/>
    </i>
    <i r="34">
      <x v="6"/>
    </i>
    <i r="35">
      <x v="1"/>
    </i>
    <i r="36">
      <x v="1"/>
    </i>
    <i r="37">
      <x v="6"/>
    </i>
    <i r="38">
      <x v="3"/>
    </i>
    <i r="39">
      <x v="1"/>
    </i>
    <i r="40">
      <x v="1"/>
    </i>
    <i r="41">
      <x v="6"/>
    </i>
    <i r="42">
      <x v="1"/>
    </i>
    <i r="43">
      <x v="1"/>
    </i>
    <i r="44">
      <x v="1"/>
    </i>
    <i r="45">
      <x v="1"/>
    </i>
    <i r="46">
      <x v="1"/>
    </i>
    <i r="47">
      <x v="1"/>
    </i>
    <i r="48">
      <x v="1"/>
    </i>
    <i r="49">
      <x v="1"/>
    </i>
    <i r="50">
      <x v="1"/>
    </i>
    <i r="51">
      <x v="1"/>
    </i>
    <i r="52">
      <x v="7"/>
    </i>
    <i r="53">
      <x v="1"/>
    </i>
    <i r="54">
      <x v="1"/>
    </i>
    <i r="55">
      <x v="3"/>
    </i>
    <i r="56">
      <x v="1"/>
    </i>
    <i r="57">
      <x v="1"/>
    </i>
    <i r="58">
      <x v="1"/>
    </i>
    <i r="59">
      <x v="17"/>
    </i>
    <i r="60">
      <x v="4"/>
    </i>
    <i r="61">
      <x v="1"/>
    </i>
    <i r="62">
      <x v="1"/>
    </i>
    <i r="63">
      <x v="1"/>
    </i>
    <i r="64">
      <x v="1"/>
    </i>
    <i r="65">
      <x v="1"/>
    </i>
    <i r="66">
      <x v="1"/>
    </i>
    <i r="67">
      <x v="1"/>
    </i>
    <i r="68">
      <x v="4"/>
    </i>
    <i r="69">
      <x v="1"/>
    </i>
    <i r="70">
      <x v="5"/>
    </i>
    <i r="71">
      <x v="41"/>
    </i>
    <i r="72">
      <x v="40"/>
    </i>
    <i r="73">
      <x/>
    </i>
    <i r="2">
      <x v="540"/>
    </i>
    <i r="3">
      <x v="41"/>
    </i>
    <i r="4">
      <x v="41"/>
    </i>
    <i r="5">
      <x v="24"/>
    </i>
    <i r="6">
      <x v="2"/>
    </i>
    <i r="7">
      <x v="1"/>
    </i>
    <i r="8">
      <x v="1"/>
    </i>
    <i r="9">
      <x v="87"/>
    </i>
    <i r="10">
      <x v="88"/>
    </i>
    <i r="11">
      <x v="1"/>
    </i>
    <i r="12">
      <x v="1"/>
    </i>
    <i r="13">
      <x v="422"/>
    </i>
    <i r="14">
      <x v="42"/>
    </i>
    <i r="15">
      <x v="4"/>
    </i>
    <i r="16">
      <x v="1"/>
    </i>
    <i r="17">
      <x v="1"/>
    </i>
    <i r="18">
      <x v="42"/>
    </i>
    <i r="19">
      <x v="1"/>
    </i>
    <i r="20">
      <x v="42"/>
    </i>
    <i r="21">
      <x v="1"/>
    </i>
    <i r="22">
      <x v="1"/>
    </i>
    <i r="23">
      <x v="1"/>
    </i>
    <i r="24">
      <x v="1"/>
    </i>
    <i r="25">
      <x v="1"/>
    </i>
    <i r="26">
      <x v="1"/>
    </i>
    <i r="27">
      <x v="41"/>
    </i>
    <i r="28">
      <x v="1"/>
    </i>
    <i r="29">
      <x v="9"/>
    </i>
    <i r="30">
      <x v="4"/>
    </i>
    <i r="31">
      <x v="96"/>
    </i>
    <i r="32">
      <x v="7"/>
    </i>
    <i r="33">
      <x v="1"/>
    </i>
    <i r="34">
      <x v="6"/>
    </i>
    <i r="35">
      <x v="1"/>
    </i>
    <i r="36">
      <x v="1"/>
    </i>
    <i r="37">
      <x v="6"/>
    </i>
    <i r="38">
      <x v="3"/>
    </i>
    <i r="39">
      <x v="1"/>
    </i>
    <i r="40">
      <x v="1"/>
    </i>
    <i r="41">
      <x v="6"/>
    </i>
    <i r="42">
      <x v="1"/>
    </i>
    <i r="43">
      <x v="1"/>
    </i>
    <i r="44">
      <x v="1"/>
    </i>
    <i r="45">
      <x v="1"/>
    </i>
    <i r="46">
      <x v="1"/>
    </i>
    <i r="47">
      <x v="1"/>
    </i>
    <i r="48">
      <x v="1"/>
    </i>
    <i r="49">
      <x v="1"/>
    </i>
    <i r="50">
      <x v="1"/>
    </i>
    <i r="51">
      <x v="1"/>
    </i>
    <i r="52">
      <x v="7"/>
    </i>
    <i r="53">
      <x v="1"/>
    </i>
    <i r="54">
      <x v="1"/>
    </i>
    <i r="55">
      <x v="3"/>
    </i>
    <i r="56">
      <x v="1"/>
    </i>
    <i r="57">
      <x v="1"/>
    </i>
    <i r="58">
      <x v="1"/>
    </i>
    <i r="59">
      <x v="17"/>
    </i>
    <i r="60">
      <x v="4"/>
    </i>
    <i r="61">
      <x v="1"/>
    </i>
    <i r="62">
      <x v="1"/>
    </i>
    <i r="63">
      <x v="1"/>
    </i>
    <i r="64">
      <x v="1"/>
    </i>
    <i r="65">
      <x v="1"/>
    </i>
    <i r="66">
      <x v="1"/>
    </i>
    <i r="67">
      <x v="1"/>
    </i>
    <i r="68">
      <x v="4"/>
    </i>
    <i r="69">
      <x v="1"/>
    </i>
    <i r="70">
      <x v="5"/>
    </i>
    <i r="71">
      <x v="41"/>
    </i>
    <i r="72">
      <x v="40"/>
    </i>
    <i r="73">
      <x/>
    </i>
    <i r="2">
      <x v="541"/>
    </i>
    <i r="3">
      <x v="41"/>
    </i>
    <i r="4">
      <x v="41"/>
    </i>
    <i r="5">
      <x v="24"/>
    </i>
    <i r="6">
      <x v="2"/>
    </i>
    <i r="7">
      <x v="1"/>
    </i>
    <i r="8">
      <x v="1"/>
    </i>
    <i r="9">
      <x v="87"/>
    </i>
    <i r="10">
      <x v="88"/>
    </i>
    <i r="11">
      <x v="1"/>
    </i>
    <i r="12">
      <x v="1"/>
    </i>
    <i r="13">
      <x v="423"/>
    </i>
    <i r="14">
      <x v="42"/>
    </i>
    <i r="15">
      <x v="4"/>
    </i>
    <i r="16">
      <x v="1"/>
    </i>
    <i r="17">
      <x v="1"/>
    </i>
    <i r="18">
      <x v="42"/>
    </i>
    <i r="19">
      <x v="1"/>
    </i>
    <i r="20">
      <x v="42"/>
    </i>
    <i r="21">
      <x v="1"/>
    </i>
    <i r="22">
      <x v="1"/>
    </i>
    <i r="23">
      <x v="1"/>
    </i>
    <i r="24">
      <x v="1"/>
    </i>
    <i r="25">
      <x v="1"/>
    </i>
    <i r="26">
      <x v="1"/>
    </i>
    <i r="27">
      <x v="41"/>
    </i>
    <i r="28">
      <x v="1"/>
    </i>
    <i r="29">
      <x v="9"/>
    </i>
    <i r="30">
      <x v="4"/>
    </i>
    <i r="31">
      <x v="96"/>
    </i>
    <i r="32">
      <x v="7"/>
    </i>
    <i r="33">
      <x v="1"/>
    </i>
    <i r="34">
      <x v="6"/>
    </i>
    <i r="35">
      <x v="1"/>
    </i>
    <i r="36">
      <x v="1"/>
    </i>
    <i r="37">
      <x v="6"/>
    </i>
    <i r="38">
      <x v="3"/>
    </i>
    <i r="39">
      <x v="1"/>
    </i>
    <i r="40">
      <x v="1"/>
    </i>
    <i r="41">
      <x v="6"/>
    </i>
    <i r="42">
      <x v="1"/>
    </i>
    <i r="43">
      <x v="1"/>
    </i>
    <i r="44">
      <x v="1"/>
    </i>
    <i r="45">
      <x v="1"/>
    </i>
    <i r="46">
      <x v="1"/>
    </i>
    <i r="47">
      <x v="1"/>
    </i>
    <i r="48">
      <x v="1"/>
    </i>
    <i r="49">
      <x v="1"/>
    </i>
    <i r="50">
      <x v="1"/>
    </i>
    <i r="51">
      <x v="1"/>
    </i>
    <i r="52">
      <x v="7"/>
    </i>
    <i r="53">
      <x v="1"/>
    </i>
    <i r="54">
      <x v="1"/>
    </i>
    <i r="55">
      <x v="3"/>
    </i>
    <i r="56">
      <x v="1"/>
    </i>
    <i r="57">
      <x v="1"/>
    </i>
    <i r="58">
      <x v="1"/>
    </i>
    <i r="59">
      <x v="17"/>
    </i>
    <i r="60">
      <x v="4"/>
    </i>
    <i r="61">
      <x v="1"/>
    </i>
    <i r="62">
      <x v="1"/>
    </i>
    <i r="63">
      <x v="1"/>
    </i>
    <i r="64">
      <x v="1"/>
    </i>
    <i r="65">
      <x v="1"/>
    </i>
    <i r="66">
      <x v="1"/>
    </i>
    <i r="67">
      <x v="1"/>
    </i>
    <i r="68">
      <x v="4"/>
    </i>
    <i r="69">
      <x v="1"/>
    </i>
    <i r="70">
      <x v="5"/>
    </i>
    <i r="71">
      <x v="41"/>
    </i>
    <i r="72">
      <x v="40"/>
    </i>
    <i r="73">
      <x/>
    </i>
    <i r="2">
      <x v="542"/>
    </i>
    <i r="3">
      <x v="41"/>
    </i>
    <i r="4">
      <x v="41"/>
    </i>
    <i r="5">
      <x v="24"/>
    </i>
    <i r="6">
      <x v="2"/>
    </i>
    <i r="7">
      <x v="1"/>
    </i>
    <i r="8">
      <x v="1"/>
    </i>
    <i r="9">
      <x v="87"/>
    </i>
    <i r="10">
      <x v="88"/>
    </i>
    <i r="11">
      <x v="1"/>
    </i>
    <i r="12">
      <x v="1"/>
    </i>
    <i r="13">
      <x v="424"/>
    </i>
    <i r="14">
      <x v="42"/>
    </i>
    <i r="15">
      <x v="4"/>
    </i>
    <i r="16">
      <x v="1"/>
    </i>
    <i r="17">
      <x v="1"/>
    </i>
    <i r="18">
      <x v="42"/>
    </i>
    <i r="19">
      <x v="1"/>
    </i>
    <i r="20">
      <x v="42"/>
    </i>
    <i r="21">
      <x v="1"/>
    </i>
    <i r="22">
      <x v="1"/>
    </i>
    <i r="23">
      <x v="1"/>
    </i>
    <i r="24">
      <x v="1"/>
    </i>
    <i r="25">
      <x v="1"/>
    </i>
    <i r="26">
      <x v="1"/>
    </i>
    <i r="27">
      <x v="41"/>
    </i>
    <i r="28">
      <x v="1"/>
    </i>
    <i r="29">
      <x v="9"/>
    </i>
    <i r="30">
      <x v="4"/>
    </i>
    <i r="31">
      <x v="96"/>
    </i>
    <i r="32">
      <x v="7"/>
    </i>
    <i r="33">
      <x v="1"/>
    </i>
    <i r="34">
      <x v="6"/>
    </i>
    <i r="35">
      <x v="1"/>
    </i>
    <i r="36">
      <x v="1"/>
    </i>
    <i r="37">
      <x v="6"/>
    </i>
    <i r="38">
      <x v="3"/>
    </i>
    <i r="39">
      <x v="1"/>
    </i>
    <i r="40">
      <x v="1"/>
    </i>
    <i r="41">
      <x v="6"/>
    </i>
    <i r="42">
      <x v="1"/>
    </i>
    <i r="43">
      <x v="1"/>
    </i>
    <i r="44">
      <x v="1"/>
    </i>
    <i r="45">
      <x v="1"/>
    </i>
    <i r="46">
      <x v="1"/>
    </i>
    <i r="47">
      <x v="1"/>
    </i>
    <i r="48">
      <x v="1"/>
    </i>
    <i r="49">
      <x v="1"/>
    </i>
    <i r="50">
      <x v="1"/>
    </i>
    <i r="51">
      <x v="1"/>
    </i>
    <i r="52">
      <x v="7"/>
    </i>
    <i r="53">
      <x v="1"/>
    </i>
    <i r="54">
      <x v="1"/>
    </i>
    <i r="55">
      <x v="3"/>
    </i>
    <i r="56">
      <x v="1"/>
    </i>
    <i r="57">
      <x v="1"/>
    </i>
    <i r="58">
      <x v="1"/>
    </i>
    <i r="59">
      <x v="17"/>
    </i>
    <i r="60">
      <x v="4"/>
    </i>
    <i r="61">
      <x v="1"/>
    </i>
    <i r="62">
      <x v="1"/>
    </i>
    <i r="63">
      <x v="1"/>
    </i>
    <i r="64">
      <x v="1"/>
    </i>
    <i r="65">
      <x v="1"/>
    </i>
    <i r="66">
      <x v="1"/>
    </i>
    <i r="67">
      <x v="1"/>
    </i>
    <i r="68">
      <x v="4"/>
    </i>
    <i r="69">
      <x v="1"/>
    </i>
    <i r="70">
      <x v="5"/>
    </i>
    <i r="71">
      <x v="41"/>
    </i>
    <i r="72">
      <x v="40"/>
    </i>
    <i r="73">
      <x/>
    </i>
    <i r="2">
      <x v="543"/>
    </i>
    <i r="3">
      <x v="41"/>
    </i>
    <i r="4">
      <x v="41"/>
    </i>
    <i r="5">
      <x v="24"/>
    </i>
    <i r="6">
      <x v="2"/>
    </i>
    <i r="7">
      <x v="1"/>
    </i>
    <i r="8">
      <x v="1"/>
    </i>
    <i r="9">
      <x v="87"/>
    </i>
    <i r="10">
      <x v="88"/>
    </i>
    <i r="11">
      <x v="1"/>
    </i>
    <i r="12">
      <x v="1"/>
    </i>
    <i r="13">
      <x v="425"/>
    </i>
    <i r="14">
      <x v="42"/>
    </i>
    <i r="15">
      <x v="4"/>
    </i>
    <i r="16">
      <x v="1"/>
    </i>
    <i r="17">
      <x v="1"/>
    </i>
    <i r="18">
      <x v="42"/>
    </i>
    <i r="19">
      <x v="1"/>
    </i>
    <i r="20">
      <x v="42"/>
    </i>
    <i r="21">
      <x v="1"/>
    </i>
    <i r="22">
      <x v="1"/>
    </i>
    <i r="23">
      <x v="1"/>
    </i>
    <i r="24">
      <x v="1"/>
    </i>
    <i r="25">
      <x v="1"/>
    </i>
    <i r="26">
      <x v="1"/>
    </i>
    <i r="27">
      <x v="41"/>
    </i>
    <i r="28">
      <x v="1"/>
    </i>
    <i r="29">
      <x v="9"/>
    </i>
    <i r="30">
      <x v="4"/>
    </i>
    <i r="31">
      <x v="96"/>
    </i>
    <i r="32">
      <x v="7"/>
    </i>
    <i r="33">
      <x v="1"/>
    </i>
    <i r="34">
      <x v="6"/>
    </i>
    <i r="35">
      <x v="1"/>
    </i>
    <i r="36">
      <x v="1"/>
    </i>
    <i r="37">
      <x v="6"/>
    </i>
    <i r="38">
      <x v="3"/>
    </i>
    <i r="39">
      <x v="1"/>
    </i>
    <i r="40">
      <x v="1"/>
    </i>
    <i r="41">
      <x v="6"/>
    </i>
    <i r="42">
      <x v="1"/>
    </i>
    <i r="43">
      <x v="1"/>
    </i>
    <i r="44">
      <x v="1"/>
    </i>
    <i r="45">
      <x v="1"/>
    </i>
    <i r="46">
      <x v="1"/>
    </i>
    <i r="47">
      <x v="1"/>
    </i>
    <i r="48">
      <x v="1"/>
    </i>
    <i r="49">
      <x v="1"/>
    </i>
    <i r="50">
      <x v="1"/>
    </i>
    <i r="51">
      <x v="1"/>
    </i>
    <i r="52">
      <x v="7"/>
    </i>
    <i r="53">
      <x v="1"/>
    </i>
    <i r="54">
      <x v="1"/>
    </i>
    <i r="55">
      <x v="3"/>
    </i>
    <i r="56">
      <x v="1"/>
    </i>
    <i r="57">
      <x v="1"/>
    </i>
    <i r="58">
      <x v="1"/>
    </i>
    <i r="59">
      <x v="17"/>
    </i>
    <i r="60">
      <x v="4"/>
    </i>
    <i r="61">
      <x v="1"/>
    </i>
    <i r="62">
      <x v="1"/>
    </i>
    <i r="63">
      <x v="1"/>
    </i>
    <i r="64">
      <x v="1"/>
    </i>
    <i r="65">
      <x v="1"/>
    </i>
    <i r="66">
      <x v="1"/>
    </i>
    <i r="67">
      <x v="1"/>
    </i>
    <i r="68">
      <x v="4"/>
    </i>
    <i r="69">
      <x v="1"/>
    </i>
    <i r="70">
      <x v="5"/>
    </i>
    <i r="71">
      <x v="41"/>
    </i>
    <i r="72">
      <x v="40"/>
    </i>
    <i r="73">
      <x/>
    </i>
    <i r="2">
      <x v="544"/>
    </i>
    <i r="3">
      <x v="41"/>
    </i>
    <i r="4">
      <x v="41"/>
    </i>
    <i r="5">
      <x v="24"/>
    </i>
    <i r="6">
      <x v="2"/>
    </i>
    <i r="7">
      <x v="1"/>
    </i>
    <i r="8">
      <x v="1"/>
    </i>
    <i r="9">
      <x v="87"/>
    </i>
    <i r="10">
      <x v="88"/>
    </i>
    <i r="11">
      <x v="1"/>
    </i>
    <i r="12">
      <x v="1"/>
    </i>
    <i r="13">
      <x v="426"/>
    </i>
    <i r="14">
      <x v="42"/>
    </i>
    <i r="15">
      <x v="4"/>
    </i>
    <i r="16">
      <x v="1"/>
    </i>
    <i r="17">
      <x v="1"/>
    </i>
    <i r="18">
      <x v="42"/>
    </i>
    <i r="19">
      <x v="1"/>
    </i>
    <i r="20">
      <x v="42"/>
    </i>
    <i r="21">
      <x v="1"/>
    </i>
    <i r="22">
      <x v="1"/>
    </i>
    <i r="23">
      <x v="1"/>
    </i>
    <i r="24">
      <x v="1"/>
    </i>
    <i r="25">
      <x v="1"/>
    </i>
    <i r="26">
      <x v="1"/>
    </i>
    <i r="27">
      <x v="41"/>
    </i>
    <i r="28">
      <x v="1"/>
    </i>
    <i r="29">
      <x v="9"/>
    </i>
    <i r="30">
      <x v="4"/>
    </i>
    <i r="31">
      <x v="96"/>
    </i>
    <i r="32">
      <x v="7"/>
    </i>
    <i r="33">
      <x v="1"/>
    </i>
    <i r="34">
      <x v="6"/>
    </i>
    <i r="35">
      <x v="1"/>
    </i>
    <i r="36">
      <x v="1"/>
    </i>
    <i r="37">
      <x v="6"/>
    </i>
    <i r="38">
      <x v="3"/>
    </i>
    <i r="39">
      <x v="1"/>
    </i>
    <i r="40">
      <x v="1"/>
    </i>
    <i r="41">
      <x v="6"/>
    </i>
    <i r="42">
      <x v="1"/>
    </i>
    <i r="43">
      <x v="1"/>
    </i>
    <i r="44">
      <x v="1"/>
    </i>
    <i r="45">
      <x v="1"/>
    </i>
    <i r="46">
      <x v="1"/>
    </i>
    <i r="47">
      <x v="1"/>
    </i>
    <i r="48">
      <x v="1"/>
    </i>
    <i r="49">
      <x v="1"/>
    </i>
    <i r="50">
      <x v="1"/>
    </i>
    <i r="51">
      <x v="1"/>
    </i>
    <i r="52">
      <x v="7"/>
    </i>
    <i r="53">
      <x v="1"/>
    </i>
    <i r="54">
      <x v="1"/>
    </i>
    <i r="55">
      <x v="3"/>
    </i>
    <i r="56">
      <x v="1"/>
    </i>
    <i r="57">
      <x v="1"/>
    </i>
    <i r="58">
      <x v="1"/>
    </i>
    <i r="59">
      <x v="17"/>
    </i>
    <i r="60">
      <x v="4"/>
    </i>
    <i r="61">
      <x v="1"/>
    </i>
    <i r="62">
      <x v="1"/>
    </i>
    <i r="63">
      <x v="1"/>
    </i>
    <i r="64">
      <x v="1"/>
    </i>
    <i r="65">
      <x v="1"/>
    </i>
    <i r="66">
      <x v="1"/>
    </i>
    <i r="67">
      <x v="1"/>
    </i>
    <i r="68">
      <x v="4"/>
    </i>
    <i r="69">
      <x v="1"/>
    </i>
    <i r="70">
      <x v="5"/>
    </i>
    <i r="71">
      <x v="41"/>
    </i>
    <i r="72">
      <x v="40"/>
    </i>
    <i r="73">
      <x/>
    </i>
    <i r="2">
      <x v="545"/>
    </i>
    <i r="3">
      <x v="41"/>
    </i>
    <i r="4">
      <x v="41"/>
    </i>
    <i r="5">
      <x v="24"/>
    </i>
    <i r="6">
      <x v="2"/>
    </i>
    <i r="7">
      <x v="1"/>
    </i>
    <i r="8">
      <x v="1"/>
    </i>
    <i r="9">
      <x v="87"/>
    </i>
    <i r="10">
      <x v="88"/>
    </i>
    <i r="11">
      <x v="1"/>
    </i>
    <i r="12">
      <x v="1"/>
    </i>
    <i r="13">
      <x v="427"/>
    </i>
    <i r="14">
      <x v="42"/>
    </i>
    <i r="15">
      <x v="4"/>
    </i>
    <i r="16">
      <x v="1"/>
    </i>
    <i r="17">
      <x v="1"/>
    </i>
    <i r="18">
      <x v="42"/>
    </i>
    <i r="19">
      <x v="1"/>
    </i>
    <i r="20">
      <x v="42"/>
    </i>
    <i r="21">
      <x v="1"/>
    </i>
    <i r="22">
      <x v="1"/>
    </i>
    <i r="23">
      <x v="1"/>
    </i>
    <i r="24">
      <x v="1"/>
    </i>
    <i r="25">
      <x v="1"/>
    </i>
    <i r="26">
      <x v="1"/>
    </i>
    <i r="27">
      <x v="41"/>
    </i>
    <i r="28">
      <x v="1"/>
    </i>
    <i r="29">
      <x v="9"/>
    </i>
    <i r="30">
      <x v="4"/>
    </i>
    <i r="31">
      <x v="96"/>
    </i>
    <i r="32">
      <x v="7"/>
    </i>
    <i r="33">
      <x v="1"/>
    </i>
    <i r="34">
      <x v="6"/>
    </i>
    <i r="35">
      <x v="1"/>
    </i>
    <i r="36">
      <x v="1"/>
    </i>
    <i r="37">
      <x v="6"/>
    </i>
    <i r="38">
      <x v="3"/>
    </i>
    <i r="39">
      <x v="1"/>
    </i>
    <i r="40">
      <x v="1"/>
    </i>
    <i r="41">
      <x v="6"/>
    </i>
    <i r="42">
      <x v="1"/>
    </i>
    <i r="43">
      <x v="1"/>
    </i>
    <i r="44">
      <x v="1"/>
    </i>
    <i r="45">
      <x v="1"/>
    </i>
    <i r="46">
      <x v="1"/>
    </i>
    <i r="47">
      <x v="1"/>
    </i>
    <i r="48">
      <x v="1"/>
    </i>
    <i r="49">
      <x v="1"/>
    </i>
    <i r="50">
      <x v="1"/>
    </i>
    <i r="51">
      <x v="1"/>
    </i>
    <i r="52">
      <x v="7"/>
    </i>
    <i r="53">
      <x v="1"/>
    </i>
    <i r="54">
      <x v="1"/>
    </i>
    <i r="55">
      <x v="3"/>
    </i>
    <i r="56">
      <x v="1"/>
    </i>
    <i r="57">
      <x v="1"/>
    </i>
    <i r="58">
      <x v="1"/>
    </i>
    <i r="59">
      <x v="17"/>
    </i>
    <i r="60">
      <x v="4"/>
    </i>
    <i r="61">
      <x v="1"/>
    </i>
    <i r="62">
      <x v="1"/>
    </i>
    <i r="63">
      <x v="1"/>
    </i>
    <i r="64">
      <x v="1"/>
    </i>
    <i r="65">
      <x v="1"/>
    </i>
    <i r="66">
      <x v="1"/>
    </i>
    <i r="67">
      <x v="1"/>
    </i>
    <i r="68">
      <x v="4"/>
    </i>
    <i r="69">
      <x v="1"/>
    </i>
    <i r="70">
      <x v="5"/>
    </i>
    <i r="71">
      <x v="41"/>
    </i>
    <i r="72">
      <x v="40"/>
    </i>
    <i r="73">
      <x/>
    </i>
    <i r="2">
      <x v="546"/>
    </i>
    <i r="3">
      <x v="41"/>
    </i>
    <i r="4">
      <x v="41"/>
    </i>
    <i r="5">
      <x v="24"/>
    </i>
    <i r="6">
      <x v="2"/>
    </i>
    <i r="7">
      <x v="1"/>
    </i>
    <i r="8">
      <x v="1"/>
    </i>
    <i r="9">
      <x v="87"/>
    </i>
    <i r="10">
      <x v="88"/>
    </i>
    <i r="11">
      <x v="1"/>
    </i>
    <i r="12">
      <x v="1"/>
    </i>
    <i r="13">
      <x v="428"/>
    </i>
    <i r="14">
      <x v="42"/>
    </i>
    <i r="15">
      <x v="4"/>
    </i>
    <i r="16">
      <x v="1"/>
    </i>
    <i r="17">
      <x v="1"/>
    </i>
    <i r="18">
      <x v="42"/>
    </i>
    <i r="19">
      <x v="1"/>
    </i>
    <i r="20">
      <x v="42"/>
    </i>
    <i r="21">
      <x v="1"/>
    </i>
    <i r="22">
      <x v="1"/>
    </i>
    <i r="23">
      <x v="1"/>
    </i>
    <i r="24">
      <x v="1"/>
    </i>
    <i r="25">
      <x v="1"/>
    </i>
    <i r="26">
      <x v="1"/>
    </i>
    <i r="27">
      <x v="237"/>
    </i>
    <i r="28">
      <x v="1"/>
    </i>
    <i r="29">
      <x v="9"/>
    </i>
    <i r="30">
      <x v="4"/>
    </i>
    <i r="31">
      <x v="96"/>
    </i>
    <i r="32">
      <x v="7"/>
    </i>
    <i r="33">
      <x v="1"/>
    </i>
    <i r="34">
      <x v="6"/>
    </i>
    <i r="35">
      <x v="1"/>
    </i>
    <i r="36">
      <x v="1"/>
    </i>
    <i r="37">
      <x v="6"/>
    </i>
    <i r="38">
      <x v="3"/>
    </i>
    <i r="39">
      <x v="1"/>
    </i>
    <i r="40">
      <x v="1"/>
    </i>
    <i r="41">
      <x v="6"/>
    </i>
    <i r="42">
      <x v="1"/>
    </i>
    <i r="43">
      <x v="1"/>
    </i>
    <i r="44">
      <x v="1"/>
    </i>
    <i r="45">
      <x v="1"/>
    </i>
    <i r="46">
      <x v="1"/>
    </i>
    <i r="47">
      <x v="1"/>
    </i>
    <i r="48">
      <x v="1"/>
    </i>
    <i r="49">
      <x v="1"/>
    </i>
    <i r="50">
      <x v="1"/>
    </i>
    <i r="51">
      <x v="1"/>
    </i>
    <i r="52">
      <x v="7"/>
    </i>
    <i r="53">
      <x v="1"/>
    </i>
    <i r="54">
      <x v="1"/>
    </i>
    <i r="55">
      <x v="3"/>
    </i>
    <i r="56">
      <x v="1"/>
    </i>
    <i r="57">
      <x v="1"/>
    </i>
    <i r="58">
      <x v="1"/>
    </i>
    <i r="59">
      <x v="17"/>
    </i>
    <i r="60">
      <x v="4"/>
    </i>
    <i r="61">
      <x v="1"/>
    </i>
    <i r="62">
      <x v="1"/>
    </i>
    <i r="63">
      <x v="1"/>
    </i>
    <i r="64">
      <x v="1"/>
    </i>
    <i r="65">
      <x v="1"/>
    </i>
    <i r="66">
      <x v="1"/>
    </i>
    <i r="67">
      <x v="1"/>
    </i>
    <i r="68">
      <x v="4"/>
    </i>
    <i r="69">
      <x v="1"/>
    </i>
    <i r="70">
      <x v="5"/>
    </i>
    <i r="71">
      <x v="41"/>
    </i>
    <i r="72">
      <x v="40"/>
    </i>
    <i r="73">
      <x/>
    </i>
    <i r="1">
      <x v="201"/>
    </i>
    <i r="2">
      <x v="488"/>
    </i>
    <i r="3">
      <x v="41"/>
    </i>
    <i r="4">
      <x v="41"/>
    </i>
    <i r="5">
      <x v="24"/>
    </i>
    <i r="6">
      <x v="2"/>
    </i>
    <i r="7">
      <x v="1"/>
    </i>
    <i r="8">
      <x v="1"/>
    </i>
    <i r="9">
      <x v="444"/>
    </i>
    <i r="10">
      <x v="502"/>
    </i>
    <i r="11">
      <x v="1"/>
    </i>
    <i r="12">
      <x v="1"/>
    </i>
    <i r="13">
      <x v="66"/>
    </i>
    <i r="14">
      <x v="42"/>
    </i>
    <i r="15">
      <x v="4"/>
    </i>
    <i r="16">
      <x v="1"/>
    </i>
    <i r="17">
      <x v="1"/>
    </i>
    <i r="18">
      <x v="42"/>
    </i>
    <i r="19">
      <x v="1"/>
    </i>
    <i r="20">
      <x v="42"/>
    </i>
    <i r="21">
      <x v="1"/>
    </i>
    <i r="22">
      <x v="1"/>
    </i>
    <i r="23">
      <x v="1"/>
    </i>
    <i r="24">
      <x v="1"/>
    </i>
    <i r="25">
      <x v="1"/>
    </i>
    <i r="26">
      <x v="1"/>
    </i>
    <i r="27">
      <x v="41"/>
    </i>
    <i r="28">
      <x v="1"/>
    </i>
    <i r="29">
      <x v="9"/>
    </i>
    <i r="30">
      <x v="4"/>
    </i>
    <i r="31">
      <x v="594"/>
    </i>
    <i r="32">
      <x v="7"/>
    </i>
    <i r="33">
      <x v="1"/>
    </i>
    <i r="34">
      <x v="6"/>
    </i>
    <i r="35">
      <x v="1"/>
    </i>
    <i r="36">
      <x v="1"/>
    </i>
    <i r="37">
      <x v="6"/>
    </i>
    <i r="38">
      <x v="3"/>
    </i>
    <i r="39">
      <x v="1"/>
    </i>
    <i r="40">
      <x v="1"/>
    </i>
    <i r="41">
      <x v="6"/>
    </i>
    <i r="42">
      <x v="1"/>
    </i>
    <i r="43">
      <x v="1"/>
    </i>
    <i r="44">
      <x v="1"/>
    </i>
    <i r="45">
      <x v="1"/>
    </i>
    <i r="46">
      <x v="1"/>
    </i>
    <i r="47">
      <x v="1"/>
    </i>
    <i r="48">
      <x v="1"/>
    </i>
    <i r="49">
      <x v="1"/>
    </i>
    <i r="50">
      <x v="1"/>
    </i>
    <i r="51">
      <x v="1"/>
    </i>
    <i r="52">
      <x v="7"/>
    </i>
    <i r="53">
      <x v="1"/>
    </i>
    <i r="54">
      <x v="1"/>
    </i>
    <i r="55">
      <x v="3"/>
    </i>
    <i r="56">
      <x v="1"/>
    </i>
    <i r="57">
      <x v="1"/>
    </i>
    <i r="58">
      <x v="1"/>
    </i>
    <i r="59">
      <x v="17"/>
    </i>
    <i r="60">
      <x v="4"/>
    </i>
    <i r="61">
      <x v="1"/>
    </i>
    <i r="62">
      <x v="1"/>
    </i>
    <i r="63">
      <x v="1"/>
    </i>
    <i r="64">
      <x v="1"/>
    </i>
    <i r="65">
      <x v="1"/>
    </i>
    <i r="66">
      <x v="1"/>
    </i>
    <i r="67">
      <x v="1"/>
    </i>
    <i r="68">
      <x v="4"/>
    </i>
    <i r="69">
      <x v="1"/>
    </i>
    <i r="70">
      <x v="5"/>
    </i>
    <i r="71">
      <x v="41"/>
    </i>
    <i r="72">
      <x v="40"/>
    </i>
    <i r="73">
      <x/>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xml><?xml version="1.0" encoding="utf-8"?>
<pivotTableDefinition xmlns="http://schemas.openxmlformats.org/spreadsheetml/2006/main" name="PivotTable11" cacheId="3" applyNumberFormats="0" applyBorderFormats="0" applyFontFormats="0" applyPatternFormats="0" applyAlignmentFormats="0" applyWidthHeightFormats="1" dataCaption="Values" missingCaption="None" showMissing="0" updatedVersion="5" minRefreshableVersion="3" useAutoFormatting="1" itemPrintTitles="1" createdVersion="5" indent="0" outline="1" outlineData="1" multipleFieldFilters="0">
  <location ref="A1:A1885" firstHeaderRow="1" firstDataRow="1" firstDataCol="1"/>
  <pivotFields count="263">
    <pivotField showAll="0"/>
    <pivotField showAll="0"/>
    <pivotField showAll="0"/>
    <pivotField showAll="0"/>
    <pivotField axis="axisRow" showAll="0">
      <items count="11">
        <item h="1" x="5"/>
        <item h="1" sd="0" x="1"/>
        <item h="1" x="0"/>
        <item h="1" x="4"/>
        <item h="1" x="6"/>
        <item x="3"/>
        <item h="1" sd="0" x="7"/>
        <item h="1" sd="0" x="8"/>
        <item h="1" sd="0" x="9"/>
        <item h="1" sd="0" x="2"/>
        <item t="default"/>
      </items>
    </pivotField>
    <pivotField showAll="0" defaultSubtotal="0"/>
    <pivotField showAll="0" defaultSubtotal="0"/>
    <pivotField showAll="0" defaultSubtotal="0"/>
    <pivotField showAll="0" defaultSubtota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pivotField showAll="0"/>
    <pivotField showAll="0"/>
    <pivotField showAll="0"/>
    <pivotField showAll="0"/>
    <pivotField showAll="0"/>
    <pivotField showAll="0"/>
    <pivotField showAll="0"/>
    <pivotField showAll="0"/>
    <pivotField showAll="0"/>
    <pivotField showAll="0" defaultSubtotal="0"/>
    <pivotField showAll="0" defaultSubtota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defaultSubtotal="0"/>
    <pivotField numFmtId="164" showAll="0" defaultSubtotal="0"/>
    <pivotField numFmtId="164" showAll="0" defaultSubtotal="0"/>
    <pivotField numFmtId="164" showAll="0" defaultSubtotal="0"/>
    <pivotField numFmtId="164" showAll="0" defaultSubtotal="0"/>
    <pivotField numFmtId="164" showAll="0" defaultSubtotal="0"/>
    <pivotField numFmtId="164" showAll="0" defaultSubtotal="0"/>
    <pivotField numFmtId="164" showAll="0" defaultSubtotal="0"/>
    <pivotField numFmtId="164" showAll="0" defaultSubtotal="0"/>
    <pivotField numFmtId="164" showAll="0" defaultSubtotal="0"/>
    <pivotField numFmtId="164" showAll="0" defaultSubtotal="0"/>
    <pivotField numFmtId="164" showAll="0" defaultSubtotal="0"/>
    <pivotField numFmtId="164" showAll="0" defaultSubtotal="0"/>
    <pivotField numFmtId="164" showAll="0" defaultSubtotal="0"/>
    <pivotField numFmtId="164" showAll="0" defaultSubtotal="0"/>
    <pivotField numFmtId="164" showAll="0" defaultSubtotal="0"/>
    <pivotField numFmtId="164" showAll="0" defaultSubtotal="0"/>
    <pivotField numFmtId="164" showAll="0"/>
    <pivotField numFmtId="164" showAll="0" defaultSubtotal="0"/>
    <pivotField numFmtId="164" showAll="0" defaultSubtotal="0"/>
    <pivotField numFmtId="164" showAll="0" defaultSubtotal="0"/>
    <pivotField numFmtId="164" showAll="0" defaultSubtotal="0"/>
    <pivotField numFmtId="164"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Row" showAll="0">
      <items count="360">
        <item sd="0" m="1" x="53"/>
        <item m="1" x="338"/>
        <item m="1" x="240"/>
        <item m="1" x="349"/>
        <item m="1" x="195"/>
        <item m="1" x="288"/>
        <item m="1" x="356"/>
        <item m="1" x="181"/>
        <item m="1" x="83"/>
        <item m="1" x="93"/>
        <item m="1" x="225"/>
        <item m="1" x="85"/>
        <item m="1" x="189"/>
        <item m="1" x="354"/>
        <item m="1" x="309"/>
        <item m="1" x="77"/>
        <item m="1" x="269"/>
        <item m="1" x="159"/>
        <item m="1" x="107"/>
        <item m="1" x="246"/>
        <item m="1" x="56"/>
        <item m="1" x="336"/>
        <item m="1" x="328"/>
        <item m="1" x="124"/>
        <item m="1" x="138"/>
        <item m="1" x="303"/>
        <item m="1" x="215"/>
        <item m="1" x="203"/>
        <item m="1" x="151"/>
        <item m="1" x="81"/>
        <item m="1" x="347"/>
        <item m="1" x="241"/>
        <item m="1" x="318"/>
        <item m="1" x="94"/>
        <item m="1" x="165"/>
        <item m="1" x="196"/>
        <item m="1" x="58"/>
        <item m="1" x="182"/>
        <item m="1" x="173"/>
        <item m="1" x="88"/>
        <item m="1" x="235"/>
        <item m="1" x="267"/>
        <item m="1" x="190"/>
        <item m="1" x="229"/>
        <item x="0"/>
        <item m="1" x="121"/>
        <item m="1" x="59"/>
        <item m="1" x="320"/>
        <item m="1" x="283"/>
        <item m="1" x="304"/>
        <item m="1" x="284"/>
        <item m="1" x="305"/>
        <item m="1" x="306"/>
        <item m="1" x="169"/>
        <item m="1" x="106"/>
        <item m="1" x="321"/>
        <item m="1" x="322"/>
        <item m="1" x="69"/>
        <item m="1" x="70"/>
        <item m="1" x="89"/>
        <item m="1" x="170"/>
        <item m="1" x="79"/>
        <item m="1" x="80"/>
        <item m="1" x="137"/>
        <item m="1" x="125"/>
        <item m="1" x="160"/>
        <item m="1" x="143"/>
        <item m="1" x="144"/>
        <item m="1" x="145"/>
        <item m="1" x="71"/>
        <item m="1" x="210"/>
        <item m="1" x="123"/>
        <item m="1" x="146"/>
        <item m="1" x="155"/>
        <item m="1" x="147"/>
        <item m="1" x="148"/>
        <item m="1" x="149"/>
        <item m="1" x="135"/>
        <item m="1" x="171"/>
        <item m="1" x="296"/>
        <item m="1" x="337"/>
        <item m="1" x="324"/>
        <item m="1" x="72"/>
        <item m="1" x="323"/>
        <item m="1" x="345"/>
        <item m="1" x="346"/>
        <item m="1" x="285"/>
        <item m="1" x="286"/>
        <item m="1" x="308"/>
        <item m="1" x="206"/>
        <item m="1" x="217"/>
        <item m="1" x="252"/>
        <item m="1" x="126"/>
        <item m="1" x="152"/>
        <item m="1" x="287"/>
        <item m="1" x="185"/>
        <item m="1" x="262"/>
        <item m="1" x="220"/>
        <item m="1" x="357"/>
        <item m="1" x="263"/>
        <item m="1" x="68"/>
        <item m="1" x="172"/>
        <item m="1" x="187"/>
        <item m="1" x="342"/>
        <item m="1" x="188"/>
        <item m="1" x="348"/>
        <item m="1" x="334"/>
        <item m="1" x="291"/>
        <item m="1" x="120"/>
        <item m="1" x="176"/>
        <item m="1" x="117"/>
        <item m="1" x="186"/>
        <item m="1" x="214"/>
        <item m="1" x="343"/>
        <item m="1" x="92"/>
        <item m="1" x="335"/>
        <item m="1" x="344"/>
        <item m="1" x="193"/>
        <item m="1" x="290"/>
        <item m="1" x="265"/>
        <item m="1" x="108"/>
        <item m="1" x="139"/>
        <item m="1" x="82"/>
        <item m="1" x="205"/>
        <item m="1" x="297"/>
        <item m="1" x="226"/>
        <item m="1" x="230"/>
        <item m="1" x="199"/>
        <item m="1" x="231"/>
        <item m="1" x="200"/>
        <item m="1" x="201"/>
        <item m="1" x="113"/>
        <item m="1" x="91"/>
        <item m="1" x="227"/>
        <item m="1" x="228"/>
        <item m="1" x="236"/>
        <item m="1" x="237"/>
        <item m="1" x="293"/>
        <item m="1" x="114"/>
        <item m="1" x="254"/>
        <item m="1" x="255"/>
        <item m="1" x="340"/>
        <item m="1" x="67"/>
        <item m="1" x="339"/>
        <item m="1" x="310"/>
        <item m="1" x="311"/>
        <item m="1" x="312"/>
        <item m="1" x="238"/>
        <item m="1" x="191"/>
        <item m="1" x="302"/>
        <item m="1" x="276"/>
        <item m="1" x="179"/>
        <item m="1" x="277"/>
        <item m="1" x="278"/>
        <item m="1" x="279"/>
        <item m="1" x="266"/>
        <item m="1" x="157"/>
        <item m="1" x="282"/>
        <item m="1" x="142"/>
        <item m="1" x="178"/>
        <item m="1" x="280"/>
        <item m="1" x="301"/>
        <item m="1" x="162"/>
        <item m="1" x="163"/>
        <item m="1" x="316"/>
        <item m="1" x="317"/>
        <item m="1" x="216"/>
        <item m="1" x="184"/>
        <item m="1" x="54"/>
        <item m="1" x="133"/>
        <item m="1" x="248"/>
        <item m="1" x="66"/>
        <item m="1" x="319"/>
        <item m="1" x="150"/>
        <item m="1" x="140"/>
        <item m="1" x="174"/>
        <item m="1" x="245"/>
        <item m="1" x="161"/>
        <item m="1" x="294"/>
        <item m="1" x="239"/>
        <item m="1" x="204"/>
        <item m="1" x="292"/>
        <item m="1" x="251"/>
        <item m="1" x="192"/>
        <item m="1" x="103"/>
        <item m="1" x="118"/>
        <item m="1" x="351"/>
        <item m="1" x="105"/>
        <item m="1" x="244"/>
        <item m="1" x="355"/>
        <item m="1" x="60"/>
        <item m="1" x="219"/>
        <item m="1" x="156"/>
        <item m="1" x="331"/>
        <item m="1" x="253"/>
        <item m="1" x="183"/>
        <item m="1" x="164"/>
        <item m="1" x="109"/>
        <item m="1" x="112"/>
        <item m="1" x="264"/>
        <item m="1" x="299"/>
        <item x="29"/>
        <item m="1" x="115"/>
        <item m="1" x="73"/>
        <item m="1" x="61"/>
        <item m="1" x="207"/>
        <item m="1" x="62"/>
        <item m="1" x="208"/>
        <item m="1" x="209"/>
        <item m="1" x="313"/>
        <item m="1" x="289"/>
        <item m="1" x="74"/>
        <item m="1" x="75"/>
        <item m="1" x="221"/>
        <item m="1" x="222"/>
        <item m="1" x="212"/>
        <item m="1" x="314"/>
        <item m="1" x="86"/>
        <item m="1" x="87"/>
        <item m="1" x="218"/>
        <item m="1" x="119"/>
        <item m="1" x="232"/>
        <item m="1" x="96"/>
        <item m="1" x="97"/>
        <item m="1" x="98"/>
        <item m="1" x="223"/>
        <item m="1" x="55"/>
        <item m="1" x="90"/>
        <item m="1" x="99"/>
        <item m="1" x="78"/>
        <item m="1" x="100"/>
        <item m="1" x="101"/>
        <item m="1" x="102"/>
        <item m="1" x="242"/>
        <item m="1" x="315"/>
        <item m="1" x="202"/>
        <item m="1" x="167"/>
        <item m="1" x="250"/>
        <item m="1" x="224"/>
        <item m="1" x="76"/>
        <item m="1" x="257"/>
        <item m="1" x="258"/>
        <item m="1" x="63"/>
        <item m="1" x="64"/>
        <item x="17"/>
        <item x="18"/>
        <item x="20"/>
        <item m="1" x="259"/>
        <item x="23"/>
        <item m="1" x="57"/>
        <item m="1" x="104"/>
        <item m="1" x="213"/>
        <item x="32"/>
        <item m="1" x="153"/>
        <item m="1" x="95"/>
        <item m="1" x="330"/>
        <item m="1" x="350"/>
        <item x="49"/>
        <item x="50"/>
        <item x="51"/>
        <item x="52"/>
        <item m="1" x="158"/>
        <item m="1" x="127"/>
        <item m="1" x="111"/>
        <item m="1" x="358"/>
        <item m="1" x="194"/>
        <item m="1" x="110"/>
        <item x="9"/>
        <item x="16"/>
        <item x="21"/>
        <item x="24"/>
        <item x="31"/>
        <item x="43"/>
        <item x="44"/>
        <item x="45"/>
        <item x="48"/>
        <item m="1" x="307"/>
        <item m="1" x="247"/>
        <item x="4"/>
        <item m="1" x="168"/>
        <item x="6"/>
        <item m="1" x="180"/>
        <item x="25"/>
        <item x="27"/>
        <item m="1" x="298"/>
        <item m="1" x="300"/>
        <item m="1" x="177"/>
        <item x="1"/>
        <item x="2"/>
        <item x="3"/>
        <item m="1" x="122"/>
        <item m="1" x="260"/>
        <item m="1" x="141"/>
        <item x="22"/>
        <item m="1" x="353"/>
        <item m="1" x="256"/>
        <item m="1" x="175"/>
        <item m="1" x="65"/>
        <item m="1" x="166"/>
        <item m="1" x="249"/>
        <item m="1" x="154"/>
        <item x="46"/>
        <item x="47"/>
        <item x="5"/>
        <item x="7"/>
        <item x="8"/>
        <item x="10"/>
        <item x="11"/>
        <item x="12"/>
        <item x="13"/>
        <item x="14"/>
        <item x="15"/>
        <item x="19"/>
        <item m="1" x="84"/>
        <item m="1" x="325"/>
        <item m="1" x="326"/>
        <item m="1" x="128"/>
        <item m="1" x="129"/>
        <item m="1" x="136"/>
        <item m="1" x="197"/>
        <item m="1" x="131"/>
        <item m="1" x="132"/>
        <item m="1" x="295"/>
        <item m="1" x="211"/>
        <item m="1" x="281"/>
        <item m="1" x="270"/>
        <item m="1" x="271"/>
        <item m="1" x="272"/>
        <item m="1" x="130"/>
        <item m="1" x="134"/>
        <item x="30"/>
        <item x="33"/>
        <item m="1" x="352"/>
        <item m="1" x="116"/>
        <item m="1" x="273"/>
        <item m="1" x="274"/>
        <item m="1" x="275"/>
        <item m="1" x="268"/>
        <item m="1" x="198"/>
        <item m="1" x="329"/>
        <item m="1" x="243"/>
        <item m="1" x="261"/>
        <item m="1" x="341"/>
        <item x="37"/>
        <item m="1" x="327"/>
        <item m="1" x="233"/>
        <item m="1" x="234"/>
        <item m="1" x="332"/>
        <item m="1" x="333"/>
        <item x="26"/>
        <item x="28"/>
        <item x="34"/>
        <item x="36"/>
        <item x="35"/>
        <item x="38"/>
        <item x="39"/>
        <item x="40"/>
        <item x="41"/>
        <item x="42"/>
        <item t="default"/>
      </items>
    </pivotField>
    <pivotField axis="axisRow" showAll="0">
      <items count="274">
        <item m="1" x="19"/>
        <item m="1" x="102"/>
        <item m="1" x="90"/>
        <item m="1" x="71"/>
        <item m="1" x="215"/>
        <item m="1" x="175"/>
        <item m="1" x="94"/>
        <item m="1" x="139"/>
        <item m="1" x="170"/>
        <item m="1" x="23"/>
        <item m="1" x="129"/>
        <item m="1" x="209"/>
        <item m="1" x="165"/>
        <item m="1" x="261"/>
        <item m="1" x="247"/>
        <item m="1" x="126"/>
        <item m="1" x="73"/>
        <item m="1" x="135"/>
        <item m="1" x="235"/>
        <item m="1" x="176"/>
        <item m="1" x="56"/>
        <item m="1" x="156"/>
        <item m="1" x="122"/>
        <item m="1" x="141"/>
        <item x="0"/>
        <item m="1" x="34"/>
        <item m="1" x="196"/>
        <item m="1" x="58"/>
        <item m="1" x="188"/>
        <item m="1" x="80"/>
        <item m="1" x="85"/>
        <item m="1" x="106"/>
        <item m="1" x="197"/>
        <item m="1" x="228"/>
        <item m="1" x="216"/>
        <item m="1" x="217"/>
        <item m="1" x="117"/>
        <item m="1" x="234"/>
        <item m="1" x="248"/>
        <item m="1" x="41"/>
        <item m="1" x="54"/>
        <item m="1" x="186"/>
        <item m="1" x="237"/>
        <item m="1" x="105"/>
        <item m="1" x="95"/>
        <item m="1" x="187"/>
        <item m="1" x="164"/>
        <item m="1" x="37"/>
        <item m="1" x="81"/>
        <item m="1" x="120"/>
        <item m="1" x="84"/>
        <item m="1" x="31"/>
        <item m="1" x="27"/>
        <item m="1" x="68"/>
        <item m="1" x="169"/>
        <item m="1" x="82"/>
        <item m="1" x="125"/>
        <item m="1" x="229"/>
        <item m="1" x="153"/>
        <item m="1" x="182"/>
        <item m="1" x="185"/>
        <item m="1" x="263"/>
        <item m="1" x="203"/>
        <item m="1" x="62"/>
        <item m="1" x="269"/>
        <item m="1" x="233"/>
        <item m="1" x="166"/>
        <item m="1" x="127"/>
        <item m="1" x="20"/>
        <item m="1" x="67"/>
        <item m="1" x="48"/>
        <item m="1" x="46"/>
        <item m="1" x="111"/>
        <item m="1" x="124"/>
        <item m="1" x="212"/>
        <item m="1" x="88"/>
        <item m="1" x="158"/>
        <item m="1" x="180"/>
        <item m="1" x="50"/>
        <item m="1" x="178"/>
        <item m="1" x="221"/>
        <item m="1" x="250"/>
        <item m="1" x="136"/>
        <item m="1" x="227"/>
        <item m="1" x="201"/>
        <item m="1" x="195"/>
        <item m="1" x="55"/>
        <item m="1" x="77"/>
        <item m="1" x="259"/>
        <item m="1" x="113"/>
        <item m="1" x="98"/>
        <item m="1" x="63"/>
        <item m="1" x="93"/>
        <item m="1" x="146"/>
        <item m="1" x="154"/>
        <item m="1" x="24"/>
        <item m="1" x="155"/>
        <item m="1" x="157"/>
        <item m="1" x="220"/>
        <item m="1" x="89"/>
        <item m="1" x="205"/>
        <item m="1" x="174"/>
        <item m="1" x="194"/>
        <item m="1" x="161"/>
        <item m="1" x="168"/>
        <item m="1" x="210"/>
        <item m="1" x="130"/>
        <item m="1" x="131"/>
        <item m="1" x="96"/>
        <item m="1" x="160"/>
        <item m="1" x="25"/>
        <item m="1" x="61"/>
        <item m="1" x="204"/>
        <item m="1" x="91"/>
        <item m="1" x="133"/>
        <item m="1" x="143"/>
        <item m="1" x="266"/>
        <item m="1" x="75"/>
        <item m="1" x="219"/>
        <item m="1" x="92"/>
        <item m="1" x="213"/>
        <item m="1" x="118"/>
        <item m="1" x="265"/>
        <item m="1" x="163"/>
        <item m="1" x="70"/>
        <item m="1" x="32"/>
        <item m="1" x="119"/>
        <item m="1" x="244"/>
        <item m="1" x="64"/>
        <item m="1" x="245"/>
        <item m="1" x="43"/>
        <item m="1" x="140"/>
        <item m="1" x="132"/>
        <item m="1" x="236"/>
        <item m="1" x="28"/>
        <item m="1" x="171"/>
        <item m="1" x="191"/>
        <item m="1" x="36"/>
        <item m="1" x="76"/>
        <item m="1" x="231"/>
        <item m="1" x="72"/>
        <item m="1" x="110"/>
        <item m="1" x="60"/>
        <item m="1" x="147"/>
        <item m="1" x="246"/>
        <item m="1" x="183"/>
        <item m="1" x="243"/>
        <item m="1" x="198"/>
        <item m="1" x="214"/>
        <item m="1" x="241"/>
        <item m="1" x="152"/>
        <item m="1" x="86"/>
        <item m="1" x="224"/>
        <item m="1" x="30"/>
        <item m="1" x="181"/>
        <item m="1" x="35"/>
        <item m="1" x="151"/>
        <item m="1" x="232"/>
        <item m="1" x="260"/>
        <item m="1" x="40"/>
        <item m="1" x="128"/>
        <item m="1" x="29"/>
        <item m="1" x="142"/>
        <item m="1" x="272"/>
        <item m="1" x="78"/>
        <item m="1" x="107"/>
        <item m="1" x="87"/>
        <item m="1" x="226"/>
        <item m="1" x="52"/>
        <item m="1" x="44"/>
        <item m="1" x="218"/>
        <item m="1" x="42"/>
        <item m="1" x="184"/>
        <item m="1" x="123"/>
        <item m="1" x="239"/>
        <item m="1" x="148"/>
        <item m="1" x="74"/>
        <item m="1" x="137"/>
        <item m="1" x="202"/>
        <item m="1" x="230"/>
        <item m="1" x="207"/>
        <item m="1" x="208"/>
        <item m="1" x="21"/>
        <item m="1" x="189"/>
        <item m="1" x="206"/>
        <item m="1" x="222"/>
        <item m="1" x="223"/>
        <item m="1" x="240"/>
        <item m="1" x="53"/>
        <item m="1" x="271"/>
        <item m="1" x="104"/>
        <item m="1" x="109"/>
        <item m="1" x="252"/>
        <item m="1" x="253"/>
        <item m="1" x="38"/>
        <item m="1" x="254"/>
        <item m="1" x="45"/>
        <item m="1" x="47"/>
        <item m="1" x="79"/>
        <item m="1" x="167"/>
        <item m="1" x="65"/>
        <item m="1" x="200"/>
        <item m="1" x="193"/>
        <item m="1" x="162"/>
        <item m="1" x="114"/>
        <item m="1" x="115"/>
        <item m="1" x="39"/>
        <item m="1" x="59"/>
        <item m="1" x="192"/>
        <item m="1" x="121"/>
        <item m="1" x="159"/>
        <item m="1" x="270"/>
        <item m="1" x="258"/>
        <item m="1" x="268"/>
        <item m="1" x="103"/>
        <item m="1" x="179"/>
        <item m="1" x="255"/>
        <item m="1" x="97"/>
        <item m="1" x="66"/>
        <item m="1" x="33"/>
        <item m="1" x="22"/>
        <item m="1" x="256"/>
        <item m="1" x="149"/>
        <item m="1" x="242"/>
        <item m="1" x="150"/>
        <item m="1" x="57"/>
        <item m="1" x="251"/>
        <item m="1" x="190"/>
        <item m="1" x="116"/>
        <item m="1" x="262"/>
        <item m="1" x="100"/>
        <item m="1" x="26"/>
        <item m="1" x="138"/>
        <item m="1" x="108"/>
        <item m="1" x="99"/>
        <item m="1" x="238"/>
        <item m="1" x="49"/>
        <item m="1" x="211"/>
        <item m="1" x="257"/>
        <item m="1" x="101"/>
        <item m="1" x="83"/>
        <item m="1" x="225"/>
        <item m="1" x="69"/>
        <item m="1" x="199"/>
        <item m="1" x="173"/>
        <item m="1" x="51"/>
        <item m="1" x="264"/>
        <item m="1" x="145"/>
        <item m="1" x="112"/>
        <item m="1" x="134"/>
        <item m="1" x="144"/>
        <item m="1" x="267"/>
        <item m="1" x="177"/>
        <item m="1" x="249"/>
        <item m="1" x="172"/>
        <item x="1"/>
        <item x="2"/>
        <item x="3"/>
        <item x="4"/>
        <item x="5"/>
        <item x="6"/>
        <item x="7"/>
        <item x="8"/>
        <item x="9"/>
        <item x="10"/>
        <item x="11"/>
        <item x="12"/>
        <item x="13"/>
        <item x="14"/>
        <item x="15"/>
        <item x="16"/>
        <item x="17"/>
        <item x="18"/>
        <item t="default"/>
      </items>
    </pivotField>
    <pivotField axis="axisRow" showAll="0">
      <items count="31">
        <item m="1" x="29"/>
        <item m="1" x="5"/>
        <item x="0"/>
        <item m="1" x="22"/>
        <item m="1" x="26"/>
        <item m="1" x="20"/>
        <item m="1" x="18"/>
        <item m="1" x="6"/>
        <item m="1" x="12"/>
        <item m="1" x="25"/>
        <item m="1" x="10"/>
        <item m="1" x="3"/>
        <item m="1" x="27"/>
        <item m="1" x="14"/>
        <item m="1" x="8"/>
        <item m="1" x="9"/>
        <item m="1" x="7"/>
        <item m="1" x="1"/>
        <item m="1" x="24"/>
        <item m="1" x="17"/>
        <item m="1" x="15"/>
        <item m="1" x="16"/>
        <item m="1" x="13"/>
        <item m="1" x="23"/>
        <item m="1" x="28"/>
        <item m="1" x="2"/>
        <item m="1" x="19"/>
        <item m="1" x="4"/>
        <item m="1" x="21"/>
        <item m="1" x="11"/>
        <item t="default"/>
      </items>
    </pivotField>
    <pivotField axis="axisRow" showAll="0">
      <items count="3">
        <item m="1" x="1"/>
        <item x="0"/>
        <item t="default"/>
      </items>
    </pivotField>
    <pivotField axis="axisRow" showAll="0">
      <items count="3">
        <item m="1" x="1"/>
        <item x="0"/>
        <item t="default"/>
      </items>
    </pivotField>
    <pivotField axis="axisRow" showAll="0">
      <items count="558">
        <item m="1" x="362"/>
        <item m="1" x="330"/>
        <item m="1" x="371"/>
        <item m="1" x="361"/>
        <item m="1" x="250"/>
        <item m="1" x="504"/>
        <item m="1" x="325"/>
        <item m="1" x="432"/>
        <item m="1" x="398"/>
        <item m="1" x="275"/>
        <item m="1" x="391"/>
        <item m="1" x="348"/>
        <item m="1" x="549"/>
        <item m="1" x="245"/>
        <item m="1" x="259"/>
        <item m="1" x="521"/>
        <item m="1" x="171"/>
        <item m="1" x="168"/>
        <item m="1" x="169"/>
        <item m="1" x="209"/>
        <item m="1" x="411"/>
        <item m="1" x="194"/>
        <item m="1" x="207"/>
        <item m="1" x="273"/>
        <item m="1" x="424"/>
        <item m="1" x="416"/>
        <item m="1" x="231"/>
        <item m="1" x="434"/>
        <item m="1" x="455"/>
        <item m="1" x="204"/>
        <item m="1" x="303"/>
        <item m="1" x="277"/>
        <item m="1" x="287"/>
        <item m="1" x="289"/>
        <item m="1" x="537"/>
        <item m="1" x="522"/>
        <item m="1" x="104"/>
        <item m="1" x="222"/>
        <item m="1" x="415"/>
        <item m="1" x="538"/>
        <item m="1" x="368"/>
        <item m="1" x="301"/>
        <item m="1" x="369"/>
        <item m="1" x="474"/>
        <item m="1" x="483"/>
        <item m="1" x="519"/>
        <item m="1" x="235"/>
        <item m="1" x="329"/>
        <item m="1" x="167"/>
        <item m="1" x="425"/>
        <item m="1" x="163"/>
        <item m="1" x="131"/>
        <item m="1" x="535"/>
        <item m="1" x="135"/>
        <item m="1" x="215"/>
        <item m="1" x="125"/>
        <item m="1" x="133"/>
        <item m="1" x="269"/>
        <item m="1" x="142"/>
        <item m="1" x="139"/>
        <item m="1" x="352"/>
        <item m="1" x="490"/>
        <item m="1" x="520"/>
        <item m="1" x="129"/>
        <item m="1" x="149"/>
        <item m="1" x="399"/>
        <item m="1" x="342"/>
        <item m="1" x="500"/>
        <item m="1" x="324"/>
        <item m="1" x="112"/>
        <item m="1" x="162"/>
        <item m="1" x="501"/>
        <item m="1" x="422"/>
        <item m="1" x="320"/>
        <item m="1" x="450"/>
        <item m="1" x="258"/>
        <item m="1" x="105"/>
        <item m="1" x="270"/>
        <item m="1" x="220"/>
        <item m="1" x="234"/>
        <item m="1" x="249"/>
        <item m="1" x="367"/>
        <item m="1" x="120"/>
        <item m="1" x="344"/>
        <item m="1" x="147"/>
        <item m="1" x="272"/>
        <item m="1" x="243"/>
        <item m="1" x="364"/>
        <item m="1" x="327"/>
        <item m="1" x="397"/>
        <item m="1" x="502"/>
        <item m="1" x="114"/>
        <item m="1" x="297"/>
        <item m="1" x="339"/>
        <item m="1" x="503"/>
        <item m="1" x="291"/>
        <item m="1" x="540"/>
        <item m="1" x="401"/>
        <item m="1" x="124"/>
        <item m="1" x="189"/>
        <item m="1" x="138"/>
        <item m="1" x="337"/>
        <item m="1" x="511"/>
        <item m="1" x="396"/>
        <item m="1" x="439"/>
        <item m="1" x="524"/>
        <item m="1" x="335"/>
        <item m="1" x="554"/>
        <item m="1" x="409"/>
        <item m="1" x="492"/>
        <item m="1" x="185"/>
        <item m="1" x="261"/>
        <item m="1" x="405"/>
        <item x="1"/>
        <item m="1" x="192"/>
        <item m="1" x="164"/>
        <item m="1" x="118"/>
        <item m="1" x="429"/>
        <item m="1" x="496"/>
        <item m="1" x="242"/>
        <item m="1" x="336"/>
        <item m="1" x="407"/>
        <item m="1" x="375"/>
        <item m="1" x="307"/>
        <item m="1" x="308"/>
        <item m="1" x="200"/>
        <item m="1" x="263"/>
        <item m="1" x="152"/>
        <item m="1" x="295"/>
        <item m="1" x="251"/>
        <item m="1" x="132"/>
        <item m="1" x="534"/>
        <item m="1" x="414"/>
        <item m="1" x="331"/>
        <item m="1" x="552"/>
        <item m="1" x="156"/>
        <item m="1" x="180"/>
        <item m="1" x="435"/>
        <item m="1" x="221"/>
        <item m="1" x="284"/>
        <item m="1" x="267"/>
        <item m="1" x="201"/>
        <item m="1" x="530"/>
        <item m="1" x="376"/>
        <item m="1" x="145"/>
        <item m="1" x="252"/>
        <item m="1" x="199"/>
        <item m="1" x="442"/>
        <item m="1" x="456"/>
        <item m="1" x="230"/>
        <item m="1" x="366"/>
        <item m="1" x="103"/>
        <item m="1" x="302"/>
        <item m="1" x="296"/>
        <item m="1" x="459"/>
        <item m="1" x="420"/>
        <item m="1" x="400"/>
        <item m="1" x="225"/>
        <item m="1" x="444"/>
        <item m="1" x="186"/>
        <item m="1" x="191"/>
        <item m="1" x="202"/>
        <item m="1" x="226"/>
        <item m="1" x="115"/>
        <item m="1" x="358"/>
        <item m="1" x="116"/>
        <item m="1" x="187"/>
        <item m="1" x="477"/>
        <item m="1" x="548"/>
        <item m="1" x="253"/>
        <item m="1" x="380"/>
        <item m="1" x="547"/>
        <item m="1" x="266"/>
        <item m="1" x="392"/>
        <item m="1" x="421"/>
        <item m="1" x="527"/>
        <item m="1" x="177"/>
        <item m="1" x="363"/>
        <item m="1" x="347"/>
        <item m="1" x="203"/>
        <item m="1" x="278"/>
        <item m="1" x="229"/>
        <item m="1" x="155"/>
        <item m="1" x="175"/>
        <item m="1" x="509"/>
        <item m="1" x="205"/>
        <item m="1" x="525"/>
        <item m="1" x="526"/>
        <item m="1" x="206"/>
        <item m="1" x="355"/>
        <item m="1" x="315"/>
        <item m="1" x="350"/>
        <item m="1" x="99"/>
        <item m="1" x="148"/>
        <item m="1" x="190"/>
        <item m="1" x="233"/>
        <item m="1" x="219"/>
        <item m="1" x="443"/>
        <item m="1" x="393"/>
        <item m="1" x="453"/>
        <item m="1" x="555"/>
        <item m="1" x="317"/>
        <item m="1" x="465"/>
        <item m="1" x="211"/>
        <item m="1" x="212"/>
        <item m="1" x="255"/>
        <item m="1" x="154"/>
        <item m="1" x="290"/>
        <item m="1" x="316"/>
        <item m="1" x="183"/>
        <item m="1" x="128"/>
        <item m="1" x="157"/>
        <item m="1" x="463"/>
        <item m="1" x="542"/>
        <item m="1" x="322"/>
        <item m="1" x="419"/>
        <item m="1" x="403"/>
        <item m="1" x="388"/>
        <item m="1" x="224"/>
        <item m="1" x="146"/>
        <item m="1" x="365"/>
        <item m="1" x="173"/>
        <item m="1" x="517"/>
        <item m="1" x="510"/>
        <item m="1" x="386"/>
        <item m="1" x="321"/>
        <item m="1" x="160"/>
        <item m="1" x="159"/>
        <item m="1" x="137"/>
        <item m="1" x="475"/>
        <item m="1" x="96"/>
        <item m="1" x="412"/>
        <item m="1" x="240"/>
        <item m="1" x="404"/>
        <item m="1" x="97"/>
        <item m="1" x="430"/>
        <item m="1" x="241"/>
        <item m="1" x="427"/>
        <item m="1" x="172"/>
        <item m="1" x="505"/>
        <item m="1" x="413"/>
        <item m="1" x="179"/>
        <item m="1" x="428"/>
        <item m="1" x="479"/>
        <item m="1" x="494"/>
        <item m="1" x="480"/>
        <item m="1" x="438"/>
        <item m="1" x="130"/>
        <item m="1" x="406"/>
        <item m="1" x="481"/>
        <item m="1" x="541"/>
        <item m="1" x="498"/>
        <item m="1" x="232"/>
        <item m="1" x="323"/>
        <item m="1" x="514"/>
        <item m="1" x="410"/>
        <item m="1" x="449"/>
        <item m="1" x="383"/>
        <item m="1" x="515"/>
        <item m="1" x="437"/>
        <item m="1" x="228"/>
        <item m="1" x="546"/>
        <item m="1" x="176"/>
        <item m="1" x="431"/>
        <item m="1" x="381"/>
        <item m="1" x="198"/>
        <item m="1" x="341"/>
        <item m="1" x="370"/>
        <item m="1" x="550"/>
        <item m="1" x="451"/>
        <item m="1" x="462"/>
        <item m="1" x="385"/>
        <item m="1" x="491"/>
        <item m="1" x="279"/>
        <item m="1" x="390"/>
        <item m="1" x="507"/>
        <item m="1" x="305"/>
        <item m="1" x="493"/>
        <item m="1" x="326"/>
        <item m="1" x="485"/>
        <item m="1" x="213"/>
        <item m="1" x="311"/>
        <item m="1" x="184"/>
        <item m="1" x="181"/>
        <item m="1" x="417"/>
        <item m="1" x="418"/>
        <item m="1" x="471"/>
        <item m="1" x="144"/>
        <item m="1" x="470"/>
        <item m="1" x="476"/>
        <item m="1" x="473"/>
        <item m="1" x="436"/>
        <item m="1" x="374"/>
        <item m="1" x="478"/>
        <item m="1" x="343"/>
        <item m="1" x="448"/>
        <item m="1" x="472"/>
        <item m="1" x="319"/>
        <item m="1" x="464"/>
        <item m="1" x="117"/>
        <item m="1" x="359"/>
        <item m="1" x="227"/>
        <item m="1" x="309"/>
        <item m="1" x="165"/>
        <item m="1" x="293"/>
        <item m="1" x="488"/>
        <item m="1" x="274"/>
        <item m="1" x="113"/>
        <item m="1" x="262"/>
        <item m="1" x="196"/>
        <item m="1" x="482"/>
        <item m="1" x="182"/>
        <item m="1" x="121"/>
        <item m="1" x="268"/>
        <item m="1" x="218"/>
        <item m="1" x="528"/>
        <item m="1" x="122"/>
        <item m="1" x="551"/>
        <item m="1" x="543"/>
        <item m="1" x="140"/>
        <item m="1" x="516"/>
        <item m="1" x="495"/>
        <item m="1" x="518"/>
        <item m="1" x="556"/>
        <item m="1" x="141"/>
        <item m="1" x="457"/>
        <item m="1" x="188"/>
        <item m="1" x="458"/>
        <item m="1" x="333"/>
        <item m="1" x="288"/>
        <item m="1" x="423"/>
        <item m="1" x="460"/>
        <item m="1" x="134"/>
        <item m="1" x="532"/>
        <item m="1" x="454"/>
        <item m="1" x="384"/>
        <item m="1" x="254"/>
        <item m="1" x="300"/>
        <item m="1" x="101"/>
        <item m="1" x="378"/>
        <item m="1" x="523"/>
        <item m="1" x="338"/>
        <item m="1" x="360"/>
        <item m="1" x="208"/>
        <item m="1" x="328"/>
        <item m="1" x="306"/>
        <item m="1" x="294"/>
        <item m="1" x="346"/>
        <item m="1" x="531"/>
        <item m="1" x="283"/>
        <item m="1" x="197"/>
        <item m="1" x="484"/>
        <item m="1" x="123"/>
        <item m="1" x="469"/>
        <item m="1" x="304"/>
        <item m="1" x="126"/>
        <item m="1" x="433"/>
        <item m="1" x="237"/>
        <item m="1" x="486"/>
        <item m="1" x="102"/>
        <item m="1" x="487"/>
        <item m="1" x="536"/>
        <item m="1" x="402"/>
        <item m="1" x="452"/>
        <item m="1" x="389"/>
        <item m="1" x="356"/>
        <item m="1" x="506"/>
        <item m="1" x="216"/>
        <item m="1" x="108"/>
        <item m="1" x="109"/>
        <item m="1" x="351"/>
        <item m="1" x="260"/>
        <item m="1" x="170"/>
        <item m="1" x="100"/>
        <item m="1" x="354"/>
        <item m="1" x="440"/>
        <item m="1" x="513"/>
        <item m="1" x="310"/>
        <item m="1" x="195"/>
        <item m="1" x="239"/>
        <item m="1" x="150"/>
        <item m="1" x="151"/>
        <item m="1" x="441"/>
        <item m="1" x="373"/>
        <item m="1" x="299"/>
        <item m="1" x="143"/>
        <item m="1" x="238"/>
        <item m="1" x="193"/>
        <item m="1" x="257"/>
        <item m="1" x="318"/>
        <item m="1" x="340"/>
        <item m="1" x="489"/>
        <item m="1" x="394"/>
        <item m="1" x="395"/>
        <item m="1" x="408"/>
        <item m="1" x="357"/>
        <item m="1" x="461"/>
        <item m="1" x="166"/>
        <item m="1" x="512"/>
        <item m="1" x="106"/>
        <item m="1" x="107"/>
        <item m="1" x="248"/>
        <item m="1" x="545"/>
        <item m="1" x="119"/>
        <item m="1" x="313"/>
        <item m="1" x="174"/>
        <item m="1" x="158"/>
        <item m="1" x="247"/>
        <item m="1" x="153"/>
        <item m="1" x="314"/>
        <item m="1" x="264"/>
        <item m="1" x="533"/>
        <item m="1" x="265"/>
        <item m="1" x="312"/>
        <item m="1" x="178"/>
        <item m="1" x="467"/>
        <item m="1" x="223"/>
        <item m="1" x="210"/>
        <item m="1" x="353"/>
        <item m="1" x="377"/>
        <item m="1" x="292"/>
        <item m="1" x="387"/>
        <item m="1" x="127"/>
        <item m="1" x="280"/>
        <item m="1" x="256"/>
        <item m="1" x="285"/>
        <item m="1" x="95"/>
        <item m="1" x="379"/>
        <item m="1" x="447"/>
        <item m="1" x="286"/>
        <item m="1" x="372"/>
        <item m="1" x="446"/>
        <item m="1" x="332"/>
        <item m="1" x="345"/>
        <item m="1" x="349"/>
        <item m="1" x="276"/>
        <item m="1" x="544"/>
        <item m="1" x="161"/>
        <item x="0"/>
        <item x="2"/>
        <item x="3"/>
        <item x="4"/>
        <item x="5"/>
        <item x="6"/>
        <item x="7"/>
        <item x="8"/>
        <item x="9"/>
        <item x="10"/>
        <item x="11"/>
        <item x="12"/>
        <item x="13"/>
        <item x="14"/>
        <item x="15"/>
        <item x="16"/>
        <item x="17"/>
        <item x="18"/>
        <item x="19"/>
        <item x="20"/>
        <item x="21"/>
        <item x="22"/>
        <item x="23"/>
        <item x="24"/>
        <item x="25"/>
        <item x="26"/>
        <item x="27"/>
        <item m="1" x="382"/>
        <item m="1" x="466"/>
        <item x="30"/>
        <item x="31"/>
        <item x="32"/>
        <item m="1" x="553"/>
        <item m="1" x="246"/>
        <item m="1" x="281"/>
        <item m="1" x="334"/>
        <item m="1" x="136"/>
        <item m="1" x="214"/>
        <item m="1" x="298"/>
        <item m="1" x="282"/>
        <item m="1" x="110"/>
        <item m="1" x="539"/>
        <item m="1" x="111"/>
        <item x="44"/>
        <item x="45"/>
        <item x="46"/>
        <item x="47"/>
        <item x="48"/>
        <item x="49"/>
        <item m="1" x="236"/>
        <item x="51"/>
        <item m="1" x="426"/>
        <item x="53"/>
        <item m="1" x="271"/>
        <item m="1" x="529"/>
        <item m="1" x="98"/>
        <item x="57"/>
        <item x="58"/>
        <item x="59"/>
        <item x="60"/>
        <item x="61"/>
        <item m="1" x="499"/>
        <item x="63"/>
        <item x="64"/>
        <item x="65"/>
        <item x="66"/>
        <item x="67"/>
        <item x="68"/>
        <item x="69"/>
        <item x="70"/>
        <item m="1" x="497"/>
        <item m="1" x="508"/>
        <item m="1" x="468"/>
        <item m="1" x="445"/>
        <item m="1" x="244"/>
        <item m="1" x="217"/>
        <item x="76"/>
        <item x="77"/>
        <item x="78"/>
        <item x="79"/>
        <item x="80"/>
        <item x="81"/>
        <item x="82"/>
        <item x="83"/>
        <item x="84"/>
        <item x="85"/>
        <item x="86"/>
        <item x="87"/>
        <item x="88"/>
        <item x="89"/>
        <item x="90"/>
        <item x="91"/>
        <item x="92"/>
        <item x="93"/>
        <item x="94"/>
        <item x="28"/>
        <item x="29"/>
        <item x="33"/>
        <item x="34"/>
        <item x="35"/>
        <item x="36"/>
        <item x="37"/>
        <item x="38"/>
        <item x="39"/>
        <item x="40"/>
        <item x="41"/>
        <item x="42"/>
        <item x="43"/>
        <item x="50"/>
        <item x="52"/>
        <item x="54"/>
        <item x="55"/>
        <item x="56"/>
        <item x="62"/>
        <item x="71"/>
        <item x="72"/>
        <item x="73"/>
        <item x="74"/>
        <item x="75"/>
        <item t="default"/>
      </items>
    </pivotField>
    <pivotField axis="axisRow" showAll="0">
      <items count="262">
        <item m="1" x="67"/>
        <item m="1" x="219"/>
        <item m="1" x="81"/>
        <item m="1" x="226"/>
        <item m="1" x="42"/>
        <item m="1" x="181"/>
        <item m="1" x="218"/>
        <item m="1" x="144"/>
        <item m="1" x="27"/>
        <item m="1" x="115"/>
        <item m="1" x="116"/>
        <item m="1" x="48"/>
        <item m="1" x="15"/>
        <item m="1" x="229"/>
        <item m="1" x="92"/>
        <item m="1" x="239"/>
        <item m="1" x="123"/>
        <item m="1" x="8"/>
        <item m="1" x="71"/>
        <item m="1" x="231"/>
        <item m="1" x="206"/>
        <item m="1" x="90"/>
        <item m="1" x="58"/>
        <item m="1" x="86"/>
        <item m="1" x="160"/>
        <item m="1" x="117"/>
        <item m="1" x="62"/>
        <item m="1" x="257"/>
        <item m="1" x="121"/>
        <item m="1" x="171"/>
        <item m="1" x="228"/>
        <item m="1" x="112"/>
        <item m="1" x="190"/>
        <item m="1" x="210"/>
        <item m="1" x="60"/>
        <item m="1" x="80"/>
        <item m="1" x="232"/>
        <item m="1" x="74"/>
        <item m="1" x="49"/>
        <item m="1" x="23"/>
        <item m="1" x="14"/>
        <item x="0"/>
        <item m="1" x="56"/>
        <item m="1" x="148"/>
        <item m="1" x="187"/>
        <item m="1" x="110"/>
        <item m="1" x="159"/>
        <item m="1" x="126"/>
        <item m="1" x="249"/>
        <item m="1" x="46"/>
        <item m="1" x="25"/>
        <item m="1" x="26"/>
        <item m="1" x="47"/>
        <item m="1" x="32"/>
        <item m="1" x="235"/>
        <item m="1" x="260"/>
        <item m="1" x="18"/>
        <item m="1" x="186"/>
        <item m="1" x="216"/>
        <item m="1" x="125"/>
        <item m="1" x="104"/>
        <item m="1" x="111"/>
        <item m="1" x="184"/>
        <item m="1" x="68"/>
        <item m="1" x="158"/>
        <item m="1" x="212"/>
        <item m="1" x="251"/>
        <item m="1" x="233"/>
        <item m="1" x="66"/>
        <item m="1" x="98"/>
        <item m="1" x="69"/>
        <item m="1" x="167"/>
        <item m="1" x="16"/>
        <item m="1" x="203"/>
        <item m="1" x="30"/>
        <item m="1" x="220"/>
        <item m="1" x="180"/>
        <item m="1" x="213"/>
        <item m="1" x="133"/>
        <item m="1" x="141"/>
        <item m="1" x="73"/>
        <item m="1" x="204"/>
        <item m="1" x="188"/>
        <item m="1" x="34"/>
        <item m="1" x="39"/>
        <item m="1" x="134"/>
        <item m="1" x="91"/>
        <item m="1" x="223"/>
        <item m="1" x="93"/>
        <item m="1" x="83"/>
        <item m="1" x="84"/>
        <item m="1" x="88"/>
        <item m="1" x="13"/>
        <item m="1" x="143"/>
        <item m="1" x="149"/>
        <item m="1" x="22"/>
        <item m="1" x="244"/>
        <item m="1" x="38"/>
        <item m="1" x="113"/>
        <item m="1" x="238"/>
        <item m="1" x="254"/>
        <item m="1" x="122"/>
        <item m="1" x="70"/>
        <item m="1" x="173"/>
        <item m="1" x="166"/>
        <item m="1" x="242"/>
        <item m="1" x="79"/>
        <item m="1" x="196"/>
        <item m="1" x="161"/>
        <item m="1" x="77"/>
        <item m="1" x="102"/>
        <item m="1" x="178"/>
        <item m="1" x="142"/>
        <item m="1" x="139"/>
        <item m="1" x="37"/>
        <item m="1" x="64"/>
        <item m="1" x="174"/>
        <item m="1" x="11"/>
        <item m="1" x="247"/>
        <item m="1" x="192"/>
        <item m="1" x="43"/>
        <item m="1" x="252"/>
        <item m="1" x="259"/>
        <item m="1" x="250"/>
        <item m="1" x="209"/>
        <item m="1" x="17"/>
        <item m="1" x="221"/>
        <item m="1" x="199"/>
        <item m="1" x="40"/>
        <item m="1" x="41"/>
        <item m="1" x="129"/>
        <item m="1" x="224"/>
        <item m="1" x="182"/>
        <item m="1" x="61"/>
        <item m="1" x="172"/>
        <item m="1" x="63"/>
        <item m="1" x="130"/>
        <item m="1" x="205"/>
        <item m="1" x="78"/>
        <item m="1" x="138"/>
        <item m="1" x="105"/>
        <item m="1" x="10"/>
        <item m="1" x="191"/>
        <item m="1" x="57"/>
        <item m="1" x="151"/>
        <item m="1" x="198"/>
        <item m="1" x="89"/>
        <item m="1" x="20"/>
        <item m="1" x="96"/>
        <item m="1" x="240"/>
        <item m="1" x="45"/>
        <item m="1" x="87"/>
        <item m="1" x="31"/>
        <item m="1" x="170"/>
        <item m="1" x="201"/>
        <item m="1" x="256"/>
        <item m="1" x="147"/>
        <item m="1" x="195"/>
        <item m="1" x="82"/>
        <item m="1" x="52"/>
        <item m="1" x="243"/>
        <item m="1" x="177"/>
        <item m="1" x="65"/>
        <item m="1" x="168"/>
        <item m="1" x="75"/>
        <item m="1" x="150"/>
        <item m="1" x="24"/>
        <item m="1" x="118"/>
        <item m="1" x="119"/>
        <item m="1" x="33"/>
        <item m="1" x="36"/>
        <item m="1" x="44"/>
        <item m="1" x="51"/>
        <item m="1" x="109"/>
        <item m="1" x="215"/>
        <item m="1" x="99"/>
        <item m="1" x="217"/>
        <item m="1" x="35"/>
        <item m="1" x="21"/>
        <item m="1" x="72"/>
        <item m="1" x="120"/>
        <item m="1" x="95"/>
        <item m="1" x="162"/>
        <item m="1" x="50"/>
        <item m="1" x="107"/>
        <item m="1" x="97"/>
        <item m="1" x="146"/>
        <item m="1" x="225"/>
        <item m="1" x="101"/>
        <item m="1" x="154"/>
        <item m="1" x="114"/>
        <item m="1" x="234"/>
        <item m="1" x="136"/>
        <item m="1" x="153"/>
        <item m="1" x="53"/>
        <item m="1" x="152"/>
        <item m="1" x="248"/>
        <item m="1" x="197"/>
        <item m="1" x="156"/>
        <item m="1" x="253"/>
        <item m="1" x="211"/>
        <item m="1" x="214"/>
        <item m="1" x="207"/>
        <item m="1" x="237"/>
        <item m="1" x="127"/>
        <item m="1" x="175"/>
        <item m="1" x="94"/>
        <item m="1" x="200"/>
        <item m="1" x="185"/>
        <item m="1" x="164"/>
        <item m="1" x="131"/>
        <item m="1" x="128"/>
        <item m="1" x="85"/>
        <item m="1" x="230"/>
        <item m="1" x="145"/>
        <item m="1" x="258"/>
        <item m="1" x="245"/>
        <item m="1" x="246"/>
        <item m="1" x="163"/>
        <item m="1" x="208"/>
        <item m="1" x="236"/>
        <item m="1" x="28"/>
        <item m="1" x="241"/>
        <item m="1" x="255"/>
        <item m="1" x="55"/>
        <item m="1" x="106"/>
        <item m="1" x="135"/>
        <item m="1" x="169"/>
        <item m="1" x="19"/>
        <item m="1" x="227"/>
        <item m="1" x="193"/>
        <item m="1" x="155"/>
        <item m="1" x="108"/>
        <item m="1" x="103"/>
        <item m="1" x="100"/>
        <item m="1" x="124"/>
        <item m="1" x="132"/>
        <item m="1" x="176"/>
        <item m="1" x="194"/>
        <item m="1" x="137"/>
        <item m="1" x="165"/>
        <item m="1" x="179"/>
        <item m="1" x="183"/>
        <item m="1" x="54"/>
        <item m="1" x="140"/>
        <item m="1" x="29"/>
        <item m="1" x="12"/>
        <item m="1" x="222"/>
        <item m="1" x="202"/>
        <item x="1"/>
        <item x="2"/>
        <item x="3"/>
        <item x="4"/>
        <item x="5"/>
        <item x="6"/>
        <item m="1" x="157"/>
        <item m="1" x="9"/>
        <item m="1" x="76"/>
        <item m="1" x="189"/>
        <item m="1" x="59"/>
        <item x="7"/>
        <item t="default"/>
      </items>
    </pivotField>
    <pivotField axis="axisRow" showAll="0">
      <items count="262">
        <item m="1" x="66"/>
        <item m="1" x="86"/>
        <item m="1" x="146"/>
        <item m="1" x="125"/>
        <item m="1" x="139"/>
        <item m="1" x="225"/>
        <item m="1" x="204"/>
        <item m="1" x="244"/>
        <item m="1" x="159"/>
        <item m="1" x="47"/>
        <item m="1" x="48"/>
        <item m="1" x="145"/>
        <item m="1" x="39"/>
        <item m="1" x="164"/>
        <item m="1" x="226"/>
        <item m="1" x="93"/>
        <item m="1" x="98"/>
        <item m="1" x="70"/>
        <item m="1" x="165"/>
        <item m="1" x="19"/>
        <item m="1" x="115"/>
        <item m="1" x="223"/>
        <item m="1" x="18"/>
        <item m="1" x="136"/>
        <item m="1" x="81"/>
        <item m="1" x="124"/>
        <item m="1" x="219"/>
        <item m="1" x="191"/>
        <item m="1" x="188"/>
        <item m="1" x="200"/>
        <item m="1" x="246"/>
        <item m="1" x="76"/>
        <item m="1" x="163"/>
        <item m="1" x="121"/>
        <item m="1" x="149"/>
        <item m="1" x="245"/>
        <item m="1" x="158"/>
        <item m="1" x="253"/>
        <item m="1" x="171"/>
        <item m="1" x="50"/>
        <item m="1" x="99"/>
        <item x="0"/>
        <item m="1" x="161"/>
        <item m="1" x="69"/>
        <item m="1" x="105"/>
        <item m="1" x="183"/>
        <item m="1" x="174"/>
        <item m="1" x="172"/>
        <item m="1" x="186"/>
        <item m="1" x="133"/>
        <item m="1" x="166"/>
        <item m="1" x="167"/>
        <item m="1" x="153"/>
        <item m="1" x="51"/>
        <item m="1" x="60"/>
        <item m="1" x="240"/>
        <item m="1" x="83"/>
        <item m="1" x="184"/>
        <item m="1" x="194"/>
        <item m="1" x="44"/>
        <item m="1" x="179"/>
        <item m="1" x="216"/>
        <item m="1" x="214"/>
        <item m="1" x="151"/>
        <item m="1" x="82"/>
        <item m="1" x="43"/>
        <item m="1" x="87"/>
        <item m="1" x="85"/>
        <item m="1" x="187"/>
        <item m="1" x="118"/>
        <item m="1" x="218"/>
        <item m="1" x="190"/>
        <item m="1" x="227"/>
        <item m="1" x="189"/>
        <item m="1" x="119"/>
        <item m="1" x="209"/>
        <item m="1" x="109"/>
        <item m="1" x="126"/>
        <item m="1" x="22"/>
        <item m="1" x="160"/>
        <item m="1" x="142"/>
        <item m="1" x="137"/>
        <item m="1" x="199"/>
        <item m="1" x="73"/>
        <item m="1" x="46"/>
        <item m="1" x="239"/>
        <item m="1" x="120"/>
        <item m="1" x="211"/>
        <item m="1" x="33"/>
        <item m="1" x="64"/>
        <item m="1" x="65"/>
        <item m="1" x="197"/>
        <item m="1" x="63"/>
        <item m="1" x="79"/>
        <item m="1" x="148"/>
        <item m="1" x="21"/>
        <item m="1" x="258"/>
        <item m="1" x="237"/>
        <item m="1" x="169"/>
        <item m="1" x="182"/>
        <item m="1" x="71"/>
        <item m="1" x="177"/>
        <item m="1" x="259"/>
        <item m="1" x="195"/>
        <item m="1" x="88"/>
        <item m="1" x="80"/>
        <item m="1" x="37"/>
        <item m="1" x="96"/>
        <item m="1" x="123"/>
        <item m="1" x="168"/>
        <item m="1" x="28"/>
        <item m="1" x="54"/>
        <item m="1" x="16"/>
        <item m="1" x="56"/>
        <item m="1" x="74"/>
        <item m="1" x="106"/>
        <item m="1" x="257"/>
        <item m="1" x="49"/>
        <item m="1" x="29"/>
        <item m="1" x="57"/>
        <item m="1" x="26"/>
        <item m="1" x="222"/>
        <item m="1" x="30"/>
        <item m="1" x="241"/>
        <item m="1" x="67"/>
        <item m="1" x="110"/>
        <item m="1" x="97"/>
        <item m="1" x="242"/>
        <item m="1" x="235"/>
        <item m="1" x="236"/>
        <item m="1" x="132"/>
        <item m="1" x="59"/>
        <item m="1" x="92"/>
        <item m="1" x="217"/>
        <item m="1" x="55"/>
        <item m="1" x="127"/>
        <item m="1" x="24"/>
        <item m="1" x="230"/>
        <item m="1" x="40"/>
        <item m="1" x="180"/>
        <item m="1" x="107"/>
        <item m="1" x="224"/>
        <item m="1" x="252"/>
        <item m="1" x="143"/>
        <item m="1" x="94"/>
        <item m="1" x="250"/>
        <item m="1" x="122"/>
        <item m="1" x="173"/>
        <item m="1" x="25"/>
        <item m="1" x="229"/>
        <item m="1" x="38"/>
        <item m="1" x="206"/>
        <item m="1" x="42"/>
        <item m="1" x="89"/>
        <item m="1" x="138"/>
        <item m="1" x="198"/>
        <item m="1" x="27"/>
        <item m="1" x="234"/>
        <item m="1" x="53"/>
        <item x="1"/>
        <item m="1" x="102"/>
        <item m="1" x="84"/>
        <item m="1" x="129"/>
        <item m="1" x="34"/>
        <item m="1" x="75"/>
        <item m="1" x="233"/>
        <item m="1" x="231"/>
        <item m="1" x="192"/>
        <item m="1" x="178"/>
        <item m="1" x="100"/>
        <item m="1" x="95"/>
        <item m="1" x="32"/>
        <item m="1" x="17"/>
        <item m="1" x="212"/>
        <item m="1" x="90"/>
        <item m="1" x="141"/>
        <item m="1" x="147"/>
        <item m="1" x="61"/>
        <item m="1" x="62"/>
        <item m="1" x="135"/>
        <item m="1" x="181"/>
        <item m="1" x="175"/>
        <item m="1" x="41"/>
        <item m="1" x="255"/>
        <item m="1" x="36"/>
        <item m="1" x="20"/>
        <item m="1" x="77"/>
        <item m="1" x="243"/>
        <item m="1" x="185"/>
        <item m="1" x="238"/>
        <item m="1" x="215"/>
        <item m="1" x="134"/>
        <item m="1" x="208"/>
        <item m="1" x="228"/>
        <item m="1" x="58"/>
        <item m="1" x="251"/>
        <item m="1" x="155"/>
        <item m="1" x="68"/>
        <item m="1" x="78"/>
        <item m="1" x="221"/>
        <item m="1" x="203"/>
        <item m="1" x="130"/>
        <item m="1" x="23"/>
        <item m="1" x="112"/>
        <item m="1" x="205"/>
        <item m="1" x="176"/>
        <item m="1" x="45"/>
        <item m="1" x="201"/>
        <item x="2"/>
        <item m="1" x="144"/>
        <item m="1" x="72"/>
        <item m="1" x="117"/>
        <item m="1" x="202"/>
        <item m="1" x="247"/>
        <item m="1" x="232"/>
        <item m="1" x="91"/>
        <item x="10"/>
        <item m="1" x="210"/>
        <item m="1" x="103"/>
        <item m="1" x="104"/>
        <item m="1" x="196"/>
        <item m="1" x="31"/>
        <item m="1" x="35"/>
        <item m="1" x="249"/>
        <item m="1" x="128"/>
        <item m="1" x="116"/>
        <item m="1" x="108"/>
        <item m="1" x="156"/>
        <item m="1" x="220"/>
        <item m="1" x="213"/>
        <item m="1" x="254"/>
        <item m="1" x="113"/>
        <item m="1" x="101"/>
        <item m="1" x="248"/>
        <item x="11"/>
        <item x="12"/>
        <item m="1" x="162"/>
        <item m="1" x="114"/>
        <item m="1" x="193"/>
        <item m="1" x="256"/>
        <item m="1" x="157"/>
        <item m="1" x="52"/>
        <item m="1" x="154"/>
        <item m="1" x="260"/>
        <item m="1" x="140"/>
        <item m="1" x="150"/>
        <item x="14"/>
        <item m="1" x="131"/>
        <item m="1" x="170"/>
        <item m="1" x="207"/>
        <item m="1" x="111"/>
        <item m="1" x="152"/>
        <item x="3"/>
        <item x="4"/>
        <item x="5"/>
        <item x="6"/>
        <item x="7"/>
        <item x="8"/>
        <item x="9"/>
        <item x="13"/>
        <item x="15"/>
        <item t="default"/>
      </items>
    </pivotField>
    <pivotField axis="axisRow" showAll="0">
      <items count="492">
        <item m="1" x="307"/>
        <item m="1" x="417"/>
        <item m="1" x="390"/>
        <item m="1" x="430"/>
        <item m="1" x="391"/>
        <item m="1" x="431"/>
        <item m="1" x="432"/>
        <item m="1" x="86"/>
        <item m="1" x="467"/>
        <item m="1" x="418"/>
        <item m="1" x="419"/>
        <item m="1" x="462"/>
        <item m="1" x="463"/>
        <item m="1" x="438"/>
        <item m="1" x="87"/>
        <item m="1" x="446"/>
        <item m="1" x="447"/>
        <item m="1" x="450"/>
        <item m="1" x="158"/>
        <item m="1" x="476"/>
        <item m="1" x="59"/>
        <item m="1" x="60"/>
        <item m="1" x="61"/>
        <item m="1" x="464"/>
        <item m="1" x="383"/>
        <item m="1" x="375"/>
        <item m="1" x="303"/>
        <item m="1" x="474"/>
        <item m="1" x="62"/>
        <item m="1" x="481"/>
        <item m="1" x="63"/>
        <item m="1" x="64"/>
        <item m="1" x="65"/>
        <item m="1" x="84"/>
        <item m="1" x="88"/>
        <item m="1" x="403"/>
        <item m="1" x="469"/>
        <item m="1" x="168"/>
        <item m="1" x="465"/>
        <item m="1" x="420"/>
        <item m="1" x="434"/>
        <item m="1" x="435"/>
        <item m="1" x="392"/>
        <item m="1" x="393"/>
        <item m="1" x="480"/>
        <item m="1" x="247"/>
        <item m="1" x="92"/>
        <item m="1" x="200"/>
        <item m="1" x="66"/>
        <item m="1" x="174"/>
        <item m="1" x="483"/>
        <item m="1" x="97"/>
        <item m="1" x="146"/>
        <item m="1" x="309"/>
        <item m="1" x="442"/>
        <item m="1" x="357"/>
        <item m="1" x="468"/>
        <item m="1" x="127"/>
        <item m="1" x="286"/>
        <item m="1" x="364"/>
        <item m="1" x="169"/>
        <item m="1" x="210"/>
        <item m="1" x="396"/>
        <item m="1" x="228"/>
        <item m="1" x="429"/>
        <item m="1" x="347"/>
        <item m="1" x="143"/>
        <item m="1" x="395"/>
        <item m="1" x="452"/>
        <item m="1" x="288"/>
        <item m="1" x="451"/>
        <item m="1" x="275"/>
        <item m="1" x="360"/>
        <item m="1" x="342"/>
        <item m="1" x="370"/>
        <item m="1" x="477"/>
        <item m="1" x="460"/>
        <item m="1" x="208"/>
        <item m="1" x="173"/>
        <item m="1" x="258"/>
        <item m="1" x="250"/>
        <item m="1" x="257"/>
        <item m="1" x="56"/>
        <item m="1" x="240"/>
        <item m="1" x="408"/>
        <item m="1" x="94"/>
        <item m="1" x="130"/>
        <item x="0"/>
        <item m="1" x="293"/>
        <item m="1" x="68"/>
        <item m="1" x="181"/>
        <item m="1" x="69"/>
        <item m="1" x="182"/>
        <item m="1" x="183"/>
        <item m="1" x="260"/>
        <item m="1" x="253"/>
        <item m="1" x="294"/>
        <item m="1" x="295"/>
        <item m="1" x="195"/>
        <item m="1" x="196"/>
        <item m="1" x="421"/>
        <item m="1" x="261"/>
        <item m="1" x="305"/>
        <item m="1" x="306"/>
        <item m="1" x="216"/>
        <item m="1" x="132"/>
        <item m="1" x="428"/>
        <item m="1" x="319"/>
        <item m="1" x="320"/>
        <item m="1" x="321"/>
        <item m="1" x="197"/>
        <item m="1" x="278"/>
        <item m="1" x="95"/>
        <item m="1" x="322"/>
        <item m="1" x="379"/>
        <item m="1" x="323"/>
        <item m="1" x="324"/>
        <item m="1" x="325"/>
        <item m="1" x="204"/>
        <item m="1" x="262"/>
        <item m="1" x="284"/>
        <item m="1" x="136"/>
        <item m="1" x="274"/>
        <item m="1" x="198"/>
        <item m="1" x="296"/>
        <item m="1" x="243"/>
        <item m="1" x="244"/>
        <item m="1" x="70"/>
        <item m="1" x="71"/>
        <item m="1" x="81"/>
        <item m="1" x="289"/>
        <item m="1" x="135"/>
        <item m="1" x="338"/>
        <item m="1" x="93"/>
        <item m="1" x="443"/>
        <item m="1" x="172"/>
        <item m="1" x="219"/>
        <item m="1" x="239"/>
        <item m="1" x="180"/>
        <item m="1" x="367"/>
        <item m="1" x="401"/>
        <item m="1" x="426"/>
        <item m="1" x="118"/>
        <item m="1" x="171"/>
        <item m="1" x="397"/>
        <item m="1" x="199"/>
        <item m="1" x="179"/>
        <item m="1" x="466"/>
        <item m="1" x="123"/>
        <item m="1" x="167"/>
        <item m="1" x="245"/>
        <item m="1" x="119"/>
        <item m="1" x="489"/>
        <item m="1" x="349"/>
        <item m="1" x="108"/>
        <item m="1" x="482"/>
        <item m="1" x="131"/>
        <item m="1" x="318"/>
        <item m="1" x="386"/>
        <item m="1" x="380"/>
        <item m="1" x="89"/>
        <item m="1" x="337"/>
        <item m="1" x="161"/>
        <item m="1" x="361"/>
        <item m="1" x="203"/>
        <item m="1" x="326"/>
        <item m="1" x="304"/>
        <item m="1" x="255"/>
        <item m="1" x="248"/>
        <item m="1" x="128"/>
        <item m="1" x="414"/>
        <item m="1" x="422"/>
        <item m="1" x="205"/>
        <item m="1" x="423"/>
        <item m="1" x="206"/>
        <item m="1" x="207"/>
        <item m="1" x="344"/>
        <item m="1" x="444"/>
        <item m="1" x="415"/>
        <item m="1" x="416"/>
        <item m="1" x="75"/>
        <item m="1" x="76"/>
        <item m="1" x="83"/>
        <item m="1" x="345"/>
        <item m="1" x="301"/>
        <item m="1" x="302"/>
        <item m="1" x="400"/>
        <item m="1" x="147"/>
        <item m="1" x="398"/>
        <item m="1" x="191"/>
        <item m="1" x="192"/>
        <item m="1" x="193"/>
        <item m="1" x="77"/>
        <item m="1" x="98"/>
        <item m="1" x="292"/>
        <item m="1" x="185"/>
        <item m="1" x="308"/>
        <item m="1" x="186"/>
        <item m="1" x="187"/>
        <item m="1" x="188"/>
        <item m="1" x="138"/>
        <item m="1" x="368"/>
        <item m="1" x="58"/>
        <item m="1" x="300"/>
        <item m="1" x="90"/>
        <item m="1" x="189"/>
        <item m="1" x="280"/>
        <item m="1" x="457"/>
        <item m="1" x="458"/>
        <item m="1" x="384"/>
        <item m="1" x="385"/>
        <item m="1" x="285"/>
        <item m="1" x="153"/>
        <item m="1" x="251"/>
        <item m="1" x="177"/>
        <item m="1" x="232"/>
        <item m="1" x="346"/>
        <item m="1" x="163"/>
        <item m="1" x="149"/>
        <item m="1" x="311"/>
        <item m="1" x="78"/>
        <item m="1" x="134"/>
        <item m="1" x="394"/>
        <item m="1" x="164"/>
        <item m="1" x="145"/>
        <item m="1" x="129"/>
        <item m="1" x="237"/>
        <item m="1" x="363"/>
        <item m="1" x="142"/>
        <item m="1" x="382"/>
        <item m="1" x="436"/>
        <item m="1" x="151"/>
        <item m="1" x="441"/>
        <item m="1" x="178"/>
        <item m="1" x="453"/>
        <item m="1" x="413"/>
        <item m="1" x="57"/>
        <item m="1" x="117"/>
        <item m="1" x="348"/>
        <item m="1" x="137"/>
        <item m="1" x="67"/>
        <item m="1" x="328"/>
        <item m="1" x="72"/>
        <item m="1" x="378"/>
        <item m="1" x="341"/>
        <item m="1" x="475"/>
        <item m="1" x="399"/>
        <item m="1" x="268"/>
        <item m="1" x="218"/>
        <item m="1" x="109"/>
        <item m="1" x="241"/>
        <item m="1" x="454"/>
        <item m="1" x="312"/>
        <item m="1" x="409"/>
        <item m="1" x="154"/>
        <item m="1" x="410"/>
        <item m="1" x="155"/>
        <item m="1" x="156"/>
        <item m="1" x="281"/>
        <item m="1" x="381"/>
        <item m="1" x="313"/>
        <item m="1" x="314"/>
        <item m="1" x="470"/>
        <item m="1" x="471"/>
        <item m="1" x="365"/>
        <item m="1" x="282"/>
        <item m="1" x="211"/>
        <item m="1" x="212"/>
        <item m="1" x="369"/>
        <item m="1" x="235"/>
        <item m="1" x="259"/>
        <item m="1" x="110"/>
        <item m="1" x="111"/>
        <item m="1" x="112"/>
        <item m="1" x="472"/>
        <item m="1" x="406"/>
        <item m="1" x="214"/>
        <item m="1" x="113"/>
        <item m="1" x="358"/>
        <item m="1" x="114"/>
        <item m="1" x="115"/>
        <item m="1" x="116"/>
        <item m="1" x="376"/>
        <item m="1" x="283"/>
        <item m="1" x="80"/>
        <item m="1" x="176"/>
        <item m="1" x="160"/>
        <item m="1" x="473"/>
        <item m="1" x="315"/>
        <item m="1" x="484"/>
        <item m="1" x="485"/>
        <item m="1" x="411"/>
        <item m="1" x="412"/>
        <item m="1" x="270"/>
        <item m="1" x="238"/>
        <item m="1" x="96"/>
        <item m="1" x="202"/>
        <item m="1" x="425"/>
        <item m="1" x="316"/>
        <item m="1" x="310"/>
        <item m="1" x="276"/>
        <item m="1" x="184"/>
        <item m="1" x="82"/>
        <item m="1" x="190"/>
        <item m="1" x="402"/>
        <item m="1" x="486"/>
        <item m="1" x="246"/>
        <item m="1" x="165"/>
        <item m="1" x="343"/>
        <item m="1" x="170"/>
        <item m="1" x="269"/>
        <item m="1" x="139"/>
        <item m="1" x="252"/>
        <item m="1" x="267"/>
        <item m="1" x="405"/>
        <item m="1" x="249"/>
        <item m="1" x="449"/>
        <item m="1" x="85"/>
        <item m="1" x="148"/>
        <item m="1" x="140"/>
        <item m="1" x="331"/>
        <item m="1" x="362"/>
        <item m="1" x="461"/>
        <item m="1" x="91"/>
        <item m="1" x="133"/>
        <item m="1" x="297"/>
        <item m="1" x="371"/>
        <item m="1" x="336"/>
        <item m="1" x="256"/>
        <item m="1" x="291"/>
        <item m="1" x="106"/>
        <item m="1" x="487"/>
        <item m="1" x="107"/>
        <item m="1" x="277"/>
        <item m="1" x="152"/>
        <item m="1" x="150"/>
        <item m="1" x="217"/>
        <item m="1" x="329"/>
        <item m="1" x="445"/>
        <item m="1" x="433"/>
        <item m="1" x="144"/>
        <item m="1" x="126"/>
        <item m="1" x="359"/>
        <item m="1" x="201"/>
        <item m="1" x="332"/>
        <item m="1" x="194"/>
        <item m="1" x="455"/>
        <item m="1" x="166"/>
        <item m="1" x="356"/>
        <item m="1" x="175"/>
        <item m="1" x="159"/>
        <item m="1" x="479"/>
        <item m="1" x="254"/>
        <item m="1" x="209"/>
        <item m="1" x="437"/>
        <item m="1" x="327"/>
        <item m="1" x="220"/>
        <item m="1" x="224"/>
        <item m="1" x="120"/>
        <item m="1" x="225"/>
        <item m="1" x="121"/>
        <item m="1" x="122"/>
        <item m="1" x="387"/>
        <item m="1" x="236"/>
        <item m="1" x="221"/>
        <item m="1" x="222"/>
        <item m="1" x="263"/>
        <item m="1" x="264"/>
        <item m="1" x="478"/>
        <item m="1" x="388"/>
        <item m="1" x="373"/>
        <item m="1" x="374"/>
        <item m="1" x="215"/>
        <item m="1" x="79"/>
        <item m="1" x="213"/>
        <item m="1" x="99"/>
        <item m="1" x="100"/>
        <item m="1" x="101"/>
        <item m="1" x="265"/>
        <item m="1" x="377"/>
        <item m="1" x="488"/>
        <item m="1" x="105"/>
        <item m="1" x="366"/>
        <item m="1" x="459"/>
        <item m="1" x="102"/>
        <item m="1" x="103"/>
        <item m="1" x="104"/>
        <item m="1" x="427"/>
        <item m="1" x="389"/>
        <item m="1" x="290"/>
        <item m="1" x="372"/>
        <item m="1" x="424"/>
        <item m="1" x="266"/>
        <item m="1" x="223"/>
        <item m="1" x="73"/>
        <item m="1" x="74"/>
        <item m="1" x="226"/>
        <item m="1" x="227"/>
        <item x="1"/>
        <item x="2"/>
        <item x="3"/>
        <item x="4"/>
        <item x="5"/>
        <item x="6"/>
        <item x="7"/>
        <item x="8"/>
        <item x="9"/>
        <item x="10"/>
        <item x="11"/>
        <item x="12"/>
        <item x="13"/>
        <item x="14"/>
        <item x="15"/>
        <item x="16"/>
        <item x="17"/>
        <item x="18"/>
        <item x="19"/>
        <item m="1" x="287"/>
        <item m="1" x="333"/>
        <item m="1" x="334"/>
        <item m="1" x="229"/>
        <item m="1" x="230"/>
        <item x="20"/>
        <item x="21"/>
        <item m="1" x="440"/>
        <item m="1" x="298"/>
        <item m="1" x="339"/>
        <item x="22"/>
        <item m="1" x="340"/>
        <item x="23"/>
        <item x="25"/>
        <item x="26"/>
        <item m="1" x="233"/>
        <item x="28"/>
        <item m="1" x="404"/>
        <item m="1" x="242"/>
        <item m="1" x="157"/>
        <item m="1" x="448"/>
        <item m="1" x="350"/>
        <item m="1" x="351"/>
        <item m="1" x="352"/>
        <item m="1" x="231"/>
        <item m="1" x="490"/>
        <item m="1" x="271"/>
        <item x="30"/>
        <item x="31"/>
        <item x="32"/>
        <item x="33"/>
        <item x="34"/>
        <item m="1" x="456"/>
        <item m="1" x="407"/>
        <item m="1" x="353"/>
        <item m="1" x="354"/>
        <item m="1" x="355"/>
        <item m="1" x="234"/>
        <item m="1" x="299"/>
        <item m="1" x="141"/>
        <item m="1" x="162"/>
        <item m="1" x="317"/>
        <item x="38"/>
        <item m="1" x="335"/>
        <item m="1" x="272"/>
        <item m="1" x="273"/>
        <item m="1" x="124"/>
        <item m="1" x="125"/>
        <item m="1" x="439"/>
        <item m="1" x="330"/>
        <item m="1" x="279"/>
        <item x="44"/>
        <item x="45"/>
        <item x="46"/>
        <item x="47"/>
        <item x="48"/>
        <item x="49"/>
        <item x="50"/>
        <item x="51"/>
        <item x="52"/>
        <item x="53"/>
        <item x="54"/>
        <item x="55"/>
        <item x="24"/>
        <item x="27"/>
        <item x="29"/>
        <item x="35"/>
        <item x="37"/>
        <item x="36"/>
        <item x="39"/>
        <item x="40"/>
        <item x="41"/>
        <item x="42"/>
        <item x="43"/>
        <item t="default"/>
      </items>
    </pivotField>
    <pivotField axis="axisRow" showAll="0">
      <items count="538">
        <item m="1" x="335"/>
        <item m="1" x="85"/>
        <item m="1" x="526"/>
        <item m="1" x="443"/>
        <item m="1" x="382"/>
        <item m="1" x="471"/>
        <item m="1" x="383"/>
        <item m="1" x="472"/>
        <item m="1" x="473"/>
        <item m="1" x="227"/>
        <item m="1" x="114"/>
        <item m="1" x="444"/>
        <item m="1" x="445"/>
        <item m="1" x="68"/>
        <item m="1" x="69"/>
        <item m="1" x="480"/>
        <item m="1" x="228"/>
        <item m="1" x="515"/>
        <item m="1" x="516"/>
        <item m="1" x="466"/>
        <item m="1" x="519"/>
        <item m="1" x="338"/>
        <item m="1" x="91"/>
        <item m="1" x="119"/>
        <item m="1" x="120"/>
        <item m="1" x="121"/>
        <item m="1" x="70"/>
        <item m="1" x="367"/>
        <item m="1" x="487"/>
        <item m="1" x="342"/>
        <item m="1" x="171"/>
        <item m="1" x="84"/>
        <item m="1" x="122"/>
        <item m="1" x="389"/>
        <item m="1" x="123"/>
        <item m="1" x="124"/>
        <item m="1" x="125"/>
        <item m="1" x="178"/>
        <item m="1" x="229"/>
        <item m="1" x="405"/>
        <item m="1" x="76"/>
        <item m="1" x="350"/>
        <item m="1" x="71"/>
        <item m="1" x="446"/>
        <item m="1" x="502"/>
        <item m="1" x="503"/>
        <item m="1" x="384"/>
        <item m="1" x="385"/>
        <item m="1" x="242"/>
        <item m="1" x="530"/>
        <item m="1" x="410"/>
        <item m="1" x="127"/>
        <item m="1" x="361"/>
        <item m="1" x="393"/>
        <item m="1" x="205"/>
        <item m="1" x="313"/>
        <item m="1" x="182"/>
        <item m="1" x="387"/>
        <item m="1" x="470"/>
        <item m="1" x="78"/>
        <item m="1" x="255"/>
        <item m="1" x="131"/>
        <item m="1" x="329"/>
        <item m="1" x="386"/>
        <item m="1" x="476"/>
        <item m="1" x="155"/>
        <item m="1" x="351"/>
        <item m="1" x="494"/>
        <item m="1" x="274"/>
        <item m="1" x="505"/>
        <item m="1" x="303"/>
        <item m="1" x="272"/>
        <item m="1" x="520"/>
        <item m="1" x="490"/>
        <item m="1" x="353"/>
        <item m="1" x="507"/>
        <item m="1" x="112"/>
        <item m="1" x="344"/>
        <item m="1" x="259"/>
        <item m="1" x="336"/>
        <item m="1" x="126"/>
        <item m="1" x="60"/>
        <item m="1" x="455"/>
        <item m="1" x="360"/>
        <item m="1" x="108"/>
        <item m="1" x="59"/>
        <item m="1" x="63"/>
        <item m="1" x="118"/>
        <item x="4"/>
        <item m="1" x="415"/>
        <item m="1" x="148"/>
        <item m="1" x="211"/>
        <item m="1" x="183"/>
        <item m="1" x="187"/>
        <item m="1" x="407"/>
        <item m="1" x="188"/>
        <item m="1" x="408"/>
        <item m="1" x="409"/>
        <item m="1" x="72"/>
        <item m="1" x="534"/>
        <item m="1" x="184"/>
        <item m="1" x="185"/>
        <item m="1" x="439"/>
        <item m="1" x="440"/>
        <item m="1" x="465"/>
        <item m="1" x="73"/>
        <item m="1" x="209"/>
        <item m="1" x="210"/>
        <item m="1" x="478"/>
        <item m="1" x="291"/>
        <item m="1" x="477"/>
        <item m="1" x="244"/>
        <item m="1" x="245"/>
        <item m="1" x="246"/>
        <item m="1" x="441"/>
        <item m="1" x="160"/>
        <item m="1" x="251"/>
        <item m="1" x="247"/>
        <item m="1" x="62"/>
        <item m="1" x="248"/>
        <item m="1" x="249"/>
        <item m="1" x="250"/>
        <item m="1" x="461"/>
        <item m="1" x="74"/>
        <item m="1" x="414"/>
        <item m="1" x="296"/>
        <item m="1" x="110"/>
        <item m="1" x="442"/>
        <item m="1" x="186"/>
        <item m="1" x="510"/>
        <item m="1" x="511"/>
        <item m="1" x="189"/>
        <item m="1" x="190"/>
        <item m="1" x="161"/>
        <item m="1" x="128"/>
        <item m="1" x="264"/>
        <item m="1" x="332"/>
        <item m="1" x="181"/>
        <item m="1" x="500"/>
        <item m="1" x="355"/>
        <item m="1" x="164"/>
        <item m="1" x="90"/>
        <item m="1" x="373"/>
        <item m="1" x="328"/>
        <item m="1" x="401"/>
        <item m="1" x="456"/>
        <item m="1" x="226"/>
        <item m="1" x="356"/>
        <item m="1" x="457"/>
        <item m="1" x="94"/>
        <item m="1" x="364"/>
        <item m="1" x="100"/>
        <item m="1" x="398"/>
        <item m="1" x="260"/>
        <item m="1" x="512"/>
        <item m="1" x="524"/>
        <item m="1" x="406"/>
        <item m="1" x="75"/>
        <item m="1" x="98"/>
        <item m="1" x="271"/>
        <item m="1" x="220"/>
        <item m="1" x="96"/>
        <item m="1" x="400"/>
        <item m="1" x="192"/>
        <item m="1" x="372"/>
        <item m="1" x="357"/>
        <item m="1" x="179"/>
        <item m="1" x="257"/>
        <item m="1" x="337"/>
        <item m="1" x="319"/>
        <item m="1" x="421"/>
        <item m="1" x="202"/>
        <item m="1" x="533"/>
        <item m="1" x="223"/>
        <item m="1" x="331"/>
        <item m="1" x="425"/>
        <item m="1" x="435"/>
        <item m="1" x="417"/>
        <item m="1" x="436"/>
        <item m="1" x="418"/>
        <item m="1" x="419"/>
        <item m="1" x="293"/>
        <item m="1" x="531"/>
        <item m="1" x="426"/>
        <item m="1" x="427"/>
        <item m="1" x="151"/>
        <item m="1" x="152"/>
        <item m="1" x="163"/>
        <item m="1" x="294"/>
        <item m="1" x="157"/>
        <item m="1" x="158"/>
        <item m="1" x="392"/>
        <item m="1" x="312"/>
        <item m="1" x="379"/>
        <item m="1" x="374"/>
        <item m="1" x="375"/>
        <item m="1" x="376"/>
        <item m="1" x="153"/>
        <item m="1" x="204"/>
        <item m="1" x="253"/>
        <item m="1" x="101"/>
        <item m="1" x="388"/>
        <item m="1" x="102"/>
        <item m="1" x="103"/>
        <item m="1" x="104"/>
        <item m="1" x="420"/>
        <item m="1" x="325"/>
        <item m="1" x="77"/>
        <item m="1" x="193"/>
        <item m="1" x="176"/>
        <item m="1" x="518"/>
        <item m="1" x="345"/>
        <item m="1" x="527"/>
        <item m="1" x="528"/>
        <item m="1" x="462"/>
        <item m="1" x="463"/>
        <item m="1" x="117"/>
        <item m="1" x="320"/>
        <item m="1" x="525"/>
        <item m="1" x="432"/>
        <item m="1" x="475"/>
        <item m="1" x="262"/>
        <item m="1" x="334"/>
        <item m="1" x="315"/>
        <item m="1" x="365"/>
        <item m="1" x="165"/>
        <item m="1" x="269"/>
        <item m="1" x="422"/>
        <item m="1" x="340"/>
        <item m="1" x="333"/>
        <item m="1" x="277"/>
        <item m="1" x="499"/>
        <item m="1" x="326"/>
        <item m="1" x="324"/>
        <item m="1" x="362"/>
        <item m="1" x="252"/>
        <item m="1" x="469"/>
        <item m="1" x="316"/>
        <item m="1" x="491"/>
        <item m="1" x="363"/>
        <item m="1" x="488"/>
        <item m="1" x="254"/>
        <item m="1" x="430"/>
        <item m="1" x="162"/>
        <item m="1" x="221"/>
        <item m="1" x="297"/>
        <item m="1" x="270"/>
        <item m="1" x="130"/>
        <item m="1" x="213"/>
        <item m="1" x="159"/>
        <item m="1" x="346"/>
        <item m="1" x="287"/>
        <item m="1" x="83"/>
        <item m="1" x="397"/>
        <item m="1" x="93"/>
        <item m="1" x="256"/>
        <item m="1" x="509"/>
        <item m="1" x="523"/>
        <item m="1" x="280"/>
        <item m="1" x="495"/>
        <item m="1" x="394"/>
        <item m="1" x="496"/>
        <item m="1" x="395"/>
        <item m="1" x="396"/>
        <item m="1" x="230"/>
        <item m="1" x="458"/>
        <item m="1" x="281"/>
        <item m="1" x="282"/>
        <item m="1" x="167"/>
        <item m="1" x="168"/>
        <item m="1" x="399"/>
        <item m="1" x="231"/>
        <item m="1" x="513"/>
        <item m="1" x="514"/>
        <item m="1" x="404"/>
        <item m="1" x="61"/>
        <item m="1" x="173"/>
        <item m="1" x="305"/>
        <item m="1" x="306"/>
        <item m="1" x="307"/>
        <item m="1" x="169"/>
        <item m="1" x="492"/>
        <item m="1" x="517"/>
        <item m="1" x="308"/>
        <item m="1" x="288"/>
        <item m="1" x="309"/>
        <item m="1" x="310"/>
        <item m="1" x="311"/>
        <item m="1" x="429"/>
        <item m="1" x="232"/>
        <item m="1" x="150"/>
        <item m="1" x="358"/>
        <item m="1" x="504"/>
        <item m="1" x="170"/>
        <item m="1" x="283"/>
        <item m="1" x="197"/>
        <item m="1" x="198"/>
        <item m="1" x="497"/>
        <item m="1" x="498"/>
        <item m="1" x="299"/>
        <item m="1" x="113"/>
        <item m="1" x="327"/>
        <item m="1" x="416"/>
        <item m="1" x="177"/>
        <item m="1" x="489"/>
        <item m="1" x="343"/>
        <item m="1" x="115"/>
        <item m="1" x="377"/>
        <item m="1" x="206"/>
        <item m="1" x="428"/>
        <item m="1" x="402"/>
        <item m="1" x="143"/>
        <item m="1" x="532"/>
        <item m="1" x="341"/>
        <item m="1" x="452"/>
        <item m="1" x="354"/>
        <item m="1" x="95"/>
        <item m="1" x="279"/>
        <item m="1" x="222"/>
        <item m="1" x="58"/>
        <item m="1" x="89"/>
        <item m="1" x="142"/>
        <item m="1" x="535"/>
        <item m="1" x="284"/>
        <item m="1" x="508"/>
        <item m="1" x="203"/>
        <item m="1" x="314"/>
        <item m="1" x="506"/>
        <item m="1" x="240"/>
        <item m="1" x="322"/>
        <item m="1" x="243"/>
        <item m="1" x="233"/>
        <item m="1" x="302"/>
        <item m="1" x="194"/>
        <item m="1" x="339"/>
        <item m="1" x="501"/>
        <item m="1" x="106"/>
        <item m="1" x="180"/>
        <item m="1" x="275"/>
        <item m="1" x="105"/>
        <item m="1" x="467"/>
        <item m="1" x="276"/>
        <item m="1" x="116"/>
        <item m="1" x="468"/>
        <item m="1" x="317"/>
        <item m="1" x="318"/>
        <item m="1" x="214"/>
        <item m="1" x="352"/>
        <item m="1" x="295"/>
        <item m="1" x="129"/>
        <item m="1" x="479"/>
        <item m="1" x="267"/>
        <item m="1" x="380"/>
        <item m="1" x="149"/>
        <item m="1" x="493"/>
        <item m="1" x="381"/>
        <item m="1" x="174"/>
        <item m="1" x="57"/>
        <item m="1" x="359"/>
        <item m="1" x="536"/>
        <item m="1" x="216"/>
        <item m="1" x="79"/>
        <item m="1" x="138"/>
        <item m="1" x="80"/>
        <item m="1" x="139"/>
        <item m="1" x="140"/>
        <item m="1" x="486"/>
        <item m="1" x="447"/>
        <item m="1" x="437"/>
        <item m="1" x="217"/>
        <item m="1" x="218"/>
        <item m="1" x="144"/>
        <item m="1" x="145"/>
        <item m="1" x="290"/>
        <item m="1" x="448"/>
        <item m="1" x="224"/>
        <item m="1" x="196"/>
        <item m="1" x="225"/>
        <item m="1" x="289"/>
        <item m="1" x="141"/>
        <item m="1" x="323"/>
        <item m="1" x="411"/>
        <item m="1" x="278"/>
        <item m="1" x="195"/>
        <item m="1" x="166"/>
        <item m="1" x="107"/>
        <item m="1" x="292"/>
        <item m="1" x="234"/>
        <item m="1" x="235"/>
        <item m="1" x="236"/>
        <item m="1" x="146"/>
        <item m="1" x="301"/>
        <item m="1" x="321"/>
        <item m="1" x="207"/>
        <item m="1" x="412"/>
        <item m="1" x="366"/>
        <item m="1" x="92"/>
        <item m="1" x="298"/>
        <item m="1" x="263"/>
        <item m="1" x="237"/>
        <item m="1" x="238"/>
        <item m="1" x="239"/>
        <item m="1" x="154"/>
        <item m="1" x="449"/>
        <item m="1" x="97"/>
        <item m="1" x="273"/>
        <item m="1" x="454"/>
        <item m="1" x="147"/>
        <item m="1" x="219"/>
        <item m="1" x="433"/>
        <item m="1" x="434"/>
        <item m="1" x="81"/>
        <item m="1" x="82"/>
        <item m="1" x="111"/>
        <item m="1" x="172"/>
        <item m="1" x="474"/>
        <item m="1" x="175"/>
        <item m="1" x="99"/>
        <item m="1" x="378"/>
        <item m="1" x="109"/>
        <item m="1" x="529"/>
        <item m="1" x="460"/>
        <item m="1" x="86"/>
        <item m="1" x="403"/>
        <item m="1" x="191"/>
        <item m="1" x="156"/>
        <item m="1" x="304"/>
        <item m="1" x="450"/>
        <item m="1" x="438"/>
        <item m="1" x="258"/>
        <item m="1" x="390"/>
        <item m="1" x="368"/>
        <item m="1" x="482"/>
        <item m="1" x="199"/>
        <item m="1" x="483"/>
        <item m="1" x="200"/>
        <item m="1" x="201"/>
        <item m="1" x="347"/>
        <item m="1" x="464"/>
        <item m="1" x="369"/>
        <item m="1" x="370"/>
        <item m="1" x="64"/>
        <item m="1" x="65"/>
        <item m="1" x="451"/>
        <item m="1" x="348"/>
        <item m="1" x="265"/>
        <item m="1" x="266"/>
        <item m="1" x="453"/>
        <item m="1" x="300"/>
        <item m="1" x="330"/>
        <item m="1" x="132"/>
        <item m="1" x="133"/>
        <item m="1" x="134"/>
        <item m="1" x="66"/>
        <item m="1" x="481"/>
        <item m="1" x="268"/>
        <item m="1" x="215"/>
        <item m="1" x="431"/>
        <item m="1" x="135"/>
        <item m="1" x="136"/>
        <item m="1" x="137"/>
        <item m="1" x="459"/>
        <item m="1" x="349"/>
        <item m="1" x="423"/>
        <item m="1" x="241"/>
        <item m="1" x="208"/>
        <item m="1" x="67"/>
        <item m="1" x="371"/>
        <item m="1" x="87"/>
        <item m="1" x="88"/>
        <item m="1" x="484"/>
        <item m="1" x="485"/>
        <item x="0"/>
        <item x="1"/>
        <item x="2"/>
        <item x="3"/>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m="1" x="391"/>
        <item x="38"/>
        <item x="39"/>
        <item m="1" x="424"/>
        <item m="1" x="285"/>
        <item m="1" x="286"/>
        <item m="1" x="521"/>
        <item m="1" x="522"/>
        <item m="1" x="212"/>
        <item m="1" x="261"/>
        <item m="1" x="413"/>
        <item x="45"/>
        <item x="46"/>
        <item x="47"/>
        <item x="48"/>
        <item x="49"/>
        <item x="50"/>
        <item x="51"/>
        <item x="52"/>
        <item x="53"/>
        <item x="54"/>
        <item x="55"/>
        <item x="56"/>
        <item x="37"/>
        <item x="40"/>
        <item x="41"/>
        <item x="42"/>
        <item x="43"/>
        <item x="44"/>
        <item t="default"/>
      </items>
    </pivotField>
    <pivotField axis="axisRow" showAll="0">
      <items count="110">
        <item m="1" x="32"/>
        <item x="1"/>
        <item m="1" x="68"/>
        <item m="1" x="45"/>
        <item m="1" x="16"/>
        <item m="1" x="108"/>
        <item m="1" x="103"/>
        <item m="1" x="56"/>
        <item m="1" x="29"/>
        <item m="1" x="26"/>
        <item m="1" x="66"/>
        <item m="1" x="37"/>
        <item m="1" x="51"/>
        <item m="1" x="100"/>
        <item m="1" x="33"/>
        <item m="1" x="73"/>
        <item m="1" x="42"/>
        <item m="1" x="82"/>
        <item m="1" x="20"/>
        <item m="1" x="81"/>
        <item m="1" x="80"/>
        <item m="1" x="106"/>
        <item m="1" x="91"/>
        <item m="1" x="86"/>
        <item m="1" x="64"/>
        <item m="1" x="76"/>
        <item m="1" x="78"/>
        <item m="1" x="96"/>
        <item m="1" x="95"/>
        <item m="1" x="74"/>
        <item m="1" x="84"/>
        <item m="1" x="67"/>
        <item m="1" x="79"/>
        <item m="1" x="46"/>
        <item m="1" x="43"/>
        <item m="1" x="94"/>
        <item m="1" x="54"/>
        <item m="1" x="27"/>
        <item m="1" x="24"/>
        <item m="1" x="63"/>
        <item m="1" x="70"/>
        <item m="1" x="52"/>
        <item m="1" x="102"/>
        <item m="1" x="23"/>
        <item m="1" x="34"/>
        <item m="1" x="19"/>
        <item m="1" x="39"/>
        <item m="1" x="83"/>
        <item m="1" x="18"/>
        <item m="1" x="22"/>
        <item m="1" x="59"/>
        <item m="1" x="77"/>
        <item m="1" x="62"/>
        <item m="1" x="60"/>
        <item m="1" x="40"/>
        <item m="1" x="93"/>
        <item m="1" x="50"/>
        <item m="1" x="99"/>
        <item m="1" x="97"/>
        <item m="1" x="47"/>
        <item m="1" x="55"/>
        <item m="1" x="30"/>
        <item m="1" x="17"/>
        <item m="1" x="38"/>
        <item m="1" x="14"/>
        <item m="1" x="57"/>
        <item m="1" x="49"/>
        <item m="1" x="48"/>
        <item m="1" x="85"/>
        <item m="1" x="53"/>
        <item m="1" x="104"/>
        <item m="1" x="31"/>
        <item m="1" x="28"/>
        <item m="1" x="25"/>
        <item m="1" x="58"/>
        <item m="1" x="75"/>
        <item m="1" x="69"/>
        <item m="1" x="65"/>
        <item m="1" x="15"/>
        <item m="1" x="89"/>
        <item m="1" x="105"/>
        <item m="1" x="71"/>
        <item m="1" x="90"/>
        <item m="1" x="35"/>
        <item m="1" x="101"/>
        <item m="1" x="107"/>
        <item m="1" x="92"/>
        <item m="1" x="72"/>
        <item m="1" x="21"/>
        <item m="1" x="41"/>
        <item m="1" x="44"/>
        <item m="1" x="88"/>
        <item m="1" x="61"/>
        <item m="1" x="87"/>
        <item m="1" x="98"/>
        <item m="1" x="36"/>
        <item x="0"/>
        <item x="2"/>
        <item x="3"/>
        <item x="4"/>
        <item x="5"/>
        <item x="6"/>
        <item x="7"/>
        <item x="8"/>
        <item x="9"/>
        <item x="10"/>
        <item x="11"/>
        <item x="12"/>
        <item x="13"/>
        <item t="default"/>
      </items>
    </pivotField>
    <pivotField axis="axisRow" showAll="0">
      <items count="15">
        <item m="1" x="13"/>
        <item x="1"/>
        <item m="1" x="7"/>
        <item x="0"/>
        <item x="2"/>
        <item x="3"/>
        <item x="4"/>
        <item x="5"/>
        <item m="1" x="9"/>
        <item m="1" x="10"/>
        <item m="1" x="12"/>
        <item m="1" x="11"/>
        <item m="1" x="8"/>
        <item x="6"/>
        <item t="default"/>
      </items>
    </pivotField>
    <pivotField axis="axisRow" showAll="0">
      <items count="435">
        <item m="1" x="70"/>
        <item m="1" x="381"/>
        <item m="1" x="379"/>
        <item m="1" x="320"/>
        <item m="1" x="249"/>
        <item m="1" x="426"/>
        <item m="1" x="142"/>
        <item m="1" x="94"/>
        <item m="1" x="391"/>
        <item m="1" x="409"/>
        <item m="1" x="291"/>
        <item m="1" x="102"/>
        <item m="1" x="125"/>
        <item m="1" x="428"/>
        <item m="1" x="240"/>
        <item m="1" x="330"/>
        <item m="1" x="280"/>
        <item m="1" x="146"/>
        <item m="1" x="262"/>
        <item m="1" x="318"/>
        <item m="1" x="314"/>
        <item m="1" x="419"/>
        <item m="1" x="334"/>
        <item m="1" x="225"/>
        <item m="1" x="338"/>
        <item m="1" x="377"/>
        <item m="1" x="420"/>
        <item m="1" x="160"/>
        <item m="1" x="400"/>
        <item m="1" x="161"/>
        <item m="1" x="346"/>
        <item m="1" x="222"/>
        <item m="1" x="245"/>
        <item m="1" x="370"/>
        <item m="1" x="250"/>
        <item m="1" x="100"/>
        <item m="1" x="188"/>
        <item m="1" x="339"/>
        <item m="1" x="251"/>
        <item m="1" x="289"/>
        <item m="1" x="124"/>
        <item m="1" x="104"/>
        <item m="1" x="272"/>
        <item m="1" x="155"/>
        <item m="1" x="85"/>
        <item m="1" x="174"/>
        <item m="1" x="228"/>
        <item m="1" x="324"/>
        <item m="1" x="229"/>
        <item m="1" x="423"/>
        <item m="1" x="388"/>
        <item m="1" x="132"/>
        <item m="1" x="259"/>
        <item m="1" x="226"/>
        <item m="1" x="224"/>
        <item m="1" x="347"/>
        <item m="1" x="385"/>
        <item m="1" x="77"/>
        <item m="1" x="402"/>
        <item m="1" x="348"/>
        <item m="1" x="105"/>
        <item m="1" x="149"/>
        <item m="1" x="231"/>
        <item m="1" x="425"/>
        <item m="1" x="299"/>
        <item m="1" x="79"/>
        <item x="0"/>
        <item m="1" x="403"/>
        <item m="1" x="130"/>
        <item m="1" x="148"/>
        <item m="1" x="182"/>
        <item m="1" x="234"/>
        <item m="1" x="236"/>
        <item m="1" x="76"/>
        <item m="1" x="304"/>
        <item m="1" x="119"/>
        <item m="1" x="181"/>
        <item m="1" x="185"/>
        <item m="1" x="317"/>
        <item m="1" x="349"/>
        <item m="1" x="192"/>
        <item m="1" x="186"/>
        <item m="1" x="150"/>
        <item m="1" x="207"/>
        <item m="1" x="392"/>
        <item m="1" x="313"/>
        <item m="1" x="293"/>
        <item m="1" x="81"/>
        <item m="1" x="193"/>
        <item m="1" x="196"/>
        <item m="1" x="355"/>
        <item m="1" x="183"/>
        <item m="1" x="319"/>
        <item m="1" x="84"/>
        <item m="1" x="278"/>
        <item m="1" x="235"/>
        <item m="1" x="147"/>
        <item m="1" x="246"/>
        <item m="1" x="166"/>
        <item m="1" x="359"/>
        <item m="1" x="335"/>
        <item m="1" x="191"/>
        <item m="1" x="129"/>
        <item m="1" x="164"/>
        <item m="1" x="308"/>
        <item m="1" x="167"/>
        <item m="1" x="115"/>
        <item m="1" x="430"/>
        <item m="1" x="187"/>
        <item m="1" x="394"/>
        <item m="1" x="180"/>
        <item m="1" x="311"/>
        <item m="1" x="189"/>
        <item m="1" x="190"/>
        <item m="1" x="395"/>
        <item m="1" x="353"/>
        <item m="1" x="386"/>
        <item m="1" x="354"/>
        <item m="1" x="312"/>
        <item m="1" x="158"/>
        <item m="1" x="283"/>
        <item m="1" x="165"/>
        <item m="1" x="387"/>
        <item m="1" x="307"/>
        <item m="1" x="396"/>
        <item m="1" x="230"/>
        <item m="1" x="199"/>
        <item m="1" x="284"/>
        <item m="1" x="433"/>
        <item m="1" x="126"/>
        <item m="1" x="195"/>
        <item m="1" x="414"/>
        <item m="1" x="244"/>
        <item m="1" x="238"/>
        <item m="1" x="309"/>
        <item m="1" x="356"/>
        <item m="1" x="209"/>
        <item m="1" x="173"/>
        <item m="1" x="305"/>
        <item m="1" x="122"/>
        <item m="1" x="175"/>
        <item m="1" x="223"/>
        <item m="1" x="340"/>
        <item m="1" x="239"/>
        <item m="1" x="176"/>
        <item m="1" x="254"/>
        <item m="1" x="344"/>
        <item m="1" x="408"/>
        <item m="1" x="194"/>
        <item m="1" x="177"/>
        <item m="1" x="171"/>
        <item m="1" x="337"/>
        <item m="1" x="133"/>
        <item m="1" x="372"/>
        <item m="1" x="121"/>
        <item m="1" x="237"/>
        <item m="1" x="294"/>
        <item m="1" x="136"/>
        <item m="1" x="371"/>
        <item m="1" x="365"/>
        <item m="1" x="131"/>
        <item m="1" x="375"/>
        <item m="1" x="112"/>
        <item m="1" x="374"/>
        <item m="1" x="153"/>
        <item m="1" x="364"/>
        <item m="1" x="367"/>
        <item m="1" x="366"/>
        <item m="1" x="376"/>
        <item m="1" x="360"/>
        <item m="1" x="221"/>
        <item m="1" x="134"/>
        <item m="1" x="326"/>
        <item m="1" x="110"/>
        <item m="1" x="203"/>
        <item m="1" x="310"/>
        <item m="1" x="152"/>
        <item m="1" x="327"/>
        <item m="1" x="219"/>
        <item m="1" x="206"/>
        <item m="1" x="220"/>
        <item m="1" x="163"/>
        <item m="1" x="96"/>
        <item m="1" x="88"/>
        <item m="1" x="93"/>
        <item m="1" x="95"/>
        <item m="1" x="232"/>
        <item m="1" x="168"/>
        <item m="1" x="116"/>
        <item m="1" x="184"/>
        <item m="1" x="89"/>
        <item m="1" x="92"/>
        <item m="1" x="432"/>
        <item m="1" x="415"/>
        <item m="1" x="179"/>
        <item m="1" x="271"/>
        <item m="1" x="233"/>
        <item m="1" x="257"/>
        <item m="1" x="303"/>
        <item m="1" x="109"/>
        <item m="1" x="424"/>
        <item m="1" x="361"/>
        <item m="1" x="78"/>
        <item m="1" x="113"/>
        <item m="1" x="401"/>
        <item m="1" x="315"/>
        <item m="1" x="172"/>
        <item m="1" x="114"/>
        <item m="1" x="281"/>
        <item m="1" x="328"/>
        <item m="1" x="412"/>
        <item m="1" x="378"/>
        <item m="1" x="137"/>
        <item m="1" x="405"/>
        <item m="1" x="333"/>
        <item m="1" x="406"/>
        <item m="1" x="87"/>
        <item m="1" x="243"/>
        <item m="1" x="411"/>
        <item m="1" x="111"/>
        <item m="1" x="295"/>
        <item m="1" x="277"/>
        <item m="1" x="268"/>
        <item m="1" x="286"/>
        <item m="1" x="287"/>
        <item m="1" x="241"/>
        <item m="1" x="322"/>
        <item m="1" x="298"/>
        <item m="1" x="261"/>
        <item m="1" x="275"/>
        <item m="1" x="270"/>
        <item m="1" x="288"/>
        <item m="1" x="255"/>
        <item m="1" x="397"/>
        <item m="1" x="266"/>
        <item m="1" x="156"/>
        <item m="1" x="218"/>
        <item m="1" x="369"/>
        <item m="1" x="135"/>
        <item m="1" x="297"/>
        <item m="1" x="157"/>
        <item m="1" x="398"/>
        <item m="1" x="373"/>
        <item m="1" x="399"/>
        <item m="1" x="421"/>
        <item m="1" x="279"/>
        <item m="1" x="82"/>
        <item m="1" x="162"/>
        <item m="1" x="227"/>
        <item m="1" x="74"/>
        <item m="1" x="265"/>
        <item m="1" x="73"/>
        <item m="1" x="86"/>
        <item m="1" x="83"/>
        <item m="1" x="128"/>
        <item m="1" x="140"/>
        <item m="1" x="363"/>
        <item m="1" x="282"/>
        <item m="1" x="91"/>
        <item m="1" x="302"/>
        <item m="1" x="205"/>
        <item m="1" x="410"/>
        <item m="1" x="382"/>
        <item m="1" x="368"/>
        <item m="1" x="106"/>
        <item m="1" x="145"/>
        <item m="1" x="383"/>
        <item m="1" x="117"/>
        <item m="1" x="99"/>
        <item m="1" x="393"/>
        <item m="1" x="384"/>
        <item m="1" x="325"/>
        <item m="1" x="217"/>
        <item m="1" x="362"/>
        <item m="1" x="108"/>
        <item m="1" x="390"/>
        <item m="1" x="357"/>
        <item m="1" x="103"/>
        <item m="1" x="358"/>
        <item m="1" x="138"/>
        <item m="1" x="80"/>
        <item m="1" x="120"/>
        <item m="1" x="143"/>
        <item m="1" x="321"/>
        <item m="1" x="407"/>
        <item m="1" x="202"/>
        <item m="1" x="316"/>
        <item m="1" x="212"/>
        <item m="1" x="301"/>
        <item m="1" x="214"/>
        <item m="1" x="98"/>
        <item m="1" x="200"/>
        <item m="1" x="204"/>
        <item m="1" x="201"/>
        <item m="1" x="213"/>
        <item m="1" x="198"/>
        <item m="1" x="352"/>
        <item m="1" x="90"/>
        <item m="1" x="169"/>
        <item m="1" x="75"/>
        <item m="1" x="343"/>
        <item m="1" x="389"/>
        <item m="1" x="97"/>
        <item m="1" x="170"/>
        <item m="1" x="350"/>
        <item m="1" x="345"/>
        <item m="1" x="351"/>
        <item x="59"/>
        <item x="60"/>
        <item x="61"/>
        <item x="62"/>
        <item x="63"/>
        <item x="64"/>
        <item x="65"/>
        <item x="66"/>
        <item x="67"/>
        <item x="68"/>
        <item x="69"/>
        <item m="1" x="323"/>
        <item x="2"/>
        <item x="3"/>
        <item m="1" x="118"/>
        <item m="1" x="139"/>
        <item m="1" x="341"/>
        <item m="1" x="107"/>
        <item x="1"/>
        <item m="1" x="123"/>
        <item m="1" x="154"/>
        <item m="1" x="127"/>
        <item m="1" x="416"/>
        <item m="1" x="300"/>
        <item m="1" x="431"/>
        <item m="1" x="404"/>
        <item m="1" x="101"/>
        <item m="1" x="296"/>
        <item x="4"/>
        <item x="5"/>
        <item x="6"/>
        <item x="7"/>
        <item x="8"/>
        <item x="9"/>
        <item x="10"/>
        <item x="11"/>
        <item m="1" x="285"/>
        <item m="1" x="427"/>
        <item m="1" x="258"/>
        <item m="1" x="263"/>
        <item m="1" x="332"/>
        <item m="1" x="429"/>
        <item m="1" x="276"/>
        <item m="1" x="264"/>
        <item m="1" x="144"/>
        <item m="1" x="336"/>
        <item m="1" x="197"/>
        <item m="1" x="151"/>
        <item m="1" x="260"/>
        <item m="1" x="247"/>
        <item m="1" x="252"/>
        <item m="1" x="329"/>
        <item m="1" x="269"/>
        <item m="1" x="267"/>
        <item m="1" x="248"/>
        <item m="1" x="417"/>
        <item m="1" x="159"/>
        <item m="1" x="418"/>
        <item m="1" x="331"/>
        <item m="1" x="253"/>
        <item m="1" x="306"/>
        <item m="1" x="274"/>
        <item m="1" x="290"/>
        <item m="1" x="273"/>
        <item x="43"/>
        <item x="44"/>
        <item m="1" x="210"/>
        <item m="1" x="342"/>
        <item m="1" x="178"/>
        <item m="1" x="413"/>
        <item m="1" x="211"/>
        <item m="1" x="72"/>
        <item m="1" x="215"/>
        <item m="1" x="208"/>
        <item m="1" x="422"/>
        <item x="54"/>
        <item m="1" x="141"/>
        <item m="1" x="256"/>
        <item m="1" x="292"/>
        <item m="1" x="216"/>
        <item m="1" x="71"/>
        <item x="12"/>
        <item x="13"/>
        <item x="14"/>
        <item x="15"/>
        <item x="16"/>
        <item x="17"/>
        <item x="18"/>
        <item x="19"/>
        <item x="20"/>
        <item x="21"/>
        <item x="22"/>
        <item x="23"/>
        <item x="24"/>
        <item x="36"/>
        <item x="37"/>
        <item x="38"/>
        <item x="39"/>
        <item x="40"/>
        <item x="41"/>
        <item m="1" x="380"/>
        <item x="45"/>
        <item x="46"/>
        <item x="47"/>
        <item x="48"/>
        <item m="1" x="242"/>
        <item x="50"/>
        <item x="51"/>
        <item x="52"/>
        <item x="53"/>
        <item x="25"/>
        <item x="26"/>
        <item x="27"/>
        <item x="28"/>
        <item x="29"/>
        <item x="30"/>
        <item x="31"/>
        <item x="32"/>
        <item x="33"/>
        <item x="34"/>
        <item x="35"/>
        <item x="42"/>
        <item x="49"/>
        <item x="55"/>
        <item x="56"/>
        <item x="57"/>
        <item x="58"/>
        <item t="default"/>
      </items>
    </pivotField>
    <pivotField axis="axisRow" showAll="0">
      <items count="263">
        <item m="1" x="17"/>
        <item m="1" x="223"/>
        <item m="1" x="36"/>
        <item m="1" x="56"/>
        <item m="1" x="20"/>
        <item m="1" x="240"/>
        <item m="1" x="43"/>
        <item m="1" x="55"/>
        <item m="1" x="212"/>
        <item m="1" x="248"/>
        <item m="1" x="249"/>
        <item m="1" x="93"/>
        <item m="1" x="122"/>
        <item m="1" x="67"/>
        <item m="1" x="48"/>
        <item m="1" x="89"/>
        <item m="1" x="90"/>
        <item m="1" x="245"/>
        <item m="1" x="83"/>
        <item m="1" x="190"/>
        <item m="1" x="199"/>
        <item m="1" x="75"/>
        <item m="1" x="37"/>
        <item m="1" x="198"/>
        <item m="1" x="124"/>
        <item m="1" x="68"/>
        <item m="1" x="25"/>
        <item m="1" x="27"/>
        <item m="1" x="31"/>
        <item m="1" x="69"/>
        <item m="1" x="231"/>
        <item m="1" x="115"/>
        <item m="1" x="165"/>
        <item m="1" x="250"/>
        <item m="1" x="161"/>
        <item m="1" x="257"/>
        <item m="1" x="185"/>
        <item m="1" x="45"/>
        <item m="1" x="40"/>
        <item m="1" x="200"/>
        <item m="1" x="183"/>
        <item m="1" x="252"/>
        <item x="0"/>
        <item m="1" x="94"/>
        <item m="1" x="26"/>
        <item m="1" x="92"/>
        <item m="1" x="171"/>
        <item m="1" x="41"/>
        <item m="1" x="107"/>
        <item m="1" x="42"/>
        <item m="1" x="256"/>
        <item m="1" x="73"/>
        <item m="1" x="74"/>
        <item m="1" x="44"/>
        <item m="1" x="208"/>
        <item m="1" x="187"/>
        <item m="1" x="135"/>
        <item m="1" x="202"/>
        <item m="1" x="203"/>
        <item m="1" x="172"/>
        <item m="1" x="104"/>
        <item m="1" x="206"/>
        <item m="1" x="136"/>
        <item m="1" x="106"/>
        <item m="1" x="217"/>
        <item m="1" x="195"/>
        <item m="1" x="188"/>
        <item m="1" x="207"/>
        <item m="1" x="129"/>
        <item m="1" x="218"/>
        <item m="1" x="189"/>
        <item m="1" x="164"/>
        <item m="1" x="230"/>
        <item m="1" x="103"/>
        <item m="1" x="82"/>
        <item m="1" x="130"/>
        <item m="1" x="170"/>
        <item m="1" x="224"/>
        <item m="1" x="193"/>
        <item m="1" x="163"/>
        <item m="1" x="153"/>
        <item m="1" x="175"/>
        <item m="1" x="30"/>
        <item m="1" x="123"/>
        <item m="1" x="102"/>
        <item m="1" x="38"/>
        <item m="1" x="174"/>
        <item m="1" x="110"/>
        <item m="1" x="237"/>
        <item m="1" x="242"/>
        <item m="1" x="84"/>
        <item m="1" x="210"/>
        <item m="1" x="211"/>
        <item m="1" x="247"/>
        <item m="1" x="228"/>
        <item m="1" x="28"/>
        <item m="1" x="241"/>
        <item m="1" x="50"/>
        <item m="1" x="51"/>
        <item m="1" x="57"/>
        <item m="1" x="213"/>
        <item m="1" x="76"/>
        <item m="1" x="32"/>
        <item m="1" x="128"/>
        <item m="1" x="121"/>
        <item m="1" x="253"/>
        <item m="1" x="29"/>
        <item m="1" x="227"/>
        <item m="1" x="105"/>
        <item m="1" x="155"/>
        <item m="1" x="259"/>
        <item m="1" x="46"/>
        <item m="1" x="114"/>
        <item m="1" x="243"/>
        <item m="1" x="222"/>
        <item m="1" x="33"/>
        <item m="1" x="35"/>
        <item m="1" x="111"/>
        <item m="1" x="258"/>
        <item m="1" x="108"/>
        <item m="1" x="251"/>
        <item m="1" x="53"/>
        <item m="1" x="66"/>
        <item m="1" x="116"/>
        <item m="1" x="235"/>
        <item m="1" x="143"/>
        <item m="1" x="22"/>
        <item m="1" x="191"/>
        <item m="1" x="18"/>
        <item m="1" x="225"/>
        <item m="1" x="87"/>
        <item m="1" x="131"/>
        <item m="1" x="132"/>
        <item m="1" x="260"/>
        <item m="1" x="99"/>
        <item m="1" x="145"/>
        <item m="1" x="214"/>
        <item m="1" x="156"/>
        <item m="1" x="157"/>
        <item m="1" x="58"/>
        <item m="1" x="77"/>
        <item m="1" x="176"/>
        <item m="1" x="179"/>
        <item m="1" x="150"/>
        <item m="1" x="137"/>
        <item m="1" x="238"/>
        <item m="1" x="146"/>
        <item m="1" x="70"/>
        <item m="1" x="72"/>
        <item m="1" x="168"/>
        <item m="1" x="147"/>
        <item m="1" x="219"/>
        <item m="1" x="95"/>
        <item m="1" x="112"/>
        <item m="1" x="60"/>
        <item m="1" x="194"/>
        <item m="1" x="196"/>
        <item m="1" x="85"/>
        <item m="1" x="139"/>
        <item m="1" x="79"/>
        <item m="1" x="118"/>
        <item m="1" x="233"/>
        <item m="1" x="254"/>
        <item m="1" x="62"/>
        <item m="1" x="181"/>
        <item m="1" x="63"/>
        <item m="1" x="182"/>
        <item m="1" x="154"/>
        <item m="1" x="109"/>
        <item m="1" x="64"/>
        <item m="1" x="204"/>
        <item m="1" x="65"/>
        <item m="1" x="205"/>
        <item m="1" x="186"/>
        <item m="1" x="117"/>
        <item m="1" x="236"/>
        <item m="1" x="144"/>
        <item m="1" x="23"/>
        <item m="1" x="192"/>
        <item m="1" x="19"/>
        <item m="1" x="226"/>
        <item m="1" x="88"/>
        <item m="1" x="133"/>
        <item m="1" x="134"/>
        <item m="1" x="261"/>
        <item m="1" x="100"/>
        <item m="1" x="184"/>
        <item m="1" x="215"/>
        <item m="1" x="158"/>
        <item m="1" x="159"/>
        <item m="1" x="59"/>
        <item m="1" x="78"/>
        <item m="1" x="177"/>
        <item m="1" x="180"/>
        <item m="1" x="151"/>
        <item m="1" x="138"/>
        <item m="1" x="239"/>
        <item m="1" x="209"/>
        <item m="1" x="148"/>
        <item m="1" x="71"/>
        <item m="1" x="54"/>
        <item m="1" x="169"/>
        <item m="1" x="149"/>
        <item m="1" x="220"/>
        <item m="1" x="96"/>
        <item m="1" x="113"/>
        <item m="1" x="61"/>
        <item m="1" x="97"/>
        <item m="1" x="197"/>
        <item m="1" x="86"/>
        <item m="1" x="140"/>
        <item m="1" x="80"/>
        <item m="1" x="119"/>
        <item m="1" x="234"/>
        <item m="1" x="255"/>
        <item x="1"/>
        <item x="2"/>
        <item x="3"/>
        <item x="4"/>
        <item x="5"/>
        <item x="6"/>
        <item x="7"/>
        <item x="8"/>
        <item x="9"/>
        <item x="10"/>
        <item x="11"/>
        <item x="12"/>
        <item m="1" x="34"/>
        <item m="1" x="125"/>
        <item m="1" x="126"/>
        <item m="1" x="141"/>
        <item m="1" x="52"/>
        <item m="1" x="229"/>
        <item m="1" x="39"/>
        <item m="1" x="166"/>
        <item m="1" x="167"/>
        <item m="1" x="244"/>
        <item m="1" x="21"/>
        <item m="1" x="216"/>
        <item m="1" x="221"/>
        <item m="1" x="162"/>
        <item m="1" x="142"/>
        <item m="1" x="98"/>
        <item m="1" x="178"/>
        <item x="13"/>
        <item x="14"/>
        <item m="1" x="232"/>
        <item m="1" x="201"/>
        <item m="1" x="160"/>
        <item m="1" x="47"/>
        <item m="1" x="49"/>
        <item m="1" x="81"/>
        <item m="1" x="246"/>
        <item m="1" x="173"/>
        <item m="1" x="120"/>
        <item x="15"/>
        <item m="1" x="152"/>
        <item m="1" x="24"/>
        <item m="1" x="101"/>
        <item m="1" x="91"/>
        <item m="1" x="127"/>
        <item x="16"/>
        <item t="default"/>
      </items>
    </pivotField>
    <pivotField axis="axisRow" showAll="0">
      <items count="28">
        <item m="1" x="4"/>
        <item m="1" x="19"/>
        <item m="1" x="7"/>
        <item m="1" x="25"/>
        <item x="0"/>
        <item m="1" x="26"/>
        <item m="1" x="10"/>
        <item m="1" x="17"/>
        <item m="1" x="9"/>
        <item m="1" x="8"/>
        <item m="1" x="20"/>
        <item m="1" x="11"/>
        <item m="1" x="15"/>
        <item m="1" x="16"/>
        <item m="1" x="22"/>
        <item m="1" x="18"/>
        <item m="1" x="21"/>
        <item m="1" x="23"/>
        <item m="1" x="24"/>
        <item m="1" x="5"/>
        <item m="1" x="13"/>
        <item m="1" x="14"/>
        <item x="1"/>
        <item x="2"/>
        <item x="3"/>
        <item m="1" x="6"/>
        <item m="1" x="12"/>
        <item t="default"/>
      </items>
    </pivotField>
    <pivotField axis="axisRow" showAll="0">
      <items count="6">
        <item m="1" x="1"/>
        <item x="0"/>
        <item m="1" x="3"/>
        <item m="1" x="4"/>
        <item m="1" x="2"/>
        <item t="default"/>
      </items>
    </pivotField>
    <pivotField axis="axisRow" showAll="0" defaultSubtotal="0">
      <items count="273">
        <item m="1" x="19"/>
        <item m="1" x="232"/>
        <item m="1" x="66"/>
        <item m="1" x="158"/>
        <item m="1" x="27"/>
        <item m="1" x="61"/>
        <item m="1" x="40"/>
        <item m="1" x="148"/>
        <item m="1" x="142"/>
        <item m="1" x="100"/>
        <item m="1" x="30"/>
        <item m="1" x="85"/>
        <item m="1" x="53"/>
        <item m="1" x="25"/>
        <item m="1" x="57"/>
        <item m="1" x="84"/>
        <item m="1" x="178"/>
        <item m="1" x="87"/>
        <item m="1" x="208"/>
        <item m="1" x="231"/>
        <item m="1" x="218"/>
        <item m="1" x="108"/>
        <item m="1" x="228"/>
        <item m="1" x="71"/>
        <item m="1" x="62"/>
        <item m="1" x="131"/>
        <item m="1" x="150"/>
        <item m="1" x="236"/>
        <item m="1" x="128"/>
        <item m="1" x="240"/>
        <item m="1" x="179"/>
        <item m="1" x="266"/>
        <item m="1" x="225"/>
        <item m="1" x="200"/>
        <item m="1" x="37"/>
        <item m="1" x="249"/>
        <item m="1" x="259"/>
        <item m="1" x="180"/>
        <item m="1" x="90"/>
        <item m="1" x="92"/>
        <item m="1" x="86"/>
        <item x="0"/>
        <item m="1" x="29"/>
        <item m="1" x="190"/>
        <item m="1" x="103"/>
        <item m="1" x="42"/>
        <item m="1" x="241"/>
        <item m="1" x="176"/>
        <item m="1" x="242"/>
        <item m="1" x="217"/>
        <item m="1" x="174"/>
        <item m="1" x="43"/>
        <item m="1" x="268"/>
        <item m="1" x="38"/>
        <item m="1" x="219"/>
        <item m="1" x="263"/>
        <item m="1" x="69"/>
        <item m="1" x="96"/>
        <item m="1" x="262"/>
        <item m="1" x="125"/>
        <item m="1" x="216"/>
        <item m="1" x="60"/>
        <item m="1" x="20"/>
        <item m="1" x="221"/>
        <item m="1" x="198"/>
        <item m="1" x="233"/>
        <item m="1" x="83"/>
        <item m="1" x="255"/>
        <item m="1" x="183"/>
        <item m="1" x="124"/>
        <item m="1" x="105"/>
        <item m="1" x="132"/>
        <item m="1" x="145"/>
        <item m="1" x="28"/>
        <item m="1" x="269"/>
        <item m="1" x="91"/>
        <item m="1" x="109"/>
        <item m="1" x="33"/>
        <item m="1" x="143"/>
        <item m="1" x="113"/>
        <item m="1" x="270"/>
        <item m="1" x="44"/>
        <item m="1" x="56"/>
        <item m="1" x="151"/>
        <item m="1" x="162"/>
        <item m="1" x="235"/>
        <item m="1" x="203"/>
        <item m="1" x="107"/>
        <item m="1" x="204"/>
        <item m="1" x="182"/>
        <item m="1" x="226"/>
        <item m="1" x="72"/>
        <item m="1" x="79"/>
        <item m="1" x="161"/>
        <item m="1" x="184"/>
        <item m="1" x="212"/>
        <item m="1" x="58"/>
        <item m="1" x="133"/>
        <item m="1" x="147"/>
        <item m="1" x="146"/>
        <item m="1" x="172"/>
        <item m="1" x="104"/>
        <item m="1" x="64"/>
        <item m="1" x="205"/>
        <item m="1" x="111"/>
        <item m="1" x="206"/>
        <item m="1" x="213"/>
        <item m="1" x="139"/>
        <item m="1" x="155"/>
        <item m="1" x="264"/>
        <item m="1" x="156"/>
        <item m="1" x="67"/>
        <item m="1" x="260"/>
        <item m="1" x="52"/>
        <item m="1" x="46"/>
        <item m="1" x="94"/>
        <item m="1" x="244"/>
        <item m="1" x="65"/>
        <item m="1" x="250"/>
        <item m="1" x="115"/>
        <item m="1" x="220"/>
        <item m="1" x="254"/>
        <item m="1" x="223"/>
        <item m="1" x="75"/>
        <item m="1" x="187"/>
        <item m="1" x="230"/>
        <item m="1" x="135"/>
        <item m="1" x="137"/>
        <item m="1" x="26"/>
        <item m="1" x="144"/>
        <item m="1" x="227"/>
        <item m="1" x="195"/>
        <item m="1" x="138"/>
        <item m="1" x="48"/>
        <item m="1" x="164"/>
        <item m="1" x="88"/>
        <item m="1" x="21"/>
        <item m="1" x="202"/>
        <item m="1" x="214"/>
        <item m="1" x="73"/>
        <item m="1" x="63"/>
        <item m="1" x="140"/>
        <item m="1" x="181"/>
        <item m="1" x="102"/>
        <item m="1" x="59"/>
        <item m="1" x="126"/>
        <item m="1" x="197"/>
        <item m="1" x="167"/>
        <item m="1" x="141"/>
        <item m="1" x="149"/>
        <item m="1" x="267"/>
        <item m="1" x="70"/>
        <item m="1" x="136"/>
        <item m="1" x="157"/>
        <item m="1" x="45"/>
        <item m="1" x="95"/>
        <item m="1" x="114"/>
        <item m="1" x="130"/>
        <item m="1" x="265"/>
        <item m="1" x="39"/>
        <item m="1" x="215"/>
        <item m="1" x="55"/>
        <item m="1" x="211"/>
        <item m="1" x="169"/>
        <item m="1" x="257"/>
        <item m="1" x="170"/>
        <item m="1" x="258"/>
        <item m="1" x="224"/>
        <item m="1" x="76"/>
        <item m="1" x="188"/>
        <item m="1" x="272"/>
        <item m="1" x="127"/>
        <item m="1" x="51"/>
        <item m="1" x="177"/>
        <item m="1" x="41"/>
        <item m="1" x="193"/>
        <item m="1" x="239"/>
        <item m="1" x="22"/>
        <item m="1" x="234"/>
        <item m="1" x="165"/>
        <item m="1" x="89"/>
        <item m="1" x="168"/>
        <item m="1" x="32"/>
        <item m="1" x="98"/>
        <item m="1" x="99"/>
        <item m="1" x="237"/>
        <item m="1" x="248"/>
        <item m="1" x="119"/>
        <item m="1" x="82"/>
        <item m="1" x="47"/>
        <item m="1" x="68"/>
        <item m="1" x="78"/>
        <item m="1" x="35"/>
        <item m="1" x="186"/>
        <item m="1" x="118"/>
        <item m="1" x="209"/>
        <item m="1" x="116"/>
        <item m="1" x="192"/>
        <item m="1" x="80"/>
        <item m="1" x="153"/>
        <item m="1" x="185"/>
        <item m="1" x="222"/>
        <item m="1" x="247"/>
        <item m="1" x="271"/>
        <item m="1" x="238"/>
        <item m="1" x="54"/>
        <item m="1" x="207"/>
        <item m="1" x="166"/>
        <item m="1" x="210"/>
        <item x="2"/>
        <item m="1" x="121"/>
        <item x="4"/>
        <item m="1" x="122"/>
        <item m="1" x="23"/>
        <item m="1" x="256"/>
        <item x="1"/>
        <item m="1" x="173"/>
        <item m="1" x="245"/>
        <item m="1" x="251"/>
        <item m="1" x="175"/>
        <item m="1" x="74"/>
        <item m="1" x="24"/>
        <item m="1" x="123"/>
        <item m="1" x="117"/>
        <item m="1" x="110"/>
        <item m="1" x="129"/>
        <item m="1" x="112"/>
        <item m="1" x="171"/>
        <item x="3"/>
        <item x="5"/>
        <item x="6"/>
        <item x="7"/>
        <item x="8"/>
        <item x="9"/>
        <item x="10"/>
        <item x="11"/>
        <item x="12"/>
        <item x="13"/>
        <item x="14"/>
        <item m="1" x="106"/>
        <item m="1" x="93"/>
        <item m="1" x="120"/>
        <item m="1" x="31"/>
        <item m="1" x="154"/>
        <item m="1" x="152"/>
        <item m="1" x="261"/>
        <item m="1" x="252"/>
        <item m="1" x="159"/>
        <item m="1" x="194"/>
        <item m="1" x="229"/>
        <item m="1" x="36"/>
        <item m="1" x="163"/>
        <item m="1" x="97"/>
        <item m="1" x="101"/>
        <item m="1" x="34"/>
        <item x="15"/>
        <item x="16"/>
        <item m="1" x="199"/>
        <item m="1" x="246"/>
        <item m="1" x="201"/>
        <item m="1" x="253"/>
        <item m="1" x="81"/>
        <item m="1" x="196"/>
        <item m="1" x="50"/>
        <item m="1" x="49"/>
        <item m="1" x="243"/>
        <item x="17"/>
        <item m="1" x="77"/>
        <item m="1" x="189"/>
        <item m="1" x="160"/>
        <item m="1" x="134"/>
        <item m="1" x="191"/>
        <item x="18"/>
      </items>
    </pivotField>
    <pivotField axis="axisRow" showAll="0" defaultSubtotal="0">
      <items count="210">
        <item m="1" x="15"/>
        <item m="1" x="25"/>
        <item m="1" x="18"/>
        <item m="1" x="74"/>
        <item m="1" x="176"/>
        <item m="1" x="199"/>
        <item m="1" x="127"/>
        <item m="1" x="195"/>
        <item m="1" x="158"/>
        <item m="1" x="167"/>
        <item m="1" x="149"/>
        <item m="1" x="92"/>
        <item m="1" x="93"/>
        <item m="1" x="99"/>
        <item m="1" x="79"/>
        <item m="1" x="39"/>
        <item m="1" x="209"/>
        <item m="1" x="151"/>
        <item m="1" x="152"/>
        <item m="1" x="54"/>
        <item m="1" x="38"/>
        <item m="1" x="85"/>
        <item m="1" x="169"/>
        <item m="1" x="43"/>
        <item m="1" x="200"/>
        <item m="1" x="116"/>
        <item m="1" x="103"/>
        <item m="1" x="189"/>
        <item m="1" x="128"/>
        <item m="1" x="207"/>
        <item m="1" x="182"/>
        <item m="1" x="155"/>
        <item m="1" x="102"/>
        <item m="1" x="119"/>
        <item m="1" x="132"/>
        <item m="1" x="173"/>
        <item m="1" x="42"/>
        <item m="1" x="27"/>
        <item m="1" x="47"/>
        <item m="1" x="190"/>
        <item x="0"/>
        <item m="1" x="30"/>
        <item m="1" x="131"/>
        <item m="1" x="208"/>
        <item m="1" x="73"/>
        <item m="1" x="140"/>
        <item m="1" x="29"/>
        <item m="1" x="180"/>
        <item m="1" x="161"/>
        <item m="1" x="33"/>
        <item m="1" x="34"/>
        <item m="1" x="52"/>
        <item m="1" x="81"/>
        <item m="1" x="89"/>
        <item m="1" x="191"/>
        <item m="1" x="135"/>
        <item m="1" x="136"/>
        <item m="1" x="197"/>
        <item m="1" x="150"/>
        <item m="1" x="64"/>
        <item m="1" x="35"/>
        <item m="1" x="205"/>
        <item m="1" x="65"/>
        <item m="1" x="76"/>
        <item m="1" x="164"/>
        <item m="1" x="49"/>
        <item m="1" x="108"/>
        <item m="1" x="125"/>
        <item m="1" x="61"/>
        <item m="1" x="22"/>
        <item m="1" x="105"/>
        <item m="1" x="106"/>
        <item m="1" x="57"/>
        <item m="1" x="71"/>
        <item m="1" x="69"/>
        <item m="1" x="118"/>
        <item m="1" x="82"/>
        <item m="1" x="162"/>
        <item m="1" x="44"/>
        <item m="1" x="184"/>
        <item m="1" x="120"/>
        <item m="1" x="107"/>
        <item m="1" x="62"/>
        <item m="1" x="67"/>
        <item m="1" x="78"/>
        <item m="1" x="201"/>
        <item m="1" x="121"/>
        <item m="1" x="95"/>
        <item m="1" x="83"/>
        <item m="1" x="84"/>
        <item m="1" x="133"/>
        <item m="1" x="147"/>
        <item m="1" x="157"/>
        <item m="1" x="142"/>
        <item m="1" x="112"/>
        <item m="1" x="113"/>
        <item m="1" x="194"/>
        <item m="1" x="21"/>
        <item m="1" x="111"/>
        <item m="1" x="171"/>
        <item m="1" x="80"/>
        <item m="1" x="53"/>
        <item m="1" x="202"/>
        <item m="1" x="177"/>
        <item m="1" x="104"/>
        <item m="1" x="55"/>
        <item m="1" x="91"/>
        <item m="1" x="94"/>
        <item m="1" x="75"/>
        <item m="1" x="88"/>
        <item m="1" x="87"/>
        <item m="1" x="45"/>
        <item m="1" x="192"/>
        <item m="1" x="51"/>
        <item m="1" x="115"/>
        <item m="1" x="114"/>
        <item m="1" x="50"/>
        <item m="1" x="109"/>
        <item m="1" x="28"/>
        <item m="1" x="48"/>
        <item m="1" x="58"/>
        <item m="1" x="170"/>
        <item m="1" x="66"/>
        <item m="1" x="37"/>
        <item m="1" x="122"/>
        <item m="1" x="16"/>
        <item m="1" x="185"/>
        <item m="1" x="23"/>
        <item m="1" x="24"/>
        <item m="1" x="154"/>
        <item m="1" x="86"/>
        <item m="1" x="60"/>
        <item m="1" x="36"/>
        <item m="1" x="174"/>
        <item m="1" x="175"/>
        <item m="1" x="203"/>
        <item m="1" x="196"/>
        <item m="1" x="97"/>
        <item m="1" x="163"/>
        <item m="1" x="144"/>
        <item m="1" x="193"/>
        <item m="1" x="145"/>
        <item m="1" x="130"/>
        <item m="1" x="166"/>
        <item m="1" x="90"/>
        <item m="1" x="101"/>
        <item m="1" x="41"/>
        <item m="1" x="46"/>
        <item m="1" x="179"/>
        <item m="1" x="17"/>
        <item m="1" x="77"/>
        <item m="1" x="100"/>
        <item m="1" x="63"/>
        <item m="1" x="126"/>
        <item m="1" x="183"/>
        <item m="1" x="148"/>
        <item m="1" x="70"/>
        <item m="1" x="32"/>
        <item x="1"/>
        <item x="2"/>
        <item m="1" x="206"/>
        <item m="1" x="72"/>
        <item m="1" x="187"/>
        <item m="1" x="204"/>
        <item m="1" x="156"/>
        <item m="1" x="19"/>
        <item m="1" x="26"/>
        <item m="1" x="141"/>
        <item x="3"/>
        <item x="4"/>
        <item x="5"/>
        <item x="6"/>
        <item x="7"/>
        <item x="8"/>
        <item x="9"/>
        <item x="10"/>
        <item m="1" x="20"/>
        <item m="1" x="159"/>
        <item m="1" x="160"/>
        <item m="1" x="110"/>
        <item m="1" x="59"/>
        <item m="1" x="96"/>
        <item m="1" x="134"/>
        <item m="1" x="123"/>
        <item m="1" x="124"/>
        <item m="1" x="165"/>
        <item m="1" x="153"/>
        <item m="1" x="168"/>
        <item m="1" x="188"/>
        <item m="1" x="56"/>
        <item m="1" x="129"/>
        <item m="1" x="146"/>
        <item x="11"/>
        <item x="12"/>
        <item m="1" x="117"/>
        <item m="1" x="139"/>
        <item m="1" x="143"/>
        <item m="1" x="98"/>
        <item m="1" x="138"/>
        <item m="1" x="137"/>
        <item m="1" x="31"/>
        <item m="1" x="68"/>
        <item m="1" x="186"/>
        <item x="13"/>
        <item m="1" x="181"/>
        <item m="1" x="178"/>
        <item m="1" x="40"/>
        <item m="1" x="172"/>
        <item m="1" x="198"/>
        <item x="14"/>
      </items>
    </pivotField>
    <pivotField axis="axisRow" showAll="0">
      <items count="3">
        <item m="1" x="1"/>
        <item x="0"/>
        <item t="default"/>
      </items>
    </pivotField>
    <pivotField axis="axisRow" showAll="0">
      <items count="260">
        <item m="1" x="15"/>
        <item m="1" x="106"/>
        <item m="1" x="193"/>
        <item m="1" x="231"/>
        <item m="1" x="113"/>
        <item m="1" x="226"/>
        <item m="1" x="234"/>
        <item m="1" x="163"/>
        <item m="1" x="210"/>
        <item m="1" x="45"/>
        <item m="1" x="137"/>
        <item m="1" x="221"/>
        <item m="1" x="28"/>
        <item m="1" x="88"/>
        <item m="1" x="101"/>
        <item m="1" x="186"/>
        <item m="1" x="178"/>
        <item m="1" x="30"/>
        <item m="1" x="174"/>
        <item m="1" x="256"/>
        <item m="1" x="102"/>
        <item m="1" x="103"/>
        <item m="1" x="100"/>
        <item m="1" x="246"/>
        <item m="1" x="50"/>
        <item m="1" x="216"/>
        <item m="1" x="99"/>
        <item m="1" x="40"/>
        <item m="1" x="78"/>
        <item m="1" x="67"/>
        <item m="1" x="16"/>
        <item m="1" x="24"/>
        <item m="1" x="58"/>
        <item m="1" x="211"/>
        <item m="1" x="52"/>
        <item m="1" x="19"/>
        <item m="1" x="185"/>
        <item m="1" x="215"/>
        <item m="1" x="53"/>
        <item m="1" x="23"/>
        <item m="1" x="164"/>
        <item m="1" x="18"/>
        <item x="0"/>
        <item m="1" x="219"/>
        <item m="1" x="55"/>
        <item m="1" x="222"/>
        <item m="1" x="250"/>
        <item m="1" x="227"/>
        <item m="1" x="235"/>
        <item m="1" x="150"/>
        <item m="1" x="121"/>
        <item m="1" x="91"/>
        <item m="1" x="36"/>
        <item m="1" x="31"/>
        <item m="1" x="95"/>
        <item m="1" x="218"/>
        <item m="1" x="167"/>
        <item m="1" x="162"/>
        <item m="1" x="41"/>
        <item m="1" x="237"/>
        <item m="1" x="173"/>
        <item m="1" x="196"/>
        <item m="1" x="201"/>
        <item m="1" x="232"/>
        <item m="1" x="25"/>
        <item m="1" x="230"/>
        <item m="1" x="209"/>
        <item m="1" x="51"/>
        <item m="1" x="66"/>
        <item m="1" x="217"/>
        <item m="1" x="110"/>
        <item m="1" x="96"/>
        <item m="1" x="245"/>
        <item m="1" x="213"/>
        <item m="1" x="141"/>
        <item m="1" x="43"/>
        <item m="1" x="149"/>
        <item m="1" x="153"/>
        <item m="1" x="65"/>
        <item m="1" x="27"/>
        <item m="1" x="229"/>
        <item m="1" x="165"/>
        <item m="1" x="156"/>
        <item m="1" x="238"/>
        <item m="1" x="62"/>
        <item m="1" x="131"/>
        <item m="1" x="42"/>
        <item m="1" x="197"/>
        <item m="1" x="257"/>
        <item m="1" x="214"/>
        <item m="1" x="83"/>
        <item m="1" x="26"/>
        <item m="1" x="243"/>
        <item m="1" x="195"/>
        <item m="1" x="142"/>
        <item m="1" x="171"/>
        <item m="1" x="166"/>
        <item m="1" x="258"/>
        <item m="1" x="190"/>
        <item m="1" x="204"/>
        <item m="1" x="114"/>
        <item m="1" x="93"/>
        <item m="1" x="220"/>
        <item m="1" x="224"/>
        <item m="1" x="228"/>
        <item m="1" x="21"/>
        <item m="1" x="202"/>
        <item m="1" x="109"/>
        <item m="1" x="134"/>
        <item m="1" x="35"/>
        <item m="1" x="39"/>
        <item m="1" x="189"/>
        <item m="1" x="64"/>
        <item m="1" x="139"/>
        <item m="1" x="32"/>
        <item m="1" x="54"/>
        <item m="1" x="98"/>
        <item m="1" x="68"/>
        <item m="1" x="168"/>
        <item m="1" x="33"/>
        <item m="1" x="236"/>
        <item m="1" x="117"/>
        <item m="1" x="63"/>
        <item m="1" x="61"/>
        <item m="1" x="104"/>
        <item m="1" x="71"/>
        <item m="1" x="212"/>
        <item m="1" x="207"/>
        <item m="1" x="249"/>
        <item m="1" x="17"/>
        <item m="1" x="181"/>
        <item m="1" x="86"/>
        <item m="1" x="84"/>
        <item m="1" x="240"/>
        <item m="1" x="183"/>
        <item m="1" x="239"/>
        <item m="1" x="254"/>
        <item m="1" x="80"/>
        <item m="1" x="176"/>
        <item m="1" x="143"/>
        <item m="1" x="37"/>
        <item m="1" x="160"/>
        <item m="1" x="129"/>
        <item m="1" x="107"/>
        <item m="1" x="135"/>
        <item m="1" x="205"/>
        <item m="1" x="132"/>
        <item m="1" x="44"/>
        <item m="1" x="92"/>
        <item m="1" x="76"/>
        <item m="1" x="147"/>
        <item m="1" x="199"/>
        <item m="1" x="187"/>
        <item m="1" x="111"/>
        <item m="1" x="122"/>
        <item m="1" x="49"/>
        <item m="1" x="73"/>
        <item m="1" x="198"/>
        <item m="1" x="145"/>
        <item m="1" x="127"/>
        <item m="1" x="47"/>
        <item m="1" x="69"/>
        <item m="1" x="191"/>
        <item m="1" x="157"/>
        <item m="1" x="158"/>
        <item m="1" x="115"/>
        <item m="1" x="29"/>
        <item m="1" x="203"/>
        <item m="1" x="179"/>
        <item m="1" x="94"/>
        <item m="1" x="252"/>
        <item m="1" x="119"/>
        <item m="1" x="72"/>
        <item m="1" x="59"/>
        <item m="1" x="138"/>
        <item m="1" x="56"/>
        <item m="1" x="89"/>
        <item m="1" x="172"/>
        <item m="1" x="118"/>
        <item m="1" x="151"/>
        <item m="1" x="126"/>
        <item m="1" x="194"/>
        <item m="1" x="34"/>
        <item m="1" x="140"/>
        <item m="1" x="116"/>
        <item m="1" x="225"/>
        <item m="1" x="242"/>
        <item m="1" x="105"/>
        <item m="1" x="152"/>
        <item m="1" x="244"/>
        <item m="1" x="247"/>
        <item m="1" x="82"/>
        <item m="1" x="75"/>
        <item m="1" x="20"/>
        <item m="1" x="133"/>
        <item m="1" x="22"/>
        <item m="1" x="155"/>
        <item m="1" x="248"/>
        <item m="1" x="79"/>
        <item m="1" x="233"/>
        <item m="1" x="175"/>
        <item m="1" x="169"/>
        <item m="1" x="124"/>
        <item m="1" x="154"/>
        <item m="1" x="159"/>
        <item m="1" x="90"/>
        <item m="1" x="57"/>
        <item m="1" x="125"/>
        <item m="1" x="60"/>
        <item m="1" x="223"/>
        <item m="1" x="46"/>
        <item m="1" x="251"/>
        <item m="1" x="208"/>
        <item m="1" x="97"/>
        <item x="1"/>
        <item x="2"/>
        <item x="3"/>
        <item x="4"/>
        <item x="5"/>
        <item x="6"/>
        <item x="7"/>
        <item x="8"/>
        <item x="9"/>
        <item x="10"/>
        <item m="1" x="182"/>
        <item m="1" x="87"/>
        <item m="1" x="85"/>
        <item m="1" x="241"/>
        <item m="1" x="184"/>
        <item m="1" x="253"/>
        <item m="1" x="255"/>
        <item m="1" x="81"/>
        <item m="1" x="177"/>
        <item m="1" x="144"/>
        <item m="1" x="38"/>
        <item m="1" x="161"/>
        <item m="1" x="130"/>
        <item m="1" x="108"/>
        <item m="1" x="136"/>
        <item m="1" x="206"/>
        <item m="1" x="170"/>
        <item x="11"/>
        <item x="12"/>
        <item m="1" x="180"/>
        <item m="1" x="77"/>
        <item m="1" x="148"/>
        <item m="1" x="200"/>
        <item m="1" x="188"/>
        <item m="1" x="112"/>
        <item m="1" x="123"/>
        <item m="1" x="120"/>
        <item m="1" x="74"/>
        <item x="13"/>
        <item m="1" x="146"/>
        <item m="1" x="128"/>
        <item m="1" x="48"/>
        <item m="1" x="70"/>
        <item m="1" x="192"/>
        <item x="14"/>
        <item t="default"/>
      </items>
    </pivotField>
    <pivotField axis="axisRow" showAll="0">
      <items count="3">
        <item m="1" x="1"/>
        <item x="0"/>
        <item t="default"/>
      </items>
    </pivotField>
    <pivotField axis="axisRow" showAll="0">
      <items count="270">
        <item m="1" x="19"/>
        <item m="1" x="158"/>
        <item m="1" x="208"/>
        <item m="1" x="230"/>
        <item m="1" x="255"/>
        <item m="1" x="123"/>
        <item m="1" x="194"/>
        <item m="1" x="258"/>
        <item m="1" x="202"/>
        <item m="1" x="66"/>
        <item m="1" x="75"/>
        <item m="1" x="87"/>
        <item m="1" x="212"/>
        <item m="1" x="160"/>
        <item m="1" x="161"/>
        <item m="1" x="40"/>
        <item m="1" x="42"/>
        <item m="1" x="224"/>
        <item m="1" x="142"/>
        <item m="1" x="99"/>
        <item m="1" x="225"/>
        <item m="1" x="209"/>
        <item m="1" x="235"/>
        <item m="1" x="191"/>
        <item m="1" x="241"/>
        <item m="1" x="231"/>
        <item m="1" x="256"/>
        <item m="1" x="74"/>
        <item m="1" x="159"/>
        <item m="1" x="36"/>
        <item m="1" x="71"/>
        <item m="1" x="98"/>
        <item m="1" x="193"/>
        <item m="1" x="199"/>
        <item m="1" x="134"/>
        <item m="1" x="108"/>
        <item m="1" x="249"/>
        <item m="1" x="211"/>
        <item m="1" x="114"/>
        <item m="1" x="257"/>
        <item m="1" x="260"/>
        <item m="1" x="153"/>
        <item x="0"/>
        <item m="1" x="121"/>
        <item m="1" x="169"/>
        <item m="1" x="175"/>
        <item m="1" x="109"/>
        <item m="1" x="64"/>
        <item m="1" x="236"/>
        <item m="1" x="240"/>
        <item m="1" x="27"/>
        <item m="1" x="219"/>
        <item m="1" x="139"/>
        <item m="1" x="221"/>
        <item m="1" x="47"/>
        <item m="1" x="102"/>
        <item m="1" x="172"/>
        <item m="1" x="72"/>
        <item m="1" x="48"/>
        <item m="1" x="192"/>
        <item m="1" x="115"/>
        <item m="1" x="242"/>
        <item m="1" x="133"/>
        <item m="1" x="261"/>
        <item m="1" x="226"/>
        <item m="1" x="179"/>
        <item m="1" x="132"/>
        <item m="1" x="56"/>
        <item m="1" x="105"/>
        <item m="1" x="59"/>
        <item m="1" x="76"/>
        <item m="1" x="197"/>
        <item m="1" x="203"/>
        <item m="1" x="94"/>
        <item m="1" x="49"/>
        <item m="1" x="60"/>
        <item m="1" x="149"/>
        <item m="1" x="176"/>
        <item m="1" x="20"/>
        <item m="1" x="21"/>
        <item m="1" x="259"/>
        <item m="1" x="126"/>
        <item m="1" x="265"/>
        <item m="1" x="145"/>
        <item m="1" x="198"/>
        <item m="1" x="162"/>
        <item m="1" x="166"/>
        <item m="1" x="165"/>
        <item m="1" x="95"/>
        <item m="1" x="210"/>
        <item m="1" x="173"/>
        <item m="1" x="143"/>
        <item m="1" x="90"/>
        <item m="1" x="120"/>
        <item m="1" x="55"/>
        <item m="1" x="214"/>
        <item m="1" x="43"/>
        <item m="1" x="227"/>
        <item m="1" x="24"/>
        <item m="1" x="44"/>
        <item m="1" x="61"/>
        <item m="1" x="144"/>
        <item m="1" x="190"/>
        <item m="1" x="237"/>
        <item m="1" x="254"/>
        <item m="1" x="250"/>
        <item m="1" x="118"/>
        <item m="1" x="229"/>
        <item m="1" x="195"/>
        <item m="1" x="178"/>
        <item m="1" x="67"/>
        <item m="1" x="23"/>
        <item m="1" x="234"/>
        <item m="1" x="148"/>
        <item m="1" x="30"/>
        <item m="1" x="65"/>
        <item m="1" x="245"/>
        <item m="1" x="177"/>
        <item m="1" x="220"/>
        <item m="1" x="131"/>
        <item m="1" x="130"/>
        <item m="1" x="150"/>
        <item m="1" x="29"/>
        <item m="1" x="238"/>
        <item m="1" x="186"/>
        <item m="1" x="62"/>
        <item m="1" x="119"/>
        <item m="1" x="207"/>
        <item m="1" x="183"/>
        <item m="1" x="68"/>
        <item m="1" x="128"/>
        <item m="1" x="83"/>
        <item m="1" x="135"/>
        <item m="1" x="112"/>
        <item m="1" x="31"/>
        <item m="1" x="156"/>
        <item m="1" x="243"/>
        <item m="1" x="34"/>
        <item m="1" x="78"/>
        <item m="1" x="188"/>
        <item m="1" x="184"/>
        <item m="1" x="263"/>
        <item m="1" x="154"/>
        <item m="1" x="222"/>
        <item m="1" x="106"/>
        <item m="1" x="163"/>
        <item m="1" x="171"/>
        <item m="1" x="213"/>
        <item m="1" x="86"/>
        <item m="1" x="45"/>
        <item m="1" x="96"/>
        <item m="1" x="266"/>
        <item m="1" x="146"/>
        <item m="1" x="247"/>
        <item m="1" x="79"/>
        <item m="1" x="51"/>
        <item m="1" x="181"/>
        <item m="1" x="63"/>
        <item m="1" x="124"/>
        <item m="1" x="151"/>
        <item m="1" x="103"/>
        <item m="1" x="116"/>
        <item m="1" x="92"/>
        <item m="1" x="69"/>
        <item m="1" x="88"/>
        <item m="1" x="89"/>
        <item m="1" x="251"/>
        <item m="1" x="28"/>
        <item m="1" x="33"/>
        <item m="1" x="174"/>
        <item m="1" x="167"/>
        <item m="1" x="52"/>
        <item m="1" x="53"/>
        <item m="1" x="215"/>
        <item m="1" x="205"/>
        <item m="1" x="252"/>
        <item m="1" x="180"/>
        <item m="1" x="100"/>
        <item m="1" x="101"/>
        <item m="1" x="228"/>
        <item m="1" x="216"/>
        <item m="1" x="137"/>
        <item m="1" x="232"/>
        <item m="1" x="127"/>
        <item m="1" x="122"/>
        <item m="1" x="77"/>
        <item m="1" x="140"/>
        <item m="1" x="239"/>
        <item m="1" x="110"/>
        <item m="1" x="187"/>
        <item m="1" x="91"/>
        <item m="1" x="54"/>
        <item m="1" x="57"/>
        <item m="1" x="170"/>
        <item m="1" x="262"/>
        <item m="1" x="37"/>
        <item m="1" x="50"/>
        <item m="1" x="58"/>
        <item m="1" x="217"/>
        <item m="1" x="246"/>
        <item m="1" x="268"/>
        <item m="1" x="157"/>
        <item m="1" x="25"/>
        <item m="1" x="201"/>
        <item m="1" x="26"/>
        <item m="1" x="196"/>
        <item m="1" x="111"/>
        <item m="1" x="39"/>
        <item m="1" x="41"/>
        <item m="1" x="200"/>
        <item m="1" x="70"/>
        <item m="1" x="38"/>
        <item m="1" x="85"/>
        <item m="1" x="138"/>
        <item m="1" x="233"/>
        <item m="1" x="218"/>
        <item m="1" x="204"/>
        <item m="1" x="82"/>
        <item m="1" x="141"/>
        <item m="1" x="22"/>
        <item x="1"/>
        <item x="2"/>
        <item x="3"/>
        <item x="4"/>
        <item x="5"/>
        <item x="6"/>
        <item x="7"/>
        <item x="8"/>
        <item x="9"/>
        <item x="10"/>
        <item x="11"/>
        <item x="12"/>
        <item x="13"/>
        <item m="1" x="129"/>
        <item m="1" x="84"/>
        <item m="1" x="136"/>
        <item m="1" x="113"/>
        <item m="1" x="32"/>
        <item m="1" x="206"/>
        <item m="1" x="244"/>
        <item m="1" x="35"/>
        <item m="1" x="80"/>
        <item m="1" x="189"/>
        <item m="1" x="185"/>
        <item m="1" x="264"/>
        <item m="1" x="155"/>
        <item m="1" x="223"/>
        <item m="1" x="107"/>
        <item m="1" x="164"/>
        <item m="1" x="73"/>
        <item x="14"/>
        <item x="15"/>
        <item m="1" x="168"/>
        <item m="1" x="46"/>
        <item m="1" x="97"/>
        <item m="1" x="267"/>
        <item m="1" x="147"/>
        <item m="1" x="248"/>
        <item m="1" x="81"/>
        <item m="1" x="253"/>
        <item m="1" x="182"/>
        <item x="17"/>
        <item m="1" x="125"/>
        <item m="1" x="152"/>
        <item m="1" x="104"/>
        <item m="1" x="117"/>
        <item m="1" x="93"/>
        <item x="16"/>
        <item x="18"/>
        <item t="default"/>
      </items>
    </pivotField>
    <pivotField axis="axisRow" showAll="0">
      <items count="5">
        <item m="1" x="1"/>
        <item x="0"/>
        <item m="1" x="2"/>
        <item m="1" x="3"/>
        <item t="default"/>
      </items>
    </pivotField>
    <pivotField axis="axisRow" showAll="0">
      <items count="48">
        <item m="1" x="1"/>
        <item x="0"/>
        <item m="1" x="22"/>
        <item m="1" x="11"/>
        <item m="1" x="12"/>
        <item m="1" x="5"/>
        <item m="1" x="34"/>
        <item m="1" x="24"/>
        <item m="1" x="37"/>
        <item m="1" x="2"/>
        <item m="1" x="36"/>
        <item m="1" x="44"/>
        <item m="1" x="21"/>
        <item m="1" x="41"/>
        <item m="1" x="32"/>
        <item m="1" x="38"/>
        <item m="1" x="35"/>
        <item m="1" x="46"/>
        <item m="1" x="18"/>
        <item m="1" x="45"/>
        <item m="1" x="43"/>
        <item m="1" x="19"/>
        <item m="1" x="14"/>
        <item m="1" x="42"/>
        <item m="1" x="15"/>
        <item m="1" x="16"/>
        <item m="1" x="9"/>
        <item m="1" x="30"/>
        <item m="1" x="17"/>
        <item m="1" x="33"/>
        <item m="1" x="25"/>
        <item m="1" x="28"/>
        <item m="1" x="4"/>
        <item m="1" x="23"/>
        <item m="1" x="29"/>
        <item m="1" x="26"/>
        <item m="1" x="3"/>
        <item m="1" x="7"/>
        <item m="1" x="27"/>
        <item m="1" x="40"/>
        <item m="1" x="20"/>
        <item m="1" x="8"/>
        <item m="1" x="10"/>
        <item m="1" x="31"/>
        <item m="1" x="13"/>
        <item m="1" x="39"/>
        <item m="1" x="6"/>
        <item t="default"/>
      </items>
    </pivotField>
    <pivotField axis="axisRow" showAll="0">
      <items count="4">
        <item m="1" x="1"/>
        <item x="0"/>
        <item m="1" x="2"/>
        <item t="default"/>
      </items>
    </pivotField>
    <pivotField axis="axisRow" showAll="0">
      <items count="48">
        <item m="1" x="1"/>
        <item x="0"/>
        <item m="1" x="26"/>
        <item m="1" x="22"/>
        <item m="1" x="10"/>
        <item m="1" x="41"/>
        <item m="1" x="38"/>
        <item m="1" x="25"/>
        <item m="1" x="9"/>
        <item m="1" x="35"/>
        <item m="1" x="33"/>
        <item m="1" x="24"/>
        <item m="1" x="42"/>
        <item m="1" x="34"/>
        <item m="1" x="37"/>
        <item m="1" x="7"/>
        <item m="1" x="19"/>
        <item m="1" x="44"/>
        <item m="1" x="4"/>
        <item m="1" x="3"/>
        <item m="1" x="28"/>
        <item m="1" x="32"/>
        <item m="1" x="36"/>
        <item m="1" x="31"/>
        <item m="1" x="6"/>
        <item m="1" x="2"/>
        <item m="1" x="39"/>
        <item m="1" x="13"/>
        <item m="1" x="16"/>
        <item m="1" x="14"/>
        <item m="1" x="15"/>
        <item m="1" x="21"/>
        <item m="1" x="8"/>
        <item m="1" x="45"/>
        <item m="1" x="30"/>
        <item m="1" x="43"/>
        <item m="1" x="11"/>
        <item m="1" x="29"/>
        <item m="1" x="40"/>
        <item m="1" x="20"/>
        <item m="1" x="23"/>
        <item m="1" x="5"/>
        <item m="1" x="12"/>
        <item m="1" x="46"/>
        <item m="1" x="18"/>
        <item m="1" x="17"/>
        <item m="1" x="27"/>
        <item t="default"/>
      </items>
    </pivotField>
    <pivotField axis="axisRow" showAll="0">
      <items count="3">
        <item m="1" x="1"/>
        <item x="0"/>
        <item t="default"/>
      </items>
    </pivotField>
    <pivotField axis="axisRow" showAll="0">
      <items count="185">
        <item m="1" x="12"/>
        <item x="0"/>
        <item m="1" x="164"/>
        <item m="1" x="174"/>
        <item m="1" x="13"/>
        <item m="1" x="14"/>
        <item m="1" x="18"/>
        <item m="1" x="27"/>
        <item m="1" x="130"/>
        <item m="1" x="165"/>
        <item m="1" x="166"/>
        <item m="1" x="167"/>
        <item m="1" x="168"/>
        <item m="1" x="113"/>
        <item m="1" x="83"/>
        <item m="1" x="169"/>
        <item m="1" x="131"/>
        <item m="1" x="132"/>
        <item m="1" x="88"/>
        <item m="1" x="114"/>
        <item m="1" x="115"/>
        <item m="1" x="170"/>
        <item m="1" x="171"/>
        <item m="1" x="175"/>
        <item m="1" x="176"/>
        <item m="1" x="177"/>
        <item m="1" x="100"/>
        <item m="1" x="104"/>
        <item m="1" x="101"/>
        <item m="1" x="75"/>
        <item m="1" x="127"/>
        <item m="1" x="111"/>
        <item m="1" x="76"/>
        <item m="1" x="128"/>
        <item m="1" x="28"/>
        <item m="1" x="77"/>
        <item m="1" x="102"/>
        <item m="1" x="103"/>
        <item m="1" x="43"/>
        <item m="1" x="145"/>
        <item m="1" x="141"/>
        <item m="1" x="138"/>
        <item m="1" x="139"/>
        <item m="1" x="137"/>
        <item m="1" x="136"/>
        <item m="1" x="155"/>
        <item m="1" x="146"/>
        <item m="1" x="147"/>
        <item m="1" x="148"/>
        <item m="1" x="149"/>
        <item m="1" x="160"/>
        <item m="1" x="84"/>
        <item m="1" x="150"/>
        <item m="1" x="156"/>
        <item m="1" x="157"/>
        <item m="1" x="66"/>
        <item m="1" x="161"/>
        <item m="1" x="162"/>
        <item m="1" x="151"/>
        <item m="1" x="152"/>
        <item m="1" x="142"/>
        <item m="1" x="143"/>
        <item m="1" x="144"/>
        <item m="1" x="153"/>
        <item m="1" x="163"/>
        <item m="1" x="140"/>
        <item m="1" x="85"/>
        <item m="1" x="16"/>
        <item m="1" x="172"/>
        <item m="1" x="86"/>
        <item m="1" x="17"/>
        <item m="1" x="173"/>
        <item m="1" x="87"/>
        <item m="1" x="158"/>
        <item m="1" x="159"/>
        <item m="1" x="15"/>
        <item m="1" x="94"/>
        <item m="1" x="95"/>
        <item m="1" x="78"/>
        <item m="1" x="79"/>
        <item m="1" x="44"/>
        <item m="1" x="21"/>
        <item m="1" x="178"/>
        <item m="1" x="179"/>
        <item m="1" x="129"/>
        <item m="1" x="96"/>
        <item m="1" x="69"/>
        <item m="1" x="45"/>
        <item m="1" x="46"/>
        <item m="1" x="47"/>
        <item m="1" x="48"/>
        <item m="1" x="97"/>
        <item m="1" x="70"/>
        <item m="1" x="49"/>
        <item m="1" x="71"/>
        <item m="1" x="72"/>
        <item m="1" x="20"/>
        <item m="1" x="98"/>
        <item m="1" x="99"/>
        <item m="1" x="50"/>
        <item m="1" x="51"/>
        <item m="1" x="22"/>
        <item m="1" x="23"/>
        <item m="1" x="24"/>
        <item m="1" x="52"/>
        <item m="1" x="105"/>
        <item m="1" x="108"/>
        <item m="1" x="25"/>
        <item m="1" x="109"/>
        <item m="1" x="26"/>
        <item m="1" x="53"/>
        <item m="1" x="110"/>
        <item m="1" x="73"/>
        <item m="1" x="74"/>
        <item m="1" x="57"/>
        <item m="1" x="90"/>
        <item m="1" x="134"/>
        <item m="1" x="135"/>
        <item m="1" x="183"/>
        <item m="1" x="35"/>
        <item m="1" x="29"/>
        <item m="1" x="58"/>
        <item m="1" x="59"/>
        <item m="1" x="60"/>
        <item m="1" x="61"/>
        <item m="1" x="180"/>
        <item m="1" x="30"/>
        <item m="1" x="62"/>
        <item m="1" x="31"/>
        <item m="1" x="32"/>
        <item m="1" x="126"/>
        <item m="1" x="181"/>
        <item m="1" x="182"/>
        <item m="1" x="63"/>
        <item m="1" x="64"/>
        <item m="1" x="91"/>
        <item m="1" x="92"/>
        <item m="1" x="93"/>
        <item m="1" x="65"/>
        <item m="1" x="89"/>
        <item m="1" x="80"/>
        <item m="1" x="106"/>
        <item m="1" x="81"/>
        <item m="1" x="107"/>
        <item m="1" x="133"/>
        <item m="1" x="82"/>
        <item m="1" x="33"/>
        <item m="1" x="34"/>
        <item x="1"/>
        <item x="2"/>
        <item x="3"/>
        <item x="4"/>
        <item x="5"/>
        <item x="6"/>
        <item x="7"/>
        <item x="8"/>
        <item x="9"/>
        <item m="1" x="119"/>
        <item m="1" x="120"/>
        <item m="1" x="121"/>
        <item m="1" x="122"/>
        <item m="1" x="116"/>
        <item m="1" x="36"/>
        <item m="1" x="123"/>
        <item m="1" x="37"/>
        <item m="1" x="38"/>
        <item m="1" x="154"/>
        <item m="1" x="117"/>
        <item m="1" x="118"/>
        <item m="1" x="124"/>
        <item m="1" x="125"/>
        <item m="1" x="41"/>
        <item m="1" x="42"/>
        <item x="10"/>
        <item x="11"/>
        <item m="1" x="112"/>
        <item m="1" x="54"/>
        <item m="1" x="67"/>
        <item m="1" x="55"/>
        <item m="1" x="68"/>
        <item m="1" x="19"/>
        <item m="1" x="56"/>
        <item m="1" x="39"/>
        <item m="1" x="40"/>
        <item t="default"/>
      </items>
    </pivotField>
    <pivotField axis="axisRow" showAll="0">
      <items count="241">
        <item m="1" x="44"/>
        <item m="1" x="205"/>
        <item m="1" x="201"/>
        <item m="1" x="228"/>
        <item m="1" x="168"/>
        <item m="1" x="108"/>
        <item m="1" x="107"/>
        <item m="1" x="137"/>
        <item m="1" x="118"/>
        <item m="1" x="206"/>
        <item m="1" x="207"/>
        <item m="1" x="52"/>
        <item m="1" x="179"/>
        <item m="1" x="150"/>
        <item m="1" x="157"/>
        <item m="1" x="234"/>
        <item m="1" x="235"/>
        <item m="1" x="57"/>
        <item m="1" x="215"/>
        <item m="1" x="223"/>
        <item m="1" x="194"/>
        <item m="1" x="232"/>
        <item m="1" x="138"/>
        <item m="1" x="148"/>
        <item m="1" x="130"/>
        <item m="1" x="173"/>
        <item m="1" x="119"/>
        <item m="1" x="237"/>
        <item m="1" x="99"/>
        <item m="1" x="73"/>
        <item m="1" x="135"/>
        <item m="1" x="131"/>
        <item m="1" x="238"/>
        <item m="1" x="122"/>
        <item m="1" x="226"/>
        <item m="1" x="212"/>
        <item m="1" x="203"/>
        <item m="1" x="193"/>
        <item m="1" x="178"/>
        <item m="1" x="58"/>
        <item m="1" x="59"/>
        <item x="0"/>
        <item m="1" x="126"/>
        <item m="1" x="156"/>
        <item m="1" x="112"/>
        <item m="1" x="78"/>
        <item m="1" x="133"/>
        <item m="1" x="146"/>
        <item m="1" x="64"/>
        <item m="1" x="151"/>
        <item m="1" x="127"/>
        <item m="1" x="128"/>
        <item m="1" x="189"/>
        <item m="1" x="140"/>
        <item m="1" x="50"/>
        <item m="1" x="171"/>
        <item m="1" x="210"/>
        <item m="1" x="211"/>
        <item m="1" x="61"/>
        <item m="1" x="90"/>
        <item m="1" x="105"/>
        <item m="1" x="62"/>
        <item m="1" x="103"/>
        <item m="1" x="65"/>
        <item m="1" x="213"/>
        <item m="1" x="197"/>
        <item m="1" x="152"/>
        <item m="1" x="195"/>
        <item m="1" x="125"/>
        <item m="1" x="124"/>
        <item m="1" x="129"/>
        <item m="1" x="147"/>
        <item m="1" x="174"/>
        <item m="1" x="66"/>
        <item m="1" x="214"/>
        <item m="1" x="87"/>
        <item m="1" x="136"/>
        <item m="1" x="63"/>
        <item m="1" x="81"/>
        <item m="1" x="220"/>
        <item m="1" x="221"/>
        <item m="1" x="74"/>
        <item m="1" x="202"/>
        <item m="1" x="46"/>
        <item m="1" x="72"/>
        <item m="1" x="49"/>
        <item m="1" x="216"/>
        <item m="1" x="161"/>
        <item m="1" x="47"/>
        <item m="1" x="75"/>
        <item m="1" x="76"/>
        <item m="1" x="111"/>
        <item m="1" x="153"/>
        <item m="1" x="121"/>
        <item m="1" x="67"/>
        <item m="1" x="116"/>
        <item m="1" x="117"/>
        <item m="1" x="204"/>
        <item m="1" x="80"/>
        <item m="1" x="217"/>
        <item m="1" x="199"/>
        <item m="1" x="45"/>
        <item m="1" x="162"/>
        <item m="1" x="187"/>
        <item m="1" x="190"/>
        <item m="1" x="53"/>
        <item m="1" x="222"/>
        <item m="1" x="100"/>
        <item m="1" x="98"/>
        <item m="1" x="91"/>
        <item m="1" x="77"/>
        <item m="1" x="227"/>
        <item m="1" x="175"/>
        <item m="1" x="142"/>
        <item m="1" x="172"/>
        <item m="1" x="85"/>
        <item m="1" x="184"/>
        <item m="1" x="149"/>
        <item m="1" x="154"/>
        <item m="1" x="155"/>
        <item m="1" x="180"/>
        <item m="1" x="115"/>
        <item m="1" x="68"/>
        <item m="1" x="71"/>
        <item m="1" x="166"/>
        <item m="1" x="139"/>
        <item m="1" x="55"/>
        <item m="1" x="230"/>
        <item m="1" x="181"/>
        <item m="1" x="182"/>
        <item m="1" x="198"/>
        <item m="1" x="191"/>
        <item m="1" x="200"/>
        <item m="1" x="236"/>
        <item m="1" x="185"/>
        <item m="1" x="186"/>
        <item m="1" x="109"/>
        <item m="1" x="144"/>
        <item m="1" x="106"/>
        <item m="1" x="102"/>
        <item m="1" x="101"/>
        <item m="1" x="56"/>
        <item m="1" x="177"/>
        <item m="1" x="159"/>
        <item m="1" x="231"/>
        <item m="1" x="218"/>
        <item m="1" x="123"/>
        <item m="1" x="188"/>
        <item m="1" x="169"/>
        <item m="1" x="120"/>
        <item m="1" x="229"/>
        <item m="1" x="86"/>
        <item m="1" x="225"/>
        <item m="1" x="84"/>
        <item m="1" x="160"/>
        <item m="1" x="94"/>
        <item m="1" x="54"/>
        <item m="1" x="96"/>
        <item m="1" x="97"/>
        <item m="1" x="88"/>
        <item x="2"/>
        <item x="3"/>
        <item m="1" x="95"/>
        <item x="1"/>
        <item m="1" x="51"/>
        <item m="1" x="233"/>
        <item m="1" x="143"/>
        <item m="1" x="192"/>
        <item m="1" x="176"/>
        <item x="4"/>
        <item x="5"/>
        <item x="6"/>
        <item x="7"/>
        <item x="8"/>
        <item x="9"/>
        <item x="10"/>
        <item x="11"/>
        <item m="1" x="60"/>
        <item m="1" x="163"/>
        <item m="1" x="164"/>
        <item m="1" x="89"/>
        <item m="1" x="104"/>
        <item m="1" x="48"/>
        <item m="1" x="158"/>
        <item m="1" x="92"/>
        <item m="1" x="93"/>
        <item m="1" x="114"/>
        <item m="1" x="167"/>
        <item m="1" x="239"/>
        <item m="1" x="113"/>
        <item m="1" x="145"/>
        <item m="1" x="224"/>
        <item m="1" x="110"/>
        <item x="31"/>
        <item x="32"/>
        <item m="1" x="183"/>
        <item m="1" x="134"/>
        <item m="1" x="132"/>
        <item m="1" x="170"/>
        <item m="1" x="79"/>
        <item m="1" x="209"/>
        <item m="1" x="208"/>
        <item m="1" x="219"/>
        <item x="42"/>
        <item m="1" x="83"/>
        <item m="1" x="196"/>
        <item m="1" x="141"/>
        <item m="1" x="69"/>
        <item m="1" x="70"/>
        <item x="12"/>
        <item x="13"/>
        <item x="14"/>
        <item x="15"/>
        <item x="16"/>
        <item x="17"/>
        <item x="18"/>
        <item x="19"/>
        <item x="20"/>
        <item x="21"/>
        <item x="22"/>
        <item x="23"/>
        <item x="24"/>
        <item x="25"/>
        <item x="26"/>
        <item x="27"/>
        <item x="28"/>
        <item x="29"/>
        <item m="1" x="165"/>
        <item x="33"/>
        <item x="34"/>
        <item x="35"/>
        <item x="36"/>
        <item m="1" x="82"/>
        <item x="38"/>
        <item x="39"/>
        <item x="40"/>
        <item x="41"/>
        <item x="30"/>
        <item x="37"/>
        <item x="43"/>
        <item t="default"/>
      </items>
    </pivotField>
    <pivotField axis="axisRow" showAll="0">
      <items count="3">
        <item m="1" x="1"/>
        <item x="0"/>
        <item t="default"/>
      </items>
    </pivotField>
    <pivotField axis="axisRow" showAll="0">
      <items count="33">
        <item m="1" x="4"/>
        <item m="1" x="20"/>
        <item m="1" x="18"/>
        <item m="1" x="5"/>
        <item m="1" x="8"/>
        <item m="1" x="6"/>
        <item m="1" x="25"/>
        <item m="1" x="17"/>
        <item m="1" x="31"/>
        <item x="0"/>
        <item m="1" x="19"/>
        <item m="1" x="7"/>
        <item m="1" x="26"/>
        <item m="1" x="9"/>
        <item m="1" x="15"/>
        <item m="1" x="10"/>
        <item m="1" x="16"/>
        <item m="1" x="11"/>
        <item m="1" x="13"/>
        <item m="1" x="14"/>
        <item m="1" x="22"/>
        <item m="1" x="12"/>
        <item m="1" x="21"/>
        <item m="1" x="27"/>
        <item m="1" x="29"/>
        <item m="1" x="23"/>
        <item m="1" x="28"/>
        <item m="1" x="30"/>
        <item m="1" x="24"/>
        <item x="1"/>
        <item x="2"/>
        <item x="3"/>
        <item t="default"/>
      </items>
    </pivotField>
    <pivotField axis="axisRow" showAll="0">
      <items count="10">
        <item m="1" x="1"/>
        <item m="1" x="8"/>
        <item m="1" x="3"/>
        <item m="1" x="2"/>
        <item x="0"/>
        <item m="1" x="5"/>
        <item m="1" x="4"/>
        <item m="1" x="6"/>
        <item m="1" x="7"/>
        <item t="default"/>
      </items>
    </pivotField>
    <pivotField axis="axisRow" showAll="0">
      <items count="610">
        <item m="1" x="34"/>
        <item m="1" x="607"/>
        <item m="1" x="49"/>
        <item m="1" x="569"/>
        <item m="1" x="389"/>
        <item m="1" x="205"/>
        <item m="1" x="439"/>
        <item m="1" x="319"/>
        <item m="1" x="438"/>
        <item m="1" x="564"/>
        <item m="1" x="508"/>
        <item m="1" x="383"/>
        <item m="1" x="126"/>
        <item m="1" x="35"/>
        <item m="1" x="36"/>
        <item m="1" x="288"/>
        <item m="1" x="340"/>
        <item m="1" x="471"/>
        <item m="1" x="283"/>
        <item m="1" x="258"/>
        <item m="1" x="358"/>
        <item m="1" x="578"/>
        <item m="1" x="321"/>
        <item m="1" x="394"/>
        <item m="1" x="490"/>
        <item m="1" x="345"/>
        <item m="1" x="487"/>
        <item m="1" x="499"/>
        <item m="1" x="572"/>
        <item m="1" x="485"/>
        <item m="1" x="350"/>
        <item m="1" x="145"/>
        <item m="1" x="497"/>
        <item m="1" x="274"/>
        <item m="1" x="220"/>
        <item m="1" x="269"/>
        <item m="1" x="403"/>
        <item m="1" x="459"/>
        <item m="1" x="491"/>
        <item m="1" x="120"/>
        <item m="1" x="119"/>
        <item m="1" x="580"/>
        <item m="1" x="393"/>
        <item m="1" x="467"/>
        <item m="1" x="239"/>
        <item m="1" x="434"/>
        <item m="1" x="466"/>
        <item m="1" x="511"/>
        <item m="1" x="77"/>
        <item m="1" x="346"/>
        <item m="1" x="209"/>
        <item m="1" x="384"/>
        <item m="1" x="406"/>
        <item m="1" x="432"/>
        <item m="1" x="474"/>
        <item m="1" x="241"/>
        <item m="1" x="423"/>
        <item m="1" x="135"/>
        <item m="1" x="351"/>
        <item m="1" x="359"/>
        <item m="1" x="204"/>
        <item m="1" x="550"/>
        <item m="1" x="259"/>
        <item m="1" x="509"/>
        <item m="1" x="180"/>
        <item m="1" x="571"/>
        <item m="1" x="156"/>
        <item m="1" x="475"/>
        <item m="1" x="379"/>
        <item m="1" x="244"/>
        <item m="1" x="570"/>
        <item m="1" x="122"/>
        <item m="1" x="419"/>
        <item m="1" x="192"/>
        <item m="1" x="562"/>
        <item m="1" x="451"/>
        <item m="1" x="316"/>
        <item m="1" x="343"/>
        <item m="1" x="95"/>
        <item m="1" x="149"/>
        <item m="1" x="297"/>
        <item m="1" x="428"/>
        <item m="1" x="54"/>
        <item m="1" x="163"/>
        <item m="1" x="482"/>
        <item m="1" x="131"/>
        <item m="1" x="598"/>
        <item m="1" x="103"/>
        <item m="1" x="58"/>
        <item m="1" x="452"/>
        <item m="1" x="158"/>
        <item m="1" x="444"/>
        <item m="1" x="563"/>
        <item m="1" x="59"/>
        <item m="1" x="74"/>
        <item m="1" x="492"/>
        <item x="0"/>
        <item m="1" x="38"/>
        <item m="1" x="261"/>
        <item m="1" x="464"/>
        <item m="1" x="189"/>
        <item m="1" x="46"/>
        <item m="1" x="171"/>
        <item m="1" x="337"/>
        <item m="1" x="186"/>
        <item m="1" x="112"/>
        <item m="1" x="109"/>
        <item m="1" x="110"/>
        <item m="1" x="270"/>
        <item m="1" x="62"/>
        <item m="1" x="540"/>
        <item m="1" x="167"/>
        <item m="1" x="73"/>
        <item m="1" x="489"/>
        <item m="1" x="208"/>
        <item m="1" x="527"/>
        <item m="1" x="505"/>
        <item m="1" x="178"/>
        <item m="1" x="504"/>
        <item m="1" x="525"/>
        <item m="1" x="585"/>
        <item m="1" x="197"/>
        <item m="1" x="228"/>
        <item m="1" x="63"/>
        <item m="1" x="335"/>
        <item m="1" x="111"/>
        <item m="1" x="532"/>
        <item m="1" x="52"/>
        <item m="1" x="61"/>
        <item m="1" x="582"/>
        <item m="1" x="53"/>
        <item m="1" x="47"/>
        <item m="1" x="542"/>
        <item m="1" x="331"/>
        <item m="1" x="388"/>
        <item m="1" x="352"/>
        <item m="1" x="460"/>
        <item m="1" x="48"/>
        <item m="1" x="362"/>
        <item m="1" x="182"/>
        <item m="1" x="589"/>
        <item m="1" x="344"/>
        <item m="1" x="234"/>
        <item m="1" x="57"/>
        <item m="1" x="250"/>
        <item m="1" x="544"/>
        <item m="1" x="223"/>
        <item m="1" x="245"/>
        <item m="1" x="153"/>
        <item m="1" x="90"/>
        <item m="1" x="224"/>
        <item m="1" x="326"/>
        <item m="1" x="96"/>
        <item m="1" x="445"/>
        <item m="1" x="378"/>
        <item m="1" x="39"/>
        <item m="1" x="588"/>
        <item m="1" x="520"/>
        <item m="1" x="118"/>
        <item m="1" x="247"/>
        <item m="1" x="265"/>
        <item m="1" x="587"/>
        <item m="1" x="164"/>
        <item m="1" x="177"/>
        <item m="1" x="590"/>
        <item m="1" x="93"/>
        <item m="1" x="536"/>
        <item m="1" x="218"/>
        <item m="1" x="447"/>
        <item m="1" x="42"/>
        <item m="1" x="515"/>
        <item m="1" x="516"/>
        <item m="1" x="67"/>
        <item m="1" x="534"/>
        <item m="1" x="99"/>
        <item m="1" x="188"/>
        <item m="1" x="418"/>
        <item m="1" x="290"/>
        <item m="1" x="161"/>
        <item m="1" x="478"/>
        <item m="1" x="547"/>
        <item m="1" x="368"/>
        <item m="1" x="512"/>
        <item m="1" x="246"/>
        <item m="1" x="165"/>
        <item m="1" x="551"/>
        <item m="1" x="426"/>
        <item m="1" x="262"/>
        <item m="1" x="483"/>
        <item m="1" x="558"/>
        <item m="1" x="341"/>
        <item m="1" x="420"/>
        <item m="1" x="367"/>
        <item m="1" x="132"/>
        <item m="1" x="513"/>
        <item m="1" x="157"/>
        <item m="1" x="602"/>
        <item m="1" x="409"/>
        <item m="1" x="575"/>
        <item m="1" x="355"/>
        <item m="1" x="81"/>
        <item m="1" x="194"/>
        <item m="1" x="154"/>
        <item m="1" x="104"/>
        <item m="1" x="191"/>
        <item m="1" x="237"/>
        <item m="1" x="293"/>
        <item m="1" x="425"/>
        <item m="1" x="166"/>
        <item m="1" x="470"/>
        <item m="1" x="477"/>
        <item m="1" x="456"/>
        <item m="1" x="147"/>
        <item m="1" x="429"/>
        <item m="1" x="422"/>
        <item m="1" x="577"/>
        <item m="1" x="307"/>
        <item m="1" x="365"/>
        <item m="1" x="56"/>
        <item m="1" x="229"/>
        <item m="1" x="64"/>
        <item m="1" x="107"/>
        <item m="1" x="592"/>
        <item m="1" x="116"/>
        <item m="1" x="123"/>
        <item m="1" x="238"/>
        <item m="1" x="308"/>
        <item m="1" x="155"/>
        <item m="1" x="354"/>
        <item m="1" x="503"/>
        <item m="1" x="473"/>
        <item m="1" x="401"/>
        <item m="1" x="309"/>
        <item m="1" x="193"/>
        <item m="1" x="97"/>
        <item m="1" x="98"/>
        <item m="1" x="370"/>
        <item m="1" x="298"/>
        <item m="1" x="498"/>
        <item m="1" x="583"/>
        <item m="1" x="581"/>
        <item m="1" x="541"/>
        <item m="1" x="522"/>
        <item m="1" x="455"/>
        <item m="1" x="494"/>
        <item m="1" x="561"/>
        <item m="1" x="472"/>
        <item m="1" x="517"/>
        <item m="1" x="51"/>
        <item m="1" x="190"/>
        <item m="1" x="560"/>
        <item m="1" x="174"/>
        <item m="1" x="150"/>
        <item m="1" x="295"/>
        <item m="1" x="86"/>
        <item m="1" x="381"/>
        <item m="1" x="117"/>
        <item m="1" x="221"/>
        <item m="1" x="440"/>
        <item m="1" x="526"/>
        <item m="1" x="286"/>
        <item m="1" x="533"/>
        <item m="1" x="437"/>
        <item m="1" x="140"/>
        <item m="1" x="608"/>
        <item m="1" x="92"/>
        <item m="1" x="146"/>
        <item m="1" x="311"/>
        <item m="1" x="313"/>
        <item m="1" x="574"/>
        <item m="1" x="357"/>
        <item m="1" x="573"/>
        <item m="1" x="272"/>
        <item m="1" x="253"/>
        <item m="1" x="232"/>
        <item m="1" x="124"/>
        <item m="1" x="431"/>
        <item m="1" x="415"/>
        <item m="1" x="448"/>
        <item m="1" x="369"/>
        <item m="1" x="80"/>
        <item m="1" x="484"/>
        <item m="1" x="143"/>
        <item m="1" x="312"/>
        <item m="1" x="529"/>
        <item m="1" x="172"/>
        <item m="1" x="427"/>
        <item m="1" x="521"/>
        <item m="1" x="523"/>
        <item m="1" x="105"/>
        <item m="1" x="71"/>
        <item m="1" x="430"/>
        <item m="1" x="301"/>
        <item m="1" x="397"/>
        <item m="1" x="230"/>
        <item m="1" x="334"/>
        <item m="1" x="281"/>
        <item m="1" x="476"/>
        <item m="1" x="291"/>
        <item m="1" x="292"/>
        <item m="1" x="243"/>
        <item m="1" x="294"/>
        <item m="1" x="407"/>
        <item m="1" x="411"/>
        <item m="1" x="148"/>
        <item m="1" x="248"/>
        <item m="1" x="392"/>
        <item m="1" x="375"/>
        <item m="1" x="282"/>
        <item m="1" x="267"/>
        <item m="1" x="280"/>
        <item m="1" x="373"/>
        <item m="1" x="417"/>
        <item m="1" x="320"/>
        <item m="1" x="449"/>
        <item m="1" x="315"/>
        <item m="1" x="545"/>
        <item m="1" x="284"/>
        <item m="1" x="601"/>
        <item m="1" x="594"/>
        <item m="1" x="443"/>
        <item m="1" x="257"/>
        <item m="1" x="342"/>
        <item m="1" x="332"/>
        <item m="1" x="546"/>
        <item m="1" x="457"/>
        <item m="1" x="518"/>
        <item m="1" x="176"/>
        <item m="1" x="68"/>
        <item m="1" x="463"/>
        <item m="1" x="506"/>
        <item m="1" x="514"/>
        <item m="1" x="468"/>
        <item m="1" x="199"/>
        <item m="1" x="400"/>
        <item m="1" x="353"/>
        <item m="1" x="374"/>
        <item m="1" x="289"/>
        <item m="1" x="328"/>
        <item m="1" x="339"/>
        <item m="1" x="89"/>
        <item m="1" x="543"/>
        <item m="1" x="519"/>
        <item m="1" x="454"/>
        <item m="1" x="502"/>
        <item m="1" x="43"/>
        <item m="1" x="162"/>
        <item m="1" x="130"/>
        <item m="1" x="500"/>
        <item m="1" x="273"/>
        <item m="1" x="82"/>
        <item m="1" x="300"/>
        <item m="1" x="387"/>
        <item m="1" x="324"/>
        <item m="1" x="44"/>
        <item m="1" x="501"/>
        <item m="1" x="548"/>
        <item m="1" x="219"/>
        <item m="1" x="408"/>
        <item m="1" x="217"/>
        <item m="1" x="215"/>
        <item m="1" x="555"/>
        <item m="1" x="495"/>
        <item m="1" x="496"/>
        <item m="1" x="433"/>
        <item m="1" x="531"/>
        <item m="1" x="376"/>
        <item m="1" x="461"/>
        <item m="1" x="144"/>
        <item m="1" x="329"/>
        <item m="1" x="285"/>
        <item m="1" x="129"/>
        <item m="1" x="557"/>
        <item m="1" x="576"/>
        <item m="1" x="568"/>
        <item m="1" x="137"/>
        <item m="1" x="113"/>
        <item m="1" x="201"/>
        <item m="1" x="216"/>
        <item m="1" x="214"/>
        <item m="1" x="187"/>
        <item m="1" x="88"/>
        <item m="1" x="479"/>
        <item m="1" x="55"/>
        <item m="1" x="235"/>
        <item m="1" x="412"/>
        <item m="1" x="453"/>
        <item m="1" x="559"/>
        <item m="1" x="465"/>
        <item m="1" x="410"/>
        <item m="1" x="173"/>
        <item m="1" x="424"/>
        <item m="1" x="591"/>
        <item m="1" x="371"/>
        <item m="1" x="114"/>
        <item m="1" x="405"/>
        <item m="1" x="226"/>
        <item m="1" x="133"/>
        <item m="1" x="325"/>
        <item m="1" x="142"/>
        <item m="1" x="87"/>
        <item m="1" x="524"/>
        <item m="1" x="364"/>
        <item m="1" x="242"/>
        <item m="1" x="102"/>
        <item m="1" x="41"/>
        <item m="1" x="106"/>
        <item m="1" x="108"/>
        <item m="1" x="275"/>
        <item m="1" x="549"/>
        <item m="1" x="435"/>
        <item m="1" x="249"/>
        <item m="1" x="227"/>
        <item m="1" x="579"/>
        <item m="1" x="604"/>
        <item m="1" x="336"/>
        <item m="1" x="347"/>
        <item m="1" x="203"/>
        <item m="1" x="128"/>
        <item m="1" x="287"/>
        <item m="1" x="37"/>
        <item m="1" x="416"/>
        <item m="1" x="141"/>
        <item m="1" x="391"/>
        <item m="1" x="66"/>
        <item m="1" x="318"/>
        <item m="1" x="304"/>
        <item m="1" x="305"/>
        <item m="1" x="382"/>
        <item m="1" x="372"/>
        <item m="1" x="207"/>
        <item m="1" x="279"/>
        <item m="1" x="251"/>
        <item m="1" x="462"/>
        <item m="1" x="556"/>
        <item m="1" x="566"/>
        <item m="1" x="183"/>
        <item m="1" x="125"/>
        <item m="1" x="152"/>
        <item m="1" x="530"/>
        <item m="1" x="552"/>
        <item m="1" x="83"/>
        <item m="1" x="200"/>
        <item m="1" x="553"/>
        <item m="1" x="175"/>
        <item m="1" x="233"/>
        <item m="1" x="231"/>
        <item m="1" x="493"/>
        <item m="1" x="263"/>
        <item m="1" x="399"/>
        <item m="1" x="264"/>
        <item m="1" x="101"/>
        <item m="1" x="198"/>
        <item m="1" x="306"/>
        <item m="1" x="210"/>
        <item m="1" x="211"/>
        <item m="1" x="255"/>
        <item m="1" x="299"/>
        <item m="1" x="79"/>
        <item m="1" x="338"/>
        <item m="1" x="254"/>
        <item m="1" x="565"/>
        <item m="1" x="278"/>
        <item m="1" x="600"/>
        <item m="1" x="168"/>
        <item m="1" x="213"/>
        <item m="1" x="196"/>
        <item m="1" x="390"/>
        <item m="1" x="69"/>
        <item m="1" x="202"/>
        <item m="1" x="537"/>
        <item m="1" x="268"/>
        <item m="1" x="348"/>
        <item m="1" x="535"/>
        <item m="1" x="212"/>
        <item m="1" x="413"/>
        <item m="1" x="303"/>
        <item m="1" x="134"/>
        <item m="1" x="380"/>
        <item m="1" x="330"/>
        <item m="1" x="322"/>
        <item m="1" x="169"/>
        <item m="1" x="323"/>
        <item m="1" x="170"/>
        <item m="1" x="599"/>
        <item m="1" x="75"/>
        <item m="1" x="225"/>
        <item m="1" x="40"/>
        <item m="1" x="469"/>
        <item m="1" x="84"/>
        <item m="1" x="395"/>
        <item m="1" x="85"/>
        <item m="1" x="386"/>
        <item m="1" x="179"/>
        <item m="1" x="554"/>
        <item m="1" x="252"/>
        <item m="1" x="302"/>
        <item m="1" x="260"/>
        <item m="1" x="507"/>
        <item m="1" x="115"/>
        <item m="1" x="349"/>
        <item m="1" x="138"/>
        <item m="1" x="139"/>
        <item m="1" x="76"/>
        <item m="1" x="151"/>
        <item m="1" x="60"/>
        <item m="1" x="333"/>
        <item m="1" x="539"/>
        <item m="1" x="595"/>
        <item m="1" x="310"/>
        <item m="1" x="458"/>
        <item m="1" x="121"/>
        <item m="1" x="240"/>
        <item m="1" x="396"/>
        <item m="1" x="605"/>
        <item m="1" x="236"/>
        <item m="1" x="377"/>
        <item m="1" x="606"/>
        <item m="1" x="317"/>
        <item m="1" x="256"/>
        <item m="1" x="181"/>
        <item m="1" x="486"/>
        <item m="1" x="436"/>
        <item m="1" x="356"/>
        <item m="1" x="159"/>
        <item m="1" x="398"/>
        <item m="1" x="271"/>
        <item m="1" x="91"/>
        <item m="1" x="567"/>
        <item m="1" x="528"/>
        <item m="1" x="481"/>
        <item m="1" x="450"/>
        <item m="1" x="593"/>
        <item m="1" x="266"/>
        <item m="1" x="597"/>
        <item m="1" x="446"/>
        <item m="1" x="596"/>
        <item m="1" x="160"/>
        <item m="1" x="327"/>
        <item m="1" x="195"/>
        <item m="1" x="385"/>
        <item m="1" x="78"/>
        <item m="1" x="65"/>
        <item m="1" x="538"/>
        <item m="1" x="206"/>
        <item m="1" x="488"/>
        <item m="1" x="421"/>
        <item m="1" x="276"/>
        <item m="1" x="404"/>
        <item m="1" x="45"/>
        <item m="1" x="127"/>
        <item m="1" x="414"/>
        <item m="1" x="314"/>
        <item m="1" x="222"/>
        <item m="1" x="70"/>
        <item m="1" x="363"/>
        <item m="1" x="184"/>
        <item m="1" x="185"/>
        <item m="1" x="94"/>
        <item m="1" x="50"/>
        <item m="1" x="366"/>
        <item m="1" x="584"/>
        <item m="1" x="603"/>
        <item m="1" x="441"/>
        <item m="1" x="402"/>
        <item m="1" x="277"/>
        <item m="1" x="361"/>
        <item m="1" x="100"/>
        <item m="1" x="480"/>
        <item m="1" x="442"/>
        <item m="1" x="360"/>
        <item m="1" x="510"/>
        <item m="1" x="72"/>
        <item m="1" x="296"/>
        <item m="1" x="136"/>
        <item m="1" x="586"/>
        <item x="1"/>
        <item x="2"/>
        <item x="3"/>
        <item x="4"/>
        <item x="5"/>
        <item x="6"/>
        <item x="7"/>
        <item x="8"/>
        <item x="9"/>
        <item x="10"/>
        <item x="11"/>
        <item x="12"/>
        <item x="13"/>
        <item x="14"/>
        <item x="15"/>
        <item x="16"/>
        <item x="17"/>
        <item x="18"/>
        <item x="19"/>
        <item x="20"/>
        <item x="21"/>
        <item x="22"/>
        <item x="23"/>
        <item x="25"/>
        <item x="26"/>
        <item x="27"/>
        <item x="28"/>
        <item x="29"/>
        <item x="30"/>
        <item x="31"/>
        <item x="32"/>
        <item x="33"/>
        <item x="24"/>
        <item t="default"/>
      </items>
    </pivotField>
    <pivotField axis="axisRow" showAll="0">
      <items count="42">
        <item m="1" x="5"/>
        <item m="1" x="36"/>
        <item m="1" x="7"/>
        <item m="1" x="38"/>
        <item m="1" x="15"/>
        <item m="1" x="31"/>
        <item m="1" x="18"/>
        <item x="0"/>
        <item m="1" x="10"/>
        <item m="1" x="32"/>
        <item m="1" x="11"/>
        <item m="1" x="39"/>
        <item m="1" x="23"/>
        <item m="1" x="27"/>
        <item m="1" x="14"/>
        <item m="1" x="22"/>
        <item m="1" x="25"/>
        <item m="1" x="29"/>
        <item m="1" x="21"/>
        <item m="1" x="16"/>
        <item m="1" x="34"/>
        <item m="1" x="19"/>
        <item m="1" x="26"/>
        <item m="1" x="37"/>
        <item m="1" x="24"/>
        <item m="1" x="40"/>
        <item m="1" x="30"/>
        <item m="1" x="8"/>
        <item m="1" x="9"/>
        <item m="1" x="17"/>
        <item m="1" x="35"/>
        <item m="1" x="20"/>
        <item m="1" x="13"/>
        <item m="1" x="6"/>
        <item m="1" x="28"/>
        <item m="1" x="33"/>
        <item m="1" x="12"/>
        <item x="1"/>
        <item x="2"/>
        <item x="3"/>
        <item x="4"/>
        <item t="default"/>
      </items>
    </pivotField>
    <pivotField axis="axisRow" showAll="0">
      <items count="3">
        <item m="1" x="1"/>
        <item x="0"/>
        <item t="default"/>
      </items>
    </pivotField>
    <pivotField axis="axisRow" showAll="0">
      <items count="18">
        <item m="1" x="6"/>
        <item m="1" x="12"/>
        <item m="1" x="13"/>
        <item m="1" x="14"/>
        <item m="1" x="15"/>
        <item m="1" x="16"/>
        <item x="0"/>
        <item m="1" x="7"/>
        <item m="1" x="8"/>
        <item m="1" x="9"/>
        <item m="1" x="10"/>
        <item m="1" x="11"/>
        <item x="1"/>
        <item x="2"/>
        <item x="3"/>
        <item x="4"/>
        <item x="5"/>
        <item t="default"/>
      </items>
    </pivotField>
    <pivotField axis="axisRow" showAll="0">
      <items count="3">
        <item m="1" x="1"/>
        <item x="0"/>
        <item t="default"/>
      </items>
    </pivotField>
    <pivotField axis="axisRow" showAll="0">
      <items count="5">
        <item m="1" x="3"/>
        <item x="0"/>
        <item x="1"/>
        <item x="2"/>
        <item t="default"/>
      </items>
    </pivotField>
    <pivotField axis="axisRow" showAll="0">
      <items count="23">
        <item m="1" x="6"/>
        <item m="1" x="11"/>
        <item m="1" x="14"/>
        <item m="1" x="20"/>
        <item m="1" x="17"/>
        <item m="1" x="15"/>
        <item x="0"/>
        <item m="1" x="18"/>
        <item m="1" x="9"/>
        <item m="1" x="13"/>
        <item m="1" x="19"/>
        <item m="1" x="10"/>
        <item m="1" x="16"/>
        <item m="1" x="7"/>
        <item m="1" x="21"/>
        <item m="1" x="12"/>
        <item m="1" x="8"/>
        <item x="1"/>
        <item x="2"/>
        <item x="3"/>
        <item x="4"/>
        <item x="5"/>
        <item t="default"/>
      </items>
    </pivotField>
    <pivotField axis="axisRow" showAll="0">
      <items count="11">
        <item m="1" x="1"/>
        <item m="1" x="4"/>
        <item m="1" x="3"/>
        <item x="0"/>
        <item m="1" x="7"/>
        <item m="1" x="9"/>
        <item m="1" x="6"/>
        <item m="1" x="5"/>
        <item m="1" x="8"/>
        <item m="1" x="2"/>
        <item t="default"/>
      </items>
    </pivotField>
    <pivotField axis="axisRow" showAll="0">
      <items count="3">
        <item m="1" x="1"/>
        <item x="0"/>
        <item t="default"/>
      </items>
    </pivotField>
    <pivotField axis="axisRow" showAll="0">
      <items count="3">
        <item m="1" x="1"/>
        <item x="0"/>
        <item t="default"/>
      </items>
    </pivotField>
    <pivotField axis="axisRow" showAll="0">
      <items count="23">
        <item m="1" x="6"/>
        <item m="1" x="13"/>
        <item m="1" x="8"/>
        <item m="1" x="11"/>
        <item m="1" x="18"/>
        <item m="1" x="20"/>
        <item x="0"/>
        <item m="1" x="9"/>
        <item m="1" x="21"/>
        <item m="1" x="17"/>
        <item m="1" x="15"/>
        <item m="1" x="7"/>
        <item m="1" x="10"/>
        <item m="1" x="12"/>
        <item m="1" x="19"/>
        <item m="1" x="16"/>
        <item m="1" x="14"/>
        <item x="1"/>
        <item x="2"/>
        <item x="3"/>
        <item x="4"/>
        <item x="5"/>
        <item t="default"/>
      </items>
    </pivotField>
    <pivotField axis="axisRow" showAll="0">
      <items count="3">
        <item m="1" x="1"/>
        <item x="0"/>
        <item t="default"/>
      </items>
    </pivotField>
    <pivotField axis="axisRow" showAll="0">
      <items count="3">
        <item m="1" x="1"/>
        <item x="0"/>
        <item t="default"/>
      </items>
    </pivotField>
    <pivotField axis="axisRow" showAll="0">
      <items count="3">
        <item m="1" x="1"/>
        <item x="0"/>
        <item t="default"/>
      </items>
    </pivotField>
    <pivotField axis="axisRow" showAll="0">
      <items count="3">
        <item m="1" x="1"/>
        <item x="0"/>
        <item t="default"/>
      </items>
    </pivotField>
    <pivotField axis="axisRow" showAll="0">
      <items count="3">
        <item m="1" x="1"/>
        <item x="0"/>
        <item t="default"/>
      </items>
    </pivotField>
    <pivotField axis="axisRow" showAll="0">
      <items count="3">
        <item m="1" x="1"/>
        <item x="0"/>
        <item t="default"/>
      </items>
    </pivotField>
    <pivotField axis="axisRow" showAll="0">
      <items count="3">
        <item m="1" x="1"/>
        <item x="0"/>
        <item t="default"/>
      </items>
    </pivotField>
    <pivotField axis="axisRow" showAll="0">
      <items count="3">
        <item m="1" x="1"/>
        <item x="0"/>
        <item t="default"/>
      </items>
    </pivotField>
    <pivotField axis="axisRow" showAll="0">
      <items count="3">
        <item m="1" x="1"/>
        <item x="0"/>
        <item t="default"/>
      </items>
    </pivotField>
    <pivotField axis="axisRow" showAll="0">
      <items count="3">
        <item m="1" x="1"/>
        <item x="0"/>
        <item t="default"/>
      </items>
    </pivotField>
    <pivotField axis="axisRow" showAll="0">
      <items count="28">
        <item m="1" x="8"/>
        <item m="1" x="14"/>
        <item m="1" x="20"/>
        <item m="1" x="23"/>
        <item m="1" x="15"/>
        <item m="1" x="25"/>
        <item m="1" x="16"/>
        <item x="0"/>
        <item m="1" x="18"/>
        <item m="1" x="21"/>
        <item m="1" x="26"/>
        <item m="1" x="22"/>
        <item m="1" x="9"/>
        <item m="1" x="24"/>
        <item m="1" x="19"/>
        <item m="1" x="13"/>
        <item m="1" x="17"/>
        <item m="1" x="10"/>
        <item x="3"/>
        <item x="4"/>
        <item x="5"/>
        <item x="6"/>
        <item x="7"/>
        <item m="1" x="11"/>
        <item m="1" x="12"/>
        <item x="1"/>
        <item x="2"/>
        <item t="default"/>
      </items>
    </pivotField>
    <pivotField axis="axisRow" showAll="0">
      <items count="3">
        <item m="1" x="1"/>
        <item x="0"/>
        <item t="default"/>
      </items>
    </pivotField>
    <pivotField axis="axisRow" showAll="0">
      <items count="3">
        <item m="1" x="1"/>
        <item x="0"/>
        <item t="default"/>
      </items>
    </pivotField>
    <pivotField axis="axisRow" showAll="0">
      <items count="12">
        <item m="1" x="2"/>
        <item m="1" x="8"/>
        <item m="1" x="3"/>
        <item x="0"/>
        <item m="1" x="4"/>
        <item m="1" x="9"/>
        <item m="1" x="7"/>
        <item m="1" x="6"/>
        <item m="1" x="10"/>
        <item m="1" x="5"/>
        <item x="1"/>
        <item t="default"/>
      </items>
    </pivotField>
    <pivotField axis="axisRow" showAll="0">
      <items count="3">
        <item m="1" x="1"/>
        <item x="0"/>
        <item t="default"/>
      </items>
    </pivotField>
    <pivotField axis="axisRow" showAll="0">
      <items count="3">
        <item m="1" x="1"/>
        <item x="0"/>
        <item t="default"/>
      </items>
    </pivotField>
    <pivotField axis="axisRow" showAll="0">
      <items count="7">
        <item m="1" x="3"/>
        <item x="0"/>
        <item m="1" x="4"/>
        <item m="1" x="5"/>
        <item x="1"/>
        <item x="2"/>
        <item t="default"/>
      </items>
    </pivotField>
    <pivotField axis="axisRow" showAll="0">
      <items count="59">
        <item m="1" x="9"/>
        <item m="1" x="33"/>
        <item m="1" x="55"/>
        <item m="1" x="28"/>
        <item m="1" x="37"/>
        <item m="1" x="57"/>
        <item m="1" x="47"/>
        <item m="1" x="10"/>
        <item m="1" x="27"/>
        <item m="1" x="23"/>
        <item m="1" x="34"/>
        <item m="1" x="11"/>
        <item m="1" x="41"/>
        <item m="1" x="12"/>
        <item m="1" x="26"/>
        <item m="1" x="22"/>
        <item m="1" x="39"/>
        <item x="0"/>
        <item m="1" x="20"/>
        <item m="1" x="38"/>
        <item m="1" x="31"/>
        <item m="1" x="35"/>
        <item m="1" x="25"/>
        <item m="1" x="29"/>
        <item m="1" x="16"/>
        <item m="1" x="42"/>
        <item m="1" x="45"/>
        <item m="1" x="32"/>
        <item m="1" x="18"/>
        <item m="1" x="43"/>
        <item m="1" x="46"/>
        <item m="1" x="54"/>
        <item m="1" x="52"/>
        <item m="1" x="40"/>
        <item m="1" x="13"/>
        <item m="1" x="49"/>
        <item m="1" x="19"/>
        <item m="1" x="21"/>
        <item m="1" x="56"/>
        <item m="1" x="30"/>
        <item m="1" x="36"/>
        <item m="1" x="50"/>
        <item m="1" x="48"/>
        <item m="1" x="17"/>
        <item m="1" x="44"/>
        <item m="1" x="14"/>
        <item m="1" x="24"/>
        <item m="1" x="53"/>
        <item m="1" x="51"/>
        <item m="1" x="15"/>
        <item x="8"/>
        <item x="7"/>
        <item x="1"/>
        <item x="2"/>
        <item x="3"/>
        <item x="4"/>
        <item x="5"/>
        <item x="6"/>
        <item t="default"/>
      </items>
    </pivotField>
    <pivotField axis="axisRow" showAll="0">
      <items count="15">
        <item m="1" x="1"/>
        <item m="1" x="3"/>
        <item m="1" x="6"/>
        <item m="1" x="9"/>
        <item x="0"/>
        <item m="1" x="7"/>
        <item m="1" x="5"/>
        <item m="1" x="13"/>
        <item m="1" x="12"/>
        <item m="1" x="4"/>
        <item m="1" x="11"/>
        <item m="1" x="2"/>
        <item m="1" x="10"/>
        <item m="1" x="8"/>
        <item t="default"/>
      </items>
    </pivotField>
    <pivotField axis="axisRow" showAll="0">
      <items count="3">
        <item m="1" x="1"/>
        <item x="0"/>
        <item t="default"/>
      </items>
    </pivotField>
    <pivotField axis="axisRow" showAll="0">
      <items count="3">
        <item m="1" x="1"/>
        <item x="0"/>
        <item t="default"/>
      </items>
    </pivotField>
    <pivotField axis="axisRow" showAll="0">
      <items count="3">
        <item m="1" x="1"/>
        <item x="0"/>
        <item t="default"/>
      </items>
    </pivotField>
    <pivotField axis="axisRow" showAll="0">
      <items count="3">
        <item m="1" x="1"/>
        <item x="0"/>
        <item t="default"/>
      </items>
    </pivotField>
    <pivotField axis="axisRow" showAll="0">
      <items count="3">
        <item m="1" x="1"/>
        <item x="0"/>
        <item t="default"/>
      </items>
    </pivotField>
    <pivotField axis="axisRow" showAll="0">
      <items count="3">
        <item m="1" x="1"/>
        <item x="0"/>
        <item t="default"/>
      </items>
    </pivotField>
    <pivotField axis="axisRow" showAll="0">
      <items count="3">
        <item m="1" x="1"/>
        <item x="0"/>
        <item t="default"/>
      </items>
    </pivotField>
    <pivotField axis="axisRow" showAll="0">
      <items count="3">
        <item m="1" x="1"/>
        <item x="0"/>
        <item t="default"/>
      </items>
    </pivotField>
    <pivotField axis="axisRow" showAll="0">
      <items count="12">
        <item m="1" x="2"/>
        <item m="1" x="3"/>
        <item m="1" x="6"/>
        <item m="1" x="8"/>
        <item x="0"/>
        <item m="1" x="7"/>
        <item m="1" x="9"/>
        <item m="1" x="10"/>
        <item m="1" x="4"/>
        <item m="1" x="5"/>
        <item x="1"/>
        <item t="default"/>
      </items>
    </pivotField>
    <pivotField axis="axisRow" showAll="0">
      <items count="11">
        <item m="1" x="3"/>
        <item m="1" x="7"/>
        <item m="1" x="5"/>
        <item m="1" x="9"/>
        <item m="1" x="8"/>
        <item x="0"/>
        <item m="1" x="4"/>
        <item m="1" x="6"/>
        <item x="1"/>
        <item x="2"/>
        <item t="default"/>
      </items>
    </pivotField>
    <pivotField axis="axisRow" showAll="0" defaultSubtotal="0">
      <items count="9">
        <item x="0"/>
        <item m="1" x="6"/>
        <item m="1" x="8"/>
        <item m="1" x="5"/>
        <item m="1" x="7"/>
        <item m="1" x="4"/>
        <item m="1" x="3"/>
        <item x="1"/>
        <item x="2"/>
      </items>
    </pivotField>
  </pivotFields>
  <rowFields count="74">
    <field x="4"/>
    <field x="190"/>
    <field x="195"/>
    <field x="196"/>
    <field x="197"/>
    <field x="191"/>
    <field x="192"/>
    <field x="193"/>
    <field x="194"/>
    <field x="198"/>
    <field x="199"/>
    <field x="200"/>
    <field x="201"/>
    <field x="202"/>
    <field x="203"/>
    <field x="204"/>
    <field x="205"/>
    <field x="208"/>
    <field x="209"/>
    <field x="210"/>
    <field x="211"/>
    <field x="212"/>
    <field x="213"/>
    <field x="214"/>
    <field x="215"/>
    <field x="216"/>
    <field x="217"/>
    <field x="218"/>
    <field x="219"/>
    <field x="220"/>
    <field x="221"/>
    <field x="222"/>
    <field x="223"/>
    <field x="224"/>
    <field x="225"/>
    <field x="226"/>
    <field x="227"/>
    <field x="228"/>
    <field x="229"/>
    <field x="230"/>
    <field x="231"/>
    <field x="232"/>
    <field x="233"/>
    <field x="234"/>
    <field x="235"/>
    <field x="236"/>
    <field x="237"/>
    <field x="238"/>
    <field x="239"/>
    <field x="240"/>
    <field x="241"/>
    <field x="242"/>
    <field x="243"/>
    <field x="244"/>
    <field x="245"/>
    <field x="246"/>
    <field x="247"/>
    <field x="248"/>
    <field x="249"/>
    <field x="250"/>
    <field x="251"/>
    <field x="252"/>
    <field x="253"/>
    <field x="254"/>
    <field x="255"/>
    <field x="256"/>
    <field x="257"/>
    <field x="258"/>
    <field x="260"/>
    <field x="259"/>
    <field x="261"/>
    <field x="206"/>
    <field x="207"/>
    <field x="262"/>
  </rowFields>
  <rowItems count="1884">
    <i>
      <x v="5"/>
    </i>
    <i r="1">
      <x v="44"/>
    </i>
    <i r="2">
      <x v="453"/>
    </i>
    <i r="3">
      <x v="41"/>
    </i>
    <i r="4">
      <x v="41"/>
    </i>
    <i r="5">
      <x v="24"/>
    </i>
    <i r="6">
      <x v="2"/>
    </i>
    <i r="7">
      <x v="1"/>
    </i>
    <i r="8">
      <x v="1"/>
    </i>
    <i r="9">
      <x v="87"/>
    </i>
    <i r="10">
      <x v="88"/>
    </i>
    <i r="11">
      <x v="1"/>
    </i>
    <i r="12">
      <x v="1"/>
    </i>
    <i r="13">
      <x v="388"/>
    </i>
    <i r="14">
      <x v="42"/>
    </i>
    <i r="15">
      <x v="4"/>
    </i>
    <i r="16">
      <x v="1"/>
    </i>
    <i r="17">
      <x v="1"/>
    </i>
    <i r="18">
      <x v="42"/>
    </i>
    <i r="19">
      <x v="1"/>
    </i>
    <i r="20">
      <x v="42"/>
    </i>
    <i r="21">
      <x v="1"/>
    </i>
    <i r="22">
      <x v="1"/>
    </i>
    <i r="23">
      <x v="1"/>
    </i>
    <i r="24">
      <x v="1"/>
    </i>
    <i r="25">
      <x v="1"/>
    </i>
    <i r="26">
      <x v="1"/>
    </i>
    <i r="27">
      <x v="209"/>
    </i>
    <i r="28">
      <x v="1"/>
    </i>
    <i r="29">
      <x v="9"/>
    </i>
    <i r="30">
      <x v="4"/>
    </i>
    <i r="31">
      <x v="96"/>
    </i>
    <i r="32">
      <x v="7"/>
    </i>
    <i r="33">
      <x v="1"/>
    </i>
    <i r="34">
      <x v="6"/>
    </i>
    <i r="35">
      <x v="1"/>
    </i>
    <i r="36">
      <x v="1"/>
    </i>
    <i r="37">
      <x v="6"/>
    </i>
    <i r="38">
      <x v="3"/>
    </i>
    <i r="39">
      <x v="1"/>
    </i>
    <i r="40">
      <x v="1"/>
    </i>
    <i r="41">
      <x v="6"/>
    </i>
    <i r="42">
      <x v="1"/>
    </i>
    <i r="43">
      <x v="1"/>
    </i>
    <i r="44">
      <x v="1"/>
    </i>
    <i r="45">
      <x v="1"/>
    </i>
    <i r="46">
      <x v="1"/>
    </i>
    <i r="47">
      <x v="1"/>
    </i>
    <i r="48">
      <x v="1"/>
    </i>
    <i r="49">
      <x v="1"/>
    </i>
    <i r="50">
      <x v="1"/>
    </i>
    <i r="51">
      <x v="1"/>
    </i>
    <i r="52">
      <x v="7"/>
    </i>
    <i r="53">
      <x v="1"/>
    </i>
    <i r="54">
      <x v="1"/>
    </i>
    <i r="55">
      <x v="3"/>
    </i>
    <i r="56">
      <x v="1"/>
    </i>
    <i r="57">
      <x v="1"/>
    </i>
    <i r="58">
      <x v="1"/>
    </i>
    <i r="59">
      <x v="17"/>
    </i>
    <i r="60">
      <x v="4"/>
    </i>
    <i r="61">
      <x v="1"/>
    </i>
    <i r="62">
      <x v="1"/>
    </i>
    <i r="63">
      <x v="1"/>
    </i>
    <i r="64">
      <x v="1"/>
    </i>
    <i r="65">
      <x v="1"/>
    </i>
    <i r="66">
      <x v="1"/>
    </i>
    <i r="67">
      <x v="1"/>
    </i>
    <i r="68">
      <x v="4"/>
    </i>
    <i r="69">
      <x v="1"/>
    </i>
    <i r="70">
      <x v="5"/>
    </i>
    <i r="71">
      <x v="41"/>
    </i>
    <i r="72">
      <x v="40"/>
    </i>
    <i r="73">
      <x/>
    </i>
    <i r="2">
      <x v="454"/>
    </i>
    <i r="3">
      <x v="41"/>
    </i>
    <i r="4">
      <x v="41"/>
    </i>
    <i r="5">
      <x v="24"/>
    </i>
    <i r="6">
      <x v="2"/>
    </i>
    <i r="7">
      <x v="1"/>
    </i>
    <i r="8">
      <x v="1"/>
    </i>
    <i r="9">
      <x v="87"/>
    </i>
    <i r="10">
      <x v="88"/>
    </i>
    <i r="11">
      <x v="1"/>
    </i>
    <i r="12">
      <x v="1"/>
    </i>
    <i r="13">
      <x v="389"/>
    </i>
    <i r="14">
      <x v="42"/>
    </i>
    <i r="15">
      <x v="4"/>
    </i>
    <i r="16">
      <x v="1"/>
    </i>
    <i r="17">
      <x v="1"/>
    </i>
    <i r="18">
      <x v="42"/>
    </i>
    <i r="19">
      <x v="1"/>
    </i>
    <i r="20">
      <x v="42"/>
    </i>
    <i r="21">
      <x v="1"/>
    </i>
    <i r="22">
      <x v="1"/>
    </i>
    <i r="23">
      <x v="1"/>
    </i>
    <i r="24">
      <x v="1"/>
    </i>
    <i r="25">
      <x v="1"/>
    </i>
    <i r="26">
      <x v="1"/>
    </i>
    <i r="27">
      <x v="210"/>
    </i>
    <i r="28">
      <x v="1"/>
    </i>
    <i r="29">
      <x v="9"/>
    </i>
    <i r="30">
      <x v="4"/>
    </i>
    <i r="31">
      <x v="96"/>
    </i>
    <i r="32">
      <x v="7"/>
    </i>
    <i r="33">
      <x v="1"/>
    </i>
    <i r="34">
      <x v="6"/>
    </i>
    <i r="35">
      <x v="1"/>
    </i>
    <i r="36">
      <x v="1"/>
    </i>
    <i r="37">
      <x v="6"/>
    </i>
    <i r="38">
      <x v="3"/>
    </i>
    <i r="39">
      <x v="1"/>
    </i>
    <i r="40">
      <x v="1"/>
    </i>
    <i r="41">
      <x v="6"/>
    </i>
    <i r="42">
      <x v="1"/>
    </i>
    <i r="43">
      <x v="1"/>
    </i>
    <i r="44">
      <x v="1"/>
    </i>
    <i r="45">
      <x v="1"/>
    </i>
    <i r="46">
      <x v="1"/>
    </i>
    <i r="47">
      <x v="1"/>
    </i>
    <i r="48">
      <x v="1"/>
    </i>
    <i r="49">
      <x v="1"/>
    </i>
    <i r="50">
      <x v="1"/>
    </i>
    <i r="51">
      <x v="1"/>
    </i>
    <i r="52">
      <x v="7"/>
    </i>
    <i r="53">
      <x v="1"/>
    </i>
    <i r="54">
      <x v="1"/>
    </i>
    <i r="55">
      <x v="3"/>
    </i>
    <i r="56">
      <x v="1"/>
    </i>
    <i r="57">
      <x v="1"/>
    </i>
    <i r="58">
      <x v="1"/>
    </i>
    <i r="59">
      <x v="17"/>
    </i>
    <i r="60">
      <x v="4"/>
    </i>
    <i r="61">
      <x v="1"/>
    </i>
    <i r="62">
      <x v="1"/>
    </i>
    <i r="63">
      <x v="1"/>
    </i>
    <i r="64">
      <x v="1"/>
    </i>
    <i r="65">
      <x v="1"/>
    </i>
    <i r="66">
      <x v="1"/>
    </i>
    <i r="67">
      <x v="1"/>
    </i>
    <i r="68">
      <x v="4"/>
    </i>
    <i r="69">
      <x v="1"/>
    </i>
    <i r="70">
      <x v="5"/>
    </i>
    <i r="71">
      <x v="41"/>
    </i>
    <i r="72">
      <x v="40"/>
    </i>
    <i r="73">
      <x/>
    </i>
    <i r="2">
      <x v="455"/>
    </i>
    <i r="3">
      <x v="41"/>
    </i>
    <i r="4">
      <x v="41"/>
    </i>
    <i r="5">
      <x v="24"/>
    </i>
    <i r="6">
      <x v="2"/>
    </i>
    <i r="7">
      <x v="1"/>
    </i>
    <i r="8">
      <x v="1"/>
    </i>
    <i r="9">
      <x v="87"/>
    </i>
    <i r="10">
      <x v="88"/>
    </i>
    <i r="11">
      <x v="1"/>
    </i>
    <i r="12">
      <x v="1"/>
    </i>
    <i r="13">
      <x v="390"/>
    </i>
    <i r="14">
      <x v="42"/>
    </i>
    <i r="15">
      <x v="4"/>
    </i>
    <i r="16">
      <x v="1"/>
    </i>
    <i r="17">
      <x v="1"/>
    </i>
    <i r="18">
      <x v="42"/>
    </i>
    <i r="19">
      <x v="1"/>
    </i>
    <i r="20">
      <x v="42"/>
    </i>
    <i r="21">
      <x v="1"/>
    </i>
    <i r="22">
      <x v="1"/>
    </i>
    <i r="23">
      <x v="1"/>
    </i>
    <i r="24">
      <x v="1"/>
    </i>
    <i r="25">
      <x v="1"/>
    </i>
    <i r="26">
      <x v="1"/>
    </i>
    <i r="27">
      <x v="211"/>
    </i>
    <i r="28">
      <x v="1"/>
    </i>
    <i r="29">
      <x v="9"/>
    </i>
    <i r="30">
      <x v="4"/>
    </i>
    <i r="31">
      <x v="96"/>
    </i>
    <i r="32">
      <x v="7"/>
    </i>
    <i r="33">
      <x v="1"/>
    </i>
    <i r="34">
      <x v="6"/>
    </i>
    <i r="35">
      <x v="1"/>
    </i>
    <i r="36">
      <x v="1"/>
    </i>
    <i r="37">
      <x v="6"/>
    </i>
    <i r="38">
      <x v="3"/>
    </i>
    <i r="39">
      <x v="1"/>
    </i>
    <i r="40">
      <x v="1"/>
    </i>
    <i r="41">
      <x v="6"/>
    </i>
    <i r="42">
      <x v="1"/>
    </i>
    <i r="43">
      <x v="1"/>
    </i>
    <i r="44">
      <x v="1"/>
    </i>
    <i r="45">
      <x v="1"/>
    </i>
    <i r="46">
      <x v="1"/>
    </i>
    <i r="47">
      <x v="1"/>
    </i>
    <i r="48">
      <x v="1"/>
    </i>
    <i r="49">
      <x v="1"/>
    </i>
    <i r="50">
      <x v="1"/>
    </i>
    <i r="51">
      <x v="1"/>
    </i>
    <i r="52">
      <x v="7"/>
    </i>
    <i r="53">
      <x v="1"/>
    </i>
    <i r="54">
      <x v="1"/>
    </i>
    <i r="55">
      <x v="3"/>
    </i>
    <i r="56">
      <x v="1"/>
    </i>
    <i r="57">
      <x v="1"/>
    </i>
    <i r="58">
      <x v="1"/>
    </i>
    <i r="59">
      <x v="17"/>
    </i>
    <i r="60">
      <x v="4"/>
    </i>
    <i r="61">
      <x v="1"/>
    </i>
    <i r="62">
      <x v="1"/>
    </i>
    <i r="63">
      <x v="1"/>
    </i>
    <i r="64">
      <x v="1"/>
    </i>
    <i r="65">
      <x v="1"/>
    </i>
    <i r="66">
      <x v="1"/>
    </i>
    <i r="67">
      <x v="1"/>
    </i>
    <i r="68">
      <x v="4"/>
    </i>
    <i r="69">
      <x v="1"/>
    </i>
    <i r="70">
      <x v="5"/>
    </i>
    <i r="71">
      <x v="41"/>
    </i>
    <i r="72">
      <x v="40"/>
    </i>
    <i r="73">
      <x/>
    </i>
    <i r="2">
      <x v="456"/>
    </i>
    <i r="3">
      <x v="41"/>
    </i>
    <i r="4">
      <x v="41"/>
    </i>
    <i r="5">
      <x v="24"/>
    </i>
    <i r="6">
      <x v="2"/>
    </i>
    <i r="7">
      <x v="1"/>
    </i>
    <i r="8">
      <x v="1"/>
    </i>
    <i r="9">
      <x v="87"/>
    </i>
    <i r="10">
      <x v="88"/>
    </i>
    <i r="11">
      <x v="1"/>
    </i>
    <i r="12">
      <x v="1"/>
    </i>
    <i r="13">
      <x v="391"/>
    </i>
    <i r="14">
      <x v="42"/>
    </i>
    <i r="15">
      <x v="4"/>
    </i>
    <i r="16">
      <x v="1"/>
    </i>
    <i r="17">
      <x v="1"/>
    </i>
    <i r="18">
      <x v="42"/>
    </i>
    <i r="19">
      <x v="1"/>
    </i>
    <i r="20">
      <x v="42"/>
    </i>
    <i r="21">
      <x v="1"/>
    </i>
    <i r="22">
      <x v="1"/>
    </i>
    <i r="23">
      <x v="1"/>
    </i>
    <i r="24">
      <x v="1"/>
    </i>
    <i r="25">
      <x v="1"/>
    </i>
    <i r="26">
      <x v="1"/>
    </i>
    <i r="27">
      <x v="212"/>
    </i>
    <i r="28">
      <x v="1"/>
    </i>
    <i r="29">
      <x v="9"/>
    </i>
    <i r="30">
      <x v="4"/>
    </i>
    <i r="31">
      <x v="96"/>
    </i>
    <i r="32">
      <x v="7"/>
    </i>
    <i r="33">
      <x v="1"/>
    </i>
    <i r="34">
      <x v="6"/>
    </i>
    <i r="35">
      <x v="1"/>
    </i>
    <i r="36">
      <x v="1"/>
    </i>
    <i r="37">
      <x v="6"/>
    </i>
    <i r="38">
      <x v="3"/>
    </i>
    <i r="39">
      <x v="1"/>
    </i>
    <i r="40">
      <x v="1"/>
    </i>
    <i r="41">
      <x v="6"/>
    </i>
    <i r="42">
      <x v="1"/>
    </i>
    <i r="43">
      <x v="1"/>
    </i>
    <i r="44">
      <x v="1"/>
    </i>
    <i r="45">
      <x v="1"/>
    </i>
    <i r="46">
      <x v="1"/>
    </i>
    <i r="47">
      <x v="1"/>
    </i>
    <i r="48">
      <x v="1"/>
    </i>
    <i r="49">
      <x v="1"/>
    </i>
    <i r="50">
      <x v="1"/>
    </i>
    <i r="51">
      <x v="1"/>
    </i>
    <i r="52">
      <x v="7"/>
    </i>
    <i r="53">
      <x v="1"/>
    </i>
    <i r="54">
      <x v="1"/>
    </i>
    <i r="55">
      <x v="3"/>
    </i>
    <i r="56">
      <x v="1"/>
    </i>
    <i r="57">
      <x v="1"/>
    </i>
    <i r="58">
      <x v="1"/>
    </i>
    <i r="59">
      <x v="17"/>
    </i>
    <i r="60">
      <x v="4"/>
    </i>
    <i r="61">
      <x v="1"/>
    </i>
    <i r="62">
      <x v="1"/>
    </i>
    <i r="63">
      <x v="1"/>
    </i>
    <i r="64">
      <x v="1"/>
    </i>
    <i r="65">
      <x v="1"/>
    </i>
    <i r="66">
      <x v="1"/>
    </i>
    <i r="67">
      <x v="1"/>
    </i>
    <i r="68">
      <x v="4"/>
    </i>
    <i r="69">
      <x v="1"/>
    </i>
    <i r="70">
      <x v="5"/>
    </i>
    <i r="71">
      <x v="41"/>
    </i>
    <i r="72">
      <x v="40"/>
    </i>
    <i r="73">
      <x/>
    </i>
    <i r="2">
      <x v="457"/>
    </i>
    <i r="3">
      <x v="41"/>
    </i>
    <i r="4">
      <x v="41"/>
    </i>
    <i r="5">
      <x v="24"/>
    </i>
    <i r="6">
      <x v="2"/>
    </i>
    <i r="7">
      <x v="1"/>
    </i>
    <i r="8">
      <x v="1"/>
    </i>
    <i r="9">
      <x v="87"/>
    </i>
    <i r="10">
      <x v="88"/>
    </i>
    <i r="11">
      <x v="1"/>
    </i>
    <i r="12">
      <x v="1"/>
    </i>
    <i r="13">
      <x v="392"/>
    </i>
    <i r="14">
      <x v="42"/>
    </i>
    <i r="15">
      <x v="4"/>
    </i>
    <i r="16">
      <x v="1"/>
    </i>
    <i r="17">
      <x v="1"/>
    </i>
    <i r="18">
      <x v="42"/>
    </i>
    <i r="19">
      <x v="1"/>
    </i>
    <i r="20">
      <x v="42"/>
    </i>
    <i r="21">
      <x v="1"/>
    </i>
    <i r="22">
      <x v="1"/>
    </i>
    <i r="23">
      <x v="1"/>
    </i>
    <i r="24">
      <x v="1"/>
    </i>
    <i r="25">
      <x v="1"/>
    </i>
    <i r="26">
      <x v="1"/>
    </i>
    <i r="27">
      <x v="213"/>
    </i>
    <i r="28">
      <x v="1"/>
    </i>
    <i r="29">
      <x v="9"/>
    </i>
    <i r="30">
      <x v="4"/>
    </i>
    <i r="31">
      <x v="96"/>
    </i>
    <i r="32">
      <x v="7"/>
    </i>
    <i r="33">
      <x v="1"/>
    </i>
    <i r="34">
      <x v="6"/>
    </i>
    <i r="35">
      <x v="1"/>
    </i>
    <i r="36">
      <x v="1"/>
    </i>
    <i r="37">
      <x v="6"/>
    </i>
    <i r="38">
      <x v="3"/>
    </i>
    <i r="39">
      <x v="1"/>
    </i>
    <i r="40">
      <x v="1"/>
    </i>
    <i r="41">
      <x v="6"/>
    </i>
    <i r="42">
      <x v="1"/>
    </i>
    <i r="43">
      <x v="1"/>
    </i>
    <i r="44">
      <x v="1"/>
    </i>
    <i r="45">
      <x v="1"/>
    </i>
    <i r="46">
      <x v="1"/>
    </i>
    <i r="47">
      <x v="1"/>
    </i>
    <i r="48">
      <x v="1"/>
    </i>
    <i r="49">
      <x v="1"/>
    </i>
    <i r="50">
      <x v="1"/>
    </i>
    <i r="51">
      <x v="1"/>
    </i>
    <i r="52">
      <x v="7"/>
    </i>
    <i r="53">
      <x v="1"/>
    </i>
    <i r="54">
      <x v="1"/>
    </i>
    <i r="55">
      <x v="3"/>
    </i>
    <i r="56">
      <x v="1"/>
    </i>
    <i r="57">
      <x v="1"/>
    </i>
    <i r="58">
      <x v="1"/>
    </i>
    <i r="59">
      <x v="17"/>
    </i>
    <i r="60">
      <x v="4"/>
    </i>
    <i r="61">
      <x v="1"/>
    </i>
    <i r="62">
      <x v="1"/>
    </i>
    <i r="63">
      <x v="1"/>
    </i>
    <i r="64">
      <x v="1"/>
    </i>
    <i r="65">
      <x v="1"/>
    </i>
    <i r="66">
      <x v="1"/>
    </i>
    <i r="67">
      <x v="1"/>
    </i>
    <i r="68">
      <x v="4"/>
    </i>
    <i r="69">
      <x v="1"/>
    </i>
    <i r="70">
      <x v="5"/>
    </i>
    <i r="71">
      <x v="41"/>
    </i>
    <i r="72">
      <x v="40"/>
    </i>
    <i r="73">
      <x/>
    </i>
    <i r="2">
      <x v="458"/>
    </i>
    <i r="3">
      <x v="41"/>
    </i>
    <i r="4">
      <x v="41"/>
    </i>
    <i r="5">
      <x v="24"/>
    </i>
    <i r="6">
      <x v="2"/>
    </i>
    <i r="7">
      <x v="1"/>
    </i>
    <i r="8">
      <x v="1"/>
    </i>
    <i r="9">
      <x v="87"/>
    </i>
    <i r="10">
      <x v="88"/>
    </i>
    <i r="11">
      <x v="1"/>
    </i>
    <i r="12">
      <x v="1"/>
    </i>
    <i r="13">
      <x v="393"/>
    </i>
    <i r="14">
      <x v="42"/>
    </i>
    <i r="15">
      <x v="4"/>
    </i>
    <i r="16">
      <x v="1"/>
    </i>
    <i r="17">
      <x v="1"/>
    </i>
    <i r="18">
      <x v="42"/>
    </i>
    <i r="19">
      <x v="1"/>
    </i>
    <i r="20">
      <x v="42"/>
    </i>
    <i r="21">
      <x v="1"/>
    </i>
    <i r="22">
      <x v="1"/>
    </i>
    <i r="23">
      <x v="1"/>
    </i>
    <i r="24">
      <x v="1"/>
    </i>
    <i r="25">
      <x v="1"/>
    </i>
    <i r="26">
      <x v="1"/>
    </i>
    <i r="27">
      <x v="214"/>
    </i>
    <i r="28">
      <x v="1"/>
    </i>
    <i r="29">
      <x v="9"/>
    </i>
    <i r="30">
      <x v="4"/>
    </i>
    <i r="31">
      <x v="96"/>
    </i>
    <i r="32">
      <x v="7"/>
    </i>
    <i r="33">
      <x v="1"/>
    </i>
    <i r="34">
      <x v="6"/>
    </i>
    <i r="35">
      <x v="1"/>
    </i>
    <i r="36">
      <x v="1"/>
    </i>
    <i r="37">
      <x v="6"/>
    </i>
    <i r="38">
      <x v="3"/>
    </i>
    <i r="39">
      <x v="1"/>
    </i>
    <i r="40">
      <x v="1"/>
    </i>
    <i r="41">
      <x v="6"/>
    </i>
    <i r="42">
      <x v="1"/>
    </i>
    <i r="43">
      <x v="1"/>
    </i>
    <i r="44">
      <x v="1"/>
    </i>
    <i r="45">
      <x v="1"/>
    </i>
    <i r="46">
      <x v="1"/>
    </i>
    <i r="47">
      <x v="1"/>
    </i>
    <i r="48">
      <x v="1"/>
    </i>
    <i r="49">
      <x v="1"/>
    </i>
    <i r="50">
      <x v="1"/>
    </i>
    <i r="51">
      <x v="1"/>
    </i>
    <i r="52">
      <x v="7"/>
    </i>
    <i r="53">
      <x v="1"/>
    </i>
    <i r="54">
      <x v="1"/>
    </i>
    <i r="55">
      <x v="3"/>
    </i>
    <i r="56">
      <x v="1"/>
    </i>
    <i r="57">
      <x v="1"/>
    </i>
    <i r="58">
      <x v="1"/>
    </i>
    <i r="59">
      <x v="17"/>
    </i>
    <i r="60">
      <x v="4"/>
    </i>
    <i r="61">
      <x v="1"/>
    </i>
    <i r="62">
      <x v="1"/>
    </i>
    <i r="63">
      <x v="1"/>
    </i>
    <i r="64">
      <x v="1"/>
    </i>
    <i r="65">
      <x v="1"/>
    </i>
    <i r="66">
      <x v="1"/>
    </i>
    <i r="67">
      <x v="1"/>
    </i>
    <i r="68">
      <x v="4"/>
    </i>
    <i r="69">
      <x v="1"/>
    </i>
    <i r="70">
      <x v="5"/>
    </i>
    <i r="71">
      <x v="41"/>
    </i>
    <i r="72">
      <x v="40"/>
    </i>
    <i r="73">
      <x/>
    </i>
    <i r="2">
      <x v="459"/>
    </i>
    <i r="3">
      <x v="41"/>
    </i>
    <i r="4">
      <x v="41"/>
    </i>
    <i r="5">
      <x v="24"/>
    </i>
    <i r="6">
      <x v="2"/>
    </i>
    <i r="7">
      <x v="1"/>
    </i>
    <i r="8">
      <x v="1"/>
    </i>
    <i r="9">
      <x v="87"/>
    </i>
    <i r="10">
      <x v="88"/>
    </i>
    <i r="11">
      <x v="1"/>
    </i>
    <i r="12">
      <x v="1"/>
    </i>
    <i r="13">
      <x v="394"/>
    </i>
    <i r="14">
      <x v="42"/>
    </i>
    <i r="15">
      <x v="4"/>
    </i>
    <i r="16">
      <x v="1"/>
    </i>
    <i r="17">
      <x v="1"/>
    </i>
    <i r="18">
      <x v="42"/>
    </i>
    <i r="19">
      <x v="1"/>
    </i>
    <i r="20">
      <x v="42"/>
    </i>
    <i r="21">
      <x v="1"/>
    </i>
    <i r="22">
      <x v="1"/>
    </i>
    <i r="23">
      <x v="1"/>
    </i>
    <i r="24">
      <x v="1"/>
    </i>
    <i r="25">
      <x v="1"/>
    </i>
    <i r="26">
      <x v="1"/>
    </i>
    <i r="27">
      <x v="215"/>
    </i>
    <i r="28">
      <x v="1"/>
    </i>
    <i r="29">
      <x v="9"/>
    </i>
    <i r="30">
      <x v="4"/>
    </i>
    <i r="31">
      <x v="96"/>
    </i>
    <i r="32">
      <x v="7"/>
    </i>
    <i r="33">
      <x v="1"/>
    </i>
    <i r="34">
      <x v="6"/>
    </i>
    <i r="35">
      <x v="1"/>
    </i>
    <i r="36">
      <x v="1"/>
    </i>
    <i r="37">
      <x v="6"/>
    </i>
    <i r="38">
      <x v="3"/>
    </i>
    <i r="39">
      <x v="1"/>
    </i>
    <i r="40">
      <x v="1"/>
    </i>
    <i r="41">
      <x v="6"/>
    </i>
    <i r="42">
      <x v="1"/>
    </i>
    <i r="43">
      <x v="1"/>
    </i>
    <i r="44">
      <x v="1"/>
    </i>
    <i r="45">
      <x v="1"/>
    </i>
    <i r="46">
      <x v="1"/>
    </i>
    <i r="47">
      <x v="1"/>
    </i>
    <i r="48">
      <x v="1"/>
    </i>
    <i r="49">
      <x v="1"/>
    </i>
    <i r="50">
      <x v="1"/>
    </i>
    <i r="51">
      <x v="1"/>
    </i>
    <i r="52">
      <x v="7"/>
    </i>
    <i r="53">
      <x v="1"/>
    </i>
    <i r="54">
      <x v="1"/>
    </i>
    <i r="55">
      <x v="3"/>
    </i>
    <i r="56">
      <x v="1"/>
    </i>
    <i r="57">
      <x v="1"/>
    </i>
    <i r="58">
      <x v="1"/>
    </i>
    <i r="59">
      <x v="17"/>
    </i>
    <i r="60">
      <x v="4"/>
    </i>
    <i r="61">
      <x v="1"/>
    </i>
    <i r="62">
      <x v="1"/>
    </i>
    <i r="63">
      <x v="1"/>
    </i>
    <i r="64">
      <x v="1"/>
    </i>
    <i r="65">
      <x v="1"/>
    </i>
    <i r="66">
      <x v="1"/>
    </i>
    <i r="67">
      <x v="1"/>
    </i>
    <i r="68">
      <x v="4"/>
    </i>
    <i r="69">
      <x v="1"/>
    </i>
    <i r="70">
      <x v="5"/>
    </i>
    <i r="71">
      <x v="41"/>
    </i>
    <i r="72">
      <x v="40"/>
    </i>
    <i r="73">
      <x/>
    </i>
    <i r="2">
      <x v="460"/>
    </i>
    <i r="3">
      <x v="41"/>
    </i>
    <i r="4">
      <x v="41"/>
    </i>
    <i r="5">
      <x v="24"/>
    </i>
    <i r="6">
      <x v="2"/>
    </i>
    <i r="7">
      <x v="1"/>
    </i>
    <i r="8">
      <x v="1"/>
    </i>
    <i r="9">
      <x v="87"/>
    </i>
    <i r="10">
      <x v="88"/>
    </i>
    <i r="11">
      <x v="1"/>
    </i>
    <i r="12">
      <x v="1"/>
    </i>
    <i r="13">
      <x v="395"/>
    </i>
    <i r="14">
      <x v="42"/>
    </i>
    <i r="15">
      <x v="4"/>
    </i>
    <i r="16">
      <x v="1"/>
    </i>
    <i r="17">
      <x v="1"/>
    </i>
    <i r="18">
      <x v="42"/>
    </i>
    <i r="19">
      <x v="1"/>
    </i>
    <i r="20">
      <x v="42"/>
    </i>
    <i r="21">
      <x v="1"/>
    </i>
    <i r="22">
      <x v="1"/>
    </i>
    <i r="23">
      <x v="1"/>
    </i>
    <i r="24">
      <x v="1"/>
    </i>
    <i r="25">
      <x v="1"/>
    </i>
    <i r="26">
      <x v="1"/>
    </i>
    <i r="27">
      <x v="216"/>
    </i>
    <i r="28">
      <x v="1"/>
    </i>
    <i r="29">
      <x v="9"/>
    </i>
    <i r="30">
      <x v="4"/>
    </i>
    <i r="31">
      <x v="96"/>
    </i>
    <i r="32">
      <x v="7"/>
    </i>
    <i r="33">
      <x v="1"/>
    </i>
    <i r="34">
      <x v="6"/>
    </i>
    <i r="35">
      <x v="1"/>
    </i>
    <i r="36">
      <x v="1"/>
    </i>
    <i r="37">
      <x v="6"/>
    </i>
    <i r="38">
      <x v="3"/>
    </i>
    <i r="39">
      <x v="1"/>
    </i>
    <i r="40">
      <x v="1"/>
    </i>
    <i r="41">
      <x v="6"/>
    </i>
    <i r="42">
      <x v="1"/>
    </i>
    <i r="43">
      <x v="1"/>
    </i>
    <i r="44">
      <x v="1"/>
    </i>
    <i r="45">
      <x v="1"/>
    </i>
    <i r="46">
      <x v="1"/>
    </i>
    <i r="47">
      <x v="1"/>
    </i>
    <i r="48">
      <x v="1"/>
    </i>
    <i r="49">
      <x v="1"/>
    </i>
    <i r="50">
      <x v="1"/>
    </i>
    <i r="51">
      <x v="1"/>
    </i>
    <i r="52">
      <x v="7"/>
    </i>
    <i r="53">
      <x v="1"/>
    </i>
    <i r="54">
      <x v="1"/>
    </i>
    <i r="55">
      <x v="3"/>
    </i>
    <i r="56">
      <x v="1"/>
    </i>
    <i r="57">
      <x v="1"/>
    </i>
    <i r="58">
      <x v="1"/>
    </i>
    <i r="59">
      <x v="17"/>
    </i>
    <i r="60">
      <x v="4"/>
    </i>
    <i r="61">
      <x v="1"/>
    </i>
    <i r="62">
      <x v="1"/>
    </i>
    <i r="63">
      <x v="1"/>
    </i>
    <i r="64">
      <x v="1"/>
    </i>
    <i r="65">
      <x v="1"/>
    </i>
    <i r="66">
      <x v="1"/>
    </i>
    <i r="67">
      <x v="1"/>
    </i>
    <i r="68">
      <x v="4"/>
    </i>
    <i r="69">
      <x v="1"/>
    </i>
    <i r="70">
      <x v="5"/>
    </i>
    <i r="71">
      <x v="41"/>
    </i>
    <i r="72">
      <x v="40"/>
    </i>
    <i r="73">
      <x/>
    </i>
    <i r="2">
      <x v="461"/>
    </i>
    <i r="3">
      <x v="41"/>
    </i>
    <i r="4">
      <x v="41"/>
    </i>
    <i r="5">
      <x v="24"/>
    </i>
    <i r="6">
      <x v="2"/>
    </i>
    <i r="7">
      <x v="1"/>
    </i>
    <i r="8">
      <x v="1"/>
    </i>
    <i r="9">
      <x v="87"/>
    </i>
    <i r="10">
      <x v="88"/>
    </i>
    <i r="11">
      <x v="1"/>
    </i>
    <i r="12">
      <x v="1"/>
    </i>
    <i r="13">
      <x v="396"/>
    </i>
    <i r="14">
      <x v="42"/>
    </i>
    <i r="15">
      <x v="4"/>
    </i>
    <i r="16">
      <x v="1"/>
    </i>
    <i r="17">
      <x v="1"/>
    </i>
    <i r="18">
      <x v="42"/>
    </i>
    <i r="19">
      <x v="1"/>
    </i>
    <i r="20">
      <x v="42"/>
    </i>
    <i r="21">
      <x v="1"/>
    </i>
    <i r="22">
      <x v="1"/>
    </i>
    <i r="23">
      <x v="1"/>
    </i>
    <i r="24">
      <x v="1"/>
    </i>
    <i r="25">
      <x v="1"/>
    </i>
    <i r="26">
      <x v="1"/>
    </i>
    <i r="27">
      <x v="217"/>
    </i>
    <i r="28">
      <x v="1"/>
    </i>
    <i r="29">
      <x v="9"/>
    </i>
    <i r="30">
      <x v="4"/>
    </i>
    <i r="31">
      <x v="96"/>
    </i>
    <i r="32">
      <x v="7"/>
    </i>
    <i r="33">
      <x v="1"/>
    </i>
    <i r="34">
      <x v="6"/>
    </i>
    <i r="35">
      <x v="1"/>
    </i>
    <i r="36">
      <x v="1"/>
    </i>
    <i r="37">
      <x v="6"/>
    </i>
    <i r="38">
      <x v="3"/>
    </i>
    <i r="39">
      <x v="1"/>
    </i>
    <i r="40">
      <x v="1"/>
    </i>
    <i r="41">
      <x v="6"/>
    </i>
    <i r="42">
      <x v="1"/>
    </i>
    <i r="43">
      <x v="1"/>
    </i>
    <i r="44">
      <x v="1"/>
    </i>
    <i r="45">
      <x v="1"/>
    </i>
    <i r="46">
      <x v="1"/>
    </i>
    <i r="47">
      <x v="1"/>
    </i>
    <i r="48">
      <x v="1"/>
    </i>
    <i r="49">
      <x v="1"/>
    </i>
    <i r="50">
      <x v="1"/>
    </i>
    <i r="51">
      <x v="1"/>
    </i>
    <i r="52">
      <x v="7"/>
    </i>
    <i r="53">
      <x v="1"/>
    </i>
    <i r="54">
      <x v="1"/>
    </i>
    <i r="55">
      <x v="3"/>
    </i>
    <i r="56">
      <x v="1"/>
    </i>
    <i r="57">
      <x v="1"/>
    </i>
    <i r="58">
      <x v="1"/>
    </i>
    <i r="59">
      <x v="17"/>
    </i>
    <i r="60">
      <x v="4"/>
    </i>
    <i r="61">
      <x v="1"/>
    </i>
    <i r="62">
      <x v="1"/>
    </i>
    <i r="63">
      <x v="1"/>
    </i>
    <i r="64">
      <x v="1"/>
    </i>
    <i r="65">
      <x v="1"/>
    </i>
    <i r="66">
      <x v="1"/>
    </i>
    <i r="67">
      <x v="1"/>
    </i>
    <i r="68">
      <x v="4"/>
    </i>
    <i r="69">
      <x v="1"/>
    </i>
    <i r="70">
      <x v="5"/>
    </i>
    <i r="71">
      <x v="41"/>
    </i>
    <i r="72">
      <x v="40"/>
    </i>
    <i r="73">
      <x/>
    </i>
    <i r="2">
      <x v="462"/>
    </i>
    <i r="3">
      <x v="41"/>
    </i>
    <i r="4">
      <x v="41"/>
    </i>
    <i r="5">
      <x v="24"/>
    </i>
    <i r="6">
      <x v="2"/>
    </i>
    <i r="7">
      <x v="1"/>
    </i>
    <i r="8">
      <x v="1"/>
    </i>
    <i r="9">
      <x v="480"/>
    </i>
    <i r="10">
      <x v="496"/>
    </i>
    <i r="11">
      <x v="1"/>
    </i>
    <i r="12">
      <x v="1"/>
    </i>
    <i r="13">
      <x v="66"/>
    </i>
    <i r="14">
      <x v="42"/>
    </i>
    <i r="15">
      <x v="4"/>
    </i>
    <i r="16">
      <x v="1"/>
    </i>
    <i r="17">
      <x v="1"/>
    </i>
    <i r="18">
      <x v="42"/>
    </i>
    <i r="19">
      <x v="1"/>
    </i>
    <i r="20">
      <x v="42"/>
    </i>
    <i r="21">
      <x v="1"/>
    </i>
    <i r="22">
      <x v="1"/>
    </i>
    <i r="23">
      <x v="1"/>
    </i>
    <i r="24">
      <x v="1"/>
    </i>
    <i r="25">
      <x v="1"/>
    </i>
    <i r="26">
      <x v="1"/>
    </i>
    <i r="27">
      <x v="41"/>
    </i>
    <i r="28">
      <x v="1"/>
    </i>
    <i r="29">
      <x v="9"/>
    </i>
    <i r="30">
      <x v="4"/>
    </i>
    <i r="31">
      <x v="590"/>
    </i>
    <i r="32">
      <x v="7"/>
    </i>
    <i r="33">
      <x v="1"/>
    </i>
    <i r="34">
      <x v="6"/>
    </i>
    <i r="35">
      <x v="1"/>
    </i>
    <i r="36">
      <x v="1"/>
    </i>
    <i r="37">
      <x v="6"/>
    </i>
    <i r="38">
      <x v="3"/>
    </i>
    <i r="39">
      <x v="1"/>
    </i>
    <i r="40">
      <x v="1"/>
    </i>
    <i r="41">
      <x v="6"/>
    </i>
    <i r="42">
      <x v="1"/>
    </i>
    <i r="43">
      <x v="1"/>
    </i>
    <i r="44">
      <x v="1"/>
    </i>
    <i r="45">
      <x v="1"/>
    </i>
    <i r="46">
      <x v="1"/>
    </i>
    <i r="47">
      <x v="1"/>
    </i>
    <i r="48">
      <x v="1"/>
    </i>
    <i r="49">
      <x v="1"/>
    </i>
    <i r="50">
      <x v="1"/>
    </i>
    <i r="51">
      <x v="1"/>
    </i>
    <i r="52">
      <x v="7"/>
    </i>
    <i r="53">
      <x v="1"/>
    </i>
    <i r="54">
      <x v="1"/>
    </i>
    <i r="55">
      <x v="3"/>
    </i>
    <i r="56">
      <x v="1"/>
    </i>
    <i r="57">
      <x v="1"/>
    </i>
    <i r="58">
      <x v="1"/>
    </i>
    <i r="59">
      <x v="17"/>
    </i>
    <i r="60">
      <x v="4"/>
    </i>
    <i r="61">
      <x v="1"/>
    </i>
    <i r="62">
      <x v="1"/>
    </i>
    <i r="63">
      <x v="1"/>
    </i>
    <i r="64">
      <x v="1"/>
    </i>
    <i r="65">
      <x v="1"/>
    </i>
    <i r="66">
      <x v="1"/>
    </i>
    <i r="67">
      <x v="1"/>
    </i>
    <i r="68">
      <x v="4"/>
    </i>
    <i r="69">
      <x v="1"/>
    </i>
    <i r="70">
      <x v="5"/>
    </i>
    <i r="71">
      <x v="41"/>
    </i>
    <i r="72">
      <x v="40"/>
    </i>
    <i r="73">
      <x/>
    </i>
    <i r="2">
      <x v="463"/>
    </i>
    <i r="3">
      <x v="41"/>
    </i>
    <i r="4">
      <x v="41"/>
    </i>
    <i r="5">
      <x v="24"/>
    </i>
    <i r="6">
      <x v="2"/>
    </i>
    <i r="7">
      <x v="1"/>
    </i>
    <i r="8">
      <x v="1"/>
    </i>
    <i r="9">
      <x v="87"/>
    </i>
    <i r="10">
      <x v="88"/>
    </i>
    <i r="11">
      <x v="1"/>
    </i>
    <i r="12">
      <x v="1"/>
    </i>
    <i r="13">
      <x v="397"/>
    </i>
    <i r="14">
      <x v="42"/>
    </i>
    <i r="15">
      <x v="4"/>
    </i>
    <i r="16">
      <x v="1"/>
    </i>
    <i r="17">
      <x v="1"/>
    </i>
    <i r="18">
      <x v="42"/>
    </i>
    <i r="19">
      <x v="1"/>
    </i>
    <i r="20">
      <x v="42"/>
    </i>
    <i r="21">
      <x v="1"/>
    </i>
    <i r="22">
      <x v="1"/>
    </i>
    <i r="23">
      <x v="1"/>
    </i>
    <i r="24">
      <x v="1"/>
    </i>
    <i r="25">
      <x v="1"/>
    </i>
    <i r="26">
      <x v="1"/>
    </i>
    <i r="27">
      <x v="41"/>
    </i>
    <i r="28">
      <x v="1"/>
    </i>
    <i r="29">
      <x v="9"/>
    </i>
    <i r="30">
      <x v="4"/>
    </i>
    <i r="31">
      <x v="96"/>
    </i>
    <i r="32">
      <x v="7"/>
    </i>
    <i r="33">
      <x v="1"/>
    </i>
    <i r="34">
      <x v="6"/>
    </i>
    <i r="35">
      <x v="1"/>
    </i>
    <i r="36">
      <x v="1"/>
    </i>
    <i r="37">
      <x v="6"/>
    </i>
    <i r="38">
      <x v="3"/>
    </i>
    <i r="39">
      <x v="1"/>
    </i>
    <i r="40">
      <x v="1"/>
    </i>
    <i r="41">
      <x v="6"/>
    </i>
    <i r="42">
      <x v="1"/>
    </i>
    <i r="43">
      <x v="1"/>
    </i>
    <i r="44">
      <x v="1"/>
    </i>
    <i r="45">
      <x v="1"/>
    </i>
    <i r="46">
      <x v="1"/>
    </i>
    <i r="47">
      <x v="1"/>
    </i>
    <i r="48">
      <x v="1"/>
    </i>
    <i r="49">
      <x v="1"/>
    </i>
    <i r="50">
      <x v="1"/>
    </i>
    <i r="51">
      <x v="1"/>
    </i>
    <i r="52">
      <x v="7"/>
    </i>
    <i r="53">
      <x v="1"/>
    </i>
    <i r="54">
      <x v="1"/>
    </i>
    <i r="55">
      <x v="3"/>
    </i>
    <i r="56">
      <x v="1"/>
    </i>
    <i r="57">
      <x v="1"/>
    </i>
    <i r="58">
      <x v="1"/>
    </i>
    <i r="59">
      <x v="17"/>
    </i>
    <i r="60">
      <x v="4"/>
    </i>
    <i r="61">
      <x v="1"/>
    </i>
    <i r="62">
      <x v="1"/>
    </i>
    <i r="63">
      <x v="1"/>
    </i>
    <i r="64">
      <x v="1"/>
    </i>
    <i r="65">
      <x v="1"/>
    </i>
    <i r="66">
      <x v="1"/>
    </i>
    <i r="67">
      <x v="1"/>
    </i>
    <i r="68">
      <x v="4"/>
    </i>
    <i r="69">
      <x v="1"/>
    </i>
    <i r="70">
      <x v="5"/>
    </i>
    <i r="71">
      <x v="41"/>
    </i>
    <i r="72">
      <x v="40"/>
    </i>
    <i r="73">
      <x/>
    </i>
    <i r="2">
      <x v="481"/>
    </i>
    <i r="3">
      <x v="41"/>
    </i>
    <i r="4">
      <x v="41"/>
    </i>
    <i r="5">
      <x v="24"/>
    </i>
    <i r="6">
      <x v="2"/>
    </i>
    <i r="7">
      <x v="1"/>
    </i>
    <i r="8">
      <x v="1"/>
    </i>
    <i r="9">
      <x v="87"/>
    </i>
    <i r="10">
      <x v="88"/>
    </i>
    <i r="11">
      <x v="1"/>
    </i>
    <i r="12">
      <x v="1"/>
    </i>
    <i r="13">
      <x v="401"/>
    </i>
    <i r="14">
      <x v="42"/>
    </i>
    <i r="15">
      <x v="4"/>
    </i>
    <i r="16">
      <x v="1"/>
    </i>
    <i r="17">
      <x v="1"/>
    </i>
    <i r="18">
      <x v="42"/>
    </i>
    <i r="19">
      <x v="1"/>
    </i>
    <i r="20">
      <x v="42"/>
    </i>
    <i r="21">
      <x v="1"/>
    </i>
    <i r="22">
      <x v="1"/>
    </i>
    <i r="23">
      <x v="1"/>
    </i>
    <i r="24">
      <x v="1"/>
    </i>
    <i r="25">
      <x v="1"/>
    </i>
    <i r="26">
      <x v="1"/>
    </i>
    <i r="27">
      <x v="221"/>
    </i>
    <i r="28">
      <x v="1"/>
    </i>
    <i r="29">
      <x v="9"/>
    </i>
    <i r="30">
      <x v="4"/>
    </i>
    <i r="31">
      <x v="96"/>
    </i>
    <i r="32">
      <x v="7"/>
    </i>
    <i r="33">
      <x v="1"/>
    </i>
    <i r="34">
      <x v="6"/>
    </i>
    <i r="35">
      <x v="1"/>
    </i>
    <i r="36">
      <x v="1"/>
    </i>
    <i r="37">
      <x v="6"/>
    </i>
    <i r="38">
      <x v="3"/>
    </i>
    <i r="39">
      <x v="1"/>
    </i>
    <i r="40">
      <x v="1"/>
    </i>
    <i r="41">
      <x v="6"/>
    </i>
    <i r="42">
      <x v="1"/>
    </i>
    <i r="43">
      <x v="1"/>
    </i>
    <i r="44">
      <x v="1"/>
    </i>
    <i r="45">
      <x v="1"/>
    </i>
    <i r="46">
      <x v="1"/>
    </i>
    <i r="47">
      <x v="1"/>
    </i>
    <i r="48">
      <x v="1"/>
    </i>
    <i r="49">
      <x v="1"/>
    </i>
    <i r="50">
      <x v="1"/>
    </i>
    <i r="51">
      <x v="1"/>
    </i>
    <i r="52">
      <x v="7"/>
    </i>
    <i r="53">
      <x v="1"/>
    </i>
    <i r="54">
      <x v="1"/>
    </i>
    <i r="55">
      <x v="3"/>
    </i>
    <i r="56">
      <x v="1"/>
    </i>
    <i r="57">
      <x v="1"/>
    </i>
    <i r="58">
      <x v="1"/>
    </i>
    <i r="59">
      <x v="17"/>
    </i>
    <i r="60">
      <x v="4"/>
    </i>
    <i r="61">
      <x v="1"/>
    </i>
    <i r="62">
      <x v="1"/>
    </i>
    <i r="63">
      <x v="1"/>
    </i>
    <i r="64">
      <x v="1"/>
    </i>
    <i r="65">
      <x v="1"/>
    </i>
    <i r="66">
      <x v="1"/>
    </i>
    <i r="67">
      <x v="1"/>
    </i>
    <i r="68">
      <x v="4"/>
    </i>
    <i r="69">
      <x v="1"/>
    </i>
    <i r="70">
      <x v="5"/>
    </i>
    <i r="71">
      <x v="41"/>
    </i>
    <i r="72">
      <x v="40"/>
    </i>
    <i r="73">
      <x/>
    </i>
    <i r="2">
      <x v="482"/>
    </i>
    <i r="3">
      <x v="41"/>
    </i>
    <i r="4">
      <x v="41"/>
    </i>
    <i r="5">
      <x v="24"/>
    </i>
    <i r="6">
      <x v="2"/>
    </i>
    <i r="7">
      <x v="1"/>
    </i>
    <i r="8">
      <x v="1"/>
    </i>
    <i r="9">
      <x v="87"/>
    </i>
    <i r="10">
      <x v="88"/>
    </i>
    <i r="11">
      <x v="1"/>
    </i>
    <i r="12">
      <x v="1"/>
    </i>
    <i r="13">
      <x v="402"/>
    </i>
    <i r="14">
      <x v="42"/>
    </i>
    <i r="15">
      <x v="4"/>
    </i>
    <i r="16">
      <x v="1"/>
    </i>
    <i r="17">
      <x v="1"/>
    </i>
    <i r="18">
      <x v="42"/>
    </i>
    <i r="19">
      <x v="1"/>
    </i>
    <i r="20">
      <x v="42"/>
    </i>
    <i r="21">
      <x v="1"/>
    </i>
    <i r="22">
      <x v="1"/>
    </i>
    <i r="23">
      <x v="1"/>
    </i>
    <i r="24">
      <x v="1"/>
    </i>
    <i r="25">
      <x v="1"/>
    </i>
    <i r="26">
      <x v="1"/>
    </i>
    <i r="27">
      <x v="222"/>
    </i>
    <i r="28">
      <x v="1"/>
    </i>
    <i r="29">
      <x v="9"/>
    </i>
    <i r="30">
      <x v="4"/>
    </i>
    <i r="31">
      <x v="96"/>
    </i>
    <i r="32">
      <x v="7"/>
    </i>
    <i r="33">
      <x v="1"/>
    </i>
    <i r="34">
      <x v="6"/>
    </i>
    <i r="35">
      <x v="1"/>
    </i>
    <i r="36">
      <x v="1"/>
    </i>
    <i r="37">
      <x v="6"/>
    </i>
    <i r="38">
      <x v="3"/>
    </i>
    <i r="39">
      <x v="1"/>
    </i>
    <i r="40">
      <x v="1"/>
    </i>
    <i r="41">
      <x v="6"/>
    </i>
    <i r="42">
      <x v="1"/>
    </i>
    <i r="43">
      <x v="1"/>
    </i>
    <i r="44">
      <x v="1"/>
    </i>
    <i r="45">
      <x v="1"/>
    </i>
    <i r="46">
      <x v="1"/>
    </i>
    <i r="47">
      <x v="1"/>
    </i>
    <i r="48">
      <x v="1"/>
    </i>
    <i r="49">
      <x v="1"/>
    </i>
    <i r="50">
      <x v="1"/>
    </i>
    <i r="51">
      <x v="1"/>
    </i>
    <i r="52">
      <x v="7"/>
    </i>
    <i r="53">
      <x v="1"/>
    </i>
    <i r="54">
      <x v="1"/>
    </i>
    <i r="55">
      <x v="3"/>
    </i>
    <i r="56">
      <x v="1"/>
    </i>
    <i r="57">
      <x v="1"/>
    </i>
    <i r="58">
      <x v="1"/>
    </i>
    <i r="59">
      <x v="17"/>
    </i>
    <i r="60">
      <x v="4"/>
    </i>
    <i r="61">
      <x v="1"/>
    </i>
    <i r="62">
      <x v="1"/>
    </i>
    <i r="63">
      <x v="1"/>
    </i>
    <i r="64">
      <x v="1"/>
    </i>
    <i r="65">
      <x v="1"/>
    </i>
    <i r="66">
      <x v="1"/>
    </i>
    <i r="67">
      <x v="1"/>
    </i>
    <i r="68">
      <x v="4"/>
    </i>
    <i r="69">
      <x v="1"/>
    </i>
    <i r="70">
      <x v="5"/>
    </i>
    <i r="71">
      <x v="41"/>
    </i>
    <i r="72">
      <x v="40"/>
    </i>
    <i r="73">
      <x/>
    </i>
    <i r="2">
      <x v="483"/>
    </i>
    <i r="3">
      <x v="41"/>
    </i>
    <i r="4">
      <x v="41"/>
    </i>
    <i r="5">
      <x v="24"/>
    </i>
    <i r="6">
      <x v="2"/>
    </i>
    <i r="7">
      <x v="1"/>
    </i>
    <i r="8">
      <x v="1"/>
    </i>
    <i r="9">
      <x v="87"/>
    </i>
    <i r="10">
      <x v="88"/>
    </i>
    <i r="11">
      <x v="1"/>
    </i>
    <i r="12">
      <x v="1"/>
    </i>
    <i r="13">
      <x v="403"/>
    </i>
    <i r="14">
      <x v="42"/>
    </i>
    <i r="15">
      <x v="4"/>
    </i>
    <i r="16">
      <x v="1"/>
    </i>
    <i r="17">
      <x v="1"/>
    </i>
    <i r="18">
      <x v="42"/>
    </i>
    <i r="19">
      <x v="1"/>
    </i>
    <i r="20">
      <x v="42"/>
    </i>
    <i r="21">
      <x v="1"/>
    </i>
    <i r="22">
      <x v="1"/>
    </i>
    <i r="23">
      <x v="1"/>
    </i>
    <i r="24">
      <x v="1"/>
    </i>
    <i r="25">
      <x v="1"/>
    </i>
    <i r="26">
      <x v="1"/>
    </i>
    <i r="27">
      <x v="223"/>
    </i>
    <i r="28">
      <x v="1"/>
    </i>
    <i r="29">
      <x v="9"/>
    </i>
    <i r="30">
      <x v="4"/>
    </i>
    <i r="31">
      <x v="96"/>
    </i>
    <i r="32">
      <x v="7"/>
    </i>
    <i r="33">
      <x v="1"/>
    </i>
    <i r="34">
      <x v="6"/>
    </i>
    <i r="35">
      <x v="1"/>
    </i>
    <i r="36">
      <x v="1"/>
    </i>
    <i r="37">
      <x v="6"/>
    </i>
    <i r="38">
      <x v="3"/>
    </i>
    <i r="39">
      <x v="1"/>
    </i>
    <i r="40">
      <x v="1"/>
    </i>
    <i r="41">
      <x v="6"/>
    </i>
    <i r="42">
      <x v="1"/>
    </i>
    <i r="43">
      <x v="1"/>
    </i>
    <i r="44">
      <x v="1"/>
    </i>
    <i r="45">
      <x v="1"/>
    </i>
    <i r="46">
      <x v="1"/>
    </i>
    <i r="47">
      <x v="1"/>
    </i>
    <i r="48">
      <x v="1"/>
    </i>
    <i r="49">
      <x v="1"/>
    </i>
    <i r="50">
      <x v="1"/>
    </i>
    <i r="51">
      <x v="1"/>
    </i>
    <i r="52">
      <x v="7"/>
    </i>
    <i r="53">
      <x v="1"/>
    </i>
    <i r="54">
      <x v="1"/>
    </i>
    <i r="55">
      <x v="3"/>
    </i>
    <i r="56">
      <x v="1"/>
    </i>
    <i r="57">
      <x v="1"/>
    </i>
    <i r="58">
      <x v="1"/>
    </i>
    <i r="59">
      <x v="17"/>
    </i>
    <i r="60">
      <x v="4"/>
    </i>
    <i r="61">
      <x v="1"/>
    </i>
    <i r="62">
      <x v="1"/>
    </i>
    <i r="63">
      <x v="1"/>
    </i>
    <i r="64">
      <x v="1"/>
    </i>
    <i r="65">
      <x v="1"/>
    </i>
    <i r="66">
      <x v="1"/>
    </i>
    <i r="67">
      <x v="1"/>
    </i>
    <i r="68">
      <x v="4"/>
    </i>
    <i r="69">
      <x v="1"/>
    </i>
    <i r="70">
      <x v="5"/>
    </i>
    <i r="71">
      <x v="41"/>
    </i>
    <i r="72">
      <x v="40"/>
    </i>
    <i r="73">
      <x/>
    </i>
    <i r="2">
      <x v="484"/>
    </i>
    <i r="3">
      <x v="41"/>
    </i>
    <i r="4">
      <x v="41"/>
    </i>
    <i r="5">
      <x v="24"/>
    </i>
    <i r="6">
      <x v="2"/>
    </i>
    <i r="7">
      <x v="1"/>
    </i>
    <i r="8">
      <x v="1"/>
    </i>
    <i r="9">
      <x v="87"/>
    </i>
    <i r="10">
      <x v="88"/>
    </i>
    <i r="11">
      <x v="1"/>
    </i>
    <i r="12">
      <x v="1"/>
    </i>
    <i r="13">
      <x v="404"/>
    </i>
    <i r="14">
      <x v="42"/>
    </i>
    <i r="15">
      <x v="4"/>
    </i>
    <i r="16">
      <x v="1"/>
    </i>
    <i r="17">
      <x v="1"/>
    </i>
    <i r="18">
      <x v="42"/>
    </i>
    <i r="19">
      <x v="1"/>
    </i>
    <i r="20">
      <x v="42"/>
    </i>
    <i r="21">
      <x v="1"/>
    </i>
    <i r="22">
      <x v="1"/>
    </i>
    <i r="23">
      <x v="1"/>
    </i>
    <i r="24">
      <x v="1"/>
    </i>
    <i r="25">
      <x v="1"/>
    </i>
    <i r="26">
      <x v="1"/>
    </i>
    <i r="27">
      <x v="224"/>
    </i>
    <i r="28">
      <x v="1"/>
    </i>
    <i r="29">
      <x v="9"/>
    </i>
    <i r="30">
      <x v="4"/>
    </i>
    <i r="31">
      <x v="96"/>
    </i>
    <i r="32">
      <x v="7"/>
    </i>
    <i r="33">
      <x v="1"/>
    </i>
    <i r="34">
      <x v="6"/>
    </i>
    <i r="35">
      <x v="1"/>
    </i>
    <i r="36">
      <x v="1"/>
    </i>
    <i r="37">
      <x v="6"/>
    </i>
    <i r="38">
      <x v="3"/>
    </i>
    <i r="39">
      <x v="1"/>
    </i>
    <i r="40">
      <x v="1"/>
    </i>
    <i r="41">
      <x v="6"/>
    </i>
    <i r="42">
      <x v="1"/>
    </i>
    <i r="43">
      <x v="1"/>
    </i>
    <i r="44">
      <x v="1"/>
    </i>
    <i r="45">
      <x v="1"/>
    </i>
    <i r="46">
      <x v="1"/>
    </i>
    <i r="47">
      <x v="1"/>
    </i>
    <i r="48">
      <x v="1"/>
    </i>
    <i r="49">
      <x v="1"/>
    </i>
    <i r="50">
      <x v="1"/>
    </i>
    <i r="51">
      <x v="1"/>
    </i>
    <i r="52">
      <x v="7"/>
    </i>
    <i r="53">
      <x v="1"/>
    </i>
    <i r="54">
      <x v="1"/>
    </i>
    <i r="55">
      <x v="3"/>
    </i>
    <i r="56">
      <x v="1"/>
    </i>
    <i r="57">
      <x v="1"/>
    </i>
    <i r="58">
      <x v="1"/>
    </i>
    <i r="59">
      <x v="17"/>
    </i>
    <i r="60">
      <x v="4"/>
    </i>
    <i r="61">
      <x v="1"/>
    </i>
    <i r="62">
      <x v="1"/>
    </i>
    <i r="63">
      <x v="1"/>
    </i>
    <i r="64">
      <x v="1"/>
    </i>
    <i r="65">
      <x v="1"/>
    </i>
    <i r="66">
      <x v="1"/>
    </i>
    <i r="67">
      <x v="1"/>
    </i>
    <i r="68">
      <x v="4"/>
    </i>
    <i r="69">
      <x v="1"/>
    </i>
    <i r="70">
      <x v="5"/>
    </i>
    <i r="71">
      <x v="41"/>
    </i>
    <i r="72">
      <x v="40"/>
    </i>
    <i r="73">
      <x/>
    </i>
    <i r="2">
      <x v="485"/>
    </i>
    <i r="3">
      <x v="41"/>
    </i>
    <i r="4">
      <x v="41"/>
    </i>
    <i r="5">
      <x v="24"/>
    </i>
    <i r="6">
      <x v="2"/>
    </i>
    <i r="7">
      <x v="1"/>
    </i>
    <i r="8">
      <x v="1"/>
    </i>
    <i r="9">
      <x v="87"/>
    </i>
    <i r="10">
      <x v="88"/>
    </i>
    <i r="11">
      <x v="1"/>
    </i>
    <i r="12">
      <x v="1"/>
    </i>
    <i r="13">
      <x v="405"/>
    </i>
    <i r="14">
      <x v="42"/>
    </i>
    <i r="15">
      <x v="4"/>
    </i>
    <i r="16">
      <x v="1"/>
    </i>
    <i r="17">
      <x v="1"/>
    </i>
    <i r="18">
      <x v="42"/>
    </i>
    <i r="19">
      <x v="1"/>
    </i>
    <i r="20">
      <x v="42"/>
    </i>
    <i r="21">
      <x v="1"/>
    </i>
    <i r="22">
      <x v="1"/>
    </i>
    <i r="23">
      <x v="1"/>
    </i>
    <i r="24">
      <x v="1"/>
    </i>
    <i r="25">
      <x v="1"/>
    </i>
    <i r="26">
      <x v="1"/>
    </i>
    <i r="27">
      <x v="225"/>
    </i>
    <i r="28">
      <x v="1"/>
    </i>
    <i r="29">
      <x v="9"/>
    </i>
    <i r="30">
      <x v="4"/>
    </i>
    <i r="31">
      <x v="96"/>
    </i>
    <i r="32">
      <x v="7"/>
    </i>
    <i r="33">
      <x v="1"/>
    </i>
    <i r="34">
      <x v="6"/>
    </i>
    <i r="35">
      <x v="1"/>
    </i>
    <i r="36">
      <x v="1"/>
    </i>
    <i r="37">
      <x v="6"/>
    </i>
    <i r="38">
      <x v="3"/>
    </i>
    <i r="39">
      <x v="1"/>
    </i>
    <i r="40">
      <x v="1"/>
    </i>
    <i r="41">
      <x v="6"/>
    </i>
    <i r="42">
      <x v="1"/>
    </i>
    <i r="43">
      <x v="1"/>
    </i>
    <i r="44">
      <x v="1"/>
    </i>
    <i r="45">
      <x v="1"/>
    </i>
    <i r="46">
      <x v="1"/>
    </i>
    <i r="47">
      <x v="1"/>
    </i>
    <i r="48">
      <x v="1"/>
    </i>
    <i r="49">
      <x v="1"/>
    </i>
    <i r="50">
      <x v="1"/>
    </i>
    <i r="51">
      <x v="1"/>
    </i>
    <i r="52">
      <x v="7"/>
    </i>
    <i r="53">
      <x v="1"/>
    </i>
    <i r="54">
      <x v="1"/>
    </i>
    <i r="55">
      <x v="3"/>
    </i>
    <i r="56">
      <x v="1"/>
    </i>
    <i r="57">
      <x v="1"/>
    </i>
    <i r="58">
      <x v="1"/>
    </i>
    <i r="59">
      <x v="17"/>
    </i>
    <i r="60">
      <x v="4"/>
    </i>
    <i r="61">
      <x v="1"/>
    </i>
    <i r="62">
      <x v="1"/>
    </i>
    <i r="63">
      <x v="1"/>
    </i>
    <i r="64">
      <x v="1"/>
    </i>
    <i r="65">
      <x v="1"/>
    </i>
    <i r="66">
      <x v="1"/>
    </i>
    <i r="67">
      <x v="1"/>
    </i>
    <i r="68">
      <x v="4"/>
    </i>
    <i r="69">
      <x v="1"/>
    </i>
    <i r="70">
      <x v="5"/>
    </i>
    <i r="71">
      <x v="41"/>
    </i>
    <i r="72">
      <x v="40"/>
    </i>
    <i r="73">
      <x/>
    </i>
    <i r="2">
      <x v="486"/>
    </i>
    <i r="3">
      <x v="41"/>
    </i>
    <i r="4">
      <x v="41"/>
    </i>
    <i r="5">
      <x v="24"/>
    </i>
    <i r="6">
      <x v="2"/>
    </i>
    <i r="7">
      <x v="1"/>
    </i>
    <i r="8">
      <x v="1"/>
    </i>
    <i r="9">
      <x v="87"/>
    </i>
    <i r="10">
      <x v="88"/>
    </i>
    <i r="11">
      <x v="1"/>
    </i>
    <i r="12">
      <x v="1"/>
    </i>
    <i r="13">
      <x v="406"/>
    </i>
    <i r="14">
      <x v="42"/>
    </i>
    <i r="15">
      <x v="4"/>
    </i>
    <i r="16">
      <x v="1"/>
    </i>
    <i r="17">
      <x v="1"/>
    </i>
    <i r="18">
      <x v="42"/>
    </i>
    <i r="19">
      <x v="1"/>
    </i>
    <i r="20">
      <x v="42"/>
    </i>
    <i r="21">
      <x v="1"/>
    </i>
    <i r="22">
      <x v="1"/>
    </i>
    <i r="23">
      <x v="1"/>
    </i>
    <i r="24">
      <x v="1"/>
    </i>
    <i r="25">
      <x v="1"/>
    </i>
    <i r="26">
      <x v="1"/>
    </i>
    <i r="27">
      <x v="226"/>
    </i>
    <i r="28">
      <x v="1"/>
    </i>
    <i r="29">
      <x v="9"/>
    </i>
    <i r="30">
      <x v="4"/>
    </i>
    <i r="31">
      <x v="96"/>
    </i>
    <i r="32">
      <x v="7"/>
    </i>
    <i r="33">
      <x v="1"/>
    </i>
    <i r="34">
      <x v="6"/>
    </i>
    <i r="35">
      <x v="1"/>
    </i>
    <i r="36">
      <x v="1"/>
    </i>
    <i r="37">
      <x v="6"/>
    </i>
    <i r="38">
      <x v="3"/>
    </i>
    <i r="39">
      <x v="1"/>
    </i>
    <i r="40">
      <x v="1"/>
    </i>
    <i r="41">
      <x v="6"/>
    </i>
    <i r="42">
      <x v="1"/>
    </i>
    <i r="43">
      <x v="1"/>
    </i>
    <i r="44">
      <x v="1"/>
    </i>
    <i r="45">
      <x v="1"/>
    </i>
    <i r="46">
      <x v="1"/>
    </i>
    <i r="47">
      <x v="1"/>
    </i>
    <i r="48">
      <x v="1"/>
    </i>
    <i r="49">
      <x v="1"/>
    </i>
    <i r="50">
      <x v="1"/>
    </i>
    <i r="51">
      <x v="1"/>
    </i>
    <i r="52">
      <x v="7"/>
    </i>
    <i r="53">
      <x v="1"/>
    </i>
    <i r="54">
      <x v="1"/>
    </i>
    <i r="55">
      <x v="3"/>
    </i>
    <i r="56">
      <x v="1"/>
    </i>
    <i r="57">
      <x v="1"/>
    </i>
    <i r="58">
      <x v="1"/>
    </i>
    <i r="59">
      <x v="17"/>
    </i>
    <i r="60">
      <x v="4"/>
    </i>
    <i r="61">
      <x v="1"/>
    </i>
    <i r="62">
      <x v="1"/>
    </i>
    <i r="63">
      <x v="1"/>
    </i>
    <i r="64">
      <x v="1"/>
    </i>
    <i r="65">
      <x v="1"/>
    </i>
    <i r="66">
      <x v="1"/>
    </i>
    <i r="67">
      <x v="1"/>
    </i>
    <i r="68">
      <x v="4"/>
    </i>
    <i r="69">
      <x v="1"/>
    </i>
    <i r="70">
      <x v="5"/>
    </i>
    <i r="71">
      <x v="41"/>
    </i>
    <i r="72">
      <x v="40"/>
    </i>
    <i r="73">
      <x/>
    </i>
    <i r="1">
      <x v="244"/>
    </i>
    <i r="2">
      <x v="113"/>
    </i>
    <i r="3">
      <x v="41"/>
    </i>
    <i r="4">
      <x v="41"/>
    </i>
    <i r="5">
      <x v="24"/>
    </i>
    <i r="6">
      <x v="2"/>
    </i>
    <i r="7">
      <x v="1"/>
    </i>
    <i r="8">
      <x v="1"/>
    </i>
    <i r="9">
      <x v="414"/>
    </i>
    <i r="10">
      <x v="88"/>
    </i>
    <i r="11">
      <x v="1"/>
    </i>
    <i r="12">
      <x v="1"/>
    </i>
    <i r="13">
      <x v="66"/>
    </i>
    <i r="14">
      <x v="42"/>
    </i>
    <i r="15">
      <x v="4"/>
    </i>
    <i r="16">
      <x v="1"/>
    </i>
    <i r="17">
      <x v="1"/>
    </i>
    <i r="18">
      <x v="42"/>
    </i>
    <i r="19">
      <x v="1"/>
    </i>
    <i r="20">
      <x v="42"/>
    </i>
    <i r="21">
      <x v="1"/>
    </i>
    <i r="22">
      <x v="1"/>
    </i>
    <i r="23">
      <x v="1"/>
    </i>
    <i r="24">
      <x v="1"/>
    </i>
    <i r="25">
      <x v="1"/>
    </i>
    <i r="26">
      <x v="1"/>
    </i>
    <i r="27">
      <x v="41"/>
    </i>
    <i r="28">
      <x v="1"/>
    </i>
    <i r="29">
      <x v="9"/>
    </i>
    <i r="30">
      <x v="4"/>
    </i>
    <i r="31">
      <x v="584"/>
    </i>
    <i r="32">
      <x v="7"/>
    </i>
    <i r="33">
      <x v="1"/>
    </i>
    <i r="34">
      <x v="6"/>
    </i>
    <i r="35">
      <x v="1"/>
    </i>
    <i r="36">
      <x v="1"/>
    </i>
    <i r="37">
      <x v="6"/>
    </i>
    <i r="38">
      <x v="3"/>
    </i>
    <i r="39">
      <x v="1"/>
    </i>
    <i r="40">
      <x v="1"/>
    </i>
    <i r="41">
      <x v="6"/>
    </i>
    <i r="42">
      <x v="1"/>
    </i>
    <i r="43">
      <x v="1"/>
    </i>
    <i r="44">
      <x v="1"/>
    </i>
    <i r="45">
      <x v="1"/>
    </i>
    <i r="46">
      <x v="1"/>
    </i>
    <i r="47">
      <x v="1"/>
    </i>
    <i r="48">
      <x v="1"/>
    </i>
    <i r="49">
      <x v="1"/>
    </i>
    <i r="50">
      <x v="1"/>
    </i>
    <i r="51">
      <x v="1"/>
    </i>
    <i r="52">
      <x v="7"/>
    </i>
    <i r="53">
      <x v="1"/>
    </i>
    <i r="54">
      <x v="1"/>
    </i>
    <i r="55">
      <x v="3"/>
    </i>
    <i r="56">
      <x v="1"/>
    </i>
    <i r="57">
      <x v="1"/>
    </i>
    <i r="58">
      <x v="1"/>
    </i>
    <i r="59">
      <x v="17"/>
    </i>
    <i r="60">
      <x v="4"/>
    </i>
    <i r="61">
      <x v="1"/>
    </i>
    <i r="62">
      <x v="1"/>
    </i>
    <i r="63">
      <x v="1"/>
    </i>
    <i r="64">
      <x v="1"/>
    </i>
    <i r="65">
      <x v="1"/>
    </i>
    <i r="66">
      <x v="1"/>
    </i>
    <i r="67">
      <x v="1"/>
    </i>
    <i r="68">
      <x v="4"/>
    </i>
    <i r="69">
      <x v="1"/>
    </i>
    <i r="70">
      <x v="5"/>
    </i>
    <i r="71">
      <x v="41"/>
    </i>
    <i r="72">
      <x v="40"/>
    </i>
    <i r="73">
      <x/>
    </i>
    <i r="1">
      <x v="245"/>
    </i>
    <i r="2">
      <x v="113"/>
    </i>
    <i r="3">
      <x v="41"/>
    </i>
    <i r="4">
      <x v="41"/>
    </i>
    <i r="5">
      <x v="24"/>
    </i>
    <i r="6">
      <x v="2"/>
    </i>
    <i r="7">
      <x v="1"/>
    </i>
    <i r="8">
      <x v="1"/>
    </i>
    <i r="9">
      <x v="415"/>
    </i>
    <i r="10">
      <x v="88"/>
    </i>
    <i r="11">
      <x v="1"/>
    </i>
    <i r="12">
      <x v="1"/>
    </i>
    <i r="13">
      <x v="66"/>
    </i>
    <i r="14">
      <x v="42"/>
    </i>
    <i r="15">
      <x v="4"/>
    </i>
    <i r="16">
      <x v="1"/>
    </i>
    <i r="17">
      <x v="1"/>
    </i>
    <i r="18">
      <x v="42"/>
    </i>
    <i r="19">
      <x v="1"/>
    </i>
    <i r="20">
      <x v="42"/>
    </i>
    <i r="21">
      <x v="1"/>
    </i>
    <i r="22">
      <x v="1"/>
    </i>
    <i r="23">
      <x v="1"/>
    </i>
    <i r="24">
      <x v="1"/>
    </i>
    <i r="25">
      <x v="1"/>
    </i>
    <i r="26">
      <x v="1"/>
    </i>
    <i r="27">
      <x v="41"/>
    </i>
    <i r="28">
      <x v="1"/>
    </i>
    <i r="29">
      <x v="9"/>
    </i>
    <i r="30">
      <x v="4"/>
    </i>
    <i r="31">
      <x v="585"/>
    </i>
    <i r="32">
      <x v="7"/>
    </i>
    <i r="33">
      <x v="1"/>
    </i>
    <i r="34">
      <x v="6"/>
    </i>
    <i r="35">
      <x v="1"/>
    </i>
    <i r="36">
      <x v="1"/>
    </i>
    <i r="37">
      <x v="6"/>
    </i>
    <i r="38">
      <x v="3"/>
    </i>
    <i r="39">
      <x v="1"/>
    </i>
    <i r="40">
      <x v="1"/>
    </i>
    <i r="41">
      <x v="6"/>
    </i>
    <i r="42">
      <x v="1"/>
    </i>
    <i r="43">
      <x v="1"/>
    </i>
    <i r="44">
      <x v="1"/>
    </i>
    <i r="45">
      <x v="1"/>
    </i>
    <i r="46">
      <x v="1"/>
    </i>
    <i r="47">
      <x v="1"/>
    </i>
    <i r="48">
      <x v="1"/>
    </i>
    <i r="49">
      <x v="1"/>
    </i>
    <i r="50">
      <x v="1"/>
    </i>
    <i r="51">
      <x v="1"/>
    </i>
    <i r="52">
      <x v="7"/>
    </i>
    <i r="53">
      <x v="1"/>
    </i>
    <i r="54">
      <x v="1"/>
    </i>
    <i r="55">
      <x v="3"/>
    </i>
    <i r="56">
      <x v="1"/>
    </i>
    <i r="57">
      <x v="1"/>
    </i>
    <i r="58">
      <x v="1"/>
    </i>
    <i r="59">
      <x v="17"/>
    </i>
    <i r="60">
      <x v="4"/>
    </i>
    <i r="61">
      <x v="1"/>
    </i>
    <i r="62">
      <x v="1"/>
    </i>
    <i r="63">
      <x v="1"/>
    </i>
    <i r="64">
      <x v="1"/>
    </i>
    <i r="65">
      <x v="1"/>
    </i>
    <i r="66">
      <x v="1"/>
    </i>
    <i r="67">
      <x v="1"/>
    </i>
    <i r="68">
      <x v="4"/>
    </i>
    <i r="69">
      <x v="1"/>
    </i>
    <i r="70">
      <x v="5"/>
    </i>
    <i r="71">
      <x v="41"/>
    </i>
    <i r="72">
      <x v="40"/>
    </i>
    <i r="73">
      <x/>
    </i>
    <i r="1">
      <x v="246"/>
    </i>
    <i r="2">
      <x v="113"/>
    </i>
    <i r="3">
      <x v="41"/>
    </i>
    <i r="4">
      <x v="41"/>
    </i>
    <i r="5">
      <x v="24"/>
    </i>
    <i r="6">
      <x v="2"/>
    </i>
    <i r="7">
      <x v="1"/>
    </i>
    <i r="8">
      <x v="1"/>
    </i>
    <i r="9">
      <x v="422"/>
    </i>
    <i r="10">
      <x v="492"/>
    </i>
    <i r="11">
      <x v="1"/>
    </i>
    <i r="12">
      <x v="1"/>
    </i>
    <i r="13">
      <x v="66"/>
    </i>
    <i r="14">
      <x v="42"/>
    </i>
    <i r="15">
      <x v="4"/>
    </i>
    <i r="16">
      <x v="1"/>
    </i>
    <i r="17">
      <x v="1"/>
    </i>
    <i r="18">
      <x v="42"/>
    </i>
    <i r="19">
      <x v="1"/>
    </i>
    <i r="20">
      <x v="42"/>
    </i>
    <i r="21">
      <x v="1"/>
    </i>
    <i r="22">
      <x v="1"/>
    </i>
    <i r="23">
      <x v="1"/>
    </i>
    <i r="24">
      <x v="1"/>
    </i>
    <i r="25">
      <x v="1"/>
    </i>
    <i r="26">
      <x v="1"/>
    </i>
    <i r="27">
      <x v="41"/>
    </i>
    <i r="28">
      <x v="1"/>
    </i>
    <i r="29">
      <x v="9"/>
    </i>
    <i r="30">
      <x v="4"/>
    </i>
    <i r="31">
      <x v="587"/>
    </i>
    <i r="32">
      <x v="7"/>
    </i>
    <i r="33">
      <x v="1"/>
    </i>
    <i r="34">
      <x v="6"/>
    </i>
    <i r="35">
      <x v="1"/>
    </i>
    <i r="36">
      <x v="1"/>
    </i>
    <i r="37">
      <x v="6"/>
    </i>
    <i r="38">
      <x v="3"/>
    </i>
    <i r="39">
      <x v="1"/>
    </i>
    <i r="40">
      <x v="1"/>
    </i>
    <i r="41">
      <x v="6"/>
    </i>
    <i r="42">
      <x v="1"/>
    </i>
    <i r="43">
      <x v="1"/>
    </i>
    <i r="44">
      <x v="1"/>
    </i>
    <i r="45">
      <x v="1"/>
    </i>
    <i r="46">
      <x v="1"/>
    </i>
    <i r="47">
      <x v="1"/>
    </i>
    <i r="48">
      <x v="1"/>
    </i>
    <i r="49">
      <x v="1"/>
    </i>
    <i r="50">
      <x v="1"/>
    </i>
    <i r="51">
      <x v="1"/>
    </i>
    <i r="52">
      <x v="7"/>
    </i>
    <i r="53">
      <x v="1"/>
    </i>
    <i r="54">
      <x v="1"/>
    </i>
    <i r="55">
      <x v="3"/>
    </i>
    <i r="56">
      <x v="1"/>
    </i>
    <i r="57">
      <x v="1"/>
    </i>
    <i r="58">
      <x v="1"/>
    </i>
    <i r="59">
      <x v="17"/>
    </i>
    <i r="60">
      <x v="4"/>
    </i>
    <i r="61">
      <x v="1"/>
    </i>
    <i r="62">
      <x v="1"/>
    </i>
    <i r="63">
      <x v="1"/>
    </i>
    <i r="64">
      <x v="1"/>
    </i>
    <i r="65">
      <x v="1"/>
    </i>
    <i r="66">
      <x v="1"/>
    </i>
    <i r="67">
      <x v="1"/>
    </i>
    <i r="68">
      <x v="4"/>
    </i>
    <i r="69">
      <x v="1"/>
    </i>
    <i r="70">
      <x v="5"/>
    </i>
    <i r="71">
      <x v="41"/>
    </i>
    <i r="72">
      <x v="40"/>
    </i>
    <i r="73">
      <x/>
    </i>
    <i r="1">
      <x v="248"/>
    </i>
    <i r="2">
      <x v="113"/>
    </i>
    <i r="3">
      <x v="41"/>
    </i>
    <i r="4">
      <x v="41"/>
    </i>
    <i r="5">
      <x v="263"/>
    </i>
    <i r="6">
      <x v="2"/>
    </i>
    <i r="7">
      <x v="1"/>
    </i>
    <i r="8">
      <x v="1"/>
    </i>
    <i r="9">
      <x v="429"/>
    </i>
    <i r="10">
      <x v="495"/>
    </i>
    <i r="11">
      <x v="1"/>
    </i>
    <i r="12">
      <x v="1"/>
    </i>
    <i r="13">
      <x v="66"/>
    </i>
    <i r="14">
      <x v="42"/>
    </i>
    <i r="15">
      <x v="4"/>
    </i>
    <i r="16">
      <x v="1"/>
    </i>
    <i r="17">
      <x v="1"/>
    </i>
    <i r="18">
      <x v="42"/>
    </i>
    <i r="19">
      <x v="1"/>
    </i>
    <i r="20">
      <x v="42"/>
    </i>
    <i r="21">
      <x v="1"/>
    </i>
    <i r="22">
      <x v="1"/>
    </i>
    <i r="23">
      <x v="1"/>
    </i>
    <i r="24">
      <x v="1"/>
    </i>
    <i r="25">
      <x v="1"/>
    </i>
    <i r="26">
      <x v="1"/>
    </i>
    <i r="27">
      <x v="41"/>
    </i>
    <i r="28">
      <x v="1"/>
    </i>
    <i r="29">
      <x v="9"/>
    </i>
    <i r="30">
      <x v="4"/>
    </i>
    <i r="31">
      <x v="589"/>
    </i>
    <i r="32">
      <x v="7"/>
    </i>
    <i r="33">
      <x v="1"/>
    </i>
    <i r="34">
      <x v="6"/>
    </i>
    <i r="35">
      <x v="1"/>
    </i>
    <i r="36">
      <x v="1"/>
    </i>
    <i r="37">
      <x v="6"/>
    </i>
    <i r="38">
      <x v="3"/>
    </i>
    <i r="39">
      <x v="1"/>
    </i>
    <i r="40">
      <x v="1"/>
    </i>
    <i r="41">
      <x v="6"/>
    </i>
    <i r="42">
      <x v="1"/>
    </i>
    <i r="43">
      <x v="1"/>
    </i>
    <i r="44">
      <x v="1"/>
    </i>
    <i r="45">
      <x v="1"/>
    </i>
    <i r="46">
      <x v="1"/>
    </i>
    <i r="47">
      <x v="1"/>
    </i>
    <i r="48">
      <x v="1"/>
    </i>
    <i r="49">
      <x v="1"/>
    </i>
    <i r="50">
      <x v="1"/>
    </i>
    <i r="51">
      <x v="1"/>
    </i>
    <i r="52">
      <x v="7"/>
    </i>
    <i r="53">
      <x v="1"/>
    </i>
    <i r="54">
      <x v="1"/>
    </i>
    <i r="55">
      <x v="3"/>
    </i>
    <i r="56">
      <x v="1"/>
    </i>
    <i r="57">
      <x v="1"/>
    </i>
    <i r="58">
      <x v="1"/>
    </i>
    <i r="59">
      <x v="17"/>
    </i>
    <i r="60">
      <x v="4"/>
    </i>
    <i r="61">
      <x v="1"/>
    </i>
    <i r="62">
      <x v="1"/>
    </i>
    <i r="63">
      <x v="1"/>
    </i>
    <i r="64">
      <x v="1"/>
    </i>
    <i r="65">
      <x v="1"/>
    </i>
    <i r="66">
      <x v="1"/>
    </i>
    <i r="67">
      <x v="1"/>
    </i>
    <i r="68">
      <x v="4"/>
    </i>
    <i r="69">
      <x v="1"/>
    </i>
    <i r="70">
      <x v="5"/>
    </i>
    <i r="71">
      <x v="41"/>
    </i>
    <i r="72">
      <x v="40"/>
    </i>
    <i r="73">
      <x/>
    </i>
    <i r="1">
      <x v="269"/>
    </i>
    <i r="2">
      <x v="113"/>
    </i>
    <i r="3">
      <x v="41"/>
    </i>
    <i r="4">
      <x v="41"/>
    </i>
    <i r="5">
      <x v="262"/>
    </i>
    <i r="6">
      <x v="2"/>
    </i>
    <i r="7">
      <x v="1"/>
    </i>
    <i r="8">
      <x v="1"/>
    </i>
    <i r="9">
      <x v="423"/>
    </i>
    <i r="10">
      <x v="493"/>
    </i>
    <i r="11">
      <x v="97"/>
    </i>
    <i r="12">
      <x v="1"/>
    </i>
    <i r="13">
      <x v="66"/>
    </i>
    <i r="14">
      <x v="42"/>
    </i>
    <i r="15">
      <x v="4"/>
    </i>
    <i r="16">
      <x v="1"/>
    </i>
    <i r="17">
      <x v="1"/>
    </i>
    <i r="18">
      <x v="42"/>
    </i>
    <i r="19">
      <x v="1"/>
    </i>
    <i r="20">
      <x v="42"/>
    </i>
    <i r="21">
      <x v="1"/>
    </i>
    <i r="22">
      <x v="1"/>
    </i>
    <i r="23">
      <x v="1"/>
    </i>
    <i r="24">
      <x v="1"/>
    </i>
    <i r="25">
      <x v="1"/>
    </i>
    <i r="26">
      <x v="1"/>
    </i>
    <i r="27">
      <x v="41"/>
    </i>
    <i r="28">
      <x v="1"/>
    </i>
    <i r="29">
      <x v="9"/>
    </i>
    <i r="30">
      <x v="4"/>
    </i>
    <i r="31">
      <x v="96"/>
    </i>
    <i r="32">
      <x v="7"/>
    </i>
    <i r="33">
      <x v="1"/>
    </i>
    <i r="34">
      <x v="6"/>
    </i>
    <i r="35">
      <x v="1"/>
    </i>
    <i r="36">
      <x v="1"/>
    </i>
    <i r="37">
      <x v="6"/>
    </i>
    <i r="38">
      <x v="3"/>
    </i>
    <i r="39">
      <x v="1"/>
    </i>
    <i r="40">
      <x v="1"/>
    </i>
    <i r="41">
      <x v="6"/>
    </i>
    <i r="42">
      <x v="1"/>
    </i>
    <i r="43">
      <x v="1"/>
    </i>
    <i r="44">
      <x v="1"/>
    </i>
    <i r="45">
      <x v="1"/>
    </i>
    <i r="46">
      <x v="1"/>
    </i>
    <i r="47">
      <x v="1"/>
    </i>
    <i r="48">
      <x v="1"/>
    </i>
    <i r="49">
      <x v="1"/>
    </i>
    <i r="50">
      <x v="1"/>
    </i>
    <i r="51">
      <x v="1"/>
    </i>
    <i r="52">
      <x v="7"/>
    </i>
    <i r="53">
      <x v="1"/>
    </i>
    <i r="54">
      <x v="1"/>
    </i>
    <i r="55">
      <x v="3"/>
    </i>
    <i r="56">
      <x v="1"/>
    </i>
    <i r="57">
      <x v="1"/>
    </i>
    <i r="58">
      <x v="1"/>
    </i>
    <i r="59">
      <x v="17"/>
    </i>
    <i r="60">
      <x v="4"/>
    </i>
    <i r="61">
      <x v="1"/>
    </i>
    <i r="62">
      <x v="1"/>
    </i>
    <i r="63">
      <x v="1"/>
    </i>
    <i r="64">
      <x v="1"/>
    </i>
    <i r="65">
      <x v="1"/>
    </i>
    <i r="66">
      <x v="1"/>
    </i>
    <i r="67">
      <x v="1"/>
    </i>
    <i r="68">
      <x v="4"/>
    </i>
    <i r="69">
      <x v="1"/>
    </i>
    <i r="70">
      <x v="5"/>
    </i>
    <i r="71">
      <x v="41"/>
    </i>
    <i r="72">
      <x v="40"/>
    </i>
    <i r="73">
      <x/>
    </i>
    <i r="1">
      <x v="270"/>
    </i>
    <i r="2">
      <x v="113"/>
    </i>
    <i r="3">
      <x v="41"/>
    </i>
    <i r="4">
      <x v="41"/>
    </i>
    <i r="5">
      <x v="264"/>
    </i>
    <i r="6">
      <x v="2"/>
    </i>
    <i r="7">
      <x v="1"/>
    </i>
    <i r="8">
      <x v="1"/>
    </i>
    <i r="9">
      <x v="430"/>
    </i>
    <i r="10">
      <x v="497"/>
    </i>
    <i r="11">
      <x v="1"/>
    </i>
    <i r="12">
      <x v="1"/>
    </i>
    <i r="13">
      <x v="66"/>
    </i>
    <i r="14">
      <x v="42"/>
    </i>
    <i r="15">
      <x v="4"/>
    </i>
    <i r="16">
      <x v="1"/>
    </i>
    <i r="17">
      <x v="1"/>
    </i>
    <i r="18">
      <x v="42"/>
    </i>
    <i r="19">
      <x v="1"/>
    </i>
    <i r="20">
      <x v="42"/>
    </i>
    <i r="21">
      <x v="1"/>
    </i>
    <i r="22">
      <x v="1"/>
    </i>
    <i r="23">
      <x v="1"/>
    </i>
    <i r="24">
      <x v="1"/>
    </i>
    <i r="25">
      <x v="1"/>
    </i>
    <i r="26">
      <x v="1"/>
    </i>
    <i r="27">
      <x v="41"/>
    </i>
    <i r="28">
      <x v="1"/>
    </i>
    <i r="29">
      <x v="9"/>
    </i>
    <i r="30">
      <x v="4"/>
    </i>
    <i r="31">
      <x v="96"/>
    </i>
    <i r="32">
      <x v="7"/>
    </i>
    <i r="33">
      <x v="1"/>
    </i>
    <i r="34">
      <x v="6"/>
    </i>
    <i r="35">
      <x v="1"/>
    </i>
    <i r="36">
      <x v="1"/>
    </i>
    <i r="37">
      <x v="6"/>
    </i>
    <i r="38">
      <x v="3"/>
    </i>
    <i r="39">
      <x v="1"/>
    </i>
    <i r="40">
      <x v="1"/>
    </i>
    <i r="41">
      <x v="6"/>
    </i>
    <i r="42">
      <x v="1"/>
    </i>
    <i r="43">
      <x v="1"/>
    </i>
    <i r="44">
      <x v="1"/>
    </i>
    <i r="45">
      <x v="1"/>
    </i>
    <i r="46">
      <x v="1"/>
    </i>
    <i r="47">
      <x v="1"/>
    </i>
    <i r="48">
      <x v="1"/>
    </i>
    <i r="49">
      <x v="1"/>
    </i>
    <i r="50">
      <x v="1"/>
    </i>
    <i r="51">
      <x v="1"/>
    </i>
    <i r="52">
      <x v="7"/>
    </i>
    <i r="53">
      <x v="1"/>
    </i>
    <i r="54">
      <x v="1"/>
    </i>
    <i r="55">
      <x v="3"/>
    </i>
    <i r="56">
      <x v="1"/>
    </i>
    <i r="57">
      <x v="1"/>
    </i>
    <i r="58">
      <x v="1"/>
    </i>
    <i r="59">
      <x v="17"/>
    </i>
    <i r="60">
      <x v="4"/>
    </i>
    <i r="61">
      <x v="1"/>
    </i>
    <i r="62">
      <x v="1"/>
    </i>
    <i r="63">
      <x v="1"/>
    </i>
    <i r="64">
      <x v="1"/>
    </i>
    <i r="65">
      <x v="1"/>
    </i>
    <i r="66">
      <x v="1"/>
    </i>
    <i r="67">
      <x v="1"/>
    </i>
    <i r="68">
      <x v="4"/>
    </i>
    <i r="69">
      <x v="1"/>
    </i>
    <i r="70">
      <x v="5"/>
    </i>
    <i r="71">
      <x v="41"/>
    </i>
    <i r="72">
      <x v="40"/>
    </i>
    <i r="73">
      <x/>
    </i>
    <i r="1">
      <x v="282"/>
    </i>
    <i r="2">
      <x v="464"/>
    </i>
    <i r="3">
      <x v="41"/>
    </i>
    <i r="4">
      <x v="41"/>
    </i>
    <i r="5">
      <x v="24"/>
    </i>
    <i r="6">
      <x v="2"/>
    </i>
    <i r="7">
      <x v="1"/>
    </i>
    <i r="8">
      <x v="1"/>
    </i>
    <i r="9">
      <x v="431"/>
    </i>
    <i r="10">
      <x v="498"/>
    </i>
    <i r="11">
      <x v="1"/>
    </i>
    <i r="12">
      <x v="1"/>
    </i>
    <i r="13">
      <x v="66"/>
    </i>
    <i r="14">
      <x v="42"/>
    </i>
    <i r="15">
      <x v="4"/>
    </i>
    <i r="16">
      <x v="1"/>
    </i>
    <i r="17">
      <x v="1"/>
    </i>
    <i r="18">
      <x v="42"/>
    </i>
    <i r="19">
      <x v="1"/>
    </i>
    <i r="20">
      <x v="42"/>
    </i>
    <i r="21">
      <x v="1"/>
    </i>
    <i r="22">
      <x v="1"/>
    </i>
    <i r="23">
      <x v="1"/>
    </i>
    <i r="24">
      <x v="1"/>
    </i>
    <i r="25">
      <x v="1"/>
    </i>
    <i r="26">
      <x v="1"/>
    </i>
    <i r="27">
      <x v="41"/>
    </i>
    <i r="28">
      <x v="1"/>
    </i>
    <i r="29">
      <x v="9"/>
    </i>
    <i r="30">
      <x v="4"/>
    </i>
    <i r="31">
      <x v="591"/>
    </i>
    <i r="32">
      <x v="7"/>
    </i>
    <i r="33">
      <x v="1"/>
    </i>
    <i r="34">
      <x v="6"/>
    </i>
    <i r="35">
      <x v="1"/>
    </i>
    <i r="36">
      <x v="1"/>
    </i>
    <i r="37">
      <x v="6"/>
    </i>
    <i r="38">
      <x v="3"/>
    </i>
    <i r="39">
      <x v="1"/>
    </i>
    <i r="40">
      <x v="1"/>
    </i>
    <i r="41">
      <x v="6"/>
    </i>
    <i r="42">
      <x v="1"/>
    </i>
    <i r="43">
      <x v="1"/>
    </i>
    <i r="44">
      <x v="1"/>
    </i>
    <i r="45">
      <x v="1"/>
    </i>
    <i r="46">
      <x v="1"/>
    </i>
    <i r="47">
      <x v="1"/>
    </i>
    <i r="48">
      <x v="1"/>
    </i>
    <i r="49">
      <x v="1"/>
    </i>
    <i r="50">
      <x v="1"/>
    </i>
    <i r="51">
      <x v="1"/>
    </i>
    <i r="52">
      <x v="7"/>
    </i>
    <i r="53">
      <x v="1"/>
    </i>
    <i r="54">
      <x v="1"/>
    </i>
    <i r="55">
      <x v="3"/>
    </i>
    <i r="56">
      <x v="1"/>
    </i>
    <i r="57">
      <x v="1"/>
    </i>
    <i r="58">
      <x v="1"/>
    </i>
    <i r="59">
      <x v="17"/>
    </i>
    <i r="60">
      <x v="4"/>
    </i>
    <i r="61">
      <x v="1"/>
    </i>
    <i r="62">
      <x v="1"/>
    </i>
    <i r="63">
      <x v="1"/>
    </i>
    <i r="64">
      <x v="1"/>
    </i>
    <i r="65">
      <x v="1"/>
    </i>
    <i r="66">
      <x v="1"/>
    </i>
    <i r="67">
      <x v="1"/>
    </i>
    <i r="68">
      <x v="4"/>
    </i>
    <i r="69">
      <x v="1"/>
    </i>
    <i r="70">
      <x v="5"/>
    </i>
    <i r="71">
      <x v="41"/>
    </i>
    <i r="72">
      <x v="40"/>
    </i>
    <i r="73">
      <x/>
    </i>
    <i r="1">
      <x v="293"/>
    </i>
    <i r="2">
      <x v="113"/>
    </i>
    <i r="3">
      <x v="41"/>
    </i>
    <i r="4">
      <x v="41"/>
    </i>
    <i r="5">
      <x v="24"/>
    </i>
    <i r="6">
      <x v="2"/>
    </i>
    <i r="7">
      <x v="1"/>
    </i>
    <i r="8">
      <x v="1"/>
    </i>
    <i r="9">
      <x v="427"/>
    </i>
    <i r="10">
      <x v="494"/>
    </i>
    <i r="11">
      <x v="1"/>
    </i>
    <i r="12">
      <x v="1"/>
    </i>
    <i r="13">
      <x v="66"/>
    </i>
    <i r="14">
      <x v="42"/>
    </i>
    <i r="15">
      <x v="4"/>
    </i>
    <i r="16">
      <x v="1"/>
    </i>
    <i r="17">
      <x v="1"/>
    </i>
    <i r="18">
      <x v="42"/>
    </i>
    <i r="19">
      <x v="1"/>
    </i>
    <i r="20">
      <x v="42"/>
    </i>
    <i r="21">
      <x v="1"/>
    </i>
    <i r="22">
      <x v="1"/>
    </i>
    <i r="23">
      <x v="1"/>
    </i>
    <i r="24">
      <x v="1"/>
    </i>
    <i r="25">
      <x v="1"/>
    </i>
    <i r="26">
      <x v="1"/>
    </i>
    <i r="27">
      <x v="41"/>
    </i>
    <i r="28">
      <x v="1"/>
    </i>
    <i r="29">
      <x v="9"/>
    </i>
    <i r="30">
      <x v="4"/>
    </i>
    <i r="31">
      <x v="588"/>
    </i>
    <i r="32">
      <x v="7"/>
    </i>
    <i r="33">
      <x v="1"/>
    </i>
    <i r="34">
      <x v="6"/>
    </i>
    <i r="35">
      <x v="1"/>
    </i>
    <i r="36">
      <x v="1"/>
    </i>
    <i r="37">
      <x v="6"/>
    </i>
    <i r="38">
      <x v="3"/>
    </i>
    <i r="39">
      <x v="1"/>
    </i>
    <i r="40">
      <x v="1"/>
    </i>
    <i r="41">
      <x v="6"/>
    </i>
    <i r="42">
      <x v="1"/>
    </i>
    <i r="43">
      <x v="1"/>
    </i>
    <i r="44">
      <x v="1"/>
    </i>
    <i r="45">
      <x v="1"/>
    </i>
    <i r="46">
      <x v="1"/>
    </i>
    <i r="47">
      <x v="1"/>
    </i>
    <i r="48">
      <x v="1"/>
    </i>
    <i r="49">
      <x v="1"/>
    </i>
    <i r="50">
      <x v="1"/>
    </i>
    <i r="51">
      <x v="1"/>
    </i>
    <i r="52">
      <x v="7"/>
    </i>
    <i r="53">
      <x v="1"/>
    </i>
    <i r="54">
      <x v="1"/>
    </i>
    <i r="55">
      <x v="3"/>
    </i>
    <i r="56">
      <x v="1"/>
    </i>
    <i r="57">
      <x v="1"/>
    </i>
    <i r="58">
      <x v="1"/>
    </i>
    <i r="59">
      <x v="17"/>
    </i>
    <i r="60">
      <x v="4"/>
    </i>
    <i r="61">
      <x v="1"/>
    </i>
    <i r="62">
      <x v="1"/>
    </i>
    <i r="63">
      <x v="1"/>
    </i>
    <i r="64">
      <x v="1"/>
    </i>
    <i r="65">
      <x v="1"/>
    </i>
    <i r="66">
      <x v="1"/>
    </i>
    <i r="67">
      <x v="1"/>
    </i>
    <i r="68">
      <x v="4"/>
    </i>
    <i r="69">
      <x v="1"/>
    </i>
    <i r="70">
      <x v="5"/>
    </i>
    <i r="71">
      <x v="41"/>
    </i>
    <i r="72">
      <x v="40"/>
    </i>
    <i r="73">
      <x/>
    </i>
    <i r="1">
      <x v="312"/>
    </i>
    <i r="2">
      <x v="452"/>
    </i>
    <i r="3">
      <x v="251"/>
    </i>
    <i r="4">
      <x v="216"/>
    </i>
    <i r="5">
      <x v="24"/>
    </i>
    <i r="6">
      <x v="2"/>
    </i>
    <i r="7">
      <x v="1"/>
    </i>
    <i r="8">
      <x v="1"/>
    </i>
    <i r="9">
      <x v="416"/>
    </i>
    <i r="10">
      <x v="491"/>
    </i>
    <i r="11">
      <x v="1"/>
    </i>
    <i r="12">
      <x v="1"/>
    </i>
    <i r="13">
      <x v="342"/>
    </i>
    <i r="14">
      <x v="226"/>
    </i>
    <i r="15">
      <x v="4"/>
    </i>
    <i r="16">
      <x v="1"/>
    </i>
    <i r="17">
      <x v="1"/>
    </i>
    <i r="18">
      <x v="223"/>
    </i>
    <i r="19">
      <x v="1"/>
    </i>
    <i r="20">
      <x v="232"/>
    </i>
    <i r="21">
      <x v="1"/>
    </i>
    <i r="22">
      <x v="1"/>
    </i>
    <i r="23">
      <x v="1"/>
    </i>
    <i r="24">
      <x v="1"/>
    </i>
    <i r="25">
      <x v="1"/>
    </i>
    <i r="26">
      <x v="156"/>
    </i>
    <i r="27">
      <x v="176"/>
    </i>
    <i r="28">
      <x v="1"/>
    </i>
    <i r="29">
      <x v="9"/>
    </i>
    <i r="30">
      <x v="4"/>
    </i>
    <i r="31">
      <x v="586"/>
    </i>
    <i r="32">
      <x v="7"/>
    </i>
    <i r="33">
      <x v="1"/>
    </i>
    <i r="34">
      <x v="6"/>
    </i>
    <i r="35">
      <x v="1"/>
    </i>
    <i r="36">
      <x v="1"/>
    </i>
    <i r="37">
      <x v="6"/>
    </i>
    <i r="38">
      <x v="3"/>
    </i>
    <i r="39">
      <x v="1"/>
    </i>
    <i r="40">
      <x v="1"/>
    </i>
    <i r="41">
      <x v="6"/>
    </i>
    <i r="42">
      <x v="1"/>
    </i>
    <i r="43">
      <x v="1"/>
    </i>
    <i r="44">
      <x v="1"/>
    </i>
    <i r="45">
      <x v="1"/>
    </i>
    <i r="46">
      <x v="1"/>
    </i>
    <i r="47">
      <x v="1"/>
    </i>
    <i r="48">
      <x v="1"/>
    </i>
    <i r="49">
      <x v="1"/>
    </i>
    <i r="50">
      <x v="1"/>
    </i>
    <i r="51">
      <x v="1"/>
    </i>
    <i r="52">
      <x v="7"/>
    </i>
    <i r="53">
      <x v="1"/>
    </i>
    <i r="54">
      <x v="1"/>
    </i>
    <i r="55">
      <x v="3"/>
    </i>
    <i r="56">
      <x v="1"/>
    </i>
    <i r="57">
      <x v="1"/>
    </i>
    <i r="58">
      <x v="1"/>
    </i>
    <i r="59">
      <x v="17"/>
    </i>
    <i r="60">
      <x v="4"/>
    </i>
    <i r="61">
      <x v="1"/>
    </i>
    <i r="62">
      <x v="1"/>
    </i>
    <i r="63">
      <x v="1"/>
    </i>
    <i r="64">
      <x v="1"/>
    </i>
    <i r="65">
      <x v="1"/>
    </i>
    <i r="66">
      <x v="1"/>
    </i>
    <i r="67">
      <x v="1"/>
    </i>
    <i r="68">
      <x v="4"/>
    </i>
    <i r="69">
      <x v="1"/>
    </i>
    <i r="70">
      <x v="5"/>
    </i>
    <i r="71">
      <x v="238"/>
    </i>
    <i r="72">
      <x v="175"/>
    </i>
    <i r="73">
      <x/>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xml><?xml version="1.0" encoding="utf-8"?>
<pivotTableDefinition xmlns="http://schemas.openxmlformats.org/spreadsheetml/2006/main" name="PivotTable13" cacheId="3" applyNumberFormats="0" applyBorderFormats="0" applyFontFormats="0" applyPatternFormats="0" applyAlignmentFormats="0" applyWidthHeightFormats="1" dataCaption="Values" missingCaption="None" showMissing="0" updatedVersion="5" minRefreshableVersion="3" useAutoFormatting="1" itemPrintTitles="1" createdVersion="5" indent="0" outline="1" outlineData="1" multipleFieldFilters="0">
  <location ref="A1:A942" firstHeaderRow="1" firstDataRow="1" firstDataCol="1"/>
  <pivotFields count="263">
    <pivotField showAll="0"/>
    <pivotField showAll="0"/>
    <pivotField showAll="0"/>
    <pivotField showAll="0"/>
    <pivotField axis="axisRow" showAll="0">
      <items count="11">
        <item h="1" x="5"/>
        <item h="1" sd="0" x="1"/>
        <item h="1" x="0"/>
        <item h="1" x="4"/>
        <item h="1" x="6"/>
        <item h="1" x="3"/>
        <item x="7"/>
        <item h="1" sd="0" x="8"/>
        <item h="1" sd="0" x="9"/>
        <item h="1" sd="0" x="2"/>
        <item t="default"/>
      </items>
    </pivotField>
    <pivotField showAll="0" defaultSubtotal="0"/>
    <pivotField showAll="0" defaultSubtotal="0"/>
    <pivotField showAll="0" defaultSubtotal="0"/>
    <pivotField showAll="0" defaultSubtota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pivotField showAll="0"/>
    <pivotField showAll="0"/>
    <pivotField showAll="0"/>
    <pivotField showAll="0"/>
    <pivotField showAll="0"/>
    <pivotField showAll="0"/>
    <pivotField showAll="0"/>
    <pivotField showAll="0"/>
    <pivotField showAll="0"/>
    <pivotField showAll="0" defaultSubtotal="0"/>
    <pivotField showAll="0" defaultSubtota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defaultSubtotal="0"/>
    <pivotField numFmtId="164" showAll="0" defaultSubtotal="0"/>
    <pivotField numFmtId="164" showAll="0" defaultSubtotal="0"/>
    <pivotField numFmtId="164" showAll="0" defaultSubtotal="0"/>
    <pivotField numFmtId="164" showAll="0" defaultSubtotal="0"/>
    <pivotField numFmtId="164" showAll="0" defaultSubtotal="0"/>
    <pivotField numFmtId="164" showAll="0" defaultSubtotal="0"/>
    <pivotField numFmtId="164" showAll="0" defaultSubtotal="0"/>
    <pivotField numFmtId="164" showAll="0" defaultSubtotal="0"/>
    <pivotField numFmtId="164" showAll="0" defaultSubtotal="0"/>
    <pivotField numFmtId="164" showAll="0" defaultSubtotal="0"/>
    <pivotField numFmtId="164" showAll="0" defaultSubtotal="0"/>
    <pivotField numFmtId="164" showAll="0" defaultSubtotal="0"/>
    <pivotField numFmtId="164" showAll="0" defaultSubtotal="0"/>
    <pivotField numFmtId="164" showAll="0" defaultSubtotal="0"/>
    <pivotField numFmtId="164" showAll="0" defaultSubtotal="0"/>
    <pivotField numFmtId="164" showAll="0" defaultSubtotal="0"/>
    <pivotField numFmtId="164" showAll="0"/>
    <pivotField numFmtId="164" showAll="0" defaultSubtotal="0"/>
    <pivotField numFmtId="164" showAll="0" defaultSubtotal="0"/>
    <pivotField numFmtId="164" showAll="0" defaultSubtotal="0"/>
    <pivotField numFmtId="164" showAll="0" defaultSubtotal="0"/>
    <pivotField numFmtId="164"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Row" showAll="0">
      <items count="360">
        <item sd="0" m="1" x="53"/>
        <item m="1" x="338"/>
        <item m="1" x="240"/>
        <item m="1" x="349"/>
        <item m="1" x="195"/>
        <item m="1" x="288"/>
        <item m="1" x="356"/>
        <item m="1" x="181"/>
        <item m="1" x="83"/>
        <item m="1" x="93"/>
        <item m="1" x="225"/>
        <item m="1" x="85"/>
        <item m="1" x="189"/>
        <item m="1" x="354"/>
        <item m="1" x="309"/>
        <item m="1" x="77"/>
        <item m="1" x="269"/>
        <item m="1" x="159"/>
        <item m="1" x="107"/>
        <item m="1" x="246"/>
        <item m="1" x="56"/>
        <item m="1" x="336"/>
        <item m="1" x="328"/>
        <item m="1" x="124"/>
        <item m="1" x="138"/>
        <item m="1" x="303"/>
        <item m="1" x="215"/>
        <item m="1" x="203"/>
        <item m="1" x="151"/>
        <item m="1" x="81"/>
        <item m="1" x="347"/>
        <item m="1" x="241"/>
        <item m="1" x="318"/>
        <item m="1" x="94"/>
        <item m="1" x="165"/>
        <item m="1" x="196"/>
        <item m="1" x="58"/>
        <item m="1" x="182"/>
        <item m="1" x="173"/>
        <item m="1" x="88"/>
        <item m="1" x="235"/>
        <item m="1" x="267"/>
        <item m="1" x="190"/>
        <item m="1" x="229"/>
        <item x="0"/>
        <item m="1" x="121"/>
        <item m="1" x="59"/>
        <item m="1" x="320"/>
        <item m="1" x="283"/>
        <item m="1" x="304"/>
        <item m="1" x="284"/>
        <item m="1" x="305"/>
        <item m="1" x="306"/>
        <item m="1" x="169"/>
        <item m="1" x="106"/>
        <item m="1" x="321"/>
        <item m="1" x="322"/>
        <item m="1" x="69"/>
        <item m="1" x="70"/>
        <item m="1" x="89"/>
        <item m="1" x="170"/>
        <item m="1" x="79"/>
        <item m="1" x="80"/>
        <item m="1" x="137"/>
        <item m="1" x="125"/>
        <item m="1" x="160"/>
        <item m="1" x="143"/>
        <item m="1" x="144"/>
        <item m="1" x="145"/>
        <item m="1" x="71"/>
        <item m="1" x="210"/>
        <item m="1" x="123"/>
        <item m="1" x="146"/>
        <item m="1" x="155"/>
        <item m="1" x="147"/>
        <item m="1" x="148"/>
        <item m="1" x="149"/>
        <item m="1" x="135"/>
        <item m="1" x="171"/>
        <item m="1" x="296"/>
        <item m="1" x="337"/>
        <item m="1" x="324"/>
        <item m="1" x="72"/>
        <item m="1" x="323"/>
        <item m="1" x="345"/>
        <item m="1" x="346"/>
        <item m="1" x="285"/>
        <item m="1" x="286"/>
        <item m="1" x="308"/>
        <item m="1" x="206"/>
        <item m="1" x="217"/>
        <item m="1" x="252"/>
        <item m="1" x="126"/>
        <item m="1" x="152"/>
        <item m="1" x="287"/>
        <item m="1" x="185"/>
        <item m="1" x="262"/>
        <item m="1" x="220"/>
        <item m="1" x="357"/>
        <item m="1" x="263"/>
        <item m="1" x="68"/>
        <item m="1" x="172"/>
        <item m="1" x="187"/>
        <item m="1" x="342"/>
        <item m="1" x="188"/>
        <item m="1" x="348"/>
        <item m="1" x="334"/>
        <item m="1" x="291"/>
        <item m="1" x="120"/>
        <item m="1" x="176"/>
        <item m="1" x="117"/>
        <item m="1" x="186"/>
        <item m="1" x="214"/>
        <item m="1" x="343"/>
        <item m="1" x="92"/>
        <item m="1" x="335"/>
        <item m="1" x="344"/>
        <item m="1" x="193"/>
        <item m="1" x="290"/>
        <item m="1" x="265"/>
        <item m="1" x="108"/>
        <item m="1" x="139"/>
        <item m="1" x="82"/>
        <item m="1" x="205"/>
        <item m="1" x="297"/>
        <item m="1" x="226"/>
        <item m="1" x="230"/>
        <item m="1" x="199"/>
        <item m="1" x="231"/>
        <item m="1" x="200"/>
        <item m="1" x="201"/>
        <item m="1" x="113"/>
        <item m="1" x="91"/>
        <item m="1" x="227"/>
        <item m="1" x="228"/>
        <item m="1" x="236"/>
        <item m="1" x="237"/>
        <item m="1" x="293"/>
        <item m="1" x="114"/>
        <item m="1" x="254"/>
        <item m="1" x="255"/>
        <item m="1" x="340"/>
        <item m="1" x="67"/>
        <item m="1" x="339"/>
        <item m="1" x="310"/>
        <item m="1" x="311"/>
        <item m="1" x="312"/>
        <item m="1" x="238"/>
        <item m="1" x="191"/>
        <item m="1" x="302"/>
        <item m="1" x="276"/>
        <item m="1" x="179"/>
        <item m="1" x="277"/>
        <item m="1" x="278"/>
        <item m="1" x="279"/>
        <item m="1" x="266"/>
        <item m="1" x="157"/>
        <item m="1" x="282"/>
        <item m="1" x="142"/>
        <item m="1" x="178"/>
        <item m="1" x="280"/>
        <item m="1" x="301"/>
        <item m="1" x="162"/>
        <item m="1" x="163"/>
        <item m="1" x="316"/>
        <item m="1" x="317"/>
        <item m="1" x="216"/>
        <item m="1" x="184"/>
        <item m="1" x="54"/>
        <item m="1" x="133"/>
        <item m="1" x="248"/>
        <item m="1" x="66"/>
        <item m="1" x="319"/>
        <item m="1" x="150"/>
        <item m="1" x="140"/>
        <item m="1" x="174"/>
        <item m="1" x="245"/>
        <item m="1" x="161"/>
        <item m="1" x="294"/>
        <item m="1" x="239"/>
        <item m="1" x="204"/>
        <item m="1" x="292"/>
        <item m="1" x="251"/>
        <item m="1" x="192"/>
        <item m="1" x="103"/>
        <item m="1" x="118"/>
        <item m="1" x="351"/>
        <item m="1" x="105"/>
        <item m="1" x="244"/>
        <item m="1" x="355"/>
        <item m="1" x="60"/>
        <item m="1" x="219"/>
        <item m="1" x="156"/>
        <item m="1" x="331"/>
        <item m="1" x="253"/>
        <item m="1" x="183"/>
        <item m="1" x="164"/>
        <item m="1" x="109"/>
        <item m="1" x="112"/>
        <item m="1" x="264"/>
        <item m="1" x="299"/>
        <item x="29"/>
        <item m="1" x="115"/>
        <item m="1" x="73"/>
        <item m="1" x="61"/>
        <item m="1" x="207"/>
        <item m="1" x="62"/>
        <item m="1" x="208"/>
        <item m="1" x="209"/>
        <item m="1" x="313"/>
        <item m="1" x="289"/>
        <item m="1" x="74"/>
        <item m="1" x="75"/>
        <item m="1" x="221"/>
        <item m="1" x="222"/>
        <item m="1" x="212"/>
        <item m="1" x="314"/>
        <item m="1" x="86"/>
        <item m="1" x="87"/>
        <item m="1" x="218"/>
        <item m="1" x="119"/>
        <item m="1" x="232"/>
        <item m="1" x="96"/>
        <item m="1" x="97"/>
        <item m="1" x="98"/>
        <item m="1" x="223"/>
        <item m="1" x="55"/>
        <item m="1" x="90"/>
        <item m="1" x="99"/>
        <item m="1" x="78"/>
        <item m="1" x="100"/>
        <item m="1" x="101"/>
        <item m="1" x="102"/>
        <item m="1" x="242"/>
        <item m="1" x="315"/>
        <item m="1" x="202"/>
        <item m="1" x="167"/>
        <item m="1" x="250"/>
        <item m="1" x="224"/>
        <item m="1" x="76"/>
        <item m="1" x="257"/>
        <item m="1" x="258"/>
        <item m="1" x="63"/>
        <item m="1" x="64"/>
        <item x="17"/>
        <item x="18"/>
        <item x="20"/>
        <item m="1" x="259"/>
        <item x="23"/>
        <item m="1" x="57"/>
        <item m="1" x="104"/>
        <item m="1" x="213"/>
        <item x="32"/>
        <item m="1" x="153"/>
        <item m="1" x="95"/>
        <item m="1" x="330"/>
        <item m="1" x="350"/>
        <item x="49"/>
        <item x="50"/>
        <item x="51"/>
        <item x="52"/>
        <item m="1" x="158"/>
        <item m="1" x="127"/>
        <item m="1" x="111"/>
        <item m="1" x="358"/>
        <item m="1" x="194"/>
        <item m="1" x="110"/>
        <item x="9"/>
        <item x="16"/>
        <item x="21"/>
        <item x="24"/>
        <item x="31"/>
        <item x="43"/>
        <item x="44"/>
        <item x="45"/>
        <item x="48"/>
        <item m="1" x="307"/>
        <item m="1" x="247"/>
        <item x="4"/>
        <item m="1" x="168"/>
        <item x="6"/>
        <item m="1" x="180"/>
        <item x="25"/>
        <item x="27"/>
        <item m="1" x="298"/>
        <item m="1" x="300"/>
        <item m="1" x="177"/>
        <item x="1"/>
        <item x="2"/>
        <item x="3"/>
        <item m="1" x="122"/>
        <item m="1" x="260"/>
        <item m="1" x="141"/>
        <item x="22"/>
        <item m="1" x="353"/>
        <item m="1" x="256"/>
        <item m="1" x="175"/>
        <item m="1" x="65"/>
        <item m="1" x="166"/>
        <item m="1" x="249"/>
        <item m="1" x="154"/>
        <item x="46"/>
        <item x="47"/>
        <item x="5"/>
        <item x="7"/>
        <item x="8"/>
        <item x="10"/>
        <item x="11"/>
        <item x="12"/>
        <item x="13"/>
        <item x="14"/>
        <item x="15"/>
        <item x="19"/>
        <item m="1" x="84"/>
        <item m="1" x="325"/>
        <item m="1" x="326"/>
        <item m="1" x="128"/>
        <item m="1" x="129"/>
        <item m="1" x="136"/>
        <item m="1" x="197"/>
        <item m="1" x="131"/>
        <item m="1" x="132"/>
        <item m="1" x="295"/>
        <item m="1" x="211"/>
        <item m="1" x="281"/>
        <item m="1" x="270"/>
        <item m="1" x="271"/>
        <item m="1" x="272"/>
        <item m="1" x="130"/>
        <item m="1" x="134"/>
        <item x="30"/>
        <item x="33"/>
        <item m="1" x="352"/>
        <item m="1" x="116"/>
        <item m="1" x="273"/>
        <item m="1" x="274"/>
        <item m="1" x="275"/>
        <item m="1" x="268"/>
        <item m="1" x="198"/>
        <item m="1" x="329"/>
        <item m="1" x="243"/>
        <item m="1" x="261"/>
        <item m="1" x="341"/>
        <item x="37"/>
        <item m="1" x="327"/>
        <item m="1" x="233"/>
        <item m="1" x="234"/>
        <item m="1" x="332"/>
        <item m="1" x="333"/>
        <item x="26"/>
        <item x="28"/>
        <item x="34"/>
        <item x="36"/>
        <item x="35"/>
        <item x="38"/>
        <item x="39"/>
        <item x="40"/>
        <item x="41"/>
        <item x="42"/>
        <item t="default"/>
      </items>
    </pivotField>
    <pivotField axis="axisRow" showAll="0">
      <items count="274">
        <item m="1" x="19"/>
        <item m="1" x="102"/>
        <item m="1" x="90"/>
        <item m="1" x="71"/>
        <item m="1" x="215"/>
        <item m="1" x="175"/>
        <item m="1" x="94"/>
        <item m="1" x="139"/>
        <item m="1" x="170"/>
        <item m="1" x="23"/>
        <item m="1" x="129"/>
        <item m="1" x="209"/>
        <item m="1" x="165"/>
        <item m="1" x="261"/>
        <item m="1" x="247"/>
        <item m="1" x="126"/>
        <item m="1" x="73"/>
        <item m="1" x="135"/>
        <item m="1" x="235"/>
        <item m="1" x="176"/>
        <item m="1" x="56"/>
        <item m="1" x="156"/>
        <item m="1" x="122"/>
        <item m="1" x="141"/>
        <item x="0"/>
        <item m="1" x="34"/>
        <item m="1" x="196"/>
        <item m="1" x="58"/>
        <item m="1" x="188"/>
        <item m="1" x="80"/>
        <item m="1" x="85"/>
        <item m="1" x="106"/>
        <item m="1" x="197"/>
        <item m="1" x="228"/>
        <item m="1" x="216"/>
        <item m="1" x="217"/>
        <item m="1" x="117"/>
        <item m="1" x="234"/>
        <item m="1" x="248"/>
        <item m="1" x="41"/>
        <item m="1" x="54"/>
        <item m="1" x="186"/>
        <item m="1" x="237"/>
        <item m="1" x="105"/>
        <item m="1" x="95"/>
        <item m="1" x="187"/>
        <item m="1" x="164"/>
        <item m="1" x="37"/>
        <item m="1" x="81"/>
        <item m="1" x="120"/>
        <item m="1" x="84"/>
        <item m="1" x="31"/>
        <item m="1" x="27"/>
        <item m="1" x="68"/>
        <item m="1" x="169"/>
        <item m="1" x="82"/>
        <item m="1" x="125"/>
        <item m="1" x="229"/>
        <item m="1" x="153"/>
        <item m="1" x="182"/>
        <item m="1" x="185"/>
        <item m="1" x="263"/>
        <item m="1" x="203"/>
        <item m="1" x="62"/>
        <item m="1" x="269"/>
        <item m="1" x="233"/>
        <item m="1" x="166"/>
        <item m="1" x="127"/>
        <item m="1" x="20"/>
        <item m="1" x="67"/>
        <item m="1" x="48"/>
        <item m="1" x="46"/>
        <item m="1" x="111"/>
        <item m="1" x="124"/>
        <item m="1" x="212"/>
        <item m="1" x="88"/>
        <item m="1" x="158"/>
        <item m="1" x="180"/>
        <item m="1" x="50"/>
        <item m="1" x="178"/>
        <item m="1" x="221"/>
        <item m="1" x="250"/>
        <item m="1" x="136"/>
        <item m="1" x="227"/>
        <item m="1" x="201"/>
        <item m="1" x="195"/>
        <item m="1" x="55"/>
        <item m="1" x="77"/>
        <item m="1" x="259"/>
        <item m="1" x="113"/>
        <item m="1" x="98"/>
        <item m="1" x="63"/>
        <item m="1" x="93"/>
        <item m="1" x="146"/>
        <item m="1" x="154"/>
        <item m="1" x="24"/>
        <item m="1" x="155"/>
        <item m="1" x="157"/>
        <item m="1" x="220"/>
        <item m="1" x="89"/>
        <item m="1" x="205"/>
        <item m="1" x="174"/>
        <item m="1" x="194"/>
        <item m="1" x="161"/>
        <item m="1" x="168"/>
        <item m="1" x="210"/>
        <item m="1" x="130"/>
        <item m="1" x="131"/>
        <item m="1" x="96"/>
        <item m="1" x="160"/>
        <item m="1" x="25"/>
        <item m="1" x="61"/>
        <item m="1" x="204"/>
        <item m="1" x="91"/>
        <item m="1" x="133"/>
        <item m="1" x="143"/>
        <item m="1" x="266"/>
        <item m="1" x="75"/>
        <item m="1" x="219"/>
        <item m="1" x="92"/>
        <item m="1" x="213"/>
        <item m="1" x="118"/>
        <item m="1" x="265"/>
        <item m="1" x="163"/>
        <item m="1" x="70"/>
        <item m="1" x="32"/>
        <item m="1" x="119"/>
        <item m="1" x="244"/>
        <item m="1" x="64"/>
        <item m="1" x="245"/>
        <item m="1" x="43"/>
        <item m="1" x="140"/>
        <item m="1" x="132"/>
        <item m="1" x="236"/>
        <item m="1" x="28"/>
        <item m="1" x="171"/>
        <item m="1" x="191"/>
        <item m="1" x="36"/>
        <item m="1" x="76"/>
        <item m="1" x="231"/>
        <item m="1" x="72"/>
        <item m="1" x="110"/>
        <item m="1" x="60"/>
        <item m="1" x="147"/>
        <item m="1" x="246"/>
        <item m="1" x="183"/>
        <item m="1" x="243"/>
        <item m="1" x="198"/>
        <item m="1" x="214"/>
        <item m="1" x="241"/>
        <item m="1" x="152"/>
        <item m="1" x="86"/>
        <item m="1" x="224"/>
        <item m="1" x="30"/>
        <item m="1" x="181"/>
        <item m="1" x="35"/>
        <item m="1" x="151"/>
        <item m="1" x="232"/>
        <item m="1" x="260"/>
        <item m="1" x="40"/>
        <item m="1" x="128"/>
        <item m="1" x="29"/>
        <item m="1" x="142"/>
        <item m="1" x="272"/>
        <item m="1" x="78"/>
        <item m="1" x="107"/>
        <item m="1" x="87"/>
        <item m="1" x="226"/>
        <item m="1" x="52"/>
        <item m="1" x="44"/>
        <item m="1" x="218"/>
        <item m="1" x="42"/>
        <item m="1" x="184"/>
        <item m="1" x="123"/>
        <item m="1" x="239"/>
        <item m="1" x="148"/>
        <item m="1" x="74"/>
        <item m="1" x="137"/>
        <item m="1" x="202"/>
        <item m="1" x="230"/>
        <item m="1" x="207"/>
        <item m="1" x="208"/>
        <item m="1" x="21"/>
        <item m="1" x="189"/>
        <item m="1" x="206"/>
        <item m="1" x="222"/>
        <item m="1" x="223"/>
        <item m="1" x="240"/>
        <item m="1" x="53"/>
        <item m="1" x="271"/>
        <item m="1" x="104"/>
        <item m="1" x="109"/>
        <item m="1" x="252"/>
        <item m="1" x="253"/>
        <item m="1" x="38"/>
        <item m="1" x="254"/>
        <item m="1" x="45"/>
        <item m="1" x="47"/>
        <item m="1" x="79"/>
        <item m="1" x="167"/>
        <item m="1" x="65"/>
        <item m="1" x="200"/>
        <item m="1" x="193"/>
        <item m="1" x="162"/>
        <item m="1" x="114"/>
        <item m="1" x="115"/>
        <item m="1" x="39"/>
        <item m="1" x="59"/>
        <item m="1" x="192"/>
        <item m="1" x="121"/>
        <item m="1" x="159"/>
        <item m="1" x="270"/>
        <item m="1" x="258"/>
        <item m="1" x="268"/>
        <item m="1" x="103"/>
        <item m="1" x="179"/>
        <item m="1" x="255"/>
        <item m="1" x="97"/>
        <item m="1" x="66"/>
        <item m="1" x="33"/>
        <item m="1" x="22"/>
        <item m="1" x="256"/>
        <item m="1" x="149"/>
        <item m="1" x="242"/>
        <item m="1" x="150"/>
        <item m="1" x="57"/>
        <item m="1" x="251"/>
        <item m="1" x="190"/>
        <item m="1" x="116"/>
        <item m="1" x="262"/>
        <item m="1" x="100"/>
        <item m="1" x="26"/>
        <item m="1" x="138"/>
        <item m="1" x="108"/>
        <item m="1" x="99"/>
        <item m="1" x="238"/>
        <item m="1" x="49"/>
        <item m="1" x="211"/>
        <item m="1" x="257"/>
        <item m="1" x="101"/>
        <item m="1" x="83"/>
        <item m="1" x="225"/>
        <item m="1" x="69"/>
        <item m="1" x="199"/>
        <item m="1" x="173"/>
        <item m="1" x="51"/>
        <item m="1" x="264"/>
        <item m="1" x="145"/>
        <item m="1" x="112"/>
        <item m="1" x="134"/>
        <item m="1" x="144"/>
        <item m="1" x="267"/>
        <item m="1" x="177"/>
        <item m="1" x="249"/>
        <item m="1" x="172"/>
        <item x="1"/>
        <item x="2"/>
        <item x="3"/>
        <item x="4"/>
        <item x="5"/>
        <item x="6"/>
        <item x="7"/>
        <item x="8"/>
        <item x="9"/>
        <item x="10"/>
        <item x="11"/>
        <item x="12"/>
        <item x="13"/>
        <item x="14"/>
        <item x="15"/>
        <item x="16"/>
        <item x="17"/>
        <item x="18"/>
        <item t="default"/>
      </items>
    </pivotField>
    <pivotField axis="axisRow" showAll="0">
      <items count="31">
        <item m="1" x="29"/>
        <item m="1" x="5"/>
        <item x="0"/>
        <item m="1" x="22"/>
        <item m="1" x="26"/>
        <item m="1" x="20"/>
        <item m="1" x="18"/>
        <item m="1" x="6"/>
        <item m="1" x="12"/>
        <item m="1" x="25"/>
        <item m="1" x="10"/>
        <item m="1" x="3"/>
        <item m="1" x="27"/>
        <item m="1" x="14"/>
        <item m="1" x="8"/>
        <item m="1" x="9"/>
        <item m="1" x="7"/>
        <item m="1" x="1"/>
        <item m="1" x="24"/>
        <item m="1" x="17"/>
        <item m="1" x="15"/>
        <item m="1" x="16"/>
        <item m="1" x="13"/>
        <item m="1" x="23"/>
        <item m="1" x="28"/>
        <item m="1" x="2"/>
        <item m="1" x="19"/>
        <item m="1" x="4"/>
        <item m="1" x="21"/>
        <item m="1" x="11"/>
        <item t="default"/>
      </items>
    </pivotField>
    <pivotField axis="axisRow" showAll="0">
      <items count="3">
        <item m="1" x="1"/>
        <item x="0"/>
        <item t="default"/>
      </items>
    </pivotField>
    <pivotField axis="axisRow" showAll="0">
      <items count="3">
        <item m="1" x="1"/>
        <item x="0"/>
        <item t="default"/>
      </items>
    </pivotField>
    <pivotField axis="axisRow" showAll="0">
      <items count="558">
        <item m="1" x="362"/>
        <item m="1" x="330"/>
        <item m="1" x="371"/>
        <item m="1" x="361"/>
        <item m="1" x="250"/>
        <item m="1" x="504"/>
        <item m="1" x="325"/>
        <item m="1" x="432"/>
        <item m="1" x="398"/>
        <item m="1" x="275"/>
        <item m="1" x="391"/>
        <item m="1" x="348"/>
        <item m="1" x="549"/>
        <item m="1" x="245"/>
        <item m="1" x="259"/>
        <item m="1" x="521"/>
        <item m="1" x="171"/>
        <item m="1" x="168"/>
        <item m="1" x="169"/>
        <item m="1" x="209"/>
        <item m="1" x="411"/>
        <item m="1" x="194"/>
        <item m="1" x="207"/>
        <item m="1" x="273"/>
        <item m="1" x="424"/>
        <item m="1" x="416"/>
        <item m="1" x="231"/>
        <item m="1" x="434"/>
        <item m="1" x="455"/>
        <item m="1" x="204"/>
        <item m="1" x="303"/>
        <item m="1" x="277"/>
        <item m="1" x="287"/>
        <item m="1" x="289"/>
        <item m="1" x="537"/>
        <item m="1" x="522"/>
        <item m="1" x="104"/>
        <item m="1" x="222"/>
        <item m="1" x="415"/>
        <item m="1" x="538"/>
        <item m="1" x="368"/>
        <item m="1" x="301"/>
        <item m="1" x="369"/>
        <item m="1" x="474"/>
        <item m="1" x="483"/>
        <item m="1" x="519"/>
        <item m="1" x="235"/>
        <item m="1" x="329"/>
        <item m="1" x="167"/>
        <item m="1" x="425"/>
        <item m="1" x="163"/>
        <item m="1" x="131"/>
        <item m="1" x="535"/>
        <item m="1" x="135"/>
        <item m="1" x="215"/>
        <item m="1" x="125"/>
        <item m="1" x="133"/>
        <item m="1" x="269"/>
        <item m="1" x="142"/>
        <item m="1" x="139"/>
        <item m="1" x="352"/>
        <item m="1" x="490"/>
        <item m="1" x="520"/>
        <item m="1" x="129"/>
        <item m="1" x="149"/>
        <item m="1" x="399"/>
        <item m="1" x="342"/>
        <item m="1" x="500"/>
        <item m="1" x="324"/>
        <item m="1" x="112"/>
        <item m="1" x="162"/>
        <item m="1" x="501"/>
        <item m="1" x="422"/>
        <item m="1" x="320"/>
        <item m="1" x="450"/>
        <item m="1" x="258"/>
        <item m="1" x="105"/>
        <item m="1" x="270"/>
        <item m="1" x="220"/>
        <item m="1" x="234"/>
        <item m="1" x="249"/>
        <item m="1" x="367"/>
        <item m="1" x="120"/>
        <item m="1" x="344"/>
        <item m="1" x="147"/>
        <item m="1" x="272"/>
        <item m="1" x="243"/>
        <item m="1" x="364"/>
        <item m="1" x="327"/>
        <item m="1" x="397"/>
        <item m="1" x="502"/>
        <item m="1" x="114"/>
        <item m="1" x="297"/>
        <item m="1" x="339"/>
        <item m="1" x="503"/>
        <item m="1" x="291"/>
        <item m="1" x="540"/>
        <item m="1" x="401"/>
        <item m="1" x="124"/>
        <item m="1" x="189"/>
        <item m="1" x="138"/>
        <item m="1" x="337"/>
        <item m="1" x="511"/>
        <item m="1" x="396"/>
        <item m="1" x="439"/>
        <item m="1" x="524"/>
        <item m="1" x="335"/>
        <item m="1" x="554"/>
        <item m="1" x="409"/>
        <item m="1" x="492"/>
        <item m="1" x="185"/>
        <item m="1" x="261"/>
        <item m="1" x="405"/>
        <item x="1"/>
        <item m="1" x="192"/>
        <item m="1" x="164"/>
        <item m="1" x="118"/>
        <item m="1" x="429"/>
        <item m="1" x="496"/>
        <item m="1" x="242"/>
        <item m="1" x="336"/>
        <item m="1" x="407"/>
        <item m="1" x="375"/>
        <item m="1" x="307"/>
        <item m="1" x="308"/>
        <item m="1" x="200"/>
        <item m="1" x="263"/>
        <item m="1" x="152"/>
        <item m="1" x="295"/>
        <item m="1" x="251"/>
        <item m="1" x="132"/>
        <item m="1" x="534"/>
        <item m="1" x="414"/>
        <item m="1" x="331"/>
        <item m="1" x="552"/>
        <item m="1" x="156"/>
        <item m="1" x="180"/>
        <item m="1" x="435"/>
        <item m="1" x="221"/>
        <item m="1" x="284"/>
        <item m="1" x="267"/>
        <item m="1" x="201"/>
        <item m="1" x="530"/>
        <item m="1" x="376"/>
        <item m="1" x="145"/>
        <item m="1" x="252"/>
        <item m="1" x="199"/>
        <item m="1" x="442"/>
        <item m="1" x="456"/>
        <item m="1" x="230"/>
        <item m="1" x="366"/>
        <item m="1" x="103"/>
        <item m="1" x="302"/>
        <item m="1" x="296"/>
        <item m="1" x="459"/>
        <item m="1" x="420"/>
        <item m="1" x="400"/>
        <item m="1" x="225"/>
        <item m="1" x="444"/>
        <item m="1" x="186"/>
        <item m="1" x="191"/>
        <item m="1" x="202"/>
        <item m="1" x="226"/>
        <item m="1" x="115"/>
        <item m="1" x="358"/>
        <item m="1" x="116"/>
        <item m="1" x="187"/>
        <item m="1" x="477"/>
        <item m="1" x="548"/>
        <item m="1" x="253"/>
        <item m="1" x="380"/>
        <item m="1" x="547"/>
        <item m="1" x="266"/>
        <item m="1" x="392"/>
        <item m="1" x="421"/>
        <item m="1" x="527"/>
        <item m="1" x="177"/>
        <item m="1" x="363"/>
        <item m="1" x="347"/>
        <item m="1" x="203"/>
        <item m="1" x="278"/>
        <item m="1" x="229"/>
        <item m="1" x="155"/>
        <item m="1" x="175"/>
        <item m="1" x="509"/>
        <item m="1" x="205"/>
        <item m="1" x="525"/>
        <item m="1" x="526"/>
        <item m="1" x="206"/>
        <item m="1" x="355"/>
        <item m="1" x="315"/>
        <item m="1" x="350"/>
        <item m="1" x="99"/>
        <item m="1" x="148"/>
        <item m="1" x="190"/>
        <item m="1" x="233"/>
        <item m="1" x="219"/>
        <item m="1" x="443"/>
        <item m="1" x="393"/>
        <item m="1" x="453"/>
        <item m="1" x="555"/>
        <item m="1" x="317"/>
        <item m="1" x="465"/>
        <item m="1" x="211"/>
        <item m="1" x="212"/>
        <item m="1" x="255"/>
        <item m="1" x="154"/>
        <item m="1" x="290"/>
        <item m="1" x="316"/>
        <item m="1" x="183"/>
        <item m="1" x="128"/>
        <item m="1" x="157"/>
        <item m="1" x="463"/>
        <item m="1" x="542"/>
        <item m="1" x="322"/>
        <item m="1" x="419"/>
        <item m="1" x="403"/>
        <item m="1" x="388"/>
        <item m="1" x="224"/>
        <item m="1" x="146"/>
        <item m="1" x="365"/>
        <item m="1" x="173"/>
        <item m="1" x="517"/>
        <item m="1" x="510"/>
        <item m="1" x="386"/>
        <item m="1" x="321"/>
        <item m="1" x="160"/>
        <item m="1" x="159"/>
        <item m="1" x="137"/>
        <item m="1" x="475"/>
        <item m="1" x="96"/>
        <item m="1" x="412"/>
        <item m="1" x="240"/>
        <item m="1" x="404"/>
        <item m="1" x="97"/>
        <item m="1" x="430"/>
        <item m="1" x="241"/>
        <item m="1" x="427"/>
        <item m="1" x="172"/>
        <item m="1" x="505"/>
        <item m="1" x="413"/>
        <item m="1" x="179"/>
        <item m="1" x="428"/>
        <item m="1" x="479"/>
        <item m="1" x="494"/>
        <item m="1" x="480"/>
        <item m="1" x="438"/>
        <item m="1" x="130"/>
        <item m="1" x="406"/>
        <item m="1" x="481"/>
        <item m="1" x="541"/>
        <item m="1" x="498"/>
        <item m="1" x="232"/>
        <item m="1" x="323"/>
        <item m="1" x="514"/>
        <item m="1" x="410"/>
        <item m="1" x="449"/>
        <item m="1" x="383"/>
        <item m="1" x="515"/>
        <item m="1" x="437"/>
        <item m="1" x="228"/>
        <item m="1" x="546"/>
        <item m="1" x="176"/>
        <item m="1" x="431"/>
        <item m="1" x="381"/>
        <item m="1" x="198"/>
        <item m="1" x="341"/>
        <item m="1" x="370"/>
        <item m="1" x="550"/>
        <item m="1" x="451"/>
        <item m="1" x="462"/>
        <item m="1" x="385"/>
        <item m="1" x="491"/>
        <item m="1" x="279"/>
        <item m="1" x="390"/>
        <item m="1" x="507"/>
        <item m="1" x="305"/>
        <item m="1" x="493"/>
        <item m="1" x="326"/>
        <item m="1" x="485"/>
        <item m="1" x="213"/>
        <item m="1" x="311"/>
        <item m="1" x="184"/>
        <item m="1" x="181"/>
        <item m="1" x="417"/>
        <item m="1" x="418"/>
        <item m="1" x="471"/>
        <item m="1" x="144"/>
        <item m="1" x="470"/>
        <item m="1" x="476"/>
        <item m="1" x="473"/>
        <item m="1" x="436"/>
        <item m="1" x="374"/>
        <item m="1" x="478"/>
        <item m="1" x="343"/>
        <item m="1" x="448"/>
        <item m="1" x="472"/>
        <item m="1" x="319"/>
        <item m="1" x="464"/>
        <item m="1" x="117"/>
        <item m="1" x="359"/>
        <item m="1" x="227"/>
        <item m="1" x="309"/>
        <item m="1" x="165"/>
        <item m="1" x="293"/>
        <item m="1" x="488"/>
        <item m="1" x="274"/>
        <item m="1" x="113"/>
        <item m="1" x="262"/>
        <item m="1" x="196"/>
        <item m="1" x="482"/>
        <item m="1" x="182"/>
        <item m="1" x="121"/>
        <item m="1" x="268"/>
        <item m="1" x="218"/>
        <item m="1" x="528"/>
        <item m="1" x="122"/>
        <item m="1" x="551"/>
        <item m="1" x="543"/>
        <item m="1" x="140"/>
        <item m="1" x="516"/>
        <item m="1" x="495"/>
        <item m="1" x="518"/>
        <item m="1" x="556"/>
        <item m="1" x="141"/>
        <item m="1" x="457"/>
        <item m="1" x="188"/>
        <item m="1" x="458"/>
        <item m="1" x="333"/>
        <item m="1" x="288"/>
        <item m="1" x="423"/>
        <item m="1" x="460"/>
        <item m="1" x="134"/>
        <item m="1" x="532"/>
        <item m="1" x="454"/>
        <item m="1" x="384"/>
        <item m="1" x="254"/>
        <item m="1" x="300"/>
        <item m="1" x="101"/>
        <item m="1" x="378"/>
        <item m="1" x="523"/>
        <item m="1" x="338"/>
        <item m="1" x="360"/>
        <item m="1" x="208"/>
        <item m="1" x="328"/>
        <item m="1" x="306"/>
        <item m="1" x="294"/>
        <item m="1" x="346"/>
        <item m="1" x="531"/>
        <item m="1" x="283"/>
        <item m="1" x="197"/>
        <item m="1" x="484"/>
        <item m="1" x="123"/>
        <item m="1" x="469"/>
        <item m="1" x="304"/>
        <item m="1" x="126"/>
        <item m="1" x="433"/>
        <item m="1" x="237"/>
        <item m="1" x="486"/>
        <item m="1" x="102"/>
        <item m="1" x="487"/>
        <item m="1" x="536"/>
        <item m="1" x="402"/>
        <item m="1" x="452"/>
        <item m="1" x="389"/>
        <item m="1" x="356"/>
        <item m="1" x="506"/>
        <item m="1" x="216"/>
        <item m="1" x="108"/>
        <item m="1" x="109"/>
        <item m="1" x="351"/>
        <item m="1" x="260"/>
        <item m="1" x="170"/>
        <item m="1" x="100"/>
        <item m="1" x="354"/>
        <item m="1" x="440"/>
        <item m="1" x="513"/>
        <item m="1" x="310"/>
        <item m="1" x="195"/>
        <item m="1" x="239"/>
        <item m="1" x="150"/>
        <item m="1" x="151"/>
        <item m="1" x="441"/>
        <item m="1" x="373"/>
        <item m="1" x="299"/>
        <item m="1" x="143"/>
        <item m="1" x="238"/>
        <item m="1" x="193"/>
        <item m="1" x="257"/>
        <item m="1" x="318"/>
        <item m="1" x="340"/>
        <item m="1" x="489"/>
        <item m="1" x="394"/>
        <item m="1" x="395"/>
        <item m="1" x="408"/>
        <item m="1" x="357"/>
        <item m="1" x="461"/>
        <item m="1" x="166"/>
        <item m="1" x="512"/>
        <item m="1" x="106"/>
        <item m="1" x="107"/>
        <item m="1" x="248"/>
        <item m="1" x="545"/>
        <item m="1" x="119"/>
        <item m="1" x="313"/>
        <item m="1" x="174"/>
        <item m="1" x="158"/>
        <item m="1" x="247"/>
        <item m="1" x="153"/>
        <item m="1" x="314"/>
        <item m="1" x="264"/>
        <item m="1" x="533"/>
        <item m="1" x="265"/>
        <item m="1" x="312"/>
        <item m="1" x="178"/>
        <item m="1" x="467"/>
        <item m="1" x="223"/>
        <item m="1" x="210"/>
        <item m="1" x="353"/>
        <item m="1" x="377"/>
        <item m="1" x="292"/>
        <item m="1" x="387"/>
        <item m="1" x="127"/>
        <item m="1" x="280"/>
        <item m="1" x="256"/>
        <item m="1" x="285"/>
        <item m="1" x="95"/>
        <item m="1" x="379"/>
        <item m="1" x="447"/>
        <item m="1" x="286"/>
        <item m="1" x="372"/>
        <item m="1" x="446"/>
        <item m="1" x="332"/>
        <item m="1" x="345"/>
        <item m="1" x="349"/>
        <item m="1" x="276"/>
        <item m="1" x="544"/>
        <item m="1" x="161"/>
        <item x="0"/>
        <item x="2"/>
        <item x="3"/>
        <item x="4"/>
        <item x="5"/>
        <item x="6"/>
        <item x="7"/>
        <item x="8"/>
        <item x="9"/>
        <item x="10"/>
        <item x="11"/>
        <item x="12"/>
        <item x="13"/>
        <item x="14"/>
        <item x="15"/>
        <item x="16"/>
        <item x="17"/>
        <item x="18"/>
        <item x="19"/>
        <item x="20"/>
        <item x="21"/>
        <item x="22"/>
        <item x="23"/>
        <item x="24"/>
        <item x="25"/>
        <item x="26"/>
        <item x="27"/>
        <item m="1" x="382"/>
        <item m="1" x="466"/>
        <item x="30"/>
        <item x="31"/>
        <item x="32"/>
        <item m="1" x="553"/>
        <item m="1" x="246"/>
        <item m="1" x="281"/>
        <item m="1" x="334"/>
        <item m="1" x="136"/>
        <item m="1" x="214"/>
        <item m="1" x="298"/>
        <item m="1" x="282"/>
        <item m="1" x="110"/>
        <item m="1" x="539"/>
        <item m="1" x="111"/>
        <item x="44"/>
        <item x="45"/>
        <item x="46"/>
        <item x="47"/>
        <item x="48"/>
        <item x="49"/>
        <item m="1" x="236"/>
        <item x="51"/>
        <item m="1" x="426"/>
        <item x="53"/>
        <item m="1" x="271"/>
        <item m="1" x="529"/>
        <item m="1" x="98"/>
        <item x="57"/>
        <item x="58"/>
        <item x="59"/>
        <item x="60"/>
        <item x="61"/>
        <item m="1" x="499"/>
        <item x="63"/>
        <item x="64"/>
        <item x="65"/>
        <item x="66"/>
        <item x="67"/>
        <item x="68"/>
        <item x="69"/>
        <item x="70"/>
        <item m="1" x="497"/>
        <item m="1" x="508"/>
        <item m="1" x="468"/>
        <item m="1" x="445"/>
        <item m="1" x="244"/>
        <item m="1" x="217"/>
        <item x="76"/>
        <item x="77"/>
        <item x="78"/>
        <item x="79"/>
        <item x="80"/>
        <item x="81"/>
        <item x="82"/>
        <item x="83"/>
        <item x="84"/>
        <item x="85"/>
        <item x="86"/>
        <item x="87"/>
        <item x="88"/>
        <item x="89"/>
        <item x="90"/>
        <item x="91"/>
        <item x="92"/>
        <item x="93"/>
        <item x="94"/>
        <item x="28"/>
        <item x="29"/>
        <item x="33"/>
        <item x="34"/>
        <item x="35"/>
        <item x="36"/>
        <item x="37"/>
        <item x="38"/>
        <item x="39"/>
        <item x="40"/>
        <item x="41"/>
        <item x="42"/>
        <item x="43"/>
        <item x="50"/>
        <item x="52"/>
        <item x="54"/>
        <item x="55"/>
        <item x="56"/>
        <item x="62"/>
        <item x="71"/>
        <item x="72"/>
        <item x="73"/>
        <item x="74"/>
        <item x="75"/>
        <item t="default"/>
      </items>
    </pivotField>
    <pivotField axis="axisRow" showAll="0">
      <items count="262">
        <item m="1" x="67"/>
        <item m="1" x="219"/>
        <item m="1" x="81"/>
        <item m="1" x="226"/>
        <item m="1" x="42"/>
        <item m="1" x="181"/>
        <item m="1" x="218"/>
        <item m="1" x="144"/>
        <item m="1" x="27"/>
        <item m="1" x="115"/>
        <item m="1" x="116"/>
        <item m="1" x="48"/>
        <item m="1" x="15"/>
        <item m="1" x="229"/>
        <item m="1" x="92"/>
        <item m="1" x="239"/>
        <item m="1" x="123"/>
        <item m="1" x="8"/>
        <item m="1" x="71"/>
        <item m="1" x="231"/>
        <item m="1" x="206"/>
        <item m="1" x="90"/>
        <item m="1" x="58"/>
        <item m="1" x="86"/>
        <item m="1" x="160"/>
        <item m="1" x="117"/>
        <item m="1" x="62"/>
        <item m="1" x="257"/>
        <item m="1" x="121"/>
        <item m="1" x="171"/>
        <item m="1" x="228"/>
        <item m="1" x="112"/>
        <item m="1" x="190"/>
        <item m="1" x="210"/>
        <item m="1" x="60"/>
        <item m="1" x="80"/>
        <item m="1" x="232"/>
        <item m="1" x="74"/>
        <item m="1" x="49"/>
        <item m="1" x="23"/>
        <item m="1" x="14"/>
        <item x="0"/>
        <item m="1" x="56"/>
        <item m="1" x="148"/>
        <item m="1" x="187"/>
        <item m="1" x="110"/>
        <item m="1" x="159"/>
        <item m="1" x="126"/>
        <item m="1" x="249"/>
        <item m="1" x="46"/>
        <item m="1" x="25"/>
        <item m="1" x="26"/>
        <item m="1" x="47"/>
        <item m="1" x="32"/>
        <item m="1" x="235"/>
        <item m="1" x="260"/>
        <item m="1" x="18"/>
        <item m="1" x="186"/>
        <item m="1" x="216"/>
        <item m="1" x="125"/>
        <item m="1" x="104"/>
        <item m="1" x="111"/>
        <item m="1" x="184"/>
        <item m="1" x="68"/>
        <item m="1" x="158"/>
        <item m="1" x="212"/>
        <item m="1" x="251"/>
        <item m="1" x="233"/>
        <item m="1" x="66"/>
        <item m="1" x="98"/>
        <item m="1" x="69"/>
        <item m="1" x="167"/>
        <item m="1" x="16"/>
        <item m="1" x="203"/>
        <item m="1" x="30"/>
        <item m="1" x="220"/>
        <item m="1" x="180"/>
        <item m="1" x="213"/>
        <item m="1" x="133"/>
        <item m="1" x="141"/>
        <item m="1" x="73"/>
        <item m="1" x="204"/>
        <item m="1" x="188"/>
        <item m="1" x="34"/>
        <item m="1" x="39"/>
        <item m="1" x="134"/>
        <item m="1" x="91"/>
        <item m="1" x="223"/>
        <item m="1" x="93"/>
        <item m="1" x="83"/>
        <item m="1" x="84"/>
        <item m="1" x="88"/>
        <item m="1" x="13"/>
        <item m="1" x="143"/>
        <item m="1" x="149"/>
        <item m="1" x="22"/>
        <item m="1" x="244"/>
        <item m="1" x="38"/>
        <item m="1" x="113"/>
        <item m="1" x="238"/>
        <item m="1" x="254"/>
        <item m="1" x="122"/>
        <item m="1" x="70"/>
        <item m="1" x="173"/>
        <item m="1" x="166"/>
        <item m="1" x="242"/>
        <item m="1" x="79"/>
        <item m="1" x="196"/>
        <item m="1" x="161"/>
        <item m="1" x="77"/>
        <item m="1" x="102"/>
        <item m="1" x="178"/>
        <item m="1" x="142"/>
        <item m="1" x="139"/>
        <item m="1" x="37"/>
        <item m="1" x="64"/>
        <item m="1" x="174"/>
        <item m="1" x="11"/>
        <item m="1" x="247"/>
        <item m="1" x="192"/>
        <item m="1" x="43"/>
        <item m="1" x="252"/>
        <item m="1" x="259"/>
        <item m="1" x="250"/>
        <item m="1" x="209"/>
        <item m="1" x="17"/>
        <item m="1" x="221"/>
        <item m="1" x="199"/>
        <item m="1" x="40"/>
        <item m="1" x="41"/>
        <item m="1" x="129"/>
        <item m="1" x="224"/>
        <item m="1" x="182"/>
        <item m="1" x="61"/>
        <item m="1" x="172"/>
        <item m="1" x="63"/>
        <item m="1" x="130"/>
        <item m="1" x="205"/>
        <item m="1" x="78"/>
        <item m="1" x="138"/>
        <item m="1" x="105"/>
        <item m="1" x="10"/>
        <item m="1" x="191"/>
        <item m="1" x="57"/>
        <item m="1" x="151"/>
        <item m="1" x="198"/>
        <item m="1" x="89"/>
        <item m="1" x="20"/>
        <item m="1" x="96"/>
        <item m="1" x="240"/>
        <item m="1" x="45"/>
        <item m="1" x="87"/>
        <item m="1" x="31"/>
        <item m="1" x="170"/>
        <item m="1" x="201"/>
        <item m="1" x="256"/>
        <item m="1" x="147"/>
        <item m="1" x="195"/>
        <item m="1" x="82"/>
        <item m="1" x="52"/>
        <item m="1" x="243"/>
        <item m="1" x="177"/>
        <item m="1" x="65"/>
        <item m="1" x="168"/>
        <item m="1" x="75"/>
        <item m="1" x="150"/>
        <item m="1" x="24"/>
        <item m="1" x="118"/>
        <item m="1" x="119"/>
        <item m="1" x="33"/>
        <item m="1" x="36"/>
        <item m="1" x="44"/>
        <item m="1" x="51"/>
        <item m="1" x="109"/>
        <item m="1" x="215"/>
        <item m="1" x="99"/>
        <item m="1" x="217"/>
        <item m="1" x="35"/>
        <item m="1" x="21"/>
        <item m="1" x="72"/>
        <item m="1" x="120"/>
        <item m="1" x="95"/>
        <item m="1" x="162"/>
        <item m="1" x="50"/>
        <item m="1" x="107"/>
        <item m="1" x="97"/>
        <item m="1" x="146"/>
        <item m="1" x="225"/>
        <item m="1" x="101"/>
        <item m="1" x="154"/>
        <item m="1" x="114"/>
        <item m="1" x="234"/>
        <item m="1" x="136"/>
        <item m="1" x="153"/>
        <item m="1" x="53"/>
        <item m="1" x="152"/>
        <item m="1" x="248"/>
        <item m="1" x="197"/>
        <item m="1" x="156"/>
        <item m="1" x="253"/>
        <item m="1" x="211"/>
        <item m="1" x="214"/>
        <item m="1" x="207"/>
        <item m="1" x="237"/>
        <item m="1" x="127"/>
        <item m="1" x="175"/>
        <item m="1" x="94"/>
        <item m="1" x="200"/>
        <item m="1" x="185"/>
        <item m="1" x="164"/>
        <item m="1" x="131"/>
        <item m="1" x="128"/>
        <item m="1" x="85"/>
        <item m="1" x="230"/>
        <item m="1" x="145"/>
        <item m="1" x="258"/>
        <item m="1" x="245"/>
        <item m="1" x="246"/>
        <item m="1" x="163"/>
        <item m="1" x="208"/>
        <item m="1" x="236"/>
        <item m="1" x="28"/>
        <item m="1" x="241"/>
        <item m="1" x="255"/>
        <item m="1" x="55"/>
        <item m="1" x="106"/>
        <item m="1" x="135"/>
        <item m="1" x="169"/>
        <item m="1" x="19"/>
        <item m="1" x="227"/>
        <item m="1" x="193"/>
        <item m="1" x="155"/>
        <item m="1" x="108"/>
        <item m="1" x="103"/>
        <item m="1" x="100"/>
        <item m="1" x="124"/>
        <item m="1" x="132"/>
        <item m="1" x="176"/>
        <item m="1" x="194"/>
        <item m="1" x="137"/>
        <item m="1" x="165"/>
        <item m="1" x="179"/>
        <item m="1" x="183"/>
        <item m="1" x="54"/>
        <item m="1" x="140"/>
        <item m="1" x="29"/>
        <item m="1" x="12"/>
        <item m="1" x="222"/>
        <item m="1" x="202"/>
        <item x="1"/>
        <item x="2"/>
        <item x="3"/>
        <item x="4"/>
        <item x="5"/>
        <item x="6"/>
        <item m="1" x="157"/>
        <item m="1" x="9"/>
        <item m="1" x="76"/>
        <item m="1" x="189"/>
        <item m="1" x="59"/>
        <item x="7"/>
        <item t="default"/>
      </items>
    </pivotField>
    <pivotField axis="axisRow" showAll="0">
      <items count="262">
        <item m="1" x="66"/>
        <item m="1" x="86"/>
        <item m="1" x="146"/>
        <item m="1" x="125"/>
        <item m="1" x="139"/>
        <item m="1" x="225"/>
        <item m="1" x="204"/>
        <item m="1" x="244"/>
        <item m="1" x="159"/>
        <item m="1" x="47"/>
        <item m="1" x="48"/>
        <item m="1" x="145"/>
        <item m="1" x="39"/>
        <item m="1" x="164"/>
        <item m="1" x="226"/>
        <item m="1" x="93"/>
        <item m="1" x="98"/>
        <item m="1" x="70"/>
        <item m="1" x="165"/>
        <item m="1" x="19"/>
        <item m="1" x="115"/>
        <item m="1" x="223"/>
        <item m="1" x="18"/>
        <item m="1" x="136"/>
        <item m="1" x="81"/>
        <item m="1" x="124"/>
        <item m="1" x="219"/>
        <item m="1" x="191"/>
        <item m="1" x="188"/>
        <item m="1" x="200"/>
        <item m="1" x="246"/>
        <item m="1" x="76"/>
        <item m="1" x="163"/>
        <item m="1" x="121"/>
        <item m="1" x="149"/>
        <item m="1" x="245"/>
        <item m="1" x="158"/>
        <item m="1" x="253"/>
        <item m="1" x="171"/>
        <item m="1" x="50"/>
        <item m="1" x="99"/>
        <item x="0"/>
        <item m="1" x="161"/>
        <item m="1" x="69"/>
        <item m="1" x="105"/>
        <item m="1" x="183"/>
        <item m="1" x="174"/>
        <item m="1" x="172"/>
        <item m="1" x="186"/>
        <item m="1" x="133"/>
        <item m="1" x="166"/>
        <item m="1" x="167"/>
        <item m="1" x="153"/>
        <item m="1" x="51"/>
        <item m="1" x="60"/>
        <item m="1" x="240"/>
        <item m="1" x="83"/>
        <item m="1" x="184"/>
        <item m="1" x="194"/>
        <item m="1" x="44"/>
        <item m="1" x="179"/>
        <item m="1" x="216"/>
        <item m="1" x="214"/>
        <item m="1" x="151"/>
        <item m="1" x="82"/>
        <item m="1" x="43"/>
        <item m="1" x="87"/>
        <item m="1" x="85"/>
        <item m="1" x="187"/>
        <item m="1" x="118"/>
        <item m="1" x="218"/>
        <item m="1" x="190"/>
        <item m="1" x="227"/>
        <item m="1" x="189"/>
        <item m="1" x="119"/>
        <item m="1" x="209"/>
        <item m="1" x="109"/>
        <item m="1" x="126"/>
        <item m="1" x="22"/>
        <item m="1" x="160"/>
        <item m="1" x="142"/>
        <item m="1" x="137"/>
        <item m="1" x="199"/>
        <item m="1" x="73"/>
        <item m="1" x="46"/>
        <item m="1" x="239"/>
        <item m="1" x="120"/>
        <item m="1" x="211"/>
        <item m="1" x="33"/>
        <item m="1" x="64"/>
        <item m="1" x="65"/>
        <item m="1" x="197"/>
        <item m="1" x="63"/>
        <item m="1" x="79"/>
        <item m="1" x="148"/>
        <item m="1" x="21"/>
        <item m="1" x="258"/>
        <item m="1" x="237"/>
        <item m="1" x="169"/>
        <item m="1" x="182"/>
        <item m="1" x="71"/>
        <item m="1" x="177"/>
        <item m="1" x="259"/>
        <item m="1" x="195"/>
        <item m="1" x="88"/>
        <item m="1" x="80"/>
        <item m="1" x="37"/>
        <item m="1" x="96"/>
        <item m="1" x="123"/>
        <item m="1" x="168"/>
        <item m="1" x="28"/>
        <item m="1" x="54"/>
        <item m="1" x="16"/>
        <item m="1" x="56"/>
        <item m="1" x="74"/>
        <item m="1" x="106"/>
        <item m="1" x="257"/>
        <item m="1" x="49"/>
        <item m="1" x="29"/>
        <item m="1" x="57"/>
        <item m="1" x="26"/>
        <item m="1" x="222"/>
        <item m="1" x="30"/>
        <item m="1" x="241"/>
        <item m="1" x="67"/>
        <item m="1" x="110"/>
        <item m="1" x="97"/>
        <item m="1" x="242"/>
        <item m="1" x="235"/>
        <item m="1" x="236"/>
        <item m="1" x="132"/>
        <item m="1" x="59"/>
        <item m="1" x="92"/>
        <item m="1" x="217"/>
        <item m="1" x="55"/>
        <item m="1" x="127"/>
        <item m="1" x="24"/>
        <item m="1" x="230"/>
        <item m="1" x="40"/>
        <item m="1" x="180"/>
        <item m="1" x="107"/>
        <item m="1" x="224"/>
        <item m="1" x="252"/>
        <item m="1" x="143"/>
        <item m="1" x="94"/>
        <item m="1" x="250"/>
        <item m="1" x="122"/>
        <item m="1" x="173"/>
        <item m="1" x="25"/>
        <item m="1" x="229"/>
        <item m="1" x="38"/>
        <item m="1" x="206"/>
        <item m="1" x="42"/>
        <item m="1" x="89"/>
        <item m="1" x="138"/>
        <item m="1" x="198"/>
        <item m="1" x="27"/>
        <item m="1" x="234"/>
        <item m="1" x="53"/>
        <item x="1"/>
        <item m="1" x="102"/>
        <item m="1" x="84"/>
        <item m="1" x="129"/>
        <item m="1" x="34"/>
        <item m="1" x="75"/>
        <item m="1" x="233"/>
        <item m="1" x="231"/>
        <item m="1" x="192"/>
        <item m="1" x="178"/>
        <item m="1" x="100"/>
        <item m="1" x="95"/>
        <item m="1" x="32"/>
        <item m="1" x="17"/>
        <item m="1" x="212"/>
        <item m="1" x="90"/>
        <item m="1" x="141"/>
        <item m="1" x="147"/>
        <item m="1" x="61"/>
        <item m="1" x="62"/>
        <item m="1" x="135"/>
        <item m="1" x="181"/>
        <item m="1" x="175"/>
        <item m="1" x="41"/>
        <item m="1" x="255"/>
        <item m="1" x="36"/>
        <item m="1" x="20"/>
        <item m="1" x="77"/>
        <item m="1" x="243"/>
        <item m="1" x="185"/>
        <item m="1" x="238"/>
        <item m="1" x="215"/>
        <item m="1" x="134"/>
        <item m="1" x="208"/>
        <item m="1" x="228"/>
        <item m="1" x="58"/>
        <item m="1" x="251"/>
        <item m="1" x="155"/>
        <item m="1" x="68"/>
        <item m="1" x="78"/>
        <item m="1" x="221"/>
        <item m="1" x="203"/>
        <item m="1" x="130"/>
        <item m="1" x="23"/>
        <item m="1" x="112"/>
        <item m="1" x="205"/>
        <item m="1" x="176"/>
        <item m="1" x="45"/>
        <item m="1" x="201"/>
        <item x="2"/>
        <item m="1" x="144"/>
        <item m="1" x="72"/>
        <item m="1" x="117"/>
        <item m="1" x="202"/>
        <item m="1" x="247"/>
        <item m="1" x="232"/>
        <item m="1" x="91"/>
        <item x="10"/>
        <item m="1" x="210"/>
        <item m="1" x="103"/>
        <item m="1" x="104"/>
        <item m="1" x="196"/>
        <item m="1" x="31"/>
        <item m="1" x="35"/>
        <item m="1" x="249"/>
        <item m="1" x="128"/>
        <item m="1" x="116"/>
        <item m="1" x="108"/>
        <item m="1" x="156"/>
        <item m="1" x="220"/>
        <item m="1" x="213"/>
        <item m="1" x="254"/>
        <item m="1" x="113"/>
        <item m="1" x="101"/>
        <item m="1" x="248"/>
        <item x="11"/>
        <item x="12"/>
        <item m="1" x="162"/>
        <item m="1" x="114"/>
        <item m="1" x="193"/>
        <item m="1" x="256"/>
        <item m="1" x="157"/>
        <item m="1" x="52"/>
        <item m="1" x="154"/>
        <item m="1" x="260"/>
        <item m="1" x="140"/>
        <item m="1" x="150"/>
        <item x="14"/>
        <item m="1" x="131"/>
        <item m="1" x="170"/>
        <item m="1" x="207"/>
        <item m="1" x="111"/>
        <item m="1" x="152"/>
        <item x="3"/>
        <item x="4"/>
        <item x="5"/>
        <item x="6"/>
        <item x="7"/>
        <item x="8"/>
        <item x="9"/>
        <item x="13"/>
        <item x="15"/>
        <item t="default"/>
      </items>
    </pivotField>
    <pivotField axis="axisRow" showAll="0">
      <items count="492">
        <item m="1" x="307"/>
        <item m="1" x="417"/>
        <item m="1" x="390"/>
        <item m="1" x="430"/>
        <item m="1" x="391"/>
        <item m="1" x="431"/>
        <item m="1" x="432"/>
        <item m="1" x="86"/>
        <item m="1" x="467"/>
        <item m="1" x="418"/>
        <item m="1" x="419"/>
        <item m="1" x="462"/>
        <item m="1" x="463"/>
        <item m="1" x="438"/>
        <item m="1" x="87"/>
        <item m="1" x="446"/>
        <item m="1" x="447"/>
        <item m="1" x="450"/>
        <item m="1" x="158"/>
        <item m="1" x="476"/>
        <item m="1" x="59"/>
        <item m="1" x="60"/>
        <item m="1" x="61"/>
        <item m="1" x="464"/>
        <item m="1" x="383"/>
        <item m="1" x="375"/>
        <item m="1" x="303"/>
        <item m="1" x="474"/>
        <item m="1" x="62"/>
        <item m="1" x="481"/>
        <item m="1" x="63"/>
        <item m="1" x="64"/>
        <item m="1" x="65"/>
        <item m="1" x="84"/>
        <item m="1" x="88"/>
        <item m="1" x="403"/>
        <item m="1" x="469"/>
        <item m="1" x="168"/>
        <item m="1" x="465"/>
        <item m="1" x="420"/>
        <item m="1" x="434"/>
        <item m="1" x="435"/>
        <item m="1" x="392"/>
        <item m="1" x="393"/>
        <item m="1" x="480"/>
        <item m="1" x="247"/>
        <item m="1" x="92"/>
        <item m="1" x="200"/>
        <item m="1" x="66"/>
        <item m="1" x="174"/>
        <item m="1" x="483"/>
        <item m="1" x="97"/>
        <item m="1" x="146"/>
        <item m="1" x="309"/>
        <item m="1" x="442"/>
        <item m="1" x="357"/>
        <item m="1" x="468"/>
        <item m="1" x="127"/>
        <item m="1" x="286"/>
        <item m="1" x="364"/>
        <item m="1" x="169"/>
        <item m="1" x="210"/>
        <item m="1" x="396"/>
        <item m="1" x="228"/>
        <item m="1" x="429"/>
        <item m="1" x="347"/>
        <item m="1" x="143"/>
        <item m="1" x="395"/>
        <item m="1" x="452"/>
        <item m="1" x="288"/>
        <item m="1" x="451"/>
        <item m="1" x="275"/>
        <item m="1" x="360"/>
        <item m="1" x="342"/>
        <item m="1" x="370"/>
        <item m="1" x="477"/>
        <item m="1" x="460"/>
        <item m="1" x="208"/>
        <item m="1" x="173"/>
        <item m="1" x="258"/>
        <item m="1" x="250"/>
        <item m="1" x="257"/>
        <item m="1" x="56"/>
        <item m="1" x="240"/>
        <item m="1" x="408"/>
        <item m="1" x="94"/>
        <item m="1" x="130"/>
        <item x="0"/>
        <item m="1" x="293"/>
        <item m="1" x="68"/>
        <item m="1" x="181"/>
        <item m="1" x="69"/>
        <item m="1" x="182"/>
        <item m="1" x="183"/>
        <item m="1" x="260"/>
        <item m="1" x="253"/>
        <item m="1" x="294"/>
        <item m="1" x="295"/>
        <item m="1" x="195"/>
        <item m="1" x="196"/>
        <item m="1" x="421"/>
        <item m="1" x="261"/>
        <item m="1" x="305"/>
        <item m="1" x="306"/>
        <item m="1" x="216"/>
        <item m="1" x="132"/>
        <item m="1" x="428"/>
        <item m="1" x="319"/>
        <item m="1" x="320"/>
        <item m="1" x="321"/>
        <item m="1" x="197"/>
        <item m="1" x="278"/>
        <item m="1" x="95"/>
        <item m="1" x="322"/>
        <item m="1" x="379"/>
        <item m="1" x="323"/>
        <item m="1" x="324"/>
        <item m="1" x="325"/>
        <item m="1" x="204"/>
        <item m="1" x="262"/>
        <item m="1" x="284"/>
        <item m="1" x="136"/>
        <item m="1" x="274"/>
        <item m="1" x="198"/>
        <item m="1" x="296"/>
        <item m="1" x="243"/>
        <item m="1" x="244"/>
        <item m="1" x="70"/>
        <item m="1" x="71"/>
        <item m="1" x="81"/>
        <item m="1" x="289"/>
        <item m="1" x="135"/>
        <item m="1" x="338"/>
        <item m="1" x="93"/>
        <item m="1" x="443"/>
        <item m="1" x="172"/>
        <item m="1" x="219"/>
        <item m="1" x="239"/>
        <item m="1" x="180"/>
        <item m="1" x="367"/>
        <item m="1" x="401"/>
        <item m="1" x="426"/>
        <item m="1" x="118"/>
        <item m="1" x="171"/>
        <item m="1" x="397"/>
        <item m="1" x="199"/>
        <item m="1" x="179"/>
        <item m="1" x="466"/>
        <item m="1" x="123"/>
        <item m="1" x="167"/>
        <item m="1" x="245"/>
        <item m="1" x="119"/>
        <item m="1" x="489"/>
        <item m="1" x="349"/>
        <item m="1" x="108"/>
        <item m="1" x="482"/>
        <item m="1" x="131"/>
        <item m="1" x="318"/>
        <item m="1" x="386"/>
        <item m="1" x="380"/>
        <item m="1" x="89"/>
        <item m="1" x="337"/>
        <item m="1" x="161"/>
        <item m="1" x="361"/>
        <item m="1" x="203"/>
        <item m="1" x="326"/>
        <item m="1" x="304"/>
        <item m="1" x="255"/>
        <item m="1" x="248"/>
        <item m="1" x="128"/>
        <item m="1" x="414"/>
        <item m="1" x="422"/>
        <item m="1" x="205"/>
        <item m="1" x="423"/>
        <item m="1" x="206"/>
        <item m="1" x="207"/>
        <item m="1" x="344"/>
        <item m="1" x="444"/>
        <item m="1" x="415"/>
        <item m="1" x="416"/>
        <item m="1" x="75"/>
        <item m="1" x="76"/>
        <item m="1" x="83"/>
        <item m="1" x="345"/>
        <item m="1" x="301"/>
        <item m="1" x="302"/>
        <item m="1" x="400"/>
        <item m="1" x="147"/>
        <item m="1" x="398"/>
        <item m="1" x="191"/>
        <item m="1" x="192"/>
        <item m="1" x="193"/>
        <item m="1" x="77"/>
        <item m="1" x="98"/>
        <item m="1" x="292"/>
        <item m="1" x="185"/>
        <item m="1" x="308"/>
        <item m="1" x="186"/>
        <item m="1" x="187"/>
        <item m="1" x="188"/>
        <item m="1" x="138"/>
        <item m="1" x="368"/>
        <item m="1" x="58"/>
        <item m="1" x="300"/>
        <item m="1" x="90"/>
        <item m="1" x="189"/>
        <item m="1" x="280"/>
        <item m="1" x="457"/>
        <item m="1" x="458"/>
        <item m="1" x="384"/>
        <item m="1" x="385"/>
        <item m="1" x="285"/>
        <item m="1" x="153"/>
        <item m="1" x="251"/>
        <item m="1" x="177"/>
        <item m="1" x="232"/>
        <item m="1" x="346"/>
        <item m="1" x="163"/>
        <item m="1" x="149"/>
        <item m="1" x="311"/>
        <item m="1" x="78"/>
        <item m="1" x="134"/>
        <item m="1" x="394"/>
        <item m="1" x="164"/>
        <item m="1" x="145"/>
        <item m="1" x="129"/>
        <item m="1" x="237"/>
        <item m="1" x="363"/>
        <item m="1" x="142"/>
        <item m="1" x="382"/>
        <item m="1" x="436"/>
        <item m="1" x="151"/>
        <item m="1" x="441"/>
        <item m="1" x="178"/>
        <item m="1" x="453"/>
        <item m="1" x="413"/>
        <item m="1" x="57"/>
        <item m="1" x="117"/>
        <item m="1" x="348"/>
        <item m="1" x="137"/>
        <item m="1" x="67"/>
        <item m="1" x="328"/>
        <item m="1" x="72"/>
        <item m="1" x="378"/>
        <item m="1" x="341"/>
        <item m="1" x="475"/>
        <item m="1" x="399"/>
        <item m="1" x="268"/>
        <item m="1" x="218"/>
        <item m="1" x="109"/>
        <item m="1" x="241"/>
        <item m="1" x="454"/>
        <item m="1" x="312"/>
        <item m="1" x="409"/>
        <item m="1" x="154"/>
        <item m="1" x="410"/>
        <item m="1" x="155"/>
        <item m="1" x="156"/>
        <item m="1" x="281"/>
        <item m="1" x="381"/>
        <item m="1" x="313"/>
        <item m="1" x="314"/>
        <item m="1" x="470"/>
        <item m="1" x="471"/>
        <item m="1" x="365"/>
        <item m="1" x="282"/>
        <item m="1" x="211"/>
        <item m="1" x="212"/>
        <item m="1" x="369"/>
        <item m="1" x="235"/>
        <item m="1" x="259"/>
        <item m="1" x="110"/>
        <item m="1" x="111"/>
        <item m="1" x="112"/>
        <item m="1" x="472"/>
        <item m="1" x="406"/>
        <item m="1" x="214"/>
        <item m="1" x="113"/>
        <item m="1" x="358"/>
        <item m="1" x="114"/>
        <item m="1" x="115"/>
        <item m="1" x="116"/>
        <item m="1" x="376"/>
        <item m="1" x="283"/>
        <item m="1" x="80"/>
        <item m="1" x="176"/>
        <item m="1" x="160"/>
        <item m="1" x="473"/>
        <item m="1" x="315"/>
        <item m="1" x="484"/>
        <item m="1" x="485"/>
        <item m="1" x="411"/>
        <item m="1" x="412"/>
        <item m="1" x="270"/>
        <item m="1" x="238"/>
        <item m="1" x="96"/>
        <item m="1" x="202"/>
        <item m="1" x="425"/>
        <item m="1" x="316"/>
        <item m="1" x="310"/>
        <item m="1" x="276"/>
        <item m="1" x="184"/>
        <item m="1" x="82"/>
        <item m="1" x="190"/>
        <item m="1" x="402"/>
        <item m="1" x="486"/>
        <item m="1" x="246"/>
        <item m="1" x="165"/>
        <item m="1" x="343"/>
        <item m="1" x="170"/>
        <item m="1" x="269"/>
        <item m="1" x="139"/>
        <item m="1" x="252"/>
        <item m="1" x="267"/>
        <item m="1" x="405"/>
        <item m="1" x="249"/>
        <item m="1" x="449"/>
        <item m="1" x="85"/>
        <item m="1" x="148"/>
        <item m="1" x="140"/>
        <item m="1" x="331"/>
        <item m="1" x="362"/>
        <item m="1" x="461"/>
        <item m="1" x="91"/>
        <item m="1" x="133"/>
        <item m="1" x="297"/>
        <item m="1" x="371"/>
        <item m="1" x="336"/>
        <item m="1" x="256"/>
        <item m="1" x="291"/>
        <item m="1" x="106"/>
        <item m="1" x="487"/>
        <item m="1" x="107"/>
        <item m="1" x="277"/>
        <item m="1" x="152"/>
        <item m="1" x="150"/>
        <item m="1" x="217"/>
        <item m="1" x="329"/>
        <item m="1" x="445"/>
        <item m="1" x="433"/>
        <item m="1" x="144"/>
        <item m="1" x="126"/>
        <item m="1" x="359"/>
        <item m="1" x="201"/>
        <item m="1" x="332"/>
        <item m="1" x="194"/>
        <item m="1" x="455"/>
        <item m="1" x="166"/>
        <item m="1" x="356"/>
        <item m="1" x="175"/>
        <item m="1" x="159"/>
        <item m="1" x="479"/>
        <item m="1" x="254"/>
        <item m="1" x="209"/>
        <item m="1" x="437"/>
        <item m="1" x="327"/>
        <item m="1" x="220"/>
        <item m="1" x="224"/>
        <item m="1" x="120"/>
        <item m="1" x="225"/>
        <item m="1" x="121"/>
        <item m="1" x="122"/>
        <item m="1" x="387"/>
        <item m="1" x="236"/>
        <item m="1" x="221"/>
        <item m="1" x="222"/>
        <item m="1" x="263"/>
        <item m="1" x="264"/>
        <item m="1" x="478"/>
        <item m="1" x="388"/>
        <item m="1" x="373"/>
        <item m="1" x="374"/>
        <item m="1" x="215"/>
        <item m="1" x="79"/>
        <item m="1" x="213"/>
        <item m="1" x="99"/>
        <item m="1" x="100"/>
        <item m="1" x="101"/>
        <item m="1" x="265"/>
        <item m="1" x="377"/>
        <item m="1" x="488"/>
        <item m="1" x="105"/>
        <item m="1" x="366"/>
        <item m="1" x="459"/>
        <item m="1" x="102"/>
        <item m="1" x="103"/>
        <item m="1" x="104"/>
        <item m="1" x="427"/>
        <item m="1" x="389"/>
        <item m="1" x="290"/>
        <item m="1" x="372"/>
        <item m="1" x="424"/>
        <item m="1" x="266"/>
        <item m="1" x="223"/>
        <item m="1" x="73"/>
        <item m="1" x="74"/>
        <item m="1" x="226"/>
        <item m="1" x="227"/>
        <item x="1"/>
        <item x="2"/>
        <item x="3"/>
        <item x="4"/>
        <item x="5"/>
        <item x="6"/>
        <item x="7"/>
        <item x="8"/>
        <item x="9"/>
        <item x="10"/>
        <item x="11"/>
        <item x="12"/>
        <item x="13"/>
        <item x="14"/>
        <item x="15"/>
        <item x="16"/>
        <item x="17"/>
        <item x="18"/>
        <item x="19"/>
        <item m="1" x="287"/>
        <item m="1" x="333"/>
        <item m="1" x="334"/>
        <item m="1" x="229"/>
        <item m="1" x="230"/>
        <item x="20"/>
        <item x="21"/>
        <item m="1" x="440"/>
        <item m="1" x="298"/>
        <item m="1" x="339"/>
        <item x="22"/>
        <item m="1" x="340"/>
        <item x="23"/>
        <item x="25"/>
        <item x="26"/>
        <item m="1" x="233"/>
        <item x="28"/>
        <item m="1" x="404"/>
        <item m="1" x="242"/>
        <item m="1" x="157"/>
        <item m="1" x="448"/>
        <item m="1" x="350"/>
        <item m="1" x="351"/>
        <item m="1" x="352"/>
        <item m="1" x="231"/>
        <item m="1" x="490"/>
        <item m="1" x="271"/>
        <item x="30"/>
        <item x="31"/>
        <item x="32"/>
        <item x="33"/>
        <item x="34"/>
        <item m="1" x="456"/>
        <item m="1" x="407"/>
        <item m="1" x="353"/>
        <item m="1" x="354"/>
        <item m="1" x="355"/>
        <item m="1" x="234"/>
        <item m="1" x="299"/>
        <item m="1" x="141"/>
        <item m="1" x="162"/>
        <item m="1" x="317"/>
        <item x="38"/>
        <item m="1" x="335"/>
        <item m="1" x="272"/>
        <item m="1" x="273"/>
        <item m="1" x="124"/>
        <item m="1" x="125"/>
        <item m="1" x="439"/>
        <item m="1" x="330"/>
        <item m="1" x="279"/>
        <item x="44"/>
        <item x="45"/>
        <item x="46"/>
        <item x="47"/>
        <item x="48"/>
        <item x="49"/>
        <item x="50"/>
        <item x="51"/>
        <item x="52"/>
        <item x="53"/>
        <item x="54"/>
        <item x="55"/>
        <item x="24"/>
        <item x="27"/>
        <item x="29"/>
        <item x="35"/>
        <item x="37"/>
        <item x="36"/>
        <item x="39"/>
        <item x="40"/>
        <item x="41"/>
        <item x="42"/>
        <item x="43"/>
        <item t="default"/>
      </items>
    </pivotField>
    <pivotField axis="axisRow" showAll="0">
      <items count="538">
        <item m="1" x="335"/>
        <item m="1" x="85"/>
        <item m="1" x="526"/>
        <item m="1" x="443"/>
        <item m="1" x="382"/>
        <item m="1" x="471"/>
        <item m="1" x="383"/>
        <item m="1" x="472"/>
        <item m="1" x="473"/>
        <item m="1" x="227"/>
        <item m="1" x="114"/>
        <item m="1" x="444"/>
        <item m="1" x="445"/>
        <item m="1" x="68"/>
        <item m="1" x="69"/>
        <item m="1" x="480"/>
        <item m="1" x="228"/>
        <item m="1" x="515"/>
        <item m="1" x="516"/>
        <item m="1" x="466"/>
        <item m="1" x="519"/>
        <item m="1" x="338"/>
        <item m="1" x="91"/>
        <item m="1" x="119"/>
        <item m="1" x="120"/>
        <item m="1" x="121"/>
        <item m="1" x="70"/>
        <item m="1" x="367"/>
        <item m="1" x="487"/>
        <item m="1" x="342"/>
        <item m="1" x="171"/>
        <item m="1" x="84"/>
        <item m="1" x="122"/>
        <item m="1" x="389"/>
        <item m="1" x="123"/>
        <item m="1" x="124"/>
        <item m="1" x="125"/>
        <item m="1" x="178"/>
        <item m="1" x="229"/>
        <item m="1" x="405"/>
        <item m="1" x="76"/>
        <item m="1" x="350"/>
        <item m="1" x="71"/>
        <item m="1" x="446"/>
        <item m="1" x="502"/>
        <item m="1" x="503"/>
        <item m="1" x="384"/>
        <item m="1" x="385"/>
        <item m="1" x="242"/>
        <item m="1" x="530"/>
        <item m="1" x="410"/>
        <item m="1" x="127"/>
        <item m="1" x="361"/>
        <item m="1" x="393"/>
        <item m="1" x="205"/>
        <item m="1" x="313"/>
        <item m="1" x="182"/>
        <item m="1" x="387"/>
        <item m="1" x="470"/>
        <item m="1" x="78"/>
        <item m="1" x="255"/>
        <item m="1" x="131"/>
        <item m="1" x="329"/>
        <item m="1" x="386"/>
        <item m="1" x="476"/>
        <item m="1" x="155"/>
        <item m="1" x="351"/>
        <item m="1" x="494"/>
        <item m="1" x="274"/>
        <item m="1" x="505"/>
        <item m="1" x="303"/>
        <item m="1" x="272"/>
        <item m="1" x="520"/>
        <item m="1" x="490"/>
        <item m="1" x="353"/>
        <item m="1" x="507"/>
        <item m="1" x="112"/>
        <item m="1" x="344"/>
        <item m="1" x="259"/>
        <item m="1" x="336"/>
        <item m="1" x="126"/>
        <item m="1" x="60"/>
        <item m="1" x="455"/>
        <item m="1" x="360"/>
        <item m="1" x="108"/>
        <item m="1" x="59"/>
        <item m="1" x="63"/>
        <item m="1" x="118"/>
        <item x="4"/>
        <item m="1" x="415"/>
        <item m="1" x="148"/>
        <item m="1" x="211"/>
        <item m="1" x="183"/>
        <item m="1" x="187"/>
        <item m="1" x="407"/>
        <item m="1" x="188"/>
        <item m="1" x="408"/>
        <item m="1" x="409"/>
        <item m="1" x="72"/>
        <item m="1" x="534"/>
        <item m="1" x="184"/>
        <item m="1" x="185"/>
        <item m="1" x="439"/>
        <item m="1" x="440"/>
        <item m="1" x="465"/>
        <item m="1" x="73"/>
        <item m="1" x="209"/>
        <item m="1" x="210"/>
        <item m="1" x="478"/>
        <item m="1" x="291"/>
        <item m="1" x="477"/>
        <item m="1" x="244"/>
        <item m="1" x="245"/>
        <item m="1" x="246"/>
        <item m="1" x="441"/>
        <item m="1" x="160"/>
        <item m="1" x="251"/>
        <item m="1" x="247"/>
        <item m="1" x="62"/>
        <item m="1" x="248"/>
        <item m="1" x="249"/>
        <item m="1" x="250"/>
        <item m="1" x="461"/>
        <item m="1" x="74"/>
        <item m="1" x="414"/>
        <item m="1" x="296"/>
        <item m="1" x="110"/>
        <item m="1" x="442"/>
        <item m="1" x="186"/>
        <item m="1" x="510"/>
        <item m="1" x="511"/>
        <item m="1" x="189"/>
        <item m="1" x="190"/>
        <item m="1" x="161"/>
        <item m="1" x="128"/>
        <item m="1" x="264"/>
        <item m="1" x="332"/>
        <item m="1" x="181"/>
        <item m="1" x="500"/>
        <item m="1" x="355"/>
        <item m="1" x="164"/>
        <item m="1" x="90"/>
        <item m="1" x="373"/>
        <item m="1" x="328"/>
        <item m="1" x="401"/>
        <item m="1" x="456"/>
        <item m="1" x="226"/>
        <item m="1" x="356"/>
        <item m="1" x="457"/>
        <item m="1" x="94"/>
        <item m="1" x="364"/>
        <item m="1" x="100"/>
        <item m="1" x="398"/>
        <item m="1" x="260"/>
        <item m="1" x="512"/>
        <item m="1" x="524"/>
        <item m="1" x="406"/>
        <item m="1" x="75"/>
        <item m="1" x="98"/>
        <item m="1" x="271"/>
        <item m="1" x="220"/>
        <item m="1" x="96"/>
        <item m="1" x="400"/>
        <item m="1" x="192"/>
        <item m="1" x="372"/>
        <item m="1" x="357"/>
        <item m="1" x="179"/>
        <item m="1" x="257"/>
        <item m="1" x="337"/>
        <item m="1" x="319"/>
        <item m="1" x="421"/>
        <item m="1" x="202"/>
        <item m="1" x="533"/>
        <item m="1" x="223"/>
        <item m="1" x="331"/>
        <item m="1" x="425"/>
        <item m="1" x="435"/>
        <item m="1" x="417"/>
        <item m="1" x="436"/>
        <item m="1" x="418"/>
        <item m="1" x="419"/>
        <item m="1" x="293"/>
        <item m="1" x="531"/>
        <item m="1" x="426"/>
        <item m="1" x="427"/>
        <item m="1" x="151"/>
        <item m="1" x="152"/>
        <item m="1" x="163"/>
        <item m="1" x="294"/>
        <item m="1" x="157"/>
        <item m="1" x="158"/>
        <item m="1" x="392"/>
        <item m="1" x="312"/>
        <item m="1" x="379"/>
        <item m="1" x="374"/>
        <item m="1" x="375"/>
        <item m="1" x="376"/>
        <item m="1" x="153"/>
        <item m="1" x="204"/>
        <item m="1" x="253"/>
        <item m="1" x="101"/>
        <item m="1" x="388"/>
        <item m="1" x="102"/>
        <item m="1" x="103"/>
        <item m="1" x="104"/>
        <item m="1" x="420"/>
        <item m="1" x="325"/>
        <item m="1" x="77"/>
        <item m="1" x="193"/>
        <item m="1" x="176"/>
        <item m="1" x="518"/>
        <item m="1" x="345"/>
        <item m="1" x="527"/>
        <item m="1" x="528"/>
        <item m="1" x="462"/>
        <item m="1" x="463"/>
        <item m="1" x="117"/>
        <item m="1" x="320"/>
        <item m="1" x="525"/>
        <item m="1" x="432"/>
        <item m="1" x="475"/>
        <item m="1" x="262"/>
        <item m="1" x="334"/>
        <item m="1" x="315"/>
        <item m="1" x="365"/>
        <item m="1" x="165"/>
        <item m="1" x="269"/>
        <item m="1" x="422"/>
        <item m="1" x="340"/>
        <item m="1" x="333"/>
        <item m="1" x="277"/>
        <item m="1" x="499"/>
        <item m="1" x="326"/>
        <item m="1" x="324"/>
        <item m="1" x="362"/>
        <item m="1" x="252"/>
        <item m="1" x="469"/>
        <item m="1" x="316"/>
        <item m="1" x="491"/>
        <item m="1" x="363"/>
        <item m="1" x="488"/>
        <item m="1" x="254"/>
        <item m="1" x="430"/>
        <item m="1" x="162"/>
        <item m="1" x="221"/>
        <item m="1" x="297"/>
        <item m="1" x="270"/>
        <item m="1" x="130"/>
        <item m="1" x="213"/>
        <item m="1" x="159"/>
        <item m="1" x="346"/>
        <item m="1" x="287"/>
        <item m="1" x="83"/>
        <item m="1" x="397"/>
        <item m="1" x="93"/>
        <item m="1" x="256"/>
        <item m="1" x="509"/>
        <item m="1" x="523"/>
        <item m="1" x="280"/>
        <item m="1" x="495"/>
        <item m="1" x="394"/>
        <item m="1" x="496"/>
        <item m="1" x="395"/>
        <item m="1" x="396"/>
        <item m="1" x="230"/>
        <item m="1" x="458"/>
        <item m="1" x="281"/>
        <item m="1" x="282"/>
        <item m="1" x="167"/>
        <item m="1" x="168"/>
        <item m="1" x="399"/>
        <item m="1" x="231"/>
        <item m="1" x="513"/>
        <item m="1" x="514"/>
        <item m="1" x="404"/>
        <item m="1" x="61"/>
        <item m="1" x="173"/>
        <item m="1" x="305"/>
        <item m="1" x="306"/>
        <item m="1" x="307"/>
        <item m="1" x="169"/>
        <item m="1" x="492"/>
        <item m="1" x="517"/>
        <item m="1" x="308"/>
        <item m="1" x="288"/>
        <item m="1" x="309"/>
        <item m="1" x="310"/>
        <item m="1" x="311"/>
        <item m="1" x="429"/>
        <item m="1" x="232"/>
        <item m="1" x="150"/>
        <item m="1" x="358"/>
        <item m="1" x="504"/>
        <item m="1" x="170"/>
        <item m="1" x="283"/>
        <item m="1" x="197"/>
        <item m="1" x="198"/>
        <item m="1" x="497"/>
        <item m="1" x="498"/>
        <item m="1" x="299"/>
        <item m="1" x="113"/>
        <item m="1" x="327"/>
        <item m="1" x="416"/>
        <item m="1" x="177"/>
        <item m="1" x="489"/>
        <item m="1" x="343"/>
        <item m="1" x="115"/>
        <item m="1" x="377"/>
        <item m="1" x="206"/>
        <item m="1" x="428"/>
        <item m="1" x="402"/>
        <item m="1" x="143"/>
        <item m="1" x="532"/>
        <item m="1" x="341"/>
        <item m="1" x="452"/>
        <item m="1" x="354"/>
        <item m="1" x="95"/>
        <item m="1" x="279"/>
        <item m="1" x="222"/>
        <item m="1" x="58"/>
        <item m="1" x="89"/>
        <item m="1" x="142"/>
        <item m="1" x="535"/>
        <item m="1" x="284"/>
        <item m="1" x="508"/>
        <item m="1" x="203"/>
        <item m="1" x="314"/>
        <item m="1" x="506"/>
        <item m="1" x="240"/>
        <item m="1" x="322"/>
        <item m="1" x="243"/>
        <item m="1" x="233"/>
        <item m="1" x="302"/>
        <item m="1" x="194"/>
        <item m="1" x="339"/>
        <item m="1" x="501"/>
        <item m="1" x="106"/>
        <item m="1" x="180"/>
        <item m="1" x="275"/>
        <item m="1" x="105"/>
        <item m="1" x="467"/>
        <item m="1" x="276"/>
        <item m="1" x="116"/>
        <item m="1" x="468"/>
        <item m="1" x="317"/>
        <item m="1" x="318"/>
        <item m="1" x="214"/>
        <item m="1" x="352"/>
        <item m="1" x="295"/>
        <item m="1" x="129"/>
        <item m="1" x="479"/>
        <item m="1" x="267"/>
        <item m="1" x="380"/>
        <item m="1" x="149"/>
        <item m="1" x="493"/>
        <item m="1" x="381"/>
        <item m="1" x="174"/>
        <item m="1" x="57"/>
        <item m="1" x="359"/>
        <item m="1" x="536"/>
        <item m="1" x="216"/>
        <item m="1" x="79"/>
        <item m="1" x="138"/>
        <item m="1" x="80"/>
        <item m="1" x="139"/>
        <item m="1" x="140"/>
        <item m="1" x="486"/>
        <item m="1" x="447"/>
        <item m="1" x="437"/>
        <item m="1" x="217"/>
        <item m="1" x="218"/>
        <item m="1" x="144"/>
        <item m="1" x="145"/>
        <item m="1" x="290"/>
        <item m="1" x="448"/>
        <item m="1" x="224"/>
        <item m="1" x="196"/>
        <item m="1" x="225"/>
        <item m="1" x="289"/>
        <item m="1" x="141"/>
        <item m="1" x="323"/>
        <item m="1" x="411"/>
        <item m="1" x="278"/>
        <item m="1" x="195"/>
        <item m="1" x="166"/>
        <item m="1" x="107"/>
        <item m="1" x="292"/>
        <item m="1" x="234"/>
        <item m="1" x="235"/>
        <item m="1" x="236"/>
        <item m="1" x="146"/>
        <item m="1" x="301"/>
        <item m="1" x="321"/>
        <item m="1" x="207"/>
        <item m="1" x="412"/>
        <item m="1" x="366"/>
        <item m="1" x="92"/>
        <item m="1" x="298"/>
        <item m="1" x="263"/>
        <item m="1" x="237"/>
        <item m="1" x="238"/>
        <item m="1" x="239"/>
        <item m="1" x="154"/>
        <item m="1" x="449"/>
        <item m="1" x="97"/>
        <item m="1" x="273"/>
        <item m="1" x="454"/>
        <item m="1" x="147"/>
        <item m="1" x="219"/>
        <item m="1" x="433"/>
        <item m="1" x="434"/>
        <item m="1" x="81"/>
        <item m="1" x="82"/>
        <item m="1" x="111"/>
        <item m="1" x="172"/>
        <item m="1" x="474"/>
        <item m="1" x="175"/>
        <item m="1" x="99"/>
        <item m="1" x="378"/>
        <item m="1" x="109"/>
        <item m="1" x="529"/>
        <item m="1" x="460"/>
        <item m="1" x="86"/>
        <item m="1" x="403"/>
        <item m="1" x="191"/>
        <item m="1" x="156"/>
        <item m="1" x="304"/>
        <item m="1" x="450"/>
        <item m="1" x="438"/>
        <item m="1" x="258"/>
        <item m="1" x="390"/>
        <item m="1" x="368"/>
        <item m="1" x="482"/>
        <item m="1" x="199"/>
        <item m="1" x="483"/>
        <item m="1" x="200"/>
        <item m="1" x="201"/>
        <item m="1" x="347"/>
        <item m="1" x="464"/>
        <item m="1" x="369"/>
        <item m="1" x="370"/>
        <item m="1" x="64"/>
        <item m="1" x="65"/>
        <item m="1" x="451"/>
        <item m="1" x="348"/>
        <item m="1" x="265"/>
        <item m="1" x="266"/>
        <item m="1" x="453"/>
        <item m="1" x="300"/>
        <item m="1" x="330"/>
        <item m="1" x="132"/>
        <item m="1" x="133"/>
        <item m="1" x="134"/>
        <item m="1" x="66"/>
        <item m="1" x="481"/>
        <item m="1" x="268"/>
        <item m="1" x="215"/>
        <item m="1" x="431"/>
        <item m="1" x="135"/>
        <item m="1" x="136"/>
        <item m="1" x="137"/>
        <item m="1" x="459"/>
        <item m="1" x="349"/>
        <item m="1" x="423"/>
        <item m="1" x="241"/>
        <item m="1" x="208"/>
        <item m="1" x="67"/>
        <item m="1" x="371"/>
        <item m="1" x="87"/>
        <item m="1" x="88"/>
        <item m="1" x="484"/>
        <item m="1" x="485"/>
        <item x="0"/>
        <item x="1"/>
        <item x="2"/>
        <item x="3"/>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m="1" x="391"/>
        <item x="38"/>
        <item x="39"/>
        <item m="1" x="424"/>
        <item m="1" x="285"/>
        <item m="1" x="286"/>
        <item m="1" x="521"/>
        <item m="1" x="522"/>
        <item m="1" x="212"/>
        <item m="1" x="261"/>
        <item m="1" x="413"/>
        <item x="45"/>
        <item x="46"/>
        <item x="47"/>
        <item x="48"/>
        <item x="49"/>
        <item x="50"/>
        <item x="51"/>
        <item x="52"/>
        <item x="53"/>
        <item x="54"/>
        <item x="55"/>
        <item x="56"/>
        <item x="37"/>
        <item x="40"/>
        <item x="41"/>
        <item x="42"/>
        <item x="43"/>
        <item x="44"/>
        <item t="default"/>
      </items>
    </pivotField>
    <pivotField axis="axisRow" showAll="0">
      <items count="110">
        <item m="1" x="32"/>
        <item x="1"/>
        <item m="1" x="68"/>
        <item m="1" x="45"/>
        <item m="1" x="16"/>
        <item m="1" x="108"/>
        <item m="1" x="103"/>
        <item m="1" x="56"/>
        <item m="1" x="29"/>
        <item m="1" x="26"/>
        <item m="1" x="66"/>
        <item m="1" x="37"/>
        <item m="1" x="51"/>
        <item m="1" x="100"/>
        <item m="1" x="33"/>
        <item m="1" x="73"/>
        <item m="1" x="42"/>
        <item m="1" x="82"/>
        <item m="1" x="20"/>
        <item m="1" x="81"/>
        <item m="1" x="80"/>
        <item m="1" x="106"/>
        <item m="1" x="91"/>
        <item m="1" x="86"/>
        <item m="1" x="64"/>
        <item m="1" x="76"/>
        <item m="1" x="78"/>
        <item m="1" x="96"/>
        <item m="1" x="95"/>
        <item m="1" x="74"/>
        <item m="1" x="84"/>
        <item m="1" x="67"/>
        <item m="1" x="79"/>
        <item m="1" x="46"/>
        <item m="1" x="43"/>
        <item m="1" x="94"/>
        <item m="1" x="54"/>
        <item m="1" x="27"/>
        <item m="1" x="24"/>
        <item m="1" x="63"/>
        <item m="1" x="70"/>
        <item m="1" x="52"/>
        <item m="1" x="102"/>
        <item m="1" x="23"/>
        <item m="1" x="34"/>
        <item m="1" x="19"/>
        <item m="1" x="39"/>
        <item m="1" x="83"/>
        <item m="1" x="18"/>
        <item m="1" x="22"/>
        <item m="1" x="59"/>
        <item m="1" x="77"/>
        <item m="1" x="62"/>
        <item m="1" x="60"/>
        <item m="1" x="40"/>
        <item m="1" x="93"/>
        <item m="1" x="50"/>
        <item m="1" x="99"/>
        <item m="1" x="97"/>
        <item m="1" x="47"/>
        <item m="1" x="55"/>
        <item m="1" x="30"/>
        <item m="1" x="17"/>
        <item m="1" x="38"/>
        <item m="1" x="14"/>
        <item m="1" x="57"/>
        <item m="1" x="49"/>
        <item m="1" x="48"/>
        <item m="1" x="85"/>
        <item m="1" x="53"/>
        <item m="1" x="104"/>
        <item m="1" x="31"/>
        <item m="1" x="28"/>
        <item m="1" x="25"/>
        <item m="1" x="58"/>
        <item m="1" x="75"/>
        <item m="1" x="69"/>
        <item m="1" x="65"/>
        <item m="1" x="15"/>
        <item m="1" x="89"/>
        <item m="1" x="105"/>
        <item m="1" x="71"/>
        <item m="1" x="90"/>
        <item m="1" x="35"/>
        <item m="1" x="101"/>
        <item m="1" x="107"/>
        <item m="1" x="92"/>
        <item m="1" x="72"/>
        <item m="1" x="21"/>
        <item m="1" x="41"/>
        <item m="1" x="44"/>
        <item m="1" x="88"/>
        <item m="1" x="61"/>
        <item m="1" x="87"/>
        <item m="1" x="98"/>
        <item m="1" x="36"/>
        <item x="0"/>
        <item x="2"/>
        <item x="3"/>
        <item x="4"/>
        <item x="5"/>
        <item x="6"/>
        <item x="7"/>
        <item x="8"/>
        <item x="9"/>
        <item x="10"/>
        <item x="11"/>
        <item x="12"/>
        <item x="13"/>
        <item t="default"/>
      </items>
    </pivotField>
    <pivotField axis="axisRow" showAll="0">
      <items count="15">
        <item m="1" x="13"/>
        <item x="1"/>
        <item m="1" x="7"/>
        <item x="0"/>
        <item x="2"/>
        <item x="3"/>
        <item x="4"/>
        <item x="5"/>
        <item m="1" x="9"/>
        <item m="1" x="10"/>
        <item m="1" x="12"/>
        <item m="1" x="11"/>
        <item m="1" x="8"/>
        <item x="6"/>
        <item t="default"/>
      </items>
    </pivotField>
    <pivotField axis="axisRow" showAll="0">
      <items count="435">
        <item m="1" x="70"/>
        <item m="1" x="381"/>
        <item m="1" x="379"/>
        <item m="1" x="320"/>
        <item m="1" x="249"/>
        <item m="1" x="426"/>
        <item m="1" x="142"/>
        <item m="1" x="94"/>
        <item m="1" x="391"/>
        <item m="1" x="409"/>
        <item m="1" x="291"/>
        <item m="1" x="102"/>
        <item m="1" x="125"/>
        <item m="1" x="428"/>
        <item m="1" x="240"/>
        <item m="1" x="330"/>
        <item m="1" x="280"/>
        <item m="1" x="146"/>
        <item m="1" x="262"/>
        <item m="1" x="318"/>
        <item m="1" x="314"/>
        <item m="1" x="419"/>
        <item m="1" x="334"/>
        <item m="1" x="225"/>
        <item m="1" x="338"/>
        <item m="1" x="377"/>
        <item m="1" x="420"/>
        <item m="1" x="160"/>
        <item m="1" x="400"/>
        <item m="1" x="161"/>
        <item m="1" x="346"/>
        <item m="1" x="222"/>
        <item m="1" x="245"/>
        <item m="1" x="370"/>
        <item m="1" x="250"/>
        <item m="1" x="100"/>
        <item m="1" x="188"/>
        <item m="1" x="339"/>
        <item m="1" x="251"/>
        <item m="1" x="289"/>
        <item m="1" x="124"/>
        <item m="1" x="104"/>
        <item m="1" x="272"/>
        <item m="1" x="155"/>
        <item m="1" x="85"/>
        <item m="1" x="174"/>
        <item m="1" x="228"/>
        <item m="1" x="324"/>
        <item m="1" x="229"/>
        <item m="1" x="423"/>
        <item m="1" x="388"/>
        <item m="1" x="132"/>
        <item m="1" x="259"/>
        <item m="1" x="226"/>
        <item m="1" x="224"/>
        <item m="1" x="347"/>
        <item m="1" x="385"/>
        <item m="1" x="77"/>
        <item m="1" x="402"/>
        <item m="1" x="348"/>
        <item m="1" x="105"/>
        <item m="1" x="149"/>
        <item m="1" x="231"/>
        <item m="1" x="425"/>
        <item m="1" x="299"/>
        <item m="1" x="79"/>
        <item x="0"/>
        <item m="1" x="403"/>
        <item m="1" x="130"/>
        <item m="1" x="148"/>
        <item m="1" x="182"/>
        <item m="1" x="234"/>
        <item m="1" x="236"/>
        <item m="1" x="76"/>
        <item m="1" x="304"/>
        <item m="1" x="119"/>
        <item m="1" x="181"/>
        <item m="1" x="185"/>
        <item m="1" x="317"/>
        <item m="1" x="349"/>
        <item m="1" x="192"/>
        <item m="1" x="186"/>
        <item m="1" x="150"/>
        <item m="1" x="207"/>
        <item m="1" x="392"/>
        <item m="1" x="313"/>
        <item m="1" x="293"/>
        <item m="1" x="81"/>
        <item m="1" x="193"/>
        <item m="1" x="196"/>
        <item m="1" x="355"/>
        <item m="1" x="183"/>
        <item m="1" x="319"/>
        <item m="1" x="84"/>
        <item m="1" x="278"/>
        <item m="1" x="235"/>
        <item m="1" x="147"/>
        <item m="1" x="246"/>
        <item m="1" x="166"/>
        <item m="1" x="359"/>
        <item m="1" x="335"/>
        <item m="1" x="191"/>
        <item m="1" x="129"/>
        <item m="1" x="164"/>
        <item m="1" x="308"/>
        <item m="1" x="167"/>
        <item m="1" x="115"/>
        <item m="1" x="430"/>
        <item m="1" x="187"/>
        <item m="1" x="394"/>
        <item m="1" x="180"/>
        <item m="1" x="311"/>
        <item m="1" x="189"/>
        <item m="1" x="190"/>
        <item m="1" x="395"/>
        <item m="1" x="353"/>
        <item m="1" x="386"/>
        <item m="1" x="354"/>
        <item m="1" x="312"/>
        <item m="1" x="158"/>
        <item m="1" x="283"/>
        <item m="1" x="165"/>
        <item m="1" x="387"/>
        <item m="1" x="307"/>
        <item m="1" x="396"/>
        <item m="1" x="230"/>
        <item m="1" x="199"/>
        <item m="1" x="284"/>
        <item m="1" x="433"/>
        <item m="1" x="126"/>
        <item m="1" x="195"/>
        <item m="1" x="414"/>
        <item m="1" x="244"/>
        <item m="1" x="238"/>
        <item m="1" x="309"/>
        <item m="1" x="356"/>
        <item m="1" x="209"/>
        <item m="1" x="173"/>
        <item m="1" x="305"/>
        <item m="1" x="122"/>
        <item m="1" x="175"/>
        <item m="1" x="223"/>
        <item m="1" x="340"/>
        <item m="1" x="239"/>
        <item m="1" x="176"/>
        <item m="1" x="254"/>
        <item m="1" x="344"/>
        <item m="1" x="408"/>
        <item m="1" x="194"/>
        <item m="1" x="177"/>
        <item m="1" x="171"/>
        <item m="1" x="337"/>
        <item m="1" x="133"/>
        <item m="1" x="372"/>
        <item m="1" x="121"/>
        <item m="1" x="237"/>
        <item m="1" x="294"/>
        <item m="1" x="136"/>
        <item m="1" x="371"/>
        <item m="1" x="365"/>
        <item m="1" x="131"/>
        <item m="1" x="375"/>
        <item m="1" x="112"/>
        <item m="1" x="374"/>
        <item m="1" x="153"/>
        <item m="1" x="364"/>
        <item m="1" x="367"/>
        <item m="1" x="366"/>
        <item m="1" x="376"/>
        <item m="1" x="360"/>
        <item m="1" x="221"/>
        <item m="1" x="134"/>
        <item m="1" x="326"/>
        <item m="1" x="110"/>
        <item m="1" x="203"/>
        <item m="1" x="310"/>
        <item m="1" x="152"/>
        <item m="1" x="327"/>
        <item m="1" x="219"/>
        <item m="1" x="206"/>
        <item m="1" x="220"/>
        <item m="1" x="163"/>
        <item m="1" x="96"/>
        <item m="1" x="88"/>
        <item m="1" x="93"/>
        <item m="1" x="95"/>
        <item m="1" x="232"/>
        <item m="1" x="168"/>
        <item m="1" x="116"/>
        <item m="1" x="184"/>
        <item m="1" x="89"/>
        <item m="1" x="92"/>
        <item m="1" x="432"/>
        <item m="1" x="415"/>
        <item m="1" x="179"/>
        <item m="1" x="271"/>
        <item m="1" x="233"/>
        <item m="1" x="257"/>
        <item m="1" x="303"/>
        <item m="1" x="109"/>
        <item m="1" x="424"/>
        <item m="1" x="361"/>
        <item m="1" x="78"/>
        <item m="1" x="113"/>
        <item m="1" x="401"/>
        <item m="1" x="315"/>
        <item m="1" x="172"/>
        <item m="1" x="114"/>
        <item m="1" x="281"/>
        <item m="1" x="328"/>
        <item m="1" x="412"/>
        <item m="1" x="378"/>
        <item m="1" x="137"/>
        <item m="1" x="405"/>
        <item m="1" x="333"/>
        <item m="1" x="406"/>
        <item m="1" x="87"/>
        <item m="1" x="243"/>
        <item m="1" x="411"/>
        <item m="1" x="111"/>
        <item m="1" x="295"/>
        <item m="1" x="277"/>
        <item m="1" x="268"/>
        <item m="1" x="286"/>
        <item m="1" x="287"/>
        <item m="1" x="241"/>
        <item m="1" x="322"/>
        <item m="1" x="298"/>
        <item m="1" x="261"/>
        <item m="1" x="275"/>
        <item m="1" x="270"/>
        <item m="1" x="288"/>
        <item m="1" x="255"/>
        <item m="1" x="397"/>
        <item m="1" x="266"/>
        <item m="1" x="156"/>
        <item m="1" x="218"/>
        <item m="1" x="369"/>
        <item m="1" x="135"/>
        <item m="1" x="297"/>
        <item m="1" x="157"/>
        <item m="1" x="398"/>
        <item m="1" x="373"/>
        <item m="1" x="399"/>
        <item m="1" x="421"/>
        <item m="1" x="279"/>
        <item m="1" x="82"/>
        <item m="1" x="162"/>
        <item m="1" x="227"/>
        <item m="1" x="74"/>
        <item m="1" x="265"/>
        <item m="1" x="73"/>
        <item m="1" x="86"/>
        <item m="1" x="83"/>
        <item m="1" x="128"/>
        <item m="1" x="140"/>
        <item m="1" x="363"/>
        <item m="1" x="282"/>
        <item m="1" x="91"/>
        <item m="1" x="302"/>
        <item m="1" x="205"/>
        <item m="1" x="410"/>
        <item m="1" x="382"/>
        <item m="1" x="368"/>
        <item m="1" x="106"/>
        <item m="1" x="145"/>
        <item m="1" x="383"/>
        <item m="1" x="117"/>
        <item m="1" x="99"/>
        <item m="1" x="393"/>
        <item m="1" x="384"/>
        <item m="1" x="325"/>
        <item m="1" x="217"/>
        <item m="1" x="362"/>
        <item m="1" x="108"/>
        <item m="1" x="390"/>
        <item m="1" x="357"/>
        <item m="1" x="103"/>
        <item m="1" x="358"/>
        <item m="1" x="138"/>
        <item m="1" x="80"/>
        <item m="1" x="120"/>
        <item m="1" x="143"/>
        <item m="1" x="321"/>
        <item m="1" x="407"/>
        <item m="1" x="202"/>
        <item m="1" x="316"/>
        <item m="1" x="212"/>
        <item m="1" x="301"/>
        <item m="1" x="214"/>
        <item m="1" x="98"/>
        <item m="1" x="200"/>
        <item m="1" x="204"/>
        <item m="1" x="201"/>
        <item m="1" x="213"/>
        <item m="1" x="198"/>
        <item m="1" x="352"/>
        <item m="1" x="90"/>
        <item m="1" x="169"/>
        <item m="1" x="75"/>
        <item m="1" x="343"/>
        <item m="1" x="389"/>
        <item m="1" x="97"/>
        <item m="1" x="170"/>
        <item m="1" x="350"/>
        <item m="1" x="345"/>
        <item m="1" x="351"/>
        <item x="59"/>
        <item x="60"/>
        <item x="61"/>
        <item x="62"/>
        <item x="63"/>
        <item x="64"/>
        <item x="65"/>
        <item x="66"/>
        <item x="67"/>
        <item x="68"/>
        <item x="69"/>
        <item m="1" x="323"/>
        <item x="2"/>
        <item x="3"/>
        <item m="1" x="118"/>
        <item m="1" x="139"/>
        <item m="1" x="341"/>
        <item m="1" x="107"/>
        <item x="1"/>
        <item m="1" x="123"/>
        <item m="1" x="154"/>
        <item m="1" x="127"/>
        <item m="1" x="416"/>
        <item m="1" x="300"/>
        <item m="1" x="431"/>
        <item m="1" x="404"/>
        <item m="1" x="101"/>
        <item m="1" x="296"/>
        <item x="4"/>
        <item x="5"/>
        <item x="6"/>
        <item x="7"/>
        <item x="8"/>
        <item x="9"/>
        <item x="10"/>
        <item x="11"/>
        <item m="1" x="285"/>
        <item m="1" x="427"/>
        <item m="1" x="258"/>
        <item m="1" x="263"/>
        <item m="1" x="332"/>
        <item m="1" x="429"/>
        <item m="1" x="276"/>
        <item m="1" x="264"/>
        <item m="1" x="144"/>
        <item m="1" x="336"/>
        <item m="1" x="197"/>
        <item m="1" x="151"/>
        <item m="1" x="260"/>
        <item m="1" x="247"/>
        <item m="1" x="252"/>
        <item m="1" x="329"/>
        <item m="1" x="269"/>
        <item m="1" x="267"/>
        <item m="1" x="248"/>
        <item m="1" x="417"/>
        <item m="1" x="159"/>
        <item m="1" x="418"/>
        <item m="1" x="331"/>
        <item m="1" x="253"/>
        <item m="1" x="306"/>
        <item m="1" x="274"/>
        <item m="1" x="290"/>
        <item m="1" x="273"/>
        <item x="43"/>
        <item x="44"/>
        <item m="1" x="210"/>
        <item m="1" x="342"/>
        <item m="1" x="178"/>
        <item m="1" x="413"/>
        <item m="1" x="211"/>
        <item m="1" x="72"/>
        <item m="1" x="215"/>
        <item m="1" x="208"/>
        <item m="1" x="422"/>
        <item x="54"/>
        <item m="1" x="141"/>
        <item m="1" x="256"/>
        <item m="1" x="292"/>
        <item m="1" x="216"/>
        <item m="1" x="71"/>
        <item x="12"/>
        <item x="13"/>
        <item x="14"/>
        <item x="15"/>
        <item x="16"/>
        <item x="17"/>
        <item x="18"/>
        <item x="19"/>
        <item x="20"/>
        <item x="21"/>
        <item x="22"/>
        <item x="23"/>
        <item x="24"/>
        <item x="36"/>
        <item x="37"/>
        <item x="38"/>
        <item x="39"/>
        <item x="40"/>
        <item x="41"/>
        <item m="1" x="380"/>
        <item x="45"/>
        <item x="46"/>
        <item x="47"/>
        <item x="48"/>
        <item m="1" x="242"/>
        <item x="50"/>
        <item x="51"/>
        <item x="52"/>
        <item x="53"/>
        <item x="25"/>
        <item x="26"/>
        <item x="27"/>
        <item x="28"/>
        <item x="29"/>
        <item x="30"/>
        <item x="31"/>
        <item x="32"/>
        <item x="33"/>
        <item x="34"/>
        <item x="35"/>
        <item x="42"/>
        <item x="49"/>
        <item x="55"/>
        <item x="56"/>
        <item x="57"/>
        <item x="58"/>
        <item t="default"/>
      </items>
    </pivotField>
    <pivotField axis="axisRow" showAll="0">
      <items count="263">
        <item m="1" x="17"/>
        <item m="1" x="223"/>
        <item m="1" x="36"/>
        <item m="1" x="56"/>
        <item m="1" x="20"/>
        <item m="1" x="240"/>
        <item m="1" x="43"/>
        <item m="1" x="55"/>
        <item m="1" x="212"/>
        <item m="1" x="248"/>
        <item m="1" x="249"/>
        <item m="1" x="93"/>
        <item m="1" x="122"/>
        <item m="1" x="67"/>
        <item m="1" x="48"/>
        <item m="1" x="89"/>
        <item m="1" x="90"/>
        <item m="1" x="245"/>
        <item m="1" x="83"/>
        <item m="1" x="190"/>
        <item m="1" x="199"/>
        <item m="1" x="75"/>
        <item m="1" x="37"/>
        <item m="1" x="198"/>
        <item m="1" x="124"/>
        <item m="1" x="68"/>
        <item m="1" x="25"/>
        <item m="1" x="27"/>
        <item m="1" x="31"/>
        <item m="1" x="69"/>
        <item m="1" x="231"/>
        <item m="1" x="115"/>
        <item m="1" x="165"/>
        <item m="1" x="250"/>
        <item m="1" x="161"/>
        <item m="1" x="257"/>
        <item m="1" x="185"/>
        <item m="1" x="45"/>
        <item m="1" x="40"/>
        <item m="1" x="200"/>
        <item m="1" x="183"/>
        <item m="1" x="252"/>
        <item x="0"/>
        <item m="1" x="94"/>
        <item m="1" x="26"/>
        <item m="1" x="92"/>
        <item m="1" x="171"/>
        <item m="1" x="41"/>
        <item m="1" x="107"/>
        <item m="1" x="42"/>
        <item m="1" x="256"/>
        <item m="1" x="73"/>
        <item m="1" x="74"/>
        <item m="1" x="44"/>
        <item m="1" x="208"/>
        <item m="1" x="187"/>
        <item m="1" x="135"/>
        <item m="1" x="202"/>
        <item m="1" x="203"/>
        <item m="1" x="172"/>
        <item m="1" x="104"/>
        <item m="1" x="206"/>
        <item m="1" x="136"/>
        <item m="1" x="106"/>
        <item m="1" x="217"/>
        <item m="1" x="195"/>
        <item m="1" x="188"/>
        <item m="1" x="207"/>
        <item m="1" x="129"/>
        <item m="1" x="218"/>
        <item m="1" x="189"/>
        <item m="1" x="164"/>
        <item m="1" x="230"/>
        <item m="1" x="103"/>
        <item m="1" x="82"/>
        <item m="1" x="130"/>
        <item m="1" x="170"/>
        <item m="1" x="224"/>
        <item m="1" x="193"/>
        <item m="1" x="163"/>
        <item m="1" x="153"/>
        <item m="1" x="175"/>
        <item m="1" x="30"/>
        <item m="1" x="123"/>
        <item m="1" x="102"/>
        <item m="1" x="38"/>
        <item m="1" x="174"/>
        <item m="1" x="110"/>
        <item m="1" x="237"/>
        <item m="1" x="242"/>
        <item m="1" x="84"/>
        <item m="1" x="210"/>
        <item m="1" x="211"/>
        <item m="1" x="247"/>
        <item m="1" x="228"/>
        <item m="1" x="28"/>
        <item m="1" x="241"/>
        <item m="1" x="50"/>
        <item m="1" x="51"/>
        <item m="1" x="57"/>
        <item m="1" x="213"/>
        <item m="1" x="76"/>
        <item m="1" x="32"/>
        <item m="1" x="128"/>
        <item m="1" x="121"/>
        <item m="1" x="253"/>
        <item m="1" x="29"/>
        <item m="1" x="227"/>
        <item m="1" x="105"/>
        <item m="1" x="155"/>
        <item m="1" x="259"/>
        <item m="1" x="46"/>
        <item m="1" x="114"/>
        <item m="1" x="243"/>
        <item m="1" x="222"/>
        <item m="1" x="33"/>
        <item m="1" x="35"/>
        <item m="1" x="111"/>
        <item m="1" x="258"/>
        <item m="1" x="108"/>
        <item m="1" x="251"/>
        <item m="1" x="53"/>
        <item m="1" x="66"/>
        <item m="1" x="116"/>
        <item m="1" x="235"/>
        <item m="1" x="143"/>
        <item m="1" x="22"/>
        <item m="1" x="191"/>
        <item m="1" x="18"/>
        <item m="1" x="225"/>
        <item m="1" x="87"/>
        <item m="1" x="131"/>
        <item m="1" x="132"/>
        <item m="1" x="260"/>
        <item m="1" x="99"/>
        <item m="1" x="145"/>
        <item m="1" x="214"/>
        <item m="1" x="156"/>
        <item m="1" x="157"/>
        <item m="1" x="58"/>
        <item m="1" x="77"/>
        <item m="1" x="176"/>
        <item m="1" x="179"/>
        <item m="1" x="150"/>
        <item m="1" x="137"/>
        <item m="1" x="238"/>
        <item m="1" x="146"/>
        <item m="1" x="70"/>
        <item m="1" x="72"/>
        <item m="1" x="168"/>
        <item m="1" x="147"/>
        <item m="1" x="219"/>
        <item m="1" x="95"/>
        <item m="1" x="112"/>
        <item m="1" x="60"/>
        <item m="1" x="194"/>
        <item m="1" x="196"/>
        <item m="1" x="85"/>
        <item m="1" x="139"/>
        <item m="1" x="79"/>
        <item m="1" x="118"/>
        <item m="1" x="233"/>
        <item m="1" x="254"/>
        <item m="1" x="62"/>
        <item m="1" x="181"/>
        <item m="1" x="63"/>
        <item m="1" x="182"/>
        <item m="1" x="154"/>
        <item m="1" x="109"/>
        <item m="1" x="64"/>
        <item m="1" x="204"/>
        <item m="1" x="65"/>
        <item m="1" x="205"/>
        <item m="1" x="186"/>
        <item m="1" x="117"/>
        <item m="1" x="236"/>
        <item m="1" x="144"/>
        <item m="1" x="23"/>
        <item m="1" x="192"/>
        <item m="1" x="19"/>
        <item m="1" x="226"/>
        <item m="1" x="88"/>
        <item m="1" x="133"/>
        <item m="1" x="134"/>
        <item m="1" x="261"/>
        <item m="1" x="100"/>
        <item m="1" x="184"/>
        <item m="1" x="215"/>
        <item m="1" x="158"/>
        <item m="1" x="159"/>
        <item m="1" x="59"/>
        <item m="1" x="78"/>
        <item m="1" x="177"/>
        <item m="1" x="180"/>
        <item m="1" x="151"/>
        <item m="1" x="138"/>
        <item m="1" x="239"/>
        <item m="1" x="209"/>
        <item m="1" x="148"/>
        <item m="1" x="71"/>
        <item m="1" x="54"/>
        <item m="1" x="169"/>
        <item m="1" x="149"/>
        <item m="1" x="220"/>
        <item m="1" x="96"/>
        <item m="1" x="113"/>
        <item m="1" x="61"/>
        <item m="1" x="97"/>
        <item m="1" x="197"/>
        <item m="1" x="86"/>
        <item m="1" x="140"/>
        <item m="1" x="80"/>
        <item m="1" x="119"/>
        <item m="1" x="234"/>
        <item m="1" x="255"/>
        <item x="1"/>
        <item x="2"/>
        <item x="3"/>
        <item x="4"/>
        <item x="5"/>
        <item x="6"/>
        <item x="7"/>
        <item x="8"/>
        <item x="9"/>
        <item x="10"/>
        <item x="11"/>
        <item x="12"/>
        <item m="1" x="34"/>
        <item m="1" x="125"/>
        <item m="1" x="126"/>
        <item m="1" x="141"/>
        <item m="1" x="52"/>
        <item m="1" x="229"/>
        <item m="1" x="39"/>
        <item m="1" x="166"/>
        <item m="1" x="167"/>
        <item m="1" x="244"/>
        <item m="1" x="21"/>
        <item m="1" x="216"/>
        <item m="1" x="221"/>
        <item m="1" x="162"/>
        <item m="1" x="142"/>
        <item m="1" x="98"/>
        <item m="1" x="178"/>
        <item x="13"/>
        <item x="14"/>
        <item m="1" x="232"/>
        <item m="1" x="201"/>
        <item m="1" x="160"/>
        <item m="1" x="47"/>
        <item m="1" x="49"/>
        <item m="1" x="81"/>
        <item m="1" x="246"/>
        <item m="1" x="173"/>
        <item m="1" x="120"/>
        <item x="15"/>
        <item m="1" x="152"/>
        <item m="1" x="24"/>
        <item m="1" x="101"/>
        <item m="1" x="91"/>
        <item m="1" x="127"/>
        <item x="16"/>
        <item t="default"/>
      </items>
    </pivotField>
    <pivotField axis="axisRow" showAll="0">
      <items count="28">
        <item m="1" x="4"/>
        <item m="1" x="19"/>
        <item m="1" x="7"/>
        <item m="1" x="25"/>
        <item x="0"/>
        <item m="1" x="26"/>
        <item m="1" x="10"/>
        <item m="1" x="17"/>
        <item m="1" x="9"/>
        <item m="1" x="8"/>
        <item m="1" x="20"/>
        <item m="1" x="11"/>
        <item m="1" x="15"/>
        <item m="1" x="16"/>
        <item m="1" x="22"/>
        <item m="1" x="18"/>
        <item m="1" x="21"/>
        <item m="1" x="23"/>
        <item m="1" x="24"/>
        <item m="1" x="5"/>
        <item m="1" x="13"/>
        <item m="1" x="14"/>
        <item x="1"/>
        <item x="2"/>
        <item x="3"/>
        <item m="1" x="6"/>
        <item m="1" x="12"/>
        <item t="default"/>
      </items>
    </pivotField>
    <pivotField axis="axisRow" showAll="0">
      <items count="6">
        <item m="1" x="1"/>
        <item x="0"/>
        <item m="1" x="3"/>
        <item m="1" x="4"/>
        <item m="1" x="2"/>
        <item t="default"/>
      </items>
    </pivotField>
    <pivotField axis="axisRow" showAll="0" defaultSubtotal="0">
      <items count="273">
        <item m="1" x="19"/>
        <item m="1" x="232"/>
        <item m="1" x="66"/>
        <item m="1" x="158"/>
        <item m="1" x="27"/>
        <item m="1" x="61"/>
        <item m="1" x="40"/>
        <item m="1" x="148"/>
        <item m="1" x="142"/>
        <item m="1" x="100"/>
        <item m="1" x="30"/>
        <item m="1" x="85"/>
        <item m="1" x="53"/>
        <item m="1" x="25"/>
        <item m="1" x="57"/>
        <item m="1" x="84"/>
        <item m="1" x="178"/>
        <item m="1" x="87"/>
        <item m="1" x="208"/>
        <item m="1" x="231"/>
        <item m="1" x="218"/>
        <item m="1" x="108"/>
        <item m="1" x="228"/>
        <item m="1" x="71"/>
        <item m="1" x="62"/>
        <item m="1" x="131"/>
        <item m="1" x="150"/>
        <item m="1" x="236"/>
        <item m="1" x="128"/>
        <item m="1" x="240"/>
        <item m="1" x="179"/>
        <item m="1" x="266"/>
        <item m="1" x="225"/>
        <item m="1" x="200"/>
        <item m="1" x="37"/>
        <item m="1" x="249"/>
        <item m="1" x="259"/>
        <item m="1" x="180"/>
        <item m="1" x="90"/>
        <item m="1" x="92"/>
        <item m="1" x="86"/>
        <item x="0"/>
        <item m="1" x="29"/>
        <item m="1" x="190"/>
        <item m="1" x="103"/>
        <item m="1" x="42"/>
        <item m="1" x="241"/>
        <item m="1" x="176"/>
        <item m="1" x="242"/>
        <item m="1" x="217"/>
        <item m="1" x="174"/>
        <item m="1" x="43"/>
        <item m="1" x="268"/>
        <item m="1" x="38"/>
        <item m="1" x="219"/>
        <item m="1" x="263"/>
        <item m="1" x="69"/>
        <item m="1" x="96"/>
        <item m="1" x="262"/>
        <item m="1" x="125"/>
        <item m="1" x="216"/>
        <item m="1" x="60"/>
        <item m="1" x="20"/>
        <item m="1" x="221"/>
        <item m="1" x="198"/>
        <item m="1" x="233"/>
        <item m="1" x="83"/>
        <item m="1" x="255"/>
        <item m="1" x="183"/>
        <item m="1" x="124"/>
        <item m="1" x="105"/>
        <item m="1" x="132"/>
        <item m="1" x="145"/>
        <item m="1" x="28"/>
        <item m="1" x="269"/>
        <item m="1" x="91"/>
        <item m="1" x="109"/>
        <item m="1" x="33"/>
        <item m="1" x="143"/>
        <item m="1" x="113"/>
        <item m="1" x="270"/>
        <item m="1" x="44"/>
        <item m="1" x="56"/>
        <item m="1" x="151"/>
        <item m="1" x="162"/>
        <item m="1" x="235"/>
        <item m="1" x="203"/>
        <item m="1" x="107"/>
        <item m="1" x="204"/>
        <item m="1" x="182"/>
        <item m="1" x="226"/>
        <item m="1" x="72"/>
        <item m="1" x="79"/>
        <item m="1" x="161"/>
        <item m="1" x="184"/>
        <item m="1" x="212"/>
        <item m="1" x="58"/>
        <item m="1" x="133"/>
        <item m="1" x="147"/>
        <item m="1" x="146"/>
        <item m="1" x="172"/>
        <item m="1" x="104"/>
        <item m="1" x="64"/>
        <item m="1" x="205"/>
        <item m="1" x="111"/>
        <item m="1" x="206"/>
        <item m="1" x="213"/>
        <item m="1" x="139"/>
        <item m="1" x="155"/>
        <item m="1" x="264"/>
        <item m="1" x="156"/>
        <item m="1" x="67"/>
        <item m="1" x="260"/>
        <item m="1" x="52"/>
        <item m="1" x="46"/>
        <item m="1" x="94"/>
        <item m="1" x="244"/>
        <item m="1" x="65"/>
        <item m="1" x="250"/>
        <item m="1" x="115"/>
        <item m="1" x="220"/>
        <item m="1" x="254"/>
        <item m="1" x="223"/>
        <item m="1" x="75"/>
        <item m="1" x="187"/>
        <item m="1" x="230"/>
        <item m="1" x="135"/>
        <item m="1" x="137"/>
        <item m="1" x="26"/>
        <item m="1" x="144"/>
        <item m="1" x="227"/>
        <item m="1" x="195"/>
        <item m="1" x="138"/>
        <item m="1" x="48"/>
        <item m="1" x="164"/>
        <item m="1" x="88"/>
        <item m="1" x="21"/>
        <item m="1" x="202"/>
        <item m="1" x="214"/>
        <item m="1" x="73"/>
        <item m="1" x="63"/>
        <item m="1" x="140"/>
        <item m="1" x="181"/>
        <item m="1" x="102"/>
        <item m="1" x="59"/>
        <item m="1" x="126"/>
        <item m="1" x="197"/>
        <item m="1" x="167"/>
        <item m="1" x="141"/>
        <item m="1" x="149"/>
        <item m="1" x="267"/>
        <item m="1" x="70"/>
        <item m="1" x="136"/>
        <item m="1" x="157"/>
        <item m="1" x="45"/>
        <item m="1" x="95"/>
        <item m="1" x="114"/>
        <item m="1" x="130"/>
        <item m="1" x="265"/>
        <item m="1" x="39"/>
        <item m="1" x="215"/>
        <item m="1" x="55"/>
        <item m="1" x="211"/>
        <item m="1" x="169"/>
        <item m="1" x="257"/>
        <item m="1" x="170"/>
        <item m="1" x="258"/>
        <item m="1" x="224"/>
        <item m="1" x="76"/>
        <item m="1" x="188"/>
        <item m="1" x="272"/>
        <item m="1" x="127"/>
        <item m="1" x="51"/>
        <item m="1" x="177"/>
        <item m="1" x="41"/>
        <item m="1" x="193"/>
        <item m="1" x="239"/>
        <item m="1" x="22"/>
        <item m="1" x="234"/>
        <item m="1" x="165"/>
        <item m="1" x="89"/>
        <item m="1" x="168"/>
        <item m="1" x="32"/>
        <item m="1" x="98"/>
        <item m="1" x="99"/>
        <item m="1" x="237"/>
        <item m="1" x="248"/>
        <item m="1" x="119"/>
        <item m="1" x="82"/>
        <item m="1" x="47"/>
        <item m="1" x="68"/>
        <item m="1" x="78"/>
        <item m="1" x="35"/>
        <item m="1" x="186"/>
        <item m="1" x="118"/>
        <item m="1" x="209"/>
        <item m="1" x="116"/>
        <item m="1" x="192"/>
        <item m="1" x="80"/>
        <item m="1" x="153"/>
        <item m="1" x="185"/>
        <item m="1" x="222"/>
        <item m="1" x="247"/>
        <item m="1" x="271"/>
        <item m="1" x="238"/>
        <item m="1" x="54"/>
        <item m="1" x="207"/>
        <item m="1" x="166"/>
        <item m="1" x="210"/>
        <item x="2"/>
        <item m="1" x="121"/>
        <item x="4"/>
        <item m="1" x="122"/>
        <item m="1" x="23"/>
        <item m="1" x="256"/>
        <item x="1"/>
        <item m="1" x="173"/>
        <item m="1" x="245"/>
        <item m="1" x="251"/>
        <item m="1" x="175"/>
        <item m="1" x="74"/>
        <item m="1" x="24"/>
        <item m="1" x="123"/>
        <item m="1" x="117"/>
        <item m="1" x="110"/>
        <item m="1" x="129"/>
        <item m="1" x="112"/>
        <item m="1" x="171"/>
        <item x="3"/>
        <item x="5"/>
        <item x="6"/>
        <item x="7"/>
        <item x="8"/>
        <item x="9"/>
        <item x="10"/>
        <item x="11"/>
        <item x="12"/>
        <item x="13"/>
        <item x="14"/>
        <item m="1" x="106"/>
        <item m="1" x="93"/>
        <item m="1" x="120"/>
        <item m="1" x="31"/>
        <item m="1" x="154"/>
        <item m="1" x="152"/>
        <item m="1" x="261"/>
        <item m="1" x="252"/>
        <item m="1" x="159"/>
        <item m="1" x="194"/>
        <item m="1" x="229"/>
        <item m="1" x="36"/>
        <item m="1" x="163"/>
        <item m="1" x="97"/>
        <item m="1" x="101"/>
        <item m="1" x="34"/>
        <item x="15"/>
        <item x="16"/>
        <item m="1" x="199"/>
        <item m="1" x="246"/>
        <item m="1" x="201"/>
        <item m="1" x="253"/>
        <item m="1" x="81"/>
        <item m="1" x="196"/>
        <item m="1" x="50"/>
        <item m="1" x="49"/>
        <item m="1" x="243"/>
        <item x="17"/>
        <item m="1" x="77"/>
        <item m="1" x="189"/>
        <item m="1" x="160"/>
        <item m="1" x="134"/>
        <item m="1" x="191"/>
        <item x="18"/>
      </items>
    </pivotField>
    <pivotField axis="axisRow" showAll="0" defaultSubtotal="0">
      <items count="210">
        <item m="1" x="15"/>
        <item m="1" x="25"/>
        <item m="1" x="18"/>
        <item m="1" x="74"/>
        <item m="1" x="176"/>
        <item m="1" x="199"/>
        <item m="1" x="127"/>
        <item m="1" x="195"/>
        <item m="1" x="158"/>
        <item m="1" x="167"/>
        <item m="1" x="149"/>
        <item m="1" x="92"/>
        <item m="1" x="93"/>
        <item m="1" x="99"/>
        <item m="1" x="79"/>
        <item m="1" x="39"/>
        <item m="1" x="209"/>
        <item m="1" x="151"/>
        <item m="1" x="152"/>
        <item m="1" x="54"/>
        <item m="1" x="38"/>
        <item m="1" x="85"/>
        <item m="1" x="169"/>
        <item m="1" x="43"/>
        <item m="1" x="200"/>
        <item m="1" x="116"/>
        <item m="1" x="103"/>
        <item m="1" x="189"/>
        <item m="1" x="128"/>
        <item m="1" x="207"/>
        <item m="1" x="182"/>
        <item m="1" x="155"/>
        <item m="1" x="102"/>
        <item m="1" x="119"/>
        <item m="1" x="132"/>
        <item m="1" x="173"/>
        <item m="1" x="42"/>
        <item m="1" x="27"/>
        <item m="1" x="47"/>
        <item m="1" x="190"/>
        <item x="0"/>
        <item m="1" x="30"/>
        <item m="1" x="131"/>
        <item m="1" x="208"/>
        <item m="1" x="73"/>
        <item m="1" x="140"/>
        <item m="1" x="29"/>
        <item m="1" x="180"/>
        <item m="1" x="161"/>
        <item m="1" x="33"/>
        <item m="1" x="34"/>
        <item m="1" x="52"/>
        <item m="1" x="81"/>
        <item m="1" x="89"/>
        <item m="1" x="191"/>
        <item m="1" x="135"/>
        <item m="1" x="136"/>
        <item m="1" x="197"/>
        <item m="1" x="150"/>
        <item m="1" x="64"/>
        <item m="1" x="35"/>
        <item m="1" x="205"/>
        <item m="1" x="65"/>
        <item m="1" x="76"/>
        <item m="1" x="164"/>
        <item m="1" x="49"/>
        <item m="1" x="108"/>
        <item m="1" x="125"/>
        <item m="1" x="61"/>
        <item m="1" x="22"/>
        <item m="1" x="105"/>
        <item m="1" x="106"/>
        <item m="1" x="57"/>
        <item m="1" x="71"/>
        <item m="1" x="69"/>
        <item m="1" x="118"/>
        <item m="1" x="82"/>
        <item m="1" x="162"/>
        <item m="1" x="44"/>
        <item m="1" x="184"/>
        <item m="1" x="120"/>
        <item m="1" x="107"/>
        <item m="1" x="62"/>
        <item m="1" x="67"/>
        <item m="1" x="78"/>
        <item m="1" x="201"/>
        <item m="1" x="121"/>
        <item m="1" x="95"/>
        <item m="1" x="83"/>
        <item m="1" x="84"/>
        <item m="1" x="133"/>
        <item m="1" x="147"/>
        <item m="1" x="157"/>
        <item m="1" x="142"/>
        <item m="1" x="112"/>
        <item m="1" x="113"/>
        <item m="1" x="194"/>
        <item m="1" x="21"/>
        <item m="1" x="111"/>
        <item m="1" x="171"/>
        <item m="1" x="80"/>
        <item m="1" x="53"/>
        <item m="1" x="202"/>
        <item m="1" x="177"/>
        <item m="1" x="104"/>
        <item m="1" x="55"/>
        <item m="1" x="91"/>
        <item m="1" x="94"/>
        <item m="1" x="75"/>
        <item m="1" x="88"/>
        <item m="1" x="87"/>
        <item m="1" x="45"/>
        <item m="1" x="192"/>
        <item m="1" x="51"/>
        <item m="1" x="115"/>
        <item m="1" x="114"/>
        <item m="1" x="50"/>
        <item m="1" x="109"/>
        <item m="1" x="28"/>
        <item m="1" x="48"/>
        <item m="1" x="58"/>
        <item m="1" x="170"/>
        <item m="1" x="66"/>
        <item m="1" x="37"/>
        <item m="1" x="122"/>
        <item m="1" x="16"/>
        <item m="1" x="185"/>
        <item m="1" x="23"/>
        <item m="1" x="24"/>
        <item m="1" x="154"/>
        <item m="1" x="86"/>
        <item m="1" x="60"/>
        <item m="1" x="36"/>
        <item m="1" x="174"/>
        <item m="1" x="175"/>
        <item m="1" x="203"/>
        <item m="1" x="196"/>
        <item m="1" x="97"/>
        <item m="1" x="163"/>
        <item m="1" x="144"/>
        <item m="1" x="193"/>
        <item m="1" x="145"/>
        <item m="1" x="130"/>
        <item m="1" x="166"/>
        <item m="1" x="90"/>
        <item m="1" x="101"/>
        <item m="1" x="41"/>
        <item m="1" x="46"/>
        <item m="1" x="179"/>
        <item m="1" x="17"/>
        <item m="1" x="77"/>
        <item m="1" x="100"/>
        <item m="1" x="63"/>
        <item m="1" x="126"/>
        <item m="1" x="183"/>
        <item m="1" x="148"/>
        <item m="1" x="70"/>
        <item m="1" x="32"/>
        <item x="1"/>
        <item x="2"/>
        <item m="1" x="206"/>
        <item m="1" x="72"/>
        <item m="1" x="187"/>
        <item m="1" x="204"/>
        <item m="1" x="156"/>
        <item m="1" x="19"/>
        <item m="1" x="26"/>
        <item m="1" x="141"/>
        <item x="3"/>
        <item x="4"/>
        <item x="5"/>
        <item x="6"/>
        <item x="7"/>
        <item x="8"/>
        <item x="9"/>
        <item x="10"/>
        <item m="1" x="20"/>
        <item m="1" x="159"/>
        <item m="1" x="160"/>
        <item m="1" x="110"/>
        <item m="1" x="59"/>
        <item m="1" x="96"/>
        <item m="1" x="134"/>
        <item m="1" x="123"/>
        <item m="1" x="124"/>
        <item m="1" x="165"/>
        <item m="1" x="153"/>
        <item m="1" x="168"/>
        <item m="1" x="188"/>
        <item m="1" x="56"/>
        <item m="1" x="129"/>
        <item m="1" x="146"/>
        <item x="11"/>
        <item x="12"/>
        <item m="1" x="117"/>
        <item m="1" x="139"/>
        <item m="1" x="143"/>
        <item m="1" x="98"/>
        <item m="1" x="138"/>
        <item m="1" x="137"/>
        <item m="1" x="31"/>
        <item m="1" x="68"/>
        <item m="1" x="186"/>
        <item x="13"/>
        <item m="1" x="181"/>
        <item m="1" x="178"/>
        <item m="1" x="40"/>
        <item m="1" x="172"/>
        <item m="1" x="198"/>
        <item x="14"/>
      </items>
    </pivotField>
    <pivotField axis="axisRow" showAll="0">
      <items count="3">
        <item m="1" x="1"/>
        <item x="0"/>
        <item t="default"/>
      </items>
    </pivotField>
    <pivotField axis="axisRow" showAll="0">
      <items count="260">
        <item m="1" x="15"/>
        <item m="1" x="106"/>
        <item m="1" x="193"/>
        <item m="1" x="231"/>
        <item m="1" x="113"/>
        <item m="1" x="226"/>
        <item m="1" x="234"/>
        <item m="1" x="163"/>
        <item m="1" x="210"/>
        <item m="1" x="45"/>
        <item m="1" x="137"/>
        <item m="1" x="221"/>
        <item m="1" x="28"/>
        <item m="1" x="88"/>
        <item m="1" x="101"/>
        <item m="1" x="186"/>
        <item m="1" x="178"/>
        <item m="1" x="30"/>
        <item m="1" x="174"/>
        <item m="1" x="256"/>
        <item m="1" x="102"/>
        <item m="1" x="103"/>
        <item m="1" x="100"/>
        <item m="1" x="246"/>
        <item m="1" x="50"/>
        <item m="1" x="216"/>
        <item m="1" x="99"/>
        <item m="1" x="40"/>
        <item m="1" x="78"/>
        <item m="1" x="67"/>
        <item m="1" x="16"/>
        <item m="1" x="24"/>
        <item m="1" x="58"/>
        <item m="1" x="211"/>
        <item m="1" x="52"/>
        <item m="1" x="19"/>
        <item m="1" x="185"/>
        <item m="1" x="215"/>
        <item m="1" x="53"/>
        <item m="1" x="23"/>
        <item m="1" x="164"/>
        <item m="1" x="18"/>
        <item x="0"/>
        <item m="1" x="219"/>
        <item m="1" x="55"/>
        <item m="1" x="222"/>
        <item m="1" x="250"/>
        <item m="1" x="227"/>
        <item m="1" x="235"/>
        <item m="1" x="150"/>
        <item m="1" x="121"/>
        <item m="1" x="91"/>
        <item m="1" x="36"/>
        <item m="1" x="31"/>
        <item m="1" x="95"/>
        <item m="1" x="218"/>
        <item m="1" x="167"/>
        <item m="1" x="162"/>
        <item m="1" x="41"/>
        <item m="1" x="237"/>
        <item m="1" x="173"/>
        <item m="1" x="196"/>
        <item m="1" x="201"/>
        <item m="1" x="232"/>
        <item m="1" x="25"/>
        <item m="1" x="230"/>
        <item m="1" x="209"/>
        <item m="1" x="51"/>
        <item m="1" x="66"/>
        <item m="1" x="217"/>
        <item m="1" x="110"/>
        <item m="1" x="96"/>
        <item m="1" x="245"/>
        <item m="1" x="213"/>
        <item m="1" x="141"/>
        <item m="1" x="43"/>
        <item m="1" x="149"/>
        <item m="1" x="153"/>
        <item m="1" x="65"/>
        <item m="1" x="27"/>
        <item m="1" x="229"/>
        <item m="1" x="165"/>
        <item m="1" x="156"/>
        <item m="1" x="238"/>
        <item m="1" x="62"/>
        <item m="1" x="131"/>
        <item m="1" x="42"/>
        <item m="1" x="197"/>
        <item m="1" x="257"/>
        <item m="1" x="214"/>
        <item m="1" x="83"/>
        <item m="1" x="26"/>
        <item m="1" x="243"/>
        <item m="1" x="195"/>
        <item m="1" x="142"/>
        <item m="1" x="171"/>
        <item m="1" x="166"/>
        <item m="1" x="258"/>
        <item m="1" x="190"/>
        <item m="1" x="204"/>
        <item m="1" x="114"/>
        <item m="1" x="93"/>
        <item m="1" x="220"/>
        <item m="1" x="224"/>
        <item m="1" x="228"/>
        <item m="1" x="21"/>
        <item m="1" x="202"/>
        <item m="1" x="109"/>
        <item m="1" x="134"/>
        <item m="1" x="35"/>
        <item m="1" x="39"/>
        <item m="1" x="189"/>
        <item m="1" x="64"/>
        <item m="1" x="139"/>
        <item m="1" x="32"/>
        <item m="1" x="54"/>
        <item m="1" x="98"/>
        <item m="1" x="68"/>
        <item m="1" x="168"/>
        <item m="1" x="33"/>
        <item m="1" x="236"/>
        <item m="1" x="117"/>
        <item m="1" x="63"/>
        <item m="1" x="61"/>
        <item m="1" x="104"/>
        <item m="1" x="71"/>
        <item m="1" x="212"/>
        <item m="1" x="207"/>
        <item m="1" x="249"/>
        <item m="1" x="17"/>
        <item m="1" x="181"/>
        <item m="1" x="86"/>
        <item m="1" x="84"/>
        <item m="1" x="240"/>
        <item m="1" x="183"/>
        <item m="1" x="239"/>
        <item m="1" x="254"/>
        <item m="1" x="80"/>
        <item m="1" x="176"/>
        <item m="1" x="143"/>
        <item m="1" x="37"/>
        <item m="1" x="160"/>
        <item m="1" x="129"/>
        <item m="1" x="107"/>
        <item m="1" x="135"/>
        <item m="1" x="205"/>
        <item m="1" x="132"/>
        <item m="1" x="44"/>
        <item m="1" x="92"/>
        <item m="1" x="76"/>
        <item m="1" x="147"/>
        <item m="1" x="199"/>
        <item m="1" x="187"/>
        <item m="1" x="111"/>
        <item m="1" x="122"/>
        <item m="1" x="49"/>
        <item m="1" x="73"/>
        <item m="1" x="198"/>
        <item m="1" x="145"/>
        <item m="1" x="127"/>
        <item m="1" x="47"/>
        <item m="1" x="69"/>
        <item m="1" x="191"/>
        <item m="1" x="157"/>
        <item m="1" x="158"/>
        <item m="1" x="115"/>
        <item m="1" x="29"/>
        <item m="1" x="203"/>
        <item m="1" x="179"/>
        <item m="1" x="94"/>
        <item m="1" x="252"/>
        <item m="1" x="119"/>
        <item m="1" x="72"/>
        <item m="1" x="59"/>
        <item m="1" x="138"/>
        <item m="1" x="56"/>
        <item m="1" x="89"/>
        <item m="1" x="172"/>
        <item m="1" x="118"/>
        <item m="1" x="151"/>
        <item m="1" x="126"/>
        <item m="1" x="194"/>
        <item m="1" x="34"/>
        <item m="1" x="140"/>
        <item m="1" x="116"/>
        <item m="1" x="225"/>
        <item m="1" x="242"/>
        <item m="1" x="105"/>
        <item m="1" x="152"/>
        <item m="1" x="244"/>
        <item m="1" x="247"/>
        <item m="1" x="82"/>
        <item m="1" x="75"/>
        <item m="1" x="20"/>
        <item m="1" x="133"/>
        <item m="1" x="22"/>
        <item m="1" x="155"/>
        <item m="1" x="248"/>
        <item m="1" x="79"/>
        <item m="1" x="233"/>
        <item m="1" x="175"/>
        <item m="1" x="169"/>
        <item m="1" x="124"/>
        <item m="1" x="154"/>
        <item m="1" x="159"/>
        <item m="1" x="90"/>
        <item m="1" x="57"/>
        <item m="1" x="125"/>
        <item m="1" x="60"/>
        <item m="1" x="223"/>
        <item m="1" x="46"/>
        <item m="1" x="251"/>
        <item m="1" x="208"/>
        <item m="1" x="97"/>
        <item x="1"/>
        <item x="2"/>
        <item x="3"/>
        <item x="4"/>
        <item x="5"/>
        <item x="6"/>
        <item x="7"/>
        <item x="8"/>
        <item x="9"/>
        <item x="10"/>
        <item m="1" x="182"/>
        <item m="1" x="87"/>
        <item m="1" x="85"/>
        <item m="1" x="241"/>
        <item m="1" x="184"/>
        <item m="1" x="253"/>
        <item m="1" x="255"/>
        <item m="1" x="81"/>
        <item m="1" x="177"/>
        <item m="1" x="144"/>
        <item m="1" x="38"/>
        <item m="1" x="161"/>
        <item m="1" x="130"/>
        <item m="1" x="108"/>
        <item m="1" x="136"/>
        <item m="1" x="206"/>
        <item m="1" x="170"/>
        <item x="11"/>
        <item x="12"/>
        <item m="1" x="180"/>
        <item m="1" x="77"/>
        <item m="1" x="148"/>
        <item m="1" x="200"/>
        <item m="1" x="188"/>
        <item m="1" x="112"/>
        <item m="1" x="123"/>
        <item m="1" x="120"/>
        <item m="1" x="74"/>
        <item x="13"/>
        <item m="1" x="146"/>
        <item m="1" x="128"/>
        <item m="1" x="48"/>
        <item m="1" x="70"/>
        <item m="1" x="192"/>
        <item x="14"/>
        <item t="default"/>
      </items>
    </pivotField>
    <pivotField axis="axisRow" showAll="0">
      <items count="3">
        <item m="1" x="1"/>
        <item x="0"/>
        <item t="default"/>
      </items>
    </pivotField>
    <pivotField axis="axisRow" showAll="0">
      <items count="270">
        <item m="1" x="19"/>
        <item m="1" x="158"/>
        <item m="1" x="208"/>
        <item m="1" x="230"/>
        <item m="1" x="255"/>
        <item m="1" x="123"/>
        <item m="1" x="194"/>
        <item m="1" x="258"/>
        <item m="1" x="202"/>
        <item m="1" x="66"/>
        <item m="1" x="75"/>
        <item m="1" x="87"/>
        <item m="1" x="212"/>
        <item m="1" x="160"/>
        <item m="1" x="161"/>
        <item m="1" x="40"/>
        <item m="1" x="42"/>
        <item m="1" x="224"/>
        <item m="1" x="142"/>
        <item m="1" x="99"/>
        <item m="1" x="225"/>
        <item m="1" x="209"/>
        <item m="1" x="235"/>
        <item m="1" x="191"/>
        <item m="1" x="241"/>
        <item m="1" x="231"/>
        <item m="1" x="256"/>
        <item m="1" x="74"/>
        <item m="1" x="159"/>
        <item m="1" x="36"/>
        <item m="1" x="71"/>
        <item m="1" x="98"/>
        <item m="1" x="193"/>
        <item m="1" x="199"/>
        <item m="1" x="134"/>
        <item m="1" x="108"/>
        <item m="1" x="249"/>
        <item m="1" x="211"/>
        <item m="1" x="114"/>
        <item m="1" x="257"/>
        <item m="1" x="260"/>
        <item m="1" x="153"/>
        <item x="0"/>
        <item m="1" x="121"/>
        <item m="1" x="169"/>
        <item m="1" x="175"/>
        <item m="1" x="109"/>
        <item m="1" x="64"/>
        <item m="1" x="236"/>
        <item m="1" x="240"/>
        <item m="1" x="27"/>
        <item m="1" x="219"/>
        <item m="1" x="139"/>
        <item m="1" x="221"/>
        <item m="1" x="47"/>
        <item m="1" x="102"/>
        <item m="1" x="172"/>
        <item m="1" x="72"/>
        <item m="1" x="48"/>
        <item m="1" x="192"/>
        <item m="1" x="115"/>
        <item m="1" x="242"/>
        <item m="1" x="133"/>
        <item m="1" x="261"/>
        <item m="1" x="226"/>
        <item m="1" x="179"/>
        <item m="1" x="132"/>
        <item m="1" x="56"/>
        <item m="1" x="105"/>
        <item m="1" x="59"/>
        <item m="1" x="76"/>
        <item m="1" x="197"/>
        <item m="1" x="203"/>
        <item m="1" x="94"/>
        <item m="1" x="49"/>
        <item m="1" x="60"/>
        <item m="1" x="149"/>
        <item m="1" x="176"/>
        <item m="1" x="20"/>
        <item m="1" x="21"/>
        <item m="1" x="259"/>
        <item m="1" x="126"/>
        <item m="1" x="265"/>
        <item m="1" x="145"/>
        <item m="1" x="198"/>
        <item m="1" x="162"/>
        <item m="1" x="166"/>
        <item m="1" x="165"/>
        <item m="1" x="95"/>
        <item m="1" x="210"/>
        <item m="1" x="173"/>
        <item m="1" x="143"/>
        <item m="1" x="90"/>
        <item m="1" x="120"/>
        <item m="1" x="55"/>
        <item m="1" x="214"/>
        <item m="1" x="43"/>
        <item m="1" x="227"/>
        <item m="1" x="24"/>
        <item m="1" x="44"/>
        <item m="1" x="61"/>
        <item m="1" x="144"/>
        <item m="1" x="190"/>
        <item m="1" x="237"/>
        <item m="1" x="254"/>
        <item m="1" x="250"/>
        <item m="1" x="118"/>
        <item m="1" x="229"/>
        <item m="1" x="195"/>
        <item m="1" x="178"/>
        <item m="1" x="67"/>
        <item m="1" x="23"/>
        <item m="1" x="234"/>
        <item m="1" x="148"/>
        <item m="1" x="30"/>
        <item m="1" x="65"/>
        <item m="1" x="245"/>
        <item m="1" x="177"/>
        <item m="1" x="220"/>
        <item m="1" x="131"/>
        <item m="1" x="130"/>
        <item m="1" x="150"/>
        <item m="1" x="29"/>
        <item m="1" x="238"/>
        <item m="1" x="186"/>
        <item m="1" x="62"/>
        <item m="1" x="119"/>
        <item m="1" x="207"/>
        <item m="1" x="183"/>
        <item m="1" x="68"/>
        <item m="1" x="128"/>
        <item m="1" x="83"/>
        <item m="1" x="135"/>
        <item m="1" x="112"/>
        <item m="1" x="31"/>
        <item m="1" x="156"/>
        <item m="1" x="243"/>
        <item m="1" x="34"/>
        <item m="1" x="78"/>
        <item m="1" x="188"/>
        <item m="1" x="184"/>
        <item m="1" x="263"/>
        <item m="1" x="154"/>
        <item m="1" x="222"/>
        <item m="1" x="106"/>
        <item m="1" x="163"/>
        <item m="1" x="171"/>
        <item m="1" x="213"/>
        <item m="1" x="86"/>
        <item m="1" x="45"/>
        <item m="1" x="96"/>
        <item m="1" x="266"/>
        <item m="1" x="146"/>
        <item m="1" x="247"/>
        <item m="1" x="79"/>
        <item m="1" x="51"/>
        <item m="1" x="181"/>
        <item m="1" x="63"/>
        <item m="1" x="124"/>
        <item m="1" x="151"/>
        <item m="1" x="103"/>
        <item m="1" x="116"/>
        <item m="1" x="92"/>
        <item m="1" x="69"/>
        <item m="1" x="88"/>
        <item m="1" x="89"/>
        <item m="1" x="251"/>
        <item m="1" x="28"/>
        <item m="1" x="33"/>
        <item m="1" x="174"/>
        <item m="1" x="167"/>
        <item m="1" x="52"/>
        <item m="1" x="53"/>
        <item m="1" x="215"/>
        <item m="1" x="205"/>
        <item m="1" x="252"/>
        <item m="1" x="180"/>
        <item m="1" x="100"/>
        <item m="1" x="101"/>
        <item m="1" x="228"/>
        <item m="1" x="216"/>
        <item m="1" x="137"/>
        <item m="1" x="232"/>
        <item m="1" x="127"/>
        <item m="1" x="122"/>
        <item m="1" x="77"/>
        <item m="1" x="140"/>
        <item m="1" x="239"/>
        <item m="1" x="110"/>
        <item m="1" x="187"/>
        <item m="1" x="91"/>
        <item m="1" x="54"/>
        <item m="1" x="57"/>
        <item m="1" x="170"/>
        <item m="1" x="262"/>
        <item m="1" x="37"/>
        <item m="1" x="50"/>
        <item m="1" x="58"/>
        <item m="1" x="217"/>
        <item m="1" x="246"/>
        <item m="1" x="268"/>
        <item m="1" x="157"/>
        <item m="1" x="25"/>
        <item m="1" x="201"/>
        <item m="1" x="26"/>
        <item m="1" x="196"/>
        <item m="1" x="111"/>
        <item m="1" x="39"/>
        <item m="1" x="41"/>
        <item m="1" x="200"/>
        <item m="1" x="70"/>
        <item m="1" x="38"/>
        <item m="1" x="85"/>
        <item m="1" x="138"/>
        <item m="1" x="233"/>
        <item m="1" x="218"/>
        <item m="1" x="204"/>
        <item m="1" x="82"/>
        <item m="1" x="141"/>
        <item m="1" x="22"/>
        <item x="1"/>
        <item x="2"/>
        <item x="3"/>
        <item x="4"/>
        <item x="5"/>
        <item x="6"/>
        <item x="7"/>
        <item x="8"/>
        <item x="9"/>
        <item x="10"/>
        <item x="11"/>
        <item x="12"/>
        <item x="13"/>
        <item m="1" x="129"/>
        <item m="1" x="84"/>
        <item m="1" x="136"/>
        <item m="1" x="113"/>
        <item m="1" x="32"/>
        <item m="1" x="206"/>
        <item m="1" x="244"/>
        <item m="1" x="35"/>
        <item m="1" x="80"/>
        <item m="1" x="189"/>
        <item m="1" x="185"/>
        <item m="1" x="264"/>
        <item m="1" x="155"/>
        <item m="1" x="223"/>
        <item m="1" x="107"/>
        <item m="1" x="164"/>
        <item m="1" x="73"/>
        <item x="14"/>
        <item x="15"/>
        <item m="1" x="168"/>
        <item m="1" x="46"/>
        <item m="1" x="97"/>
        <item m="1" x="267"/>
        <item m="1" x="147"/>
        <item m="1" x="248"/>
        <item m="1" x="81"/>
        <item m="1" x="253"/>
        <item m="1" x="182"/>
        <item x="17"/>
        <item m="1" x="125"/>
        <item m="1" x="152"/>
        <item m="1" x="104"/>
        <item m="1" x="117"/>
        <item m="1" x="93"/>
        <item x="16"/>
        <item x="18"/>
        <item t="default"/>
      </items>
    </pivotField>
    <pivotField axis="axisRow" showAll="0">
      <items count="5">
        <item m="1" x="1"/>
        <item x="0"/>
        <item m="1" x="2"/>
        <item m="1" x="3"/>
        <item t="default"/>
      </items>
    </pivotField>
    <pivotField axis="axisRow" showAll="0">
      <items count="48">
        <item m="1" x="1"/>
        <item x="0"/>
        <item m="1" x="22"/>
        <item m="1" x="11"/>
        <item m="1" x="12"/>
        <item m="1" x="5"/>
        <item m="1" x="34"/>
        <item m="1" x="24"/>
        <item m="1" x="37"/>
        <item m="1" x="2"/>
        <item m="1" x="36"/>
        <item m="1" x="44"/>
        <item m="1" x="21"/>
        <item m="1" x="41"/>
        <item m="1" x="32"/>
        <item m="1" x="38"/>
        <item m="1" x="35"/>
        <item m="1" x="46"/>
        <item m="1" x="18"/>
        <item m="1" x="45"/>
        <item m="1" x="43"/>
        <item m="1" x="19"/>
        <item m="1" x="14"/>
        <item m="1" x="42"/>
        <item m="1" x="15"/>
        <item m="1" x="16"/>
        <item m="1" x="9"/>
        <item m="1" x="30"/>
        <item m="1" x="17"/>
        <item m="1" x="33"/>
        <item m="1" x="25"/>
        <item m="1" x="28"/>
        <item m="1" x="4"/>
        <item m="1" x="23"/>
        <item m="1" x="29"/>
        <item m="1" x="26"/>
        <item m="1" x="3"/>
        <item m="1" x="7"/>
        <item m="1" x="27"/>
        <item m="1" x="40"/>
        <item m="1" x="20"/>
        <item m="1" x="8"/>
        <item m="1" x="10"/>
        <item m="1" x="31"/>
        <item m="1" x="13"/>
        <item m="1" x="39"/>
        <item m="1" x="6"/>
        <item t="default"/>
      </items>
    </pivotField>
    <pivotField axis="axisRow" showAll="0">
      <items count="4">
        <item m="1" x="1"/>
        <item x="0"/>
        <item m="1" x="2"/>
        <item t="default"/>
      </items>
    </pivotField>
    <pivotField axis="axisRow" showAll="0">
      <items count="48">
        <item m="1" x="1"/>
        <item x="0"/>
        <item m="1" x="26"/>
        <item m="1" x="22"/>
        <item m="1" x="10"/>
        <item m="1" x="41"/>
        <item m="1" x="38"/>
        <item m="1" x="25"/>
        <item m="1" x="9"/>
        <item m="1" x="35"/>
        <item m="1" x="33"/>
        <item m="1" x="24"/>
        <item m="1" x="42"/>
        <item m="1" x="34"/>
        <item m="1" x="37"/>
        <item m="1" x="7"/>
        <item m="1" x="19"/>
        <item m="1" x="44"/>
        <item m="1" x="4"/>
        <item m="1" x="3"/>
        <item m="1" x="28"/>
        <item m="1" x="32"/>
        <item m="1" x="36"/>
        <item m="1" x="31"/>
        <item m="1" x="6"/>
        <item m="1" x="2"/>
        <item m="1" x="39"/>
        <item m="1" x="13"/>
        <item m="1" x="16"/>
        <item m="1" x="14"/>
        <item m="1" x="15"/>
        <item m="1" x="21"/>
        <item m="1" x="8"/>
        <item m="1" x="45"/>
        <item m="1" x="30"/>
        <item m="1" x="43"/>
        <item m="1" x="11"/>
        <item m="1" x="29"/>
        <item m="1" x="40"/>
        <item m="1" x="20"/>
        <item m="1" x="23"/>
        <item m="1" x="5"/>
        <item m="1" x="12"/>
        <item m="1" x="46"/>
        <item m="1" x="18"/>
        <item m="1" x="17"/>
        <item m="1" x="27"/>
        <item t="default"/>
      </items>
    </pivotField>
    <pivotField axis="axisRow" showAll="0">
      <items count="3">
        <item m="1" x="1"/>
        <item x="0"/>
        <item t="default"/>
      </items>
    </pivotField>
    <pivotField axis="axisRow" showAll="0">
      <items count="185">
        <item m="1" x="12"/>
        <item x="0"/>
        <item m="1" x="164"/>
        <item m="1" x="174"/>
        <item m="1" x="13"/>
        <item m="1" x="14"/>
        <item m="1" x="18"/>
        <item m="1" x="27"/>
        <item m="1" x="130"/>
        <item m="1" x="165"/>
        <item m="1" x="166"/>
        <item m="1" x="167"/>
        <item m="1" x="168"/>
        <item m="1" x="113"/>
        <item m="1" x="83"/>
        <item m="1" x="169"/>
        <item m="1" x="131"/>
        <item m="1" x="132"/>
        <item m="1" x="88"/>
        <item m="1" x="114"/>
        <item m="1" x="115"/>
        <item m="1" x="170"/>
        <item m="1" x="171"/>
        <item m="1" x="175"/>
        <item m="1" x="176"/>
        <item m="1" x="177"/>
        <item m="1" x="100"/>
        <item m="1" x="104"/>
        <item m="1" x="101"/>
        <item m="1" x="75"/>
        <item m="1" x="127"/>
        <item m="1" x="111"/>
        <item m="1" x="76"/>
        <item m="1" x="128"/>
        <item m="1" x="28"/>
        <item m="1" x="77"/>
        <item m="1" x="102"/>
        <item m="1" x="103"/>
        <item m="1" x="43"/>
        <item m="1" x="145"/>
        <item m="1" x="141"/>
        <item m="1" x="138"/>
        <item m="1" x="139"/>
        <item m="1" x="137"/>
        <item m="1" x="136"/>
        <item m="1" x="155"/>
        <item m="1" x="146"/>
        <item m="1" x="147"/>
        <item m="1" x="148"/>
        <item m="1" x="149"/>
        <item m="1" x="160"/>
        <item m="1" x="84"/>
        <item m="1" x="150"/>
        <item m="1" x="156"/>
        <item m="1" x="157"/>
        <item m="1" x="66"/>
        <item m="1" x="161"/>
        <item m="1" x="162"/>
        <item m="1" x="151"/>
        <item m="1" x="152"/>
        <item m="1" x="142"/>
        <item m="1" x="143"/>
        <item m="1" x="144"/>
        <item m="1" x="153"/>
        <item m="1" x="163"/>
        <item m="1" x="140"/>
        <item m="1" x="85"/>
        <item m="1" x="16"/>
        <item m="1" x="172"/>
        <item m="1" x="86"/>
        <item m="1" x="17"/>
        <item m="1" x="173"/>
        <item m="1" x="87"/>
        <item m="1" x="158"/>
        <item m="1" x="159"/>
        <item m="1" x="15"/>
        <item m="1" x="94"/>
        <item m="1" x="95"/>
        <item m="1" x="78"/>
        <item m="1" x="79"/>
        <item m="1" x="44"/>
        <item m="1" x="21"/>
        <item m="1" x="178"/>
        <item m="1" x="179"/>
        <item m="1" x="129"/>
        <item m="1" x="96"/>
        <item m="1" x="69"/>
        <item m="1" x="45"/>
        <item m="1" x="46"/>
        <item m="1" x="47"/>
        <item m="1" x="48"/>
        <item m="1" x="97"/>
        <item m="1" x="70"/>
        <item m="1" x="49"/>
        <item m="1" x="71"/>
        <item m="1" x="72"/>
        <item m="1" x="20"/>
        <item m="1" x="98"/>
        <item m="1" x="99"/>
        <item m="1" x="50"/>
        <item m="1" x="51"/>
        <item m="1" x="22"/>
        <item m="1" x="23"/>
        <item m="1" x="24"/>
        <item m="1" x="52"/>
        <item m="1" x="105"/>
        <item m="1" x="108"/>
        <item m="1" x="25"/>
        <item m="1" x="109"/>
        <item m="1" x="26"/>
        <item m="1" x="53"/>
        <item m="1" x="110"/>
        <item m="1" x="73"/>
        <item m="1" x="74"/>
        <item m="1" x="57"/>
        <item m="1" x="90"/>
        <item m="1" x="134"/>
        <item m="1" x="135"/>
        <item m="1" x="183"/>
        <item m="1" x="35"/>
        <item m="1" x="29"/>
        <item m="1" x="58"/>
        <item m="1" x="59"/>
        <item m="1" x="60"/>
        <item m="1" x="61"/>
        <item m="1" x="180"/>
        <item m="1" x="30"/>
        <item m="1" x="62"/>
        <item m="1" x="31"/>
        <item m="1" x="32"/>
        <item m="1" x="126"/>
        <item m="1" x="181"/>
        <item m="1" x="182"/>
        <item m="1" x="63"/>
        <item m="1" x="64"/>
        <item m="1" x="91"/>
        <item m="1" x="92"/>
        <item m="1" x="93"/>
        <item m="1" x="65"/>
        <item m="1" x="89"/>
        <item m="1" x="80"/>
        <item m="1" x="106"/>
        <item m="1" x="81"/>
        <item m="1" x="107"/>
        <item m="1" x="133"/>
        <item m="1" x="82"/>
        <item m="1" x="33"/>
        <item m="1" x="34"/>
        <item x="1"/>
        <item x="2"/>
        <item x="3"/>
        <item x="4"/>
        <item x="5"/>
        <item x="6"/>
        <item x="7"/>
        <item x="8"/>
        <item x="9"/>
        <item m="1" x="119"/>
        <item m="1" x="120"/>
        <item m="1" x="121"/>
        <item m="1" x="122"/>
        <item m="1" x="116"/>
        <item m="1" x="36"/>
        <item m="1" x="123"/>
        <item m="1" x="37"/>
        <item m="1" x="38"/>
        <item m="1" x="154"/>
        <item m="1" x="117"/>
        <item m="1" x="118"/>
        <item m="1" x="124"/>
        <item m="1" x="125"/>
        <item m="1" x="41"/>
        <item m="1" x="42"/>
        <item x="10"/>
        <item x="11"/>
        <item m="1" x="112"/>
        <item m="1" x="54"/>
        <item m="1" x="67"/>
        <item m="1" x="55"/>
        <item m="1" x="68"/>
        <item m="1" x="19"/>
        <item m="1" x="56"/>
        <item m="1" x="39"/>
        <item m="1" x="40"/>
        <item t="default"/>
      </items>
    </pivotField>
    <pivotField axis="axisRow" showAll="0">
      <items count="241">
        <item m="1" x="44"/>
        <item m="1" x="205"/>
        <item m="1" x="201"/>
        <item m="1" x="228"/>
        <item m="1" x="168"/>
        <item m="1" x="108"/>
        <item m="1" x="107"/>
        <item m="1" x="137"/>
        <item m="1" x="118"/>
        <item m="1" x="206"/>
        <item m="1" x="207"/>
        <item m="1" x="52"/>
        <item m="1" x="179"/>
        <item m="1" x="150"/>
        <item m="1" x="157"/>
        <item m="1" x="234"/>
        <item m="1" x="235"/>
        <item m="1" x="57"/>
        <item m="1" x="215"/>
        <item m="1" x="223"/>
        <item m="1" x="194"/>
        <item m="1" x="232"/>
        <item m="1" x="138"/>
        <item m="1" x="148"/>
        <item m="1" x="130"/>
        <item m="1" x="173"/>
        <item m="1" x="119"/>
        <item m="1" x="237"/>
        <item m="1" x="99"/>
        <item m="1" x="73"/>
        <item m="1" x="135"/>
        <item m="1" x="131"/>
        <item m="1" x="238"/>
        <item m="1" x="122"/>
        <item m="1" x="226"/>
        <item m="1" x="212"/>
        <item m="1" x="203"/>
        <item m="1" x="193"/>
        <item m="1" x="178"/>
        <item m="1" x="58"/>
        <item m="1" x="59"/>
        <item x="0"/>
        <item m="1" x="126"/>
        <item m="1" x="156"/>
        <item m="1" x="112"/>
        <item m="1" x="78"/>
        <item m="1" x="133"/>
        <item m="1" x="146"/>
        <item m="1" x="64"/>
        <item m="1" x="151"/>
        <item m="1" x="127"/>
        <item m="1" x="128"/>
        <item m="1" x="189"/>
        <item m="1" x="140"/>
        <item m="1" x="50"/>
        <item m="1" x="171"/>
        <item m="1" x="210"/>
        <item m="1" x="211"/>
        <item m="1" x="61"/>
        <item m="1" x="90"/>
        <item m="1" x="105"/>
        <item m="1" x="62"/>
        <item m="1" x="103"/>
        <item m="1" x="65"/>
        <item m="1" x="213"/>
        <item m="1" x="197"/>
        <item m="1" x="152"/>
        <item m="1" x="195"/>
        <item m="1" x="125"/>
        <item m="1" x="124"/>
        <item m="1" x="129"/>
        <item m="1" x="147"/>
        <item m="1" x="174"/>
        <item m="1" x="66"/>
        <item m="1" x="214"/>
        <item m="1" x="87"/>
        <item m="1" x="136"/>
        <item m="1" x="63"/>
        <item m="1" x="81"/>
        <item m="1" x="220"/>
        <item m="1" x="221"/>
        <item m="1" x="74"/>
        <item m="1" x="202"/>
        <item m="1" x="46"/>
        <item m="1" x="72"/>
        <item m="1" x="49"/>
        <item m="1" x="216"/>
        <item m="1" x="161"/>
        <item m="1" x="47"/>
        <item m="1" x="75"/>
        <item m="1" x="76"/>
        <item m="1" x="111"/>
        <item m="1" x="153"/>
        <item m="1" x="121"/>
        <item m="1" x="67"/>
        <item m="1" x="116"/>
        <item m="1" x="117"/>
        <item m="1" x="204"/>
        <item m="1" x="80"/>
        <item m="1" x="217"/>
        <item m="1" x="199"/>
        <item m="1" x="45"/>
        <item m="1" x="162"/>
        <item m="1" x="187"/>
        <item m="1" x="190"/>
        <item m="1" x="53"/>
        <item m="1" x="222"/>
        <item m="1" x="100"/>
        <item m="1" x="98"/>
        <item m="1" x="91"/>
        <item m="1" x="77"/>
        <item m="1" x="227"/>
        <item m="1" x="175"/>
        <item m="1" x="142"/>
        <item m="1" x="172"/>
        <item m="1" x="85"/>
        <item m="1" x="184"/>
        <item m="1" x="149"/>
        <item m="1" x="154"/>
        <item m="1" x="155"/>
        <item m="1" x="180"/>
        <item m="1" x="115"/>
        <item m="1" x="68"/>
        <item m="1" x="71"/>
        <item m="1" x="166"/>
        <item m="1" x="139"/>
        <item m="1" x="55"/>
        <item m="1" x="230"/>
        <item m="1" x="181"/>
        <item m="1" x="182"/>
        <item m="1" x="198"/>
        <item m="1" x="191"/>
        <item m="1" x="200"/>
        <item m="1" x="236"/>
        <item m="1" x="185"/>
        <item m="1" x="186"/>
        <item m="1" x="109"/>
        <item m="1" x="144"/>
        <item m="1" x="106"/>
        <item m="1" x="102"/>
        <item m="1" x="101"/>
        <item m="1" x="56"/>
        <item m="1" x="177"/>
        <item m="1" x="159"/>
        <item m="1" x="231"/>
        <item m="1" x="218"/>
        <item m="1" x="123"/>
        <item m="1" x="188"/>
        <item m="1" x="169"/>
        <item m="1" x="120"/>
        <item m="1" x="229"/>
        <item m="1" x="86"/>
        <item m="1" x="225"/>
        <item m="1" x="84"/>
        <item m="1" x="160"/>
        <item m="1" x="94"/>
        <item m="1" x="54"/>
        <item m="1" x="96"/>
        <item m="1" x="97"/>
        <item m="1" x="88"/>
        <item x="2"/>
        <item x="3"/>
        <item m="1" x="95"/>
        <item x="1"/>
        <item m="1" x="51"/>
        <item m="1" x="233"/>
        <item m="1" x="143"/>
        <item m="1" x="192"/>
        <item m="1" x="176"/>
        <item x="4"/>
        <item x="5"/>
        <item x="6"/>
        <item x="7"/>
        <item x="8"/>
        <item x="9"/>
        <item x="10"/>
        <item x="11"/>
        <item m="1" x="60"/>
        <item m="1" x="163"/>
        <item m="1" x="164"/>
        <item m="1" x="89"/>
        <item m="1" x="104"/>
        <item m="1" x="48"/>
        <item m="1" x="158"/>
        <item m="1" x="92"/>
        <item m="1" x="93"/>
        <item m="1" x="114"/>
        <item m="1" x="167"/>
        <item m="1" x="239"/>
        <item m="1" x="113"/>
        <item m="1" x="145"/>
        <item m="1" x="224"/>
        <item m="1" x="110"/>
        <item x="31"/>
        <item x="32"/>
        <item m="1" x="183"/>
        <item m="1" x="134"/>
        <item m="1" x="132"/>
        <item m="1" x="170"/>
        <item m="1" x="79"/>
        <item m="1" x="209"/>
        <item m="1" x="208"/>
        <item m="1" x="219"/>
        <item x="42"/>
        <item m="1" x="83"/>
        <item m="1" x="196"/>
        <item m="1" x="141"/>
        <item m="1" x="69"/>
        <item m="1" x="70"/>
        <item x="12"/>
        <item x="13"/>
        <item x="14"/>
        <item x="15"/>
        <item x="16"/>
        <item x="17"/>
        <item x="18"/>
        <item x="19"/>
        <item x="20"/>
        <item x="21"/>
        <item x="22"/>
        <item x="23"/>
        <item x="24"/>
        <item x="25"/>
        <item x="26"/>
        <item x="27"/>
        <item x="28"/>
        <item x="29"/>
        <item m="1" x="165"/>
        <item x="33"/>
        <item x="34"/>
        <item x="35"/>
        <item x="36"/>
        <item m="1" x="82"/>
        <item x="38"/>
        <item x="39"/>
        <item x="40"/>
        <item x="41"/>
        <item x="30"/>
        <item x="37"/>
        <item x="43"/>
        <item t="default"/>
      </items>
    </pivotField>
    <pivotField axis="axisRow" showAll="0">
      <items count="3">
        <item m="1" x="1"/>
        <item x="0"/>
        <item t="default"/>
      </items>
    </pivotField>
    <pivotField axis="axisRow" showAll="0">
      <items count="33">
        <item m="1" x="4"/>
        <item m="1" x="20"/>
        <item m="1" x="18"/>
        <item m="1" x="5"/>
        <item m="1" x="8"/>
        <item m="1" x="6"/>
        <item m="1" x="25"/>
        <item m="1" x="17"/>
        <item m="1" x="31"/>
        <item x="0"/>
        <item m="1" x="19"/>
        <item m="1" x="7"/>
        <item m="1" x="26"/>
        <item m="1" x="9"/>
        <item m="1" x="15"/>
        <item m="1" x="10"/>
        <item m="1" x="16"/>
        <item m="1" x="11"/>
        <item m="1" x="13"/>
        <item m="1" x="14"/>
        <item m="1" x="22"/>
        <item m="1" x="12"/>
        <item m="1" x="21"/>
        <item m="1" x="27"/>
        <item m="1" x="29"/>
        <item m="1" x="23"/>
        <item m="1" x="28"/>
        <item m="1" x="30"/>
        <item m="1" x="24"/>
        <item x="1"/>
        <item x="2"/>
        <item x="3"/>
        <item t="default"/>
      </items>
    </pivotField>
    <pivotField axis="axisRow" showAll="0">
      <items count="10">
        <item m="1" x="1"/>
        <item m="1" x="8"/>
        <item m="1" x="3"/>
        <item m="1" x="2"/>
        <item x="0"/>
        <item m="1" x="5"/>
        <item m="1" x="4"/>
        <item m="1" x="6"/>
        <item m="1" x="7"/>
        <item t="default"/>
      </items>
    </pivotField>
    <pivotField axis="axisRow" showAll="0">
      <items count="610">
        <item m="1" x="34"/>
        <item m="1" x="607"/>
        <item m="1" x="49"/>
        <item m="1" x="569"/>
        <item m="1" x="389"/>
        <item m="1" x="205"/>
        <item m="1" x="439"/>
        <item m="1" x="319"/>
        <item m="1" x="438"/>
        <item m="1" x="564"/>
        <item m="1" x="508"/>
        <item m="1" x="383"/>
        <item m="1" x="126"/>
        <item m="1" x="35"/>
        <item m="1" x="36"/>
        <item m="1" x="288"/>
        <item m="1" x="340"/>
        <item m="1" x="471"/>
        <item m="1" x="283"/>
        <item m="1" x="258"/>
        <item m="1" x="358"/>
        <item m="1" x="578"/>
        <item m="1" x="321"/>
        <item m="1" x="394"/>
        <item m="1" x="490"/>
        <item m="1" x="345"/>
        <item m="1" x="487"/>
        <item m="1" x="499"/>
        <item m="1" x="572"/>
        <item m="1" x="485"/>
        <item m="1" x="350"/>
        <item m="1" x="145"/>
        <item m="1" x="497"/>
        <item m="1" x="274"/>
        <item m="1" x="220"/>
        <item m="1" x="269"/>
        <item m="1" x="403"/>
        <item m="1" x="459"/>
        <item m="1" x="491"/>
        <item m="1" x="120"/>
        <item m="1" x="119"/>
        <item m="1" x="580"/>
        <item m="1" x="393"/>
        <item m="1" x="467"/>
        <item m="1" x="239"/>
        <item m="1" x="434"/>
        <item m="1" x="466"/>
        <item m="1" x="511"/>
        <item m="1" x="77"/>
        <item m="1" x="346"/>
        <item m="1" x="209"/>
        <item m="1" x="384"/>
        <item m="1" x="406"/>
        <item m="1" x="432"/>
        <item m="1" x="474"/>
        <item m="1" x="241"/>
        <item m="1" x="423"/>
        <item m="1" x="135"/>
        <item m="1" x="351"/>
        <item m="1" x="359"/>
        <item m="1" x="204"/>
        <item m="1" x="550"/>
        <item m="1" x="259"/>
        <item m="1" x="509"/>
        <item m="1" x="180"/>
        <item m="1" x="571"/>
        <item m="1" x="156"/>
        <item m="1" x="475"/>
        <item m="1" x="379"/>
        <item m="1" x="244"/>
        <item m="1" x="570"/>
        <item m="1" x="122"/>
        <item m="1" x="419"/>
        <item m="1" x="192"/>
        <item m="1" x="562"/>
        <item m="1" x="451"/>
        <item m="1" x="316"/>
        <item m="1" x="343"/>
        <item m="1" x="95"/>
        <item m="1" x="149"/>
        <item m="1" x="297"/>
        <item m="1" x="428"/>
        <item m="1" x="54"/>
        <item m="1" x="163"/>
        <item m="1" x="482"/>
        <item m="1" x="131"/>
        <item m="1" x="598"/>
        <item m="1" x="103"/>
        <item m="1" x="58"/>
        <item m="1" x="452"/>
        <item m="1" x="158"/>
        <item m="1" x="444"/>
        <item m="1" x="563"/>
        <item m="1" x="59"/>
        <item m="1" x="74"/>
        <item m="1" x="492"/>
        <item x="0"/>
        <item m="1" x="38"/>
        <item m="1" x="261"/>
        <item m="1" x="464"/>
        <item m="1" x="189"/>
        <item m="1" x="46"/>
        <item m="1" x="171"/>
        <item m="1" x="337"/>
        <item m="1" x="186"/>
        <item m="1" x="112"/>
        <item m="1" x="109"/>
        <item m="1" x="110"/>
        <item m="1" x="270"/>
        <item m="1" x="62"/>
        <item m="1" x="540"/>
        <item m="1" x="167"/>
        <item m="1" x="73"/>
        <item m="1" x="489"/>
        <item m="1" x="208"/>
        <item m="1" x="527"/>
        <item m="1" x="505"/>
        <item m="1" x="178"/>
        <item m="1" x="504"/>
        <item m="1" x="525"/>
        <item m="1" x="585"/>
        <item m="1" x="197"/>
        <item m="1" x="228"/>
        <item m="1" x="63"/>
        <item m="1" x="335"/>
        <item m="1" x="111"/>
        <item m="1" x="532"/>
        <item m="1" x="52"/>
        <item m="1" x="61"/>
        <item m="1" x="582"/>
        <item m="1" x="53"/>
        <item m="1" x="47"/>
        <item m="1" x="542"/>
        <item m="1" x="331"/>
        <item m="1" x="388"/>
        <item m="1" x="352"/>
        <item m="1" x="460"/>
        <item m="1" x="48"/>
        <item m="1" x="362"/>
        <item m="1" x="182"/>
        <item m="1" x="589"/>
        <item m="1" x="344"/>
        <item m="1" x="234"/>
        <item m="1" x="57"/>
        <item m="1" x="250"/>
        <item m="1" x="544"/>
        <item m="1" x="223"/>
        <item m="1" x="245"/>
        <item m="1" x="153"/>
        <item m="1" x="90"/>
        <item m="1" x="224"/>
        <item m="1" x="326"/>
        <item m="1" x="96"/>
        <item m="1" x="445"/>
        <item m="1" x="378"/>
        <item m="1" x="39"/>
        <item m="1" x="588"/>
        <item m="1" x="520"/>
        <item m="1" x="118"/>
        <item m="1" x="247"/>
        <item m="1" x="265"/>
        <item m="1" x="587"/>
        <item m="1" x="164"/>
        <item m="1" x="177"/>
        <item m="1" x="590"/>
        <item m="1" x="93"/>
        <item m="1" x="536"/>
        <item m="1" x="218"/>
        <item m="1" x="447"/>
        <item m="1" x="42"/>
        <item m="1" x="515"/>
        <item m="1" x="516"/>
        <item m="1" x="67"/>
        <item m="1" x="534"/>
        <item m="1" x="99"/>
        <item m="1" x="188"/>
        <item m="1" x="418"/>
        <item m="1" x="290"/>
        <item m="1" x="161"/>
        <item m="1" x="478"/>
        <item m="1" x="547"/>
        <item m="1" x="368"/>
        <item m="1" x="512"/>
        <item m="1" x="246"/>
        <item m="1" x="165"/>
        <item m="1" x="551"/>
        <item m="1" x="426"/>
        <item m="1" x="262"/>
        <item m="1" x="483"/>
        <item m="1" x="558"/>
        <item m="1" x="341"/>
        <item m="1" x="420"/>
        <item m="1" x="367"/>
        <item m="1" x="132"/>
        <item m="1" x="513"/>
        <item m="1" x="157"/>
        <item m="1" x="602"/>
        <item m="1" x="409"/>
        <item m="1" x="575"/>
        <item m="1" x="355"/>
        <item m="1" x="81"/>
        <item m="1" x="194"/>
        <item m="1" x="154"/>
        <item m="1" x="104"/>
        <item m="1" x="191"/>
        <item m="1" x="237"/>
        <item m="1" x="293"/>
        <item m="1" x="425"/>
        <item m="1" x="166"/>
        <item m="1" x="470"/>
        <item m="1" x="477"/>
        <item m="1" x="456"/>
        <item m="1" x="147"/>
        <item m="1" x="429"/>
        <item m="1" x="422"/>
        <item m="1" x="577"/>
        <item m="1" x="307"/>
        <item m="1" x="365"/>
        <item m="1" x="56"/>
        <item m="1" x="229"/>
        <item m="1" x="64"/>
        <item m="1" x="107"/>
        <item m="1" x="592"/>
        <item m="1" x="116"/>
        <item m="1" x="123"/>
        <item m="1" x="238"/>
        <item m="1" x="308"/>
        <item m="1" x="155"/>
        <item m="1" x="354"/>
        <item m="1" x="503"/>
        <item m="1" x="473"/>
        <item m="1" x="401"/>
        <item m="1" x="309"/>
        <item m="1" x="193"/>
        <item m="1" x="97"/>
        <item m="1" x="98"/>
        <item m="1" x="370"/>
        <item m="1" x="298"/>
        <item m="1" x="498"/>
        <item m="1" x="583"/>
        <item m="1" x="581"/>
        <item m="1" x="541"/>
        <item m="1" x="522"/>
        <item m="1" x="455"/>
        <item m="1" x="494"/>
        <item m="1" x="561"/>
        <item m="1" x="472"/>
        <item m="1" x="517"/>
        <item m="1" x="51"/>
        <item m="1" x="190"/>
        <item m="1" x="560"/>
        <item m="1" x="174"/>
        <item m="1" x="150"/>
        <item m="1" x="295"/>
        <item m="1" x="86"/>
        <item m="1" x="381"/>
        <item m="1" x="117"/>
        <item m="1" x="221"/>
        <item m="1" x="440"/>
        <item m="1" x="526"/>
        <item m="1" x="286"/>
        <item m="1" x="533"/>
        <item m="1" x="437"/>
        <item m="1" x="140"/>
        <item m="1" x="608"/>
        <item m="1" x="92"/>
        <item m="1" x="146"/>
        <item m="1" x="311"/>
        <item m="1" x="313"/>
        <item m="1" x="574"/>
        <item m="1" x="357"/>
        <item m="1" x="573"/>
        <item m="1" x="272"/>
        <item m="1" x="253"/>
        <item m="1" x="232"/>
        <item m="1" x="124"/>
        <item m="1" x="431"/>
        <item m="1" x="415"/>
        <item m="1" x="448"/>
        <item m="1" x="369"/>
        <item m="1" x="80"/>
        <item m="1" x="484"/>
        <item m="1" x="143"/>
        <item m="1" x="312"/>
        <item m="1" x="529"/>
        <item m="1" x="172"/>
        <item m="1" x="427"/>
        <item m="1" x="521"/>
        <item m="1" x="523"/>
        <item m="1" x="105"/>
        <item m="1" x="71"/>
        <item m="1" x="430"/>
        <item m="1" x="301"/>
        <item m="1" x="397"/>
        <item m="1" x="230"/>
        <item m="1" x="334"/>
        <item m="1" x="281"/>
        <item m="1" x="476"/>
        <item m="1" x="291"/>
        <item m="1" x="292"/>
        <item m="1" x="243"/>
        <item m="1" x="294"/>
        <item m="1" x="407"/>
        <item m="1" x="411"/>
        <item m="1" x="148"/>
        <item m="1" x="248"/>
        <item m="1" x="392"/>
        <item m="1" x="375"/>
        <item m="1" x="282"/>
        <item m="1" x="267"/>
        <item m="1" x="280"/>
        <item m="1" x="373"/>
        <item m="1" x="417"/>
        <item m="1" x="320"/>
        <item m="1" x="449"/>
        <item m="1" x="315"/>
        <item m="1" x="545"/>
        <item m="1" x="284"/>
        <item m="1" x="601"/>
        <item m="1" x="594"/>
        <item m="1" x="443"/>
        <item m="1" x="257"/>
        <item m="1" x="342"/>
        <item m="1" x="332"/>
        <item m="1" x="546"/>
        <item m="1" x="457"/>
        <item m="1" x="518"/>
        <item m="1" x="176"/>
        <item m="1" x="68"/>
        <item m="1" x="463"/>
        <item m="1" x="506"/>
        <item m="1" x="514"/>
        <item m="1" x="468"/>
        <item m="1" x="199"/>
        <item m="1" x="400"/>
        <item m="1" x="353"/>
        <item m="1" x="374"/>
        <item m="1" x="289"/>
        <item m="1" x="328"/>
        <item m="1" x="339"/>
        <item m="1" x="89"/>
        <item m="1" x="543"/>
        <item m="1" x="519"/>
        <item m="1" x="454"/>
        <item m="1" x="502"/>
        <item m="1" x="43"/>
        <item m="1" x="162"/>
        <item m="1" x="130"/>
        <item m="1" x="500"/>
        <item m="1" x="273"/>
        <item m="1" x="82"/>
        <item m="1" x="300"/>
        <item m="1" x="387"/>
        <item m="1" x="324"/>
        <item m="1" x="44"/>
        <item m="1" x="501"/>
        <item m="1" x="548"/>
        <item m="1" x="219"/>
        <item m="1" x="408"/>
        <item m="1" x="217"/>
        <item m="1" x="215"/>
        <item m="1" x="555"/>
        <item m="1" x="495"/>
        <item m="1" x="496"/>
        <item m="1" x="433"/>
        <item m="1" x="531"/>
        <item m="1" x="376"/>
        <item m="1" x="461"/>
        <item m="1" x="144"/>
        <item m="1" x="329"/>
        <item m="1" x="285"/>
        <item m="1" x="129"/>
        <item m="1" x="557"/>
        <item m="1" x="576"/>
        <item m="1" x="568"/>
        <item m="1" x="137"/>
        <item m="1" x="113"/>
        <item m="1" x="201"/>
        <item m="1" x="216"/>
        <item m="1" x="214"/>
        <item m="1" x="187"/>
        <item m="1" x="88"/>
        <item m="1" x="479"/>
        <item m="1" x="55"/>
        <item m="1" x="235"/>
        <item m="1" x="412"/>
        <item m="1" x="453"/>
        <item m="1" x="559"/>
        <item m="1" x="465"/>
        <item m="1" x="410"/>
        <item m="1" x="173"/>
        <item m="1" x="424"/>
        <item m="1" x="591"/>
        <item m="1" x="371"/>
        <item m="1" x="114"/>
        <item m="1" x="405"/>
        <item m="1" x="226"/>
        <item m="1" x="133"/>
        <item m="1" x="325"/>
        <item m="1" x="142"/>
        <item m="1" x="87"/>
        <item m="1" x="524"/>
        <item m="1" x="364"/>
        <item m="1" x="242"/>
        <item m="1" x="102"/>
        <item m="1" x="41"/>
        <item m="1" x="106"/>
        <item m="1" x="108"/>
        <item m="1" x="275"/>
        <item m="1" x="549"/>
        <item m="1" x="435"/>
        <item m="1" x="249"/>
        <item m="1" x="227"/>
        <item m="1" x="579"/>
        <item m="1" x="604"/>
        <item m="1" x="336"/>
        <item m="1" x="347"/>
        <item m="1" x="203"/>
        <item m="1" x="128"/>
        <item m="1" x="287"/>
        <item m="1" x="37"/>
        <item m="1" x="416"/>
        <item m="1" x="141"/>
        <item m="1" x="391"/>
        <item m="1" x="66"/>
        <item m="1" x="318"/>
        <item m="1" x="304"/>
        <item m="1" x="305"/>
        <item m="1" x="382"/>
        <item m="1" x="372"/>
        <item m="1" x="207"/>
        <item m="1" x="279"/>
        <item m="1" x="251"/>
        <item m="1" x="462"/>
        <item m="1" x="556"/>
        <item m="1" x="566"/>
        <item m="1" x="183"/>
        <item m="1" x="125"/>
        <item m="1" x="152"/>
        <item m="1" x="530"/>
        <item m="1" x="552"/>
        <item m="1" x="83"/>
        <item m="1" x="200"/>
        <item m="1" x="553"/>
        <item m="1" x="175"/>
        <item m="1" x="233"/>
        <item m="1" x="231"/>
        <item m="1" x="493"/>
        <item m="1" x="263"/>
        <item m="1" x="399"/>
        <item m="1" x="264"/>
        <item m="1" x="101"/>
        <item m="1" x="198"/>
        <item m="1" x="306"/>
        <item m="1" x="210"/>
        <item m="1" x="211"/>
        <item m="1" x="255"/>
        <item m="1" x="299"/>
        <item m="1" x="79"/>
        <item m="1" x="338"/>
        <item m="1" x="254"/>
        <item m="1" x="565"/>
        <item m="1" x="278"/>
        <item m="1" x="600"/>
        <item m="1" x="168"/>
        <item m="1" x="213"/>
        <item m="1" x="196"/>
        <item m="1" x="390"/>
        <item m="1" x="69"/>
        <item m="1" x="202"/>
        <item m="1" x="537"/>
        <item m="1" x="268"/>
        <item m="1" x="348"/>
        <item m="1" x="535"/>
        <item m="1" x="212"/>
        <item m="1" x="413"/>
        <item m="1" x="303"/>
        <item m="1" x="134"/>
        <item m="1" x="380"/>
        <item m="1" x="330"/>
        <item m="1" x="322"/>
        <item m="1" x="169"/>
        <item m="1" x="323"/>
        <item m="1" x="170"/>
        <item m="1" x="599"/>
        <item m="1" x="75"/>
        <item m="1" x="225"/>
        <item m="1" x="40"/>
        <item m="1" x="469"/>
        <item m="1" x="84"/>
        <item m="1" x="395"/>
        <item m="1" x="85"/>
        <item m="1" x="386"/>
        <item m="1" x="179"/>
        <item m="1" x="554"/>
        <item m="1" x="252"/>
        <item m="1" x="302"/>
        <item m="1" x="260"/>
        <item m="1" x="507"/>
        <item m="1" x="115"/>
        <item m="1" x="349"/>
        <item m="1" x="138"/>
        <item m="1" x="139"/>
        <item m="1" x="76"/>
        <item m="1" x="151"/>
        <item m="1" x="60"/>
        <item m="1" x="333"/>
        <item m="1" x="539"/>
        <item m="1" x="595"/>
        <item m="1" x="310"/>
        <item m="1" x="458"/>
        <item m="1" x="121"/>
        <item m="1" x="240"/>
        <item m="1" x="396"/>
        <item m="1" x="605"/>
        <item m="1" x="236"/>
        <item m="1" x="377"/>
        <item m="1" x="606"/>
        <item m="1" x="317"/>
        <item m="1" x="256"/>
        <item m="1" x="181"/>
        <item m="1" x="486"/>
        <item m="1" x="436"/>
        <item m="1" x="356"/>
        <item m="1" x="159"/>
        <item m="1" x="398"/>
        <item m="1" x="271"/>
        <item m="1" x="91"/>
        <item m="1" x="567"/>
        <item m="1" x="528"/>
        <item m="1" x="481"/>
        <item m="1" x="450"/>
        <item m="1" x="593"/>
        <item m="1" x="266"/>
        <item m="1" x="597"/>
        <item m="1" x="446"/>
        <item m="1" x="596"/>
        <item m="1" x="160"/>
        <item m="1" x="327"/>
        <item m="1" x="195"/>
        <item m="1" x="385"/>
        <item m="1" x="78"/>
        <item m="1" x="65"/>
        <item m="1" x="538"/>
        <item m="1" x="206"/>
        <item m="1" x="488"/>
        <item m="1" x="421"/>
        <item m="1" x="276"/>
        <item m="1" x="404"/>
        <item m="1" x="45"/>
        <item m="1" x="127"/>
        <item m="1" x="414"/>
        <item m="1" x="314"/>
        <item m="1" x="222"/>
        <item m="1" x="70"/>
        <item m="1" x="363"/>
        <item m="1" x="184"/>
        <item m="1" x="185"/>
        <item m="1" x="94"/>
        <item m="1" x="50"/>
        <item m="1" x="366"/>
        <item m="1" x="584"/>
        <item m="1" x="603"/>
        <item m="1" x="441"/>
        <item m="1" x="402"/>
        <item m="1" x="277"/>
        <item m="1" x="361"/>
        <item m="1" x="100"/>
        <item m="1" x="480"/>
        <item m="1" x="442"/>
        <item m="1" x="360"/>
        <item m="1" x="510"/>
        <item m="1" x="72"/>
        <item m="1" x="296"/>
        <item m="1" x="136"/>
        <item m="1" x="586"/>
        <item x="1"/>
        <item x="2"/>
        <item x="3"/>
        <item x="4"/>
        <item x="5"/>
        <item x="6"/>
        <item x="7"/>
        <item x="8"/>
        <item x="9"/>
        <item x="10"/>
        <item x="11"/>
        <item x="12"/>
        <item x="13"/>
        <item x="14"/>
        <item x="15"/>
        <item x="16"/>
        <item x="17"/>
        <item x="18"/>
        <item x="19"/>
        <item x="20"/>
        <item x="21"/>
        <item x="22"/>
        <item x="23"/>
        <item x="25"/>
        <item x="26"/>
        <item x="27"/>
        <item x="28"/>
        <item x="29"/>
        <item x="30"/>
        <item x="31"/>
        <item x="32"/>
        <item x="33"/>
        <item x="24"/>
        <item t="default"/>
      </items>
    </pivotField>
    <pivotField axis="axisRow" showAll="0">
      <items count="42">
        <item m="1" x="5"/>
        <item m="1" x="36"/>
        <item m="1" x="7"/>
        <item m="1" x="38"/>
        <item m="1" x="15"/>
        <item m="1" x="31"/>
        <item m="1" x="18"/>
        <item x="0"/>
        <item m="1" x="10"/>
        <item m="1" x="32"/>
        <item m="1" x="11"/>
        <item m="1" x="39"/>
        <item m="1" x="23"/>
        <item m="1" x="27"/>
        <item m="1" x="14"/>
        <item m="1" x="22"/>
        <item m="1" x="25"/>
        <item m="1" x="29"/>
        <item m="1" x="21"/>
        <item m="1" x="16"/>
        <item m="1" x="34"/>
        <item m="1" x="19"/>
        <item m="1" x="26"/>
        <item m="1" x="37"/>
        <item m="1" x="24"/>
        <item m="1" x="40"/>
        <item m="1" x="30"/>
        <item m="1" x="8"/>
        <item m="1" x="9"/>
        <item m="1" x="17"/>
        <item m="1" x="35"/>
        <item m="1" x="20"/>
        <item m="1" x="13"/>
        <item m="1" x="6"/>
        <item m="1" x="28"/>
        <item m="1" x="33"/>
        <item m="1" x="12"/>
        <item x="1"/>
        <item x="2"/>
        <item x="3"/>
        <item x="4"/>
        <item t="default"/>
      </items>
    </pivotField>
    <pivotField axis="axisRow" showAll="0">
      <items count="3">
        <item m="1" x="1"/>
        <item x="0"/>
        <item t="default"/>
      </items>
    </pivotField>
    <pivotField axis="axisRow" showAll="0">
      <items count="18">
        <item m="1" x="6"/>
        <item m="1" x="12"/>
        <item m="1" x="13"/>
        <item m="1" x="14"/>
        <item m="1" x="15"/>
        <item m="1" x="16"/>
        <item x="0"/>
        <item m="1" x="7"/>
        <item m="1" x="8"/>
        <item m="1" x="9"/>
        <item m="1" x="10"/>
        <item m="1" x="11"/>
        <item x="1"/>
        <item x="2"/>
        <item x="3"/>
        <item x="4"/>
        <item x="5"/>
        <item t="default"/>
      </items>
    </pivotField>
    <pivotField axis="axisRow" showAll="0">
      <items count="3">
        <item m="1" x="1"/>
        <item x="0"/>
        <item t="default"/>
      </items>
    </pivotField>
    <pivotField axis="axisRow" showAll="0">
      <items count="5">
        <item m="1" x="3"/>
        <item x="0"/>
        <item x="1"/>
        <item x="2"/>
        <item t="default"/>
      </items>
    </pivotField>
    <pivotField axis="axisRow" showAll="0">
      <items count="23">
        <item m="1" x="6"/>
        <item m="1" x="11"/>
        <item m="1" x="14"/>
        <item m="1" x="20"/>
        <item m="1" x="17"/>
        <item m="1" x="15"/>
        <item x="0"/>
        <item m="1" x="18"/>
        <item m="1" x="9"/>
        <item m="1" x="13"/>
        <item m="1" x="19"/>
        <item m="1" x="10"/>
        <item m="1" x="16"/>
        <item m="1" x="7"/>
        <item m="1" x="21"/>
        <item m="1" x="12"/>
        <item m="1" x="8"/>
        <item x="1"/>
        <item x="2"/>
        <item x="3"/>
        <item x="4"/>
        <item x="5"/>
        <item t="default"/>
      </items>
    </pivotField>
    <pivotField axis="axisRow" showAll="0">
      <items count="11">
        <item m="1" x="1"/>
        <item m="1" x="4"/>
        <item m="1" x="3"/>
        <item x="0"/>
        <item m="1" x="7"/>
        <item m="1" x="9"/>
        <item m="1" x="6"/>
        <item m="1" x="5"/>
        <item m="1" x="8"/>
        <item m="1" x="2"/>
        <item t="default"/>
      </items>
    </pivotField>
    <pivotField axis="axisRow" showAll="0">
      <items count="3">
        <item m="1" x="1"/>
        <item x="0"/>
        <item t="default"/>
      </items>
    </pivotField>
    <pivotField axis="axisRow" showAll="0">
      <items count="3">
        <item m="1" x="1"/>
        <item x="0"/>
        <item t="default"/>
      </items>
    </pivotField>
    <pivotField axis="axisRow" showAll="0">
      <items count="23">
        <item m="1" x="6"/>
        <item m="1" x="13"/>
        <item m="1" x="8"/>
        <item m="1" x="11"/>
        <item m="1" x="18"/>
        <item m="1" x="20"/>
        <item x="0"/>
        <item m="1" x="9"/>
        <item m="1" x="21"/>
        <item m="1" x="17"/>
        <item m="1" x="15"/>
        <item m="1" x="7"/>
        <item m="1" x="10"/>
        <item m="1" x="12"/>
        <item m="1" x="19"/>
        <item m="1" x="16"/>
        <item m="1" x="14"/>
        <item x="1"/>
        <item x="2"/>
        <item x="3"/>
        <item x="4"/>
        <item x="5"/>
        <item t="default"/>
      </items>
    </pivotField>
    <pivotField axis="axisRow" showAll="0">
      <items count="3">
        <item m="1" x="1"/>
        <item x="0"/>
        <item t="default"/>
      </items>
    </pivotField>
    <pivotField axis="axisRow" showAll="0">
      <items count="3">
        <item m="1" x="1"/>
        <item x="0"/>
        <item t="default"/>
      </items>
    </pivotField>
    <pivotField axis="axisRow" showAll="0">
      <items count="3">
        <item m="1" x="1"/>
        <item x="0"/>
        <item t="default"/>
      </items>
    </pivotField>
    <pivotField axis="axisRow" showAll="0">
      <items count="3">
        <item m="1" x="1"/>
        <item x="0"/>
        <item t="default"/>
      </items>
    </pivotField>
    <pivotField axis="axisRow" showAll="0">
      <items count="3">
        <item m="1" x="1"/>
        <item x="0"/>
        <item t="default"/>
      </items>
    </pivotField>
    <pivotField axis="axisRow" showAll="0">
      <items count="3">
        <item m="1" x="1"/>
        <item x="0"/>
        <item t="default"/>
      </items>
    </pivotField>
    <pivotField axis="axisRow" showAll="0">
      <items count="3">
        <item m="1" x="1"/>
        <item x="0"/>
        <item t="default"/>
      </items>
    </pivotField>
    <pivotField axis="axisRow" showAll="0">
      <items count="3">
        <item m="1" x="1"/>
        <item x="0"/>
        <item t="default"/>
      </items>
    </pivotField>
    <pivotField axis="axisRow" showAll="0">
      <items count="3">
        <item m="1" x="1"/>
        <item x="0"/>
        <item t="default"/>
      </items>
    </pivotField>
    <pivotField axis="axisRow" showAll="0">
      <items count="3">
        <item m="1" x="1"/>
        <item x="0"/>
        <item t="default"/>
      </items>
    </pivotField>
    <pivotField axis="axisRow" showAll="0">
      <items count="28">
        <item m="1" x="8"/>
        <item m="1" x="14"/>
        <item m="1" x="20"/>
        <item m="1" x="23"/>
        <item m="1" x="15"/>
        <item m="1" x="25"/>
        <item m="1" x="16"/>
        <item x="0"/>
        <item m="1" x="18"/>
        <item m="1" x="21"/>
        <item m="1" x="26"/>
        <item m="1" x="22"/>
        <item m="1" x="9"/>
        <item m="1" x="24"/>
        <item m="1" x="19"/>
        <item m="1" x="13"/>
        <item m="1" x="17"/>
        <item m="1" x="10"/>
        <item x="3"/>
        <item x="4"/>
        <item x="5"/>
        <item x="6"/>
        <item x="7"/>
        <item m="1" x="11"/>
        <item m="1" x="12"/>
        <item x="1"/>
        <item x="2"/>
        <item t="default"/>
      </items>
    </pivotField>
    <pivotField axis="axisRow" showAll="0">
      <items count="3">
        <item m="1" x="1"/>
        <item x="0"/>
        <item t="default"/>
      </items>
    </pivotField>
    <pivotField axis="axisRow" showAll="0">
      <items count="3">
        <item m="1" x="1"/>
        <item x="0"/>
        <item t="default"/>
      </items>
    </pivotField>
    <pivotField axis="axisRow" showAll="0">
      <items count="12">
        <item m="1" x="2"/>
        <item m="1" x="8"/>
        <item m="1" x="3"/>
        <item x="0"/>
        <item m="1" x="4"/>
        <item m="1" x="9"/>
        <item m="1" x="7"/>
        <item m="1" x="6"/>
        <item m="1" x="10"/>
        <item m="1" x="5"/>
        <item x="1"/>
        <item t="default"/>
      </items>
    </pivotField>
    <pivotField axis="axisRow" showAll="0">
      <items count="3">
        <item m="1" x="1"/>
        <item x="0"/>
        <item t="default"/>
      </items>
    </pivotField>
    <pivotField axis="axisRow" showAll="0">
      <items count="3">
        <item m="1" x="1"/>
        <item x="0"/>
        <item t="default"/>
      </items>
    </pivotField>
    <pivotField axis="axisRow" showAll="0">
      <items count="7">
        <item m="1" x="3"/>
        <item x="0"/>
        <item m="1" x="4"/>
        <item m="1" x="5"/>
        <item x="1"/>
        <item x="2"/>
        <item t="default"/>
      </items>
    </pivotField>
    <pivotField axis="axisRow" showAll="0">
      <items count="59">
        <item m="1" x="9"/>
        <item m="1" x="33"/>
        <item m="1" x="55"/>
        <item m="1" x="28"/>
        <item m="1" x="37"/>
        <item m="1" x="57"/>
        <item m="1" x="47"/>
        <item m="1" x="10"/>
        <item m="1" x="27"/>
        <item m="1" x="23"/>
        <item m="1" x="34"/>
        <item m="1" x="11"/>
        <item m="1" x="41"/>
        <item m="1" x="12"/>
        <item m="1" x="26"/>
        <item m="1" x="22"/>
        <item m="1" x="39"/>
        <item x="0"/>
        <item m="1" x="20"/>
        <item m="1" x="38"/>
        <item m="1" x="31"/>
        <item m="1" x="35"/>
        <item m="1" x="25"/>
        <item m="1" x="29"/>
        <item m="1" x="16"/>
        <item m="1" x="42"/>
        <item m="1" x="45"/>
        <item m="1" x="32"/>
        <item m="1" x="18"/>
        <item m="1" x="43"/>
        <item m="1" x="46"/>
        <item m="1" x="54"/>
        <item m="1" x="52"/>
        <item m="1" x="40"/>
        <item m="1" x="13"/>
        <item m="1" x="49"/>
        <item m="1" x="19"/>
        <item m="1" x="21"/>
        <item m="1" x="56"/>
        <item m="1" x="30"/>
        <item m="1" x="36"/>
        <item m="1" x="50"/>
        <item m="1" x="48"/>
        <item m="1" x="17"/>
        <item m="1" x="44"/>
        <item m="1" x="14"/>
        <item m="1" x="24"/>
        <item m="1" x="53"/>
        <item m="1" x="51"/>
        <item m="1" x="15"/>
        <item x="8"/>
        <item x="7"/>
        <item x="1"/>
        <item x="2"/>
        <item x="3"/>
        <item x="4"/>
        <item x="5"/>
        <item x="6"/>
        <item t="default"/>
      </items>
    </pivotField>
    <pivotField axis="axisRow" showAll="0">
      <items count="15">
        <item m="1" x="1"/>
        <item m="1" x="3"/>
        <item m="1" x="6"/>
        <item m="1" x="9"/>
        <item x="0"/>
        <item m="1" x="7"/>
        <item m="1" x="5"/>
        <item m="1" x="13"/>
        <item m="1" x="12"/>
        <item m="1" x="4"/>
        <item m="1" x="11"/>
        <item m="1" x="2"/>
        <item m="1" x="10"/>
        <item m="1" x="8"/>
        <item t="default"/>
      </items>
    </pivotField>
    <pivotField axis="axisRow" showAll="0">
      <items count="3">
        <item m="1" x="1"/>
        <item x="0"/>
        <item t="default"/>
      </items>
    </pivotField>
    <pivotField axis="axisRow" showAll="0">
      <items count="3">
        <item m="1" x="1"/>
        <item x="0"/>
        <item t="default"/>
      </items>
    </pivotField>
    <pivotField axis="axisRow" showAll="0">
      <items count="3">
        <item m="1" x="1"/>
        <item x="0"/>
        <item t="default"/>
      </items>
    </pivotField>
    <pivotField axis="axisRow" showAll="0">
      <items count="3">
        <item m="1" x="1"/>
        <item x="0"/>
        <item t="default"/>
      </items>
    </pivotField>
    <pivotField axis="axisRow" showAll="0">
      <items count="3">
        <item m="1" x="1"/>
        <item x="0"/>
        <item t="default"/>
      </items>
    </pivotField>
    <pivotField axis="axisRow" showAll="0">
      <items count="3">
        <item m="1" x="1"/>
        <item x="0"/>
        <item t="default"/>
      </items>
    </pivotField>
    <pivotField axis="axisRow" showAll="0">
      <items count="3">
        <item m="1" x="1"/>
        <item x="0"/>
        <item t="default"/>
      </items>
    </pivotField>
    <pivotField axis="axisRow" showAll="0">
      <items count="3">
        <item m="1" x="1"/>
        <item x="0"/>
        <item t="default"/>
      </items>
    </pivotField>
    <pivotField axis="axisRow" showAll="0">
      <items count="12">
        <item m="1" x="2"/>
        <item m="1" x="3"/>
        <item m="1" x="6"/>
        <item m="1" x="8"/>
        <item x="0"/>
        <item m="1" x="7"/>
        <item m="1" x="9"/>
        <item m="1" x="10"/>
        <item m="1" x="4"/>
        <item m="1" x="5"/>
        <item x="1"/>
        <item t="default"/>
      </items>
    </pivotField>
    <pivotField axis="axisRow" showAll="0">
      <items count="11">
        <item m="1" x="3"/>
        <item m="1" x="7"/>
        <item m="1" x="5"/>
        <item m="1" x="9"/>
        <item m="1" x="8"/>
        <item x="0"/>
        <item m="1" x="4"/>
        <item m="1" x="6"/>
        <item x="1"/>
        <item x="2"/>
        <item t="default"/>
      </items>
    </pivotField>
    <pivotField axis="axisRow" showAll="0" defaultSubtotal="0">
      <items count="9">
        <item x="0"/>
        <item m="1" x="6"/>
        <item m="1" x="8"/>
        <item m="1" x="5"/>
        <item m="1" x="7"/>
        <item m="1" x="4"/>
        <item m="1" x="3"/>
        <item x="1"/>
        <item x="2"/>
      </items>
    </pivotField>
  </pivotFields>
  <rowFields count="74">
    <field x="4"/>
    <field x="190"/>
    <field x="195"/>
    <field x="196"/>
    <field x="197"/>
    <field x="191"/>
    <field x="192"/>
    <field x="193"/>
    <field x="194"/>
    <field x="198"/>
    <field x="199"/>
    <field x="200"/>
    <field x="201"/>
    <field x="202"/>
    <field x="203"/>
    <field x="204"/>
    <field x="205"/>
    <field x="208"/>
    <field x="209"/>
    <field x="210"/>
    <field x="211"/>
    <field x="212"/>
    <field x="213"/>
    <field x="214"/>
    <field x="215"/>
    <field x="216"/>
    <field x="217"/>
    <field x="218"/>
    <field x="219"/>
    <field x="220"/>
    <field x="221"/>
    <field x="222"/>
    <field x="223"/>
    <field x="224"/>
    <field x="225"/>
    <field x="226"/>
    <field x="227"/>
    <field x="228"/>
    <field x="229"/>
    <field x="230"/>
    <field x="231"/>
    <field x="232"/>
    <field x="233"/>
    <field x="234"/>
    <field x="235"/>
    <field x="236"/>
    <field x="237"/>
    <field x="238"/>
    <field x="239"/>
    <field x="240"/>
    <field x="241"/>
    <field x="242"/>
    <field x="243"/>
    <field x="244"/>
    <field x="245"/>
    <field x="246"/>
    <field x="247"/>
    <field x="248"/>
    <field x="249"/>
    <field x="250"/>
    <field x="251"/>
    <field x="252"/>
    <field x="253"/>
    <field x="254"/>
    <field x="255"/>
    <field x="256"/>
    <field x="257"/>
    <field x="258"/>
    <field x="260"/>
    <field x="259"/>
    <field x="261"/>
    <field x="206"/>
    <field x="207"/>
    <field x="262"/>
  </rowFields>
  <rowItems count="941">
    <i>
      <x v="6"/>
    </i>
    <i r="1">
      <x v="44"/>
    </i>
    <i r="2">
      <x v="113"/>
    </i>
    <i r="3">
      <x v="41"/>
    </i>
    <i r="4">
      <x v="41"/>
    </i>
    <i r="5">
      <x v="270"/>
    </i>
    <i r="6">
      <x v="2"/>
    </i>
    <i r="7">
      <x v="1"/>
    </i>
    <i r="8">
      <x v="1"/>
    </i>
    <i r="9">
      <x v="471"/>
    </i>
    <i r="10">
      <x v="522"/>
    </i>
    <i r="11">
      <x v="101"/>
    </i>
    <i r="12">
      <x v="1"/>
    </i>
    <i r="13">
      <x v="66"/>
    </i>
    <i r="14">
      <x v="42"/>
    </i>
    <i r="15">
      <x v="4"/>
    </i>
    <i r="16">
      <x v="1"/>
    </i>
    <i r="17">
      <x v="1"/>
    </i>
    <i r="18">
      <x v="42"/>
    </i>
    <i r="19">
      <x v="1"/>
    </i>
    <i r="20">
      <x v="42"/>
    </i>
    <i r="21">
      <x v="1"/>
    </i>
    <i r="22">
      <x v="1"/>
    </i>
    <i r="23">
      <x v="1"/>
    </i>
    <i r="24">
      <x v="1"/>
    </i>
    <i r="25">
      <x v="1"/>
    </i>
    <i r="26">
      <x v="1"/>
    </i>
    <i r="27">
      <x v="41"/>
    </i>
    <i r="28">
      <x v="1"/>
    </i>
    <i r="29">
      <x v="9"/>
    </i>
    <i r="30">
      <x v="4"/>
    </i>
    <i r="31">
      <x v="96"/>
    </i>
    <i r="32">
      <x v="7"/>
    </i>
    <i r="33">
      <x v="1"/>
    </i>
    <i r="34">
      <x v="6"/>
    </i>
    <i r="35">
      <x v="1"/>
    </i>
    <i r="36">
      <x v="1"/>
    </i>
    <i r="37">
      <x v="6"/>
    </i>
    <i r="38">
      <x v="3"/>
    </i>
    <i r="39">
      <x v="1"/>
    </i>
    <i r="40">
      <x v="1"/>
    </i>
    <i r="41">
      <x v="6"/>
    </i>
    <i r="42">
      <x v="1"/>
    </i>
    <i r="43">
      <x v="1"/>
    </i>
    <i r="44">
      <x v="1"/>
    </i>
    <i r="45">
      <x v="1"/>
    </i>
    <i r="46">
      <x v="1"/>
    </i>
    <i r="47">
      <x v="1"/>
    </i>
    <i r="48">
      <x v="1"/>
    </i>
    <i r="49">
      <x v="1"/>
    </i>
    <i r="50">
      <x v="1"/>
    </i>
    <i r="51">
      <x v="1"/>
    </i>
    <i r="52">
      <x v="7"/>
    </i>
    <i r="53">
      <x v="1"/>
    </i>
    <i r="54">
      <x v="1"/>
    </i>
    <i r="55">
      <x v="3"/>
    </i>
    <i r="56">
      <x v="1"/>
    </i>
    <i r="57">
      <x v="1"/>
    </i>
    <i r="58">
      <x v="1"/>
    </i>
    <i r="59">
      <x v="17"/>
    </i>
    <i r="60">
      <x v="4"/>
    </i>
    <i r="61">
      <x v="1"/>
    </i>
    <i r="62">
      <x v="1"/>
    </i>
    <i r="63">
      <x v="1"/>
    </i>
    <i r="64">
      <x v="1"/>
    </i>
    <i r="65">
      <x v="1"/>
    </i>
    <i r="66">
      <x v="1"/>
    </i>
    <i r="67">
      <x v="1"/>
    </i>
    <i r="68">
      <x v="4"/>
    </i>
    <i r="69">
      <x v="1"/>
    </i>
    <i r="70">
      <x v="5"/>
    </i>
    <i r="71">
      <x v="41"/>
    </i>
    <i r="72">
      <x v="40"/>
    </i>
    <i r="73">
      <x/>
    </i>
    <i r="5">
      <x v="271"/>
    </i>
    <i r="6">
      <x v="2"/>
    </i>
    <i r="7">
      <x v="1"/>
    </i>
    <i r="8">
      <x v="1"/>
    </i>
    <i r="9">
      <x v="473"/>
    </i>
    <i r="10">
      <x v="524"/>
    </i>
    <i r="11">
      <x v="107"/>
    </i>
    <i r="12">
      <x v="1"/>
    </i>
    <i r="13">
      <x v="66"/>
    </i>
    <i r="14">
      <x v="42"/>
    </i>
    <i r="15">
      <x v="4"/>
    </i>
    <i r="16">
      <x v="1"/>
    </i>
    <i r="17">
      <x v="1"/>
    </i>
    <i r="18">
      <x v="42"/>
    </i>
    <i r="19">
      <x v="1"/>
    </i>
    <i r="20">
      <x v="42"/>
    </i>
    <i r="21">
      <x v="1"/>
    </i>
    <i r="22">
      <x v="1"/>
    </i>
    <i r="23">
      <x v="1"/>
    </i>
    <i r="24">
      <x v="1"/>
    </i>
    <i r="25">
      <x v="1"/>
    </i>
    <i r="26">
      <x v="1"/>
    </i>
    <i r="27">
      <x v="41"/>
    </i>
    <i r="28">
      <x v="1"/>
    </i>
    <i r="29">
      <x v="9"/>
    </i>
    <i r="30">
      <x v="4"/>
    </i>
    <i r="31">
      <x v="96"/>
    </i>
    <i r="32">
      <x v="7"/>
    </i>
    <i r="33">
      <x v="1"/>
    </i>
    <i r="34">
      <x v="6"/>
    </i>
    <i r="35">
      <x v="1"/>
    </i>
    <i r="36">
      <x v="1"/>
    </i>
    <i r="37">
      <x v="6"/>
    </i>
    <i r="38">
      <x v="3"/>
    </i>
    <i r="39">
      <x v="1"/>
    </i>
    <i r="40">
      <x v="1"/>
    </i>
    <i r="41">
      <x v="6"/>
    </i>
    <i r="42">
      <x v="1"/>
    </i>
    <i r="43">
      <x v="1"/>
    </i>
    <i r="44">
      <x v="1"/>
    </i>
    <i r="45">
      <x v="1"/>
    </i>
    <i r="46">
      <x v="1"/>
    </i>
    <i r="47">
      <x v="1"/>
    </i>
    <i r="48">
      <x v="1"/>
    </i>
    <i r="49">
      <x v="1"/>
    </i>
    <i r="50">
      <x v="1"/>
    </i>
    <i r="51">
      <x v="1"/>
    </i>
    <i r="52">
      <x v="7"/>
    </i>
    <i r="53">
      <x v="1"/>
    </i>
    <i r="54">
      <x v="1"/>
    </i>
    <i r="55">
      <x v="3"/>
    </i>
    <i r="56">
      <x v="1"/>
    </i>
    <i r="57">
      <x v="1"/>
    </i>
    <i r="58">
      <x v="1"/>
    </i>
    <i r="59">
      <x v="17"/>
    </i>
    <i r="60">
      <x v="4"/>
    </i>
    <i r="61">
      <x v="1"/>
    </i>
    <i r="62">
      <x v="1"/>
    </i>
    <i r="63">
      <x v="1"/>
    </i>
    <i r="64">
      <x v="1"/>
    </i>
    <i r="65">
      <x v="1"/>
    </i>
    <i r="66">
      <x v="1"/>
    </i>
    <i r="67">
      <x v="1"/>
    </i>
    <i r="68">
      <x v="4"/>
    </i>
    <i r="69">
      <x v="1"/>
    </i>
    <i r="70">
      <x v="5"/>
    </i>
    <i r="71">
      <x v="41"/>
    </i>
    <i r="72">
      <x v="40"/>
    </i>
    <i r="73">
      <x/>
    </i>
    <i r="2">
      <x v="525"/>
    </i>
    <i r="3">
      <x v="41"/>
    </i>
    <i r="4">
      <x v="41"/>
    </i>
    <i r="5">
      <x v="24"/>
    </i>
    <i r="6">
      <x v="2"/>
    </i>
    <i r="7">
      <x v="1"/>
    </i>
    <i r="8">
      <x v="1"/>
    </i>
    <i r="9">
      <x v="87"/>
    </i>
    <i r="10">
      <x v="88"/>
    </i>
    <i r="11">
      <x v="102"/>
    </i>
    <i r="12">
      <x v="1"/>
    </i>
    <i r="13">
      <x v="66"/>
    </i>
    <i r="14">
      <x v="42"/>
    </i>
    <i r="15">
      <x v="4"/>
    </i>
    <i r="16">
      <x v="1"/>
    </i>
    <i r="17">
      <x v="1"/>
    </i>
    <i r="18">
      <x v="42"/>
    </i>
    <i r="19">
      <x v="1"/>
    </i>
    <i r="20">
      <x v="42"/>
    </i>
    <i r="21">
      <x v="1"/>
    </i>
    <i r="22">
      <x v="1"/>
    </i>
    <i r="23">
      <x v="1"/>
    </i>
    <i r="24">
      <x v="1"/>
    </i>
    <i r="25">
      <x v="1"/>
    </i>
    <i r="26">
      <x v="1"/>
    </i>
    <i r="27">
      <x v="41"/>
    </i>
    <i r="28">
      <x v="1"/>
    </i>
    <i r="29">
      <x v="9"/>
    </i>
    <i r="30">
      <x v="4"/>
    </i>
    <i r="31">
      <x v="96"/>
    </i>
    <i r="32">
      <x v="7"/>
    </i>
    <i r="33">
      <x v="1"/>
    </i>
    <i r="34">
      <x v="12"/>
    </i>
    <i r="35">
      <x v="1"/>
    </i>
    <i r="36">
      <x v="1"/>
    </i>
    <i r="37">
      <x v="17"/>
    </i>
    <i r="38">
      <x v="3"/>
    </i>
    <i r="39">
      <x v="1"/>
    </i>
    <i r="40">
      <x v="1"/>
    </i>
    <i r="41">
      <x v="17"/>
    </i>
    <i r="42">
      <x v="1"/>
    </i>
    <i r="43">
      <x v="1"/>
    </i>
    <i r="44">
      <x v="1"/>
    </i>
    <i r="45">
      <x v="1"/>
    </i>
    <i r="46">
      <x v="1"/>
    </i>
    <i r="47">
      <x v="1"/>
    </i>
    <i r="48">
      <x v="1"/>
    </i>
    <i r="49">
      <x v="1"/>
    </i>
    <i r="50">
      <x v="1"/>
    </i>
    <i r="51">
      <x v="1"/>
    </i>
    <i r="52">
      <x v="18"/>
    </i>
    <i r="53">
      <x v="1"/>
    </i>
    <i r="54">
      <x v="1"/>
    </i>
    <i r="55">
      <x v="3"/>
    </i>
    <i r="56">
      <x v="1"/>
    </i>
    <i r="57">
      <x v="1"/>
    </i>
    <i r="58">
      <x v="1"/>
    </i>
    <i r="59">
      <x v="17"/>
    </i>
    <i r="60">
      <x v="4"/>
    </i>
    <i r="61">
      <x v="1"/>
    </i>
    <i r="62">
      <x v="1"/>
    </i>
    <i r="63">
      <x v="1"/>
    </i>
    <i r="64">
      <x v="1"/>
    </i>
    <i r="65">
      <x v="1"/>
    </i>
    <i r="66">
      <x v="1"/>
    </i>
    <i r="67">
      <x v="1"/>
    </i>
    <i r="68">
      <x v="4"/>
    </i>
    <i r="69">
      <x v="1"/>
    </i>
    <i r="70">
      <x v="5"/>
    </i>
    <i r="71">
      <x v="41"/>
    </i>
    <i r="72">
      <x v="40"/>
    </i>
    <i r="73">
      <x/>
    </i>
    <i r="2">
      <x v="526"/>
    </i>
    <i r="3">
      <x v="41"/>
    </i>
    <i r="4">
      <x v="41"/>
    </i>
    <i r="5">
      <x v="24"/>
    </i>
    <i r="6">
      <x v="2"/>
    </i>
    <i r="7">
      <x v="1"/>
    </i>
    <i r="8">
      <x v="1"/>
    </i>
    <i r="9">
      <x v="87"/>
    </i>
    <i r="10">
      <x v="88"/>
    </i>
    <i r="11">
      <x v="1"/>
    </i>
    <i r="12">
      <x v="1"/>
    </i>
    <i r="13">
      <x v="66"/>
    </i>
    <i r="14">
      <x v="42"/>
    </i>
    <i r="15">
      <x v="4"/>
    </i>
    <i r="16">
      <x v="1"/>
    </i>
    <i r="17">
      <x v="1"/>
    </i>
    <i r="18">
      <x v="42"/>
    </i>
    <i r="19">
      <x v="1"/>
    </i>
    <i r="20">
      <x v="42"/>
    </i>
    <i r="21">
      <x v="1"/>
    </i>
    <i r="22">
      <x v="1"/>
    </i>
    <i r="23">
      <x v="1"/>
    </i>
    <i r="24">
      <x v="1"/>
    </i>
    <i r="25">
      <x v="1"/>
    </i>
    <i r="26">
      <x v="1"/>
    </i>
    <i r="27">
      <x v="41"/>
    </i>
    <i r="28">
      <x v="1"/>
    </i>
    <i r="29">
      <x v="9"/>
    </i>
    <i r="30">
      <x v="4"/>
    </i>
    <i r="31">
      <x v="599"/>
    </i>
    <i r="32">
      <x v="7"/>
    </i>
    <i r="33">
      <x v="1"/>
    </i>
    <i r="34">
      <x v="6"/>
    </i>
    <i r="35">
      <x v="1"/>
    </i>
    <i r="36">
      <x v="1"/>
    </i>
    <i r="37">
      <x v="6"/>
    </i>
    <i r="38">
      <x v="3"/>
    </i>
    <i r="39">
      <x v="1"/>
    </i>
    <i r="40">
      <x v="1"/>
    </i>
    <i r="41">
      <x v="6"/>
    </i>
    <i r="42">
      <x v="1"/>
    </i>
    <i r="43">
      <x v="1"/>
    </i>
    <i r="44">
      <x v="1"/>
    </i>
    <i r="45">
      <x v="1"/>
    </i>
    <i r="46">
      <x v="1"/>
    </i>
    <i r="47">
      <x v="1"/>
    </i>
    <i r="48">
      <x v="1"/>
    </i>
    <i r="49">
      <x v="1"/>
    </i>
    <i r="50">
      <x v="1"/>
    </i>
    <i r="51">
      <x v="1"/>
    </i>
    <i r="52">
      <x v="7"/>
    </i>
    <i r="53">
      <x v="1"/>
    </i>
    <i r="54">
      <x v="1"/>
    </i>
    <i r="55">
      <x v="3"/>
    </i>
    <i r="56">
      <x v="1"/>
    </i>
    <i r="57">
      <x v="1"/>
    </i>
    <i r="58">
      <x v="1"/>
    </i>
    <i r="59">
      <x v="50"/>
    </i>
    <i r="60">
      <x v="4"/>
    </i>
    <i r="61">
      <x v="1"/>
    </i>
    <i r="62">
      <x v="1"/>
    </i>
    <i r="63">
      <x v="1"/>
    </i>
    <i r="64">
      <x v="1"/>
    </i>
    <i r="65">
      <x v="1"/>
    </i>
    <i r="66">
      <x v="1"/>
    </i>
    <i r="67">
      <x v="1"/>
    </i>
    <i r="68">
      <x v="4"/>
    </i>
    <i r="69">
      <x v="1"/>
    </i>
    <i r="70">
      <x v="5"/>
    </i>
    <i r="71">
      <x v="41"/>
    </i>
    <i r="72">
      <x v="40"/>
    </i>
    <i r="73">
      <x/>
    </i>
    <i r="2">
      <x v="527"/>
    </i>
    <i r="3">
      <x v="41"/>
    </i>
    <i r="4">
      <x v="41"/>
    </i>
    <i r="5">
      <x v="24"/>
    </i>
    <i r="6">
      <x v="2"/>
    </i>
    <i r="7">
      <x v="1"/>
    </i>
    <i r="8">
      <x v="1"/>
    </i>
    <i r="9">
      <x v="87"/>
    </i>
    <i r="10">
      <x v="88"/>
    </i>
    <i r="11">
      <x v="103"/>
    </i>
    <i r="12">
      <x v="1"/>
    </i>
    <i r="13">
      <x v="66"/>
    </i>
    <i r="14">
      <x v="42"/>
    </i>
    <i r="15">
      <x v="4"/>
    </i>
    <i r="16">
      <x v="1"/>
    </i>
    <i r="17">
      <x v="1"/>
    </i>
    <i r="18">
      <x v="42"/>
    </i>
    <i r="19">
      <x v="1"/>
    </i>
    <i r="20">
      <x v="42"/>
    </i>
    <i r="21">
      <x v="1"/>
    </i>
    <i r="22">
      <x v="1"/>
    </i>
    <i r="23">
      <x v="1"/>
    </i>
    <i r="24">
      <x v="1"/>
    </i>
    <i r="25">
      <x v="1"/>
    </i>
    <i r="26">
      <x v="1"/>
    </i>
    <i r="27">
      <x v="41"/>
    </i>
    <i r="28">
      <x v="1"/>
    </i>
    <i r="29">
      <x v="9"/>
    </i>
    <i r="30">
      <x v="4"/>
    </i>
    <i r="31">
      <x v="601"/>
    </i>
    <i r="32">
      <x v="37"/>
    </i>
    <i r="33">
      <x v="1"/>
    </i>
    <i r="34">
      <x v="13"/>
    </i>
    <i r="35">
      <x v="1"/>
    </i>
    <i r="36">
      <x v="1"/>
    </i>
    <i r="37">
      <x v="18"/>
    </i>
    <i r="38">
      <x v="3"/>
    </i>
    <i r="39">
      <x v="1"/>
    </i>
    <i r="40">
      <x v="1"/>
    </i>
    <i r="41">
      <x v="18"/>
    </i>
    <i r="42">
      <x v="1"/>
    </i>
    <i r="43">
      <x v="1"/>
    </i>
    <i r="44">
      <x v="1"/>
    </i>
    <i r="45">
      <x v="1"/>
    </i>
    <i r="46">
      <x v="1"/>
    </i>
    <i r="47">
      <x v="1"/>
    </i>
    <i r="48">
      <x v="1"/>
    </i>
    <i r="49">
      <x v="1"/>
    </i>
    <i r="50">
      <x v="1"/>
    </i>
    <i r="51">
      <x v="1"/>
    </i>
    <i r="52">
      <x v="19"/>
    </i>
    <i r="53">
      <x v="1"/>
    </i>
    <i r="54">
      <x v="1"/>
    </i>
    <i r="55">
      <x v="3"/>
    </i>
    <i r="56">
      <x v="1"/>
    </i>
    <i r="57">
      <x v="1"/>
    </i>
    <i r="58">
      <x v="1"/>
    </i>
    <i r="59">
      <x v="17"/>
    </i>
    <i r="60">
      <x v="4"/>
    </i>
    <i r="61">
      <x v="1"/>
    </i>
    <i r="62">
      <x v="1"/>
    </i>
    <i r="63">
      <x v="1"/>
    </i>
    <i r="64">
      <x v="1"/>
    </i>
    <i r="65">
      <x v="1"/>
    </i>
    <i r="66">
      <x v="1"/>
    </i>
    <i r="67">
      <x v="1"/>
    </i>
    <i r="68">
      <x v="4"/>
    </i>
    <i r="69">
      <x v="1"/>
    </i>
    <i r="70">
      <x v="5"/>
    </i>
    <i r="71">
      <x v="41"/>
    </i>
    <i r="72">
      <x v="40"/>
    </i>
    <i r="73">
      <x/>
    </i>
    <i r="2">
      <x v="528"/>
    </i>
    <i r="3">
      <x v="41"/>
    </i>
    <i r="4">
      <x v="41"/>
    </i>
    <i r="5">
      <x v="24"/>
    </i>
    <i r="6">
      <x v="2"/>
    </i>
    <i r="7">
      <x v="1"/>
    </i>
    <i r="8">
      <x v="1"/>
    </i>
    <i r="9">
      <x v="87"/>
    </i>
    <i r="10">
      <x v="88"/>
    </i>
    <i r="11">
      <x v="104"/>
    </i>
    <i r="12">
      <x v="1"/>
    </i>
    <i r="13">
      <x v="66"/>
    </i>
    <i r="14">
      <x v="42"/>
    </i>
    <i r="15">
      <x v="4"/>
    </i>
    <i r="16">
      <x v="1"/>
    </i>
    <i r="17">
      <x v="1"/>
    </i>
    <i r="18">
      <x v="42"/>
    </i>
    <i r="19">
      <x v="1"/>
    </i>
    <i r="20">
      <x v="42"/>
    </i>
    <i r="21">
      <x v="1"/>
    </i>
    <i r="22">
      <x v="1"/>
    </i>
    <i r="23">
      <x v="1"/>
    </i>
    <i r="24">
      <x v="1"/>
    </i>
    <i r="25">
      <x v="1"/>
    </i>
    <i r="26">
      <x v="1"/>
    </i>
    <i r="27">
      <x v="41"/>
    </i>
    <i r="28">
      <x v="1"/>
    </i>
    <i r="29">
      <x v="9"/>
    </i>
    <i r="30">
      <x v="4"/>
    </i>
    <i r="31">
      <x v="602"/>
    </i>
    <i r="32">
      <x v="38"/>
    </i>
    <i r="33">
      <x v="1"/>
    </i>
    <i r="34">
      <x v="14"/>
    </i>
    <i r="35">
      <x v="1"/>
    </i>
    <i r="36">
      <x v="2"/>
    </i>
    <i r="37">
      <x v="19"/>
    </i>
    <i r="38">
      <x v="3"/>
    </i>
    <i r="39">
      <x v="1"/>
    </i>
    <i r="40">
      <x v="1"/>
    </i>
    <i r="41">
      <x v="19"/>
    </i>
    <i r="42">
      <x v="1"/>
    </i>
    <i r="43">
      <x v="1"/>
    </i>
    <i r="44">
      <x v="1"/>
    </i>
    <i r="45">
      <x v="1"/>
    </i>
    <i r="46">
      <x v="1"/>
    </i>
    <i r="47">
      <x v="1"/>
    </i>
    <i r="48">
      <x v="1"/>
    </i>
    <i r="49">
      <x v="1"/>
    </i>
    <i r="50">
      <x v="1"/>
    </i>
    <i r="51">
      <x v="1"/>
    </i>
    <i r="52">
      <x v="20"/>
    </i>
    <i r="53">
      <x v="1"/>
    </i>
    <i r="54">
      <x v="1"/>
    </i>
    <i r="55">
      <x v="3"/>
    </i>
    <i r="56">
      <x v="1"/>
    </i>
    <i r="57">
      <x v="1"/>
    </i>
    <i r="58">
      <x v="1"/>
    </i>
    <i r="59">
      <x v="17"/>
    </i>
    <i r="60">
      <x v="4"/>
    </i>
    <i r="61">
      <x v="1"/>
    </i>
    <i r="62">
      <x v="1"/>
    </i>
    <i r="63">
      <x v="1"/>
    </i>
    <i r="64">
      <x v="1"/>
    </i>
    <i r="65">
      <x v="1"/>
    </i>
    <i r="66">
      <x v="1"/>
    </i>
    <i r="67">
      <x v="1"/>
    </i>
    <i r="68">
      <x v="4"/>
    </i>
    <i r="69">
      <x v="1"/>
    </i>
    <i r="70">
      <x v="5"/>
    </i>
    <i r="71">
      <x v="41"/>
    </i>
    <i r="72">
      <x v="40"/>
    </i>
    <i r="73">
      <x/>
    </i>
    <i r="2">
      <x v="529"/>
    </i>
    <i r="3">
      <x v="41"/>
    </i>
    <i r="4">
      <x v="41"/>
    </i>
    <i r="5">
      <x v="24"/>
    </i>
    <i r="6">
      <x v="2"/>
    </i>
    <i r="7">
      <x v="1"/>
    </i>
    <i r="8">
      <x v="1"/>
    </i>
    <i r="9">
      <x v="87"/>
    </i>
    <i r="10">
      <x v="88"/>
    </i>
    <i r="11">
      <x v="105"/>
    </i>
    <i r="12">
      <x v="1"/>
    </i>
    <i r="13">
      <x v="66"/>
    </i>
    <i r="14">
      <x v="42"/>
    </i>
    <i r="15">
      <x v="4"/>
    </i>
    <i r="16">
      <x v="1"/>
    </i>
    <i r="17">
      <x v="1"/>
    </i>
    <i r="18">
      <x v="42"/>
    </i>
    <i r="19">
      <x v="1"/>
    </i>
    <i r="20">
      <x v="42"/>
    </i>
    <i r="21">
      <x v="1"/>
    </i>
    <i r="22">
      <x v="1"/>
    </i>
    <i r="23">
      <x v="1"/>
    </i>
    <i r="24">
      <x v="1"/>
    </i>
    <i r="25">
      <x v="1"/>
    </i>
    <i r="26">
      <x v="1"/>
    </i>
    <i r="27">
      <x v="41"/>
    </i>
    <i r="28">
      <x v="1"/>
    </i>
    <i r="29">
      <x v="9"/>
    </i>
    <i r="30">
      <x v="4"/>
    </i>
    <i r="31">
      <x v="96"/>
    </i>
    <i r="32">
      <x v="39"/>
    </i>
    <i r="33">
      <x v="1"/>
    </i>
    <i r="34">
      <x v="15"/>
    </i>
    <i r="35">
      <x v="1"/>
    </i>
    <i r="36">
      <x v="1"/>
    </i>
    <i r="37">
      <x v="20"/>
    </i>
    <i r="38">
      <x v="3"/>
    </i>
    <i r="39">
      <x v="1"/>
    </i>
    <i r="40">
      <x v="1"/>
    </i>
    <i r="41">
      <x v="20"/>
    </i>
    <i r="42">
      <x v="1"/>
    </i>
    <i r="43">
      <x v="1"/>
    </i>
    <i r="44">
      <x v="1"/>
    </i>
    <i r="45">
      <x v="1"/>
    </i>
    <i r="46">
      <x v="1"/>
    </i>
    <i r="47">
      <x v="1"/>
    </i>
    <i r="48">
      <x v="1"/>
    </i>
    <i r="49">
      <x v="1"/>
    </i>
    <i r="50">
      <x v="1"/>
    </i>
    <i r="51">
      <x v="1"/>
    </i>
    <i r="52">
      <x v="21"/>
    </i>
    <i r="53">
      <x v="1"/>
    </i>
    <i r="54">
      <x v="1"/>
    </i>
    <i r="55">
      <x v="3"/>
    </i>
    <i r="56">
      <x v="1"/>
    </i>
    <i r="57">
      <x v="1"/>
    </i>
    <i r="58">
      <x v="1"/>
    </i>
    <i r="59">
      <x v="17"/>
    </i>
    <i r="60">
      <x v="4"/>
    </i>
    <i r="61">
      <x v="1"/>
    </i>
    <i r="62">
      <x v="1"/>
    </i>
    <i r="63">
      <x v="1"/>
    </i>
    <i r="64">
      <x v="1"/>
    </i>
    <i r="65">
      <x v="1"/>
    </i>
    <i r="66">
      <x v="1"/>
    </i>
    <i r="67">
      <x v="1"/>
    </i>
    <i r="68">
      <x v="4"/>
    </i>
    <i r="69">
      <x v="1"/>
    </i>
    <i r="70">
      <x v="5"/>
    </i>
    <i r="71">
      <x v="41"/>
    </i>
    <i r="72">
      <x v="40"/>
    </i>
    <i r="73">
      <x/>
    </i>
    <i r="2">
      <x v="530"/>
    </i>
    <i r="3">
      <x v="41"/>
    </i>
    <i r="4">
      <x v="41"/>
    </i>
    <i r="5">
      <x v="24"/>
    </i>
    <i r="6">
      <x v="2"/>
    </i>
    <i r="7">
      <x v="1"/>
    </i>
    <i r="8">
      <x v="1"/>
    </i>
    <i r="9">
      <x v="87"/>
    </i>
    <i r="10">
      <x v="88"/>
    </i>
    <i r="11">
      <x v="106"/>
    </i>
    <i r="12">
      <x v="1"/>
    </i>
    <i r="13">
      <x v="66"/>
    </i>
    <i r="14">
      <x v="42"/>
    </i>
    <i r="15">
      <x v="4"/>
    </i>
    <i r="16">
      <x v="1"/>
    </i>
    <i r="17">
      <x v="1"/>
    </i>
    <i r="18">
      <x v="42"/>
    </i>
    <i r="19">
      <x v="1"/>
    </i>
    <i r="20">
      <x v="42"/>
    </i>
    <i r="21">
      <x v="1"/>
    </i>
    <i r="22">
      <x v="1"/>
    </i>
    <i r="23">
      <x v="1"/>
    </i>
    <i r="24">
      <x v="1"/>
    </i>
    <i r="25">
      <x v="1"/>
    </i>
    <i r="26">
      <x v="1"/>
    </i>
    <i r="27">
      <x v="41"/>
    </i>
    <i r="28">
      <x v="1"/>
    </i>
    <i r="29">
      <x v="9"/>
    </i>
    <i r="30">
      <x v="4"/>
    </i>
    <i r="31">
      <x v="96"/>
    </i>
    <i r="32">
      <x v="40"/>
    </i>
    <i r="33">
      <x v="1"/>
    </i>
    <i r="34">
      <x v="16"/>
    </i>
    <i r="35">
      <x v="1"/>
    </i>
    <i r="36">
      <x v="3"/>
    </i>
    <i r="37">
      <x v="21"/>
    </i>
    <i r="38">
      <x v="3"/>
    </i>
    <i r="39">
      <x v="1"/>
    </i>
    <i r="40">
      <x v="1"/>
    </i>
    <i r="41">
      <x v="21"/>
    </i>
    <i r="42">
      <x v="1"/>
    </i>
    <i r="43">
      <x v="1"/>
    </i>
    <i r="44">
      <x v="1"/>
    </i>
    <i r="45">
      <x v="1"/>
    </i>
    <i r="46">
      <x v="1"/>
    </i>
    <i r="47">
      <x v="1"/>
    </i>
    <i r="48">
      <x v="1"/>
    </i>
    <i r="49">
      <x v="1"/>
    </i>
    <i r="50">
      <x v="1"/>
    </i>
    <i r="51">
      <x v="1"/>
    </i>
    <i r="52">
      <x v="22"/>
    </i>
    <i r="53">
      <x v="1"/>
    </i>
    <i r="54">
      <x v="1"/>
    </i>
    <i r="55">
      <x v="3"/>
    </i>
    <i r="56">
      <x v="1"/>
    </i>
    <i r="57">
      <x v="1"/>
    </i>
    <i r="58">
      <x v="1"/>
    </i>
    <i r="59">
      <x v="17"/>
    </i>
    <i r="60">
      <x v="4"/>
    </i>
    <i r="61">
      <x v="1"/>
    </i>
    <i r="62">
      <x v="1"/>
    </i>
    <i r="63">
      <x v="1"/>
    </i>
    <i r="64">
      <x v="1"/>
    </i>
    <i r="65">
      <x v="1"/>
    </i>
    <i r="66">
      <x v="1"/>
    </i>
    <i r="67">
      <x v="1"/>
    </i>
    <i r="68">
      <x v="4"/>
    </i>
    <i r="69">
      <x v="1"/>
    </i>
    <i r="70">
      <x v="5"/>
    </i>
    <i r="71">
      <x v="41"/>
    </i>
    <i r="72">
      <x v="40"/>
    </i>
    <i r="73">
      <x/>
    </i>
    <i r="1">
      <x v="272"/>
    </i>
    <i r="2">
      <x v="113"/>
    </i>
    <i r="3">
      <x v="41"/>
    </i>
    <i r="4">
      <x v="41"/>
    </i>
    <i r="5">
      <x v="267"/>
    </i>
    <i r="6">
      <x v="2"/>
    </i>
    <i r="7">
      <x v="1"/>
    </i>
    <i r="8">
      <x v="1"/>
    </i>
    <i r="9">
      <x v="468"/>
    </i>
    <i r="10">
      <x v="519"/>
    </i>
    <i r="11">
      <x v="98"/>
    </i>
    <i r="12">
      <x v="1"/>
    </i>
    <i r="13">
      <x v="66"/>
    </i>
    <i r="14">
      <x v="42"/>
    </i>
    <i r="15">
      <x v="4"/>
    </i>
    <i r="16">
      <x v="1"/>
    </i>
    <i r="17">
      <x v="1"/>
    </i>
    <i r="18">
      <x v="42"/>
    </i>
    <i r="19">
      <x v="1"/>
    </i>
    <i r="20">
      <x v="42"/>
    </i>
    <i r="21">
      <x v="1"/>
    </i>
    <i r="22">
      <x v="1"/>
    </i>
    <i r="23">
      <x v="1"/>
    </i>
    <i r="24">
      <x v="1"/>
    </i>
    <i r="25">
      <x v="1"/>
    </i>
    <i r="26">
      <x v="1"/>
    </i>
    <i r="27">
      <x v="41"/>
    </i>
    <i r="28">
      <x v="1"/>
    </i>
    <i r="29">
      <x v="9"/>
    </i>
    <i r="30">
      <x v="4"/>
    </i>
    <i r="31">
      <x v="96"/>
    </i>
    <i r="32">
      <x v="7"/>
    </i>
    <i r="33">
      <x v="1"/>
    </i>
    <i r="34">
      <x v="6"/>
    </i>
    <i r="35">
      <x v="1"/>
    </i>
    <i r="36">
      <x v="1"/>
    </i>
    <i r="37">
      <x v="6"/>
    </i>
    <i r="38">
      <x v="3"/>
    </i>
    <i r="39">
      <x v="1"/>
    </i>
    <i r="40">
      <x v="1"/>
    </i>
    <i r="41">
      <x v="6"/>
    </i>
    <i r="42">
      <x v="1"/>
    </i>
    <i r="43">
      <x v="1"/>
    </i>
    <i r="44">
      <x v="1"/>
    </i>
    <i r="45">
      <x v="1"/>
    </i>
    <i r="46">
      <x v="1"/>
    </i>
    <i r="47">
      <x v="1"/>
    </i>
    <i r="48">
      <x v="1"/>
    </i>
    <i r="49">
      <x v="1"/>
    </i>
    <i r="50">
      <x v="1"/>
    </i>
    <i r="51">
      <x v="1"/>
    </i>
    <i r="52">
      <x v="7"/>
    </i>
    <i r="53">
      <x v="1"/>
    </i>
    <i r="54">
      <x v="1"/>
    </i>
    <i r="55">
      <x v="3"/>
    </i>
    <i r="56">
      <x v="1"/>
    </i>
    <i r="57">
      <x v="1"/>
    </i>
    <i r="58">
      <x v="1"/>
    </i>
    <i r="59">
      <x v="17"/>
    </i>
    <i r="60">
      <x v="4"/>
    </i>
    <i r="61">
      <x v="1"/>
    </i>
    <i r="62">
      <x v="1"/>
    </i>
    <i r="63">
      <x v="1"/>
    </i>
    <i r="64">
      <x v="1"/>
    </i>
    <i r="65">
      <x v="1"/>
    </i>
    <i r="66">
      <x v="1"/>
    </i>
    <i r="67">
      <x v="1"/>
    </i>
    <i r="68">
      <x v="4"/>
    </i>
    <i r="69">
      <x v="1"/>
    </i>
    <i r="70">
      <x v="5"/>
    </i>
    <i r="71">
      <x v="41"/>
    </i>
    <i r="72">
      <x v="40"/>
    </i>
    <i r="73">
      <x/>
    </i>
    <i r="1">
      <x v="273"/>
    </i>
    <i r="2">
      <x v="113"/>
    </i>
    <i r="3">
      <x v="41"/>
    </i>
    <i r="4">
      <x v="41"/>
    </i>
    <i r="5">
      <x v="268"/>
    </i>
    <i r="6">
      <x v="2"/>
    </i>
    <i r="7">
      <x v="1"/>
    </i>
    <i r="8">
      <x v="1"/>
    </i>
    <i r="9">
      <x v="469"/>
    </i>
    <i r="10">
      <x v="520"/>
    </i>
    <i r="11">
      <x v="99"/>
    </i>
    <i r="12">
      <x v="1"/>
    </i>
    <i r="13">
      <x v="66"/>
    </i>
    <i r="14">
      <x v="42"/>
    </i>
    <i r="15">
      <x v="4"/>
    </i>
    <i r="16">
      <x v="1"/>
    </i>
    <i r="17">
      <x v="1"/>
    </i>
    <i r="18">
      <x v="42"/>
    </i>
    <i r="19">
      <x v="1"/>
    </i>
    <i r="20">
      <x v="42"/>
    </i>
    <i r="21">
      <x v="1"/>
    </i>
    <i r="22">
      <x v="1"/>
    </i>
    <i r="23">
      <x v="1"/>
    </i>
    <i r="24">
      <x v="1"/>
    </i>
    <i r="25">
      <x v="1"/>
    </i>
    <i r="26">
      <x v="1"/>
    </i>
    <i r="27">
      <x v="41"/>
    </i>
    <i r="28">
      <x v="1"/>
    </i>
    <i r="29">
      <x v="9"/>
    </i>
    <i r="30">
      <x v="4"/>
    </i>
    <i r="31">
      <x v="96"/>
    </i>
    <i r="32">
      <x v="7"/>
    </i>
    <i r="33">
      <x v="1"/>
    </i>
    <i r="34">
      <x v="6"/>
    </i>
    <i r="35">
      <x v="1"/>
    </i>
    <i r="36">
      <x v="1"/>
    </i>
    <i r="37">
      <x v="6"/>
    </i>
    <i r="38">
      <x v="3"/>
    </i>
    <i r="39">
      <x v="1"/>
    </i>
    <i r="40">
      <x v="1"/>
    </i>
    <i r="41">
      <x v="6"/>
    </i>
    <i r="42">
      <x v="1"/>
    </i>
    <i r="43">
      <x v="1"/>
    </i>
    <i r="44">
      <x v="1"/>
    </i>
    <i r="45">
      <x v="1"/>
    </i>
    <i r="46">
      <x v="1"/>
    </i>
    <i r="47">
      <x v="1"/>
    </i>
    <i r="48">
      <x v="1"/>
    </i>
    <i r="49">
      <x v="1"/>
    </i>
    <i r="50">
      <x v="1"/>
    </i>
    <i r="51">
      <x v="1"/>
    </i>
    <i r="52">
      <x v="7"/>
    </i>
    <i r="53">
      <x v="1"/>
    </i>
    <i r="54">
      <x v="1"/>
    </i>
    <i r="55">
      <x v="3"/>
    </i>
    <i r="56">
      <x v="1"/>
    </i>
    <i r="57">
      <x v="1"/>
    </i>
    <i r="58">
      <x v="1"/>
    </i>
    <i r="59">
      <x v="17"/>
    </i>
    <i r="60">
      <x v="4"/>
    </i>
    <i r="61">
      <x v="1"/>
    </i>
    <i r="62">
      <x v="1"/>
    </i>
    <i r="63">
      <x v="1"/>
    </i>
    <i r="64">
      <x v="1"/>
    </i>
    <i r="65">
      <x v="1"/>
    </i>
    <i r="66">
      <x v="1"/>
    </i>
    <i r="67">
      <x v="1"/>
    </i>
    <i r="68">
      <x v="4"/>
    </i>
    <i r="69">
      <x v="1"/>
    </i>
    <i r="70">
      <x v="5"/>
    </i>
    <i r="71">
      <x v="41"/>
    </i>
    <i r="72">
      <x v="40"/>
    </i>
    <i r="73">
      <x/>
    </i>
    <i r="1">
      <x v="274"/>
    </i>
    <i r="2">
      <x v="113"/>
    </i>
    <i r="3">
      <x v="41"/>
    </i>
    <i r="4">
      <x v="41"/>
    </i>
    <i r="5">
      <x v="269"/>
    </i>
    <i r="6">
      <x v="2"/>
    </i>
    <i r="7">
      <x v="1"/>
    </i>
    <i r="8">
      <x v="1"/>
    </i>
    <i r="9">
      <x v="470"/>
    </i>
    <i r="10">
      <x v="521"/>
    </i>
    <i r="11">
      <x v="100"/>
    </i>
    <i r="12">
      <x v="1"/>
    </i>
    <i r="13">
      <x v="66"/>
    </i>
    <i r="14">
      <x v="42"/>
    </i>
    <i r="15">
      <x v="4"/>
    </i>
    <i r="16">
      <x v="1"/>
    </i>
    <i r="17">
      <x v="1"/>
    </i>
    <i r="18">
      <x v="42"/>
    </i>
    <i r="19">
      <x v="1"/>
    </i>
    <i r="20">
      <x v="42"/>
    </i>
    <i r="21">
      <x v="1"/>
    </i>
    <i r="22">
      <x v="1"/>
    </i>
    <i r="23">
      <x v="1"/>
    </i>
    <i r="24">
      <x v="1"/>
    </i>
    <i r="25">
      <x v="1"/>
    </i>
    <i r="26">
      <x v="1"/>
    </i>
    <i r="27">
      <x v="41"/>
    </i>
    <i r="28">
      <x v="1"/>
    </i>
    <i r="29">
      <x v="9"/>
    </i>
    <i r="30">
      <x v="4"/>
    </i>
    <i r="31">
      <x v="96"/>
    </i>
    <i r="32">
      <x v="7"/>
    </i>
    <i r="33">
      <x v="1"/>
    </i>
    <i r="34">
      <x v="6"/>
    </i>
    <i r="35">
      <x v="1"/>
    </i>
    <i r="36">
      <x v="1"/>
    </i>
    <i r="37">
      <x v="6"/>
    </i>
    <i r="38">
      <x v="3"/>
    </i>
    <i r="39">
      <x v="1"/>
    </i>
    <i r="40">
      <x v="1"/>
    </i>
    <i r="41">
      <x v="6"/>
    </i>
    <i r="42">
      <x v="1"/>
    </i>
    <i r="43">
      <x v="1"/>
    </i>
    <i r="44">
      <x v="1"/>
    </i>
    <i r="45">
      <x v="1"/>
    </i>
    <i r="46">
      <x v="1"/>
    </i>
    <i r="47">
      <x v="1"/>
    </i>
    <i r="48">
      <x v="1"/>
    </i>
    <i r="49">
      <x v="1"/>
    </i>
    <i r="50">
      <x v="1"/>
    </i>
    <i r="51">
      <x v="1"/>
    </i>
    <i r="52">
      <x v="7"/>
    </i>
    <i r="53">
      <x v="1"/>
    </i>
    <i r="54">
      <x v="1"/>
    </i>
    <i r="55">
      <x v="3"/>
    </i>
    <i r="56">
      <x v="1"/>
    </i>
    <i r="57">
      <x v="1"/>
    </i>
    <i r="58">
      <x v="1"/>
    </i>
    <i r="59">
      <x v="17"/>
    </i>
    <i r="60">
      <x v="4"/>
    </i>
    <i r="61">
      <x v="1"/>
    </i>
    <i r="62">
      <x v="1"/>
    </i>
    <i r="63">
      <x v="1"/>
    </i>
    <i r="64">
      <x v="1"/>
    </i>
    <i r="65">
      <x v="1"/>
    </i>
    <i r="66">
      <x v="1"/>
    </i>
    <i r="67">
      <x v="1"/>
    </i>
    <i r="68">
      <x v="4"/>
    </i>
    <i r="69">
      <x v="1"/>
    </i>
    <i r="70">
      <x v="5"/>
    </i>
    <i r="71">
      <x v="41"/>
    </i>
    <i r="72">
      <x v="40"/>
    </i>
    <i r="73">
      <x/>
    </i>
    <i r="1">
      <x v="301"/>
    </i>
    <i r="2">
      <x v="113"/>
    </i>
    <i r="3">
      <x v="41"/>
    </i>
    <i r="4">
      <x v="41"/>
    </i>
    <i r="5">
      <x v="24"/>
    </i>
    <i r="6">
      <x v="2"/>
    </i>
    <i r="7">
      <x v="1"/>
    </i>
    <i r="8">
      <x v="1"/>
    </i>
    <i r="9">
      <x v="472"/>
    </i>
    <i r="10">
      <x v="523"/>
    </i>
    <i r="11">
      <x v="1"/>
    </i>
    <i r="12">
      <x v="1"/>
    </i>
    <i r="13">
      <x v="66"/>
    </i>
    <i r="14">
      <x v="42"/>
    </i>
    <i r="15">
      <x v="4"/>
    </i>
    <i r="16">
      <x v="1"/>
    </i>
    <i r="17">
      <x v="1"/>
    </i>
    <i r="18">
      <x v="42"/>
    </i>
    <i r="19">
      <x v="1"/>
    </i>
    <i r="20">
      <x v="42"/>
    </i>
    <i r="21">
      <x v="1"/>
    </i>
    <i r="22">
      <x v="1"/>
    </i>
    <i r="23">
      <x v="1"/>
    </i>
    <i r="24">
      <x v="1"/>
    </i>
    <i r="25">
      <x v="1"/>
    </i>
    <i r="26">
      <x v="1"/>
    </i>
    <i r="27">
      <x v="41"/>
    </i>
    <i r="28">
      <x v="1"/>
    </i>
    <i r="29">
      <x v="9"/>
    </i>
    <i r="30">
      <x v="4"/>
    </i>
    <i r="31">
      <x v="600"/>
    </i>
    <i r="32">
      <x v="7"/>
    </i>
    <i r="33">
      <x v="1"/>
    </i>
    <i r="34">
      <x v="6"/>
    </i>
    <i r="35">
      <x v="1"/>
    </i>
    <i r="36">
      <x v="1"/>
    </i>
    <i r="37">
      <x v="6"/>
    </i>
    <i r="38">
      <x v="3"/>
    </i>
    <i r="39">
      <x v="1"/>
    </i>
    <i r="40">
      <x v="1"/>
    </i>
    <i r="41">
      <x v="6"/>
    </i>
    <i r="42">
      <x v="1"/>
    </i>
    <i r="43">
      <x v="1"/>
    </i>
    <i r="44">
      <x v="1"/>
    </i>
    <i r="45">
      <x v="1"/>
    </i>
    <i r="46">
      <x v="1"/>
    </i>
    <i r="47">
      <x v="1"/>
    </i>
    <i r="48">
      <x v="1"/>
    </i>
    <i r="49">
      <x v="1"/>
    </i>
    <i r="50">
      <x v="1"/>
    </i>
    <i r="51">
      <x v="1"/>
    </i>
    <i r="52">
      <x v="7"/>
    </i>
    <i r="53">
      <x v="1"/>
    </i>
    <i r="54">
      <x v="1"/>
    </i>
    <i r="55">
      <x v="3"/>
    </i>
    <i r="56">
      <x v="1"/>
    </i>
    <i r="57">
      <x v="1"/>
    </i>
    <i r="58">
      <x v="1"/>
    </i>
    <i r="59">
      <x v="17"/>
    </i>
    <i r="60">
      <x v="4"/>
    </i>
    <i r="61">
      <x v="1"/>
    </i>
    <i r="62">
      <x v="1"/>
    </i>
    <i r="63">
      <x v="1"/>
    </i>
    <i r="64">
      <x v="1"/>
    </i>
    <i r="65">
      <x v="1"/>
    </i>
    <i r="66">
      <x v="1"/>
    </i>
    <i r="67">
      <x v="1"/>
    </i>
    <i r="68">
      <x v="4"/>
    </i>
    <i r="69">
      <x v="1"/>
    </i>
    <i r="70">
      <x v="5"/>
    </i>
    <i r="71">
      <x v="41"/>
    </i>
    <i r="72">
      <x v="40"/>
    </i>
    <i r="73">
      <x/>
    </i>
    <i r="1">
      <x v="302"/>
    </i>
    <i r="2">
      <x v="531"/>
    </i>
    <i r="3">
      <x v="41"/>
    </i>
    <i r="4">
      <x v="41"/>
    </i>
    <i r="5">
      <x v="24"/>
    </i>
    <i r="6">
      <x v="2"/>
    </i>
    <i r="7">
      <x v="1"/>
    </i>
    <i r="8">
      <x v="1"/>
    </i>
    <i r="9">
      <x v="474"/>
    </i>
    <i r="10">
      <x v="525"/>
    </i>
    <i r="11">
      <x v="1"/>
    </i>
    <i r="12">
      <x v="1"/>
    </i>
    <i r="13">
      <x v="66"/>
    </i>
    <i r="14">
      <x v="42"/>
    </i>
    <i r="15">
      <x v="4"/>
    </i>
    <i r="16">
      <x v="1"/>
    </i>
    <i r="17">
      <x v="1"/>
    </i>
    <i r="18">
      <x v="42"/>
    </i>
    <i r="19">
      <x v="1"/>
    </i>
    <i r="20">
      <x v="42"/>
    </i>
    <i r="21">
      <x v="1"/>
    </i>
    <i r="22">
      <x v="1"/>
    </i>
    <i r="23">
      <x v="1"/>
    </i>
    <i r="24">
      <x v="1"/>
    </i>
    <i r="25">
      <x v="1"/>
    </i>
    <i r="26">
      <x v="1"/>
    </i>
    <i r="27">
      <x v="41"/>
    </i>
    <i r="28">
      <x v="1"/>
    </i>
    <i r="29">
      <x v="9"/>
    </i>
    <i r="30">
      <x v="4"/>
    </i>
    <i r="31">
      <x v="603"/>
    </i>
    <i r="32">
      <x v="7"/>
    </i>
    <i r="33">
      <x v="1"/>
    </i>
    <i r="34">
      <x v="6"/>
    </i>
    <i r="35">
      <x v="1"/>
    </i>
    <i r="36">
      <x v="1"/>
    </i>
    <i r="37">
      <x v="6"/>
    </i>
    <i r="38">
      <x v="3"/>
    </i>
    <i r="39">
      <x v="1"/>
    </i>
    <i r="40">
      <x v="1"/>
    </i>
    <i r="41">
      <x v="6"/>
    </i>
    <i r="42">
      <x v="1"/>
    </i>
    <i r="43">
      <x v="1"/>
    </i>
    <i r="44">
      <x v="1"/>
    </i>
    <i r="45">
      <x v="1"/>
    </i>
    <i r="46">
      <x v="1"/>
    </i>
    <i r="47">
      <x v="1"/>
    </i>
    <i r="48">
      <x v="1"/>
    </i>
    <i r="49">
      <x v="1"/>
    </i>
    <i r="50">
      <x v="1"/>
    </i>
    <i r="51">
      <x v="1"/>
    </i>
    <i r="52">
      <x v="7"/>
    </i>
    <i r="53">
      <x v="1"/>
    </i>
    <i r="54">
      <x v="1"/>
    </i>
    <i r="55">
      <x v="3"/>
    </i>
    <i r="56">
      <x v="1"/>
    </i>
    <i r="57">
      <x v="1"/>
    </i>
    <i r="58">
      <x v="1"/>
    </i>
    <i r="59">
      <x v="17"/>
    </i>
    <i r="60">
      <x v="4"/>
    </i>
    <i r="61">
      <x v="1"/>
    </i>
    <i r="62">
      <x v="1"/>
    </i>
    <i r="63">
      <x v="1"/>
    </i>
    <i r="64">
      <x v="1"/>
    </i>
    <i r="65">
      <x v="1"/>
    </i>
    <i r="66">
      <x v="1"/>
    </i>
    <i r="67">
      <x v="1"/>
    </i>
    <i r="68">
      <x v="4"/>
    </i>
    <i r="69">
      <x v="1"/>
    </i>
    <i r="70">
      <x v="5"/>
    </i>
    <i r="71">
      <x v="41"/>
    </i>
    <i r="72">
      <x v="40"/>
    </i>
    <i r="73">
      <x/>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xml><?xml version="1.0" encoding="utf-8"?>
<pivotTableDefinition xmlns="http://schemas.openxmlformats.org/spreadsheetml/2006/main" name="PivotTable16" cacheId="3" applyNumberFormats="0" applyBorderFormats="0" applyFontFormats="0" applyPatternFormats="0" applyAlignmentFormats="0" applyWidthHeightFormats="1" dataCaption="Values" missingCaption="None" showMissing="0" updatedVersion="5" minRefreshableVersion="3" useAutoFormatting="1" itemPrintTitles="1" createdVersion="5" indent="0" outline="1" outlineData="1" multipleFieldFilters="0">
  <location ref="A1:A796" firstHeaderRow="1" firstDataRow="1" firstDataCol="1"/>
  <pivotFields count="263">
    <pivotField showAll="0"/>
    <pivotField showAll="0"/>
    <pivotField showAll="0"/>
    <pivotField showAll="0"/>
    <pivotField axis="axisRow" showAll="0">
      <items count="11">
        <item h="1" x="5"/>
        <item h="1" sd="0" x="1"/>
        <item h="1" x="0"/>
        <item h="1" x="4"/>
        <item h="1" x="6"/>
        <item h="1" x="3"/>
        <item h="1" x="7"/>
        <item x="8"/>
        <item h="1" sd="0" x="9"/>
        <item h="1" sd="0" x="2"/>
        <item t="default"/>
      </items>
    </pivotField>
    <pivotField showAll="0" defaultSubtotal="0"/>
    <pivotField showAll="0" defaultSubtotal="0"/>
    <pivotField showAll="0" defaultSubtotal="0"/>
    <pivotField showAll="0" defaultSubtota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pivotField showAll="0"/>
    <pivotField showAll="0"/>
    <pivotField showAll="0"/>
    <pivotField showAll="0"/>
    <pivotField showAll="0"/>
    <pivotField showAll="0"/>
    <pivotField showAll="0"/>
    <pivotField showAll="0"/>
    <pivotField showAll="0"/>
    <pivotField showAll="0" defaultSubtotal="0"/>
    <pivotField showAll="0" defaultSubtota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defaultSubtotal="0"/>
    <pivotField numFmtId="164" showAll="0" defaultSubtotal="0"/>
    <pivotField numFmtId="164" showAll="0" defaultSubtotal="0"/>
    <pivotField numFmtId="164" showAll="0" defaultSubtotal="0"/>
    <pivotField numFmtId="164" showAll="0" defaultSubtotal="0"/>
    <pivotField numFmtId="164" showAll="0" defaultSubtotal="0"/>
    <pivotField numFmtId="164" showAll="0" defaultSubtotal="0"/>
    <pivotField numFmtId="164" showAll="0" defaultSubtotal="0"/>
    <pivotField numFmtId="164" showAll="0" defaultSubtotal="0"/>
    <pivotField numFmtId="164" showAll="0" defaultSubtotal="0"/>
    <pivotField numFmtId="164" showAll="0" defaultSubtotal="0"/>
    <pivotField numFmtId="164" showAll="0" defaultSubtotal="0"/>
    <pivotField numFmtId="164" showAll="0" defaultSubtotal="0"/>
    <pivotField numFmtId="164" showAll="0" defaultSubtotal="0"/>
    <pivotField numFmtId="164" showAll="0" defaultSubtotal="0"/>
    <pivotField numFmtId="164" showAll="0" defaultSubtotal="0"/>
    <pivotField numFmtId="164" showAll="0" defaultSubtotal="0"/>
    <pivotField numFmtId="164" showAll="0"/>
    <pivotField numFmtId="164" showAll="0" defaultSubtotal="0"/>
    <pivotField numFmtId="164" showAll="0" defaultSubtotal="0"/>
    <pivotField numFmtId="164" showAll="0" defaultSubtotal="0"/>
    <pivotField numFmtId="164" showAll="0" defaultSubtotal="0"/>
    <pivotField numFmtId="164"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Row" showAll="0">
      <items count="360">
        <item sd="0" m="1" x="53"/>
        <item m="1" x="338"/>
        <item m="1" x="240"/>
        <item m="1" x="349"/>
        <item m="1" x="195"/>
        <item m="1" x="288"/>
        <item m="1" x="356"/>
        <item m="1" x="181"/>
        <item m="1" x="83"/>
        <item m="1" x="93"/>
        <item m="1" x="225"/>
        <item m="1" x="85"/>
        <item m="1" x="189"/>
        <item m="1" x="354"/>
        <item m="1" x="309"/>
        <item m="1" x="77"/>
        <item m="1" x="269"/>
        <item m="1" x="159"/>
        <item m="1" x="107"/>
        <item m="1" x="246"/>
        <item m="1" x="56"/>
        <item m="1" x="336"/>
        <item m="1" x="328"/>
        <item m="1" x="124"/>
        <item m="1" x="138"/>
        <item m="1" x="303"/>
        <item m="1" x="215"/>
        <item m="1" x="203"/>
        <item m="1" x="151"/>
        <item m="1" x="81"/>
        <item m="1" x="347"/>
        <item m="1" x="241"/>
        <item m="1" x="318"/>
        <item m="1" x="94"/>
        <item m="1" x="165"/>
        <item m="1" x="196"/>
        <item m="1" x="58"/>
        <item m="1" x="182"/>
        <item m="1" x="173"/>
        <item m="1" x="88"/>
        <item m="1" x="235"/>
        <item m="1" x="267"/>
        <item m="1" x="190"/>
        <item m="1" x="229"/>
        <item x="0"/>
        <item m="1" x="121"/>
        <item m="1" x="59"/>
        <item m="1" x="320"/>
        <item m="1" x="283"/>
        <item m="1" x="304"/>
        <item m="1" x="284"/>
        <item m="1" x="305"/>
        <item m="1" x="306"/>
        <item m="1" x="169"/>
        <item m="1" x="106"/>
        <item m="1" x="321"/>
        <item m="1" x="322"/>
        <item m="1" x="69"/>
        <item m="1" x="70"/>
        <item m="1" x="89"/>
        <item m="1" x="170"/>
        <item m="1" x="79"/>
        <item m="1" x="80"/>
        <item m="1" x="137"/>
        <item m="1" x="125"/>
        <item m="1" x="160"/>
        <item m="1" x="143"/>
        <item m="1" x="144"/>
        <item m="1" x="145"/>
        <item m="1" x="71"/>
        <item m="1" x="210"/>
        <item m="1" x="123"/>
        <item m="1" x="146"/>
        <item m="1" x="155"/>
        <item m="1" x="147"/>
        <item m="1" x="148"/>
        <item m="1" x="149"/>
        <item m="1" x="135"/>
        <item m="1" x="171"/>
        <item m="1" x="296"/>
        <item m="1" x="337"/>
        <item m="1" x="324"/>
        <item m="1" x="72"/>
        <item m="1" x="323"/>
        <item m="1" x="345"/>
        <item m="1" x="346"/>
        <item m="1" x="285"/>
        <item m="1" x="286"/>
        <item m="1" x="308"/>
        <item m="1" x="206"/>
        <item m="1" x="217"/>
        <item m="1" x="252"/>
        <item m="1" x="126"/>
        <item m="1" x="152"/>
        <item m="1" x="287"/>
        <item m="1" x="185"/>
        <item m="1" x="262"/>
        <item m="1" x="220"/>
        <item m="1" x="357"/>
        <item m="1" x="263"/>
        <item m="1" x="68"/>
        <item m="1" x="172"/>
        <item m="1" x="187"/>
        <item m="1" x="342"/>
        <item m="1" x="188"/>
        <item m="1" x="348"/>
        <item m="1" x="334"/>
        <item m="1" x="291"/>
        <item m="1" x="120"/>
        <item m="1" x="176"/>
        <item m="1" x="117"/>
        <item m="1" x="186"/>
        <item m="1" x="214"/>
        <item m="1" x="343"/>
        <item m="1" x="92"/>
        <item m="1" x="335"/>
        <item m="1" x="344"/>
        <item m="1" x="193"/>
        <item m="1" x="290"/>
        <item m="1" x="265"/>
        <item m="1" x="108"/>
        <item m="1" x="139"/>
        <item m="1" x="82"/>
        <item m="1" x="205"/>
        <item m="1" x="297"/>
        <item m="1" x="226"/>
        <item m="1" x="230"/>
        <item m="1" x="199"/>
        <item m="1" x="231"/>
        <item m="1" x="200"/>
        <item m="1" x="201"/>
        <item m="1" x="113"/>
        <item m="1" x="91"/>
        <item m="1" x="227"/>
        <item m="1" x="228"/>
        <item m="1" x="236"/>
        <item m="1" x="237"/>
        <item m="1" x="293"/>
        <item m="1" x="114"/>
        <item m="1" x="254"/>
        <item m="1" x="255"/>
        <item m="1" x="340"/>
        <item m="1" x="67"/>
        <item m="1" x="339"/>
        <item m="1" x="310"/>
        <item m="1" x="311"/>
        <item m="1" x="312"/>
        <item m="1" x="238"/>
        <item m="1" x="191"/>
        <item m="1" x="302"/>
        <item m="1" x="276"/>
        <item m="1" x="179"/>
        <item m="1" x="277"/>
        <item m="1" x="278"/>
        <item m="1" x="279"/>
        <item m="1" x="266"/>
        <item m="1" x="157"/>
        <item m="1" x="282"/>
        <item m="1" x="142"/>
        <item m="1" x="178"/>
        <item m="1" x="280"/>
        <item m="1" x="301"/>
        <item m="1" x="162"/>
        <item m="1" x="163"/>
        <item m="1" x="316"/>
        <item m="1" x="317"/>
        <item m="1" x="216"/>
        <item m="1" x="184"/>
        <item m="1" x="54"/>
        <item m="1" x="133"/>
        <item m="1" x="248"/>
        <item m="1" x="66"/>
        <item m="1" x="319"/>
        <item m="1" x="150"/>
        <item m="1" x="140"/>
        <item m="1" x="174"/>
        <item m="1" x="245"/>
        <item m="1" x="161"/>
        <item m="1" x="294"/>
        <item m="1" x="239"/>
        <item m="1" x="204"/>
        <item m="1" x="292"/>
        <item m="1" x="251"/>
        <item m="1" x="192"/>
        <item m="1" x="103"/>
        <item m="1" x="118"/>
        <item m="1" x="351"/>
        <item m="1" x="105"/>
        <item m="1" x="244"/>
        <item m="1" x="355"/>
        <item m="1" x="60"/>
        <item m="1" x="219"/>
        <item m="1" x="156"/>
        <item m="1" x="331"/>
        <item m="1" x="253"/>
        <item m="1" x="183"/>
        <item m="1" x="164"/>
        <item m="1" x="109"/>
        <item m="1" x="112"/>
        <item m="1" x="264"/>
        <item m="1" x="299"/>
        <item x="29"/>
        <item m="1" x="115"/>
        <item m="1" x="73"/>
        <item m="1" x="61"/>
        <item m="1" x="207"/>
        <item m="1" x="62"/>
        <item m="1" x="208"/>
        <item m="1" x="209"/>
        <item m="1" x="313"/>
        <item m="1" x="289"/>
        <item m="1" x="74"/>
        <item m="1" x="75"/>
        <item m="1" x="221"/>
        <item m="1" x="222"/>
        <item m="1" x="212"/>
        <item m="1" x="314"/>
        <item m="1" x="86"/>
        <item m="1" x="87"/>
        <item m="1" x="218"/>
        <item m="1" x="119"/>
        <item m="1" x="232"/>
        <item m="1" x="96"/>
        <item m="1" x="97"/>
        <item m="1" x="98"/>
        <item m="1" x="223"/>
        <item m="1" x="55"/>
        <item m="1" x="90"/>
        <item m="1" x="99"/>
        <item m="1" x="78"/>
        <item m="1" x="100"/>
        <item m="1" x="101"/>
        <item m="1" x="102"/>
        <item m="1" x="242"/>
        <item m="1" x="315"/>
        <item m="1" x="202"/>
        <item m="1" x="167"/>
        <item m="1" x="250"/>
        <item m="1" x="224"/>
        <item m="1" x="76"/>
        <item m="1" x="257"/>
        <item m="1" x="258"/>
        <item m="1" x="63"/>
        <item m="1" x="64"/>
        <item x="17"/>
        <item x="18"/>
        <item x="20"/>
        <item m="1" x="259"/>
        <item x="23"/>
        <item m="1" x="57"/>
        <item m="1" x="104"/>
        <item m="1" x="213"/>
        <item x="32"/>
        <item m="1" x="153"/>
        <item m="1" x="95"/>
        <item m="1" x="330"/>
        <item m="1" x="350"/>
        <item x="49"/>
        <item x="50"/>
        <item x="51"/>
        <item x="52"/>
        <item m="1" x="158"/>
        <item m="1" x="127"/>
        <item m="1" x="111"/>
        <item m="1" x="358"/>
        <item m="1" x="194"/>
        <item m="1" x="110"/>
        <item x="9"/>
        <item x="16"/>
        <item x="21"/>
        <item x="24"/>
        <item x="31"/>
        <item x="43"/>
        <item x="44"/>
        <item x="45"/>
        <item x="48"/>
        <item m="1" x="307"/>
        <item m="1" x="247"/>
        <item x="4"/>
        <item m="1" x="168"/>
        <item x="6"/>
        <item m="1" x="180"/>
        <item x="25"/>
        <item x="27"/>
        <item m="1" x="298"/>
        <item m="1" x="300"/>
        <item m="1" x="177"/>
        <item x="1"/>
        <item x="2"/>
        <item x="3"/>
        <item m="1" x="122"/>
        <item m="1" x="260"/>
        <item m="1" x="141"/>
        <item x="22"/>
        <item m="1" x="353"/>
        <item m="1" x="256"/>
        <item m="1" x="175"/>
        <item m="1" x="65"/>
        <item m="1" x="166"/>
        <item m="1" x="249"/>
        <item m="1" x="154"/>
        <item x="46"/>
        <item x="47"/>
        <item x="5"/>
        <item x="7"/>
        <item x="8"/>
        <item x="10"/>
        <item x="11"/>
        <item x="12"/>
        <item x="13"/>
        <item x="14"/>
        <item x="15"/>
        <item x="19"/>
        <item m="1" x="84"/>
        <item m="1" x="325"/>
        <item m="1" x="326"/>
        <item m="1" x="128"/>
        <item m="1" x="129"/>
        <item m="1" x="136"/>
        <item m="1" x="197"/>
        <item m="1" x="131"/>
        <item m="1" x="132"/>
        <item m="1" x="295"/>
        <item m="1" x="211"/>
        <item m="1" x="281"/>
        <item m="1" x="270"/>
        <item m="1" x="271"/>
        <item m="1" x="272"/>
        <item m="1" x="130"/>
        <item m="1" x="134"/>
        <item x="30"/>
        <item x="33"/>
        <item m="1" x="352"/>
        <item m="1" x="116"/>
        <item m="1" x="273"/>
        <item m="1" x="274"/>
        <item m="1" x="275"/>
        <item m="1" x="268"/>
        <item m="1" x="198"/>
        <item m="1" x="329"/>
        <item m="1" x="243"/>
        <item m="1" x="261"/>
        <item m="1" x="341"/>
        <item x="37"/>
        <item m="1" x="327"/>
        <item m="1" x="233"/>
        <item m="1" x="234"/>
        <item m="1" x="332"/>
        <item m="1" x="333"/>
        <item x="26"/>
        <item x="28"/>
        <item x="34"/>
        <item x="36"/>
        <item x="35"/>
        <item x="38"/>
        <item x="39"/>
        <item x="40"/>
        <item x="41"/>
        <item x="42"/>
        <item t="default"/>
      </items>
    </pivotField>
    <pivotField axis="axisRow" showAll="0">
      <items count="274">
        <item m="1" x="19"/>
        <item m="1" x="102"/>
        <item m="1" x="90"/>
        <item m="1" x="71"/>
        <item m="1" x="215"/>
        <item m="1" x="175"/>
        <item m="1" x="94"/>
        <item m="1" x="139"/>
        <item m="1" x="170"/>
        <item m="1" x="23"/>
        <item m="1" x="129"/>
        <item m="1" x="209"/>
        <item m="1" x="165"/>
        <item m="1" x="261"/>
        <item m="1" x="247"/>
        <item m="1" x="126"/>
        <item m="1" x="73"/>
        <item m="1" x="135"/>
        <item m="1" x="235"/>
        <item m="1" x="176"/>
        <item m="1" x="56"/>
        <item m="1" x="156"/>
        <item m="1" x="122"/>
        <item m="1" x="141"/>
        <item x="0"/>
        <item m="1" x="34"/>
        <item m="1" x="196"/>
        <item m="1" x="58"/>
        <item m="1" x="188"/>
        <item m="1" x="80"/>
        <item m="1" x="85"/>
        <item m="1" x="106"/>
        <item m="1" x="197"/>
        <item m="1" x="228"/>
        <item m="1" x="216"/>
        <item m="1" x="217"/>
        <item m="1" x="117"/>
        <item m="1" x="234"/>
        <item m="1" x="248"/>
        <item m="1" x="41"/>
        <item m="1" x="54"/>
        <item m="1" x="186"/>
        <item m="1" x="237"/>
        <item m="1" x="105"/>
        <item m="1" x="95"/>
        <item m="1" x="187"/>
        <item m="1" x="164"/>
        <item m="1" x="37"/>
        <item m="1" x="81"/>
        <item m="1" x="120"/>
        <item m="1" x="84"/>
        <item m="1" x="31"/>
        <item m="1" x="27"/>
        <item m="1" x="68"/>
        <item m="1" x="169"/>
        <item m="1" x="82"/>
        <item m="1" x="125"/>
        <item m="1" x="229"/>
        <item m="1" x="153"/>
        <item m="1" x="182"/>
        <item m="1" x="185"/>
        <item m="1" x="263"/>
        <item m="1" x="203"/>
        <item m="1" x="62"/>
        <item m="1" x="269"/>
        <item m="1" x="233"/>
        <item m="1" x="166"/>
        <item m="1" x="127"/>
        <item m="1" x="20"/>
        <item m="1" x="67"/>
        <item m="1" x="48"/>
        <item m="1" x="46"/>
        <item m="1" x="111"/>
        <item m="1" x="124"/>
        <item m="1" x="212"/>
        <item m="1" x="88"/>
        <item m="1" x="158"/>
        <item m="1" x="180"/>
        <item m="1" x="50"/>
        <item m="1" x="178"/>
        <item m="1" x="221"/>
        <item m="1" x="250"/>
        <item m="1" x="136"/>
        <item m="1" x="227"/>
        <item m="1" x="201"/>
        <item m="1" x="195"/>
        <item m="1" x="55"/>
        <item m="1" x="77"/>
        <item m="1" x="259"/>
        <item m="1" x="113"/>
        <item m="1" x="98"/>
        <item m="1" x="63"/>
        <item m="1" x="93"/>
        <item m="1" x="146"/>
        <item m="1" x="154"/>
        <item m="1" x="24"/>
        <item m="1" x="155"/>
        <item m="1" x="157"/>
        <item m="1" x="220"/>
        <item m="1" x="89"/>
        <item m="1" x="205"/>
        <item m="1" x="174"/>
        <item m="1" x="194"/>
        <item m="1" x="161"/>
        <item m="1" x="168"/>
        <item m="1" x="210"/>
        <item m="1" x="130"/>
        <item m="1" x="131"/>
        <item m="1" x="96"/>
        <item m="1" x="160"/>
        <item m="1" x="25"/>
        <item m="1" x="61"/>
        <item m="1" x="204"/>
        <item m="1" x="91"/>
        <item m="1" x="133"/>
        <item m="1" x="143"/>
        <item m="1" x="266"/>
        <item m="1" x="75"/>
        <item m="1" x="219"/>
        <item m="1" x="92"/>
        <item m="1" x="213"/>
        <item m="1" x="118"/>
        <item m="1" x="265"/>
        <item m="1" x="163"/>
        <item m="1" x="70"/>
        <item m="1" x="32"/>
        <item m="1" x="119"/>
        <item m="1" x="244"/>
        <item m="1" x="64"/>
        <item m="1" x="245"/>
        <item m="1" x="43"/>
        <item m="1" x="140"/>
        <item m="1" x="132"/>
        <item m="1" x="236"/>
        <item m="1" x="28"/>
        <item m="1" x="171"/>
        <item m="1" x="191"/>
        <item m="1" x="36"/>
        <item m="1" x="76"/>
        <item m="1" x="231"/>
        <item m="1" x="72"/>
        <item m="1" x="110"/>
        <item m="1" x="60"/>
        <item m="1" x="147"/>
        <item m="1" x="246"/>
        <item m="1" x="183"/>
        <item m="1" x="243"/>
        <item m="1" x="198"/>
        <item m="1" x="214"/>
        <item m="1" x="241"/>
        <item m="1" x="152"/>
        <item m="1" x="86"/>
        <item m="1" x="224"/>
        <item m="1" x="30"/>
        <item m="1" x="181"/>
        <item m="1" x="35"/>
        <item m="1" x="151"/>
        <item m="1" x="232"/>
        <item m="1" x="260"/>
        <item m="1" x="40"/>
        <item m="1" x="128"/>
        <item m="1" x="29"/>
        <item m="1" x="142"/>
        <item m="1" x="272"/>
        <item m="1" x="78"/>
        <item m="1" x="107"/>
        <item m="1" x="87"/>
        <item m="1" x="226"/>
        <item m="1" x="52"/>
        <item m="1" x="44"/>
        <item m="1" x="218"/>
        <item m="1" x="42"/>
        <item m="1" x="184"/>
        <item m="1" x="123"/>
        <item m="1" x="239"/>
        <item m="1" x="148"/>
        <item m="1" x="74"/>
        <item m="1" x="137"/>
        <item m="1" x="202"/>
        <item m="1" x="230"/>
        <item m="1" x="207"/>
        <item m="1" x="208"/>
        <item m="1" x="21"/>
        <item m="1" x="189"/>
        <item m="1" x="206"/>
        <item m="1" x="222"/>
        <item m="1" x="223"/>
        <item m="1" x="240"/>
        <item m="1" x="53"/>
        <item m="1" x="271"/>
        <item m="1" x="104"/>
        <item m="1" x="109"/>
        <item m="1" x="252"/>
        <item m="1" x="253"/>
        <item m="1" x="38"/>
        <item m="1" x="254"/>
        <item m="1" x="45"/>
        <item m="1" x="47"/>
        <item m="1" x="79"/>
        <item m="1" x="167"/>
        <item m="1" x="65"/>
        <item m="1" x="200"/>
        <item m="1" x="193"/>
        <item m="1" x="162"/>
        <item m="1" x="114"/>
        <item m="1" x="115"/>
        <item m="1" x="39"/>
        <item m="1" x="59"/>
        <item m="1" x="192"/>
        <item m="1" x="121"/>
        <item m="1" x="159"/>
        <item m="1" x="270"/>
        <item m="1" x="258"/>
        <item m="1" x="268"/>
        <item m="1" x="103"/>
        <item m="1" x="179"/>
        <item m="1" x="255"/>
        <item m="1" x="97"/>
        <item m="1" x="66"/>
        <item m="1" x="33"/>
        <item m="1" x="22"/>
        <item m="1" x="256"/>
        <item m="1" x="149"/>
        <item m="1" x="242"/>
        <item m="1" x="150"/>
        <item m="1" x="57"/>
        <item m="1" x="251"/>
        <item m="1" x="190"/>
        <item m="1" x="116"/>
        <item m="1" x="262"/>
        <item m="1" x="100"/>
        <item m="1" x="26"/>
        <item m="1" x="138"/>
        <item m="1" x="108"/>
        <item m="1" x="99"/>
        <item m="1" x="238"/>
        <item m="1" x="49"/>
        <item m="1" x="211"/>
        <item m="1" x="257"/>
        <item m="1" x="101"/>
        <item m="1" x="83"/>
        <item m="1" x="225"/>
        <item m="1" x="69"/>
        <item m="1" x="199"/>
        <item m="1" x="173"/>
        <item m="1" x="51"/>
        <item m="1" x="264"/>
        <item m="1" x="145"/>
        <item m="1" x="112"/>
        <item m="1" x="134"/>
        <item m="1" x="144"/>
        <item m="1" x="267"/>
        <item m="1" x="177"/>
        <item m="1" x="249"/>
        <item m="1" x="172"/>
        <item x="1"/>
        <item x="2"/>
        <item x="3"/>
        <item x="4"/>
        <item x="5"/>
        <item x="6"/>
        <item x="7"/>
        <item x="8"/>
        <item x="9"/>
        <item x="10"/>
        <item x="11"/>
        <item x="12"/>
        <item x="13"/>
        <item x="14"/>
        <item x="15"/>
        <item x="16"/>
        <item x="17"/>
        <item x="18"/>
        <item t="default"/>
      </items>
    </pivotField>
    <pivotField axis="axisRow" showAll="0">
      <items count="31">
        <item m="1" x="29"/>
        <item m="1" x="5"/>
        <item x="0"/>
        <item m="1" x="22"/>
        <item m="1" x="26"/>
        <item m="1" x="20"/>
        <item m="1" x="18"/>
        <item m="1" x="6"/>
        <item m="1" x="12"/>
        <item m="1" x="25"/>
        <item m="1" x="10"/>
        <item m="1" x="3"/>
        <item m="1" x="27"/>
        <item m="1" x="14"/>
        <item m="1" x="8"/>
        <item m="1" x="9"/>
        <item m="1" x="7"/>
        <item m="1" x="1"/>
        <item m="1" x="24"/>
        <item m="1" x="17"/>
        <item m="1" x="15"/>
        <item m="1" x="16"/>
        <item m="1" x="13"/>
        <item m="1" x="23"/>
        <item m="1" x="28"/>
        <item m="1" x="2"/>
        <item m="1" x="19"/>
        <item m="1" x="4"/>
        <item m="1" x="21"/>
        <item m="1" x="11"/>
        <item t="default"/>
      </items>
    </pivotField>
    <pivotField axis="axisRow" showAll="0">
      <items count="3">
        <item m="1" x="1"/>
        <item x="0"/>
        <item t="default"/>
      </items>
    </pivotField>
    <pivotField axis="axisRow" showAll="0">
      <items count="3">
        <item m="1" x="1"/>
        <item x="0"/>
        <item t="default"/>
      </items>
    </pivotField>
    <pivotField axis="axisRow" showAll="0">
      <items count="558">
        <item m="1" x="362"/>
        <item m="1" x="330"/>
        <item m="1" x="371"/>
        <item m="1" x="361"/>
        <item m="1" x="250"/>
        <item m="1" x="504"/>
        <item m="1" x="325"/>
        <item m="1" x="432"/>
        <item m="1" x="398"/>
        <item m="1" x="275"/>
        <item m="1" x="391"/>
        <item m="1" x="348"/>
        <item m="1" x="549"/>
        <item m="1" x="245"/>
        <item m="1" x="259"/>
        <item m="1" x="521"/>
        <item m="1" x="171"/>
        <item m="1" x="168"/>
        <item m="1" x="169"/>
        <item m="1" x="209"/>
        <item m="1" x="411"/>
        <item m="1" x="194"/>
        <item m="1" x="207"/>
        <item m="1" x="273"/>
        <item m="1" x="424"/>
        <item m="1" x="416"/>
        <item m="1" x="231"/>
        <item m="1" x="434"/>
        <item m="1" x="455"/>
        <item m="1" x="204"/>
        <item m="1" x="303"/>
        <item m="1" x="277"/>
        <item m="1" x="287"/>
        <item m="1" x="289"/>
        <item m="1" x="537"/>
        <item m="1" x="522"/>
        <item m="1" x="104"/>
        <item m="1" x="222"/>
        <item m="1" x="415"/>
        <item m="1" x="538"/>
        <item m="1" x="368"/>
        <item m="1" x="301"/>
        <item m="1" x="369"/>
        <item m="1" x="474"/>
        <item m="1" x="483"/>
        <item m="1" x="519"/>
        <item m="1" x="235"/>
        <item m="1" x="329"/>
        <item m="1" x="167"/>
        <item m="1" x="425"/>
        <item m="1" x="163"/>
        <item m="1" x="131"/>
        <item m="1" x="535"/>
        <item m="1" x="135"/>
        <item m="1" x="215"/>
        <item m="1" x="125"/>
        <item m="1" x="133"/>
        <item m="1" x="269"/>
        <item m="1" x="142"/>
        <item m="1" x="139"/>
        <item m="1" x="352"/>
        <item m="1" x="490"/>
        <item m="1" x="520"/>
        <item m="1" x="129"/>
        <item m="1" x="149"/>
        <item m="1" x="399"/>
        <item m="1" x="342"/>
        <item m="1" x="500"/>
        <item m="1" x="324"/>
        <item m="1" x="112"/>
        <item m="1" x="162"/>
        <item m="1" x="501"/>
        <item m="1" x="422"/>
        <item m="1" x="320"/>
        <item m="1" x="450"/>
        <item m="1" x="258"/>
        <item m="1" x="105"/>
        <item m="1" x="270"/>
        <item m="1" x="220"/>
        <item m="1" x="234"/>
        <item m="1" x="249"/>
        <item m="1" x="367"/>
        <item m="1" x="120"/>
        <item m="1" x="344"/>
        <item m="1" x="147"/>
        <item m="1" x="272"/>
        <item m="1" x="243"/>
        <item m="1" x="364"/>
        <item m="1" x="327"/>
        <item m="1" x="397"/>
        <item m="1" x="502"/>
        <item m="1" x="114"/>
        <item m="1" x="297"/>
        <item m="1" x="339"/>
        <item m="1" x="503"/>
        <item m="1" x="291"/>
        <item m="1" x="540"/>
        <item m="1" x="401"/>
        <item m="1" x="124"/>
        <item m="1" x="189"/>
        <item m="1" x="138"/>
        <item m="1" x="337"/>
        <item m="1" x="511"/>
        <item m="1" x="396"/>
        <item m="1" x="439"/>
        <item m="1" x="524"/>
        <item m="1" x="335"/>
        <item m="1" x="554"/>
        <item m="1" x="409"/>
        <item m="1" x="492"/>
        <item m="1" x="185"/>
        <item m="1" x="261"/>
        <item m="1" x="405"/>
        <item x="1"/>
        <item m="1" x="192"/>
        <item m="1" x="164"/>
        <item m="1" x="118"/>
        <item m="1" x="429"/>
        <item m="1" x="496"/>
        <item m="1" x="242"/>
        <item m="1" x="336"/>
        <item m="1" x="407"/>
        <item m="1" x="375"/>
        <item m="1" x="307"/>
        <item m="1" x="308"/>
        <item m="1" x="200"/>
        <item m="1" x="263"/>
        <item m="1" x="152"/>
        <item m="1" x="295"/>
        <item m="1" x="251"/>
        <item m="1" x="132"/>
        <item m="1" x="534"/>
        <item m="1" x="414"/>
        <item m="1" x="331"/>
        <item m="1" x="552"/>
        <item m="1" x="156"/>
        <item m="1" x="180"/>
        <item m="1" x="435"/>
        <item m="1" x="221"/>
        <item m="1" x="284"/>
        <item m="1" x="267"/>
        <item m="1" x="201"/>
        <item m="1" x="530"/>
        <item m="1" x="376"/>
        <item m="1" x="145"/>
        <item m="1" x="252"/>
        <item m="1" x="199"/>
        <item m="1" x="442"/>
        <item m="1" x="456"/>
        <item m="1" x="230"/>
        <item m="1" x="366"/>
        <item m="1" x="103"/>
        <item m="1" x="302"/>
        <item m="1" x="296"/>
        <item m="1" x="459"/>
        <item m="1" x="420"/>
        <item m="1" x="400"/>
        <item m="1" x="225"/>
        <item m="1" x="444"/>
        <item m="1" x="186"/>
        <item m="1" x="191"/>
        <item m="1" x="202"/>
        <item m="1" x="226"/>
        <item m="1" x="115"/>
        <item m="1" x="358"/>
        <item m="1" x="116"/>
        <item m="1" x="187"/>
        <item m="1" x="477"/>
        <item m="1" x="548"/>
        <item m="1" x="253"/>
        <item m="1" x="380"/>
        <item m="1" x="547"/>
        <item m="1" x="266"/>
        <item m="1" x="392"/>
        <item m="1" x="421"/>
        <item m="1" x="527"/>
        <item m="1" x="177"/>
        <item m="1" x="363"/>
        <item m="1" x="347"/>
        <item m="1" x="203"/>
        <item m="1" x="278"/>
        <item m="1" x="229"/>
        <item m="1" x="155"/>
        <item m="1" x="175"/>
        <item m="1" x="509"/>
        <item m="1" x="205"/>
        <item m="1" x="525"/>
        <item m="1" x="526"/>
        <item m="1" x="206"/>
        <item m="1" x="355"/>
        <item m="1" x="315"/>
        <item m="1" x="350"/>
        <item m="1" x="99"/>
        <item m="1" x="148"/>
        <item m="1" x="190"/>
        <item m="1" x="233"/>
        <item m="1" x="219"/>
        <item m="1" x="443"/>
        <item m="1" x="393"/>
        <item m="1" x="453"/>
        <item m="1" x="555"/>
        <item m="1" x="317"/>
        <item m="1" x="465"/>
        <item m="1" x="211"/>
        <item m="1" x="212"/>
        <item m="1" x="255"/>
        <item m="1" x="154"/>
        <item m="1" x="290"/>
        <item m="1" x="316"/>
        <item m="1" x="183"/>
        <item m="1" x="128"/>
        <item m="1" x="157"/>
        <item m="1" x="463"/>
        <item m="1" x="542"/>
        <item m="1" x="322"/>
        <item m="1" x="419"/>
        <item m="1" x="403"/>
        <item m="1" x="388"/>
        <item m="1" x="224"/>
        <item m="1" x="146"/>
        <item m="1" x="365"/>
        <item m="1" x="173"/>
        <item m="1" x="517"/>
        <item m="1" x="510"/>
        <item m="1" x="386"/>
        <item m="1" x="321"/>
        <item m="1" x="160"/>
        <item m="1" x="159"/>
        <item m="1" x="137"/>
        <item m="1" x="475"/>
        <item m="1" x="96"/>
        <item m="1" x="412"/>
        <item m="1" x="240"/>
        <item m="1" x="404"/>
        <item m="1" x="97"/>
        <item m="1" x="430"/>
        <item m="1" x="241"/>
        <item m="1" x="427"/>
        <item m="1" x="172"/>
        <item m="1" x="505"/>
        <item m="1" x="413"/>
        <item m="1" x="179"/>
        <item m="1" x="428"/>
        <item m="1" x="479"/>
        <item m="1" x="494"/>
        <item m="1" x="480"/>
        <item m="1" x="438"/>
        <item m="1" x="130"/>
        <item m="1" x="406"/>
        <item m="1" x="481"/>
        <item m="1" x="541"/>
        <item m="1" x="498"/>
        <item m="1" x="232"/>
        <item m="1" x="323"/>
        <item m="1" x="514"/>
        <item m="1" x="410"/>
        <item m="1" x="449"/>
        <item m="1" x="383"/>
        <item m="1" x="515"/>
        <item m="1" x="437"/>
        <item m="1" x="228"/>
        <item m="1" x="546"/>
        <item m="1" x="176"/>
        <item m="1" x="431"/>
        <item m="1" x="381"/>
        <item m="1" x="198"/>
        <item m="1" x="341"/>
        <item m="1" x="370"/>
        <item m="1" x="550"/>
        <item m="1" x="451"/>
        <item m="1" x="462"/>
        <item m="1" x="385"/>
        <item m="1" x="491"/>
        <item m="1" x="279"/>
        <item m="1" x="390"/>
        <item m="1" x="507"/>
        <item m="1" x="305"/>
        <item m="1" x="493"/>
        <item m="1" x="326"/>
        <item m="1" x="485"/>
        <item m="1" x="213"/>
        <item m="1" x="311"/>
        <item m="1" x="184"/>
        <item m="1" x="181"/>
        <item m="1" x="417"/>
        <item m="1" x="418"/>
        <item m="1" x="471"/>
        <item m="1" x="144"/>
        <item m="1" x="470"/>
        <item m="1" x="476"/>
        <item m="1" x="473"/>
        <item m="1" x="436"/>
        <item m="1" x="374"/>
        <item m="1" x="478"/>
        <item m="1" x="343"/>
        <item m="1" x="448"/>
        <item m="1" x="472"/>
        <item m="1" x="319"/>
        <item m="1" x="464"/>
        <item m="1" x="117"/>
        <item m="1" x="359"/>
        <item m="1" x="227"/>
        <item m="1" x="309"/>
        <item m="1" x="165"/>
        <item m="1" x="293"/>
        <item m="1" x="488"/>
        <item m="1" x="274"/>
        <item m="1" x="113"/>
        <item m="1" x="262"/>
        <item m="1" x="196"/>
        <item m="1" x="482"/>
        <item m="1" x="182"/>
        <item m="1" x="121"/>
        <item m="1" x="268"/>
        <item m="1" x="218"/>
        <item m="1" x="528"/>
        <item m="1" x="122"/>
        <item m="1" x="551"/>
        <item m="1" x="543"/>
        <item m="1" x="140"/>
        <item m="1" x="516"/>
        <item m="1" x="495"/>
        <item m="1" x="518"/>
        <item m="1" x="556"/>
        <item m="1" x="141"/>
        <item m="1" x="457"/>
        <item m="1" x="188"/>
        <item m="1" x="458"/>
        <item m="1" x="333"/>
        <item m="1" x="288"/>
        <item m="1" x="423"/>
        <item m="1" x="460"/>
        <item m="1" x="134"/>
        <item m="1" x="532"/>
        <item m="1" x="454"/>
        <item m="1" x="384"/>
        <item m="1" x="254"/>
        <item m="1" x="300"/>
        <item m="1" x="101"/>
        <item m="1" x="378"/>
        <item m="1" x="523"/>
        <item m="1" x="338"/>
        <item m="1" x="360"/>
        <item m="1" x="208"/>
        <item m="1" x="328"/>
        <item m="1" x="306"/>
        <item m="1" x="294"/>
        <item m="1" x="346"/>
        <item m="1" x="531"/>
        <item m="1" x="283"/>
        <item m="1" x="197"/>
        <item m="1" x="484"/>
        <item m="1" x="123"/>
        <item m="1" x="469"/>
        <item m="1" x="304"/>
        <item m="1" x="126"/>
        <item m="1" x="433"/>
        <item m="1" x="237"/>
        <item m="1" x="486"/>
        <item m="1" x="102"/>
        <item m="1" x="487"/>
        <item m="1" x="536"/>
        <item m="1" x="402"/>
        <item m="1" x="452"/>
        <item m="1" x="389"/>
        <item m="1" x="356"/>
        <item m="1" x="506"/>
        <item m="1" x="216"/>
        <item m="1" x="108"/>
        <item m="1" x="109"/>
        <item m="1" x="351"/>
        <item m="1" x="260"/>
        <item m="1" x="170"/>
        <item m="1" x="100"/>
        <item m="1" x="354"/>
        <item m="1" x="440"/>
        <item m="1" x="513"/>
        <item m="1" x="310"/>
        <item m="1" x="195"/>
        <item m="1" x="239"/>
        <item m="1" x="150"/>
        <item m="1" x="151"/>
        <item m="1" x="441"/>
        <item m="1" x="373"/>
        <item m="1" x="299"/>
        <item m="1" x="143"/>
        <item m="1" x="238"/>
        <item m="1" x="193"/>
        <item m="1" x="257"/>
        <item m="1" x="318"/>
        <item m="1" x="340"/>
        <item m="1" x="489"/>
        <item m="1" x="394"/>
        <item m="1" x="395"/>
        <item m="1" x="408"/>
        <item m="1" x="357"/>
        <item m="1" x="461"/>
        <item m="1" x="166"/>
        <item m="1" x="512"/>
        <item m="1" x="106"/>
        <item m="1" x="107"/>
        <item m="1" x="248"/>
        <item m="1" x="545"/>
        <item m="1" x="119"/>
        <item m="1" x="313"/>
        <item m="1" x="174"/>
        <item m="1" x="158"/>
        <item m="1" x="247"/>
        <item m="1" x="153"/>
        <item m="1" x="314"/>
        <item m="1" x="264"/>
        <item m="1" x="533"/>
        <item m="1" x="265"/>
        <item m="1" x="312"/>
        <item m="1" x="178"/>
        <item m="1" x="467"/>
        <item m="1" x="223"/>
        <item m="1" x="210"/>
        <item m="1" x="353"/>
        <item m="1" x="377"/>
        <item m="1" x="292"/>
        <item m="1" x="387"/>
        <item m="1" x="127"/>
        <item m="1" x="280"/>
        <item m="1" x="256"/>
        <item m="1" x="285"/>
        <item m="1" x="95"/>
        <item m="1" x="379"/>
        <item m="1" x="447"/>
        <item m="1" x="286"/>
        <item m="1" x="372"/>
        <item m="1" x="446"/>
        <item m="1" x="332"/>
        <item m="1" x="345"/>
        <item m="1" x="349"/>
        <item m="1" x="276"/>
        <item m="1" x="544"/>
        <item m="1" x="161"/>
        <item x="0"/>
        <item x="2"/>
        <item x="3"/>
        <item x="4"/>
        <item x="5"/>
        <item x="6"/>
        <item x="7"/>
        <item x="8"/>
        <item x="9"/>
        <item x="10"/>
        <item x="11"/>
        <item x="12"/>
        <item x="13"/>
        <item x="14"/>
        <item x="15"/>
        <item x="16"/>
        <item x="17"/>
        <item x="18"/>
        <item x="19"/>
        <item x="20"/>
        <item x="21"/>
        <item x="22"/>
        <item x="23"/>
        <item x="24"/>
        <item x="25"/>
        <item x="26"/>
        <item x="27"/>
        <item m="1" x="382"/>
        <item m="1" x="466"/>
        <item x="30"/>
        <item x="31"/>
        <item x="32"/>
        <item m="1" x="553"/>
        <item m="1" x="246"/>
        <item m="1" x="281"/>
        <item m="1" x="334"/>
        <item m="1" x="136"/>
        <item m="1" x="214"/>
        <item m="1" x="298"/>
        <item m="1" x="282"/>
        <item m="1" x="110"/>
        <item m="1" x="539"/>
        <item m="1" x="111"/>
        <item x="44"/>
        <item x="45"/>
        <item x="46"/>
        <item x="47"/>
        <item x="48"/>
        <item x="49"/>
        <item m="1" x="236"/>
        <item x="51"/>
        <item m="1" x="426"/>
        <item x="53"/>
        <item m="1" x="271"/>
        <item m="1" x="529"/>
        <item m="1" x="98"/>
        <item x="57"/>
        <item x="58"/>
        <item x="59"/>
        <item x="60"/>
        <item x="61"/>
        <item m="1" x="499"/>
        <item x="63"/>
        <item x="64"/>
        <item x="65"/>
        <item x="66"/>
        <item x="67"/>
        <item x="68"/>
        <item x="69"/>
        <item x="70"/>
        <item m="1" x="497"/>
        <item m="1" x="508"/>
        <item m="1" x="468"/>
        <item m="1" x="445"/>
        <item m="1" x="244"/>
        <item m="1" x="217"/>
        <item x="76"/>
        <item x="77"/>
        <item x="78"/>
        <item x="79"/>
        <item x="80"/>
        <item x="81"/>
        <item x="82"/>
        <item x="83"/>
        <item x="84"/>
        <item x="85"/>
        <item x="86"/>
        <item x="87"/>
        <item x="88"/>
        <item x="89"/>
        <item x="90"/>
        <item x="91"/>
        <item x="92"/>
        <item x="93"/>
        <item x="94"/>
        <item x="28"/>
        <item x="29"/>
        <item x="33"/>
        <item x="34"/>
        <item x="35"/>
        <item x="36"/>
        <item x="37"/>
        <item x="38"/>
        <item x="39"/>
        <item x="40"/>
        <item x="41"/>
        <item x="42"/>
        <item x="43"/>
        <item x="50"/>
        <item x="52"/>
        <item x="54"/>
        <item x="55"/>
        <item x="56"/>
        <item x="62"/>
        <item x="71"/>
        <item x="72"/>
        <item x="73"/>
        <item x="74"/>
        <item x="75"/>
        <item t="default"/>
      </items>
    </pivotField>
    <pivotField axis="axisRow" showAll="0">
      <items count="262">
        <item m="1" x="67"/>
        <item m="1" x="219"/>
        <item m="1" x="81"/>
        <item m="1" x="226"/>
        <item m="1" x="42"/>
        <item m="1" x="181"/>
        <item m="1" x="218"/>
        <item m="1" x="144"/>
        <item m="1" x="27"/>
        <item m="1" x="115"/>
        <item m="1" x="116"/>
        <item m="1" x="48"/>
        <item m="1" x="15"/>
        <item m="1" x="229"/>
        <item m="1" x="92"/>
        <item m="1" x="239"/>
        <item m="1" x="123"/>
        <item m="1" x="8"/>
        <item m="1" x="71"/>
        <item m="1" x="231"/>
        <item m="1" x="206"/>
        <item m="1" x="90"/>
        <item m="1" x="58"/>
        <item m="1" x="86"/>
        <item m="1" x="160"/>
        <item m="1" x="117"/>
        <item m="1" x="62"/>
        <item m="1" x="257"/>
        <item m="1" x="121"/>
        <item m="1" x="171"/>
        <item m="1" x="228"/>
        <item m="1" x="112"/>
        <item m="1" x="190"/>
        <item m="1" x="210"/>
        <item m="1" x="60"/>
        <item m="1" x="80"/>
        <item m="1" x="232"/>
        <item m="1" x="74"/>
        <item m="1" x="49"/>
        <item m="1" x="23"/>
        <item m="1" x="14"/>
        <item x="0"/>
        <item m="1" x="56"/>
        <item m="1" x="148"/>
        <item m="1" x="187"/>
        <item m="1" x="110"/>
        <item m="1" x="159"/>
        <item m="1" x="126"/>
        <item m="1" x="249"/>
        <item m="1" x="46"/>
        <item m="1" x="25"/>
        <item m="1" x="26"/>
        <item m="1" x="47"/>
        <item m="1" x="32"/>
        <item m="1" x="235"/>
        <item m="1" x="260"/>
        <item m="1" x="18"/>
        <item m="1" x="186"/>
        <item m="1" x="216"/>
        <item m="1" x="125"/>
        <item m="1" x="104"/>
        <item m="1" x="111"/>
        <item m="1" x="184"/>
        <item m="1" x="68"/>
        <item m="1" x="158"/>
        <item m="1" x="212"/>
        <item m="1" x="251"/>
        <item m="1" x="233"/>
        <item m="1" x="66"/>
        <item m="1" x="98"/>
        <item m="1" x="69"/>
        <item m="1" x="167"/>
        <item m="1" x="16"/>
        <item m="1" x="203"/>
        <item m="1" x="30"/>
        <item m="1" x="220"/>
        <item m="1" x="180"/>
        <item m="1" x="213"/>
        <item m="1" x="133"/>
        <item m="1" x="141"/>
        <item m="1" x="73"/>
        <item m="1" x="204"/>
        <item m="1" x="188"/>
        <item m="1" x="34"/>
        <item m="1" x="39"/>
        <item m="1" x="134"/>
        <item m="1" x="91"/>
        <item m="1" x="223"/>
        <item m="1" x="93"/>
        <item m="1" x="83"/>
        <item m="1" x="84"/>
        <item m="1" x="88"/>
        <item m="1" x="13"/>
        <item m="1" x="143"/>
        <item m="1" x="149"/>
        <item m="1" x="22"/>
        <item m="1" x="244"/>
        <item m="1" x="38"/>
        <item m="1" x="113"/>
        <item m="1" x="238"/>
        <item m="1" x="254"/>
        <item m="1" x="122"/>
        <item m="1" x="70"/>
        <item m="1" x="173"/>
        <item m="1" x="166"/>
        <item m="1" x="242"/>
        <item m="1" x="79"/>
        <item m="1" x="196"/>
        <item m="1" x="161"/>
        <item m="1" x="77"/>
        <item m="1" x="102"/>
        <item m="1" x="178"/>
        <item m="1" x="142"/>
        <item m="1" x="139"/>
        <item m="1" x="37"/>
        <item m="1" x="64"/>
        <item m="1" x="174"/>
        <item m="1" x="11"/>
        <item m="1" x="247"/>
        <item m="1" x="192"/>
        <item m="1" x="43"/>
        <item m="1" x="252"/>
        <item m="1" x="259"/>
        <item m="1" x="250"/>
        <item m="1" x="209"/>
        <item m="1" x="17"/>
        <item m="1" x="221"/>
        <item m="1" x="199"/>
        <item m="1" x="40"/>
        <item m="1" x="41"/>
        <item m="1" x="129"/>
        <item m="1" x="224"/>
        <item m="1" x="182"/>
        <item m="1" x="61"/>
        <item m="1" x="172"/>
        <item m="1" x="63"/>
        <item m="1" x="130"/>
        <item m="1" x="205"/>
        <item m="1" x="78"/>
        <item m="1" x="138"/>
        <item m="1" x="105"/>
        <item m="1" x="10"/>
        <item m="1" x="191"/>
        <item m="1" x="57"/>
        <item m="1" x="151"/>
        <item m="1" x="198"/>
        <item m="1" x="89"/>
        <item m="1" x="20"/>
        <item m="1" x="96"/>
        <item m="1" x="240"/>
        <item m="1" x="45"/>
        <item m="1" x="87"/>
        <item m="1" x="31"/>
        <item m="1" x="170"/>
        <item m="1" x="201"/>
        <item m="1" x="256"/>
        <item m="1" x="147"/>
        <item m="1" x="195"/>
        <item m="1" x="82"/>
        <item m="1" x="52"/>
        <item m="1" x="243"/>
        <item m="1" x="177"/>
        <item m="1" x="65"/>
        <item m="1" x="168"/>
        <item m="1" x="75"/>
        <item m="1" x="150"/>
        <item m="1" x="24"/>
        <item m="1" x="118"/>
        <item m="1" x="119"/>
        <item m="1" x="33"/>
        <item m="1" x="36"/>
        <item m="1" x="44"/>
        <item m="1" x="51"/>
        <item m="1" x="109"/>
        <item m="1" x="215"/>
        <item m="1" x="99"/>
        <item m="1" x="217"/>
        <item m="1" x="35"/>
        <item m="1" x="21"/>
        <item m="1" x="72"/>
        <item m="1" x="120"/>
        <item m="1" x="95"/>
        <item m="1" x="162"/>
        <item m="1" x="50"/>
        <item m="1" x="107"/>
        <item m="1" x="97"/>
        <item m="1" x="146"/>
        <item m="1" x="225"/>
        <item m="1" x="101"/>
        <item m="1" x="154"/>
        <item m="1" x="114"/>
        <item m="1" x="234"/>
        <item m="1" x="136"/>
        <item m="1" x="153"/>
        <item m="1" x="53"/>
        <item m="1" x="152"/>
        <item m="1" x="248"/>
        <item m="1" x="197"/>
        <item m="1" x="156"/>
        <item m="1" x="253"/>
        <item m="1" x="211"/>
        <item m="1" x="214"/>
        <item m="1" x="207"/>
        <item m="1" x="237"/>
        <item m="1" x="127"/>
        <item m="1" x="175"/>
        <item m="1" x="94"/>
        <item m="1" x="200"/>
        <item m="1" x="185"/>
        <item m="1" x="164"/>
        <item m="1" x="131"/>
        <item m="1" x="128"/>
        <item m="1" x="85"/>
        <item m="1" x="230"/>
        <item m="1" x="145"/>
        <item m="1" x="258"/>
        <item m="1" x="245"/>
        <item m="1" x="246"/>
        <item m="1" x="163"/>
        <item m="1" x="208"/>
        <item m="1" x="236"/>
        <item m="1" x="28"/>
        <item m="1" x="241"/>
        <item m="1" x="255"/>
        <item m="1" x="55"/>
        <item m="1" x="106"/>
        <item m="1" x="135"/>
        <item m="1" x="169"/>
        <item m="1" x="19"/>
        <item m="1" x="227"/>
        <item m="1" x="193"/>
        <item m="1" x="155"/>
        <item m="1" x="108"/>
        <item m="1" x="103"/>
        <item m="1" x="100"/>
        <item m="1" x="124"/>
        <item m="1" x="132"/>
        <item m="1" x="176"/>
        <item m="1" x="194"/>
        <item m="1" x="137"/>
        <item m="1" x="165"/>
        <item m="1" x="179"/>
        <item m="1" x="183"/>
        <item m="1" x="54"/>
        <item m="1" x="140"/>
        <item m="1" x="29"/>
        <item m="1" x="12"/>
        <item m="1" x="222"/>
        <item m="1" x="202"/>
        <item x="1"/>
        <item x="2"/>
        <item x="3"/>
        <item x="4"/>
        <item x="5"/>
        <item x="6"/>
        <item m="1" x="157"/>
        <item m="1" x="9"/>
        <item m="1" x="76"/>
        <item m="1" x="189"/>
        <item m="1" x="59"/>
        <item x="7"/>
        <item t="default"/>
      </items>
    </pivotField>
    <pivotField axis="axisRow" showAll="0">
      <items count="262">
        <item m="1" x="66"/>
        <item m="1" x="86"/>
        <item m="1" x="146"/>
        <item m="1" x="125"/>
        <item m="1" x="139"/>
        <item m="1" x="225"/>
        <item m="1" x="204"/>
        <item m="1" x="244"/>
        <item m="1" x="159"/>
        <item m="1" x="47"/>
        <item m="1" x="48"/>
        <item m="1" x="145"/>
        <item m="1" x="39"/>
        <item m="1" x="164"/>
        <item m="1" x="226"/>
        <item m="1" x="93"/>
        <item m="1" x="98"/>
        <item m="1" x="70"/>
        <item m="1" x="165"/>
        <item m="1" x="19"/>
        <item m="1" x="115"/>
        <item m="1" x="223"/>
        <item m="1" x="18"/>
        <item m="1" x="136"/>
        <item m="1" x="81"/>
        <item m="1" x="124"/>
        <item m="1" x="219"/>
        <item m="1" x="191"/>
        <item m="1" x="188"/>
        <item m="1" x="200"/>
        <item m="1" x="246"/>
        <item m="1" x="76"/>
        <item m="1" x="163"/>
        <item m="1" x="121"/>
        <item m="1" x="149"/>
        <item m="1" x="245"/>
        <item m="1" x="158"/>
        <item m="1" x="253"/>
        <item m="1" x="171"/>
        <item m="1" x="50"/>
        <item m="1" x="99"/>
        <item x="0"/>
        <item m="1" x="161"/>
        <item m="1" x="69"/>
        <item m="1" x="105"/>
        <item m="1" x="183"/>
        <item m="1" x="174"/>
        <item m="1" x="172"/>
        <item m="1" x="186"/>
        <item m="1" x="133"/>
        <item m="1" x="166"/>
        <item m="1" x="167"/>
        <item m="1" x="153"/>
        <item m="1" x="51"/>
        <item m="1" x="60"/>
        <item m="1" x="240"/>
        <item m="1" x="83"/>
        <item m="1" x="184"/>
        <item m="1" x="194"/>
        <item m="1" x="44"/>
        <item m="1" x="179"/>
        <item m="1" x="216"/>
        <item m="1" x="214"/>
        <item m="1" x="151"/>
        <item m="1" x="82"/>
        <item m="1" x="43"/>
        <item m="1" x="87"/>
        <item m="1" x="85"/>
        <item m="1" x="187"/>
        <item m="1" x="118"/>
        <item m="1" x="218"/>
        <item m="1" x="190"/>
        <item m="1" x="227"/>
        <item m="1" x="189"/>
        <item m="1" x="119"/>
        <item m="1" x="209"/>
        <item m="1" x="109"/>
        <item m="1" x="126"/>
        <item m="1" x="22"/>
        <item m="1" x="160"/>
        <item m="1" x="142"/>
        <item m="1" x="137"/>
        <item m="1" x="199"/>
        <item m="1" x="73"/>
        <item m="1" x="46"/>
        <item m="1" x="239"/>
        <item m="1" x="120"/>
        <item m="1" x="211"/>
        <item m="1" x="33"/>
        <item m="1" x="64"/>
        <item m="1" x="65"/>
        <item m="1" x="197"/>
        <item m="1" x="63"/>
        <item m="1" x="79"/>
        <item m="1" x="148"/>
        <item m="1" x="21"/>
        <item m="1" x="258"/>
        <item m="1" x="237"/>
        <item m="1" x="169"/>
        <item m="1" x="182"/>
        <item m="1" x="71"/>
        <item m="1" x="177"/>
        <item m="1" x="259"/>
        <item m="1" x="195"/>
        <item m="1" x="88"/>
        <item m="1" x="80"/>
        <item m="1" x="37"/>
        <item m="1" x="96"/>
        <item m="1" x="123"/>
        <item m="1" x="168"/>
        <item m="1" x="28"/>
        <item m="1" x="54"/>
        <item m="1" x="16"/>
        <item m="1" x="56"/>
        <item m="1" x="74"/>
        <item m="1" x="106"/>
        <item m="1" x="257"/>
        <item m="1" x="49"/>
        <item m="1" x="29"/>
        <item m="1" x="57"/>
        <item m="1" x="26"/>
        <item m="1" x="222"/>
        <item m="1" x="30"/>
        <item m="1" x="241"/>
        <item m="1" x="67"/>
        <item m="1" x="110"/>
        <item m="1" x="97"/>
        <item m="1" x="242"/>
        <item m="1" x="235"/>
        <item m="1" x="236"/>
        <item m="1" x="132"/>
        <item m="1" x="59"/>
        <item m="1" x="92"/>
        <item m="1" x="217"/>
        <item m="1" x="55"/>
        <item m="1" x="127"/>
        <item m="1" x="24"/>
        <item m="1" x="230"/>
        <item m="1" x="40"/>
        <item m="1" x="180"/>
        <item m="1" x="107"/>
        <item m="1" x="224"/>
        <item m="1" x="252"/>
        <item m="1" x="143"/>
        <item m="1" x="94"/>
        <item m="1" x="250"/>
        <item m="1" x="122"/>
        <item m="1" x="173"/>
        <item m="1" x="25"/>
        <item m="1" x="229"/>
        <item m="1" x="38"/>
        <item m="1" x="206"/>
        <item m="1" x="42"/>
        <item m="1" x="89"/>
        <item m="1" x="138"/>
        <item m="1" x="198"/>
        <item m="1" x="27"/>
        <item m="1" x="234"/>
        <item m="1" x="53"/>
        <item x="1"/>
        <item m="1" x="102"/>
        <item m="1" x="84"/>
        <item m="1" x="129"/>
        <item m="1" x="34"/>
        <item m="1" x="75"/>
        <item m="1" x="233"/>
        <item m="1" x="231"/>
        <item m="1" x="192"/>
        <item m="1" x="178"/>
        <item m="1" x="100"/>
        <item m="1" x="95"/>
        <item m="1" x="32"/>
        <item m="1" x="17"/>
        <item m="1" x="212"/>
        <item m="1" x="90"/>
        <item m="1" x="141"/>
        <item m="1" x="147"/>
        <item m="1" x="61"/>
        <item m="1" x="62"/>
        <item m="1" x="135"/>
        <item m="1" x="181"/>
        <item m="1" x="175"/>
        <item m="1" x="41"/>
        <item m="1" x="255"/>
        <item m="1" x="36"/>
        <item m="1" x="20"/>
        <item m="1" x="77"/>
        <item m="1" x="243"/>
        <item m="1" x="185"/>
        <item m="1" x="238"/>
        <item m="1" x="215"/>
        <item m="1" x="134"/>
        <item m="1" x="208"/>
        <item m="1" x="228"/>
        <item m="1" x="58"/>
        <item m="1" x="251"/>
        <item m="1" x="155"/>
        <item m="1" x="68"/>
        <item m="1" x="78"/>
        <item m="1" x="221"/>
        <item m="1" x="203"/>
        <item m="1" x="130"/>
        <item m="1" x="23"/>
        <item m="1" x="112"/>
        <item m="1" x="205"/>
        <item m="1" x="176"/>
        <item m="1" x="45"/>
        <item m="1" x="201"/>
        <item x="2"/>
        <item m="1" x="144"/>
        <item m="1" x="72"/>
        <item m="1" x="117"/>
        <item m="1" x="202"/>
        <item m="1" x="247"/>
        <item m="1" x="232"/>
        <item m="1" x="91"/>
        <item x="10"/>
        <item m="1" x="210"/>
        <item m="1" x="103"/>
        <item m="1" x="104"/>
        <item m="1" x="196"/>
        <item m="1" x="31"/>
        <item m="1" x="35"/>
        <item m="1" x="249"/>
        <item m="1" x="128"/>
        <item m="1" x="116"/>
        <item m="1" x="108"/>
        <item m="1" x="156"/>
        <item m="1" x="220"/>
        <item m="1" x="213"/>
        <item m="1" x="254"/>
        <item m="1" x="113"/>
        <item m="1" x="101"/>
        <item m="1" x="248"/>
        <item x="11"/>
        <item x="12"/>
        <item m="1" x="162"/>
        <item m="1" x="114"/>
        <item m="1" x="193"/>
        <item m="1" x="256"/>
        <item m="1" x="157"/>
        <item m="1" x="52"/>
        <item m="1" x="154"/>
        <item m="1" x="260"/>
        <item m="1" x="140"/>
        <item m="1" x="150"/>
        <item x="14"/>
        <item m="1" x="131"/>
        <item m="1" x="170"/>
        <item m="1" x="207"/>
        <item m="1" x="111"/>
        <item m="1" x="152"/>
        <item x="3"/>
        <item x="4"/>
        <item x="5"/>
        <item x="6"/>
        <item x="7"/>
        <item x="8"/>
        <item x="9"/>
        <item x="13"/>
        <item x="15"/>
        <item t="default"/>
      </items>
    </pivotField>
    <pivotField axis="axisRow" showAll="0">
      <items count="492">
        <item m="1" x="307"/>
        <item m="1" x="417"/>
        <item m="1" x="390"/>
        <item m="1" x="430"/>
        <item m="1" x="391"/>
        <item m="1" x="431"/>
        <item m="1" x="432"/>
        <item m="1" x="86"/>
        <item m="1" x="467"/>
        <item m="1" x="418"/>
        <item m="1" x="419"/>
        <item m="1" x="462"/>
        <item m="1" x="463"/>
        <item m="1" x="438"/>
        <item m="1" x="87"/>
        <item m="1" x="446"/>
        <item m="1" x="447"/>
        <item m="1" x="450"/>
        <item m="1" x="158"/>
        <item m="1" x="476"/>
        <item m="1" x="59"/>
        <item m="1" x="60"/>
        <item m="1" x="61"/>
        <item m="1" x="464"/>
        <item m="1" x="383"/>
        <item m="1" x="375"/>
        <item m="1" x="303"/>
        <item m="1" x="474"/>
        <item m="1" x="62"/>
        <item m="1" x="481"/>
        <item m="1" x="63"/>
        <item m="1" x="64"/>
        <item m="1" x="65"/>
        <item m="1" x="84"/>
        <item m="1" x="88"/>
        <item m="1" x="403"/>
        <item m="1" x="469"/>
        <item m="1" x="168"/>
        <item m="1" x="465"/>
        <item m="1" x="420"/>
        <item m="1" x="434"/>
        <item m="1" x="435"/>
        <item m="1" x="392"/>
        <item m="1" x="393"/>
        <item m="1" x="480"/>
        <item m="1" x="247"/>
        <item m="1" x="92"/>
        <item m="1" x="200"/>
        <item m="1" x="66"/>
        <item m="1" x="174"/>
        <item m="1" x="483"/>
        <item m="1" x="97"/>
        <item m="1" x="146"/>
        <item m="1" x="309"/>
        <item m="1" x="442"/>
        <item m="1" x="357"/>
        <item m="1" x="468"/>
        <item m="1" x="127"/>
        <item m="1" x="286"/>
        <item m="1" x="364"/>
        <item m="1" x="169"/>
        <item m="1" x="210"/>
        <item m="1" x="396"/>
        <item m="1" x="228"/>
        <item m="1" x="429"/>
        <item m="1" x="347"/>
        <item m="1" x="143"/>
        <item m="1" x="395"/>
        <item m="1" x="452"/>
        <item m="1" x="288"/>
        <item m="1" x="451"/>
        <item m="1" x="275"/>
        <item m="1" x="360"/>
        <item m="1" x="342"/>
        <item m="1" x="370"/>
        <item m="1" x="477"/>
        <item m="1" x="460"/>
        <item m="1" x="208"/>
        <item m="1" x="173"/>
        <item m="1" x="258"/>
        <item m="1" x="250"/>
        <item m="1" x="257"/>
        <item m="1" x="56"/>
        <item m="1" x="240"/>
        <item m="1" x="408"/>
        <item m="1" x="94"/>
        <item m="1" x="130"/>
        <item x="0"/>
        <item m="1" x="293"/>
        <item m="1" x="68"/>
        <item m="1" x="181"/>
        <item m="1" x="69"/>
        <item m="1" x="182"/>
        <item m="1" x="183"/>
        <item m="1" x="260"/>
        <item m="1" x="253"/>
        <item m="1" x="294"/>
        <item m="1" x="295"/>
        <item m="1" x="195"/>
        <item m="1" x="196"/>
        <item m="1" x="421"/>
        <item m="1" x="261"/>
        <item m="1" x="305"/>
        <item m="1" x="306"/>
        <item m="1" x="216"/>
        <item m="1" x="132"/>
        <item m="1" x="428"/>
        <item m="1" x="319"/>
        <item m="1" x="320"/>
        <item m="1" x="321"/>
        <item m="1" x="197"/>
        <item m="1" x="278"/>
        <item m="1" x="95"/>
        <item m="1" x="322"/>
        <item m="1" x="379"/>
        <item m="1" x="323"/>
        <item m="1" x="324"/>
        <item m="1" x="325"/>
        <item m="1" x="204"/>
        <item m="1" x="262"/>
        <item m="1" x="284"/>
        <item m="1" x="136"/>
        <item m="1" x="274"/>
        <item m="1" x="198"/>
        <item m="1" x="296"/>
        <item m="1" x="243"/>
        <item m="1" x="244"/>
        <item m="1" x="70"/>
        <item m="1" x="71"/>
        <item m="1" x="81"/>
        <item m="1" x="289"/>
        <item m="1" x="135"/>
        <item m="1" x="338"/>
        <item m="1" x="93"/>
        <item m="1" x="443"/>
        <item m="1" x="172"/>
        <item m="1" x="219"/>
        <item m="1" x="239"/>
        <item m="1" x="180"/>
        <item m="1" x="367"/>
        <item m="1" x="401"/>
        <item m="1" x="426"/>
        <item m="1" x="118"/>
        <item m="1" x="171"/>
        <item m="1" x="397"/>
        <item m="1" x="199"/>
        <item m="1" x="179"/>
        <item m="1" x="466"/>
        <item m="1" x="123"/>
        <item m="1" x="167"/>
        <item m="1" x="245"/>
        <item m="1" x="119"/>
        <item m="1" x="489"/>
        <item m="1" x="349"/>
        <item m="1" x="108"/>
        <item m="1" x="482"/>
        <item m="1" x="131"/>
        <item m="1" x="318"/>
        <item m="1" x="386"/>
        <item m="1" x="380"/>
        <item m="1" x="89"/>
        <item m="1" x="337"/>
        <item m="1" x="161"/>
        <item m="1" x="361"/>
        <item m="1" x="203"/>
        <item m="1" x="326"/>
        <item m="1" x="304"/>
        <item m="1" x="255"/>
        <item m="1" x="248"/>
        <item m="1" x="128"/>
        <item m="1" x="414"/>
        <item m="1" x="422"/>
        <item m="1" x="205"/>
        <item m="1" x="423"/>
        <item m="1" x="206"/>
        <item m="1" x="207"/>
        <item m="1" x="344"/>
        <item m="1" x="444"/>
        <item m="1" x="415"/>
        <item m="1" x="416"/>
        <item m="1" x="75"/>
        <item m="1" x="76"/>
        <item m="1" x="83"/>
        <item m="1" x="345"/>
        <item m="1" x="301"/>
        <item m="1" x="302"/>
        <item m="1" x="400"/>
        <item m="1" x="147"/>
        <item m="1" x="398"/>
        <item m="1" x="191"/>
        <item m="1" x="192"/>
        <item m="1" x="193"/>
        <item m="1" x="77"/>
        <item m="1" x="98"/>
        <item m="1" x="292"/>
        <item m="1" x="185"/>
        <item m="1" x="308"/>
        <item m="1" x="186"/>
        <item m="1" x="187"/>
        <item m="1" x="188"/>
        <item m="1" x="138"/>
        <item m="1" x="368"/>
        <item m="1" x="58"/>
        <item m="1" x="300"/>
        <item m="1" x="90"/>
        <item m="1" x="189"/>
        <item m="1" x="280"/>
        <item m="1" x="457"/>
        <item m="1" x="458"/>
        <item m="1" x="384"/>
        <item m="1" x="385"/>
        <item m="1" x="285"/>
        <item m="1" x="153"/>
        <item m="1" x="251"/>
        <item m="1" x="177"/>
        <item m="1" x="232"/>
        <item m="1" x="346"/>
        <item m="1" x="163"/>
        <item m="1" x="149"/>
        <item m="1" x="311"/>
        <item m="1" x="78"/>
        <item m="1" x="134"/>
        <item m="1" x="394"/>
        <item m="1" x="164"/>
        <item m="1" x="145"/>
        <item m="1" x="129"/>
        <item m="1" x="237"/>
        <item m="1" x="363"/>
        <item m="1" x="142"/>
        <item m="1" x="382"/>
        <item m="1" x="436"/>
        <item m="1" x="151"/>
        <item m="1" x="441"/>
        <item m="1" x="178"/>
        <item m="1" x="453"/>
        <item m="1" x="413"/>
        <item m="1" x="57"/>
        <item m="1" x="117"/>
        <item m="1" x="348"/>
        <item m="1" x="137"/>
        <item m="1" x="67"/>
        <item m="1" x="328"/>
        <item m="1" x="72"/>
        <item m="1" x="378"/>
        <item m="1" x="341"/>
        <item m="1" x="475"/>
        <item m="1" x="399"/>
        <item m="1" x="268"/>
        <item m="1" x="218"/>
        <item m="1" x="109"/>
        <item m="1" x="241"/>
        <item m="1" x="454"/>
        <item m="1" x="312"/>
        <item m="1" x="409"/>
        <item m="1" x="154"/>
        <item m="1" x="410"/>
        <item m="1" x="155"/>
        <item m="1" x="156"/>
        <item m="1" x="281"/>
        <item m="1" x="381"/>
        <item m="1" x="313"/>
        <item m="1" x="314"/>
        <item m="1" x="470"/>
        <item m="1" x="471"/>
        <item m="1" x="365"/>
        <item m="1" x="282"/>
        <item m="1" x="211"/>
        <item m="1" x="212"/>
        <item m="1" x="369"/>
        <item m="1" x="235"/>
        <item m="1" x="259"/>
        <item m="1" x="110"/>
        <item m="1" x="111"/>
        <item m="1" x="112"/>
        <item m="1" x="472"/>
        <item m="1" x="406"/>
        <item m="1" x="214"/>
        <item m="1" x="113"/>
        <item m="1" x="358"/>
        <item m="1" x="114"/>
        <item m="1" x="115"/>
        <item m="1" x="116"/>
        <item m="1" x="376"/>
        <item m="1" x="283"/>
        <item m="1" x="80"/>
        <item m="1" x="176"/>
        <item m="1" x="160"/>
        <item m="1" x="473"/>
        <item m="1" x="315"/>
        <item m="1" x="484"/>
        <item m="1" x="485"/>
        <item m="1" x="411"/>
        <item m="1" x="412"/>
        <item m="1" x="270"/>
        <item m="1" x="238"/>
        <item m="1" x="96"/>
        <item m="1" x="202"/>
        <item m="1" x="425"/>
        <item m="1" x="316"/>
        <item m="1" x="310"/>
        <item m="1" x="276"/>
        <item m="1" x="184"/>
        <item m="1" x="82"/>
        <item m="1" x="190"/>
        <item m="1" x="402"/>
        <item m="1" x="486"/>
        <item m="1" x="246"/>
        <item m="1" x="165"/>
        <item m="1" x="343"/>
        <item m="1" x="170"/>
        <item m="1" x="269"/>
        <item m="1" x="139"/>
        <item m="1" x="252"/>
        <item m="1" x="267"/>
        <item m="1" x="405"/>
        <item m="1" x="249"/>
        <item m="1" x="449"/>
        <item m="1" x="85"/>
        <item m="1" x="148"/>
        <item m="1" x="140"/>
        <item m="1" x="331"/>
        <item m="1" x="362"/>
        <item m="1" x="461"/>
        <item m="1" x="91"/>
        <item m="1" x="133"/>
        <item m="1" x="297"/>
        <item m="1" x="371"/>
        <item m="1" x="336"/>
        <item m="1" x="256"/>
        <item m="1" x="291"/>
        <item m="1" x="106"/>
        <item m="1" x="487"/>
        <item m="1" x="107"/>
        <item m="1" x="277"/>
        <item m="1" x="152"/>
        <item m="1" x="150"/>
        <item m="1" x="217"/>
        <item m="1" x="329"/>
        <item m="1" x="445"/>
        <item m="1" x="433"/>
        <item m="1" x="144"/>
        <item m="1" x="126"/>
        <item m="1" x="359"/>
        <item m="1" x="201"/>
        <item m="1" x="332"/>
        <item m="1" x="194"/>
        <item m="1" x="455"/>
        <item m="1" x="166"/>
        <item m="1" x="356"/>
        <item m="1" x="175"/>
        <item m="1" x="159"/>
        <item m="1" x="479"/>
        <item m="1" x="254"/>
        <item m="1" x="209"/>
        <item m="1" x="437"/>
        <item m="1" x="327"/>
        <item m="1" x="220"/>
        <item m="1" x="224"/>
        <item m="1" x="120"/>
        <item m="1" x="225"/>
        <item m="1" x="121"/>
        <item m="1" x="122"/>
        <item m="1" x="387"/>
        <item m="1" x="236"/>
        <item m="1" x="221"/>
        <item m="1" x="222"/>
        <item m="1" x="263"/>
        <item m="1" x="264"/>
        <item m="1" x="478"/>
        <item m="1" x="388"/>
        <item m="1" x="373"/>
        <item m="1" x="374"/>
        <item m="1" x="215"/>
        <item m="1" x="79"/>
        <item m="1" x="213"/>
        <item m="1" x="99"/>
        <item m="1" x="100"/>
        <item m="1" x="101"/>
        <item m="1" x="265"/>
        <item m="1" x="377"/>
        <item m="1" x="488"/>
        <item m="1" x="105"/>
        <item m="1" x="366"/>
        <item m="1" x="459"/>
        <item m="1" x="102"/>
        <item m="1" x="103"/>
        <item m="1" x="104"/>
        <item m="1" x="427"/>
        <item m="1" x="389"/>
        <item m="1" x="290"/>
        <item m="1" x="372"/>
        <item m="1" x="424"/>
        <item m="1" x="266"/>
        <item m="1" x="223"/>
        <item m="1" x="73"/>
        <item m="1" x="74"/>
        <item m="1" x="226"/>
        <item m="1" x="227"/>
        <item x="1"/>
        <item x="2"/>
        <item x="3"/>
        <item x="4"/>
        <item x="5"/>
        <item x="6"/>
        <item x="7"/>
        <item x="8"/>
        <item x="9"/>
        <item x="10"/>
        <item x="11"/>
        <item x="12"/>
        <item x="13"/>
        <item x="14"/>
        <item x="15"/>
        <item x="16"/>
        <item x="17"/>
        <item x="18"/>
        <item x="19"/>
        <item m="1" x="287"/>
        <item m="1" x="333"/>
        <item m="1" x="334"/>
        <item m="1" x="229"/>
        <item m="1" x="230"/>
        <item x="20"/>
        <item x="21"/>
        <item m="1" x="440"/>
        <item m="1" x="298"/>
        <item m="1" x="339"/>
        <item x="22"/>
        <item m="1" x="340"/>
        <item x="23"/>
        <item x="25"/>
        <item x="26"/>
        <item m="1" x="233"/>
        <item x="28"/>
        <item m="1" x="404"/>
        <item m="1" x="242"/>
        <item m="1" x="157"/>
        <item m="1" x="448"/>
        <item m="1" x="350"/>
        <item m="1" x="351"/>
        <item m="1" x="352"/>
        <item m="1" x="231"/>
        <item m="1" x="490"/>
        <item m="1" x="271"/>
        <item x="30"/>
        <item x="31"/>
        <item x="32"/>
        <item x="33"/>
        <item x="34"/>
        <item m="1" x="456"/>
        <item m="1" x="407"/>
        <item m="1" x="353"/>
        <item m="1" x="354"/>
        <item m="1" x="355"/>
        <item m="1" x="234"/>
        <item m="1" x="299"/>
        <item m="1" x="141"/>
        <item m="1" x="162"/>
        <item m="1" x="317"/>
        <item x="38"/>
        <item m="1" x="335"/>
        <item m="1" x="272"/>
        <item m="1" x="273"/>
        <item m="1" x="124"/>
        <item m="1" x="125"/>
        <item m="1" x="439"/>
        <item m="1" x="330"/>
        <item m="1" x="279"/>
        <item x="44"/>
        <item x="45"/>
        <item x="46"/>
        <item x="47"/>
        <item x="48"/>
        <item x="49"/>
        <item x="50"/>
        <item x="51"/>
        <item x="52"/>
        <item x="53"/>
        <item x="54"/>
        <item x="55"/>
        <item x="24"/>
        <item x="27"/>
        <item x="29"/>
        <item x="35"/>
        <item x="37"/>
        <item x="36"/>
        <item x="39"/>
        <item x="40"/>
        <item x="41"/>
        <item x="42"/>
        <item x="43"/>
        <item t="default"/>
      </items>
    </pivotField>
    <pivotField axis="axisRow" showAll="0">
      <items count="538">
        <item m="1" x="335"/>
        <item m="1" x="85"/>
        <item m="1" x="526"/>
        <item m="1" x="443"/>
        <item m="1" x="382"/>
        <item m="1" x="471"/>
        <item m="1" x="383"/>
        <item m="1" x="472"/>
        <item m="1" x="473"/>
        <item m="1" x="227"/>
        <item m="1" x="114"/>
        <item m="1" x="444"/>
        <item m="1" x="445"/>
        <item m="1" x="68"/>
        <item m="1" x="69"/>
        <item m="1" x="480"/>
        <item m="1" x="228"/>
        <item m="1" x="515"/>
        <item m="1" x="516"/>
        <item m="1" x="466"/>
        <item m="1" x="519"/>
        <item m="1" x="338"/>
        <item m="1" x="91"/>
        <item m="1" x="119"/>
        <item m="1" x="120"/>
        <item m="1" x="121"/>
        <item m="1" x="70"/>
        <item m="1" x="367"/>
        <item m="1" x="487"/>
        <item m="1" x="342"/>
        <item m="1" x="171"/>
        <item m="1" x="84"/>
        <item m="1" x="122"/>
        <item m="1" x="389"/>
        <item m="1" x="123"/>
        <item m="1" x="124"/>
        <item m="1" x="125"/>
        <item m="1" x="178"/>
        <item m="1" x="229"/>
        <item m="1" x="405"/>
        <item m="1" x="76"/>
        <item m="1" x="350"/>
        <item m="1" x="71"/>
        <item m="1" x="446"/>
        <item m="1" x="502"/>
        <item m="1" x="503"/>
        <item m="1" x="384"/>
        <item m="1" x="385"/>
        <item m="1" x="242"/>
        <item m="1" x="530"/>
        <item m="1" x="410"/>
        <item m="1" x="127"/>
        <item m="1" x="361"/>
        <item m="1" x="393"/>
        <item m="1" x="205"/>
        <item m="1" x="313"/>
        <item m="1" x="182"/>
        <item m="1" x="387"/>
        <item m="1" x="470"/>
        <item m="1" x="78"/>
        <item m="1" x="255"/>
        <item m="1" x="131"/>
        <item m="1" x="329"/>
        <item m="1" x="386"/>
        <item m="1" x="476"/>
        <item m="1" x="155"/>
        <item m="1" x="351"/>
        <item m="1" x="494"/>
        <item m="1" x="274"/>
        <item m="1" x="505"/>
        <item m="1" x="303"/>
        <item m="1" x="272"/>
        <item m="1" x="520"/>
        <item m="1" x="490"/>
        <item m="1" x="353"/>
        <item m="1" x="507"/>
        <item m="1" x="112"/>
        <item m="1" x="344"/>
        <item m="1" x="259"/>
        <item m="1" x="336"/>
        <item m="1" x="126"/>
        <item m="1" x="60"/>
        <item m="1" x="455"/>
        <item m="1" x="360"/>
        <item m="1" x="108"/>
        <item m="1" x="59"/>
        <item m="1" x="63"/>
        <item m="1" x="118"/>
        <item x="4"/>
        <item m="1" x="415"/>
        <item m="1" x="148"/>
        <item m="1" x="211"/>
        <item m="1" x="183"/>
        <item m="1" x="187"/>
        <item m="1" x="407"/>
        <item m="1" x="188"/>
        <item m="1" x="408"/>
        <item m="1" x="409"/>
        <item m="1" x="72"/>
        <item m="1" x="534"/>
        <item m="1" x="184"/>
        <item m="1" x="185"/>
        <item m="1" x="439"/>
        <item m="1" x="440"/>
        <item m="1" x="465"/>
        <item m="1" x="73"/>
        <item m="1" x="209"/>
        <item m="1" x="210"/>
        <item m="1" x="478"/>
        <item m="1" x="291"/>
        <item m="1" x="477"/>
        <item m="1" x="244"/>
        <item m="1" x="245"/>
        <item m="1" x="246"/>
        <item m="1" x="441"/>
        <item m="1" x="160"/>
        <item m="1" x="251"/>
        <item m="1" x="247"/>
        <item m="1" x="62"/>
        <item m="1" x="248"/>
        <item m="1" x="249"/>
        <item m="1" x="250"/>
        <item m="1" x="461"/>
        <item m="1" x="74"/>
        <item m="1" x="414"/>
        <item m="1" x="296"/>
        <item m="1" x="110"/>
        <item m="1" x="442"/>
        <item m="1" x="186"/>
        <item m="1" x="510"/>
        <item m="1" x="511"/>
        <item m="1" x="189"/>
        <item m="1" x="190"/>
        <item m="1" x="161"/>
        <item m="1" x="128"/>
        <item m="1" x="264"/>
        <item m="1" x="332"/>
        <item m="1" x="181"/>
        <item m="1" x="500"/>
        <item m="1" x="355"/>
        <item m="1" x="164"/>
        <item m="1" x="90"/>
        <item m="1" x="373"/>
        <item m="1" x="328"/>
        <item m="1" x="401"/>
        <item m="1" x="456"/>
        <item m="1" x="226"/>
        <item m="1" x="356"/>
        <item m="1" x="457"/>
        <item m="1" x="94"/>
        <item m="1" x="364"/>
        <item m="1" x="100"/>
        <item m="1" x="398"/>
        <item m="1" x="260"/>
        <item m="1" x="512"/>
        <item m="1" x="524"/>
        <item m="1" x="406"/>
        <item m="1" x="75"/>
        <item m="1" x="98"/>
        <item m="1" x="271"/>
        <item m="1" x="220"/>
        <item m="1" x="96"/>
        <item m="1" x="400"/>
        <item m="1" x="192"/>
        <item m="1" x="372"/>
        <item m="1" x="357"/>
        <item m="1" x="179"/>
        <item m="1" x="257"/>
        <item m="1" x="337"/>
        <item m="1" x="319"/>
        <item m="1" x="421"/>
        <item m="1" x="202"/>
        <item m="1" x="533"/>
        <item m="1" x="223"/>
        <item m="1" x="331"/>
        <item m="1" x="425"/>
        <item m="1" x="435"/>
        <item m="1" x="417"/>
        <item m="1" x="436"/>
        <item m="1" x="418"/>
        <item m="1" x="419"/>
        <item m="1" x="293"/>
        <item m="1" x="531"/>
        <item m="1" x="426"/>
        <item m="1" x="427"/>
        <item m="1" x="151"/>
        <item m="1" x="152"/>
        <item m="1" x="163"/>
        <item m="1" x="294"/>
        <item m="1" x="157"/>
        <item m="1" x="158"/>
        <item m="1" x="392"/>
        <item m="1" x="312"/>
        <item m="1" x="379"/>
        <item m="1" x="374"/>
        <item m="1" x="375"/>
        <item m="1" x="376"/>
        <item m="1" x="153"/>
        <item m="1" x="204"/>
        <item m="1" x="253"/>
        <item m="1" x="101"/>
        <item m="1" x="388"/>
        <item m="1" x="102"/>
        <item m="1" x="103"/>
        <item m="1" x="104"/>
        <item m="1" x="420"/>
        <item m="1" x="325"/>
        <item m="1" x="77"/>
        <item m="1" x="193"/>
        <item m="1" x="176"/>
        <item m="1" x="518"/>
        <item m="1" x="345"/>
        <item m="1" x="527"/>
        <item m="1" x="528"/>
        <item m="1" x="462"/>
        <item m="1" x="463"/>
        <item m="1" x="117"/>
        <item m="1" x="320"/>
        <item m="1" x="525"/>
        <item m="1" x="432"/>
        <item m="1" x="475"/>
        <item m="1" x="262"/>
        <item m="1" x="334"/>
        <item m="1" x="315"/>
        <item m="1" x="365"/>
        <item m="1" x="165"/>
        <item m="1" x="269"/>
        <item m="1" x="422"/>
        <item m="1" x="340"/>
        <item m="1" x="333"/>
        <item m="1" x="277"/>
        <item m="1" x="499"/>
        <item m="1" x="326"/>
        <item m="1" x="324"/>
        <item m="1" x="362"/>
        <item m="1" x="252"/>
        <item m="1" x="469"/>
        <item m="1" x="316"/>
        <item m="1" x="491"/>
        <item m="1" x="363"/>
        <item m="1" x="488"/>
        <item m="1" x="254"/>
        <item m="1" x="430"/>
        <item m="1" x="162"/>
        <item m="1" x="221"/>
        <item m="1" x="297"/>
        <item m="1" x="270"/>
        <item m="1" x="130"/>
        <item m="1" x="213"/>
        <item m="1" x="159"/>
        <item m="1" x="346"/>
        <item m="1" x="287"/>
        <item m="1" x="83"/>
        <item m="1" x="397"/>
        <item m="1" x="93"/>
        <item m="1" x="256"/>
        <item m="1" x="509"/>
        <item m="1" x="523"/>
        <item m="1" x="280"/>
        <item m="1" x="495"/>
        <item m="1" x="394"/>
        <item m="1" x="496"/>
        <item m="1" x="395"/>
        <item m="1" x="396"/>
        <item m="1" x="230"/>
        <item m="1" x="458"/>
        <item m="1" x="281"/>
        <item m="1" x="282"/>
        <item m="1" x="167"/>
        <item m="1" x="168"/>
        <item m="1" x="399"/>
        <item m="1" x="231"/>
        <item m="1" x="513"/>
        <item m="1" x="514"/>
        <item m="1" x="404"/>
        <item m="1" x="61"/>
        <item m="1" x="173"/>
        <item m="1" x="305"/>
        <item m="1" x="306"/>
        <item m="1" x="307"/>
        <item m="1" x="169"/>
        <item m="1" x="492"/>
        <item m="1" x="517"/>
        <item m="1" x="308"/>
        <item m="1" x="288"/>
        <item m="1" x="309"/>
        <item m="1" x="310"/>
        <item m="1" x="311"/>
        <item m="1" x="429"/>
        <item m="1" x="232"/>
        <item m="1" x="150"/>
        <item m="1" x="358"/>
        <item m="1" x="504"/>
        <item m="1" x="170"/>
        <item m="1" x="283"/>
        <item m="1" x="197"/>
        <item m="1" x="198"/>
        <item m="1" x="497"/>
        <item m="1" x="498"/>
        <item m="1" x="299"/>
        <item m="1" x="113"/>
        <item m="1" x="327"/>
        <item m="1" x="416"/>
        <item m="1" x="177"/>
        <item m="1" x="489"/>
        <item m="1" x="343"/>
        <item m="1" x="115"/>
        <item m="1" x="377"/>
        <item m="1" x="206"/>
        <item m="1" x="428"/>
        <item m="1" x="402"/>
        <item m="1" x="143"/>
        <item m="1" x="532"/>
        <item m="1" x="341"/>
        <item m="1" x="452"/>
        <item m="1" x="354"/>
        <item m="1" x="95"/>
        <item m="1" x="279"/>
        <item m="1" x="222"/>
        <item m="1" x="58"/>
        <item m="1" x="89"/>
        <item m="1" x="142"/>
        <item m="1" x="535"/>
        <item m="1" x="284"/>
        <item m="1" x="508"/>
        <item m="1" x="203"/>
        <item m="1" x="314"/>
        <item m="1" x="506"/>
        <item m="1" x="240"/>
        <item m="1" x="322"/>
        <item m="1" x="243"/>
        <item m="1" x="233"/>
        <item m="1" x="302"/>
        <item m="1" x="194"/>
        <item m="1" x="339"/>
        <item m="1" x="501"/>
        <item m="1" x="106"/>
        <item m="1" x="180"/>
        <item m="1" x="275"/>
        <item m="1" x="105"/>
        <item m="1" x="467"/>
        <item m="1" x="276"/>
        <item m="1" x="116"/>
        <item m="1" x="468"/>
        <item m="1" x="317"/>
        <item m="1" x="318"/>
        <item m="1" x="214"/>
        <item m="1" x="352"/>
        <item m="1" x="295"/>
        <item m="1" x="129"/>
        <item m="1" x="479"/>
        <item m="1" x="267"/>
        <item m="1" x="380"/>
        <item m="1" x="149"/>
        <item m="1" x="493"/>
        <item m="1" x="381"/>
        <item m="1" x="174"/>
        <item m="1" x="57"/>
        <item m="1" x="359"/>
        <item m="1" x="536"/>
        <item m="1" x="216"/>
        <item m="1" x="79"/>
        <item m="1" x="138"/>
        <item m="1" x="80"/>
        <item m="1" x="139"/>
        <item m="1" x="140"/>
        <item m="1" x="486"/>
        <item m="1" x="447"/>
        <item m="1" x="437"/>
        <item m="1" x="217"/>
        <item m="1" x="218"/>
        <item m="1" x="144"/>
        <item m="1" x="145"/>
        <item m="1" x="290"/>
        <item m="1" x="448"/>
        <item m="1" x="224"/>
        <item m="1" x="196"/>
        <item m="1" x="225"/>
        <item m="1" x="289"/>
        <item m="1" x="141"/>
        <item m="1" x="323"/>
        <item m="1" x="411"/>
        <item m="1" x="278"/>
        <item m="1" x="195"/>
        <item m="1" x="166"/>
        <item m="1" x="107"/>
        <item m="1" x="292"/>
        <item m="1" x="234"/>
        <item m="1" x="235"/>
        <item m="1" x="236"/>
        <item m="1" x="146"/>
        <item m="1" x="301"/>
        <item m="1" x="321"/>
        <item m="1" x="207"/>
        <item m="1" x="412"/>
        <item m="1" x="366"/>
        <item m="1" x="92"/>
        <item m="1" x="298"/>
        <item m="1" x="263"/>
        <item m="1" x="237"/>
        <item m="1" x="238"/>
        <item m="1" x="239"/>
        <item m="1" x="154"/>
        <item m="1" x="449"/>
        <item m="1" x="97"/>
        <item m="1" x="273"/>
        <item m="1" x="454"/>
        <item m="1" x="147"/>
        <item m="1" x="219"/>
        <item m="1" x="433"/>
        <item m="1" x="434"/>
        <item m="1" x="81"/>
        <item m="1" x="82"/>
        <item m="1" x="111"/>
        <item m="1" x="172"/>
        <item m="1" x="474"/>
        <item m="1" x="175"/>
        <item m="1" x="99"/>
        <item m="1" x="378"/>
        <item m="1" x="109"/>
        <item m="1" x="529"/>
        <item m="1" x="460"/>
        <item m="1" x="86"/>
        <item m="1" x="403"/>
        <item m="1" x="191"/>
        <item m="1" x="156"/>
        <item m="1" x="304"/>
        <item m="1" x="450"/>
        <item m="1" x="438"/>
        <item m="1" x="258"/>
        <item m="1" x="390"/>
        <item m="1" x="368"/>
        <item m="1" x="482"/>
        <item m="1" x="199"/>
        <item m="1" x="483"/>
        <item m="1" x="200"/>
        <item m="1" x="201"/>
        <item m="1" x="347"/>
        <item m="1" x="464"/>
        <item m="1" x="369"/>
        <item m="1" x="370"/>
        <item m="1" x="64"/>
        <item m="1" x="65"/>
        <item m="1" x="451"/>
        <item m="1" x="348"/>
        <item m="1" x="265"/>
        <item m="1" x="266"/>
        <item m="1" x="453"/>
        <item m="1" x="300"/>
        <item m="1" x="330"/>
        <item m="1" x="132"/>
        <item m="1" x="133"/>
        <item m="1" x="134"/>
        <item m="1" x="66"/>
        <item m="1" x="481"/>
        <item m="1" x="268"/>
        <item m="1" x="215"/>
        <item m="1" x="431"/>
        <item m="1" x="135"/>
        <item m="1" x="136"/>
        <item m="1" x="137"/>
        <item m="1" x="459"/>
        <item m="1" x="349"/>
        <item m="1" x="423"/>
        <item m="1" x="241"/>
        <item m="1" x="208"/>
        <item m="1" x="67"/>
        <item m="1" x="371"/>
        <item m="1" x="87"/>
        <item m="1" x="88"/>
        <item m="1" x="484"/>
        <item m="1" x="485"/>
        <item x="0"/>
        <item x="1"/>
        <item x="2"/>
        <item x="3"/>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m="1" x="391"/>
        <item x="38"/>
        <item x="39"/>
        <item m="1" x="424"/>
        <item m="1" x="285"/>
        <item m="1" x="286"/>
        <item m="1" x="521"/>
        <item m="1" x="522"/>
        <item m="1" x="212"/>
        <item m="1" x="261"/>
        <item m="1" x="413"/>
        <item x="45"/>
        <item x="46"/>
        <item x="47"/>
        <item x="48"/>
        <item x="49"/>
        <item x="50"/>
        <item x="51"/>
        <item x="52"/>
        <item x="53"/>
        <item x="54"/>
        <item x="55"/>
        <item x="56"/>
        <item x="37"/>
        <item x="40"/>
        <item x="41"/>
        <item x="42"/>
        <item x="43"/>
        <item x="44"/>
        <item t="default"/>
      </items>
    </pivotField>
    <pivotField axis="axisRow" showAll="0">
      <items count="110">
        <item m="1" x="32"/>
        <item x="1"/>
        <item m="1" x="68"/>
        <item m="1" x="45"/>
        <item m="1" x="16"/>
        <item m="1" x="108"/>
        <item m="1" x="103"/>
        <item m="1" x="56"/>
        <item m="1" x="29"/>
        <item m="1" x="26"/>
        <item m="1" x="66"/>
        <item m="1" x="37"/>
        <item m="1" x="51"/>
        <item m="1" x="100"/>
        <item m="1" x="33"/>
        <item m="1" x="73"/>
        <item m="1" x="42"/>
        <item m="1" x="82"/>
        <item m="1" x="20"/>
        <item m="1" x="81"/>
        <item m="1" x="80"/>
        <item m="1" x="106"/>
        <item m="1" x="91"/>
        <item m="1" x="86"/>
        <item m="1" x="64"/>
        <item m="1" x="76"/>
        <item m="1" x="78"/>
        <item m="1" x="96"/>
        <item m="1" x="95"/>
        <item m="1" x="74"/>
        <item m="1" x="84"/>
        <item m="1" x="67"/>
        <item m="1" x="79"/>
        <item m="1" x="46"/>
        <item m="1" x="43"/>
        <item m="1" x="94"/>
        <item m="1" x="54"/>
        <item m="1" x="27"/>
        <item m="1" x="24"/>
        <item m="1" x="63"/>
        <item m="1" x="70"/>
        <item m="1" x="52"/>
        <item m="1" x="102"/>
        <item m="1" x="23"/>
        <item m="1" x="34"/>
        <item m="1" x="19"/>
        <item m="1" x="39"/>
        <item m="1" x="83"/>
        <item m="1" x="18"/>
        <item m="1" x="22"/>
        <item m="1" x="59"/>
        <item m="1" x="77"/>
        <item m="1" x="62"/>
        <item m="1" x="60"/>
        <item m="1" x="40"/>
        <item m="1" x="93"/>
        <item m="1" x="50"/>
        <item m="1" x="99"/>
        <item m="1" x="97"/>
        <item m="1" x="47"/>
        <item m="1" x="55"/>
        <item m="1" x="30"/>
        <item m="1" x="17"/>
        <item m="1" x="38"/>
        <item m="1" x="14"/>
        <item m="1" x="57"/>
        <item m="1" x="49"/>
        <item m="1" x="48"/>
        <item m="1" x="85"/>
        <item m="1" x="53"/>
        <item m="1" x="104"/>
        <item m="1" x="31"/>
        <item m="1" x="28"/>
        <item m="1" x="25"/>
        <item m="1" x="58"/>
        <item m="1" x="75"/>
        <item m="1" x="69"/>
        <item m="1" x="65"/>
        <item m="1" x="15"/>
        <item m="1" x="89"/>
        <item m="1" x="105"/>
        <item m="1" x="71"/>
        <item m="1" x="90"/>
        <item m="1" x="35"/>
        <item m="1" x="101"/>
        <item m="1" x="107"/>
        <item m="1" x="92"/>
        <item m="1" x="72"/>
        <item m="1" x="21"/>
        <item m="1" x="41"/>
        <item m="1" x="44"/>
        <item m="1" x="88"/>
        <item m="1" x="61"/>
        <item m="1" x="87"/>
        <item m="1" x="98"/>
        <item m="1" x="36"/>
        <item x="0"/>
        <item x="2"/>
        <item x="3"/>
        <item x="4"/>
        <item x="5"/>
        <item x="6"/>
        <item x="7"/>
        <item x="8"/>
        <item x="9"/>
        <item x="10"/>
        <item x="11"/>
        <item x="12"/>
        <item x="13"/>
        <item t="default"/>
      </items>
    </pivotField>
    <pivotField axis="axisRow" showAll="0">
      <items count="15">
        <item m="1" x="13"/>
        <item x="1"/>
        <item m="1" x="7"/>
        <item x="0"/>
        <item x="2"/>
        <item x="3"/>
        <item x="4"/>
        <item x="5"/>
        <item m="1" x="9"/>
        <item m="1" x="10"/>
        <item m="1" x="12"/>
        <item m="1" x="11"/>
        <item m="1" x="8"/>
        <item x="6"/>
        <item t="default"/>
      </items>
    </pivotField>
    <pivotField axis="axisRow" showAll="0">
      <items count="435">
        <item m="1" x="70"/>
        <item m="1" x="381"/>
        <item m="1" x="379"/>
        <item m="1" x="320"/>
        <item m="1" x="249"/>
        <item m="1" x="426"/>
        <item m="1" x="142"/>
        <item m="1" x="94"/>
        <item m="1" x="391"/>
        <item m="1" x="409"/>
        <item m="1" x="291"/>
        <item m="1" x="102"/>
        <item m="1" x="125"/>
        <item m="1" x="428"/>
        <item m="1" x="240"/>
        <item m="1" x="330"/>
        <item m="1" x="280"/>
        <item m="1" x="146"/>
        <item m="1" x="262"/>
        <item m="1" x="318"/>
        <item m="1" x="314"/>
        <item m="1" x="419"/>
        <item m="1" x="334"/>
        <item m="1" x="225"/>
        <item m="1" x="338"/>
        <item m="1" x="377"/>
        <item m="1" x="420"/>
        <item m="1" x="160"/>
        <item m="1" x="400"/>
        <item m="1" x="161"/>
        <item m="1" x="346"/>
        <item m="1" x="222"/>
        <item m="1" x="245"/>
        <item m="1" x="370"/>
        <item m="1" x="250"/>
        <item m="1" x="100"/>
        <item m="1" x="188"/>
        <item m="1" x="339"/>
        <item m="1" x="251"/>
        <item m="1" x="289"/>
        <item m="1" x="124"/>
        <item m="1" x="104"/>
        <item m="1" x="272"/>
        <item m="1" x="155"/>
        <item m="1" x="85"/>
        <item m="1" x="174"/>
        <item m="1" x="228"/>
        <item m="1" x="324"/>
        <item m="1" x="229"/>
        <item m="1" x="423"/>
        <item m="1" x="388"/>
        <item m="1" x="132"/>
        <item m="1" x="259"/>
        <item m="1" x="226"/>
        <item m="1" x="224"/>
        <item m="1" x="347"/>
        <item m="1" x="385"/>
        <item m="1" x="77"/>
        <item m="1" x="402"/>
        <item m="1" x="348"/>
        <item m="1" x="105"/>
        <item m="1" x="149"/>
        <item m="1" x="231"/>
        <item m="1" x="425"/>
        <item m="1" x="299"/>
        <item m="1" x="79"/>
        <item x="0"/>
        <item m="1" x="403"/>
        <item m="1" x="130"/>
        <item m="1" x="148"/>
        <item m="1" x="182"/>
        <item m="1" x="234"/>
        <item m="1" x="236"/>
        <item m="1" x="76"/>
        <item m="1" x="304"/>
        <item m="1" x="119"/>
        <item m="1" x="181"/>
        <item m="1" x="185"/>
        <item m="1" x="317"/>
        <item m="1" x="349"/>
        <item m="1" x="192"/>
        <item m="1" x="186"/>
        <item m="1" x="150"/>
        <item m="1" x="207"/>
        <item m="1" x="392"/>
        <item m="1" x="313"/>
        <item m="1" x="293"/>
        <item m="1" x="81"/>
        <item m="1" x="193"/>
        <item m="1" x="196"/>
        <item m="1" x="355"/>
        <item m="1" x="183"/>
        <item m="1" x="319"/>
        <item m="1" x="84"/>
        <item m="1" x="278"/>
        <item m="1" x="235"/>
        <item m="1" x="147"/>
        <item m="1" x="246"/>
        <item m="1" x="166"/>
        <item m="1" x="359"/>
        <item m="1" x="335"/>
        <item m="1" x="191"/>
        <item m="1" x="129"/>
        <item m="1" x="164"/>
        <item m="1" x="308"/>
        <item m="1" x="167"/>
        <item m="1" x="115"/>
        <item m="1" x="430"/>
        <item m="1" x="187"/>
        <item m="1" x="394"/>
        <item m="1" x="180"/>
        <item m="1" x="311"/>
        <item m="1" x="189"/>
        <item m="1" x="190"/>
        <item m="1" x="395"/>
        <item m="1" x="353"/>
        <item m="1" x="386"/>
        <item m="1" x="354"/>
        <item m="1" x="312"/>
        <item m="1" x="158"/>
        <item m="1" x="283"/>
        <item m="1" x="165"/>
        <item m="1" x="387"/>
        <item m="1" x="307"/>
        <item m="1" x="396"/>
        <item m="1" x="230"/>
        <item m="1" x="199"/>
        <item m="1" x="284"/>
        <item m="1" x="433"/>
        <item m="1" x="126"/>
        <item m="1" x="195"/>
        <item m="1" x="414"/>
        <item m="1" x="244"/>
        <item m="1" x="238"/>
        <item m="1" x="309"/>
        <item m="1" x="356"/>
        <item m="1" x="209"/>
        <item m="1" x="173"/>
        <item m="1" x="305"/>
        <item m="1" x="122"/>
        <item m="1" x="175"/>
        <item m="1" x="223"/>
        <item m="1" x="340"/>
        <item m="1" x="239"/>
        <item m="1" x="176"/>
        <item m="1" x="254"/>
        <item m="1" x="344"/>
        <item m="1" x="408"/>
        <item m="1" x="194"/>
        <item m="1" x="177"/>
        <item m="1" x="171"/>
        <item m="1" x="337"/>
        <item m="1" x="133"/>
        <item m="1" x="372"/>
        <item m="1" x="121"/>
        <item m="1" x="237"/>
        <item m="1" x="294"/>
        <item m="1" x="136"/>
        <item m="1" x="371"/>
        <item m="1" x="365"/>
        <item m="1" x="131"/>
        <item m="1" x="375"/>
        <item m="1" x="112"/>
        <item m="1" x="374"/>
        <item m="1" x="153"/>
        <item m="1" x="364"/>
        <item m="1" x="367"/>
        <item m="1" x="366"/>
        <item m="1" x="376"/>
        <item m="1" x="360"/>
        <item m="1" x="221"/>
        <item m="1" x="134"/>
        <item m="1" x="326"/>
        <item m="1" x="110"/>
        <item m="1" x="203"/>
        <item m="1" x="310"/>
        <item m="1" x="152"/>
        <item m="1" x="327"/>
        <item m="1" x="219"/>
        <item m="1" x="206"/>
        <item m="1" x="220"/>
        <item m="1" x="163"/>
        <item m="1" x="96"/>
        <item m="1" x="88"/>
        <item m="1" x="93"/>
        <item m="1" x="95"/>
        <item m="1" x="232"/>
        <item m="1" x="168"/>
        <item m="1" x="116"/>
        <item m="1" x="184"/>
        <item m="1" x="89"/>
        <item m="1" x="92"/>
        <item m="1" x="432"/>
        <item m="1" x="415"/>
        <item m="1" x="179"/>
        <item m="1" x="271"/>
        <item m="1" x="233"/>
        <item m="1" x="257"/>
        <item m="1" x="303"/>
        <item m="1" x="109"/>
        <item m="1" x="424"/>
        <item m="1" x="361"/>
        <item m="1" x="78"/>
        <item m="1" x="113"/>
        <item m="1" x="401"/>
        <item m="1" x="315"/>
        <item m="1" x="172"/>
        <item m="1" x="114"/>
        <item m="1" x="281"/>
        <item m="1" x="328"/>
        <item m="1" x="412"/>
        <item m="1" x="378"/>
        <item m="1" x="137"/>
        <item m="1" x="405"/>
        <item m="1" x="333"/>
        <item m="1" x="406"/>
        <item m="1" x="87"/>
        <item m="1" x="243"/>
        <item m="1" x="411"/>
        <item m="1" x="111"/>
        <item m="1" x="295"/>
        <item m="1" x="277"/>
        <item m="1" x="268"/>
        <item m="1" x="286"/>
        <item m="1" x="287"/>
        <item m="1" x="241"/>
        <item m="1" x="322"/>
        <item m="1" x="298"/>
        <item m="1" x="261"/>
        <item m="1" x="275"/>
        <item m="1" x="270"/>
        <item m="1" x="288"/>
        <item m="1" x="255"/>
        <item m="1" x="397"/>
        <item m="1" x="266"/>
        <item m="1" x="156"/>
        <item m="1" x="218"/>
        <item m="1" x="369"/>
        <item m="1" x="135"/>
        <item m="1" x="297"/>
        <item m="1" x="157"/>
        <item m="1" x="398"/>
        <item m="1" x="373"/>
        <item m="1" x="399"/>
        <item m="1" x="421"/>
        <item m="1" x="279"/>
        <item m="1" x="82"/>
        <item m="1" x="162"/>
        <item m="1" x="227"/>
        <item m="1" x="74"/>
        <item m="1" x="265"/>
        <item m="1" x="73"/>
        <item m="1" x="86"/>
        <item m="1" x="83"/>
        <item m="1" x="128"/>
        <item m="1" x="140"/>
        <item m="1" x="363"/>
        <item m="1" x="282"/>
        <item m="1" x="91"/>
        <item m="1" x="302"/>
        <item m="1" x="205"/>
        <item m="1" x="410"/>
        <item m="1" x="382"/>
        <item m="1" x="368"/>
        <item m="1" x="106"/>
        <item m="1" x="145"/>
        <item m="1" x="383"/>
        <item m="1" x="117"/>
        <item m="1" x="99"/>
        <item m="1" x="393"/>
        <item m="1" x="384"/>
        <item m="1" x="325"/>
        <item m="1" x="217"/>
        <item m="1" x="362"/>
        <item m="1" x="108"/>
        <item m="1" x="390"/>
        <item m="1" x="357"/>
        <item m="1" x="103"/>
        <item m="1" x="358"/>
        <item m="1" x="138"/>
        <item m="1" x="80"/>
        <item m="1" x="120"/>
        <item m="1" x="143"/>
        <item m="1" x="321"/>
        <item m="1" x="407"/>
        <item m="1" x="202"/>
        <item m="1" x="316"/>
        <item m="1" x="212"/>
        <item m="1" x="301"/>
        <item m="1" x="214"/>
        <item m="1" x="98"/>
        <item m="1" x="200"/>
        <item m="1" x="204"/>
        <item m="1" x="201"/>
        <item m="1" x="213"/>
        <item m="1" x="198"/>
        <item m="1" x="352"/>
        <item m="1" x="90"/>
        <item m="1" x="169"/>
        <item m="1" x="75"/>
        <item m="1" x="343"/>
        <item m="1" x="389"/>
        <item m="1" x="97"/>
        <item m="1" x="170"/>
        <item m="1" x="350"/>
        <item m="1" x="345"/>
        <item m="1" x="351"/>
        <item x="59"/>
        <item x="60"/>
        <item x="61"/>
        <item x="62"/>
        <item x="63"/>
        <item x="64"/>
        <item x="65"/>
        <item x="66"/>
        <item x="67"/>
        <item x="68"/>
        <item x="69"/>
        <item m="1" x="323"/>
        <item x="2"/>
        <item x="3"/>
        <item m="1" x="118"/>
        <item m="1" x="139"/>
        <item m="1" x="341"/>
        <item m="1" x="107"/>
        <item x="1"/>
        <item m="1" x="123"/>
        <item m="1" x="154"/>
        <item m="1" x="127"/>
        <item m="1" x="416"/>
        <item m="1" x="300"/>
        <item m="1" x="431"/>
        <item m="1" x="404"/>
        <item m="1" x="101"/>
        <item m="1" x="296"/>
        <item x="4"/>
        <item x="5"/>
        <item x="6"/>
        <item x="7"/>
        <item x="8"/>
        <item x="9"/>
        <item x="10"/>
        <item x="11"/>
        <item m="1" x="285"/>
        <item m="1" x="427"/>
        <item m="1" x="258"/>
        <item m="1" x="263"/>
        <item m="1" x="332"/>
        <item m="1" x="429"/>
        <item m="1" x="276"/>
        <item m="1" x="264"/>
        <item m="1" x="144"/>
        <item m="1" x="336"/>
        <item m="1" x="197"/>
        <item m="1" x="151"/>
        <item m="1" x="260"/>
        <item m="1" x="247"/>
        <item m="1" x="252"/>
        <item m="1" x="329"/>
        <item m="1" x="269"/>
        <item m="1" x="267"/>
        <item m="1" x="248"/>
        <item m="1" x="417"/>
        <item m="1" x="159"/>
        <item m="1" x="418"/>
        <item m="1" x="331"/>
        <item m="1" x="253"/>
        <item m="1" x="306"/>
        <item m="1" x="274"/>
        <item m="1" x="290"/>
        <item m="1" x="273"/>
        <item x="43"/>
        <item x="44"/>
        <item m="1" x="210"/>
        <item m="1" x="342"/>
        <item m="1" x="178"/>
        <item m="1" x="413"/>
        <item m="1" x="211"/>
        <item m="1" x="72"/>
        <item m="1" x="215"/>
        <item m="1" x="208"/>
        <item m="1" x="422"/>
        <item x="54"/>
        <item m="1" x="141"/>
        <item m="1" x="256"/>
        <item m="1" x="292"/>
        <item m="1" x="216"/>
        <item m="1" x="71"/>
        <item x="12"/>
        <item x="13"/>
        <item x="14"/>
        <item x="15"/>
        <item x="16"/>
        <item x="17"/>
        <item x="18"/>
        <item x="19"/>
        <item x="20"/>
        <item x="21"/>
        <item x="22"/>
        <item x="23"/>
        <item x="24"/>
        <item x="36"/>
        <item x="37"/>
        <item x="38"/>
        <item x="39"/>
        <item x="40"/>
        <item x="41"/>
        <item m="1" x="380"/>
        <item x="45"/>
        <item x="46"/>
        <item x="47"/>
        <item x="48"/>
        <item m="1" x="242"/>
        <item x="50"/>
        <item x="51"/>
        <item x="52"/>
        <item x="53"/>
        <item x="25"/>
        <item x="26"/>
        <item x="27"/>
        <item x="28"/>
        <item x="29"/>
        <item x="30"/>
        <item x="31"/>
        <item x="32"/>
        <item x="33"/>
        <item x="34"/>
        <item x="35"/>
        <item x="42"/>
        <item x="49"/>
        <item x="55"/>
        <item x="56"/>
        <item x="57"/>
        <item x="58"/>
        <item t="default"/>
      </items>
    </pivotField>
    <pivotField axis="axisRow" showAll="0">
      <items count="263">
        <item m="1" x="17"/>
        <item m="1" x="223"/>
        <item m="1" x="36"/>
        <item m="1" x="56"/>
        <item m="1" x="20"/>
        <item m="1" x="240"/>
        <item m="1" x="43"/>
        <item m="1" x="55"/>
        <item m="1" x="212"/>
        <item m="1" x="248"/>
        <item m="1" x="249"/>
        <item m="1" x="93"/>
        <item m="1" x="122"/>
        <item m="1" x="67"/>
        <item m="1" x="48"/>
        <item m="1" x="89"/>
        <item m="1" x="90"/>
        <item m="1" x="245"/>
        <item m="1" x="83"/>
        <item m="1" x="190"/>
        <item m="1" x="199"/>
        <item m="1" x="75"/>
        <item m="1" x="37"/>
        <item m="1" x="198"/>
        <item m="1" x="124"/>
        <item m="1" x="68"/>
        <item m="1" x="25"/>
        <item m="1" x="27"/>
        <item m="1" x="31"/>
        <item m="1" x="69"/>
        <item m="1" x="231"/>
        <item m="1" x="115"/>
        <item m="1" x="165"/>
        <item m="1" x="250"/>
        <item m="1" x="161"/>
        <item m="1" x="257"/>
        <item m="1" x="185"/>
        <item m="1" x="45"/>
        <item m="1" x="40"/>
        <item m="1" x="200"/>
        <item m="1" x="183"/>
        <item m="1" x="252"/>
        <item x="0"/>
        <item m="1" x="94"/>
        <item m="1" x="26"/>
        <item m="1" x="92"/>
        <item m="1" x="171"/>
        <item m="1" x="41"/>
        <item m="1" x="107"/>
        <item m="1" x="42"/>
        <item m="1" x="256"/>
        <item m="1" x="73"/>
        <item m="1" x="74"/>
        <item m="1" x="44"/>
        <item m="1" x="208"/>
        <item m="1" x="187"/>
        <item m="1" x="135"/>
        <item m="1" x="202"/>
        <item m="1" x="203"/>
        <item m="1" x="172"/>
        <item m="1" x="104"/>
        <item m="1" x="206"/>
        <item m="1" x="136"/>
        <item m="1" x="106"/>
        <item m="1" x="217"/>
        <item m="1" x="195"/>
        <item m="1" x="188"/>
        <item m="1" x="207"/>
        <item m="1" x="129"/>
        <item m="1" x="218"/>
        <item m="1" x="189"/>
        <item m="1" x="164"/>
        <item m="1" x="230"/>
        <item m="1" x="103"/>
        <item m="1" x="82"/>
        <item m="1" x="130"/>
        <item m="1" x="170"/>
        <item m="1" x="224"/>
        <item m="1" x="193"/>
        <item m="1" x="163"/>
        <item m="1" x="153"/>
        <item m="1" x="175"/>
        <item m="1" x="30"/>
        <item m="1" x="123"/>
        <item m="1" x="102"/>
        <item m="1" x="38"/>
        <item m="1" x="174"/>
        <item m="1" x="110"/>
        <item m="1" x="237"/>
        <item m="1" x="242"/>
        <item m="1" x="84"/>
        <item m="1" x="210"/>
        <item m="1" x="211"/>
        <item m="1" x="247"/>
        <item m="1" x="228"/>
        <item m="1" x="28"/>
        <item m="1" x="241"/>
        <item m="1" x="50"/>
        <item m="1" x="51"/>
        <item m="1" x="57"/>
        <item m="1" x="213"/>
        <item m="1" x="76"/>
        <item m="1" x="32"/>
        <item m="1" x="128"/>
        <item m="1" x="121"/>
        <item m="1" x="253"/>
        <item m="1" x="29"/>
        <item m="1" x="227"/>
        <item m="1" x="105"/>
        <item m="1" x="155"/>
        <item m="1" x="259"/>
        <item m="1" x="46"/>
        <item m="1" x="114"/>
        <item m="1" x="243"/>
        <item m="1" x="222"/>
        <item m="1" x="33"/>
        <item m="1" x="35"/>
        <item m="1" x="111"/>
        <item m="1" x="258"/>
        <item m="1" x="108"/>
        <item m="1" x="251"/>
        <item m="1" x="53"/>
        <item m="1" x="66"/>
        <item m="1" x="116"/>
        <item m="1" x="235"/>
        <item m="1" x="143"/>
        <item m="1" x="22"/>
        <item m="1" x="191"/>
        <item m="1" x="18"/>
        <item m="1" x="225"/>
        <item m="1" x="87"/>
        <item m="1" x="131"/>
        <item m="1" x="132"/>
        <item m="1" x="260"/>
        <item m="1" x="99"/>
        <item m="1" x="145"/>
        <item m="1" x="214"/>
        <item m="1" x="156"/>
        <item m="1" x="157"/>
        <item m="1" x="58"/>
        <item m="1" x="77"/>
        <item m="1" x="176"/>
        <item m="1" x="179"/>
        <item m="1" x="150"/>
        <item m="1" x="137"/>
        <item m="1" x="238"/>
        <item m="1" x="146"/>
        <item m="1" x="70"/>
        <item m="1" x="72"/>
        <item m="1" x="168"/>
        <item m="1" x="147"/>
        <item m="1" x="219"/>
        <item m="1" x="95"/>
        <item m="1" x="112"/>
        <item m="1" x="60"/>
        <item m="1" x="194"/>
        <item m="1" x="196"/>
        <item m="1" x="85"/>
        <item m="1" x="139"/>
        <item m="1" x="79"/>
        <item m="1" x="118"/>
        <item m="1" x="233"/>
        <item m="1" x="254"/>
        <item m="1" x="62"/>
        <item m="1" x="181"/>
        <item m="1" x="63"/>
        <item m="1" x="182"/>
        <item m="1" x="154"/>
        <item m="1" x="109"/>
        <item m="1" x="64"/>
        <item m="1" x="204"/>
        <item m="1" x="65"/>
        <item m="1" x="205"/>
        <item m="1" x="186"/>
        <item m="1" x="117"/>
        <item m="1" x="236"/>
        <item m="1" x="144"/>
        <item m="1" x="23"/>
        <item m="1" x="192"/>
        <item m="1" x="19"/>
        <item m="1" x="226"/>
        <item m="1" x="88"/>
        <item m="1" x="133"/>
        <item m="1" x="134"/>
        <item m="1" x="261"/>
        <item m="1" x="100"/>
        <item m="1" x="184"/>
        <item m="1" x="215"/>
        <item m="1" x="158"/>
        <item m="1" x="159"/>
        <item m="1" x="59"/>
        <item m="1" x="78"/>
        <item m="1" x="177"/>
        <item m="1" x="180"/>
        <item m="1" x="151"/>
        <item m="1" x="138"/>
        <item m="1" x="239"/>
        <item m="1" x="209"/>
        <item m="1" x="148"/>
        <item m="1" x="71"/>
        <item m="1" x="54"/>
        <item m="1" x="169"/>
        <item m="1" x="149"/>
        <item m="1" x="220"/>
        <item m="1" x="96"/>
        <item m="1" x="113"/>
        <item m="1" x="61"/>
        <item m="1" x="97"/>
        <item m="1" x="197"/>
        <item m="1" x="86"/>
        <item m="1" x="140"/>
        <item m="1" x="80"/>
        <item m="1" x="119"/>
        <item m="1" x="234"/>
        <item m="1" x="255"/>
        <item x="1"/>
        <item x="2"/>
        <item x="3"/>
        <item x="4"/>
        <item x="5"/>
        <item x="6"/>
        <item x="7"/>
        <item x="8"/>
        <item x="9"/>
        <item x="10"/>
        <item x="11"/>
        <item x="12"/>
        <item m="1" x="34"/>
        <item m="1" x="125"/>
        <item m="1" x="126"/>
        <item m="1" x="141"/>
        <item m="1" x="52"/>
        <item m="1" x="229"/>
        <item m="1" x="39"/>
        <item m="1" x="166"/>
        <item m="1" x="167"/>
        <item m="1" x="244"/>
        <item m="1" x="21"/>
        <item m="1" x="216"/>
        <item m="1" x="221"/>
        <item m="1" x="162"/>
        <item m="1" x="142"/>
        <item m="1" x="98"/>
        <item m="1" x="178"/>
        <item x="13"/>
        <item x="14"/>
        <item m="1" x="232"/>
        <item m="1" x="201"/>
        <item m="1" x="160"/>
        <item m="1" x="47"/>
        <item m="1" x="49"/>
        <item m="1" x="81"/>
        <item m="1" x="246"/>
        <item m="1" x="173"/>
        <item m="1" x="120"/>
        <item x="15"/>
        <item m="1" x="152"/>
        <item m="1" x="24"/>
        <item m="1" x="101"/>
        <item m="1" x="91"/>
        <item m="1" x="127"/>
        <item x="16"/>
        <item t="default"/>
      </items>
    </pivotField>
    <pivotField axis="axisRow" showAll="0">
      <items count="28">
        <item m="1" x="4"/>
        <item m="1" x="19"/>
        <item m="1" x="7"/>
        <item m="1" x="25"/>
        <item x="0"/>
        <item m="1" x="26"/>
        <item m="1" x="10"/>
        <item m="1" x="17"/>
        <item m="1" x="9"/>
        <item m="1" x="8"/>
        <item m="1" x="20"/>
        <item m="1" x="11"/>
        <item m="1" x="15"/>
        <item m="1" x="16"/>
        <item m="1" x="22"/>
        <item m="1" x="18"/>
        <item m="1" x="21"/>
        <item m="1" x="23"/>
        <item m="1" x="24"/>
        <item m="1" x="5"/>
        <item m="1" x="13"/>
        <item m="1" x="14"/>
        <item x="1"/>
        <item x="2"/>
        <item x="3"/>
        <item m="1" x="6"/>
        <item m="1" x="12"/>
        <item t="default"/>
      </items>
    </pivotField>
    <pivotField axis="axisRow" showAll="0">
      <items count="6">
        <item m="1" x="1"/>
        <item x="0"/>
        <item m="1" x="3"/>
        <item m="1" x="4"/>
        <item m="1" x="2"/>
        <item t="default"/>
      </items>
    </pivotField>
    <pivotField axis="axisRow" showAll="0" defaultSubtotal="0">
      <items count="273">
        <item m="1" x="19"/>
        <item m="1" x="232"/>
        <item m="1" x="66"/>
        <item m="1" x="158"/>
        <item m="1" x="27"/>
        <item m="1" x="61"/>
        <item m="1" x="40"/>
        <item m="1" x="148"/>
        <item m="1" x="142"/>
        <item m="1" x="100"/>
        <item m="1" x="30"/>
        <item m="1" x="85"/>
        <item m="1" x="53"/>
        <item m="1" x="25"/>
        <item m="1" x="57"/>
        <item m="1" x="84"/>
        <item m="1" x="178"/>
        <item m="1" x="87"/>
        <item m="1" x="208"/>
        <item m="1" x="231"/>
        <item m="1" x="218"/>
        <item m="1" x="108"/>
        <item m="1" x="228"/>
        <item m="1" x="71"/>
        <item m="1" x="62"/>
        <item m="1" x="131"/>
        <item m="1" x="150"/>
        <item m="1" x="236"/>
        <item m="1" x="128"/>
        <item m="1" x="240"/>
        <item m="1" x="179"/>
        <item m="1" x="266"/>
        <item m="1" x="225"/>
        <item m="1" x="200"/>
        <item m="1" x="37"/>
        <item m="1" x="249"/>
        <item m="1" x="259"/>
        <item m="1" x="180"/>
        <item m="1" x="90"/>
        <item m="1" x="92"/>
        <item m="1" x="86"/>
        <item x="0"/>
        <item m="1" x="29"/>
        <item m="1" x="190"/>
        <item m="1" x="103"/>
        <item m="1" x="42"/>
        <item m="1" x="241"/>
        <item m="1" x="176"/>
        <item m="1" x="242"/>
        <item m="1" x="217"/>
        <item m="1" x="174"/>
        <item m="1" x="43"/>
        <item m="1" x="268"/>
        <item m="1" x="38"/>
        <item m="1" x="219"/>
        <item m="1" x="263"/>
        <item m="1" x="69"/>
        <item m="1" x="96"/>
        <item m="1" x="262"/>
        <item m="1" x="125"/>
        <item m="1" x="216"/>
        <item m="1" x="60"/>
        <item m="1" x="20"/>
        <item m="1" x="221"/>
        <item m="1" x="198"/>
        <item m="1" x="233"/>
        <item m="1" x="83"/>
        <item m="1" x="255"/>
        <item m="1" x="183"/>
        <item m="1" x="124"/>
        <item m="1" x="105"/>
        <item m="1" x="132"/>
        <item m="1" x="145"/>
        <item m="1" x="28"/>
        <item m="1" x="269"/>
        <item m="1" x="91"/>
        <item m="1" x="109"/>
        <item m="1" x="33"/>
        <item m="1" x="143"/>
        <item m="1" x="113"/>
        <item m="1" x="270"/>
        <item m="1" x="44"/>
        <item m="1" x="56"/>
        <item m="1" x="151"/>
        <item m="1" x="162"/>
        <item m="1" x="235"/>
        <item m="1" x="203"/>
        <item m="1" x="107"/>
        <item m="1" x="204"/>
        <item m="1" x="182"/>
        <item m="1" x="226"/>
        <item m="1" x="72"/>
        <item m="1" x="79"/>
        <item m="1" x="161"/>
        <item m="1" x="184"/>
        <item m="1" x="212"/>
        <item m="1" x="58"/>
        <item m="1" x="133"/>
        <item m="1" x="147"/>
        <item m="1" x="146"/>
        <item m="1" x="172"/>
        <item m="1" x="104"/>
        <item m="1" x="64"/>
        <item m="1" x="205"/>
        <item m="1" x="111"/>
        <item m="1" x="206"/>
        <item m="1" x="213"/>
        <item m="1" x="139"/>
        <item m="1" x="155"/>
        <item m="1" x="264"/>
        <item m="1" x="156"/>
        <item m="1" x="67"/>
        <item m="1" x="260"/>
        <item m="1" x="52"/>
        <item m="1" x="46"/>
        <item m="1" x="94"/>
        <item m="1" x="244"/>
        <item m="1" x="65"/>
        <item m="1" x="250"/>
        <item m="1" x="115"/>
        <item m="1" x="220"/>
        <item m="1" x="254"/>
        <item m="1" x="223"/>
        <item m="1" x="75"/>
        <item m="1" x="187"/>
        <item m="1" x="230"/>
        <item m="1" x="135"/>
        <item m="1" x="137"/>
        <item m="1" x="26"/>
        <item m="1" x="144"/>
        <item m="1" x="227"/>
        <item m="1" x="195"/>
        <item m="1" x="138"/>
        <item m="1" x="48"/>
        <item m="1" x="164"/>
        <item m="1" x="88"/>
        <item m="1" x="21"/>
        <item m="1" x="202"/>
        <item m="1" x="214"/>
        <item m="1" x="73"/>
        <item m="1" x="63"/>
        <item m="1" x="140"/>
        <item m="1" x="181"/>
        <item m="1" x="102"/>
        <item m="1" x="59"/>
        <item m="1" x="126"/>
        <item m="1" x="197"/>
        <item m="1" x="167"/>
        <item m="1" x="141"/>
        <item m="1" x="149"/>
        <item m="1" x="267"/>
        <item m="1" x="70"/>
        <item m="1" x="136"/>
        <item m="1" x="157"/>
        <item m="1" x="45"/>
        <item m="1" x="95"/>
        <item m="1" x="114"/>
        <item m="1" x="130"/>
        <item m="1" x="265"/>
        <item m="1" x="39"/>
        <item m="1" x="215"/>
        <item m="1" x="55"/>
        <item m="1" x="211"/>
        <item m="1" x="169"/>
        <item m="1" x="257"/>
        <item m="1" x="170"/>
        <item m="1" x="258"/>
        <item m="1" x="224"/>
        <item m="1" x="76"/>
        <item m="1" x="188"/>
        <item m="1" x="272"/>
        <item m="1" x="127"/>
        <item m="1" x="51"/>
        <item m="1" x="177"/>
        <item m="1" x="41"/>
        <item m="1" x="193"/>
        <item m="1" x="239"/>
        <item m="1" x="22"/>
        <item m="1" x="234"/>
        <item m="1" x="165"/>
        <item m="1" x="89"/>
        <item m="1" x="168"/>
        <item m="1" x="32"/>
        <item m="1" x="98"/>
        <item m="1" x="99"/>
        <item m="1" x="237"/>
        <item m="1" x="248"/>
        <item m="1" x="119"/>
        <item m="1" x="82"/>
        <item m="1" x="47"/>
        <item m="1" x="68"/>
        <item m="1" x="78"/>
        <item m="1" x="35"/>
        <item m="1" x="186"/>
        <item m="1" x="118"/>
        <item m="1" x="209"/>
        <item m="1" x="116"/>
        <item m="1" x="192"/>
        <item m="1" x="80"/>
        <item m="1" x="153"/>
        <item m="1" x="185"/>
        <item m="1" x="222"/>
        <item m="1" x="247"/>
        <item m="1" x="271"/>
        <item m="1" x="238"/>
        <item m="1" x="54"/>
        <item m="1" x="207"/>
        <item m="1" x="166"/>
        <item m="1" x="210"/>
        <item x="2"/>
        <item m="1" x="121"/>
        <item x="4"/>
        <item m="1" x="122"/>
        <item m="1" x="23"/>
        <item m="1" x="256"/>
        <item x="1"/>
        <item m="1" x="173"/>
        <item m="1" x="245"/>
        <item m="1" x="251"/>
        <item m="1" x="175"/>
        <item m="1" x="74"/>
        <item m="1" x="24"/>
        <item m="1" x="123"/>
        <item m="1" x="117"/>
        <item m="1" x="110"/>
        <item m="1" x="129"/>
        <item m="1" x="112"/>
        <item m="1" x="171"/>
        <item x="3"/>
        <item x="5"/>
        <item x="6"/>
        <item x="7"/>
        <item x="8"/>
        <item x="9"/>
        <item x="10"/>
        <item x="11"/>
        <item x="12"/>
        <item x="13"/>
        <item x="14"/>
        <item m="1" x="106"/>
        <item m="1" x="93"/>
        <item m="1" x="120"/>
        <item m="1" x="31"/>
        <item m="1" x="154"/>
        <item m="1" x="152"/>
        <item m="1" x="261"/>
        <item m="1" x="252"/>
        <item m="1" x="159"/>
        <item m="1" x="194"/>
        <item m="1" x="229"/>
        <item m="1" x="36"/>
        <item m="1" x="163"/>
        <item m="1" x="97"/>
        <item m="1" x="101"/>
        <item m="1" x="34"/>
        <item x="15"/>
        <item x="16"/>
        <item m="1" x="199"/>
        <item m="1" x="246"/>
        <item m="1" x="201"/>
        <item m="1" x="253"/>
        <item m="1" x="81"/>
        <item m="1" x="196"/>
        <item m="1" x="50"/>
        <item m="1" x="49"/>
        <item m="1" x="243"/>
        <item x="17"/>
        <item m="1" x="77"/>
        <item m="1" x="189"/>
        <item m="1" x="160"/>
        <item m="1" x="134"/>
        <item m="1" x="191"/>
        <item x="18"/>
      </items>
    </pivotField>
    <pivotField axis="axisRow" showAll="0" defaultSubtotal="0">
      <items count="210">
        <item m="1" x="15"/>
        <item m="1" x="25"/>
        <item m="1" x="18"/>
        <item m="1" x="74"/>
        <item m="1" x="176"/>
        <item m="1" x="199"/>
        <item m="1" x="127"/>
        <item m="1" x="195"/>
        <item m="1" x="158"/>
        <item m="1" x="167"/>
        <item m="1" x="149"/>
        <item m="1" x="92"/>
        <item m="1" x="93"/>
        <item m="1" x="99"/>
        <item m="1" x="79"/>
        <item m="1" x="39"/>
        <item m="1" x="209"/>
        <item m="1" x="151"/>
        <item m="1" x="152"/>
        <item m="1" x="54"/>
        <item m="1" x="38"/>
        <item m="1" x="85"/>
        <item m="1" x="169"/>
        <item m="1" x="43"/>
        <item m="1" x="200"/>
        <item m="1" x="116"/>
        <item m="1" x="103"/>
        <item m="1" x="189"/>
        <item m="1" x="128"/>
        <item m="1" x="207"/>
        <item m="1" x="182"/>
        <item m="1" x="155"/>
        <item m="1" x="102"/>
        <item m="1" x="119"/>
        <item m="1" x="132"/>
        <item m="1" x="173"/>
        <item m="1" x="42"/>
        <item m="1" x="27"/>
        <item m="1" x="47"/>
        <item m="1" x="190"/>
        <item x="0"/>
        <item m="1" x="30"/>
        <item m="1" x="131"/>
        <item m="1" x="208"/>
        <item m="1" x="73"/>
        <item m="1" x="140"/>
        <item m="1" x="29"/>
        <item m="1" x="180"/>
        <item m="1" x="161"/>
        <item m="1" x="33"/>
        <item m="1" x="34"/>
        <item m="1" x="52"/>
        <item m="1" x="81"/>
        <item m="1" x="89"/>
        <item m="1" x="191"/>
        <item m="1" x="135"/>
        <item m="1" x="136"/>
        <item m="1" x="197"/>
        <item m="1" x="150"/>
        <item m="1" x="64"/>
        <item m="1" x="35"/>
        <item m="1" x="205"/>
        <item m="1" x="65"/>
        <item m="1" x="76"/>
        <item m="1" x="164"/>
        <item m="1" x="49"/>
        <item m="1" x="108"/>
        <item m="1" x="125"/>
        <item m="1" x="61"/>
        <item m="1" x="22"/>
        <item m="1" x="105"/>
        <item m="1" x="106"/>
        <item m="1" x="57"/>
        <item m="1" x="71"/>
        <item m="1" x="69"/>
        <item m="1" x="118"/>
        <item m="1" x="82"/>
        <item m="1" x="162"/>
        <item m="1" x="44"/>
        <item m="1" x="184"/>
        <item m="1" x="120"/>
        <item m="1" x="107"/>
        <item m="1" x="62"/>
        <item m="1" x="67"/>
        <item m="1" x="78"/>
        <item m="1" x="201"/>
        <item m="1" x="121"/>
        <item m="1" x="95"/>
        <item m="1" x="83"/>
        <item m="1" x="84"/>
        <item m="1" x="133"/>
        <item m="1" x="147"/>
        <item m="1" x="157"/>
        <item m="1" x="142"/>
        <item m="1" x="112"/>
        <item m="1" x="113"/>
        <item m="1" x="194"/>
        <item m="1" x="21"/>
        <item m="1" x="111"/>
        <item m="1" x="171"/>
        <item m="1" x="80"/>
        <item m="1" x="53"/>
        <item m="1" x="202"/>
        <item m="1" x="177"/>
        <item m="1" x="104"/>
        <item m="1" x="55"/>
        <item m="1" x="91"/>
        <item m="1" x="94"/>
        <item m="1" x="75"/>
        <item m="1" x="88"/>
        <item m="1" x="87"/>
        <item m="1" x="45"/>
        <item m="1" x="192"/>
        <item m="1" x="51"/>
        <item m="1" x="115"/>
        <item m="1" x="114"/>
        <item m="1" x="50"/>
        <item m="1" x="109"/>
        <item m="1" x="28"/>
        <item m="1" x="48"/>
        <item m="1" x="58"/>
        <item m="1" x="170"/>
        <item m="1" x="66"/>
        <item m="1" x="37"/>
        <item m="1" x="122"/>
        <item m="1" x="16"/>
        <item m="1" x="185"/>
        <item m="1" x="23"/>
        <item m="1" x="24"/>
        <item m="1" x="154"/>
        <item m="1" x="86"/>
        <item m="1" x="60"/>
        <item m="1" x="36"/>
        <item m="1" x="174"/>
        <item m="1" x="175"/>
        <item m="1" x="203"/>
        <item m="1" x="196"/>
        <item m="1" x="97"/>
        <item m="1" x="163"/>
        <item m="1" x="144"/>
        <item m="1" x="193"/>
        <item m="1" x="145"/>
        <item m="1" x="130"/>
        <item m="1" x="166"/>
        <item m="1" x="90"/>
        <item m="1" x="101"/>
        <item m="1" x="41"/>
        <item m="1" x="46"/>
        <item m="1" x="179"/>
        <item m="1" x="17"/>
        <item m="1" x="77"/>
        <item m="1" x="100"/>
        <item m="1" x="63"/>
        <item m="1" x="126"/>
        <item m="1" x="183"/>
        <item m="1" x="148"/>
        <item m="1" x="70"/>
        <item m="1" x="32"/>
        <item x="1"/>
        <item x="2"/>
        <item m="1" x="206"/>
        <item m="1" x="72"/>
        <item m="1" x="187"/>
        <item m="1" x="204"/>
        <item m="1" x="156"/>
        <item m="1" x="19"/>
        <item m="1" x="26"/>
        <item m="1" x="141"/>
        <item x="3"/>
        <item x="4"/>
        <item x="5"/>
        <item x="6"/>
        <item x="7"/>
        <item x="8"/>
        <item x="9"/>
        <item x="10"/>
        <item m="1" x="20"/>
        <item m="1" x="159"/>
        <item m="1" x="160"/>
        <item m="1" x="110"/>
        <item m="1" x="59"/>
        <item m="1" x="96"/>
        <item m="1" x="134"/>
        <item m="1" x="123"/>
        <item m="1" x="124"/>
        <item m="1" x="165"/>
        <item m="1" x="153"/>
        <item m="1" x="168"/>
        <item m="1" x="188"/>
        <item m="1" x="56"/>
        <item m="1" x="129"/>
        <item m="1" x="146"/>
        <item x="11"/>
        <item x="12"/>
        <item m="1" x="117"/>
        <item m="1" x="139"/>
        <item m="1" x="143"/>
        <item m="1" x="98"/>
        <item m="1" x="138"/>
        <item m="1" x="137"/>
        <item m="1" x="31"/>
        <item m="1" x="68"/>
        <item m="1" x="186"/>
        <item x="13"/>
        <item m="1" x="181"/>
        <item m="1" x="178"/>
        <item m="1" x="40"/>
        <item m="1" x="172"/>
        <item m="1" x="198"/>
        <item x="14"/>
      </items>
    </pivotField>
    <pivotField axis="axisRow" showAll="0">
      <items count="3">
        <item m="1" x="1"/>
        <item x="0"/>
        <item t="default"/>
      </items>
    </pivotField>
    <pivotField axis="axisRow" showAll="0">
      <items count="260">
        <item m="1" x="15"/>
        <item m="1" x="106"/>
        <item m="1" x="193"/>
        <item m="1" x="231"/>
        <item m="1" x="113"/>
        <item m="1" x="226"/>
        <item m="1" x="234"/>
        <item m="1" x="163"/>
        <item m="1" x="210"/>
        <item m="1" x="45"/>
        <item m="1" x="137"/>
        <item m="1" x="221"/>
        <item m="1" x="28"/>
        <item m="1" x="88"/>
        <item m="1" x="101"/>
        <item m="1" x="186"/>
        <item m="1" x="178"/>
        <item m="1" x="30"/>
        <item m="1" x="174"/>
        <item m="1" x="256"/>
        <item m="1" x="102"/>
        <item m="1" x="103"/>
        <item m="1" x="100"/>
        <item m="1" x="246"/>
        <item m="1" x="50"/>
        <item m="1" x="216"/>
        <item m="1" x="99"/>
        <item m="1" x="40"/>
        <item m="1" x="78"/>
        <item m="1" x="67"/>
        <item m="1" x="16"/>
        <item m="1" x="24"/>
        <item m="1" x="58"/>
        <item m="1" x="211"/>
        <item m="1" x="52"/>
        <item m="1" x="19"/>
        <item m="1" x="185"/>
        <item m="1" x="215"/>
        <item m="1" x="53"/>
        <item m="1" x="23"/>
        <item m="1" x="164"/>
        <item m="1" x="18"/>
        <item x="0"/>
        <item m="1" x="219"/>
        <item m="1" x="55"/>
        <item m="1" x="222"/>
        <item m="1" x="250"/>
        <item m="1" x="227"/>
        <item m="1" x="235"/>
        <item m="1" x="150"/>
        <item m="1" x="121"/>
        <item m="1" x="91"/>
        <item m="1" x="36"/>
        <item m="1" x="31"/>
        <item m="1" x="95"/>
        <item m="1" x="218"/>
        <item m="1" x="167"/>
        <item m="1" x="162"/>
        <item m="1" x="41"/>
        <item m="1" x="237"/>
        <item m="1" x="173"/>
        <item m="1" x="196"/>
        <item m="1" x="201"/>
        <item m="1" x="232"/>
        <item m="1" x="25"/>
        <item m="1" x="230"/>
        <item m="1" x="209"/>
        <item m="1" x="51"/>
        <item m="1" x="66"/>
        <item m="1" x="217"/>
        <item m="1" x="110"/>
        <item m="1" x="96"/>
        <item m="1" x="245"/>
        <item m="1" x="213"/>
        <item m="1" x="141"/>
        <item m="1" x="43"/>
        <item m="1" x="149"/>
        <item m="1" x="153"/>
        <item m="1" x="65"/>
        <item m="1" x="27"/>
        <item m="1" x="229"/>
        <item m="1" x="165"/>
        <item m="1" x="156"/>
        <item m="1" x="238"/>
        <item m="1" x="62"/>
        <item m="1" x="131"/>
        <item m="1" x="42"/>
        <item m="1" x="197"/>
        <item m="1" x="257"/>
        <item m="1" x="214"/>
        <item m="1" x="83"/>
        <item m="1" x="26"/>
        <item m="1" x="243"/>
        <item m="1" x="195"/>
        <item m="1" x="142"/>
        <item m="1" x="171"/>
        <item m="1" x="166"/>
        <item m="1" x="258"/>
        <item m="1" x="190"/>
        <item m="1" x="204"/>
        <item m="1" x="114"/>
        <item m="1" x="93"/>
        <item m="1" x="220"/>
        <item m="1" x="224"/>
        <item m="1" x="228"/>
        <item m="1" x="21"/>
        <item m="1" x="202"/>
        <item m="1" x="109"/>
        <item m="1" x="134"/>
        <item m="1" x="35"/>
        <item m="1" x="39"/>
        <item m="1" x="189"/>
        <item m="1" x="64"/>
        <item m="1" x="139"/>
        <item m="1" x="32"/>
        <item m="1" x="54"/>
        <item m="1" x="98"/>
        <item m="1" x="68"/>
        <item m="1" x="168"/>
        <item m="1" x="33"/>
        <item m="1" x="236"/>
        <item m="1" x="117"/>
        <item m="1" x="63"/>
        <item m="1" x="61"/>
        <item m="1" x="104"/>
        <item m="1" x="71"/>
        <item m="1" x="212"/>
        <item m="1" x="207"/>
        <item m="1" x="249"/>
        <item m="1" x="17"/>
        <item m="1" x="181"/>
        <item m="1" x="86"/>
        <item m="1" x="84"/>
        <item m="1" x="240"/>
        <item m="1" x="183"/>
        <item m="1" x="239"/>
        <item m="1" x="254"/>
        <item m="1" x="80"/>
        <item m="1" x="176"/>
        <item m="1" x="143"/>
        <item m="1" x="37"/>
        <item m="1" x="160"/>
        <item m="1" x="129"/>
        <item m="1" x="107"/>
        <item m="1" x="135"/>
        <item m="1" x="205"/>
        <item m="1" x="132"/>
        <item m="1" x="44"/>
        <item m="1" x="92"/>
        <item m="1" x="76"/>
        <item m="1" x="147"/>
        <item m="1" x="199"/>
        <item m="1" x="187"/>
        <item m="1" x="111"/>
        <item m="1" x="122"/>
        <item m="1" x="49"/>
        <item m="1" x="73"/>
        <item m="1" x="198"/>
        <item m="1" x="145"/>
        <item m="1" x="127"/>
        <item m="1" x="47"/>
        <item m="1" x="69"/>
        <item m="1" x="191"/>
        <item m="1" x="157"/>
        <item m="1" x="158"/>
        <item m="1" x="115"/>
        <item m="1" x="29"/>
        <item m="1" x="203"/>
        <item m="1" x="179"/>
        <item m="1" x="94"/>
        <item m="1" x="252"/>
        <item m="1" x="119"/>
        <item m="1" x="72"/>
        <item m="1" x="59"/>
        <item m="1" x="138"/>
        <item m="1" x="56"/>
        <item m="1" x="89"/>
        <item m="1" x="172"/>
        <item m="1" x="118"/>
        <item m="1" x="151"/>
        <item m="1" x="126"/>
        <item m="1" x="194"/>
        <item m="1" x="34"/>
        <item m="1" x="140"/>
        <item m="1" x="116"/>
        <item m="1" x="225"/>
        <item m="1" x="242"/>
        <item m="1" x="105"/>
        <item m="1" x="152"/>
        <item m="1" x="244"/>
        <item m="1" x="247"/>
        <item m="1" x="82"/>
        <item m="1" x="75"/>
        <item m="1" x="20"/>
        <item m="1" x="133"/>
        <item m="1" x="22"/>
        <item m="1" x="155"/>
        <item m="1" x="248"/>
        <item m="1" x="79"/>
        <item m="1" x="233"/>
        <item m="1" x="175"/>
        <item m="1" x="169"/>
        <item m="1" x="124"/>
        <item m="1" x="154"/>
        <item m="1" x="159"/>
        <item m="1" x="90"/>
        <item m="1" x="57"/>
        <item m="1" x="125"/>
        <item m="1" x="60"/>
        <item m="1" x="223"/>
        <item m="1" x="46"/>
        <item m="1" x="251"/>
        <item m="1" x="208"/>
        <item m="1" x="97"/>
        <item x="1"/>
        <item x="2"/>
        <item x="3"/>
        <item x="4"/>
        <item x="5"/>
        <item x="6"/>
        <item x="7"/>
        <item x="8"/>
        <item x="9"/>
        <item x="10"/>
        <item m="1" x="182"/>
        <item m="1" x="87"/>
        <item m="1" x="85"/>
        <item m="1" x="241"/>
        <item m="1" x="184"/>
        <item m="1" x="253"/>
        <item m="1" x="255"/>
        <item m="1" x="81"/>
        <item m="1" x="177"/>
        <item m="1" x="144"/>
        <item m="1" x="38"/>
        <item m="1" x="161"/>
        <item m="1" x="130"/>
        <item m="1" x="108"/>
        <item m="1" x="136"/>
        <item m="1" x="206"/>
        <item m="1" x="170"/>
        <item x="11"/>
        <item x="12"/>
        <item m="1" x="180"/>
        <item m="1" x="77"/>
        <item m="1" x="148"/>
        <item m="1" x="200"/>
        <item m="1" x="188"/>
        <item m="1" x="112"/>
        <item m="1" x="123"/>
        <item m="1" x="120"/>
        <item m="1" x="74"/>
        <item x="13"/>
        <item m="1" x="146"/>
        <item m="1" x="128"/>
        <item m="1" x="48"/>
        <item m="1" x="70"/>
        <item m="1" x="192"/>
        <item x="14"/>
        <item t="default"/>
      </items>
    </pivotField>
    <pivotField axis="axisRow" showAll="0">
      <items count="3">
        <item m="1" x="1"/>
        <item x="0"/>
        <item t="default"/>
      </items>
    </pivotField>
    <pivotField axis="axisRow" showAll="0">
      <items count="270">
        <item m="1" x="19"/>
        <item m="1" x="158"/>
        <item m="1" x="208"/>
        <item m="1" x="230"/>
        <item m="1" x="255"/>
        <item m="1" x="123"/>
        <item m="1" x="194"/>
        <item m="1" x="258"/>
        <item m="1" x="202"/>
        <item m="1" x="66"/>
        <item m="1" x="75"/>
        <item m="1" x="87"/>
        <item m="1" x="212"/>
        <item m="1" x="160"/>
        <item m="1" x="161"/>
        <item m="1" x="40"/>
        <item m="1" x="42"/>
        <item m="1" x="224"/>
        <item m="1" x="142"/>
        <item m="1" x="99"/>
        <item m="1" x="225"/>
        <item m="1" x="209"/>
        <item m="1" x="235"/>
        <item m="1" x="191"/>
        <item m="1" x="241"/>
        <item m="1" x="231"/>
        <item m="1" x="256"/>
        <item m="1" x="74"/>
        <item m="1" x="159"/>
        <item m="1" x="36"/>
        <item m="1" x="71"/>
        <item m="1" x="98"/>
        <item m="1" x="193"/>
        <item m="1" x="199"/>
        <item m="1" x="134"/>
        <item m="1" x="108"/>
        <item m="1" x="249"/>
        <item m="1" x="211"/>
        <item m="1" x="114"/>
        <item m="1" x="257"/>
        <item m="1" x="260"/>
        <item m="1" x="153"/>
        <item x="0"/>
        <item m="1" x="121"/>
        <item m="1" x="169"/>
        <item m="1" x="175"/>
        <item m="1" x="109"/>
        <item m="1" x="64"/>
        <item m="1" x="236"/>
        <item m="1" x="240"/>
        <item m="1" x="27"/>
        <item m="1" x="219"/>
        <item m="1" x="139"/>
        <item m="1" x="221"/>
        <item m="1" x="47"/>
        <item m="1" x="102"/>
        <item m="1" x="172"/>
        <item m="1" x="72"/>
        <item m="1" x="48"/>
        <item m="1" x="192"/>
        <item m="1" x="115"/>
        <item m="1" x="242"/>
        <item m="1" x="133"/>
        <item m="1" x="261"/>
        <item m="1" x="226"/>
        <item m="1" x="179"/>
        <item m="1" x="132"/>
        <item m="1" x="56"/>
        <item m="1" x="105"/>
        <item m="1" x="59"/>
        <item m="1" x="76"/>
        <item m="1" x="197"/>
        <item m="1" x="203"/>
        <item m="1" x="94"/>
        <item m="1" x="49"/>
        <item m="1" x="60"/>
        <item m="1" x="149"/>
        <item m="1" x="176"/>
        <item m="1" x="20"/>
        <item m="1" x="21"/>
        <item m="1" x="259"/>
        <item m="1" x="126"/>
        <item m="1" x="265"/>
        <item m="1" x="145"/>
        <item m="1" x="198"/>
        <item m="1" x="162"/>
        <item m="1" x="166"/>
        <item m="1" x="165"/>
        <item m="1" x="95"/>
        <item m="1" x="210"/>
        <item m="1" x="173"/>
        <item m="1" x="143"/>
        <item m="1" x="90"/>
        <item m="1" x="120"/>
        <item m="1" x="55"/>
        <item m="1" x="214"/>
        <item m="1" x="43"/>
        <item m="1" x="227"/>
        <item m="1" x="24"/>
        <item m="1" x="44"/>
        <item m="1" x="61"/>
        <item m="1" x="144"/>
        <item m="1" x="190"/>
        <item m="1" x="237"/>
        <item m="1" x="254"/>
        <item m="1" x="250"/>
        <item m="1" x="118"/>
        <item m="1" x="229"/>
        <item m="1" x="195"/>
        <item m="1" x="178"/>
        <item m="1" x="67"/>
        <item m="1" x="23"/>
        <item m="1" x="234"/>
        <item m="1" x="148"/>
        <item m="1" x="30"/>
        <item m="1" x="65"/>
        <item m="1" x="245"/>
        <item m="1" x="177"/>
        <item m="1" x="220"/>
        <item m="1" x="131"/>
        <item m="1" x="130"/>
        <item m="1" x="150"/>
        <item m="1" x="29"/>
        <item m="1" x="238"/>
        <item m="1" x="186"/>
        <item m="1" x="62"/>
        <item m="1" x="119"/>
        <item m="1" x="207"/>
        <item m="1" x="183"/>
        <item m="1" x="68"/>
        <item m="1" x="128"/>
        <item m="1" x="83"/>
        <item m="1" x="135"/>
        <item m="1" x="112"/>
        <item m="1" x="31"/>
        <item m="1" x="156"/>
        <item m="1" x="243"/>
        <item m="1" x="34"/>
        <item m="1" x="78"/>
        <item m="1" x="188"/>
        <item m="1" x="184"/>
        <item m="1" x="263"/>
        <item m="1" x="154"/>
        <item m="1" x="222"/>
        <item m="1" x="106"/>
        <item m="1" x="163"/>
        <item m="1" x="171"/>
        <item m="1" x="213"/>
        <item m="1" x="86"/>
        <item m="1" x="45"/>
        <item m="1" x="96"/>
        <item m="1" x="266"/>
        <item m="1" x="146"/>
        <item m="1" x="247"/>
        <item m="1" x="79"/>
        <item m="1" x="51"/>
        <item m="1" x="181"/>
        <item m="1" x="63"/>
        <item m="1" x="124"/>
        <item m="1" x="151"/>
        <item m="1" x="103"/>
        <item m="1" x="116"/>
        <item m="1" x="92"/>
        <item m="1" x="69"/>
        <item m="1" x="88"/>
        <item m="1" x="89"/>
        <item m="1" x="251"/>
        <item m="1" x="28"/>
        <item m="1" x="33"/>
        <item m="1" x="174"/>
        <item m="1" x="167"/>
        <item m="1" x="52"/>
        <item m="1" x="53"/>
        <item m="1" x="215"/>
        <item m="1" x="205"/>
        <item m="1" x="252"/>
        <item m="1" x="180"/>
        <item m="1" x="100"/>
        <item m="1" x="101"/>
        <item m="1" x="228"/>
        <item m="1" x="216"/>
        <item m="1" x="137"/>
        <item m="1" x="232"/>
        <item m="1" x="127"/>
        <item m="1" x="122"/>
        <item m="1" x="77"/>
        <item m="1" x="140"/>
        <item m="1" x="239"/>
        <item m="1" x="110"/>
        <item m="1" x="187"/>
        <item m="1" x="91"/>
        <item m="1" x="54"/>
        <item m="1" x="57"/>
        <item m="1" x="170"/>
        <item m="1" x="262"/>
        <item m="1" x="37"/>
        <item m="1" x="50"/>
        <item m="1" x="58"/>
        <item m="1" x="217"/>
        <item m="1" x="246"/>
        <item m="1" x="268"/>
        <item m="1" x="157"/>
        <item m="1" x="25"/>
        <item m="1" x="201"/>
        <item m="1" x="26"/>
        <item m="1" x="196"/>
        <item m="1" x="111"/>
        <item m="1" x="39"/>
        <item m="1" x="41"/>
        <item m="1" x="200"/>
        <item m="1" x="70"/>
        <item m="1" x="38"/>
        <item m="1" x="85"/>
        <item m="1" x="138"/>
        <item m="1" x="233"/>
        <item m="1" x="218"/>
        <item m="1" x="204"/>
        <item m="1" x="82"/>
        <item m="1" x="141"/>
        <item m="1" x="22"/>
        <item x="1"/>
        <item x="2"/>
        <item x="3"/>
        <item x="4"/>
        <item x="5"/>
        <item x="6"/>
        <item x="7"/>
        <item x="8"/>
        <item x="9"/>
        <item x="10"/>
        <item x="11"/>
        <item x="12"/>
        <item x="13"/>
        <item m="1" x="129"/>
        <item m="1" x="84"/>
        <item m="1" x="136"/>
        <item m="1" x="113"/>
        <item m="1" x="32"/>
        <item m="1" x="206"/>
        <item m="1" x="244"/>
        <item m="1" x="35"/>
        <item m="1" x="80"/>
        <item m="1" x="189"/>
        <item m="1" x="185"/>
        <item m="1" x="264"/>
        <item m="1" x="155"/>
        <item m="1" x="223"/>
        <item m="1" x="107"/>
        <item m="1" x="164"/>
        <item m="1" x="73"/>
        <item x="14"/>
        <item x="15"/>
        <item m="1" x="168"/>
        <item m="1" x="46"/>
        <item m="1" x="97"/>
        <item m="1" x="267"/>
        <item m="1" x="147"/>
        <item m="1" x="248"/>
        <item m="1" x="81"/>
        <item m="1" x="253"/>
        <item m="1" x="182"/>
        <item x="17"/>
        <item m="1" x="125"/>
        <item m="1" x="152"/>
        <item m="1" x="104"/>
        <item m="1" x="117"/>
        <item m="1" x="93"/>
        <item x="16"/>
        <item x="18"/>
        <item t="default"/>
      </items>
    </pivotField>
    <pivotField axis="axisRow" showAll="0">
      <items count="5">
        <item m="1" x="1"/>
        <item x="0"/>
        <item m="1" x="2"/>
        <item m="1" x="3"/>
        <item t="default"/>
      </items>
    </pivotField>
    <pivotField axis="axisRow" showAll="0">
      <items count="48">
        <item m="1" x="1"/>
        <item x="0"/>
        <item m="1" x="22"/>
        <item m="1" x="11"/>
        <item m="1" x="12"/>
        <item m="1" x="5"/>
        <item m="1" x="34"/>
        <item m="1" x="24"/>
        <item m="1" x="37"/>
        <item m="1" x="2"/>
        <item m="1" x="36"/>
        <item m="1" x="44"/>
        <item m="1" x="21"/>
        <item m="1" x="41"/>
        <item m="1" x="32"/>
        <item m="1" x="38"/>
        <item m="1" x="35"/>
        <item m="1" x="46"/>
        <item m="1" x="18"/>
        <item m="1" x="45"/>
        <item m="1" x="43"/>
        <item m="1" x="19"/>
        <item m="1" x="14"/>
        <item m="1" x="42"/>
        <item m="1" x="15"/>
        <item m="1" x="16"/>
        <item m="1" x="9"/>
        <item m="1" x="30"/>
        <item m="1" x="17"/>
        <item m="1" x="33"/>
        <item m="1" x="25"/>
        <item m="1" x="28"/>
        <item m="1" x="4"/>
        <item m="1" x="23"/>
        <item m="1" x="29"/>
        <item m="1" x="26"/>
        <item m="1" x="3"/>
        <item m="1" x="7"/>
        <item m="1" x="27"/>
        <item m="1" x="40"/>
        <item m="1" x="20"/>
        <item m="1" x="8"/>
        <item m="1" x="10"/>
        <item m="1" x="31"/>
        <item m="1" x="13"/>
        <item m="1" x="39"/>
        <item m="1" x="6"/>
        <item t="default"/>
      </items>
    </pivotField>
    <pivotField axis="axisRow" showAll="0">
      <items count="4">
        <item m="1" x="1"/>
        <item x="0"/>
        <item m="1" x="2"/>
        <item t="default"/>
      </items>
    </pivotField>
    <pivotField axis="axisRow" showAll="0">
      <items count="48">
        <item m="1" x="1"/>
        <item x="0"/>
        <item m="1" x="26"/>
        <item m="1" x="22"/>
        <item m="1" x="10"/>
        <item m="1" x="41"/>
        <item m="1" x="38"/>
        <item m="1" x="25"/>
        <item m="1" x="9"/>
        <item m="1" x="35"/>
        <item m="1" x="33"/>
        <item m="1" x="24"/>
        <item m="1" x="42"/>
        <item m="1" x="34"/>
        <item m="1" x="37"/>
        <item m="1" x="7"/>
        <item m="1" x="19"/>
        <item m="1" x="44"/>
        <item m="1" x="4"/>
        <item m="1" x="3"/>
        <item m="1" x="28"/>
        <item m="1" x="32"/>
        <item m="1" x="36"/>
        <item m="1" x="31"/>
        <item m="1" x="6"/>
        <item m="1" x="2"/>
        <item m="1" x="39"/>
        <item m="1" x="13"/>
        <item m="1" x="16"/>
        <item m="1" x="14"/>
        <item m="1" x="15"/>
        <item m="1" x="21"/>
        <item m="1" x="8"/>
        <item m="1" x="45"/>
        <item m="1" x="30"/>
        <item m="1" x="43"/>
        <item m="1" x="11"/>
        <item m="1" x="29"/>
        <item m="1" x="40"/>
        <item m="1" x="20"/>
        <item m="1" x="23"/>
        <item m="1" x="5"/>
        <item m="1" x="12"/>
        <item m="1" x="46"/>
        <item m="1" x="18"/>
        <item m="1" x="17"/>
        <item m="1" x="27"/>
        <item t="default"/>
      </items>
    </pivotField>
    <pivotField axis="axisRow" showAll="0">
      <items count="3">
        <item m="1" x="1"/>
        <item x="0"/>
        <item t="default"/>
      </items>
    </pivotField>
    <pivotField axis="axisRow" showAll="0">
      <items count="185">
        <item m="1" x="12"/>
        <item x="0"/>
        <item m="1" x="164"/>
        <item m="1" x="174"/>
        <item m="1" x="13"/>
        <item m="1" x="14"/>
        <item m="1" x="18"/>
        <item m="1" x="27"/>
        <item m="1" x="130"/>
        <item m="1" x="165"/>
        <item m="1" x="166"/>
        <item m="1" x="167"/>
        <item m="1" x="168"/>
        <item m="1" x="113"/>
        <item m="1" x="83"/>
        <item m="1" x="169"/>
        <item m="1" x="131"/>
        <item m="1" x="132"/>
        <item m="1" x="88"/>
        <item m="1" x="114"/>
        <item m="1" x="115"/>
        <item m="1" x="170"/>
        <item m="1" x="171"/>
        <item m="1" x="175"/>
        <item m="1" x="176"/>
        <item m="1" x="177"/>
        <item m="1" x="100"/>
        <item m="1" x="104"/>
        <item m="1" x="101"/>
        <item m="1" x="75"/>
        <item m="1" x="127"/>
        <item m="1" x="111"/>
        <item m="1" x="76"/>
        <item m="1" x="128"/>
        <item m="1" x="28"/>
        <item m="1" x="77"/>
        <item m="1" x="102"/>
        <item m="1" x="103"/>
        <item m="1" x="43"/>
        <item m="1" x="145"/>
        <item m="1" x="141"/>
        <item m="1" x="138"/>
        <item m="1" x="139"/>
        <item m="1" x="137"/>
        <item m="1" x="136"/>
        <item m="1" x="155"/>
        <item m="1" x="146"/>
        <item m="1" x="147"/>
        <item m="1" x="148"/>
        <item m="1" x="149"/>
        <item m="1" x="160"/>
        <item m="1" x="84"/>
        <item m="1" x="150"/>
        <item m="1" x="156"/>
        <item m="1" x="157"/>
        <item m="1" x="66"/>
        <item m="1" x="161"/>
        <item m="1" x="162"/>
        <item m="1" x="151"/>
        <item m="1" x="152"/>
        <item m="1" x="142"/>
        <item m="1" x="143"/>
        <item m="1" x="144"/>
        <item m="1" x="153"/>
        <item m="1" x="163"/>
        <item m="1" x="140"/>
        <item m="1" x="85"/>
        <item m="1" x="16"/>
        <item m="1" x="172"/>
        <item m="1" x="86"/>
        <item m="1" x="17"/>
        <item m="1" x="173"/>
        <item m="1" x="87"/>
        <item m="1" x="158"/>
        <item m="1" x="159"/>
        <item m="1" x="15"/>
        <item m="1" x="94"/>
        <item m="1" x="95"/>
        <item m="1" x="78"/>
        <item m="1" x="79"/>
        <item m="1" x="44"/>
        <item m="1" x="21"/>
        <item m="1" x="178"/>
        <item m="1" x="179"/>
        <item m="1" x="129"/>
        <item m="1" x="96"/>
        <item m="1" x="69"/>
        <item m="1" x="45"/>
        <item m="1" x="46"/>
        <item m="1" x="47"/>
        <item m="1" x="48"/>
        <item m="1" x="97"/>
        <item m="1" x="70"/>
        <item m="1" x="49"/>
        <item m="1" x="71"/>
        <item m="1" x="72"/>
        <item m="1" x="20"/>
        <item m="1" x="98"/>
        <item m="1" x="99"/>
        <item m="1" x="50"/>
        <item m="1" x="51"/>
        <item m="1" x="22"/>
        <item m="1" x="23"/>
        <item m="1" x="24"/>
        <item m="1" x="52"/>
        <item m="1" x="105"/>
        <item m="1" x="108"/>
        <item m="1" x="25"/>
        <item m="1" x="109"/>
        <item m="1" x="26"/>
        <item m="1" x="53"/>
        <item m="1" x="110"/>
        <item m="1" x="73"/>
        <item m="1" x="74"/>
        <item m="1" x="57"/>
        <item m="1" x="90"/>
        <item m="1" x="134"/>
        <item m="1" x="135"/>
        <item m="1" x="183"/>
        <item m="1" x="35"/>
        <item m="1" x="29"/>
        <item m="1" x="58"/>
        <item m="1" x="59"/>
        <item m="1" x="60"/>
        <item m="1" x="61"/>
        <item m="1" x="180"/>
        <item m="1" x="30"/>
        <item m="1" x="62"/>
        <item m="1" x="31"/>
        <item m="1" x="32"/>
        <item m="1" x="126"/>
        <item m="1" x="181"/>
        <item m="1" x="182"/>
        <item m="1" x="63"/>
        <item m="1" x="64"/>
        <item m="1" x="91"/>
        <item m="1" x="92"/>
        <item m="1" x="93"/>
        <item m="1" x="65"/>
        <item m="1" x="89"/>
        <item m="1" x="80"/>
        <item m="1" x="106"/>
        <item m="1" x="81"/>
        <item m="1" x="107"/>
        <item m="1" x="133"/>
        <item m="1" x="82"/>
        <item m="1" x="33"/>
        <item m="1" x="34"/>
        <item x="1"/>
        <item x="2"/>
        <item x="3"/>
        <item x="4"/>
        <item x="5"/>
        <item x="6"/>
        <item x="7"/>
        <item x="8"/>
        <item x="9"/>
        <item m="1" x="119"/>
        <item m="1" x="120"/>
        <item m="1" x="121"/>
        <item m="1" x="122"/>
        <item m="1" x="116"/>
        <item m="1" x="36"/>
        <item m="1" x="123"/>
        <item m="1" x="37"/>
        <item m="1" x="38"/>
        <item m="1" x="154"/>
        <item m="1" x="117"/>
        <item m="1" x="118"/>
        <item m="1" x="124"/>
        <item m="1" x="125"/>
        <item m="1" x="41"/>
        <item m="1" x="42"/>
        <item x="10"/>
        <item x="11"/>
        <item m="1" x="112"/>
        <item m="1" x="54"/>
        <item m="1" x="67"/>
        <item m="1" x="55"/>
        <item m="1" x="68"/>
        <item m="1" x="19"/>
        <item m="1" x="56"/>
        <item m="1" x="39"/>
        <item m="1" x="40"/>
        <item t="default"/>
      </items>
    </pivotField>
    <pivotField axis="axisRow" showAll="0">
      <items count="241">
        <item m="1" x="44"/>
        <item m="1" x="205"/>
        <item m="1" x="201"/>
        <item m="1" x="228"/>
        <item m="1" x="168"/>
        <item m="1" x="108"/>
        <item m="1" x="107"/>
        <item m="1" x="137"/>
        <item m="1" x="118"/>
        <item m="1" x="206"/>
        <item m="1" x="207"/>
        <item m="1" x="52"/>
        <item m="1" x="179"/>
        <item m="1" x="150"/>
        <item m="1" x="157"/>
        <item m="1" x="234"/>
        <item m="1" x="235"/>
        <item m="1" x="57"/>
        <item m="1" x="215"/>
        <item m="1" x="223"/>
        <item m="1" x="194"/>
        <item m="1" x="232"/>
        <item m="1" x="138"/>
        <item m="1" x="148"/>
        <item m="1" x="130"/>
        <item m="1" x="173"/>
        <item m="1" x="119"/>
        <item m="1" x="237"/>
        <item m="1" x="99"/>
        <item m="1" x="73"/>
        <item m="1" x="135"/>
        <item m="1" x="131"/>
        <item m="1" x="238"/>
        <item m="1" x="122"/>
        <item m="1" x="226"/>
        <item m="1" x="212"/>
        <item m="1" x="203"/>
        <item m="1" x="193"/>
        <item m="1" x="178"/>
        <item m="1" x="58"/>
        <item m="1" x="59"/>
        <item x="0"/>
        <item m="1" x="126"/>
        <item m="1" x="156"/>
        <item m="1" x="112"/>
        <item m="1" x="78"/>
        <item m="1" x="133"/>
        <item m="1" x="146"/>
        <item m="1" x="64"/>
        <item m="1" x="151"/>
        <item m="1" x="127"/>
        <item m="1" x="128"/>
        <item m="1" x="189"/>
        <item m="1" x="140"/>
        <item m="1" x="50"/>
        <item m="1" x="171"/>
        <item m="1" x="210"/>
        <item m="1" x="211"/>
        <item m="1" x="61"/>
        <item m="1" x="90"/>
        <item m="1" x="105"/>
        <item m="1" x="62"/>
        <item m="1" x="103"/>
        <item m="1" x="65"/>
        <item m="1" x="213"/>
        <item m="1" x="197"/>
        <item m="1" x="152"/>
        <item m="1" x="195"/>
        <item m="1" x="125"/>
        <item m="1" x="124"/>
        <item m="1" x="129"/>
        <item m="1" x="147"/>
        <item m="1" x="174"/>
        <item m="1" x="66"/>
        <item m="1" x="214"/>
        <item m="1" x="87"/>
        <item m="1" x="136"/>
        <item m="1" x="63"/>
        <item m="1" x="81"/>
        <item m="1" x="220"/>
        <item m="1" x="221"/>
        <item m="1" x="74"/>
        <item m="1" x="202"/>
        <item m="1" x="46"/>
        <item m="1" x="72"/>
        <item m="1" x="49"/>
        <item m="1" x="216"/>
        <item m="1" x="161"/>
        <item m="1" x="47"/>
        <item m="1" x="75"/>
        <item m="1" x="76"/>
        <item m="1" x="111"/>
        <item m="1" x="153"/>
        <item m="1" x="121"/>
        <item m="1" x="67"/>
        <item m="1" x="116"/>
        <item m="1" x="117"/>
        <item m="1" x="204"/>
        <item m="1" x="80"/>
        <item m="1" x="217"/>
        <item m="1" x="199"/>
        <item m="1" x="45"/>
        <item m="1" x="162"/>
        <item m="1" x="187"/>
        <item m="1" x="190"/>
        <item m="1" x="53"/>
        <item m="1" x="222"/>
        <item m="1" x="100"/>
        <item m="1" x="98"/>
        <item m="1" x="91"/>
        <item m="1" x="77"/>
        <item m="1" x="227"/>
        <item m="1" x="175"/>
        <item m="1" x="142"/>
        <item m="1" x="172"/>
        <item m="1" x="85"/>
        <item m="1" x="184"/>
        <item m="1" x="149"/>
        <item m="1" x="154"/>
        <item m="1" x="155"/>
        <item m="1" x="180"/>
        <item m="1" x="115"/>
        <item m="1" x="68"/>
        <item m="1" x="71"/>
        <item m="1" x="166"/>
        <item m="1" x="139"/>
        <item m="1" x="55"/>
        <item m="1" x="230"/>
        <item m="1" x="181"/>
        <item m="1" x="182"/>
        <item m="1" x="198"/>
        <item m="1" x="191"/>
        <item m="1" x="200"/>
        <item m="1" x="236"/>
        <item m="1" x="185"/>
        <item m="1" x="186"/>
        <item m="1" x="109"/>
        <item m="1" x="144"/>
        <item m="1" x="106"/>
        <item m="1" x="102"/>
        <item m="1" x="101"/>
        <item m="1" x="56"/>
        <item m="1" x="177"/>
        <item m="1" x="159"/>
        <item m="1" x="231"/>
        <item m="1" x="218"/>
        <item m="1" x="123"/>
        <item m="1" x="188"/>
        <item m="1" x="169"/>
        <item m="1" x="120"/>
        <item m="1" x="229"/>
        <item m="1" x="86"/>
        <item m="1" x="225"/>
        <item m="1" x="84"/>
        <item m="1" x="160"/>
        <item m="1" x="94"/>
        <item m="1" x="54"/>
        <item m="1" x="96"/>
        <item m="1" x="97"/>
        <item m="1" x="88"/>
        <item x="2"/>
        <item x="3"/>
        <item m="1" x="95"/>
        <item x="1"/>
        <item m="1" x="51"/>
        <item m="1" x="233"/>
        <item m="1" x="143"/>
        <item m="1" x="192"/>
        <item m="1" x="176"/>
        <item x="4"/>
        <item x="5"/>
        <item x="6"/>
        <item x="7"/>
        <item x="8"/>
        <item x="9"/>
        <item x="10"/>
        <item x="11"/>
        <item m="1" x="60"/>
        <item m="1" x="163"/>
        <item m="1" x="164"/>
        <item m="1" x="89"/>
        <item m="1" x="104"/>
        <item m="1" x="48"/>
        <item m="1" x="158"/>
        <item m="1" x="92"/>
        <item m="1" x="93"/>
        <item m="1" x="114"/>
        <item m="1" x="167"/>
        <item m="1" x="239"/>
        <item m="1" x="113"/>
        <item m="1" x="145"/>
        <item m="1" x="224"/>
        <item m="1" x="110"/>
        <item x="31"/>
        <item x="32"/>
        <item m="1" x="183"/>
        <item m="1" x="134"/>
        <item m="1" x="132"/>
        <item m="1" x="170"/>
        <item m="1" x="79"/>
        <item m="1" x="209"/>
        <item m="1" x="208"/>
        <item m="1" x="219"/>
        <item x="42"/>
        <item m="1" x="83"/>
        <item m="1" x="196"/>
        <item m="1" x="141"/>
        <item m="1" x="69"/>
        <item m="1" x="70"/>
        <item x="12"/>
        <item x="13"/>
        <item x="14"/>
        <item x="15"/>
        <item x="16"/>
        <item x="17"/>
        <item x="18"/>
        <item x="19"/>
        <item x="20"/>
        <item x="21"/>
        <item x="22"/>
        <item x="23"/>
        <item x="24"/>
        <item x="25"/>
        <item x="26"/>
        <item x="27"/>
        <item x="28"/>
        <item x="29"/>
        <item m="1" x="165"/>
        <item x="33"/>
        <item x="34"/>
        <item x="35"/>
        <item x="36"/>
        <item m="1" x="82"/>
        <item x="38"/>
        <item x="39"/>
        <item x="40"/>
        <item x="41"/>
        <item x="30"/>
        <item x="37"/>
        <item x="43"/>
        <item t="default"/>
      </items>
    </pivotField>
    <pivotField axis="axisRow" showAll="0">
      <items count="3">
        <item m="1" x="1"/>
        <item x="0"/>
        <item t="default"/>
      </items>
    </pivotField>
    <pivotField axis="axisRow" showAll="0">
      <items count="33">
        <item m="1" x="4"/>
        <item m="1" x="20"/>
        <item m="1" x="18"/>
        <item m="1" x="5"/>
        <item m="1" x="8"/>
        <item m="1" x="6"/>
        <item m="1" x="25"/>
        <item m="1" x="17"/>
        <item m="1" x="31"/>
        <item x="0"/>
        <item m="1" x="19"/>
        <item m="1" x="7"/>
        <item m="1" x="26"/>
        <item m="1" x="9"/>
        <item m="1" x="15"/>
        <item m="1" x="10"/>
        <item m="1" x="16"/>
        <item m="1" x="11"/>
        <item m="1" x="13"/>
        <item m="1" x="14"/>
        <item m="1" x="22"/>
        <item m="1" x="12"/>
        <item m="1" x="21"/>
        <item m="1" x="27"/>
        <item m="1" x="29"/>
        <item m="1" x="23"/>
        <item m="1" x="28"/>
        <item m="1" x="30"/>
        <item m="1" x="24"/>
        <item x="1"/>
        <item x="2"/>
        <item x="3"/>
        <item t="default"/>
      </items>
    </pivotField>
    <pivotField axis="axisRow" showAll="0">
      <items count="10">
        <item m="1" x="1"/>
        <item m="1" x="8"/>
        <item m="1" x="3"/>
        <item m="1" x="2"/>
        <item x="0"/>
        <item m="1" x="5"/>
        <item m="1" x="4"/>
        <item m="1" x="6"/>
        <item m="1" x="7"/>
        <item t="default"/>
      </items>
    </pivotField>
    <pivotField axis="axisRow" showAll="0">
      <items count="610">
        <item m="1" x="34"/>
        <item m="1" x="607"/>
        <item m="1" x="49"/>
        <item m="1" x="569"/>
        <item m="1" x="389"/>
        <item m="1" x="205"/>
        <item m="1" x="439"/>
        <item m="1" x="319"/>
        <item m="1" x="438"/>
        <item m="1" x="564"/>
        <item m="1" x="508"/>
        <item m="1" x="383"/>
        <item m="1" x="126"/>
        <item m="1" x="35"/>
        <item m="1" x="36"/>
        <item m="1" x="288"/>
        <item m="1" x="340"/>
        <item m="1" x="471"/>
        <item m="1" x="283"/>
        <item m="1" x="258"/>
        <item m="1" x="358"/>
        <item m="1" x="578"/>
        <item m="1" x="321"/>
        <item m="1" x="394"/>
        <item m="1" x="490"/>
        <item m="1" x="345"/>
        <item m="1" x="487"/>
        <item m="1" x="499"/>
        <item m="1" x="572"/>
        <item m="1" x="485"/>
        <item m="1" x="350"/>
        <item m="1" x="145"/>
        <item m="1" x="497"/>
        <item m="1" x="274"/>
        <item m="1" x="220"/>
        <item m="1" x="269"/>
        <item m="1" x="403"/>
        <item m="1" x="459"/>
        <item m="1" x="491"/>
        <item m="1" x="120"/>
        <item m="1" x="119"/>
        <item m="1" x="580"/>
        <item m="1" x="393"/>
        <item m="1" x="467"/>
        <item m="1" x="239"/>
        <item m="1" x="434"/>
        <item m="1" x="466"/>
        <item m="1" x="511"/>
        <item m="1" x="77"/>
        <item m="1" x="346"/>
        <item m="1" x="209"/>
        <item m="1" x="384"/>
        <item m="1" x="406"/>
        <item m="1" x="432"/>
        <item m="1" x="474"/>
        <item m="1" x="241"/>
        <item m="1" x="423"/>
        <item m="1" x="135"/>
        <item m="1" x="351"/>
        <item m="1" x="359"/>
        <item m="1" x="204"/>
        <item m="1" x="550"/>
        <item m="1" x="259"/>
        <item m="1" x="509"/>
        <item m="1" x="180"/>
        <item m="1" x="571"/>
        <item m="1" x="156"/>
        <item m="1" x="475"/>
        <item m="1" x="379"/>
        <item m="1" x="244"/>
        <item m="1" x="570"/>
        <item m="1" x="122"/>
        <item m="1" x="419"/>
        <item m="1" x="192"/>
        <item m="1" x="562"/>
        <item m="1" x="451"/>
        <item m="1" x="316"/>
        <item m="1" x="343"/>
        <item m="1" x="95"/>
        <item m="1" x="149"/>
        <item m="1" x="297"/>
        <item m="1" x="428"/>
        <item m="1" x="54"/>
        <item m="1" x="163"/>
        <item m="1" x="482"/>
        <item m="1" x="131"/>
        <item m="1" x="598"/>
        <item m="1" x="103"/>
        <item m="1" x="58"/>
        <item m="1" x="452"/>
        <item m="1" x="158"/>
        <item m="1" x="444"/>
        <item m="1" x="563"/>
        <item m="1" x="59"/>
        <item m="1" x="74"/>
        <item m="1" x="492"/>
        <item x="0"/>
        <item m="1" x="38"/>
        <item m="1" x="261"/>
        <item m="1" x="464"/>
        <item m="1" x="189"/>
        <item m="1" x="46"/>
        <item m="1" x="171"/>
        <item m="1" x="337"/>
        <item m="1" x="186"/>
        <item m="1" x="112"/>
        <item m="1" x="109"/>
        <item m="1" x="110"/>
        <item m="1" x="270"/>
        <item m="1" x="62"/>
        <item m="1" x="540"/>
        <item m="1" x="167"/>
        <item m="1" x="73"/>
        <item m="1" x="489"/>
        <item m="1" x="208"/>
        <item m="1" x="527"/>
        <item m="1" x="505"/>
        <item m="1" x="178"/>
        <item m="1" x="504"/>
        <item m="1" x="525"/>
        <item m="1" x="585"/>
        <item m="1" x="197"/>
        <item m="1" x="228"/>
        <item m="1" x="63"/>
        <item m="1" x="335"/>
        <item m="1" x="111"/>
        <item m="1" x="532"/>
        <item m="1" x="52"/>
        <item m="1" x="61"/>
        <item m="1" x="582"/>
        <item m="1" x="53"/>
        <item m="1" x="47"/>
        <item m="1" x="542"/>
        <item m="1" x="331"/>
        <item m="1" x="388"/>
        <item m="1" x="352"/>
        <item m="1" x="460"/>
        <item m="1" x="48"/>
        <item m="1" x="362"/>
        <item m="1" x="182"/>
        <item m="1" x="589"/>
        <item m="1" x="344"/>
        <item m="1" x="234"/>
        <item m="1" x="57"/>
        <item m="1" x="250"/>
        <item m="1" x="544"/>
        <item m="1" x="223"/>
        <item m="1" x="245"/>
        <item m="1" x="153"/>
        <item m="1" x="90"/>
        <item m="1" x="224"/>
        <item m="1" x="326"/>
        <item m="1" x="96"/>
        <item m="1" x="445"/>
        <item m="1" x="378"/>
        <item m="1" x="39"/>
        <item m="1" x="588"/>
        <item m="1" x="520"/>
        <item m="1" x="118"/>
        <item m="1" x="247"/>
        <item m="1" x="265"/>
        <item m="1" x="587"/>
        <item m="1" x="164"/>
        <item m="1" x="177"/>
        <item m="1" x="590"/>
        <item m="1" x="93"/>
        <item m="1" x="536"/>
        <item m="1" x="218"/>
        <item m="1" x="447"/>
        <item m="1" x="42"/>
        <item m="1" x="515"/>
        <item m="1" x="516"/>
        <item m="1" x="67"/>
        <item m="1" x="534"/>
        <item m="1" x="99"/>
        <item m="1" x="188"/>
        <item m="1" x="418"/>
        <item m="1" x="290"/>
        <item m="1" x="161"/>
        <item m="1" x="478"/>
        <item m="1" x="547"/>
        <item m="1" x="368"/>
        <item m="1" x="512"/>
        <item m="1" x="246"/>
        <item m="1" x="165"/>
        <item m="1" x="551"/>
        <item m="1" x="426"/>
        <item m="1" x="262"/>
        <item m="1" x="483"/>
        <item m="1" x="558"/>
        <item m="1" x="341"/>
        <item m="1" x="420"/>
        <item m="1" x="367"/>
        <item m="1" x="132"/>
        <item m="1" x="513"/>
        <item m="1" x="157"/>
        <item m="1" x="602"/>
        <item m="1" x="409"/>
        <item m="1" x="575"/>
        <item m="1" x="355"/>
        <item m="1" x="81"/>
        <item m="1" x="194"/>
        <item m="1" x="154"/>
        <item m="1" x="104"/>
        <item m="1" x="191"/>
        <item m="1" x="237"/>
        <item m="1" x="293"/>
        <item m="1" x="425"/>
        <item m="1" x="166"/>
        <item m="1" x="470"/>
        <item m="1" x="477"/>
        <item m="1" x="456"/>
        <item m="1" x="147"/>
        <item m="1" x="429"/>
        <item m="1" x="422"/>
        <item m="1" x="577"/>
        <item m="1" x="307"/>
        <item m="1" x="365"/>
        <item m="1" x="56"/>
        <item m="1" x="229"/>
        <item m="1" x="64"/>
        <item m="1" x="107"/>
        <item m="1" x="592"/>
        <item m="1" x="116"/>
        <item m="1" x="123"/>
        <item m="1" x="238"/>
        <item m="1" x="308"/>
        <item m="1" x="155"/>
        <item m="1" x="354"/>
        <item m="1" x="503"/>
        <item m="1" x="473"/>
        <item m="1" x="401"/>
        <item m="1" x="309"/>
        <item m="1" x="193"/>
        <item m="1" x="97"/>
        <item m="1" x="98"/>
        <item m="1" x="370"/>
        <item m="1" x="298"/>
        <item m="1" x="498"/>
        <item m="1" x="583"/>
        <item m="1" x="581"/>
        <item m="1" x="541"/>
        <item m="1" x="522"/>
        <item m="1" x="455"/>
        <item m="1" x="494"/>
        <item m="1" x="561"/>
        <item m="1" x="472"/>
        <item m="1" x="517"/>
        <item m="1" x="51"/>
        <item m="1" x="190"/>
        <item m="1" x="560"/>
        <item m="1" x="174"/>
        <item m="1" x="150"/>
        <item m="1" x="295"/>
        <item m="1" x="86"/>
        <item m="1" x="381"/>
        <item m="1" x="117"/>
        <item m="1" x="221"/>
        <item m="1" x="440"/>
        <item m="1" x="526"/>
        <item m="1" x="286"/>
        <item m="1" x="533"/>
        <item m="1" x="437"/>
        <item m="1" x="140"/>
        <item m="1" x="608"/>
        <item m="1" x="92"/>
        <item m="1" x="146"/>
        <item m="1" x="311"/>
        <item m="1" x="313"/>
        <item m="1" x="574"/>
        <item m="1" x="357"/>
        <item m="1" x="573"/>
        <item m="1" x="272"/>
        <item m="1" x="253"/>
        <item m="1" x="232"/>
        <item m="1" x="124"/>
        <item m="1" x="431"/>
        <item m="1" x="415"/>
        <item m="1" x="448"/>
        <item m="1" x="369"/>
        <item m="1" x="80"/>
        <item m="1" x="484"/>
        <item m="1" x="143"/>
        <item m="1" x="312"/>
        <item m="1" x="529"/>
        <item m="1" x="172"/>
        <item m="1" x="427"/>
        <item m="1" x="521"/>
        <item m="1" x="523"/>
        <item m="1" x="105"/>
        <item m="1" x="71"/>
        <item m="1" x="430"/>
        <item m="1" x="301"/>
        <item m="1" x="397"/>
        <item m="1" x="230"/>
        <item m="1" x="334"/>
        <item m="1" x="281"/>
        <item m="1" x="476"/>
        <item m="1" x="291"/>
        <item m="1" x="292"/>
        <item m="1" x="243"/>
        <item m="1" x="294"/>
        <item m="1" x="407"/>
        <item m="1" x="411"/>
        <item m="1" x="148"/>
        <item m="1" x="248"/>
        <item m="1" x="392"/>
        <item m="1" x="375"/>
        <item m="1" x="282"/>
        <item m="1" x="267"/>
        <item m="1" x="280"/>
        <item m="1" x="373"/>
        <item m="1" x="417"/>
        <item m="1" x="320"/>
        <item m="1" x="449"/>
        <item m="1" x="315"/>
        <item m="1" x="545"/>
        <item m="1" x="284"/>
        <item m="1" x="601"/>
        <item m="1" x="594"/>
        <item m="1" x="443"/>
        <item m="1" x="257"/>
        <item m="1" x="342"/>
        <item m="1" x="332"/>
        <item m="1" x="546"/>
        <item m="1" x="457"/>
        <item m="1" x="518"/>
        <item m="1" x="176"/>
        <item m="1" x="68"/>
        <item m="1" x="463"/>
        <item m="1" x="506"/>
        <item m="1" x="514"/>
        <item m="1" x="468"/>
        <item m="1" x="199"/>
        <item m="1" x="400"/>
        <item m="1" x="353"/>
        <item m="1" x="374"/>
        <item m="1" x="289"/>
        <item m="1" x="328"/>
        <item m="1" x="339"/>
        <item m="1" x="89"/>
        <item m="1" x="543"/>
        <item m="1" x="519"/>
        <item m="1" x="454"/>
        <item m="1" x="502"/>
        <item m="1" x="43"/>
        <item m="1" x="162"/>
        <item m="1" x="130"/>
        <item m="1" x="500"/>
        <item m="1" x="273"/>
        <item m="1" x="82"/>
        <item m="1" x="300"/>
        <item m="1" x="387"/>
        <item m="1" x="324"/>
        <item m="1" x="44"/>
        <item m="1" x="501"/>
        <item m="1" x="548"/>
        <item m="1" x="219"/>
        <item m="1" x="408"/>
        <item m="1" x="217"/>
        <item m="1" x="215"/>
        <item m="1" x="555"/>
        <item m="1" x="495"/>
        <item m="1" x="496"/>
        <item m="1" x="433"/>
        <item m="1" x="531"/>
        <item m="1" x="376"/>
        <item m="1" x="461"/>
        <item m="1" x="144"/>
        <item m="1" x="329"/>
        <item m="1" x="285"/>
        <item m="1" x="129"/>
        <item m="1" x="557"/>
        <item m="1" x="576"/>
        <item m="1" x="568"/>
        <item m="1" x="137"/>
        <item m="1" x="113"/>
        <item m="1" x="201"/>
        <item m="1" x="216"/>
        <item m="1" x="214"/>
        <item m="1" x="187"/>
        <item m="1" x="88"/>
        <item m="1" x="479"/>
        <item m="1" x="55"/>
        <item m="1" x="235"/>
        <item m="1" x="412"/>
        <item m="1" x="453"/>
        <item m="1" x="559"/>
        <item m="1" x="465"/>
        <item m="1" x="410"/>
        <item m="1" x="173"/>
        <item m="1" x="424"/>
        <item m="1" x="591"/>
        <item m="1" x="371"/>
        <item m="1" x="114"/>
        <item m="1" x="405"/>
        <item m="1" x="226"/>
        <item m="1" x="133"/>
        <item m="1" x="325"/>
        <item m="1" x="142"/>
        <item m="1" x="87"/>
        <item m="1" x="524"/>
        <item m="1" x="364"/>
        <item m="1" x="242"/>
        <item m="1" x="102"/>
        <item m="1" x="41"/>
        <item m="1" x="106"/>
        <item m="1" x="108"/>
        <item m="1" x="275"/>
        <item m="1" x="549"/>
        <item m="1" x="435"/>
        <item m="1" x="249"/>
        <item m="1" x="227"/>
        <item m="1" x="579"/>
        <item m="1" x="604"/>
        <item m="1" x="336"/>
        <item m="1" x="347"/>
        <item m="1" x="203"/>
        <item m="1" x="128"/>
        <item m="1" x="287"/>
        <item m="1" x="37"/>
        <item m="1" x="416"/>
        <item m="1" x="141"/>
        <item m="1" x="391"/>
        <item m="1" x="66"/>
        <item m="1" x="318"/>
        <item m="1" x="304"/>
        <item m="1" x="305"/>
        <item m="1" x="382"/>
        <item m="1" x="372"/>
        <item m="1" x="207"/>
        <item m="1" x="279"/>
        <item m="1" x="251"/>
        <item m="1" x="462"/>
        <item m="1" x="556"/>
        <item m="1" x="566"/>
        <item m="1" x="183"/>
        <item m="1" x="125"/>
        <item m="1" x="152"/>
        <item m="1" x="530"/>
        <item m="1" x="552"/>
        <item m="1" x="83"/>
        <item m="1" x="200"/>
        <item m="1" x="553"/>
        <item m="1" x="175"/>
        <item m="1" x="233"/>
        <item m="1" x="231"/>
        <item m="1" x="493"/>
        <item m="1" x="263"/>
        <item m="1" x="399"/>
        <item m="1" x="264"/>
        <item m="1" x="101"/>
        <item m="1" x="198"/>
        <item m="1" x="306"/>
        <item m="1" x="210"/>
        <item m="1" x="211"/>
        <item m="1" x="255"/>
        <item m="1" x="299"/>
        <item m="1" x="79"/>
        <item m="1" x="338"/>
        <item m="1" x="254"/>
        <item m="1" x="565"/>
        <item m="1" x="278"/>
        <item m="1" x="600"/>
        <item m="1" x="168"/>
        <item m="1" x="213"/>
        <item m="1" x="196"/>
        <item m="1" x="390"/>
        <item m="1" x="69"/>
        <item m="1" x="202"/>
        <item m="1" x="537"/>
        <item m="1" x="268"/>
        <item m="1" x="348"/>
        <item m="1" x="535"/>
        <item m="1" x="212"/>
        <item m="1" x="413"/>
        <item m="1" x="303"/>
        <item m="1" x="134"/>
        <item m="1" x="380"/>
        <item m="1" x="330"/>
        <item m="1" x="322"/>
        <item m="1" x="169"/>
        <item m="1" x="323"/>
        <item m="1" x="170"/>
        <item m="1" x="599"/>
        <item m="1" x="75"/>
        <item m="1" x="225"/>
        <item m="1" x="40"/>
        <item m="1" x="469"/>
        <item m="1" x="84"/>
        <item m="1" x="395"/>
        <item m="1" x="85"/>
        <item m="1" x="386"/>
        <item m="1" x="179"/>
        <item m="1" x="554"/>
        <item m="1" x="252"/>
        <item m="1" x="302"/>
        <item m="1" x="260"/>
        <item m="1" x="507"/>
        <item m="1" x="115"/>
        <item m="1" x="349"/>
        <item m="1" x="138"/>
        <item m="1" x="139"/>
        <item m="1" x="76"/>
        <item m="1" x="151"/>
        <item m="1" x="60"/>
        <item m="1" x="333"/>
        <item m="1" x="539"/>
        <item m="1" x="595"/>
        <item m="1" x="310"/>
        <item m="1" x="458"/>
        <item m="1" x="121"/>
        <item m="1" x="240"/>
        <item m="1" x="396"/>
        <item m="1" x="605"/>
        <item m="1" x="236"/>
        <item m="1" x="377"/>
        <item m="1" x="606"/>
        <item m="1" x="317"/>
        <item m="1" x="256"/>
        <item m="1" x="181"/>
        <item m="1" x="486"/>
        <item m="1" x="436"/>
        <item m="1" x="356"/>
        <item m="1" x="159"/>
        <item m="1" x="398"/>
        <item m="1" x="271"/>
        <item m="1" x="91"/>
        <item m="1" x="567"/>
        <item m="1" x="528"/>
        <item m="1" x="481"/>
        <item m="1" x="450"/>
        <item m="1" x="593"/>
        <item m="1" x="266"/>
        <item m="1" x="597"/>
        <item m="1" x="446"/>
        <item m="1" x="596"/>
        <item m="1" x="160"/>
        <item m="1" x="327"/>
        <item m="1" x="195"/>
        <item m="1" x="385"/>
        <item m="1" x="78"/>
        <item m="1" x="65"/>
        <item m="1" x="538"/>
        <item m="1" x="206"/>
        <item m="1" x="488"/>
        <item m="1" x="421"/>
        <item m="1" x="276"/>
        <item m="1" x="404"/>
        <item m="1" x="45"/>
        <item m="1" x="127"/>
        <item m="1" x="414"/>
        <item m="1" x="314"/>
        <item m="1" x="222"/>
        <item m="1" x="70"/>
        <item m="1" x="363"/>
        <item m="1" x="184"/>
        <item m="1" x="185"/>
        <item m="1" x="94"/>
        <item m="1" x="50"/>
        <item m="1" x="366"/>
        <item m="1" x="584"/>
        <item m="1" x="603"/>
        <item m="1" x="441"/>
        <item m="1" x="402"/>
        <item m="1" x="277"/>
        <item m="1" x="361"/>
        <item m="1" x="100"/>
        <item m="1" x="480"/>
        <item m="1" x="442"/>
        <item m="1" x="360"/>
        <item m="1" x="510"/>
        <item m="1" x="72"/>
        <item m="1" x="296"/>
        <item m="1" x="136"/>
        <item m="1" x="586"/>
        <item x="1"/>
        <item x="2"/>
        <item x="3"/>
        <item x="4"/>
        <item x="5"/>
        <item x="6"/>
        <item x="7"/>
        <item x="8"/>
        <item x="9"/>
        <item x="10"/>
        <item x="11"/>
        <item x="12"/>
        <item x="13"/>
        <item x="14"/>
        <item x="15"/>
        <item x="16"/>
        <item x="17"/>
        <item x="18"/>
        <item x="19"/>
        <item x="20"/>
        <item x="21"/>
        <item x="22"/>
        <item x="23"/>
        <item x="25"/>
        <item x="26"/>
        <item x="27"/>
        <item x="28"/>
        <item x="29"/>
        <item x="30"/>
        <item x="31"/>
        <item x="32"/>
        <item x="33"/>
        <item x="24"/>
        <item t="default"/>
      </items>
    </pivotField>
    <pivotField axis="axisRow" showAll="0">
      <items count="42">
        <item m="1" x="5"/>
        <item m="1" x="36"/>
        <item m="1" x="7"/>
        <item m="1" x="38"/>
        <item m="1" x="15"/>
        <item m="1" x="31"/>
        <item m="1" x="18"/>
        <item x="0"/>
        <item m="1" x="10"/>
        <item m="1" x="32"/>
        <item m="1" x="11"/>
        <item m="1" x="39"/>
        <item m="1" x="23"/>
        <item m="1" x="27"/>
        <item m="1" x="14"/>
        <item m="1" x="22"/>
        <item m="1" x="25"/>
        <item m="1" x="29"/>
        <item m="1" x="21"/>
        <item m="1" x="16"/>
        <item m="1" x="34"/>
        <item m="1" x="19"/>
        <item m="1" x="26"/>
        <item m="1" x="37"/>
        <item m="1" x="24"/>
        <item m="1" x="40"/>
        <item m="1" x="30"/>
        <item m="1" x="8"/>
        <item m="1" x="9"/>
        <item m="1" x="17"/>
        <item m="1" x="35"/>
        <item m="1" x="20"/>
        <item m="1" x="13"/>
        <item m="1" x="6"/>
        <item m="1" x="28"/>
        <item m="1" x="33"/>
        <item m="1" x="12"/>
        <item x="1"/>
        <item x="2"/>
        <item x="3"/>
        <item x="4"/>
        <item t="default"/>
      </items>
    </pivotField>
    <pivotField axis="axisRow" showAll="0">
      <items count="3">
        <item m="1" x="1"/>
        <item x="0"/>
        <item t="default"/>
      </items>
    </pivotField>
    <pivotField axis="axisRow" showAll="0">
      <items count="18">
        <item m="1" x="6"/>
        <item m="1" x="12"/>
        <item m="1" x="13"/>
        <item m="1" x="14"/>
        <item m="1" x="15"/>
        <item m="1" x="16"/>
        <item x="0"/>
        <item m="1" x="7"/>
        <item m="1" x="8"/>
        <item m="1" x="9"/>
        <item m="1" x="10"/>
        <item m="1" x="11"/>
        <item x="1"/>
        <item x="2"/>
        <item x="3"/>
        <item x="4"/>
        <item x="5"/>
        <item t="default"/>
      </items>
    </pivotField>
    <pivotField axis="axisRow" showAll="0">
      <items count="3">
        <item m="1" x="1"/>
        <item x="0"/>
        <item t="default"/>
      </items>
    </pivotField>
    <pivotField axis="axisRow" showAll="0">
      <items count="5">
        <item m="1" x="3"/>
        <item x="0"/>
        <item x="1"/>
        <item x="2"/>
        <item t="default"/>
      </items>
    </pivotField>
    <pivotField axis="axisRow" showAll="0">
      <items count="23">
        <item m="1" x="6"/>
        <item m="1" x="11"/>
        <item m="1" x="14"/>
        <item m="1" x="20"/>
        <item m="1" x="17"/>
        <item m="1" x="15"/>
        <item x="0"/>
        <item m="1" x="18"/>
        <item m="1" x="9"/>
        <item m="1" x="13"/>
        <item m="1" x="19"/>
        <item m="1" x="10"/>
        <item m="1" x="16"/>
        <item m="1" x="7"/>
        <item m="1" x="21"/>
        <item m="1" x="12"/>
        <item m="1" x="8"/>
        <item x="1"/>
        <item x="2"/>
        <item x="3"/>
        <item x="4"/>
        <item x="5"/>
        <item t="default"/>
      </items>
    </pivotField>
    <pivotField axis="axisRow" showAll="0">
      <items count="11">
        <item m="1" x="1"/>
        <item m="1" x="4"/>
        <item m="1" x="3"/>
        <item x="0"/>
        <item m="1" x="7"/>
        <item m="1" x="9"/>
        <item m="1" x="6"/>
        <item m="1" x="5"/>
        <item m="1" x="8"/>
        <item m="1" x="2"/>
        <item t="default"/>
      </items>
    </pivotField>
    <pivotField axis="axisRow" showAll="0">
      <items count="3">
        <item m="1" x="1"/>
        <item x="0"/>
        <item t="default"/>
      </items>
    </pivotField>
    <pivotField axis="axisRow" showAll="0">
      <items count="3">
        <item m="1" x="1"/>
        <item x="0"/>
        <item t="default"/>
      </items>
    </pivotField>
    <pivotField axis="axisRow" showAll="0">
      <items count="23">
        <item m="1" x="6"/>
        <item m="1" x="13"/>
        <item m="1" x="8"/>
        <item m="1" x="11"/>
        <item m="1" x="18"/>
        <item m="1" x="20"/>
        <item x="0"/>
        <item m="1" x="9"/>
        <item m="1" x="21"/>
        <item m="1" x="17"/>
        <item m="1" x="15"/>
        <item m="1" x="7"/>
        <item m="1" x="10"/>
        <item m="1" x="12"/>
        <item m="1" x="19"/>
        <item m="1" x="16"/>
        <item m="1" x="14"/>
        <item x="1"/>
        <item x="2"/>
        <item x="3"/>
        <item x="4"/>
        <item x="5"/>
        <item t="default"/>
      </items>
    </pivotField>
    <pivotField axis="axisRow" showAll="0">
      <items count="3">
        <item m="1" x="1"/>
        <item x="0"/>
        <item t="default"/>
      </items>
    </pivotField>
    <pivotField axis="axisRow" showAll="0">
      <items count="3">
        <item m="1" x="1"/>
        <item x="0"/>
        <item t="default"/>
      </items>
    </pivotField>
    <pivotField axis="axisRow" showAll="0">
      <items count="3">
        <item m="1" x="1"/>
        <item x="0"/>
        <item t="default"/>
      </items>
    </pivotField>
    <pivotField axis="axisRow" showAll="0">
      <items count="3">
        <item m="1" x="1"/>
        <item x="0"/>
        <item t="default"/>
      </items>
    </pivotField>
    <pivotField axis="axisRow" showAll="0">
      <items count="3">
        <item m="1" x="1"/>
        <item x="0"/>
        <item t="default"/>
      </items>
    </pivotField>
    <pivotField axis="axisRow" showAll="0">
      <items count="3">
        <item m="1" x="1"/>
        <item x="0"/>
        <item t="default"/>
      </items>
    </pivotField>
    <pivotField axis="axisRow" showAll="0">
      <items count="3">
        <item m="1" x="1"/>
        <item x="0"/>
        <item t="default"/>
      </items>
    </pivotField>
    <pivotField axis="axisRow" showAll="0">
      <items count="3">
        <item m="1" x="1"/>
        <item x="0"/>
        <item t="default"/>
      </items>
    </pivotField>
    <pivotField axis="axisRow" showAll="0">
      <items count="3">
        <item m="1" x="1"/>
        <item x="0"/>
        <item t="default"/>
      </items>
    </pivotField>
    <pivotField axis="axisRow" showAll="0">
      <items count="3">
        <item m="1" x="1"/>
        <item x="0"/>
        <item t="default"/>
      </items>
    </pivotField>
    <pivotField axis="axisRow" showAll="0">
      <items count="28">
        <item m="1" x="8"/>
        <item m="1" x="14"/>
        <item m="1" x="20"/>
        <item m="1" x="23"/>
        <item m="1" x="15"/>
        <item m="1" x="25"/>
        <item m="1" x="16"/>
        <item x="0"/>
        <item m="1" x="18"/>
        <item m="1" x="21"/>
        <item m="1" x="26"/>
        <item m="1" x="22"/>
        <item m="1" x="9"/>
        <item m="1" x="24"/>
        <item m="1" x="19"/>
        <item m="1" x="13"/>
        <item m="1" x="17"/>
        <item m="1" x="10"/>
        <item x="3"/>
        <item x="4"/>
        <item x="5"/>
        <item x="6"/>
        <item x="7"/>
        <item m="1" x="11"/>
        <item m="1" x="12"/>
        <item x="1"/>
        <item x="2"/>
        <item t="default"/>
      </items>
    </pivotField>
    <pivotField axis="axisRow" showAll="0">
      <items count="3">
        <item m="1" x="1"/>
        <item x="0"/>
        <item t="default"/>
      </items>
    </pivotField>
    <pivotField axis="axisRow" showAll="0">
      <items count="3">
        <item m="1" x="1"/>
        <item x="0"/>
        <item t="default"/>
      </items>
    </pivotField>
    <pivotField axis="axisRow" showAll="0">
      <items count="12">
        <item m="1" x="2"/>
        <item m="1" x="8"/>
        <item m="1" x="3"/>
        <item x="0"/>
        <item m="1" x="4"/>
        <item m="1" x="9"/>
        <item m="1" x="7"/>
        <item m="1" x="6"/>
        <item m="1" x="10"/>
        <item m="1" x="5"/>
        <item x="1"/>
        <item t="default"/>
      </items>
    </pivotField>
    <pivotField axis="axisRow" showAll="0">
      <items count="3">
        <item m="1" x="1"/>
        <item x="0"/>
        <item t="default"/>
      </items>
    </pivotField>
    <pivotField axis="axisRow" showAll="0">
      <items count="3">
        <item m="1" x="1"/>
        <item x="0"/>
        <item t="default"/>
      </items>
    </pivotField>
    <pivotField axis="axisRow" showAll="0">
      <items count="7">
        <item m="1" x="3"/>
        <item x="0"/>
        <item m="1" x="4"/>
        <item m="1" x="5"/>
        <item x="1"/>
        <item x="2"/>
        <item t="default"/>
      </items>
    </pivotField>
    <pivotField axis="axisRow" showAll="0">
      <items count="59">
        <item m="1" x="9"/>
        <item m="1" x="33"/>
        <item m="1" x="55"/>
        <item m="1" x="28"/>
        <item m="1" x="37"/>
        <item m="1" x="57"/>
        <item m="1" x="47"/>
        <item m="1" x="10"/>
        <item m="1" x="27"/>
        <item m="1" x="23"/>
        <item m="1" x="34"/>
        <item m="1" x="11"/>
        <item m="1" x="41"/>
        <item m="1" x="12"/>
        <item m="1" x="26"/>
        <item m="1" x="22"/>
        <item m="1" x="39"/>
        <item x="0"/>
        <item m="1" x="20"/>
        <item m="1" x="38"/>
        <item m="1" x="31"/>
        <item m="1" x="35"/>
        <item m="1" x="25"/>
        <item m="1" x="29"/>
        <item m="1" x="16"/>
        <item m="1" x="42"/>
        <item m="1" x="45"/>
        <item m="1" x="32"/>
        <item m="1" x="18"/>
        <item m="1" x="43"/>
        <item m="1" x="46"/>
        <item m="1" x="54"/>
        <item m="1" x="52"/>
        <item m="1" x="40"/>
        <item m="1" x="13"/>
        <item m="1" x="49"/>
        <item m="1" x="19"/>
        <item m="1" x="21"/>
        <item m="1" x="56"/>
        <item m="1" x="30"/>
        <item m="1" x="36"/>
        <item m="1" x="50"/>
        <item m="1" x="48"/>
        <item m="1" x="17"/>
        <item m="1" x="44"/>
        <item m="1" x="14"/>
        <item m="1" x="24"/>
        <item m="1" x="53"/>
        <item m="1" x="51"/>
        <item m="1" x="15"/>
        <item x="8"/>
        <item x="7"/>
        <item x="1"/>
        <item x="2"/>
        <item x="3"/>
        <item x="4"/>
        <item x="5"/>
        <item x="6"/>
        <item t="default"/>
      </items>
    </pivotField>
    <pivotField axis="axisRow" showAll="0">
      <items count="15">
        <item m="1" x="1"/>
        <item m="1" x="3"/>
        <item m="1" x="6"/>
        <item m="1" x="9"/>
        <item x="0"/>
        <item m="1" x="7"/>
        <item m="1" x="5"/>
        <item m="1" x="13"/>
        <item m="1" x="12"/>
        <item m="1" x="4"/>
        <item m="1" x="11"/>
        <item m="1" x="2"/>
        <item m="1" x="10"/>
        <item m="1" x="8"/>
        <item t="default"/>
      </items>
    </pivotField>
    <pivotField axis="axisRow" showAll="0">
      <items count="3">
        <item m="1" x="1"/>
        <item x="0"/>
        <item t="default"/>
      </items>
    </pivotField>
    <pivotField axis="axisRow" showAll="0">
      <items count="3">
        <item m="1" x="1"/>
        <item x="0"/>
        <item t="default"/>
      </items>
    </pivotField>
    <pivotField axis="axisRow" showAll="0">
      <items count="3">
        <item m="1" x="1"/>
        <item x="0"/>
        <item t="default"/>
      </items>
    </pivotField>
    <pivotField axis="axisRow" showAll="0">
      <items count="3">
        <item m="1" x="1"/>
        <item x="0"/>
        <item t="default"/>
      </items>
    </pivotField>
    <pivotField axis="axisRow" showAll="0">
      <items count="3">
        <item m="1" x="1"/>
        <item x="0"/>
        <item t="default"/>
      </items>
    </pivotField>
    <pivotField axis="axisRow" showAll="0">
      <items count="3">
        <item m="1" x="1"/>
        <item x="0"/>
        <item t="default"/>
      </items>
    </pivotField>
    <pivotField axis="axisRow" showAll="0">
      <items count="3">
        <item m="1" x="1"/>
        <item x="0"/>
        <item t="default"/>
      </items>
    </pivotField>
    <pivotField axis="axisRow" showAll="0">
      <items count="3">
        <item m="1" x="1"/>
        <item x="0"/>
        <item t="default"/>
      </items>
    </pivotField>
    <pivotField axis="axisRow" showAll="0">
      <items count="12">
        <item m="1" x="2"/>
        <item m="1" x="3"/>
        <item m="1" x="6"/>
        <item m="1" x="8"/>
        <item x="0"/>
        <item m="1" x="7"/>
        <item m="1" x="9"/>
        <item m="1" x="10"/>
        <item m="1" x="4"/>
        <item m="1" x="5"/>
        <item x="1"/>
        <item t="default"/>
      </items>
    </pivotField>
    <pivotField axis="axisRow" showAll="0">
      <items count="11">
        <item m="1" x="3"/>
        <item m="1" x="7"/>
        <item m="1" x="5"/>
        <item m="1" x="9"/>
        <item m="1" x="8"/>
        <item x="0"/>
        <item m="1" x="4"/>
        <item m="1" x="6"/>
        <item x="1"/>
        <item x="2"/>
        <item t="default"/>
      </items>
    </pivotField>
    <pivotField axis="axisRow" showAll="0" defaultSubtotal="0">
      <items count="9">
        <item x="0"/>
        <item m="1" x="6"/>
        <item m="1" x="8"/>
        <item m="1" x="5"/>
        <item m="1" x="7"/>
        <item m="1" x="4"/>
        <item m="1" x="3"/>
        <item x="1"/>
        <item x="2"/>
      </items>
    </pivotField>
  </pivotFields>
  <rowFields count="74">
    <field x="4"/>
    <field x="190"/>
    <field x="195"/>
    <field x="196"/>
    <field x="197"/>
    <field x="191"/>
    <field x="192"/>
    <field x="193"/>
    <field x="194"/>
    <field x="198"/>
    <field x="199"/>
    <field x="200"/>
    <field x="201"/>
    <field x="202"/>
    <field x="203"/>
    <field x="204"/>
    <field x="205"/>
    <field x="208"/>
    <field x="209"/>
    <field x="210"/>
    <field x="211"/>
    <field x="212"/>
    <field x="213"/>
    <field x="214"/>
    <field x="215"/>
    <field x="216"/>
    <field x="217"/>
    <field x="218"/>
    <field x="219"/>
    <field x="220"/>
    <field x="221"/>
    <field x="222"/>
    <field x="223"/>
    <field x="224"/>
    <field x="225"/>
    <field x="226"/>
    <field x="227"/>
    <field x="228"/>
    <field x="229"/>
    <field x="230"/>
    <field x="231"/>
    <field x="232"/>
    <field x="233"/>
    <field x="234"/>
    <field x="235"/>
    <field x="236"/>
    <field x="237"/>
    <field x="238"/>
    <field x="239"/>
    <field x="240"/>
    <field x="241"/>
    <field x="242"/>
    <field x="243"/>
    <field x="244"/>
    <field x="245"/>
    <field x="246"/>
    <field x="247"/>
    <field x="248"/>
    <field x="249"/>
    <field x="250"/>
    <field x="251"/>
    <field x="252"/>
    <field x="253"/>
    <field x="254"/>
    <field x="255"/>
    <field x="256"/>
    <field x="257"/>
    <field x="258"/>
    <field x="260"/>
    <field x="259"/>
    <field x="261"/>
    <field x="206"/>
    <field x="207"/>
    <field x="262"/>
  </rowFields>
  <rowItems count="795">
    <i>
      <x v="7"/>
    </i>
    <i r="1">
      <x v="44"/>
    </i>
    <i r="2">
      <x v="514"/>
    </i>
    <i r="3">
      <x v="41"/>
    </i>
    <i r="4">
      <x v="41"/>
    </i>
    <i r="5">
      <x v="24"/>
    </i>
    <i r="6">
      <x v="2"/>
    </i>
    <i r="7">
      <x v="1"/>
    </i>
    <i r="8">
      <x v="1"/>
    </i>
    <i r="9">
      <x v="87"/>
    </i>
    <i r="10">
      <x v="88"/>
    </i>
    <i r="11">
      <x v="1"/>
    </i>
    <i r="12">
      <x v="1"/>
    </i>
    <i r="13">
      <x v="307"/>
    </i>
    <i r="14">
      <x v="42"/>
    </i>
    <i r="15">
      <x v="4"/>
    </i>
    <i r="16">
      <x v="1"/>
    </i>
    <i r="17">
      <x v="1"/>
    </i>
    <i r="18">
      <x v="42"/>
    </i>
    <i r="19">
      <x v="1"/>
    </i>
    <i r="20">
      <x v="42"/>
    </i>
    <i r="21">
      <x v="1"/>
    </i>
    <i r="22">
      <x v="1"/>
    </i>
    <i r="23">
      <x v="1"/>
    </i>
    <i r="24">
      <x v="1"/>
    </i>
    <i r="25">
      <x v="1"/>
    </i>
    <i r="26">
      <x v="1"/>
    </i>
    <i r="27">
      <x v="41"/>
    </i>
    <i r="28">
      <x v="1"/>
    </i>
    <i r="29">
      <x v="9"/>
    </i>
    <i r="30">
      <x v="4"/>
    </i>
    <i r="31">
      <x v="96"/>
    </i>
    <i r="32">
      <x v="7"/>
    </i>
    <i r="33">
      <x v="1"/>
    </i>
    <i r="34">
      <x v="6"/>
    </i>
    <i r="35">
      <x v="1"/>
    </i>
    <i r="36">
      <x v="1"/>
    </i>
    <i r="37">
      <x v="6"/>
    </i>
    <i r="38">
      <x v="3"/>
    </i>
    <i r="39">
      <x v="1"/>
    </i>
    <i r="40">
      <x v="1"/>
    </i>
    <i r="41">
      <x v="6"/>
    </i>
    <i r="42">
      <x v="1"/>
    </i>
    <i r="43">
      <x v="1"/>
    </i>
    <i r="44">
      <x v="1"/>
    </i>
    <i r="45">
      <x v="1"/>
    </i>
    <i r="46">
      <x v="1"/>
    </i>
    <i r="47">
      <x v="1"/>
    </i>
    <i r="48">
      <x v="1"/>
    </i>
    <i r="49">
      <x v="1"/>
    </i>
    <i r="50">
      <x v="1"/>
    </i>
    <i r="51">
      <x v="1"/>
    </i>
    <i r="52">
      <x v="7"/>
    </i>
    <i r="53">
      <x v="1"/>
    </i>
    <i r="54">
      <x v="1"/>
    </i>
    <i r="55">
      <x v="3"/>
    </i>
    <i r="56">
      <x v="1"/>
    </i>
    <i r="57">
      <x v="1"/>
    </i>
    <i r="58">
      <x v="1"/>
    </i>
    <i r="59">
      <x v="17"/>
    </i>
    <i r="60">
      <x v="4"/>
    </i>
    <i r="61">
      <x v="1"/>
    </i>
    <i r="62">
      <x v="1"/>
    </i>
    <i r="63">
      <x v="1"/>
    </i>
    <i r="64">
      <x v="1"/>
    </i>
    <i r="65">
      <x v="1"/>
    </i>
    <i r="66">
      <x v="1"/>
    </i>
    <i r="67">
      <x v="1"/>
    </i>
    <i r="68">
      <x v="4"/>
    </i>
    <i r="69">
      <x v="1"/>
    </i>
    <i r="70">
      <x v="5"/>
    </i>
    <i r="71">
      <x v="41"/>
    </i>
    <i r="72">
      <x v="40"/>
    </i>
    <i r="73">
      <x/>
    </i>
    <i r="2">
      <x v="515"/>
    </i>
    <i r="3">
      <x v="41"/>
    </i>
    <i r="4">
      <x v="41"/>
    </i>
    <i r="5">
      <x v="24"/>
    </i>
    <i r="6">
      <x v="2"/>
    </i>
    <i r="7">
      <x v="1"/>
    </i>
    <i r="8">
      <x v="1"/>
    </i>
    <i r="9">
      <x v="87"/>
    </i>
    <i r="10">
      <x v="88"/>
    </i>
    <i r="11">
      <x v="1"/>
    </i>
    <i r="12">
      <x v="1"/>
    </i>
    <i r="13">
      <x v="308"/>
    </i>
    <i r="14">
      <x v="42"/>
    </i>
    <i r="15">
      <x v="4"/>
    </i>
    <i r="16">
      <x v="1"/>
    </i>
    <i r="17">
      <x v="1"/>
    </i>
    <i r="18">
      <x v="42"/>
    </i>
    <i r="19">
      <x v="1"/>
    </i>
    <i r="20">
      <x v="42"/>
    </i>
    <i r="21">
      <x v="1"/>
    </i>
    <i r="22">
      <x v="1"/>
    </i>
    <i r="23">
      <x v="1"/>
    </i>
    <i r="24">
      <x v="1"/>
    </i>
    <i r="25">
      <x v="1"/>
    </i>
    <i r="26">
      <x v="1"/>
    </i>
    <i r="27">
      <x v="41"/>
    </i>
    <i r="28">
      <x v="1"/>
    </i>
    <i r="29">
      <x v="9"/>
    </i>
    <i r="30">
      <x v="4"/>
    </i>
    <i r="31">
      <x v="96"/>
    </i>
    <i r="32">
      <x v="7"/>
    </i>
    <i r="33">
      <x v="1"/>
    </i>
    <i r="34">
      <x v="6"/>
    </i>
    <i r="35">
      <x v="1"/>
    </i>
    <i r="36">
      <x v="1"/>
    </i>
    <i r="37">
      <x v="6"/>
    </i>
    <i r="38">
      <x v="3"/>
    </i>
    <i r="39">
      <x v="1"/>
    </i>
    <i r="40">
      <x v="1"/>
    </i>
    <i r="41">
      <x v="6"/>
    </i>
    <i r="42">
      <x v="1"/>
    </i>
    <i r="43">
      <x v="1"/>
    </i>
    <i r="44">
      <x v="1"/>
    </i>
    <i r="45">
      <x v="1"/>
    </i>
    <i r="46">
      <x v="1"/>
    </i>
    <i r="47">
      <x v="1"/>
    </i>
    <i r="48">
      <x v="1"/>
    </i>
    <i r="49">
      <x v="1"/>
    </i>
    <i r="50">
      <x v="1"/>
    </i>
    <i r="51">
      <x v="1"/>
    </i>
    <i r="52">
      <x v="7"/>
    </i>
    <i r="53">
      <x v="1"/>
    </i>
    <i r="54">
      <x v="1"/>
    </i>
    <i r="55">
      <x v="3"/>
    </i>
    <i r="56">
      <x v="1"/>
    </i>
    <i r="57">
      <x v="1"/>
    </i>
    <i r="58">
      <x v="1"/>
    </i>
    <i r="59">
      <x v="17"/>
    </i>
    <i r="60">
      <x v="4"/>
    </i>
    <i r="61">
      <x v="1"/>
    </i>
    <i r="62">
      <x v="1"/>
    </i>
    <i r="63">
      <x v="1"/>
    </i>
    <i r="64">
      <x v="1"/>
    </i>
    <i r="65">
      <x v="1"/>
    </i>
    <i r="66">
      <x v="1"/>
    </i>
    <i r="67">
      <x v="1"/>
    </i>
    <i r="68">
      <x v="4"/>
    </i>
    <i r="69">
      <x v="1"/>
    </i>
    <i r="70">
      <x v="5"/>
    </i>
    <i r="71">
      <x v="41"/>
    </i>
    <i r="72">
      <x v="40"/>
    </i>
    <i r="73">
      <x/>
    </i>
    <i r="2">
      <x v="516"/>
    </i>
    <i r="3">
      <x v="41"/>
    </i>
    <i r="4">
      <x v="41"/>
    </i>
    <i r="5">
      <x v="24"/>
    </i>
    <i r="6">
      <x v="2"/>
    </i>
    <i r="7">
      <x v="1"/>
    </i>
    <i r="8">
      <x v="1"/>
    </i>
    <i r="9">
      <x v="87"/>
    </i>
    <i r="10">
      <x v="88"/>
    </i>
    <i r="11">
      <x v="1"/>
    </i>
    <i r="12">
      <x v="1"/>
    </i>
    <i r="13">
      <x v="309"/>
    </i>
    <i r="14">
      <x v="42"/>
    </i>
    <i r="15">
      <x v="4"/>
    </i>
    <i r="16">
      <x v="1"/>
    </i>
    <i r="17">
      <x v="1"/>
    </i>
    <i r="18">
      <x v="42"/>
    </i>
    <i r="19">
      <x v="1"/>
    </i>
    <i r="20">
      <x v="42"/>
    </i>
    <i r="21">
      <x v="1"/>
    </i>
    <i r="22">
      <x v="1"/>
    </i>
    <i r="23">
      <x v="1"/>
    </i>
    <i r="24">
      <x v="1"/>
    </i>
    <i r="25">
      <x v="1"/>
    </i>
    <i r="26">
      <x v="1"/>
    </i>
    <i r="27">
      <x v="41"/>
    </i>
    <i r="28">
      <x v="1"/>
    </i>
    <i r="29">
      <x v="9"/>
    </i>
    <i r="30">
      <x v="4"/>
    </i>
    <i r="31">
      <x v="96"/>
    </i>
    <i r="32">
      <x v="7"/>
    </i>
    <i r="33">
      <x v="1"/>
    </i>
    <i r="34">
      <x v="6"/>
    </i>
    <i r="35">
      <x v="1"/>
    </i>
    <i r="36">
      <x v="1"/>
    </i>
    <i r="37">
      <x v="6"/>
    </i>
    <i r="38">
      <x v="3"/>
    </i>
    <i r="39">
      <x v="1"/>
    </i>
    <i r="40">
      <x v="1"/>
    </i>
    <i r="41">
      <x v="6"/>
    </i>
    <i r="42">
      <x v="1"/>
    </i>
    <i r="43">
      <x v="1"/>
    </i>
    <i r="44">
      <x v="1"/>
    </i>
    <i r="45">
      <x v="1"/>
    </i>
    <i r="46">
      <x v="1"/>
    </i>
    <i r="47">
      <x v="1"/>
    </i>
    <i r="48">
      <x v="1"/>
    </i>
    <i r="49">
      <x v="1"/>
    </i>
    <i r="50">
      <x v="1"/>
    </i>
    <i r="51">
      <x v="1"/>
    </i>
    <i r="52">
      <x v="7"/>
    </i>
    <i r="53">
      <x v="1"/>
    </i>
    <i r="54">
      <x v="1"/>
    </i>
    <i r="55">
      <x v="3"/>
    </i>
    <i r="56">
      <x v="1"/>
    </i>
    <i r="57">
      <x v="1"/>
    </i>
    <i r="58">
      <x v="1"/>
    </i>
    <i r="59">
      <x v="17"/>
    </i>
    <i r="60">
      <x v="4"/>
    </i>
    <i r="61">
      <x v="1"/>
    </i>
    <i r="62">
      <x v="1"/>
    </i>
    <i r="63">
      <x v="1"/>
    </i>
    <i r="64">
      <x v="1"/>
    </i>
    <i r="65">
      <x v="1"/>
    </i>
    <i r="66">
      <x v="1"/>
    </i>
    <i r="67">
      <x v="1"/>
    </i>
    <i r="68">
      <x v="4"/>
    </i>
    <i r="69">
      <x v="1"/>
    </i>
    <i r="70">
      <x v="5"/>
    </i>
    <i r="71">
      <x v="41"/>
    </i>
    <i r="72">
      <x v="40"/>
    </i>
    <i r="73">
      <x/>
    </i>
    <i r="2">
      <x v="517"/>
    </i>
    <i r="3">
      <x v="41"/>
    </i>
    <i r="4">
      <x v="41"/>
    </i>
    <i r="5">
      <x v="24"/>
    </i>
    <i r="6">
      <x v="2"/>
    </i>
    <i r="7">
      <x v="1"/>
    </i>
    <i r="8">
      <x v="1"/>
    </i>
    <i r="9">
      <x v="87"/>
    </i>
    <i r="10">
      <x v="88"/>
    </i>
    <i r="11">
      <x v="1"/>
    </i>
    <i r="12">
      <x v="1"/>
    </i>
    <i r="13">
      <x v="310"/>
    </i>
    <i r="14">
      <x v="42"/>
    </i>
    <i r="15">
      <x v="4"/>
    </i>
    <i r="16">
      <x v="1"/>
    </i>
    <i r="17">
      <x v="1"/>
    </i>
    <i r="18">
      <x v="42"/>
    </i>
    <i r="19">
      <x v="1"/>
    </i>
    <i r="20">
      <x v="42"/>
    </i>
    <i r="21">
      <x v="1"/>
    </i>
    <i r="22">
      <x v="1"/>
    </i>
    <i r="23">
      <x v="1"/>
    </i>
    <i r="24">
      <x v="1"/>
    </i>
    <i r="25">
      <x v="1"/>
    </i>
    <i r="26">
      <x v="1"/>
    </i>
    <i r="27">
      <x v="41"/>
    </i>
    <i r="28">
      <x v="1"/>
    </i>
    <i r="29">
      <x v="9"/>
    </i>
    <i r="30">
      <x v="4"/>
    </i>
    <i r="31">
      <x v="96"/>
    </i>
    <i r="32">
      <x v="7"/>
    </i>
    <i r="33">
      <x v="1"/>
    </i>
    <i r="34">
      <x v="6"/>
    </i>
    <i r="35">
      <x v="1"/>
    </i>
    <i r="36">
      <x v="1"/>
    </i>
    <i r="37">
      <x v="6"/>
    </i>
    <i r="38">
      <x v="3"/>
    </i>
    <i r="39">
      <x v="1"/>
    </i>
    <i r="40">
      <x v="1"/>
    </i>
    <i r="41">
      <x v="6"/>
    </i>
    <i r="42">
      <x v="1"/>
    </i>
    <i r="43">
      <x v="1"/>
    </i>
    <i r="44">
      <x v="1"/>
    </i>
    <i r="45">
      <x v="1"/>
    </i>
    <i r="46">
      <x v="1"/>
    </i>
    <i r="47">
      <x v="1"/>
    </i>
    <i r="48">
      <x v="1"/>
    </i>
    <i r="49">
      <x v="1"/>
    </i>
    <i r="50">
      <x v="1"/>
    </i>
    <i r="51">
      <x v="1"/>
    </i>
    <i r="52">
      <x v="7"/>
    </i>
    <i r="53">
      <x v="1"/>
    </i>
    <i r="54">
      <x v="1"/>
    </i>
    <i r="55">
      <x v="3"/>
    </i>
    <i r="56">
      <x v="1"/>
    </i>
    <i r="57">
      <x v="1"/>
    </i>
    <i r="58">
      <x v="1"/>
    </i>
    <i r="59">
      <x v="17"/>
    </i>
    <i r="60">
      <x v="4"/>
    </i>
    <i r="61">
      <x v="1"/>
    </i>
    <i r="62">
      <x v="1"/>
    </i>
    <i r="63">
      <x v="1"/>
    </i>
    <i r="64">
      <x v="1"/>
    </i>
    <i r="65">
      <x v="1"/>
    </i>
    <i r="66">
      <x v="1"/>
    </i>
    <i r="67">
      <x v="1"/>
    </i>
    <i r="68">
      <x v="4"/>
    </i>
    <i r="69">
      <x v="1"/>
    </i>
    <i r="70">
      <x v="5"/>
    </i>
    <i r="71">
      <x v="41"/>
    </i>
    <i r="72">
      <x v="40"/>
    </i>
    <i r="73">
      <x/>
    </i>
    <i r="2">
      <x v="518"/>
    </i>
    <i r="3">
      <x v="41"/>
    </i>
    <i r="4">
      <x v="41"/>
    </i>
    <i r="5">
      <x v="24"/>
    </i>
    <i r="6">
      <x v="2"/>
    </i>
    <i r="7">
      <x v="1"/>
    </i>
    <i r="8">
      <x v="1"/>
    </i>
    <i r="9">
      <x v="87"/>
    </i>
    <i r="10">
      <x v="88"/>
    </i>
    <i r="11">
      <x v="1"/>
    </i>
    <i r="12">
      <x v="1"/>
    </i>
    <i r="13">
      <x v="311"/>
    </i>
    <i r="14">
      <x v="42"/>
    </i>
    <i r="15">
      <x v="4"/>
    </i>
    <i r="16">
      <x v="1"/>
    </i>
    <i r="17">
      <x v="1"/>
    </i>
    <i r="18">
      <x v="42"/>
    </i>
    <i r="19">
      <x v="1"/>
    </i>
    <i r="20">
      <x v="42"/>
    </i>
    <i r="21">
      <x v="1"/>
    </i>
    <i r="22">
      <x v="1"/>
    </i>
    <i r="23">
      <x v="1"/>
    </i>
    <i r="24">
      <x v="1"/>
    </i>
    <i r="25">
      <x v="1"/>
    </i>
    <i r="26">
      <x v="1"/>
    </i>
    <i r="27">
      <x v="41"/>
    </i>
    <i r="28">
      <x v="1"/>
    </i>
    <i r="29">
      <x v="9"/>
    </i>
    <i r="30">
      <x v="4"/>
    </i>
    <i r="31">
      <x v="96"/>
    </i>
    <i r="32">
      <x v="7"/>
    </i>
    <i r="33">
      <x v="1"/>
    </i>
    <i r="34">
      <x v="6"/>
    </i>
    <i r="35">
      <x v="1"/>
    </i>
    <i r="36">
      <x v="1"/>
    </i>
    <i r="37">
      <x v="6"/>
    </i>
    <i r="38">
      <x v="3"/>
    </i>
    <i r="39">
      <x v="1"/>
    </i>
    <i r="40">
      <x v="1"/>
    </i>
    <i r="41">
      <x v="6"/>
    </i>
    <i r="42">
      <x v="1"/>
    </i>
    <i r="43">
      <x v="1"/>
    </i>
    <i r="44">
      <x v="1"/>
    </i>
    <i r="45">
      <x v="1"/>
    </i>
    <i r="46">
      <x v="1"/>
    </i>
    <i r="47">
      <x v="1"/>
    </i>
    <i r="48">
      <x v="1"/>
    </i>
    <i r="49">
      <x v="1"/>
    </i>
    <i r="50">
      <x v="1"/>
    </i>
    <i r="51">
      <x v="1"/>
    </i>
    <i r="52">
      <x v="7"/>
    </i>
    <i r="53">
      <x v="1"/>
    </i>
    <i r="54">
      <x v="1"/>
    </i>
    <i r="55">
      <x v="3"/>
    </i>
    <i r="56">
      <x v="1"/>
    </i>
    <i r="57">
      <x v="1"/>
    </i>
    <i r="58">
      <x v="1"/>
    </i>
    <i r="59">
      <x v="17"/>
    </i>
    <i r="60">
      <x v="4"/>
    </i>
    <i r="61">
      <x v="1"/>
    </i>
    <i r="62">
      <x v="1"/>
    </i>
    <i r="63">
      <x v="1"/>
    </i>
    <i r="64">
      <x v="1"/>
    </i>
    <i r="65">
      <x v="1"/>
    </i>
    <i r="66">
      <x v="1"/>
    </i>
    <i r="67">
      <x v="1"/>
    </i>
    <i r="68">
      <x v="4"/>
    </i>
    <i r="69">
      <x v="1"/>
    </i>
    <i r="70">
      <x v="5"/>
    </i>
    <i r="71">
      <x v="41"/>
    </i>
    <i r="72">
      <x v="40"/>
    </i>
    <i r="73">
      <x/>
    </i>
    <i r="2">
      <x v="519"/>
    </i>
    <i r="3">
      <x v="41"/>
    </i>
    <i r="4">
      <x v="41"/>
    </i>
    <i r="5">
      <x v="24"/>
    </i>
    <i r="6">
      <x v="2"/>
    </i>
    <i r="7">
      <x v="1"/>
    </i>
    <i r="8">
      <x v="1"/>
    </i>
    <i r="9">
      <x v="87"/>
    </i>
    <i r="10">
      <x v="88"/>
    </i>
    <i r="11">
      <x v="1"/>
    </i>
    <i r="12">
      <x v="1"/>
    </i>
    <i r="13">
      <x v="312"/>
    </i>
    <i r="14">
      <x v="42"/>
    </i>
    <i r="15">
      <x v="4"/>
    </i>
    <i r="16">
      <x v="1"/>
    </i>
    <i r="17">
      <x v="1"/>
    </i>
    <i r="18">
      <x v="42"/>
    </i>
    <i r="19">
      <x v="1"/>
    </i>
    <i r="20">
      <x v="42"/>
    </i>
    <i r="21">
      <x v="1"/>
    </i>
    <i r="22">
      <x v="1"/>
    </i>
    <i r="23">
      <x v="1"/>
    </i>
    <i r="24">
      <x v="1"/>
    </i>
    <i r="25">
      <x v="1"/>
    </i>
    <i r="26">
      <x v="1"/>
    </i>
    <i r="27">
      <x v="41"/>
    </i>
    <i r="28">
      <x v="1"/>
    </i>
    <i r="29">
      <x v="9"/>
    </i>
    <i r="30">
      <x v="4"/>
    </i>
    <i r="31">
      <x v="96"/>
    </i>
    <i r="32">
      <x v="7"/>
    </i>
    <i r="33">
      <x v="1"/>
    </i>
    <i r="34">
      <x v="6"/>
    </i>
    <i r="35">
      <x v="1"/>
    </i>
    <i r="36">
      <x v="1"/>
    </i>
    <i r="37">
      <x v="6"/>
    </i>
    <i r="38">
      <x v="3"/>
    </i>
    <i r="39">
      <x v="1"/>
    </i>
    <i r="40">
      <x v="1"/>
    </i>
    <i r="41">
      <x v="6"/>
    </i>
    <i r="42">
      <x v="1"/>
    </i>
    <i r="43">
      <x v="1"/>
    </i>
    <i r="44">
      <x v="1"/>
    </i>
    <i r="45">
      <x v="1"/>
    </i>
    <i r="46">
      <x v="1"/>
    </i>
    <i r="47">
      <x v="1"/>
    </i>
    <i r="48">
      <x v="1"/>
    </i>
    <i r="49">
      <x v="1"/>
    </i>
    <i r="50">
      <x v="1"/>
    </i>
    <i r="51">
      <x v="1"/>
    </i>
    <i r="52">
      <x v="7"/>
    </i>
    <i r="53">
      <x v="1"/>
    </i>
    <i r="54">
      <x v="1"/>
    </i>
    <i r="55">
      <x v="3"/>
    </i>
    <i r="56">
      <x v="1"/>
    </i>
    <i r="57">
      <x v="1"/>
    </i>
    <i r="58">
      <x v="1"/>
    </i>
    <i r="59">
      <x v="17"/>
    </i>
    <i r="60">
      <x v="4"/>
    </i>
    <i r="61">
      <x v="1"/>
    </i>
    <i r="62">
      <x v="1"/>
    </i>
    <i r="63">
      <x v="1"/>
    </i>
    <i r="64">
      <x v="1"/>
    </i>
    <i r="65">
      <x v="1"/>
    </i>
    <i r="66">
      <x v="1"/>
    </i>
    <i r="67">
      <x v="1"/>
    </i>
    <i r="68">
      <x v="4"/>
    </i>
    <i r="69">
      <x v="1"/>
    </i>
    <i r="70">
      <x v="5"/>
    </i>
    <i r="71">
      <x v="41"/>
    </i>
    <i r="72">
      <x v="40"/>
    </i>
    <i r="73">
      <x/>
    </i>
    <i r="2">
      <x v="520"/>
    </i>
    <i r="3">
      <x v="41"/>
    </i>
    <i r="4">
      <x v="41"/>
    </i>
    <i r="5">
      <x v="24"/>
    </i>
    <i r="6">
      <x v="2"/>
    </i>
    <i r="7">
      <x v="1"/>
    </i>
    <i r="8">
      <x v="1"/>
    </i>
    <i r="9">
      <x v="87"/>
    </i>
    <i r="10">
      <x v="88"/>
    </i>
    <i r="11">
      <x v="1"/>
    </i>
    <i r="12">
      <x v="1"/>
    </i>
    <i r="13">
      <x v="313"/>
    </i>
    <i r="14">
      <x v="42"/>
    </i>
    <i r="15">
      <x v="4"/>
    </i>
    <i r="16">
      <x v="1"/>
    </i>
    <i r="17">
      <x v="1"/>
    </i>
    <i r="18">
      <x v="42"/>
    </i>
    <i r="19">
      <x v="1"/>
    </i>
    <i r="20">
      <x v="42"/>
    </i>
    <i r="21">
      <x v="1"/>
    </i>
    <i r="22">
      <x v="1"/>
    </i>
    <i r="23">
      <x v="1"/>
    </i>
    <i r="24">
      <x v="1"/>
    </i>
    <i r="25">
      <x v="1"/>
    </i>
    <i r="26">
      <x v="1"/>
    </i>
    <i r="27">
      <x v="41"/>
    </i>
    <i r="28">
      <x v="1"/>
    </i>
    <i r="29">
      <x v="9"/>
    </i>
    <i r="30">
      <x v="4"/>
    </i>
    <i r="31">
      <x v="96"/>
    </i>
    <i r="32">
      <x v="7"/>
    </i>
    <i r="33">
      <x v="1"/>
    </i>
    <i r="34">
      <x v="6"/>
    </i>
    <i r="35">
      <x v="1"/>
    </i>
    <i r="36">
      <x v="1"/>
    </i>
    <i r="37">
      <x v="6"/>
    </i>
    <i r="38">
      <x v="3"/>
    </i>
    <i r="39">
      <x v="1"/>
    </i>
    <i r="40">
      <x v="1"/>
    </i>
    <i r="41">
      <x v="6"/>
    </i>
    <i r="42">
      <x v="1"/>
    </i>
    <i r="43">
      <x v="1"/>
    </i>
    <i r="44">
      <x v="1"/>
    </i>
    <i r="45">
      <x v="1"/>
    </i>
    <i r="46">
      <x v="1"/>
    </i>
    <i r="47">
      <x v="1"/>
    </i>
    <i r="48">
      <x v="1"/>
    </i>
    <i r="49">
      <x v="1"/>
    </i>
    <i r="50">
      <x v="1"/>
    </i>
    <i r="51">
      <x v="1"/>
    </i>
    <i r="52">
      <x v="7"/>
    </i>
    <i r="53">
      <x v="1"/>
    </i>
    <i r="54">
      <x v="1"/>
    </i>
    <i r="55">
      <x v="3"/>
    </i>
    <i r="56">
      <x v="1"/>
    </i>
    <i r="57">
      <x v="1"/>
    </i>
    <i r="58">
      <x v="1"/>
    </i>
    <i r="59">
      <x v="17"/>
    </i>
    <i r="60">
      <x v="4"/>
    </i>
    <i r="61">
      <x v="1"/>
    </i>
    <i r="62">
      <x v="1"/>
    </i>
    <i r="63">
      <x v="1"/>
    </i>
    <i r="64">
      <x v="1"/>
    </i>
    <i r="65">
      <x v="1"/>
    </i>
    <i r="66">
      <x v="1"/>
    </i>
    <i r="67">
      <x v="1"/>
    </i>
    <i r="68">
      <x v="4"/>
    </i>
    <i r="69">
      <x v="1"/>
    </i>
    <i r="70">
      <x v="5"/>
    </i>
    <i r="71">
      <x v="41"/>
    </i>
    <i r="72">
      <x v="40"/>
    </i>
    <i r="73">
      <x/>
    </i>
    <i r="2">
      <x v="521"/>
    </i>
    <i r="3">
      <x v="41"/>
    </i>
    <i r="4">
      <x v="41"/>
    </i>
    <i r="5">
      <x v="24"/>
    </i>
    <i r="6">
      <x v="2"/>
    </i>
    <i r="7">
      <x v="1"/>
    </i>
    <i r="8">
      <x v="1"/>
    </i>
    <i r="9">
      <x v="87"/>
    </i>
    <i r="10">
      <x v="88"/>
    </i>
    <i r="11">
      <x v="1"/>
    </i>
    <i r="12">
      <x v="1"/>
    </i>
    <i r="13">
      <x v="314"/>
    </i>
    <i r="14">
      <x v="42"/>
    </i>
    <i r="15">
      <x v="4"/>
    </i>
    <i r="16">
      <x v="1"/>
    </i>
    <i r="17">
      <x v="1"/>
    </i>
    <i r="18">
      <x v="42"/>
    </i>
    <i r="19">
      <x v="1"/>
    </i>
    <i r="20">
      <x v="42"/>
    </i>
    <i r="21">
      <x v="1"/>
    </i>
    <i r="22">
      <x v="1"/>
    </i>
    <i r="23">
      <x v="1"/>
    </i>
    <i r="24">
      <x v="1"/>
    </i>
    <i r="25">
      <x v="1"/>
    </i>
    <i r="26">
      <x v="1"/>
    </i>
    <i r="27">
      <x v="41"/>
    </i>
    <i r="28">
      <x v="1"/>
    </i>
    <i r="29">
      <x v="9"/>
    </i>
    <i r="30">
      <x v="4"/>
    </i>
    <i r="31">
      <x v="96"/>
    </i>
    <i r="32">
      <x v="7"/>
    </i>
    <i r="33">
      <x v="1"/>
    </i>
    <i r="34">
      <x v="6"/>
    </i>
    <i r="35">
      <x v="1"/>
    </i>
    <i r="36">
      <x v="1"/>
    </i>
    <i r="37">
      <x v="6"/>
    </i>
    <i r="38">
      <x v="3"/>
    </i>
    <i r="39">
      <x v="1"/>
    </i>
    <i r="40">
      <x v="1"/>
    </i>
    <i r="41">
      <x v="6"/>
    </i>
    <i r="42">
      <x v="1"/>
    </i>
    <i r="43">
      <x v="1"/>
    </i>
    <i r="44">
      <x v="1"/>
    </i>
    <i r="45">
      <x v="1"/>
    </i>
    <i r="46">
      <x v="1"/>
    </i>
    <i r="47">
      <x v="1"/>
    </i>
    <i r="48">
      <x v="1"/>
    </i>
    <i r="49">
      <x v="1"/>
    </i>
    <i r="50">
      <x v="1"/>
    </i>
    <i r="51">
      <x v="1"/>
    </i>
    <i r="52">
      <x v="7"/>
    </i>
    <i r="53">
      <x v="1"/>
    </i>
    <i r="54">
      <x v="1"/>
    </i>
    <i r="55">
      <x v="3"/>
    </i>
    <i r="56">
      <x v="1"/>
    </i>
    <i r="57">
      <x v="1"/>
    </i>
    <i r="58">
      <x v="1"/>
    </i>
    <i r="59">
      <x v="17"/>
    </i>
    <i r="60">
      <x v="4"/>
    </i>
    <i r="61">
      <x v="1"/>
    </i>
    <i r="62">
      <x v="1"/>
    </i>
    <i r="63">
      <x v="1"/>
    </i>
    <i r="64">
      <x v="1"/>
    </i>
    <i r="65">
      <x v="1"/>
    </i>
    <i r="66">
      <x v="1"/>
    </i>
    <i r="67">
      <x v="1"/>
    </i>
    <i r="68">
      <x v="4"/>
    </i>
    <i r="69">
      <x v="1"/>
    </i>
    <i r="70">
      <x v="5"/>
    </i>
    <i r="71">
      <x v="41"/>
    </i>
    <i r="72">
      <x v="40"/>
    </i>
    <i r="73">
      <x/>
    </i>
    <i r="2">
      <x v="522"/>
    </i>
    <i r="3">
      <x v="41"/>
    </i>
    <i r="4">
      <x v="41"/>
    </i>
    <i r="5">
      <x v="24"/>
    </i>
    <i r="6">
      <x v="2"/>
    </i>
    <i r="7">
      <x v="1"/>
    </i>
    <i r="8">
      <x v="1"/>
    </i>
    <i r="9">
      <x v="87"/>
    </i>
    <i r="10">
      <x v="88"/>
    </i>
    <i r="11">
      <x v="1"/>
    </i>
    <i r="12">
      <x v="1"/>
    </i>
    <i r="13">
      <x v="315"/>
    </i>
    <i r="14">
      <x v="42"/>
    </i>
    <i r="15">
      <x v="4"/>
    </i>
    <i r="16">
      <x v="1"/>
    </i>
    <i r="17">
      <x v="1"/>
    </i>
    <i r="18">
      <x v="42"/>
    </i>
    <i r="19">
      <x v="1"/>
    </i>
    <i r="20">
      <x v="42"/>
    </i>
    <i r="21">
      <x v="1"/>
    </i>
    <i r="22">
      <x v="1"/>
    </i>
    <i r="23">
      <x v="1"/>
    </i>
    <i r="24">
      <x v="1"/>
    </i>
    <i r="25">
      <x v="1"/>
    </i>
    <i r="26">
      <x v="1"/>
    </i>
    <i r="27">
      <x v="41"/>
    </i>
    <i r="28">
      <x v="1"/>
    </i>
    <i r="29">
      <x v="9"/>
    </i>
    <i r="30">
      <x v="4"/>
    </i>
    <i r="31">
      <x v="96"/>
    </i>
    <i r="32">
      <x v="7"/>
    </i>
    <i r="33">
      <x v="1"/>
    </i>
    <i r="34">
      <x v="6"/>
    </i>
    <i r="35">
      <x v="1"/>
    </i>
    <i r="36">
      <x v="1"/>
    </i>
    <i r="37">
      <x v="6"/>
    </i>
    <i r="38">
      <x v="3"/>
    </i>
    <i r="39">
      <x v="1"/>
    </i>
    <i r="40">
      <x v="1"/>
    </i>
    <i r="41">
      <x v="6"/>
    </i>
    <i r="42">
      <x v="1"/>
    </i>
    <i r="43">
      <x v="1"/>
    </i>
    <i r="44">
      <x v="1"/>
    </i>
    <i r="45">
      <x v="1"/>
    </i>
    <i r="46">
      <x v="1"/>
    </i>
    <i r="47">
      <x v="1"/>
    </i>
    <i r="48">
      <x v="1"/>
    </i>
    <i r="49">
      <x v="1"/>
    </i>
    <i r="50">
      <x v="1"/>
    </i>
    <i r="51">
      <x v="1"/>
    </i>
    <i r="52">
      <x v="7"/>
    </i>
    <i r="53">
      <x v="1"/>
    </i>
    <i r="54">
      <x v="1"/>
    </i>
    <i r="55">
      <x v="3"/>
    </i>
    <i r="56">
      <x v="1"/>
    </i>
    <i r="57">
      <x v="1"/>
    </i>
    <i r="58">
      <x v="1"/>
    </i>
    <i r="59">
      <x v="17"/>
    </i>
    <i r="60">
      <x v="4"/>
    </i>
    <i r="61">
      <x v="1"/>
    </i>
    <i r="62">
      <x v="1"/>
    </i>
    <i r="63">
      <x v="1"/>
    </i>
    <i r="64">
      <x v="1"/>
    </i>
    <i r="65">
      <x v="1"/>
    </i>
    <i r="66">
      <x v="1"/>
    </i>
    <i r="67">
      <x v="1"/>
    </i>
    <i r="68">
      <x v="4"/>
    </i>
    <i r="69">
      <x v="1"/>
    </i>
    <i r="70">
      <x v="5"/>
    </i>
    <i r="71">
      <x v="41"/>
    </i>
    <i r="72">
      <x v="40"/>
    </i>
    <i r="73">
      <x/>
    </i>
    <i r="2">
      <x v="523"/>
    </i>
    <i r="3">
      <x v="41"/>
    </i>
    <i r="4">
      <x v="41"/>
    </i>
    <i r="5">
      <x v="24"/>
    </i>
    <i r="6">
      <x v="2"/>
    </i>
    <i r="7">
      <x v="1"/>
    </i>
    <i r="8">
      <x v="1"/>
    </i>
    <i r="9">
      <x v="87"/>
    </i>
    <i r="10">
      <x v="88"/>
    </i>
    <i r="11">
      <x v="1"/>
    </i>
    <i r="12">
      <x v="1"/>
    </i>
    <i r="13">
      <x v="316"/>
    </i>
    <i r="14">
      <x v="42"/>
    </i>
    <i r="15">
      <x v="4"/>
    </i>
    <i r="16">
      <x v="1"/>
    </i>
    <i r="17">
      <x v="1"/>
    </i>
    <i r="18">
      <x v="42"/>
    </i>
    <i r="19">
      <x v="1"/>
    </i>
    <i r="20">
      <x v="42"/>
    </i>
    <i r="21">
      <x v="1"/>
    </i>
    <i r="22">
      <x v="1"/>
    </i>
    <i r="23">
      <x v="1"/>
    </i>
    <i r="24">
      <x v="1"/>
    </i>
    <i r="25">
      <x v="1"/>
    </i>
    <i r="26">
      <x v="1"/>
    </i>
    <i r="27">
      <x v="41"/>
    </i>
    <i r="28">
      <x v="1"/>
    </i>
    <i r="29">
      <x v="9"/>
    </i>
    <i r="30">
      <x v="4"/>
    </i>
    <i r="31">
      <x v="96"/>
    </i>
    <i r="32">
      <x v="7"/>
    </i>
    <i r="33">
      <x v="1"/>
    </i>
    <i r="34">
      <x v="6"/>
    </i>
    <i r="35">
      <x v="1"/>
    </i>
    <i r="36">
      <x v="1"/>
    </i>
    <i r="37">
      <x v="6"/>
    </i>
    <i r="38">
      <x v="3"/>
    </i>
    <i r="39">
      <x v="1"/>
    </i>
    <i r="40">
      <x v="1"/>
    </i>
    <i r="41">
      <x v="6"/>
    </i>
    <i r="42">
      <x v="1"/>
    </i>
    <i r="43">
      <x v="1"/>
    </i>
    <i r="44">
      <x v="1"/>
    </i>
    <i r="45">
      <x v="1"/>
    </i>
    <i r="46">
      <x v="1"/>
    </i>
    <i r="47">
      <x v="1"/>
    </i>
    <i r="48">
      <x v="1"/>
    </i>
    <i r="49">
      <x v="1"/>
    </i>
    <i r="50">
      <x v="1"/>
    </i>
    <i r="51">
      <x v="1"/>
    </i>
    <i r="52">
      <x v="7"/>
    </i>
    <i r="53">
      <x v="1"/>
    </i>
    <i r="54">
      <x v="1"/>
    </i>
    <i r="55">
      <x v="3"/>
    </i>
    <i r="56">
      <x v="1"/>
    </i>
    <i r="57">
      <x v="1"/>
    </i>
    <i r="58">
      <x v="1"/>
    </i>
    <i r="59">
      <x v="17"/>
    </i>
    <i r="60">
      <x v="4"/>
    </i>
    <i r="61">
      <x v="1"/>
    </i>
    <i r="62">
      <x v="1"/>
    </i>
    <i r="63">
      <x v="1"/>
    </i>
    <i r="64">
      <x v="1"/>
    </i>
    <i r="65">
      <x v="1"/>
    </i>
    <i r="66">
      <x v="1"/>
    </i>
    <i r="67">
      <x v="1"/>
    </i>
    <i r="68">
      <x v="4"/>
    </i>
    <i r="69">
      <x v="1"/>
    </i>
    <i r="70">
      <x v="5"/>
    </i>
    <i r="71">
      <x v="41"/>
    </i>
    <i r="72">
      <x v="40"/>
    </i>
    <i r="73">
      <x/>
    </i>
    <i r="2">
      <x v="524"/>
    </i>
    <i r="3">
      <x v="41"/>
    </i>
    <i r="4">
      <x v="41"/>
    </i>
    <i r="5">
      <x v="24"/>
    </i>
    <i r="6">
      <x v="2"/>
    </i>
    <i r="7">
      <x v="1"/>
    </i>
    <i r="8">
      <x v="1"/>
    </i>
    <i r="9">
      <x v="87"/>
    </i>
    <i r="10">
      <x v="88"/>
    </i>
    <i r="11">
      <x v="1"/>
    </i>
    <i r="12">
      <x v="1"/>
    </i>
    <i r="13">
      <x v="317"/>
    </i>
    <i r="14">
      <x v="42"/>
    </i>
    <i r="15">
      <x v="4"/>
    </i>
    <i r="16">
      <x v="1"/>
    </i>
    <i r="17">
      <x v="1"/>
    </i>
    <i r="18">
      <x v="42"/>
    </i>
    <i r="19">
      <x v="1"/>
    </i>
    <i r="20">
      <x v="42"/>
    </i>
    <i r="21">
      <x v="1"/>
    </i>
    <i r="22">
      <x v="1"/>
    </i>
    <i r="23">
      <x v="1"/>
    </i>
    <i r="24">
      <x v="1"/>
    </i>
    <i r="25">
      <x v="1"/>
    </i>
    <i r="26">
      <x v="1"/>
    </i>
    <i r="27">
      <x v="41"/>
    </i>
    <i r="28">
      <x v="1"/>
    </i>
    <i r="29">
      <x v="9"/>
    </i>
    <i r="30">
      <x v="4"/>
    </i>
    <i r="31">
      <x v="96"/>
    </i>
    <i r="32">
      <x v="7"/>
    </i>
    <i r="33">
      <x v="1"/>
    </i>
    <i r="34">
      <x v="6"/>
    </i>
    <i r="35">
      <x v="1"/>
    </i>
    <i r="36">
      <x v="1"/>
    </i>
    <i r="37">
      <x v="6"/>
    </i>
    <i r="38">
      <x v="3"/>
    </i>
    <i r="39">
      <x v="1"/>
    </i>
    <i r="40">
      <x v="1"/>
    </i>
    <i r="41">
      <x v="6"/>
    </i>
    <i r="42">
      <x v="1"/>
    </i>
    <i r="43">
      <x v="1"/>
    </i>
    <i r="44">
      <x v="1"/>
    </i>
    <i r="45">
      <x v="1"/>
    </i>
    <i r="46">
      <x v="1"/>
    </i>
    <i r="47">
      <x v="1"/>
    </i>
    <i r="48">
      <x v="1"/>
    </i>
    <i r="49">
      <x v="1"/>
    </i>
    <i r="50">
      <x v="1"/>
    </i>
    <i r="51">
      <x v="1"/>
    </i>
    <i r="52">
      <x v="7"/>
    </i>
    <i r="53">
      <x v="1"/>
    </i>
    <i r="54">
      <x v="1"/>
    </i>
    <i r="55">
      <x v="3"/>
    </i>
    <i r="56">
      <x v="1"/>
    </i>
    <i r="57">
      <x v="1"/>
    </i>
    <i r="58">
      <x v="1"/>
    </i>
    <i r="59">
      <x v="17"/>
    </i>
    <i r="60">
      <x v="4"/>
    </i>
    <i r="61">
      <x v="1"/>
    </i>
    <i r="62">
      <x v="1"/>
    </i>
    <i r="63">
      <x v="1"/>
    </i>
    <i r="64">
      <x v="1"/>
    </i>
    <i r="65">
      <x v="1"/>
    </i>
    <i r="66">
      <x v="1"/>
    </i>
    <i r="67">
      <x v="1"/>
    </i>
    <i r="68">
      <x v="4"/>
    </i>
    <i r="69">
      <x v="1"/>
    </i>
    <i r="70">
      <x v="5"/>
    </i>
    <i r="71">
      <x v="41"/>
    </i>
    <i r="72">
      <x v="40"/>
    </i>
    <i r="73">
      <x/>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xml><?xml version="1.0" encoding="utf-8"?>
<pivotTableDefinition xmlns="http://schemas.openxmlformats.org/spreadsheetml/2006/main" name="PivotTable18" cacheId="2" applyNumberFormats="0" applyBorderFormats="0" applyFontFormats="0" applyPatternFormats="0" applyAlignmentFormats="0" applyWidthHeightFormats="1" dataCaption="Values" missingCaption="None" showMissing="0" updatedVersion="5" minRefreshableVersion="3" useAutoFormatting="1" itemPrintTitles="1" createdVersion="5" indent="0" outline="1" outlineData="1" multipleFieldFilters="0">
  <location ref="A1:A1026" firstHeaderRow="1" firstDataRow="1" firstDataCol="1"/>
  <pivotFields count="283">
    <pivotField showAll="0"/>
    <pivotField showAll="0"/>
    <pivotField showAll="0"/>
    <pivotField showAll="0"/>
    <pivotField axis="axisRow" showAll="0">
      <items count="11">
        <item h="1" x="5"/>
        <item h="1" sd="0" x="1"/>
        <item h="1" x="0"/>
        <item h="1" x="4"/>
        <item h="1" x="6"/>
        <item h="1" x="3"/>
        <item h="1" x="7"/>
        <item h="1" x="8"/>
        <item x="9"/>
        <item h="1" sd="0" x="2"/>
        <item t="default"/>
      </items>
    </pivotField>
    <pivotField showAll="0" defaultSubtotal="0"/>
    <pivotField showAll="0" defaultSubtotal="0"/>
    <pivotField showAll="0" defaultSubtotal="0"/>
    <pivotField showAll="0" defaultSubtota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pivotField showAll="0"/>
    <pivotField showAll="0"/>
    <pivotField showAll="0"/>
    <pivotField showAll="0"/>
    <pivotField showAll="0"/>
    <pivotField showAll="0"/>
    <pivotField showAll="0"/>
    <pivotField showAll="0"/>
    <pivotField showAll="0"/>
    <pivotField showAll="0" defaultSubtotal="0"/>
    <pivotField showAll="0" defaultSubtota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defaultSubtotal="0"/>
    <pivotField numFmtId="164" showAll="0" defaultSubtotal="0"/>
    <pivotField numFmtId="164" showAll="0" defaultSubtotal="0"/>
    <pivotField numFmtId="164" showAll="0" defaultSubtotal="0"/>
    <pivotField numFmtId="164" showAll="0" defaultSubtotal="0"/>
    <pivotField numFmtId="164" showAll="0" defaultSubtotal="0"/>
    <pivotField numFmtId="164" showAll="0" defaultSubtotal="0"/>
    <pivotField numFmtId="164" showAll="0" defaultSubtotal="0"/>
    <pivotField numFmtId="164" showAll="0" defaultSubtotal="0"/>
    <pivotField numFmtId="164" showAll="0" defaultSubtotal="0"/>
    <pivotField numFmtId="164" showAll="0" defaultSubtotal="0"/>
    <pivotField numFmtId="164" showAll="0" defaultSubtotal="0"/>
    <pivotField numFmtId="164" showAll="0" defaultSubtotal="0"/>
    <pivotField numFmtId="164" showAll="0" defaultSubtotal="0"/>
    <pivotField numFmtId="164" showAll="0" defaultSubtotal="0"/>
    <pivotField numFmtId="164" showAll="0" defaultSubtotal="0"/>
    <pivotField numFmtId="164" showAll="0" defaultSubtotal="0"/>
    <pivotField numFmtId="164" showAll="0"/>
    <pivotField numFmtId="164" showAll="0" defaultSubtotal="0"/>
    <pivotField numFmtId="164" showAll="0" defaultSubtotal="0"/>
    <pivotField numFmtId="164" showAll="0" defaultSubtotal="0"/>
    <pivotField numFmtId="164" showAll="0" defaultSubtotal="0"/>
    <pivotField numFmtId="164"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Row" showAll="0">
      <items count="102">
        <item x="0"/>
        <item x="29"/>
        <item x="17"/>
        <item x="18"/>
        <item x="20"/>
        <item x="23"/>
        <item m="1" x="64"/>
        <item m="1" x="77"/>
        <item x="32"/>
        <item m="1" x="74"/>
        <item m="1" x="69"/>
        <item m="1" x="79"/>
        <item x="49"/>
        <item x="50"/>
        <item x="51"/>
        <item x="52"/>
        <item x="53"/>
        <item x="54"/>
        <item x="55"/>
        <item x="56"/>
        <item x="58"/>
        <item x="59"/>
        <item x="9"/>
        <item x="16"/>
        <item x="21"/>
        <item x="24"/>
        <item x="31"/>
        <item x="43"/>
        <item x="44"/>
        <item x="45"/>
        <item x="48"/>
        <item x="57"/>
        <item x="60"/>
        <item x="4"/>
        <item x="6"/>
        <item x="25"/>
        <item x="27"/>
        <item x="1"/>
        <item x="2"/>
        <item x="3"/>
        <item x="22"/>
        <item m="1" x="72"/>
        <item m="1" x="86"/>
        <item x="46"/>
        <item x="47"/>
        <item x="5"/>
        <item x="7"/>
        <item x="8"/>
        <item x="10"/>
        <item x="11"/>
        <item x="12"/>
        <item x="13"/>
        <item x="14"/>
        <item x="15"/>
        <item x="19"/>
        <item m="1" x="73"/>
        <item m="1" x="81"/>
        <item m="1" x="82"/>
        <item m="1" x="92"/>
        <item m="1" x="93"/>
        <item m="1" x="85"/>
        <item m="1" x="75"/>
        <item m="1" x="89"/>
        <item m="1" x="90"/>
        <item m="1" x="61"/>
        <item m="1" x="65"/>
        <item m="1" x="91"/>
        <item m="1" x="95"/>
        <item m="1" x="96"/>
        <item m="1" x="97"/>
        <item m="1" x="94"/>
        <item m="1" x="80"/>
        <item x="30"/>
        <item x="33"/>
        <item m="1" x="63"/>
        <item m="1" x="68"/>
        <item m="1" x="98"/>
        <item m="1" x="99"/>
        <item m="1" x="100"/>
        <item m="1" x="62"/>
        <item m="1" x="76"/>
        <item m="1" x="84"/>
        <item m="1" x="78"/>
        <item m="1" x="66"/>
        <item m="1" x="67"/>
        <item x="37"/>
        <item m="1" x="83"/>
        <item m="1" x="70"/>
        <item m="1" x="71"/>
        <item m="1" x="87"/>
        <item m="1" x="88"/>
        <item x="26"/>
        <item x="28"/>
        <item x="34"/>
        <item x="36"/>
        <item x="35"/>
        <item x="38"/>
        <item x="39"/>
        <item x="40"/>
        <item x="41"/>
        <item x="42"/>
        <item t="default"/>
      </items>
    </pivotField>
    <pivotField axis="axisRow" showAll="0">
      <items count="41">
        <item x="0"/>
        <item m="1" x="21"/>
        <item m="1" x="22"/>
        <item m="1" x="37"/>
        <item m="1" x="31"/>
        <item m="1" x="36"/>
        <item m="1" x="26"/>
        <item m="1" x="39"/>
        <item m="1" x="25"/>
        <item m="1" x="32"/>
        <item m="1" x="38"/>
        <item m="1" x="35"/>
        <item m="1" x="28"/>
        <item m="1" x="24"/>
        <item m="1" x="29"/>
        <item m="1" x="34"/>
        <item m="1" x="23"/>
        <item m="1" x="33"/>
        <item m="1" x="30"/>
        <item m="1" x="27"/>
        <item x="1"/>
        <item x="2"/>
        <item x="3"/>
        <item x="4"/>
        <item x="5"/>
        <item x="6"/>
        <item x="7"/>
        <item x="8"/>
        <item x="9"/>
        <item x="10"/>
        <item x="11"/>
        <item x="12"/>
        <item x="13"/>
        <item x="14"/>
        <item x="15"/>
        <item x="16"/>
        <item x="17"/>
        <item x="18"/>
        <item x="19"/>
        <item x="20"/>
        <item t="default"/>
      </items>
    </pivotField>
    <pivotField axis="axisRow" showAll="0">
      <items count="3">
        <item x="0"/>
        <item x="1"/>
        <item t="default"/>
      </items>
    </pivotField>
    <pivotField axis="axisRow" showAll="0">
      <items count="2">
        <item x="0"/>
        <item t="default"/>
      </items>
    </pivotField>
    <pivotField axis="axisRow" showAll="0">
      <items count="2">
        <item x="0"/>
        <item t="default"/>
      </items>
    </pivotField>
    <pivotField axis="axisRow" showAll="0">
      <items count="226">
        <item x="1"/>
        <item m="1" x="211"/>
        <item m="1" x="159"/>
        <item m="1" x="168"/>
        <item m="1" x="224"/>
        <item m="1" x="127"/>
        <item m="1" x="143"/>
        <item m="1" x="154"/>
        <item m="1" x="115"/>
        <item m="1" x="220"/>
        <item m="1" x="103"/>
        <item m="1" x="191"/>
        <item m="1" x="218"/>
        <item m="1" x="216"/>
        <item m="1" x="177"/>
        <item m="1" x="197"/>
        <item m="1" x="108"/>
        <item m="1" x="147"/>
        <item m="1" x="106"/>
        <item m="1" x="109"/>
        <item m="1" x="173"/>
        <item m="1" x="111"/>
        <item m="1" x="157"/>
        <item m="1" x="187"/>
        <item m="1" x="133"/>
        <item m="1" x="185"/>
        <item m="1" x="175"/>
        <item m="1" x="107"/>
        <item m="1" x="150"/>
        <item m="1" x="210"/>
        <item m="1" x="161"/>
        <item m="1" x="117"/>
        <item m="1" x="104"/>
        <item m="1" x="217"/>
        <item m="1" x="178"/>
        <item m="1" x="119"/>
        <item m="1" x="120"/>
        <item m="1" x="188"/>
        <item m="1" x="176"/>
        <item m="1" x="179"/>
        <item m="1" x="144"/>
        <item m="1" x="223"/>
        <item m="1" x="183"/>
        <item m="1" x="131"/>
        <item m="1" x="140"/>
        <item m="1" x="203"/>
        <item m="1" x="199"/>
        <item m="1" x="180"/>
        <item m="1" x="181"/>
        <item m="1" x="219"/>
        <item m="1" x="125"/>
        <item m="1" x="128"/>
        <item m="1" x="135"/>
        <item m="1" x="155"/>
        <item m="1" x="209"/>
        <item m="1" x="146"/>
        <item m="1" x="163"/>
        <item m="1" x="152"/>
        <item m="1" x="114"/>
        <item m="1" x="123"/>
        <item m="1" x="165"/>
        <item m="1" x="196"/>
        <item m="1" x="160"/>
        <item m="1" x="214"/>
        <item m="1" x="124"/>
        <item m="1" x="201"/>
        <item m="1" x="158"/>
        <item m="1" x="202"/>
        <item m="1" x="121"/>
        <item m="1" x="186"/>
        <item m="1" x="130"/>
        <item m="1" x="182"/>
        <item m="1" x="193"/>
        <item m="1" x="105"/>
        <item m="1" x="172"/>
        <item m="1" x="190"/>
        <item m="1" x="174"/>
        <item m="1" x="113"/>
        <item m="1" x="122"/>
        <item m="1" x="200"/>
        <item m="1" x="221"/>
        <item m="1" x="145"/>
        <item m="1" x="170"/>
        <item m="1" x="156"/>
        <item m="1" x="166"/>
        <item m="1" x="222"/>
        <item m="1" x="139"/>
        <item m="1" x="141"/>
        <item m="1" x="148"/>
        <item m="1" x="198"/>
        <item m="1" x="162"/>
        <item m="1" x="208"/>
        <item m="1" x="171"/>
        <item m="1" x="212"/>
        <item m="1" x="132"/>
        <item m="1" x="167"/>
        <item m="1" x="192"/>
        <item m="1" x="149"/>
        <item m="1" x="129"/>
        <item x="0"/>
        <item x="2"/>
        <item x="3"/>
        <item x="4"/>
        <item x="5"/>
        <item x="6"/>
        <item x="7"/>
        <item x="8"/>
        <item x="9"/>
        <item x="10"/>
        <item x="11"/>
        <item x="12"/>
        <item x="13"/>
        <item x="14"/>
        <item x="15"/>
        <item x="16"/>
        <item x="17"/>
        <item x="18"/>
        <item x="19"/>
        <item x="20"/>
        <item x="21"/>
        <item x="22"/>
        <item x="23"/>
        <item x="24"/>
        <item x="25"/>
        <item x="26"/>
        <item x="27"/>
        <item m="1" x="169"/>
        <item m="1" x="204"/>
        <item x="30"/>
        <item x="31"/>
        <item x="32"/>
        <item m="1" x="134"/>
        <item m="1" x="112"/>
        <item m="1" x="206"/>
        <item m="1" x="164"/>
        <item m="1" x="151"/>
        <item m="1" x="102"/>
        <item m="1" x="213"/>
        <item m="1" x="207"/>
        <item m="1" x="136"/>
        <item m="1" x="138"/>
        <item m="1" x="137"/>
        <item x="44"/>
        <item x="45"/>
        <item x="46"/>
        <item x="47"/>
        <item x="48"/>
        <item x="49"/>
        <item m="1" x="215"/>
        <item x="51"/>
        <item m="1" x="205"/>
        <item x="53"/>
        <item m="1" x="189"/>
        <item m="1" x="142"/>
        <item m="1" x="126"/>
        <item x="57"/>
        <item x="58"/>
        <item x="59"/>
        <item x="60"/>
        <item x="61"/>
        <item m="1" x="153"/>
        <item x="63"/>
        <item x="64"/>
        <item x="65"/>
        <item x="66"/>
        <item x="67"/>
        <item x="68"/>
        <item x="69"/>
        <item x="70"/>
        <item m="1" x="110"/>
        <item m="1" x="116"/>
        <item m="1" x="195"/>
        <item m="1" x="118"/>
        <item m="1" x="184"/>
        <item m="1" x="194"/>
        <item x="76"/>
        <item x="77"/>
        <item x="78"/>
        <item x="79"/>
        <item x="80"/>
        <item x="81"/>
        <item x="82"/>
        <item x="83"/>
        <item x="84"/>
        <item x="85"/>
        <item x="86"/>
        <item x="87"/>
        <item x="88"/>
        <item x="89"/>
        <item x="90"/>
        <item x="91"/>
        <item x="92"/>
        <item x="93"/>
        <item x="94"/>
        <item x="95"/>
        <item x="96"/>
        <item x="97"/>
        <item x="98"/>
        <item x="99"/>
        <item x="100"/>
        <item x="101"/>
        <item x="28"/>
        <item x="29"/>
        <item x="33"/>
        <item x="34"/>
        <item x="35"/>
        <item x="36"/>
        <item x="37"/>
        <item x="38"/>
        <item x="39"/>
        <item x="40"/>
        <item x="41"/>
        <item x="42"/>
        <item x="43"/>
        <item x="50"/>
        <item x="52"/>
        <item x="54"/>
        <item x="55"/>
        <item x="56"/>
        <item x="62"/>
        <item x="71"/>
        <item x="72"/>
        <item x="73"/>
        <item x="74"/>
        <item x="75"/>
        <item t="default"/>
      </items>
    </pivotField>
    <pivotField axis="axisRow" showAll="0">
      <items count="57">
        <item x="0"/>
        <item m="1" x="31"/>
        <item m="1" x="53"/>
        <item m="1" x="49"/>
        <item m="1" x="39"/>
        <item m="1" x="34"/>
        <item m="1" x="24"/>
        <item m="1" x="23"/>
        <item m="1" x="17"/>
        <item m="1" x="47"/>
        <item m="1" x="29"/>
        <item m="1" x="55"/>
        <item m="1" x="51"/>
        <item m="1" x="52"/>
        <item m="1" x="33"/>
        <item m="1" x="44"/>
        <item m="1" x="48"/>
        <item m="1" x="11"/>
        <item m="1" x="50"/>
        <item m="1" x="54"/>
        <item m="1" x="14"/>
        <item m="1" x="20"/>
        <item m="1" x="26"/>
        <item m="1" x="36"/>
        <item m="1" x="10"/>
        <item m="1" x="46"/>
        <item m="1" x="41"/>
        <item m="1" x="30"/>
        <item m="1" x="21"/>
        <item m="1" x="19"/>
        <item m="1" x="18"/>
        <item m="1" x="22"/>
        <item m="1" x="25"/>
        <item m="1" x="42"/>
        <item m="1" x="27"/>
        <item m="1" x="35"/>
        <item m="1" x="37"/>
        <item m="1" x="38"/>
        <item m="1" x="13"/>
        <item m="1" x="28"/>
        <item m="1" x="12"/>
        <item m="1" x="9"/>
        <item m="1" x="45"/>
        <item m="1" x="43"/>
        <item x="1"/>
        <item x="2"/>
        <item x="3"/>
        <item x="4"/>
        <item x="5"/>
        <item x="6"/>
        <item m="1" x="32"/>
        <item m="1" x="8"/>
        <item m="1" x="16"/>
        <item m="1" x="40"/>
        <item m="1" x="15"/>
        <item x="7"/>
        <item t="default"/>
      </items>
    </pivotField>
    <pivotField axis="axisRow" showAll="0">
      <items count="56">
        <item x="0"/>
        <item x="1"/>
        <item x="2"/>
        <item m="1" x="33"/>
        <item m="1" x="19"/>
        <item m="1" x="29"/>
        <item m="1" x="43"/>
        <item m="1" x="49"/>
        <item m="1" x="48"/>
        <item m="1" x="20"/>
        <item x="10"/>
        <item m="1" x="45"/>
        <item m="1" x="22"/>
        <item m="1" x="23"/>
        <item m="1" x="42"/>
        <item m="1" x="16"/>
        <item m="1" x="17"/>
        <item m="1" x="51"/>
        <item m="1" x="30"/>
        <item m="1" x="28"/>
        <item m="1" x="24"/>
        <item m="1" x="37"/>
        <item m="1" x="47"/>
        <item m="1" x="46"/>
        <item m="1" x="52"/>
        <item m="1" x="26"/>
        <item m="1" x="21"/>
        <item m="1" x="50"/>
        <item x="11"/>
        <item x="12"/>
        <item m="1" x="39"/>
        <item m="1" x="27"/>
        <item m="1" x="41"/>
        <item m="1" x="53"/>
        <item m="1" x="38"/>
        <item m="1" x="18"/>
        <item m="1" x="36"/>
        <item m="1" x="54"/>
        <item m="1" x="32"/>
        <item m="1" x="34"/>
        <item x="14"/>
        <item m="1" x="31"/>
        <item m="1" x="40"/>
        <item m="1" x="44"/>
        <item m="1" x="25"/>
        <item m="1" x="35"/>
        <item x="3"/>
        <item x="4"/>
        <item x="5"/>
        <item x="6"/>
        <item x="7"/>
        <item x="8"/>
        <item x="9"/>
        <item x="13"/>
        <item x="15"/>
        <item t="default"/>
      </items>
    </pivotField>
    <pivotField axis="axisRow" showAll="0">
      <items count="104">
        <item x="0"/>
        <item x="1"/>
        <item x="2"/>
        <item x="3"/>
        <item x="4"/>
        <item x="5"/>
        <item x="6"/>
        <item x="7"/>
        <item x="8"/>
        <item x="9"/>
        <item x="10"/>
        <item x="11"/>
        <item x="12"/>
        <item x="13"/>
        <item x="14"/>
        <item x="15"/>
        <item x="16"/>
        <item x="17"/>
        <item x="18"/>
        <item x="19"/>
        <item m="1" x="90"/>
        <item m="1" x="96"/>
        <item m="1" x="97"/>
        <item m="1" x="73"/>
        <item m="1" x="74"/>
        <item x="20"/>
        <item x="21"/>
        <item m="1" x="71"/>
        <item m="1" x="82"/>
        <item m="1" x="91"/>
        <item x="22"/>
        <item m="1" x="92"/>
        <item x="23"/>
        <item x="25"/>
        <item x="26"/>
        <item m="1" x="69"/>
        <item x="28"/>
        <item m="1" x="101"/>
        <item m="1" x="76"/>
        <item m="1" x="80"/>
        <item m="1" x="70"/>
        <item m="1" x="84"/>
        <item m="1" x="85"/>
        <item m="1" x="86"/>
        <item m="1" x="75"/>
        <item m="1" x="78"/>
        <item m="1" x="77"/>
        <item x="30"/>
        <item x="31"/>
        <item x="32"/>
        <item x="33"/>
        <item x="34"/>
        <item m="1" x="66"/>
        <item m="1" x="102"/>
        <item m="1" x="87"/>
        <item m="1" x="88"/>
        <item m="1" x="89"/>
        <item m="1" x="72"/>
        <item m="1" x="83"/>
        <item m="1" x="65"/>
        <item m="1" x="79"/>
        <item m="1" x="99"/>
        <item x="38"/>
        <item m="1" x="98"/>
        <item m="1" x="94"/>
        <item m="1" x="95"/>
        <item m="1" x="67"/>
        <item m="1" x="68"/>
        <item m="1" x="93"/>
        <item m="1" x="100"/>
        <item m="1" x="81"/>
        <item x="44"/>
        <item x="45"/>
        <item x="46"/>
        <item x="47"/>
        <item x="48"/>
        <item x="49"/>
        <item x="50"/>
        <item x="51"/>
        <item x="52"/>
        <item x="53"/>
        <item x="54"/>
        <item x="55"/>
        <item x="56"/>
        <item x="57"/>
        <item x="58"/>
        <item x="59"/>
        <item x="60"/>
        <item x="61"/>
        <item x="62"/>
        <item x="63"/>
        <item x="64"/>
        <item x="24"/>
        <item x="27"/>
        <item x="29"/>
        <item x="35"/>
        <item x="37"/>
        <item x="36"/>
        <item x="39"/>
        <item x="40"/>
        <item x="41"/>
        <item x="42"/>
        <item x="43"/>
        <item t="default"/>
      </items>
    </pivotField>
    <pivotField axis="axisRow" showAll="0">
      <items count="167">
        <item x="4"/>
        <item m="1" x="139"/>
        <item m="1" x="138"/>
        <item m="1" x="73"/>
        <item m="1" x="144"/>
        <item m="1" x="98"/>
        <item m="1" x="112"/>
        <item m="1" x="99"/>
        <item m="1" x="162"/>
        <item m="1" x="165"/>
        <item m="1" x="113"/>
        <item m="1" x="159"/>
        <item m="1" x="146"/>
        <item m="1" x="140"/>
        <item m="1" x="104"/>
        <item m="1" x="161"/>
        <item m="1" x="82"/>
        <item m="1" x="160"/>
        <item m="1" x="109"/>
        <item m="1" x="117"/>
        <item m="1" x="118"/>
        <item m="1" x="105"/>
        <item m="1" x="78"/>
        <item m="1" x="101"/>
        <item m="1" x="158"/>
        <item m="1" x="120"/>
        <item m="1" x="85"/>
        <item m="1" x="92"/>
        <item m="1" x="142"/>
        <item m="1" x="145"/>
        <item m="1" x="93"/>
        <item m="1" x="128"/>
        <item m="1" x="141"/>
        <item m="1" x="103"/>
        <item m="1" x="116"/>
        <item m="1" x="157"/>
        <item m="1" x="136"/>
        <item m="1" x="129"/>
        <item m="1" x="164"/>
        <item m="1" x="124"/>
        <item m="1" x="149"/>
        <item m="1" x="130"/>
        <item m="1" x="74"/>
        <item m="1" x="131"/>
        <item m="1" x="75"/>
        <item m="1" x="76"/>
        <item m="1" x="153"/>
        <item m="1" x="127"/>
        <item m="1" x="150"/>
        <item m="1" x="151"/>
        <item m="1" x="94"/>
        <item m="1" x="95"/>
        <item m="1" x="147"/>
        <item m="1" x="154"/>
        <item m="1" x="71"/>
        <item m="1" x="72"/>
        <item m="1" x="156"/>
        <item m="1" x="107"/>
        <item m="1" x="67"/>
        <item m="1" x="86"/>
        <item m="1" x="87"/>
        <item m="1" x="88"/>
        <item m="1" x="96"/>
        <item m="1" x="126"/>
        <item m="1" x="77"/>
        <item m="1" x="84"/>
        <item m="1" x="135"/>
        <item m="1" x="89"/>
        <item m="1" x="90"/>
        <item m="1" x="91"/>
        <item m="1" x="108"/>
        <item m="1" x="155"/>
        <item m="1" x="106"/>
        <item m="1" x="123"/>
        <item m="1" x="100"/>
        <item m="1" x="97"/>
        <item m="1" x="152"/>
        <item m="1" x="110"/>
        <item m="1" x="111"/>
        <item m="1" x="132"/>
        <item m="1" x="133"/>
        <item m="1" x="137"/>
        <item m="1" x="125"/>
        <item m="1" x="70"/>
        <item m="1" x="143"/>
        <item m="1" x="81"/>
        <item m="1" x="114"/>
        <item m="1" x="80"/>
        <item m="1" x="119"/>
        <item m="1" x="115"/>
        <item m="1" x="134"/>
        <item x="0"/>
        <item x="1"/>
        <item x="2"/>
        <item x="3"/>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m="1" x="163"/>
        <item x="38"/>
        <item x="39"/>
        <item m="1" x="83"/>
        <item m="1" x="121"/>
        <item m="1" x="122"/>
        <item m="1" x="68"/>
        <item m="1" x="69"/>
        <item m="1" x="148"/>
        <item m="1" x="79"/>
        <item m="1" x="102"/>
        <item x="45"/>
        <item x="46"/>
        <item x="47"/>
        <item x="48"/>
        <item x="49"/>
        <item x="50"/>
        <item x="51"/>
        <item x="52"/>
        <item x="53"/>
        <item x="54"/>
        <item x="55"/>
        <item x="56"/>
        <item x="57"/>
        <item x="58"/>
        <item x="59"/>
        <item x="60"/>
        <item x="61"/>
        <item x="62"/>
        <item x="63"/>
        <item x="64"/>
        <item x="65"/>
        <item x="66"/>
        <item x="37"/>
        <item x="40"/>
        <item x="41"/>
        <item x="42"/>
        <item x="43"/>
        <item x="44"/>
        <item t="default"/>
      </items>
    </pivotField>
    <pivotField axis="axisRow" showAll="0">
      <items count="46">
        <item x="1"/>
        <item m="1" x="32"/>
        <item m="1" x="41"/>
        <item m="1" x="34"/>
        <item m="1" x="22"/>
        <item m="1" x="44"/>
        <item m="1" x="33"/>
        <item m="1" x="35"/>
        <item m="1" x="16"/>
        <item m="1" x="25"/>
        <item m="1" x="30"/>
        <item m="1" x="40"/>
        <item m="1" x="26"/>
        <item m="1" x="36"/>
        <item m="1" x="42"/>
        <item m="1" x="20"/>
        <item m="1" x="27"/>
        <item m="1" x="29"/>
        <item m="1" x="21"/>
        <item m="1" x="18"/>
        <item m="1" x="28"/>
        <item m="1" x="37"/>
        <item m="1" x="23"/>
        <item m="1" x="19"/>
        <item m="1" x="38"/>
        <item m="1" x="17"/>
        <item m="1" x="14"/>
        <item m="1" x="39"/>
        <item m="1" x="24"/>
        <item m="1" x="15"/>
        <item m="1" x="43"/>
        <item m="1" x="31"/>
        <item x="0"/>
        <item x="2"/>
        <item x="3"/>
        <item x="4"/>
        <item x="5"/>
        <item x="6"/>
        <item x="7"/>
        <item x="8"/>
        <item x="9"/>
        <item x="10"/>
        <item x="11"/>
        <item x="12"/>
        <item x="13"/>
        <item t="default"/>
      </items>
    </pivotField>
    <pivotField axis="axisRow" showAll="0">
      <items count="13">
        <item x="1"/>
        <item x="0"/>
        <item x="2"/>
        <item x="3"/>
        <item x="4"/>
        <item x="5"/>
        <item m="1" x="7"/>
        <item m="1" x="11"/>
        <item m="1" x="9"/>
        <item m="1" x="8"/>
        <item m="1" x="10"/>
        <item x="6"/>
        <item t="default"/>
      </items>
    </pivotField>
    <pivotField axis="axisRow" showAll="0">
      <items count="117">
        <item x="0"/>
        <item x="59"/>
        <item x="60"/>
        <item x="61"/>
        <item x="62"/>
        <item x="63"/>
        <item x="64"/>
        <item x="65"/>
        <item x="66"/>
        <item x="67"/>
        <item x="68"/>
        <item x="69"/>
        <item x="2"/>
        <item x="3"/>
        <item x="1"/>
        <item m="1" x="85"/>
        <item m="1" x="71"/>
        <item x="4"/>
        <item x="5"/>
        <item x="6"/>
        <item x="7"/>
        <item x="8"/>
        <item x="9"/>
        <item x="10"/>
        <item x="11"/>
        <item m="1" x="102"/>
        <item m="1" x="107"/>
        <item m="1" x="108"/>
        <item m="1" x="109"/>
        <item m="1" x="79"/>
        <item m="1" x="104"/>
        <item m="1" x="70"/>
        <item m="1" x="110"/>
        <item m="1" x="74"/>
        <item m="1" x="80"/>
        <item m="1" x="88"/>
        <item m="1" x="72"/>
        <item m="1" x="89"/>
        <item m="1" x="99"/>
        <item m="1" x="86"/>
        <item m="1" x="76"/>
        <item m="1" x="115"/>
        <item m="1" x="91"/>
        <item m="1" x="100"/>
        <item m="1" x="97"/>
        <item m="1" x="96"/>
        <item m="1" x="98"/>
        <item m="1" x="77"/>
        <item m="1" x="83"/>
        <item m="1" x="111"/>
        <item m="1" x="93"/>
        <item m="1" x="82"/>
        <item m="1" x="90"/>
        <item x="43"/>
        <item x="44"/>
        <item m="1" x="103"/>
        <item m="1" x="101"/>
        <item m="1" x="114"/>
        <item m="1" x="94"/>
        <item m="1" x="84"/>
        <item m="1" x="75"/>
        <item m="1" x="105"/>
        <item m="1" x="113"/>
        <item m="1" x="95"/>
        <item x="54"/>
        <item m="1" x="87"/>
        <item m="1" x="81"/>
        <item m="1" x="73"/>
        <item m="1" x="106"/>
        <item m="1" x="92"/>
        <item x="12"/>
        <item x="13"/>
        <item x="14"/>
        <item x="15"/>
        <item x="16"/>
        <item x="17"/>
        <item x="18"/>
        <item x="19"/>
        <item x="20"/>
        <item x="21"/>
        <item x="22"/>
        <item x="23"/>
        <item x="24"/>
        <item x="36"/>
        <item x="37"/>
        <item x="38"/>
        <item x="39"/>
        <item x="40"/>
        <item x="41"/>
        <item m="1" x="112"/>
        <item x="45"/>
        <item x="46"/>
        <item x="47"/>
        <item x="48"/>
        <item m="1" x="78"/>
        <item x="50"/>
        <item x="51"/>
        <item x="52"/>
        <item x="53"/>
        <item x="25"/>
        <item x="26"/>
        <item x="27"/>
        <item x="28"/>
        <item x="29"/>
        <item x="30"/>
        <item x="31"/>
        <item x="32"/>
        <item x="33"/>
        <item x="34"/>
        <item x="35"/>
        <item x="42"/>
        <item x="49"/>
        <item x="55"/>
        <item x="56"/>
        <item x="57"/>
        <item x="58"/>
        <item t="default"/>
      </items>
    </pivotField>
    <pivotField axis="axisRow" showAll="0">
      <items count="49">
        <item x="0"/>
        <item x="1"/>
        <item x="2"/>
        <item x="3"/>
        <item x="4"/>
        <item x="5"/>
        <item x="6"/>
        <item x="7"/>
        <item x="8"/>
        <item x="9"/>
        <item x="10"/>
        <item x="11"/>
        <item x="12"/>
        <item m="1" x="29"/>
        <item m="1" x="38"/>
        <item m="1" x="39"/>
        <item m="1" x="40"/>
        <item m="1" x="44"/>
        <item m="1" x="18"/>
        <item m="1" x="21"/>
        <item m="1" x="41"/>
        <item m="1" x="42"/>
        <item m="1" x="33"/>
        <item m="1" x="17"/>
        <item m="1" x="25"/>
        <item m="1" x="30"/>
        <item m="1" x="45"/>
        <item m="1" x="22"/>
        <item m="1" x="37"/>
        <item m="1" x="46"/>
        <item x="13"/>
        <item x="14"/>
        <item m="1" x="20"/>
        <item m="1" x="28"/>
        <item m="1" x="32"/>
        <item m="1" x="27"/>
        <item m="1" x="34"/>
        <item m="1" x="31"/>
        <item m="1" x="26"/>
        <item m="1" x="36"/>
        <item m="1" x="24"/>
        <item x="15"/>
        <item m="1" x="35"/>
        <item m="1" x="43"/>
        <item m="1" x="47"/>
        <item m="1" x="23"/>
        <item m="1" x="19"/>
        <item x="16"/>
        <item t="default"/>
      </items>
    </pivotField>
    <pivotField axis="axisRow" showAll="0">
      <items count="7">
        <item x="0"/>
        <item x="1"/>
        <item x="2"/>
        <item x="3"/>
        <item m="1" x="5"/>
        <item m="1" x="4"/>
        <item t="default"/>
      </items>
    </pivotField>
    <pivotField axis="axisRow" showAll="0">
      <items count="3">
        <item x="0"/>
        <item m="1" x="1"/>
        <item t="default"/>
      </items>
    </pivotField>
    <pivotField axis="axisRow" showAll="0" defaultSubtotal="0">
      <items count="50">
        <item x="0"/>
        <item x="2"/>
        <item x="4"/>
        <item x="1"/>
        <item m="1" x="27"/>
        <item x="3"/>
        <item x="5"/>
        <item x="6"/>
        <item x="7"/>
        <item x="8"/>
        <item x="9"/>
        <item x="10"/>
        <item x="11"/>
        <item x="12"/>
        <item x="13"/>
        <item x="14"/>
        <item m="1" x="33"/>
        <item m="1" x="30"/>
        <item m="1" x="24"/>
        <item m="1" x="40"/>
        <item m="1" x="32"/>
        <item m="1" x="36"/>
        <item m="1" x="38"/>
        <item m="1" x="35"/>
        <item m="1" x="37"/>
        <item m="1" x="42"/>
        <item m="1" x="46"/>
        <item m="1" x="48"/>
        <item m="1" x="21"/>
        <item m="1" x="29"/>
        <item m="1" x="47"/>
        <item m="1" x="26"/>
        <item x="15"/>
        <item x="16"/>
        <item m="1" x="41"/>
        <item m="1" x="44"/>
        <item m="1" x="19"/>
        <item m="1" x="43"/>
        <item m="1" x="20"/>
        <item m="1" x="45"/>
        <item m="1" x="25"/>
        <item m="1" x="22"/>
        <item m="1" x="49"/>
        <item x="17"/>
        <item m="1" x="31"/>
        <item m="1" x="23"/>
        <item m="1" x="39"/>
        <item m="1" x="28"/>
        <item m="1" x="34"/>
        <item x="18"/>
      </items>
    </pivotField>
    <pivotField axis="axisRow" showAll="0" defaultSubtotal="0">
      <items count="46">
        <item x="0"/>
        <item x="1"/>
        <item x="2"/>
        <item m="1" x="32"/>
        <item x="3"/>
        <item x="4"/>
        <item x="5"/>
        <item x="6"/>
        <item x="7"/>
        <item x="8"/>
        <item x="9"/>
        <item x="10"/>
        <item m="1" x="15"/>
        <item m="1" x="30"/>
        <item m="1" x="31"/>
        <item m="1" x="25"/>
        <item m="1" x="27"/>
        <item m="1" x="21"/>
        <item m="1" x="38"/>
        <item m="1" x="19"/>
        <item m="1" x="20"/>
        <item m="1" x="23"/>
        <item m="1" x="34"/>
        <item m="1" x="29"/>
        <item m="1" x="43"/>
        <item m="1" x="33"/>
        <item m="1" x="28"/>
        <item m="1" x="35"/>
        <item x="11"/>
        <item x="12"/>
        <item m="1" x="41"/>
        <item m="1" x="40"/>
        <item m="1" x="44"/>
        <item m="1" x="16"/>
        <item m="1" x="17"/>
        <item m="1" x="39"/>
        <item m="1" x="42"/>
        <item m="1" x="18"/>
        <item m="1" x="45"/>
        <item x="13"/>
        <item m="1" x="26"/>
        <item m="1" x="24"/>
        <item m="1" x="22"/>
        <item m="1" x="36"/>
        <item m="1" x="37"/>
        <item x="14"/>
      </items>
    </pivotField>
    <pivotField axis="axisRow" showAll="0">
      <items count="2">
        <item x="0"/>
        <item t="default"/>
      </items>
    </pivotField>
    <pivotField axis="axisRow" showAll="0">
      <items count="47">
        <item x="0"/>
        <item x="1"/>
        <item x="2"/>
        <item x="3"/>
        <item x="4"/>
        <item x="5"/>
        <item x="6"/>
        <item x="7"/>
        <item x="8"/>
        <item x="9"/>
        <item x="10"/>
        <item m="1" x="32"/>
        <item m="1" x="36"/>
        <item m="1" x="43"/>
        <item m="1" x="17"/>
        <item m="1" x="26"/>
        <item m="1" x="24"/>
        <item m="1" x="35"/>
        <item m="1" x="29"/>
        <item m="1" x="23"/>
        <item m="1" x="45"/>
        <item m="1" x="44"/>
        <item m="1" x="30"/>
        <item m="1" x="31"/>
        <item m="1" x="34"/>
        <item m="1" x="27"/>
        <item m="1" x="41"/>
        <item m="1" x="22"/>
        <item x="11"/>
        <item x="12"/>
        <item m="1" x="19"/>
        <item m="1" x="16"/>
        <item m="1" x="25"/>
        <item m="1" x="42"/>
        <item m="1" x="38"/>
        <item m="1" x="15"/>
        <item m="1" x="33"/>
        <item m="1" x="18"/>
        <item m="1" x="28"/>
        <item x="13"/>
        <item m="1" x="37"/>
        <item m="1" x="20"/>
        <item m="1" x="40"/>
        <item m="1" x="39"/>
        <item m="1" x="21"/>
        <item x="14"/>
        <item t="default"/>
      </items>
    </pivotField>
    <pivotField axis="axisRow" showAll="0">
      <items count="2">
        <item x="0"/>
        <item t="default"/>
      </items>
    </pivotField>
    <pivotField axis="axisRow" showAll="0">
      <items count="51">
        <item x="0"/>
        <item x="1"/>
        <item x="2"/>
        <item x="3"/>
        <item x="4"/>
        <item x="5"/>
        <item x="6"/>
        <item x="7"/>
        <item x="8"/>
        <item x="9"/>
        <item x="10"/>
        <item x="11"/>
        <item x="12"/>
        <item x="13"/>
        <item m="1" x="42"/>
        <item m="1" x="39"/>
        <item m="1" x="19"/>
        <item m="1" x="36"/>
        <item m="1" x="49"/>
        <item m="1" x="37"/>
        <item m="1" x="43"/>
        <item m="1" x="24"/>
        <item m="1" x="45"/>
        <item m="1" x="41"/>
        <item m="1" x="23"/>
        <item m="1" x="34"/>
        <item m="1" x="21"/>
        <item m="1" x="38"/>
        <item m="1" x="30"/>
        <item m="1" x="48"/>
        <item m="1" x="33"/>
        <item x="14"/>
        <item x="15"/>
        <item m="1" x="31"/>
        <item m="1" x="29"/>
        <item m="1" x="28"/>
        <item m="1" x="47"/>
        <item m="1" x="25"/>
        <item m="1" x="40"/>
        <item m="1" x="46"/>
        <item m="1" x="26"/>
        <item m="1" x="27"/>
        <item x="17"/>
        <item m="1" x="22"/>
        <item m="1" x="20"/>
        <item m="1" x="44"/>
        <item m="1" x="35"/>
        <item m="1" x="32"/>
        <item x="16"/>
        <item x="18"/>
        <item t="default"/>
      </items>
    </pivotField>
    <pivotField axis="axisRow" showAll="0">
      <items count="2">
        <item x="0"/>
        <item t="default"/>
      </items>
    </pivotField>
    <pivotField axis="axisRow" showAll="0">
      <items count="2">
        <item x="0"/>
        <item t="default"/>
      </items>
    </pivotField>
    <pivotField axis="axisRow" showAll="0">
      <items count="2">
        <item x="0"/>
        <item t="default"/>
      </items>
    </pivotField>
    <pivotField axis="axisRow" showAll="0">
      <items count="2">
        <item x="0"/>
        <item t="default"/>
      </items>
    </pivotField>
    <pivotField axis="axisRow" showAll="0">
      <items count="2">
        <item x="0"/>
        <item t="default"/>
      </items>
    </pivotField>
    <pivotField axis="axisRow" showAll="0">
      <items count="38">
        <item x="0"/>
        <item x="1"/>
        <item x="2"/>
        <item x="3"/>
        <item x="4"/>
        <item x="5"/>
        <item x="6"/>
        <item x="7"/>
        <item x="8"/>
        <item x="9"/>
        <item m="1" x="12"/>
        <item m="1" x="13"/>
        <item m="1" x="14"/>
        <item m="1" x="15"/>
        <item m="1" x="28"/>
        <item m="1" x="32"/>
        <item m="1" x="16"/>
        <item m="1" x="33"/>
        <item m="1" x="34"/>
        <item m="1" x="26"/>
        <item m="1" x="29"/>
        <item m="1" x="30"/>
        <item m="1" x="17"/>
        <item m="1" x="18"/>
        <item m="1" x="22"/>
        <item m="1" x="23"/>
        <item x="10"/>
        <item x="11"/>
        <item m="1" x="27"/>
        <item m="1" x="19"/>
        <item m="1" x="24"/>
        <item m="1" x="20"/>
        <item m="1" x="25"/>
        <item m="1" x="31"/>
        <item m="1" x="21"/>
        <item m="1" x="35"/>
        <item m="1" x="36"/>
        <item t="default"/>
      </items>
    </pivotField>
    <pivotField axis="axisRow" showAll="0">
      <items count="77">
        <item x="0"/>
        <item x="2"/>
        <item x="3"/>
        <item x="1"/>
        <item m="1" x="61"/>
        <item x="4"/>
        <item x="5"/>
        <item x="6"/>
        <item x="7"/>
        <item x="8"/>
        <item x="9"/>
        <item x="10"/>
        <item x="11"/>
        <item m="1" x="45"/>
        <item m="1" x="64"/>
        <item m="1" x="65"/>
        <item m="1" x="51"/>
        <item m="1" x="54"/>
        <item m="1" x="44"/>
        <item m="1" x="63"/>
        <item m="1" x="52"/>
        <item m="1" x="53"/>
        <item m="1" x="57"/>
        <item m="1" x="67"/>
        <item m="1" x="75"/>
        <item m="1" x="56"/>
        <item m="1" x="62"/>
        <item m="1" x="74"/>
        <item m="1" x="55"/>
        <item x="31"/>
        <item x="32"/>
        <item m="1" x="69"/>
        <item m="1" x="59"/>
        <item m="1" x="58"/>
        <item m="1" x="68"/>
        <item m="1" x="48"/>
        <item m="1" x="72"/>
        <item m="1" x="71"/>
        <item m="1" x="73"/>
        <item x="42"/>
        <item m="1" x="50"/>
        <item m="1" x="70"/>
        <item m="1" x="60"/>
        <item m="1" x="46"/>
        <item m="1" x="47"/>
        <item x="12"/>
        <item x="13"/>
        <item x="14"/>
        <item x="15"/>
        <item x="16"/>
        <item x="17"/>
        <item x="18"/>
        <item x="19"/>
        <item x="20"/>
        <item x="21"/>
        <item x="22"/>
        <item x="23"/>
        <item x="24"/>
        <item x="25"/>
        <item x="26"/>
        <item x="27"/>
        <item x="28"/>
        <item x="29"/>
        <item m="1" x="66"/>
        <item x="33"/>
        <item x="34"/>
        <item x="35"/>
        <item x="36"/>
        <item m="1" x="49"/>
        <item x="38"/>
        <item x="39"/>
        <item x="40"/>
        <item x="41"/>
        <item x="30"/>
        <item x="37"/>
        <item x="43"/>
        <item t="default"/>
      </items>
    </pivotField>
    <pivotField axis="axisRow" showAll="0">
      <items count="2">
        <item x="0"/>
        <item t="default"/>
      </items>
    </pivotField>
    <pivotField axis="axisRow" showAll="0">
      <items count="5">
        <item x="0"/>
        <item x="1"/>
        <item x="2"/>
        <item x="3"/>
        <item t="default"/>
      </items>
    </pivotField>
    <pivotField axis="axisRow" showAll="0">
      <items count="2">
        <item x="0"/>
        <item t="default"/>
      </items>
    </pivotField>
    <pivotField axis="axisRow" showAll="0">
      <items count="108">
        <item x="0"/>
        <item m="1" x="73"/>
        <item m="1" x="88"/>
        <item m="1" x="74"/>
        <item m="1" x="54"/>
        <item m="1" x="97"/>
        <item m="1" x="84"/>
        <item m="1" x="86"/>
        <item m="1" x="60"/>
        <item m="1" x="58"/>
        <item m="1" x="83"/>
        <item m="1" x="52"/>
        <item m="1" x="106"/>
        <item m="1" x="85"/>
        <item m="1" x="51"/>
        <item m="1" x="104"/>
        <item m="1" x="48"/>
        <item m="1" x="62"/>
        <item m="1" x="79"/>
        <item m="1" x="75"/>
        <item m="1" x="82"/>
        <item m="1" x="94"/>
        <item m="1" x="40"/>
        <item m="1" x="80"/>
        <item m="1" x="43"/>
        <item m="1" x="59"/>
        <item m="1" x="78"/>
        <item m="1" x="81"/>
        <item m="1" x="49"/>
        <item m="1" x="53"/>
        <item m="1" x="98"/>
        <item m="1" x="66"/>
        <item m="1" x="57"/>
        <item m="1" x="87"/>
        <item m="1" x="47"/>
        <item m="1" x="76"/>
        <item m="1" x="91"/>
        <item m="1" x="61"/>
        <item m="1" x="72"/>
        <item m="1" x="50"/>
        <item m="1" x="44"/>
        <item m="1" x="55"/>
        <item m="1" x="63"/>
        <item m="1" x="64"/>
        <item m="1" x="90"/>
        <item m="1" x="103"/>
        <item m="1" x="92"/>
        <item m="1" x="68"/>
        <item m="1" x="41"/>
        <item m="1" x="99"/>
        <item m="1" x="77"/>
        <item m="1" x="102"/>
        <item m="1" x="67"/>
        <item m="1" x="95"/>
        <item m="1" x="70"/>
        <item m="1" x="42"/>
        <item m="1" x="65"/>
        <item m="1" x="56"/>
        <item m="1" x="45"/>
        <item m="1" x="100"/>
        <item m="1" x="71"/>
        <item m="1" x="46"/>
        <item m="1" x="101"/>
        <item m="1" x="96"/>
        <item m="1" x="89"/>
        <item m="1" x="69"/>
        <item m="1" x="105"/>
        <item m="1" x="93"/>
        <item x="1"/>
        <item x="2"/>
        <item x="3"/>
        <item x="4"/>
        <item x="5"/>
        <item x="6"/>
        <item x="7"/>
        <item x="8"/>
        <item x="9"/>
        <item x="10"/>
        <item x="11"/>
        <item x="12"/>
        <item x="13"/>
        <item x="14"/>
        <item x="15"/>
        <item x="16"/>
        <item x="17"/>
        <item x="18"/>
        <item x="19"/>
        <item x="20"/>
        <item x="21"/>
        <item x="22"/>
        <item x="23"/>
        <item x="25"/>
        <item x="26"/>
        <item x="27"/>
        <item x="28"/>
        <item x="29"/>
        <item x="30"/>
        <item x="31"/>
        <item x="32"/>
        <item x="33"/>
        <item x="34"/>
        <item x="35"/>
        <item x="36"/>
        <item x="37"/>
        <item x="38"/>
        <item x="39"/>
        <item x="24"/>
        <item t="default"/>
      </items>
    </pivotField>
    <pivotField axis="axisRow" showAll="0">
      <items count="6">
        <item x="0"/>
        <item x="1"/>
        <item x="2"/>
        <item x="3"/>
        <item x="4"/>
        <item t="default"/>
      </items>
    </pivotField>
    <pivotField axis="axisRow" showAll="0">
      <items count="2">
        <item x="0"/>
        <item t="default"/>
      </items>
    </pivotField>
    <pivotField axis="axisRow" showAll="0">
      <items count="7">
        <item x="0"/>
        <item x="1"/>
        <item x="2"/>
        <item x="3"/>
        <item x="4"/>
        <item x="5"/>
        <item t="default"/>
      </items>
    </pivotField>
    <pivotField axis="axisRow" showAll="0">
      <items count="2">
        <item x="0"/>
        <item t="default"/>
      </items>
    </pivotField>
    <pivotField axis="axisRow" showAll="0">
      <items count="4">
        <item x="0"/>
        <item x="1"/>
        <item x="2"/>
        <item t="default"/>
      </items>
    </pivotField>
    <pivotField axis="axisRow" showAll="0">
      <items count="7">
        <item x="0"/>
        <item x="1"/>
        <item x="2"/>
        <item x="3"/>
        <item x="4"/>
        <item x="5"/>
        <item t="default"/>
      </items>
    </pivotField>
    <pivotField axis="axisRow" showAll="0">
      <items count="2">
        <item x="0"/>
        <item t="default"/>
      </items>
    </pivotField>
    <pivotField axis="axisRow" showAll="0">
      <items count="2">
        <item x="0"/>
        <item t="default"/>
      </items>
    </pivotField>
    <pivotField axis="axisRow" showAll="0">
      <items count="2">
        <item x="0"/>
        <item t="default"/>
      </items>
    </pivotField>
    <pivotField axis="axisRow" showAll="0">
      <items count="7">
        <item x="0"/>
        <item x="1"/>
        <item x="2"/>
        <item x="3"/>
        <item x="4"/>
        <item x="5"/>
        <item t="default"/>
      </items>
    </pivotField>
    <pivotField axis="axisRow" showAll="0">
      <items count="2">
        <item x="0"/>
        <item t="default"/>
      </items>
    </pivotField>
    <pivotField axis="axisRow" showAll="0">
      <items count="2">
        <item x="0"/>
        <item t="default"/>
      </items>
    </pivotField>
    <pivotField axis="axisRow" showAll="0">
      <items count="2">
        <item x="0"/>
        <item t="default"/>
      </items>
    </pivotField>
    <pivotField axis="axisRow" showAll="0">
      <items count="2">
        <item x="0"/>
        <item t="default"/>
      </items>
    </pivotField>
    <pivotField axis="axisRow" showAll="0">
      <items count="2">
        <item x="0"/>
        <item t="default"/>
      </items>
    </pivotField>
    <pivotField axis="axisRow" showAll="0">
      <items count="2">
        <item x="0"/>
        <item t="default"/>
      </items>
    </pivotField>
    <pivotField axis="axisRow" showAll="0">
      <items count="2">
        <item x="0"/>
        <item t="default"/>
      </items>
    </pivotField>
    <pivotField axis="axisRow" showAll="0">
      <items count="2">
        <item x="0"/>
        <item t="default"/>
      </items>
    </pivotField>
    <pivotField axis="axisRow" showAll="0">
      <items count="2">
        <item x="0"/>
        <item t="default"/>
      </items>
    </pivotField>
    <pivotField axis="axisRow" showAll="0">
      <items count="2">
        <item x="0"/>
        <item t="default"/>
      </items>
    </pivotField>
    <pivotField axis="axisRow" showAll="0">
      <items count="9">
        <item x="0"/>
        <item x="3"/>
        <item x="4"/>
        <item x="5"/>
        <item x="6"/>
        <item x="7"/>
        <item x="1"/>
        <item x="2"/>
        <item t="default"/>
      </items>
    </pivotField>
    <pivotField axis="axisRow" showAll="0">
      <items count="2">
        <item x="0"/>
        <item t="default"/>
      </items>
    </pivotField>
    <pivotField axis="axisRow" showAll="0">
      <items count="2">
        <item x="0"/>
        <item t="default"/>
      </items>
    </pivotField>
    <pivotField axis="axisRow" showAll="0">
      <items count="4">
        <item x="0"/>
        <item m="1" x="2"/>
        <item x="1"/>
        <item t="default"/>
      </items>
    </pivotField>
    <pivotField axis="axisRow" showAll="0">
      <items count="2">
        <item x="0"/>
        <item t="default"/>
      </items>
    </pivotField>
    <pivotField axis="axisRow" showAll="0">
      <items count="2">
        <item x="0"/>
        <item t="default"/>
      </items>
    </pivotField>
    <pivotField axis="axisRow" showAll="0">
      <items count="4">
        <item x="0"/>
        <item x="1"/>
        <item x="2"/>
        <item t="default"/>
      </items>
    </pivotField>
    <pivotField axis="axisRow" showAll="0">
      <items count="17">
        <item x="0"/>
        <item m="1" x="14"/>
        <item m="1" x="10"/>
        <item m="1" x="11"/>
        <item m="1" x="13"/>
        <item m="1" x="9"/>
        <item m="1" x="15"/>
        <item m="1" x="12"/>
        <item x="8"/>
        <item x="7"/>
        <item x="1"/>
        <item x="2"/>
        <item x="3"/>
        <item x="4"/>
        <item x="5"/>
        <item x="6"/>
        <item t="default"/>
      </items>
    </pivotField>
    <pivotField axis="axisRow" showAll="0">
      <items count="4">
        <item x="0"/>
        <item m="1" x="2"/>
        <item m="1" x="1"/>
        <item t="default"/>
      </items>
    </pivotField>
    <pivotField axis="axisRow" showAll="0">
      <items count="2">
        <item x="0"/>
        <item t="default"/>
      </items>
    </pivotField>
    <pivotField axis="axisRow" showAll="0">
      <items count="2">
        <item x="0"/>
        <item t="default"/>
      </items>
    </pivotField>
    <pivotField axis="axisRow" showAll="0">
      <items count="2">
        <item x="0"/>
        <item t="default"/>
      </items>
    </pivotField>
    <pivotField axis="axisRow" showAll="0">
      <items count="2">
        <item x="0"/>
        <item t="default"/>
      </items>
    </pivotField>
    <pivotField axis="axisRow" showAll="0">
      <items count="2">
        <item x="0"/>
        <item t="default"/>
      </items>
    </pivotField>
    <pivotField axis="axisRow" showAll="0">
      <items count="2">
        <item x="0"/>
        <item t="default"/>
      </items>
    </pivotField>
    <pivotField axis="axisRow" showAll="0">
      <items count="2">
        <item x="0"/>
        <item t="default"/>
      </items>
    </pivotField>
    <pivotField axis="axisRow" showAll="0">
      <items count="2">
        <item x="0"/>
        <item t="default"/>
      </items>
    </pivotField>
    <pivotField axis="axisRow" showAll="0">
      <items count="3">
        <item x="0"/>
        <item x="1"/>
        <item t="default"/>
      </items>
    </pivotField>
    <pivotField axis="axisRow" showAll="0">
      <items count="4">
        <item x="0"/>
        <item x="1"/>
        <item x="2"/>
        <item t="default"/>
      </items>
    </pivotField>
    <pivotField axis="axisRow" showAll="0" defaultSubtotal="0">
      <items count="5">
        <item x="0"/>
        <item m="1" x="4"/>
        <item m="1" x="3"/>
        <item x="1"/>
        <item x="2"/>
      </items>
    </pivotField>
    <pivotField axis="axisRow" showAll="0" defaultSubtotal="0">
      <items count="2">
        <item x="0"/>
        <item x="1"/>
      </items>
    </pivotField>
    <pivotField axis="axisRow" showAll="0" defaultSubtotal="0">
      <items count="2">
        <item x="0"/>
        <item x="1"/>
      </items>
    </pivotField>
    <pivotField axis="axisRow" showAll="0" defaultSubtotal="0">
      <items count="3">
        <item x="0"/>
        <item x="1"/>
        <item x="2"/>
      </items>
    </pivotField>
    <pivotField axis="axisRow" showAll="0" defaultSubtotal="0">
      <items count="3">
        <item x="0"/>
        <item x="1"/>
        <item x="2"/>
      </items>
    </pivotField>
    <pivotField axis="axisRow" showAll="0" defaultSubtotal="0">
      <items count="3">
        <item x="0"/>
        <item x="1"/>
        <item x="2"/>
      </items>
    </pivotField>
    <pivotField axis="axisRow" showAll="0" defaultSubtotal="0">
      <items count="3">
        <item x="0"/>
        <item x="1"/>
        <item x="2"/>
      </items>
    </pivotField>
    <pivotField axis="axisRow" showAll="0" defaultSubtotal="0">
      <items count="2">
        <item x="0"/>
        <item x="1"/>
      </items>
    </pivotField>
    <pivotField axis="axisRow" showAll="0" defaultSubtotal="0">
      <items count="2">
        <item x="0"/>
        <item x="1"/>
      </items>
    </pivotField>
    <pivotField axis="axisRow" showAll="0" defaultSubtotal="0">
      <items count="1">
        <item x="0"/>
      </items>
    </pivotField>
    <pivotField axis="axisRow" showAll="0" defaultSubtotal="0">
      <items count="1">
        <item x="0"/>
      </items>
    </pivotField>
    <pivotField axis="axisRow" showAll="0" defaultSubtotal="0">
      <items count="1">
        <item x="0"/>
      </items>
    </pivotField>
    <pivotField axis="axisRow" showAll="0" defaultSubtotal="0">
      <items count="2">
        <item x="0"/>
        <item x="1"/>
      </items>
    </pivotField>
    <pivotField axis="axisRow" showAll="0" defaultSubtotal="0">
      <items count="2">
        <item x="0"/>
        <item x="1"/>
      </items>
    </pivotField>
    <pivotField axis="axisRow" showAll="0" defaultSubtotal="0">
      <items count="2">
        <item x="0"/>
        <item x="1"/>
      </items>
    </pivotField>
    <pivotField axis="axisRow" showAll="0" defaultSubtotal="0">
      <items count="2">
        <item x="0"/>
        <item x="1"/>
      </items>
    </pivotField>
    <pivotField axis="axisRow" showAll="0" defaultSubtotal="0">
      <items count="3">
        <item x="0"/>
        <item x="1"/>
        <item x="2"/>
      </items>
    </pivotField>
    <pivotField axis="axisRow" showAll="0" defaultSubtotal="0">
      <items count="1">
        <item x="0"/>
      </items>
    </pivotField>
    <pivotField axis="axisRow" showAll="0" defaultSubtotal="0">
      <items count="1">
        <item x="0"/>
      </items>
    </pivotField>
    <pivotField axis="axisRow" showAll="0" defaultSubtotal="0">
      <items count="1">
        <item x="0"/>
      </items>
    </pivotField>
    <pivotField axis="axisRow" showAll="0" defaultSubtotal="0">
      <items count="1">
        <item x="0"/>
      </items>
    </pivotField>
  </pivotFields>
  <rowFields count="94">
    <field x="4"/>
    <field x="190"/>
    <field x="195"/>
    <field x="196"/>
    <field x="197"/>
    <field x="191"/>
    <field x="192"/>
    <field x="193"/>
    <field x="194"/>
    <field x="198"/>
    <field x="199"/>
    <field x="200"/>
    <field x="201"/>
    <field x="202"/>
    <field x="203"/>
    <field x="204"/>
    <field x="205"/>
    <field x="208"/>
    <field x="209"/>
    <field x="210"/>
    <field x="211"/>
    <field x="212"/>
    <field x="213"/>
    <field x="214"/>
    <field x="215"/>
    <field x="216"/>
    <field x="217"/>
    <field x="218"/>
    <field x="219"/>
    <field x="220"/>
    <field x="221"/>
    <field x="222"/>
    <field x="223"/>
    <field x="224"/>
    <field x="225"/>
    <field x="226"/>
    <field x="227"/>
    <field x="228"/>
    <field x="229"/>
    <field x="230"/>
    <field x="231"/>
    <field x="232"/>
    <field x="233"/>
    <field x="234"/>
    <field x="235"/>
    <field x="236"/>
    <field x="237"/>
    <field x="238"/>
    <field x="239"/>
    <field x="240"/>
    <field x="241"/>
    <field x="242"/>
    <field x="243"/>
    <field x="244"/>
    <field x="245"/>
    <field x="246"/>
    <field x="247"/>
    <field x="248"/>
    <field x="249"/>
    <field x="250"/>
    <field x="251"/>
    <field x="252"/>
    <field x="253"/>
    <field x="254"/>
    <field x="255"/>
    <field x="256"/>
    <field x="257"/>
    <field x="258"/>
    <field x="260"/>
    <field x="259"/>
    <field x="261"/>
    <field x="206"/>
    <field x="207"/>
    <field x="262"/>
    <field x="263"/>
    <field x="264"/>
    <field x="265"/>
    <field x="266"/>
    <field x="267"/>
    <field x="268"/>
    <field x="269"/>
    <field x="270"/>
    <field x="271"/>
    <field x="272"/>
    <field x="273"/>
    <field x="274"/>
    <field x="276"/>
    <field x="275"/>
    <field x="277"/>
    <field x="278"/>
    <field x="279"/>
    <field x="280"/>
    <field x="282"/>
    <field x="281"/>
  </rowFields>
  <rowItems count="1025">
    <i>
      <x v="8"/>
    </i>
    <i r="1">
      <x/>
    </i>
    <i r="2">
      <x/>
    </i>
    <i r="3">
      <x/>
    </i>
    <i r="4">
      <x/>
    </i>
    <i r="5">
      <x/>
    </i>
    <i r="6">
      <x/>
    </i>
    <i r="7">
      <x/>
    </i>
    <i r="8">
      <x/>
    </i>
    <i r="9">
      <x/>
    </i>
    <i r="10">
      <x v="152"/>
    </i>
    <i r="11">
      <x/>
    </i>
    <i r="12">
      <x/>
    </i>
    <i r="13">
      <x/>
    </i>
    <i r="14">
      <x/>
    </i>
    <i r="15">
      <x/>
    </i>
    <i r="16">
      <x/>
    </i>
    <i r="17">
      <x/>
    </i>
    <i r="18">
      <x/>
    </i>
    <i r="19">
      <x/>
    </i>
    <i r="20">
      <x/>
    </i>
    <i r="21">
      <x/>
    </i>
    <i r="22">
      <x/>
    </i>
    <i r="23">
      <x/>
    </i>
    <i r="24">
      <x/>
    </i>
    <i r="25">
      <x/>
    </i>
    <i r="26">
      <x/>
    </i>
    <i r="27">
      <x/>
    </i>
    <i r="28">
      <x/>
    </i>
    <i r="29">
      <x/>
    </i>
    <i r="30">
      <x/>
    </i>
    <i r="31">
      <x v="102"/>
    </i>
    <i r="32">
      <x/>
    </i>
    <i r="33">
      <x/>
    </i>
    <i r="34">
      <x/>
    </i>
    <i r="35">
      <x/>
    </i>
    <i r="36">
      <x/>
    </i>
    <i r="37">
      <x/>
    </i>
    <i r="38">
      <x/>
    </i>
    <i r="39">
      <x/>
    </i>
    <i r="40">
      <x/>
    </i>
    <i r="41">
      <x/>
    </i>
    <i r="42">
      <x/>
    </i>
    <i r="43">
      <x/>
    </i>
    <i r="44">
      <x/>
    </i>
    <i r="45">
      <x/>
    </i>
    <i r="46">
      <x/>
    </i>
    <i r="47">
      <x/>
    </i>
    <i r="48">
      <x/>
    </i>
    <i r="49">
      <x/>
    </i>
    <i r="50">
      <x/>
    </i>
    <i r="51">
      <x/>
    </i>
    <i r="52">
      <x/>
    </i>
    <i r="53">
      <x/>
    </i>
    <i r="54">
      <x/>
    </i>
    <i r="55">
      <x/>
    </i>
    <i r="56">
      <x/>
    </i>
    <i r="57">
      <x/>
    </i>
    <i r="58">
      <x/>
    </i>
    <i r="59">
      <x/>
    </i>
    <i r="60">
      <x/>
    </i>
    <i r="61">
      <x/>
    </i>
    <i r="62">
      <x/>
    </i>
    <i r="63">
      <x/>
    </i>
    <i r="64">
      <x/>
    </i>
    <i r="65">
      <x/>
    </i>
    <i r="66">
      <x/>
    </i>
    <i r="67">
      <x/>
    </i>
    <i r="68">
      <x/>
    </i>
    <i r="69">
      <x/>
    </i>
    <i r="70">
      <x/>
    </i>
    <i r="71">
      <x/>
    </i>
    <i r="72">
      <x/>
    </i>
    <i r="73">
      <x/>
    </i>
    <i r="74">
      <x/>
    </i>
    <i r="75">
      <x/>
    </i>
    <i r="76">
      <x/>
    </i>
    <i r="77">
      <x/>
    </i>
    <i r="78">
      <x/>
    </i>
    <i r="79">
      <x/>
    </i>
    <i r="80">
      <x/>
    </i>
    <i r="81">
      <x/>
    </i>
    <i r="82">
      <x/>
    </i>
    <i r="83">
      <x/>
    </i>
    <i r="84">
      <x/>
    </i>
    <i r="85">
      <x/>
    </i>
    <i r="86">
      <x/>
    </i>
    <i r="87">
      <x/>
    </i>
    <i r="88">
      <x/>
    </i>
    <i r="89">
      <x/>
    </i>
    <i r="90">
      <x/>
    </i>
    <i r="91">
      <x/>
    </i>
    <i r="92">
      <x/>
    </i>
    <i r="93">
      <x/>
    </i>
    <i r="1">
      <x v="12"/>
    </i>
    <i r="2">
      <x/>
    </i>
    <i r="3">
      <x/>
    </i>
    <i r="4">
      <x/>
    </i>
    <i r="5">
      <x/>
    </i>
    <i r="6">
      <x/>
    </i>
    <i r="7">
      <x/>
    </i>
    <i r="8">
      <x/>
    </i>
    <i r="9">
      <x v="79"/>
    </i>
    <i r="10">
      <x v="146"/>
    </i>
    <i r="11">
      <x/>
    </i>
    <i r="12">
      <x/>
    </i>
    <i r="13">
      <x/>
    </i>
    <i r="14">
      <x/>
    </i>
    <i r="15">
      <x/>
    </i>
    <i r="16">
      <x/>
    </i>
    <i r="17">
      <x/>
    </i>
    <i r="18">
      <x/>
    </i>
    <i r="19">
      <x/>
    </i>
    <i r="20">
      <x/>
    </i>
    <i r="21">
      <x/>
    </i>
    <i r="22">
      <x/>
    </i>
    <i r="23">
      <x/>
    </i>
    <i r="24">
      <x/>
    </i>
    <i r="25">
      <x/>
    </i>
    <i r="26">
      <x/>
    </i>
    <i r="27">
      <x/>
    </i>
    <i r="28">
      <x/>
    </i>
    <i r="29">
      <x/>
    </i>
    <i r="30">
      <x/>
    </i>
    <i r="31">
      <x v="96"/>
    </i>
    <i r="32">
      <x/>
    </i>
    <i r="33">
      <x/>
    </i>
    <i r="34">
      <x/>
    </i>
    <i r="35">
      <x/>
    </i>
    <i r="36">
      <x/>
    </i>
    <i r="37">
      <x/>
    </i>
    <i r="38">
      <x/>
    </i>
    <i r="39">
      <x/>
    </i>
    <i r="40">
      <x/>
    </i>
    <i r="41">
      <x/>
    </i>
    <i r="42">
      <x/>
    </i>
    <i r="43">
      <x/>
    </i>
    <i r="44">
      <x/>
    </i>
    <i r="45">
      <x/>
    </i>
    <i r="46">
      <x/>
    </i>
    <i r="47">
      <x/>
    </i>
    <i r="48">
      <x/>
    </i>
    <i r="49">
      <x/>
    </i>
    <i r="50">
      <x/>
    </i>
    <i r="51">
      <x/>
    </i>
    <i r="52">
      <x/>
    </i>
    <i r="53">
      <x/>
    </i>
    <i r="54">
      <x/>
    </i>
    <i r="55">
      <x/>
    </i>
    <i r="56">
      <x/>
    </i>
    <i r="57">
      <x/>
    </i>
    <i r="58">
      <x/>
    </i>
    <i r="59">
      <x/>
    </i>
    <i r="60">
      <x/>
    </i>
    <i r="61">
      <x/>
    </i>
    <i r="62">
      <x/>
    </i>
    <i r="63">
      <x/>
    </i>
    <i r="64">
      <x/>
    </i>
    <i r="65">
      <x/>
    </i>
    <i r="66">
      <x/>
    </i>
    <i r="67">
      <x/>
    </i>
    <i r="68">
      <x/>
    </i>
    <i r="69">
      <x/>
    </i>
    <i r="70">
      <x/>
    </i>
    <i r="71">
      <x/>
    </i>
    <i r="72">
      <x/>
    </i>
    <i r="73">
      <x/>
    </i>
    <i r="74">
      <x/>
    </i>
    <i r="75">
      <x/>
    </i>
    <i r="76">
      <x/>
    </i>
    <i r="77">
      <x/>
    </i>
    <i r="78">
      <x/>
    </i>
    <i r="79">
      <x/>
    </i>
    <i r="80">
      <x/>
    </i>
    <i r="81">
      <x/>
    </i>
    <i r="82">
      <x/>
    </i>
    <i r="83">
      <x/>
    </i>
    <i r="84">
      <x/>
    </i>
    <i r="85">
      <x/>
    </i>
    <i r="86">
      <x/>
    </i>
    <i r="87">
      <x/>
    </i>
    <i r="88">
      <x/>
    </i>
    <i r="89">
      <x/>
    </i>
    <i r="90">
      <x/>
    </i>
    <i r="91">
      <x/>
    </i>
    <i r="92">
      <x/>
    </i>
    <i r="93">
      <x/>
    </i>
    <i r="1">
      <x v="13"/>
    </i>
    <i r="2">
      <x/>
    </i>
    <i r="3">
      <x/>
    </i>
    <i r="4">
      <x/>
    </i>
    <i r="5">
      <x/>
    </i>
    <i r="6">
      <x/>
    </i>
    <i r="7">
      <x/>
    </i>
    <i r="8">
      <x/>
    </i>
    <i r="9">
      <x v="80"/>
    </i>
    <i r="10">
      <x v="147"/>
    </i>
    <i r="11">
      <x/>
    </i>
    <i r="12">
      <x/>
    </i>
    <i r="13">
      <x/>
    </i>
    <i r="14">
      <x/>
    </i>
    <i r="15">
      <x/>
    </i>
    <i r="16">
      <x/>
    </i>
    <i r="17">
      <x/>
    </i>
    <i r="18">
      <x/>
    </i>
    <i r="19">
      <x/>
    </i>
    <i r="20">
      <x/>
    </i>
    <i r="21">
      <x/>
    </i>
    <i r="22">
      <x/>
    </i>
    <i r="23">
      <x/>
    </i>
    <i r="24">
      <x/>
    </i>
    <i r="25">
      <x/>
    </i>
    <i r="26">
      <x/>
    </i>
    <i r="27">
      <x/>
    </i>
    <i r="28">
      <x/>
    </i>
    <i r="29">
      <x/>
    </i>
    <i r="30">
      <x/>
    </i>
    <i r="31">
      <x v="97"/>
    </i>
    <i r="32">
      <x/>
    </i>
    <i r="33">
      <x/>
    </i>
    <i r="34">
      <x/>
    </i>
    <i r="35">
      <x/>
    </i>
    <i r="36">
      <x/>
    </i>
    <i r="37">
      <x/>
    </i>
    <i r="38">
      <x/>
    </i>
    <i r="39">
      <x/>
    </i>
    <i r="40">
      <x/>
    </i>
    <i r="41">
      <x/>
    </i>
    <i r="42">
      <x/>
    </i>
    <i r="43">
      <x/>
    </i>
    <i r="44">
      <x/>
    </i>
    <i r="45">
      <x/>
    </i>
    <i r="46">
      <x/>
    </i>
    <i r="47">
      <x/>
    </i>
    <i r="48">
      <x/>
    </i>
    <i r="49">
      <x/>
    </i>
    <i r="50">
      <x/>
    </i>
    <i r="51">
      <x/>
    </i>
    <i r="52">
      <x/>
    </i>
    <i r="53">
      <x/>
    </i>
    <i r="54">
      <x/>
    </i>
    <i r="55">
      <x/>
    </i>
    <i r="56">
      <x/>
    </i>
    <i r="57">
      <x/>
    </i>
    <i r="58">
      <x/>
    </i>
    <i r="59">
      <x/>
    </i>
    <i r="60">
      <x/>
    </i>
    <i r="61">
      <x/>
    </i>
    <i r="62">
      <x/>
    </i>
    <i r="63">
      <x/>
    </i>
    <i r="64">
      <x/>
    </i>
    <i r="65">
      <x/>
    </i>
    <i r="66">
      <x/>
    </i>
    <i r="67">
      <x/>
    </i>
    <i r="68">
      <x/>
    </i>
    <i r="69">
      <x/>
    </i>
    <i r="70">
      <x/>
    </i>
    <i r="71">
      <x/>
    </i>
    <i r="72">
      <x/>
    </i>
    <i r="73">
      <x/>
    </i>
    <i r="74">
      <x/>
    </i>
    <i r="75">
      <x/>
    </i>
    <i r="76">
      <x/>
    </i>
    <i r="77">
      <x/>
    </i>
    <i r="78">
      <x/>
    </i>
    <i r="79">
      <x/>
    </i>
    <i r="80">
      <x/>
    </i>
    <i r="81">
      <x/>
    </i>
    <i r="82">
      <x/>
    </i>
    <i r="83">
      <x/>
    </i>
    <i r="84">
      <x/>
    </i>
    <i r="85">
      <x/>
    </i>
    <i r="86">
      <x/>
    </i>
    <i r="87">
      <x/>
    </i>
    <i r="88">
      <x/>
    </i>
    <i r="89">
      <x/>
    </i>
    <i r="90">
      <x/>
    </i>
    <i r="91">
      <x/>
    </i>
    <i r="92">
      <x/>
    </i>
    <i r="93">
      <x/>
    </i>
    <i r="1">
      <x v="14"/>
    </i>
    <i r="2">
      <x/>
    </i>
    <i r="3">
      <x/>
    </i>
    <i r="4">
      <x/>
    </i>
    <i r="5">
      <x/>
    </i>
    <i r="6">
      <x/>
    </i>
    <i r="7">
      <x/>
    </i>
    <i r="8">
      <x/>
    </i>
    <i r="9">
      <x v="81"/>
    </i>
    <i r="10">
      <x v="148"/>
    </i>
    <i r="11">
      <x/>
    </i>
    <i r="12">
      <x/>
    </i>
    <i r="13">
      <x/>
    </i>
    <i r="14">
      <x/>
    </i>
    <i r="15">
      <x/>
    </i>
    <i r="16">
      <x/>
    </i>
    <i r="17">
      <x/>
    </i>
    <i r="18">
      <x/>
    </i>
    <i r="19">
      <x/>
    </i>
    <i r="20">
      <x/>
    </i>
    <i r="21">
      <x/>
    </i>
    <i r="22">
      <x/>
    </i>
    <i r="23">
      <x/>
    </i>
    <i r="24">
      <x/>
    </i>
    <i r="25">
      <x/>
    </i>
    <i r="26">
      <x/>
    </i>
    <i r="27">
      <x/>
    </i>
    <i r="28">
      <x/>
    </i>
    <i r="29">
      <x/>
    </i>
    <i r="30">
      <x/>
    </i>
    <i r="31">
      <x v="98"/>
    </i>
    <i r="32">
      <x/>
    </i>
    <i r="33">
      <x/>
    </i>
    <i r="34">
      <x/>
    </i>
    <i r="35">
      <x/>
    </i>
    <i r="36">
      <x/>
    </i>
    <i r="37">
      <x/>
    </i>
    <i r="38">
      <x/>
    </i>
    <i r="39">
      <x/>
    </i>
    <i r="40">
      <x/>
    </i>
    <i r="41">
      <x/>
    </i>
    <i r="42">
      <x/>
    </i>
    <i r="43">
      <x/>
    </i>
    <i r="44">
      <x/>
    </i>
    <i r="45">
      <x/>
    </i>
    <i r="46">
      <x/>
    </i>
    <i r="47">
      <x/>
    </i>
    <i r="48">
      <x/>
    </i>
    <i r="49">
      <x/>
    </i>
    <i r="50">
      <x/>
    </i>
    <i r="51">
      <x/>
    </i>
    <i r="52">
      <x/>
    </i>
    <i r="53">
      <x/>
    </i>
    <i r="54">
      <x/>
    </i>
    <i r="55">
      <x/>
    </i>
    <i r="56">
      <x/>
    </i>
    <i r="57">
      <x/>
    </i>
    <i r="58">
      <x/>
    </i>
    <i r="59">
      <x/>
    </i>
    <i r="60">
      <x/>
    </i>
    <i r="61">
      <x/>
    </i>
    <i r="62">
      <x/>
    </i>
    <i r="63">
      <x/>
    </i>
    <i r="64">
      <x/>
    </i>
    <i r="65">
      <x/>
    </i>
    <i r="66">
      <x/>
    </i>
    <i r="67">
      <x/>
    </i>
    <i r="68">
      <x/>
    </i>
    <i r="69">
      <x/>
    </i>
    <i r="70">
      <x/>
    </i>
    <i r="71">
      <x/>
    </i>
    <i r="72">
      <x/>
    </i>
    <i r="73">
      <x/>
    </i>
    <i r="74">
      <x/>
    </i>
    <i r="75">
      <x/>
    </i>
    <i r="76">
      <x/>
    </i>
    <i r="77">
      <x/>
    </i>
    <i r="78">
      <x/>
    </i>
    <i r="79">
      <x/>
    </i>
    <i r="80">
      <x/>
    </i>
    <i r="81">
      <x/>
    </i>
    <i r="82">
      <x/>
    </i>
    <i r="83">
      <x/>
    </i>
    <i r="84">
      <x/>
    </i>
    <i r="85">
      <x/>
    </i>
    <i r="86">
      <x/>
    </i>
    <i r="87">
      <x/>
    </i>
    <i r="88">
      <x/>
    </i>
    <i r="89">
      <x/>
    </i>
    <i r="90">
      <x/>
    </i>
    <i r="91">
      <x/>
    </i>
    <i r="92">
      <x/>
    </i>
    <i r="93">
      <x/>
    </i>
    <i r="1">
      <x v="15"/>
    </i>
    <i r="2">
      <x v="193"/>
    </i>
    <i r="3">
      <x/>
    </i>
    <i r="4">
      <x/>
    </i>
    <i r="5">
      <x/>
    </i>
    <i r="6">
      <x/>
    </i>
    <i r="7">
      <x/>
    </i>
    <i r="8">
      <x/>
    </i>
    <i r="9">
      <x v="82"/>
    </i>
    <i r="10">
      <x v="149"/>
    </i>
    <i r="11">
      <x/>
    </i>
    <i r="12">
      <x/>
    </i>
    <i r="13">
      <x/>
    </i>
    <i r="14">
      <x/>
    </i>
    <i r="15">
      <x/>
    </i>
    <i r="16">
      <x/>
    </i>
    <i r="17">
      <x/>
    </i>
    <i r="18">
      <x/>
    </i>
    <i r="19">
      <x/>
    </i>
    <i r="20">
      <x/>
    </i>
    <i r="21">
      <x/>
    </i>
    <i r="22">
      <x/>
    </i>
    <i r="23">
      <x/>
    </i>
    <i r="24">
      <x/>
    </i>
    <i r="25">
      <x/>
    </i>
    <i r="26">
      <x/>
    </i>
    <i r="27">
      <x/>
    </i>
    <i r="28">
      <x/>
    </i>
    <i r="29">
      <x/>
    </i>
    <i r="30">
      <x/>
    </i>
    <i r="31">
      <x v="99"/>
    </i>
    <i r="32">
      <x/>
    </i>
    <i r="33">
      <x/>
    </i>
    <i r="34">
      <x/>
    </i>
    <i r="35">
      <x/>
    </i>
    <i r="36">
      <x/>
    </i>
    <i r="37">
      <x/>
    </i>
    <i r="38">
      <x/>
    </i>
    <i r="39">
      <x/>
    </i>
    <i r="40">
      <x/>
    </i>
    <i r="41">
      <x/>
    </i>
    <i r="42">
      <x/>
    </i>
    <i r="43">
      <x/>
    </i>
    <i r="44">
      <x/>
    </i>
    <i r="45">
      <x/>
    </i>
    <i r="46">
      <x/>
    </i>
    <i r="47">
      <x/>
    </i>
    <i r="48">
      <x/>
    </i>
    <i r="49">
      <x/>
    </i>
    <i r="50">
      <x/>
    </i>
    <i r="51">
      <x/>
    </i>
    <i r="52">
      <x/>
    </i>
    <i r="53">
      <x/>
    </i>
    <i r="54">
      <x/>
    </i>
    <i r="55">
      <x/>
    </i>
    <i r="56">
      <x/>
    </i>
    <i r="57">
      <x/>
    </i>
    <i r="58">
      <x/>
    </i>
    <i r="59">
      <x/>
    </i>
    <i r="60">
      <x/>
    </i>
    <i r="61">
      <x/>
    </i>
    <i r="62">
      <x/>
    </i>
    <i r="63">
      <x/>
    </i>
    <i r="64">
      <x/>
    </i>
    <i r="65">
      <x/>
    </i>
    <i r="66">
      <x/>
    </i>
    <i r="67">
      <x/>
    </i>
    <i r="68">
      <x/>
    </i>
    <i r="69">
      <x/>
    </i>
    <i r="70">
      <x/>
    </i>
    <i r="71">
      <x/>
    </i>
    <i r="72">
      <x/>
    </i>
    <i r="73">
      <x/>
    </i>
    <i r="74">
      <x/>
    </i>
    <i r="75">
      <x/>
    </i>
    <i r="76">
      <x/>
    </i>
    <i r="77">
      <x/>
    </i>
    <i r="78">
      <x/>
    </i>
    <i r="79">
      <x/>
    </i>
    <i r="80">
      <x/>
    </i>
    <i r="81">
      <x/>
    </i>
    <i r="82">
      <x/>
    </i>
    <i r="83">
      <x/>
    </i>
    <i r="84">
      <x/>
    </i>
    <i r="85">
      <x/>
    </i>
    <i r="86">
      <x/>
    </i>
    <i r="87">
      <x/>
    </i>
    <i r="88">
      <x/>
    </i>
    <i r="89">
      <x/>
    </i>
    <i r="90">
      <x/>
    </i>
    <i r="91">
      <x/>
    </i>
    <i r="92">
      <x/>
    </i>
    <i r="93">
      <x/>
    </i>
    <i r="1">
      <x v="16"/>
    </i>
    <i r="2">
      <x v="194"/>
    </i>
    <i r="3">
      <x/>
    </i>
    <i r="4">
      <x/>
    </i>
    <i r="5">
      <x v="38"/>
    </i>
    <i r="6">
      <x/>
    </i>
    <i r="7">
      <x/>
    </i>
    <i r="8">
      <x/>
    </i>
    <i r="9">
      <x v="83"/>
    </i>
    <i r="10">
      <x v="150"/>
    </i>
    <i r="11">
      <x/>
    </i>
    <i r="12">
      <x/>
    </i>
    <i r="13">
      <x/>
    </i>
    <i r="14">
      <x/>
    </i>
    <i r="15">
      <x/>
    </i>
    <i r="16">
      <x/>
    </i>
    <i r="17">
      <x/>
    </i>
    <i r="18">
      <x/>
    </i>
    <i r="19">
      <x/>
    </i>
    <i r="20">
      <x/>
    </i>
    <i r="21">
      <x/>
    </i>
    <i r="22">
      <x/>
    </i>
    <i r="23">
      <x/>
    </i>
    <i r="24">
      <x/>
    </i>
    <i r="25">
      <x/>
    </i>
    <i r="26">
      <x/>
    </i>
    <i r="27">
      <x/>
    </i>
    <i r="28">
      <x/>
    </i>
    <i r="29">
      <x/>
    </i>
    <i r="30">
      <x/>
    </i>
    <i r="31">
      <x v="100"/>
    </i>
    <i r="32">
      <x/>
    </i>
    <i r="33">
      <x/>
    </i>
    <i r="34">
      <x/>
    </i>
    <i r="35">
      <x/>
    </i>
    <i r="36">
      <x/>
    </i>
    <i r="37">
      <x/>
    </i>
    <i r="38">
      <x/>
    </i>
    <i r="39">
      <x/>
    </i>
    <i r="40">
      <x/>
    </i>
    <i r="41">
      <x/>
    </i>
    <i r="42">
      <x/>
    </i>
    <i r="43">
      <x/>
    </i>
    <i r="44">
      <x/>
    </i>
    <i r="45">
      <x/>
    </i>
    <i r="46">
      <x/>
    </i>
    <i r="47">
      <x/>
    </i>
    <i r="48">
      <x/>
    </i>
    <i r="49">
      <x/>
    </i>
    <i r="50">
      <x/>
    </i>
    <i r="51">
      <x/>
    </i>
    <i r="52">
      <x/>
    </i>
    <i r="53">
      <x/>
    </i>
    <i r="54">
      <x/>
    </i>
    <i r="55">
      <x/>
    </i>
    <i r="56">
      <x/>
    </i>
    <i r="57">
      <x/>
    </i>
    <i r="58">
      <x/>
    </i>
    <i r="59">
      <x/>
    </i>
    <i r="60">
      <x/>
    </i>
    <i r="61">
      <x/>
    </i>
    <i r="62">
      <x/>
    </i>
    <i r="63">
      <x/>
    </i>
    <i r="64">
      <x/>
    </i>
    <i r="65">
      <x/>
    </i>
    <i r="66">
      <x/>
    </i>
    <i r="67">
      <x/>
    </i>
    <i r="68">
      <x/>
    </i>
    <i r="69">
      <x/>
    </i>
    <i r="70">
      <x/>
    </i>
    <i r="71">
      <x/>
    </i>
    <i r="72">
      <x/>
    </i>
    <i r="73">
      <x/>
    </i>
    <i r="74">
      <x/>
    </i>
    <i r="75">
      <x/>
    </i>
    <i r="76">
      <x/>
    </i>
    <i r="77">
      <x/>
    </i>
    <i r="78">
      <x/>
    </i>
    <i r="79">
      <x/>
    </i>
    <i r="80">
      <x/>
    </i>
    <i r="81">
      <x/>
    </i>
    <i r="82">
      <x/>
    </i>
    <i r="83">
      <x/>
    </i>
    <i r="84">
      <x/>
    </i>
    <i r="85">
      <x/>
    </i>
    <i r="86">
      <x/>
    </i>
    <i r="87">
      <x/>
    </i>
    <i r="88">
      <x/>
    </i>
    <i r="89">
      <x/>
    </i>
    <i r="90">
      <x/>
    </i>
    <i r="91">
      <x/>
    </i>
    <i r="92">
      <x/>
    </i>
    <i r="93">
      <x/>
    </i>
    <i r="1">
      <x v="17"/>
    </i>
    <i r="2">
      <x/>
    </i>
    <i r="3">
      <x/>
    </i>
    <i r="4">
      <x/>
    </i>
    <i r="5">
      <x/>
    </i>
    <i r="6">
      <x/>
    </i>
    <i r="7">
      <x/>
    </i>
    <i r="8">
      <x/>
    </i>
    <i r="9">
      <x v="84"/>
    </i>
    <i r="10">
      <x v="151"/>
    </i>
    <i r="11">
      <x/>
    </i>
    <i r="12">
      <x/>
    </i>
    <i r="13">
      <x/>
    </i>
    <i r="14">
      <x/>
    </i>
    <i r="15">
      <x/>
    </i>
    <i r="16">
      <x/>
    </i>
    <i r="17">
      <x/>
    </i>
    <i r="18">
      <x/>
    </i>
    <i r="19">
      <x/>
    </i>
    <i r="20">
      <x/>
    </i>
    <i r="21">
      <x/>
    </i>
    <i r="22">
      <x/>
    </i>
    <i r="23">
      <x/>
    </i>
    <i r="24">
      <x/>
    </i>
    <i r="25">
      <x/>
    </i>
    <i r="26">
      <x/>
    </i>
    <i r="27">
      <x/>
    </i>
    <i r="28">
      <x/>
    </i>
    <i r="29">
      <x/>
    </i>
    <i r="30">
      <x/>
    </i>
    <i r="31">
      <x v="101"/>
    </i>
    <i r="32">
      <x/>
    </i>
    <i r="33">
      <x/>
    </i>
    <i r="34">
      <x/>
    </i>
    <i r="35">
      <x/>
    </i>
    <i r="36">
      <x/>
    </i>
    <i r="37">
      <x/>
    </i>
    <i r="38">
      <x/>
    </i>
    <i r="39">
      <x/>
    </i>
    <i r="40">
      <x/>
    </i>
    <i r="41">
      <x/>
    </i>
    <i r="42">
      <x/>
    </i>
    <i r="43">
      <x/>
    </i>
    <i r="44">
      <x/>
    </i>
    <i r="45">
      <x/>
    </i>
    <i r="46">
      <x/>
    </i>
    <i r="47">
      <x/>
    </i>
    <i r="48">
      <x/>
    </i>
    <i r="49">
      <x/>
    </i>
    <i r="50">
      <x/>
    </i>
    <i r="51">
      <x/>
    </i>
    <i r="52">
      <x/>
    </i>
    <i r="53">
      <x/>
    </i>
    <i r="54">
      <x/>
    </i>
    <i r="55">
      <x/>
    </i>
    <i r="56">
      <x/>
    </i>
    <i r="57">
      <x/>
    </i>
    <i r="58">
      <x/>
    </i>
    <i r="59">
      <x/>
    </i>
    <i r="60">
      <x/>
    </i>
    <i r="61">
      <x/>
    </i>
    <i r="62">
      <x/>
    </i>
    <i r="63">
      <x/>
    </i>
    <i r="64">
      <x/>
    </i>
    <i r="65">
      <x/>
    </i>
    <i r="66">
      <x/>
    </i>
    <i r="67">
      <x/>
    </i>
    <i r="68">
      <x/>
    </i>
    <i r="69">
      <x/>
    </i>
    <i r="70">
      <x/>
    </i>
    <i r="71">
      <x/>
    </i>
    <i r="72">
      <x/>
    </i>
    <i r="73">
      <x/>
    </i>
    <i r="74">
      <x/>
    </i>
    <i r="75">
      <x/>
    </i>
    <i r="76">
      <x/>
    </i>
    <i r="77">
      <x/>
    </i>
    <i r="78">
      <x/>
    </i>
    <i r="79">
      <x/>
    </i>
    <i r="80">
      <x/>
    </i>
    <i r="81">
      <x/>
    </i>
    <i r="82">
      <x/>
    </i>
    <i r="83">
      <x/>
    </i>
    <i r="84">
      <x/>
    </i>
    <i r="85">
      <x/>
    </i>
    <i r="86">
      <x/>
    </i>
    <i r="87">
      <x/>
    </i>
    <i r="88">
      <x/>
    </i>
    <i r="89">
      <x/>
    </i>
    <i r="90">
      <x/>
    </i>
    <i r="91">
      <x/>
    </i>
    <i r="92">
      <x/>
    </i>
    <i r="93">
      <x/>
    </i>
    <i r="1">
      <x v="18"/>
    </i>
    <i r="2">
      <x v="195"/>
    </i>
    <i r="3">
      <x/>
    </i>
    <i r="4">
      <x/>
    </i>
    <i r="5">
      <x/>
    </i>
    <i r="6">
      <x/>
    </i>
    <i r="7">
      <x/>
    </i>
    <i r="8">
      <x/>
    </i>
    <i r="9">
      <x v="85"/>
    </i>
    <i r="10">
      <x v="153"/>
    </i>
    <i r="11">
      <x/>
    </i>
    <i r="12">
      <x/>
    </i>
    <i r="13">
      <x/>
    </i>
    <i r="14">
      <x/>
    </i>
    <i r="15">
      <x/>
    </i>
    <i r="16">
      <x/>
    </i>
    <i r="17">
      <x/>
    </i>
    <i r="18">
      <x/>
    </i>
    <i r="19">
      <x/>
    </i>
    <i r="20">
      <x/>
    </i>
    <i r="21">
      <x/>
    </i>
    <i r="22">
      <x/>
    </i>
    <i r="23">
      <x/>
    </i>
    <i r="24">
      <x/>
    </i>
    <i r="25">
      <x/>
    </i>
    <i r="26">
      <x/>
    </i>
    <i r="27">
      <x/>
    </i>
    <i r="28">
      <x/>
    </i>
    <i r="29">
      <x/>
    </i>
    <i r="30">
      <x/>
    </i>
    <i r="31">
      <x v="103"/>
    </i>
    <i r="32">
      <x/>
    </i>
    <i r="33">
      <x/>
    </i>
    <i r="34">
      <x/>
    </i>
    <i r="35">
      <x/>
    </i>
    <i r="36">
      <x/>
    </i>
    <i r="37">
      <x/>
    </i>
    <i r="38">
      <x/>
    </i>
    <i r="39">
      <x/>
    </i>
    <i r="40">
      <x/>
    </i>
    <i r="41">
      <x/>
    </i>
    <i r="42">
      <x/>
    </i>
    <i r="43">
      <x/>
    </i>
    <i r="44">
      <x/>
    </i>
    <i r="45">
      <x/>
    </i>
    <i r="46">
      <x/>
    </i>
    <i r="47">
      <x/>
    </i>
    <i r="48">
      <x/>
    </i>
    <i r="49">
      <x/>
    </i>
    <i r="50">
      <x/>
    </i>
    <i r="51">
      <x/>
    </i>
    <i r="52">
      <x/>
    </i>
    <i r="53">
      <x/>
    </i>
    <i r="54">
      <x/>
    </i>
    <i r="55">
      <x/>
    </i>
    <i r="56">
      <x/>
    </i>
    <i r="57">
      <x/>
    </i>
    <i r="58">
      <x/>
    </i>
    <i r="59">
      <x/>
    </i>
    <i r="60">
      <x/>
    </i>
    <i r="61">
      <x/>
    </i>
    <i r="62">
      <x/>
    </i>
    <i r="63">
      <x/>
    </i>
    <i r="64">
      <x/>
    </i>
    <i r="65">
      <x/>
    </i>
    <i r="66">
      <x/>
    </i>
    <i r="67">
      <x/>
    </i>
    <i r="68">
      <x/>
    </i>
    <i r="69">
      <x/>
    </i>
    <i r="70">
      <x/>
    </i>
    <i r="71">
      <x/>
    </i>
    <i r="72">
      <x/>
    </i>
    <i r="73">
      <x/>
    </i>
    <i r="74">
      <x/>
    </i>
    <i r="75">
      <x/>
    </i>
    <i r="76">
      <x/>
    </i>
    <i r="77">
      <x/>
    </i>
    <i r="78">
      <x/>
    </i>
    <i r="79">
      <x/>
    </i>
    <i r="80">
      <x/>
    </i>
    <i r="81">
      <x/>
    </i>
    <i r="82">
      <x/>
    </i>
    <i r="83">
      <x/>
    </i>
    <i r="84">
      <x/>
    </i>
    <i r="85">
      <x/>
    </i>
    <i r="86">
      <x/>
    </i>
    <i r="87">
      <x/>
    </i>
    <i r="88">
      <x/>
    </i>
    <i r="89">
      <x/>
    </i>
    <i r="90">
      <x/>
    </i>
    <i r="91">
      <x/>
    </i>
    <i r="92">
      <x/>
    </i>
    <i r="93">
      <x/>
    </i>
    <i r="1">
      <x v="19"/>
    </i>
    <i r="2">
      <x/>
    </i>
    <i r="3">
      <x/>
    </i>
    <i r="4">
      <x/>
    </i>
    <i r="5">
      <x/>
    </i>
    <i r="6">
      <x/>
    </i>
    <i r="7">
      <x/>
    </i>
    <i r="8">
      <x/>
    </i>
    <i r="9">
      <x v="86"/>
    </i>
    <i r="10">
      <x v="154"/>
    </i>
    <i r="11">
      <x/>
    </i>
    <i r="12">
      <x/>
    </i>
    <i r="13">
      <x/>
    </i>
    <i r="14">
      <x/>
    </i>
    <i r="15">
      <x/>
    </i>
    <i r="16">
      <x/>
    </i>
    <i r="17">
      <x/>
    </i>
    <i r="18">
      <x/>
    </i>
    <i r="19">
      <x/>
    </i>
    <i r="20">
      <x/>
    </i>
    <i r="21">
      <x/>
    </i>
    <i r="22">
      <x/>
    </i>
    <i r="23">
      <x/>
    </i>
    <i r="24">
      <x/>
    </i>
    <i r="25">
      <x/>
    </i>
    <i r="26">
      <x/>
    </i>
    <i r="27">
      <x/>
    </i>
    <i r="28">
      <x/>
    </i>
    <i r="29">
      <x/>
    </i>
    <i r="30">
      <x/>
    </i>
    <i r="31">
      <x v="104"/>
    </i>
    <i r="32">
      <x/>
    </i>
    <i r="33">
      <x/>
    </i>
    <i r="34">
      <x/>
    </i>
    <i r="35">
      <x/>
    </i>
    <i r="36">
      <x/>
    </i>
    <i r="37">
      <x/>
    </i>
    <i r="38">
      <x/>
    </i>
    <i r="39">
      <x/>
    </i>
    <i r="40">
      <x/>
    </i>
    <i r="41">
      <x/>
    </i>
    <i r="42">
      <x/>
    </i>
    <i r="43">
      <x/>
    </i>
    <i r="44">
      <x/>
    </i>
    <i r="45">
      <x/>
    </i>
    <i r="46">
      <x/>
    </i>
    <i r="47">
      <x/>
    </i>
    <i r="48">
      <x/>
    </i>
    <i r="49">
      <x/>
    </i>
    <i r="50">
      <x/>
    </i>
    <i r="51">
      <x/>
    </i>
    <i r="52">
      <x/>
    </i>
    <i r="53">
      <x/>
    </i>
    <i r="54">
      <x/>
    </i>
    <i r="55">
      <x/>
    </i>
    <i r="56">
      <x/>
    </i>
    <i r="57">
      <x/>
    </i>
    <i r="58">
      <x/>
    </i>
    <i r="59">
      <x/>
    </i>
    <i r="60">
      <x/>
    </i>
    <i r="61">
      <x/>
    </i>
    <i r="62">
      <x/>
    </i>
    <i r="63">
      <x/>
    </i>
    <i r="64">
      <x/>
    </i>
    <i r="65">
      <x/>
    </i>
    <i r="66">
      <x/>
    </i>
    <i r="67">
      <x/>
    </i>
    <i r="68">
      <x/>
    </i>
    <i r="69">
      <x/>
    </i>
    <i r="70">
      <x/>
    </i>
    <i r="71">
      <x/>
    </i>
    <i r="72">
      <x/>
    </i>
    <i r="73">
      <x/>
    </i>
    <i r="74">
      <x/>
    </i>
    <i r="75">
      <x/>
    </i>
    <i r="76">
      <x/>
    </i>
    <i r="77">
      <x/>
    </i>
    <i r="78">
      <x/>
    </i>
    <i r="79">
      <x/>
    </i>
    <i r="80">
      <x/>
    </i>
    <i r="81">
      <x/>
    </i>
    <i r="82">
      <x/>
    </i>
    <i r="83">
      <x/>
    </i>
    <i r="84">
      <x/>
    </i>
    <i r="85">
      <x/>
    </i>
    <i r="86">
      <x/>
    </i>
    <i r="87">
      <x/>
    </i>
    <i r="88">
      <x/>
    </i>
    <i r="89">
      <x/>
    </i>
    <i r="90">
      <x/>
    </i>
    <i r="91">
      <x/>
    </i>
    <i r="92">
      <x/>
    </i>
    <i r="93">
      <x/>
    </i>
    <i r="1">
      <x v="20"/>
    </i>
    <i r="2">
      <x/>
    </i>
    <i r="3">
      <x/>
    </i>
    <i r="4">
      <x/>
    </i>
    <i r="5">
      <x v="39"/>
    </i>
    <i r="6">
      <x/>
    </i>
    <i r="7">
      <x/>
    </i>
    <i r="8">
      <x/>
    </i>
    <i r="9">
      <x v="88"/>
    </i>
    <i r="10">
      <x v="156"/>
    </i>
    <i r="11">
      <x/>
    </i>
    <i r="12">
      <x/>
    </i>
    <i r="13">
      <x/>
    </i>
    <i r="14">
      <x/>
    </i>
    <i r="15">
      <x/>
    </i>
    <i r="16">
      <x/>
    </i>
    <i r="17">
      <x/>
    </i>
    <i r="18">
      <x/>
    </i>
    <i r="19">
      <x/>
    </i>
    <i r="20">
      <x/>
    </i>
    <i r="21">
      <x/>
    </i>
    <i r="22">
      <x/>
    </i>
    <i r="23">
      <x/>
    </i>
    <i r="24">
      <x/>
    </i>
    <i r="25">
      <x/>
    </i>
    <i r="26">
      <x/>
    </i>
    <i r="27">
      <x/>
    </i>
    <i r="28">
      <x/>
    </i>
    <i r="29">
      <x/>
    </i>
    <i r="30">
      <x/>
    </i>
    <i r="31">
      <x/>
    </i>
    <i r="32">
      <x/>
    </i>
    <i r="33">
      <x/>
    </i>
    <i r="34">
      <x/>
    </i>
    <i r="35">
      <x/>
    </i>
    <i r="36">
      <x/>
    </i>
    <i r="37">
      <x/>
    </i>
    <i r="38">
      <x/>
    </i>
    <i r="39">
      <x/>
    </i>
    <i r="40">
      <x/>
    </i>
    <i r="41">
      <x/>
    </i>
    <i r="42">
      <x/>
    </i>
    <i r="43">
      <x/>
    </i>
    <i r="44">
      <x/>
    </i>
    <i r="45">
      <x/>
    </i>
    <i r="46">
      <x/>
    </i>
    <i r="47">
      <x/>
    </i>
    <i r="48">
      <x/>
    </i>
    <i r="49">
      <x/>
    </i>
    <i r="50">
      <x/>
    </i>
    <i r="51">
      <x/>
    </i>
    <i r="52">
      <x/>
    </i>
    <i r="53">
      <x/>
    </i>
    <i r="54">
      <x/>
    </i>
    <i r="55">
      <x/>
    </i>
    <i r="56">
      <x/>
    </i>
    <i r="57">
      <x/>
    </i>
    <i r="58">
      <x/>
    </i>
    <i r="59">
      <x/>
    </i>
    <i r="60">
      <x/>
    </i>
    <i r="61">
      <x/>
    </i>
    <i r="62">
      <x/>
    </i>
    <i r="63">
      <x/>
    </i>
    <i r="64">
      <x/>
    </i>
    <i r="65">
      <x/>
    </i>
    <i r="66">
      <x/>
    </i>
    <i r="67">
      <x/>
    </i>
    <i r="68">
      <x/>
    </i>
    <i r="69">
      <x/>
    </i>
    <i r="70">
      <x/>
    </i>
    <i r="71">
      <x/>
    </i>
    <i r="72">
      <x/>
    </i>
    <i r="73">
      <x/>
    </i>
    <i r="74">
      <x/>
    </i>
    <i r="75">
      <x/>
    </i>
    <i r="76">
      <x/>
    </i>
    <i r="77">
      <x/>
    </i>
    <i r="78">
      <x/>
    </i>
    <i r="79">
      <x/>
    </i>
    <i r="80">
      <x/>
    </i>
    <i r="81">
      <x/>
    </i>
    <i r="82">
      <x/>
    </i>
    <i r="83">
      <x/>
    </i>
    <i r="84">
      <x/>
    </i>
    <i r="85">
      <x/>
    </i>
    <i r="86">
      <x/>
    </i>
    <i r="87">
      <x/>
    </i>
    <i r="88">
      <x/>
    </i>
    <i r="89">
      <x/>
    </i>
    <i r="90">
      <x/>
    </i>
    <i r="91">
      <x/>
    </i>
    <i r="92">
      <x/>
    </i>
    <i r="93">
      <x/>
    </i>
    <i r="1">
      <x v="31"/>
    </i>
    <i r="2">
      <x v="196"/>
    </i>
    <i r="3">
      <x/>
    </i>
    <i r="4">
      <x/>
    </i>
    <i r="5">
      <x/>
    </i>
    <i r="6">
      <x/>
    </i>
    <i r="7">
      <x/>
    </i>
    <i r="8">
      <x/>
    </i>
    <i r="9">
      <x v="87"/>
    </i>
    <i r="10">
      <x v="155"/>
    </i>
    <i r="11">
      <x/>
    </i>
    <i r="12">
      <x/>
    </i>
    <i r="13">
      <x/>
    </i>
    <i r="14">
      <x/>
    </i>
    <i r="15">
      <x/>
    </i>
    <i r="16">
      <x/>
    </i>
    <i r="17">
      <x/>
    </i>
    <i r="18">
      <x/>
    </i>
    <i r="19">
      <x/>
    </i>
    <i r="20">
      <x/>
    </i>
    <i r="21">
      <x/>
    </i>
    <i r="22">
      <x/>
    </i>
    <i r="23">
      <x/>
    </i>
    <i r="24">
      <x/>
    </i>
    <i r="25">
      <x/>
    </i>
    <i r="26">
      <x/>
    </i>
    <i r="27">
      <x/>
    </i>
    <i r="28">
      <x/>
    </i>
    <i r="29">
      <x/>
    </i>
    <i r="30">
      <x/>
    </i>
    <i r="31">
      <x/>
    </i>
    <i r="32">
      <x/>
    </i>
    <i r="33">
      <x/>
    </i>
    <i r="34">
      <x/>
    </i>
    <i r="35">
      <x/>
    </i>
    <i r="36">
      <x/>
    </i>
    <i r="37">
      <x/>
    </i>
    <i r="38">
      <x/>
    </i>
    <i r="39">
      <x/>
    </i>
    <i r="40">
      <x/>
    </i>
    <i r="41">
      <x/>
    </i>
    <i r="42">
      <x/>
    </i>
    <i r="43">
      <x/>
    </i>
    <i r="44">
      <x/>
    </i>
    <i r="45">
      <x/>
    </i>
    <i r="46">
      <x/>
    </i>
    <i r="47">
      <x/>
    </i>
    <i r="48">
      <x/>
    </i>
    <i r="49">
      <x/>
    </i>
    <i r="50">
      <x/>
    </i>
    <i r="51">
      <x/>
    </i>
    <i r="52">
      <x/>
    </i>
    <i r="53">
      <x/>
    </i>
    <i r="54">
      <x/>
    </i>
    <i r="55">
      <x/>
    </i>
    <i r="56">
      <x/>
    </i>
    <i r="57">
      <x/>
    </i>
    <i r="58">
      <x/>
    </i>
    <i r="59">
      <x/>
    </i>
    <i r="60">
      <x/>
    </i>
    <i r="61">
      <x/>
    </i>
    <i r="62">
      <x/>
    </i>
    <i r="63">
      <x/>
    </i>
    <i r="64">
      <x/>
    </i>
    <i r="65">
      <x/>
    </i>
    <i r="66">
      <x/>
    </i>
    <i r="67">
      <x/>
    </i>
    <i r="68">
      <x/>
    </i>
    <i r="69">
      <x/>
    </i>
    <i r="70">
      <x/>
    </i>
    <i r="71">
      <x/>
    </i>
    <i r="72">
      <x/>
    </i>
    <i r="73">
      <x/>
    </i>
    <i r="74">
      <x/>
    </i>
    <i r="75">
      <x/>
    </i>
    <i r="76">
      <x/>
    </i>
    <i r="77">
      <x/>
    </i>
    <i r="78">
      <x/>
    </i>
    <i r="79">
      <x/>
    </i>
    <i r="80">
      <x/>
    </i>
    <i r="81">
      <x/>
    </i>
    <i r="82">
      <x/>
    </i>
    <i r="83">
      <x/>
    </i>
    <i r="84">
      <x/>
    </i>
    <i r="85">
      <x/>
    </i>
    <i r="86">
      <x/>
    </i>
    <i r="87">
      <x/>
    </i>
    <i r="88">
      <x/>
    </i>
    <i r="89">
      <x/>
    </i>
    <i r="90">
      <x/>
    </i>
    <i r="91">
      <x/>
    </i>
    <i r="92">
      <x/>
    </i>
    <i r="93">
      <x/>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xml><?xml version="1.0" encoding="utf-8"?>
<pivotTableDefinition xmlns="http://schemas.openxmlformats.org/spreadsheetml/2006/main" name="PivotTable20" cacheId="4" applyNumberFormats="0" applyBorderFormats="0" applyFontFormats="0" applyPatternFormats="0" applyAlignmentFormats="0" applyWidthHeightFormats="1" dataCaption="Values" missingCaption="None" showMissing="0" updatedVersion="5" minRefreshableVersion="3" useAutoFormatting="1" itemPrintTitles="1" createdVersion="5" indent="0" outline="1" outlineData="1" multipleFieldFilters="0">
  <location ref="A1:A3" firstHeaderRow="1" firstDataRow="1" firstDataCol="1"/>
  <pivotFields count="283">
    <pivotField showAll="0"/>
    <pivotField showAll="0"/>
    <pivotField showAll="0"/>
    <pivotField showAll="0"/>
    <pivotField axis="axisRow" showAll="0">
      <items count="14">
        <item h="1" x="5"/>
        <item h="1" sd="0" x="1"/>
        <item h="1" x="0"/>
        <item h="1" x="4"/>
        <item h="1" x="6"/>
        <item h="1" x="3"/>
        <item h="1" x="7"/>
        <item h="1" x="8"/>
        <item h="1" x="9"/>
        <item sd="0" x="2"/>
        <item h="1" x="10"/>
        <item h="1" x="11"/>
        <item h="1" x="12"/>
        <item t="default"/>
      </items>
    </pivotField>
    <pivotField showAll="0" defaultSubtotal="0"/>
    <pivotField showAll="0" defaultSubtotal="0"/>
    <pivotField showAll="0" defaultSubtotal="0"/>
    <pivotField showAll="0" defaultSubtota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pivotField showAll="0"/>
    <pivotField showAll="0"/>
    <pivotField showAll="0"/>
    <pivotField showAll="0"/>
    <pivotField showAll="0"/>
    <pivotField showAll="0"/>
    <pivotField showAll="0"/>
    <pivotField showAll="0"/>
    <pivotField showAll="0"/>
    <pivotField showAll="0" defaultSubtotal="0"/>
    <pivotField showAll="0" defaultSubtota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defaultSubtotal="0"/>
    <pivotField numFmtId="164" showAll="0" defaultSubtotal="0"/>
    <pivotField numFmtId="164" showAll="0" defaultSubtotal="0"/>
    <pivotField numFmtId="164" showAll="0" defaultSubtotal="0"/>
    <pivotField numFmtId="164" showAll="0" defaultSubtotal="0"/>
    <pivotField numFmtId="164" showAll="0" defaultSubtotal="0"/>
    <pivotField numFmtId="164" showAll="0" defaultSubtotal="0"/>
    <pivotField numFmtId="164" showAll="0" defaultSubtotal="0"/>
    <pivotField numFmtId="164" showAll="0" defaultSubtotal="0"/>
    <pivotField numFmtId="164" showAll="0" defaultSubtotal="0"/>
    <pivotField numFmtId="164" showAll="0" defaultSubtotal="0"/>
    <pivotField numFmtId="164" showAll="0" defaultSubtotal="0"/>
    <pivotField numFmtId="164" showAll="0" defaultSubtotal="0"/>
    <pivotField numFmtId="164" showAll="0" defaultSubtotal="0"/>
    <pivotField numFmtId="164" showAll="0" defaultSubtotal="0"/>
    <pivotField numFmtId="164" showAll="0" defaultSubtotal="0"/>
    <pivotField numFmtId="164" showAll="0" defaultSubtotal="0"/>
    <pivotField numFmtId="164" showAll="0"/>
    <pivotField numFmtId="164" showAll="0" defaultSubtotal="0"/>
    <pivotField numFmtId="164" showAll="0" defaultSubtotal="0"/>
    <pivotField numFmtId="164" showAll="0" defaultSubtotal="0"/>
    <pivotField numFmtId="164" showAll="0" defaultSubtotal="0"/>
    <pivotField numFmtId="164"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Row" showAll="0">
      <items count="106">
        <item x="0"/>
        <item x="29"/>
        <item x="17"/>
        <item x="18"/>
        <item x="20"/>
        <item x="23"/>
        <item m="1" x="68"/>
        <item m="1" x="81"/>
        <item x="32"/>
        <item m="1" x="78"/>
        <item m="1" x="73"/>
        <item m="1" x="83"/>
        <item x="49"/>
        <item x="50"/>
        <item x="51"/>
        <item x="52"/>
        <item x="53"/>
        <item x="54"/>
        <item x="55"/>
        <item x="56"/>
        <item x="58"/>
        <item x="59"/>
        <item x="9"/>
        <item x="16"/>
        <item x="21"/>
        <item x="24"/>
        <item x="31"/>
        <item x="43"/>
        <item x="44"/>
        <item x="45"/>
        <item x="48"/>
        <item x="57"/>
        <item x="60"/>
        <item x="4"/>
        <item x="6"/>
        <item x="25"/>
        <item x="27"/>
        <item x="1"/>
        <item x="2"/>
        <item x="3"/>
        <item x="22"/>
        <item m="1" x="76"/>
        <item m="1" x="90"/>
        <item x="46"/>
        <item x="47"/>
        <item x="5"/>
        <item x="7"/>
        <item x="8"/>
        <item x="10"/>
        <item x="11"/>
        <item x="12"/>
        <item x="13"/>
        <item x="14"/>
        <item x="15"/>
        <item x="19"/>
        <item m="1" x="77"/>
        <item m="1" x="85"/>
        <item m="1" x="86"/>
        <item m="1" x="96"/>
        <item m="1" x="97"/>
        <item m="1" x="89"/>
        <item m="1" x="79"/>
        <item m="1" x="93"/>
        <item m="1" x="94"/>
        <item m="1" x="65"/>
        <item m="1" x="69"/>
        <item m="1" x="95"/>
        <item m="1" x="99"/>
        <item m="1" x="100"/>
        <item m="1" x="101"/>
        <item m="1" x="98"/>
        <item m="1" x="84"/>
        <item x="30"/>
        <item x="33"/>
        <item m="1" x="67"/>
        <item m="1" x="72"/>
        <item m="1" x="102"/>
        <item m="1" x="103"/>
        <item m="1" x="104"/>
        <item m="1" x="66"/>
        <item m="1" x="80"/>
        <item m="1" x="88"/>
        <item m="1" x="82"/>
        <item m="1" x="70"/>
        <item m="1" x="71"/>
        <item x="37"/>
        <item m="1" x="87"/>
        <item m="1" x="74"/>
        <item m="1" x="75"/>
        <item m="1" x="91"/>
        <item m="1" x="92"/>
        <item x="61"/>
        <item x="62"/>
        <item x="63"/>
        <item x="64"/>
        <item x="36"/>
        <item x="34"/>
        <item x="26"/>
        <item x="28"/>
        <item x="35"/>
        <item x="38"/>
        <item x="39"/>
        <item x="40"/>
        <item x="41"/>
        <item x="42"/>
        <item t="default"/>
      </items>
    </pivotField>
    <pivotField axis="axisRow" showAll="0">
      <items count="42">
        <item x="0"/>
        <item m="1" x="21"/>
        <item m="1" x="23"/>
        <item m="1" x="38"/>
        <item m="1" x="32"/>
        <item m="1" x="37"/>
        <item m="1" x="27"/>
        <item m="1" x="40"/>
        <item m="1" x="26"/>
        <item m="1" x="33"/>
        <item m="1" x="39"/>
        <item m="1" x="36"/>
        <item m="1" x="29"/>
        <item m="1" x="25"/>
        <item m="1" x="30"/>
        <item m="1" x="35"/>
        <item m="1" x="24"/>
        <item m="1" x="34"/>
        <item m="1" x="31"/>
        <item m="1" x="28"/>
        <item m="1" x="22"/>
        <item x="1"/>
        <item x="2"/>
        <item x="3"/>
        <item x="4"/>
        <item x="5"/>
        <item x="6"/>
        <item x="7"/>
        <item x="8"/>
        <item x="9"/>
        <item x="10"/>
        <item x="11"/>
        <item x="12"/>
        <item x="13"/>
        <item x="14"/>
        <item x="15"/>
        <item x="16"/>
        <item x="17"/>
        <item x="18"/>
        <item x="19"/>
        <item x="20"/>
        <item t="default"/>
      </items>
    </pivotField>
    <pivotField axis="axisRow" showAll="0">
      <items count="3">
        <item x="0"/>
        <item x="1"/>
        <item t="default"/>
      </items>
    </pivotField>
    <pivotField axis="axisRow" showAll="0">
      <items count="2">
        <item x="0"/>
        <item t="default"/>
      </items>
    </pivotField>
    <pivotField axis="axisRow" showAll="0">
      <items count="2">
        <item x="0"/>
        <item t="default"/>
      </items>
    </pivotField>
    <pivotField axis="axisRow" showAll="0">
      <items count="262">
        <item x="1"/>
        <item m="1" x="242"/>
        <item m="1" x="170"/>
        <item m="1" x="181"/>
        <item m="1" x="260"/>
        <item m="1" x="133"/>
        <item m="1" x="152"/>
        <item m="1" x="164"/>
        <item m="1" x="118"/>
        <item m="1" x="253"/>
        <item m="1" x="103"/>
        <item m="1" x="217"/>
        <item m="1" x="250"/>
        <item m="1" x="247"/>
        <item m="1" x="195"/>
        <item m="1" x="226"/>
        <item m="1" x="109"/>
        <item m="1" x="156"/>
        <item m="1" x="106"/>
        <item m="1" x="112"/>
        <item m="1" x="190"/>
        <item m="1" x="114"/>
        <item m="1" x="168"/>
        <item m="1" x="213"/>
        <item m="1" x="141"/>
        <item m="1" x="209"/>
        <item m="1" x="193"/>
        <item m="1" x="107"/>
        <item m="1" x="159"/>
        <item m="1" x="241"/>
        <item m="1" x="172"/>
        <item m="1" x="120"/>
        <item m="1" x="104"/>
        <item m="1" x="249"/>
        <item m="1" x="199"/>
        <item m="1" x="123"/>
        <item m="1" x="124"/>
        <item m="1" x="214"/>
        <item m="1" x="194"/>
        <item m="1" x="200"/>
        <item m="1" x="153"/>
        <item m="1" x="259"/>
        <item m="1" x="206"/>
        <item m="1" x="139"/>
        <item m="1" x="149"/>
        <item m="1" x="232"/>
        <item m="1" x="228"/>
        <item m="1" x="201"/>
        <item m="1" x="202"/>
        <item m="1" x="252"/>
        <item m="1" x="130"/>
        <item m="1" x="134"/>
        <item m="1" x="143"/>
        <item m="1" x="165"/>
        <item m="1" x="240"/>
        <item m="1" x="155"/>
        <item m="1" x="174"/>
        <item m="1" x="162"/>
        <item m="1" x="117"/>
        <item m="1" x="128"/>
        <item m="1" x="176"/>
        <item m="1" x="225"/>
        <item m="1" x="171"/>
        <item m="1" x="245"/>
        <item m="1" x="129"/>
        <item m="1" x="230"/>
        <item m="1" x="169"/>
        <item m="1" x="231"/>
        <item m="1" x="125"/>
        <item m="1" x="211"/>
        <item m="1" x="138"/>
        <item m="1" x="203"/>
        <item m="1" x="221"/>
        <item m="1" x="105"/>
        <item m="1" x="188"/>
        <item m="1" x="216"/>
        <item m="1" x="192"/>
        <item m="1" x="116"/>
        <item m="1" x="127"/>
        <item m="1" x="229"/>
        <item m="1" x="254"/>
        <item m="1" x="154"/>
        <item m="1" x="185"/>
        <item m="1" x="167"/>
        <item m="1" x="179"/>
        <item m="1" x="258"/>
        <item m="1" x="148"/>
        <item m="1" x="150"/>
        <item m="1" x="157"/>
        <item m="1" x="227"/>
        <item m="1" x="173"/>
        <item m="1" x="239"/>
        <item m="1" x="186"/>
        <item m="1" x="243"/>
        <item m="1" x="140"/>
        <item m="1" x="180"/>
        <item m="1" x="218"/>
        <item m="1" x="158"/>
        <item m="1" x="135"/>
        <item m="1" x="178"/>
        <item m="1" x="205"/>
        <item m="1" x="137"/>
        <item m="1" x="166"/>
        <item x="0"/>
        <item x="2"/>
        <item x="3"/>
        <item x="4"/>
        <item x="5"/>
        <item x="6"/>
        <item x="7"/>
        <item x="8"/>
        <item x="9"/>
        <item x="10"/>
        <item x="11"/>
        <item x="12"/>
        <item x="13"/>
        <item x="14"/>
        <item x="15"/>
        <item m="1" x="212"/>
        <item m="1" x="196"/>
        <item m="1" x="197"/>
        <item m="1" x="251"/>
        <item m="1" x="126"/>
        <item m="1" x="219"/>
        <item m="1" x="257"/>
        <item m="1" x="256"/>
        <item m="1" x="238"/>
        <item m="1" x="234"/>
        <item x="27"/>
        <item m="1" x="182"/>
        <item m="1" x="233"/>
        <item m="1" x="111"/>
        <item m="1" x="131"/>
        <item m="1" x="142"/>
        <item m="1" x="115"/>
        <item m="1" x="236"/>
        <item m="1" x="175"/>
        <item m="1" x="160"/>
        <item m="1" x="102"/>
        <item m="1" x="244"/>
        <item m="1" x="237"/>
        <item m="1" x="145"/>
        <item m="1" x="147"/>
        <item m="1" x="146"/>
        <item m="1" x="121"/>
        <item m="1" x="210"/>
        <item m="1" x="136"/>
        <item m="1" x="198"/>
        <item m="1" x="220"/>
        <item m="1" x="189"/>
        <item m="1" x="255"/>
        <item m="1" x="187"/>
        <item m="1" x="235"/>
        <item x="53"/>
        <item m="1" x="215"/>
        <item m="1" x="151"/>
        <item m="1" x="132"/>
        <item x="57"/>
        <item m="1" x="191"/>
        <item m="1" x="208"/>
        <item m="1" x="248"/>
        <item m="1" x="184"/>
        <item m="1" x="222"/>
        <item m="1" x="110"/>
        <item m="1" x="183"/>
        <item m="1" x="144"/>
        <item m="1" x="177"/>
        <item m="1" x="108"/>
        <item x="69"/>
        <item x="70"/>
        <item m="1" x="113"/>
        <item m="1" x="119"/>
        <item m="1" x="224"/>
        <item m="1" x="122"/>
        <item m="1" x="207"/>
        <item m="1" x="223"/>
        <item x="76"/>
        <item x="77"/>
        <item x="78"/>
        <item x="79"/>
        <item x="80"/>
        <item x="81"/>
        <item x="82"/>
        <item x="83"/>
        <item x="84"/>
        <item x="85"/>
        <item x="86"/>
        <item x="87"/>
        <item x="88"/>
        <item x="89"/>
        <item x="90"/>
        <item x="91"/>
        <item x="92"/>
        <item x="93"/>
        <item x="94"/>
        <item x="95"/>
        <item x="96"/>
        <item x="97"/>
        <item x="98"/>
        <item x="99"/>
        <item x="100"/>
        <item x="101"/>
        <item x="16"/>
        <item x="17"/>
        <item x="18"/>
        <item x="19"/>
        <item x="20"/>
        <item x="21"/>
        <item x="22"/>
        <item x="23"/>
        <item x="24"/>
        <item x="26"/>
        <item x="44"/>
        <item x="45"/>
        <item x="46"/>
        <item x="47"/>
        <item x="48"/>
        <item x="49"/>
        <item m="1" x="246"/>
        <item x="58"/>
        <item x="59"/>
        <item x="60"/>
        <item x="61"/>
        <item m="1" x="163"/>
        <item x="63"/>
        <item x="64"/>
        <item x="25"/>
        <item m="1" x="204"/>
        <item m="1" x="161"/>
        <item x="30"/>
        <item x="31"/>
        <item x="32"/>
        <item x="65"/>
        <item x="66"/>
        <item x="68"/>
        <item x="51"/>
        <item x="67"/>
        <item x="28"/>
        <item x="29"/>
        <item x="33"/>
        <item x="34"/>
        <item x="35"/>
        <item x="36"/>
        <item x="37"/>
        <item x="38"/>
        <item x="39"/>
        <item x="40"/>
        <item x="41"/>
        <item x="42"/>
        <item x="43"/>
        <item x="50"/>
        <item x="52"/>
        <item x="54"/>
        <item x="55"/>
        <item x="56"/>
        <item x="62"/>
        <item x="71"/>
        <item x="72"/>
        <item x="73"/>
        <item x="74"/>
        <item x="75"/>
        <item t="default"/>
      </items>
    </pivotField>
    <pivotField axis="axisRow" showAll="0">
      <items count="82">
        <item x="0"/>
        <item m="1" x="42"/>
        <item m="1" x="78"/>
        <item m="1" x="70"/>
        <item m="1" x="53"/>
        <item m="1" x="47"/>
        <item m="1" x="35"/>
        <item m="1" x="33"/>
        <item m="1" x="23"/>
        <item m="1" x="68"/>
        <item m="1" x="40"/>
        <item m="1" x="80"/>
        <item m="1" x="75"/>
        <item m="1" x="76"/>
        <item m="1" x="46"/>
        <item m="1" x="58"/>
        <item m="1" x="69"/>
        <item m="1" x="13"/>
        <item m="1" x="71"/>
        <item m="1" x="79"/>
        <item m="1" x="18"/>
        <item m="1" x="28"/>
        <item m="1" x="37"/>
        <item m="1" x="49"/>
        <item m="1" x="11"/>
        <item m="1" x="64"/>
        <item m="1" x="55"/>
        <item m="1" x="41"/>
        <item m="1" x="29"/>
        <item m="1" x="27"/>
        <item m="1" x="25"/>
        <item m="1" x="32"/>
        <item m="1" x="36"/>
        <item m="1" x="56"/>
        <item m="1" x="38"/>
        <item m="1" x="48"/>
        <item m="1" x="50"/>
        <item m="1" x="52"/>
        <item m="1" x="17"/>
        <item m="1" x="39"/>
        <item m="1" x="14"/>
        <item m="1" x="10"/>
        <item m="1" x="62"/>
        <item m="1" x="57"/>
        <item x="1"/>
        <item x="2"/>
        <item x="3"/>
        <item m="1" x="73"/>
        <item m="1" x="66"/>
        <item m="1" x="67"/>
        <item m="1" x="60"/>
        <item m="1" x="21"/>
        <item m="1" x="51"/>
        <item m="1" x="59"/>
        <item m="1" x="72"/>
        <item m="1" x="20"/>
        <item m="1" x="63"/>
        <item m="1" x="12"/>
        <item m="1" x="61"/>
        <item m="1" x="34"/>
        <item m="1" x="24"/>
        <item m="1" x="9"/>
        <item m="1" x="45"/>
        <item m="1" x="77"/>
        <item x="4"/>
        <item x="5"/>
        <item m="1" x="65"/>
        <item m="1" x="26"/>
        <item m="1" x="15"/>
        <item m="1" x="16"/>
        <item m="1" x="30"/>
        <item m="1" x="31"/>
        <item m="1" x="74"/>
        <item m="1" x="44"/>
        <item x="6"/>
        <item m="1" x="43"/>
        <item m="1" x="8"/>
        <item m="1" x="22"/>
        <item m="1" x="54"/>
        <item m="1" x="19"/>
        <item x="7"/>
        <item t="default"/>
      </items>
    </pivotField>
    <pivotField axis="axisRow" showAll="0">
      <items count="56">
        <item x="0"/>
        <item x="1"/>
        <item x="2"/>
        <item m="1" x="33"/>
        <item m="1" x="19"/>
        <item m="1" x="29"/>
        <item m="1" x="43"/>
        <item m="1" x="49"/>
        <item m="1" x="48"/>
        <item m="1" x="20"/>
        <item x="10"/>
        <item m="1" x="45"/>
        <item m="1" x="22"/>
        <item m="1" x="23"/>
        <item m="1" x="42"/>
        <item m="1" x="16"/>
        <item m="1" x="17"/>
        <item m="1" x="51"/>
        <item m="1" x="30"/>
        <item m="1" x="28"/>
        <item m="1" x="24"/>
        <item m="1" x="37"/>
        <item m="1" x="47"/>
        <item m="1" x="46"/>
        <item m="1" x="52"/>
        <item m="1" x="26"/>
        <item m="1" x="21"/>
        <item m="1" x="50"/>
        <item x="11"/>
        <item x="12"/>
        <item m="1" x="39"/>
        <item m="1" x="27"/>
        <item m="1" x="41"/>
        <item m="1" x="53"/>
        <item m="1" x="38"/>
        <item m="1" x="18"/>
        <item m="1" x="36"/>
        <item m="1" x="54"/>
        <item m="1" x="32"/>
        <item m="1" x="34"/>
        <item x="14"/>
        <item m="1" x="31"/>
        <item m="1" x="40"/>
        <item m="1" x="44"/>
        <item m="1" x="25"/>
        <item m="1" x="35"/>
        <item x="3"/>
        <item x="4"/>
        <item x="5"/>
        <item x="6"/>
        <item x="7"/>
        <item x="8"/>
        <item x="9"/>
        <item x="13"/>
        <item x="15"/>
        <item t="default"/>
      </items>
    </pivotField>
    <pivotField axis="axisRow" showAll="0">
      <items count="108">
        <item x="0"/>
        <item x="1"/>
        <item x="2"/>
        <item x="3"/>
        <item x="4"/>
        <item x="5"/>
        <item x="6"/>
        <item x="7"/>
        <item x="8"/>
        <item x="9"/>
        <item x="10"/>
        <item x="11"/>
        <item x="12"/>
        <item x="13"/>
        <item x="14"/>
        <item x="15"/>
        <item x="16"/>
        <item x="17"/>
        <item x="18"/>
        <item x="19"/>
        <item m="1" x="92"/>
        <item m="1" x="98"/>
        <item m="1" x="99"/>
        <item m="1" x="74"/>
        <item m="1" x="75"/>
        <item x="20"/>
        <item x="21"/>
        <item m="1" x="72"/>
        <item m="1" x="84"/>
        <item m="1" x="93"/>
        <item x="22"/>
        <item m="1" x="94"/>
        <item x="23"/>
        <item x="25"/>
        <item x="26"/>
        <item m="1" x="69"/>
        <item x="28"/>
        <item m="1" x="104"/>
        <item m="1" x="77"/>
        <item m="1" x="81"/>
        <item m="1" x="70"/>
        <item m="1" x="86"/>
        <item m="1" x="87"/>
        <item m="1" x="88"/>
        <item m="1" x="76"/>
        <item m="1" x="79"/>
        <item m="1" x="78"/>
        <item x="30"/>
        <item x="31"/>
        <item x="32"/>
        <item x="33"/>
        <item x="34"/>
        <item m="1" x="66"/>
        <item m="1" x="106"/>
        <item m="1" x="89"/>
        <item m="1" x="90"/>
        <item m="1" x="91"/>
        <item m="1" x="73"/>
        <item m="1" x="85"/>
        <item m="1" x="65"/>
        <item m="1" x="80"/>
        <item m="1" x="102"/>
        <item x="38"/>
        <item m="1" x="100"/>
        <item m="1" x="96"/>
        <item m="1" x="97"/>
        <item m="1" x="67"/>
        <item m="1" x="68"/>
        <item m="1" x="95"/>
        <item m="1" x="103"/>
        <item m="1" x="83"/>
        <item x="44"/>
        <item x="45"/>
        <item x="46"/>
        <item x="47"/>
        <item x="48"/>
        <item x="49"/>
        <item x="50"/>
        <item x="51"/>
        <item x="52"/>
        <item x="53"/>
        <item x="54"/>
        <item x="55"/>
        <item x="56"/>
        <item x="57"/>
        <item x="58"/>
        <item x="59"/>
        <item x="60"/>
        <item x="61"/>
        <item x="62"/>
        <item x="63"/>
        <item x="64"/>
        <item m="1" x="105"/>
        <item m="1" x="82"/>
        <item m="1" x="71"/>
        <item x="24"/>
        <item m="1" x="101"/>
        <item x="35"/>
        <item x="37"/>
        <item x="27"/>
        <item x="29"/>
        <item x="36"/>
        <item x="39"/>
        <item x="40"/>
        <item x="41"/>
        <item x="42"/>
        <item x="43"/>
        <item t="default"/>
      </items>
    </pivotField>
    <pivotField axis="axisRow" showAll="0">
      <items count="177">
        <item x="4"/>
        <item m="1" x="145"/>
        <item m="1" x="144"/>
        <item m="1" x="73"/>
        <item m="1" x="150"/>
        <item m="1" x="102"/>
        <item m="1" x="116"/>
        <item m="1" x="103"/>
        <item m="1" x="172"/>
        <item m="1" x="175"/>
        <item m="1" x="117"/>
        <item m="1" x="169"/>
        <item m="1" x="153"/>
        <item m="1" x="146"/>
        <item m="1" x="108"/>
        <item m="1" x="171"/>
        <item m="1" x="83"/>
        <item m="1" x="170"/>
        <item m="1" x="113"/>
        <item m="1" x="121"/>
        <item m="1" x="124"/>
        <item m="1" x="109"/>
        <item m="1" x="78"/>
        <item m="1" x="105"/>
        <item m="1" x="168"/>
        <item m="1" x="126"/>
        <item m="1" x="88"/>
        <item m="1" x="96"/>
        <item m="1" x="148"/>
        <item m="1" x="151"/>
        <item m="1" x="97"/>
        <item m="1" x="134"/>
        <item m="1" x="147"/>
        <item m="1" x="107"/>
        <item m="1" x="120"/>
        <item m="1" x="167"/>
        <item m="1" x="142"/>
        <item m="1" x="135"/>
        <item m="1" x="174"/>
        <item m="1" x="130"/>
        <item m="1" x="157"/>
        <item m="1" x="136"/>
        <item m="1" x="74"/>
        <item m="1" x="137"/>
        <item m="1" x="75"/>
        <item m="1" x="76"/>
        <item m="1" x="162"/>
        <item m="1" x="133"/>
        <item m="1" x="158"/>
        <item m="1" x="159"/>
        <item m="1" x="98"/>
        <item m="1" x="99"/>
        <item m="1" x="154"/>
        <item m="1" x="163"/>
        <item m="1" x="71"/>
        <item m="1" x="72"/>
        <item m="1" x="165"/>
        <item m="1" x="111"/>
        <item m="1" x="67"/>
        <item m="1" x="90"/>
        <item m="1" x="91"/>
        <item m="1" x="92"/>
        <item m="1" x="100"/>
        <item m="1" x="132"/>
        <item m="1" x="77"/>
        <item m="1" x="86"/>
        <item m="1" x="141"/>
        <item m="1" x="93"/>
        <item m="1" x="94"/>
        <item m="1" x="95"/>
        <item m="1" x="112"/>
        <item m="1" x="164"/>
        <item m="1" x="110"/>
        <item m="1" x="129"/>
        <item m="1" x="104"/>
        <item m="1" x="101"/>
        <item m="1" x="160"/>
        <item m="1" x="114"/>
        <item m="1" x="115"/>
        <item m="1" x="138"/>
        <item m="1" x="139"/>
        <item m="1" x="143"/>
        <item m="1" x="131"/>
        <item m="1" x="70"/>
        <item m="1" x="149"/>
        <item m="1" x="81"/>
        <item m="1" x="118"/>
        <item m="1" x="80"/>
        <item m="1" x="125"/>
        <item m="1" x="119"/>
        <item m="1" x="140"/>
        <item x="0"/>
        <item x="1"/>
        <item x="2"/>
        <item x="3"/>
        <item x="5"/>
        <item x="6"/>
        <item x="7"/>
        <item x="8"/>
        <item x="9"/>
        <item x="10"/>
        <item x="11"/>
        <item x="12"/>
        <item x="13"/>
        <item x="14"/>
        <item x="15"/>
        <item x="16"/>
        <item x="17"/>
        <item x="18"/>
        <item x="19"/>
        <item x="20"/>
        <item x="23"/>
        <item x="24"/>
        <item x="26"/>
        <item x="27"/>
        <item m="1" x="89"/>
        <item x="29"/>
        <item m="1" x="152"/>
        <item m="1" x="85"/>
        <item m="1" x="123"/>
        <item x="31"/>
        <item x="32"/>
        <item x="33"/>
        <item x="34"/>
        <item x="35"/>
        <item m="1" x="87"/>
        <item m="1" x="82"/>
        <item m="1" x="173"/>
        <item x="39"/>
        <item m="1" x="84"/>
        <item m="1" x="127"/>
        <item m="1" x="128"/>
        <item m="1" x="68"/>
        <item m="1" x="69"/>
        <item m="1" x="155"/>
        <item m="1" x="79"/>
        <item m="1" x="106"/>
        <item x="45"/>
        <item x="46"/>
        <item x="47"/>
        <item x="48"/>
        <item x="49"/>
        <item x="50"/>
        <item x="51"/>
        <item x="52"/>
        <item x="53"/>
        <item x="54"/>
        <item x="55"/>
        <item x="56"/>
        <item x="57"/>
        <item x="58"/>
        <item x="59"/>
        <item x="60"/>
        <item x="61"/>
        <item x="62"/>
        <item x="63"/>
        <item x="64"/>
        <item x="65"/>
        <item x="66"/>
        <item m="1" x="122"/>
        <item m="1" x="166"/>
        <item m="1" x="161"/>
        <item x="21"/>
        <item x="22"/>
        <item x="25"/>
        <item m="1" x="156"/>
        <item x="36"/>
        <item x="38"/>
        <item x="28"/>
        <item x="30"/>
        <item x="37"/>
        <item x="40"/>
        <item x="41"/>
        <item x="42"/>
        <item x="43"/>
        <item x="44"/>
        <item t="default"/>
      </items>
    </pivotField>
    <pivotField axis="axisRow" showAll="0">
      <items count="46">
        <item x="1"/>
        <item m="1" x="32"/>
        <item m="1" x="41"/>
        <item m="1" x="34"/>
        <item m="1" x="22"/>
        <item m="1" x="44"/>
        <item m="1" x="33"/>
        <item m="1" x="35"/>
        <item m="1" x="16"/>
        <item m="1" x="25"/>
        <item m="1" x="30"/>
        <item m="1" x="40"/>
        <item m="1" x="26"/>
        <item m="1" x="36"/>
        <item m="1" x="42"/>
        <item m="1" x="20"/>
        <item m="1" x="27"/>
        <item m="1" x="29"/>
        <item m="1" x="21"/>
        <item m="1" x="18"/>
        <item m="1" x="28"/>
        <item m="1" x="37"/>
        <item m="1" x="23"/>
        <item m="1" x="19"/>
        <item m="1" x="38"/>
        <item m="1" x="17"/>
        <item m="1" x="14"/>
        <item m="1" x="39"/>
        <item m="1" x="24"/>
        <item m="1" x="15"/>
        <item m="1" x="43"/>
        <item m="1" x="31"/>
        <item x="0"/>
        <item x="2"/>
        <item x="3"/>
        <item x="4"/>
        <item x="5"/>
        <item x="6"/>
        <item x="7"/>
        <item x="8"/>
        <item x="9"/>
        <item x="10"/>
        <item x="11"/>
        <item x="12"/>
        <item x="13"/>
        <item t="default"/>
      </items>
    </pivotField>
    <pivotField axis="axisRow" showAll="0">
      <items count="23">
        <item x="1"/>
        <item x="0"/>
        <item x="2"/>
        <item m="1" x="16"/>
        <item m="1" x="8"/>
        <item m="1" x="12"/>
        <item m="1" x="21"/>
        <item m="1" x="14"/>
        <item m="1" x="9"/>
        <item m="1" x="11"/>
        <item m="1" x="20"/>
        <item m="1" x="13"/>
        <item m="1" x="10"/>
        <item x="4"/>
        <item x="5"/>
        <item m="1" x="15"/>
        <item m="1" x="17"/>
        <item m="1" x="19"/>
        <item m="1" x="18"/>
        <item m="1" x="7"/>
        <item x="3"/>
        <item x="6"/>
        <item t="default"/>
      </items>
    </pivotField>
    <pivotField axis="axisRow" showAll="0">
      <items count="117">
        <item x="0"/>
        <item x="59"/>
        <item x="60"/>
        <item x="61"/>
        <item x="62"/>
        <item x="63"/>
        <item x="64"/>
        <item x="65"/>
        <item x="66"/>
        <item x="67"/>
        <item x="68"/>
        <item x="69"/>
        <item x="2"/>
        <item x="3"/>
        <item x="1"/>
        <item m="1" x="85"/>
        <item m="1" x="71"/>
        <item x="4"/>
        <item x="5"/>
        <item x="6"/>
        <item x="7"/>
        <item x="8"/>
        <item x="9"/>
        <item x="10"/>
        <item x="11"/>
        <item m="1" x="102"/>
        <item m="1" x="107"/>
        <item m="1" x="108"/>
        <item m="1" x="109"/>
        <item m="1" x="79"/>
        <item m="1" x="104"/>
        <item m="1" x="70"/>
        <item m="1" x="110"/>
        <item m="1" x="74"/>
        <item m="1" x="80"/>
        <item m="1" x="88"/>
        <item m="1" x="72"/>
        <item m="1" x="89"/>
        <item m="1" x="99"/>
        <item m="1" x="86"/>
        <item m="1" x="76"/>
        <item m="1" x="115"/>
        <item m="1" x="91"/>
        <item m="1" x="100"/>
        <item m="1" x="97"/>
        <item m="1" x="96"/>
        <item m="1" x="98"/>
        <item m="1" x="77"/>
        <item m="1" x="83"/>
        <item m="1" x="111"/>
        <item m="1" x="93"/>
        <item m="1" x="82"/>
        <item m="1" x="90"/>
        <item x="43"/>
        <item x="44"/>
        <item m="1" x="103"/>
        <item m="1" x="101"/>
        <item m="1" x="114"/>
        <item m="1" x="94"/>
        <item m="1" x="84"/>
        <item m="1" x="75"/>
        <item m="1" x="105"/>
        <item m="1" x="113"/>
        <item m="1" x="95"/>
        <item x="54"/>
        <item m="1" x="87"/>
        <item m="1" x="81"/>
        <item m="1" x="73"/>
        <item m="1" x="106"/>
        <item m="1" x="92"/>
        <item x="12"/>
        <item x="13"/>
        <item x="14"/>
        <item x="15"/>
        <item x="16"/>
        <item x="17"/>
        <item x="18"/>
        <item x="19"/>
        <item x="20"/>
        <item x="21"/>
        <item x="36"/>
        <item x="37"/>
        <item x="38"/>
        <item x="39"/>
        <item x="40"/>
        <item x="41"/>
        <item m="1" x="112"/>
        <item x="45"/>
        <item x="46"/>
        <item x="47"/>
        <item x="48"/>
        <item m="1" x="78"/>
        <item x="50"/>
        <item x="51"/>
        <item x="22"/>
        <item x="23"/>
        <item x="24"/>
        <item x="52"/>
        <item x="53"/>
        <item x="25"/>
        <item x="26"/>
        <item x="27"/>
        <item x="28"/>
        <item x="29"/>
        <item x="30"/>
        <item x="31"/>
        <item x="32"/>
        <item x="33"/>
        <item x="34"/>
        <item x="35"/>
        <item x="42"/>
        <item x="49"/>
        <item x="55"/>
        <item x="56"/>
        <item x="57"/>
        <item x="58"/>
        <item t="default"/>
      </items>
    </pivotField>
    <pivotField axis="axisRow" showAll="0">
      <items count="49">
        <item x="0"/>
        <item x="1"/>
        <item x="2"/>
        <item x="3"/>
        <item x="4"/>
        <item x="5"/>
        <item x="6"/>
        <item x="7"/>
        <item x="8"/>
        <item x="9"/>
        <item x="10"/>
        <item x="11"/>
        <item x="12"/>
        <item m="1" x="29"/>
        <item m="1" x="38"/>
        <item m="1" x="39"/>
        <item m="1" x="40"/>
        <item m="1" x="44"/>
        <item m="1" x="18"/>
        <item m="1" x="21"/>
        <item m="1" x="41"/>
        <item m="1" x="42"/>
        <item m="1" x="33"/>
        <item m="1" x="17"/>
        <item m="1" x="25"/>
        <item m="1" x="30"/>
        <item m="1" x="45"/>
        <item m="1" x="22"/>
        <item m="1" x="37"/>
        <item m="1" x="46"/>
        <item x="13"/>
        <item x="14"/>
        <item m="1" x="20"/>
        <item m="1" x="28"/>
        <item m="1" x="32"/>
        <item m="1" x="27"/>
        <item m="1" x="34"/>
        <item m="1" x="31"/>
        <item m="1" x="26"/>
        <item m="1" x="36"/>
        <item m="1" x="24"/>
        <item x="15"/>
        <item m="1" x="35"/>
        <item m="1" x="43"/>
        <item m="1" x="47"/>
        <item m="1" x="23"/>
        <item m="1" x="19"/>
        <item x="16"/>
        <item t="default"/>
      </items>
    </pivotField>
    <pivotField axis="axisRow" showAll="0">
      <items count="7">
        <item x="0"/>
        <item x="1"/>
        <item x="2"/>
        <item x="3"/>
        <item m="1" x="5"/>
        <item m="1" x="4"/>
        <item t="default"/>
      </items>
    </pivotField>
    <pivotField axis="axisRow" showAll="0">
      <items count="3">
        <item x="0"/>
        <item m="1" x="1"/>
        <item t="default"/>
      </items>
    </pivotField>
    <pivotField axis="axisRow" showAll="0" defaultSubtotal="0">
      <items count="50">
        <item x="0"/>
        <item x="2"/>
        <item x="4"/>
        <item x="1"/>
        <item m="1" x="27"/>
        <item x="3"/>
        <item x="5"/>
        <item x="6"/>
        <item x="7"/>
        <item x="8"/>
        <item x="9"/>
        <item x="10"/>
        <item x="11"/>
        <item x="12"/>
        <item x="13"/>
        <item x="14"/>
        <item m="1" x="33"/>
        <item m="1" x="30"/>
        <item m="1" x="24"/>
        <item m="1" x="40"/>
        <item m="1" x="32"/>
        <item m="1" x="36"/>
        <item m="1" x="38"/>
        <item m="1" x="35"/>
        <item m="1" x="37"/>
        <item m="1" x="42"/>
        <item m="1" x="46"/>
        <item m="1" x="48"/>
        <item m="1" x="21"/>
        <item m="1" x="29"/>
        <item m="1" x="47"/>
        <item m="1" x="26"/>
        <item x="15"/>
        <item x="16"/>
        <item m="1" x="41"/>
        <item m="1" x="44"/>
        <item m="1" x="19"/>
        <item m="1" x="43"/>
        <item m="1" x="20"/>
        <item m="1" x="45"/>
        <item m="1" x="25"/>
        <item m="1" x="22"/>
        <item m="1" x="49"/>
        <item x="17"/>
        <item m="1" x="31"/>
        <item m="1" x="23"/>
        <item m="1" x="39"/>
        <item m="1" x="28"/>
        <item m="1" x="34"/>
        <item x="18"/>
      </items>
    </pivotField>
    <pivotField axis="axisRow" showAll="0" defaultSubtotal="0">
      <items count="46">
        <item x="0"/>
        <item x="1"/>
        <item x="2"/>
        <item m="1" x="32"/>
        <item x="3"/>
        <item x="4"/>
        <item x="5"/>
        <item x="6"/>
        <item x="7"/>
        <item x="8"/>
        <item x="9"/>
        <item x="10"/>
        <item m="1" x="15"/>
        <item m="1" x="30"/>
        <item m="1" x="31"/>
        <item m="1" x="25"/>
        <item m="1" x="27"/>
        <item m="1" x="21"/>
        <item m="1" x="38"/>
        <item m="1" x="19"/>
        <item m="1" x="20"/>
        <item m="1" x="23"/>
        <item m="1" x="34"/>
        <item m="1" x="29"/>
        <item m="1" x="43"/>
        <item m="1" x="33"/>
        <item m="1" x="28"/>
        <item m="1" x="35"/>
        <item x="11"/>
        <item x="12"/>
        <item m="1" x="41"/>
        <item m="1" x="40"/>
        <item m="1" x="44"/>
        <item m="1" x="16"/>
        <item m="1" x="17"/>
        <item m="1" x="39"/>
        <item m="1" x="42"/>
        <item m="1" x="18"/>
        <item m="1" x="45"/>
        <item x="13"/>
        <item m="1" x="26"/>
        <item m="1" x="24"/>
        <item m="1" x="22"/>
        <item m="1" x="36"/>
        <item m="1" x="37"/>
        <item x="14"/>
      </items>
    </pivotField>
    <pivotField axis="axisRow" showAll="0">
      <items count="2">
        <item x="0"/>
        <item t="default"/>
      </items>
    </pivotField>
    <pivotField axis="axisRow" showAll="0">
      <items count="47">
        <item x="0"/>
        <item x="1"/>
        <item x="2"/>
        <item x="3"/>
        <item x="4"/>
        <item x="5"/>
        <item x="6"/>
        <item x="7"/>
        <item x="8"/>
        <item x="9"/>
        <item x="10"/>
        <item m="1" x="32"/>
        <item m="1" x="36"/>
        <item m="1" x="43"/>
        <item m="1" x="17"/>
        <item m="1" x="26"/>
        <item m="1" x="24"/>
        <item m="1" x="35"/>
        <item m="1" x="29"/>
        <item m="1" x="23"/>
        <item m="1" x="45"/>
        <item m="1" x="44"/>
        <item m="1" x="30"/>
        <item m="1" x="31"/>
        <item m="1" x="34"/>
        <item m="1" x="27"/>
        <item m="1" x="41"/>
        <item m="1" x="22"/>
        <item x="11"/>
        <item x="12"/>
        <item m="1" x="19"/>
        <item m="1" x="16"/>
        <item m="1" x="25"/>
        <item m="1" x="42"/>
        <item m="1" x="38"/>
        <item m="1" x="15"/>
        <item m="1" x="33"/>
        <item m="1" x="18"/>
        <item m="1" x="28"/>
        <item x="13"/>
        <item m="1" x="37"/>
        <item m="1" x="20"/>
        <item m="1" x="40"/>
        <item m="1" x="39"/>
        <item m="1" x="21"/>
        <item x="14"/>
        <item t="default"/>
      </items>
    </pivotField>
    <pivotField axis="axisRow" showAll="0">
      <items count="2">
        <item x="0"/>
        <item t="default"/>
      </items>
    </pivotField>
    <pivotField axis="axisRow" showAll="0">
      <items count="51">
        <item x="0"/>
        <item x="1"/>
        <item x="2"/>
        <item x="3"/>
        <item x="4"/>
        <item x="5"/>
        <item x="6"/>
        <item x="7"/>
        <item x="8"/>
        <item x="9"/>
        <item x="10"/>
        <item x="11"/>
        <item x="12"/>
        <item x="13"/>
        <item m="1" x="42"/>
        <item m="1" x="39"/>
        <item m="1" x="19"/>
        <item m="1" x="36"/>
        <item m="1" x="49"/>
        <item m="1" x="37"/>
        <item m="1" x="43"/>
        <item m="1" x="24"/>
        <item m="1" x="45"/>
        <item m="1" x="41"/>
        <item m="1" x="23"/>
        <item m="1" x="34"/>
        <item m="1" x="21"/>
        <item m="1" x="38"/>
        <item m="1" x="30"/>
        <item m="1" x="48"/>
        <item m="1" x="33"/>
        <item x="14"/>
        <item x="15"/>
        <item m="1" x="31"/>
        <item m="1" x="29"/>
        <item m="1" x="28"/>
        <item m="1" x="47"/>
        <item m="1" x="25"/>
        <item m="1" x="40"/>
        <item m="1" x="46"/>
        <item m="1" x="26"/>
        <item m="1" x="27"/>
        <item x="17"/>
        <item m="1" x="22"/>
        <item m="1" x="20"/>
        <item m="1" x="44"/>
        <item m="1" x="35"/>
        <item m="1" x="32"/>
        <item x="16"/>
        <item x="18"/>
        <item t="default"/>
      </items>
    </pivotField>
    <pivotField axis="axisRow" showAll="0">
      <items count="2">
        <item x="0"/>
        <item t="default"/>
      </items>
    </pivotField>
    <pivotField axis="axisRow" showAll="0">
      <items count="2">
        <item x="0"/>
        <item t="default"/>
      </items>
    </pivotField>
    <pivotField axis="axisRow" showAll="0">
      <items count="2">
        <item x="0"/>
        <item t="default"/>
      </items>
    </pivotField>
    <pivotField axis="axisRow" showAll="0">
      <items count="2">
        <item x="0"/>
        <item t="default"/>
      </items>
    </pivotField>
    <pivotField axis="axisRow" showAll="0">
      <items count="2">
        <item x="0"/>
        <item t="default"/>
      </items>
    </pivotField>
    <pivotField axis="axisRow" showAll="0">
      <items count="38">
        <item x="0"/>
        <item x="1"/>
        <item x="2"/>
        <item x="3"/>
        <item x="4"/>
        <item x="5"/>
        <item x="6"/>
        <item x="7"/>
        <item x="8"/>
        <item x="9"/>
        <item m="1" x="12"/>
        <item m="1" x="13"/>
        <item m="1" x="14"/>
        <item m="1" x="15"/>
        <item m="1" x="28"/>
        <item m="1" x="32"/>
        <item m="1" x="16"/>
        <item m="1" x="33"/>
        <item m="1" x="34"/>
        <item m="1" x="26"/>
        <item m="1" x="29"/>
        <item m="1" x="30"/>
        <item m="1" x="17"/>
        <item m="1" x="18"/>
        <item m="1" x="22"/>
        <item m="1" x="23"/>
        <item x="10"/>
        <item x="11"/>
        <item m="1" x="27"/>
        <item m="1" x="19"/>
        <item m="1" x="24"/>
        <item m="1" x="20"/>
        <item m="1" x="25"/>
        <item m="1" x="31"/>
        <item m="1" x="21"/>
        <item m="1" x="35"/>
        <item m="1" x="36"/>
        <item t="default"/>
      </items>
    </pivotField>
    <pivotField axis="axisRow" showAll="0">
      <items count="77">
        <item x="0"/>
        <item x="2"/>
        <item x="3"/>
        <item x="1"/>
        <item m="1" x="61"/>
        <item x="4"/>
        <item x="5"/>
        <item x="6"/>
        <item x="7"/>
        <item x="8"/>
        <item x="9"/>
        <item x="10"/>
        <item x="11"/>
        <item m="1" x="45"/>
        <item m="1" x="64"/>
        <item m="1" x="65"/>
        <item m="1" x="51"/>
        <item m="1" x="54"/>
        <item m="1" x="44"/>
        <item m="1" x="63"/>
        <item m="1" x="52"/>
        <item m="1" x="53"/>
        <item m="1" x="57"/>
        <item m="1" x="67"/>
        <item m="1" x="75"/>
        <item m="1" x="56"/>
        <item m="1" x="62"/>
        <item m="1" x="74"/>
        <item m="1" x="55"/>
        <item x="31"/>
        <item x="32"/>
        <item m="1" x="69"/>
        <item m="1" x="59"/>
        <item m="1" x="58"/>
        <item m="1" x="68"/>
        <item m="1" x="48"/>
        <item m="1" x="72"/>
        <item m="1" x="71"/>
        <item m="1" x="73"/>
        <item x="42"/>
        <item m="1" x="50"/>
        <item m="1" x="70"/>
        <item m="1" x="60"/>
        <item m="1" x="46"/>
        <item m="1" x="47"/>
        <item x="12"/>
        <item x="13"/>
        <item x="14"/>
        <item x="15"/>
        <item x="16"/>
        <item x="17"/>
        <item x="18"/>
        <item x="19"/>
        <item x="20"/>
        <item x="24"/>
        <item x="25"/>
        <item x="26"/>
        <item x="27"/>
        <item x="28"/>
        <item x="29"/>
        <item m="1" x="66"/>
        <item x="33"/>
        <item x="34"/>
        <item x="35"/>
        <item x="36"/>
        <item m="1" x="49"/>
        <item x="38"/>
        <item x="39"/>
        <item x="21"/>
        <item x="22"/>
        <item x="23"/>
        <item x="40"/>
        <item x="41"/>
        <item x="30"/>
        <item x="37"/>
        <item x="43"/>
        <item t="default"/>
      </items>
    </pivotField>
    <pivotField axis="axisRow" showAll="0">
      <items count="2">
        <item x="0"/>
        <item t="default"/>
      </items>
    </pivotField>
    <pivotField axis="axisRow" showAll="0">
      <items count="5">
        <item x="0"/>
        <item x="1"/>
        <item x="2"/>
        <item x="3"/>
        <item t="default"/>
      </items>
    </pivotField>
    <pivotField axis="axisRow" showAll="0">
      <items count="2">
        <item x="0"/>
        <item t="default"/>
      </items>
    </pivotField>
    <pivotField axis="axisRow" showAll="0">
      <items count="176">
        <item x="0"/>
        <item m="1" x="103"/>
        <item m="1" x="139"/>
        <item m="1" x="104"/>
        <item m="1" x="64"/>
        <item m="1" x="151"/>
        <item m="1" x="134"/>
        <item m="1" x="136"/>
        <item m="1" x="77"/>
        <item m="1" x="70"/>
        <item m="1" x="133"/>
        <item m="1" x="60"/>
        <item m="1" x="174"/>
        <item m="1" x="135"/>
        <item m="1" x="58"/>
        <item m="1" x="170"/>
        <item m="1" x="55"/>
        <item m="1" x="82"/>
        <item m="1" x="125"/>
        <item m="1" x="108"/>
        <item m="1" x="131"/>
        <item m="1" x="146"/>
        <item m="1" x="41"/>
        <item m="1" x="126"/>
        <item m="1" x="47"/>
        <item m="1" x="71"/>
        <item m="1" x="116"/>
        <item m="1" x="128"/>
        <item m="1" x="56"/>
        <item m="1" x="61"/>
        <item m="1" x="153"/>
        <item m="1" x="89"/>
        <item m="1" x="69"/>
        <item m="1" x="137"/>
        <item m="1" x="53"/>
        <item m="1" x="110"/>
        <item m="1" x="142"/>
        <item m="1" x="81"/>
        <item m="1" x="96"/>
        <item m="1" x="57"/>
        <item m="1" x="49"/>
        <item m="1" x="66"/>
        <item m="1" x="85"/>
        <item m="1" x="86"/>
        <item m="1" x="141"/>
        <item m="1" x="167"/>
        <item m="1" x="143"/>
        <item m="1" x="91"/>
        <item m="1" x="43"/>
        <item m="1" x="155"/>
        <item m="1" x="115"/>
        <item m="1" x="164"/>
        <item m="1" x="90"/>
        <item m="1" x="147"/>
        <item m="1" x="94"/>
        <item m="1" x="46"/>
        <item m="1" x="87"/>
        <item m="1" x="67"/>
        <item m="1" x="51"/>
        <item m="1" x="158"/>
        <item m="1" x="95"/>
        <item m="1" x="52"/>
        <item m="1" x="162"/>
        <item m="1" x="149"/>
        <item m="1" x="140"/>
        <item m="1" x="93"/>
        <item m="1" x="172"/>
        <item m="1" x="145"/>
        <item m="1" x="121"/>
        <item m="1" x="48"/>
        <item m="1" x="154"/>
        <item m="1" x="123"/>
        <item m="1" x="127"/>
        <item m="1" x="124"/>
        <item m="1" x="44"/>
        <item m="1" x="171"/>
        <item m="1" x="112"/>
        <item m="1" x="101"/>
        <item m="1" x="83"/>
        <item m="1" x="92"/>
        <item m="1" x="54"/>
        <item m="1" x="78"/>
        <item m="1" x="156"/>
        <item m="1" x="118"/>
        <item m="1" x="119"/>
        <item m="1" x="106"/>
        <item m="1" x="62"/>
        <item m="1" x="152"/>
        <item m="1" x="148"/>
        <item m="1" x="150"/>
        <item m="1" x="122"/>
        <item m="1" x="160"/>
        <item m="1" x="173"/>
        <item m="1" x="105"/>
        <item m="1" x="113"/>
        <item m="1" x="111"/>
        <item m="1" x="59"/>
        <item m="1" x="159"/>
        <item m="1" x="120"/>
        <item m="1" x="169"/>
        <item m="1" x="98"/>
        <item m="1" x="84"/>
        <item m="1" x="163"/>
        <item m="1" x="100"/>
        <item m="1" x="102"/>
        <item m="1" x="50"/>
        <item m="1" x="132"/>
        <item m="1" x="109"/>
        <item m="1" x="80"/>
        <item m="1" x="165"/>
        <item m="1" x="40"/>
        <item m="1" x="97"/>
        <item m="1" x="161"/>
        <item m="1" x="107"/>
        <item m="1" x="65"/>
        <item m="1" x="42"/>
        <item m="1" x="144"/>
        <item m="1" x="45"/>
        <item m="1" x="74"/>
        <item m="1" x="88"/>
        <item m="1" x="138"/>
        <item m="1" x="130"/>
        <item m="1" x="157"/>
        <item m="1" x="63"/>
        <item m="1" x="99"/>
        <item m="1" x="68"/>
        <item m="1" x="168"/>
        <item m="1" x="72"/>
        <item m="1" x="75"/>
        <item m="1" x="73"/>
        <item m="1" x="114"/>
        <item m="1" x="129"/>
        <item m="1" x="166"/>
        <item x="1"/>
        <item x="2"/>
        <item x="3"/>
        <item x="4"/>
        <item x="5"/>
        <item x="6"/>
        <item x="7"/>
        <item x="8"/>
        <item x="9"/>
        <item x="10"/>
        <item x="11"/>
        <item x="12"/>
        <item x="13"/>
        <item x="14"/>
        <item x="15"/>
        <item x="16"/>
        <item m="1" x="79"/>
        <item m="1" x="76"/>
        <item m="1" x="117"/>
        <item x="20"/>
        <item x="21"/>
        <item x="22"/>
        <item x="23"/>
        <item x="25"/>
        <item x="26"/>
        <item x="27"/>
        <item x="28"/>
        <item x="29"/>
        <item x="30"/>
        <item x="31"/>
        <item x="32"/>
        <item x="33"/>
        <item x="34"/>
        <item x="35"/>
        <item x="36"/>
        <item x="37"/>
        <item x="38"/>
        <item x="39"/>
        <item x="17"/>
        <item x="18"/>
        <item x="19"/>
        <item x="24"/>
        <item t="default"/>
      </items>
    </pivotField>
    <pivotField axis="axisRow" showAll="0">
      <items count="10">
        <item x="0"/>
        <item x="1"/>
        <item x="2"/>
        <item x="3"/>
        <item x="4"/>
        <item m="1" x="5"/>
        <item m="1" x="7"/>
        <item m="1" x="6"/>
        <item m="1" x="8"/>
        <item t="default"/>
      </items>
    </pivotField>
    <pivotField axis="axisRow" showAll="0">
      <items count="2">
        <item x="0"/>
        <item t="default"/>
      </items>
    </pivotField>
    <pivotField axis="axisRow" showAll="0">
      <items count="7">
        <item x="0"/>
        <item x="1"/>
        <item x="2"/>
        <item x="3"/>
        <item x="4"/>
        <item x="5"/>
        <item t="default"/>
      </items>
    </pivotField>
    <pivotField axis="axisRow" showAll="0">
      <items count="2">
        <item x="0"/>
        <item t="default"/>
      </items>
    </pivotField>
    <pivotField axis="axisRow" showAll="0">
      <items count="4">
        <item x="0"/>
        <item x="1"/>
        <item x="2"/>
        <item t="default"/>
      </items>
    </pivotField>
    <pivotField axis="axisRow" showAll="0">
      <items count="7">
        <item x="0"/>
        <item x="1"/>
        <item x="2"/>
        <item x="3"/>
        <item x="4"/>
        <item x="5"/>
        <item t="default"/>
      </items>
    </pivotField>
    <pivotField axis="axisRow" showAll="0">
      <items count="2">
        <item x="0"/>
        <item t="default"/>
      </items>
    </pivotField>
    <pivotField axis="axisRow" showAll="0">
      <items count="2">
        <item x="0"/>
        <item t="default"/>
      </items>
    </pivotField>
    <pivotField axis="axisRow" showAll="0">
      <items count="2">
        <item x="0"/>
        <item t="default"/>
      </items>
    </pivotField>
    <pivotField axis="axisRow" showAll="0">
      <items count="7">
        <item x="0"/>
        <item x="1"/>
        <item x="2"/>
        <item x="3"/>
        <item x="4"/>
        <item x="5"/>
        <item t="default"/>
      </items>
    </pivotField>
    <pivotField axis="axisRow" showAll="0">
      <items count="2">
        <item x="0"/>
        <item t="default"/>
      </items>
    </pivotField>
    <pivotField axis="axisRow" showAll="0">
      <items count="2">
        <item x="0"/>
        <item t="default"/>
      </items>
    </pivotField>
    <pivotField axis="axisRow" showAll="0">
      <items count="2">
        <item x="0"/>
        <item t="default"/>
      </items>
    </pivotField>
    <pivotField axis="axisRow" showAll="0">
      <items count="2">
        <item x="0"/>
        <item t="default"/>
      </items>
    </pivotField>
    <pivotField axis="axisRow" showAll="0">
      <items count="2">
        <item x="0"/>
        <item t="default"/>
      </items>
    </pivotField>
    <pivotField axis="axisRow" showAll="0">
      <items count="2">
        <item x="0"/>
        <item t="default"/>
      </items>
    </pivotField>
    <pivotField axis="axisRow" showAll="0">
      <items count="2">
        <item x="0"/>
        <item t="default"/>
      </items>
    </pivotField>
    <pivotField axis="axisRow" showAll="0">
      <items count="2">
        <item x="0"/>
        <item t="default"/>
      </items>
    </pivotField>
    <pivotField axis="axisRow" showAll="0">
      <items count="2">
        <item x="0"/>
        <item t="default"/>
      </items>
    </pivotField>
    <pivotField axis="axisRow" showAll="0">
      <items count="2">
        <item x="0"/>
        <item t="default"/>
      </items>
    </pivotField>
    <pivotField axis="axisRow" showAll="0">
      <items count="9">
        <item x="0"/>
        <item x="3"/>
        <item x="4"/>
        <item x="5"/>
        <item x="6"/>
        <item x="7"/>
        <item x="1"/>
        <item x="2"/>
        <item t="default"/>
      </items>
    </pivotField>
    <pivotField axis="axisRow" showAll="0">
      <items count="2">
        <item x="0"/>
        <item t="default"/>
      </items>
    </pivotField>
    <pivotField axis="axisRow" showAll="0">
      <items count="2">
        <item x="0"/>
        <item t="default"/>
      </items>
    </pivotField>
    <pivotField axis="axisRow" showAll="0">
      <items count="4">
        <item x="0"/>
        <item m="1" x="2"/>
        <item x="1"/>
        <item t="default"/>
      </items>
    </pivotField>
    <pivotField axis="axisRow" showAll="0">
      <items count="2">
        <item x="0"/>
        <item t="default"/>
      </items>
    </pivotField>
    <pivotField axis="axisRow" showAll="0">
      <items count="2">
        <item x="0"/>
        <item t="default"/>
      </items>
    </pivotField>
    <pivotField axis="axisRow" showAll="0">
      <items count="4">
        <item x="0"/>
        <item x="1"/>
        <item x="2"/>
        <item t="default"/>
      </items>
    </pivotField>
    <pivotField axis="axisRow" showAll="0">
      <items count="17">
        <item x="0"/>
        <item m="1" x="14"/>
        <item m="1" x="10"/>
        <item m="1" x="11"/>
        <item m="1" x="13"/>
        <item m="1" x="9"/>
        <item m="1" x="15"/>
        <item m="1" x="12"/>
        <item x="8"/>
        <item x="7"/>
        <item x="1"/>
        <item x="2"/>
        <item x="3"/>
        <item x="4"/>
        <item x="5"/>
        <item x="6"/>
        <item t="default"/>
      </items>
    </pivotField>
    <pivotField axis="axisRow" showAll="0">
      <items count="4">
        <item x="0"/>
        <item m="1" x="2"/>
        <item m="1" x="1"/>
        <item t="default"/>
      </items>
    </pivotField>
    <pivotField axis="axisRow" showAll="0">
      <items count="2">
        <item x="0"/>
        <item t="default"/>
      </items>
    </pivotField>
    <pivotField axis="axisRow" showAll="0">
      <items count="2">
        <item x="0"/>
        <item t="default"/>
      </items>
    </pivotField>
    <pivotField axis="axisRow" showAll="0">
      <items count="2">
        <item x="0"/>
        <item t="default"/>
      </items>
    </pivotField>
    <pivotField axis="axisRow" showAll="0">
      <items count="2">
        <item x="0"/>
        <item t="default"/>
      </items>
    </pivotField>
    <pivotField axis="axisRow" showAll="0">
      <items count="2">
        <item x="0"/>
        <item t="default"/>
      </items>
    </pivotField>
    <pivotField axis="axisRow" showAll="0">
      <items count="2">
        <item x="0"/>
        <item t="default"/>
      </items>
    </pivotField>
    <pivotField axis="axisRow" showAll="0">
      <items count="2">
        <item x="0"/>
        <item t="default"/>
      </items>
    </pivotField>
    <pivotField axis="axisRow" showAll="0">
      <items count="2">
        <item x="0"/>
        <item t="default"/>
      </items>
    </pivotField>
    <pivotField axis="axisRow" showAll="0">
      <items count="3">
        <item x="0"/>
        <item x="1"/>
        <item t="default"/>
      </items>
    </pivotField>
    <pivotField axis="axisRow" showAll="0">
      <items count="4">
        <item x="0"/>
        <item x="1"/>
        <item x="2"/>
        <item t="default"/>
      </items>
    </pivotField>
    <pivotField axis="axisRow" showAll="0" defaultSubtotal="0">
      <items count="5">
        <item x="0"/>
        <item m="1" x="4"/>
        <item m="1" x="3"/>
        <item x="1"/>
        <item x="2"/>
      </items>
    </pivotField>
    <pivotField axis="axisRow" showAll="0" defaultSubtotal="0">
      <items count="2">
        <item x="0"/>
        <item x="1"/>
      </items>
    </pivotField>
    <pivotField axis="axisRow" showAll="0" defaultSubtotal="0">
      <items count="2">
        <item x="0"/>
        <item x="1"/>
      </items>
    </pivotField>
    <pivotField axis="axisRow" showAll="0" defaultSubtotal="0">
      <items count="3">
        <item x="0"/>
        <item x="1"/>
        <item x="2"/>
      </items>
    </pivotField>
    <pivotField axis="axisRow" showAll="0" defaultSubtotal="0">
      <items count="3">
        <item x="0"/>
        <item x="1"/>
        <item x="2"/>
      </items>
    </pivotField>
    <pivotField axis="axisRow" showAll="0" defaultSubtotal="0">
      <items count="3">
        <item x="0"/>
        <item x="1"/>
        <item x="2"/>
      </items>
    </pivotField>
    <pivotField axis="axisRow" showAll="0" defaultSubtotal="0">
      <items count="3">
        <item x="0"/>
        <item x="1"/>
        <item x="2"/>
      </items>
    </pivotField>
    <pivotField axis="axisRow" showAll="0" defaultSubtotal="0">
      <items count="2">
        <item x="0"/>
        <item x="1"/>
      </items>
    </pivotField>
    <pivotField axis="axisRow" showAll="0" defaultSubtotal="0">
      <items count="2">
        <item x="0"/>
        <item x="1"/>
      </items>
    </pivotField>
    <pivotField axis="axisRow" showAll="0" defaultSubtotal="0">
      <items count="5">
        <item x="0"/>
        <item x="1"/>
        <item x="2"/>
        <item x="3"/>
        <item x="4"/>
      </items>
    </pivotField>
    <pivotField axis="axisRow" showAll="0" defaultSubtotal="0">
      <items count="19">
        <item x="0"/>
        <item x="1"/>
        <item x="2"/>
        <item x="3"/>
        <item x="4"/>
        <item x="5"/>
        <item x="6"/>
        <item x="7"/>
        <item x="8"/>
        <item x="9"/>
        <item x="10"/>
        <item x="11"/>
        <item x="12"/>
        <item x="13"/>
        <item x="14"/>
        <item x="15"/>
        <item x="16"/>
        <item x="17"/>
        <item x="18"/>
      </items>
    </pivotField>
    <pivotField axis="axisRow" showAll="0" defaultSubtotal="0">
      <items count="11">
        <item x="0"/>
        <item x="1"/>
        <item x="2"/>
        <item x="3"/>
        <item x="4"/>
        <item x="5"/>
        <item x="6"/>
        <item x="7"/>
        <item x="8"/>
        <item x="9"/>
        <item x="10"/>
      </items>
    </pivotField>
    <pivotField axis="axisRow" showAll="0" defaultSubtotal="0">
      <items count="2">
        <item x="0"/>
        <item x="1"/>
      </items>
    </pivotField>
    <pivotField axis="axisRow" showAll="0" defaultSubtotal="0">
      <items count="2">
        <item x="0"/>
        <item x="1"/>
      </items>
    </pivotField>
    <pivotField axis="axisRow" showAll="0" defaultSubtotal="0">
      <items count="2">
        <item x="0"/>
        <item x="1"/>
      </items>
    </pivotField>
    <pivotField axis="axisRow" showAll="0" defaultSubtotal="0">
      <items count="2">
        <item x="0"/>
        <item x="1"/>
      </items>
    </pivotField>
    <pivotField axis="axisRow" showAll="0" defaultSubtotal="0">
      <items count="3">
        <item x="0"/>
        <item x="1"/>
        <item x="2"/>
      </items>
    </pivotField>
    <pivotField axis="axisRow" showAll="0" defaultSubtotal="0">
      <items count="1">
        <item x="0"/>
      </items>
    </pivotField>
    <pivotField axis="axisRow" showAll="0" defaultSubtotal="0">
      <items count="1">
        <item x="0"/>
      </items>
    </pivotField>
    <pivotField axis="axisRow" showAll="0" defaultSubtotal="0">
      <items count="1">
        <item x="0"/>
      </items>
    </pivotField>
    <pivotField axis="axisRow" showAll="0" defaultSubtotal="0">
      <items count="1">
        <item x="0"/>
      </items>
    </pivotField>
  </pivotFields>
  <rowFields count="94">
    <field x="4"/>
    <field x="190"/>
    <field x="195"/>
    <field x="196"/>
    <field x="197"/>
    <field x="191"/>
    <field x="192"/>
    <field x="193"/>
    <field x="194"/>
    <field x="198"/>
    <field x="199"/>
    <field x="200"/>
    <field x="201"/>
    <field x="202"/>
    <field x="203"/>
    <field x="204"/>
    <field x="205"/>
    <field x="208"/>
    <field x="209"/>
    <field x="210"/>
    <field x="211"/>
    <field x="212"/>
    <field x="213"/>
    <field x="214"/>
    <field x="215"/>
    <field x="216"/>
    <field x="217"/>
    <field x="218"/>
    <field x="219"/>
    <field x="220"/>
    <field x="221"/>
    <field x="222"/>
    <field x="223"/>
    <field x="224"/>
    <field x="225"/>
    <field x="226"/>
    <field x="227"/>
    <field x="228"/>
    <field x="229"/>
    <field x="230"/>
    <field x="231"/>
    <field x="232"/>
    <field x="233"/>
    <field x="234"/>
    <field x="235"/>
    <field x="236"/>
    <field x="237"/>
    <field x="238"/>
    <field x="239"/>
    <field x="240"/>
    <field x="241"/>
    <field x="242"/>
    <field x="243"/>
    <field x="244"/>
    <field x="245"/>
    <field x="246"/>
    <field x="247"/>
    <field x="248"/>
    <field x="249"/>
    <field x="250"/>
    <field x="251"/>
    <field x="252"/>
    <field x="253"/>
    <field x="254"/>
    <field x="255"/>
    <field x="256"/>
    <field x="257"/>
    <field x="258"/>
    <field x="260"/>
    <field x="259"/>
    <field x="261"/>
    <field x="206"/>
    <field x="207"/>
    <field x="262"/>
    <field x="263"/>
    <field x="264"/>
    <field x="265"/>
    <field x="266"/>
    <field x="267"/>
    <field x="268"/>
    <field x="269"/>
    <field x="270"/>
    <field x="271"/>
    <field x="272"/>
    <field x="273"/>
    <field x="274"/>
    <field x="275"/>
    <field x="276"/>
    <field x="277"/>
    <field x="278"/>
    <field x="279"/>
    <field x="280"/>
    <field x="281"/>
    <field x="282"/>
  </rowFields>
  <rowItems count="2">
    <i>
      <x v="9"/>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4.xml><?xml version="1.0" encoding="utf-8"?>
<pivotTableDefinition xmlns="http://schemas.openxmlformats.org/spreadsheetml/2006/main" name="PivotTable20" cacheId="4" applyNumberFormats="0" applyBorderFormats="0" applyFontFormats="0" applyPatternFormats="0" applyAlignmentFormats="0" applyWidthHeightFormats="1" dataCaption="Values" missingCaption="None" showMissing="0" updatedVersion="5" minRefreshableVersion="3" useAutoFormatting="1" itemPrintTitles="1" createdVersion="5" indent="0" outline="1" outlineData="1" multipleFieldFilters="0">
  <location ref="A1:A1107" firstHeaderRow="1" firstDataRow="1" firstDataCol="1"/>
  <pivotFields count="283">
    <pivotField showAll="0"/>
    <pivotField showAll="0"/>
    <pivotField showAll="0"/>
    <pivotField showAll="0"/>
    <pivotField axis="axisRow" showAll="0">
      <items count="14">
        <item h="1" x="5"/>
        <item x="1"/>
        <item h="1" x="0"/>
        <item h="1" x="4"/>
        <item h="1" x="6"/>
        <item h="1" x="3"/>
        <item h="1" x="7"/>
        <item h="1" x="8"/>
        <item h="1" x="9"/>
        <item h="1" sd="0" x="2"/>
        <item h="1" x="10"/>
        <item h="1" x="11"/>
        <item h="1" x="12"/>
        <item t="default"/>
      </items>
    </pivotField>
    <pivotField showAll="0" defaultSubtotal="0"/>
    <pivotField showAll="0" defaultSubtotal="0"/>
    <pivotField showAll="0" defaultSubtotal="0"/>
    <pivotField showAll="0" defaultSubtota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pivotField showAll="0"/>
    <pivotField showAll="0"/>
    <pivotField showAll="0"/>
    <pivotField showAll="0"/>
    <pivotField showAll="0"/>
    <pivotField showAll="0"/>
    <pivotField showAll="0"/>
    <pivotField showAll="0"/>
    <pivotField showAll="0"/>
    <pivotField showAll="0" defaultSubtotal="0"/>
    <pivotField showAll="0" defaultSubtota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defaultSubtotal="0"/>
    <pivotField numFmtId="164" showAll="0" defaultSubtotal="0"/>
    <pivotField numFmtId="164" showAll="0" defaultSubtotal="0"/>
    <pivotField numFmtId="164" showAll="0" defaultSubtotal="0"/>
    <pivotField numFmtId="164" showAll="0" defaultSubtotal="0"/>
    <pivotField numFmtId="164" showAll="0" defaultSubtotal="0"/>
    <pivotField numFmtId="164" showAll="0" defaultSubtotal="0"/>
    <pivotField numFmtId="164" showAll="0" defaultSubtotal="0"/>
    <pivotField numFmtId="164" showAll="0" defaultSubtotal="0"/>
    <pivotField numFmtId="164" showAll="0" defaultSubtotal="0"/>
    <pivotField numFmtId="164" showAll="0" defaultSubtotal="0"/>
    <pivotField numFmtId="164" showAll="0" defaultSubtotal="0"/>
    <pivotField numFmtId="164" showAll="0" defaultSubtotal="0"/>
    <pivotField numFmtId="164" showAll="0" defaultSubtotal="0"/>
    <pivotField numFmtId="164" showAll="0" defaultSubtotal="0"/>
    <pivotField numFmtId="164" showAll="0" defaultSubtotal="0"/>
    <pivotField numFmtId="164" showAll="0" defaultSubtotal="0"/>
    <pivotField numFmtId="164" showAll="0"/>
    <pivotField numFmtId="164" showAll="0" defaultSubtotal="0"/>
    <pivotField numFmtId="164" showAll="0" defaultSubtotal="0"/>
    <pivotField numFmtId="164" showAll="0" defaultSubtotal="0"/>
    <pivotField numFmtId="164" showAll="0" defaultSubtotal="0"/>
    <pivotField numFmtId="164"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Row" showAll="0">
      <items count="106">
        <item x="0"/>
        <item x="29"/>
        <item x="17"/>
        <item x="18"/>
        <item x="20"/>
        <item x="23"/>
        <item m="1" x="68"/>
        <item m="1" x="81"/>
        <item x="32"/>
        <item m="1" x="78"/>
        <item m="1" x="73"/>
        <item m="1" x="83"/>
        <item x="49"/>
        <item x="50"/>
        <item x="51"/>
        <item x="52"/>
        <item x="53"/>
        <item x="54"/>
        <item x="55"/>
        <item x="56"/>
        <item x="58"/>
        <item x="59"/>
        <item x="9"/>
        <item x="16"/>
        <item x="21"/>
        <item x="24"/>
        <item x="31"/>
        <item x="43"/>
        <item x="44"/>
        <item x="45"/>
        <item x="48"/>
        <item x="57"/>
        <item x="60"/>
        <item x="4"/>
        <item x="6"/>
        <item x="25"/>
        <item x="27"/>
        <item x="1"/>
        <item x="2"/>
        <item x="3"/>
        <item x="22"/>
        <item m="1" x="76"/>
        <item m="1" x="90"/>
        <item x="46"/>
        <item x="47"/>
        <item x="5"/>
        <item x="7"/>
        <item x="8"/>
        <item x="10"/>
        <item x="11"/>
        <item x="12"/>
        <item x="13"/>
        <item x="14"/>
        <item x="15"/>
        <item x="19"/>
        <item m="1" x="77"/>
        <item m="1" x="85"/>
        <item m="1" x="86"/>
        <item m="1" x="96"/>
        <item m="1" x="97"/>
        <item m="1" x="89"/>
        <item m="1" x="79"/>
        <item m="1" x="93"/>
        <item m="1" x="94"/>
        <item m="1" x="65"/>
        <item m="1" x="69"/>
        <item m="1" x="95"/>
        <item m="1" x="99"/>
        <item m="1" x="100"/>
        <item m="1" x="101"/>
        <item m="1" x="98"/>
        <item m="1" x="84"/>
        <item x="30"/>
        <item x="33"/>
        <item m="1" x="67"/>
        <item m="1" x="72"/>
        <item m="1" x="102"/>
        <item m="1" x="103"/>
        <item m="1" x="104"/>
        <item m="1" x="66"/>
        <item m="1" x="80"/>
        <item m="1" x="88"/>
        <item m="1" x="82"/>
        <item m="1" x="70"/>
        <item m="1" x="71"/>
        <item x="37"/>
        <item m="1" x="87"/>
        <item m="1" x="74"/>
        <item m="1" x="75"/>
        <item m="1" x="91"/>
        <item m="1" x="92"/>
        <item x="61"/>
        <item x="62"/>
        <item x="63"/>
        <item x="64"/>
        <item x="36"/>
        <item x="34"/>
        <item x="26"/>
        <item x="28"/>
        <item x="35"/>
        <item x="38"/>
        <item x="39"/>
        <item x="40"/>
        <item x="41"/>
        <item x="42"/>
        <item t="default"/>
      </items>
    </pivotField>
    <pivotField axis="axisRow" showAll="0">
      <items count="42">
        <item x="0"/>
        <item m="1" x="21"/>
        <item m="1" x="23"/>
        <item m="1" x="38"/>
        <item m="1" x="32"/>
        <item m="1" x="37"/>
        <item m="1" x="27"/>
        <item m="1" x="40"/>
        <item m="1" x="26"/>
        <item m="1" x="33"/>
        <item m="1" x="39"/>
        <item m="1" x="36"/>
        <item m="1" x="29"/>
        <item m="1" x="25"/>
        <item m="1" x="30"/>
        <item m="1" x="35"/>
        <item m="1" x="24"/>
        <item m="1" x="34"/>
        <item m="1" x="31"/>
        <item m="1" x="28"/>
        <item m="1" x="22"/>
        <item x="1"/>
        <item x="2"/>
        <item x="3"/>
        <item x="4"/>
        <item x="5"/>
        <item x="6"/>
        <item x="7"/>
        <item x="8"/>
        <item x="9"/>
        <item x="10"/>
        <item x="11"/>
        <item x="12"/>
        <item x="13"/>
        <item x="14"/>
        <item x="15"/>
        <item x="16"/>
        <item x="17"/>
        <item x="18"/>
        <item x="19"/>
        <item x="20"/>
        <item t="default"/>
      </items>
    </pivotField>
    <pivotField axis="axisRow" showAll="0">
      <items count="3">
        <item x="0"/>
        <item x="1"/>
        <item t="default"/>
      </items>
    </pivotField>
    <pivotField axis="axisRow" showAll="0">
      <items count="2">
        <item x="0"/>
        <item t="default"/>
      </items>
    </pivotField>
    <pivotField axis="axisRow" showAll="0">
      <items count="2">
        <item x="0"/>
        <item t="default"/>
      </items>
    </pivotField>
    <pivotField axis="axisRow" showAll="0">
      <items count="262">
        <item x="1"/>
        <item m="1" x="242"/>
        <item m="1" x="170"/>
        <item m="1" x="181"/>
        <item m="1" x="260"/>
        <item m="1" x="133"/>
        <item m="1" x="152"/>
        <item m="1" x="164"/>
        <item m="1" x="118"/>
        <item m="1" x="253"/>
        <item m="1" x="103"/>
        <item m="1" x="217"/>
        <item m="1" x="250"/>
        <item m="1" x="247"/>
        <item m="1" x="195"/>
        <item m="1" x="226"/>
        <item m="1" x="109"/>
        <item m="1" x="156"/>
        <item m="1" x="106"/>
        <item m="1" x="112"/>
        <item m="1" x="190"/>
        <item m="1" x="114"/>
        <item m="1" x="168"/>
        <item m="1" x="213"/>
        <item m="1" x="141"/>
        <item m="1" x="209"/>
        <item m="1" x="193"/>
        <item m="1" x="107"/>
        <item m="1" x="159"/>
        <item m="1" x="241"/>
        <item m="1" x="172"/>
        <item m="1" x="120"/>
        <item m="1" x="104"/>
        <item m="1" x="249"/>
        <item m="1" x="199"/>
        <item m="1" x="123"/>
        <item m="1" x="124"/>
        <item m="1" x="214"/>
        <item m="1" x="194"/>
        <item m="1" x="200"/>
        <item m="1" x="153"/>
        <item m="1" x="259"/>
        <item m="1" x="206"/>
        <item m="1" x="139"/>
        <item m="1" x="149"/>
        <item m="1" x="232"/>
        <item m="1" x="228"/>
        <item m="1" x="201"/>
        <item m="1" x="202"/>
        <item m="1" x="252"/>
        <item m="1" x="130"/>
        <item m="1" x="134"/>
        <item m="1" x="143"/>
        <item m="1" x="165"/>
        <item m="1" x="240"/>
        <item m="1" x="155"/>
        <item m="1" x="174"/>
        <item m="1" x="162"/>
        <item m="1" x="117"/>
        <item m="1" x="128"/>
        <item m="1" x="176"/>
        <item m="1" x="225"/>
        <item m="1" x="171"/>
        <item m="1" x="245"/>
        <item m="1" x="129"/>
        <item m="1" x="230"/>
        <item m="1" x="169"/>
        <item m="1" x="231"/>
        <item m="1" x="125"/>
        <item m="1" x="211"/>
        <item m="1" x="138"/>
        <item m="1" x="203"/>
        <item m="1" x="221"/>
        <item m="1" x="105"/>
        <item m="1" x="188"/>
        <item m="1" x="216"/>
        <item m="1" x="192"/>
        <item m="1" x="116"/>
        <item m="1" x="127"/>
        <item m="1" x="229"/>
        <item m="1" x="254"/>
        <item m="1" x="154"/>
        <item m="1" x="185"/>
        <item m="1" x="167"/>
        <item m="1" x="179"/>
        <item m="1" x="258"/>
        <item m="1" x="148"/>
        <item m="1" x="150"/>
        <item m="1" x="157"/>
        <item m="1" x="227"/>
        <item m="1" x="173"/>
        <item m="1" x="239"/>
        <item m="1" x="186"/>
        <item m="1" x="243"/>
        <item m="1" x="140"/>
        <item m="1" x="180"/>
        <item m="1" x="218"/>
        <item m="1" x="158"/>
        <item m="1" x="135"/>
        <item m="1" x="178"/>
        <item m="1" x="205"/>
        <item m="1" x="137"/>
        <item m="1" x="166"/>
        <item x="0"/>
        <item x="2"/>
        <item x="3"/>
        <item x="4"/>
        <item x="5"/>
        <item x="6"/>
        <item x="7"/>
        <item x="8"/>
        <item x="9"/>
        <item x="10"/>
        <item x="11"/>
        <item x="12"/>
        <item x="13"/>
        <item x="14"/>
        <item x="15"/>
        <item m="1" x="212"/>
        <item m="1" x="196"/>
        <item m="1" x="197"/>
        <item m="1" x="251"/>
        <item m="1" x="126"/>
        <item m="1" x="219"/>
        <item m="1" x="257"/>
        <item m="1" x="256"/>
        <item m="1" x="238"/>
        <item m="1" x="234"/>
        <item x="27"/>
        <item m="1" x="182"/>
        <item m="1" x="233"/>
        <item m="1" x="111"/>
        <item m="1" x="131"/>
        <item m="1" x="142"/>
        <item m="1" x="115"/>
        <item m="1" x="236"/>
        <item m="1" x="175"/>
        <item m="1" x="160"/>
        <item m="1" x="102"/>
        <item m="1" x="244"/>
        <item m="1" x="237"/>
        <item m="1" x="145"/>
        <item m="1" x="147"/>
        <item m="1" x="146"/>
        <item m="1" x="121"/>
        <item m="1" x="210"/>
        <item m="1" x="136"/>
        <item m="1" x="198"/>
        <item m="1" x="220"/>
        <item m="1" x="189"/>
        <item m="1" x="255"/>
        <item m="1" x="187"/>
        <item m="1" x="235"/>
        <item x="53"/>
        <item m="1" x="215"/>
        <item m="1" x="151"/>
        <item m="1" x="132"/>
        <item x="57"/>
        <item m="1" x="191"/>
        <item m="1" x="208"/>
        <item m="1" x="248"/>
        <item m="1" x="184"/>
        <item m="1" x="222"/>
        <item m="1" x="110"/>
        <item m="1" x="183"/>
        <item m="1" x="144"/>
        <item m="1" x="177"/>
        <item m="1" x="108"/>
        <item x="69"/>
        <item x="70"/>
        <item m="1" x="113"/>
        <item m="1" x="119"/>
        <item m="1" x="224"/>
        <item m="1" x="122"/>
        <item m="1" x="207"/>
        <item m="1" x="223"/>
        <item x="76"/>
        <item x="77"/>
        <item x="78"/>
        <item x="79"/>
        <item x="80"/>
        <item x="81"/>
        <item x="82"/>
        <item x="83"/>
        <item x="84"/>
        <item x="85"/>
        <item x="86"/>
        <item x="87"/>
        <item x="88"/>
        <item x="89"/>
        <item x="90"/>
        <item x="91"/>
        <item x="92"/>
        <item x="93"/>
        <item x="94"/>
        <item x="95"/>
        <item x="96"/>
        <item x="97"/>
        <item x="98"/>
        <item x="99"/>
        <item x="100"/>
        <item x="101"/>
        <item x="16"/>
        <item x="17"/>
        <item x="18"/>
        <item x="19"/>
        <item x="20"/>
        <item x="21"/>
        <item x="22"/>
        <item x="23"/>
        <item x="24"/>
        <item x="26"/>
        <item x="44"/>
        <item x="45"/>
        <item x="46"/>
        <item x="47"/>
        <item x="48"/>
        <item x="49"/>
        <item m="1" x="246"/>
        <item x="58"/>
        <item x="59"/>
        <item x="60"/>
        <item x="61"/>
        <item m="1" x="163"/>
        <item x="63"/>
        <item x="64"/>
        <item x="25"/>
        <item m="1" x="204"/>
        <item m="1" x="161"/>
        <item x="30"/>
        <item x="31"/>
        <item x="32"/>
        <item x="65"/>
        <item x="66"/>
        <item x="68"/>
        <item x="51"/>
        <item x="67"/>
        <item x="28"/>
        <item x="29"/>
        <item x="33"/>
        <item x="34"/>
        <item x="35"/>
        <item x="36"/>
        <item x="37"/>
        <item x="38"/>
        <item x="39"/>
        <item x="40"/>
        <item x="41"/>
        <item x="42"/>
        <item x="43"/>
        <item x="50"/>
        <item x="52"/>
        <item x="54"/>
        <item x="55"/>
        <item x="56"/>
        <item x="62"/>
        <item x="71"/>
        <item x="72"/>
        <item x="73"/>
        <item x="74"/>
        <item x="75"/>
        <item t="default"/>
      </items>
    </pivotField>
    <pivotField axis="axisRow" showAll="0">
      <items count="82">
        <item x="0"/>
        <item m="1" x="42"/>
        <item m="1" x="78"/>
        <item m="1" x="70"/>
        <item m="1" x="53"/>
        <item m="1" x="47"/>
        <item m="1" x="35"/>
        <item m="1" x="33"/>
        <item m="1" x="23"/>
        <item m="1" x="68"/>
        <item m="1" x="40"/>
        <item m="1" x="80"/>
        <item m="1" x="75"/>
        <item m="1" x="76"/>
        <item m="1" x="46"/>
        <item m="1" x="58"/>
        <item m="1" x="69"/>
        <item m="1" x="13"/>
        <item m="1" x="71"/>
        <item m="1" x="79"/>
        <item m="1" x="18"/>
        <item m="1" x="28"/>
        <item m="1" x="37"/>
        <item m="1" x="49"/>
        <item m="1" x="11"/>
        <item m="1" x="64"/>
        <item m="1" x="55"/>
        <item m="1" x="41"/>
        <item m="1" x="29"/>
        <item m="1" x="27"/>
        <item m="1" x="25"/>
        <item m="1" x="32"/>
        <item m="1" x="36"/>
        <item m="1" x="56"/>
        <item m="1" x="38"/>
        <item m="1" x="48"/>
        <item m="1" x="50"/>
        <item m="1" x="52"/>
        <item m="1" x="17"/>
        <item m="1" x="39"/>
        <item m="1" x="14"/>
        <item m="1" x="10"/>
        <item m="1" x="62"/>
        <item m="1" x="57"/>
        <item x="1"/>
        <item x="2"/>
        <item x="3"/>
        <item m="1" x="73"/>
        <item m="1" x="66"/>
        <item m="1" x="67"/>
        <item m="1" x="60"/>
        <item m="1" x="21"/>
        <item m="1" x="51"/>
        <item m="1" x="59"/>
        <item m="1" x="72"/>
        <item m="1" x="20"/>
        <item m="1" x="63"/>
        <item m="1" x="12"/>
        <item m="1" x="61"/>
        <item m="1" x="34"/>
        <item m="1" x="24"/>
        <item m="1" x="9"/>
        <item m="1" x="45"/>
        <item m="1" x="77"/>
        <item x="4"/>
        <item x="5"/>
        <item m="1" x="65"/>
        <item m="1" x="26"/>
        <item m="1" x="15"/>
        <item m="1" x="16"/>
        <item m="1" x="30"/>
        <item m="1" x="31"/>
        <item m="1" x="74"/>
        <item m="1" x="44"/>
        <item x="6"/>
        <item m="1" x="43"/>
        <item m="1" x="8"/>
        <item m="1" x="22"/>
        <item m="1" x="54"/>
        <item m="1" x="19"/>
        <item x="7"/>
        <item t="default"/>
      </items>
    </pivotField>
    <pivotField axis="axisRow" showAll="0">
      <items count="56">
        <item x="0"/>
        <item x="1"/>
        <item x="2"/>
        <item m="1" x="33"/>
        <item m="1" x="19"/>
        <item m="1" x="29"/>
        <item m="1" x="43"/>
        <item m="1" x="49"/>
        <item m="1" x="48"/>
        <item m="1" x="20"/>
        <item x="10"/>
        <item m="1" x="45"/>
        <item m="1" x="22"/>
        <item m="1" x="23"/>
        <item m="1" x="42"/>
        <item m="1" x="16"/>
        <item m="1" x="17"/>
        <item m="1" x="51"/>
        <item m="1" x="30"/>
        <item m="1" x="28"/>
        <item m="1" x="24"/>
        <item m="1" x="37"/>
        <item m="1" x="47"/>
        <item m="1" x="46"/>
        <item m="1" x="52"/>
        <item m="1" x="26"/>
        <item m="1" x="21"/>
        <item m="1" x="50"/>
        <item x="11"/>
        <item x="12"/>
        <item m="1" x="39"/>
        <item m="1" x="27"/>
        <item m="1" x="41"/>
        <item m="1" x="53"/>
        <item m="1" x="38"/>
        <item m="1" x="18"/>
        <item m="1" x="36"/>
        <item m="1" x="54"/>
        <item m="1" x="32"/>
        <item m="1" x="34"/>
        <item x="14"/>
        <item m="1" x="31"/>
        <item m="1" x="40"/>
        <item m="1" x="44"/>
        <item m="1" x="25"/>
        <item m="1" x="35"/>
        <item x="3"/>
        <item x="4"/>
        <item x="5"/>
        <item x="6"/>
        <item x="7"/>
        <item x="8"/>
        <item x="9"/>
        <item x="13"/>
        <item x="15"/>
        <item t="default"/>
      </items>
    </pivotField>
    <pivotField axis="axisRow" showAll="0">
      <items count="108">
        <item x="0"/>
        <item x="1"/>
        <item x="2"/>
        <item x="3"/>
        <item x="4"/>
        <item x="5"/>
        <item x="6"/>
        <item x="7"/>
        <item x="8"/>
        <item x="9"/>
        <item x="10"/>
        <item x="11"/>
        <item x="12"/>
        <item x="13"/>
        <item x="14"/>
        <item x="15"/>
        <item x="16"/>
        <item x="17"/>
        <item x="18"/>
        <item x="19"/>
        <item m="1" x="92"/>
        <item m="1" x="98"/>
        <item m="1" x="99"/>
        <item m="1" x="74"/>
        <item m="1" x="75"/>
        <item x="20"/>
        <item x="21"/>
        <item m="1" x="72"/>
        <item m="1" x="84"/>
        <item m="1" x="93"/>
        <item x="22"/>
        <item m="1" x="94"/>
        <item x="23"/>
        <item x="25"/>
        <item x="26"/>
        <item m="1" x="69"/>
        <item x="28"/>
        <item m="1" x="104"/>
        <item m="1" x="77"/>
        <item m="1" x="81"/>
        <item m="1" x="70"/>
        <item m="1" x="86"/>
        <item m="1" x="87"/>
        <item m="1" x="88"/>
        <item m="1" x="76"/>
        <item m="1" x="79"/>
        <item m="1" x="78"/>
        <item x="30"/>
        <item x="31"/>
        <item x="32"/>
        <item x="33"/>
        <item x="34"/>
        <item m="1" x="66"/>
        <item m="1" x="106"/>
        <item m="1" x="89"/>
        <item m="1" x="90"/>
        <item m="1" x="91"/>
        <item m="1" x="73"/>
        <item m="1" x="85"/>
        <item m="1" x="65"/>
        <item m="1" x="80"/>
        <item m="1" x="102"/>
        <item x="38"/>
        <item m="1" x="100"/>
        <item m="1" x="96"/>
        <item m="1" x="97"/>
        <item m="1" x="67"/>
        <item m="1" x="68"/>
        <item m="1" x="95"/>
        <item m="1" x="103"/>
        <item m="1" x="83"/>
        <item x="44"/>
        <item x="45"/>
        <item x="46"/>
        <item x="47"/>
        <item x="48"/>
        <item x="49"/>
        <item x="50"/>
        <item x="51"/>
        <item x="52"/>
        <item x="53"/>
        <item x="54"/>
        <item x="55"/>
        <item x="56"/>
        <item x="57"/>
        <item x="58"/>
        <item x="59"/>
        <item x="60"/>
        <item x="61"/>
        <item x="62"/>
        <item x="63"/>
        <item x="64"/>
        <item m="1" x="105"/>
        <item m="1" x="82"/>
        <item m="1" x="71"/>
        <item x="24"/>
        <item m="1" x="101"/>
        <item x="35"/>
        <item x="37"/>
        <item x="27"/>
        <item x="29"/>
        <item x="36"/>
        <item x="39"/>
        <item x="40"/>
        <item x="41"/>
        <item x="42"/>
        <item x="43"/>
        <item t="default"/>
      </items>
    </pivotField>
    <pivotField axis="axisRow" showAll="0">
      <items count="177">
        <item x="4"/>
        <item m="1" x="145"/>
        <item m="1" x="144"/>
        <item m="1" x="73"/>
        <item m="1" x="150"/>
        <item m="1" x="102"/>
        <item m="1" x="116"/>
        <item m="1" x="103"/>
        <item m="1" x="172"/>
        <item m="1" x="175"/>
        <item m="1" x="117"/>
        <item m="1" x="169"/>
        <item m="1" x="153"/>
        <item m="1" x="146"/>
        <item m="1" x="108"/>
        <item m="1" x="171"/>
        <item m="1" x="83"/>
        <item m="1" x="170"/>
        <item m="1" x="113"/>
        <item m="1" x="121"/>
        <item m="1" x="124"/>
        <item m="1" x="109"/>
        <item m="1" x="78"/>
        <item m="1" x="105"/>
        <item m="1" x="168"/>
        <item m="1" x="126"/>
        <item m="1" x="88"/>
        <item m="1" x="96"/>
        <item m="1" x="148"/>
        <item m="1" x="151"/>
        <item m="1" x="97"/>
        <item m="1" x="134"/>
        <item m="1" x="147"/>
        <item m="1" x="107"/>
        <item m="1" x="120"/>
        <item m="1" x="167"/>
        <item m="1" x="142"/>
        <item m="1" x="135"/>
        <item m="1" x="174"/>
        <item m="1" x="130"/>
        <item m="1" x="157"/>
        <item m="1" x="136"/>
        <item m="1" x="74"/>
        <item m="1" x="137"/>
        <item m="1" x="75"/>
        <item m="1" x="76"/>
        <item m="1" x="162"/>
        <item m="1" x="133"/>
        <item m="1" x="158"/>
        <item m="1" x="159"/>
        <item m="1" x="98"/>
        <item m="1" x="99"/>
        <item m="1" x="154"/>
        <item m="1" x="163"/>
        <item m="1" x="71"/>
        <item m="1" x="72"/>
        <item m="1" x="165"/>
        <item m="1" x="111"/>
        <item m="1" x="67"/>
        <item m="1" x="90"/>
        <item m="1" x="91"/>
        <item m="1" x="92"/>
        <item m="1" x="100"/>
        <item m="1" x="132"/>
        <item m="1" x="77"/>
        <item m="1" x="86"/>
        <item m="1" x="141"/>
        <item m="1" x="93"/>
        <item m="1" x="94"/>
        <item m="1" x="95"/>
        <item m="1" x="112"/>
        <item m="1" x="164"/>
        <item m="1" x="110"/>
        <item m="1" x="129"/>
        <item m="1" x="104"/>
        <item m="1" x="101"/>
        <item m="1" x="160"/>
        <item m="1" x="114"/>
        <item m="1" x="115"/>
        <item m="1" x="138"/>
        <item m="1" x="139"/>
        <item m="1" x="143"/>
        <item m="1" x="131"/>
        <item m="1" x="70"/>
        <item m="1" x="149"/>
        <item m="1" x="81"/>
        <item m="1" x="118"/>
        <item m="1" x="80"/>
        <item m="1" x="125"/>
        <item m="1" x="119"/>
        <item m="1" x="140"/>
        <item x="0"/>
        <item x="1"/>
        <item x="2"/>
        <item x="3"/>
        <item x="5"/>
        <item x="6"/>
        <item x="7"/>
        <item x="8"/>
        <item x="9"/>
        <item x="10"/>
        <item x="11"/>
        <item x="12"/>
        <item x="13"/>
        <item x="14"/>
        <item x="15"/>
        <item x="16"/>
        <item x="17"/>
        <item x="18"/>
        <item x="19"/>
        <item x="20"/>
        <item x="23"/>
        <item x="24"/>
        <item x="26"/>
        <item x="27"/>
        <item m="1" x="89"/>
        <item x="29"/>
        <item m="1" x="152"/>
        <item m="1" x="85"/>
        <item m="1" x="123"/>
        <item x="31"/>
        <item x="32"/>
        <item x="33"/>
        <item x="34"/>
        <item x="35"/>
        <item m="1" x="87"/>
        <item m="1" x="82"/>
        <item m="1" x="173"/>
        <item x="39"/>
        <item m="1" x="84"/>
        <item m="1" x="127"/>
        <item m="1" x="128"/>
        <item m="1" x="68"/>
        <item m="1" x="69"/>
        <item m="1" x="155"/>
        <item m="1" x="79"/>
        <item m="1" x="106"/>
        <item x="45"/>
        <item x="46"/>
        <item x="47"/>
        <item x="48"/>
        <item x="49"/>
        <item x="50"/>
        <item x="51"/>
        <item x="52"/>
        <item x="53"/>
        <item x="54"/>
        <item x="55"/>
        <item x="56"/>
        <item x="57"/>
        <item x="58"/>
        <item x="59"/>
        <item x="60"/>
        <item x="61"/>
        <item x="62"/>
        <item x="63"/>
        <item x="64"/>
        <item x="65"/>
        <item x="66"/>
        <item m="1" x="122"/>
        <item m="1" x="166"/>
        <item m="1" x="161"/>
        <item x="21"/>
        <item x="22"/>
        <item x="25"/>
        <item m="1" x="156"/>
        <item x="36"/>
        <item x="38"/>
        <item x="28"/>
        <item x="30"/>
        <item x="37"/>
        <item x="40"/>
        <item x="41"/>
        <item x="42"/>
        <item x="43"/>
        <item x="44"/>
        <item t="default"/>
      </items>
    </pivotField>
    <pivotField axis="axisRow" showAll="0">
      <items count="46">
        <item x="1"/>
        <item m="1" x="32"/>
        <item m="1" x="41"/>
        <item m="1" x="34"/>
        <item m="1" x="22"/>
        <item m="1" x="44"/>
        <item m="1" x="33"/>
        <item m="1" x="35"/>
        <item m="1" x="16"/>
        <item m="1" x="25"/>
        <item m="1" x="30"/>
        <item m="1" x="40"/>
        <item m="1" x="26"/>
        <item m="1" x="36"/>
        <item m="1" x="42"/>
        <item m="1" x="20"/>
        <item m="1" x="27"/>
        <item m="1" x="29"/>
        <item m="1" x="21"/>
        <item m="1" x="18"/>
        <item m="1" x="28"/>
        <item m="1" x="37"/>
        <item m="1" x="23"/>
        <item m="1" x="19"/>
        <item m="1" x="38"/>
        <item m="1" x="17"/>
        <item m="1" x="14"/>
        <item m="1" x="39"/>
        <item m="1" x="24"/>
        <item m="1" x="15"/>
        <item m="1" x="43"/>
        <item m="1" x="31"/>
        <item x="0"/>
        <item x="2"/>
        <item x="3"/>
        <item x="4"/>
        <item x="5"/>
        <item x="6"/>
        <item x="7"/>
        <item x="8"/>
        <item x="9"/>
        <item x="10"/>
        <item x="11"/>
        <item x="12"/>
        <item x="13"/>
        <item t="default"/>
      </items>
    </pivotField>
    <pivotField axis="axisRow" showAll="0">
      <items count="23">
        <item x="1"/>
        <item x="0"/>
        <item x="2"/>
        <item m="1" x="16"/>
        <item m="1" x="8"/>
        <item m="1" x="12"/>
        <item m="1" x="21"/>
        <item m="1" x="14"/>
        <item m="1" x="9"/>
        <item m="1" x="11"/>
        <item m="1" x="20"/>
        <item m="1" x="13"/>
        <item m="1" x="10"/>
        <item x="4"/>
        <item x="5"/>
        <item m="1" x="15"/>
        <item m="1" x="17"/>
        <item m="1" x="19"/>
        <item m="1" x="18"/>
        <item m="1" x="7"/>
        <item x="3"/>
        <item x="6"/>
        <item t="default"/>
      </items>
    </pivotField>
    <pivotField axis="axisRow" showAll="0">
      <items count="117">
        <item x="0"/>
        <item x="59"/>
        <item x="60"/>
        <item x="61"/>
        <item x="62"/>
        <item x="63"/>
        <item x="64"/>
        <item x="65"/>
        <item x="66"/>
        <item x="67"/>
        <item x="68"/>
        <item x="69"/>
        <item x="2"/>
        <item x="3"/>
        <item x="1"/>
        <item m="1" x="85"/>
        <item m="1" x="71"/>
        <item x="4"/>
        <item x="5"/>
        <item x="6"/>
        <item x="7"/>
        <item x="8"/>
        <item x="9"/>
        <item x="10"/>
        <item x="11"/>
        <item m="1" x="102"/>
        <item m="1" x="107"/>
        <item m="1" x="108"/>
        <item m="1" x="109"/>
        <item m="1" x="79"/>
        <item m="1" x="104"/>
        <item m="1" x="70"/>
        <item m="1" x="110"/>
        <item m="1" x="74"/>
        <item m="1" x="80"/>
        <item m="1" x="88"/>
        <item m="1" x="72"/>
        <item m="1" x="89"/>
        <item m="1" x="99"/>
        <item m="1" x="86"/>
        <item m="1" x="76"/>
        <item m="1" x="115"/>
        <item m="1" x="91"/>
        <item m="1" x="100"/>
        <item m="1" x="97"/>
        <item m="1" x="96"/>
        <item m="1" x="98"/>
        <item m="1" x="77"/>
        <item m="1" x="83"/>
        <item m="1" x="111"/>
        <item m="1" x="93"/>
        <item m="1" x="82"/>
        <item m="1" x="90"/>
        <item x="43"/>
        <item x="44"/>
        <item m="1" x="103"/>
        <item m="1" x="101"/>
        <item m="1" x="114"/>
        <item m="1" x="94"/>
        <item m="1" x="84"/>
        <item m="1" x="75"/>
        <item m="1" x="105"/>
        <item m="1" x="113"/>
        <item m="1" x="95"/>
        <item x="54"/>
        <item m="1" x="87"/>
        <item m="1" x="81"/>
        <item m="1" x="73"/>
        <item m="1" x="106"/>
        <item m="1" x="92"/>
        <item x="12"/>
        <item x="13"/>
        <item x="14"/>
        <item x="15"/>
        <item x="16"/>
        <item x="17"/>
        <item x="18"/>
        <item x="19"/>
        <item x="20"/>
        <item x="21"/>
        <item x="36"/>
        <item x="37"/>
        <item x="38"/>
        <item x="39"/>
        <item x="40"/>
        <item x="41"/>
        <item m="1" x="112"/>
        <item x="45"/>
        <item x="46"/>
        <item x="47"/>
        <item x="48"/>
        <item m="1" x="78"/>
        <item x="50"/>
        <item x="51"/>
        <item x="22"/>
        <item x="23"/>
        <item x="24"/>
        <item x="52"/>
        <item x="53"/>
        <item x="25"/>
        <item x="26"/>
        <item x="27"/>
        <item x="28"/>
        <item x="29"/>
        <item x="30"/>
        <item x="31"/>
        <item x="32"/>
        <item x="33"/>
        <item x="34"/>
        <item x="35"/>
        <item x="42"/>
        <item x="49"/>
        <item x="55"/>
        <item x="56"/>
        <item x="57"/>
        <item x="58"/>
        <item t="default"/>
      </items>
    </pivotField>
    <pivotField axis="axisRow" showAll="0">
      <items count="49">
        <item x="0"/>
        <item x="1"/>
        <item x="2"/>
        <item x="3"/>
        <item x="4"/>
        <item x="5"/>
        <item x="6"/>
        <item x="7"/>
        <item x="8"/>
        <item x="9"/>
        <item x="10"/>
        <item x="11"/>
        <item x="12"/>
        <item m="1" x="29"/>
        <item m="1" x="38"/>
        <item m="1" x="39"/>
        <item m="1" x="40"/>
        <item m="1" x="44"/>
        <item m="1" x="18"/>
        <item m="1" x="21"/>
        <item m="1" x="41"/>
        <item m="1" x="42"/>
        <item m="1" x="33"/>
        <item m="1" x="17"/>
        <item m="1" x="25"/>
        <item m="1" x="30"/>
        <item m="1" x="45"/>
        <item m="1" x="22"/>
        <item m="1" x="37"/>
        <item m="1" x="46"/>
        <item x="13"/>
        <item x="14"/>
        <item m="1" x="20"/>
        <item m="1" x="28"/>
        <item m="1" x="32"/>
        <item m="1" x="27"/>
        <item m="1" x="34"/>
        <item m="1" x="31"/>
        <item m="1" x="26"/>
        <item m="1" x="36"/>
        <item m="1" x="24"/>
        <item x="15"/>
        <item m="1" x="35"/>
        <item m="1" x="43"/>
        <item m="1" x="47"/>
        <item m="1" x="23"/>
        <item m="1" x="19"/>
        <item x="16"/>
        <item t="default"/>
      </items>
    </pivotField>
    <pivotField axis="axisRow" showAll="0">
      <items count="7">
        <item x="0"/>
        <item x="1"/>
        <item x="2"/>
        <item x="3"/>
        <item m="1" x="5"/>
        <item m="1" x="4"/>
        <item t="default"/>
      </items>
    </pivotField>
    <pivotField axis="axisRow" showAll="0">
      <items count="3">
        <item x="0"/>
        <item m="1" x="1"/>
        <item t="default"/>
      </items>
    </pivotField>
    <pivotField axis="axisRow" showAll="0" defaultSubtotal="0">
      <items count="50">
        <item x="0"/>
        <item x="2"/>
        <item x="4"/>
        <item x="1"/>
        <item m="1" x="27"/>
        <item x="3"/>
        <item x="5"/>
        <item x="6"/>
        <item x="7"/>
        <item x="8"/>
        <item x="9"/>
        <item x="10"/>
        <item x="11"/>
        <item x="12"/>
        <item x="13"/>
        <item x="14"/>
        <item m="1" x="33"/>
        <item m="1" x="30"/>
        <item m="1" x="24"/>
        <item m="1" x="40"/>
        <item m="1" x="32"/>
        <item m="1" x="36"/>
        <item m="1" x="38"/>
        <item m="1" x="35"/>
        <item m="1" x="37"/>
        <item m="1" x="42"/>
        <item m="1" x="46"/>
        <item m="1" x="48"/>
        <item m="1" x="21"/>
        <item m="1" x="29"/>
        <item m="1" x="47"/>
        <item m="1" x="26"/>
        <item x="15"/>
        <item x="16"/>
        <item m="1" x="41"/>
        <item m="1" x="44"/>
        <item m="1" x="19"/>
        <item m="1" x="43"/>
        <item m="1" x="20"/>
        <item m="1" x="45"/>
        <item m="1" x="25"/>
        <item m="1" x="22"/>
        <item m="1" x="49"/>
        <item x="17"/>
        <item m="1" x="31"/>
        <item m="1" x="23"/>
        <item m="1" x="39"/>
        <item m="1" x="28"/>
        <item m="1" x="34"/>
        <item x="18"/>
      </items>
    </pivotField>
    <pivotField axis="axisRow" showAll="0" defaultSubtotal="0">
      <items count="46">
        <item x="0"/>
        <item x="1"/>
        <item x="2"/>
        <item m="1" x="32"/>
        <item x="3"/>
        <item x="4"/>
        <item x="5"/>
        <item x="6"/>
        <item x="7"/>
        <item x="8"/>
        <item x="9"/>
        <item x="10"/>
        <item m="1" x="15"/>
        <item m="1" x="30"/>
        <item m="1" x="31"/>
        <item m="1" x="25"/>
        <item m="1" x="27"/>
        <item m="1" x="21"/>
        <item m="1" x="38"/>
        <item m="1" x="19"/>
        <item m="1" x="20"/>
        <item m="1" x="23"/>
        <item m="1" x="34"/>
        <item m="1" x="29"/>
        <item m="1" x="43"/>
        <item m="1" x="33"/>
        <item m="1" x="28"/>
        <item m="1" x="35"/>
        <item x="11"/>
        <item x="12"/>
        <item m="1" x="41"/>
        <item m="1" x="40"/>
        <item m="1" x="44"/>
        <item m="1" x="16"/>
        <item m="1" x="17"/>
        <item m="1" x="39"/>
        <item m="1" x="42"/>
        <item m="1" x="18"/>
        <item m="1" x="45"/>
        <item x="13"/>
        <item m="1" x="26"/>
        <item m="1" x="24"/>
        <item m="1" x="22"/>
        <item m="1" x="36"/>
        <item m="1" x="37"/>
        <item x="14"/>
      </items>
    </pivotField>
    <pivotField axis="axisRow" showAll="0">
      <items count="2">
        <item x="0"/>
        <item t="default"/>
      </items>
    </pivotField>
    <pivotField axis="axisRow" showAll="0">
      <items count="47">
        <item x="0"/>
        <item x="1"/>
        <item x="2"/>
        <item x="3"/>
        <item x="4"/>
        <item x="5"/>
        <item x="6"/>
        <item x="7"/>
        <item x="8"/>
        <item x="9"/>
        <item x="10"/>
        <item m="1" x="32"/>
        <item m="1" x="36"/>
        <item m="1" x="43"/>
        <item m="1" x="17"/>
        <item m="1" x="26"/>
        <item m="1" x="24"/>
        <item m="1" x="35"/>
        <item m="1" x="29"/>
        <item m="1" x="23"/>
        <item m="1" x="45"/>
        <item m="1" x="44"/>
        <item m="1" x="30"/>
        <item m="1" x="31"/>
        <item m="1" x="34"/>
        <item m="1" x="27"/>
        <item m="1" x="41"/>
        <item m="1" x="22"/>
        <item x="11"/>
        <item x="12"/>
        <item m="1" x="19"/>
        <item m="1" x="16"/>
        <item m="1" x="25"/>
        <item m="1" x="42"/>
        <item m="1" x="38"/>
        <item m="1" x="15"/>
        <item m="1" x="33"/>
        <item m="1" x="18"/>
        <item m="1" x="28"/>
        <item x="13"/>
        <item m="1" x="37"/>
        <item m="1" x="20"/>
        <item m="1" x="40"/>
        <item m="1" x="39"/>
        <item m="1" x="21"/>
        <item x="14"/>
        <item t="default"/>
      </items>
    </pivotField>
    <pivotField axis="axisRow" showAll="0">
      <items count="2">
        <item x="0"/>
        <item t="default"/>
      </items>
    </pivotField>
    <pivotField axis="axisRow" showAll="0">
      <items count="51">
        <item x="0"/>
        <item x="1"/>
        <item x="2"/>
        <item x="3"/>
        <item x="4"/>
        <item x="5"/>
        <item x="6"/>
        <item x="7"/>
        <item x="8"/>
        <item x="9"/>
        <item x="10"/>
        <item x="11"/>
        <item x="12"/>
        <item x="13"/>
        <item m="1" x="42"/>
        <item m="1" x="39"/>
        <item m="1" x="19"/>
        <item m="1" x="36"/>
        <item m="1" x="49"/>
        <item m="1" x="37"/>
        <item m="1" x="43"/>
        <item m="1" x="24"/>
        <item m="1" x="45"/>
        <item m="1" x="41"/>
        <item m="1" x="23"/>
        <item m="1" x="34"/>
        <item m="1" x="21"/>
        <item m="1" x="38"/>
        <item m="1" x="30"/>
        <item m="1" x="48"/>
        <item m="1" x="33"/>
        <item x="14"/>
        <item x="15"/>
        <item m="1" x="31"/>
        <item m="1" x="29"/>
        <item m="1" x="28"/>
        <item m="1" x="47"/>
        <item m="1" x="25"/>
        <item m="1" x="40"/>
        <item m="1" x="46"/>
        <item m="1" x="26"/>
        <item m="1" x="27"/>
        <item x="17"/>
        <item m="1" x="22"/>
        <item m="1" x="20"/>
        <item m="1" x="44"/>
        <item m="1" x="35"/>
        <item m="1" x="32"/>
        <item x="16"/>
        <item x="18"/>
        <item t="default"/>
      </items>
    </pivotField>
    <pivotField axis="axisRow" showAll="0">
      <items count="2">
        <item x="0"/>
        <item t="default"/>
      </items>
    </pivotField>
    <pivotField axis="axisRow" showAll="0">
      <items count="2">
        <item x="0"/>
        <item t="default"/>
      </items>
    </pivotField>
    <pivotField axis="axisRow" showAll="0">
      <items count="2">
        <item x="0"/>
        <item t="default"/>
      </items>
    </pivotField>
    <pivotField axis="axisRow" showAll="0">
      <items count="2">
        <item x="0"/>
        <item t="default"/>
      </items>
    </pivotField>
    <pivotField axis="axisRow" showAll="0">
      <items count="2">
        <item x="0"/>
        <item t="default"/>
      </items>
    </pivotField>
    <pivotField axis="axisRow" showAll="0">
      <items count="38">
        <item x="0"/>
        <item x="1"/>
        <item x="2"/>
        <item x="3"/>
        <item x="4"/>
        <item x="5"/>
        <item x="6"/>
        <item x="7"/>
        <item x="8"/>
        <item x="9"/>
        <item m="1" x="12"/>
        <item m="1" x="13"/>
        <item m="1" x="14"/>
        <item m="1" x="15"/>
        <item m="1" x="28"/>
        <item m="1" x="32"/>
        <item m="1" x="16"/>
        <item m="1" x="33"/>
        <item m="1" x="34"/>
        <item m="1" x="26"/>
        <item m="1" x="29"/>
        <item m="1" x="30"/>
        <item m="1" x="17"/>
        <item m="1" x="18"/>
        <item m="1" x="22"/>
        <item m="1" x="23"/>
        <item x="10"/>
        <item x="11"/>
        <item m="1" x="27"/>
        <item m="1" x="19"/>
        <item m="1" x="24"/>
        <item m="1" x="20"/>
        <item m="1" x="25"/>
        <item m="1" x="31"/>
        <item m="1" x="21"/>
        <item m="1" x="35"/>
        <item m="1" x="36"/>
        <item t="default"/>
      </items>
    </pivotField>
    <pivotField axis="axisRow" showAll="0">
      <items count="77">
        <item x="0"/>
        <item x="2"/>
        <item x="3"/>
        <item x="1"/>
        <item m="1" x="61"/>
        <item x="4"/>
        <item x="5"/>
        <item x="6"/>
        <item x="7"/>
        <item x="8"/>
        <item x="9"/>
        <item x="10"/>
        <item x="11"/>
        <item m="1" x="45"/>
        <item m="1" x="64"/>
        <item m="1" x="65"/>
        <item m="1" x="51"/>
        <item m="1" x="54"/>
        <item m="1" x="44"/>
        <item m="1" x="63"/>
        <item m="1" x="52"/>
        <item m="1" x="53"/>
        <item m="1" x="57"/>
        <item m="1" x="67"/>
        <item m="1" x="75"/>
        <item m="1" x="56"/>
        <item m="1" x="62"/>
        <item m="1" x="74"/>
        <item m="1" x="55"/>
        <item x="31"/>
        <item x="32"/>
        <item m="1" x="69"/>
        <item m="1" x="59"/>
        <item m="1" x="58"/>
        <item m="1" x="68"/>
        <item m="1" x="48"/>
        <item m="1" x="72"/>
        <item m="1" x="71"/>
        <item m="1" x="73"/>
        <item x="42"/>
        <item m="1" x="50"/>
        <item m="1" x="70"/>
        <item m="1" x="60"/>
        <item m="1" x="46"/>
        <item m="1" x="47"/>
        <item x="12"/>
        <item x="13"/>
        <item x="14"/>
        <item x="15"/>
        <item x="16"/>
        <item x="17"/>
        <item x="18"/>
        <item x="19"/>
        <item x="20"/>
        <item x="24"/>
        <item x="25"/>
        <item x="26"/>
        <item x="27"/>
        <item x="28"/>
        <item x="29"/>
        <item m="1" x="66"/>
        <item x="33"/>
        <item x="34"/>
        <item x="35"/>
        <item x="36"/>
        <item m="1" x="49"/>
        <item x="38"/>
        <item x="39"/>
        <item x="21"/>
        <item x="22"/>
        <item x="23"/>
        <item x="40"/>
        <item x="41"/>
        <item x="30"/>
        <item x="37"/>
        <item x="43"/>
        <item t="default"/>
      </items>
    </pivotField>
    <pivotField axis="axisRow" showAll="0">
      <items count="2">
        <item x="0"/>
        <item t="default"/>
      </items>
    </pivotField>
    <pivotField axis="axisRow" showAll="0">
      <items count="5">
        <item x="0"/>
        <item x="1"/>
        <item x="2"/>
        <item x="3"/>
        <item t="default"/>
      </items>
    </pivotField>
    <pivotField axis="axisRow" showAll="0">
      <items count="2">
        <item x="0"/>
        <item t="default"/>
      </items>
    </pivotField>
    <pivotField axis="axisRow" showAll="0">
      <items count="176">
        <item x="0"/>
        <item m="1" x="103"/>
        <item m="1" x="139"/>
        <item m="1" x="104"/>
        <item m="1" x="64"/>
        <item m="1" x="151"/>
        <item m="1" x="134"/>
        <item m="1" x="136"/>
        <item m="1" x="77"/>
        <item m="1" x="70"/>
        <item m="1" x="133"/>
        <item m="1" x="60"/>
        <item m="1" x="174"/>
        <item m="1" x="135"/>
        <item m="1" x="58"/>
        <item m="1" x="170"/>
        <item m="1" x="55"/>
        <item m="1" x="82"/>
        <item m="1" x="125"/>
        <item m="1" x="108"/>
        <item m="1" x="131"/>
        <item m="1" x="146"/>
        <item m="1" x="41"/>
        <item m="1" x="126"/>
        <item m="1" x="47"/>
        <item m="1" x="71"/>
        <item m="1" x="116"/>
        <item m="1" x="128"/>
        <item m="1" x="56"/>
        <item m="1" x="61"/>
        <item m="1" x="153"/>
        <item m="1" x="89"/>
        <item m="1" x="69"/>
        <item m="1" x="137"/>
        <item m="1" x="53"/>
        <item m="1" x="110"/>
        <item m="1" x="142"/>
        <item m="1" x="81"/>
        <item m="1" x="96"/>
        <item m="1" x="57"/>
        <item m="1" x="49"/>
        <item m="1" x="66"/>
        <item m="1" x="85"/>
        <item m="1" x="86"/>
        <item m="1" x="141"/>
        <item m="1" x="167"/>
        <item m="1" x="143"/>
        <item m="1" x="91"/>
        <item m="1" x="43"/>
        <item m="1" x="155"/>
        <item m="1" x="115"/>
        <item m="1" x="164"/>
        <item m="1" x="90"/>
        <item m="1" x="147"/>
        <item m="1" x="94"/>
        <item m="1" x="46"/>
        <item m="1" x="87"/>
        <item m="1" x="67"/>
        <item m="1" x="51"/>
        <item m="1" x="158"/>
        <item m="1" x="95"/>
        <item m="1" x="52"/>
        <item m="1" x="162"/>
        <item m="1" x="149"/>
        <item m="1" x="140"/>
        <item m="1" x="93"/>
        <item m="1" x="172"/>
        <item m="1" x="145"/>
        <item m="1" x="121"/>
        <item m="1" x="48"/>
        <item m="1" x="154"/>
        <item m="1" x="123"/>
        <item m="1" x="127"/>
        <item m="1" x="124"/>
        <item m="1" x="44"/>
        <item m="1" x="171"/>
        <item m="1" x="112"/>
        <item m="1" x="101"/>
        <item m="1" x="83"/>
        <item m="1" x="92"/>
        <item m="1" x="54"/>
        <item m="1" x="78"/>
        <item m="1" x="156"/>
        <item m="1" x="118"/>
        <item m="1" x="119"/>
        <item m="1" x="106"/>
        <item m="1" x="62"/>
        <item m="1" x="152"/>
        <item m="1" x="148"/>
        <item m="1" x="150"/>
        <item m="1" x="122"/>
        <item m="1" x="160"/>
        <item m="1" x="173"/>
        <item m="1" x="105"/>
        <item m="1" x="113"/>
        <item m="1" x="111"/>
        <item m="1" x="59"/>
        <item m="1" x="159"/>
        <item m="1" x="120"/>
        <item m="1" x="169"/>
        <item m="1" x="98"/>
        <item m="1" x="84"/>
        <item m="1" x="163"/>
        <item m="1" x="100"/>
        <item m="1" x="102"/>
        <item m="1" x="50"/>
        <item m="1" x="132"/>
        <item m="1" x="109"/>
        <item m="1" x="80"/>
        <item m="1" x="165"/>
        <item m="1" x="40"/>
        <item m="1" x="97"/>
        <item m="1" x="161"/>
        <item m="1" x="107"/>
        <item m="1" x="65"/>
        <item m="1" x="42"/>
        <item m="1" x="144"/>
        <item m="1" x="45"/>
        <item m="1" x="74"/>
        <item m="1" x="88"/>
        <item m="1" x="138"/>
        <item m="1" x="130"/>
        <item m="1" x="157"/>
        <item m="1" x="63"/>
        <item m="1" x="99"/>
        <item m="1" x="68"/>
        <item m="1" x="168"/>
        <item m="1" x="72"/>
        <item m="1" x="75"/>
        <item m="1" x="73"/>
        <item m="1" x="114"/>
        <item m="1" x="129"/>
        <item m="1" x="166"/>
        <item x="1"/>
        <item x="2"/>
        <item x="3"/>
        <item x="4"/>
        <item x="5"/>
        <item x="6"/>
        <item x="7"/>
        <item x="8"/>
        <item x="9"/>
        <item x="10"/>
        <item x="11"/>
        <item x="12"/>
        <item x="13"/>
        <item x="14"/>
        <item x="15"/>
        <item x="16"/>
        <item m="1" x="79"/>
        <item m="1" x="76"/>
        <item m="1" x="117"/>
        <item x="20"/>
        <item x="21"/>
        <item x="22"/>
        <item x="23"/>
        <item x="25"/>
        <item x="26"/>
        <item x="27"/>
        <item x="28"/>
        <item x="29"/>
        <item x="30"/>
        <item x="31"/>
        <item x="32"/>
        <item x="33"/>
        <item x="34"/>
        <item x="35"/>
        <item x="36"/>
        <item x="37"/>
        <item x="38"/>
        <item x="39"/>
        <item x="17"/>
        <item x="18"/>
        <item x="19"/>
        <item x="24"/>
        <item t="default"/>
      </items>
    </pivotField>
    <pivotField axis="axisRow" showAll="0">
      <items count="10">
        <item x="0"/>
        <item x="1"/>
        <item x="2"/>
        <item x="3"/>
        <item x="4"/>
        <item m="1" x="5"/>
        <item m="1" x="7"/>
        <item m="1" x="6"/>
        <item m="1" x="8"/>
        <item t="default"/>
      </items>
    </pivotField>
    <pivotField axis="axisRow" showAll="0">
      <items count="2">
        <item x="0"/>
        <item t="default"/>
      </items>
    </pivotField>
    <pivotField axis="axisRow" showAll="0">
      <items count="7">
        <item x="0"/>
        <item x="1"/>
        <item x="2"/>
        <item x="3"/>
        <item x="4"/>
        <item x="5"/>
        <item t="default"/>
      </items>
    </pivotField>
    <pivotField axis="axisRow" showAll="0">
      <items count="2">
        <item x="0"/>
        <item t="default"/>
      </items>
    </pivotField>
    <pivotField axis="axisRow" showAll="0">
      <items count="4">
        <item x="0"/>
        <item x="1"/>
        <item x="2"/>
        <item t="default"/>
      </items>
    </pivotField>
    <pivotField axis="axisRow" showAll="0">
      <items count="7">
        <item x="0"/>
        <item x="1"/>
        <item x="2"/>
        <item x="3"/>
        <item x="4"/>
        <item x="5"/>
        <item t="default"/>
      </items>
    </pivotField>
    <pivotField axis="axisRow" showAll="0">
      <items count="2">
        <item x="0"/>
        <item t="default"/>
      </items>
    </pivotField>
    <pivotField axis="axisRow" showAll="0">
      <items count="2">
        <item x="0"/>
        <item t="default"/>
      </items>
    </pivotField>
    <pivotField axis="axisRow" showAll="0">
      <items count="2">
        <item x="0"/>
        <item t="default"/>
      </items>
    </pivotField>
    <pivotField axis="axisRow" showAll="0">
      <items count="7">
        <item x="0"/>
        <item x="1"/>
        <item x="2"/>
        <item x="3"/>
        <item x="4"/>
        <item x="5"/>
        <item t="default"/>
      </items>
    </pivotField>
    <pivotField axis="axisRow" showAll="0">
      <items count="2">
        <item x="0"/>
        <item t="default"/>
      </items>
    </pivotField>
    <pivotField axis="axisRow" showAll="0">
      <items count="2">
        <item x="0"/>
        <item t="default"/>
      </items>
    </pivotField>
    <pivotField axis="axisRow" showAll="0">
      <items count="2">
        <item x="0"/>
        <item t="default"/>
      </items>
    </pivotField>
    <pivotField axis="axisRow" showAll="0">
      <items count="2">
        <item x="0"/>
        <item t="default"/>
      </items>
    </pivotField>
    <pivotField axis="axisRow" showAll="0">
      <items count="2">
        <item x="0"/>
        <item t="default"/>
      </items>
    </pivotField>
    <pivotField axis="axisRow" showAll="0">
      <items count="2">
        <item x="0"/>
        <item t="default"/>
      </items>
    </pivotField>
    <pivotField axis="axisRow" showAll="0">
      <items count="2">
        <item x="0"/>
        <item t="default"/>
      </items>
    </pivotField>
    <pivotField axis="axisRow" showAll="0">
      <items count="2">
        <item x="0"/>
        <item t="default"/>
      </items>
    </pivotField>
    <pivotField axis="axisRow" showAll="0">
      <items count="2">
        <item x="0"/>
        <item t="default"/>
      </items>
    </pivotField>
    <pivotField axis="axisRow" showAll="0">
      <items count="2">
        <item x="0"/>
        <item t="default"/>
      </items>
    </pivotField>
    <pivotField axis="axisRow" showAll="0">
      <items count="9">
        <item x="0"/>
        <item x="3"/>
        <item x="4"/>
        <item x="5"/>
        <item x="6"/>
        <item x="7"/>
        <item x="1"/>
        <item x="2"/>
        <item t="default"/>
      </items>
    </pivotField>
    <pivotField axis="axisRow" showAll="0">
      <items count="2">
        <item x="0"/>
        <item t="default"/>
      </items>
    </pivotField>
    <pivotField axis="axisRow" showAll="0">
      <items count="2">
        <item x="0"/>
        <item t="default"/>
      </items>
    </pivotField>
    <pivotField axis="axisRow" showAll="0">
      <items count="4">
        <item x="0"/>
        <item m="1" x="2"/>
        <item x="1"/>
        <item t="default"/>
      </items>
    </pivotField>
    <pivotField axis="axisRow" showAll="0">
      <items count="2">
        <item x="0"/>
        <item t="default"/>
      </items>
    </pivotField>
    <pivotField axis="axisRow" showAll="0">
      <items count="2">
        <item x="0"/>
        <item t="default"/>
      </items>
    </pivotField>
    <pivotField axis="axisRow" showAll="0">
      <items count="4">
        <item x="0"/>
        <item x="1"/>
        <item x="2"/>
        <item t="default"/>
      </items>
    </pivotField>
    <pivotField axis="axisRow" showAll="0">
      <items count="17">
        <item x="0"/>
        <item m="1" x="14"/>
        <item m="1" x="10"/>
        <item m="1" x="11"/>
        <item m="1" x="13"/>
        <item m="1" x="9"/>
        <item m="1" x="15"/>
        <item m="1" x="12"/>
        <item x="8"/>
        <item x="7"/>
        <item x="1"/>
        <item x="2"/>
        <item x="3"/>
        <item x="4"/>
        <item x="5"/>
        <item x="6"/>
        <item t="default"/>
      </items>
    </pivotField>
    <pivotField axis="axisRow" showAll="0">
      <items count="4">
        <item x="0"/>
        <item m="1" x="2"/>
        <item m="1" x="1"/>
        <item t="default"/>
      </items>
    </pivotField>
    <pivotField axis="axisRow" showAll="0">
      <items count="2">
        <item x="0"/>
        <item t="default"/>
      </items>
    </pivotField>
    <pivotField axis="axisRow" showAll="0">
      <items count="2">
        <item x="0"/>
        <item t="default"/>
      </items>
    </pivotField>
    <pivotField axis="axisRow" showAll="0">
      <items count="2">
        <item x="0"/>
        <item t="default"/>
      </items>
    </pivotField>
    <pivotField axis="axisRow" showAll="0">
      <items count="2">
        <item x="0"/>
        <item t="default"/>
      </items>
    </pivotField>
    <pivotField axis="axisRow" showAll="0">
      <items count="2">
        <item x="0"/>
        <item t="default"/>
      </items>
    </pivotField>
    <pivotField axis="axisRow" showAll="0">
      <items count="2">
        <item x="0"/>
        <item t="default"/>
      </items>
    </pivotField>
    <pivotField axis="axisRow" showAll="0">
      <items count="2">
        <item x="0"/>
        <item t="default"/>
      </items>
    </pivotField>
    <pivotField axis="axisRow" showAll="0">
      <items count="2">
        <item x="0"/>
        <item t="default"/>
      </items>
    </pivotField>
    <pivotField axis="axisRow" showAll="0">
      <items count="3">
        <item x="0"/>
        <item x="1"/>
        <item t="default"/>
      </items>
    </pivotField>
    <pivotField axis="axisRow" showAll="0">
      <items count="4">
        <item x="0"/>
        <item x="1"/>
        <item x="2"/>
        <item t="default"/>
      </items>
    </pivotField>
    <pivotField axis="axisRow" showAll="0" defaultSubtotal="0">
      <items count="5">
        <item x="0"/>
        <item m="1" x="4"/>
        <item m="1" x="3"/>
        <item x="1"/>
        <item x="2"/>
      </items>
    </pivotField>
    <pivotField axis="axisRow" showAll="0" defaultSubtotal="0">
      <items count="2">
        <item x="0"/>
        <item x="1"/>
      </items>
    </pivotField>
    <pivotField axis="axisRow" showAll="0" defaultSubtotal="0">
      <items count="2">
        <item x="0"/>
        <item x="1"/>
      </items>
    </pivotField>
    <pivotField axis="axisRow" showAll="0" defaultSubtotal="0">
      <items count="3">
        <item x="0"/>
        <item x="1"/>
        <item x="2"/>
      </items>
    </pivotField>
    <pivotField axis="axisRow" showAll="0" defaultSubtotal="0">
      <items count="3">
        <item x="0"/>
        <item x="1"/>
        <item x="2"/>
      </items>
    </pivotField>
    <pivotField axis="axisRow" showAll="0" defaultSubtotal="0">
      <items count="3">
        <item x="0"/>
        <item x="1"/>
        <item x="2"/>
      </items>
    </pivotField>
    <pivotField axis="axisRow" showAll="0" defaultSubtotal="0">
      <items count="3">
        <item x="0"/>
        <item x="1"/>
        <item x="2"/>
      </items>
    </pivotField>
    <pivotField axis="axisRow" showAll="0" defaultSubtotal="0">
      <items count="2">
        <item x="0"/>
        <item x="1"/>
      </items>
    </pivotField>
    <pivotField axis="axisRow" showAll="0" defaultSubtotal="0">
      <items count="2">
        <item x="0"/>
        <item x="1"/>
      </items>
    </pivotField>
    <pivotField axis="axisRow" showAll="0" defaultSubtotal="0">
      <items count="5">
        <item x="0"/>
        <item x="1"/>
        <item x="2"/>
        <item x="3"/>
        <item x="4"/>
      </items>
    </pivotField>
    <pivotField axis="axisRow" showAll="0" defaultSubtotal="0">
      <items count="19">
        <item x="0"/>
        <item x="1"/>
        <item x="2"/>
        <item x="3"/>
        <item x="4"/>
        <item x="5"/>
        <item x="6"/>
        <item x="7"/>
        <item x="8"/>
        <item x="9"/>
        <item x="10"/>
        <item x="11"/>
        <item x="12"/>
        <item x="13"/>
        <item x="14"/>
        <item x="15"/>
        <item x="16"/>
        <item x="17"/>
        <item x="18"/>
      </items>
    </pivotField>
    <pivotField axis="axisRow" showAll="0" defaultSubtotal="0">
      <items count="11">
        <item x="0"/>
        <item x="1"/>
        <item x="2"/>
        <item x="3"/>
        <item x="4"/>
        <item x="5"/>
        <item x="6"/>
        <item x="7"/>
        <item x="8"/>
        <item x="9"/>
        <item x="10"/>
      </items>
    </pivotField>
    <pivotField axis="axisRow" showAll="0" defaultSubtotal="0">
      <items count="2">
        <item x="0"/>
        <item x="1"/>
      </items>
    </pivotField>
    <pivotField axis="axisRow" showAll="0" defaultSubtotal="0">
      <items count="2">
        <item x="0"/>
        <item x="1"/>
      </items>
    </pivotField>
    <pivotField axis="axisRow" showAll="0" defaultSubtotal="0">
      <items count="2">
        <item x="0"/>
        <item x="1"/>
      </items>
    </pivotField>
    <pivotField axis="axisRow" showAll="0" defaultSubtotal="0">
      <items count="2">
        <item x="0"/>
        <item x="1"/>
      </items>
    </pivotField>
    <pivotField axis="axisRow" showAll="0" defaultSubtotal="0">
      <items count="3">
        <item x="0"/>
        <item x="1"/>
        <item x="2"/>
      </items>
    </pivotField>
    <pivotField axis="axisRow" showAll="0" defaultSubtotal="0">
      <items count="1">
        <item x="0"/>
      </items>
    </pivotField>
    <pivotField axis="axisRow" showAll="0" defaultSubtotal="0">
      <items count="1">
        <item x="0"/>
      </items>
    </pivotField>
    <pivotField axis="axisRow" showAll="0" defaultSubtotal="0">
      <items count="1">
        <item x="0"/>
      </items>
    </pivotField>
    <pivotField axis="axisRow" showAll="0" defaultSubtotal="0">
      <items count="1">
        <item x="0"/>
      </items>
    </pivotField>
  </pivotFields>
  <rowFields count="94">
    <field x="4"/>
    <field x="190"/>
    <field x="195"/>
    <field x="196"/>
    <field x="197"/>
    <field x="191"/>
    <field x="192"/>
    <field x="193"/>
    <field x="194"/>
    <field x="198"/>
    <field x="199"/>
    <field x="200"/>
    <field x="201"/>
    <field x="202"/>
    <field x="203"/>
    <field x="204"/>
    <field x="205"/>
    <field x="208"/>
    <field x="209"/>
    <field x="210"/>
    <field x="211"/>
    <field x="212"/>
    <field x="213"/>
    <field x="214"/>
    <field x="215"/>
    <field x="216"/>
    <field x="217"/>
    <field x="218"/>
    <field x="219"/>
    <field x="220"/>
    <field x="221"/>
    <field x="222"/>
    <field x="223"/>
    <field x="224"/>
    <field x="225"/>
    <field x="226"/>
    <field x="227"/>
    <field x="228"/>
    <field x="229"/>
    <field x="230"/>
    <field x="231"/>
    <field x="232"/>
    <field x="233"/>
    <field x="234"/>
    <field x="235"/>
    <field x="236"/>
    <field x="237"/>
    <field x="238"/>
    <field x="239"/>
    <field x="240"/>
    <field x="241"/>
    <field x="242"/>
    <field x="243"/>
    <field x="244"/>
    <field x="245"/>
    <field x="246"/>
    <field x="247"/>
    <field x="248"/>
    <field x="249"/>
    <field x="250"/>
    <field x="251"/>
    <field x="252"/>
    <field x="253"/>
    <field x="254"/>
    <field x="255"/>
    <field x="256"/>
    <field x="257"/>
    <field x="258"/>
    <field x="260"/>
    <field x="259"/>
    <field x="261"/>
    <field x="206"/>
    <field x="207"/>
    <field x="262"/>
    <field x="263"/>
    <field x="264"/>
    <field x="265"/>
    <field x="266"/>
    <field x="267"/>
    <field x="268"/>
    <field x="269"/>
    <field x="270"/>
    <field x="271"/>
    <field x="272"/>
    <field x="273"/>
    <field x="274"/>
    <field x="275"/>
    <field x="276"/>
    <field x="277"/>
    <field x="278"/>
    <field x="279"/>
    <field x="280"/>
    <field x="281"/>
    <field x="282"/>
  </rowFields>
  <rowItems count="1106">
    <i>
      <x v="1"/>
    </i>
    <i r="1">
      <x/>
    </i>
    <i r="2">
      <x/>
    </i>
    <i r="3">
      <x/>
    </i>
    <i r="4">
      <x/>
    </i>
    <i r="5">
      <x/>
    </i>
    <i r="6">
      <x/>
    </i>
    <i r="7">
      <x/>
    </i>
    <i r="8">
      <x/>
    </i>
    <i r="9">
      <x/>
    </i>
    <i r="10">
      <x v="97"/>
    </i>
    <i r="11">
      <x/>
    </i>
    <i r="12">
      <x/>
    </i>
    <i r="13">
      <x/>
    </i>
    <i r="14">
      <x/>
    </i>
    <i r="15">
      <x/>
    </i>
    <i r="16">
      <x/>
    </i>
    <i r="17">
      <x/>
    </i>
    <i r="18">
      <x/>
    </i>
    <i r="19">
      <x/>
    </i>
    <i r="20">
      <x/>
    </i>
    <i r="21">
      <x/>
    </i>
    <i r="22">
      <x/>
    </i>
    <i r="23">
      <x/>
    </i>
    <i r="24">
      <x/>
    </i>
    <i r="25">
      <x/>
    </i>
    <i r="26">
      <x/>
    </i>
    <i r="27">
      <x/>
    </i>
    <i r="28">
      <x/>
    </i>
    <i r="29">
      <x/>
    </i>
    <i r="30">
      <x/>
    </i>
    <i r="31">
      <x v="134"/>
    </i>
    <i r="32">
      <x/>
    </i>
    <i r="33">
      <x/>
    </i>
    <i r="34">
      <x/>
    </i>
    <i r="35">
      <x/>
    </i>
    <i r="36">
      <x/>
    </i>
    <i r="37">
      <x/>
    </i>
    <i r="38">
      <x/>
    </i>
    <i r="39">
      <x/>
    </i>
    <i r="40">
      <x/>
    </i>
    <i r="41">
      <x/>
    </i>
    <i r="42">
      <x/>
    </i>
    <i r="43">
      <x/>
    </i>
    <i r="44">
      <x/>
    </i>
    <i r="45">
      <x/>
    </i>
    <i r="46">
      <x/>
    </i>
    <i r="47">
      <x/>
    </i>
    <i r="48">
      <x/>
    </i>
    <i r="49">
      <x/>
    </i>
    <i r="50">
      <x/>
    </i>
    <i r="51">
      <x/>
    </i>
    <i r="52">
      <x/>
    </i>
    <i r="53">
      <x/>
    </i>
    <i r="54">
      <x/>
    </i>
    <i r="55">
      <x/>
    </i>
    <i r="56">
      <x/>
    </i>
    <i r="57">
      <x/>
    </i>
    <i r="58">
      <x/>
    </i>
    <i r="59">
      <x/>
    </i>
    <i r="60">
      <x/>
    </i>
    <i r="61">
      <x/>
    </i>
    <i r="62">
      <x/>
    </i>
    <i r="63">
      <x/>
    </i>
    <i r="64">
      <x/>
    </i>
    <i r="65">
      <x/>
    </i>
    <i r="66">
      <x/>
    </i>
    <i r="67">
      <x/>
    </i>
    <i r="68">
      <x/>
    </i>
    <i r="69">
      <x/>
    </i>
    <i r="70">
      <x v="1"/>
    </i>
    <i r="71">
      <x/>
    </i>
    <i r="72">
      <x/>
    </i>
    <i r="73">
      <x/>
    </i>
    <i r="74">
      <x/>
    </i>
    <i r="75">
      <x/>
    </i>
    <i r="76">
      <x/>
    </i>
    <i r="77">
      <x/>
    </i>
    <i r="78">
      <x/>
    </i>
    <i r="79">
      <x/>
    </i>
    <i r="80">
      <x/>
    </i>
    <i r="81">
      <x/>
    </i>
    <i r="82">
      <x/>
    </i>
    <i r="83">
      <x/>
    </i>
    <i r="84">
      <x/>
    </i>
    <i r="85">
      <x/>
    </i>
    <i r="86">
      <x/>
    </i>
    <i r="87">
      <x/>
    </i>
    <i r="88">
      <x/>
    </i>
    <i r="89">
      <x/>
    </i>
    <i r="90">
      <x/>
    </i>
    <i r="91">
      <x/>
    </i>
    <i r="92">
      <x/>
    </i>
    <i r="93">
      <x/>
    </i>
    <i r="10">
      <x v="100"/>
    </i>
    <i r="11">
      <x/>
    </i>
    <i r="12">
      <x/>
    </i>
    <i r="13">
      <x/>
    </i>
    <i r="14">
      <x/>
    </i>
    <i r="15">
      <x/>
    </i>
    <i r="16">
      <x/>
    </i>
    <i r="17">
      <x/>
    </i>
    <i r="18">
      <x/>
    </i>
    <i r="19">
      <x/>
    </i>
    <i r="20">
      <x/>
    </i>
    <i r="21">
      <x/>
    </i>
    <i r="22">
      <x/>
    </i>
    <i r="23">
      <x/>
    </i>
    <i r="24">
      <x/>
    </i>
    <i r="25">
      <x/>
    </i>
    <i r="26">
      <x/>
    </i>
    <i r="27">
      <x/>
    </i>
    <i r="28">
      <x/>
    </i>
    <i r="29">
      <x/>
    </i>
    <i r="30">
      <x/>
    </i>
    <i r="31">
      <x v="136"/>
    </i>
    <i r="32">
      <x/>
    </i>
    <i r="33">
      <x/>
    </i>
    <i r="34">
      <x/>
    </i>
    <i r="35">
      <x/>
    </i>
    <i r="36">
      <x/>
    </i>
    <i r="37">
      <x/>
    </i>
    <i r="38">
      <x/>
    </i>
    <i r="39">
      <x/>
    </i>
    <i r="40">
      <x/>
    </i>
    <i r="41">
      <x/>
    </i>
    <i r="42">
      <x/>
    </i>
    <i r="43">
      <x/>
    </i>
    <i r="44">
      <x/>
    </i>
    <i r="45">
      <x/>
    </i>
    <i r="46">
      <x/>
    </i>
    <i r="47">
      <x/>
    </i>
    <i r="48">
      <x/>
    </i>
    <i r="49">
      <x/>
    </i>
    <i r="50">
      <x/>
    </i>
    <i r="51">
      <x/>
    </i>
    <i r="52">
      <x/>
    </i>
    <i r="53">
      <x/>
    </i>
    <i r="54">
      <x/>
    </i>
    <i r="55">
      <x/>
    </i>
    <i r="56">
      <x/>
    </i>
    <i r="57">
      <x/>
    </i>
    <i r="58">
      <x/>
    </i>
    <i r="59">
      <x/>
    </i>
    <i r="60">
      <x/>
    </i>
    <i r="61">
      <x/>
    </i>
    <i r="62">
      <x/>
    </i>
    <i r="63">
      <x/>
    </i>
    <i r="64">
      <x/>
    </i>
    <i r="65">
      <x/>
    </i>
    <i r="66">
      <x/>
    </i>
    <i r="67">
      <x/>
    </i>
    <i r="68">
      <x/>
    </i>
    <i r="69">
      <x/>
    </i>
    <i r="70">
      <x v="2"/>
    </i>
    <i r="71">
      <x/>
    </i>
    <i r="72">
      <x/>
    </i>
    <i r="73">
      <x/>
    </i>
    <i r="74">
      <x/>
    </i>
    <i r="75">
      <x/>
    </i>
    <i r="76">
      <x/>
    </i>
    <i r="77">
      <x/>
    </i>
    <i r="78">
      <x/>
    </i>
    <i r="79">
      <x/>
    </i>
    <i r="80">
      <x/>
    </i>
    <i r="81">
      <x/>
    </i>
    <i r="82">
      <x/>
    </i>
    <i r="83">
      <x/>
    </i>
    <i r="84">
      <x/>
    </i>
    <i r="85">
      <x/>
    </i>
    <i r="86">
      <x/>
    </i>
    <i r="87">
      <x/>
    </i>
    <i r="88">
      <x/>
    </i>
    <i r="89">
      <x/>
    </i>
    <i r="90">
      <x/>
    </i>
    <i r="91">
      <x/>
    </i>
    <i r="92">
      <x/>
    </i>
    <i r="93">
      <x/>
    </i>
    <i r="2">
      <x v="104"/>
    </i>
    <i r="3">
      <x/>
    </i>
    <i r="4">
      <x/>
    </i>
    <i r="5">
      <x/>
    </i>
    <i r="6">
      <x/>
    </i>
    <i r="7">
      <x/>
    </i>
    <i r="8">
      <x/>
    </i>
    <i r="9">
      <x/>
    </i>
    <i r="10">
      <x/>
    </i>
    <i r="11">
      <x/>
    </i>
    <i r="12">
      <x/>
    </i>
    <i r="13">
      <x v="14"/>
    </i>
    <i r="14">
      <x/>
    </i>
    <i r="15">
      <x/>
    </i>
    <i r="16">
      <x/>
    </i>
    <i r="17">
      <x/>
    </i>
    <i r="18">
      <x/>
    </i>
    <i r="19">
      <x/>
    </i>
    <i r="20">
      <x v="1"/>
    </i>
    <i r="21">
      <x/>
    </i>
    <i r="22">
      <x/>
    </i>
    <i r="23">
      <x/>
    </i>
    <i r="24">
      <x/>
    </i>
    <i r="25">
      <x/>
    </i>
    <i r="26">
      <x/>
    </i>
    <i r="27">
      <x v="3"/>
    </i>
    <i r="28">
      <x/>
    </i>
    <i r="29">
      <x/>
    </i>
    <i r="30">
      <x/>
    </i>
    <i r="31">
      <x/>
    </i>
    <i r="32">
      <x/>
    </i>
    <i r="33">
      <x/>
    </i>
    <i r="34">
      <x/>
    </i>
    <i r="35">
      <x/>
    </i>
    <i r="36">
      <x/>
    </i>
    <i r="37">
      <x/>
    </i>
    <i r="38">
      <x/>
    </i>
    <i r="39">
      <x/>
    </i>
    <i r="40">
      <x/>
    </i>
    <i r="41">
      <x/>
    </i>
    <i r="42">
      <x/>
    </i>
    <i r="43">
      <x/>
    </i>
    <i r="44">
      <x/>
    </i>
    <i r="45">
      <x/>
    </i>
    <i r="46">
      <x/>
    </i>
    <i r="47">
      <x/>
    </i>
    <i r="48">
      <x/>
    </i>
    <i r="49">
      <x/>
    </i>
    <i r="50">
      <x/>
    </i>
    <i r="51">
      <x/>
    </i>
    <i r="52">
      <x/>
    </i>
    <i r="53">
      <x/>
    </i>
    <i r="54">
      <x/>
    </i>
    <i r="55">
      <x/>
    </i>
    <i r="56">
      <x/>
    </i>
    <i r="57">
      <x/>
    </i>
    <i r="58">
      <x/>
    </i>
    <i r="59">
      <x/>
    </i>
    <i r="60">
      <x/>
    </i>
    <i r="61">
      <x/>
    </i>
    <i r="62">
      <x/>
    </i>
    <i r="63">
      <x/>
    </i>
    <i r="64">
      <x/>
    </i>
    <i r="65">
      <x/>
    </i>
    <i r="66">
      <x/>
    </i>
    <i r="67">
      <x/>
    </i>
    <i r="68">
      <x/>
    </i>
    <i r="69">
      <x/>
    </i>
    <i r="70">
      <x/>
    </i>
    <i r="71">
      <x v="3"/>
    </i>
    <i r="72">
      <x/>
    </i>
    <i r="73">
      <x v="3"/>
    </i>
    <i r="74">
      <x v="1"/>
    </i>
    <i r="75">
      <x v="1"/>
    </i>
    <i r="76">
      <x v="1"/>
    </i>
    <i r="77">
      <x v="1"/>
    </i>
    <i r="78">
      <x v="1"/>
    </i>
    <i r="79">
      <x v="1"/>
    </i>
    <i r="80">
      <x/>
    </i>
    <i r="81">
      <x/>
    </i>
    <i r="82">
      <x/>
    </i>
    <i r="83">
      <x/>
    </i>
    <i r="84">
      <x/>
    </i>
    <i r="85">
      <x v="1"/>
    </i>
    <i r="86">
      <x v="1"/>
    </i>
    <i r="87">
      <x v="1"/>
    </i>
    <i r="88">
      <x v="1"/>
    </i>
    <i r="89">
      <x/>
    </i>
    <i r="90">
      <x/>
    </i>
    <i r="91">
      <x/>
    </i>
    <i r="92">
      <x/>
    </i>
    <i r="93">
      <x/>
    </i>
    <i r="2">
      <x v="106"/>
    </i>
    <i r="3">
      <x/>
    </i>
    <i r="4">
      <x/>
    </i>
    <i r="5">
      <x/>
    </i>
    <i r="6">
      <x/>
    </i>
    <i r="7">
      <x/>
    </i>
    <i r="8">
      <x/>
    </i>
    <i r="9">
      <x/>
    </i>
    <i r="10">
      <x/>
    </i>
    <i r="11">
      <x/>
    </i>
    <i r="12">
      <x/>
    </i>
    <i r="13">
      <x/>
    </i>
    <i r="14">
      <x v="2"/>
    </i>
    <i r="15">
      <x v="1"/>
    </i>
    <i r="16">
      <x/>
    </i>
    <i r="17">
      <x/>
    </i>
    <i r="18">
      <x/>
    </i>
    <i r="19">
      <x/>
    </i>
    <i r="20">
      <x v="3"/>
    </i>
    <i r="21">
      <x/>
    </i>
    <i r="22">
      <x/>
    </i>
    <i r="23">
      <x/>
    </i>
    <i r="24">
      <x/>
    </i>
    <i r="25">
      <x/>
    </i>
    <i r="26">
      <x/>
    </i>
    <i r="27">
      <x/>
    </i>
    <i r="28">
      <x/>
    </i>
    <i r="29">
      <x v="1"/>
    </i>
    <i r="30">
      <x/>
    </i>
    <i r="31">
      <x/>
    </i>
    <i r="32">
      <x/>
    </i>
    <i r="33">
      <x/>
    </i>
    <i r="34">
      <x/>
    </i>
    <i r="35">
      <x/>
    </i>
    <i r="36">
      <x/>
    </i>
    <i r="37">
      <x/>
    </i>
    <i r="38">
      <x/>
    </i>
    <i r="39">
      <x/>
    </i>
    <i r="40">
      <x/>
    </i>
    <i r="41">
      <x/>
    </i>
    <i r="42">
      <x/>
    </i>
    <i r="43">
      <x/>
    </i>
    <i r="44">
      <x/>
    </i>
    <i r="45">
      <x/>
    </i>
    <i r="46">
      <x/>
    </i>
    <i r="47">
      <x/>
    </i>
    <i r="48">
      <x/>
    </i>
    <i r="49">
      <x/>
    </i>
    <i r="50">
      <x/>
    </i>
    <i r="51">
      <x/>
    </i>
    <i r="52">
      <x v="6"/>
    </i>
    <i r="53">
      <x/>
    </i>
    <i r="54">
      <x/>
    </i>
    <i r="55">
      <x/>
    </i>
    <i r="56">
      <x/>
    </i>
    <i r="57">
      <x/>
    </i>
    <i r="58">
      <x v="1"/>
    </i>
    <i r="59">
      <x/>
    </i>
    <i r="60">
      <x/>
    </i>
    <i r="61">
      <x/>
    </i>
    <i r="62">
      <x/>
    </i>
    <i r="63">
      <x/>
    </i>
    <i r="64">
      <x/>
    </i>
    <i r="65">
      <x/>
    </i>
    <i r="66">
      <x/>
    </i>
    <i r="67">
      <x/>
    </i>
    <i r="68">
      <x/>
    </i>
    <i r="69">
      <x/>
    </i>
    <i r="70">
      <x/>
    </i>
    <i r="71">
      <x v="5"/>
    </i>
    <i r="72">
      <x/>
    </i>
    <i r="73">
      <x/>
    </i>
    <i r="74">
      <x/>
    </i>
    <i r="75">
      <x/>
    </i>
    <i r="76">
      <x/>
    </i>
    <i r="77">
      <x/>
    </i>
    <i r="78">
      <x/>
    </i>
    <i r="79">
      <x/>
    </i>
    <i r="80">
      <x/>
    </i>
    <i r="81">
      <x/>
    </i>
    <i r="82">
      <x/>
    </i>
    <i r="83">
      <x/>
    </i>
    <i r="84">
      <x/>
    </i>
    <i r="85">
      <x/>
    </i>
    <i r="86">
      <x/>
    </i>
    <i r="87">
      <x/>
    </i>
    <i r="88">
      <x/>
    </i>
    <i r="89">
      <x/>
    </i>
    <i r="90">
      <x/>
    </i>
    <i r="91">
      <x/>
    </i>
    <i r="92">
      <x/>
    </i>
    <i r="93">
      <x/>
    </i>
    <i r="2">
      <x v="108"/>
    </i>
    <i r="3">
      <x/>
    </i>
    <i r="4">
      <x/>
    </i>
    <i r="5">
      <x/>
    </i>
    <i r="6">
      <x/>
    </i>
    <i r="7">
      <x/>
    </i>
    <i r="8">
      <x/>
    </i>
    <i r="9">
      <x/>
    </i>
    <i r="10">
      <x/>
    </i>
    <i r="11">
      <x/>
    </i>
    <i r="12">
      <x/>
    </i>
    <i r="13">
      <x/>
    </i>
    <i r="14">
      <x v="4"/>
    </i>
    <i r="15">
      <x v="2"/>
    </i>
    <i r="16">
      <x/>
    </i>
    <i r="17">
      <x/>
    </i>
    <i r="18">
      <x/>
    </i>
    <i r="19">
      <x/>
    </i>
    <i r="20">
      <x v="5"/>
    </i>
    <i r="21">
      <x/>
    </i>
    <i r="22">
      <x/>
    </i>
    <i r="23">
      <x/>
    </i>
    <i r="24">
      <x/>
    </i>
    <i r="25">
      <x/>
    </i>
    <i r="26">
      <x/>
    </i>
    <i r="27">
      <x/>
    </i>
    <i r="28">
      <x/>
    </i>
    <i r="29">
      <x v="2"/>
    </i>
    <i r="30">
      <x/>
    </i>
    <i r="31">
      <x/>
    </i>
    <i r="32">
      <x/>
    </i>
    <i r="33">
      <x/>
    </i>
    <i r="34">
      <x/>
    </i>
    <i r="35">
      <x/>
    </i>
    <i r="36">
      <x/>
    </i>
    <i r="37">
      <x/>
    </i>
    <i r="38">
      <x/>
    </i>
    <i r="39">
      <x/>
    </i>
    <i r="40">
      <x/>
    </i>
    <i r="41">
      <x/>
    </i>
    <i r="42">
      <x/>
    </i>
    <i r="43">
      <x/>
    </i>
    <i r="44">
      <x/>
    </i>
    <i r="45">
      <x/>
    </i>
    <i r="46">
      <x/>
    </i>
    <i r="47">
      <x/>
    </i>
    <i r="48">
      <x/>
    </i>
    <i r="49">
      <x/>
    </i>
    <i r="50">
      <x/>
    </i>
    <i r="51">
      <x/>
    </i>
    <i r="52">
      <x v="7"/>
    </i>
    <i r="53">
      <x/>
    </i>
    <i r="54">
      <x/>
    </i>
    <i r="55">
      <x/>
    </i>
    <i r="56">
      <x/>
    </i>
    <i r="57">
      <x/>
    </i>
    <i r="58">
      <x v="2"/>
    </i>
    <i r="59">
      <x/>
    </i>
    <i r="60">
      <x/>
    </i>
    <i r="61">
      <x/>
    </i>
    <i r="62">
      <x/>
    </i>
    <i r="63">
      <x/>
    </i>
    <i r="64">
      <x/>
    </i>
    <i r="65">
      <x/>
    </i>
    <i r="66">
      <x/>
    </i>
    <i r="67">
      <x/>
    </i>
    <i r="68">
      <x/>
    </i>
    <i r="69">
      <x/>
    </i>
    <i r="70">
      <x/>
    </i>
    <i r="71">
      <x v="6"/>
    </i>
    <i r="72">
      <x/>
    </i>
    <i r="73">
      <x/>
    </i>
    <i r="74">
      <x/>
    </i>
    <i r="75">
      <x/>
    </i>
    <i r="76">
      <x/>
    </i>
    <i r="77">
      <x/>
    </i>
    <i r="78">
      <x/>
    </i>
    <i r="79">
      <x/>
    </i>
    <i r="80">
      <x/>
    </i>
    <i r="81">
      <x/>
    </i>
    <i r="82">
      <x/>
    </i>
    <i r="83">
      <x/>
    </i>
    <i r="84">
      <x/>
    </i>
    <i r="85">
      <x/>
    </i>
    <i r="86">
      <x/>
    </i>
    <i r="87">
      <x/>
    </i>
    <i r="88">
      <x/>
    </i>
    <i r="89">
      <x/>
    </i>
    <i r="90">
      <x/>
    </i>
    <i r="91">
      <x/>
    </i>
    <i r="92">
      <x/>
    </i>
    <i r="93">
      <x/>
    </i>
    <i r="1">
      <x v="33"/>
    </i>
    <i r="2">
      <x v="105"/>
    </i>
    <i r="3">
      <x v="44"/>
    </i>
    <i r="4">
      <x v="1"/>
    </i>
    <i r="5">
      <x/>
    </i>
    <i r="6">
      <x/>
    </i>
    <i r="7">
      <x/>
    </i>
    <i r="8">
      <x/>
    </i>
    <i r="9">
      <x v="4"/>
    </i>
    <i r="10">
      <x v="95"/>
    </i>
    <i r="11">
      <x/>
    </i>
    <i r="12">
      <x/>
    </i>
    <i r="13">
      <x v="12"/>
    </i>
    <i r="14">
      <x v="1"/>
    </i>
    <i r="15">
      <x/>
    </i>
    <i r="16">
      <x/>
    </i>
    <i r="17">
      <x/>
    </i>
    <i r="18">
      <x v="1"/>
    </i>
    <i r="19">
      <x/>
    </i>
    <i r="20">
      <x v="2"/>
    </i>
    <i r="21">
      <x/>
    </i>
    <i r="22">
      <x/>
    </i>
    <i r="23">
      <x/>
    </i>
    <i r="24">
      <x/>
    </i>
    <i r="25">
      <x/>
    </i>
    <i r="26">
      <x v="1"/>
    </i>
    <i r="27">
      <x v="1"/>
    </i>
    <i r="28">
      <x/>
    </i>
    <i r="29">
      <x/>
    </i>
    <i r="30">
      <x/>
    </i>
    <i r="31">
      <x v="133"/>
    </i>
    <i r="32">
      <x/>
    </i>
    <i r="33">
      <x/>
    </i>
    <i r="34">
      <x/>
    </i>
    <i r="35">
      <x/>
    </i>
    <i r="36">
      <x/>
    </i>
    <i r="37">
      <x/>
    </i>
    <i r="38">
      <x/>
    </i>
    <i r="39">
      <x/>
    </i>
    <i r="40">
      <x/>
    </i>
    <i r="41">
      <x/>
    </i>
    <i r="42">
      <x/>
    </i>
    <i r="43">
      <x/>
    </i>
    <i r="44">
      <x/>
    </i>
    <i r="45">
      <x/>
    </i>
    <i r="46">
      <x/>
    </i>
    <i r="47">
      <x/>
    </i>
    <i r="48">
      <x/>
    </i>
    <i r="49">
      <x/>
    </i>
    <i r="50">
      <x/>
    </i>
    <i r="51">
      <x/>
    </i>
    <i r="52">
      <x/>
    </i>
    <i r="53">
      <x/>
    </i>
    <i r="54">
      <x/>
    </i>
    <i r="55">
      <x/>
    </i>
    <i r="56">
      <x/>
    </i>
    <i r="57">
      <x/>
    </i>
    <i r="58">
      <x/>
    </i>
    <i r="59">
      <x/>
    </i>
    <i r="60">
      <x/>
    </i>
    <i r="61">
      <x/>
    </i>
    <i r="62">
      <x/>
    </i>
    <i r="63">
      <x/>
    </i>
    <i r="64">
      <x/>
    </i>
    <i r="65">
      <x/>
    </i>
    <i r="66">
      <x/>
    </i>
    <i r="67">
      <x/>
    </i>
    <i r="68">
      <x/>
    </i>
    <i r="69">
      <x/>
    </i>
    <i r="70">
      <x/>
    </i>
    <i r="71">
      <x v="1"/>
    </i>
    <i r="72">
      <x v="1"/>
    </i>
    <i r="73">
      <x/>
    </i>
    <i r="74">
      <x/>
    </i>
    <i r="75">
      <x/>
    </i>
    <i r="76">
      <x/>
    </i>
    <i r="77">
      <x/>
    </i>
    <i r="78">
      <x/>
    </i>
    <i r="79">
      <x/>
    </i>
    <i r="80">
      <x/>
    </i>
    <i r="81">
      <x/>
    </i>
    <i r="82">
      <x/>
    </i>
    <i r="83">
      <x/>
    </i>
    <i r="84">
      <x/>
    </i>
    <i r="85">
      <x/>
    </i>
    <i r="86">
      <x/>
    </i>
    <i r="87">
      <x/>
    </i>
    <i r="88">
      <x/>
    </i>
    <i r="89">
      <x v="1"/>
    </i>
    <i r="90">
      <x/>
    </i>
    <i r="91">
      <x/>
    </i>
    <i r="92">
      <x/>
    </i>
    <i r="93">
      <x/>
    </i>
    <i r="1">
      <x v="34"/>
    </i>
    <i r="2">
      <x v="107"/>
    </i>
    <i r="3">
      <x v="45"/>
    </i>
    <i r="4">
      <x v="2"/>
    </i>
    <i r="5">
      <x/>
    </i>
    <i r="6">
      <x/>
    </i>
    <i r="7">
      <x/>
    </i>
    <i r="8">
      <x/>
    </i>
    <i r="9">
      <x v="6"/>
    </i>
    <i r="10">
      <x v="98"/>
    </i>
    <i r="11">
      <x/>
    </i>
    <i r="12">
      <x/>
    </i>
    <i r="13">
      <x v="13"/>
    </i>
    <i r="14">
      <x v="3"/>
    </i>
    <i r="15">
      <x/>
    </i>
    <i r="16">
      <x/>
    </i>
    <i r="17">
      <x/>
    </i>
    <i r="18">
      <x v="2"/>
    </i>
    <i r="19">
      <x/>
    </i>
    <i r="20">
      <x v="4"/>
    </i>
    <i r="21">
      <x/>
    </i>
    <i r="22">
      <x/>
    </i>
    <i r="23">
      <x/>
    </i>
    <i r="24">
      <x/>
    </i>
    <i r="25">
      <x/>
    </i>
    <i r="26">
      <x v="2"/>
    </i>
    <i r="27">
      <x v="2"/>
    </i>
    <i r="28">
      <x/>
    </i>
    <i r="29">
      <x/>
    </i>
    <i r="30">
      <x/>
    </i>
    <i r="31">
      <x v="135"/>
    </i>
    <i r="32">
      <x/>
    </i>
    <i r="33">
      <x/>
    </i>
    <i r="34">
      <x/>
    </i>
    <i r="35">
      <x/>
    </i>
    <i r="36">
      <x/>
    </i>
    <i r="37">
      <x/>
    </i>
    <i r="38">
      <x/>
    </i>
    <i r="39">
      <x/>
    </i>
    <i r="40">
      <x/>
    </i>
    <i r="41">
      <x/>
    </i>
    <i r="42">
      <x/>
    </i>
    <i r="43">
      <x/>
    </i>
    <i r="44">
      <x/>
    </i>
    <i r="45">
      <x/>
    </i>
    <i r="46">
      <x/>
    </i>
    <i r="47">
      <x/>
    </i>
    <i r="48">
      <x/>
    </i>
    <i r="49">
      <x/>
    </i>
    <i r="50">
      <x/>
    </i>
    <i r="51">
      <x/>
    </i>
    <i r="52">
      <x/>
    </i>
    <i r="53">
      <x/>
    </i>
    <i r="54">
      <x/>
    </i>
    <i r="55">
      <x/>
    </i>
    <i r="56">
      <x/>
    </i>
    <i r="57">
      <x/>
    </i>
    <i r="58">
      <x/>
    </i>
    <i r="59">
      <x/>
    </i>
    <i r="60">
      <x/>
    </i>
    <i r="61">
      <x/>
    </i>
    <i r="62">
      <x/>
    </i>
    <i r="63">
      <x/>
    </i>
    <i r="64">
      <x/>
    </i>
    <i r="65">
      <x/>
    </i>
    <i r="66">
      <x/>
    </i>
    <i r="67">
      <x/>
    </i>
    <i r="68">
      <x/>
    </i>
    <i r="69">
      <x/>
    </i>
    <i r="70">
      <x/>
    </i>
    <i r="71">
      <x v="2"/>
    </i>
    <i r="72">
      <x v="2"/>
    </i>
    <i r="73">
      <x/>
    </i>
    <i r="74">
      <x/>
    </i>
    <i r="75">
      <x/>
    </i>
    <i r="76">
      <x/>
    </i>
    <i r="77">
      <x/>
    </i>
    <i r="78">
      <x/>
    </i>
    <i r="79">
      <x/>
    </i>
    <i r="80">
      <x/>
    </i>
    <i r="81">
      <x/>
    </i>
    <i r="82">
      <x/>
    </i>
    <i r="83">
      <x/>
    </i>
    <i r="84">
      <x/>
    </i>
    <i r="85">
      <x/>
    </i>
    <i r="86">
      <x/>
    </i>
    <i r="87">
      <x/>
    </i>
    <i r="88">
      <x/>
    </i>
    <i r="89">
      <x v="2"/>
    </i>
    <i r="90">
      <x/>
    </i>
    <i r="91">
      <x/>
    </i>
    <i r="92">
      <x/>
    </i>
    <i r="93">
      <x/>
    </i>
    <i r="1">
      <x v="37"/>
    </i>
    <i r="2">
      <x/>
    </i>
    <i r="3">
      <x/>
    </i>
    <i r="4">
      <x/>
    </i>
    <i r="5">
      <x v="21"/>
    </i>
    <i r="6">
      <x/>
    </i>
    <i r="7">
      <x/>
    </i>
    <i r="8">
      <x/>
    </i>
    <i r="9">
      <x v="1"/>
    </i>
    <i r="10">
      <x v="92"/>
    </i>
    <i r="11">
      <x/>
    </i>
    <i r="12">
      <x/>
    </i>
    <i r="13">
      <x/>
    </i>
    <i r="14">
      <x/>
    </i>
    <i r="15">
      <x/>
    </i>
    <i r="16">
      <x/>
    </i>
    <i r="17">
      <x/>
    </i>
    <i r="18">
      <x/>
    </i>
    <i r="19">
      <x/>
    </i>
    <i r="20">
      <x/>
    </i>
    <i r="21">
      <x/>
    </i>
    <i r="22">
      <x/>
    </i>
    <i r="23">
      <x/>
    </i>
    <i r="24">
      <x/>
    </i>
    <i r="25">
      <x/>
    </i>
    <i r="26">
      <x/>
    </i>
    <i r="27">
      <x/>
    </i>
    <i r="28">
      <x/>
    </i>
    <i r="29">
      <x/>
    </i>
    <i r="30">
      <x/>
    </i>
    <i r="31">
      <x/>
    </i>
    <i r="32">
      <x/>
    </i>
    <i r="33">
      <x/>
    </i>
    <i r="34">
      <x/>
    </i>
    <i r="35">
      <x/>
    </i>
    <i r="36">
      <x/>
    </i>
    <i r="37">
      <x/>
    </i>
    <i r="38">
      <x/>
    </i>
    <i r="39">
      <x/>
    </i>
    <i r="40">
      <x/>
    </i>
    <i r="41">
      <x/>
    </i>
    <i r="42">
      <x/>
    </i>
    <i r="43">
      <x/>
    </i>
    <i r="44">
      <x/>
    </i>
    <i r="45">
      <x/>
    </i>
    <i r="46">
      <x/>
    </i>
    <i r="47">
      <x/>
    </i>
    <i r="48">
      <x/>
    </i>
    <i r="49">
      <x/>
    </i>
    <i r="50">
      <x/>
    </i>
    <i r="51">
      <x/>
    </i>
    <i r="52">
      <x/>
    </i>
    <i r="53">
      <x/>
    </i>
    <i r="54">
      <x/>
    </i>
    <i r="55">
      <x/>
    </i>
    <i r="56">
      <x/>
    </i>
    <i r="57">
      <x/>
    </i>
    <i r="58">
      <x/>
    </i>
    <i r="59">
      <x/>
    </i>
    <i r="60">
      <x/>
    </i>
    <i r="61">
      <x/>
    </i>
    <i r="62">
      <x/>
    </i>
    <i r="63">
      <x/>
    </i>
    <i r="64">
      <x/>
    </i>
    <i r="65">
      <x/>
    </i>
    <i r="66">
      <x/>
    </i>
    <i r="67">
      <x/>
    </i>
    <i r="68">
      <x/>
    </i>
    <i r="69">
      <x/>
    </i>
    <i r="70">
      <x/>
    </i>
    <i r="71">
      <x/>
    </i>
    <i r="72">
      <x/>
    </i>
    <i r="73">
      <x/>
    </i>
    <i r="74">
      <x/>
    </i>
    <i r="75">
      <x/>
    </i>
    <i r="76">
      <x/>
    </i>
    <i r="77">
      <x/>
    </i>
    <i r="78">
      <x/>
    </i>
    <i r="79">
      <x/>
    </i>
    <i r="80">
      <x/>
    </i>
    <i r="81">
      <x/>
    </i>
    <i r="82">
      <x/>
    </i>
    <i r="83">
      <x/>
    </i>
    <i r="84">
      <x/>
    </i>
    <i r="85">
      <x/>
    </i>
    <i r="86">
      <x/>
    </i>
    <i r="87">
      <x/>
    </i>
    <i r="88">
      <x/>
    </i>
    <i r="89">
      <x/>
    </i>
    <i r="90">
      <x/>
    </i>
    <i r="91">
      <x/>
    </i>
    <i r="92">
      <x/>
    </i>
    <i r="93">
      <x/>
    </i>
    <i r="1">
      <x v="38"/>
    </i>
    <i r="2">
      <x/>
    </i>
    <i r="3">
      <x/>
    </i>
    <i r="4">
      <x/>
    </i>
    <i r="5">
      <x v="22"/>
    </i>
    <i r="6">
      <x/>
    </i>
    <i r="7">
      <x/>
    </i>
    <i r="8">
      <x/>
    </i>
    <i r="9">
      <x v="2"/>
    </i>
    <i r="10">
      <x v="93"/>
    </i>
    <i r="11">
      <x/>
    </i>
    <i r="12">
      <x/>
    </i>
    <i r="13">
      <x/>
    </i>
    <i r="14">
      <x/>
    </i>
    <i r="15">
      <x/>
    </i>
    <i r="16">
      <x/>
    </i>
    <i r="17">
      <x/>
    </i>
    <i r="18">
      <x/>
    </i>
    <i r="19">
      <x/>
    </i>
    <i r="20">
      <x/>
    </i>
    <i r="21">
      <x/>
    </i>
    <i r="22">
      <x/>
    </i>
    <i r="23">
      <x/>
    </i>
    <i r="24">
      <x/>
    </i>
    <i r="25">
      <x/>
    </i>
    <i r="26">
      <x/>
    </i>
    <i r="27">
      <x/>
    </i>
    <i r="28">
      <x/>
    </i>
    <i r="29">
      <x/>
    </i>
    <i r="30">
      <x/>
    </i>
    <i r="31">
      <x/>
    </i>
    <i r="32">
      <x/>
    </i>
    <i r="33">
      <x/>
    </i>
    <i r="34">
      <x/>
    </i>
    <i r="35">
      <x/>
    </i>
    <i r="36">
      <x/>
    </i>
    <i r="37">
      <x/>
    </i>
    <i r="38">
      <x/>
    </i>
    <i r="39">
      <x/>
    </i>
    <i r="40">
      <x/>
    </i>
    <i r="41">
      <x/>
    </i>
    <i r="42">
      <x/>
    </i>
    <i r="43">
      <x/>
    </i>
    <i r="44">
      <x/>
    </i>
    <i r="45">
      <x/>
    </i>
    <i r="46">
      <x/>
    </i>
    <i r="47">
      <x/>
    </i>
    <i r="48">
      <x/>
    </i>
    <i r="49">
      <x/>
    </i>
    <i r="50">
      <x/>
    </i>
    <i r="51">
      <x/>
    </i>
    <i r="52">
      <x/>
    </i>
    <i r="53">
      <x/>
    </i>
    <i r="54">
      <x/>
    </i>
    <i r="55">
      <x/>
    </i>
    <i r="56">
      <x/>
    </i>
    <i r="57">
      <x/>
    </i>
    <i r="58">
      <x/>
    </i>
    <i r="59">
      <x/>
    </i>
    <i r="60">
      <x/>
    </i>
    <i r="61">
      <x/>
    </i>
    <i r="62">
      <x/>
    </i>
    <i r="63">
      <x/>
    </i>
    <i r="64">
      <x/>
    </i>
    <i r="65">
      <x/>
    </i>
    <i r="66">
      <x/>
    </i>
    <i r="67">
      <x/>
    </i>
    <i r="68">
      <x/>
    </i>
    <i r="69">
      <x/>
    </i>
    <i r="70">
      <x/>
    </i>
    <i r="71">
      <x/>
    </i>
    <i r="72">
      <x/>
    </i>
    <i r="73">
      <x/>
    </i>
    <i r="74">
      <x/>
    </i>
    <i r="75">
      <x/>
    </i>
    <i r="76">
      <x/>
    </i>
    <i r="77">
      <x/>
    </i>
    <i r="78">
      <x/>
    </i>
    <i r="79">
      <x/>
    </i>
    <i r="80">
      <x/>
    </i>
    <i r="81">
      <x/>
    </i>
    <i r="82">
      <x/>
    </i>
    <i r="83">
      <x/>
    </i>
    <i r="84">
      <x/>
    </i>
    <i r="85">
      <x/>
    </i>
    <i r="86">
      <x/>
    </i>
    <i r="87">
      <x/>
    </i>
    <i r="88">
      <x/>
    </i>
    <i r="89">
      <x/>
    </i>
    <i r="90">
      <x/>
    </i>
    <i r="91">
      <x/>
    </i>
    <i r="92">
      <x/>
    </i>
    <i r="93">
      <x/>
    </i>
    <i r="1">
      <x v="39"/>
    </i>
    <i r="2">
      <x/>
    </i>
    <i r="3">
      <x/>
    </i>
    <i r="4">
      <x/>
    </i>
    <i r="5">
      <x v="23"/>
    </i>
    <i r="6">
      <x/>
    </i>
    <i r="7">
      <x/>
    </i>
    <i r="8">
      <x/>
    </i>
    <i r="9">
      <x v="3"/>
    </i>
    <i r="10">
      <x v="94"/>
    </i>
    <i r="11">
      <x/>
    </i>
    <i r="12">
      <x/>
    </i>
    <i r="13">
      <x/>
    </i>
    <i r="14">
      <x/>
    </i>
    <i r="15">
      <x/>
    </i>
    <i r="16">
      <x/>
    </i>
    <i r="17">
      <x/>
    </i>
    <i r="18">
      <x/>
    </i>
    <i r="19">
      <x/>
    </i>
    <i r="20">
      <x/>
    </i>
    <i r="21">
      <x/>
    </i>
    <i r="22">
      <x/>
    </i>
    <i r="23">
      <x/>
    </i>
    <i r="24">
      <x/>
    </i>
    <i r="25">
      <x/>
    </i>
    <i r="26">
      <x/>
    </i>
    <i r="27">
      <x/>
    </i>
    <i r="28">
      <x/>
    </i>
    <i r="29">
      <x/>
    </i>
    <i r="30">
      <x/>
    </i>
    <i r="31">
      <x/>
    </i>
    <i r="32">
      <x/>
    </i>
    <i r="33">
      <x/>
    </i>
    <i r="34">
      <x/>
    </i>
    <i r="35">
      <x/>
    </i>
    <i r="36">
      <x/>
    </i>
    <i r="37">
      <x/>
    </i>
    <i r="38">
      <x/>
    </i>
    <i r="39">
      <x/>
    </i>
    <i r="40">
      <x/>
    </i>
    <i r="41">
      <x/>
    </i>
    <i r="42">
      <x/>
    </i>
    <i r="43">
      <x/>
    </i>
    <i r="44">
      <x/>
    </i>
    <i r="45">
      <x/>
    </i>
    <i r="46">
      <x/>
    </i>
    <i r="47">
      <x/>
    </i>
    <i r="48">
      <x/>
    </i>
    <i r="49">
      <x/>
    </i>
    <i r="50">
      <x/>
    </i>
    <i r="51">
      <x/>
    </i>
    <i r="52">
      <x/>
    </i>
    <i r="53">
      <x/>
    </i>
    <i r="54">
      <x/>
    </i>
    <i r="55">
      <x/>
    </i>
    <i r="56">
      <x/>
    </i>
    <i r="57">
      <x/>
    </i>
    <i r="58">
      <x/>
    </i>
    <i r="59">
      <x/>
    </i>
    <i r="60">
      <x/>
    </i>
    <i r="61">
      <x/>
    </i>
    <i r="62">
      <x/>
    </i>
    <i r="63">
      <x/>
    </i>
    <i r="64">
      <x/>
    </i>
    <i r="65">
      <x/>
    </i>
    <i r="66">
      <x/>
    </i>
    <i r="67">
      <x/>
    </i>
    <i r="68">
      <x/>
    </i>
    <i r="69">
      <x/>
    </i>
    <i r="70">
      <x/>
    </i>
    <i r="71">
      <x/>
    </i>
    <i r="72">
      <x/>
    </i>
    <i r="73">
      <x/>
    </i>
    <i r="74">
      <x/>
    </i>
    <i r="75">
      <x/>
    </i>
    <i r="76">
      <x/>
    </i>
    <i r="77">
      <x/>
    </i>
    <i r="78">
      <x/>
    </i>
    <i r="79">
      <x/>
    </i>
    <i r="80">
      <x/>
    </i>
    <i r="81">
      <x/>
    </i>
    <i r="82">
      <x/>
    </i>
    <i r="83">
      <x/>
    </i>
    <i r="84">
      <x/>
    </i>
    <i r="85">
      <x/>
    </i>
    <i r="86">
      <x/>
    </i>
    <i r="87">
      <x/>
    </i>
    <i r="88">
      <x/>
    </i>
    <i r="89">
      <x/>
    </i>
    <i r="90">
      <x/>
    </i>
    <i r="91">
      <x/>
    </i>
    <i r="92">
      <x/>
    </i>
    <i r="93">
      <x/>
    </i>
    <i r="1">
      <x v="45"/>
    </i>
    <i r="2">
      <x/>
    </i>
    <i r="3">
      <x/>
    </i>
    <i r="4">
      <x/>
    </i>
    <i r="5">
      <x v="24"/>
    </i>
    <i r="6">
      <x/>
    </i>
    <i r="7">
      <x/>
    </i>
    <i r="8">
      <x/>
    </i>
    <i r="9">
      <x v="5"/>
    </i>
    <i r="10">
      <x v="96"/>
    </i>
    <i r="11">
      <x/>
    </i>
    <i r="12">
      <x/>
    </i>
    <i r="13">
      <x/>
    </i>
    <i r="14">
      <x/>
    </i>
    <i r="15">
      <x/>
    </i>
    <i r="16">
      <x/>
    </i>
    <i r="17">
      <x/>
    </i>
    <i r="18">
      <x/>
    </i>
    <i r="19">
      <x/>
    </i>
    <i r="20">
      <x/>
    </i>
    <i r="21">
      <x/>
    </i>
    <i r="22">
      <x/>
    </i>
    <i r="23">
      <x/>
    </i>
    <i r="24">
      <x/>
    </i>
    <i r="25">
      <x/>
    </i>
    <i r="26">
      <x/>
    </i>
    <i r="27">
      <x/>
    </i>
    <i r="28">
      <x/>
    </i>
    <i r="29">
      <x/>
    </i>
    <i r="30">
      <x/>
    </i>
    <i r="31">
      <x/>
    </i>
    <i r="32">
      <x/>
    </i>
    <i r="33">
      <x/>
    </i>
    <i r="34">
      <x/>
    </i>
    <i r="35">
      <x/>
    </i>
    <i r="36">
      <x/>
    </i>
    <i r="37">
      <x/>
    </i>
    <i r="38">
      <x/>
    </i>
    <i r="39">
      <x/>
    </i>
    <i r="40">
      <x/>
    </i>
    <i r="41">
      <x/>
    </i>
    <i r="42">
      <x/>
    </i>
    <i r="43">
      <x/>
    </i>
    <i r="44">
      <x/>
    </i>
    <i r="45">
      <x/>
    </i>
    <i r="46">
      <x/>
    </i>
    <i r="47">
      <x/>
    </i>
    <i r="48">
      <x/>
    </i>
    <i r="49">
      <x/>
    </i>
    <i r="50">
      <x/>
    </i>
    <i r="51">
      <x/>
    </i>
    <i r="52">
      <x/>
    </i>
    <i r="53">
      <x/>
    </i>
    <i r="54">
      <x/>
    </i>
    <i r="55">
      <x/>
    </i>
    <i r="56">
      <x/>
    </i>
    <i r="57">
      <x/>
    </i>
    <i r="58">
      <x/>
    </i>
    <i r="59">
      <x/>
    </i>
    <i r="60">
      <x/>
    </i>
    <i r="61">
      <x/>
    </i>
    <i r="62">
      <x/>
    </i>
    <i r="63">
      <x/>
    </i>
    <i r="64">
      <x/>
    </i>
    <i r="65">
      <x/>
    </i>
    <i r="66">
      <x/>
    </i>
    <i r="67">
      <x/>
    </i>
    <i r="68">
      <x/>
    </i>
    <i r="69">
      <x/>
    </i>
    <i r="70">
      <x/>
    </i>
    <i r="71">
      <x/>
    </i>
    <i r="72">
      <x/>
    </i>
    <i r="73">
      <x/>
    </i>
    <i r="74">
      <x/>
    </i>
    <i r="75">
      <x/>
    </i>
    <i r="76">
      <x/>
    </i>
    <i r="77">
      <x/>
    </i>
    <i r="78">
      <x/>
    </i>
    <i r="79">
      <x/>
    </i>
    <i r="80">
      <x/>
    </i>
    <i r="81">
      <x/>
    </i>
    <i r="82">
      <x/>
    </i>
    <i r="83">
      <x/>
    </i>
    <i r="84">
      <x/>
    </i>
    <i r="85">
      <x/>
    </i>
    <i r="86">
      <x/>
    </i>
    <i r="87">
      <x/>
    </i>
    <i r="88">
      <x/>
    </i>
    <i r="89">
      <x/>
    </i>
    <i r="90">
      <x/>
    </i>
    <i r="91">
      <x/>
    </i>
    <i r="92">
      <x/>
    </i>
    <i r="93">
      <x/>
    </i>
    <i r="1">
      <x v="46"/>
    </i>
    <i r="2">
      <x/>
    </i>
    <i r="3">
      <x/>
    </i>
    <i r="4">
      <x/>
    </i>
    <i r="5">
      <x v="25"/>
    </i>
    <i r="6">
      <x/>
    </i>
    <i r="7">
      <x/>
    </i>
    <i r="8">
      <x/>
    </i>
    <i r="9">
      <x v="7"/>
    </i>
    <i r="10">
      <x v="99"/>
    </i>
    <i r="11">
      <x/>
    </i>
    <i r="12">
      <x/>
    </i>
    <i r="13">
      <x/>
    </i>
    <i r="14">
      <x/>
    </i>
    <i r="15">
      <x/>
    </i>
    <i r="16">
      <x/>
    </i>
    <i r="17">
      <x/>
    </i>
    <i r="18">
      <x/>
    </i>
    <i r="19">
      <x/>
    </i>
    <i r="20">
      <x/>
    </i>
    <i r="21">
      <x/>
    </i>
    <i r="22">
      <x/>
    </i>
    <i r="23">
      <x/>
    </i>
    <i r="24">
      <x/>
    </i>
    <i r="25">
      <x/>
    </i>
    <i r="26">
      <x/>
    </i>
    <i r="27">
      <x/>
    </i>
    <i r="28">
      <x/>
    </i>
    <i r="29">
      <x/>
    </i>
    <i r="30">
      <x/>
    </i>
    <i r="31">
      <x/>
    </i>
    <i r="32">
      <x/>
    </i>
    <i r="33">
      <x/>
    </i>
    <i r="34">
      <x/>
    </i>
    <i r="35">
      <x/>
    </i>
    <i r="36">
      <x/>
    </i>
    <i r="37">
      <x/>
    </i>
    <i r="38">
      <x/>
    </i>
    <i r="39">
      <x/>
    </i>
    <i r="40">
      <x/>
    </i>
    <i r="41">
      <x/>
    </i>
    <i r="42">
      <x/>
    </i>
    <i r="43">
      <x/>
    </i>
    <i r="44">
      <x/>
    </i>
    <i r="45">
      <x/>
    </i>
    <i r="46">
      <x/>
    </i>
    <i r="47">
      <x/>
    </i>
    <i r="48">
      <x/>
    </i>
    <i r="49">
      <x/>
    </i>
    <i r="50">
      <x/>
    </i>
    <i r="51">
      <x/>
    </i>
    <i r="52">
      <x/>
    </i>
    <i r="53">
      <x/>
    </i>
    <i r="54">
      <x/>
    </i>
    <i r="55">
      <x/>
    </i>
    <i r="56">
      <x/>
    </i>
    <i r="57">
      <x/>
    </i>
    <i r="58">
      <x/>
    </i>
    <i r="59">
      <x/>
    </i>
    <i r="60">
      <x/>
    </i>
    <i r="61">
      <x/>
    </i>
    <i r="62">
      <x/>
    </i>
    <i r="63">
      <x/>
    </i>
    <i r="64">
      <x/>
    </i>
    <i r="65">
      <x/>
    </i>
    <i r="66">
      <x/>
    </i>
    <i r="67">
      <x/>
    </i>
    <i r="68">
      <x/>
    </i>
    <i r="69">
      <x/>
    </i>
    <i r="70">
      <x/>
    </i>
    <i r="71">
      <x/>
    </i>
    <i r="72">
      <x/>
    </i>
    <i r="73">
      <x/>
    </i>
    <i r="74">
      <x/>
    </i>
    <i r="75">
      <x/>
    </i>
    <i r="76">
      <x/>
    </i>
    <i r="77">
      <x/>
    </i>
    <i r="78">
      <x/>
    </i>
    <i r="79">
      <x/>
    </i>
    <i r="80">
      <x/>
    </i>
    <i r="81">
      <x/>
    </i>
    <i r="82">
      <x/>
    </i>
    <i r="83">
      <x/>
    </i>
    <i r="84">
      <x/>
    </i>
    <i r="85">
      <x/>
    </i>
    <i r="86">
      <x/>
    </i>
    <i r="87">
      <x/>
    </i>
    <i r="88">
      <x/>
    </i>
    <i r="89">
      <x/>
    </i>
    <i r="90">
      <x/>
    </i>
    <i r="91">
      <x/>
    </i>
    <i r="92">
      <x/>
    </i>
    <i r="93">
      <x/>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7.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6.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_rels/sheet17.xml.rels><?xml version="1.0" encoding="UTF-8" standalone="yes"?>
<Relationships xmlns="http://schemas.openxmlformats.org/package/2006/relationships"><Relationship Id="rId1" Type="http://schemas.openxmlformats.org/officeDocument/2006/relationships/pivotTable" Target="../pivotTables/pivotTable9.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20.xml.rels><?xml version="1.0" encoding="UTF-8" standalone="yes"?>
<Relationships xmlns="http://schemas.openxmlformats.org/package/2006/relationships"><Relationship Id="rId1" Type="http://schemas.openxmlformats.org/officeDocument/2006/relationships/pivotTable" Target="../pivotTables/pivotTable10.xml"/></Relationships>
</file>

<file path=xl/worksheets/_rels/sheet22.xml.rels><?xml version="1.0" encoding="UTF-8" standalone="yes"?>
<Relationships xmlns="http://schemas.openxmlformats.org/package/2006/relationships"><Relationship Id="rId1" Type="http://schemas.openxmlformats.org/officeDocument/2006/relationships/pivotTable" Target="../pivotTables/pivotTable11.xml"/></Relationships>
</file>

<file path=xl/worksheets/_rels/sheet23.xml.rels><?xml version="1.0" encoding="UTF-8" standalone="yes"?>
<Relationships xmlns="http://schemas.openxmlformats.org/package/2006/relationships"><Relationship Id="rId1" Type="http://schemas.openxmlformats.org/officeDocument/2006/relationships/pivotTable" Target="../pivotTables/pivotTable12.xml"/></Relationships>
</file>

<file path=xl/worksheets/_rels/sheet24.xml.rels><?xml version="1.0" encoding="UTF-8" standalone="yes"?>
<Relationships xmlns="http://schemas.openxmlformats.org/package/2006/relationships"><Relationship Id="rId1" Type="http://schemas.openxmlformats.org/officeDocument/2006/relationships/pivotTable" Target="../pivotTables/pivotTable13.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6.xml.rels><?xml version="1.0" encoding="UTF-8" standalone="yes"?>
<Relationships xmlns="http://schemas.openxmlformats.org/package/2006/relationships"><Relationship Id="rId1" Type="http://schemas.openxmlformats.org/officeDocument/2006/relationships/pivotTable" Target="../pivotTables/pivotTable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C3"/>
  <sheetViews>
    <sheetView workbookViewId="0">
      <selection sqref="A1:C3"/>
    </sheetView>
  </sheetViews>
  <sheetFormatPr defaultRowHeight="15" x14ac:dyDescent="0.25"/>
  <cols>
    <col min="1" max="1" width="13.140625" bestFit="1" customWidth="1"/>
    <col min="2" max="2" width="17" bestFit="1" customWidth="1"/>
    <col min="3" max="3" width="12.7109375" bestFit="1" customWidth="1"/>
  </cols>
  <sheetData>
    <row r="1" spans="1:3" ht="30" x14ac:dyDescent="0.25">
      <c r="A1" s="3" t="s">
        <v>5</v>
      </c>
      <c r="B1" s="7" t="s">
        <v>12</v>
      </c>
      <c r="C1" s="2" t="s">
        <v>15</v>
      </c>
    </row>
    <row r="2" spans="1:3" x14ac:dyDescent="0.25">
      <c r="A2" s="5" t="s">
        <v>1</v>
      </c>
      <c r="B2" s="4">
        <v>11429.649915</v>
      </c>
      <c r="C2" s="1">
        <v>915741.247875</v>
      </c>
    </row>
    <row r="3" spans="1:3" x14ac:dyDescent="0.25">
      <c r="A3" s="5" t="s">
        <v>6</v>
      </c>
      <c r="B3" s="4">
        <v>11429.649915</v>
      </c>
      <c r="C3" s="1">
        <v>915741.247875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3"/>
  <sheetViews>
    <sheetView workbookViewId="0">
      <selection sqref="A1:C3"/>
    </sheetView>
  </sheetViews>
  <sheetFormatPr defaultRowHeight="15" x14ac:dyDescent="0.25"/>
  <cols>
    <col min="1" max="1" width="21.42578125" bestFit="1" customWidth="1"/>
    <col min="2" max="2" width="14.7109375" bestFit="1" customWidth="1"/>
    <col min="3" max="3" width="12.7109375" bestFit="1" customWidth="1"/>
  </cols>
  <sheetData>
    <row r="1" spans="1:3" ht="30" x14ac:dyDescent="0.25">
      <c r="A1" s="3" t="s">
        <v>5</v>
      </c>
      <c r="B1" s="7" t="s">
        <v>11</v>
      </c>
      <c r="C1" s="2" t="s">
        <v>15</v>
      </c>
    </row>
    <row r="2" spans="1:3" x14ac:dyDescent="0.25">
      <c r="A2" s="5" t="s">
        <v>16</v>
      </c>
      <c r="B2" s="8">
        <v>171.86399999999998</v>
      </c>
      <c r="C2" s="1">
        <v>605820.6</v>
      </c>
    </row>
    <row r="3" spans="1:3" x14ac:dyDescent="0.25">
      <c r="A3" s="5" t="s">
        <v>6</v>
      </c>
      <c r="B3" s="8">
        <v>171.86399999999998</v>
      </c>
      <c r="C3" s="1">
        <v>605820.6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C3"/>
  <sheetViews>
    <sheetView workbookViewId="0">
      <selection sqref="A1:C3"/>
    </sheetView>
  </sheetViews>
  <sheetFormatPr defaultRowHeight="15" x14ac:dyDescent="0.25"/>
  <cols>
    <col min="1" max="1" width="13.140625" bestFit="1" customWidth="1"/>
    <col min="2" max="2" width="21.5703125" bestFit="1" customWidth="1"/>
    <col min="3" max="3" width="14.28515625" bestFit="1" customWidth="1"/>
  </cols>
  <sheetData>
    <row r="1" spans="1:3" x14ac:dyDescent="0.25">
      <c r="A1" s="3" t="s">
        <v>5</v>
      </c>
      <c r="B1" s="4" t="s">
        <v>11</v>
      </c>
      <c r="C1" s="2" t="s">
        <v>15</v>
      </c>
    </row>
    <row r="2" spans="1:3" x14ac:dyDescent="0.25">
      <c r="A2" s="5" t="s">
        <v>0</v>
      </c>
      <c r="B2" s="4">
        <v>1583.5691130000002</v>
      </c>
      <c r="C2" s="1">
        <v>6532724.0714499997</v>
      </c>
    </row>
    <row r="3" spans="1:3" x14ac:dyDescent="0.25">
      <c r="A3" s="5" t="s">
        <v>6</v>
      </c>
      <c r="B3" s="4">
        <v>1583.5691130000002</v>
      </c>
      <c r="C3" s="1">
        <v>6532724.0714499997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D6"/>
  <sheetViews>
    <sheetView workbookViewId="0">
      <selection activeCell="A8" sqref="A8"/>
    </sheetView>
  </sheetViews>
  <sheetFormatPr defaultRowHeight="15" x14ac:dyDescent="0.25"/>
  <cols>
    <col min="1" max="1" width="34.7109375" bestFit="1" customWidth="1"/>
    <col min="2" max="2" width="18.28515625" bestFit="1" customWidth="1"/>
    <col min="3" max="3" width="15.85546875" customWidth="1"/>
    <col min="4" max="4" width="14.28515625" bestFit="1" customWidth="1"/>
  </cols>
  <sheetData>
    <row r="1" spans="1:4" ht="30" x14ac:dyDescent="0.25">
      <c r="A1" s="6" t="s">
        <v>5</v>
      </c>
      <c r="B1" s="7" t="s">
        <v>13</v>
      </c>
      <c r="C1" s="7" t="s">
        <v>14</v>
      </c>
      <c r="D1" s="2" t="s">
        <v>15</v>
      </c>
    </row>
    <row r="2" spans="1:4" x14ac:dyDescent="0.25">
      <c r="A2" s="5" t="s">
        <v>9</v>
      </c>
      <c r="B2" s="4">
        <v>2500</v>
      </c>
      <c r="C2" s="4">
        <v>584.91714656000192</v>
      </c>
      <c r="D2" s="1">
        <v>218240.33376533355</v>
      </c>
    </row>
    <row r="3" spans="1:4" x14ac:dyDescent="0.25">
      <c r="A3" s="5" t="s">
        <v>8</v>
      </c>
      <c r="B3" s="4">
        <v>1900</v>
      </c>
      <c r="C3" s="4">
        <v>988.48500000000013</v>
      </c>
      <c r="D3" s="1">
        <v>229323.25</v>
      </c>
    </row>
    <row r="4" spans="1:4" x14ac:dyDescent="0.25">
      <c r="A4" s="5" t="s">
        <v>10</v>
      </c>
      <c r="B4" s="4">
        <v>36500</v>
      </c>
      <c r="C4" s="4">
        <v>16700</v>
      </c>
      <c r="D4" s="1">
        <v>4137000</v>
      </c>
    </row>
    <row r="5" spans="1:4" x14ac:dyDescent="0.25">
      <c r="A5" s="5" t="s">
        <v>17</v>
      </c>
      <c r="B5" s="4">
        <v>4150</v>
      </c>
      <c r="C5" s="4">
        <v>770</v>
      </c>
      <c r="D5" s="1">
        <v>338833.33333333337</v>
      </c>
    </row>
    <row r="6" spans="1:4" x14ac:dyDescent="0.25">
      <c r="A6" s="5" t="s">
        <v>6</v>
      </c>
      <c r="B6" s="4">
        <v>45050</v>
      </c>
      <c r="C6" s="4">
        <v>19043.402146560002</v>
      </c>
      <c r="D6" s="1">
        <v>4923396.9170986665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9"/>
  <sheetViews>
    <sheetView workbookViewId="0">
      <selection activeCell="I8" sqref="I8"/>
    </sheetView>
  </sheetViews>
  <sheetFormatPr defaultRowHeight="15" x14ac:dyDescent="0.25"/>
  <sheetData>
    <row r="1" spans="1:2" x14ac:dyDescent="0.25">
      <c r="A1" s="14"/>
      <c r="B1" t="s">
        <v>44</v>
      </c>
    </row>
    <row r="2" spans="1:2" x14ac:dyDescent="0.25">
      <c r="A2" s="15"/>
      <c r="B2" t="s">
        <v>45</v>
      </c>
    </row>
    <row r="3" spans="1:2" x14ac:dyDescent="0.25">
      <c r="A3" s="13"/>
      <c r="B3" t="s">
        <v>46</v>
      </c>
    </row>
    <row r="4" spans="1:2" x14ac:dyDescent="0.25">
      <c r="A4" s="9"/>
      <c r="B4" t="s">
        <v>7</v>
      </c>
    </row>
    <row r="5" spans="1:2" x14ac:dyDescent="0.25">
      <c r="A5" s="16"/>
      <c r="B5" t="s">
        <v>49</v>
      </c>
    </row>
    <row r="6" spans="1:2" x14ac:dyDescent="0.25">
      <c r="A6" s="12"/>
      <c r="B6" t="s">
        <v>50</v>
      </c>
    </row>
    <row r="9" spans="1:2" x14ac:dyDescent="0.25">
      <c r="A9" s="17"/>
      <c r="B9" t="s">
        <v>51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1886"/>
  <sheetViews>
    <sheetView topLeftCell="A1729" workbookViewId="0">
      <selection activeCell="A2" sqref="A2:A1754"/>
    </sheetView>
  </sheetViews>
  <sheetFormatPr defaultRowHeight="15" x14ac:dyDescent="0.25"/>
  <cols>
    <col min="1" max="1" width="255.7109375" bestFit="1" customWidth="1"/>
    <col min="2" max="2" width="16.28515625" bestFit="1" customWidth="1"/>
    <col min="11" max="11" width="11.140625" bestFit="1" customWidth="1"/>
    <col min="12" max="12" width="11.28515625" bestFit="1" customWidth="1"/>
    <col min="13" max="13" width="11" bestFit="1" customWidth="1"/>
    <col min="22" max="24" width="8.85546875" customWidth="1"/>
    <col min="25" max="25" width="11.28515625" bestFit="1" customWidth="1"/>
    <col min="29" max="29" width="8.85546875" bestFit="1" customWidth="1"/>
    <col min="54" max="54" width="8.5703125" bestFit="1" customWidth="1"/>
    <col min="70" max="70" width="11.140625" bestFit="1" customWidth="1"/>
    <col min="71" max="71" width="11.28515625" bestFit="1" customWidth="1"/>
    <col min="72" max="72" width="11" bestFit="1" customWidth="1"/>
    <col min="81" max="107" width="8.85546875" bestFit="1" customWidth="1"/>
    <col min="108" max="116" width="10.28515625" bestFit="1" customWidth="1"/>
    <col min="117" max="119" width="10" bestFit="1" customWidth="1"/>
    <col min="120" max="123" width="9.28515625" bestFit="1" customWidth="1"/>
    <col min="124" max="124" width="11.28515625" bestFit="1" customWidth="1"/>
  </cols>
  <sheetData>
    <row r="1" spans="1:1" x14ac:dyDescent="0.25">
      <c r="A1" s="11" t="s">
        <v>5</v>
      </c>
    </row>
    <row r="2" spans="1:1" x14ac:dyDescent="0.25">
      <c r="A2" s="10">
        <v>1</v>
      </c>
    </row>
    <row r="3" spans="1:1" x14ac:dyDescent="0.25">
      <c r="A3" s="18" t="s">
        <v>52</v>
      </c>
    </row>
    <row r="4" spans="1:1" x14ac:dyDescent="0.25">
      <c r="A4" s="19" t="s">
        <v>522</v>
      </c>
    </row>
    <row r="5" spans="1:1" x14ac:dyDescent="0.25">
      <c r="A5" s="20" t="s">
        <v>52</v>
      </c>
    </row>
    <row r="6" spans="1:1" x14ac:dyDescent="0.25">
      <c r="A6" s="21" t="s">
        <v>52</v>
      </c>
    </row>
    <row r="7" spans="1:1" x14ac:dyDescent="0.25">
      <c r="A7" s="22" t="s">
        <v>52</v>
      </c>
    </row>
    <row r="8" spans="1:1" x14ac:dyDescent="0.25">
      <c r="A8" s="23" t="s">
        <v>52</v>
      </c>
    </row>
    <row r="9" spans="1:1" x14ac:dyDescent="0.25">
      <c r="A9" s="24" t="s">
        <v>52</v>
      </c>
    </row>
    <row r="10" spans="1:1" x14ac:dyDescent="0.25">
      <c r="A10" s="25" t="s">
        <v>52</v>
      </c>
    </row>
    <row r="11" spans="1:1" x14ac:dyDescent="0.25">
      <c r="A11" s="26" t="s">
        <v>52</v>
      </c>
    </row>
    <row r="12" spans="1:1" x14ac:dyDescent="0.25">
      <c r="A12" s="27" t="s">
        <v>52</v>
      </c>
    </row>
    <row r="13" spans="1:1" x14ac:dyDescent="0.25">
      <c r="A13" s="28" t="s">
        <v>52</v>
      </c>
    </row>
    <row r="14" spans="1:1" x14ac:dyDescent="0.25">
      <c r="A14" s="29" t="s">
        <v>52</v>
      </c>
    </row>
    <row r="15" spans="1:1" x14ac:dyDescent="0.25">
      <c r="A15" s="30" t="s">
        <v>523</v>
      </c>
    </row>
    <row r="16" spans="1:1" x14ac:dyDescent="0.25">
      <c r="A16" s="31" t="s">
        <v>52</v>
      </c>
    </row>
    <row r="17" spans="1:1" x14ac:dyDescent="0.25">
      <c r="A17" s="32" t="s">
        <v>52</v>
      </c>
    </row>
    <row r="18" spans="1:1" x14ac:dyDescent="0.25">
      <c r="A18" s="33" t="s">
        <v>52</v>
      </c>
    </row>
    <row r="19" spans="1:1" x14ac:dyDescent="0.25">
      <c r="A19" s="34" t="s">
        <v>52</v>
      </c>
    </row>
    <row r="20" spans="1:1" x14ac:dyDescent="0.25">
      <c r="A20" s="35" t="s">
        <v>52</v>
      </c>
    </row>
    <row r="21" spans="1:1" x14ac:dyDescent="0.25">
      <c r="A21" s="36" t="s">
        <v>52</v>
      </c>
    </row>
    <row r="22" spans="1:1" x14ac:dyDescent="0.25">
      <c r="A22" s="37" t="s">
        <v>52</v>
      </c>
    </row>
    <row r="23" spans="1:1" x14ac:dyDescent="0.25">
      <c r="A23" s="38" t="s">
        <v>52</v>
      </c>
    </row>
    <row r="24" spans="1:1" x14ac:dyDescent="0.25">
      <c r="A24" s="39" t="s">
        <v>52</v>
      </c>
    </row>
    <row r="25" spans="1:1" x14ac:dyDescent="0.25">
      <c r="A25" s="40" t="s">
        <v>52</v>
      </c>
    </row>
    <row r="26" spans="1:1" x14ac:dyDescent="0.25">
      <c r="A26" s="41" t="s">
        <v>52</v>
      </c>
    </row>
    <row r="27" spans="1:1" x14ac:dyDescent="0.25">
      <c r="A27" s="42" t="s">
        <v>52</v>
      </c>
    </row>
    <row r="28" spans="1:1" x14ac:dyDescent="0.25">
      <c r="A28" s="43" t="s">
        <v>52</v>
      </c>
    </row>
    <row r="29" spans="1:1" x14ac:dyDescent="0.25">
      <c r="A29" s="44" t="s">
        <v>524</v>
      </c>
    </row>
    <row r="30" spans="1:1" x14ac:dyDescent="0.25">
      <c r="A30" s="45" t="s">
        <v>52</v>
      </c>
    </row>
    <row r="31" spans="1:1" x14ac:dyDescent="0.25">
      <c r="A31" s="46" t="s">
        <v>52</v>
      </c>
    </row>
    <row r="32" spans="1:1" x14ac:dyDescent="0.25">
      <c r="A32" s="47" t="s">
        <v>52</v>
      </c>
    </row>
    <row r="33" spans="1:1" x14ac:dyDescent="0.25">
      <c r="A33" s="48" t="s">
        <v>52</v>
      </c>
    </row>
    <row r="34" spans="1:1" x14ac:dyDescent="0.25">
      <c r="A34" s="49" t="s">
        <v>52</v>
      </c>
    </row>
    <row r="35" spans="1:1" x14ac:dyDescent="0.25">
      <c r="A35" s="50" t="s">
        <v>52</v>
      </c>
    </row>
    <row r="36" spans="1:1" x14ac:dyDescent="0.25">
      <c r="A36" s="51" t="s">
        <v>52</v>
      </c>
    </row>
    <row r="37" spans="1:1" x14ac:dyDescent="0.25">
      <c r="A37" s="52" t="s">
        <v>52</v>
      </c>
    </row>
    <row r="38" spans="1:1" x14ac:dyDescent="0.25">
      <c r="A38" s="53" t="s">
        <v>52</v>
      </c>
    </row>
    <row r="39" spans="1:1" x14ac:dyDescent="0.25">
      <c r="A39" s="54" t="s">
        <v>52</v>
      </c>
    </row>
    <row r="40" spans="1:1" x14ac:dyDescent="0.25">
      <c r="A40" s="55" t="s">
        <v>52</v>
      </c>
    </row>
    <row r="41" spans="1:1" x14ac:dyDescent="0.25">
      <c r="A41" s="56" t="s">
        <v>52</v>
      </c>
    </row>
    <row r="42" spans="1:1" x14ac:dyDescent="0.25">
      <c r="A42" s="57" t="s">
        <v>52</v>
      </c>
    </row>
    <row r="43" spans="1:1" x14ac:dyDescent="0.25">
      <c r="A43" s="58" t="s">
        <v>52</v>
      </c>
    </row>
    <row r="44" spans="1:1" x14ac:dyDescent="0.25">
      <c r="A44" s="59" t="s">
        <v>52</v>
      </c>
    </row>
    <row r="45" spans="1:1" x14ac:dyDescent="0.25">
      <c r="A45" s="60" t="s">
        <v>52</v>
      </c>
    </row>
    <row r="46" spans="1:1" x14ac:dyDescent="0.25">
      <c r="A46" s="61" t="s">
        <v>52</v>
      </c>
    </row>
    <row r="47" spans="1:1" x14ac:dyDescent="0.25">
      <c r="A47" s="62" t="s">
        <v>52</v>
      </c>
    </row>
    <row r="48" spans="1:1" x14ac:dyDescent="0.25">
      <c r="A48" s="63" t="s">
        <v>52</v>
      </c>
    </row>
    <row r="49" spans="1:1" x14ac:dyDescent="0.25">
      <c r="A49" s="64" t="s">
        <v>52</v>
      </c>
    </row>
    <row r="50" spans="1:1" x14ac:dyDescent="0.25">
      <c r="A50" s="65" t="s">
        <v>52</v>
      </c>
    </row>
    <row r="51" spans="1:1" x14ac:dyDescent="0.25">
      <c r="A51" s="66" t="s">
        <v>52</v>
      </c>
    </row>
    <row r="52" spans="1:1" x14ac:dyDescent="0.25">
      <c r="A52" s="67" t="s">
        <v>52</v>
      </c>
    </row>
    <row r="53" spans="1:1" x14ac:dyDescent="0.25">
      <c r="A53" s="68" t="s">
        <v>52</v>
      </c>
    </row>
    <row r="54" spans="1:1" x14ac:dyDescent="0.25">
      <c r="A54" s="69" t="s">
        <v>52</v>
      </c>
    </row>
    <row r="55" spans="1:1" x14ac:dyDescent="0.25">
      <c r="A55" s="70" t="s">
        <v>52</v>
      </c>
    </row>
    <row r="56" spans="1:1" x14ac:dyDescent="0.25">
      <c r="A56" s="71" t="s">
        <v>52</v>
      </c>
    </row>
    <row r="57" spans="1:1" x14ac:dyDescent="0.25">
      <c r="A57" s="72" t="s">
        <v>52</v>
      </c>
    </row>
    <row r="58" spans="1:1" x14ac:dyDescent="0.25">
      <c r="A58" s="73" t="s">
        <v>52</v>
      </c>
    </row>
    <row r="59" spans="1:1" x14ac:dyDescent="0.25">
      <c r="A59" s="74" t="s">
        <v>52</v>
      </c>
    </row>
    <row r="60" spans="1:1" x14ac:dyDescent="0.25">
      <c r="A60" s="75" t="s">
        <v>52</v>
      </c>
    </row>
    <row r="61" spans="1:1" x14ac:dyDescent="0.25">
      <c r="A61" s="76" t="s">
        <v>52</v>
      </c>
    </row>
    <row r="62" spans="1:1" x14ac:dyDescent="0.25">
      <c r="A62" s="77" t="s">
        <v>52</v>
      </c>
    </row>
    <row r="63" spans="1:1" x14ac:dyDescent="0.25">
      <c r="A63" s="78" t="s">
        <v>52</v>
      </c>
    </row>
    <row r="64" spans="1:1" x14ac:dyDescent="0.25">
      <c r="A64" s="79" t="s">
        <v>52</v>
      </c>
    </row>
    <row r="65" spans="1:1" x14ac:dyDescent="0.25">
      <c r="A65" s="80" t="s">
        <v>52</v>
      </c>
    </row>
    <row r="66" spans="1:1" x14ac:dyDescent="0.25">
      <c r="A66" s="81" t="s">
        <v>52</v>
      </c>
    </row>
    <row r="67" spans="1:1" x14ac:dyDescent="0.25">
      <c r="A67" s="82" t="s">
        <v>52</v>
      </c>
    </row>
    <row r="68" spans="1:1" x14ac:dyDescent="0.25">
      <c r="A68" s="83" t="s">
        <v>52</v>
      </c>
    </row>
    <row r="69" spans="1:1" x14ac:dyDescent="0.25">
      <c r="A69" s="84" t="s">
        <v>52</v>
      </c>
    </row>
    <row r="70" spans="1:1" x14ac:dyDescent="0.25">
      <c r="A70" s="85" t="s">
        <v>52</v>
      </c>
    </row>
    <row r="71" spans="1:1" x14ac:dyDescent="0.25">
      <c r="A71" s="86" t="s">
        <v>52</v>
      </c>
    </row>
    <row r="72" spans="1:1" x14ac:dyDescent="0.25">
      <c r="A72" s="87" t="s">
        <v>52</v>
      </c>
    </row>
    <row r="73" spans="1:1" x14ac:dyDescent="0.25">
      <c r="A73" s="88" t="s">
        <v>52</v>
      </c>
    </row>
    <row r="74" spans="1:1" x14ac:dyDescent="0.25">
      <c r="A74" s="89" t="s">
        <v>52</v>
      </c>
    </row>
    <row r="75" spans="1:1" x14ac:dyDescent="0.25">
      <c r="A75" s="90" t="s">
        <v>52</v>
      </c>
    </row>
    <row r="76" spans="1:1" x14ac:dyDescent="0.25">
      <c r="A76" s="19" t="s">
        <v>525</v>
      </c>
    </row>
    <row r="77" spans="1:1" x14ac:dyDescent="0.25">
      <c r="A77" s="20" t="s">
        <v>52</v>
      </c>
    </row>
    <row r="78" spans="1:1" x14ac:dyDescent="0.25">
      <c r="A78" s="21" t="s">
        <v>52</v>
      </c>
    </row>
    <row r="79" spans="1:1" x14ac:dyDescent="0.25">
      <c r="A79" s="22" t="s">
        <v>52</v>
      </c>
    </row>
    <row r="80" spans="1:1" x14ac:dyDescent="0.25">
      <c r="A80" s="23" t="s">
        <v>52</v>
      </c>
    </row>
    <row r="81" spans="1:1" x14ac:dyDescent="0.25">
      <c r="A81" s="24" t="s">
        <v>52</v>
      </c>
    </row>
    <row r="82" spans="1:1" x14ac:dyDescent="0.25">
      <c r="A82" s="25" t="s">
        <v>52</v>
      </c>
    </row>
    <row r="83" spans="1:1" x14ac:dyDescent="0.25">
      <c r="A83" s="26" t="s">
        <v>52</v>
      </c>
    </row>
    <row r="84" spans="1:1" x14ac:dyDescent="0.25">
      <c r="A84" s="27" t="s">
        <v>52</v>
      </c>
    </row>
    <row r="85" spans="1:1" x14ac:dyDescent="0.25">
      <c r="A85" s="28" t="s">
        <v>52</v>
      </c>
    </row>
    <row r="86" spans="1:1" x14ac:dyDescent="0.25">
      <c r="A86" s="29" t="s">
        <v>52</v>
      </c>
    </row>
    <row r="87" spans="1:1" x14ac:dyDescent="0.25">
      <c r="A87" s="30" t="s">
        <v>526</v>
      </c>
    </row>
    <row r="88" spans="1:1" x14ac:dyDescent="0.25">
      <c r="A88" s="31" t="s">
        <v>52</v>
      </c>
    </row>
    <row r="89" spans="1:1" x14ac:dyDescent="0.25">
      <c r="A89" s="32" t="s">
        <v>52</v>
      </c>
    </row>
    <row r="90" spans="1:1" x14ac:dyDescent="0.25">
      <c r="A90" s="33" t="s">
        <v>52</v>
      </c>
    </row>
    <row r="91" spans="1:1" x14ac:dyDescent="0.25">
      <c r="A91" s="34" t="s">
        <v>52</v>
      </c>
    </row>
    <row r="92" spans="1:1" x14ac:dyDescent="0.25">
      <c r="A92" s="35" t="s">
        <v>52</v>
      </c>
    </row>
    <row r="93" spans="1:1" x14ac:dyDescent="0.25">
      <c r="A93" s="36" t="s">
        <v>52</v>
      </c>
    </row>
    <row r="94" spans="1:1" x14ac:dyDescent="0.25">
      <c r="A94" s="37" t="s">
        <v>52</v>
      </c>
    </row>
    <row r="95" spans="1:1" x14ac:dyDescent="0.25">
      <c r="A95" s="38" t="s">
        <v>52</v>
      </c>
    </row>
    <row r="96" spans="1:1" x14ac:dyDescent="0.25">
      <c r="A96" s="39" t="s">
        <v>52</v>
      </c>
    </row>
    <row r="97" spans="1:1" x14ac:dyDescent="0.25">
      <c r="A97" s="40" t="s">
        <v>52</v>
      </c>
    </row>
    <row r="98" spans="1:1" x14ac:dyDescent="0.25">
      <c r="A98" s="41" t="s">
        <v>52</v>
      </c>
    </row>
    <row r="99" spans="1:1" x14ac:dyDescent="0.25">
      <c r="A99" s="42" t="s">
        <v>52</v>
      </c>
    </row>
    <row r="100" spans="1:1" x14ac:dyDescent="0.25">
      <c r="A100" s="43" t="s">
        <v>52</v>
      </c>
    </row>
    <row r="101" spans="1:1" x14ac:dyDescent="0.25">
      <c r="A101" s="44" t="s">
        <v>527</v>
      </c>
    </row>
    <row r="102" spans="1:1" x14ac:dyDescent="0.25">
      <c r="A102" s="45" t="s">
        <v>52</v>
      </c>
    </row>
    <row r="103" spans="1:1" x14ac:dyDescent="0.25">
      <c r="A103" s="46" t="s">
        <v>52</v>
      </c>
    </row>
    <row r="104" spans="1:1" x14ac:dyDescent="0.25">
      <c r="A104" s="47" t="s">
        <v>52</v>
      </c>
    </row>
    <row r="105" spans="1:1" x14ac:dyDescent="0.25">
      <c r="A105" s="48" t="s">
        <v>52</v>
      </c>
    </row>
    <row r="106" spans="1:1" x14ac:dyDescent="0.25">
      <c r="A106" s="49" t="s">
        <v>52</v>
      </c>
    </row>
    <row r="107" spans="1:1" x14ac:dyDescent="0.25">
      <c r="A107" s="50" t="s">
        <v>52</v>
      </c>
    </row>
    <row r="108" spans="1:1" x14ac:dyDescent="0.25">
      <c r="A108" s="51" t="s">
        <v>52</v>
      </c>
    </row>
    <row r="109" spans="1:1" x14ac:dyDescent="0.25">
      <c r="A109" s="52" t="s">
        <v>52</v>
      </c>
    </row>
    <row r="110" spans="1:1" x14ac:dyDescent="0.25">
      <c r="A110" s="53" t="s">
        <v>52</v>
      </c>
    </row>
    <row r="111" spans="1:1" x14ac:dyDescent="0.25">
      <c r="A111" s="54" t="s">
        <v>52</v>
      </c>
    </row>
    <row r="112" spans="1:1" x14ac:dyDescent="0.25">
      <c r="A112" s="55" t="s">
        <v>52</v>
      </c>
    </row>
    <row r="113" spans="1:1" x14ac:dyDescent="0.25">
      <c r="A113" s="56" t="s">
        <v>52</v>
      </c>
    </row>
    <row r="114" spans="1:1" x14ac:dyDescent="0.25">
      <c r="A114" s="57" t="s">
        <v>52</v>
      </c>
    </row>
    <row r="115" spans="1:1" x14ac:dyDescent="0.25">
      <c r="A115" s="58" t="s">
        <v>52</v>
      </c>
    </row>
    <row r="116" spans="1:1" x14ac:dyDescent="0.25">
      <c r="A116" s="59" t="s">
        <v>52</v>
      </c>
    </row>
    <row r="117" spans="1:1" x14ac:dyDescent="0.25">
      <c r="A117" s="60" t="s">
        <v>52</v>
      </c>
    </row>
    <row r="118" spans="1:1" x14ac:dyDescent="0.25">
      <c r="A118" s="61" t="s">
        <v>52</v>
      </c>
    </row>
    <row r="119" spans="1:1" x14ac:dyDescent="0.25">
      <c r="A119" s="62" t="s">
        <v>52</v>
      </c>
    </row>
    <row r="120" spans="1:1" x14ac:dyDescent="0.25">
      <c r="A120" s="63" t="s">
        <v>52</v>
      </c>
    </row>
    <row r="121" spans="1:1" x14ac:dyDescent="0.25">
      <c r="A121" s="64" t="s">
        <v>52</v>
      </c>
    </row>
    <row r="122" spans="1:1" x14ac:dyDescent="0.25">
      <c r="A122" s="65" t="s">
        <v>52</v>
      </c>
    </row>
    <row r="123" spans="1:1" x14ac:dyDescent="0.25">
      <c r="A123" s="66" t="s">
        <v>52</v>
      </c>
    </row>
    <row r="124" spans="1:1" x14ac:dyDescent="0.25">
      <c r="A124" s="67" t="s">
        <v>52</v>
      </c>
    </row>
    <row r="125" spans="1:1" x14ac:dyDescent="0.25">
      <c r="A125" s="68" t="s">
        <v>52</v>
      </c>
    </row>
    <row r="126" spans="1:1" x14ac:dyDescent="0.25">
      <c r="A126" s="69" t="s">
        <v>52</v>
      </c>
    </row>
    <row r="127" spans="1:1" x14ac:dyDescent="0.25">
      <c r="A127" s="70" t="s">
        <v>52</v>
      </c>
    </row>
    <row r="128" spans="1:1" x14ac:dyDescent="0.25">
      <c r="A128" s="71" t="s">
        <v>52</v>
      </c>
    </row>
    <row r="129" spans="1:1" x14ac:dyDescent="0.25">
      <c r="A129" s="72" t="s">
        <v>52</v>
      </c>
    </row>
    <row r="130" spans="1:1" x14ac:dyDescent="0.25">
      <c r="A130" s="73" t="s">
        <v>52</v>
      </c>
    </row>
    <row r="131" spans="1:1" x14ac:dyDescent="0.25">
      <c r="A131" s="74" t="s">
        <v>52</v>
      </c>
    </row>
    <row r="132" spans="1:1" x14ac:dyDescent="0.25">
      <c r="A132" s="75" t="s">
        <v>52</v>
      </c>
    </row>
    <row r="133" spans="1:1" x14ac:dyDescent="0.25">
      <c r="A133" s="76" t="s">
        <v>52</v>
      </c>
    </row>
    <row r="134" spans="1:1" x14ac:dyDescent="0.25">
      <c r="A134" s="77" t="s">
        <v>52</v>
      </c>
    </row>
    <row r="135" spans="1:1" x14ac:dyDescent="0.25">
      <c r="A135" s="78" t="s">
        <v>52</v>
      </c>
    </row>
    <row r="136" spans="1:1" x14ac:dyDescent="0.25">
      <c r="A136" s="79" t="s">
        <v>52</v>
      </c>
    </row>
    <row r="137" spans="1:1" x14ac:dyDescent="0.25">
      <c r="A137" s="80" t="s">
        <v>52</v>
      </c>
    </row>
    <row r="138" spans="1:1" x14ac:dyDescent="0.25">
      <c r="A138" s="81" t="s">
        <v>52</v>
      </c>
    </row>
    <row r="139" spans="1:1" x14ac:dyDescent="0.25">
      <c r="A139" s="82" t="s">
        <v>52</v>
      </c>
    </row>
    <row r="140" spans="1:1" x14ac:dyDescent="0.25">
      <c r="A140" s="83" t="s">
        <v>52</v>
      </c>
    </row>
    <row r="141" spans="1:1" x14ac:dyDescent="0.25">
      <c r="A141" s="84" t="s">
        <v>52</v>
      </c>
    </row>
    <row r="142" spans="1:1" x14ac:dyDescent="0.25">
      <c r="A142" s="85" t="s">
        <v>52</v>
      </c>
    </row>
    <row r="143" spans="1:1" x14ac:dyDescent="0.25">
      <c r="A143" s="86" t="s">
        <v>52</v>
      </c>
    </row>
    <row r="144" spans="1:1" x14ac:dyDescent="0.25">
      <c r="A144" s="87" t="s">
        <v>52</v>
      </c>
    </row>
    <row r="145" spans="1:1" x14ac:dyDescent="0.25">
      <c r="A145" s="88" t="s">
        <v>52</v>
      </c>
    </row>
    <row r="146" spans="1:1" x14ac:dyDescent="0.25">
      <c r="A146" s="89" t="s">
        <v>52</v>
      </c>
    </row>
    <row r="147" spans="1:1" x14ac:dyDescent="0.25">
      <c r="A147" s="90" t="s">
        <v>52</v>
      </c>
    </row>
    <row r="148" spans="1:1" x14ac:dyDescent="0.25">
      <c r="A148" s="19" t="s">
        <v>528</v>
      </c>
    </row>
    <row r="149" spans="1:1" x14ac:dyDescent="0.25">
      <c r="A149" s="20" t="s">
        <v>52</v>
      </c>
    </row>
    <row r="150" spans="1:1" x14ac:dyDescent="0.25">
      <c r="A150" s="21" t="s">
        <v>52</v>
      </c>
    </row>
    <row r="151" spans="1:1" x14ac:dyDescent="0.25">
      <c r="A151" s="22" t="s">
        <v>52</v>
      </c>
    </row>
    <row r="152" spans="1:1" x14ac:dyDescent="0.25">
      <c r="A152" s="23" t="s">
        <v>52</v>
      </c>
    </row>
    <row r="153" spans="1:1" x14ac:dyDescent="0.25">
      <c r="A153" s="24" t="s">
        <v>52</v>
      </c>
    </row>
    <row r="154" spans="1:1" x14ac:dyDescent="0.25">
      <c r="A154" s="25" t="s">
        <v>52</v>
      </c>
    </row>
    <row r="155" spans="1:1" x14ac:dyDescent="0.25">
      <c r="A155" s="26" t="s">
        <v>52</v>
      </c>
    </row>
    <row r="156" spans="1:1" x14ac:dyDescent="0.25">
      <c r="A156" s="27" t="s">
        <v>52</v>
      </c>
    </row>
    <row r="157" spans="1:1" x14ac:dyDescent="0.25">
      <c r="A157" s="28" t="s">
        <v>52</v>
      </c>
    </row>
    <row r="158" spans="1:1" x14ac:dyDescent="0.25">
      <c r="A158" s="29" t="s">
        <v>52</v>
      </c>
    </row>
    <row r="159" spans="1:1" x14ac:dyDescent="0.25">
      <c r="A159" s="30" t="s">
        <v>529</v>
      </c>
    </row>
    <row r="160" spans="1:1" x14ac:dyDescent="0.25">
      <c r="A160" s="31" t="s">
        <v>52</v>
      </c>
    </row>
    <row r="161" spans="1:1" x14ac:dyDescent="0.25">
      <c r="A161" s="32" t="s">
        <v>52</v>
      </c>
    </row>
    <row r="162" spans="1:1" x14ac:dyDescent="0.25">
      <c r="A162" s="33" t="s">
        <v>52</v>
      </c>
    </row>
    <row r="163" spans="1:1" x14ac:dyDescent="0.25">
      <c r="A163" s="34" t="s">
        <v>52</v>
      </c>
    </row>
    <row r="164" spans="1:1" x14ac:dyDescent="0.25">
      <c r="A164" s="35" t="s">
        <v>52</v>
      </c>
    </row>
    <row r="165" spans="1:1" x14ac:dyDescent="0.25">
      <c r="A165" s="36" t="s">
        <v>52</v>
      </c>
    </row>
    <row r="166" spans="1:1" x14ac:dyDescent="0.25">
      <c r="A166" s="37" t="s">
        <v>52</v>
      </c>
    </row>
    <row r="167" spans="1:1" x14ac:dyDescent="0.25">
      <c r="A167" s="38" t="s">
        <v>52</v>
      </c>
    </row>
    <row r="168" spans="1:1" x14ac:dyDescent="0.25">
      <c r="A168" s="39" t="s">
        <v>52</v>
      </c>
    </row>
    <row r="169" spans="1:1" x14ac:dyDescent="0.25">
      <c r="A169" s="40" t="s">
        <v>52</v>
      </c>
    </row>
    <row r="170" spans="1:1" x14ac:dyDescent="0.25">
      <c r="A170" s="41" t="s">
        <v>52</v>
      </c>
    </row>
    <row r="171" spans="1:1" x14ac:dyDescent="0.25">
      <c r="A171" s="42" t="s">
        <v>52</v>
      </c>
    </row>
    <row r="172" spans="1:1" x14ac:dyDescent="0.25">
      <c r="A172" s="43" t="s">
        <v>52</v>
      </c>
    </row>
    <row r="173" spans="1:1" x14ac:dyDescent="0.25">
      <c r="A173" s="44" t="s">
        <v>530</v>
      </c>
    </row>
    <row r="174" spans="1:1" x14ac:dyDescent="0.25">
      <c r="A174" s="45" t="s">
        <v>52</v>
      </c>
    </row>
    <row r="175" spans="1:1" x14ac:dyDescent="0.25">
      <c r="A175" s="46" t="s">
        <v>52</v>
      </c>
    </row>
    <row r="176" spans="1:1" x14ac:dyDescent="0.25">
      <c r="A176" s="47" t="s">
        <v>52</v>
      </c>
    </row>
    <row r="177" spans="1:1" x14ac:dyDescent="0.25">
      <c r="A177" s="48" t="s">
        <v>52</v>
      </c>
    </row>
    <row r="178" spans="1:1" x14ac:dyDescent="0.25">
      <c r="A178" s="49" t="s">
        <v>52</v>
      </c>
    </row>
    <row r="179" spans="1:1" x14ac:dyDescent="0.25">
      <c r="A179" s="50" t="s">
        <v>52</v>
      </c>
    </row>
    <row r="180" spans="1:1" x14ac:dyDescent="0.25">
      <c r="A180" s="51" t="s">
        <v>52</v>
      </c>
    </row>
    <row r="181" spans="1:1" x14ac:dyDescent="0.25">
      <c r="A181" s="52" t="s">
        <v>52</v>
      </c>
    </row>
    <row r="182" spans="1:1" x14ac:dyDescent="0.25">
      <c r="A182" s="53" t="s">
        <v>52</v>
      </c>
    </row>
    <row r="183" spans="1:1" x14ac:dyDescent="0.25">
      <c r="A183" s="54" t="s">
        <v>52</v>
      </c>
    </row>
    <row r="184" spans="1:1" x14ac:dyDescent="0.25">
      <c r="A184" s="55" t="s">
        <v>52</v>
      </c>
    </row>
    <row r="185" spans="1:1" x14ac:dyDescent="0.25">
      <c r="A185" s="56" t="s">
        <v>52</v>
      </c>
    </row>
    <row r="186" spans="1:1" x14ac:dyDescent="0.25">
      <c r="A186" s="57" t="s">
        <v>52</v>
      </c>
    </row>
    <row r="187" spans="1:1" x14ac:dyDescent="0.25">
      <c r="A187" s="58" t="s">
        <v>52</v>
      </c>
    </row>
    <row r="188" spans="1:1" x14ac:dyDescent="0.25">
      <c r="A188" s="59" t="s">
        <v>52</v>
      </c>
    </row>
    <row r="189" spans="1:1" x14ac:dyDescent="0.25">
      <c r="A189" s="60" t="s">
        <v>52</v>
      </c>
    </row>
    <row r="190" spans="1:1" x14ac:dyDescent="0.25">
      <c r="A190" s="61" t="s">
        <v>52</v>
      </c>
    </row>
    <row r="191" spans="1:1" x14ac:dyDescent="0.25">
      <c r="A191" s="62" t="s">
        <v>52</v>
      </c>
    </row>
    <row r="192" spans="1:1" x14ac:dyDescent="0.25">
      <c r="A192" s="63" t="s">
        <v>52</v>
      </c>
    </row>
    <row r="193" spans="1:1" x14ac:dyDescent="0.25">
      <c r="A193" s="64" t="s">
        <v>52</v>
      </c>
    </row>
    <row r="194" spans="1:1" x14ac:dyDescent="0.25">
      <c r="A194" s="65" t="s">
        <v>52</v>
      </c>
    </row>
    <row r="195" spans="1:1" x14ac:dyDescent="0.25">
      <c r="A195" s="66" t="s">
        <v>52</v>
      </c>
    </row>
    <row r="196" spans="1:1" x14ac:dyDescent="0.25">
      <c r="A196" s="67" t="s">
        <v>52</v>
      </c>
    </row>
    <row r="197" spans="1:1" x14ac:dyDescent="0.25">
      <c r="A197" s="68" t="s">
        <v>52</v>
      </c>
    </row>
    <row r="198" spans="1:1" x14ac:dyDescent="0.25">
      <c r="A198" s="69" t="s">
        <v>52</v>
      </c>
    </row>
    <row r="199" spans="1:1" x14ac:dyDescent="0.25">
      <c r="A199" s="70" t="s">
        <v>52</v>
      </c>
    </row>
    <row r="200" spans="1:1" x14ac:dyDescent="0.25">
      <c r="A200" s="71" t="s">
        <v>52</v>
      </c>
    </row>
    <row r="201" spans="1:1" x14ac:dyDescent="0.25">
      <c r="A201" s="72" t="s">
        <v>52</v>
      </c>
    </row>
    <row r="202" spans="1:1" x14ac:dyDescent="0.25">
      <c r="A202" s="73" t="s">
        <v>52</v>
      </c>
    </row>
    <row r="203" spans="1:1" x14ac:dyDescent="0.25">
      <c r="A203" s="74" t="s">
        <v>52</v>
      </c>
    </row>
    <row r="204" spans="1:1" x14ac:dyDescent="0.25">
      <c r="A204" s="75" t="s">
        <v>52</v>
      </c>
    </row>
    <row r="205" spans="1:1" x14ac:dyDescent="0.25">
      <c r="A205" s="76" t="s">
        <v>52</v>
      </c>
    </row>
    <row r="206" spans="1:1" x14ac:dyDescent="0.25">
      <c r="A206" s="77" t="s">
        <v>52</v>
      </c>
    </row>
    <row r="207" spans="1:1" x14ac:dyDescent="0.25">
      <c r="A207" s="78" t="s">
        <v>52</v>
      </c>
    </row>
    <row r="208" spans="1:1" x14ac:dyDescent="0.25">
      <c r="A208" s="79" t="s">
        <v>52</v>
      </c>
    </row>
    <row r="209" spans="1:1" x14ac:dyDescent="0.25">
      <c r="A209" s="80" t="s">
        <v>52</v>
      </c>
    </row>
    <row r="210" spans="1:1" x14ac:dyDescent="0.25">
      <c r="A210" s="81" t="s">
        <v>52</v>
      </c>
    </row>
    <row r="211" spans="1:1" x14ac:dyDescent="0.25">
      <c r="A211" s="82" t="s">
        <v>52</v>
      </c>
    </row>
    <row r="212" spans="1:1" x14ac:dyDescent="0.25">
      <c r="A212" s="83" t="s">
        <v>52</v>
      </c>
    </row>
    <row r="213" spans="1:1" x14ac:dyDescent="0.25">
      <c r="A213" s="84" t="s">
        <v>52</v>
      </c>
    </row>
    <row r="214" spans="1:1" x14ac:dyDescent="0.25">
      <c r="A214" s="85" t="s">
        <v>52</v>
      </c>
    </row>
    <row r="215" spans="1:1" x14ac:dyDescent="0.25">
      <c r="A215" s="86" t="s">
        <v>52</v>
      </c>
    </row>
    <row r="216" spans="1:1" x14ac:dyDescent="0.25">
      <c r="A216" s="87" t="s">
        <v>52</v>
      </c>
    </row>
    <row r="217" spans="1:1" x14ac:dyDescent="0.25">
      <c r="A217" s="88" t="s">
        <v>52</v>
      </c>
    </row>
    <row r="218" spans="1:1" x14ac:dyDescent="0.25">
      <c r="A218" s="89" t="s">
        <v>52</v>
      </c>
    </row>
    <row r="219" spans="1:1" x14ac:dyDescent="0.25">
      <c r="A219" s="90" t="s">
        <v>52</v>
      </c>
    </row>
    <row r="220" spans="1:1" x14ac:dyDescent="0.25">
      <c r="A220" s="19" t="s">
        <v>531</v>
      </c>
    </row>
    <row r="221" spans="1:1" x14ac:dyDescent="0.25">
      <c r="A221" s="20" t="s">
        <v>52</v>
      </c>
    </row>
    <row r="222" spans="1:1" x14ac:dyDescent="0.25">
      <c r="A222" s="21" t="s">
        <v>52</v>
      </c>
    </row>
    <row r="223" spans="1:1" x14ac:dyDescent="0.25">
      <c r="A223" s="22" t="s">
        <v>52</v>
      </c>
    </row>
    <row r="224" spans="1:1" x14ac:dyDescent="0.25">
      <c r="A224" s="23" t="s">
        <v>52</v>
      </c>
    </row>
    <row r="225" spans="1:1" x14ac:dyDescent="0.25">
      <c r="A225" s="24" t="s">
        <v>52</v>
      </c>
    </row>
    <row r="226" spans="1:1" x14ac:dyDescent="0.25">
      <c r="A226" s="25" t="s">
        <v>52</v>
      </c>
    </row>
    <row r="227" spans="1:1" x14ac:dyDescent="0.25">
      <c r="A227" s="26" t="s">
        <v>52</v>
      </c>
    </row>
    <row r="228" spans="1:1" x14ac:dyDescent="0.25">
      <c r="A228" s="27" t="s">
        <v>52</v>
      </c>
    </row>
    <row r="229" spans="1:1" x14ac:dyDescent="0.25">
      <c r="A229" s="28" t="s">
        <v>52</v>
      </c>
    </row>
    <row r="230" spans="1:1" x14ac:dyDescent="0.25">
      <c r="A230" s="29" t="s">
        <v>52</v>
      </c>
    </row>
    <row r="231" spans="1:1" x14ac:dyDescent="0.25">
      <c r="A231" s="30" t="s">
        <v>532</v>
      </c>
    </row>
    <row r="232" spans="1:1" x14ac:dyDescent="0.25">
      <c r="A232" s="31" t="s">
        <v>52</v>
      </c>
    </row>
    <row r="233" spans="1:1" x14ac:dyDescent="0.25">
      <c r="A233" s="32" t="s">
        <v>52</v>
      </c>
    </row>
    <row r="234" spans="1:1" x14ac:dyDescent="0.25">
      <c r="A234" s="33" t="s">
        <v>52</v>
      </c>
    </row>
    <row r="235" spans="1:1" x14ac:dyDescent="0.25">
      <c r="A235" s="34" t="s">
        <v>52</v>
      </c>
    </row>
    <row r="236" spans="1:1" x14ac:dyDescent="0.25">
      <c r="A236" s="35" t="s">
        <v>52</v>
      </c>
    </row>
    <row r="237" spans="1:1" x14ac:dyDescent="0.25">
      <c r="A237" s="36" t="s">
        <v>52</v>
      </c>
    </row>
    <row r="238" spans="1:1" x14ac:dyDescent="0.25">
      <c r="A238" s="37" t="s">
        <v>52</v>
      </c>
    </row>
    <row r="239" spans="1:1" x14ac:dyDescent="0.25">
      <c r="A239" s="38" t="s">
        <v>52</v>
      </c>
    </row>
    <row r="240" spans="1:1" x14ac:dyDescent="0.25">
      <c r="A240" s="39" t="s">
        <v>52</v>
      </c>
    </row>
    <row r="241" spans="1:1" x14ac:dyDescent="0.25">
      <c r="A241" s="40" t="s">
        <v>52</v>
      </c>
    </row>
    <row r="242" spans="1:1" x14ac:dyDescent="0.25">
      <c r="A242" s="41" t="s">
        <v>52</v>
      </c>
    </row>
    <row r="243" spans="1:1" x14ac:dyDescent="0.25">
      <c r="A243" s="42" t="s">
        <v>52</v>
      </c>
    </row>
    <row r="244" spans="1:1" x14ac:dyDescent="0.25">
      <c r="A244" s="43" t="s">
        <v>52</v>
      </c>
    </row>
    <row r="245" spans="1:1" x14ac:dyDescent="0.25">
      <c r="A245" s="44" t="s">
        <v>533</v>
      </c>
    </row>
    <row r="246" spans="1:1" x14ac:dyDescent="0.25">
      <c r="A246" s="45" t="s">
        <v>52</v>
      </c>
    </row>
    <row r="247" spans="1:1" x14ac:dyDescent="0.25">
      <c r="A247" s="46" t="s">
        <v>52</v>
      </c>
    </row>
    <row r="248" spans="1:1" x14ac:dyDescent="0.25">
      <c r="A248" s="47" t="s">
        <v>52</v>
      </c>
    </row>
    <row r="249" spans="1:1" x14ac:dyDescent="0.25">
      <c r="A249" s="48" t="s">
        <v>52</v>
      </c>
    </row>
    <row r="250" spans="1:1" x14ac:dyDescent="0.25">
      <c r="A250" s="49" t="s">
        <v>52</v>
      </c>
    </row>
    <row r="251" spans="1:1" x14ac:dyDescent="0.25">
      <c r="A251" s="50" t="s">
        <v>52</v>
      </c>
    </row>
    <row r="252" spans="1:1" x14ac:dyDescent="0.25">
      <c r="A252" s="51" t="s">
        <v>52</v>
      </c>
    </row>
    <row r="253" spans="1:1" x14ac:dyDescent="0.25">
      <c r="A253" s="52" t="s">
        <v>52</v>
      </c>
    </row>
    <row r="254" spans="1:1" x14ac:dyDescent="0.25">
      <c r="A254" s="53" t="s">
        <v>52</v>
      </c>
    </row>
    <row r="255" spans="1:1" x14ac:dyDescent="0.25">
      <c r="A255" s="54" t="s">
        <v>52</v>
      </c>
    </row>
    <row r="256" spans="1:1" x14ac:dyDescent="0.25">
      <c r="A256" s="55" t="s">
        <v>52</v>
      </c>
    </row>
    <row r="257" spans="1:1" x14ac:dyDescent="0.25">
      <c r="A257" s="56" t="s">
        <v>52</v>
      </c>
    </row>
    <row r="258" spans="1:1" x14ac:dyDescent="0.25">
      <c r="A258" s="57" t="s">
        <v>52</v>
      </c>
    </row>
    <row r="259" spans="1:1" x14ac:dyDescent="0.25">
      <c r="A259" s="58" t="s">
        <v>52</v>
      </c>
    </row>
    <row r="260" spans="1:1" x14ac:dyDescent="0.25">
      <c r="A260" s="59" t="s">
        <v>52</v>
      </c>
    </row>
    <row r="261" spans="1:1" x14ac:dyDescent="0.25">
      <c r="A261" s="60" t="s">
        <v>52</v>
      </c>
    </row>
    <row r="262" spans="1:1" x14ac:dyDescent="0.25">
      <c r="A262" s="61" t="s">
        <v>52</v>
      </c>
    </row>
    <row r="263" spans="1:1" x14ac:dyDescent="0.25">
      <c r="A263" s="62" t="s">
        <v>52</v>
      </c>
    </row>
    <row r="264" spans="1:1" x14ac:dyDescent="0.25">
      <c r="A264" s="63" t="s">
        <v>52</v>
      </c>
    </row>
    <row r="265" spans="1:1" x14ac:dyDescent="0.25">
      <c r="A265" s="64" t="s">
        <v>52</v>
      </c>
    </row>
    <row r="266" spans="1:1" x14ac:dyDescent="0.25">
      <c r="A266" s="65" t="s">
        <v>52</v>
      </c>
    </row>
    <row r="267" spans="1:1" x14ac:dyDescent="0.25">
      <c r="A267" s="66" t="s">
        <v>52</v>
      </c>
    </row>
    <row r="268" spans="1:1" x14ac:dyDescent="0.25">
      <c r="A268" s="67" t="s">
        <v>52</v>
      </c>
    </row>
    <row r="269" spans="1:1" x14ac:dyDescent="0.25">
      <c r="A269" s="68" t="s">
        <v>52</v>
      </c>
    </row>
    <row r="270" spans="1:1" x14ac:dyDescent="0.25">
      <c r="A270" s="69" t="s">
        <v>52</v>
      </c>
    </row>
    <row r="271" spans="1:1" x14ac:dyDescent="0.25">
      <c r="A271" s="70" t="s">
        <v>52</v>
      </c>
    </row>
    <row r="272" spans="1:1" x14ac:dyDescent="0.25">
      <c r="A272" s="71" t="s">
        <v>52</v>
      </c>
    </row>
    <row r="273" spans="1:1" x14ac:dyDescent="0.25">
      <c r="A273" s="72" t="s">
        <v>52</v>
      </c>
    </row>
    <row r="274" spans="1:1" x14ac:dyDescent="0.25">
      <c r="A274" s="73" t="s">
        <v>52</v>
      </c>
    </row>
    <row r="275" spans="1:1" x14ac:dyDescent="0.25">
      <c r="A275" s="74" t="s">
        <v>52</v>
      </c>
    </row>
    <row r="276" spans="1:1" x14ac:dyDescent="0.25">
      <c r="A276" s="75" t="s">
        <v>52</v>
      </c>
    </row>
    <row r="277" spans="1:1" x14ac:dyDescent="0.25">
      <c r="A277" s="76" t="s">
        <v>52</v>
      </c>
    </row>
    <row r="278" spans="1:1" x14ac:dyDescent="0.25">
      <c r="A278" s="77" t="s">
        <v>52</v>
      </c>
    </row>
    <row r="279" spans="1:1" x14ac:dyDescent="0.25">
      <c r="A279" s="78" t="s">
        <v>52</v>
      </c>
    </row>
    <row r="280" spans="1:1" x14ac:dyDescent="0.25">
      <c r="A280" s="79" t="s">
        <v>52</v>
      </c>
    </row>
    <row r="281" spans="1:1" x14ac:dyDescent="0.25">
      <c r="A281" s="80" t="s">
        <v>52</v>
      </c>
    </row>
    <row r="282" spans="1:1" x14ac:dyDescent="0.25">
      <c r="A282" s="81" t="s">
        <v>52</v>
      </c>
    </row>
    <row r="283" spans="1:1" x14ac:dyDescent="0.25">
      <c r="A283" s="82" t="s">
        <v>52</v>
      </c>
    </row>
    <row r="284" spans="1:1" x14ac:dyDescent="0.25">
      <c r="A284" s="83" t="s">
        <v>52</v>
      </c>
    </row>
    <row r="285" spans="1:1" x14ac:dyDescent="0.25">
      <c r="A285" s="84" t="s">
        <v>52</v>
      </c>
    </row>
    <row r="286" spans="1:1" x14ac:dyDescent="0.25">
      <c r="A286" s="85" t="s">
        <v>52</v>
      </c>
    </row>
    <row r="287" spans="1:1" x14ac:dyDescent="0.25">
      <c r="A287" s="86" t="s">
        <v>52</v>
      </c>
    </row>
    <row r="288" spans="1:1" x14ac:dyDescent="0.25">
      <c r="A288" s="87" t="s">
        <v>52</v>
      </c>
    </row>
    <row r="289" spans="1:1" x14ac:dyDescent="0.25">
      <c r="A289" s="88" t="s">
        <v>52</v>
      </c>
    </row>
    <row r="290" spans="1:1" x14ac:dyDescent="0.25">
      <c r="A290" s="89" t="s">
        <v>52</v>
      </c>
    </row>
    <row r="291" spans="1:1" x14ac:dyDescent="0.25">
      <c r="A291" s="90" t="s">
        <v>52</v>
      </c>
    </row>
    <row r="292" spans="1:1" x14ac:dyDescent="0.25">
      <c r="A292" s="19" t="s">
        <v>534</v>
      </c>
    </row>
    <row r="293" spans="1:1" x14ac:dyDescent="0.25">
      <c r="A293" s="20" t="s">
        <v>52</v>
      </c>
    </row>
    <row r="294" spans="1:1" x14ac:dyDescent="0.25">
      <c r="A294" s="21" t="s">
        <v>52</v>
      </c>
    </row>
    <row r="295" spans="1:1" x14ac:dyDescent="0.25">
      <c r="A295" s="22" t="s">
        <v>52</v>
      </c>
    </row>
    <row r="296" spans="1:1" x14ac:dyDescent="0.25">
      <c r="A296" s="23" t="s">
        <v>52</v>
      </c>
    </row>
    <row r="297" spans="1:1" x14ac:dyDescent="0.25">
      <c r="A297" s="24" t="s">
        <v>52</v>
      </c>
    </row>
    <row r="298" spans="1:1" x14ac:dyDescent="0.25">
      <c r="A298" s="25" t="s">
        <v>52</v>
      </c>
    </row>
    <row r="299" spans="1:1" x14ac:dyDescent="0.25">
      <c r="A299" s="26" t="s">
        <v>52</v>
      </c>
    </row>
    <row r="300" spans="1:1" x14ac:dyDescent="0.25">
      <c r="A300" s="27" t="s">
        <v>52</v>
      </c>
    </row>
    <row r="301" spans="1:1" x14ac:dyDescent="0.25">
      <c r="A301" s="28" t="s">
        <v>52</v>
      </c>
    </row>
    <row r="302" spans="1:1" x14ac:dyDescent="0.25">
      <c r="A302" s="29" t="s">
        <v>52</v>
      </c>
    </row>
    <row r="303" spans="1:1" x14ac:dyDescent="0.25">
      <c r="A303" s="30" t="s">
        <v>535</v>
      </c>
    </row>
    <row r="304" spans="1:1" x14ac:dyDescent="0.25">
      <c r="A304" s="31" t="s">
        <v>52</v>
      </c>
    </row>
    <row r="305" spans="1:1" x14ac:dyDescent="0.25">
      <c r="A305" s="32" t="s">
        <v>52</v>
      </c>
    </row>
    <row r="306" spans="1:1" x14ac:dyDescent="0.25">
      <c r="A306" s="33" t="s">
        <v>52</v>
      </c>
    </row>
    <row r="307" spans="1:1" x14ac:dyDescent="0.25">
      <c r="A307" s="34" t="s">
        <v>52</v>
      </c>
    </row>
    <row r="308" spans="1:1" x14ac:dyDescent="0.25">
      <c r="A308" s="35" t="s">
        <v>52</v>
      </c>
    </row>
    <row r="309" spans="1:1" x14ac:dyDescent="0.25">
      <c r="A309" s="36" t="s">
        <v>52</v>
      </c>
    </row>
    <row r="310" spans="1:1" x14ac:dyDescent="0.25">
      <c r="A310" s="37" t="s">
        <v>52</v>
      </c>
    </row>
    <row r="311" spans="1:1" x14ac:dyDescent="0.25">
      <c r="A311" s="38" t="s">
        <v>52</v>
      </c>
    </row>
    <row r="312" spans="1:1" x14ac:dyDescent="0.25">
      <c r="A312" s="39" t="s">
        <v>52</v>
      </c>
    </row>
    <row r="313" spans="1:1" x14ac:dyDescent="0.25">
      <c r="A313" s="40" t="s">
        <v>52</v>
      </c>
    </row>
    <row r="314" spans="1:1" x14ac:dyDescent="0.25">
      <c r="A314" s="41" t="s">
        <v>52</v>
      </c>
    </row>
    <row r="315" spans="1:1" x14ac:dyDescent="0.25">
      <c r="A315" s="42" t="s">
        <v>52</v>
      </c>
    </row>
    <row r="316" spans="1:1" x14ac:dyDescent="0.25">
      <c r="A316" s="43" t="s">
        <v>52</v>
      </c>
    </row>
    <row r="317" spans="1:1" x14ac:dyDescent="0.25">
      <c r="A317" s="44" t="s">
        <v>536</v>
      </c>
    </row>
    <row r="318" spans="1:1" x14ac:dyDescent="0.25">
      <c r="A318" s="45" t="s">
        <v>52</v>
      </c>
    </row>
    <row r="319" spans="1:1" x14ac:dyDescent="0.25">
      <c r="A319" s="46" t="s">
        <v>52</v>
      </c>
    </row>
    <row r="320" spans="1:1" x14ac:dyDescent="0.25">
      <c r="A320" s="47" t="s">
        <v>52</v>
      </c>
    </row>
    <row r="321" spans="1:1" x14ac:dyDescent="0.25">
      <c r="A321" s="48" t="s">
        <v>52</v>
      </c>
    </row>
    <row r="322" spans="1:1" x14ac:dyDescent="0.25">
      <c r="A322" s="49" t="s">
        <v>52</v>
      </c>
    </row>
    <row r="323" spans="1:1" x14ac:dyDescent="0.25">
      <c r="A323" s="50" t="s">
        <v>52</v>
      </c>
    </row>
    <row r="324" spans="1:1" x14ac:dyDescent="0.25">
      <c r="A324" s="51" t="s">
        <v>52</v>
      </c>
    </row>
    <row r="325" spans="1:1" x14ac:dyDescent="0.25">
      <c r="A325" s="52" t="s">
        <v>52</v>
      </c>
    </row>
    <row r="326" spans="1:1" x14ac:dyDescent="0.25">
      <c r="A326" s="53" t="s">
        <v>52</v>
      </c>
    </row>
    <row r="327" spans="1:1" x14ac:dyDescent="0.25">
      <c r="A327" s="54" t="s">
        <v>52</v>
      </c>
    </row>
    <row r="328" spans="1:1" x14ac:dyDescent="0.25">
      <c r="A328" s="55" t="s">
        <v>52</v>
      </c>
    </row>
    <row r="329" spans="1:1" x14ac:dyDescent="0.25">
      <c r="A329" s="56" t="s">
        <v>52</v>
      </c>
    </row>
    <row r="330" spans="1:1" x14ac:dyDescent="0.25">
      <c r="A330" s="57" t="s">
        <v>52</v>
      </c>
    </row>
    <row r="331" spans="1:1" x14ac:dyDescent="0.25">
      <c r="A331" s="58" t="s">
        <v>52</v>
      </c>
    </row>
    <row r="332" spans="1:1" x14ac:dyDescent="0.25">
      <c r="A332" s="59" t="s">
        <v>52</v>
      </c>
    </row>
    <row r="333" spans="1:1" x14ac:dyDescent="0.25">
      <c r="A333" s="60" t="s">
        <v>52</v>
      </c>
    </row>
    <row r="334" spans="1:1" x14ac:dyDescent="0.25">
      <c r="A334" s="61" t="s">
        <v>52</v>
      </c>
    </row>
    <row r="335" spans="1:1" x14ac:dyDescent="0.25">
      <c r="A335" s="62" t="s">
        <v>52</v>
      </c>
    </row>
    <row r="336" spans="1:1" x14ac:dyDescent="0.25">
      <c r="A336" s="63" t="s">
        <v>52</v>
      </c>
    </row>
    <row r="337" spans="1:1" x14ac:dyDescent="0.25">
      <c r="A337" s="64" t="s">
        <v>52</v>
      </c>
    </row>
    <row r="338" spans="1:1" x14ac:dyDescent="0.25">
      <c r="A338" s="65" t="s">
        <v>52</v>
      </c>
    </row>
    <row r="339" spans="1:1" x14ac:dyDescent="0.25">
      <c r="A339" s="66" t="s">
        <v>52</v>
      </c>
    </row>
    <row r="340" spans="1:1" x14ac:dyDescent="0.25">
      <c r="A340" s="67" t="s">
        <v>52</v>
      </c>
    </row>
    <row r="341" spans="1:1" x14ac:dyDescent="0.25">
      <c r="A341" s="68" t="s">
        <v>52</v>
      </c>
    </row>
    <row r="342" spans="1:1" x14ac:dyDescent="0.25">
      <c r="A342" s="69" t="s">
        <v>52</v>
      </c>
    </row>
    <row r="343" spans="1:1" x14ac:dyDescent="0.25">
      <c r="A343" s="70" t="s">
        <v>52</v>
      </c>
    </row>
    <row r="344" spans="1:1" x14ac:dyDescent="0.25">
      <c r="A344" s="71" t="s">
        <v>52</v>
      </c>
    </row>
    <row r="345" spans="1:1" x14ac:dyDescent="0.25">
      <c r="A345" s="72" t="s">
        <v>52</v>
      </c>
    </row>
    <row r="346" spans="1:1" x14ac:dyDescent="0.25">
      <c r="A346" s="73" t="s">
        <v>52</v>
      </c>
    </row>
    <row r="347" spans="1:1" x14ac:dyDescent="0.25">
      <c r="A347" s="74" t="s">
        <v>52</v>
      </c>
    </row>
    <row r="348" spans="1:1" x14ac:dyDescent="0.25">
      <c r="A348" s="75" t="s">
        <v>52</v>
      </c>
    </row>
    <row r="349" spans="1:1" x14ac:dyDescent="0.25">
      <c r="A349" s="76" t="s">
        <v>52</v>
      </c>
    </row>
    <row r="350" spans="1:1" x14ac:dyDescent="0.25">
      <c r="A350" s="77" t="s">
        <v>52</v>
      </c>
    </row>
    <row r="351" spans="1:1" x14ac:dyDescent="0.25">
      <c r="A351" s="78" t="s">
        <v>52</v>
      </c>
    </row>
    <row r="352" spans="1:1" x14ac:dyDescent="0.25">
      <c r="A352" s="79" t="s">
        <v>52</v>
      </c>
    </row>
    <row r="353" spans="1:1" x14ac:dyDescent="0.25">
      <c r="A353" s="80" t="s">
        <v>52</v>
      </c>
    </row>
    <row r="354" spans="1:1" x14ac:dyDescent="0.25">
      <c r="A354" s="81" t="s">
        <v>52</v>
      </c>
    </row>
    <row r="355" spans="1:1" x14ac:dyDescent="0.25">
      <c r="A355" s="82" t="s">
        <v>52</v>
      </c>
    </row>
    <row r="356" spans="1:1" x14ac:dyDescent="0.25">
      <c r="A356" s="83" t="s">
        <v>52</v>
      </c>
    </row>
    <row r="357" spans="1:1" x14ac:dyDescent="0.25">
      <c r="A357" s="84" t="s">
        <v>52</v>
      </c>
    </row>
    <row r="358" spans="1:1" x14ac:dyDescent="0.25">
      <c r="A358" s="85" t="s">
        <v>52</v>
      </c>
    </row>
    <row r="359" spans="1:1" x14ac:dyDescent="0.25">
      <c r="A359" s="86" t="s">
        <v>52</v>
      </c>
    </row>
    <row r="360" spans="1:1" x14ac:dyDescent="0.25">
      <c r="A360" s="87" t="s">
        <v>52</v>
      </c>
    </row>
    <row r="361" spans="1:1" x14ac:dyDescent="0.25">
      <c r="A361" s="88" t="s">
        <v>52</v>
      </c>
    </row>
    <row r="362" spans="1:1" x14ac:dyDescent="0.25">
      <c r="A362" s="89" t="s">
        <v>52</v>
      </c>
    </row>
    <row r="363" spans="1:1" x14ac:dyDescent="0.25">
      <c r="A363" s="90" t="s">
        <v>52</v>
      </c>
    </row>
    <row r="364" spans="1:1" x14ac:dyDescent="0.25">
      <c r="A364" s="19" t="s">
        <v>537</v>
      </c>
    </row>
    <row r="365" spans="1:1" x14ac:dyDescent="0.25">
      <c r="A365" s="20" t="s">
        <v>52</v>
      </c>
    </row>
    <row r="366" spans="1:1" x14ac:dyDescent="0.25">
      <c r="A366" s="21" t="s">
        <v>52</v>
      </c>
    </row>
    <row r="367" spans="1:1" x14ac:dyDescent="0.25">
      <c r="A367" s="22" t="s">
        <v>52</v>
      </c>
    </row>
    <row r="368" spans="1:1" x14ac:dyDescent="0.25">
      <c r="A368" s="23" t="s">
        <v>52</v>
      </c>
    </row>
    <row r="369" spans="1:1" x14ac:dyDescent="0.25">
      <c r="A369" s="24" t="s">
        <v>52</v>
      </c>
    </row>
    <row r="370" spans="1:1" x14ac:dyDescent="0.25">
      <c r="A370" s="25" t="s">
        <v>52</v>
      </c>
    </row>
    <row r="371" spans="1:1" x14ac:dyDescent="0.25">
      <c r="A371" s="26" t="s">
        <v>52</v>
      </c>
    </row>
    <row r="372" spans="1:1" x14ac:dyDescent="0.25">
      <c r="A372" s="27" t="s">
        <v>52</v>
      </c>
    </row>
    <row r="373" spans="1:1" x14ac:dyDescent="0.25">
      <c r="A373" s="28" t="s">
        <v>52</v>
      </c>
    </row>
    <row r="374" spans="1:1" x14ac:dyDescent="0.25">
      <c r="A374" s="29" t="s">
        <v>52</v>
      </c>
    </row>
    <row r="375" spans="1:1" x14ac:dyDescent="0.25">
      <c r="A375" s="30" t="s">
        <v>538</v>
      </c>
    </row>
    <row r="376" spans="1:1" x14ac:dyDescent="0.25">
      <c r="A376" s="31" t="s">
        <v>52</v>
      </c>
    </row>
    <row r="377" spans="1:1" x14ac:dyDescent="0.25">
      <c r="A377" s="32" t="s">
        <v>52</v>
      </c>
    </row>
    <row r="378" spans="1:1" x14ac:dyDescent="0.25">
      <c r="A378" s="33" t="s">
        <v>52</v>
      </c>
    </row>
    <row r="379" spans="1:1" x14ac:dyDescent="0.25">
      <c r="A379" s="34" t="s">
        <v>52</v>
      </c>
    </row>
    <row r="380" spans="1:1" x14ac:dyDescent="0.25">
      <c r="A380" s="35" t="s">
        <v>52</v>
      </c>
    </row>
    <row r="381" spans="1:1" x14ac:dyDescent="0.25">
      <c r="A381" s="36" t="s">
        <v>52</v>
      </c>
    </row>
    <row r="382" spans="1:1" x14ac:dyDescent="0.25">
      <c r="A382" s="37" t="s">
        <v>52</v>
      </c>
    </row>
    <row r="383" spans="1:1" x14ac:dyDescent="0.25">
      <c r="A383" s="38" t="s">
        <v>52</v>
      </c>
    </row>
    <row r="384" spans="1:1" x14ac:dyDescent="0.25">
      <c r="A384" s="39" t="s">
        <v>52</v>
      </c>
    </row>
    <row r="385" spans="1:1" x14ac:dyDescent="0.25">
      <c r="A385" s="40" t="s">
        <v>52</v>
      </c>
    </row>
    <row r="386" spans="1:1" x14ac:dyDescent="0.25">
      <c r="A386" s="41" t="s">
        <v>52</v>
      </c>
    </row>
    <row r="387" spans="1:1" x14ac:dyDescent="0.25">
      <c r="A387" s="42" t="s">
        <v>52</v>
      </c>
    </row>
    <row r="388" spans="1:1" x14ac:dyDescent="0.25">
      <c r="A388" s="43" t="s">
        <v>52</v>
      </c>
    </row>
    <row r="389" spans="1:1" x14ac:dyDescent="0.25">
      <c r="A389" s="44" t="s">
        <v>539</v>
      </c>
    </row>
    <row r="390" spans="1:1" x14ac:dyDescent="0.25">
      <c r="A390" s="45" t="s">
        <v>52</v>
      </c>
    </row>
    <row r="391" spans="1:1" x14ac:dyDescent="0.25">
      <c r="A391" s="46" t="s">
        <v>52</v>
      </c>
    </row>
    <row r="392" spans="1:1" x14ac:dyDescent="0.25">
      <c r="A392" s="47" t="s">
        <v>52</v>
      </c>
    </row>
    <row r="393" spans="1:1" x14ac:dyDescent="0.25">
      <c r="A393" s="48" t="s">
        <v>52</v>
      </c>
    </row>
    <row r="394" spans="1:1" x14ac:dyDescent="0.25">
      <c r="A394" s="49" t="s">
        <v>52</v>
      </c>
    </row>
    <row r="395" spans="1:1" x14ac:dyDescent="0.25">
      <c r="A395" s="50" t="s">
        <v>52</v>
      </c>
    </row>
    <row r="396" spans="1:1" x14ac:dyDescent="0.25">
      <c r="A396" s="51" t="s">
        <v>52</v>
      </c>
    </row>
    <row r="397" spans="1:1" x14ac:dyDescent="0.25">
      <c r="A397" s="52" t="s">
        <v>52</v>
      </c>
    </row>
    <row r="398" spans="1:1" x14ac:dyDescent="0.25">
      <c r="A398" s="53" t="s">
        <v>52</v>
      </c>
    </row>
    <row r="399" spans="1:1" x14ac:dyDescent="0.25">
      <c r="A399" s="54" t="s">
        <v>52</v>
      </c>
    </row>
    <row r="400" spans="1:1" x14ac:dyDescent="0.25">
      <c r="A400" s="55" t="s">
        <v>52</v>
      </c>
    </row>
    <row r="401" spans="1:1" x14ac:dyDescent="0.25">
      <c r="A401" s="56" t="s">
        <v>52</v>
      </c>
    </row>
    <row r="402" spans="1:1" x14ac:dyDescent="0.25">
      <c r="A402" s="57" t="s">
        <v>52</v>
      </c>
    </row>
    <row r="403" spans="1:1" x14ac:dyDescent="0.25">
      <c r="A403" s="58" t="s">
        <v>52</v>
      </c>
    </row>
    <row r="404" spans="1:1" x14ac:dyDescent="0.25">
      <c r="A404" s="59" t="s">
        <v>52</v>
      </c>
    </row>
    <row r="405" spans="1:1" x14ac:dyDescent="0.25">
      <c r="A405" s="60" t="s">
        <v>52</v>
      </c>
    </row>
    <row r="406" spans="1:1" x14ac:dyDescent="0.25">
      <c r="A406" s="61" t="s">
        <v>52</v>
      </c>
    </row>
    <row r="407" spans="1:1" x14ac:dyDescent="0.25">
      <c r="A407" s="62" t="s">
        <v>52</v>
      </c>
    </row>
    <row r="408" spans="1:1" x14ac:dyDescent="0.25">
      <c r="A408" s="63" t="s">
        <v>52</v>
      </c>
    </row>
    <row r="409" spans="1:1" x14ac:dyDescent="0.25">
      <c r="A409" s="64" t="s">
        <v>52</v>
      </c>
    </row>
    <row r="410" spans="1:1" x14ac:dyDescent="0.25">
      <c r="A410" s="65" t="s">
        <v>52</v>
      </c>
    </row>
    <row r="411" spans="1:1" x14ac:dyDescent="0.25">
      <c r="A411" s="66" t="s">
        <v>52</v>
      </c>
    </row>
    <row r="412" spans="1:1" x14ac:dyDescent="0.25">
      <c r="A412" s="67" t="s">
        <v>52</v>
      </c>
    </row>
    <row r="413" spans="1:1" x14ac:dyDescent="0.25">
      <c r="A413" s="68" t="s">
        <v>52</v>
      </c>
    </row>
    <row r="414" spans="1:1" x14ac:dyDescent="0.25">
      <c r="A414" s="69" t="s">
        <v>52</v>
      </c>
    </row>
    <row r="415" spans="1:1" x14ac:dyDescent="0.25">
      <c r="A415" s="70" t="s">
        <v>52</v>
      </c>
    </row>
    <row r="416" spans="1:1" x14ac:dyDescent="0.25">
      <c r="A416" s="71" t="s">
        <v>52</v>
      </c>
    </row>
    <row r="417" spans="1:1" x14ac:dyDescent="0.25">
      <c r="A417" s="72" t="s">
        <v>52</v>
      </c>
    </row>
    <row r="418" spans="1:1" x14ac:dyDescent="0.25">
      <c r="A418" s="73" t="s">
        <v>52</v>
      </c>
    </row>
    <row r="419" spans="1:1" x14ac:dyDescent="0.25">
      <c r="A419" s="74" t="s">
        <v>52</v>
      </c>
    </row>
    <row r="420" spans="1:1" x14ac:dyDescent="0.25">
      <c r="A420" s="75" t="s">
        <v>52</v>
      </c>
    </row>
    <row r="421" spans="1:1" x14ac:dyDescent="0.25">
      <c r="A421" s="76" t="s">
        <v>52</v>
      </c>
    </row>
    <row r="422" spans="1:1" x14ac:dyDescent="0.25">
      <c r="A422" s="77" t="s">
        <v>52</v>
      </c>
    </row>
    <row r="423" spans="1:1" x14ac:dyDescent="0.25">
      <c r="A423" s="78" t="s">
        <v>52</v>
      </c>
    </row>
    <row r="424" spans="1:1" x14ac:dyDescent="0.25">
      <c r="A424" s="79" t="s">
        <v>52</v>
      </c>
    </row>
    <row r="425" spans="1:1" x14ac:dyDescent="0.25">
      <c r="A425" s="80" t="s">
        <v>52</v>
      </c>
    </row>
    <row r="426" spans="1:1" x14ac:dyDescent="0.25">
      <c r="A426" s="81" t="s">
        <v>52</v>
      </c>
    </row>
    <row r="427" spans="1:1" x14ac:dyDescent="0.25">
      <c r="A427" s="82" t="s">
        <v>52</v>
      </c>
    </row>
    <row r="428" spans="1:1" x14ac:dyDescent="0.25">
      <c r="A428" s="83" t="s">
        <v>52</v>
      </c>
    </row>
    <row r="429" spans="1:1" x14ac:dyDescent="0.25">
      <c r="A429" s="84" t="s">
        <v>52</v>
      </c>
    </row>
    <row r="430" spans="1:1" x14ac:dyDescent="0.25">
      <c r="A430" s="85" t="s">
        <v>52</v>
      </c>
    </row>
    <row r="431" spans="1:1" x14ac:dyDescent="0.25">
      <c r="A431" s="86" t="s">
        <v>52</v>
      </c>
    </row>
    <row r="432" spans="1:1" x14ac:dyDescent="0.25">
      <c r="A432" s="87" t="s">
        <v>52</v>
      </c>
    </row>
    <row r="433" spans="1:1" x14ac:dyDescent="0.25">
      <c r="A433" s="88" t="s">
        <v>52</v>
      </c>
    </row>
    <row r="434" spans="1:1" x14ac:dyDescent="0.25">
      <c r="A434" s="89" t="s">
        <v>52</v>
      </c>
    </row>
    <row r="435" spans="1:1" x14ac:dyDescent="0.25">
      <c r="A435" s="90" t="s">
        <v>52</v>
      </c>
    </row>
    <row r="436" spans="1:1" x14ac:dyDescent="0.25">
      <c r="A436" s="19" t="s">
        <v>540</v>
      </c>
    </row>
    <row r="437" spans="1:1" x14ac:dyDescent="0.25">
      <c r="A437" s="20" t="s">
        <v>52</v>
      </c>
    </row>
    <row r="438" spans="1:1" x14ac:dyDescent="0.25">
      <c r="A438" s="21" t="s">
        <v>52</v>
      </c>
    </row>
    <row r="439" spans="1:1" x14ac:dyDescent="0.25">
      <c r="A439" s="22" t="s">
        <v>52</v>
      </c>
    </row>
    <row r="440" spans="1:1" x14ac:dyDescent="0.25">
      <c r="A440" s="23" t="s">
        <v>52</v>
      </c>
    </row>
    <row r="441" spans="1:1" x14ac:dyDescent="0.25">
      <c r="A441" s="24" t="s">
        <v>52</v>
      </c>
    </row>
    <row r="442" spans="1:1" x14ac:dyDescent="0.25">
      <c r="A442" s="25" t="s">
        <v>52</v>
      </c>
    </row>
    <row r="443" spans="1:1" x14ac:dyDescent="0.25">
      <c r="A443" s="26" t="s">
        <v>52</v>
      </c>
    </row>
    <row r="444" spans="1:1" x14ac:dyDescent="0.25">
      <c r="A444" s="27" t="s">
        <v>52</v>
      </c>
    </row>
    <row r="445" spans="1:1" x14ac:dyDescent="0.25">
      <c r="A445" s="28" t="s">
        <v>52</v>
      </c>
    </row>
    <row r="446" spans="1:1" x14ac:dyDescent="0.25">
      <c r="A446" s="29" t="s">
        <v>52</v>
      </c>
    </row>
    <row r="447" spans="1:1" x14ac:dyDescent="0.25">
      <c r="A447" s="30" t="s">
        <v>541</v>
      </c>
    </row>
    <row r="448" spans="1:1" x14ac:dyDescent="0.25">
      <c r="A448" s="31" t="s">
        <v>52</v>
      </c>
    </row>
    <row r="449" spans="1:1" x14ac:dyDescent="0.25">
      <c r="A449" s="32" t="s">
        <v>52</v>
      </c>
    </row>
    <row r="450" spans="1:1" x14ac:dyDescent="0.25">
      <c r="A450" s="33" t="s">
        <v>52</v>
      </c>
    </row>
    <row r="451" spans="1:1" x14ac:dyDescent="0.25">
      <c r="A451" s="34" t="s">
        <v>52</v>
      </c>
    </row>
    <row r="452" spans="1:1" x14ac:dyDescent="0.25">
      <c r="A452" s="35" t="s">
        <v>52</v>
      </c>
    </row>
    <row r="453" spans="1:1" x14ac:dyDescent="0.25">
      <c r="A453" s="36" t="s">
        <v>52</v>
      </c>
    </row>
    <row r="454" spans="1:1" x14ac:dyDescent="0.25">
      <c r="A454" s="37" t="s">
        <v>52</v>
      </c>
    </row>
    <row r="455" spans="1:1" x14ac:dyDescent="0.25">
      <c r="A455" s="38" t="s">
        <v>52</v>
      </c>
    </row>
    <row r="456" spans="1:1" x14ac:dyDescent="0.25">
      <c r="A456" s="39" t="s">
        <v>52</v>
      </c>
    </row>
    <row r="457" spans="1:1" x14ac:dyDescent="0.25">
      <c r="A457" s="40" t="s">
        <v>52</v>
      </c>
    </row>
    <row r="458" spans="1:1" x14ac:dyDescent="0.25">
      <c r="A458" s="41" t="s">
        <v>52</v>
      </c>
    </row>
    <row r="459" spans="1:1" x14ac:dyDescent="0.25">
      <c r="A459" s="42" t="s">
        <v>52</v>
      </c>
    </row>
    <row r="460" spans="1:1" x14ac:dyDescent="0.25">
      <c r="A460" s="43" t="s">
        <v>52</v>
      </c>
    </row>
    <row r="461" spans="1:1" x14ac:dyDescent="0.25">
      <c r="A461" s="44" t="s">
        <v>542</v>
      </c>
    </row>
    <row r="462" spans="1:1" x14ac:dyDescent="0.25">
      <c r="A462" s="45" t="s">
        <v>52</v>
      </c>
    </row>
    <row r="463" spans="1:1" x14ac:dyDescent="0.25">
      <c r="A463" s="46" t="s">
        <v>52</v>
      </c>
    </row>
    <row r="464" spans="1:1" x14ac:dyDescent="0.25">
      <c r="A464" s="47" t="s">
        <v>52</v>
      </c>
    </row>
    <row r="465" spans="1:1" x14ac:dyDescent="0.25">
      <c r="A465" s="48" t="s">
        <v>52</v>
      </c>
    </row>
    <row r="466" spans="1:1" x14ac:dyDescent="0.25">
      <c r="A466" s="49" t="s">
        <v>52</v>
      </c>
    </row>
    <row r="467" spans="1:1" x14ac:dyDescent="0.25">
      <c r="A467" s="50" t="s">
        <v>52</v>
      </c>
    </row>
    <row r="468" spans="1:1" x14ac:dyDescent="0.25">
      <c r="A468" s="51" t="s">
        <v>52</v>
      </c>
    </row>
    <row r="469" spans="1:1" x14ac:dyDescent="0.25">
      <c r="A469" s="52" t="s">
        <v>52</v>
      </c>
    </row>
    <row r="470" spans="1:1" x14ac:dyDescent="0.25">
      <c r="A470" s="53" t="s">
        <v>52</v>
      </c>
    </row>
    <row r="471" spans="1:1" x14ac:dyDescent="0.25">
      <c r="A471" s="54" t="s">
        <v>52</v>
      </c>
    </row>
    <row r="472" spans="1:1" x14ac:dyDescent="0.25">
      <c r="A472" s="55" t="s">
        <v>52</v>
      </c>
    </row>
    <row r="473" spans="1:1" x14ac:dyDescent="0.25">
      <c r="A473" s="56" t="s">
        <v>52</v>
      </c>
    </row>
    <row r="474" spans="1:1" x14ac:dyDescent="0.25">
      <c r="A474" s="57" t="s">
        <v>52</v>
      </c>
    </row>
    <row r="475" spans="1:1" x14ac:dyDescent="0.25">
      <c r="A475" s="58" t="s">
        <v>52</v>
      </c>
    </row>
    <row r="476" spans="1:1" x14ac:dyDescent="0.25">
      <c r="A476" s="59" t="s">
        <v>52</v>
      </c>
    </row>
    <row r="477" spans="1:1" x14ac:dyDescent="0.25">
      <c r="A477" s="60" t="s">
        <v>52</v>
      </c>
    </row>
    <row r="478" spans="1:1" x14ac:dyDescent="0.25">
      <c r="A478" s="61" t="s">
        <v>52</v>
      </c>
    </row>
    <row r="479" spans="1:1" x14ac:dyDescent="0.25">
      <c r="A479" s="62" t="s">
        <v>52</v>
      </c>
    </row>
    <row r="480" spans="1:1" x14ac:dyDescent="0.25">
      <c r="A480" s="63" t="s">
        <v>52</v>
      </c>
    </row>
    <row r="481" spans="1:1" x14ac:dyDescent="0.25">
      <c r="A481" s="64" t="s">
        <v>52</v>
      </c>
    </row>
    <row r="482" spans="1:1" x14ac:dyDescent="0.25">
      <c r="A482" s="65" t="s">
        <v>52</v>
      </c>
    </row>
    <row r="483" spans="1:1" x14ac:dyDescent="0.25">
      <c r="A483" s="66" t="s">
        <v>52</v>
      </c>
    </row>
    <row r="484" spans="1:1" x14ac:dyDescent="0.25">
      <c r="A484" s="67" t="s">
        <v>52</v>
      </c>
    </row>
    <row r="485" spans="1:1" x14ac:dyDescent="0.25">
      <c r="A485" s="68" t="s">
        <v>52</v>
      </c>
    </row>
    <row r="486" spans="1:1" x14ac:dyDescent="0.25">
      <c r="A486" s="69" t="s">
        <v>52</v>
      </c>
    </row>
    <row r="487" spans="1:1" x14ac:dyDescent="0.25">
      <c r="A487" s="70" t="s">
        <v>52</v>
      </c>
    </row>
    <row r="488" spans="1:1" x14ac:dyDescent="0.25">
      <c r="A488" s="71" t="s">
        <v>52</v>
      </c>
    </row>
    <row r="489" spans="1:1" x14ac:dyDescent="0.25">
      <c r="A489" s="72" t="s">
        <v>52</v>
      </c>
    </row>
    <row r="490" spans="1:1" x14ac:dyDescent="0.25">
      <c r="A490" s="73" t="s">
        <v>52</v>
      </c>
    </row>
    <row r="491" spans="1:1" x14ac:dyDescent="0.25">
      <c r="A491" s="74" t="s">
        <v>52</v>
      </c>
    </row>
    <row r="492" spans="1:1" x14ac:dyDescent="0.25">
      <c r="A492" s="75" t="s">
        <v>52</v>
      </c>
    </row>
    <row r="493" spans="1:1" x14ac:dyDescent="0.25">
      <c r="A493" s="76" t="s">
        <v>52</v>
      </c>
    </row>
    <row r="494" spans="1:1" x14ac:dyDescent="0.25">
      <c r="A494" s="77" t="s">
        <v>52</v>
      </c>
    </row>
    <row r="495" spans="1:1" x14ac:dyDescent="0.25">
      <c r="A495" s="78" t="s">
        <v>52</v>
      </c>
    </row>
    <row r="496" spans="1:1" x14ac:dyDescent="0.25">
      <c r="A496" s="79" t="s">
        <v>52</v>
      </c>
    </row>
    <row r="497" spans="1:1" x14ac:dyDescent="0.25">
      <c r="A497" s="80" t="s">
        <v>52</v>
      </c>
    </row>
    <row r="498" spans="1:1" x14ac:dyDescent="0.25">
      <c r="A498" s="81" t="s">
        <v>52</v>
      </c>
    </row>
    <row r="499" spans="1:1" x14ac:dyDescent="0.25">
      <c r="A499" s="82" t="s">
        <v>52</v>
      </c>
    </row>
    <row r="500" spans="1:1" x14ac:dyDescent="0.25">
      <c r="A500" s="83" t="s">
        <v>52</v>
      </c>
    </row>
    <row r="501" spans="1:1" x14ac:dyDescent="0.25">
      <c r="A501" s="84" t="s">
        <v>52</v>
      </c>
    </row>
    <row r="502" spans="1:1" x14ac:dyDescent="0.25">
      <c r="A502" s="85" t="s">
        <v>52</v>
      </c>
    </row>
    <row r="503" spans="1:1" x14ac:dyDescent="0.25">
      <c r="A503" s="86" t="s">
        <v>52</v>
      </c>
    </row>
    <row r="504" spans="1:1" x14ac:dyDescent="0.25">
      <c r="A504" s="87" t="s">
        <v>52</v>
      </c>
    </row>
    <row r="505" spans="1:1" x14ac:dyDescent="0.25">
      <c r="A505" s="88" t="s">
        <v>52</v>
      </c>
    </row>
    <row r="506" spans="1:1" x14ac:dyDescent="0.25">
      <c r="A506" s="89" t="s">
        <v>52</v>
      </c>
    </row>
    <row r="507" spans="1:1" x14ac:dyDescent="0.25">
      <c r="A507" s="90" t="s">
        <v>52</v>
      </c>
    </row>
    <row r="508" spans="1:1" x14ac:dyDescent="0.25">
      <c r="A508" s="19" t="s">
        <v>543</v>
      </c>
    </row>
    <row r="509" spans="1:1" x14ac:dyDescent="0.25">
      <c r="A509" s="20" t="s">
        <v>52</v>
      </c>
    </row>
    <row r="510" spans="1:1" x14ac:dyDescent="0.25">
      <c r="A510" s="21" t="s">
        <v>52</v>
      </c>
    </row>
    <row r="511" spans="1:1" x14ac:dyDescent="0.25">
      <c r="A511" s="22" t="s">
        <v>52</v>
      </c>
    </row>
    <row r="512" spans="1:1" x14ac:dyDescent="0.25">
      <c r="A512" s="23" t="s">
        <v>52</v>
      </c>
    </row>
    <row r="513" spans="1:1" x14ac:dyDescent="0.25">
      <c r="A513" s="24" t="s">
        <v>52</v>
      </c>
    </row>
    <row r="514" spans="1:1" x14ac:dyDescent="0.25">
      <c r="A514" s="25" t="s">
        <v>52</v>
      </c>
    </row>
    <row r="515" spans="1:1" x14ac:dyDescent="0.25">
      <c r="A515" s="26" t="s">
        <v>52</v>
      </c>
    </row>
    <row r="516" spans="1:1" x14ac:dyDescent="0.25">
      <c r="A516" s="27" t="s">
        <v>52</v>
      </c>
    </row>
    <row r="517" spans="1:1" x14ac:dyDescent="0.25">
      <c r="A517" s="28" t="s">
        <v>52</v>
      </c>
    </row>
    <row r="518" spans="1:1" x14ac:dyDescent="0.25">
      <c r="A518" s="29" t="s">
        <v>52</v>
      </c>
    </row>
    <row r="519" spans="1:1" x14ac:dyDescent="0.25">
      <c r="A519" s="30" t="s">
        <v>544</v>
      </c>
    </row>
    <row r="520" spans="1:1" x14ac:dyDescent="0.25">
      <c r="A520" s="31" t="s">
        <v>52</v>
      </c>
    </row>
    <row r="521" spans="1:1" x14ac:dyDescent="0.25">
      <c r="A521" s="32" t="s">
        <v>52</v>
      </c>
    </row>
    <row r="522" spans="1:1" x14ac:dyDescent="0.25">
      <c r="A522" s="33" t="s">
        <v>52</v>
      </c>
    </row>
    <row r="523" spans="1:1" x14ac:dyDescent="0.25">
      <c r="A523" s="34" t="s">
        <v>52</v>
      </c>
    </row>
    <row r="524" spans="1:1" x14ac:dyDescent="0.25">
      <c r="A524" s="35" t="s">
        <v>52</v>
      </c>
    </row>
    <row r="525" spans="1:1" x14ac:dyDescent="0.25">
      <c r="A525" s="36" t="s">
        <v>52</v>
      </c>
    </row>
    <row r="526" spans="1:1" x14ac:dyDescent="0.25">
      <c r="A526" s="37" t="s">
        <v>52</v>
      </c>
    </row>
    <row r="527" spans="1:1" x14ac:dyDescent="0.25">
      <c r="A527" s="38" t="s">
        <v>52</v>
      </c>
    </row>
    <row r="528" spans="1:1" x14ac:dyDescent="0.25">
      <c r="A528" s="39" t="s">
        <v>52</v>
      </c>
    </row>
    <row r="529" spans="1:1" x14ac:dyDescent="0.25">
      <c r="A529" s="40" t="s">
        <v>52</v>
      </c>
    </row>
    <row r="530" spans="1:1" x14ac:dyDescent="0.25">
      <c r="A530" s="41" t="s">
        <v>52</v>
      </c>
    </row>
    <row r="531" spans="1:1" x14ac:dyDescent="0.25">
      <c r="A531" s="42" t="s">
        <v>52</v>
      </c>
    </row>
    <row r="532" spans="1:1" x14ac:dyDescent="0.25">
      <c r="A532" s="43" t="s">
        <v>52</v>
      </c>
    </row>
    <row r="533" spans="1:1" x14ac:dyDescent="0.25">
      <c r="A533" s="44" t="s">
        <v>545</v>
      </c>
    </row>
    <row r="534" spans="1:1" x14ac:dyDescent="0.25">
      <c r="A534" s="45" t="s">
        <v>52</v>
      </c>
    </row>
    <row r="535" spans="1:1" x14ac:dyDescent="0.25">
      <c r="A535" s="46" t="s">
        <v>52</v>
      </c>
    </row>
    <row r="536" spans="1:1" x14ac:dyDescent="0.25">
      <c r="A536" s="47" t="s">
        <v>52</v>
      </c>
    </row>
    <row r="537" spans="1:1" x14ac:dyDescent="0.25">
      <c r="A537" s="48" t="s">
        <v>52</v>
      </c>
    </row>
    <row r="538" spans="1:1" x14ac:dyDescent="0.25">
      <c r="A538" s="49" t="s">
        <v>52</v>
      </c>
    </row>
    <row r="539" spans="1:1" x14ac:dyDescent="0.25">
      <c r="A539" s="50" t="s">
        <v>52</v>
      </c>
    </row>
    <row r="540" spans="1:1" x14ac:dyDescent="0.25">
      <c r="A540" s="51" t="s">
        <v>52</v>
      </c>
    </row>
    <row r="541" spans="1:1" x14ac:dyDescent="0.25">
      <c r="A541" s="52" t="s">
        <v>52</v>
      </c>
    </row>
    <row r="542" spans="1:1" x14ac:dyDescent="0.25">
      <c r="A542" s="53" t="s">
        <v>52</v>
      </c>
    </row>
    <row r="543" spans="1:1" x14ac:dyDescent="0.25">
      <c r="A543" s="54" t="s">
        <v>52</v>
      </c>
    </row>
    <row r="544" spans="1:1" x14ac:dyDescent="0.25">
      <c r="A544" s="55" t="s">
        <v>52</v>
      </c>
    </row>
    <row r="545" spans="1:1" x14ac:dyDescent="0.25">
      <c r="A545" s="56" t="s">
        <v>52</v>
      </c>
    </row>
    <row r="546" spans="1:1" x14ac:dyDescent="0.25">
      <c r="A546" s="57" t="s">
        <v>52</v>
      </c>
    </row>
    <row r="547" spans="1:1" x14ac:dyDescent="0.25">
      <c r="A547" s="58" t="s">
        <v>52</v>
      </c>
    </row>
    <row r="548" spans="1:1" x14ac:dyDescent="0.25">
      <c r="A548" s="59" t="s">
        <v>52</v>
      </c>
    </row>
    <row r="549" spans="1:1" x14ac:dyDescent="0.25">
      <c r="A549" s="60" t="s">
        <v>52</v>
      </c>
    </row>
    <row r="550" spans="1:1" x14ac:dyDescent="0.25">
      <c r="A550" s="61" t="s">
        <v>52</v>
      </c>
    </row>
    <row r="551" spans="1:1" x14ac:dyDescent="0.25">
      <c r="A551" s="62" t="s">
        <v>52</v>
      </c>
    </row>
    <row r="552" spans="1:1" x14ac:dyDescent="0.25">
      <c r="A552" s="63" t="s">
        <v>52</v>
      </c>
    </row>
    <row r="553" spans="1:1" x14ac:dyDescent="0.25">
      <c r="A553" s="64" t="s">
        <v>52</v>
      </c>
    </row>
    <row r="554" spans="1:1" x14ac:dyDescent="0.25">
      <c r="A554" s="65" t="s">
        <v>52</v>
      </c>
    </row>
    <row r="555" spans="1:1" x14ac:dyDescent="0.25">
      <c r="A555" s="66" t="s">
        <v>52</v>
      </c>
    </row>
    <row r="556" spans="1:1" x14ac:dyDescent="0.25">
      <c r="A556" s="67" t="s">
        <v>52</v>
      </c>
    </row>
    <row r="557" spans="1:1" x14ac:dyDescent="0.25">
      <c r="A557" s="68" t="s">
        <v>52</v>
      </c>
    </row>
    <row r="558" spans="1:1" x14ac:dyDescent="0.25">
      <c r="A558" s="69" t="s">
        <v>52</v>
      </c>
    </row>
    <row r="559" spans="1:1" x14ac:dyDescent="0.25">
      <c r="A559" s="70" t="s">
        <v>52</v>
      </c>
    </row>
    <row r="560" spans="1:1" x14ac:dyDescent="0.25">
      <c r="A560" s="71" t="s">
        <v>52</v>
      </c>
    </row>
    <row r="561" spans="1:1" x14ac:dyDescent="0.25">
      <c r="A561" s="72" t="s">
        <v>52</v>
      </c>
    </row>
    <row r="562" spans="1:1" x14ac:dyDescent="0.25">
      <c r="A562" s="73" t="s">
        <v>52</v>
      </c>
    </row>
    <row r="563" spans="1:1" x14ac:dyDescent="0.25">
      <c r="A563" s="74" t="s">
        <v>52</v>
      </c>
    </row>
    <row r="564" spans="1:1" x14ac:dyDescent="0.25">
      <c r="A564" s="75" t="s">
        <v>52</v>
      </c>
    </row>
    <row r="565" spans="1:1" x14ac:dyDescent="0.25">
      <c r="A565" s="76" t="s">
        <v>52</v>
      </c>
    </row>
    <row r="566" spans="1:1" x14ac:dyDescent="0.25">
      <c r="A566" s="77" t="s">
        <v>52</v>
      </c>
    </row>
    <row r="567" spans="1:1" x14ac:dyDescent="0.25">
      <c r="A567" s="78" t="s">
        <v>52</v>
      </c>
    </row>
    <row r="568" spans="1:1" x14ac:dyDescent="0.25">
      <c r="A568" s="79" t="s">
        <v>52</v>
      </c>
    </row>
    <row r="569" spans="1:1" x14ac:dyDescent="0.25">
      <c r="A569" s="80" t="s">
        <v>52</v>
      </c>
    </row>
    <row r="570" spans="1:1" x14ac:dyDescent="0.25">
      <c r="A570" s="81" t="s">
        <v>52</v>
      </c>
    </row>
    <row r="571" spans="1:1" x14ac:dyDescent="0.25">
      <c r="A571" s="82" t="s">
        <v>52</v>
      </c>
    </row>
    <row r="572" spans="1:1" x14ac:dyDescent="0.25">
      <c r="A572" s="83" t="s">
        <v>52</v>
      </c>
    </row>
    <row r="573" spans="1:1" x14ac:dyDescent="0.25">
      <c r="A573" s="84" t="s">
        <v>52</v>
      </c>
    </row>
    <row r="574" spans="1:1" x14ac:dyDescent="0.25">
      <c r="A574" s="85" t="s">
        <v>52</v>
      </c>
    </row>
    <row r="575" spans="1:1" x14ac:dyDescent="0.25">
      <c r="A575" s="86" t="s">
        <v>52</v>
      </c>
    </row>
    <row r="576" spans="1:1" x14ac:dyDescent="0.25">
      <c r="A576" s="87" t="s">
        <v>52</v>
      </c>
    </row>
    <row r="577" spans="1:1" x14ac:dyDescent="0.25">
      <c r="A577" s="88" t="s">
        <v>52</v>
      </c>
    </row>
    <row r="578" spans="1:1" x14ac:dyDescent="0.25">
      <c r="A578" s="89" t="s">
        <v>52</v>
      </c>
    </row>
    <row r="579" spans="1:1" x14ac:dyDescent="0.25">
      <c r="A579" s="90" t="s">
        <v>52</v>
      </c>
    </row>
    <row r="580" spans="1:1" x14ac:dyDescent="0.25">
      <c r="A580" s="19" t="s">
        <v>546</v>
      </c>
    </row>
    <row r="581" spans="1:1" x14ac:dyDescent="0.25">
      <c r="A581" s="20" t="s">
        <v>52</v>
      </c>
    </row>
    <row r="582" spans="1:1" x14ac:dyDescent="0.25">
      <c r="A582" s="21" t="s">
        <v>52</v>
      </c>
    </row>
    <row r="583" spans="1:1" x14ac:dyDescent="0.25">
      <c r="A583" s="22" t="s">
        <v>52</v>
      </c>
    </row>
    <row r="584" spans="1:1" x14ac:dyDescent="0.25">
      <c r="A584" s="23" t="s">
        <v>52</v>
      </c>
    </row>
    <row r="585" spans="1:1" x14ac:dyDescent="0.25">
      <c r="A585" s="24" t="s">
        <v>52</v>
      </c>
    </row>
    <row r="586" spans="1:1" x14ac:dyDescent="0.25">
      <c r="A586" s="25" t="s">
        <v>52</v>
      </c>
    </row>
    <row r="587" spans="1:1" x14ac:dyDescent="0.25">
      <c r="A587" s="26" t="s">
        <v>52</v>
      </c>
    </row>
    <row r="588" spans="1:1" x14ac:dyDescent="0.25">
      <c r="A588" s="27" t="s">
        <v>52</v>
      </c>
    </row>
    <row r="589" spans="1:1" x14ac:dyDescent="0.25">
      <c r="A589" s="28" t="s">
        <v>52</v>
      </c>
    </row>
    <row r="590" spans="1:1" x14ac:dyDescent="0.25">
      <c r="A590" s="29" t="s">
        <v>52</v>
      </c>
    </row>
    <row r="591" spans="1:1" x14ac:dyDescent="0.25">
      <c r="A591" s="30" t="s">
        <v>547</v>
      </c>
    </row>
    <row r="592" spans="1:1" x14ac:dyDescent="0.25">
      <c r="A592" s="31" t="s">
        <v>52</v>
      </c>
    </row>
    <row r="593" spans="1:1" x14ac:dyDescent="0.25">
      <c r="A593" s="32" t="s">
        <v>52</v>
      </c>
    </row>
    <row r="594" spans="1:1" x14ac:dyDescent="0.25">
      <c r="A594" s="33" t="s">
        <v>52</v>
      </c>
    </row>
    <row r="595" spans="1:1" x14ac:dyDescent="0.25">
      <c r="A595" s="34" t="s">
        <v>52</v>
      </c>
    </row>
    <row r="596" spans="1:1" x14ac:dyDescent="0.25">
      <c r="A596" s="35" t="s">
        <v>52</v>
      </c>
    </row>
    <row r="597" spans="1:1" x14ac:dyDescent="0.25">
      <c r="A597" s="36" t="s">
        <v>52</v>
      </c>
    </row>
    <row r="598" spans="1:1" x14ac:dyDescent="0.25">
      <c r="A598" s="37" t="s">
        <v>52</v>
      </c>
    </row>
    <row r="599" spans="1:1" x14ac:dyDescent="0.25">
      <c r="A599" s="38" t="s">
        <v>52</v>
      </c>
    </row>
    <row r="600" spans="1:1" x14ac:dyDescent="0.25">
      <c r="A600" s="39" t="s">
        <v>52</v>
      </c>
    </row>
    <row r="601" spans="1:1" x14ac:dyDescent="0.25">
      <c r="A601" s="40" t="s">
        <v>52</v>
      </c>
    </row>
    <row r="602" spans="1:1" x14ac:dyDescent="0.25">
      <c r="A602" s="41" t="s">
        <v>52</v>
      </c>
    </row>
    <row r="603" spans="1:1" x14ac:dyDescent="0.25">
      <c r="A603" s="42" t="s">
        <v>52</v>
      </c>
    </row>
    <row r="604" spans="1:1" x14ac:dyDescent="0.25">
      <c r="A604" s="43" t="s">
        <v>52</v>
      </c>
    </row>
    <row r="605" spans="1:1" x14ac:dyDescent="0.25">
      <c r="A605" s="44" t="s">
        <v>548</v>
      </c>
    </row>
    <row r="606" spans="1:1" x14ac:dyDescent="0.25">
      <c r="A606" s="45" t="s">
        <v>52</v>
      </c>
    </row>
    <row r="607" spans="1:1" x14ac:dyDescent="0.25">
      <c r="A607" s="46" t="s">
        <v>52</v>
      </c>
    </row>
    <row r="608" spans="1:1" x14ac:dyDescent="0.25">
      <c r="A608" s="47" t="s">
        <v>52</v>
      </c>
    </row>
    <row r="609" spans="1:1" x14ac:dyDescent="0.25">
      <c r="A609" s="48" t="s">
        <v>52</v>
      </c>
    </row>
    <row r="610" spans="1:1" x14ac:dyDescent="0.25">
      <c r="A610" s="49" t="s">
        <v>52</v>
      </c>
    </row>
    <row r="611" spans="1:1" x14ac:dyDescent="0.25">
      <c r="A611" s="50" t="s">
        <v>52</v>
      </c>
    </row>
    <row r="612" spans="1:1" x14ac:dyDescent="0.25">
      <c r="A612" s="51" t="s">
        <v>52</v>
      </c>
    </row>
    <row r="613" spans="1:1" x14ac:dyDescent="0.25">
      <c r="A613" s="52" t="s">
        <v>52</v>
      </c>
    </row>
    <row r="614" spans="1:1" x14ac:dyDescent="0.25">
      <c r="A614" s="53" t="s">
        <v>52</v>
      </c>
    </row>
    <row r="615" spans="1:1" x14ac:dyDescent="0.25">
      <c r="A615" s="54" t="s">
        <v>52</v>
      </c>
    </row>
    <row r="616" spans="1:1" x14ac:dyDescent="0.25">
      <c r="A616" s="55" t="s">
        <v>52</v>
      </c>
    </row>
    <row r="617" spans="1:1" x14ac:dyDescent="0.25">
      <c r="A617" s="56" t="s">
        <v>52</v>
      </c>
    </row>
    <row r="618" spans="1:1" x14ac:dyDescent="0.25">
      <c r="A618" s="57" t="s">
        <v>52</v>
      </c>
    </row>
    <row r="619" spans="1:1" x14ac:dyDescent="0.25">
      <c r="A619" s="58" t="s">
        <v>52</v>
      </c>
    </row>
    <row r="620" spans="1:1" x14ac:dyDescent="0.25">
      <c r="A620" s="59" t="s">
        <v>52</v>
      </c>
    </row>
    <row r="621" spans="1:1" x14ac:dyDescent="0.25">
      <c r="A621" s="60" t="s">
        <v>52</v>
      </c>
    </row>
    <row r="622" spans="1:1" x14ac:dyDescent="0.25">
      <c r="A622" s="61" t="s">
        <v>52</v>
      </c>
    </row>
    <row r="623" spans="1:1" x14ac:dyDescent="0.25">
      <c r="A623" s="62" t="s">
        <v>52</v>
      </c>
    </row>
    <row r="624" spans="1:1" x14ac:dyDescent="0.25">
      <c r="A624" s="63" t="s">
        <v>52</v>
      </c>
    </row>
    <row r="625" spans="1:1" x14ac:dyDescent="0.25">
      <c r="A625" s="64" t="s">
        <v>52</v>
      </c>
    </row>
    <row r="626" spans="1:1" x14ac:dyDescent="0.25">
      <c r="A626" s="65" t="s">
        <v>52</v>
      </c>
    </row>
    <row r="627" spans="1:1" x14ac:dyDescent="0.25">
      <c r="A627" s="66" t="s">
        <v>52</v>
      </c>
    </row>
    <row r="628" spans="1:1" x14ac:dyDescent="0.25">
      <c r="A628" s="67" t="s">
        <v>52</v>
      </c>
    </row>
    <row r="629" spans="1:1" x14ac:dyDescent="0.25">
      <c r="A629" s="68" t="s">
        <v>52</v>
      </c>
    </row>
    <row r="630" spans="1:1" x14ac:dyDescent="0.25">
      <c r="A630" s="69" t="s">
        <v>52</v>
      </c>
    </row>
    <row r="631" spans="1:1" x14ac:dyDescent="0.25">
      <c r="A631" s="70" t="s">
        <v>52</v>
      </c>
    </row>
    <row r="632" spans="1:1" x14ac:dyDescent="0.25">
      <c r="A632" s="71" t="s">
        <v>52</v>
      </c>
    </row>
    <row r="633" spans="1:1" x14ac:dyDescent="0.25">
      <c r="A633" s="72" t="s">
        <v>52</v>
      </c>
    </row>
    <row r="634" spans="1:1" x14ac:dyDescent="0.25">
      <c r="A634" s="73" t="s">
        <v>52</v>
      </c>
    </row>
    <row r="635" spans="1:1" x14ac:dyDescent="0.25">
      <c r="A635" s="74" t="s">
        <v>52</v>
      </c>
    </row>
    <row r="636" spans="1:1" x14ac:dyDescent="0.25">
      <c r="A636" s="75" t="s">
        <v>52</v>
      </c>
    </row>
    <row r="637" spans="1:1" x14ac:dyDescent="0.25">
      <c r="A637" s="76" t="s">
        <v>52</v>
      </c>
    </row>
    <row r="638" spans="1:1" x14ac:dyDescent="0.25">
      <c r="A638" s="77" t="s">
        <v>52</v>
      </c>
    </row>
    <row r="639" spans="1:1" x14ac:dyDescent="0.25">
      <c r="A639" s="78" t="s">
        <v>52</v>
      </c>
    </row>
    <row r="640" spans="1:1" x14ac:dyDescent="0.25">
      <c r="A640" s="79" t="s">
        <v>52</v>
      </c>
    </row>
    <row r="641" spans="1:1" x14ac:dyDescent="0.25">
      <c r="A641" s="80" t="s">
        <v>52</v>
      </c>
    </row>
    <row r="642" spans="1:1" x14ac:dyDescent="0.25">
      <c r="A642" s="81" t="s">
        <v>52</v>
      </c>
    </row>
    <row r="643" spans="1:1" x14ac:dyDescent="0.25">
      <c r="A643" s="82" t="s">
        <v>52</v>
      </c>
    </row>
    <row r="644" spans="1:1" x14ac:dyDescent="0.25">
      <c r="A644" s="83" t="s">
        <v>52</v>
      </c>
    </row>
    <row r="645" spans="1:1" x14ac:dyDescent="0.25">
      <c r="A645" s="84" t="s">
        <v>52</v>
      </c>
    </row>
    <row r="646" spans="1:1" x14ac:dyDescent="0.25">
      <c r="A646" s="85" t="s">
        <v>52</v>
      </c>
    </row>
    <row r="647" spans="1:1" x14ac:dyDescent="0.25">
      <c r="A647" s="86" t="s">
        <v>52</v>
      </c>
    </row>
    <row r="648" spans="1:1" x14ac:dyDescent="0.25">
      <c r="A648" s="87" t="s">
        <v>52</v>
      </c>
    </row>
    <row r="649" spans="1:1" x14ac:dyDescent="0.25">
      <c r="A649" s="88" t="s">
        <v>52</v>
      </c>
    </row>
    <row r="650" spans="1:1" x14ac:dyDescent="0.25">
      <c r="A650" s="89" t="s">
        <v>52</v>
      </c>
    </row>
    <row r="651" spans="1:1" x14ac:dyDescent="0.25">
      <c r="A651" s="90" t="s">
        <v>52</v>
      </c>
    </row>
    <row r="652" spans="1:1" x14ac:dyDescent="0.25">
      <c r="A652" s="19" t="s">
        <v>549</v>
      </c>
    </row>
    <row r="653" spans="1:1" x14ac:dyDescent="0.25">
      <c r="A653" s="20" t="s">
        <v>52</v>
      </c>
    </row>
    <row r="654" spans="1:1" x14ac:dyDescent="0.25">
      <c r="A654" s="21" t="s">
        <v>52</v>
      </c>
    </row>
    <row r="655" spans="1:1" x14ac:dyDescent="0.25">
      <c r="A655" s="22" t="s">
        <v>52</v>
      </c>
    </row>
    <row r="656" spans="1:1" x14ac:dyDescent="0.25">
      <c r="A656" s="23" t="s">
        <v>52</v>
      </c>
    </row>
    <row r="657" spans="1:1" x14ac:dyDescent="0.25">
      <c r="A657" s="24" t="s">
        <v>52</v>
      </c>
    </row>
    <row r="658" spans="1:1" x14ac:dyDescent="0.25">
      <c r="A658" s="25" t="s">
        <v>52</v>
      </c>
    </row>
    <row r="659" spans="1:1" x14ac:dyDescent="0.25">
      <c r="A659" s="26" t="s">
        <v>52</v>
      </c>
    </row>
    <row r="660" spans="1:1" x14ac:dyDescent="0.25">
      <c r="A660" s="27" t="s">
        <v>52</v>
      </c>
    </row>
    <row r="661" spans="1:1" x14ac:dyDescent="0.25">
      <c r="A661" s="28" t="s">
        <v>52</v>
      </c>
    </row>
    <row r="662" spans="1:1" x14ac:dyDescent="0.25">
      <c r="A662" s="29" t="s">
        <v>52</v>
      </c>
    </row>
    <row r="663" spans="1:1" x14ac:dyDescent="0.25">
      <c r="A663" s="30" t="s">
        <v>550</v>
      </c>
    </row>
    <row r="664" spans="1:1" x14ac:dyDescent="0.25">
      <c r="A664" s="31" t="s">
        <v>52</v>
      </c>
    </row>
    <row r="665" spans="1:1" x14ac:dyDescent="0.25">
      <c r="A665" s="32" t="s">
        <v>52</v>
      </c>
    </row>
    <row r="666" spans="1:1" x14ac:dyDescent="0.25">
      <c r="A666" s="33" t="s">
        <v>52</v>
      </c>
    </row>
    <row r="667" spans="1:1" x14ac:dyDescent="0.25">
      <c r="A667" s="34" t="s">
        <v>52</v>
      </c>
    </row>
    <row r="668" spans="1:1" x14ac:dyDescent="0.25">
      <c r="A668" s="35" t="s">
        <v>52</v>
      </c>
    </row>
    <row r="669" spans="1:1" x14ac:dyDescent="0.25">
      <c r="A669" s="36" t="s">
        <v>52</v>
      </c>
    </row>
    <row r="670" spans="1:1" x14ac:dyDescent="0.25">
      <c r="A670" s="37" t="s">
        <v>551</v>
      </c>
    </row>
    <row r="671" spans="1:1" x14ac:dyDescent="0.25">
      <c r="A671" s="38" t="s">
        <v>52</v>
      </c>
    </row>
    <row r="672" spans="1:1" x14ac:dyDescent="0.25">
      <c r="A672" s="39" t="s">
        <v>52</v>
      </c>
    </row>
    <row r="673" spans="1:1" x14ac:dyDescent="0.25">
      <c r="A673" s="40" t="s">
        <v>52</v>
      </c>
    </row>
    <row r="674" spans="1:1" x14ac:dyDescent="0.25">
      <c r="A674" s="41" t="s">
        <v>52</v>
      </c>
    </row>
    <row r="675" spans="1:1" x14ac:dyDescent="0.25">
      <c r="A675" s="42" t="s">
        <v>52</v>
      </c>
    </row>
    <row r="676" spans="1:1" x14ac:dyDescent="0.25">
      <c r="A676" s="43" t="s">
        <v>52</v>
      </c>
    </row>
    <row r="677" spans="1:1" x14ac:dyDescent="0.25">
      <c r="A677" s="44" t="s">
        <v>552</v>
      </c>
    </row>
    <row r="678" spans="1:1" x14ac:dyDescent="0.25">
      <c r="A678" s="45" t="s">
        <v>52</v>
      </c>
    </row>
    <row r="679" spans="1:1" x14ac:dyDescent="0.25">
      <c r="A679" s="46" t="s">
        <v>52</v>
      </c>
    </row>
    <row r="680" spans="1:1" x14ac:dyDescent="0.25">
      <c r="A680" s="47" t="s">
        <v>52</v>
      </c>
    </row>
    <row r="681" spans="1:1" x14ac:dyDescent="0.25">
      <c r="A681" s="48" t="s">
        <v>52</v>
      </c>
    </row>
    <row r="682" spans="1:1" x14ac:dyDescent="0.25">
      <c r="A682" s="49" t="s">
        <v>52</v>
      </c>
    </row>
    <row r="683" spans="1:1" x14ac:dyDescent="0.25">
      <c r="A683" s="50" t="s">
        <v>52</v>
      </c>
    </row>
    <row r="684" spans="1:1" x14ac:dyDescent="0.25">
      <c r="A684" s="51" t="s">
        <v>52</v>
      </c>
    </row>
    <row r="685" spans="1:1" x14ac:dyDescent="0.25">
      <c r="A685" s="52" t="s">
        <v>52</v>
      </c>
    </row>
    <row r="686" spans="1:1" x14ac:dyDescent="0.25">
      <c r="A686" s="53" t="s">
        <v>52</v>
      </c>
    </row>
    <row r="687" spans="1:1" x14ac:dyDescent="0.25">
      <c r="A687" s="54" t="s">
        <v>52</v>
      </c>
    </row>
    <row r="688" spans="1:1" x14ac:dyDescent="0.25">
      <c r="A688" s="55" t="s">
        <v>52</v>
      </c>
    </row>
    <row r="689" spans="1:1" x14ac:dyDescent="0.25">
      <c r="A689" s="56" t="s">
        <v>52</v>
      </c>
    </row>
    <row r="690" spans="1:1" x14ac:dyDescent="0.25">
      <c r="A690" s="57" t="s">
        <v>52</v>
      </c>
    </row>
    <row r="691" spans="1:1" x14ac:dyDescent="0.25">
      <c r="A691" s="58" t="s">
        <v>52</v>
      </c>
    </row>
    <row r="692" spans="1:1" x14ac:dyDescent="0.25">
      <c r="A692" s="59" t="s">
        <v>52</v>
      </c>
    </row>
    <row r="693" spans="1:1" x14ac:dyDescent="0.25">
      <c r="A693" s="60" t="s">
        <v>52</v>
      </c>
    </row>
    <row r="694" spans="1:1" x14ac:dyDescent="0.25">
      <c r="A694" s="61" t="s">
        <v>52</v>
      </c>
    </row>
    <row r="695" spans="1:1" x14ac:dyDescent="0.25">
      <c r="A695" s="62" t="s">
        <v>52</v>
      </c>
    </row>
    <row r="696" spans="1:1" x14ac:dyDescent="0.25">
      <c r="A696" s="63" t="s">
        <v>52</v>
      </c>
    </row>
    <row r="697" spans="1:1" x14ac:dyDescent="0.25">
      <c r="A697" s="64" t="s">
        <v>52</v>
      </c>
    </row>
    <row r="698" spans="1:1" x14ac:dyDescent="0.25">
      <c r="A698" s="65" t="s">
        <v>52</v>
      </c>
    </row>
    <row r="699" spans="1:1" x14ac:dyDescent="0.25">
      <c r="A699" s="66" t="s">
        <v>52</v>
      </c>
    </row>
    <row r="700" spans="1:1" x14ac:dyDescent="0.25">
      <c r="A700" s="67" t="s">
        <v>52</v>
      </c>
    </row>
    <row r="701" spans="1:1" x14ac:dyDescent="0.25">
      <c r="A701" s="68" t="s">
        <v>52</v>
      </c>
    </row>
    <row r="702" spans="1:1" x14ac:dyDescent="0.25">
      <c r="A702" s="69" t="s">
        <v>52</v>
      </c>
    </row>
    <row r="703" spans="1:1" x14ac:dyDescent="0.25">
      <c r="A703" s="70" t="s">
        <v>52</v>
      </c>
    </row>
    <row r="704" spans="1:1" x14ac:dyDescent="0.25">
      <c r="A704" s="71" t="s">
        <v>52</v>
      </c>
    </row>
    <row r="705" spans="1:1" x14ac:dyDescent="0.25">
      <c r="A705" s="72" t="s">
        <v>52</v>
      </c>
    </row>
    <row r="706" spans="1:1" x14ac:dyDescent="0.25">
      <c r="A706" s="73" t="s">
        <v>52</v>
      </c>
    </row>
    <row r="707" spans="1:1" x14ac:dyDescent="0.25">
      <c r="A707" s="74" t="s">
        <v>52</v>
      </c>
    </row>
    <row r="708" spans="1:1" x14ac:dyDescent="0.25">
      <c r="A708" s="75" t="s">
        <v>52</v>
      </c>
    </row>
    <row r="709" spans="1:1" x14ac:dyDescent="0.25">
      <c r="A709" s="76" t="s">
        <v>52</v>
      </c>
    </row>
    <row r="710" spans="1:1" x14ac:dyDescent="0.25">
      <c r="A710" s="77" t="s">
        <v>52</v>
      </c>
    </row>
    <row r="711" spans="1:1" x14ac:dyDescent="0.25">
      <c r="A711" s="78" t="s">
        <v>52</v>
      </c>
    </row>
    <row r="712" spans="1:1" x14ac:dyDescent="0.25">
      <c r="A712" s="79" t="s">
        <v>52</v>
      </c>
    </row>
    <row r="713" spans="1:1" x14ac:dyDescent="0.25">
      <c r="A713" s="80" t="s">
        <v>52</v>
      </c>
    </row>
    <row r="714" spans="1:1" x14ac:dyDescent="0.25">
      <c r="A714" s="81" t="s">
        <v>52</v>
      </c>
    </row>
    <row r="715" spans="1:1" x14ac:dyDescent="0.25">
      <c r="A715" s="82" t="s">
        <v>52</v>
      </c>
    </row>
    <row r="716" spans="1:1" x14ac:dyDescent="0.25">
      <c r="A716" s="83" t="s">
        <v>52</v>
      </c>
    </row>
    <row r="717" spans="1:1" x14ac:dyDescent="0.25">
      <c r="A717" s="84" t="s">
        <v>52</v>
      </c>
    </row>
    <row r="718" spans="1:1" x14ac:dyDescent="0.25">
      <c r="A718" s="85" t="s">
        <v>52</v>
      </c>
    </row>
    <row r="719" spans="1:1" x14ac:dyDescent="0.25">
      <c r="A719" s="86" t="s">
        <v>52</v>
      </c>
    </row>
    <row r="720" spans="1:1" x14ac:dyDescent="0.25">
      <c r="A720" s="87" t="s">
        <v>52</v>
      </c>
    </row>
    <row r="721" spans="1:1" x14ac:dyDescent="0.25">
      <c r="A721" s="88" t="s">
        <v>52</v>
      </c>
    </row>
    <row r="722" spans="1:1" x14ac:dyDescent="0.25">
      <c r="A722" s="89" t="s">
        <v>52</v>
      </c>
    </row>
    <row r="723" spans="1:1" x14ac:dyDescent="0.25">
      <c r="A723" s="90" t="s">
        <v>52</v>
      </c>
    </row>
    <row r="724" spans="1:1" x14ac:dyDescent="0.25">
      <c r="A724" s="19" t="s">
        <v>553</v>
      </c>
    </row>
    <row r="725" spans="1:1" x14ac:dyDescent="0.25">
      <c r="A725" s="20" t="s">
        <v>52</v>
      </c>
    </row>
    <row r="726" spans="1:1" x14ac:dyDescent="0.25">
      <c r="A726" s="21" t="s">
        <v>52</v>
      </c>
    </row>
    <row r="727" spans="1:1" x14ac:dyDescent="0.25">
      <c r="A727" s="22" t="s">
        <v>52</v>
      </c>
    </row>
    <row r="728" spans="1:1" x14ac:dyDescent="0.25">
      <c r="A728" s="23" t="s">
        <v>52</v>
      </c>
    </row>
    <row r="729" spans="1:1" x14ac:dyDescent="0.25">
      <c r="A729" s="24" t="s">
        <v>52</v>
      </c>
    </row>
    <row r="730" spans="1:1" x14ac:dyDescent="0.25">
      <c r="A730" s="25" t="s">
        <v>52</v>
      </c>
    </row>
    <row r="731" spans="1:1" x14ac:dyDescent="0.25">
      <c r="A731" s="26" t="s">
        <v>52</v>
      </c>
    </row>
    <row r="732" spans="1:1" x14ac:dyDescent="0.25">
      <c r="A732" s="27" t="s">
        <v>52</v>
      </c>
    </row>
    <row r="733" spans="1:1" x14ac:dyDescent="0.25">
      <c r="A733" s="28" t="s">
        <v>52</v>
      </c>
    </row>
    <row r="734" spans="1:1" x14ac:dyDescent="0.25">
      <c r="A734" s="29" t="s">
        <v>554</v>
      </c>
    </row>
    <row r="735" spans="1:1" x14ac:dyDescent="0.25">
      <c r="A735" s="30" t="s">
        <v>52</v>
      </c>
    </row>
    <row r="736" spans="1:1" x14ac:dyDescent="0.25">
      <c r="A736" s="31" t="s">
        <v>52</v>
      </c>
    </row>
    <row r="737" spans="1:1" x14ac:dyDescent="0.25">
      <c r="A737" s="32" t="s">
        <v>52</v>
      </c>
    </row>
    <row r="738" spans="1:1" x14ac:dyDescent="0.25">
      <c r="A738" s="33" t="s">
        <v>52</v>
      </c>
    </row>
    <row r="739" spans="1:1" x14ac:dyDescent="0.25">
      <c r="A739" s="34" t="s">
        <v>52</v>
      </c>
    </row>
    <row r="740" spans="1:1" x14ac:dyDescent="0.25">
      <c r="A740" s="35" t="s">
        <v>52</v>
      </c>
    </row>
    <row r="741" spans="1:1" x14ac:dyDescent="0.25">
      <c r="A741" s="36" t="s">
        <v>52</v>
      </c>
    </row>
    <row r="742" spans="1:1" x14ac:dyDescent="0.25">
      <c r="A742" s="37" t="s">
        <v>52</v>
      </c>
    </row>
    <row r="743" spans="1:1" x14ac:dyDescent="0.25">
      <c r="A743" s="38" t="s">
        <v>52</v>
      </c>
    </row>
    <row r="744" spans="1:1" x14ac:dyDescent="0.25">
      <c r="A744" s="39" t="s">
        <v>52</v>
      </c>
    </row>
    <row r="745" spans="1:1" x14ac:dyDescent="0.25">
      <c r="A745" s="40" t="s">
        <v>52</v>
      </c>
    </row>
    <row r="746" spans="1:1" x14ac:dyDescent="0.25">
      <c r="A746" s="41" t="s">
        <v>52</v>
      </c>
    </row>
    <row r="747" spans="1:1" x14ac:dyDescent="0.25">
      <c r="A747" s="42" t="s">
        <v>52</v>
      </c>
    </row>
    <row r="748" spans="1:1" x14ac:dyDescent="0.25">
      <c r="A748" s="43" t="s">
        <v>52</v>
      </c>
    </row>
    <row r="749" spans="1:1" x14ac:dyDescent="0.25">
      <c r="A749" s="44" t="s">
        <v>52</v>
      </c>
    </row>
    <row r="750" spans="1:1" x14ac:dyDescent="0.25">
      <c r="A750" s="45" t="s">
        <v>52</v>
      </c>
    </row>
    <row r="751" spans="1:1" x14ac:dyDescent="0.25">
      <c r="A751" s="46" t="s">
        <v>52</v>
      </c>
    </row>
    <row r="752" spans="1:1" x14ac:dyDescent="0.25">
      <c r="A752" s="47" t="s">
        <v>52</v>
      </c>
    </row>
    <row r="753" spans="1:1" x14ac:dyDescent="0.25">
      <c r="A753" s="48" t="s">
        <v>52</v>
      </c>
    </row>
    <row r="754" spans="1:1" x14ac:dyDescent="0.25">
      <c r="A754" s="49" t="s">
        <v>52</v>
      </c>
    </row>
    <row r="755" spans="1:1" x14ac:dyDescent="0.25">
      <c r="A755" s="50" t="s">
        <v>52</v>
      </c>
    </row>
    <row r="756" spans="1:1" x14ac:dyDescent="0.25">
      <c r="A756" s="51" t="s">
        <v>52</v>
      </c>
    </row>
    <row r="757" spans="1:1" x14ac:dyDescent="0.25">
      <c r="A757" s="52" t="s">
        <v>52</v>
      </c>
    </row>
    <row r="758" spans="1:1" x14ac:dyDescent="0.25">
      <c r="A758" s="53" t="s">
        <v>52</v>
      </c>
    </row>
    <row r="759" spans="1:1" x14ac:dyDescent="0.25">
      <c r="A759" s="54" t="s">
        <v>52</v>
      </c>
    </row>
    <row r="760" spans="1:1" x14ac:dyDescent="0.25">
      <c r="A760" s="55" t="s">
        <v>52</v>
      </c>
    </row>
    <row r="761" spans="1:1" x14ac:dyDescent="0.25">
      <c r="A761" s="56" t="s">
        <v>52</v>
      </c>
    </row>
    <row r="762" spans="1:1" x14ac:dyDescent="0.25">
      <c r="A762" s="57" t="s">
        <v>52</v>
      </c>
    </row>
    <row r="763" spans="1:1" x14ac:dyDescent="0.25">
      <c r="A763" s="58" t="s">
        <v>52</v>
      </c>
    </row>
    <row r="764" spans="1:1" x14ac:dyDescent="0.25">
      <c r="A764" s="59" t="s">
        <v>52</v>
      </c>
    </row>
    <row r="765" spans="1:1" x14ac:dyDescent="0.25">
      <c r="A765" s="60" t="s">
        <v>52</v>
      </c>
    </row>
    <row r="766" spans="1:1" x14ac:dyDescent="0.25">
      <c r="A766" s="61" t="s">
        <v>52</v>
      </c>
    </row>
    <row r="767" spans="1:1" x14ac:dyDescent="0.25">
      <c r="A767" s="62" t="s">
        <v>52</v>
      </c>
    </row>
    <row r="768" spans="1:1" x14ac:dyDescent="0.25">
      <c r="A768" s="63" t="s">
        <v>52</v>
      </c>
    </row>
    <row r="769" spans="1:1" x14ac:dyDescent="0.25">
      <c r="A769" s="64" t="s">
        <v>52</v>
      </c>
    </row>
    <row r="770" spans="1:1" x14ac:dyDescent="0.25">
      <c r="A770" s="65" t="s">
        <v>52</v>
      </c>
    </row>
    <row r="771" spans="1:1" x14ac:dyDescent="0.25">
      <c r="A771" s="66" t="s">
        <v>52</v>
      </c>
    </row>
    <row r="772" spans="1:1" x14ac:dyDescent="0.25">
      <c r="A772" s="67" t="s">
        <v>52</v>
      </c>
    </row>
    <row r="773" spans="1:1" x14ac:dyDescent="0.25">
      <c r="A773" s="68" t="s">
        <v>52</v>
      </c>
    </row>
    <row r="774" spans="1:1" x14ac:dyDescent="0.25">
      <c r="A774" s="69" t="s">
        <v>52</v>
      </c>
    </row>
    <row r="775" spans="1:1" x14ac:dyDescent="0.25">
      <c r="A775" s="70" t="s">
        <v>52</v>
      </c>
    </row>
    <row r="776" spans="1:1" x14ac:dyDescent="0.25">
      <c r="A776" s="71" t="s">
        <v>52</v>
      </c>
    </row>
    <row r="777" spans="1:1" x14ac:dyDescent="0.25">
      <c r="A777" s="72" t="s">
        <v>52</v>
      </c>
    </row>
    <row r="778" spans="1:1" x14ac:dyDescent="0.25">
      <c r="A778" s="73" t="s">
        <v>52</v>
      </c>
    </row>
    <row r="779" spans="1:1" x14ac:dyDescent="0.25">
      <c r="A779" s="74" t="s">
        <v>52</v>
      </c>
    </row>
    <row r="780" spans="1:1" x14ac:dyDescent="0.25">
      <c r="A780" s="75" t="s">
        <v>52</v>
      </c>
    </row>
    <row r="781" spans="1:1" x14ac:dyDescent="0.25">
      <c r="A781" s="76" t="s">
        <v>555</v>
      </c>
    </row>
    <row r="782" spans="1:1" x14ac:dyDescent="0.25">
      <c r="A782" s="77" t="s">
        <v>52</v>
      </c>
    </row>
    <row r="783" spans="1:1" x14ac:dyDescent="0.25">
      <c r="A783" s="78" t="s">
        <v>52</v>
      </c>
    </row>
    <row r="784" spans="1:1" x14ac:dyDescent="0.25">
      <c r="A784" s="79" t="s">
        <v>52</v>
      </c>
    </row>
    <row r="785" spans="1:1" x14ac:dyDescent="0.25">
      <c r="A785" s="80" t="s">
        <v>52</v>
      </c>
    </row>
    <row r="786" spans="1:1" x14ac:dyDescent="0.25">
      <c r="A786" s="81" t="s">
        <v>52</v>
      </c>
    </row>
    <row r="787" spans="1:1" x14ac:dyDescent="0.25">
      <c r="A787" s="82" t="s">
        <v>52</v>
      </c>
    </row>
    <row r="788" spans="1:1" x14ac:dyDescent="0.25">
      <c r="A788" s="83" t="s">
        <v>52</v>
      </c>
    </row>
    <row r="789" spans="1:1" x14ac:dyDescent="0.25">
      <c r="A789" s="84" t="s">
        <v>52</v>
      </c>
    </row>
    <row r="790" spans="1:1" x14ac:dyDescent="0.25">
      <c r="A790" s="85" t="s">
        <v>52</v>
      </c>
    </row>
    <row r="791" spans="1:1" x14ac:dyDescent="0.25">
      <c r="A791" s="86" t="s">
        <v>52</v>
      </c>
    </row>
    <row r="792" spans="1:1" x14ac:dyDescent="0.25">
      <c r="A792" s="87" t="s">
        <v>52</v>
      </c>
    </row>
    <row r="793" spans="1:1" x14ac:dyDescent="0.25">
      <c r="A793" s="88" t="s">
        <v>52</v>
      </c>
    </row>
    <row r="794" spans="1:1" x14ac:dyDescent="0.25">
      <c r="A794" s="89" t="s">
        <v>52</v>
      </c>
    </row>
    <row r="795" spans="1:1" x14ac:dyDescent="0.25">
      <c r="A795" s="90" t="s">
        <v>52</v>
      </c>
    </row>
    <row r="796" spans="1:1" x14ac:dyDescent="0.25">
      <c r="A796" s="19" t="s">
        <v>556</v>
      </c>
    </row>
    <row r="797" spans="1:1" x14ac:dyDescent="0.25">
      <c r="A797" s="20" t="s">
        <v>52</v>
      </c>
    </row>
    <row r="798" spans="1:1" x14ac:dyDescent="0.25">
      <c r="A798" s="21" t="s">
        <v>52</v>
      </c>
    </row>
    <row r="799" spans="1:1" x14ac:dyDescent="0.25">
      <c r="A799" s="22" t="s">
        <v>52</v>
      </c>
    </row>
    <row r="800" spans="1:1" x14ac:dyDescent="0.25">
      <c r="A800" s="23" t="s">
        <v>52</v>
      </c>
    </row>
    <row r="801" spans="1:1" x14ac:dyDescent="0.25">
      <c r="A801" s="24" t="s">
        <v>52</v>
      </c>
    </row>
    <row r="802" spans="1:1" x14ac:dyDescent="0.25">
      <c r="A802" s="25" t="s">
        <v>52</v>
      </c>
    </row>
    <row r="803" spans="1:1" x14ac:dyDescent="0.25">
      <c r="A803" s="26" t="s">
        <v>557</v>
      </c>
    </row>
    <row r="804" spans="1:1" x14ac:dyDescent="0.25">
      <c r="A804" s="27" t="s">
        <v>558</v>
      </c>
    </row>
    <row r="805" spans="1:1" x14ac:dyDescent="0.25">
      <c r="A805" s="28" t="s">
        <v>52</v>
      </c>
    </row>
    <row r="806" spans="1:1" x14ac:dyDescent="0.25">
      <c r="A806" s="29" t="s">
        <v>52</v>
      </c>
    </row>
    <row r="807" spans="1:1" x14ac:dyDescent="0.25">
      <c r="A807" s="30" t="s">
        <v>52</v>
      </c>
    </row>
    <row r="808" spans="1:1" x14ac:dyDescent="0.25">
      <c r="A808" s="31" t="s">
        <v>52</v>
      </c>
    </row>
    <row r="809" spans="1:1" x14ac:dyDescent="0.25">
      <c r="A809" s="32" t="s">
        <v>52</v>
      </c>
    </row>
    <row r="810" spans="1:1" x14ac:dyDescent="0.25">
      <c r="A810" s="33" t="s">
        <v>52</v>
      </c>
    </row>
    <row r="811" spans="1:1" x14ac:dyDescent="0.25">
      <c r="A811" s="34" t="s">
        <v>52</v>
      </c>
    </row>
    <row r="812" spans="1:1" x14ac:dyDescent="0.25">
      <c r="A812" s="35" t="s">
        <v>52</v>
      </c>
    </row>
    <row r="813" spans="1:1" x14ac:dyDescent="0.25">
      <c r="A813" s="36" t="s">
        <v>52</v>
      </c>
    </row>
    <row r="814" spans="1:1" x14ac:dyDescent="0.25">
      <c r="A814" s="37" t="s">
        <v>52</v>
      </c>
    </row>
    <row r="815" spans="1:1" x14ac:dyDescent="0.25">
      <c r="A815" s="38" t="s">
        <v>52</v>
      </c>
    </row>
    <row r="816" spans="1:1" x14ac:dyDescent="0.25">
      <c r="A816" s="39" t="s">
        <v>52</v>
      </c>
    </row>
    <row r="817" spans="1:1" x14ac:dyDescent="0.25">
      <c r="A817" s="40" t="s">
        <v>52</v>
      </c>
    </row>
    <row r="818" spans="1:1" x14ac:dyDescent="0.25">
      <c r="A818" s="41" t="s">
        <v>52</v>
      </c>
    </row>
    <row r="819" spans="1:1" x14ac:dyDescent="0.25">
      <c r="A819" s="42" t="s">
        <v>52</v>
      </c>
    </row>
    <row r="820" spans="1:1" x14ac:dyDescent="0.25">
      <c r="A820" s="43" t="s">
        <v>52</v>
      </c>
    </row>
    <row r="821" spans="1:1" x14ac:dyDescent="0.25">
      <c r="A821" s="44" t="s">
        <v>52</v>
      </c>
    </row>
    <row r="822" spans="1:1" x14ac:dyDescent="0.25">
      <c r="A822" s="45" t="s">
        <v>52</v>
      </c>
    </row>
    <row r="823" spans="1:1" x14ac:dyDescent="0.25">
      <c r="A823" s="46" t="s">
        <v>52</v>
      </c>
    </row>
    <row r="824" spans="1:1" x14ac:dyDescent="0.25">
      <c r="A824" s="47" t="s">
        <v>52</v>
      </c>
    </row>
    <row r="825" spans="1:1" x14ac:dyDescent="0.25">
      <c r="A825" s="48" t="s">
        <v>559</v>
      </c>
    </row>
    <row r="826" spans="1:1" x14ac:dyDescent="0.25">
      <c r="A826" s="49" t="s">
        <v>52</v>
      </c>
    </row>
    <row r="827" spans="1:1" x14ac:dyDescent="0.25">
      <c r="A827" s="50" t="s">
        <v>52</v>
      </c>
    </row>
    <row r="828" spans="1:1" x14ac:dyDescent="0.25">
      <c r="A828" s="51" t="s">
        <v>52</v>
      </c>
    </row>
    <row r="829" spans="1:1" x14ac:dyDescent="0.25">
      <c r="A829" s="52" t="s">
        <v>52</v>
      </c>
    </row>
    <row r="830" spans="1:1" x14ac:dyDescent="0.25">
      <c r="A830" s="53" t="s">
        <v>52</v>
      </c>
    </row>
    <row r="831" spans="1:1" x14ac:dyDescent="0.25">
      <c r="A831" s="54" t="s">
        <v>52</v>
      </c>
    </row>
    <row r="832" spans="1:1" x14ac:dyDescent="0.25">
      <c r="A832" s="55" t="s">
        <v>52</v>
      </c>
    </row>
    <row r="833" spans="1:1" x14ac:dyDescent="0.25">
      <c r="A833" s="56" t="s">
        <v>52</v>
      </c>
    </row>
    <row r="834" spans="1:1" x14ac:dyDescent="0.25">
      <c r="A834" s="57" t="s">
        <v>52</v>
      </c>
    </row>
    <row r="835" spans="1:1" x14ac:dyDescent="0.25">
      <c r="A835" s="58" t="s">
        <v>52</v>
      </c>
    </row>
    <row r="836" spans="1:1" x14ac:dyDescent="0.25">
      <c r="A836" s="59" t="s">
        <v>52</v>
      </c>
    </row>
    <row r="837" spans="1:1" x14ac:dyDescent="0.25">
      <c r="A837" s="60" t="s">
        <v>52</v>
      </c>
    </row>
    <row r="838" spans="1:1" x14ac:dyDescent="0.25">
      <c r="A838" s="61" t="s">
        <v>52</v>
      </c>
    </row>
    <row r="839" spans="1:1" x14ac:dyDescent="0.25">
      <c r="A839" s="62" t="s">
        <v>52</v>
      </c>
    </row>
    <row r="840" spans="1:1" x14ac:dyDescent="0.25">
      <c r="A840" s="63" t="s">
        <v>52</v>
      </c>
    </row>
    <row r="841" spans="1:1" x14ac:dyDescent="0.25">
      <c r="A841" s="64" t="s">
        <v>52</v>
      </c>
    </row>
    <row r="842" spans="1:1" x14ac:dyDescent="0.25">
      <c r="A842" s="65" t="s">
        <v>52</v>
      </c>
    </row>
    <row r="843" spans="1:1" x14ac:dyDescent="0.25">
      <c r="A843" s="66" t="s">
        <v>52</v>
      </c>
    </row>
    <row r="844" spans="1:1" x14ac:dyDescent="0.25">
      <c r="A844" s="67" t="s">
        <v>52</v>
      </c>
    </row>
    <row r="845" spans="1:1" x14ac:dyDescent="0.25">
      <c r="A845" s="68" t="s">
        <v>52</v>
      </c>
    </row>
    <row r="846" spans="1:1" x14ac:dyDescent="0.25">
      <c r="A846" s="69" t="s">
        <v>52</v>
      </c>
    </row>
    <row r="847" spans="1:1" x14ac:dyDescent="0.25">
      <c r="A847" s="70" t="s">
        <v>52</v>
      </c>
    </row>
    <row r="848" spans="1:1" x14ac:dyDescent="0.25">
      <c r="A848" s="71" t="s">
        <v>52</v>
      </c>
    </row>
    <row r="849" spans="1:1" x14ac:dyDescent="0.25">
      <c r="A849" s="72" t="s">
        <v>52</v>
      </c>
    </row>
    <row r="850" spans="1:1" x14ac:dyDescent="0.25">
      <c r="A850" s="73" t="s">
        <v>52</v>
      </c>
    </row>
    <row r="851" spans="1:1" x14ac:dyDescent="0.25">
      <c r="A851" s="74" t="s">
        <v>52</v>
      </c>
    </row>
    <row r="852" spans="1:1" x14ac:dyDescent="0.25">
      <c r="A852" s="75" t="s">
        <v>52</v>
      </c>
    </row>
    <row r="853" spans="1:1" x14ac:dyDescent="0.25">
      <c r="A853" s="76" t="s">
        <v>52</v>
      </c>
    </row>
    <row r="854" spans="1:1" x14ac:dyDescent="0.25">
      <c r="A854" s="77" t="s">
        <v>52</v>
      </c>
    </row>
    <row r="855" spans="1:1" x14ac:dyDescent="0.25">
      <c r="A855" s="78" t="s">
        <v>52</v>
      </c>
    </row>
    <row r="856" spans="1:1" x14ac:dyDescent="0.25">
      <c r="A856" s="79" t="s">
        <v>52</v>
      </c>
    </row>
    <row r="857" spans="1:1" x14ac:dyDescent="0.25">
      <c r="A857" s="80" t="s">
        <v>52</v>
      </c>
    </row>
    <row r="858" spans="1:1" x14ac:dyDescent="0.25">
      <c r="A858" s="81" t="s">
        <v>52</v>
      </c>
    </row>
    <row r="859" spans="1:1" x14ac:dyDescent="0.25">
      <c r="A859" s="82" t="s">
        <v>52</v>
      </c>
    </row>
    <row r="860" spans="1:1" x14ac:dyDescent="0.25">
      <c r="A860" s="83" t="s">
        <v>52</v>
      </c>
    </row>
    <row r="861" spans="1:1" x14ac:dyDescent="0.25">
      <c r="A861" s="84" t="s">
        <v>52</v>
      </c>
    </row>
    <row r="862" spans="1:1" x14ac:dyDescent="0.25">
      <c r="A862" s="85" t="s">
        <v>52</v>
      </c>
    </row>
    <row r="863" spans="1:1" x14ac:dyDescent="0.25">
      <c r="A863" s="86" t="s">
        <v>52</v>
      </c>
    </row>
    <row r="864" spans="1:1" x14ac:dyDescent="0.25">
      <c r="A864" s="87" t="s">
        <v>52</v>
      </c>
    </row>
    <row r="865" spans="1:1" x14ac:dyDescent="0.25">
      <c r="A865" s="88" t="s">
        <v>52</v>
      </c>
    </row>
    <row r="866" spans="1:1" x14ac:dyDescent="0.25">
      <c r="A866" s="89" t="s">
        <v>52</v>
      </c>
    </row>
    <row r="867" spans="1:1" x14ac:dyDescent="0.25">
      <c r="A867" s="90" t="s">
        <v>52</v>
      </c>
    </row>
    <row r="868" spans="1:1" x14ac:dyDescent="0.25">
      <c r="A868" s="19" t="s">
        <v>754</v>
      </c>
    </row>
    <row r="869" spans="1:1" x14ac:dyDescent="0.25">
      <c r="A869" s="20" t="s">
        <v>52</v>
      </c>
    </row>
    <row r="870" spans="1:1" x14ac:dyDescent="0.25">
      <c r="A870" s="21" t="s">
        <v>52</v>
      </c>
    </row>
    <row r="871" spans="1:1" x14ac:dyDescent="0.25">
      <c r="A871" s="22" t="s">
        <v>52</v>
      </c>
    </row>
    <row r="872" spans="1:1" x14ac:dyDescent="0.25">
      <c r="A872" s="23" t="s">
        <v>52</v>
      </c>
    </row>
    <row r="873" spans="1:1" x14ac:dyDescent="0.25">
      <c r="A873" s="24" t="s">
        <v>52</v>
      </c>
    </row>
    <row r="874" spans="1:1" x14ac:dyDescent="0.25">
      <c r="A874" s="25" t="s">
        <v>52</v>
      </c>
    </row>
    <row r="875" spans="1:1" x14ac:dyDescent="0.25">
      <c r="A875" s="26" t="s">
        <v>52</v>
      </c>
    </row>
    <row r="876" spans="1:1" x14ac:dyDescent="0.25">
      <c r="A876" s="27" t="s">
        <v>52</v>
      </c>
    </row>
    <row r="877" spans="1:1" x14ac:dyDescent="0.25">
      <c r="A877" s="28" t="s">
        <v>52</v>
      </c>
    </row>
    <row r="878" spans="1:1" x14ac:dyDescent="0.25">
      <c r="A878" s="29" t="s">
        <v>52</v>
      </c>
    </row>
    <row r="879" spans="1:1" x14ac:dyDescent="0.25">
      <c r="A879" s="30" t="s">
        <v>755</v>
      </c>
    </row>
    <row r="880" spans="1:1" x14ac:dyDescent="0.25">
      <c r="A880" s="31" t="s">
        <v>52</v>
      </c>
    </row>
    <row r="881" spans="1:1" x14ac:dyDescent="0.25">
      <c r="A881" s="32" t="s">
        <v>52</v>
      </c>
    </row>
    <row r="882" spans="1:1" x14ac:dyDescent="0.25">
      <c r="A882" s="33" t="s">
        <v>52</v>
      </c>
    </row>
    <row r="883" spans="1:1" x14ac:dyDescent="0.25">
      <c r="A883" s="34" t="s">
        <v>52</v>
      </c>
    </row>
    <row r="884" spans="1:1" x14ac:dyDescent="0.25">
      <c r="A884" s="35" t="s">
        <v>52</v>
      </c>
    </row>
    <row r="885" spans="1:1" x14ac:dyDescent="0.25">
      <c r="A885" s="36" t="s">
        <v>52</v>
      </c>
    </row>
    <row r="886" spans="1:1" x14ac:dyDescent="0.25">
      <c r="A886" s="37" t="s">
        <v>52</v>
      </c>
    </row>
    <row r="887" spans="1:1" x14ac:dyDescent="0.25">
      <c r="A887" s="38" t="s">
        <v>52</v>
      </c>
    </row>
    <row r="888" spans="1:1" x14ac:dyDescent="0.25">
      <c r="A888" s="39" t="s">
        <v>52</v>
      </c>
    </row>
    <row r="889" spans="1:1" x14ac:dyDescent="0.25">
      <c r="A889" s="40" t="s">
        <v>52</v>
      </c>
    </row>
    <row r="890" spans="1:1" x14ac:dyDescent="0.25">
      <c r="A890" s="41" t="s">
        <v>52</v>
      </c>
    </row>
    <row r="891" spans="1:1" x14ac:dyDescent="0.25">
      <c r="A891" s="42" t="s">
        <v>52</v>
      </c>
    </row>
    <row r="892" spans="1:1" x14ac:dyDescent="0.25">
      <c r="A892" s="43" t="s">
        <v>52</v>
      </c>
    </row>
    <row r="893" spans="1:1" x14ac:dyDescent="0.25">
      <c r="A893" s="44" t="s">
        <v>756</v>
      </c>
    </row>
    <row r="894" spans="1:1" x14ac:dyDescent="0.25">
      <c r="A894" s="45" t="s">
        <v>52</v>
      </c>
    </row>
    <row r="895" spans="1:1" x14ac:dyDescent="0.25">
      <c r="A895" s="46" t="s">
        <v>52</v>
      </c>
    </row>
    <row r="896" spans="1:1" x14ac:dyDescent="0.25">
      <c r="A896" s="47" t="s">
        <v>52</v>
      </c>
    </row>
    <row r="897" spans="1:1" x14ac:dyDescent="0.25">
      <c r="A897" s="48" t="s">
        <v>52</v>
      </c>
    </row>
    <row r="898" spans="1:1" x14ac:dyDescent="0.25">
      <c r="A898" s="49" t="s">
        <v>52</v>
      </c>
    </row>
    <row r="899" spans="1:1" x14ac:dyDescent="0.25">
      <c r="A899" s="50" t="s">
        <v>52</v>
      </c>
    </row>
    <row r="900" spans="1:1" x14ac:dyDescent="0.25">
      <c r="A900" s="51" t="s">
        <v>52</v>
      </c>
    </row>
    <row r="901" spans="1:1" x14ac:dyDescent="0.25">
      <c r="A901" s="52" t="s">
        <v>52</v>
      </c>
    </row>
    <row r="902" spans="1:1" x14ac:dyDescent="0.25">
      <c r="A902" s="53" t="s">
        <v>52</v>
      </c>
    </row>
    <row r="903" spans="1:1" x14ac:dyDescent="0.25">
      <c r="A903" s="54" t="s">
        <v>52</v>
      </c>
    </row>
    <row r="904" spans="1:1" x14ac:dyDescent="0.25">
      <c r="A904" s="55" t="s">
        <v>52</v>
      </c>
    </row>
    <row r="905" spans="1:1" x14ac:dyDescent="0.25">
      <c r="A905" s="56" t="s">
        <v>52</v>
      </c>
    </row>
    <row r="906" spans="1:1" x14ac:dyDescent="0.25">
      <c r="A906" s="57" t="s">
        <v>52</v>
      </c>
    </row>
    <row r="907" spans="1:1" x14ac:dyDescent="0.25">
      <c r="A907" s="58" t="s">
        <v>52</v>
      </c>
    </row>
    <row r="908" spans="1:1" x14ac:dyDescent="0.25">
      <c r="A908" s="59" t="s">
        <v>52</v>
      </c>
    </row>
    <row r="909" spans="1:1" x14ac:dyDescent="0.25">
      <c r="A909" s="60" t="s">
        <v>52</v>
      </c>
    </row>
    <row r="910" spans="1:1" x14ac:dyDescent="0.25">
      <c r="A910" s="61" t="s">
        <v>52</v>
      </c>
    </row>
    <row r="911" spans="1:1" x14ac:dyDescent="0.25">
      <c r="A911" s="62" t="s">
        <v>52</v>
      </c>
    </row>
    <row r="912" spans="1:1" x14ac:dyDescent="0.25">
      <c r="A912" s="63" t="s">
        <v>52</v>
      </c>
    </row>
    <row r="913" spans="1:1" x14ac:dyDescent="0.25">
      <c r="A913" s="64" t="s">
        <v>52</v>
      </c>
    </row>
    <row r="914" spans="1:1" x14ac:dyDescent="0.25">
      <c r="A914" s="65" t="s">
        <v>52</v>
      </c>
    </row>
    <row r="915" spans="1:1" x14ac:dyDescent="0.25">
      <c r="A915" s="66" t="s">
        <v>52</v>
      </c>
    </row>
    <row r="916" spans="1:1" x14ac:dyDescent="0.25">
      <c r="A916" s="67" t="s">
        <v>52</v>
      </c>
    </row>
    <row r="917" spans="1:1" x14ac:dyDescent="0.25">
      <c r="A917" s="68" t="s">
        <v>52</v>
      </c>
    </row>
    <row r="918" spans="1:1" x14ac:dyDescent="0.25">
      <c r="A918" s="69" t="s">
        <v>52</v>
      </c>
    </row>
    <row r="919" spans="1:1" x14ac:dyDescent="0.25">
      <c r="A919" s="70" t="s">
        <v>52</v>
      </c>
    </row>
    <row r="920" spans="1:1" x14ac:dyDescent="0.25">
      <c r="A920" s="71" t="s">
        <v>52</v>
      </c>
    </row>
    <row r="921" spans="1:1" x14ac:dyDescent="0.25">
      <c r="A921" s="72" t="s">
        <v>52</v>
      </c>
    </row>
    <row r="922" spans="1:1" x14ac:dyDescent="0.25">
      <c r="A922" s="73" t="s">
        <v>52</v>
      </c>
    </row>
    <row r="923" spans="1:1" x14ac:dyDescent="0.25">
      <c r="A923" s="74" t="s">
        <v>52</v>
      </c>
    </row>
    <row r="924" spans="1:1" x14ac:dyDescent="0.25">
      <c r="A924" s="75" t="s">
        <v>52</v>
      </c>
    </row>
    <row r="925" spans="1:1" x14ac:dyDescent="0.25">
      <c r="A925" s="76" t="s">
        <v>52</v>
      </c>
    </row>
    <row r="926" spans="1:1" x14ac:dyDescent="0.25">
      <c r="A926" s="77" t="s">
        <v>52</v>
      </c>
    </row>
    <row r="927" spans="1:1" x14ac:dyDescent="0.25">
      <c r="A927" s="78" t="s">
        <v>52</v>
      </c>
    </row>
    <row r="928" spans="1:1" x14ac:dyDescent="0.25">
      <c r="A928" s="79" t="s">
        <v>52</v>
      </c>
    </row>
    <row r="929" spans="1:1" x14ac:dyDescent="0.25">
      <c r="A929" s="80" t="s">
        <v>52</v>
      </c>
    </row>
    <row r="930" spans="1:1" x14ac:dyDescent="0.25">
      <c r="A930" s="81" t="s">
        <v>52</v>
      </c>
    </row>
    <row r="931" spans="1:1" x14ac:dyDescent="0.25">
      <c r="A931" s="82" t="s">
        <v>52</v>
      </c>
    </row>
    <row r="932" spans="1:1" x14ac:dyDescent="0.25">
      <c r="A932" s="83" t="s">
        <v>52</v>
      </c>
    </row>
    <row r="933" spans="1:1" x14ac:dyDescent="0.25">
      <c r="A933" s="84" t="s">
        <v>52</v>
      </c>
    </row>
    <row r="934" spans="1:1" x14ac:dyDescent="0.25">
      <c r="A934" s="85" t="s">
        <v>52</v>
      </c>
    </row>
    <row r="935" spans="1:1" x14ac:dyDescent="0.25">
      <c r="A935" s="86" t="s">
        <v>52</v>
      </c>
    </row>
    <row r="936" spans="1:1" x14ac:dyDescent="0.25">
      <c r="A936" s="87" t="s">
        <v>52</v>
      </c>
    </row>
    <row r="937" spans="1:1" x14ac:dyDescent="0.25">
      <c r="A937" s="88" t="s">
        <v>52</v>
      </c>
    </row>
    <row r="938" spans="1:1" x14ac:dyDescent="0.25">
      <c r="A938" s="89" t="s">
        <v>52</v>
      </c>
    </row>
    <row r="939" spans="1:1" x14ac:dyDescent="0.25">
      <c r="A939" s="90" t="s">
        <v>52</v>
      </c>
    </row>
    <row r="940" spans="1:1" x14ac:dyDescent="0.25">
      <c r="A940" s="19" t="s">
        <v>757</v>
      </c>
    </row>
    <row r="941" spans="1:1" x14ac:dyDescent="0.25">
      <c r="A941" s="20" t="s">
        <v>52</v>
      </c>
    </row>
    <row r="942" spans="1:1" x14ac:dyDescent="0.25">
      <c r="A942" s="21" t="s">
        <v>52</v>
      </c>
    </row>
    <row r="943" spans="1:1" x14ac:dyDescent="0.25">
      <c r="A943" s="22" t="s">
        <v>52</v>
      </c>
    </row>
    <row r="944" spans="1:1" x14ac:dyDescent="0.25">
      <c r="A944" s="23" t="s">
        <v>52</v>
      </c>
    </row>
    <row r="945" spans="1:1" x14ac:dyDescent="0.25">
      <c r="A945" s="24" t="s">
        <v>52</v>
      </c>
    </row>
    <row r="946" spans="1:1" x14ac:dyDescent="0.25">
      <c r="A946" s="25" t="s">
        <v>52</v>
      </c>
    </row>
    <row r="947" spans="1:1" x14ac:dyDescent="0.25">
      <c r="A947" s="26" t="s">
        <v>52</v>
      </c>
    </row>
    <row r="948" spans="1:1" x14ac:dyDescent="0.25">
      <c r="A948" s="27" t="s">
        <v>52</v>
      </c>
    </row>
    <row r="949" spans="1:1" x14ac:dyDescent="0.25">
      <c r="A949" s="28" t="s">
        <v>52</v>
      </c>
    </row>
    <row r="950" spans="1:1" x14ac:dyDescent="0.25">
      <c r="A950" s="29" t="s">
        <v>52</v>
      </c>
    </row>
    <row r="951" spans="1:1" x14ac:dyDescent="0.25">
      <c r="A951" s="30" t="s">
        <v>758</v>
      </c>
    </row>
    <row r="952" spans="1:1" x14ac:dyDescent="0.25">
      <c r="A952" s="31" t="s">
        <v>52</v>
      </c>
    </row>
    <row r="953" spans="1:1" x14ac:dyDescent="0.25">
      <c r="A953" s="32" t="s">
        <v>52</v>
      </c>
    </row>
    <row r="954" spans="1:1" x14ac:dyDescent="0.25">
      <c r="A954" s="33" t="s">
        <v>52</v>
      </c>
    </row>
    <row r="955" spans="1:1" x14ac:dyDescent="0.25">
      <c r="A955" s="34" t="s">
        <v>52</v>
      </c>
    </row>
    <row r="956" spans="1:1" x14ac:dyDescent="0.25">
      <c r="A956" s="35" t="s">
        <v>52</v>
      </c>
    </row>
    <row r="957" spans="1:1" x14ac:dyDescent="0.25">
      <c r="A957" s="36" t="s">
        <v>52</v>
      </c>
    </row>
    <row r="958" spans="1:1" x14ac:dyDescent="0.25">
      <c r="A958" s="37" t="s">
        <v>52</v>
      </c>
    </row>
    <row r="959" spans="1:1" x14ac:dyDescent="0.25">
      <c r="A959" s="38" t="s">
        <v>52</v>
      </c>
    </row>
    <row r="960" spans="1:1" x14ac:dyDescent="0.25">
      <c r="A960" s="39" t="s">
        <v>52</v>
      </c>
    </row>
    <row r="961" spans="1:1" x14ac:dyDescent="0.25">
      <c r="A961" s="40" t="s">
        <v>52</v>
      </c>
    </row>
    <row r="962" spans="1:1" x14ac:dyDescent="0.25">
      <c r="A962" s="41" t="s">
        <v>52</v>
      </c>
    </row>
    <row r="963" spans="1:1" x14ac:dyDescent="0.25">
      <c r="A963" s="42" t="s">
        <v>52</v>
      </c>
    </row>
    <row r="964" spans="1:1" x14ac:dyDescent="0.25">
      <c r="A964" s="43" t="s">
        <v>52</v>
      </c>
    </row>
    <row r="965" spans="1:1" x14ac:dyDescent="0.25">
      <c r="A965" s="44" t="s">
        <v>52</v>
      </c>
    </row>
    <row r="966" spans="1:1" x14ac:dyDescent="0.25">
      <c r="A966" s="45" t="s">
        <v>52</v>
      </c>
    </row>
    <row r="967" spans="1:1" x14ac:dyDescent="0.25">
      <c r="A967" s="46" t="s">
        <v>52</v>
      </c>
    </row>
    <row r="968" spans="1:1" x14ac:dyDescent="0.25">
      <c r="A968" s="47" t="s">
        <v>52</v>
      </c>
    </row>
    <row r="969" spans="1:1" x14ac:dyDescent="0.25">
      <c r="A969" s="48" t="s">
        <v>52</v>
      </c>
    </row>
    <row r="970" spans="1:1" x14ac:dyDescent="0.25">
      <c r="A970" s="49" t="s">
        <v>52</v>
      </c>
    </row>
    <row r="971" spans="1:1" x14ac:dyDescent="0.25">
      <c r="A971" s="50" t="s">
        <v>52</v>
      </c>
    </row>
    <row r="972" spans="1:1" x14ac:dyDescent="0.25">
      <c r="A972" s="51" t="s">
        <v>52</v>
      </c>
    </row>
    <row r="973" spans="1:1" x14ac:dyDescent="0.25">
      <c r="A973" s="52" t="s">
        <v>52</v>
      </c>
    </row>
    <row r="974" spans="1:1" x14ac:dyDescent="0.25">
      <c r="A974" s="53" t="s">
        <v>52</v>
      </c>
    </row>
    <row r="975" spans="1:1" x14ac:dyDescent="0.25">
      <c r="A975" s="54" t="s">
        <v>52</v>
      </c>
    </row>
    <row r="976" spans="1:1" x14ac:dyDescent="0.25">
      <c r="A976" s="55" t="s">
        <v>52</v>
      </c>
    </row>
    <row r="977" spans="1:1" x14ac:dyDescent="0.25">
      <c r="A977" s="56" t="s">
        <v>52</v>
      </c>
    </row>
    <row r="978" spans="1:1" x14ac:dyDescent="0.25">
      <c r="A978" s="57" t="s">
        <v>52</v>
      </c>
    </row>
    <row r="979" spans="1:1" x14ac:dyDescent="0.25">
      <c r="A979" s="58" t="s">
        <v>52</v>
      </c>
    </row>
    <row r="980" spans="1:1" x14ac:dyDescent="0.25">
      <c r="A980" s="59" t="s">
        <v>52</v>
      </c>
    </row>
    <row r="981" spans="1:1" x14ac:dyDescent="0.25">
      <c r="A981" s="60" t="s">
        <v>52</v>
      </c>
    </row>
    <row r="982" spans="1:1" x14ac:dyDescent="0.25">
      <c r="A982" s="61" t="s">
        <v>52</v>
      </c>
    </row>
    <row r="983" spans="1:1" x14ac:dyDescent="0.25">
      <c r="A983" s="62" t="s">
        <v>52</v>
      </c>
    </row>
    <row r="984" spans="1:1" x14ac:dyDescent="0.25">
      <c r="A984" s="63" t="s">
        <v>52</v>
      </c>
    </row>
    <row r="985" spans="1:1" x14ac:dyDescent="0.25">
      <c r="A985" s="64" t="s">
        <v>52</v>
      </c>
    </row>
    <row r="986" spans="1:1" x14ac:dyDescent="0.25">
      <c r="A986" s="65" t="s">
        <v>52</v>
      </c>
    </row>
    <row r="987" spans="1:1" x14ac:dyDescent="0.25">
      <c r="A987" s="66" t="s">
        <v>52</v>
      </c>
    </row>
    <row r="988" spans="1:1" x14ac:dyDescent="0.25">
      <c r="A988" s="67" t="s">
        <v>52</v>
      </c>
    </row>
    <row r="989" spans="1:1" x14ac:dyDescent="0.25">
      <c r="A989" s="68" t="s">
        <v>52</v>
      </c>
    </row>
    <row r="990" spans="1:1" x14ac:dyDescent="0.25">
      <c r="A990" s="69" t="s">
        <v>52</v>
      </c>
    </row>
    <row r="991" spans="1:1" x14ac:dyDescent="0.25">
      <c r="A991" s="70" t="s">
        <v>52</v>
      </c>
    </row>
    <row r="992" spans="1:1" x14ac:dyDescent="0.25">
      <c r="A992" s="71" t="s">
        <v>52</v>
      </c>
    </row>
    <row r="993" spans="1:1" x14ac:dyDescent="0.25">
      <c r="A993" s="72" t="s">
        <v>52</v>
      </c>
    </row>
    <row r="994" spans="1:1" x14ac:dyDescent="0.25">
      <c r="A994" s="73" t="s">
        <v>52</v>
      </c>
    </row>
    <row r="995" spans="1:1" x14ac:dyDescent="0.25">
      <c r="A995" s="74" t="s">
        <v>52</v>
      </c>
    </row>
    <row r="996" spans="1:1" x14ac:dyDescent="0.25">
      <c r="A996" s="75" t="s">
        <v>52</v>
      </c>
    </row>
    <row r="997" spans="1:1" x14ac:dyDescent="0.25">
      <c r="A997" s="76" t="s">
        <v>52</v>
      </c>
    </row>
    <row r="998" spans="1:1" x14ac:dyDescent="0.25">
      <c r="A998" s="77" t="s">
        <v>52</v>
      </c>
    </row>
    <row r="999" spans="1:1" x14ac:dyDescent="0.25">
      <c r="A999" s="78" t="s">
        <v>52</v>
      </c>
    </row>
    <row r="1000" spans="1:1" x14ac:dyDescent="0.25">
      <c r="A1000" s="79" t="s">
        <v>52</v>
      </c>
    </row>
    <row r="1001" spans="1:1" x14ac:dyDescent="0.25">
      <c r="A1001" s="80" t="s">
        <v>52</v>
      </c>
    </row>
    <row r="1002" spans="1:1" x14ac:dyDescent="0.25">
      <c r="A1002" s="81" t="s">
        <v>52</v>
      </c>
    </row>
    <row r="1003" spans="1:1" x14ac:dyDescent="0.25">
      <c r="A1003" s="82" t="s">
        <v>52</v>
      </c>
    </row>
    <row r="1004" spans="1:1" x14ac:dyDescent="0.25">
      <c r="A1004" s="83" t="s">
        <v>52</v>
      </c>
    </row>
    <row r="1005" spans="1:1" x14ac:dyDescent="0.25">
      <c r="A1005" s="84" t="s">
        <v>52</v>
      </c>
    </row>
    <row r="1006" spans="1:1" x14ac:dyDescent="0.25">
      <c r="A1006" s="85" t="s">
        <v>52</v>
      </c>
    </row>
    <row r="1007" spans="1:1" x14ac:dyDescent="0.25">
      <c r="A1007" s="86" t="s">
        <v>52</v>
      </c>
    </row>
    <row r="1008" spans="1:1" x14ac:dyDescent="0.25">
      <c r="A1008" s="87" t="s">
        <v>52</v>
      </c>
    </row>
    <row r="1009" spans="1:1" x14ac:dyDescent="0.25">
      <c r="A1009" s="88" t="s">
        <v>52</v>
      </c>
    </row>
    <row r="1010" spans="1:1" x14ac:dyDescent="0.25">
      <c r="A1010" s="89" t="s">
        <v>52</v>
      </c>
    </row>
    <row r="1011" spans="1:1" x14ac:dyDescent="0.25">
      <c r="A1011" s="90" t="s">
        <v>52</v>
      </c>
    </row>
    <row r="1012" spans="1:1" x14ac:dyDescent="0.25">
      <c r="A1012" s="19" t="s">
        <v>759</v>
      </c>
    </row>
    <row r="1013" spans="1:1" x14ac:dyDescent="0.25">
      <c r="A1013" s="20" t="s">
        <v>52</v>
      </c>
    </row>
    <row r="1014" spans="1:1" x14ac:dyDescent="0.25">
      <c r="A1014" s="21" t="s">
        <v>52</v>
      </c>
    </row>
    <row r="1015" spans="1:1" x14ac:dyDescent="0.25">
      <c r="A1015" s="22" t="s">
        <v>52</v>
      </c>
    </row>
    <row r="1016" spans="1:1" x14ac:dyDescent="0.25">
      <c r="A1016" s="23" t="s">
        <v>52</v>
      </c>
    </row>
    <row r="1017" spans="1:1" x14ac:dyDescent="0.25">
      <c r="A1017" s="24" t="s">
        <v>52</v>
      </c>
    </row>
    <row r="1018" spans="1:1" x14ac:dyDescent="0.25">
      <c r="A1018" s="25" t="s">
        <v>52</v>
      </c>
    </row>
    <row r="1019" spans="1:1" x14ac:dyDescent="0.25">
      <c r="A1019" s="26" t="s">
        <v>52</v>
      </c>
    </row>
    <row r="1020" spans="1:1" x14ac:dyDescent="0.25">
      <c r="A1020" s="27" t="s">
        <v>52</v>
      </c>
    </row>
    <row r="1021" spans="1:1" x14ac:dyDescent="0.25">
      <c r="A1021" s="28" t="s">
        <v>52</v>
      </c>
    </row>
    <row r="1022" spans="1:1" x14ac:dyDescent="0.25">
      <c r="A1022" s="29" t="s">
        <v>52</v>
      </c>
    </row>
    <row r="1023" spans="1:1" x14ac:dyDescent="0.25">
      <c r="A1023" s="30" t="s">
        <v>760</v>
      </c>
    </row>
    <row r="1024" spans="1:1" x14ac:dyDescent="0.25">
      <c r="A1024" s="31" t="s">
        <v>52</v>
      </c>
    </row>
    <row r="1025" spans="1:1" x14ac:dyDescent="0.25">
      <c r="A1025" s="32" t="s">
        <v>52</v>
      </c>
    </row>
    <row r="1026" spans="1:1" x14ac:dyDescent="0.25">
      <c r="A1026" s="33" t="s">
        <v>52</v>
      </c>
    </row>
    <row r="1027" spans="1:1" x14ac:dyDescent="0.25">
      <c r="A1027" s="34" t="s">
        <v>52</v>
      </c>
    </row>
    <row r="1028" spans="1:1" x14ac:dyDescent="0.25">
      <c r="A1028" s="35" t="s">
        <v>52</v>
      </c>
    </row>
    <row r="1029" spans="1:1" x14ac:dyDescent="0.25">
      <c r="A1029" s="36" t="s">
        <v>52</v>
      </c>
    </row>
    <row r="1030" spans="1:1" x14ac:dyDescent="0.25">
      <c r="A1030" s="37" t="s">
        <v>52</v>
      </c>
    </row>
    <row r="1031" spans="1:1" x14ac:dyDescent="0.25">
      <c r="A1031" s="38" t="s">
        <v>52</v>
      </c>
    </row>
    <row r="1032" spans="1:1" x14ac:dyDescent="0.25">
      <c r="A1032" s="39" t="s">
        <v>52</v>
      </c>
    </row>
    <row r="1033" spans="1:1" x14ac:dyDescent="0.25">
      <c r="A1033" s="40" t="s">
        <v>52</v>
      </c>
    </row>
    <row r="1034" spans="1:1" x14ac:dyDescent="0.25">
      <c r="A1034" s="41" t="s">
        <v>52</v>
      </c>
    </row>
    <row r="1035" spans="1:1" x14ac:dyDescent="0.25">
      <c r="A1035" s="42" t="s">
        <v>52</v>
      </c>
    </row>
    <row r="1036" spans="1:1" x14ac:dyDescent="0.25">
      <c r="A1036" s="43" t="s">
        <v>52</v>
      </c>
    </row>
    <row r="1037" spans="1:1" x14ac:dyDescent="0.25">
      <c r="A1037" s="44" t="s">
        <v>52</v>
      </c>
    </row>
    <row r="1038" spans="1:1" x14ac:dyDescent="0.25">
      <c r="A1038" s="45" t="s">
        <v>52</v>
      </c>
    </row>
    <row r="1039" spans="1:1" x14ac:dyDescent="0.25">
      <c r="A1039" s="46" t="s">
        <v>52</v>
      </c>
    </row>
    <row r="1040" spans="1:1" x14ac:dyDescent="0.25">
      <c r="A1040" s="47" t="s">
        <v>52</v>
      </c>
    </row>
    <row r="1041" spans="1:1" x14ac:dyDescent="0.25">
      <c r="A1041" s="48" t="s">
        <v>52</v>
      </c>
    </row>
    <row r="1042" spans="1:1" x14ac:dyDescent="0.25">
      <c r="A1042" s="49" t="s">
        <v>52</v>
      </c>
    </row>
    <row r="1043" spans="1:1" x14ac:dyDescent="0.25">
      <c r="A1043" s="50" t="s">
        <v>52</v>
      </c>
    </row>
    <row r="1044" spans="1:1" x14ac:dyDescent="0.25">
      <c r="A1044" s="51" t="s">
        <v>52</v>
      </c>
    </row>
    <row r="1045" spans="1:1" x14ac:dyDescent="0.25">
      <c r="A1045" s="52" t="s">
        <v>52</v>
      </c>
    </row>
    <row r="1046" spans="1:1" x14ac:dyDescent="0.25">
      <c r="A1046" s="53" t="s">
        <v>52</v>
      </c>
    </row>
    <row r="1047" spans="1:1" x14ac:dyDescent="0.25">
      <c r="A1047" s="54" t="s">
        <v>52</v>
      </c>
    </row>
    <row r="1048" spans="1:1" x14ac:dyDescent="0.25">
      <c r="A1048" s="55" t="s">
        <v>52</v>
      </c>
    </row>
    <row r="1049" spans="1:1" x14ac:dyDescent="0.25">
      <c r="A1049" s="56" t="s">
        <v>52</v>
      </c>
    </row>
    <row r="1050" spans="1:1" x14ac:dyDescent="0.25">
      <c r="A1050" s="57" t="s">
        <v>52</v>
      </c>
    </row>
    <row r="1051" spans="1:1" x14ac:dyDescent="0.25">
      <c r="A1051" s="58" t="s">
        <v>52</v>
      </c>
    </row>
    <row r="1052" spans="1:1" x14ac:dyDescent="0.25">
      <c r="A1052" s="59" t="s">
        <v>52</v>
      </c>
    </row>
    <row r="1053" spans="1:1" x14ac:dyDescent="0.25">
      <c r="A1053" s="60" t="s">
        <v>52</v>
      </c>
    </row>
    <row r="1054" spans="1:1" x14ac:dyDescent="0.25">
      <c r="A1054" s="61" t="s">
        <v>52</v>
      </c>
    </row>
    <row r="1055" spans="1:1" x14ac:dyDescent="0.25">
      <c r="A1055" s="62" t="s">
        <v>52</v>
      </c>
    </row>
    <row r="1056" spans="1:1" x14ac:dyDescent="0.25">
      <c r="A1056" s="63" t="s">
        <v>52</v>
      </c>
    </row>
    <row r="1057" spans="1:1" x14ac:dyDescent="0.25">
      <c r="A1057" s="64" t="s">
        <v>52</v>
      </c>
    </row>
    <row r="1058" spans="1:1" x14ac:dyDescent="0.25">
      <c r="A1058" s="65" t="s">
        <v>52</v>
      </c>
    </row>
    <row r="1059" spans="1:1" x14ac:dyDescent="0.25">
      <c r="A1059" s="66" t="s">
        <v>52</v>
      </c>
    </row>
    <row r="1060" spans="1:1" x14ac:dyDescent="0.25">
      <c r="A1060" s="67" t="s">
        <v>52</v>
      </c>
    </row>
    <row r="1061" spans="1:1" x14ac:dyDescent="0.25">
      <c r="A1061" s="68" t="s">
        <v>52</v>
      </c>
    </row>
    <row r="1062" spans="1:1" x14ac:dyDescent="0.25">
      <c r="A1062" s="69" t="s">
        <v>52</v>
      </c>
    </row>
    <row r="1063" spans="1:1" x14ac:dyDescent="0.25">
      <c r="A1063" s="70" t="s">
        <v>52</v>
      </c>
    </row>
    <row r="1064" spans="1:1" x14ac:dyDescent="0.25">
      <c r="A1064" s="71" t="s">
        <v>52</v>
      </c>
    </row>
    <row r="1065" spans="1:1" x14ac:dyDescent="0.25">
      <c r="A1065" s="72" t="s">
        <v>52</v>
      </c>
    </row>
    <row r="1066" spans="1:1" x14ac:dyDescent="0.25">
      <c r="A1066" s="73" t="s">
        <v>52</v>
      </c>
    </row>
    <row r="1067" spans="1:1" x14ac:dyDescent="0.25">
      <c r="A1067" s="74" t="s">
        <v>52</v>
      </c>
    </row>
    <row r="1068" spans="1:1" x14ac:dyDescent="0.25">
      <c r="A1068" s="75" t="s">
        <v>52</v>
      </c>
    </row>
    <row r="1069" spans="1:1" x14ac:dyDescent="0.25">
      <c r="A1069" s="76" t="s">
        <v>52</v>
      </c>
    </row>
    <row r="1070" spans="1:1" x14ac:dyDescent="0.25">
      <c r="A1070" s="77" t="s">
        <v>52</v>
      </c>
    </row>
    <row r="1071" spans="1:1" x14ac:dyDescent="0.25">
      <c r="A1071" s="78" t="s">
        <v>52</v>
      </c>
    </row>
    <row r="1072" spans="1:1" x14ac:dyDescent="0.25">
      <c r="A1072" s="79" t="s">
        <v>52</v>
      </c>
    </row>
    <row r="1073" spans="1:1" x14ac:dyDescent="0.25">
      <c r="A1073" s="80" t="s">
        <v>52</v>
      </c>
    </row>
    <row r="1074" spans="1:1" x14ac:dyDescent="0.25">
      <c r="A1074" s="81" t="s">
        <v>52</v>
      </c>
    </row>
    <row r="1075" spans="1:1" x14ac:dyDescent="0.25">
      <c r="A1075" s="82" t="s">
        <v>52</v>
      </c>
    </row>
    <row r="1076" spans="1:1" x14ac:dyDescent="0.25">
      <c r="A1076" s="83" t="s">
        <v>52</v>
      </c>
    </row>
    <row r="1077" spans="1:1" x14ac:dyDescent="0.25">
      <c r="A1077" s="84" t="s">
        <v>52</v>
      </c>
    </row>
    <row r="1078" spans="1:1" x14ac:dyDescent="0.25">
      <c r="A1078" s="85" t="s">
        <v>52</v>
      </c>
    </row>
    <row r="1079" spans="1:1" x14ac:dyDescent="0.25">
      <c r="A1079" s="86" t="s">
        <v>52</v>
      </c>
    </row>
    <row r="1080" spans="1:1" x14ac:dyDescent="0.25">
      <c r="A1080" s="87" t="s">
        <v>52</v>
      </c>
    </row>
    <row r="1081" spans="1:1" x14ac:dyDescent="0.25">
      <c r="A1081" s="88" t="s">
        <v>52</v>
      </c>
    </row>
    <row r="1082" spans="1:1" x14ac:dyDescent="0.25">
      <c r="A1082" s="89" t="s">
        <v>52</v>
      </c>
    </row>
    <row r="1083" spans="1:1" x14ac:dyDescent="0.25">
      <c r="A1083" s="90" t="s">
        <v>52</v>
      </c>
    </row>
    <row r="1084" spans="1:1" x14ac:dyDescent="0.25">
      <c r="A1084" s="19" t="s">
        <v>761</v>
      </c>
    </row>
    <row r="1085" spans="1:1" x14ac:dyDescent="0.25">
      <c r="A1085" s="20" t="s">
        <v>52</v>
      </c>
    </row>
    <row r="1086" spans="1:1" x14ac:dyDescent="0.25">
      <c r="A1086" s="21" t="s">
        <v>52</v>
      </c>
    </row>
    <row r="1087" spans="1:1" x14ac:dyDescent="0.25">
      <c r="A1087" s="22" t="s">
        <v>52</v>
      </c>
    </row>
    <row r="1088" spans="1:1" x14ac:dyDescent="0.25">
      <c r="A1088" s="23" t="s">
        <v>52</v>
      </c>
    </row>
    <row r="1089" spans="1:1" x14ac:dyDescent="0.25">
      <c r="A1089" s="24" t="s">
        <v>52</v>
      </c>
    </row>
    <row r="1090" spans="1:1" x14ac:dyDescent="0.25">
      <c r="A1090" s="25" t="s">
        <v>52</v>
      </c>
    </row>
    <row r="1091" spans="1:1" x14ac:dyDescent="0.25">
      <c r="A1091" s="26" t="s">
        <v>52</v>
      </c>
    </row>
    <row r="1092" spans="1:1" x14ac:dyDescent="0.25">
      <c r="A1092" s="27" t="s">
        <v>52</v>
      </c>
    </row>
    <row r="1093" spans="1:1" x14ac:dyDescent="0.25">
      <c r="A1093" s="28" t="s">
        <v>52</v>
      </c>
    </row>
    <row r="1094" spans="1:1" x14ac:dyDescent="0.25">
      <c r="A1094" s="29" t="s">
        <v>52</v>
      </c>
    </row>
    <row r="1095" spans="1:1" x14ac:dyDescent="0.25">
      <c r="A1095" s="30" t="s">
        <v>762</v>
      </c>
    </row>
    <row r="1096" spans="1:1" x14ac:dyDescent="0.25">
      <c r="A1096" s="31" t="s">
        <v>52</v>
      </c>
    </row>
    <row r="1097" spans="1:1" x14ac:dyDescent="0.25">
      <c r="A1097" s="32" t="s">
        <v>52</v>
      </c>
    </row>
    <row r="1098" spans="1:1" x14ac:dyDescent="0.25">
      <c r="A1098" s="33" t="s">
        <v>52</v>
      </c>
    </row>
    <row r="1099" spans="1:1" x14ac:dyDescent="0.25">
      <c r="A1099" s="34" t="s">
        <v>52</v>
      </c>
    </row>
    <row r="1100" spans="1:1" x14ac:dyDescent="0.25">
      <c r="A1100" s="35" t="s">
        <v>52</v>
      </c>
    </row>
    <row r="1101" spans="1:1" x14ac:dyDescent="0.25">
      <c r="A1101" s="36" t="s">
        <v>52</v>
      </c>
    </row>
    <row r="1102" spans="1:1" x14ac:dyDescent="0.25">
      <c r="A1102" s="37" t="s">
        <v>52</v>
      </c>
    </row>
    <row r="1103" spans="1:1" x14ac:dyDescent="0.25">
      <c r="A1103" s="38" t="s">
        <v>52</v>
      </c>
    </row>
    <row r="1104" spans="1:1" x14ac:dyDescent="0.25">
      <c r="A1104" s="39" t="s">
        <v>52</v>
      </c>
    </row>
    <row r="1105" spans="1:1" x14ac:dyDescent="0.25">
      <c r="A1105" s="40" t="s">
        <v>52</v>
      </c>
    </row>
    <row r="1106" spans="1:1" x14ac:dyDescent="0.25">
      <c r="A1106" s="41" t="s">
        <v>52</v>
      </c>
    </row>
    <row r="1107" spans="1:1" x14ac:dyDescent="0.25">
      <c r="A1107" s="42" t="s">
        <v>52</v>
      </c>
    </row>
    <row r="1108" spans="1:1" x14ac:dyDescent="0.25">
      <c r="A1108" s="43" t="s">
        <v>52</v>
      </c>
    </row>
    <row r="1109" spans="1:1" x14ac:dyDescent="0.25">
      <c r="A1109" s="44" t="s">
        <v>52</v>
      </c>
    </row>
    <row r="1110" spans="1:1" x14ac:dyDescent="0.25">
      <c r="A1110" s="45" t="s">
        <v>52</v>
      </c>
    </row>
    <row r="1111" spans="1:1" x14ac:dyDescent="0.25">
      <c r="A1111" s="46" t="s">
        <v>52</v>
      </c>
    </row>
    <row r="1112" spans="1:1" x14ac:dyDescent="0.25">
      <c r="A1112" s="47" t="s">
        <v>52</v>
      </c>
    </row>
    <row r="1113" spans="1:1" x14ac:dyDescent="0.25">
      <c r="A1113" s="48" t="s">
        <v>52</v>
      </c>
    </row>
    <row r="1114" spans="1:1" x14ac:dyDescent="0.25">
      <c r="A1114" s="49" t="s">
        <v>52</v>
      </c>
    </row>
    <row r="1115" spans="1:1" x14ac:dyDescent="0.25">
      <c r="A1115" s="50" t="s">
        <v>52</v>
      </c>
    </row>
    <row r="1116" spans="1:1" x14ac:dyDescent="0.25">
      <c r="A1116" s="51" t="s">
        <v>52</v>
      </c>
    </row>
    <row r="1117" spans="1:1" x14ac:dyDescent="0.25">
      <c r="A1117" s="52" t="s">
        <v>52</v>
      </c>
    </row>
    <row r="1118" spans="1:1" x14ac:dyDescent="0.25">
      <c r="A1118" s="53" t="s">
        <v>52</v>
      </c>
    </row>
    <row r="1119" spans="1:1" x14ac:dyDescent="0.25">
      <c r="A1119" s="54" t="s">
        <v>52</v>
      </c>
    </row>
    <row r="1120" spans="1:1" x14ac:dyDescent="0.25">
      <c r="A1120" s="55" t="s">
        <v>52</v>
      </c>
    </row>
    <row r="1121" spans="1:1" x14ac:dyDescent="0.25">
      <c r="A1121" s="56" t="s">
        <v>52</v>
      </c>
    </row>
    <row r="1122" spans="1:1" x14ac:dyDescent="0.25">
      <c r="A1122" s="57" t="s">
        <v>52</v>
      </c>
    </row>
    <row r="1123" spans="1:1" x14ac:dyDescent="0.25">
      <c r="A1123" s="58" t="s">
        <v>52</v>
      </c>
    </row>
    <row r="1124" spans="1:1" x14ac:dyDescent="0.25">
      <c r="A1124" s="59" t="s">
        <v>52</v>
      </c>
    </row>
    <row r="1125" spans="1:1" x14ac:dyDescent="0.25">
      <c r="A1125" s="60" t="s">
        <v>52</v>
      </c>
    </row>
    <row r="1126" spans="1:1" x14ac:dyDescent="0.25">
      <c r="A1126" s="61" t="s">
        <v>52</v>
      </c>
    </row>
    <row r="1127" spans="1:1" x14ac:dyDescent="0.25">
      <c r="A1127" s="62" t="s">
        <v>52</v>
      </c>
    </row>
    <row r="1128" spans="1:1" x14ac:dyDescent="0.25">
      <c r="A1128" s="63" t="s">
        <v>52</v>
      </c>
    </row>
    <row r="1129" spans="1:1" x14ac:dyDescent="0.25">
      <c r="A1129" s="64" t="s">
        <v>52</v>
      </c>
    </row>
    <row r="1130" spans="1:1" x14ac:dyDescent="0.25">
      <c r="A1130" s="65" t="s">
        <v>52</v>
      </c>
    </row>
    <row r="1131" spans="1:1" x14ac:dyDescent="0.25">
      <c r="A1131" s="66" t="s">
        <v>52</v>
      </c>
    </row>
    <row r="1132" spans="1:1" x14ac:dyDescent="0.25">
      <c r="A1132" s="67" t="s">
        <v>52</v>
      </c>
    </row>
    <row r="1133" spans="1:1" x14ac:dyDescent="0.25">
      <c r="A1133" s="68" t="s">
        <v>52</v>
      </c>
    </row>
    <row r="1134" spans="1:1" x14ac:dyDescent="0.25">
      <c r="A1134" s="69" t="s">
        <v>52</v>
      </c>
    </row>
    <row r="1135" spans="1:1" x14ac:dyDescent="0.25">
      <c r="A1135" s="70" t="s">
        <v>52</v>
      </c>
    </row>
    <row r="1136" spans="1:1" x14ac:dyDescent="0.25">
      <c r="A1136" s="71" t="s">
        <v>52</v>
      </c>
    </row>
    <row r="1137" spans="1:1" x14ac:dyDescent="0.25">
      <c r="A1137" s="72" t="s">
        <v>52</v>
      </c>
    </row>
    <row r="1138" spans="1:1" x14ac:dyDescent="0.25">
      <c r="A1138" s="73" t="s">
        <v>52</v>
      </c>
    </row>
    <row r="1139" spans="1:1" x14ac:dyDescent="0.25">
      <c r="A1139" s="74" t="s">
        <v>52</v>
      </c>
    </row>
    <row r="1140" spans="1:1" x14ac:dyDescent="0.25">
      <c r="A1140" s="75" t="s">
        <v>52</v>
      </c>
    </row>
    <row r="1141" spans="1:1" x14ac:dyDescent="0.25">
      <c r="A1141" s="76" t="s">
        <v>52</v>
      </c>
    </row>
    <row r="1142" spans="1:1" x14ac:dyDescent="0.25">
      <c r="A1142" s="77" t="s">
        <v>52</v>
      </c>
    </row>
    <row r="1143" spans="1:1" x14ac:dyDescent="0.25">
      <c r="A1143" s="78" t="s">
        <v>52</v>
      </c>
    </row>
    <row r="1144" spans="1:1" x14ac:dyDescent="0.25">
      <c r="A1144" s="79" t="s">
        <v>52</v>
      </c>
    </row>
    <row r="1145" spans="1:1" x14ac:dyDescent="0.25">
      <c r="A1145" s="80" t="s">
        <v>52</v>
      </c>
    </row>
    <row r="1146" spans="1:1" x14ac:dyDescent="0.25">
      <c r="A1146" s="81" t="s">
        <v>52</v>
      </c>
    </row>
    <row r="1147" spans="1:1" x14ac:dyDescent="0.25">
      <c r="A1147" s="82" t="s">
        <v>52</v>
      </c>
    </row>
    <row r="1148" spans="1:1" x14ac:dyDescent="0.25">
      <c r="A1148" s="83" t="s">
        <v>52</v>
      </c>
    </row>
    <row r="1149" spans="1:1" x14ac:dyDescent="0.25">
      <c r="A1149" s="84" t="s">
        <v>52</v>
      </c>
    </row>
    <row r="1150" spans="1:1" x14ac:dyDescent="0.25">
      <c r="A1150" s="85" t="s">
        <v>52</v>
      </c>
    </row>
    <row r="1151" spans="1:1" x14ac:dyDescent="0.25">
      <c r="A1151" s="86" t="s">
        <v>52</v>
      </c>
    </row>
    <row r="1152" spans="1:1" x14ac:dyDescent="0.25">
      <c r="A1152" s="87" t="s">
        <v>52</v>
      </c>
    </row>
    <row r="1153" spans="1:1" x14ac:dyDescent="0.25">
      <c r="A1153" s="88" t="s">
        <v>52</v>
      </c>
    </row>
    <row r="1154" spans="1:1" x14ac:dyDescent="0.25">
      <c r="A1154" s="89" t="s">
        <v>52</v>
      </c>
    </row>
    <row r="1155" spans="1:1" x14ac:dyDescent="0.25">
      <c r="A1155" s="90" t="s">
        <v>52</v>
      </c>
    </row>
    <row r="1156" spans="1:1" x14ac:dyDescent="0.25">
      <c r="A1156" s="18" t="s">
        <v>194</v>
      </c>
    </row>
    <row r="1157" spans="1:1" x14ac:dyDescent="0.25">
      <c r="A1157" s="19" t="s">
        <v>560</v>
      </c>
    </row>
    <row r="1158" spans="1:1" x14ac:dyDescent="0.25">
      <c r="A1158" s="20" t="s">
        <v>561</v>
      </c>
    </row>
    <row r="1159" spans="1:1" x14ac:dyDescent="0.25">
      <c r="A1159" s="21" t="s">
        <v>255</v>
      </c>
    </row>
    <row r="1160" spans="1:1" x14ac:dyDescent="0.25">
      <c r="A1160" s="22" t="s">
        <v>52</v>
      </c>
    </row>
    <row r="1161" spans="1:1" x14ac:dyDescent="0.25">
      <c r="A1161" s="23" t="s">
        <v>52</v>
      </c>
    </row>
    <row r="1162" spans="1:1" x14ac:dyDescent="0.25">
      <c r="A1162" s="24" t="s">
        <v>52</v>
      </c>
    </row>
    <row r="1163" spans="1:1" x14ac:dyDescent="0.25">
      <c r="A1163" s="25" t="s">
        <v>52</v>
      </c>
    </row>
    <row r="1164" spans="1:1" x14ac:dyDescent="0.25">
      <c r="A1164" s="26" t="s">
        <v>256</v>
      </c>
    </row>
    <row r="1165" spans="1:1" x14ac:dyDescent="0.25">
      <c r="A1165" s="27" t="s">
        <v>562</v>
      </c>
    </row>
    <row r="1166" spans="1:1" x14ac:dyDescent="0.25">
      <c r="A1166" s="28" t="s">
        <v>52</v>
      </c>
    </row>
    <row r="1167" spans="1:1" x14ac:dyDescent="0.25">
      <c r="A1167" s="29" t="s">
        <v>563</v>
      </c>
    </row>
    <row r="1168" spans="1:1" x14ac:dyDescent="0.25">
      <c r="A1168" s="30" t="s">
        <v>195</v>
      </c>
    </row>
    <row r="1169" spans="1:1" x14ac:dyDescent="0.25">
      <c r="A1169" s="31" t="s">
        <v>196</v>
      </c>
    </row>
    <row r="1170" spans="1:1" x14ac:dyDescent="0.25">
      <c r="A1170" s="32" t="s">
        <v>52</v>
      </c>
    </row>
    <row r="1171" spans="1:1" x14ac:dyDescent="0.25">
      <c r="A1171" s="33" t="s">
        <v>52</v>
      </c>
    </row>
    <row r="1172" spans="1:1" x14ac:dyDescent="0.25">
      <c r="A1172" s="34" t="s">
        <v>52</v>
      </c>
    </row>
    <row r="1173" spans="1:1" x14ac:dyDescent="0.25">
      <c r="A1173" s="35" t="s">
        <v>257</v>
      </c>
    </row>
    <row r="1174" spans="1:1" x14ac:dyDescent="0.25">
      <c r="A1174" s="36" t="s">
        <v>52</v>
      </c>
    </row>
    <row r="1175" spans="1:1" x14ac:dyDescent="0.25">
      <c r="A1175" s="37" t="s">
        <v>258</v>
      </c>
    </row>
    <row r="1176" spans="1:1" x14ac:dyDescent="0.25">
      <c r="A1176" s="38" t="s">
        <v>52</v>
      </c>
    </row>
    <row r="1177" spans="1:1" x14ac:dyDescent="0.25">
      <c r="A1177" s="39" t="s">
        <v>52</v>
      </c>
    </row>
    <row r="1178" spans="1:1" x14ac:dyDescent="0.25">
      <c r="A1178" s="40" t="s">
        <v>52</v>
      </c>
    </row>
    <row r="1179" spans="1:1" x14ac:dyDescent="0.25">
      <c r="A1179" s="41" t="s">
        <v>52</v>
      </c>
    </row>
    <row r="1180" spans="1:1" x14ac:dyDescent="0.25">
      <c r="A1180" s="42" t="s">
        <v>52</v>
      </c>
    </row>
    <row r="1181" spans="1:1" x14ac:dyDescent="0.25">
      <c r="A1181" s="43" t="s">
        <v>259</v>
      </c>
    </row>
    <row r="1182" spans="1:1" x14ac:dyDescent="0.25">
      <c r="A1182" s="44" t="s">
        <v>197</v>
      </c>
    </row>
    <row r="1183" spans="1:1" x14ac:dyDescent="0.25">
      <c r="A1183" s="45" t="s">
        <v>52</v>
      </c>
    </row>
    <row r="1184" spans="1:1" x14ac:dyDescent="0.25">
      <c r="A1184" s="46" t="s">
        <v>52</v>
      </c>
    </row>
    <row r="1185" spans="1:1" x14ac:dyDescent="0.25">
      <c r="A1185" s="47" t="s">
        <v>52</v>
      </c>
    </row>
    <row r="1186" spans="1:1" x14ac:dyDescent="0.25">
      <c r="A1186" s="48" t="s">
        <v>564</v>
      </c>
    </row>
    <row r="1187" spans="1:1" x14ac:dyDescent="0.25">
      <c r="A1187" s="49" t="s">
        <v>52</v>
      </c>
    </row>
    <row r="1188" spans="1:1" x14ac:dyDescent="0.25">
      <c r="A1188" s="50" t="s">
        <v>52</v>
      </c>
    </row>
    <row r="1189" spans="1:1" x14ac:dyDescent="0.25">
      <c r="A1189" s="51" t="s">
        <v>52</v>
      </c>
    </row>
    <row r="1190" spans="1:1" x14ac:dyDescent="0.25">
      <c r="A1190" s="52" t="s">
        <v>52</v>
      </c>
    </row>
    <row r="1191" spans="1:1" x14ac:dyDescent="0.25">
      <c r="A1191" s="53" t="s">
        <v>52</v>
      </c>
    </row>
    <row r="1192" spans="1:1" x14ac:dyDescent="0.25">
      <c r="A1192" s="54" t="s">
        <v>52</v>
      </c>
    </row>
    <row r="1193" spans="1:1" x14ac:dyDescent="0.25">
      <c r="A1193" s="55" t="s">
        <v>52</v>
      </c>
    </row>
    <row r="1194" spans="1:1" x14ac:dyDescent="0.25">
      <c r="A1194" s="56" t="s">
        <v>52</v>
      </c>
    </row>
    <row r="1195" spans="1:1" x14ac:dyDescent="0.25">
      <c r="A1195" s="57" t="s">
        <v>52</v>
      </c>
    </row>
    <row r="1196" spans="1:1" x14ac:dyDescent="0.25">
      <c r="A1196" s="58" t="s">
        <v>52</v>
      </c>
    </row>
    <row r="1197" spans="1:1" x14ac:dyDescent="0.25">
      <c r="A1197" s="59" t="s">
        <v>52</v>
      </c>
    </row>
    <row r="1198" spans="1:1" x14ac:dyDescent="0.25">
      <c r="A1198" s="60" t="s">
        <v>52</v>
      </c>
    </row>
    <row r="1199" spans="1:1" x14ac:dyDescent="0.25">
      <c r="A1199" s="61" t="s">
        <v>52</v>
      </c>
    </row>
    <row r="1200" spans="1:1" x14ac:dyDescent="0.25">
      <c r="A1200" s="62" t="s">
        <v>52</v>
      </c>
    </row>
    <row r="1201" spans="1:1" x14ac:dyDescent="0.25">
      <c r="A1201" s="63" t="s">
        <v>52</v>
      </c>
    </row>
    <row r="1202" spans="1:1" x14ac:dyDescent="0.25">
      <c r="A1202" s="64" t="s">
        <v>52</v>
      </c>
    </row>
    <row r="1203" spans="1:1" x14ac:dyDescent="0.25">
      <c r="A1203" s="65" t="s">
        <v>52</v>
      </c>
    </row>
    <row r="1204" spans="1:1" x14ac:dyDescent="0.25">
      <c r="A1204" s="66" t="s">
        <v>52</v>
      </c>
    </row>
    <row r="1205" spans="1:1" x14ac:dyDescent="0.25">
      <c r="A1205" s="67" t="s">
        <v>52</v>
      </c>
    </row>
    <row r="1206" spans="1:1" x14ac:dyDescent="0.25">
      <c r="A1206" s="68" t="s">
        <v>52</v>
      </c>
    </row>
    <row r="1207" spans="1:1" x14ac:dyDescent="0.25">
      <c r="A1207" s="69" t="s">
        <v>52</v>
      </c>
    </row>
    <row r="1208" spans="1:1" x14ac:dyDescent="0.25">
      <c r="A1208" s="70" t="s">
        <v>52</v>
      </c>
    </row>
    <row r="1209" spans="1:1" x14ac:dyDescent="0.25">
      <c r="A1209" s="71" t="s">
        <v>52</v>
      </c>
    </row>
    <row r="1210" spans="1:1" x14ac:dyDescent="0.25">
      <c r="A1210" s="72" t="s">
        <v>52</v>
      </c>
    </row>
    <row r="1211" spans="1:1" x14ac:dyDescent="0.25">
      <c r="A1211" s="73" t="s">
        <v>52</v>
      </c>
    </row>
    <row r="1212" spans="1:1" x14ac:dyDescent="0.25">
      <c r="A1212" s="74" t="s">
        <v>52</v>
      </c>
    </row>
    <row r="1213" spans="1:1" x14ac:dyDescent="0.25">
      <c r="A1213" s="75" t="s">
        <v>52</v>
      </c>
    </row>
    <row r="1214" spans="1:1" x14ac:dyDescent="0.25">
      <c r="A1214" s="76" t="s">
        <v>52</v>
      </c>
    </row>
    <row r="1215" spans="1:1" x14ac:dyDescent="0.25">
      <c r="A1215" s="77" t="s">
        <v>52</v>
      </c>
    </row>
    <row r="1216" spans="1:1" x14ac:dyDescent="0.25">
      <c r="A1216" s="78" t="s">
        <v>52</v>
      </c>
    </row>
    <row r="1217" spans="1:1" x14ac:dyDescent="0.25">
      <c r="A1217" s="79" t="s">
        <v>52</v>
      </c>
    </row>
    <row r="1218" spans="1:1" x14ac:dyDescent="0.25">
      <c r="A1218" s="80" t="s">
        <v>52</v>
      </c>
    </row>
    <row r="1219" spans="1:1" x14ac:dyDescent="0.25">
      <c r="A1219" s="81" t="s">
        <v>52</v>
      </c>
    </row>
    <row r="1220" spans="1:1" x14ac:dyDescent="0.25">
      <c r="A1220" s="82" t="s">
        <v>52</v>
      </c>
    </row>
    <row r="1221" spans="1:1" x14ac:dyDescent="0.25">
      <c r="A1221" s="83" t="s">
        <v>52</v>
      </c>
    </row>
    <row r="1222" spans="1:1" x14ac:dyDescent="0.25">
      <c r="A1222" s="84" t="s">
        <v>52</v>
      </c>
    </row>
    <row r="1223" spans="1:1" x14ac:dyDescent="0.25">
      <c r="A1223" s="85" t="s">
        <v>52</v>
      </c>
    </row>
    <row r="1224" spans="1:1" x14ac:dyDescent="0.25">
      <c r="A1224" s="86" t="s">
        <v>52</v>
      </c>
    </row>
    <row r="1225" spans="1:1" x14ac:dyDescent="0.25">
      <c r="A1225" s="87" t="s">
        <v>52</v>
      </c>
    </row>
    <row r="1226" spans="1:1" x14ac:dyDescent="0.25">
      <c r="A1226" s="88" t="s">
        <v>198</v>
      </c>
    </row>
    <row r="1227" spans="1:1" x14ac:dyDescent="0.25">
      <c r="A1227" s="89" t="s">
        <v>199</v>
      </c>
    </row>
    <row r="1228" spans="1:1" x14ac:dyDescent="0.25">
      <c r="A1228" s="90" t="s">
        <v>52</v>
      </c>
    </row>
    <row r="1229" spans="1:1" x14ac:dyDescent="0.25">
      <c r="A1229" s="18" t="s">
        <v>200</v>
      </c>
    </row>
    <row r="1230" spans="1:1" x14ac:dyDescent="0.25">
      <c r="A1230" s="19" t="s">
        <v>565</v>
      </c>
    </row>
    <row r="1231" spans="1:1" x14ac:dyDescent="0.25">
      <c r="A1231" s="20" t="s">
        <v>566</v>
      </c>
    </row>
    <row r="1232" spans="1:1" x14ac:dyDescent="0.25">
      <c r="A1232" s="21" t="s">
        <v>260</v>
      </c>
    </row>
    <row r="1233" spans="1:1" x14ac:dyDescent="0.25">
      <c r="A1233" s="22" t="s">
        <v>52</v>
      </c>
    </row>
    <row r="1234" spans="1:1" x14ac:dyDescent="0.25">
      <c r="A1234" s="23" t="s">
        <v>52</v>
      </c>
    </row>
    <row r="1235" spans="1:1" x14ac:dyDescent="0.25">
      <c r="A1235" s="24" t="s">
        <v>52</v>
      </c>
    </row>
    <row r="1236" spans="1:1" x14ac:dyDescent="0.25">
      <c r="A1236" s="25" t="s">
        <v>52</v>
      </c>
    </row>
    <row r="1237" spans="1:1" x14ac:dyDescent="0.25">
      <c r="A1237" s="26" t="s">
        <v>261</v>
      </c>
    </row>
    <row r="1238" spans="1:1" x14ac:dyDescent="0.25">
      <c r="A1238" s="27" t="s">
        <v>567</v>
      </c>
    </row>
    <row r="1239" spans="1:1" x14ac:dyDescent="0.25">
      <c r="A1239" s="28" t="s">
        <v>52</v>
      </c>
    </row>
    <row r="1240" spans="1:1" x14ac:dyDescent="0.25">
      <c r="A1240" s="29" t="s">
        <v>568</v>
      </c>
    </row>
    <row r="1241" spans="1:1" x14ac:dyDescent="0.25">
      <c r="A1241" s="30" t="s">
        <v>201</v>
      </c>
    </row>
    <row r="1242" spans="1:1" x14ac:dyDescent="0.25">
      <c r="A1242" s="31" t="s">
        <v>202</v>
      </c>
    </row>
    <row r="1243" spans="1:1" x14ac:dyDescent="0.25">
      <c r="A1243" s="32" t="s">
        <v>52</v>
      </c>
    </row>
    <row r="1244" spans="1:1" x14ac:dyDescent="0.25">
      <c r="A1244" s="33" t="s">
        <v>52</v>
      </c>
    </row>
    <row r="1245" spans="1:1" x14ac:dyDescent="0.25">
      <c r="A1245" s="34" t="s">
        <v>52</v>
      </c>
    </row>
    <row r="1246" spans="1:1" x14ac:dyDescent="0.25">
      <c r="A1246" s="35" t="s">
        <v>262</v>
      </c>
    </row>
    <row r="1247" spans="1:1" x14ac:dyDescent="0.25">
      <c r="A1247" s="36" t="s">
        <v>52</v>
      </c>
    </row>
    <row r="1248" spans="1:1" x14ac:dyDescent="0.25">
      <c r="A1248" s="37" t="s">
        <v>263</v>
      </c>
    </row>
    <row r="1249" spans="1:1" x14ac:dyDescent="0.25">
      <c r="A1249" s="38" t="s">
        <v>52</v>
      </c>
    </row>
    <row r="1250" spans="1:1" x14ac:dyDescent="0.25">
      <c r="A1250" s="39" t="s">
        <v>52</v>
      </c>
    </row>
    <row r="1251" spans="1:1" x14ac:dyDescent="0.25">
      <c r="A1251" s="40" t="s">
        <v>52</v>
      </c>
    </row>
    <row r="1252" spans="1:1" x14ac:dyDescent="0.25">
      <c r="A1252" s="41" t="s">
        <v>52</v>
      </c>
    </row>
    <row r="1253" spans="1:1" x14ac:dyDescent="0.25">
      <c r="A1253" s="42" t="s">
        <v>52</v>
      </c>
    </row>
    <row r="1254" spans="1:1" x14ac:dyDescent="0.25">
      <c r="A1254" s="43" t="s">
        <v>52</v>
      </c>
    </row>
    <row r="1255" spans="1:1" x14ac:dyDescent="0.25">
      <c r="A1255" s="44" t="s">
        <v>203</v>
      </c>
    </row>
    <row r="1256" spans="1:1" x14ac:dyDescent="0.25">
      <c r="A1256" s="45" t="s">
        <v>52</v>
      </c>
    </row>
    <row r="1257" spans="1:1" x14ac:dyDescent="0.25">
      <c r="A1257" s="46" t="s">
        <v>52</v>
      </c>
    </row>
    <row r="1258" spans="1:1" x14ac:dyDescent="0.25">
      <c r="A1258" s="47" t="s">
        <v>52</v>
      </c>
    </row>
    <row r="1259" spans="1:1" x14ac:dyDescent="0.25">
      <c r="A1259" s="48" t="s">
        <v>52</v>
      </c>
    </row>
    <row r="1260" spans="1:1" x14ac:dyDescent="0.25">
      <c r="A1260" s="49" t="s">
        <v>52</v>
      </c>
    </row>
    <row r="1261" spans="1:1" x14ac:dyDescent="0.25">
      <c r="A1261" s="50" t="s">
        <v>52</v>
      </c>
    </row>
    <row r="1262" spans="1:1" x14ac:dyDescent="0.25">
      <c r="A1262" s="51" t="s">
        <v>52</v>
      </c>
    </row>
    <row r="1263" spans="1:1" x14ac:dyDescent="0.25">
      <c r="A1263" s="52" t="s">
        <v>52</v>
      </c>
    </row>
    <row r="1264" spans="1:1" x14ac:dyDescent="0.25">
      <c r="A1264" s="53" t="s">
        <v>52</v>
      </c>
    </row>
    <row r="1265" spans="1:1" x14ac:dyDescent="0.25">
      <c r="A1265" s="54" t="s">
        <v>52</v>
      </c>
    </row>
    <row r="1266" spans="1:1" x14ac:dyDescent="0.25">
      <c r="A1266" s="55" t="s">
        <v>52</v>
      </c>
    </row>
    <row r="1267" spans="1:1" x14ac:dyDescent="0.25">
      <c r="A1267" s="56" t="s">
        <v>52</v>
      </c>
    </row>
    <row r="1268" spans="1:1" x14ac:dyDescent="0.25">
      <c r="A1268" s="57" t="s">
        <v>52</v>
      </c>
    </row>
    <row r="1269" spans="1:1" x14ac:dyDescent="0.25">
      <c r="A1269" s="58" t="s">
        <v>52</v>
      </c>
    </row>
    <row r="1270" spans="1:1" x14ac:dyDescent="0.25">
      <c r="A1270" s="59" t="s">
        <v>52</v>
      </c>
    </row>
    <row r="1271" spans="1:1" x14ac:dyDescent="0.25">
      <c r="A1271" s="60" t="s">
        <v>52</v>
      </c>
    </row>
    <row r="1272" spans="1:1" x14ac:dyDescent="0.25">
      <c r="A1272" s="61" t="s">
        <v>52</v>
      </c>
    </row>
    <row r="1273" spans="1:1" x14ac:dyDescent="0.25">
      <c r="A1273" s="62" t="s">
        <v>52</v>
      </c>
    </row>
    <row r="1274" spans="1:1" x14ac:dyDescent="0.25">
      <c r="A1274" s="63" t="s">
        <v>52</v>
      </c>
    </row>
    <row r="1275" spans="1:1" x14ac:dyDescent="0.25">
      <c r="A1275" s="64" t="s">
        <v>52</v>
      </c>
    </row>
    <row r="1276" spans="1:1" x14ac:dyDescent="0.25">
      <c r="A1276" s="65" t="s">
        <v>52</v>
      </c>
    </row>
    <row r="1277" spans="1:1" x14ac:dyDescent="0.25">
      <c r="A1277" s="66" t="s">
        <v>52</v>
      </c>
    </row>
    <row r="1278" spans="1:1" x14ac:dyDescent="0.25">
      <c r="A1278" s="67" t="s">
        <v>52</v>
      </c>
    </row>
    <row r="1279" spans="1:1" x14ac:dyDescent="0.25">
      <c r="A1279" s="68" t="s">
        <v>52</v>
      </c>
    </row>
    <row r="1280" spans="1:1" x14ac:dyDescent="0.25">
      <c r="A1280" s="69" t="s">
        <v>52</v>
      </c>
    </row>
    <row r="1281" spans="1:1" x14ac:dyDescent="0.25">
      <c r="A1281" s="70" t="s">
        <v>52</v>
      </c>
    </row>
    <row r="1282" spans="1:1" x14ac:dyDescent="0.25">
      <c r="A1282" s="71" t="s">
        <v>52</v>
      </c>
    </row>
    <row r="1283" spans="1:1" x14ac:dyDescent="0.25">
      <c r="A1283" s="72" t="s">
        <v>52</v>
      </c>
    </row>
    <row r="1284" spans="1:1" x14ac:dyDescent="0.25">
      <c r="A1284" s="73" t="s">
        <v>52</v>
      </c>
    </row>
    <row r="1285" spans="1:1" x14ac:dyDescent="0.25">
      <c r="A1285" s="74" t="s">
        <v>52</v>
      </c>
    </row>
    <row r="1286" spans="1:1" x14ac:dyDescent="0.25">
      <c r="A1286" s="75" t="s">
        <v>52</v>
      </c>
    </row>
    <row r="1287" spans="1:1" x14ac:dyDescent="0.25">
      <c r="A1287" s="76" t="s">
        <v>52</v>
      </c>
    </row>
    <row r="1288" spans="1:1" x14ac:dyDescent="0.25">
      <c r="A1288" s="77" t="s">
        <v>52</v>
      </c>
    </row>
    <row r="1289" spans="1:1" x14ac:dyDescent="0.25">
      <c r="A1289" s="78" t="s">
        <v>52</v>
      </c>
    </row>
    <row r="1290" spans="1:1" x14ac:dyDescent="0.25">
      <c r="A1290" s="79" t="s">
        <v>52</v>
      </c>
    </row>
    <row r="1291" spans="1:1" x14ac:dyDescent="0.25">
      <c r="A1291" s="80" t="s">
        <v>52</v>
      </c>
    </row>
    <row r="1292" spans="1:1" x14ac:dyDescent="0.25">
      <c r="A1292" s="81" t="s">
        <v>52</v>
      </c>
    </row>
    <row r="1293" spans="1:1" x14ac:dyDescent="0.25">
      <c r="A1293" s="82" t="s">
        <v>52</v>
      </c>
    </row>
    <row r="1294" spans="1:1" x14ac:dyDescent="0.25">
      <c r="A1294" s="83" t="s">
        <v>52</v>
      </c>
    </row>
    <row r="1295" spans="1:1" x14ac:dyDescent="0.25">
      <c r="A1295" s="84" t="s">
        <v>52</v>
      </c>
    </row>
    <row r="1296" spans="1:1" x14ac:dyDescent="0.25">
      <c r="A1296" s="85" t="s">
        <v>52</v>
      </c>
    </row>
    <row r="1297" spans="1:1" x14ac:dyDescent="0.25">
      <c r="A1297" s="86" t="s">
        <v>52</v>
      </c>
    </row>
    <row r="1298" spans="1:1" x14ac:dyDescent="0.25">
      <c r="A1298" s="87" t="s">
        <v>52</v>
      </c>
    </row>
    <row r="1299" spans="1:1" x14ac:dyDescent="0.25">
      <c r="A1299" s="88" t="s">
        <v>204</v>
      </c>
    </row>
    <row r="1300" spans="1:1" x14ac:dyDescent="0.25">
      <c r="A1300" s="89" t="s">
        <v>205</v>
      </c>
    </row>
    <row r="1301" spans="1:1" x14ac:dyDescent="0.25">
      <c r="A1301" s="90" t="s">
        <v>52</v>
      </c>
    </row>
    <row r="1302" spans="1:1" x14ac:dyDescent="0.25">
      <c r="A1302" s="18" t="s">
        <v>569</v>
      </c>
    </row>
    <row r="1303" spans="1:1" x14ac:dyDescent="0.25">
      <c r="A1303" s="19" t="s">
        <v>570</v>
      </c>
    </row>
    <row r="1304" spans="1:1" x14ac:dyDescent="0.25">
      <c r="A1304" s="20" t="s">
        <v>52</v>
      </c>
    </row>
    <row r="1305" spans="1:1" x14ac:dyDescent="0.25">
      <c r="A1305" s="21" t="s">
        <v>52</v>
      </c>
    </row>
    <row r="1306" spans="1:1" x14ac:dyDescent="0.25">
      <c r="A1306" s="22" t="s">
        <v>52</v>
      </c>
    </row>
    <row r="1307" spans="1:1" x14ac:dyDescent="0.25">
      <c r="A1307" s="23" t="s">
        <v>52</v>
      </c>
    </row>
    <row r="1308" spans="1:1" x14ac:dyDescent="0.25">
      <c r="A1308" s="24" t="s">
        <v>52</v>
      </c>
    </row>
    <row r="1309" spans="1:1" x14ac:dyDescent="0.25">
      <c r="A1309" s="25" t="s">
        <v>52</v>
      </c>
    </row>
    <row r="1310" spans="1:1" x14ac:dyDescent="0.25">
      <c r="A1310" s="26" t="s">
        <v>571</v>
      </c>
    </row>
    <row r="1311" spans="1:1" x14ac:dyDescent="0.25">
      <c r="A1311" s="27" t="s">
        <v>572</v>
      </c>
    </row>
    <row r="1312" spans="1:1" x14ac:dyDescent="0.25">
      <c r="A1312" s="28" t="s">
        <v>52</v>
      </c>
    </row>
    <row r="1313" spans="1:1" x14ac:dyDescent="0.25">
      <c r="A1313" s="29" t="s">
        <v>52</v>
      </c>
    </row>
    <row r="1314" spans="1:1" x14ac:dyDescent="0.25">
      <c r="A1314" s="30" t="s">
        <v>573</v>
      </c>
    </row>
    <row r="1315" spans="1:1" x14ac:dyDescent="0.25">
      <c r="A1315" s="31" t="s">
        <v>52</v>
      </c>
    </row>
    <row r="1316" spans="1:1" x14ac:dyDescent="0.25">
      <c r="A1316" s="32" t="s">
        <v>52</v>
      </c>
    </row>
    <row r="1317" spans="1:1" x14ac:dyDescent="0.25">
      <c r="A1317" s="33" t="s">
        <v>52</v>
      </c>
    </row>
    <row r="1318" spans="1:1" x14ac:dyDescent="0.25">
      <c r="A1318" s="34" t="s">
        <v>52</v>
      </c>
    </row>
    <row r="1319" spans="1:1" x14ac:dyDescent="0.25">
      <c r="A1319" s="35" t="s">
        <v>52</v>
      </c>
    </row>
    <row r="1320" spans="1:1" x14ac:dyDescent="0.25">
      <c r="A1320" s="36" t="s">
        <v>52</v>
      </c>
    </row>
    <row r="1321" spans="1:1" x14ac:dyDescent="0.25">
      <c r="A1321" s="37" t="s">
        <v>52</v>
      </c>
    </row>
    <row r="1322" spans="1:1" x14ac:dyDescent="0.25">
      <c r="A1322" s="38" t="s">
        <v>52</v>
      </c>
    </row>
    <row r="1323" spans="1:1" x14ac:dyDescent="0.25">
      <c r="A1323" s="39" t="s">
        <v>52</v>
      </c>
    </row>
    <row r="1324" spans="1:1" x14ac:dyDescent="0.25">
      <c r="A1324" s="40" t="s">
        <v>52</v>
      </c>
    </row>
    <row r="1325" spans="1:1" x14ac:dyDescent="0.25">
      <c r="A1325" s="41" t="s">
        <v>52</v>
      </c>
    </row>
    <row r="1326" spans="1:1" x14ac:dyDescent="0.25">
      <c r="A1326" s="42" t="s">
        <v>52</v>
      </c>
    </row>
    <row r="1327" spans="1:1" x14ac:dyDescent="0.25">
      <c r="A1327" s="43" t="s">
        <v>52</v>
      </c>
    </row>
    <row r="1328" spans="1:1" x14ac:dyDescent="0.25">
      <c r="A1328" s="44" t="s">
        <v>574</v>
      </c>
    </row>
    <row r="1329" spans="1:1" x14ac:dyDescent="0.25">
      <c r="A1329" s="45" t="s">
        <v>52</v>
      </c>
    </row>
    <row r="1330" spans="1:1" x14ac:dyDescent="0.25">
      <c r="A1330" s="46" t="s">
        <v>52</v>
      </c>
    </row>
    <row r="1331" spans="1:1" x14ac:dyDescent="0.25">
      <c r="A1331" s="47" t="s">
        <v>52</v>
      </c>
    </row>
    <row r="1332" spans="1:1" x14ac:dyDescent="0.25">
      <c r="A1332" s="48" t="s">
        <v>52</v>
      </c>
    </row>
    <row r="1333" spans="1:1" x14ac:dyDescent="0.25">
      <c r="A1333" s="49" t="s">
        <v>52</v>
      </c>
    </row>
    <row r="1334" spans="1:1" x14ac:dyDescent="0.25">
      <c r="A1334" s="50" t="s">
        <v>52</v>
      </c>
    </row>
    <row r="1335" spans="1:1" x14ac:dyDescent="0.25">
      <c r="A1335" s="51" t="s">
        <v>52</v>
      </c>
    </row>
    <row r="1336" spans="1:1" x14ac:dyDescent="0.25">
      <c r="A1336" s="52" t="s">
        <v>52</v>
      </c>
    </row>
    <row r="1337" spans="1:1" x14ac:dyDescent="0.25">
      <c r="A1337" s="53" t="s">
        <v>52</v>
      </c>
    </row>
    <row r="1338" spans="1:1" x14ac:dyDescent="0.25">
      <c r="A1338" s="54" t="s">
        <v>52</v>
      </c>
    </row>
    <row r="1339" spans="1:1" x14ac:dyDescent="0.25">
      <c r="A1339" s="55" t="s">
        <v>52</v>
      </c>
    </row>
    <row r="1340" spans="1:1" x14ac:dyDescent="0.25">
      <c r="A1340" s="56" t="s">
        <v>52</v>
      </c>
    </row>
    <row r="1341" spans="1:1" x14ac:dyDescent="0.25">
      <c r="A1341" s="57" t="s">
        <v>52</v>
      </c>
    </row>
    <row r="1342" spans="1:1" x14ac:dyDescent="0.25">
      <c r="A1342" s="58" t="s">
        <v>52</v>
      </c>
    </row>
    <row r="1343" spans="1:1" x14ac:dyDescent="0.25">
      <c r="A1343" s="59" t="s">
        <v>52</v>
      </c>
    </row>
    <row r="1344" spans="1:1" x14ac:dyDescent="0.25">
      <c r="A1344" s="60" t="s">
        <v>52</v>
      </c>
    </row>
    <row r="1345" spans="1:1" x14ac:dyDescent="0.25">
      <c r="A1345" s="61" t="s">
        <v>52</v>
      </c>
    </row>
    <row r="1346" spans="1:1" x14ac:dyDescent="0.25">
      <c r="A1346" s="62" t="s">
        <v>52</v>
      </c>
    </row>
    <row r="1347" spans="1:1" x14ac:dyDescent="0.25">
      <c r="A1347" s="63" t="s">
        <v>52</v>
      </c>
    </row>
    <row r="1348" spans="1:1" x14ac:dyDescent="0.25">
      <c r="A1348" s="64" t="s">
        <v>52</v>
      </c>
    </row>
    <row r="1349" spans="1:1" x14ac:dyDescent="0.25">
      <c r="A1349" s="65" t="s">
        <v>52</v>
      </c>
    </row>
    <row r="1350" spans="1:1" x14ac:dyDescent="0.25">
      <c r="A1350" s="66" t="s">
        <v>52</v>
      </c>
    </row>
    <row r="1351" spans="1:1" x14ac:dyDescent="0.25">
      <c r="A1351" s="67" t="s">
        <v>52</v>
      </c>
    </row>
    <row r="1352" spans="1:1" x14ac:dyDescent="0.25">
      <c r="A1352" s="68" t="s">
        <v>52</v>
      </c>
    </row>
    <row r="1353" spans="1:1" x14ac:dyDescent="0.25">
      <c r="A1353" s="69" t="s">
        <v>52</v>
      </c>
    </row>
    <row r="1354" spans="1:1" x14ac:dyDescent="0.25">
      <c r="A1354" s="70" t="s">
        <v>52</v>
      </c>
    </row>
    <row r="1355" spans="1:1" x14ac:dyDescent="0.25">
      <c r="A1355" s="71" t="s">
        <v>52</v>
      </c>
    </row>
    <row r="1356" spans="1:1" x14ac:dyDescent="0.25">
      <c r="A1356" s="72" t="s">
        <v>52</v>
      </c>
    </row>
    <row r="1357" spans="1:1" x14ac:dyDescent="0.25">
      <c r="A1357" s="73" t="s">
        <v>52</v>
      </c>
    </row>
    <row r="1358" spans="1:1" x14ac:dyDescent="0.25">
      <c r="A1358" s="74" t="s">
        <v>52</v>
      </c>
    </row>
    <row r="1359" spans="1:1" x14ac:dyDescent="0.25">
      <c r="A1359" s="75" t="s">
        <v>52</v>
      </c>
    </row>
    <row r="1360" spans="1:1" x14ac:dyDescent="0.25">
      <c r="A1360" s="76" t="s">
        <v>52</v>
      </c>
    </row>
    <row r="1361" spans="1:1" x14ac:dyDescent="0.25">
      <c r="A1361" s="77" t="s">
        <v>52</v>
      </c>
    </row>
    <row r="1362" spans="1:1" x14ac:dyDescent="0.25">
      <c r="A1362" s="78" t="s">
        <v>52</v>
      </c>
    </row>
    <row r="1363" spans="1:1" x14ac:dyDescent="0.25">
      <c r="A1363" s="79" t="s">
        <v>52</v>
      </c>
    </row>
    <row r="1364" spans="1:1" x14ac:dyDescent="0.25">
      <c r="A1364" s="80" t="s">
        <v>52</v>
      </c>
    </row>
    <row r="1365" spans="1:1" x14ac:dyDescent="0.25">
      <c r="A1365" s="81" t="s">
        <v>52</v>
      </c>
    </row>
    <row r="1366" spans="1:1" x14ac:dyDescent="0.25">
      <c r="A1366" s="82" t="s">
        <v>52</v>
      </c>
    </row>
    <row r="1367" spans="1:1" x14ac:dyDescent="0.25">
      <c r="A1367" s="83" t="s">
        <v>52</v>
      </c>
    </row>
    <row r="1368" spans="1:1" x14ac:dyDescent="0.25">
      <c r="A1368" s="84" t="s">
        <v>52</v>
      </c>
    </row>
    <row r="1369" spans="1:1" x14ac:dyDescent="0.25">
      <c r="A1369" s="85" t="s">
        <v>52</v>
      </c>
    </row>
    <row r="1370" spans="1:1" x14ac:dyDescent="0.25">
      <c r="A1370" s="86" t="s">
        <v>52</v>
      </c>
    </row>
    <row r="1371" spans="1:1" x14ac:dyDescent="0.25">
      <c r="A1371" s="87" t="s">
        <v>52</v>
      </c>
    </row>
    <row r="1372" spans="1:1" x14ac:dyDescent="0.25">
      <c r="A1372" s="88" t="s">
        <v>52</v>
      </c>
    </row>
    <row r="1373" spans="1:1" x14ac:dyDescent="0.25">
      <c r="A1373" s="89" t="s">
        <v>52</v>
      </c>
    </row>
    <row r="1374" spans="1:1" x14ac:dyDescent="0.25">
      <c r="A1374" s="90" t="s">
        <v>52</v>
      </c>
    </row>
    <row r="1375" spans="1:1" x14ac:dyDescent="0.25">
      <c r="A1375" s="18" t="s">
        <v>575</v>
      </c>
    </row>
    <row r="1376" spans="1:1" x14ac:dyDescent="0.25">
      <c r="A1376" s="19" t="s">
        <v>576</v>
      </c>
    </row>
    <row r="1377" spans="1:1" x14ac:dyDescent="0.25">
      <c r="A1377" s="20" t="s">
        <v>52</v>
      </c>
    </row>
    <row r="1378" spans="1:1" x14ac:dyDescent="0.25">
      <c r="A1378" s="21" t="s">
        <v>577</v>
      </c>
    </row>
    <row r="1379" spans="1:1" x14ac:dyDescent="0.25">
      <c r="A1379" s="22" t="s">
        <v>52</v>
      </c>
    </row>
    <row r="1380" spans="1:1" x14ac:dyDescent="0.25">
      <c r="A1380" s="23" t="s">
        <v>52</v>
      </c>
    </row>
    <row r="1381" spans="1:1" x14ac:dyDescent="0.25">
      <c r="A1381" s="24" t="s">
        <v>52</v>
      </c>
    </row>
    <row r="1382" spans="1:1" x14ac:dyDescent="0.25">
      <c r="A1382" s="25" t="s">
        <v>52</v>
      </c>
    </row>
    <row r="1383" spans="1:1" x14ac:dyDescent="0.25">
      <c r="A1383" s="26" t="s">
        <v>52</v>
      </c>
    </row>
    <row r="1384" spans="1:1" x14ac:dyDescent="0.25">
      <c r="A1384" s="27" t="s">
        <v>52</v>
      </c>
    </row>
    <row r="1385" spans="1:1" x14ac:dyDescent="0.25">
      <c r="A1385" s="28" t="s">
        <v>52</v>
      </c>
    </row>
    <row r="1386" spans="1:1" x14ac:dyDescent="0.25">
      <c r="A1386" s="29" t="s">
        <v>578</v>
      </c>
    </row>
    <row r="1387" spans="1:1" x14ac:dyDescent="0.25">
      <c r="A1387" s="30" t="s">
        <v>52</v>
      </c>
    </row>
    <row r="1388" spans="1:1" x14ac:dyDescent="0.25">
      <c r="A1388" s="31" t="s">
        <v>52</v>
      </c>
    </row>
    <row r="1389" spans="1:1" x14ac:dyDescent="0.25">
      <c r="A1389" s="32" t="s">
        <v>52</v>
      </c>
    </row>
    <row r="1390" spans="1:1" x14ac:dyDescent="0.25">
      <c r="A1390" s="33" t="s">
        <v>52</v>
      </c>
    </row>
    <row r="1391" spans="1:1" x14ac:dyDescent="0.25">
      <c r="A1391" s="34" t="s">
        <v>52</v>
      </c>
    </row>
    <row r="1392" spans="1:1" x14ac:dyDescent="0.25">
      <c r="A1392" s="35" t="s">
        <v>52</v>
      </c>
    </row>
    <row r="1393" spans="1:1" x14ac:dyDescent="0.25">
      <c r="A1393" s="36" t="s">
        <v>52</v>
      </c>
    </row>
    <row r="1394" spans="1:1" x14ac:dyDescent="0.25">
      <c r="A1394" s="37" t="s">
        <v>52</v>
      </c>
    </row>
    <row r="1395" spans="1:1" x14ac:dyDescent="0.25">
      <c r="A1395" s="38" t="s">
        <v>52</v>
      </c>
    </row>
    <row r="1396" spans="1:1" x14ac:dyDescent="0.25">
      <c r="A1396" s="39" t="s">
        <v>52</v>
      </c>
    </row>
    <row r="1397" spans="1:1" x14ac:dyDescent="0.25">
      <c r="A1397" s="40" t="s">
        <v>52</v>
      </c>
    </row>
    <row r="1398" spans="1:1" x14ac:dyDescent="0.25">
      <c r="A1398" s="41" t="s">
        <v>52</v>
      </c>
    </row>
    <row r="1399" spans="1:1" x14ac:dyDescent="0.25">
      <c r="A1399" s="42" t="s">
        <v>52</v>
      </c>
    </row>
    <row r="1400" spans="1:1" x14ac:dyDescent="0.25">
      <c r="A1400" s="43" t="s">
        <v>52</v>
      </c>
    </row>
    <row r="1401" spans="1:1" x14ac:dyDescent="0.25">
      <c r="A1401" s="44" t="s">
        <v>52</v>
      </c>
    </row>
    <row r="1402" spans="1:1" x14ac:dyDescent="0.25">
      <c r="A1402" s="45" t="s">
        <v>52</v>
      </c>
    </row>
    <row r="1403" spans="1:1" x14ac:dyDescent="0.25">
      <c r="A1403" s="46" t="s">
        <v>52</v>
      </c>
    </row>
    <row r="1404" spans="1:1" x14ac:dyDescent="0.25">
      <c r="A1404" s="47" t="s">
        <v>52</v>
      </c>
    </row>
    <row r="1405" spans="1:1" x14ac:dyDescent="0.25">
      <c r="A1405" s="48" t="s">
        <v>52</v>
      </c>
    </row>
    <row r="1406" spans="1:1" x14ac:dyDescent="0.25">
      <c r="A1406" s="49" t="s">
        <v>52</v>
      </c>
    </row>
    <row r="1407" spans="1:1" x14ac:dyDescent="0.25">
      <c r="A1407" s="50" t="s">
        <v>52</v>
      </c>
    </row>
    <row r="1408" spans="1:1" x14ac:dyDescent="0.25">
      <c r="A1408" s="51" t="s">
        <v>52</v>
      </c>
    </row>
    <row r="1409" spans="1:1" x14ac:dyDescent="0.25">
      <c r="A1409" s="52" t="s">
        <v>52</v>
      </c>
    </row>
    <row r="1410" spans="1:1" x14ac:dyDescent="0.25">
      <c r="A1410" s="53" t="s">
        <v>52</v>
      </c>
    </row>
    <row r="1411" spans="1:1" x14ac:dyDescent="0.25">
      <c r="A1411" s="54" t="s">
        <v>52</v>
      </c>
    </row>
    <row r="1412" spans="1:1" x14ac:dyDescent="0.25">
      <c r="A1412" s="55" t="s">
        <v>52</v>
      </c>
    </row>
    <row r="1413" spans="1:1" x14ac:dyDescent="0.25">
      <c r="A1413" s="56" t="s">
        <v>52</v>
      </c>
    </row>
    <row r="1414" spans="1:1" x14ac:dyDescent="0.25">
      <c r="A1414" s="57" t="s">
        <v>52</v>
      </c>
    </row>
    <row r="1415" spans="1:1" x14ac:dyDescent="0.25">
      <c r="A1415" s="58" t="s">
        <v>52</v>
      </c>
    </row>
    <row r="1416" spans="1:1" x14ac:dyDescent="0.25">
      <c r="A1416" s="59" t="s">
        <v>52</v>
      </c>
    </row>
    <row r="1417" spans="1:1" x14ac:dyDescent="0.25">
      <c r="A1417" s="60" t="s">
        <v>52</v>
      </c>
    </row>
    <row r="1418" spans="1:1" x14ac:dyDescent="0.25">
      <c r="A1418" s="61" t="s">
        <v>52</v>
      </c>
    </row>
    <row r="1419" spans="1:1" x14ac:dyDescent="0.25">
      <c r="A1419" s="62" t="s">
        <v>52</v>
      </c>
    </row>
    <row r="1420" spans="1:1" x14ac:dyDescent="0.25">
      <c r="A1420" s="63" t="s">
        <v>52</v>
      </c>
    </row>
    <row r="1421" spans="1:1" x14ac:dyDescent="0.25">
      <c r="A1421" s="64" t="s">
        <v>52</v>
      </c>
    </row>
    <row r="1422" spans="1:1" x14ac:dyDescent="0.25">
      <c r="A1422" s="65" t="s">
        <v>52</v>
      </c>
    </row>
    <row r="1423" spans="1:1" x14ac:dyDescent="0.25">
      <c r="A1423" s="66" t="s">
        <v>52</v>
      </c>
    </row>
    <row r="1424" spans="1:1" x14ac:dyDescent="0.25">
      <c r="A1424" s="67" t="s">
        <v>52</v>
      </c>
    </row>
    <row r="1425" spans="1:1" x14ac:dyDescent="0.25">
      <c r="A1425" s="68" t="s">
        <v>52</v>
      </c>
    </row>
    <row r="1426" spans="1:1" x14ac:dyDescent="0.25">
      <c r="A1426" s="69" t="s">
        <v>52</v>
      </c>
    </row>
    <row r="1427" spans="1:1" x14ac:dyDescent="0.25">
      <c r="A1427" s="70" t="s">
        <v>52</v>
      </c>
    </row>
    <row r="1428" spans="1:1" x14ac:dyDescent="0.25">
      <c r="A1428" s="71" t="s">
        <v>52</v>
      </c>
    </row>
    <row r="1429" spans="1:1" x14ac:dyDescent="0.25">
      <c r="A1429" s="72" t="s">
        <v>579</v>
      </c>
    </row>
    <row r="1430" spans="1:1" x14ac:dyDescent="0.25">
      <c r="A1430" s="73" t="s">
        <v>52</v>
      </c>
    </row>
    <row r="1431" spans="1:1" x14ac:dyDescent="0.25">
      <c r="A1431" s="74" t="s">
        <v>52</v>
      </c>
    </row>
    <row r="1432" spans="1:1" x14ac:dyDescent="0.25">
      <c r="A1432" s="75" t="s">
        <v>52</v>
      </c>
    </row>
    <row r="1433" spans="1:1" x14ac:dyDescent="0.25">
      <c r="A1433" s="76" t="s">
        <v>52</v>
      </c>
    </row>
    <row r="1434" spans="1:1" x14ac:dyDescent="0.25">
      <c r="A1434" s="77" t="s">
        <v>52</v>
      </c>
    </row>
    <row r="1435" spans="1:1" x14ac:dyDescent="0.25">
      <c r="A1435" s="78" t="s">
        <v>52</v>
      </c>
    </row>
    <row r="1436" spans="1:1" x14ac:dyDescent="0.25">
      <c r="A1436" s="79" t="s">
        <v>52</v>
      </c>
    </row>
    <row r="1437" spans="1:1" x14ac:dyDescent="0.25">
      <c r="A1437" s="80" t="s">
        <v>52</v>
      </c>
    </row>
    <row r="1438" spans="1:1" x14ac:dyDescent="0.25">
      <c r="A1438" s="81" t="s">
        <v>52</v>
      </c>
    </row>
    <row r="1439" spans="1:1" x14ac:dyDescent="0.25">
      <c r="A1439" s="82" t="s">
        <v>52</v>
      </c>
    </row>
    <row r="1440" spans="1:1" x14ac:dyDescent="0.25">
      <c r="A1440" s="83" t="s">
        <v>52</v>
      </c>
    </row>
    <row r="1441" spans="1:1" x14ac:dyDescent="0.25">
      <c r="A1441" s="84" t="s">
        <v>52</v>
      </c>
    </row>
    <row r="1442" spans="1:1" x14ac:dyDescent="0.25">
      <c r="A1442" s="85" t="s">
        <v>52</v>
      </c>
    </row>
    <row r="1443" spans="1:1" x14ac:dyDescent="0.25">
      <c r="A1443" s="86" t="s">
        <v>52</v>
      </c>
    </row>
    <row r="1444" spans="1:1" x14ac:dyDescent="0.25">
      <c r="A1444" s="87" t="s">
        <v>52</v>
      </c>
    </row>
    <row r="1445" spans="1:1" x14ac:dyDescent="0.25">
      <c r="A1445" s="88" t="s">
        <v>52</v>
      </c>
    </row>
    <row r="1446" spans="1:1" x14ac:dyDescent="0.25">
      <c r="A1446" s="89" t="s">
        <v>52</v>
      </c>
    </row>
    <row r="1447" spans="1:1" x14ac:dyDescent="0.25">
      <c r="A1447" s="90" t="s">
        <v>52</v>
      </c>
    </row>
    <row r="1448" spans="1:1" x14ac:dyDescent="0.25">
      <c r="A1448" s="18" t="s">
        <v>763</v>
      </c>
    </row>
    <row r="1449" spans="1:1" x14ac:dyDescent="0.25">
      <c r="A1449" s="19" t="s">
        <v>52</v>
      </c>
    </row>
    <row r="1450" spans="1:1" x14ac:dyDescent="0.25">
      <c r="A1450" s="20" t="s">
        <v>52</v>
      </c>
    </row>
    <row r="1451" spans="1:1" x14ac:dyDescent="0.25">
      <c r="A1451" s="21" t="s">
        <v>52</v>
      </c>
    </row>
    <row r="1452" spans="1:1" x14ac:dyDescent="0.25">
      <c r="A1452" s="22" t="s">
        <v>52</v>
      </c>
    </row>
    <row r="1453" spans="1:1" x14ac:dyDescent="0.25">
      <c r="A1453" s="23" t="s">
        <v>52</v>
      </c>
    </row>
    <row r="1454" spans="1:1" x14ac:dyDescent="0.25">
      <c r="A1454" s="24" t="s">
        <v>52</v>
      </c>
    </row>
    <row r="1455" spans="1:1" x14ac:dyDescent="0.25">
      <c r="A1455" s="25" t="s">
        <v>52</v>
      </c>
    </row>
    <row r="1456" spans="1:1" x14ac:dyDescent="0.25">
      <c r="A1456" s="26" t="s">
        <v>764</v>
      </c>
    </row>
    <row r="1457" spans="1:1" x14ac:dyDescent="0.25">
      <c r="A1457" s="27" t="s">
        <v>765</v>
      </c>
    </row>
    <row r="1458" spans="1:1" x14ac:dyDescent="0.25">
      <c r="A1458" s="28" t="s">
        <v>52</v>
      </c>
    </row>
    <row r="1459" spans="1:1" x14ac:dyDescent="0.25">
      <c r="A1459" s="29" t="s">
        <v>52</v>
      </c>
    </row>
    <row r="1460" spans="1:1" x14ac:dyDescent="0.25">
      <c r="A1460" s="30" t="s">
        <v>52</v>
      </c>
    </row>
    <row r="1461" spans="1:1" x14ac:dyDescent="0.25">
      <c r="A1461" s="31" t="s">
        <v>52</v>
      </c>
    </row>
    <row r="1462" spans="1:1" x14ac:dyDescent="0.25">
      <c r="A1462" s="32" t="s">
        <v>52</v>
      </c>
    </row>
    <row r="1463" spans="1:1" x14ac:dyDescent="0.25">
      <c r="A1463" s="33" t="s">
        <v>52</v>
      </c>
    </row>
    <row r="1464" spans="1:1" x14ac:dyDescent="0.25">
      <c r="A1464" s="34" t="s">
        <v>52</v>
      </c>
    </row>
    <row r="1465" spans="1:1" x14ac:dyDescent="0.25">
      <c r="A1465" s="35" t="s">
        <v>52</v>
      </c>
    </row>
    <row r="1466" spans="1:1" x14ac:dyDescent="0.25">
      <c r="A1466" s="36" t="s">
        <v>52</v>
      </c>
    </row>
    <row r="1467" spans="1:1" x14ac:dyDescent="0.25">
      <c r="A1467" s="37" t="s">
        <v>52</v>
      </c>
    </row>
    <row r="1468" spans="1:1" x14ac:dyDescent="0.25">
      <c r="A1468" s="38" t="s">
        <v>52</v>
      </c>
    </row>
    <row r="1469" spans="1:1" x14ac:dyDescent="0.25">
      <c r="A1469" s="39" t="s">
        <v>52</v>
      </c>
    </row>
    <row r="1470" spans="1:1" x14ac:dyDescent="0.25">
      <c r="A1470" s="40" t="s">
        <v>52</v>
      </c>
    </row>
    <row r="1471" spans="1:1" x14ac:dyDescent="0.25">
      <c r="A1471" s="41" t="s">
        <v>52</v>
      </c>
    </row>
    <row r="1472" spans="1:1" x14ac:dyDescent="0.25">
      <c r="A1472" s="42" t="s">
        <v>52</v>
      </c>
    </row>
    <row r="1473" spans="1:1" x14ac:dyDescent="0.25">
      <c r="A1473" s="43" t="s">
        <v>52</v>
      </c>
    </row>
    <row r="1474" spans="1:1" x14ac:dyDescent="0.25">
      <c r="A1474" s="44" t="s">
        <v>52</v>
      </c>
    </row>
    <row r="1475" spans="1:1" x14ac:dyDescent="0.25">
      <c r="A1475" s="45" t="s">
        <v>52</v>
      </c>
    </row>
    <row r="1476" spans="1:1" x14ac:dyDescent="0.25">
      <c r="A1476" s="46" t="s">
        <v>52</v>
      </c>
    </row>
    <row r="1477" spans="1:1" x14ac:dyDescent="0.25">
      <c r="A1477" s="47" t="s">
        <v>52</v>
      </c>
    </row>
    <row r="1478" spans="1:1" x14ac:dyDescent="0.25">
      <c r="A1478" s="48" t="s">
        <v>52</v>
      </c>
    </row>
    <row r="1479" spans="1:1" x14ac:dyDescent="0.25">
      <c r="A1479" s="49" t="s">
        <v>52</v>
      </c>
    </row>
    <row r="1480" spans="1:1" x14ac:dyDescent="0.25">
      <c r="A1480" s="50" t="s">
        <v>52</v>
      </c>
    </row>
    <row r="1481" spans="1:1" x14ac:dyDescent="0.25">
      <c r="A1481" s="51" t="s">
        <v>52</v>
      </c>
    </row>
    <row r="1482" spans="1:1" x14ac:dyDescent="0.25">
      <c r="A1482" s="52" t="s">
        <v>52</v>
      </c>
    </row>
    <row r="1483" spans="1:1" x14ac:dyDescent="0.25">
      <c r="A1483" s="53" t="s">
        <v>52</v>
      </c>
    </row>
    <row r="1484" spans="1:1" x14ac:dyDescent="0.25">
      <c r="A1484" s="54" t="s">
        <v>52</v>
      </c>
    </row>
    <row r="1485" spans="1:1" x14ac:dyDescent="0.25">
      <c r="A1485" s="55" t="s">
        <v>52</v>
      </c>
    </row>
    <row r="1486" spans="1:1" x14ac:dyDescent="0.25">
      <c r="A1486" s="56" t="s">
        <v>52</v>
      </c>
    </row>
    <row r="1487" spans="1:1" x14ac:dyDescent="0.25">
      <c r="A1487" s="57" t="s">
        <v>52</v>
      </c>
    </row>
    <row r="1488" spans="1:1" x14ac:dyDescent="0.25">
      <c r="A1488" s="58" t="s">
        <v>52</v>
      </c>
    </row>
    <row r="1489" spans="1:1" x14ac:dyDescent="0.25">
      <c r="A1489" s="59" t="s">
        <v>52</v>
      </c>
    </row>
    <row r="1490" spans="1:1" x14ac:dyDescent="0.25">
      <c r="A1490" s="60" t="s">
        <v>52</v>
      </c>
    </row>
    <row r="1491" spans="1:1" x14ac:dyDescent="0.25">
      <c r="A1491" s="61" t="s">
        <v>52</v>
      </c>
    </row>
    <row r="1492" spans="1:1" x14ac:dyDescent="0.25">
      <c r="A1492" s="62" t="s">
        <v>52</v>
      </c>
    </row>
    <row r="1493" spans="1:1" x14ac:dyDescent="0.25">
      <c r="A1493" s="63" t="s">
        <v>52</v>
      </c>
    </row>
    <row r="1494" spans="1:1" x14ac:dyDescent="0.25">
      <c r="A1494" s="64" t="s">
        <v>52</v>
      </c>
    </row>
    <row r="1495" spans="1:1" x14ac:dyDescent="0.25">
      <c r="A1495" s="65" t="s">
        <v>52</v>
      </c>
    </row>
    <row r="1496" spans="1:1" x14ac:dyDescent="0.25">
      <c r="A1496" s="66" t="s">
        <v>52</v>
      </c>
    </row>
    <row r="1497" spans="1:1" x14ac:dyDescent="0.25">
      <c r="A1497" s="67" t="s">
        <v>52</v>
      </c>
    </row>
    <row r="1498" spans="1:1" x14ac:dyDescent="0.25">
      <c r="A1498" s="68" t="s">
        <v>52</v>
      </c>
    </row>
    <row r="1499" spans="1:1" x14ac:dyDescent="0.25">
      <c r="A1499" s="69" t="s">
        <v>52</v>
      </c>
    </row>
    <row r="1500" spans="1:1" x14ac:dyDescent="0.25">
      <c r="A1500" s="70" t="s">
        <v>52</v>
      </c>
    </row>
    <row r="1501" spans="1:1" x14ac:dyDescent="0.25">
      <c r="A1501" s="71" t="s">
        <v>52</v>
      </c>
    </row>
    <row r="1502" spans="1:1" x14ac:dyDescent="0.25">
      <c r="A1502" s="72" t="s">
        <v>52</v>
      </c>
    </row>
    <row r="1503" spans="1:1" x14ac:dyDescent="0.25">
      <c r="A1503" s="73" t="s">
        <v>52</v>
      </c>
    </row>
    <row r="1504" spans="1:1" x14ac:dyDescent="0.25">
      <c r="A1504" s="74" t="s">
        <v>52</v>
      </c>
    </row>
    <row r="1505" spans="1:1" x14ac:dyDescent="0.25">
      <c r="A1505" s="75" t="s">
        <v>52</v>
      </c>
    </row>
    <row r="1506" spans="1:1" x14ac:dyDescent="0.25">
      <c r="A1506" s="76" t="s">
        <v>52</v>
      </c>
    </row>
    <row r="1507" spans="1:1" x14ac:dyDescent="0.25">
      <c r="A1507" s="77" t="s">
        <v>52</v>
      </c>
    </row>
    <row r="1508" spans="1:1" x14ac:dyDescent="0.25">
      <c r="A1508" s="78" t="s">
        <v>52</v>
      </c>
    </row>
    <row r="1509" spans="1:1" x14ac:dyDescent="0.25">
      <c r="A1509" s="79" t="s">
        <v>52</v>
      </c>
    </row>
    <row r="1510" spans="1:1" x14ac:dyDescent="0.25">
      <c r="A1510" s="80" t="s">
        <v>52</v>
      </c>
    </row>
    <row r="1511" spans="1:1" x14ac:dyDescent="0.25">
      <c r="A1511" s="81" t="s">
        <v>52</v>
      </c>
    </row>
    <row r="1512" spans="1:1" x14ac:dyDescent="0.25">
      <c r="A1512" s="82" t="s">
        <v>52</v>
      </c>
    </row>
    <row r="1513" spans="1:1" x14ac:dyDescent="0.25">
      <c r="A1513" s="83" t="s">
        <v>52</v>
      </c>
    </row>
    <row r="1514" spans="1:1" x14ac:dyDescent="0.25">
      <c r="A1514" s="84" t="s">
        <v>52</v>
      </c>
    </row>
    <row r="1515" spans="1:1" x14ac:dyDescent="0.25">
      <c r="A1515" s="85" t="s">
        <v>52</v>
      </c>
    </row>
    <row r="1516" spans="1:1" x14ac:dyDescent="0.25">
      <c r="A1516" s="86" t="s">
        <v>52</v>
      </c>
    </row>
    <row r="1517" spans="1:1" x14ac:dyDescent="0.25">
      <c r="A1517" s="87" t="s">
        <v>52</v>
      </c>
    </row>
    <row r="1518" spans="1:1" x14ac:dyDescent="0.25">
      <c r="A1518" s="88" t="s">
        <v>52</v>
      </c>
    </row>
    <row r="1519" spans="1:1" x14ac:dyDescent="0.25">
      <c r="A1519" s="89" t="s">
        <v>52</v>
      </c>
    </row>
    <row r="1520" spans="1:1" x14ac:dyDescent="0.25">
      <c r="A1520" s="90" t="s">
        <v>52</v>
      </c>
    </row>
    <row r="1521" spans="1:1" x14ac:dyDescent="0.25">
      <c r="A1521" s="18" t="s">
        <v>766</v>
      </c>
    </row>
    <row r="1522" spans="1:1" x14ac:dyDescent="0.25">
      <c r="A1522" s="19" t="s">
        <v>767</v>
      </c>
    </row>
    <row r="1523" spans="1:1" x14ac:dyDescent="0.25">
      <c r="A1523" s="20" t="s">
        <v>768</v>
      </c>
    </row>
    <row r="1524" spans="1:1" x14ac:dyDescent="0.25">
      <c r="A1524" s="21" t="s">
        <v>769</v>
      </c>
    </row>
    <row r="1525" spans="1:1" x14ac:dyDescent="0.25">
      <c r="A1525" s="22" t="s">
        <v>52</v>
      </c>
    </row>
    <row r="1526" spans="1:1" x14ac:dyDescent="0.25">
      <c r="A1526" s="23" t="s">
        <v>52</v>
      </c>
    </row>
    <row r="1527" spans="1:1" x14ac:dyDescent="0.25">
      <c r="A1527" s="24" t="s">
        <v>52</v>
      </c>
    </row>
    <row r="1528" spans="1:1" x14ac:dyDescent="0.25">
      <c r="A1528" s="25" t="s">
        <v>52</v>
      </c>
    </row>
    <row r="1529" spans="1:1" x14ac:dyDescent="0.25">
      <c r="A1529" s="26" t="s">
        <v>770</v>
      </c>
    </row>
    <row r="1530" spans="1:1" x14ac:dyDescent="0.25">
      <c r="A1530" s="27" t="s">
        <v>771</v>
      </c>
    </row>
    <row r="1531" spans="1:1" x14ac:dyDescent="0.25">
      <c r="A1531" s="28" t="s">
        <v>52</v>
      </c>
    </row>
    <row r="1532" spans="1:1" x14ac:dyDescent="0.25">
      <c r="A1532" s="29" t="s">
        <v>772</v>
      </c>
    </row>
    <row r="1533" spans="1:1" x14ac:dyDescent="0.25">
      <c r="A1533" s="30" t="s">
        <v>773</v>
      </c>
    </row>
    <row r="1534" spans="1:1" x14ac:dyDescent="0.25">
      <c r="A1534" s="31" t="s">
        <v>774</v>
      </c>
    </row>
    <row r="1535" spans="1:1" x14ac:dyDescent="0.25">
      <c r="A1535" s="32" t="s">
        <v>52</v>
      </c>
    </row>
    <row r="1536" spans="1:1" x14ac:dyDescent="0.25">
      <c r="A1536" s="33" t="s">
        <v>52</v>
      </c>
    </row>
    <row r="1537" spans="1:1" x14ac:dyDescent="0.25">
      <c r="A1537" s="34" t="s">
        <v>52</v>
      </c>
    </row>
    <row r="1538" spans="1:1" x14ac:dyDescent="0.25">
      <c r="A1538" s="35" t="s">
        <v>775</v>
      </c>
    </row>
    <row r="1539" spans="1:1" x14ac:dyDescent="0.25">
      <c r="A1539" s="36" t="s">
        <v>52</v>
      </c>
    </row>
    <row r="1540" spans="1:1" x14ac:dyDescent="0.25">
      <c r="A1540" s="37" t="s">
        <v>776</v>
      </c>
    </row>
    <row r="1541" spans="1:1" x14ac:dyDescent="0.25">
      <c r="A1541" s="38" t="s">
        <v>52</v>
      </c>
    </row>
    <row r="1542" spans="1:1" x14ac:dyDescent="0.25">
      <c r="A1542" s="39" t="s">
        <v>52</v>
      </c>
    </row>
    <row r="1543" spans="1:1" x14ac:dyDescent="0.25">
      <c r="A1543" s="40" t="s">
        <v>52</v>
      </c>
    </row>
    <row r="1544" spans="1:1" x14ac:dyDescent="0.25">
      <c r="A1544" s="41" t="s">
        <v>52</v>
      </c>
    </row>
    <row r="1545" spans="1:1" x14ac:dyDescent="0.25">
      <c r="A1545" s="42" t="s">
        <v>52</v>
      </c>
    </row>
    <row r="1546" spans="1:1" x14ac:dyDescent="0.25">
      <c r="A1546" s="43" t="s">
        <v>52</v>
      </c>
    </row>
    <row r="1547" spans="1:1" x14ac:dyDescent="0.25">
      <c r="A1547" s="44" t="s">
        <v>777</v>
      </c>
    </row>
    <row r="1548" spans="1:1" x14ac:dyDescent="0.25">
      <c r="A1548" s="45" t="s">
        <v>52</v>
      </c>
    </row>
    <row r="1549" spans="1:1" x14ac:dyDescent="0.25">
      <c r="A1549" s="46" t="s">
        <v>52</v>
      </c>
    </row>
    <row r="1550" spans="1:1" x14ac:dyDescent="0.25">
      <c r="A1550" s="47" t="s">
        <v>52</v>
      </c>
    </row>
    <row r="1551" spans="1:1" x14ac:dyDescent="0.25">
      <c r="A1551" s="48" t="s">
        <v>52</v>
      </c>
    </row>
    <row r="1552" spans="1:1" x14ac:dyDescent="0.25">
      <c r="A1552" s="49" t="s">
        <v>52</v>
      </c>
    </row>
    <row r="1553" spans="1:1" x14ac:dyDescent="0.25">
      <c r="A1553" s="50" t="s">
        <v>52</v>
      </c>
    </row>
    <row r="1554" spans="1:1" x14ac:dyDescent="0.25">
      <c r="A1554" s="51" t="s">
        <v>52</v>
      </c>
    </row>
    <row r="1555" spans="1:1" x14ac:dyDescent="0.25">
      <c r="A1555" s="52" t="s">
        <v>52</v>
      </c>
    </row>
    <row r="1556" spans="1:1" x14ac:dyDescent="0.25">
      <c r="A1556" s="53" t="s">
        <v>52</v>
      </c>
    </row>
    <row r="1557" spans="1:1" x14ac:dyDescent="0.25">
      <c r="A1557" s="54" t="s">
        <v>52</v>
      </c>
    </row>
    <row r="1558" spans="1:1" x14ac:dyDescent="0.25">
      <c r="A1558" s="55" t="s">
        <v>52</v>
      </c>
    </row>
    <row r="1559" spans="1:1" x14ac:dyDescent="0.25">
      <c r="A1559" s="56" t="s">
        <v>52</v>
      </c>
    </row>
    <row r="1560" spans="1:1" x14ac:dyDescent="0.25">
      <c r="A1560" s="57" t="s">
        <v>52</v>
      </c>
    </row>
    <row r="1561" spans="1:1" x14ac:dyDescent="0.25">
      <c r="A1561" s="58" t="s">
        <v>52</v>
      </c>
    </row>
    <row r="1562" spans="1:1" x14ac:dyDescent="0.25">
      <c r="A1562" s="59" t="s">
        <v>52</v>
      </c>
    </row>
    <row r="1563" spans="1:1" x14ac:dyDescent="0.25">
      <c r="A1563" s="60" t="s">
        <v>52</v>
      </c>
    </row>
    <row r="1564" spans="1:1" x14ac:dyDescent="0.25">
      <c r="A1564" s="61" t="s">
        <v>52</v>
      </c>
    </row>
    <row r="1565" spans="1:1" x14ac:dyDescent="0.25">
      <c r="A1565" s="62" t="s">
        <v>52</v>
      </c>
    </row>
    <row r="1566" spans="1:1" x14ac:dyDescent="0.25">
      <c r="A1566" s="63" t="s">
        <v>52</v>
      </c>
    </row>
    <row r="1567" spans="1:1" x14ac:dyDescent="0.25">
      <c r="A1567" s="64" t="s">
        <v>52</v>
      </c>
    </row>
    <row r="1568" spans="1:1" x14ac:dyDescent="0.25">
      <c r="A1568" s="65" t="s">
        <v>52</v>
      </c>
    </row>
    <row r="1569" spans="1:1" x14ac:dyDescent="0.25">
      <c r="A1569" s="66" t="s">
        <v>52</v>
      </c>
    </row>
    <row r="1570" spans="1:1" x14ac:dyDescent="0.25">
      <c r="A1570" s="67" t="s">
        <v>52</v>
      </c>
    </row>
    <row r="1571" spans="1:1" x14ac:dyDescent="0.25">
      <c r="A1571" s="68" t="s">
        <v>52</v>
      </c>
    </row>
    <row r="1572" spans="1:1" x14ac:dyDescent="0.25">
      <c r="A1572" s="69" t="s">
        <v>52</v>
      </c>
    </row>
    <row r="1573" spans="1:1" x14ac:dyDescent="0.25">
      <c r="A1573" s="70" t="s">
        <v>52</v>
      </c>
    </row>
    <row r="1574" spans="1:1" x14ac:dyDescent="0.25">
      <c r="A1574" s="71" t="s">
        <v>52</v>
      </c>
    </row>
    <row r="1575" spans="1:1" x14ac:dyDescent="0.25">
      <c r="A1575" s="72" t="s">
        <v>52</v>
      </c>
    </row>
    <row r="1576" spans="1:1" x14ac:dyDescent="0.25">
      <c r="A1576" s="73" t="s">
        <v>52</v>
      </c>
    </row>
    <row r="1577" spans="1:1" x14ac:dyDescent="0.25">
      <c r="A1577" s="74" t="s">
        <v>52</v>
      </c>
    </row>
    <row r="1578" spans="1:1" x14ac:dyDescent="0.25">
      <c r="A1578" s="75" t="s">
        <v>52</v>
      </c>
    </row>
    <row r="1579" spans="1:1" x14ac:dyDescent="0.25">
      <c r="A1579" s="76" t="s">
        <v>52</v>
      </c>
    </row>
    <row r="1580" spans="1:1" x14ac:dyDescent="0.25">
      <c r="A1580" s="77" t="s">
        <v>52</v>
      </c>
    </row>
    <row r="1581" spans="1:1" x14ac:dyDescent="0.25">
      <c r="A1581" s="78" t="s">
        <v>52</v>
      </c>
    </row>
    <row r="1582" spans="1:1" x14ac:dyDescent="0.25">
      <c r="A1582" s="79" t="s">
        <v>52</v>
      </c>
    </row>
    <row r="1583" spans="1:1" x14ac:dyDescent="0.25">
      <c r="A1583" s="80" t="s">
        <v>52</v>
      </c>
    </row>
    <row r="1584" spans="1:1" x14ac:dyDescent="0.25">
      <c r="A1584" s="81" t="s">
        <v>52</v>
      </c>
    </row>
    <row r="1585" spans="1:1" x14ac:dyDescent="0.25">
      <c r="A1585" s="82" t="s">
        <v>52</v>
      </c>
    </row>
    <row r="1586" spans="1:1" x14ac:dyDescent="0.25">
      <c r="A1586" s="83" t="s">
        <v>52</v>
      </c>
    </row>
    <row r="1587" spans="1:1" x14ac:dyDescent="0.25">
      <c r="A1587" s="84" t="s">
        <v>52</v>
      </c>
    </row>
    <row r="1588" spans="1:1" x14ac:dyDescent="0.25">
      <c r="A1588" s="85" t="s">
        <v>52</v>
      </c>
    </row>
    <row r="1589" spans="1:1" x14ac:dyDescent="0.25">
      <c r="A1589" s="86" t="s">
        <v>52</v>
      </c>
    </row>
    <row r="1590" spans="1:1" x14ac:dyDescent="0.25">
      <c r="A1590" s="87" t="s">
        <v>52</v>
      </c>
    </row>
    <row r="1591" spans="1:1" x14ac:dyDescent="0.25">
      <c r="A1591" s="88" t="s">
        <v>778</v>
      </c>
    </row>
    <row r="1592" spans="1:1" x14ac:dyDescent="0.25">
      <c r="A1592" s="89" t="s">
        <v>779</v>
      </c>
    </row>
    <row r="1593" spans="1:1" x14ac:dyDescent="0.25">
      <c r="A1593" s="90" t="s">
        <v>52</v>
      </c>
    </row>
    <row r="1594" spans="1:1" x14ac:dyDescent="0.25">
      <c r="A1594" s="18" t="s">
        <v>780</v>
      </c>
    </row>
    <row r="1595" spans="1:1" x14ac:dyDescent="0.25">
      <c r="A1595" s="19" t="s">
        <v>52</v>
      </c>
    </row>
    <row r="1596" spans="1:1" x14ac:dyDescent="0.25">
      <c r="A1596" s="20" t="s">
        <v>52</v>
      </c>
    </row>
    <row r="1597" spans="1:1" x14ac:dyDescent="0.25">
      <c r="A1597" s="21" t="s">
        <v>52</v>
      </c>
    </row>
    <row r="1598" spans="1:1" x14ac:dyDescent="0.25">
      <c r="A1598" s="22" t="s">
        <v>52</v>
      </c>
    </row>
    <row r="1599" spans="1:1" x14ac:dyDescent="0.25">
      <c r="A1599" s="23" t="s">
        <v>52</v>
      </c>
    </row>
    <row r="1600" spans="1:1" x14ac:dyDescent="0.25">
      <c r="A1600" s="24" t="s">
        <v>52</v>
      </c>
    </row>
    <row r="1601" spans="1:1" x14ac:dyDescent="0.25">
      <c r="A1601" s="25" t="s">
        <v>52</v>
      </c>
    </row>
    <row r="1602" spans="1:1" x14ac:dyDescent="0.25">
      <c r="A1602" s="26" t="s">
        <v>781</v>
      </c>
    </row>
    <row r="1603" spans="1:1" x14ac:dyDescent="0.25">
      <c r="A1603" s="27" t="s">
        <v>782</v>
      </c>
    </row>
    <row r="1604" spans="1:1" x14ac:dyDescent="0.25">
      <c r="A1604" s="28" t="s">
        <v>52</v>
      </c>
    </row>
    <row r="1605" spans="1:1" x14ac:dyDescent="0.25">
      <c r="A1605" s="29" t="s">
        <v>52</v>
      </c>
    </row>
    <row r="1606" spans="1:1" x14ac:dyDescent="0.25">
      <c r="A1606" s="30" t="s">
        <v>52</v>
      </c>
    </row>
    <row r="1607" spans="1:1" x14ac:dyDescent="0.25">
      <c r="A1607" s="31" t="s">
        <v>52</v>
      </c>
    </row>
    <row r="1608" spans="1:1" x14ac:dyDescent="0.25">
      <c r="A1608" s="32" t="s">
        <v>52</v>
      </c>
    </row>
    <row r="1609" spans="1:1" x14ac:dyDescent="0.25">
      <c r="A1609" s="33" t="s">
        <v>52</v>
      </c>
    </row>
    <row r="1610" spans="1:1" x14ac:dyDescent="0.25">
      <c r="A1610" s="34" t="s">
        <v>52</v>
      </c>
    </row>
    <row r="1611" spans="1:1" x14ac:dyDescent="0.25">
      <c r="A1611" s="35" t="s">
        <v>52</v>
      </c>
    </row>
    <row r="1612" spans="1:1" x14ac:dyDescent="0.25">
      <c r="A1612" s="36" t="s">
        <v>52</v>
      </c>
    </row>
    <row r="1613" spans="1:1" x14ac:dyDescent="0.25">
      <c r="A1613" s="37" t="s">
        <v>52</v>
      </c>
    </row>
    <row r="1614" spans="1:1" x14ac:dyDescent="0.25">
      <c r="A1614" s="38" t="s">
        <v>52</v>
      </c>
    </row>
    <row r="1615" spans="1:1" x14ac:dyDescent="0.25">
      <c r="A1615" s="39" t="s">
        <v>52</v>
      </c>
    </row>
    <row r="1616" spans="1:1" x14ac:dyDescent="0.25">
      <c r="A1616" s="40" t="s">
        <v>52</v>
      </c>
    </row>
    <row r="1617" spans="1:1" x14ac:dyDescent="0.25">
      <c r="A1617" s="41" t="s">
        <v>52</v>
      </c>
    </row>
    <row r="1618" spans="1:1" x14ac:dyDescent="0.25">
      <c r="A1618" s="42" t="s">
        <v>52</v>
      </c>
    </row>
    <row r="1619" spans="1:1" x14ac:dyDescent="0.25">
      <c r="A1619" s="43" t="s">
        <v>52</v>
      </c>
    </row>
    <row r="1620" spans="1:1" x14ac:dyDescent="0.25">
      <c r="A1620" s="44" t="s">
        <v>52</v>
      </c>
    </row>
    <row r="1621" spans="1:1" x14ac:dyDescent="0.25">
      <c r="A1621" s="45" t="s">
        <v>52</v>
      </c>
    </row>
    <row r="1622" spans="1:1" x14ac:dyDescent="0.25">
      <c r="A1622" s="46" t="s">
        <v>52</v>
      </c>
    </row>
    <row r="1623" spans="1:1" x14ac:dyDescent="0.25">
      <c r="A1623" s="47" t="s">
        <v>52</v>
      </c>
    </row>
    <row r="1624" spans="1:1" x14ac:dyDescent="0.25">
      <c r="A1624" s="48" t="s">
        <v>783</v>
      </c>
    </row>
    <row r="1625" spans="1:1" x14ac:dyDescent="0.25">
      <c r="A1625" s="49" t="s">
        <v>52</v>
      </c>
    </row>
    <row r="1626" spans="1:1" x14ac:dyDescent="0.25">
      <c r="A1626" s="50" t="s">
        <v>52</v>
      </c>
    </row>
    <row r="1627" spans="1:1" x14ac:dyDescent="0.25">
      <c r="A1627" s="51" t="s">
        <v>52</v>
      </c>
    </row>
    <row r="1628" spans="1:1" x14ac:dyDescent="0.25">
      <c r="A1628" s="52" t="s">
        <v>52</v>
      </c>
    </row>
    <row r="1629" spans="1:1" x14ac:dyDescent="0.25">
      <c r="A1629" s="53" t="s">
        <v>52</v>
      </c>
    </row>
    <row r="1630" spans="1:1" x14ac:dyDescent="0.25">
      <c r="A1630" s="54" t="s">
        <v>52</v>
      </c>
    </row>
    <row r="1631" spans="1:1" x14ac:dyDescent="0.25">
      <c r="A1631" s="55" t="s">
        <v>52</v>
      </c>
    </row>
    <row r="1632" spans="1:1" x14ac:dyDescent="0.25">
      <c r="A1632" s="56" t="s">
        <v>52</v>
      </c>
    </row>
    <row r="1633" spans="1:1" x14ac:dyDescent="0.25">
      <c r="A1633" s="57" t="s">
        <v>52</v>
      </c>
    </row>
    <row r="1634" spans="1:1" x14ac:dyDescent="0.25">
      <c r="A1634" s="58" t="s">
        <v>52</v>
      </c>
    </row>
    <row r="1635" spans="1:1" x14ac:dyDescent="0.25">
      <c r="A1635" s="59" t="s">
        <v>52</v>
      </c>
    </row>
    <row r="1636" spans="1:1" x14ac:dyDescent="0.25">
      <c r="A1636" s="60" t="s">
        <v>52</v>
      </c>
    </row>
    <row r="1637" spans="1:1" x14ac:dyDescent="0.25">
      <c r="A1637" s="61" t="s">
        <v>52</v>
      </c>
    </row>
    <row r="1638" spans="1:1" x14ac:dyDescent="0.25">
      <c r="A1638" s="62" t="s">
        <v>52</v>
      </c>
    </row>
    <row r="1639" spans="1:1" x14ac:dyDescent="0.25">
      <c r="A1639" s="63" t="s">
        <v>52</v>
      </c>
    </row>
    <row r="1640" spans="1:1" x14ac:dyDescent="0.25">
      <c r="A1640" s="64" t="s">
        <v>52</v>
      </c>
    </row>
    <row r="1641" spans="1:1" x14ac:dyDescent="0.25">
      <c r="A1641" s="65" t="s">
        <v>52</v>
      </c>
    </row>
    <row r="1642" spans="1:1" x14ac:dyDescent="0.25">
      <c r="A1642" s="66" t="s">
        <v>52</v>
      </c>
    </row>
    <row r="1643" spans="1:1" x14ac:dyDescent="0.25">
      <c r="A1643" s="67" t="s">
        <v>52</v>
      </c>
    </row>
    <row r="1644" spans="1:1" x14ac:dyDescent="0.25">
      <c r="A1644" s="68" t="s">
        <v>52</v>
      </c>
    </row>
    <row r="1645" spans="1:1" x14ac:dyDescent="0.25">
      <c r="A1645" s="69" t="s">
        <v>52</v>
      </c>
    </row>
    <row r="1646" spans="1:1" x14ac:dyDescent="0.25">
      <c r="A1646" s="70" t="s">
        <v>52</v>
      </c>
    </row>
    <row r="1647" spans="1:1" x14ac:dyDescent="0.25">
      <c r="A1647" s="71" t="s">
        <v>52</v>
      </c>
    </row>
    <row r="1648" spans="1:1" x14ac:dyDescent="0.25">
      <c r="A1648" s="72" t="s">
        <v>52</v>
      </c>
    </row>
    <row r="1649" spans="1:1" x14ac:dyDescent="0.25">
      <c r="A1649" s="73" t="s">
        <v>52</v>
      </c>
    </row>
    <row r="1650" spans="1:1" x14ac:dyDescent="0.25">
      <c r="A1650" s="74" t="s">
        <v>52</v>
      </c>
    </row>
    <row r="1651" spans="1:1" x14ac:dyDescent="0.25">
      <c r="A1651" s="75" t="s">
        <v>52</v>
      </c>
    </row>
    <row r="1652" spans="1:1" x14ac:dyDescent="0.25">
      <c r="A1652" s="76" t="s">
        <v>52</v>
      </c>
    </row>
    <row r="1653" spans="1:1" x14ac:dyDescent="0.25">
      <c r="A1653" s="77" t="s">
        <v>52</v>
      </c>
    </row>
    <row r="1654" spans="1:1" x14ac:dyDescent="0.25">
      <c r="A1654" s="78" t="s">
        <v>52</v>
      </c>
    </row>
    <row r="1655" spans="1:1" x14ac:dyDescent="0.25">
      <c r="A1655" s="79" t="s">
        <v>52</v>
      </c>
    </row>
    <row r="1656" spans="1:1" x14ac:dyDescent="0.25">
      <c r="A1656" s="80" t="s">
        <v>52</v>
      </c>
    </row>
    <row r="1657" spans="1:1" x14ac:dyDescent="0.25">
      <c r="A1657" s="81" t="s">
        <v>52</v>
      </c>
    </row>
    <row r="1658" spans="1:1" x14ac:dyDescent="0.25">
      <c r="A1658" s="82" t="s">
        <v>52</v>
      </c>
    </row>
    <row r="1659" spans="1:1" x14ac:dyDescent="0.25">
      <c r="A1659" s="83" t="s">
        <v>52</v>
      </c>
    </row>
    <row r="1660" spans="1:1" x14ac:dyDescent="0.25">
      <c r="A1660" s="84" t="s">
        <v>52</v>
      </c>
    </row>
    <row r="1661" spans="1:1" x14ac:dyDescent="0.25">
      <c r="A1661" s="85" t="s">
        <v>52</v>
      </c>
    </row>
    <row r="1662" spans="1:1" x14ac:dyDescent="0.25">
      <c r="A1662" s="86" t="s">
        <v>52</v>
      </c>
    </row>
    <row r="1663" spans="1:1" x14ac:dyDescent="0.25">
      <c r="A1663" s="87" t="s">
        <v>52</v>
      </c>
    </row>
    <row r="1664" spans="1:1" x14ac:dyDescent="0.25">
      <c r="A1664" s="88" t="s">
        <v>52</v>
      </c>
    </row>
    <row r="1665" spans="1:1" x14ac:dyDescent="0.25">
      <c r="A1665" s="89" t="s">
        <v>52</v>
      </c>
    </row>
    <row r="1666" spans="1:1" x14ac:dyDescent="0.25">
      <c r="A1666" s="90" t="s">
        <v>52</v>
      </c>
    </row>
    <row r="1667" spans="1:1" x14ac:dyDescent="0.25">
      <c r="A1667" s="18" t="s">
        <v>784</v>
      </c>
    </row>
    <row r="1668" spans="1:1" x14ac:dyDescent="0.25">
      <c r="A1668" s="19" t="s">
        <v>785</v>
      </c>
    </row>
    <row r="1669" spans="1:1" x14ac:dyDescent="0.25">
      <c r="A1669" s="20" t="s">
        <v>52</v>
      </c>
    </row>
    <row r="1670" spans="1:1" x14ac:dyDescent="0.25">
      <c r="A1670" s="21" t="s">
        <v>52</v>
      </c>
    </row>
    <row r="1671" spans="1:1" x14ac:dyDescent="0.25">
      <c r="A1671" s="22" t="s">
        <v>52</v>
      </c>
    </row>
    <row r="1672" spans="1:1" x14ac:dyDescent="0.25">
      <c r="A1672" s="23" t="s">
        <v>52</v>
      </c>
    </row>
    <row r="1673" spans="1:1" x14ac:dyDescent="0.25">
      <c r="A1673" s="24" t="s">
        <v>52</v>
      </c>
    </row>
    <row r="1674" spans="1:1" x14ac:dyDescent="0.25">
      <c r="A1674" s="25" t="s">
        <v>52</v>
      </c>
    </row>
    <row r="1675" spans="1:1" x14ac:dyDescent="0.25">
      <c r="A1675" s="26" t="s">
        <v>786</v>
      </c>
    </row>
    <row r="1676" spans="1:1" x14ac:dyDescent="0.25">
      <c r="A1676" s="27" t="s">
        <v>787</v>
      </c>
    </row>
    <row r="1677" spans="1:1" x14ac:dyDescent="0.25">
      <c r="A1677" s="28" t="s">
        <v>52</v>
      </c>
    </row>
    <row r="1678" spans="1:1" x14ac:dyDescent="0.25">
      <c r="A1678" s="29" t="s">
        <v>52</v>
      </c>
    </row>
    <row r="1679" spans="1:1" x14ac:dyDescent="0.25">
      <c r="A1679" s="30" t="s">
        <v>52</v>
      </c>
    </row>
    <row r="1680" spans="1:1" x14ac:dyDescent="0.25">
      <c r="A1680" s="31" t="s">
        <v>52</v>
      </c>
    </row>
    <row r="1681" spans="1:1" x14ac:dyDescent="0.25">
      <c r="A1681" s="32" t="s">
        <v>52</v>
      </c>
    </row>
    <row r="1682" spans="1:1" x14ac:dyDescent="0.25">
      <c r="A1682" s="33" t="s">
        <v>52</v>
      </c>
    </row>
    <row r="1683" spans="1:1" x14ac:dyDescent="0.25">
      <c r="A1683" s="34" t="s">
        <v>52</v>
      </c>
    </row>
    <row r="1684" spans="1:1" x14ac:dyDescent="0.25">
      <c r="A1684" s="35" t="s">
        <v>52</v>
      </c>
    </row>
    <row r="1685" spans="1:1" x14ac:dyDescent="0.25">
      <c r="A1685" s="36" t="s">
        <v>52</v>
      </c>
    </row>
    <row r="1686" spans="1:1" x14ac:dyDescent="0.25">
      <c r="A1686" s="37" t="s">
        <v>52</v>
      </c>
    </row>
    <row r="1687" spans="1:1" x14ac:dyDescent="0.25">
      <c r="A1687" s="38" t="s">
        <v>52</v>
      </c>
    </row>
    <row r="1688" spans="1:1" x14ac:dyDescent="0.25">
      <c r="A1688" s="39" t="s">
        <v>52</v>
      </c>
    </row>
    <row r="1689" spans="1:1" x14ac:dyDescent="0.25">
      <c r="A1689" s="40" t="s">
        <v>52</v>
      </c>
    </row>
    <row r="1690" spans="1:1" x14ac:dyDescent="0.25">
      <c r="A1690" s="41" t="s">
        <v>52</v>
      </c>
    </row>
    <row r="1691" spans="1:1" x14ac:dyDescent="0.25">
      <c r="A1691" s="42" t="s">
        <v>52</v>
      </c>
    </row>
    <row r="1692" spans="1:1" x14ac:dyDescent="0.25">
      <c r="A1692" s="43" t="s">
        <v>52</v>
      </c>
    </row>
    <row r="1693" spans="1:1" x14ac:dyDescent="0.25">
      <c r="A1693" s="44" t="s">
        <v>52</v>
      </c>
    </row>
    <row r="1694" spans="1:1" x14ac:dyDescent="0.25">
      <c r="A1694" s="45" t="s">
        <v>52</v>
      </c>
    </row>
    <row r="1695" spans="1:1" x14ac:dyDescent="0.25">
      <c r="A1695" s="46" t="s">
        <v>52</v>
      </c>
    </row>
    <row r="1696" spans="1:1" x14ac:dyDescent="0.25">
      <c r="A1696" s="47" t="s">
        <v>52</v>
      </c>
    </row>
    <row r="1697" spans="1:1" x14ac:dyDescent="0.25">
      <c r="A1697" s="48" t="s">
        <v>52</v>
      </c>
    </row>
    <row r="1698" spans="1:1" x14ac:dyDescent="0.25">
      <c r="A1698" s="49" t="s">
        <v>52</v>
      </c>
    </row>
    <row r="1699" spans="1:1" x14ac:dyDescent="0.25">
      <c r="A1699" s="50" t="s">
        <v>52</v>
      </c>
    </row>
    <row r="1700" spans="1:1" x14ac:dyDescent="0.25">
      <c r="A1700" s="51" t="s">
        <v>52</v>
      </c>
    </row>
    <row r="1701" spans="1:1" x14ac:dyDescent="0.25">
      <c r="A1701" s="52" t="s">
        <v>52</v>
      </c>
    </row>
    <row r="1702" spans="1:1" x14ac:dyDescent="0.25">
      <c r="A1702" s="53" t="s">
        <v>52</v>
      </c>
    </row>
    <row r="1703" spans="1:1" x14ac:dyDescent="0.25">
      <c r="A1703" s="54" t="s">
        <v>52</v>
      </c>
    </row>
    <row r="1704" spans="1:1" x14ac:dyDescent="0.25">
      <c r="A1704" s="55" t="s">
        <v>52</v>
      </c>
    </row>
    <row r="1705" spans="1:1" x14ac:dyDescent="0.25">
      <c r="A1705" s="56" t="s">
        <v>52</v>
      </c>
    </row>
    <row r="1706" spans="1:1" x14ac:dyDescent="0.25">
      <c r="A1706" s="57" t="s">
        <v>52</v>
      </c>
    </row>
    <row r="1707" spans="1:1" x14ac:dyDescent="0.25">
      <c r="A1707" s="58" t="s">
        <v>52</v>
      </c>
    </row>
    <row r="1708" spans="1:1" x14ac:dyDescent="0.25">
      <c r="A1708" s="59" t="s">
        <v>52</v>
      </c>
    </row>
    <row r="1709" spans="1:1" x14ac:dyDescent="0.25">
      <c r="A1709" s="60" t="s">
        <v>52</v>
      </c>
    </row>
    <row r="1710" spans="1:1" x14ac:dyDescent="0.25">
      <c r="A1710" s="61" t="s">
        <v>52</v>
      </c>
    </row>
    <row r="1711" spans="1:1" x14ac:dyDescent="0.25">
      <c r="A1711" s="62" t="s">
        <v>52</v>
      </c>
    </row>
    <row r="1712" spans="1:1" x14ac:dyDescent="0.25">
      <c r="A1712" s="63" t="s">
        <v>52</v>
      </c>
    </row>
    <row r="1713" spans="1:1" x14ac:dyDescent="0.25">
      <c r="A1713" s="64" t="s">
        <v>52</v>
      </c>
    </row>
    <row r="1714" spans="1:1" x14ac:dyDescent="0.25">
      <c r="A1714" s="65" t="s">
        <v>52</v>
      </c>
    </row>
    <row r="1715" spans="1:1" x14ac:dyDescent="0.25">
      <c r="A1715" s="66" t="s">
        <v>52</v>
      </c>
    </row>
    <row r="1716" spans="1:1" x14ac:dyDescent="0.25">
      <c r="A1716" s="67" t="s">
        <v>52</v>
      </c>
    </row>
    <row r="1717" spans="1:1" x14ac:dyDescent="0.25">
      <c r="A1717" s="68" t="s">
        <v>52</v>
      </c>
    </row>
    <row r="1718" spans="1:1" x14ac:dyDescent="0.25">
      <c r="A1718" s="69" t="s">
        <v>52</v>
      </c>
    </row>
    <row r="1719" spans="1:1" x14ac:dyDescent="0.25">
      <c r="A1719" s="70" t="s">
        <v>52</v>
      </c>
    </row>
    <row r="1720" spans="1:1" x14ac:dyDescent="0.25">
      <c r="A1720" s="71" t="s">
        <v>52</v>
      </c>
    </row>
    <row r="1721" spans="1:1" x14ac:dyDescent="0.25">
      <c r="A1721" s="72" t="s">
        <v>52</v>
      </c>
    </row>
    <row r="1722" spans="1:1" x14ac:dyDescent="0.25">
      <c r="A1722" s="73" t="s">
        <v>52</v>
      </c>
    </row>
    <row r="1723" spans="1:1" x14ac:dyDescent="0.25">
      <c r="A1723" s="74" t="s">
        <v>52</v>
      </c>
    </row>
    <row r="1724" spans="1:1" x14ac:dyDescent="0.25">
      <c r="A1724" s="75" t="s">
        <v>52</v>
      </c>
    </row>
    <row r="1725" spans="1:1" x14ac:dyDescent="0.25">
      <c r="A1725" s="76" t="s">
        <v>52</v>
      </c>
    </row>
    <row r="1726" spans="1:1" x14ac:dyDescent="0.25">
      <c r="A1726" s="77" t="s">
        <v>52</v>
      </c>
    </row>
    <row r="1727" spans="1:1" x14ac:dyDescent="0.25">
      <c r="A1727" s="78" t="s">
        <v>52</v>
      </c>
    </row>
    <row r="1728" spans="1:1" x14ac:dyDescent="0.25">
      <c r="A1728" s="79" t="s">
        <v>52</v>
      </c>
    </row>
    <row r="1729" spans="1:1" x14ac:dyDescent="0.25">
      <c r="A1729" s="80" t="s">
        <v>52</v>
      </c>
    </row>
    <row r="1730" spans="1:1" x14ac:dyDescent="0.25">
      <c r="A1730" s="81" t="s">
        <v>52</v>
      </c>
    </row>
    <row r="1731" spans="1:1" x14ac:dyDescent="0.25">
      <c r="A1731" s="82" t="s">
        <v>52</v>
      </c>
    </row>
    <row r="1732" spans="1:1" x14ac:dyDescent="0.25">
      <c r="A1732" s="83" t="s">
        <v>52</v>
      </c>
    </row>
    <row r="1733" spans="1:1" x14ac:dyDescent="0.25">
      <c r="A1733" s="84" t="s">
        <v>52</v>
      </c>
    </row>
    <row r="1734" spans="1:1" x14ac:dyDescent="0.25">
      <c r="A1734" s="85" t="s">
        <v>52</v>
      </c>
    </row>
    <row r="1735" spans="1:1" x14ac:dyDescent="0.25">
      <c r="A1735" s="86" t="s">
        <v>52</v>
      </c>
    </row>
    <row r="1736" spans="1:1" x14ac:dyDescent="0.25">
      <c r="A1736" s="87" t="s">
        <v>52</v>
      </c>
    </row>
    <row r="1737" spans="1:1" x14ac:dyDescent="0.25">
      <c r="A1737" s="88" t="s">
        <v>52</v>
      </c>
    </row>
    <row r="1738" spans="1:1" x14ac:dyDescent="0.25">
      <c r="A1738" s="89" t="s">
        <v>52</v>
      </c>
    </row>
    <row r="1739" spans="1:1" x14ac:dyDescent="0.25">
      <c r="A1739" s="90" t="s">
        <v>52</v>
      </c>
    </row>
    <row r="1740" spans="1:1" x14ac:dyDescent="0.25">
      <c r="A1740" s="18" t="s">
        <v>788</v>
      </c>
    </row>
    <row r="1741" spans="1:1" x14ac:dyDescent="0.25">
      <c r="A1741" s="19" t="s">
        <v>52</v>
      </c>
    </row>
    <row r="1742" spans="1:1" x14ac:dyDescent="0.25">
      <c r="A1742" s="20" t="s">
        <v>52</v>
      </c>
    </row>
    <row r="1743" spans="1:1" x14ac:dyDescent="0.25">
      <c r="A1743" s="21" t="s">
        <v>52</v>
      </c>
    </row>
    <row r="1744" spans="1:1" x14ac:dyDescent="0.25">
      <c r="A1744" s="22" t="s">
        <v>52</v>
      </c>
    </row>
    <row r="1745" spans="1:1" x14ac:dyDescent="0.25">
      <c r="A1745" s="23" t="s">
        <v>52</v>
      </c>
    </row>
    <row r="1746" spans="1:1" x14ac:dyDescent="0.25">
      <c r="A1746" s="24" t="s">
        <v>52</v>
      </c>
    </row>
    <row r="1747" spans="1:1" x14ac:dyDescent="0.25">
      <c r="A1747" s="25" t="s">
        <v>52</v>
      </c>
    </row>
    <row r="1748" spans="1:1" x14ac:dyDescent="0.25">
      <c r="A1748" s="26" t="s">
        <v>789</v>
      </c>
    </row>
    <row r="1749" spans="1:1" x14ac:dyDescent="0.25">
      <c r="A1749" s="27" t="s">
        <v>790</v>
      </c>
    </row>
    <row r="1750" spans="1:1" x14ac:dyDescent="0.25">
      <c r="A1750" s="28" t="s">
        <v>52</v>
      </c>
    </row>
    <row r="1751" spans="1:1" x14ac:dyDescent="0.25">
      <c r="A1751" s="29" t="s">
        <v>52</v>
      </c>
    </row>
    <row r="1752" spans="1:1" x14ac:dyDescent="0.25">
      <c r="A1752" s="30" t="s">
        <v>52</v>
      </c>
    </row>
    <row r="1753" spans="1:1" x14ac:dyDescent="0.25">
      <c r="A1753" s="31" t="s">
        <v>52</v>
      </c>
    </row>
    <row r="1754" spans="1:1" x14ac:dyDescent="0.25">
      <c r="A1754" s="32" t="s">
        <v>52</v>
      </c>
    </row>
    <row r="1755" spans="1:1" x14ac:dyDescent="0.25">
      <c r="A1755" s="33" t="s">
        <v>52</v>
      </c>
    </row>
    <row r="1756" spans="1:1" x14ac:dyDescent="0.25">
      <c r="A1756" s="34" t="s">
        <v>52</v>
      </c>
    </row>
    <row r="1757" spans="1:1" x14ac:dyDescent="0.25">
      <c r="A1757" s="35" t="s">
        <v>52</v>
      </c>
    </row>
    <row r="1758" spans="1:1" x14ac:dyDescent="0.25">
      <c r="A1758" s="36" t="s">
        <v>52</v>
      </c>
    </row>
    <row r="1759" spans="1:1" x14ac:dyDescent="0.25">
      <c r="A1759" s="37" t="s">
        <v>52</v>
      </c>
    </row>
    <row r="1760" spans="1:1" x14ac:dyDescent="0.25">
      <c r="A1760" s="38" t="s">
        <v>52</v>
      </c>
    </row>
    <row r="1761" spans="1:1" x14ac:dyDescent="0.25">
      <c r="A1761" s="39" t="s">
        <v>52</v>
      </c>
    </row>
    <row r="1762" spans="1:1" x14ac:dyDescent="0.25">
      <c r="A1762" s="40" t="s">
        <v>52</v>
      </c>
    </row>
    <row r="1763" spans="1:1" x14ac:dyDescent="0.25">
      <c r="A1763" s="41" t="s">
        <v>52</v>
      </c>
    </row>
    <row r="1764" spans="1:1" x14ac:dyDescent="0.25">
      <c r="A1764" s="42" t="s">
        <v>52</v>
      </c>
    </row>
    <row r="1765" spans="1:1" x14ac:dyDescent="0.25">
      <c r="A1765" s="43" t="s">
        <v>52</v>
      </c>
    </row>
    <row r="1766" spans="1:1" x14ac:dyDescent="0.25">
      <c r="A1766" s="44" t="s">
        <v>52</v>
      </c>
    </row>
    <row r="1767" spans="1:1" x14ac:dyDescent="0.25">
      <c r="A1767" s="45" t="s">
        <v>52</v>
      </c>
    </row>
    <row r="1768" spans="1:1" x14ac:dyDescent="0.25">
      <c r="A1768" s="46" t="s">
        <v>52</v>
      </c>
    </row>
    <row r="1769" spans="1:1" x14ac:dyDescent="0.25">
      <c r="A1769" s="47" t="s">
        <v>52</v>
      </c>
    </row>
    <row r="1770" spans="1:1" x14ac:dyDescent="0.25">
      <c r="A1770" s="48" t="s">
        <v>52</v>
      </c>
    </row>
    <row r="1771" spans="1:1" x14ac:dyDescent="0.25">
      <c r="A1771" s="49" t="s">
        <v>52</v>
      </c>
    </row>
    <row r="1772" spans="1:1" x14ac:dyDescent="0.25">
      <c r="A1772" s="50" t="s">
        <v>52</v>
      </c>
    </row>
    <row r="1773" spans="1:1" x14ac:dyDescent="0.25">
      <c r="A1773" s="51" t="s">
        <v>52</v>
      </c>
    </row>
    <row r="1774" spans="1:1" x14ac:dyDescent="0.25">
      <c r="A1774" s="52" t="s">
        <v>52</v>
      </c>
    </row>
    <row r="1775" spans="1:1" x14ac:dyDescent="0.25">
      <c r="A1775" s="53" t="s">
        <v>52</v>
      </c>
    </row>
    <row r="1776" spans="1:1" x14ac:dyDescent="0.25">
      <c r="A1776" s="54" t="s">
        <v>52</v>
      </c>
    </row>
    <row r="1777" spans="1:1" x14ac:dyDescent="0.25">
      <c r="A1777" s="55" t="s">
        <v>52</v>
      </c>
    </row>
    <row r="1778" spans="1:1" x14ac:dyDescent="0.25">
      <c r="A1778" s="56" t="s">
        <v>52</v>
      </c>
    </row>
    <row r="1779" spans="1:1" x14ac:dyDescent="0.25">
      <c r="A1779" s="57" t="s">
        <v>52</v>
      </c>
    </row>
    <row r="1780" spans="1:1" x14ac:dyDescent="0.25">
      <c r="A1780" s="58" t="s">
        <v>52</v>
      </c>
    </row>
    <row r="1781" spans="1:1" x14ac:dyDescent="0.25">
      <c r="A1781" s="59" t="s">
        <v>52</v>
      </c>
    </row>
    <row r="1782" spans="1:1" x14ac:dyDescent="0.25">
      <c r="A1782" s="60" t="s">
        <v>52</v>
      </c>
    </row>
    <row r="1783" spans="1:1" x14ac:dyDescent="0.25">
      <c r="A1783" s="61" t="s">
        <v>52</v>
      </c>
    </row>
    <row r="1784" spans="1:1" x14ac:dyDescent="0.25">
      <c r="A1784" s="62" t="s">
        <v>52</v>
      </c>
    </row>
    <row r="1785" spans="1:1" x14ac:dyDescent="0.25">
      <c r="A1785" s="63" t="s">
        <v>52</v>
      </c>
    </row>
    <row r="1786" spans="1:1" x14ac:dyDescent="0.25">
      <c r="A1786" s="64" t="s">
        <v>52</v>
      </c>
    </row>
    <row r="1787" spans="1:1" x14ac:dyDescent="0.25">
      <c r="A1787" s="65" t="s">
        <v>52</v>
      </c>
    </row>
    <row r="1788" spans="1:1" x14ac:dyDescent="0.25">
      <c r="A1788" s="66" t="s">
        <v>52</v>
      </c>
    </row>
    <row r="1789" spans="1:1" x14ac:dyDescent="0.25">
      <c r="A1789" s="67" t="s">
        <v>52</v>
      </c>
    </row>
    <row r="1790" spans="1:1" x14ac:dyDescent="0.25">
      <c r="A1790" s="68" t="s">
        <v>52</v>
      </c>
    </row>
    <row r="1791" spans="1:1" x14ac:dyDescent="0.25">
      <c r="A1791" s="69" t="s">
        <v>52</v>
      </c>
    </row>
    <row r="1792" spans="1:1" x14ac:dyDescent="0.25">
      <c r="A1792" s="70" t="s">
        <v>52</v>
      </c>
    </row>
    <row r="1793" spans="1:1" x14ac:dyDescent="0.25">
      <c r="A1793" s="71" t="s">
        <v>52</v>
      </c>
    </row>
    <row r="1794" spans="1:1" x14ac:dyDescent="0.25">
      <c r="A1794" s="72" t="s">
        <v>52</v>
      </c>
    </row>
    <row r="1795" spans="1:1" x14ac:dyDescent="0.25">
      <c r="A1795" s="73" t="s">
        <v>52</v>
      </c>
    </row>
    <row r="1796" spans="1:1" x14ac:dyDescent="0.25">
      <c r="A1796" s="74" t="s">
        <v>52</v>
      </c>
    </row>
    <row r="1797" spans="1:1" x14ac:dyDescent="0.25">
      <c r="A1797" s="75" t="s">
        <v>52</v>
      </c>
    </row>
    <row r="1798" spans="1:1" x14ac:dyDescent="0.25">
      <c r="A1798" s="76" t="s">
        <v>52</v>
      </c>
    </row>
    <row r="1799" spans="1:1" x14ac:dyDescent="0.25">
      <c r="A1799" s="77" t="s">
        <v>52</v>
      </c>
    </row>
    <row r="1800" spans="1:1" x14ac:dyDescent="0.25">
      <c r="A1800" s="78" t="s">
        <v>52</v>
      </c>
    </row>
    <row r="1801" spans="1:1" x14ac:dyDescent="0.25">
      <c r="A1801" s="79" t="s">
        <v>52</v>
      </c>
    </row>
    <row r="1802" spans="1:1" x14ac:dyDescent="0.25">
      <c r="A1802" s="80" t="s">
        <v>52</v>
      </c>
    </row>
    <row r="1803" spans="1:1" x14ac:dyDescent="0.25">
      <c r="A1803" s="81" t="s">
        <v>52</v>
      </c>
    </row>
    <row r="1804" spans="1:1" x14ac:dyDescent="0.25">
      <c r="A1804" s="82" t="s">
        <v>52</v>
      </c>
    </row>
    <row r="1805" spans="1:1" x14ac:dyDescent="0.25">
      <c r="A1805" s="83" t="s">
        <v>52</v>
      </c>
    </row>
    <row r="1806" spans="1:1" x14ac:dyDescent="0.25">
      <c r="A1806" s="84" t="s">
        <v>52</v>
      </c>
    </row>
    <row r="1807" spans="1:1" x14ac:dyDescent="0.25">
      <c r="A1807" s="85" t="s">
        <v>52</v>
      </c>
    </row>
    <row r="1808" spans="1:1" x14ac:dyDescent="0.25">
      <c r="A1808" s="86" t="s">
        <v>52</v>
      </c>
    </row>
    <row r="1809" spans="1:1" x14ac:dyDescent="0.25">
      <c r="A1809" s="87" t="s">
        <v>52</v>
      </c>
    </row>
    <row r="1810" spans="1:1" x14ac:dyDescent="0.25">
      <c r="A1810" s="88" t="s">
        <v>52</v>
      </c>
    </row>
    <row r="1811" spans="1:1" x14ac:dyDescent="0.25">
      <c r="A1811" s="89" t="s">
        <v>52</v>
      </c>
    </row>
    <row r="1812" spans="1:1" x14ac:dyDescent="0.25">
      <c r="A1812" s="90" t="s">
        <v>52</v>
      </c>
    </row>
    <row r="1813" spans="1:1" x14ac:dyDescent="0.25">
      <c r="A1813" s="18" t="s">
        <v>791</v>
      </c>
    </row>
    <row r="1814" spans="1:1" x14ac:dyDescent="0.25">
      <c r="A1814" s="19" t="s">
        <v>52</v>
      </c>
    </row>
    <row r="1815" spans="1:1" x14ac:dyDescent="0.25">
      <c r="A1815" s="20" t="s">
        <v>52</v>
      </c>
    </row>
    <row r="1816" spans="1:1" x14ac:dyDescent="0.25">
      <c r="A1816" s="21" t="s">
        <v>52</v>
      </c>
    </row>
    <row r="1817" spans="1:1" x14ac:dyDescent="0.25">
      <c r="A1817" s="22" t="s">
        <v>52</v>
      </c>
    </row>
    <row r="1818" spans="1:1" x14ac:dyDescent="0.25">
      <c r="A1818" s="23" t="s">
        <v>52</v>
      </c>
    </row>
    <row r="1819" spans="1:1" x14ac:dyDescent="0.25">
      <c r="A1819" s="24" t="s">
        <v>52</v>
      </c>
    </row>
    <row r="1820" spans="1:1" x14ac:dyDescent="0.25">
      <c r="A1820" s="25" t="s">
        <v>52</v>
      </c>
    </row>
    <row r="1821" spans="1:1" x14ac:dyDescent="0.25">
      <c r="A1821" s="26" t="s">
        <v>792</v>
      </c>
    </row>
    <row r="1822" spans="1:1" x14ac:dyDescent="0.25">
      <c r="A1822" s="27" t="s">
        <v>793</v>
      </c>
    </row>
    <row r="1823" spans="1:1" x14ac:dyDescent="0.25">
      <c r="A1823" s="28" t="s">
        <v>52</v>
      </c>
    </row>
    <row r="1824" spans="1:1" x14ac:dyDescent="0.25">
      <c r="A1824" s="29" t="s">
        <v>52</v>
      </c>
    </row>
    <row r="1825" spans="1:1" x14ac:dyDescent="0.25">
      <c r="A1825" s="30" t="s">
        <v>52</v>
      </c>
    </row>
    <row r="1826" spans="1:1" x14ac:dyDescent="0.25">
      <c r="A1826" s="31" t="s">
        <v>52</v>
      </c>
    </row>
    <row r="1827" spans="1:1" x14ac:dyDescent="0.25">
      <c r="A1827" s="32" t="s">
        <v>52</v>
      </c>
    </row>
    <row r="1828" spans="1:1" x14ac:dyDescent="0.25">
      <c r="A1828" s="33" t="s">
        <v>52</v>
      </c>
    </row>
    <row r="1829" spans="1:1" x14ac:dyDescent="0.25">
      <c r="A1829" s="34" t="s">
        <v>52</v>
      </c>
    </row>
    <row r="1830" spans="1:1" x14ac:dyDescent="0.25">
      <c r="A1830" s="35" t="s">
        <v>52</v>
      </c>
    </row>
    <row r="1831" spans="1:1" x14ac:dyDescent="0.25">
      <c r="A1831" s="36" t="s">
        <v>52</v>
      </c>
    </row>
    <row r="1832" spans="1:1" x14ac:dyDescent="0.25">
      <c r="A1832" s="37" t="s">
        <v>52</v>
      </c>
    </row>
    <row r="1833" spans="1:1" x14ac:dyDescent="0.25">
      <c r="A1833" s="38" t="s">
        <v>52</v>
      </c>
    </row>
    <row r="1834" spans="1:1" x14ac:dyDescent="0.25">
      <c r="A1834" s="39" t="s">
        <v>52</v>
      </c>
    </row>
    <row r="1835" spans="1:1" x14ac:dyDescent="0.25">
      <c r="A1835" s="40" t="s">
        <v>52</v>
      </c>
    </row>
    <row r="1836" spans="1:1" x14ac:dyDescent="0.25">
      <c r="A1836" s="41" t="s">
        <v>52</v>
      </c>
    </row>
    <row r="1837" spans="1:1" x14ac:dyDescent="0.25">
      <c r="A1837" s="42" t="s">
        <v>52</v>
      </c>
    </row>
    <row r="1838" spans="1:1" x14ac:dyDescent="0.25">
      <c r="A1838" s="43" t="s">
        <v>52</v>
      </c>
    </row>
    <row r="1839" spans="1:1" x14ac:dyDescent="0.25">
      <c r="A1839" s="44" t="s">
        <v>52</v>
      </c>
    </row>
    <row r="1840" spans="1:1" x14ac:dyDescent="0.25">
      <c r="A1840" s="45" t="s">
        <v>52</v>
      </c>
    </row>
    <row r="1841" spans="1:1" x14ac:dyDescent="0.25">
      <c r="A1841" s="46" t="s">
        <v>52</v>
      </c>
    </row>
    <row r="1842" spans="1:1" x14ac:dyDescent="0.25">
      <c r="A1842" s="47" t="s">
        <v>52</v>
      </c>
    </row>
    <row r="1843" spans="1:1" x14ac:dyDescent="0.25">
      <c r="A1843" s="48" t="s">
        <v>52</v>
      </c>
    </row>
    <row r="1844" spans="1:1" x14ac:dyDescent="0.25">
      <c r="A1844" s="49" t="s">
        <v>52</v>
      </c>
    </row>
    <row r="1845" spans="1:1" x14ac:dyDescent="0.25">
      <c r="A1845" s="50" t="s">
        <v>52</v>
      </c>
    </row>
    <row r="1846" spans="1:1" x14ac:dyDescent="0.25">
      <c r="A1846" s="51" t="s">
        <v>52</v>
      </c>
    </row>
    <row r="1847" spans="1:1" x14ac:dyDescent="0.25">
      <c r="A1847" s="52" t="s">
        <v>52</v>
      </c>
    </row>
    <row r="1848" spans="1:1" x14ac:dyDescent="0.25">
      <c r="A1848" s="53" t="s">
        <v>52</v>
      </c>
    </row>
    <row r="1849" spans="1:1" x14ac:dyDescent="0.25">
      <c r="A1849" s="54" t="s">
        <v>52</v>
      </c>
    </row>
    <row r="1850" spans="1:1" x14ac:dyDescent="0.25">
      <c r="A1850" s="55" t="s">
        <v>52</v>
      </c>
    </row>
    <row r="1851" spans="1:1" x14ac:dyDescent="0.25">
      <c r="A1851" s="56" t="s">
        <v>52</v>
      </c>
    </row>
    <row r="1852" spans="1:1" x14ac:dyDescent="0.25">
      <c r="A1852" s="57" t="s">
        <v>52</v>
      </c>
    </row>
    <row r="1853" spans="1:1" x14ac:dyDescent="0.25">
      <c r="A1853" s="58" t="s">
        <v>52</v>
      </c>
    </row>
    <row r="1854" spans="1:1" x14ac:dyDescent="0.25">
      <c r="A1854" s="59" t="s">
        <v>52</v>
      </c>
    </row>
    <row r="1855" spans="1:1" x14ac:dyDescent="0.25">
      <c r="A1855" s="60" t="s">
        <v>52</v>
      </c>
    </row>
    <row r="1856" spans="1:1" x14ac:dyDescent="0.25">
      <c r="A1856" s="61" t="s">
        <v>52</v>
      </c>
    </row>
    <row r="1857" spans="1:1" x14ac:dyDescent="0.25">
      <c r="A1857" s="62" t="s">
        <v>52</v>
      </c>
    </row>
    <row r="1858" spans="1:1" x14ac:dyDescent="0.25">
      <c r="A1858" s="63" t="s">
        <v>52</v>
      </c>
    </row>
    <row r="1859" spans="1:1" x14ac:dyDescent="0.25">
      <c r="A1859" s="64" t="s">
        <v>52</v>
      </c>
    </row>
    <row r="1860" spans="1:1" x14ac:dyDescent="0.25">
      <c r="A1860" s="65" t="s">
        <v>52</v>
      </c>
    </row>
    <row r="1861" spans="1:1" x14ac:dyDescent="0.25">
      <c r="A1861" s="66" t="s">
        <v>52</v>
      </c>
    </row>
    <row r="1862" spans="1:1" x14ac:dyDescent="0.25">
      <c r="A1862" s="67" t="s">
        <v>52</v>
      </c>
    </row>
    <row r="1863" spans="1:1" x14ac:dyDescent="0.25">
      <c r="A1863" s="68" t="s">
        <v>52</v>
      </c>
    </row>
    <row r="1864" spans="1:1" x14ac:dyDescent="0.25">
      <c r="A1864" s="69" t="s">
        <v>52</v>
      </c>
    </row>
    <row r="1865" spans="1:1" x14ac:dyDescent="0.25">
      <c r="A1865" s="70" t="s">
        <v>52</v>
      </c>
    </row>
    <row r="1866" spans="1:1" x14ac:dyDescent="0.25">
      <c r="A1866" s="71" t="s">
        <v>52</v>
      </c>
    </row>
    <row r="1867" spans="1:1" x14ac:dyDescent="0.25">
      <c r="A1867" s="72" t="s">
        <v>52</v>
      </c>
    </row>
    <row r="1868" spans="1:1" x14ac:dyDescent="0.25">
      <c r="A1868" s="73" t="s">
        <v>52</v>
      </c>
    </row>
    <row r="1869" spans="1:1" x14ac:dyDescent="0.25">
      <c r="A1869" s="74" t="s">
        <v>52</v>
      </c>
    </row>
    <row r="1870" spans="1:1" x14ac:dyDescent="0.25">
      <c r="A1870" s="75" t="s">
        <v>52</v>
      </c>
    </row>
    <row r="1871" spans="1:1" x14ac:dyDescent="0.25">
      <c r="A1871" s="76" t="s">
        <v>52</v>
      </c>
    </row>
    <row r="1872" spans="1:1" x14ac:dyDescent="0.25">
      <c r="A1872" s="77" t="s">
        <v>52</v>
      </c>
    </row>
    <row r="1873" spans="1:1" x14ac:dyDescent="0.25">
      <c r="A1873" s="78" t="s">
        <v>52</v>
      </c>
    </row>
    <row r="1874" spans="1:1" x14ac:dyDescent="0.25">
      <c r="A1874" s="79" t="s">
        <v>52</v>
      </c>
    </row>
    <row r="1875" spans="1:1" x14ac:dyDescent="0.25">
      <c r="A1875" s="80" t="s">
        <v>52</v>
      </c>
    </row>
    <row r="1876" spans="1:1" x14ac:dyDescent="0.25">
      <c r="A1876" s="81" t="s">
        <v>52</v>
      </c>
    </row>
    <row r="1877" spans="1:1" x14ac:dyDescent="0.25">
      <c r="A1877" s="82" t="s">
        <v>52</v>
      </c>
    </row>
    <row r="1878" spans="1:1" x14ac:dyDescent="0.25">
      <c r="A1878" s="83" t="s">
        <v>52</v>
      </c>
    </row>
    <row r="1879" spans="1:1" x14ac:dyDescent="0.25">
      <c r="A1879" s="84" t="s">
        <v>52</v>
      </c>
    </row>
    <row r="1880" spans="1:1" x14ac:dyDescent="0.25">
      <c r="A1880" s="85" t="s">
        <v>52</v>
      </c>
    </row>
    <row r="1881" spans="1:1" x14ac:dyDescent="0.25">
      <c r="A1881" s="86" t="s">
        <v>52</v>
      </c>
    </row>
    <row r="1882" spans="1:1" x14ac:dyDescent="0.25">
      <c r="A1882" s="87" t="s">
        <v>52</v>
      </c>
    </row>
    <row r="1883" spans="1:1" x14ac:dyDescent="0.25">
      <c r="A1883" s="88" t="s">
        <v>52</v>
      </c>
    </row>
    <row r="1884" spans="1:1" x14ac:dyDescent="0.25">
      <c r="A1884" s="89" t="s">
        <v>52</v>
      </c>
    </row>
    <row r="1885" spans="1:1" x14ac:dyDescent="0.25">
      <c r="A1885" s="90" t="s">
        <v>52</v>
      </c>
    </row>
    <row r="1886" spans="1:1" x14ac:dyDescent="0.25">
      <c r="A1886" s="10" t="s">
        <v>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H61"/>
  <sheetViews>
    <sheetView topLeftCell="A4" workbookViewId="0">
      <selection activeCell="F5" sqref="F5"/>
    </sheetView>
  </sheetViews>
  <sheetFormatPr defaultRowHeight="15" x14ac:dyDescent="0.25"/>
  <cols>
    <col min="3" max="3" width="10.42578125" customWidth="1"/>
    <col min="4" max="4" width="35.28515625" customWidth="1"/>
    <col min="5" max="5" width="11.28515625" customWidth="1"/>
  </cols>
  <sheetData>
    <row r="1" spans="2:8" ht="15.75" thickBot="1" x14ac:dyDescent="0.3"/>
    <row r="2" spans="2:8" ht="24.75" thickBot="1" x14ac:dyDescent="0.3">
      <c r="B2" s="114" t="s">
        <v>36</v>
      </c>
      <c r="C2" s="97" t="s">
        <v>94</v>
      </c>
      <c r="D2" s="115" t="s">
        <v>38</v>
      </c>
      <c r="E2" s="115" t="s">
        <v>37</v>
      </c>
      <c r="F2" s="115" t="s">
        <v>81</v>
      </c>
      <c r="G2" s="116" t="s">
        <v>86</v>
      </c>
      <c r="H2" s="99" t="s">
        <v>95</v>
      </c>
    </row>
    <row r="3" spans="2:8" ht="15.75" thickBot="1" x14ac:dyDescent="0.3">
      <c r="B3" s="171" t="s">
        <v>241</v>
      </c>
      <c r="C3" s="172"/>
      <c r="D3" s="172"/>
      <c r="E3" s="172"/>
      <c r="F3" s="172"/>
      <c r="G3" s="172"/>
      <c r="H3" s="117">
        <f>H1</f>
        <v>0</v>
      </c>
    </row>
    <row r="4" spans="2:8" x14ac:dyDescent="0.25">
      <c r="B4" s="100"/>
      <c r="C4" s="107"/>
      <c r="D4" s="108"/>
      <c r="E4" s="107"/>
      <c r="F4" s="109"/>
      <c r="G4" s="105"/>
      <c r="H4" s="106"/>
    </row>
    <row r="5" spans="2:8" ht="27" x14ac:dyDescent="0.25">
      <c r="B5" s="100">
        <f t="shared" ref="B5:B61" si="0">+IF(F5&gt;0,A5,"")</f>
        <v>0</v>
      </c>
      <c r="C5" s="107" t="s">
        <v>34</v>
      </c>
      <c r="D5" s="108" t="s">
        <v>89</v>
      </c>
      <c r="E5" s="107" t="s">
        <v>48</v>
      </c>
      <c r="F5" s="109">
        <f>SUM(F6:F22)</f>
        <v>81.755933529999993</v>
      </c>
      <c r="G5" s="105">
        <f>G6</f>
        <v>75</v>
      </c>
      <c r="H5" s="106">
        <f t="shared" ref="H5:H61" si="1">IF(F5="","",G5*F5)</f>
        <v>6131.6950147499992</v>
      </c>
    </row>
    <row r="6" spans="2:8" ht="27" x14ac:dyDescent="0.25">
      <c r="B6" s="100">
        <f t="shared" si="0"/>
        <v>0</v>
      </c>
      <c r="C6" s="107"/>
      <c r="D6" s="108" t="s">
        <v>193</v>
      </c>
      <c r="E6" s="107" t="s">
        <v>48</v>
      </c>
      <c r="F6" s="109">
        <v>6.1486052000000004</v>
      </c>
      <c r="G6" s="105">
        <v>75</v>
      </c>
      <c r="H6" s="106">
        <f t="shared" si="1"/>
        <v>461.14539000000002</v>
      </c>
    </row>
    <row r="7" spans="2:8" ht="27" x14ac:dyDescent="0.25">
      <c r="B7" s="100">
        <f t="shared" si="0"/>
        <v>0</v>
      </c>
      <c r="C7" s="107"/>
      <c r="D7" s="108" t="s">
        <v>218</v>
      </c>
      <c r="E7" s="107" t="s">
        <v>48</v>
      </c>
      <c r="F7" s="109">
        <v>3.2274064999999998</v>
      </c>
      <c r="G7" s="105">
        <v>75</v>
      </c>
      <c r="H7" s="106">
        <f t="shared" si="1"/>
        <v>242.0554875</v>
      </c>
    </row>
    <row r="8" spans="2:8" ht="27" x14ac:dyDescent="0.25">
      <c r="B8" s="100">
        <f t="shared" si="0"/>
        <v>0</v>
      </c>
      <c r="C8" s="107"/>
      <c r="D8" s="108" t="s">
        <v>219</v>
      </c>
      <c r="E8" s="107" t="s">
        <v>48</v>
      </c>
      <c r="F8" s="109">
        <v>5.193327</v>
      </c>
      <c r="G8" s="105">
        <v>75</v>
      </c>
      <c r="H8" s="106">
        <f t="shared" si="1"/>
        <v>389.49952500000001</v>
      </c>
    </row>
    <row r="9" spans="2:8" ht="27" x14ac:dyDescent="0.25">
      <c r="B9" s="100">
        <f t="shared" si="0"/>
        <v>0</v>
      </c>
      <c r="C9" s="107"/>
      <c r="D9" s="108" t="s">
        <v>220</v>
      </c>
      <c r="E9" s="107" t="s">
        <v>48</v>
      </c>
      <c r="F9" s="109">
        <v>1.580255</v>
      </c>
      <c r="G9" s="105">
        <v>75</v>
      </c>
      <c r="H9" s="106">
        <f t="shared" si="1"/>
        <v>118.519125</v>
      </c>
    </row>
    <row r="10" spans="2:8" ht="27" x14ac:dyDescent="0.25">
      <c r="B10" s="100">
        <f t="shared" si="0"/>
        <v>0</v>
      </c>
      <c r="C10" s="107"/>
      <c r="D10" s="108" t="s">
        <v>221</v>
      </c>
      <c r="E10" s="107" t="s">
        <v>48</v>
      </c>
      <c r="F10" s="109">
        <v>8.2957195800000001</v>
      </c>
      <c r="G10" s="105">
        <v>75</v>
      </c>
      <c r="H10" s="106">
        <f t="shared" si="1"/>
        <v>622.1789685</v>
      </c>
    </row>
    <row r="11" spans="2:8" ht="27" x14ac:dyDescent="0.25">
      <c r="B11" s="100">
        <f t="shared" si="0"/>
        <v>0</v>
      </c>
      <c r="C11" s="107"/>
      <c r="D11" s="108" t="s">
        <v>222</v>
      </c>
      <c r="E11" s="107" t="s">
        <v>48</v>
      </c>
      <c r="F11" s="109">
        <v>4.2774586000000001</v>
      </c>
      <c r="G11" s="105">
        <v>75</v>
      </c>
      <c r="H11" s="106">
        <f t="shared" si="1"/>
        <v>320.80939499999999</v>
      </c>
    </row>
    <row r="12" spans="2:8" ht="27" x14ac:dyDescent="0.25">
      <c r="B12" s="100">
        <f t="shared" si="0"/>
        <v>0</v>
      </c>
      <c r="C12" s="107"/>
      <c r="D12" s="108" t="s">
        <v>223</v>
      </c>
      <c r="E12" s="107" t="s">
        <v>48</v>
      </c>
      <c r="F12" s="109">
        <v>6.9658654999999996</v>
      </c>
      <c r="G12" s="105">
        <v>75</v>
      </c>
      <c r="H12" s="106">
        <f t="shared" si="1"/>
        <v>522.43991249999999</v>
      </c>
    </row>
    <row r="13" spans="2:8" ht="27" x14ac:dyDescent="0.25">
      <c r="B13" s="100">
        <f t="shared" si="0"/>
        <v>0</v>
      </c>
      <c r="C13" s="107"/>
      <c r="D13" s="108" t="s">
        <v>224</v>
      </c>
      <c r="E13" s="107" t="s">
        <v>48</v>
      </c>
      <c r="F13" s="109">
        <v>1.4631175000000001</v>
      </c>
      <c r="G13" s="105">
        <v>75</v>
      </c>
      <c r="H13" s="106">
        <f t="shared" si="1"/>
        <v>109.7338125</v>
      </c>
    </row>
    <row r="14" spans="2:8" ht="27" x14ac:dyDescent="0.25">
      <c r="B14" s="100">
        <f t="shared" si="0"/>
        <v>0</v>
      </c>
      <c r="C14" s="107"/>
      <c r="D14" s="108" t="s">
        <v>225</v>
      </c>
      <c r="E14" s="107" t="s">
        <v>48</v>
      </c>
      <c r="F14" s="109">
        <v>5.6185603000000004</v>
      </c>
      <c r="G14" s="105">
        <v>75</v>
      </c>
      <c r="H14" s="106">
        <f t="shared" si="1"/>
        <v>421.39202250000005</v>
      </c>
    </row>
    <row r="15" spans="2:8" ht="27" x14ac:dyDescent="0.25">
      <c r="B15" s="100">
        <f t="shared" si="0"/>
        <v>0</v>
      </c>
      <c r="C15" s="107"/>
      <c r="D15" s="108" t="s">
        <v>226</v>
      </c>
      <c r="E15" s="107" t="s">
        <v>48</v>
      </c>
      <c r="F15" s="109">
        <v>5.4339240000000002</v>
      </c>
      <c r="G15" s="105">
        <v>75</v>
      </c>
      <c r="H15" s="106">
        <f t="shared" si="1"/>
        <v>407.54430000000002</v>
      </c>
    </row>
    <row r="16" spans="2:8" ht="27" x14ac:dyDescent="0.25">
      <c r="B16" s="100">
        <f t="shared" si="0"/>
        <v>0</v>
      </c>
      <c r="C16" s="107"/>
      <c r="D16" s="108" t="s">
        <v>227</v>
      </c>
      <c r="E16" s="107" t="s">
        <v>48</v>
      </c>
      <c r="F16" s="109">
        <v>13.2757199</v>
      </c>
      <c r="G16" s="105">
        <v>75</v>
      </c>
      <c r="H16" s="106">
        <f t="shared" si="1"/>
        <v>995.67899250000005</v>
      </c>
    </row>
    <row r="17" spans="2:8" ht="27" x14ac:dyDescent="0.25">
      <c r="B17" s="100">
        <f t="shared" si="0"/>
        <v>0</v>
      </c>
      <c r="C17" s="107"/>
      <c r="D17" s="108" t="s">
        <v>230</v>
      </c>
      <c r="E17" s="107" t="s">
        <v>48</v>
      </c>
      <c r="F17" s="109">
        <v>2.5787749999999998</v>
      </c>
      <c r="G17" s="105">
        <v>75</v>
      </c>
      <c r="H17" s="106">
        <f t="shared" si="1"/>
        <v>193.40812499999998</v>
      </c>
    </row>
    <row r="18" spans="2:8" ht="27" x14ac:dyDescent="0.25">
      <c r="B18" s="100">
        <f t="shared" si="0"/>
        <v>0</v>
      </c>
      <c r="C18" s="107"/>
      <c r="D18" s="108" t="s">
        <v>231</v>
      </c>
      <c r="E18" s="107" t="s">
        <v>48</v>
      </c>
      <c r="F18" s="109">
        <v>3.5772221499999999</v>
      </c>
      <c r="G18" s="105">
        <v>75</v>
      </c>
      <c r="H18" s="106">
        <f t="shared" si="1"/>
        <v>268.29166125</v>
      </c>
    </row>
    <row r="19" spans="2:8" ht="27" x14ac:dyDescent="0.25">
      <c r="B19" s="100">
        <f t="shared" si="0"/>
        <v>0</v>
      </c>
      <c r="C19" s="107"/>
      <c r="D19" s="108" t="s">
        <v>232</v>
      </c>
      <c r="E19" s="107" t="s">
        <v>48</v>
      </c>
      <c r="F19" s="109">
        <v>3.1941802500000001</v>
      </c>
      <c r="G19" s="105">
        <v>75</v>
      </c>
      <c r="H19" s="106">
        <f t="shared" si="1"/>
        <v>239.56351875000001</v>
      </c>
    </row>
    <row r="20" spans="2:8" ht="27" x14ac:dyDescent="0.25">
      <c r="B20" s="100">
        <f t="shared" si="0"/>
        <v>0</v>
      </c>
      <c r="C20" s="107"/>
      <c r="D20" s="108" t="s">
        <v>233</v>
      </c>
      <c r="E20" s="107" t="s">
        <v>48</v>
      </c>
      <c r="F20" s="109">
        <v>3.1148980000000002</v>
      </c>
      <c r="G20" s="105">
        <v>75</v>
      </c>
      <c r="H20" s="106">
        <f t="shared" si="1"/>
        <v>233.61735000000002</v>
      </c>
    </row>
    <row r="21" spans="2:8" ht="27" x14ac:dyDescent="0.25">
      <c r="B21" s="100">
        <f t="shared" si="0"/>
        <v>0</v>
      </c>
      <c r="C21" s="107"/>
      <c r="D21" s="108" t="s">
        <v>234</v>
      </c>
      <c r="E21" s="107" t="s">
        <v>48</v>
      </c>
      <c r="F21" s="109">
        <v>4.0198584999999998</v>
      </c>
      <c r="G21" s="105">
        <v>75</v>
      </c>
      <c r="H21" s="106">
        <f t="shared" si="1"/>
        <v>301.48938749999996</v>
      </c>
    </row>
    <row r="22" spans="2:8" ht="27" x14ac:dyDescent="0.25">
      <c r="B22" s="100">
        <f t="shared" si="0"/>
        <v>0</v>
      </c>
      <c r="C22" s="107"/>
      <c r="D22" s="108" t="s">
        <v>235</v>
      </c>
      <c r="E22" s="107" t="s">
        <v>48</v>
      </c>
      <c r="F22" s="109">
        <v>3.79104055</v>
      </c>
      <c r="G22" s="105">
        <v>75</v>
      </c>
      <c r="H22" s="106">
        <f t="shared" si="1"/>
        <v>284.32804125000001</v>
      </c>
    </row>
    <row r="23" spans="2:8" x14ac:dyDescent="0.25">
      <c r="B23" s="100" t="str">
        <f t="shared" si="0"/>
        <v/>
      </c>
      <c r="C23" s="107"/>
      <c r="D23" s="108"/>
      <c r="E23" s="107"/>
      <c r="F23" s="109"/>
      <c r="G23" s="105"/>
      <c r="H23" s="106"/>
    </row>
    <row r="24" spans="2:8" ht="27" x14ac:dyDescent="0.25">
      <c r="B24" s="100">
        <f t="shared" si="0"/>
        <v>0</v>
      </c>
      <c r="C24" s="107" t="s">
        <v>35</v>
      </c>
      <c r="D24" s="108" t="s">
        <v>90</v>
      </c>
      <c r="E24" s="107" t="s">
        <v>48</v>
      </c>
      <c r="F24" s="109">
        <f>SUM(F25:F41)</f>
        <v>47.514408700000004</v>
      </c>
      <c r="G24" s="105">
        <f>G25</f>
        <v>500</v>
      </c>
      <c r="H24" s="106">
        <f t="shared" si="1"/>
        <v>23757.204350000004</v>
      </c>
    </row>
    <row r="25" spans="2:8" ht="27" x14ac:dyDescent="0.25">
      <c r="B25" s="100">
        <f t="shared" si="0"/>
        <v>0</v>
      </c>
      <c r="C25" s="107"/>
      <c r="D25" s="108" t="s">
        <v>193</v>
      </c>
      <c r="E25" s="107" t="s">
        <v>48</v>
      </c>
      <c r="F25">
        <v>3.2361080000000002</v>
      </c>
      <c r="G25" s="105">
        <v>500</v>
      </c>
      <c r="H25" s="106">
        <f t="shared" si="1"/>
        <v>1618.0540000000001</v>
      </c>
    </row>
    <row r="26" spans="2:8" ht="27" x14ac:dyDescent="0.25">
      <c r="B26" s="100">
        <f t="shared" si="0"/>
        <v>0</v>
      </c>
      <c r="C26" s="107"/>
      <c r="D26" s="108" t="s">
        <v>218</v>
      </c>
      <c r="E26" s="107" t="s">
        <v>48</v>
      </c>
      <c r="F26">
        <v>1.6986349999999999</v>
      </c>
      <c r="G26" s="105">
        <v>500</v>
      </c>
      <c r="H26" s="106">
        <f t="shared" si="1"/>
        <v>849.3175</v>
      </c>
    </row>
    <row r="27" spans="2:8" ht="27" x14ac:dyDescent="0.25">
      <c r="B27" s="100">
        <f t="shared" si="0"/>
        <v>0</v>
      </c>
      <c r="C27" s="107"/>
      <c r="D27" s="108" t="s">
        <v>219</v>
      </c>
      <c r="E27" s="107" t="s">
        <v>48</v>
      </c>
      <c r="F27">
        <v>2.73333</v>
      </c>
      <c r="G27" s="105">
        <v>500</v>
      </c>
      <c r="H27" s="106">
        <f t="shared" si="1"/>
        <v>1366.665</v>
      </c>
    </row>
    <row r="28" spans="2:8" ht="27" x14ac:dyDescent="0.25">
      <c r="B28" s="100">
        <f t="shared" si="0"/>
        <v>0</v>
      </c>
      <c r="C28" s="107"/>
      <c r="D28" s="108" t="s">
        <v>220</v>
      </c>
      <c r="E28" s="107" t="s">
        <v>48</v>
      </c>
      <c r="F28">
        <v>3.1605099999999999</v>
      </c>
      <c r="G28" s="105">
        <v>500</v>
      </c>
      <c r="H28" s="106">
        <f t="shared" si="1"/>
        <v>1580.2549999999999</v>
      </c>
    </row>
    <row r="29" spans="2:8" ht="27" x14ac:dyDescent="0.25">
      <c r="B29" s="100">
        <f t="shared" si="0"/>
        <v>0</v>
      </c>
      <c r="C29" s="107"/>
      <c r="D29" s="108" t="s">
        <v>221</v>
      </c>
      <c r="E29" s="107" t="s">
        <v>48</v>
      </c>
      <c r="F29">
        <v>4.3661681999999997</v>
      </c>
      <c r="G29" s="105">
        <v>500</v>
      </c>
      <c r="H29" s="106">
        <f t="shared" si="1"/>
        <v>2183.0841</v>
      </c>
    </row>
    <row r="30" spans="2:8" ht="27" x14ac:dyDescent="0.25">
      <c r="B30" s="100">
        <f t="shared" si="0"/>
        <v>0</v>
      </c>
      <c r="C30" s="107"/>
      <c r="D30" s="108" t="s">
        <v>222</v>
      </c>
      <c r="E30" s="107" t="s">
        <v>48</v>
      </c>
      <c r="F30">
        <v>2.2512940000000001</v>
      </c>
      <c r="G30" s="105">
        <v>500</v>
      </c>
      <c r="H30" s="106">
        <f t="shared" si="1"/>
        <v>1125.6470000000002</v>
      </c>
    </row>
    <row r="31" spans="2:8" ht="27" x14ac:dyDescent="0.25">
      <c r="B31" s="100">
        <f t="shared" si="0"/>
        <v>0</v>
      </c>
      <c r="C31" s="107"/>
      <c r="D31" s="108" t="s">
        <v>223</v>
      </c>
      <c r="E31" s="107" t="s">
        <v>48</v>
      </c>
      <c r="F31">
        <v>3.666245</v>
      </c>
      <c r="G31" s="105">
        <v>500</v>
      </c>
      <c r="H31" s="106">
        <f t="shared" si="1"/>
        <v>1833.1224999999999</v>
      </c>
    </row>
    <row r="32" spans="2:8" ht="27" x14ac:dyDescent="0.25">
      <c r="B32" s="100">
        <f t="shared" si="0"/>
        <v>0</v>
      </c>
      <c r="C32" s="107"/>
      <c r="D32" s="108" t="s">
        <v>224</v>
      </c>
      <c r="E32" s="107" t="s">
        <v>48</v>
      </c>
      <c r="F32">
        <v>2.9262350000000001</v>
      </c>
      <c r="G32" s="105">
        <v>500</v>
      </c>
      <c r="H32" s="106">
        <f t="shared" si="1"/>
        <v>1463.1175000000001</v>
      </c>
    </row>
    <row r="33" spans="2:8" ht="27" x14ac:dyDescent="0.25">
      <c r="B33" s="100">
        <f t="shared" si="0"/>
        <v>0</v>
      </c>
      <c r="C33" s="107"/>
      <c r="D33" s="108" t="s">
        <v>225</v>
      </c>
      <c r="E33" s="107" t="s">
        <v>48</v>
      </c>
      <c r="F33">
        <v>2.9571369999999999</v>
      </c>
      <c r="G33" s="105">
        <v>500</v>
      </c>
      <c r="H33" s="106">
        <f t="shared" si="1"/>
        <v>1478.5684999999999</v>
      </c>
    </row>
    <row r="34" spans="2:8" ht="27" x14ac:dyDescent="0.25">
      <c r="B34" s="100">
        <f t="shared" si="0"/>
        <v>0</v>
      </c>
      <c r="C34" s="107"/>
      <c r="D34" s="108" t="s">
        <v>226</v>
      </c>
      <c r="E34" s="107" t="s">
        <v>48</v>
      </c>
      <c r="F34">
        <v>2.8599600000000001</v>
      </c>
      <c r="G34" s="105">
        <v>500</v>
      </c>
      <c r="H34" s="106">
        <f t="shared" si="1"/>
        <v>1429.98</v>
      </c>
    </row>
    <row r="35" spans="2:8" ht="27" x14ac:dyDescent="0.25">
      <c r="B35" s="100">
        <f t="shared" si="0"/>
        <v>0</v>
      </c>
      <c r="C35" s="107"/>
      <c r="D35" s="108" t="s">
        <v>227</v>
      </c>
      <c r="E35" s="107" t="s">
        <v>48</v>
      </c>
      <c r="F35">
        <v>6.9872209999999999</v>
      </c>
      <c r="G35" s="105">
        <v>500</v>
      </c>
      <c r="H35" s="106">
        <f t="shared" si="1"/>
        <v>3493.6104999999998</v>
      </c>
    </row>
    <row r="36" spans="2:8" ht="27" x14ac:dyDescent="0.25">
      <c r="B36" s="100">
        <f t="shared" si="0"/>
        <v>0</v>
      </c>
      <c r="C36" s="107"/>
      <c r="D36" s="108" t="s">
        <v>230</v>
      </c>
      <c r="E36" s="107" t="s">
        <v>48</v>
      </c>
      <c r="F36">
        <v>1.3572500000000001</v>
      </c>
      <c r="G36" s="105">
        <v>500</v>
      </c>
      <c r="H36" s="106">
        <f t="shared" si="1"/>
        <v>678.625</v>
      </c>
    </row>
    <row r="37" spans="2:8" ht="27" x14ac:dyDescent="0.25">
      <c r="B37" s="100">
        <f t="shared" si="0"/>
        <v>0</v>
      </c>
      <c r="C37" s="107"/>
      <c r="D37" s="108" t="s">
        <v>231</v>
      </c>
      <c r="E37" s="107" t="s">
        <v>48</v>
      </c>
      <c r="F37">
        <v>1.8827484999999999</v>
      </c>
      <c r="G37" s="105">
        <v>500</v>
      </c>
      <c r="H37" s="106">
        <f t="shared" si="1"/>
        <v>941.37424999999996</v>
      </c>
    </row>
    <row r="38" spans="2:8" ht="27" x14ac:dyDescent="0.25">
      <c r="B38" s="100">
        <f t="shared" si="0"/>
        <v>0</v>
      </c>
      <c r="C38" s="107"/>
      <c r="D38" s="108" t="s">
        <v>232</v>
      </c>
      <c r="E38" s="107" t="s">
        <v>48</v>
      </c>
      <c r="F38">
        <v>1.6811475</v>
      </c>
      <c r="G38" s="105">
        <v>500</v>
      </c>
      <c r="H38" s="106">
        <f t="shared" si="1"/>
        <v>840.57375000000002</v>
      </c>
    </row>
    <row r="39" spans="2:8" ht="27" x14ac:dyDescent="0.25">
      <c r="B39" s="100">
        <f t="shared" si="0"/>
        <v>0</v>
      </c>
      <c r="C39" s="107"/>
      <c r="D39" s="108" t="s">
        <v>233</v>
      </c>
      <c r="E39" s="107" t="s">
        <v>48</v>
      </c>
      <c r="F39">
        <v>1.6394200000000001</v>
      </c>
      <c r="G39" s="105">
        <v>500</v>
      </c>
      <c r="H39" s="106">
        <f t="shared" si="1"/>
        <v>819.71</v>
      </c>
    </row>
    <row r="40" spans="2:8" ht="27" x14ac:dyDescent="0.25">
      <c r="B40" s="100">
        <f t="shared" si="0"/>
        <v>0</v>
      </c>
      <c r="C40" s="107"/>
      <c r="D40" s="108" t="s">
        <v>234</v>
      </c>
      <c r="E40" s="107" t="s">
        <v>48</v>
      </c>
      <c r="F40">
        <v>2.1157149999999998</v>
      </c>
      <c r="G40" s="105">
        <v>500</v>
      </c>
      <c r="H40" s="106">
        <f t="shared" si="1"/>
        <v>1057.8574999999998</v>
      </c>
    </row>
    <row r="41" spans="2:8" ht="27" x14ac:dyDescent="0.25">
      <c r="B41" s="100">
        <f t="shared" si="0"/>
        <v>0</v>
      </c>
      <c r="C41" s="107"/>
      <c r="D41" s="108" t="s">
        <v>235</v>
      </c>
      <c r="E41" s="107" t="s">
        <v>48</v>
      </c>
      <c r="F41">
        <v>1.9952844999999999</v>
      </c>
      <c r="G41" s="105">
        <v>500</v>
      </c>
      <c r="H41" s="106">
        <f t="shared" si="1"/>
        <v>997.64224999999999</v>
      </c>
    </row>
    <row r="42" spans="2:8" x14ac:dyDescent="0.25">
      <c r="B42" s="100" t="str">
        <f t="shared" si="0"/>
        <v/>
      </c>
      <c r="C42" s="107"/>
      <c r="D42" s="108"/>
      <c r="E42" s="107"/>
      <c r="F42" s="109"/>
      <c r="G42" s="105"/>
      <c r="H42" s="106"/>
    </row>
    <row r="43" spans="2:8" x14ac:dyDescent="0.25">
      <c r="B43" s="100">
        <f t="shared" si="0"/>
        <v>0</v>
      </c>
      <c r="C43" s="107" t="s">
        <v>53</v>
      </c>
      <c r="D43" s="108" t="s">
        <v>91</v>
      </c>
      <c r="E43" s="107" t="s">
        <v>48</v>
      </c>
      <c r="F43" s="109">
        <f>SUM(F44:F61)</f>
        <v>307.28793308999997</v>
      </c>
      <c r="G43" s="105">
        <f>G44</f>
        <v>30</v>
      </c>
      <c r="H43" s="106">
        <f t="shared" si="1"/>
        <v>9218.6379926999998</v>
      </c>
    </row>
    <row r="44" spans="2:8" x14ac:dyDescent="0.25">
      <c r="B44" s="100">
        <f t="shared" si="0"/>
        <v>0</v>
      </c>
      <c r="C44" s="107"/>
      <c r="D44" s="108" t="s">
        <v>57</v>
      </c>
      <c r="E44" s="107" t="s">
        <v>48</v>
      </c>
      <c r="F44" s="109">
        <v>18.4458156</v>
      </c>
      <c r="G44" s="105">
        <v>30</v>
      </c>
      <c r="H44" s="106">
        <f t="shared" si="1"/>
        <v>553.37446799999998</v>
      </c>
    </row>
    <row r="45" spans="2:8" x14ac:dyDescent="0.25">
      <c r="B45" s="100">
        <f t="shared" si="0"/>
        <v>0</v>
      </c>
      <c r="C45" s="107"/>
      <c r="D45" s="108" t="s">
        <v>58</v>
      </c>
      <c r="E45" s="107" t="s">
        <v>48</v>
      </c>
      <c r="F45" s="109">
        <v>9.6822195000000004</v>
      </c>
      <c r="G45" s="105">
        <v>30</v>
      </c>
      <c r="H45" s="106">
        <f t="shared" si="1"/>
        <v>290.46658500000001</v>
      </c>
    </row>
    <row r="46" spans="2:8" x14ac:dyDescent="0.25">
      <c r="B46" s="100">
        <f t="shared" si="0"/>
        <v>0</v>
      </c>
      <c r="C46" s="107"/>
      <c r="D46" s="108" t="s">
        <v>59</v>
      </c>
      <c r="E46" s="107" t="s">
        <v>48</v>
      </c>
      <c r="F46" s="109">
        <v>15.579981</v>
      </c>
      <c r="G46" s="105">
        <v>30</v>
      </c>
      <c r="H46" s="106">
        <f t="shared" si="1"/>
        <v>467.39943</v>
      </c>
    </row>
    <row r="47" spans="2:8" x14ac:dyDescent="0.25">
      <c r="B47" s="100">
        <f t="shared" si="0"/>
        <v>0</v>
      </c>
      <c r="C47" s="107"/>
      <c r="D47" s="108" t="s">
        <v>60</v>
      </c>
      <c r="E47" s="107" t="s">
        <v>48</v>
      </c>
      <c r="F47" s="109">
        <v>24.88715874</v>
      </c>
      <c r="G47" s="105">
        <v>30</v>
      </c>
      <c r="H47" s="106">
        <f t="shared" si="1"/>
        <v>746.61476219999997</v>
      </c>
    </row>
    <row r="48" spans="2:8" x14ac:dyDescent="0.25">
      <c r="B48" s="100">
        <f t="shared" si="0"/>
        <v>0</v>
      </c>
      <c r="C48" s="107"/>
      <c r="D48" s="108" t="s">
        <v>61</v>
      </c>
      <c r="E48" s="107" t="s">
        <v>48</v>
      </c>
      <c r="F48" s="109">
        <v>12.832375799999999</v>
      </c>
      <c r="G48" s="105">
        <v>30</v>
      </c>
      <c r="H48" s="106">
        <f t="shared" si="1"/>
        <v>384.97127399999999</v>
      </c>
    </row>
    <row r="49" spans="2:8" x14ac:dyDescent="0.25">
      <c r="B49" s="100">
        <f t="shared" si="0"/>
        <v>0</v>
      </c>
      <c r="C49" s="107"/>
      <c r="D49" s="108" t="s">
        <v>62</v>
      </c>
      <c r="E49" s="107" t="s">
        <v>48</v>
      </c>
      <c r="F49" s="109">
        <v>20.897596499999999</v>
      </c>
      <c r="G49" s="105">
        <v>30</v>
      </c>
      <c r="H49" s="106">
        <f t="shared" si="1"/>
        <v>626.92789499999992</v>
      </c>
    </row>
    <row r="50" spans="2:8" x14ac:dyDescent="0.25">
      <c r="B50" s="100">
        <f t="shared" si="0"/>
        <v>0</v>
      </c>
      <c r="C50" s="107"/>
      <c r="D50" s="108" t="s">
        <v>63</v>
      </c>
      <c r="E50" s="107" t="s">
        <v>48</v>
      </c>
      <c r="F50" s="109">
        <v>16.855680899999999</v>
      </c>
      <c r="G50" s="105">
        <v>30</v>
      </c>
      <c r="H50" s="106">
        <f t="shared" si="1"/>
        <v>505.67042699999996</v>
      </c>
    </row>
    <row r="51" spans="2:8" x14ac:dyDescent="0.25">
      <c r="B51" s="100">
        <f t="shared" si="0"/>
        <v>0</v>
      </c>
      <c r="C51" s="107"/>
      <c r="D51" s="108" t="s">
        <v>64</v>
      </c>
      <c r="E51" s="107" t="s">
        <v>48</v>
      </c>
      <c r="F51" s="109">
        <v>16.301772</v>
      </c>
      <c r="G51" s="105">
        <v>30</v>
      </c>
      <c r="H51" s="106">
        <f t="shared" si="1"/>
        <v>489.05315999999999</v>
      </c>
    </row>
    <row r="52" spans="2:8" x14ac:dyDescent="0.25">
      <c r="B52" s="100">
        <f t="shared" si="0"/>
        <v>0</v>
      </c>
      <c r="C52" s="107"/>
      <c r="D52" s="108" t="s">
        <v>189</v>
      </c>
      <c r="E52" s="107" t="s">
        <v>48</v>
      </c>
      <c r="F52" s="109">
        <v>39.827159700000003</v>
      </c>
      <c r="G52" s="105">
        <v>30</v>
      </c>
      <c r="H52" s="106">
        <f t="shared" si="1"/>
        <v>1194.814791</v>
      </c>
    </row>
    <row r="53" spans="2:8" x14ac:dyDescent="0.25">
      <c r="B53" s="100">
        <f t="shared" si="0"/>
        <v>0</v>
      </c>
      <c r="C53" s="107"/>
      <c r="D53" s="108" t="s">
        <v>65</v>
      </c>
      <c r="E53" s="107" t="s">
        <v>48</v>
      </c>
      <c r="F53" s="109">
        <v>9.2302499999999998</v>
      </c>
      <c r="G53" s="105">
        <v>30</v>
      </c>
      <c r="H53" s="106">
        <f t="shared" si="1"/>
        <v>276.90749999999997</v>
      </c>
    </row>
    <row r="54" spans="2:8" ht="27" x14ac:dyDescent="0.25">
      <c r="B54" s="100">
        <f t="shared" si="0"/>
        <v>0</v>
      </c>
      <c r="C54" s="107"/>
      <c r="D54" s="108" t="s">
        <v>76</v>
      </c>
      <c r="E54" s="107" t="s">
        <v>48</v>
      </c>
      <c r="F54" s="109">
        <v>4.5</v>
      </c>
      <c r="G54" s="105">
        <v>30</v>
      </c>
      <c r="H54" s="106">
        <f t="shared" si="1"/>
        <v>135</v>
      </c>
    </row>
    <row r="55" spans="2:8" x14ac:dyDescent="0.25">
      <c r="B55" s="100">
        <f t="shared" si="0"/>
        <v>0</v>
      </c>
      <c r="C55" s="107"/>
      <c r="D55" s="108" t="s">
        <v>66</v>
      </c>
      <c r="E55" s="107" t="s">
        <v>48</v>
      </c>
      <c r="F55" s="109">
        <v>7.7363249999999999</v>
      </c>
      <c r="G55" s="105">
        <v>30</v>
      </c>
      <c r="H55" s="106">
        <f t="shared" si="1"/>
        <v>232.08975000000001</v>
      </c>
    </row>
    <row r="56" spans="2:8" x14ac:dyDescent="0.25">
      <c r="B56" s="100">
        <f t="shared" si="0"/>
        <v>0</v>
      </c>
      <c r="C56" s="107"/>
      <c r="D56" s="108" t="s">
        <v>67</v>
      </c>
      <c r="E56" s="107" t="s">
        <v>48</v>
      </c>
      <c r="F56" s="109">
        <v>10.731666450000001</v>
      </c>
      <c r="G56" s="105">
        <v>30</v>
      </c>
      <c r="H56" s="106">
        <f t="shared" si="1"/>
        <v>321.94999350000001</v>
      </c>
    </row>
    <row r="57" spans="2:8" x14ac:dyDescent="0.25">
      <c r="B57" s="100">
        <f t="shared" si="0"/>
        <v>0</v>
      </c>
      <c r="C57" s="107"/>
      <c r="D57" s="108" t="s">
        <v>68</v>
      </c>
      <c r="E57" s="107" t="s">
        <v>48</v>
      </c>
      <c r="F57" s="109">
        <v>9.5825407499999997</v>
      </c>
      <c r="G57" s="105">
        <v>30</v>
      </c>
      <c r="H57" s="106">
        <f t="shared" si="1"/>
        <v>287.47622250000001</v>
      </c>
    </row>
    <row r="58" spans="2:8" x14ac:dyDescent="0.25">
      <c r="B58" s="100">
        <f t="shared" si="0"/>
        <v>0</v>
      </c>
      <c r="C58" s="107"/>
      <c r="D58" s="108" t="s">
        <v>69</v>
      </c>
      <c r="E58" s="107" t="s">
        <v>48</v>
      </c>
      <c r="F58" s="109">
        <v>9.3446940000000005</v>
      </c>
      <c r="G58" s="105">
        <v>30</v>
      </c>
      <c r="H58" s="106">
        <f t="shared" si="1"/>
        <v>280.34082000000001</v>
      </c>
    </row>
    <row r="59" spans="2:8" x14ac:dyDescent="0.25">
      <c r="B59" s="100">
        <f t="shared" si="0"/>
        <v>0</v>
      </c>
      <c r="C59" s="107"/>
      <c r="D59" s="108" t="s">
        <v>70</v>
      </c>
      <c r="E59" s="107" t="s">
        <v>48</v>
      </c>
      <c r="F59" s="109">
        <v>12.059575499999999</v>
      </c>
      <c r="G59" s="105">
        <v>30</v>
      </c>
      <c r="H59" s="106">
        <f t="shared" si="1"/>
        <v>361.78726499999999</v>
      </c>
    </row>
    <row r="60" spans="2:8" x14ac:dyDescent="0.25">
      <c r="B60" s="100">
        <f t="shared" si="0"/>
        <v>0</v>
      </c>
      <c r="C60" s="107"/>
      <c r="D60" s="108" t="s">
        <v>71</v>
      </c>
      <c r="E60" s="107" t="s">
        <v>48</v>
      </c>
      <c r="F60" s="109">
        <v>11.37312165</v>
      </c>
      <c r="G60" s="105">
        <v>30</v>
      </c>
      <c r="H60" s="106">
        <f t="shared" si="1"/>
        <v>341.19364949999999</v>
      </c>
    </row>
    <row r="61" spans="2:8" x14ac:dyDescent="0.25">
      <c r="B61" s="100">
        <f t="shared" si="0"/>
        <v>0</v>
      </c>
      <c r="C61" s="107"/>
      <c r="D61" s="108" t="s">
        <v>72</v>
      </c>
      <c r="E61" s="107" t="s">
        <v>48</v>
      </c>
      <c r="F61" s="109">
        <v>57.42</v>
      </c>
      <c r="G61" s="105">
        <v>30</v>
      </c>
      <c r="H61" s="106">
        <f t="shared" si="1"/>
        <v>1722.6000000000001</v>
      </c>
    </row>
  </sheetData>
  <mergeCells count="1">
    <mergeCell ref="B3:G3"/>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H41"/>
  <sheetViews>
    <sheetView view="pageBreakPreview" topLeftCell="A4" zoomScale="115" zoomScaleNormal="100" zoomScaleSheetLayoutView="115" workbookViewId="0">
      <selection activeCell="D16" sqref="D16:G16"/>
    </sheetView>
  </sheetViews>
  <sheetFormatPr defaultRowHeight="15" x14ac:dyDescent="0.25"/>
  <sheetData>
    <row r="2" spans="2:8" x14ac:dyDescent="0.25">
      <c r="B2" s="196"/>
      <c r="C2" s="202"/>
      <c r="D2" s="202"/>
      <c r="E2" s="202"/>
      <c r="F2" s="202"/>
      <c r="G2" s="202"/>
      <c r="H2" s="194"/>
    </row>
    <row r="3" spans="2:8" x14ac:dyDescent="0.25">
      <c r="B3" s="196"/>
      <c r="C3" s="202"/>
      <c r="D3" s="202"/>
      <c r="E3" s="202"/>
      <c r="F3" s="202"/>
      <c r="G3" s="202"/>
      <c r="H3" s="194"/>
    </row>
    <row r="4" spans="2:8" x14ac:dyDescent="0.25">
      <c r="B4" s="196"/>
      <c r="C4" s="202"/>
      <c r="D4" s="202"/>
      <c r="E4" s="202"/>
      <c r="F4" s="202"/>
      <c r="G4" s="202"/>
      <c r="H4" s="194"/>
    </row>
    <row r="5" spans="2:8" x14ac:dyDescent="0.25">
      <c r="B5" s="207"/>
      <c r="C5" s="183"/>
      <c r="D5" s="187"/>
      <c r="E5" s="187"/>
      <c r="F5" s="187"/>
      <c r="G5" s="181"/>
      <c r="H5" s="188"/>
    </row>
    <row r="6" spans="2:8" ht="15.75" thickBot="1" x14ac:dyDescent="0.3">
      <c r="B6" s="207"/>
      <c r="C6" s="183"/>
      <c r="D6" s="187"/>
      <c r="E6" s="187"/>
      <c r="F6" s="187"/>
      <c r="G6" s="181"/>
      <c r="H6" s="188"/>
    </row>
    <row r="7" spans="2:8" x14ac:dyDescent="0.25">
      <c r="B7" s="191" t="s">
        <v>1028</v>
      </c>
      <c r="C7" s="193"/>
      <c r="D7" s="193"/>
      <c r="E7" s="193"/>
      <c r="F7" s="193"/>
      <c r="G7" s="193"/>
      <c r="H7" s="204"/>
    </row>
    <row r="8" spans="2:8" ht="15.75" thickBot="1" x14ac:dyDescent="0.3">
      <c r="B8" s="177"/>
      <c r="C8" s="199"/>
      <c r="D8" s="195"/>
      <c r="E8" s="199"/>
      <c r="F8" s="199"/>
      <c r="G8" s="206"/>
      <c r="H8" s="198"/>
    </row>
    <row r="9" spans="2:8" ht="15.75" thickBot="1" x14ac:dyDescent="0.3">
      <c r="B9" s="203" t="s">
        <v>1029</v>
      </c>
      <c r="C9" s="185"/>
      <c r="D9" s="203" t="s">
        <v>38</v>
      </c>
      <c r="E9" s="185"/>
      <c r="F9" s="185"/>
      <c r="G9" s="185"/>
      <c r="H9" s="218" t="s">
        <v>95</v>
      </c>
    </row>
    <row r="10" spans="2:8" x14ac:dyDescent="0.25">
      <c r="B10" s="214"/>
      <c r="C10" s="210"/>
      <c r="D10" s="214"/>
      <c r="E10" s="189"/>
      <c r="F10" s="189"/>
      <c r="G10" s="189"/>
      <c r="H10" s="205"/>
    </row>
    <row r="11" spans="2:8" x14ac:dyDescent="0.25">
      <c r="B11" s="180" t="s">
        <v>970</v>
      </c>
      <c r="C11" s="221"/>
      <c r="D11" s="180" t="s">
        <v>922</v>
      </c>
      <c r="E11" s="217"/>
      <c r="F11" s="217"/>
      <c r="G11" s="217"/>
      <c r="H11" s="213">
        <f>'[1]SEC1-P&amp;G'!H112</f>
        <v>0</v>
      </c>
    </row>
    <row r="12" spans="2:8" x14ac:dyDescent="0.25">
      <c r="B12" s="180"/>
      <c r="C12" s="221"/>
      <c r="D12" s="180"/>
      <c r="E12" s="209"/>
      <c r="F12" s="209"/>
      <c r="G12" s="209"/>
      <c r="H12" s="213"/>
    </row>
    <row r="13" spans="2:8" x14ac:dyDescent="0.25">
      <c r="B13" s="180" t="s">
        <v>1022</v>
      </c>
      <c r="C13" s="221"/>
      <c r="D13" s="180" t="s">
        <v>1030</v>
      </c>
      <c r="E13" s="209"/>
      <c r="F13" s="209"/>
      <c r="G13" s="209"/>
      <c r="H13" s="213" t="str">
        <f>'[1]SEC 2-CL1'!H381</f>
        <v/>
      </c>
    </row>
    <row r="14" spans="2:8" x14ac:dyDescent="0.25">
      <c r="B14" s="180"/>
      <c r="C14" s="221"/>
      <c r="D14" s="180"/>
      <c r="E14" s="209"/>
      <c r="F14" s="209"/>
      <c r="G14" s="209"/>
      <c r="H14" s="213"/>
    </row>
    <row r="15" spans="2:8" x14ac:dyDescent="0.25">
      <c r="B15" s="180" t="s">
        <v>1031</v>
      </c>
      <c r="C15" s="221"/>
      <c r="D15" s="180" t="s">
        <v>1032</v>
      </c>
      <c r="E15" s="209"/>
      <c r="F15" s="209"/>
      <c r="G15" s="209"/>
      <c r="H15" s="192">
        <f>'[1]SEC 3-CL2A'!H145</f>
        <v>0</v>
      </c>
    </row>
    <row r="16" spans="2:8" x14ac:dyDescent="0.25">
      <c r="B16" s="180"/>
      <c r="C16" s="221"/>
      <c r="D16" s="180"/>
      <c r="E16" s="209"/>
      <c r="F16" s="209"/>
      <c r="G16" s="209"/>
      <c r="H16" s="213"/>
    </row>
    <row r="17" spans="2:8" x14ac:dyDescent="0.25">
      <c r="B17" s="180" t="s">
        <v>1033</v>
      </c>
      <c r="C17" s="221"/>
      <c r="D17" s="180" t="s">
        <v>1034</v>
      </c>
      <c r="E17" s="209"/>
      <c r="F17" s="209"/>
      <c r="G17" s="209"/>
      <c r="H17" s="213">
        <f>'[1]SEC 4-CL2B'!H122</f>
        <v>0</v>
      </c>
    </row>
    <row r="18" spans="2:8" x14ac:dyDescent="0.25">
      <c r="B18" s="180"/>
      <c r="C18" s="221"/>
      <c r="D18" s="180"/>
      <c r="E18" s="209"/>
      <c r="F18" s="209"/>
      <c r="G18" s="209"/>
      <c r="H18" s="213"/>
    </row>
    <row r="19" spans="2:8" x14ac:dyDescent="0.25">
      <c r="B19" s="180" t="s">
        <v>1035</v>
      </c>
      <c r="C19" s="221"/>
      <c r="D19" s="180" t="s">
        <v>1036</v>
      </c>
      <c r="E19" s="209"/>
      <c r="F19" s="209"/>
      <c r="G19" s="209"/>
      <c r="H19" s="213">
        <f>'[1]SEC 5-CL3A'!H61</f>
        <v>0</v>
      </c>
    </row>
    <row r="20" spans="2:8" x14ac:dyDescent="0.25">
      <c r="B20" s="180"/>
      <c r="C20" s="221"/>
      <c r="D20" s="180"/>
      <c r="E20" s="209"/>
      <c r="F20" s="209"/>
      <c r="G20" s="209"/>
      <c r="H20" s="213"/>
    </row>
    <row r="21" spans="2:8" x14ac:dyDescent="0.25">
      <c r="B21" s="180" t="s">
        <v>1037</v>
      </c>
      <c r="C21" s="221"/>
      <c r="D21" s="180" t="s">
        <v>1038</v>
      </c>
      <c r="E21" s="209"/>
      <c r="F21" s="209"/>
      <c r="G21" s="209"/>
      <c r="H21" s="213">
        <f>'[1]SEC 6-CL3B'!H372</f>
        <v>0</v>
      </c>
    </row>
    <row r="22" spans="2:8" x14ac:dyDescent="0.25">
      <c r="B22" s="180"/>
      <c r="C22" s="221"/>
      <c r="D22" s="180"/>
      <c r="E22" s="209"/>
      <c r="F22" s="209"/>
      <c r="G22" s="209"/>
      <c r="H22" s="213"/>
    </row>
    <row r="23" spans="2:8" x14ac:dyDescent="0.25">
      <c r="B23" s="180" t="s">
        <v>1039</v>
      </c>
      <c r="C23" s="221"/>
      <c r="D23" s="180" t="s">
        <v>1040</v>
      </c>
      <c r="E23" s="209"/>
      <c r="F23" s="209"/>
      <c r="G23" s="209"/>
      <c r="H23" s="213">
        <f>'[1]SEC 7-CL3C'!H116</f>
        <v>0</v>
      </c>
    </row>
    <row r="24" spans="2:8" x14ac:dyDescent="0.25">
      <c r="B24" s="180"/>
      <c r="C24" s="221"/>
      <c r="D24" s="180"/>
      <c r="E24" s="209"/>
      <c r="F24" s="209"/>
      <c r="G24" s="209"/>
      <c r="H24" s="213"/>
    </row>
    <row r="25" spans="2:8" x14ac:dyDescent="0.25">
      <c r="B25" s="180"/>
      <c r="C25" s="221"/>
      <c r="D25" s="180"/>
      <c r="E25" s="209"/>
      <c r="F25" s="209"/>
      <c r="G25" s="209"/>
      <c r="H25" s="213"/>
    </row>
    <row r="26" spans="2:8" x14ac:dyDescent="0.25">
      <c r="B26" s="180"/>
      <c r="C26" s="221"/>
      <c r="D26" s="180"/>
      <c r="E26" s="209"/>
      <c r="F26" s="209"/>
      <c r="G26" s="209"/>
      <c r="H26" s="213"/>
    </row>
    <row r="27" spans="2:8" x14ac:dyDescent="0.25">
      <c r="B27" s="180"/>
      <c r="C27" s="221"/>
      <c r="D27" s="180"/>
      <c r="E27" s="209"/>
      <c r="F27" s="209"/>
      <c r="G27" s="209"/>
      <c r="H27" s="213"/>
    </row>
    <row r="28" spans="2:8" x14ac:dyDescent="0.25">
      <c r="B28" s="180"/>
      <c r="C28" s="221"/>
      <c r="D28" s="180"/>
      <c r="E28" s="209"/>
      <c r="F28" s="209"/>
      <c r="G28" s="209"/>
      <c r="H28" s="213"/>
    </row>
    <row r="29" spans="2:8" x14ac:dyDescent="0.25">
      <c r="B29" s="180"/>
      <c r="C29" s="221"/>
      <c r="D29" s="180"/>
      <c r="E29" s="209"/>
      <c r="F29" s="209"/>
      <c r="G29" s="209"/>
      <c r="H29" s="213"/>
    </row>
    <row r="30" spans="2:8" ht="15.75" thickBot="1" x14ac:dyDescent="0.3">
      <c r="B30" s="184"/>
      <c r="C30" s="220"/>
      <c r="D30" s="184"/>
      <c r="E30" s="216"/>
      <c r="F30" s="216"/>
      <c r="G30" s="216"/>
      <c r="H30" s="212"/>
    </row>
    <row r="31" spans="2:8" ht="15.75" thickBot="1" x14ac:dyDescent="0.3">
      <c r="B31" s="208" t="s">
        <v>1041</v>
      </c>
      <c r="C31" s="190"/>
      <c r="D31" s="190"/>
      <c r="E31" s="190"/>
      <c r="F31" s="190"/>
      <c r="G31" s="190"/>
      <c r="H31" s="186">
        <f>SUM(H11:H29)</f>
        <v>0</v>
      </c>
    </row>
    <row r="32" spans="2:8" x14ac:dyDescent="0.25">
      <c r="B32" s="214"/>
      <c r="C32" s="210"/>
      <c r="D32" s="214"/>
      <c r="E32" s="189"/>
      <c r="F32" s="189"/>
      <c r="G32" s="189"/>
      <c r="H32" s="219"/>
    </row>
    <row r="33" spans="2:8" x14ac:dyDescent="0.25">
      <c r="B33" s="215" t="s">
        <v>1042</v>
      </c>
      <c r="C33" s="211"/>
      <c r="D33" s="180" t="s">
        <v>1043</v>
      </c>
      <c r="E33" s="197"/>
      <c r="F33" s="197"/>
      <c r="G33" s="197"/>
      <c r="H33" s="201">
        <f>ROUND(H31*0.1,2)</f>
        <v>0</v>
      </c>
    </row>
    <row r="34" spans="2:8" ht="15.75" thickBot="1" x14ac:dyDescent="0.3">
      <c r="B34" s="184"/>
      <c r="C34" s="220"/>
      <c r="D34" s="184"/>
      <c r="E34" s="216"/>
      <c r="F34" s="216"/>
      <c r="G34" s="216"/>
      <c r="H34" s="200"/>
    </row>
    <row r="35" spans="2:8" ht="15.75" thickBot="1" x14ac:dyDescent="0.3">
      <c r="B35" s="208" t="s">
        <v>1044</v>
      </c>
      <c r="C35" s="190"/>
      <c r="D35" s="190"/>
      <c r="E35" s="190"/>
      <c r="F35" s="190"/>
      <c r="G35" s="190"/>
      <c r="H35" s="186">
        <f>H31+H33</f>
        <v>0</v>
      </c>
    </row>
    <row r="36" spans="2:8" x14ac:dyDescent="0.25">
      <c r="B36" s="214"/>
      <c r="C36" s="210"/>
      <c r="D36" s="214"/>
      <c r="E36" s="189"/>
      <c r="F36" s="189"/>
      <c r="G36" s="189"/>
      <c r="H36" s="219"/>
    </row>
    <row r="37" spans="2:8" x14ac:dyDescent="0.25">
      <c r="B37" s="215" t="s">
        <v>1042</v>
      </c>
      <c r="C37" s="211"/>
      <c r="D37" s="180" t="s">
        <v>1045</v>
      </c>
      <c r="E37" s="197"/>
      <c r="F37" s="197"/>
      <c r="G37" s="197"/>
      <c r="H37" s="201">
        <f>ROUND(H35*0.15,2)</f>
        <v>0</v>
      </c>
    </row>
    <row r="38" spans="2:8" ht="15.75" thickBot="1" x14ac:dyDescent="0.3">
      <c r="B38" s="184"/>
      <c r="C38" s="220"/>
      <c r="D38" s="184"/>
      <c r="E38" s="216"/>
      <c r="F38" s="216"/>
      <c r="G38" s="216"/>
      <c r="H38" s="200"/>
    </row>
    <row r="39" spans="2:8" ht="15.75" thickBot="1" x14ac:dyDescent="0.3">
      <c r="B39" s="222" t="s">
        <v>1046</v>
      </c>
      <c r="C39" s="223"/>
      <c r="D39" s="223"/>
      <c r="E39" s="223"/>
      <c r="F39" s="223"/>
      <c r="G39" s="223"/>
      <c r="H39" s="224">
        <f>H35+H37</f>
        <v>0</v>
      </c>
    </row>
    <row r="40" spans="2:8" x14ac:dyDescent="0.25">
      <c r="B40" s="225"/>
      <c r="C40" s="226"/>
      <c r="D40" s="225"/>
      <c r="E40" s="227"/>
      <c r="F40" s="227"/>
      <c r="G40" s="227"/>
      <c r="H40" s="228"/>
    </row>
    <row r="41" spans="2:8" x14ac:dyDescent="0.25">
      <c r="B41" s="225"/>
      <c r="C41" s="226"/>
      <c r="D41" s="225"/>
      <c r="E41" s="227"/>
      <c r="F41" s="227"/>
      <c r="G41" s="227"/>
      <c r="H41" s="228"/>
    </row>
  </sheetData>
  <mergeCells count="60">
    <mergeCell ref="B38:C38"/>
    <mergeCell ref="D38:G38"/>
    <mergeCell ref="B39:G39"/>
    <mergeCell ref="B34:C34"/>
    <mergeCell ref="D34:G34"/>
    <mergeCell ref="B35:G35"/>
    <mergeCell ref="B36:C36"/>
    <mergeCell ref="D36:G36"/>
    <mergeCell ref="B37:C37"/>
    <mergeCell ref="D37:G37"/>
    <mergeCell ref="B30:C30"/>
    <mergeCell ref="D30:G30"/>
    <mergeCell ref="B31:G31"/>
    <mergeCell ref="B32:C32"/>
    <mergeCell ref="D32:G32"/>
    <mergeCell ref="B33:C33"/>
    <mergeCell ref="D33:G33"/>
    <mergeCell ref="B27:C27"/>
    <mergeCell ref="D27:G27"/>
    <mergeCell ref="B28:C28"/>
    <mergeCell ref="D28:G28"/>
    <mergeCell ref="B29:C29"/>
    <mergeCell ref="D29:G29"/>
    <mergeCell ref="B24:C24"/>
    <mergeCell ref="D24:G24"/>
    <mergeCell ref="B25:C25"/>
    <mergeCell ref="D25:G25"/>
    <mergeCell ref="B26:C26"/>
    <mergeCell ref="D26:G26"/>
    <mergeCell ref="B21:C21"/>
    <mergeCell ref="D21:G21"/>
    <mergeCell ref="B22:C22"/>
    <mergeCell ref="D22:G22"/>
    <mergeCell ref="B23:C23"/>
    <mergeCell ref="D23:G23"/>
    <mergeCell ref="B18:C18"/>
    <mergeCell ref="D18:G18"/>
    <mergeCell ref="B19:C19"/>
    <mergeCell ref="D19:G19"/>
    <mergeCell ref="B20:C20"/>
    <mergeCell ref="D20:G20"/>
    <mergeCell ref="B15:C15"/>
    <mergeCell ref="D15:G15"/>
    <mergeCell ref="B16:C16"/>
    <mergeCell ref="D16:G16"/>
    <mergeCell ref="B17:C17"/>
    <mergeCell ref="D17:G17"/>
    <mergeCell ref="B12:C12"/>
    <mergeCell ref="D12:G12"/>
    <mergeCell ref="B13:C13"/>
    <mergeCell ref="D13:G13"/>
    <mergeCell ref="B14:C14"/>
    <mergeCell ref="D14:G14"/>
    <mergeCell ref="B7:H7"/>
    <mergeCell ref="B9:C9"/>
    <mergeCell ref="D9:G9"/>
    <mergeCell ref="B10:C10"/>
    <mergeCell ref="D10:G10"/>
    <mergeCell ref="B11:C11"/>
    <mergeCell ref="D11:G11"/>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H464"/>
  <sheetViews>
    <sheetView showGridLines="0" tabSelected="1" view="pageBreakPreview" zoomScale="115" zoomScaleNormal="100" zoomScaleSheetLayoutView="115" workbookViewId="0">
      <selection activeCell="G6" sqref="G6"/>
    </sheetView>
  </sheetViews>
  <sheetFormatPr defaultRowHeight="15" x14ac:dyDescent="0.25"/>
  <cols>
    <col min="1" max="1" width="9.140625" customWidth="1"/>
    <col min="2" max="2" width="8.28515625" style="95" customWidth="1"/>
    <col min="3" max="3" width="9.28515625" style="93" customWidth="1"/>
    <col min="4" max="4" width="32.7109375" style="94" customWidth="1"/>
    <col min="5" max="6" width="8.28515625" style="91" customWidth="1"/>
    <col min="7" max="7" width="9.28515625" style="92" customWidth="1"/>
    <col min="8" max="8" width="11.28515625" style="92" customWidth="1"/>
  </cols>
  <sheetData>
    <row r="1" spans="1:8" ht="24.75" thickBot="1" x14ac:dyDescent="0.3">
      <c r="B1" s="96" t="s">
        <v>36</v>
      </c>
      <c r="C1" s="97" t="s">
        <v>94</v>
      </c>
      <c r="D1" s="97" t="s">
        <v>38</v>
      </c>
      <c r="E1" s="97" t="s">
        <v>37</v>
      </c>
      <c r="F1" s="98" t="s">
        <v>81</v>
      </c>
      <c r="G1" s="99" t="s">
        <v>86</v>
      </c>
      <c r="H1" s="99" t="s">
        <v>95</v>
      </c>
    </row>
    <row r="2" spans="1:8" x14ac:dyDescent="0.25">
      <c r="B2" s="100"/>
      <c r="C2" s="101"/>
      <c r="D2" s="102"/>
      <c r="E2" s="103"/>
      <c r="F2" s="104"/>
      <c r="G2" s="105"/>
      <c r="H2" s="106"/>
    </row>
    <row r="3" spans="1:8" ht="27" x14ac:dyDescent="0.25">
      <c r="A3" s="113">
        <v>1</v>
      </c>
      <c r="B3" s="100" t="str">
        <f t="shared" ref="B3:B29" si="0">+IF(F3&gt;0,A3,"")</f>
        <v/>
      </c>
      <c r="C3" s="101"/>
      <c r="D3" s="102" t="s">
        <v>918</v>
      </c>
      <c r="E3" s="103" t="s">
        <v>936</v>
      </c>
      <c r="F3" s="104"/>
      <c r="G3" s="105"/>
      <c r="H3" s="106" t="str">
        <f t="shared" ref="H3:H28" si="1">IF(F3="","",G3*F3)</f>
        <v/>
      </c>
    </row>
    <row r="4" spans="1:8" x14ac:dyDescent="0.25">
      <c r="A4" s="113">
        <f t="shared" ref="A4:A67" si="2">+IF(F4&gt;0.01,A3+0.001,A3)</f>
        <v>1</v>
      </c>
      <c r="B4" s="100" t="str">
        <f t="shared" si="0"/>
        <v/>
      </c>
      <c r="C4" s="107" t="s">
        <v>54</v>
      </c>
      <c r="D4" s="108"/>
      <c r="E4" s="107"/>
      <c r="F4" s="109"/>
      <c r="G4" s="105"/>
      <c r="H4" s="106" t="str">
        <f t="shared" si="1"/>
        <v/>
      </c>
    </row>
    <row r="5" spans="1:8" ht="25.5" x14ac:dyDescent="0.25">
      <c r="A5" s="113">
        <f t="shared" si="2"/>
        <v>1</v>
      </c>
      <c r="B5" s="100" t="str">
        <f t="shared" si="0"/>
        <v/>
      </c>
      <c r="C5" s="110" t="s">
        <v>921</v>
      </c>
      <c r="D5" s="179" t="s">
        <v>922</v>
      </c>
      <c r="E5" s="107" t="s">
        <v>936</v>
      </c>
      <c r="F5" s="109"/>
      <c r="G5" s="105"/>
      <c r="H5" s="106" t="str">
        <f t="shared" si="1"/>
        <v/>
      </c>
    </row>
    <row r="6" spans="1:8" x14ac:dyDescent="0.25">
      <c r="A6" s="113">
        <f t="shared" si="2"/>
        <v>1</v>
      </c>
      <c r="B6" s="100" t="str">
        <f t="shared" si="0"/>
        <v/>
      </c>
      <c r="C6" s="107"/>
      <c r="D6" s="108"/>
      <c r="E6" s="107"/>
      <c r="F6" s="109"/>
      <c r="G6" s="105"/>
      <c r="H6" s="106" t="str">
        <f t="shared" si="1"/>
        <v/>
      </c>
    </row>
    <row r="7" spans="1:8" x14ac:dyDescent="0.25">
      <c r="A7" s="113">
        <f t="shared" si="2"/>
        <v>1</v>
      </c>
      <c r="B7" s="100" t="str">
        <f t="shared" si="0"/>
        <v/>
      </c>
      <c r="C7" s="107"/>
      <c r="D7" s="179" t="s">
        <v>919</v>
      </c>
      <c r="E7" s="107" t="s">
        <v>936</v>
      </c>
      <c r="F7" s="109"/>
      <c r="G7" s="105"/>
      <c r="H7" s="106" t="str">
        <f t="shared" si="1"/>
        <v/>
      </c>
    </row>
    <row r="8" spans="1:8" x14ac:dyDescent="0.25">
      <c r="A8" s="113">
        <f t="shared" si="2"/>
        <v>1</v>
      </c>
      <c r="B8" s="100" t="str">
        <f t="shared" si="0"/>
        <v/>
      </c>
      <c r="C8" s="107"/>
      <c r="D8" s="108"/>
      <c r="E8" s="107"/>
      <c r="F8" s="109"/>
      <c r="G8" s="105"/>
      <c r="H8" s="106" t="str">
        <f t="shared" si="1"/>
        <v/>
      </c>
    </row>
    <row r="9" spans="1:8" x14ac:dyDescent="0.25">
      <c r="A9" s="113">
        <f t="shared" si="2"/>
        <v>1</v>
      </c>
      <c r="B9" s="100" t="str">
        <f t="shared" si="0"/>
        <v/>
      </c>
      <c r="C9" s="107" t="s">
        <v>923</v>
      </c>
      <c r="D9" s="179" t="s">
        <v>920</v>
      </c>
      <c r="E9" s="107" t="s">
        <v>936</v>
      </c>
      <c r="F9" s="109"/>
      <c r="G9" s="105"/>
      <c r="H9" s="106" t="str">
        <f t="shared" si="1"/>
        <v/>
      </c>
    </row>
    <row r="10" spans="1:8" x14ac:dyDescent="0.25">
      <c r="A10" s="113">
        <f t="shared" si="2"/>
        <v>1</v>
      </c>
      <c r="B10" s="100" t="str">
        <f t="shared" si="0"/>
        <v/>
      </c>
      <c r="C10" s="107"/>
      <c r="D10" s="108"/>
      <c r="E10" s="107"/>
      <c r="F10" s="109"/>
      <c r="G10" s="105"/>
      <c r="H10" s="106" t="str">
        <f t="shared" si="1"/>
        <v/>
      </c>
    </row>
    <row r="11" spans="1:8" ht="94.5" customHeight="1" x14ac:dyDescent="0.25">
      <c r="A11" s="113">
        <f t="shared" si="2"/>
        <v>1</v>
      </c>
      <c r="B11" s="100" t="str">
        <f t="shared" si="0"/>
        <v/>
      </c>
      <c r="C11" s="107"/>
      <c r="D11" s="111" t="s">
        <v>924</v>
      </c>
      <c r="E11" s="107" t="s">
        <v>932</v>
      </c>
      <c r="F11" s="109"/>
      <c r="G11" s="105"/>
      <c r="H11" s="106" t="str">
        <f t="shared" si="1"/>
        <v/>
      </c>
    </row>
    <row r="12" spans="1:8" x14ac:dyDescent="0.25">
      <c r="A12" s="113">
        <f t="shared" si="2"/>
        <v>1</v>
      </c>
      <c r="B12" s="100" t="str">
        <f t="shared" si="0"/>
        <v/>
      </c>
      <c r="C12" s="107"/>
      <c r="D12" s="111"/>
      <c r="E12" s="107"/>
      <c r="F12" s="109"/>
      <c r="G12" s="105"/>
      <c r="H12" s="106" t="str">
        <f t="shared" si="1"/>
        <v/>
      </c>
    </row>
    <row r="13" spans="1:8" ht="63.75" x14ac:dyDescent="0.25">
      <c r="A13" s="113">
        <f t="shared" si="2"/>
        <v>1</v>
      </c>
      <c r="B13" s="100" t="str">
        <f t="shared" si="0"/>
        <v/>
      </c>
      <c r="C13" s="107"/>
      <c r="D13" s="111" t="s">
        <v>925</v>
      </c>
      <c r="E13" s="107" t="s">
        <v>932</v>
      </c>
      <c r="F13" s="109"/>
      <c r="G13" s="105"/>
      <c r="H13" s="106" t="str">
        <f t="shared" si="1"/>
        <v/>
      </c>
    </row>
    <row r="14" spans="1:8" x14ac:dyDescent="0.25">
      <c r="A14" s="113">
        <f t="shared" si="2"/>
        <v>1</v>
      </c>
      <c r="B14" s="100" t="str">
        <f t="shared" si="0"/>
        <v/>
      </c>
      <c r="C14" s="107"/>
      <c r="D14" s="111"/>
      <c r="E14" s="107"/>
      <c r="F14" s="109"/>
      <c r="G14" s="105"/>
      <c r="H14" s="106" t="str">
        <f t="shared" si="1"/>
        <v/>
      </c>
    </row>
    <row r="15" spans="1:8" ht="38.25" x14ac:dyDescent="0.25">
      <c r="A15" s="113">
        <f t="shared" si="2"/>
        <v>1</v>
      </c>
      <c r="B15" s="100" t="str">
        <f t="shared" si="0"/>
        <v/>
      </c>
      <c r="C15" s="107"/>
      <c r="D15" s="111" t="s">
        <v>926</v>
      </c>
      <c r="E15" s="107" t="s">
        <v>932</v>
      </c>
      <c r="F15" s="109"/>
      <c r="G15" s="105"/>
      <c r="H15" s="106" t="str">
        <f t="shared" si="1"/>
        <v/>
      </c>
    </row>
    <row r="16" spans="1:8" x14ac:dyDescent="0.25">
      <c r="A16" s="113">
        <f t="shared" si="2"/>
        <v>1</v>
      </c>
      <c r="B16" s="100" t="str">
        <f t="shared" si="0"/>
        <v/>
      </c>
      <c r="C16" s="107"/>
      <c r="D16" s="111"/>
      <c r="E16" s="107"/>
      <c r="F16" s="109"/>
      <c r="G16" s="105"/>
      <c r="H16" s="106" t="str">
        <f t="shared" si="1"/>
        <v/>
      </c>
    </row>
    <row r="17" spans="1:8" ht="51" x14ac:dyDescent="0.25">
      <c r="A17" s="113">
        <f t="shared" si="2"/>
        <v>1</v>
      </c>
      <c r="B17" s="100" t="str">
        <f t="shared" si="0"/>
        <v/>
      </c>
      <c r="C17" s="107"/>
      <c r="D17" s="111" t="s">
        <v>927</v>
      </c>
      <c r="E17" s="107" t="s">
        <v>932</v>
      </c>
      <c r="F17" s="109"/>
      <c r="G17" s="105"/>
      <c r="H17" s="106" t="str">
        <f t="shared" si="1"/>
        <v/>
      </c>
    </row>
    <row r="18" spans="1:8" x14ac:dyDescent="0.25">
      <c r="A18" s="113">
        <f t="shared" si="2"/>
        <v>1</v>
      </c>
      <c r="B18" s="100" t="str">
        <f t="shared" si="0"/>
        <v/>
      </c>
      <c r="C18" s="107"/>
      <c r="D18" s="108"/>
      <c r="E18" s="107"/>
      <c r="F18" s="109"/>
      <c r="G18" s="105"/>
      <c r="H18" s="106" t="str">
        <f t="shared" si="1"/>
        <v/>
      </c>
    </row>
    <row r="19" spans="1:8" x14ac:dyDescent="0.25">
      <c r="A19" s="113">
        <f t="shared" si="2"/>
        <v>1.0009999999999999</v>
      </c>
      <c r="B19" s="100">
        <f t="shared" si="0"/>
        <v>1.0009999999999999</v>
      </c>
      <c r="C19" s="107" t="s">
        <v>30</v>
      </c>
      <c r="D19" s="108" t="s">
        <v>928</v>
      </c>
      <c r="E19" s="107" t="s">
        <v>933</v>
      </c>
      <c r="F19" s="109">
        <v>1</v>
      </c>
      <c r="G19" s="105"/>
      <c r="H19" s="106">
        <f t="shared" si="1"/>
        <v>0</v>
      </c>
    </row>
    <row r="20" spans="1:8" x14ac:dyDescent="0.25">
      <c r="A20" s="113">
        <f t="shared" si="2"/>
        <v>1.0009999999999999</v>
      </c>
      <c r="B20" s="100" t="str">
        <f t="shared" si="0"/>
        <v/>
      </c>
      <c r="C20" s="107"/>
      <c r="D20" s="108"/>
      <c r="E20" s="107"/>
      <c r="F20" s="109"/>
      <c r="G20" s="105"/>
      <c r="H20" s="106" t="str">
        <f t="shared" si="1"/>
        <v/>
      </c>
    </row>
    <row r="21" spans="1:8" ht="29.25" customHeight="1" x14ac:dyDescent="0.25">
      <c r="A21" s="113">
        <f t="shared" si="2"/>
        <v>1.0009999999999999</v>
      </c>
      <c r="B21" s="100" t="str">
        <f t="shared" si="0"/>
        <v/>
      </c>
      <c r="C21" s="107" t="s">
        <v>29</v>
      </c>
      <c r="D21" s="111" t="s">
        <v>929</v>
      </c>
      <c r="E21" s="107" t="s">
        <v>934</v>
      </c>
      <c r="F21" s="109"/>
      <c r="G21" s="105"/>
      <c r="H21" s="106" t="str">
        <f t="shared" si="1"/>
        <v/>
      </c>
    </row>
    <row r="22" spans="1:8" x14ac:dyDescent="0.25">
      <c r="A22" s="113">
        <f t="shared" si="2"/>
        <v>1.0009999999999999</v>
      </c>
      <c r="B22" s="100" t="str">
        <f t="shared" si="0"/>
        <v/>
      </c>
      <c r="C22" s="107"/>
      <c r="D22" s="108"/>
      <c r="E22" s="107"/>
      <c r="F22" s="109"/>
      <c r="G22" s="105"/>
      <c r="H22" s="106" t="str">
        <f t="shared" si="1"/>
        <v/>
      </c>
    </row>
    <row r="23" spans="1:8" x14ac:dyDescent="0.25">
      <c r="A23" s="113">
        <f t="shared" si="2"/>
        <v>1.0009999999999999</v>
      </c>
      <c r="B23" s="100" t="str">
        <f t="shared" si="0"/>
        <v/>
      </c>
      <c r="C23" s="107" t="s">
        <v>935</v>
      </c>
      <c r="D23" s="178" t="s">
        <v>930</v>
      </c>
      <c r="E23" s="107" t="s">
        <v>934</v>
      </c>
      <c r="F23" s="109"/>
      <c r="G23" s="105"/>
      <c r="H23" s="106" t="str">
        <f t="shared" si="1"/>
        <v/>
      </c>
    </row>
    <row r="24" spans="1:8" x14ac:dyDescent="0.25">
      <c r="A24" s="113">
        <f t="shared" si="2"/>
        <v>1.0009999999999999</v>
      </c>
      <c r="B24" s="100" t="str">
        <f t="shared" si="0"/>
        <v/>
      </c>
      <c r="C24" s="107"/>
      <c r="D24" s="162"/>
      <c r="E24" s="107"/>
      <c r="F24" s="109"/>
      <c r="G24" s="105"/>
      <c r="H24" s="106" t="str">
        <f t="shared" si="1"/>
        <v/>
      </c>
    </row>
    <row r="25" spans="1:8" x14ac:dyDescent="0.25">
      <c r="A25" s="113">
        <f t="shared" si="2"/>
        <v>1.0019999999999998</v>
      </c>
      <c r="B25" s="100">
        <f t="shared" si="0"/>
        <v>1.0019999999999998</v>
      </c>
      <c r="C25" s="107" t="s">
        <v>937</v>
      </c>
      <c r="D25" s="162" t="s">
        <v>931</v>
      </c>
      <c r="E25" s="107" t="s">
        <v>933</v>
      </c>
      <c r="F25" s="109">
        <v>1</v>
      </c>
      <c r="G25" s="105"/>
      <c r="H25" s="106">
        <f t="shared" si="1"/>
        <v>0</v>
      </c>
    </row>
    <row r="26" spans="1:8" x14ac:dyDescent="0.25">
      <c r="A26" s="113">
        <f t="shared" si="2"/>
        <v>1.0019999999999998</v>
      </c>
      <c r="B26" s="100" t="str">
        <f t="shared" si="0"/>
        <v/>
      </c>
      <c r="C26" s="107"/>
      <c r="D26" s="162"/>
      <c r="E26" s="107"/>
      <c r="F26" s="109"/>
      <c r="G26" s="105"/>
      <c r="H26" s="106" t="str">
        <f t="shared" si="1"/>
        <v/>
      </c>
    </row>
    <row r="27" spans="1:8" ht="27" x14ac:dyDescent="0.25">
      <c r="A27" s="113">
        <f t="shared" si="2"/>
        <v>1.0029999999999997</v>
      </c>
      <c r="B27" s="100">
        <f t="shared" si="0"/>
        <v>1.0029999999999997</v>
      </c>
      <c r="C27" s="107" t="s">
        <v>938</v>
      </c>
      <c r="D27" s="162" t="s">
        <v>939</v>
      </c>
      <c r="E27" s="107" t="s">
        <v>933</v>
      </c>
      <c r="F27" s="109">
        <v>1</v>
      </c>
      <c r="G27" s="105"/>
      <c r="H27" s="106">
        <f t="shared" si="1"/>
        <v>0</v>
      </c>
    </row>
    <row r="28" spans="1:8" x14ac:dyDescent="0.25">
      <c r="A28" s="113">
        <f t="shared" si="2"/>
        <v>1.0029999999999997</v>
      </c>
      <c r="B28" s="100" t="str">
        <f t="shared" si="0"/>
        <v/>
      </c>
      <c r="C28" s="107"/>
      <c r="D28" s="162"/>
      <c r="E28" s="107"/>
      <c r="F28" s="109"/>
      <c r="G28" s="105"/>
      <c r="H28" s="106" t="str">
        <f t="shared" ref="H28:H32" si="3">IF(F28="","",G28*F28)</f>
        <v/>
      </c>
    </row>
    <row r="29" spans="1:8" x14ac:dyDescent="0.25">
      <c r="A29" s="113">
        <f t="shared" si="2"/>
        <v>1.0039999999999996</v>
      </c>
      <c r="B29" s="100">
        <f t="shared" si="0"/>
        <v>1.0039999999999996</v>
      </c>
      <c r="C29" s="107" t="s">
        <v>940</v>
      </c>
      <c r="D29" s="162" t="s">
        <v>941</v>
      </c>
      <c r="E29" s="107" t="s">
        <v>933</v>
      </c>
      <c r="F29" s="109">
        <v>1</v>
      </c>
      <c r="G29" s="105"/>
      <c r="H29" s="106">
        <f t="shared" si="3"/>
        <v>0</v>
      </c>
    </row>
    <row r="30" spans="1:8" x14ac:dyDescent="0.25">
      <c r="A30" s="113">
        <f t="shared" si="2"/>
        <v>1.0039999999999996</v>
      </c>
      <c r="B30" s="100" t="str">
        <f t="shared" ref="B28:B32" si="4">+IF(F30&gt;0,A30,"")</f>
        <v/>
      </c>
      <c r="C30" s="107"/>
      <c r="D30" s="162"/>
      <c r="E30" s="107"/>
      <c r="F30" s="109"/>
      <c r="G30" s="105"/>
      <c r="H30" s="106" t="str">
        <f t="shared" si="3"/>
        <v/>
      </c>
    </row>
    <row r="31" spans="1:8" x14ac:dyDescent="0.25">
      <c r="A31" s="113">
        <f t="shared" si="2"/>
        <v>1.0039999999999996</v>
      </c>
      <c r="B31" s="100" t="str">
        <f t="shared" si="4"/>
        <v/>
      </c>
      <c r="C31" s="107"/>
      <c r="D31" s="162"/>
      <c r="E31" s="107"/>
      <c r="F31" s="109"/>
      <c r="G31" s="105"/>
      <c r="H31" s="106" t="str">
        <f t="shared" si="3"/>
        <v/>
      </c>
    </row>
    <row r="32" spans="1:8" ht="15.75" thickBot="1" x14ac:dyDescent="0.3">
      <c r="A32" s="113">
        <f t="shared" si="2"/>
        <v>1.0039999999999996</v>
      </c>
      <c r="B32" s="100" t="str">
        <f t="shared" si="4"/>
        <v/>
      </c>
      <c r="C32" s="107"/>
      <c r="D32" s="162"/>
      <c r="E32" s="107"/>
      <c r="F32" s="109"/>
      <c r="G32" s="105"/>
      <c r="H32" s="106" t="str">
        <f t="shared" si="3"/>
        <v/>
      </c>
    </row>
    <row r="33" spans="1:8" ht="15.75" thickBot="1" x14ac:dyDescent="0.3">
      <c r="A33" s="113">
        <f t="shared" si="2"/>
        <v>1.0039999999999996</v>
      </c>
      <c r="B33" s="173" t="s">
        <v>1026</v>
      </c>
      <c r="C33" s="174"/>
      <c r="D33" s="174"/>
      <c r="E33" s="174"/>
      <c r="F33" s="174"/>
      <c r="G33" s="175"/>
      <c r="H33" s="117">
        <f>SUM(H6:H32)</f>
        <v>0</v>
      </c>
    </row>
    <row r="34" spans="1:8" ht="24.75" thickBot="1" x14ac:dyDescent="0.3">
      <c r="A34" s="113">
        <f t="shared" si="2"/>
        <v>1.0049999999999994</v>
      </c>
      <c r="B34" s="114" t="s">
        <v>36</v>
      </c>
      <c r="C34" s="97" t="s">
        <v>94</v>
      </c>
      <c r="D34" s="115" t="s">
        <v>38</v>
      </c>
      <c r="E34" s="115" t="s">
        <v>37</v>
      </c>
      <c r="F34" s="115" t="s">
        <v>81</v>
      </c>
      <c r="G34" s="116" t="s">
        <v>86</v>
      </c>
      <c r="H34" s="99" t="s">
        <v>95</v>
      </c>
    </row>
    <row r="35" spans="1:8" ht="15.75" thickBot="1" x14ac:dyDescent="0.3">
      <c r="A35" s="113">
        <f t="shared" si="2"/>
        <v>1.0049999999999994</v>
      </c>
      <c r="B35" s="173" t="s">
        <v>1027</v>
      </c>
      <c r="C35" s="174"/>
      <c r="D35" s="174"/>
      <c r="E35" s="174"/>
      <c r="F35" s="174"/>
      <c r="G35" s="175"/>
      <c r="H35" s="117">
        <f>H33</f>
        <v>0</v>
      </c>
    </row>
    <row r="36" spans="1:8" x14ac:dyDescent="0.25">
      <c r="A36" s="113">
        <f t="shared" si="2"/>
        <v>1.0049999999999994</v>
      </c>
      <c r="B36" s="100" t="str">
        <f t="shared" ref="B34:B62" si="5">+IF(F36&gt;0,A36,"")</f>
        <v/>
      </c>
      <c r="C36" s="107"/>
      <c r="D36" s="108"/>
      <c r="E36" s="107"/>
      <c r="F36" s="109"/>
      <c r="G36" s="105"/>
      <c r="H36" s="106" t="str">
        <f t="shared" ref="H32:H62" si="6">IF(F36="","",G36*F36)</f>
        <v/>
      </c>
    </row>
    <row r="37" spans="1:8" x14ac:dyDescent="0.25">
      <c r="A37" s="113">
        <f t="shared" si="2"/>
        <v>1.0049999999999994</v>
      </c>
      <c r="B37" s="100" t="str">
        <f t="shared" si="5"/>
        <v/>
      </c>
      <c r="C37" s="163" t="s">
        <v>942</v>
      </c>
      <c r="D37" s="108" t="s">
        <v>943</v>
      </c>
      <c r="E37" s="163" t="s">
        <v>934</v>
      </c>
      <c r="F37" s="165"/>
      <c r="G37" s="166"/>
      <c r="H37" s="106" t="str">
        <f t="shared" si="6"/>
        <v/>
      </c>
    </row>
    <row r="38" spans="1:8" x14ac:dyDescent="0.25">
      <c r="A38" s="113">
        <f t="shared" si="2"/>
        <v>1.0049999999999994</v>
      </c>
      <c r="B38" s="100" t="str">
        <f t="shared" si="5"/>
        <v/>
      </c>
      <c r="C38" s="107"/>
      <c r="D38" s="164"/>
      <c r="E38" s="163"/>
      <c r="F38" s="165"/>
      <c r="G38" s="166"/>
      <c r="H38" s="106" t="str">
        <f t="shared" si="6"/>
        <v/>
      </c>
    </row>
    <row r="39" spans="1:8" ht="40.5" x14ac:dyDescent="0.25">
      <c r="A39" s="113">
        <f t="shared" si="2"/>
        <v>1.0059999999999993</v>
      </c>
      <c r="B39" s="100">
        <f t="shared" si="5"/>
        <v>1.0059999999999993</v>
      </c>
      <c r="C39" s="163" t="s">
        <v>944</v>
      </c>
      <c r="D39" s="164" t="s">
        <v>945</v>
      </c>
      <c r="E39" s="163" t="s">
        <v>933</v>
      </c>
      <c r="F39" s="165">
        <v>1</v>
      </c>
      <c r="G39" s="166"/>
      <c r="H39" s="106">
        <f t="shared" si="6"/>
        <v>0</v>
      </c>
    </row>
    <row r="40" spans="1:8" x14ac:dyDescent="0.25">
      <c r="A40" s="113">
        <f t="shared" si="2"/>
        <v>1.0059999999999993</v>
      </c>
      <c r="B40" s="100" t="str">
        <f t="shared" si="5"/>
        <v/>
      </c>
      <c r="C40" s="107"/>
      <c r="D40" s="108"/>
      <c r="E40" s="107"/>
      <c r="F40" s="109"/>
      <c r="G40" s="105"/>
      <c r="H40" s="106" t="str">
        <f t="shared" si="6"/>
        <v/>
      </c>
    </row>
    <row r="41" spans="1:8" ht="27" x14ac:dyDescent="0.25">
      <c r="A41" s="113">
        <f t="shared" si="2"/>
        <v>1.0069999999999992</v>
      </c>
      <c r="B41" s="100">
        <f t="shared" si="5"/>
        <v>1.0069999999999992</v>
      </c>
      <c r="C41" s="163" t="s">
        <v>946</v>
      </c>
      <c r="D41" s="164" t="s">
        <v>947</v>
      </c>
      <c r="E41" s="163" t="s">
        <v>933</v>
      </c>
      <c r="F41" s="165">
        <v>1</v>
      </c>
      <c r="G41" s="166"/>
      <c r="H41" s="106">
        <f t="shared" si="6"/>
        <v>0</v>
      </c>
    </row>
    <row r="42" spans="1:8" x14ac:dyDescent="0.25">
      <c r="A42" s="113">
        <f t="shared" si="2"/>
        <v>1.0069999999999992</v>
      </c>
      <c r="B42" s="100" t="str">
        <f t="shared" si="5"/>
        <v/>
      </c>
      <c r="C42" s="107"/>
      <c r="D42" s="152"/>
      <c r="E42" s="107"/>
      <c r="F42" s="109"/>
      <c r="G42" s="105"/>
      <c r="H42" s="106" t="str">
        <f t="shared" si="6"/>
        <v/>
      </c>
    </row>
    <row r="43" spans="1:8" ht="27" x14ac:dyDescent="0.25">
      <c r="A43" s="113">
        <f t="shared" si="2"/>
        <v>1.0079999999999991</v>
      </c>
      <c r="B43" s="100">
        <f t="shared" si="5"/>
        <v>1.0079999999999991</v>
      </c>
      <c r="C43" s="107" t="s">
        <v>948</v>
      </c>
      <c r="D43" s="108" t="s">
        <v>949</v>
      </c>
      <c r="E43" s="107" t="s">
        <v>933</v>
      </c>
      <c r="F43" s="109">
        <v>1</v>
      </c>
      <c r="G43" s="105"/>
      <c r="H43" s="106">
        <f t="shared" si="6"/>
        <v>0</v>
      </c>
    </row>
    <row r="44" spans="1:8" x14ac:dyDescent="0.25">
      <c r="A44" s="113">
        <f t="shared" si="2"/>
        <v>1.0079999999999991</v>
      </c>
      <c r="B44" s="100" t="str">
        <f t="shared" si="5"/>
        <v/>
      </c>
      <c r="C44" s="107"/>
      <c r="D44" s="108"/>
      <c r="E44" s="107"/>
      <c r="F44" s="109"/>
      <c r="G44" s="105"/>
      <c r="H44" s="106" t="str">
        <f t="shared" si="6"/>
        <v/>
      </c>
    </row>
    <row r="45" spans="1:8" x14ac:dyDescent="0.25">
      <c r="A45" s="113">
        <f t="shared" si="2"/>
        <v>1.008999999999999</v>
      </c>
      <c r="B45" s="100">
        <f t="shared" si="5"/>
        <v>1.008999999999999</v>
      </c>
      <c r="C45" s="107" t="s">
        <v>950</v>
      </c>
      <c r="D45" s="108" t="s">
        <v>951</v>
      </c>
      <c r="E45" s="107" t="s">
        <v>933</v>
      </c>
      <c r="F45" s="109">
        <v>1</v>
      </c>
      <c r="G45" s="105"/>
      <c r="H45" s="106">
        <f t="shared" si="6"/>
        <v>0</v>
      </c>
    </row>
    <row r="46" spans="1:8" x14ac:dyDescent="0.25">
      <c r="A46" s="113">
        <f t="shared" si="2"/>
        <v>1.008999999999999</v>
      </c>
      <c r="B46" s="100" t="str">
        <f t="shared" si="5"/>
        <v/>
      </c>
      <c r="C46" s="107"/>
      <c r="D46" s="108"/>
      <c r="E46" s="107"/>
      <c r="F46" s="109"/>
      <c r="G46" s="105"/>
      <c r="H46" s="106" t="str">
        <f t="shared" si="6"/>
        <v/>
      </c>
    </row>
    <row r="47" spans="1:8" ht="40.5" x14ac:dyDescent="0.25">
      <c r="A47" s="113">
        <f t="shared" si="2"/>
        <v>1.0099999999999989</v>
      </c>
      <c r="B47" s="100">
        <f t="shared" si="5"/>
        <v>1.0099999999999989</v>
      </c>
      <c r="C47" s="107" t="s">
        <v>952</v>
      </c>
      <c r="D47" s="108" t="s">
        <v>953</v>
      </c>
      <c r="E47" s="107" t="s">
        <v>933</v>
      </c>
      <c r="F47" s="109">
        <v>1</v>
      </c>
      <c r="G47" s="105"/>
      <c r="H47" s="106">
        <f t="shared" si="6"/>
        <v>0</v>
      </c>
    </row>
    <row r="48" spans="1:8" x14ac:dyDescent="0.25">
      <c r="A48" s="113">
        <f t="shared" si="2"/>
        <v>1.0099999999999989</v>
      </c>
      <c r="B48" s="100" t="str">
        <f t="shared" si="5"/>
        <v/>
      </c>
      <c r="C48" s="107"/>
      <c r="D48" s="108"/>
      <c r="E48" s="107"/>
      <c r="F48" s="109"/>
      <c r="G48" s="105"/>
      <c r="H48" s="106" t="str">
        <f t="shared" si="6"/>
        <v/>
      </c>
    </row>
    <row r="49" spans="1:8" ht="27" x14ac:dyDescent="0.25">
      <c r="A49" s="113">
        <f t="shared" si="2"/>
        <v>1.0109999999999988</v>
      </c>
      <c r="B49" s="100">
        <f t="shared" si="5"/>
        <v>1.0109999999999988</v>
      </c>
      <c r="C49" s="107" t="s">
        <v>954</v>
      </c>
      <c r="D49" s="108" t="s">
        <v>955</v>
      </c>
      <c r="E49" s="107" t="s">
        <v>933</v>
      </c>
      <c r="F49" s="109">
        <v>1</v>
      </c>
      <c r="G49" s="105"/>
      <c r="H49" s="106">
        <f t="shared" si="6"/>
        <v>0</v>
      </c>
    </row>
    <row r="50" spans="1:8" x14ac:dyDescent="0.25">
      <c r="A50" s="113">
        <f t="shared" si="2"/>
        <v>1.0109999999999988</v>
      </c>
      <c r="B50" s="100" t="str">
        <f t="shared" si="5"/>
        <v/>
      </c>
      <c r="C50" s="107"/>
      <c r="D50" s="108"/>
      <c r="E50" s="107"/>
      <c r="F50" s="109"/>
      <c r="G50" s="105"/>
      <c r="H50" s="106" t="str">
        <f t="shared" si="6"/>
        <v/>
      </c>
    </row>
    <row r="51" spans="1:8" ht="27" x14ac:dyDescent="0.25">
      <c r="A51" s="113">
        <f t="shared" si="2"/>
        <v>1.0119999999999987</v>
      </c>
      <c r="B51" s="100">
        <f t="shared" si="5"/>
        <v>1.0119999999999987</v>
      </c>
      <c r="C51" s="107" t="s">
        <v>956</v>
      </c>
      <c r="D51" s="108" t="s">
        <v>957</v>
      </c>
      <c r="E51" s="107" t="s">
        <v>933</v>
      </c>
      <c r="F51" s="109">
        <v>1</v>
      </c>
      <c r="G51" s="105"/>
      <c r="H51" s="106">
        <f t="shared" si="6"/>
        <v>0</v>
      </c>
    </row>
    <row r="52" spans="1:8" x14ac:dyDescent="0.25">
      <c r="A52" s="113">
        <f t="shared" si="2"/>
        <v>1.0119999999999987</v>
      </c>
      <c r="B52" s="100" t="str">
        <f t="shared" si="5"/>
        <v/>
      </c>
      <c r="C52" s="107"/>
      <c r="D52" s="108"/>
      <c r="E52" s="107"/>
      <c r="F52" s="109"/>
      <c r="G52" s="105"/>
      <c r="H52" s="106" t="str">
        <f t="shared" si="6"/>
        <v/>
      </c>
    </row>
    <row r="53" spans="1:8" x14ac:dyDescent="0.25">
      <c r="A53" s="113">
        <f t="shared" si="2"/>
        <v>1.0129999999999986</v>
      </c>
      <c r="B53" s="100">
        <f t="shared" si="5"/>
        <v>1.0129999999999986</v>
      </c>
      <c r="C53" s="107" t="s">
        <v>958</v>
      </c>
      <c r="D53" s="108" t="s">
        <v>959</v>
      </c>
      <c r="E53" s="107" t="s">
        <v>933</v>
      </c>
      <c r="F53" s="109">
        <v>1</v>
      </c>
      <c r="G53" s="105"/>
      <c r="H53" s="106">
        <f t="shared" si="6"/>
        <v>0</v>
      </c>
    </row>
    <row r="54" spans="1:8" x14ac:dyDescent="0.25">
      <c r="A54" s="113">
        <f t="shared" si="2"/>
        <v>1.0129999999999986</v>
      </c>
      <c r="B54" s="100" t="str">
        <f t="shared" si="5"/>
        <v/>
      </c>
      <c r="C54" s="107"/>
      <c r="D54" s="108"/>
      <c r="E54" s="107"/>
      <c r="F54" s="109"/>
      <c r="G54" s="105"/>
      <c r="H54" s="106" t="str">
        <f t="shared" si="6"/>
        <v/>
      </c>
    </row>
    <row r="55" spans="1:8" ht="40.5" x14ac:dyDescent="0.25">
      <c r="A55" s="113">
        <f t="shared" si="2"/>
        <v>1.0139999999999985</v>
      </c>
      <c r="B55" s="100">
        <f t="shared" si="5"/>
        <v>1.0139999999999985</v>
      </c>
      <c r="C55" s="107" t="s">
        <v>960</v>
      </c>
      <c r="D55" s="108" t="s">
        <v>961</v>
      </c>
      <c r="E55" s="107" t="s">
        <v>933</v>
      </c>
      <c r="F55" s="109">
        <v>1</v>
      </c>
      <c r="G55" s="105"/>
      <c r="H55" s="106">
        <f t="shared" si="6"/>
        <v>0</v>
      </c>
    </row>
    <row r="56" spans="1:8" x14ac:dyDescent="0.25">
      <c r="A56" s="113">
        <f t="shared" si="2"/>
        <v>1.0139999999999985</v>
      </c>
      <c r="B56" s="100" t="str">
        <f t="shared" si="5"/>
        <v/>
      </c>
      <c r="C56" s="107"/>
      <c r="D56" s="108"/>
      <c r="E56" s="107"/>
      <c r="F56" s="109"/>
      <c r="G56" s="105"/>
      <c r="H56" s="106" t="str">
        <f t="shared" si="6"/>
        <v/>
      </c>
    </row>
    <row r="57" spans="1:8" ht="40.5" x14ac:dyDescent="0.25">
      <c r="A57" s="113">
        <f t="shared" si="2"/>
        <v>1.0149999999999983</v>
      </c>
      <c r="B57" s="100">
        <f t="shared" si="5"/>
        <v>1.0149999999999983</v>
      </c>
      <c r="C57" s="107" t="s">
        <v>962</v>
      </c>
      <c r="D57" s="108" t="s">
        <v>963</v>
      </c>
      <c r="E57" s="107" t="s">
        <v>933</v>
      </c>
      <c r="F57" s="109">
        <v>1</v>
      </c>
      <c r="G57" s="105"/>
      <c r="H57" s="106">
        <f t="shared" si="6"/>
        <v>0</v>
      </c>
    </row>
    <row r="58" spans="1:8" x14ac:dyDescent="0.25">
      <c r="A58" s="113">
        <f t="shared" si="2"/>
        <v>1.0149999999999983</v>
      </c>
      <c r="B58" s="100" t="str">
        <f t="shared" si="5"/>
        <v/>
      </c>
      <c r="C58" s="107"/>
      <c r="D58" s="108"/>
      <c r="E58" s="107"/>
      <c r="F58" s="109"/>
      <c r="G58" s="105"/>
      <c r="H58" s="106" t="str">
        <f t="shared" si="6"/>
        <v/>
      </c>
    </row>
    <row r="59" spans="1:8" ht="94.5" x14ac:dyDescent="0.25">
      <c r="A59" s="113">
        <f t="shared" si="2"/>
        <v>1.0159999999999982</v>
      </c>
      <c r="B59" s="100">
        <f t="shared" si="5"/>
        <v>1.0159999999999982</v>
      </c>
      <c r="C59" s="107" t="s">
        <v>964</v>
      </c>
      <c r="D59" s="108" t="s">
        <v>965</v>
      </c>
      <c r="E59" s="107" t="s">
        <v>933</v>
      </c>
      <c r="F59" s="109">
        <v>1</v>
      </c>
      <c r="G59" s="105"/>
      <c r="H59" s="106">
        <f t="shared" si="6"/>
        <v>0</v>
      </c>
    </row>
    <row r="60" spans="1:8" x14ac:dyDescent="0.25">
      <c r="A60" s="113">
        <f t="shared" si="2"/>
        <v>1.0159999999999982</v>
      </c>
      <c r="B60" s="100" t="str">
        <f t="shared" si="5"/>
        <v/>
      </c>
      <c r="C60" s="107"/>
      <c r="D60" s="162"/>
      <c r="E60" s="107"/>
      <c r="F60" s="109"/>
      <c r="G60" s="105"/>
      <c r="H60" s="106" t="str">
        <f t="shared" si="6"/>
        <v/>
      </c>
    </row>
    <row r="61" spans="1:8" ht="27" x14ac:dyDescent="0.25">
      <c r="A61" s="113">
        <f t="shared" si="2"/>
        <v>1.0169999999999981</v>
      </c>
      <c r="B61" s="100">
        <f t="shared" si="5"/>
        <v>1.0169999999999981</v>
      </c>
      <c r="C61" s="107" t="s">
        <v>966</v>
      </c>
      <c r="D61" s="162" t="s">
        <v>967</v>
      </c>
      <c r="E61" s="107" t="s">
        <v>933</v>
      </c>
      <c r="F61" s="109">
        <v>1</v>
      </c>
      <c r="G61" s="105"/>
      <c r="H61" s="106">
        <f t="shared" si="6"/>
        <v>0</v>
      </c>
    </row>
    <row r="62" spans="1:8" x14ac:dyDescent="0.25">
      <c r="A62" s="113">
        <f t="shared" si="2"/>
        <v>1.0169999999999981</v>
      </c>
      <c r="B62" s="100" t="str">
        <f t="shared" si="5"/>
        <v/>
      </c>
      <c r="C62" s="107"/>
      <c r="D62" s="162"/>
      <c r="E62" s="107"/>
      <c r="F62" s="109"/>
      <c r="G62" s="105"/>
      <c r="H62" s="106" t="str">
        <f t="shared" si="6"/>
        <v/>
      </c>
    </row>
    <row r="63" spans="1:8" ht="27" x14ac:dyDescent="0.25">
      <c r="A63" s="113">
        <f t="shared" si="2"/>
        <v>1.017999999999998</v>
      </c>
      <c r="B63" s="100"/>
      <c r="C63" s="107" t="s">
        <v>968</v>
      </c>
      <c r="D63" s="108" t="s">
        <v>969</v>
      </c>
      <c r="E63" s="107" t="s">
        <v>933</v>
      </c>
      <c r="F63" s="109">
        <v>1</v>
      </c>
      <c r="G63" s="105"/>
      <c r="H63" s="106"/>
    </row>
    <row r="64" spans="1:8" x14ac:dyDescent="0.25">
      <c r="A64" s="113">
        <f t="shared" si="2"/>
        <v>1.017999999999998</v>
      </c>
      <c r="B64" s="100"/>
      <c r="C64" s="107"/>
      <c r="D64" s="108"/>
      <c r="E64" s="107"/>
      <c r="F64" s="109"/>
      <c r="G64" s="105"/>
      <c r="H64" s="106"/>
    </row>
    <row r="65" spans="1:8" ht="15.75" thickBot="1" x14ac:dyDescent="0.3">
      <c r="A65" s="113">
        <f t="shared" si="2"/>
        <v>1.017999999999998</v>
      </c>
      <c r="B65" s="100"/>
      <c r="C65" s="107"/>
      <c r="D65" s="108"/>
      <c r="E65" s="107"/>
      <c r="F65" s="109"/>
      <c r="G65" s="105"/>
      <c r="H65" s="106"/>
    </row>
    <row r="66" spans="1:8" ht="15.75" thickBot="1" x14ac:dyDescent="0.3">
      <c r="A66" s="113">
        <f t="shared" si="2"/>
        <v>1.017999999999998</v>
      </c>
      <c r="B66" s="173" t="s">
        <v>1026</v>
      </c>
      <c r="C66" s="174"/>
      <c r="D66" s="174"/>
      <c r="E66" s="174"/>
      <c r="F66" s="174"/>
      <c r="G66" s="175"/>
      <c r="H66" s="117">
        <f>SUM(H31:H65)</f>
        <v>0</v>
      </c>
    </row>
    <row r="67" spans="1:8" ht="24.75" thickBot="1" x14ac:dyDescent="0.3">
      <c r="A67" s="113">
        <f t="shared" si="2"/>
        <v>1.0189999999999979</v>
      </c>
      <c r="B67" s="114" t="s">
        <v>36</v>
      </c>
      <c r="C67" s="97" t="s">
        <v>94</v>
      </c>
      <c r="D67" s="115" t="s">
        <v>38</v>
      </c>
      <c r="E67" s="115" t="s">
        <v>37</v>
      </c>
      <c r="F67" s="115" t="s">
        <v>81</v>
      </c>
      <c r="G67" s="116" t="s">
        <v>86</v>
      </c>
      <c r="H67" s="99" t="s">
        <v>95</v>
      </c>
    </row>
    <row r="68" spans="1:8" ht="15.75" thickBot="1" x14ac:dyDescent="0.3">
      <c r="A68" s="113">
        <f t="shared" ref="A68:A131" si="7">+IF(F68&gt;0.01,A67+0.001,A67)</f>
        <v>1.0189999999999979</v>
      </c>
      <c r="B68" s="173" t="s">
        <v>1027</v>
      </c>
      <c r="C68" s="174"/>
      <c r="D68" s="174"/>
      <c r="E68" s="174"/>
      <c r="F68" s="174"/>
      <c r="G68" s="175"/>
      <c r="H68" s="117">
        <f>H66</f>
        <v>0</v>
      </c>
    </row>
    <row r="69" spans="1:8" x14ac:dyDescent="0.25">
      <c r="A69" s="113">
        <f t="shared" si="7"/>
        <v>1.0189999999999979</v>
      </c>
      <c r="B69" s="100" t="str">
        <f t="shared" ref="B69:B98" si="8">+IF(F69&gt;0,A69,"")</f>
        <v/>
      </c>
      <c r="C69" s="167"/>
      <c r="D69" s="168"/>
      <c r="E69" s="167"/>
      <c r="F69" s="169"/>
      <c r="G69" s="170"/>
      <c r="H69" s="106" t="str">
        <f t="shared" ref="H69:H98" si="9">IF(F69="","",G69*F69)</f>
        <v/>
      </c>
    </row>
    <row r="70" spans="1:8" x14ac:dyDescent="0.25">
      <c r="A70" s="113">
        <f t="shared" si="7"/>
        <v>1.0189999999999979</v>
      </c>
      <c r="B70" s="100" t="str">
        <f t="shared" si="8"/>
        <v/>
      </c>
      <c r="C70" s="107"/>
      <c r="D70" s="111" t="s">
        <v>970</v>
      </c>
      <c r="E70" s="107" t="s">
        <v>936</v>
      </c>
      <c r="F70" s="109"/>
      <c r="G70" s="105"/>
      <c r="H70" s="106" t="str">
        <f t="shared" si="9"/>
        <v/>
      </c>
    </row>
    <row r="71" spans="1:8" x14ac:dyDescent="0.25">
      <c r="A71" s="113">
        <f t="shared" si="7"/>
        <v>1.0189999999999979</v>
      </c>
      <c r="B71" s="100" t="str">
        <f t="shared" si="8"/>
        <v/>
      </c>
      <c r="C71" s="107"/>
      <c r="D71" s="108"/>
      <c r="E71" s="107"/>
      <c r="F71" s="109"/>
      <c r="G71" s="105"/>
      <c r="H71" s="106" t="str">
        <f t="shared" si="9"/>
        <v/>
      </c>
    </row>
    <row r="72" spans="1:8" ht="27" x14ac:dyDescent="0.25">
      <c r="A72" s="113">
        <f t="shared" si="7"/>
        <v>1.0189999999999979</v>
      </c>
      <c r="B72" s="100" t="str">
        <f t="shared" si="8"/>
        <v/>
      </c>
      <c r="C72" s="107" t="s">
        <v>921</v>
      </c>
      <c r="D72" s="111" t="s">
        <v>922</v>
      </c>
      <c r="E72" s="107" t="s">
        <v>936</v>
      </c>
      <c r="F72" s="109"/>
      <c r="G72" s="105"/>
      <c r="H72" s="106" t="str">
        <f t="shared" si="9"/>
        <v/>
      </c>
    </row>
    <row r="73" spans="1:8" x14ac:dyDescent="0.25">
      <c r="A73" s="113">
        <f t="shared" si="7"/>
        <v>1.0189999999999979</v>
      </c>
      <c r="B73" s="100" t="str">
        <f t="shared" si="8"/>
        <v/>
      </c>
      <c r="C73" s="107"/>
      <c r="D73" s="162"/>
      <c r="E73" s="107"/>
      <c r="F73" s="109"/>
      <c r="G73" s="105"/>
      <c r="H73" s="106" t="str">
        <f t="shared" si="9"/>
        <v/>
      </c>
    </row>
    <row r="74" spans="1:8" ht="15" customHeight="1" x14ac:dyDescent="0.25">
      <c r="A74" s="113">
        <f t="shared" si="7"/>
        <v>1.0189999999999979</v>
      </c>
      <c r="B74" s="100" t="str">
        <f t="shared" si="8"/>
        <v/>
      </c>
      <c r="C74" s="107"/>
      <c r="D74" s="111" t="s">
        <v>971</v>
      </c>
      <c r="E74" s="107" t="s">
        <v>936</v>
      </c>
      <c r="F74" s="109"/>
      <c r="G74" s="105"/>
      <c r="H74" s="106" t="str">
        <f t="shared" si="9"/>
        <v/>
      </c>
    </row>
    <row r="75" spans="1:8" x14ac:dyDescent="0.25">
      <c r="A75" s="113">
        <f t="shared" si="7"/>
        <v>1.0189999999999979</v>
      </c>
      <c r="B75" s="100" t="str">
        <f t="shared" si="8"/>
        <v/>
      </c>
      <c r="C75" s="107"/>
      <c r="D75" s="164"/>
      <c r="E75" s="107"/>
      <c r="F75" s="109"/>
      <c r="G75" s="105"/>
      <c r="H75" s="106" t="str">
        <f t="shared" si="9"/>
        <v/>
      </c>
    </row>
    <row r="76" spans="1:8" x14ac:dyDescent="0.25">
      <c r="A76" s="113">
        <f t="shared" si="7"/>
        <v>1.0189999999999979</v>
      </c>
      <c r="B76" s="100" t="str">
        <f t="shared" si="8"/>
        <v/>
      </c>
      <c r="C76" s="107" t="s">
        <v>972</v>
      </c>
      <c r="D76" s="178" t="s">
        <v>973</v>
      </c>
      <c r="E76" s="107" t="s">
        <v>936</v>
      </c>
      <c r="F76" s="109"/>
      <c r="G76" s="105"/>
      <c r="H76" s="106" t="str">
        <f t="shared" si="9"/>
        <v/>
      </c>
    </row>
    <row r="77" spans="1:8" x14ac:dyDescent="0.25">
      <c r="A77" s="113">
        <f t="shared" si="7"/>
        <v>1.0189999999999979</v>
      </c>
      <c r="B77" s="100" t="str">
        <f t="shared" si="8"/>
        <v/>
      </c>
      <c r="C77" s="107"/>
      <c r="D77" s="162"/>
      <c r="E77" s="107"/>
      <c r="F77" s="109"/>
      <c r="G77" s="105"/>
      <c r="H77" s="106" t="str">
        <f t="shared" si="9"/>
        <v/>
      </c>
    </row>
    <row r="78" spans="1:8" ht="98.25" customHeight="1" x14ac:dyDescent="0.25">
      <c r="A78" s="113">
        <f t="shared" si="7"/>
        <v>1.0189999999999979</v>
      </c>
      <c r="B78" s="100" t="str">
        <f t="shared" si="8"/>
        <v/>
      </c>
      <c r="C78" s="107"/>
      <c r="D78" s="178" t="s">
        <v>924</v>
      </c>
      <c r="E78" s="107" t="s">
        <v>932</v>
      </c>
      <c r="F78" s="109"/>
      <c r="G78" s="105"/>
      <c r="H78" s="106" t="str">
        <f t="shared" si="9"/>
        <v/>
      </c>
    </row>
    <row r="79" spans="1:8" x14ac:dyDescent="0.25">
      <c r="A79" s="113">
        <f t="shared" si="7"/>
        <v>1.0189999999999979</v>
      </c>
      <c r="B79" s="100" t="str">
        <f t="shared" si="8"/>
        <v/>
      </c>
      <c r="C79" s="107"/>
      <c r="D79" s="178"/>
      <c r="E79" s="107"/>
      <c r="F79" s="109"/>
      <c r="G79" s="105"/>
      <c r="H79" s="106" t="str">
        <f t="shared" si="9"/>
        <v/>
      </c>
    </row>
    <row r="80" spans="1:8" ht="63.75" x14ac:dyDescent="0.25">
      <c r="A80" s="113">
        <f t="shared" si="7"/>
        <v>1.0189999999999979</v>
      </c>
      <c r="B80" s="100" t="str">
        <f t="shared" si="8"/>
        <v/>
      </c>
      <c r="C80" s="107"/>
      <c r="D80" s="178" t="s">
        <v>925</v>
      </c>
      <c r="E80" s="107" t="s">
        <v>932</v>
      </c>
      <c r="F80" s="109"/>
      <c r="G80" s="105"/>
      <c r="H80" s="106" t="str">
        <f t="shared" si="9"/>
        <v/>
      </c>
    </row>
    <row r="81" spans="1:8" x14ac:dyDescent="0.25">
      <c r="A81" s="113">
        <f t="shared" si="7"/>
        <v>1.0189999999999979</v>
      </c>
      <c r="B81" s="100" t="str">
        <f t="shared" si="8"/>
        <v/>
      </c>
      <c r="C81" s="107"/>
      <c r="D81" s="182"/>
      <c r="E81" s="107"/>
      <c r="F81" s="109"/>
      <c r="G81" s="105"/>
      <c r="H81" s="106" t="str">
        <f t="shared" si="9"/>
        <v/>
      </c>
    </row>
    <row r="82" spans="1:8" ht="38.25" x14ac:dyDescent="0.25">
      <c r="A82" s="113">
        <f t="shared" si="7"/>
        <v>1.0189999999999979</v>
      </c>
      <c r="B82" s="100" t="str">
        <f t="shared" si="8"/>
        <v/>
      </c>
      <c r="C82" s="107"/>
      <c r="D82" s="111" t="s">
        <v>926</v>
      </c>
      <c r="E82" s="107" t="s">
        <v>932</v>
      </c>
      <c r="F82" s="109"/>
      <c r="G82" s="105"/>
      <c r="H82" s="106" t="str">
        <f t="shared" si="9"/>
        <v/>
      </c>
    </row>
    <row r="83" spans="1:8" x14ac:dyDescent="0.25">
      <c r="A83" s="113">
        <f t="shared" si="7"/>
        <v>1.0189999999999979</v>
      </c>
      <c r="B83" s="100" t="str">
        <f t="shared" si="8"/>
        <v/>
      </c>
      <c r="C83" s="107"/>
      <c r="D83" s="111"/>
      <c r="E83" s="107"/>
      <c r="F83" s="109"/>
      <c r="G83" s="105"/>
      <c r="H83" s="106" t="str">
        <f t="shared" si="9"/>
        <v/>
      </c>
    </row>
    <row r="84" spans="1:8" ht="51" x14ac:dyDescent="0.25">
      <c r="A84" s="113">
        <f t="shared" si="7"/>
        <v>1.0189999999999979</v>
      </c>
      <c r="B84" s="100" t="str">
        <f t="shared" si="8"/>
        <v/>
      </c>
      <c r="C84" s="107"/>
      <c r="D84" s="111" t="s">
        <v>927</v>
      </c>
      <c r="E84" s="107" t="s">
        <v>932</v>
      </c>
      <c r="F84" s="109"/>
      <c r="G84" s="105"/>
      <c r="H84" s="106" t="str">
        <f t="shared" si="9"/>
        <v/>
      </c>
    </row>
    <row r="85" spans="1:8" x14ac:dyDescent="0.25">
      <c r="A85" s="113">
        <f t="shared" si="7"/>
        <v>1.0189999999999979</v>
      </c>
      <c r="B85" s="100" t="str">
        <f t="shared" si="8"/>
        <v/>
      </c>
      <c r="C85" s="107"/>
      <c r="D85" s="108"/>
      <c r="E85" s="107"/>
      <c r="F85" s="109"/>
      <c r="G85" s="105"/>
      <c r="H85" s="106" t="str">
        <f t="shared" si="9"/>
        <v/>
      </c>
    </row>
    <row r="86" spans="1:8" ht="27" x14ac:dyDescent="0.25">
      <c r="A86" s="113">
        <f t="shared" si="7"/>
        <v>1.0189999999999979</v>
      </c>
      <c r="B86" s="100" t="str">
        <f t="shared" si="8"/>
        <v/>
      </c>
      <c r="C86" s="107"/>
      <c r="D86" s="108" t="s">
        <v>974</v>
      </c>
      <c r="E86" s="107"/>
      <c r="F86" s="109"/>
      <c r="G86" s="105"/>
      <c r="H86" s="106" t="str">
        <f t="shared" si="9"/>
        <v/>
      </c>
    </row>
    <row r="87" spans="1:8" x14ac:dyDescent="0.25">
      <c r="A87" s="113">
        <f t="shared" si="7"/>
        <v>1.0189999999999979</v>
      </c>
      <c r="B87" s="100" t="str">
        <f t="shared" si="8"/>
        <v/>
      </c>
      <c r="C87" s="107"/>
      <c r="D87" s="162"/>
      <c r="E87" s="107"/>
      <c r="F87" s="109"/>
      <c r="G87" s="105"/>
      <c r="H87" s="106" t="str">
        <f t="shared" si="9"/>
        <v/>
      </c>
    </row>
    <row r="88" spans="1:8" ht="27" x14ac:dyDescent="0.25">
      <c r="A88" s="113">
        <f t="shared" si="7"/>
        <v>1.0199999999999978</v>
      </c>
      <c r="B88" s="100">
        <f t="shared" si="8"/>
        <v>1.0199999999999978</v>
      </c>
      <c r="C88" s="107" t="s">
        <v>28</v>
      </c>
      <c r="D88" s="162" t="s">
        <v>975</v>
      </c>
      <c r="E88" s="107" t="s">
        <v>933</v>
      </c>
      <c r="F88" s="109">
        <v>1</v>
      </c>
      <c r="G88" s="105"/>
      <c r="H88" s="106">
        <f t="shared" si="9"/>
        <v>0</v>
      </c>
    </row>
    <row r="89" spans="1:8" x14ac:dyDescent="0.25">
      <c r="A89" s="113">
        <f t="shared" si="7"/>
        <v>1.0199999999999978</v>
      </c>
      <c r="B89" s="100" t="str">
        <f t="shared" si="8"/>
        <v/>
      </c>
      <c r="C89" s="107"/>
      <c r="D89" s="162"/>
      <c r="E89" s="107"/>
      <c r="F89" s="109"/>
      <c r="G89" s="105"/>
      <c r="H89" s="106" t="str">
        <f t="shared" si="9"/>
        <v/>
      </c>
    </row>
    <row r="90" spans="1:8" x14ac:dyDescent="0.25">
      <c r="A90" s="113">
        <f t="shared" si="7"/>
        <v>1.0199999999999978</v>
      </c>
      <c r="B90" s="100" t="str">
        <f t="shared" si="8"/>
        <v/>
      </c>
      <c r="C90" s="107" t="s">
        <v>976</v>
      </c>
      <c r="D90" s="178" t="s">
        <v>930</v>
      </c>
      <c r="E90" s="107" t="s">
        <v>934</v>
      </c>
      <c r="F90" s="109"/>
      <c r="G90" s="105"/>
      <c r="H90" s="106" t="str">
        <f t="shared" si="9"/>
        <v/>
      </c>
    </row>
    <row r="91" spans="1:8" x14ac:dyDescent="0.25">
      <c r="A91" s="113">
        <f t="shared" si="7"/>
        <v>1.0199999999999978</v>
      </c>
      <c r="B91" s="100" t="str">
        <f t="shared" si="8"/>
        <v/>
      </c>
      <c r="C91" s="107"/>
      <c r="D91" s="162"/>
      <c r="E91" s="107"/>
      <c r="F91" s="109"/>
      <c r="G91" s="105"/>
      <c r="H91" s="106" t="str">
        <f t="shared" si="9"/>
        <v/>
      </c>
    </row>
    <row r="92" spans="1:8" x14ac:dyDescent="0.25">
      <c r="A92" s="113">
        <f t="shared" si="7"/>
        <v>1.0209999999999977</v>
      </c>
      <c r="B92" s="100">
        <f t="shared" si="8"/>
        <v>1.0209999999999977</v>
      </c>
      <c r="C92" s="107" t="s">
        <v>977</v>
      </c>
      <c r="D92" s="162" t="s">
        <v>931</v>
      </c>
      <c r="E92" s="107" t="s">
        <v>933</v>
      </c>
      <c r="F92" s="109">
        <v>1</v>
      </c>
      <c r="G92" s="105"/>
      <c r="H92" s="106">
        <f t="shared" si="9"/>
        <v>0</v>
      </c>
    </row>
    <row r="93" spans="1:8" x14ac:dyDescent="0.25">
      <c r="A93" s="113">
        <f t="shared" si="7"/>
        <v>1.0209999999999977</v>
      </c>
      <c r="B93" s="100" t="str">
        <f t="shared" si="8"/>
        <v/>
      </c>
      <c r="C93" s="107"/>
      <c r="D93" s="162"/>
      <c r="E93" s="107"/>
      <c r="F93" s="109"/>
      <c r="G93" s="105"/>
      <c r="H93" s="106" t="str">
        <f t="shared" si="9"/>
        <v/>
      </c>
    </row>
    <row r="94" spans="1:8" ht="27" x14ac:dyDescent="0.25">
      <c r="A94" s="113">
        <f t="shared" si="7"/>
        <v>1.0219999999999976</v>
      </c>
      <c r="B94" s="100">
        <f t="shared" si="8"/>
        <v>1.0219999999999976</v>
      </c>
      <c r="C94" s="107" t="s">
        <v>978</v>
      </c>
      <c r="D94" s="162" t="s">
        <v>939</v>
      </c>
      <c r="E94" s="107" t="s">
        <v>933</v>
      </c>
      <c r="F94" s="109">
        <v>1</v>
      </c>
      <c r="G94" s="105"/>
      <c r="H94" s="106">
        <f t="shared" si="9"/>
        <v>0</v>
      </c>
    </row>
    <row r="95" spans="1:8" x14ac:dyDescent="0.25">
      <c r="A95" s="113">
        <f t="shared" si="7"/>
        <v>1.0219999999999976</v>
      </c>
      <c r="B95" s="100" t="str">
        <f t="shared" si="8"/>
        <v/>
      </c>
      <c r="C95" s="107"/>
      <c r="D95" s="162"/>
      <c r="E95" s="107"/>
      <c r="F95" s="109"/>
      <c r="G95" s="105"/>
      <c r="H95" s="106" t="str">
        <f t="shared" si="9"/>
        <v/>
      </c>
    </row>
    <row r="96" spans="1:8" ht="27" x14ac:dyDescent="0.25">
      <c r="A96" s="113">
        <f t="shared" si="7"/>
        <v>1.0229999999999975</v>
      </c>
      <c r="B96" s="100">
        <f t="shared" si="8"/>
        <v>1.0229999999999975</v>
      </c>
      <c r="C96" s="107" t="s">
        <v>979</v>
      </c>
      <c r="D96" s="162" t="s">
        <v>980</v>
      </c>
      <c r="E96" s="107" t="s">
        <v>933</v>
      </c>
      <c r="F96" s="109">
        <v>1</v>
      </c>
      <c r="G96" s="105"/>
      <c r="H96" s="106">
        <f t="shared" si="9"/>
        <v>0</v>
      </c>
    </row>
    <row r="97" spans="1:8" x14ac:dyDescent="0.25">
      <c r="A97" s="113">
        <f t="shared" si="7"/>
        <v>1.0229999999999975</v>
      </c>
      <c r="B97" s="100" t="str">
        <f t="shared" si="8"/>
        <v/>
      </c>
      <c r="C97" s="107"/>
      <c r="D97" s="162"/>
      <c r="E97" s="107"/>
      <c r="F97" s="109"/>
      <c r="G97" s="105"/>
      <c r="H97" s="106" t="str">
        <f t="shared" si="9"/>
        <v/>
      </c>
    </row>
    <row r="98" spans="1:8" ht="15.75" thickBot="1" x14ac:dyDescent="0.3">
      <c r="A98" s="113">
        <f t="shared" si="7"/>
        <v>1.0229999999999975</v>
      </c>
      <c r="B98" s="100" t="str">
        <f t="shared" si="8"/>
        <v/>
      </c>
      <c r="C98" s="107"/>
      <c r="D98" s="108"/>
      <c r="E98" s="107"/>
      <c r="F98" s="109"/>
      <c r="G98" s="105"/>
      <c r="H98" s="106" t="str">
        <f t="shared" si="9"/>
        <v/>
      </c>
    </row>
    <row r="99" spans="1:8" ht="15.75" thickBot="1" x14ac:dyDescent="0.3">
      <c r="A99" s="113">
        <f t="shared" si="7"/>
        <v>1.0229999999999975</v>
      </c>
      <c r="B99" s="173" t="s">
        <v>1026</v>
      </c>
      <c r="C99" s="174"/>
      <c r="D99" s="174"/>
      <c r="E99" s="174"/>
      <c r="F99" s="174"/>
      <c r="G99" s="175"/>
      <c r="H99" s="117">
        <f>SUM(H68:H98)</f>
        <v>0</v>
      </c>
    </row>
    <row r="100" spans="1:8" ht="24.75" thickBot="1" x14ac:dyDescent="0.3">
      <c r="A100" s="113">
        <f t="shared" si="7"/>
        <v>1.0239999999999974</v>
      </c>
      <c r="B100" s="114" t="s">
        <v>36</v>
      </c>
      <c r="C100" s="97" t="s">
        <v>94</v>
      </c>
      <c r="D100" s="115" t="s">
        <v>38</v>
      </c>
      <c r="E100" s="115" t="s">
        <v>37</v>
      </c>
      <c r="F100" s="115" t="s">
        <v>81</v>
      </c>
      <c r="G100" s="116" t="s">
        <v>86</v>
      </c>
      <c r="H100" s="99" t="s">
        <v>95</v>
      </c>
    </row>
    <row r="101" spans="1:8" ht="15.75" thickBot="1" x14ac:dyDescent="0.3">
      <c r="A101" s="113">
        <f t="shared" si="7"/>
        <v>1.0239999999999974</v>
      </c>
      <c r="B101" s="173" t="s">
        <v>1027</v>
      </c>
      <c r="C101" s="174"/>
      <c r="D101" s="174"/>
      <c r="E101" s="174"/>
      <c r="F101" s="174"/>
      <c r="G101" s="175"/>
      <c r="H101" s="117">
        <f>H99</f>
        <v>0</v>
      </c>
    </row>
    <row r="102" spans="1:8" x14ac:dyDescent="0.25">
      <c r="A102" s="113">
        <f t="shared" si="7"/>
        <v>1.0239999999999974</v>
      </c>
      <c r="B102" s="100" t="str">
        <f t="shared" ref="B102:B163" si="10">+IF(F102&gt;0,A102,"")</f>
        <v/>
      </c>
      <c r="C102" s="107"/>
      <c r="D102" s="108"/>
      <c r="E102" s="107"/>
      <c r="F102" s="109"/>
      <c r="G102" s="105"/>
      <c r="H102" s="106" t="str">
        <f t="shared" ref="H102:H107" si="11">IF(F102="","",G102*F102)</f>
        <v/>
      </c>
    </row>
    <row r="103" spans="1:8" x14ac:dyDescent="0.25">
      <c r="A103" s="113">
        <f t="shared" si="7"/>
        <v>1.0239999999999974</v>
      </c>
      <c r="B103" s="100" t="str">
        <f t="shared" si="10"/>
        <v/>
      </c>
      <c r="C103" s="107" t="s">
        <v>981</v>
      </c>
      <c r="D103" s="179" t="s">
        <v>943</v>
      </c>
      <c r="E103" s="107" t="s">
        <v>934</v>
      </c>
      <c r="F103" s="109"/>
      <c r="G103" s="105"/>
      <c r="H103" s="106" t="str">
        <f t="shared" si="11"/>
        <v/>
      </c>
    </row>
    <row r="104" spans="1:8" x14ac:dyDescent="0.25">
      <c r="A104" s="113">
        <f t="shared" si="7"/>
        <v>1.0239999999999974</v>
      </c>
      <c r="B104" s="100" t="str">
        <f t="shared" si="10"/>
        <v/>
      </c>
      <c r="C104" s="107"/>
      <c r="D104" s="108"/>
      <c r="E104" s="107"/>
      <c r="F104" s="109"/>
      <c r="G104" s="105"/>
      <c r="H104" s="106" t="str">
        <f t="shared" si="11"/>
        <v/>
      </c>
    </row>
    <row r="105" spans="1:8" ht="40.5" x14ac:dyDescent="0.25">
      <c r="A105" s="113">
        <f t="shared" si="7"/>
        <v>1.0249999999999972</v>
      </c>
      <c r="B105" s="100">
        <f t="shared" si="10"/>
        <v>1.0249999999999972</v>
      </c>
      <c r="C105" s="107" t="s">
        <v>982</v>
      </c>
      <c r="D105" s="108" t="s">
        <v>945</v>
      </c>
      <c r="E105" s="107" t="s">
        <v>933</v>
      </c>
      <c r="F105" s="109">
        <v>1</v>
      </c>
      <c r="G105" s="105"/>
      <c r="H105" s="106">
        <f t="shared" si="11"/>
        <v>0</v>
      </c>
    </row>
    <row r="106" spans="1:8" x14ac:dyDescent="0.25">
      <c r="A106" s="113">
        <f t="shared" si="7"/>
        <v>1.0249999999999972</v>
      </c>
      <c r="B106" s="100" t="str">
        <f t="shared" si="10"/>
        <v/>
      </c>
      <c r="C106" s="107"/>
      <c r="D106" s="108"/>
      <c r="E106" s="107"/>
      <c r="F106" s="109"/>
      <c r="G106" s="105"/>
      <c r="H106" s="106" t="str">
        <f t="shared" si="11"/>
        <v/>
      </c>
    </row>
    <row r="107" spans="1:8" ht="72.75" customHeight="1" x14ac:dyDescent="0.25">
      <c r="A107" s="113">
        <f t="shared" si="7"/>
        <v>1.0259999999999971</v>
      </c>
      <c r="B107" s="100">
        <f t="shared" si="10"/>
        <v>1.0259999999999971</v>
      </c>
      <c r="C107" s="154" t="s">
        <v>983</v>
      </c>
      <c r="D107" s="155" t="s">
        <v>947</v>
      </c>
      <c r="E107" s="154" t="s">
        <v>933</v>
      </c>
      <c r="F107" s="156">
        <v>1</v>
      </c>
      <c r="G107" s="157"/>
      <c r="H107" s="106">
        <f t="shared" si="11"/>
        <v>0</v>
      </c>
    </row>
    <row r="108" spans="1:8" ht="16.5" customHeight="1" x14ac:dyDescent="0.25">
      <c r="A108" s="113">
        <f t="shared" si="7"/>
        <v>1.0259999999999971</v>
      </c>
      <c r="B108" s="100" t="str">
        <f t="shared" si="10"/>
        <v/>
      </c>
      <c r="C108" s="107"/>
      <c r="D108" s="108"/>
      <c r="E108" s="107"/>
      <c r="F108" s="109"/>
      <c r="G108" s="105"/>
      <c r="H108" s="106" t="str">
        <f>IF(F108="","",G108*F108)</f>
        <v/>
      </c>
    </row>
    <row r="109" spans="1:8" ht="25.5" x14ac:dyDescent="0.25">
      <c r="A109" s="113">
        <f t="shared" si="7"/>
        <v>1.026999999999997</v>
      </c>
      <c r="B109" s="100">
        <f t="shared" si="10"/>
        <v>1.026999999999997</v>
      </c>
      <c r="C109" s="110" t="s">
        <v>984</v>
      </c>
      <c r="D109" s="111" t="s">
        <v>949</v>
      </c>
      <c r="E109" s="107" t="s">
        <v>933</v>
      </c>
      <c r="F109" s="109">
        <v>1</v>
      </c>
      <c r="G109" s="105"/>
      <c r="H109" s="106">
        <f t="shared" ref="H109:H154" si="12">IF(F109="","",G109*F109)</f>
        <v>0</v>
      </c>
    </row>
    <row r="110" spans="1:8" x14ac:dyDescent="0.25">
      <c r="A110" s="113">
        <f t="shared" si="7"/>
        <v>1.026999999999997</v>
      </c>
      <c r="B110" s="100" t="str">
        <f t="shared" si="10"/>
        <v/>
      </c>
      <c r="C110" s="110"/>
      <c r="D110" s="111"/>
      <c r="E110" s="107"/>
      <c r="F110" s="109"/>
      <c r="G110" s="105"/>
      <c r="H110" s="106" t="str">
        <f t="shared" si="12"/>
        <v/>
      </c>
    </row>
    <row r="111" spans="1:8" x14ac:dyDescent="0.25">
      <c r="A111" s="113">
        <f t="shared" si="7"/>
        <v>1.0279999999999969</v>
      </c>
      <c r="B111" s="100">
        <f t="shared" si="10"/>
        <v>1.0279999999999969</v>
      </c>
      <c r="C111" s="107" t="s">
        <v>985</v>
      </c>
      <c r="D111" s="112" t="s">
        <v>951</v>
      </c>
      <c r="E111" s="107" t="s">
        <v>933</v>
      </c>
      <c r="F111" s="109">
        <v>1</v>
      </c>
      <c r="G111" s="105"/>
      <c r="H111" s="106">
        <f t="shared" si="12"/>
        <v>0</v>
      </c>
    </row>
    <row r="112" spans="1:8" ht="11.25" customHeight="1" x14ac:dyDescent="0.25">
      <c r="A112" s="113">
        <f t="shared" si="7"/>
        <v>1.0279999999999969</v>
      </c>
      <c r="B112" s="100" t="str">
        <f t="shared" si="10"/>
        <v/>
      </c>
      <c r="C112" s="107"/>
      <c r="D112" s="108"/>
      <c r="E112" s="107"/>
      <c r="F112" s="109"/>
      <c r="G112" s="105"/>
      <c r="H112" s="106" t="str">
        <f t="shared" si="12"/>
        <v/>
      </c>
    </row>
    <row r="113" spans="1:8" ht="39" customHeight="1" x14ac:dyDescent="0.25">
      <c r="A113" s="113">
        <f t="shared" si="7"/>
        <v>1.0289999999999968</v>
      </c>
      <c r="B113" s="100">
        <f t="shared" si="10"/>
        <v>1.0289999999999968</v>
      </c>
      <c r="C113" s="107" t="s">
        <v>986</v>
      </c>
      <c r="D113" s="108" t="s">
        <v>953</v>
      </c>
      <c r="E113" s="107" t="s">
        <v>933</v>
      </c>
      <c r="F113" s="109">
        <v>1</v>
      </c>
      <c r="G113" s="105"/>
      <c r="H113" s="106">
        <f t="shared" si="12"/>
        <v>0</v>
      </c>
    </row>
    <row r="114" spans="1:8" x14ac:dyDescent="0.25">
      <c r="A114" s="113">
        <f t="shared" si="7"/>
        <v>1.0289999999999968</v>
      </c>
      <c r="B114" s="100" t="str">
        <f t="shared" si="10"/>
        <v/>
      </c>
      <c r="C114" s="107"/>
      <c r="D114" s="108"/>
      <c r="E114" s="107"/>
      <c r="F114" s="109"/>
      <c r="G114" s="105"/>
      <c r="H114" s="106" t="str">
        <f t="shared" si="12"/>
        <v/>
      </c>
    </row>
    <row r="115" spans="1:8" ht="36.75" customHeight="1" x14ac:dyDescent="0.25">
      <c r="A115" s="113">
        <f t="shared" si="7"/>
        <v>1.0299999999999967</v>
      </c>
      <c r="B115" s="100">
        <f t="shared" si="10"/>
        <v>1.0299999999999967</v>
      </c>
      <c r="C115" s="110" t="s">
        <v>987</v>
      </c>
      <c r="D115" s="111" t="s">
        <v>955</v>
      </c>
      <c r="E115" s="107" t="s">
        <v>933</v>
      </c>
      <c r="F115" s="109">
        <v>1</v>
      </c>
      <c r="G115" s="105"/>
      <c r="H115" s="106">
        <f t="shared" si="12"/>
        <v>0</v>
      </c>
    </row>
    <row r="116" spans="1:8" x14ac:dyDescent="0.25">
      <c r="A116" s="113">
        <f t="shared" si="7"/>
        <v>1.0299999999999967</v>
      </c>
      <c r="B116" s="100" t="str">
        <f t="shared" si="10"/>
        <v/>
      </c>
      <c r="C116" s="107"/>
      <c r="D116" s="112"/>
      <c r="E116" s="107"/>
      <c r="F116" s="109"/>
      <c r="G116" s="105"/>
      <c r="H116" s="106" t="str">
        <f t="shared" si="12"/>
        <v/>
      </c>
    </row>
    <row r="117" spans="1:8" x14ac:dyDescent="0.25">
      <c r="A117" s="113">
        <f t="shared" si="7"/>
        <v>1.0309999999999966</v>
      </c>
      <c r="B117" s="100">
        <f t="shared" si="10"/>
        <v>1.0309999999999966</v>
      </c>
      <c r="C117" s="107" t="s">
        <v>988</v>
      </c>
      <c r="D117" s="112" t="s">
        <v>959</v>
      </c>
      <c r="E117" s="107" t="s">
        <v>933</v>
      </c>
      <c r="F117" s="109">
        <v>1</v>
      </c>
      <c r="G117" s="105"/>
      <c r="H117" s="106">
        <f t="shared" si="12"/>
        <v>0</v>
      </c>
    </row>
    <row r="118" spans="1:8" x14ac:dyDescent="0.25">
      <c r="A118" s="113">
        <f t="shared" si="7"/>
        <v>1.0309999999999966</v>
      </c>
      <c r="B118" s="100" t="str">
        <f t="shared" si="10"/>
        <v/>
      </c>
      <c r="C118" s="107"/>
      <c r="D118" s="108"/>
      <c r="E118" s="107"/>
      <c r="F118" s="109"/>
      <c r="G118" s="105"/>
      <c r="H118" s="106" t="str">
        <f t="shared" si="12"/>
        <v/>
      </c>
    </row>
    <row r="119" spans="1:8" ht="27" x14ac:dyDescent="0.25">
      <c r="A119" s="113">
        <f t="shared" si="7"/>
        <v>1.0319999999999965</v>
      </c>
      <c r="B119" s="100">
        <f t="shared" si="10"/>
        <v>1.0319999999999965</v>
      </c>
      <c r="C119" s="107" t="s">
        <v>27</v>
      </c>
      <c r="D119" s="108" t="s">
        <v>989</v>
      </c>
      <c r="E119" s="107" t="s">
        <v>933</v>
      </c>
      <c r="F119" s="109">
        <v>1</v>
      </c>
      <c r="G119" s="105"/>
      <c r="H119" s="106">
        <f t="shared" si="12"/>
        <v>0</v>
      </c>
    </row>
    <row r="120" spans="1:8" x14ac:dyDescent="0.25">
      <c r="A120" s="113">
        <f t="shared" si="7"/>
        <v>1.0319999999999965</v>
      </c>
      <c r="B120" s="100" t="str">
        <f t="shared" si="10"/>
        <v/>
      </c>
      <c r="C120" s="107"/>
      <c r="D120" s="108"/>
      <c r="E120" s="107"/>
      <c r="F120" s="109"/>
      <c r="G120" s="105"/>
      <c r="H120" s="106" t="str">
        <f t="shared" si="12"/>
        <v/>
      </c>
    </row>
    <row r="121" spans="1:8" ht="27" x14ac:dyDescent="0.25">
      <c r="A121" s="113">
        <f t="shared" si="7"/>
        <v>1.0329999999999964</v>
      </c>
      <c r="B121" s="100">
        <f t="shared" si="10"/>
        <v>1.0329999999999964</v>
      </c>
      <c r="C121" s="107" t="s">
        <v>42</v>
      </c>
      <c r="D121" s="162" t="s">
        <v>990</v>
      </c>
      <c r="E121" s="107" t="s">
        <v>933</v>
      </c>
      <c r="F121" s="109">
        <v>1</v>
      </c>
      <c r="G121" s="105"/>
      <c r="H121" s="106">
        <f t="shared" si="12"/>
        <v>0</v>
      </c>
    </row>
    <row r="122" spans="1:8" x14ac:dyDescent="0.25">
      <c r="A122" s="113">
        <f t="shared" si="7"/>
        <v>1.0329999999999964</v>
      </c>
      <c r="B122" s="100" t="str">
        <f t="shared" si="10"/>
        <v/>
      </c>
      <c r="C122" s="107"/>
      <c r="D122" s="162"/>
      <c r="E122" s="107"/>
      <c r="F122" s="109"/>
      <c r="G122" s="105"/>
      <c r="H122" s="106" t="str">
        <f t="shared" si="12"/>
        <v/>
      </c>
    </row>
    <row r="123" spans="1:8" ht="40.5" x14ac:dyDescent="0.25">
      <c r="A123" s="113">
        <f t="shared" si="7"/>
        <v>1.0339999999999963</v>
      </c>
      <c r="B123" s="100">
        <f t="shared" si="10"/>
        <v>1.0339999999999963</v>
      </c>
      <c r="C123" s="107" t="s">
        <v>991</v>
      </c>
      <c r="D123" s="108" t="s">
        <v>992</v>
      </c>
      <c r="E123" s="107" t="s">
        <v>933</v>
      </c>
      <c r="F123" s="109">
        <v>1</v>
      </c>
      <c r="G123" s="105"/>
      <c r="H123" s="106">
        <f t="shared" si="12"/>
        <v>0</v>
      </c>
    </row>
    <row r="124" spans="1:8" x14ac:dyDescent="0.25">
      <c r="A124" s="113">
        <f t="shared" si="7"/>
        <v>1.0339999999999963</v>
      </c>
      <c r="B124" s="100" t="str">
        <f t="shared" si="10"/>
        <v/>
      </c>
      <c r="C124" s="107"/>
      <c r="D124" s="108"/>
      <c r="E124" s="107"/>
      <c r="F124" s="109"/>
      <c r="G124" s="105"/>
      <c r="H124" s="106" t="str">
        <f t="shared" si="12"/>
        <v/>
      </c>
    </row>
    <row r="125" spans="1:8" ht="27" x14ac:dyDescent="0.25">
      <c r="A125" s="113">
        <f t="shared" si="7"/>
        <v>1.0349999999999961</v>
      </c>
      <c r="B125" s="100">
        <f t="shared" si="10"/>
        <v>1.0349999999999961</v>
      </c>
      <c r="C125" s="107" t="s">
        <v>964</v>
      </c>
      <c r="D125" s="108" t="s">
        <v>993</v>
      </c>
      <c r="E125" s="107" t="s">
        <v>933</v>
      </c>
      <c r="F125" s="109">
        <v>1</v>
      </c>
      <c r="G125" s="105"/>
      <c r="H125" s="106">
        <f t="shared" si="12"/>
        <v>0</v>
      </c>
    </row>
    <row r="126" spans="1:8" x14ac:dyDescent="0.25">
      <c r="A126" s="113">
        <f t="shared" si="7"/>
        <v>1.0349999999999961</v>
      </c>
      <c r="B126" s="100" t="str">
        <f t="shared" si="10"/>
        <v/>
      </c>
      <c r="C126" s="107"/>
      <c r="D126" s="108"/>
      <c r="E126" s="107"/>
      <c r="F126" s="109"/>
      <c r="G126" s="105"/>
      <c r="H126" s="106" t="str">
        <f t="shared" si="12"/>
        <v/>
      </c>
    </row>
    <row r="127" spans="1:8" ht="27" x14ac:dyDescent="0.25">
      <c r="A127" s="113">
        <f t="shared" si="7"/>
        <v>1.035999999999996</v>
      </c>
      <c r="B127" s="100">
        <f t="shared" si="10"/>
        <v>1.035999999999996</v>
      </c>
      <c r="C127" s="107" t="s">
        <v>966</v>
      </c>
      <c r="D127" s="162" t="s">
        <v>967</v>
      </c>
      <c r="E127" s="107" t="s">
        <v>933</v>
      </c>
      <c r="F127" s="109">
        <v>1</v>
      </c>
      <c r="G127" s="105"/>
      <c r="H127" s="106">
        <f t="shared" si="12"/>
        <v>0</v>
      </c>
    </row>
    <row r="128" spans="1:8" x14ac:dyDescent="0.25">
      <c r="A128" s="113">
        <f t="shared" si="7"/>
        <v>1.035999999999996</v>
      </c>
      <c r="B128" s="100" t="str">
        <f t="shared" si="10"/>
        <v/>
      </c>
      <c r="C128" s="107"/>
      <c r="D128" s="162"/>
      <c r="E128" s="107"/>
      <c r="F128" s="109"/>
      <c r="G128" s="105"/>
      <c r="H128" s="106" t="str">
        <f t="shared" si="12"/>
        <v/>
      </c>
    </row>
    <row r="129" spans="1:8" ht="27" x14ac:dyDescent="0.25">
      <c r="A129" s="113">
        <f t="shared" si="7"/>
        <v>1.0369999999999959</v>
      </c>
      <c r="B129" s="100">
        <f t="shared" ref="B129:B132" si="13">+IF(F129&gt;0,A129,"")</f>
        <v>1.0369999999999959</v>
      </c>
      <c r="C129" s="107" t="s">
        <v>994</v>
      </c>
      <c r="D129" s="162" t="s">
        <v>995</v>
      </c>
      <c r="E129" s="107" t="s">
        <v>933</v>
      </c>
      <c r="F129" s="109">
        <v>1</v>
      </c>
      <c r="G129" s="105"/>
      <c r="H129" s="106">
        <f t="shared" ref="H129:H132" si="14">IF(F129="","",G129*F129)</f>
        <v>0</v>
      </c>
    </row>
    <row r="130" spans="1:8" x14ac:dyDescent="0.25">
      <c r="A130" s="113">
        <f t="shared" si="7"/>
        <v>1.0369999999999959</v>
      </c>
      <c r="B130" s="100" t="str">
        <f t="shared" si="13"/>
        <v/>
      </c>
      <c r="C130" s="107"/>
      <c r="D130" s="162"/>
      <c r="E130" s="107"/>
      <c r="F130" s="109"/>
      <c r="G130" s="105"/>
      <c r="H130" s="106" t="str">
        <f t="shared" si="14"/>
        <v/>
      </c>
    </row>
    <row r="131" spans="1:8" x14ac:dyDescent="0.25">
      <c r="A131" s="113">
        <f t="shared" si="7"/>
        <v>1.0369999999999959</v>
      </c>
      <c r="B131" s="100" t="str">
        <f t="shared" si="13"/>
        <v/>
      </c>
      <c r="C131" s="107"/>
      <c r="D131" s="162"/>
      <c r="E131" s="107"/>
      <c r="F131" s="109"/>
      <c r="G131" s="105"/>
      <c r="H131" s="106" t="str">
        <f t="shared" si="14"/>
        <v/>
      </c>
    </row>
    <row r="132" spans="1:8" ht="15.75" thickBot="1" x14ac:dyDescent="0.3">
      <c r="A132" s="113">
        <f t="shared" ref="A132:A177" si="15">+IF(F132&gt;0.01,A131+0.001,A131)</f>
        <v>1.0369999999999959</v>
      </c>
      <c r="B132" s="100" t="str">
        <f t="shared" si="13"/>
        <v/>
      </c>
      <c r="C132" s="107"/>
      <c r="D132" s="162"/>
      <c r="E132" s="107"/>
      <c r="F132" s="109"/>
      <c r="G132" s="105"/>
      <c r="H132" s="106" t="str">
        <f t="shared" si="14"/>
        <v/>
      </c>
    </row>
    <row r="133" spans="1:8" ht="15.75" thickBot="1" x14ac:dyDescent="0.3">
      <c r="A133" s="113">
        <f t="shared" si="15"/>
        <v>1.0369999999999959</v>
      </c>
      <c r="B133" s="173" t="s">
        <v>1026</v>
      </c>
      <c r="C133" s="174"/>
      <c r="D133" s="174"/>
      <c r="E133" s="174"/>
      <c r="F133" s="174"/>
      <c r="G133" s="175"/>
      <c r="H133" s="117">
        <f>SUM(H105:H132)</f>
        <v>0</v>
      </c>
    </row>
    <row r="134" spans="1:8" ht="24.75" thickBot="1" x14ac:dyDescent="0.3">
      <c r="A134" s="113">
        <f t="shared" si="15"/>
        <v>1.0379999999999958</v>
      </c>
      <c r="B134" s="114" t="s">
        <v>36</v>
      </c>
      <c r="C134" s="97" t="s">
        <v>94</v>
      </c>
      <c r="D134" s="115" t="s">
        <v>38</v>
      </c>
      <c r="E134" s="115" t="s">
        <v>37</v>
      </c>
      <c r="F134" s="115" t="s">
        <v>81</v>
      </c>
      <c r="G134" s="116" t="s">
        <v>86</v>
      </c>
      <c r="H134" s="99" t="s">
        <v>95</v>
      </c>
    </row>
    <row r="135" spans="1:8" ht="13.5" customHeight="1" thickBot="1" x14ac:dyDescent="0.3">
      <c r="A135" s="113">
        <f t="shared" si="15"/>
        <v>1.0379999999999958</v>
      </c>
      <c r="B135" s="173" t="s">
        <v>1027</v>
      </c>
      <c r="C135" s="174"/>
      <c r="D135" s="174"/>
      <c r="E135" s="174"/>
      <c r="F135" s="174"/>
      <c r="G135" s="175"/>
      <c r="H135" s="117">
        <f>H133</f>
        <v>0</v>
      </c>
    </row>
    <row r="136" spans="1:8" ht="11.25" customHeight="1" x14ac:dyDescent="0.25">
      <c r="A136" s="113">
        <f t="shared" si="15"/>
        <v>1.0379999999999958</v>
      </c>
      <c r="B136" s="100" t="str">
        <f t="shared" si="10"/>
        <v/>
      </c>
      <c r="C136" s="107"/>
      <c r="D136" s="162"/>
      <c r="E136" s="107"/>
      <c r="F136" s="109"/>
      <c r="G136" s="105"/>
      <c r="H136" s="106" t="str">
        <f t="shared" si="12"/>
        <v/>
      </c>
    </row>
    <row r="137" spans="1:8" ht="25.5" x14ac:dyDescent="0.25">
      <c r="A137" s="113">
        <f t="shared" si="15"/>
        <v>1.0379999999999958</v>
      </c>
      <c r="B137" s="100" t="str">
        <f t="shared" si="10"/>
        <v/>
      </c>
      <c r="C137" s="107" t="s">
        <v>996</v>
      </c>
      <c r="D137" s="178" t="s">
        <v>997</v>
      </c>
      <c r="E137" s="107" t="s">
        <v>934</v>
      </c>
      <c r="F137" s="109"/>
      <c r="G137" s="105"/>
      <c r="H137" s="106" t="str">
        <f t="shared" si="12"/>
        <v/>
      </c>
    </row>
    <row r="138" spans="1:8" ht="15" customHeight="1" x14ac:dyDescent="0.25">
      <c r="A138" s="113">
        <f t="shared" si="15"/>
        <v>1.0379999999999958</v>
      </c>
      <c r="B138" s="100" t="str">
        <f t="shared" si="10"/>
        <v/>
      </c>
      <c r="C138" s="107"/>
      <c r="D138" s="153"/>
      <c r="E138" s="107"/>
      <c r="F138" s="109"/>
      <c r="G138" s="105"/>
      <c r="H138" s="106" t="str">
        <f t="shared" si="12"/>
        <v/>
      </c>
    </row>
    <row r="139" spans="1:8" ht="27" x14ac:dyDescent="0.25">
      <c r="A139" s="113">
        <f t="shared" si="15"/>
        <v>1.0389999999999957</v>
      </c>
      <c r="B139" s="100">
        <f t="shared" si="10"/>
        <v>1.0389999999999957</v>
      </c>
      <c r="C139" s="107"/>
      <c r="D139" s="108" t="s">
        <v>998</v>
      </c>
      <c r="E139" s="107" t="s">
        <v>933</v>
      </c>
      <c r="F139" s="109">
        <v>1</v>
      </c>
      <c r="G139" s="105"/>
      <c r="H139" s="106">
        <f t="shared" si="12"/>
        <v>0</v>
      </c>
    </row>
    <row r="140" spans="1:8" ht="11.25" customHeight="1" x14ac:dyDescent="0.25">
      <c r="A140" s="113">
        <f t="shared" si="15"/>
        <v>1.0389999999999957</v>
      </c>
      <c r="B140" s="100" t="str">
        <f t="shared" si="10"/>
        <v/>
      </c>
      <c r="C140" s="107"/>
      <c r="D140" s="108"/>
      <c r="E140" s="107"/>
      <c r="F140" s="109"/>
      <c r="G140" s="105"/>
      <c r="H140" s="106" t="str">
        <f t="shared" si="12"/>
        <v/>
      </c>
    </row>
    <row r="141" spans="1:8" ht="51.75" customHeight="1" x14ac:dyDescent="0.25">
      <c r="A141" s="113">
        <f t="shared" si="15"/>
        <v>1.0389999999999957</v>
      </c>
      <c r="B141" s="100" t="str">
        <f t="shared" si="10"/>
        <v/>
      </c>
      <c r="C141" s="107"/>
      <c r="D141" s="108" t="s">
        <v>999</v>
      </c>
      <c r="E141" s="107" t="s">
        <v>1000</v>
      </c>
      <c r="F141" s="109"/>
      <c r="G141" s="105"/>
      <c r="H141" s="106" t="str">
        <f t="shared" si="12"/>
        <v/>
      </c>
    </row>
    <row r="142" spans="1:8" x14ac:dyDescent="0.25">
      <c r="A142" s="113">
        <f t="shared" si="15"/>
        <v>1.0389999999999957</v>
      </c>
      <c r="B142" s="100" t="str">
        <f t="shared" si="10"/>
        <v/>
      </c>
      <c r="C142" s="107"/>
      <c r="D142" s="162"/>
      <c r="E142" s="107"/>
      <c r="F142" s="109"/>
      <c r="G142" s="105"/>
      <c r="H142" s="106" t="str">
        <f t="shared" si="12"/>
        <v/>
      </c>
    </row>
    <row r="143" spans="1:8" x14ac:dyDescent="0.25">
      <c r="A143" s="113">
        <f t="shared" si="15"/>
        <v>1.0399999999999956</v>
      </c>
      <c r="B143" s="100">
        <f t="shared" si="10"/>
        <v>1.0399999999999956</v>
      </c>
      <c r="C143" s="107" t="s">
        <v>1001</v>
      </c>
      <c r="D143" s="162" t="s">
        <v>1002</v>
      </c>
      <c r="E143" s="107" t="s">
        <v>933</v>
      </c>
      <c r="F143" s="109">
        <v>1</v>
      </c>
      <c r="G143" s="105"/>
      <c r="H143" s="106">
        <f t="shared" si="12"/>
        <v>0</v>
      </c>
    </row>
    <row r="144" spans="1:8" x14ac:dyDescent="0.25">
      <c r="A144" s="113">
        <f t="shared" si="15"/>
        <v>1.0399999999999956</v>
      </c>
      <c r="B144" s="100" t="str">
        <f t="shared" si="10"/>
        <v/>
      </c>
      <c r="C144" s="107"/>
      <c r="D144" s="108"/>
      <c r="E144" s="107"/>
      <c r="F144" s="109"/>
      <c r="G144" s="105"/>
      <c r="H144" s="106" t="str">
        <f t="shared" si="12"/>
        <v/>
      </c>
    </row>
    <row r="145" spans="1:8" ht="27" x14ac:dyDescent="0.25">
      <c r="A145" s="113">
        <f t="shared" si="15"/>
        <v>1.0399999999999956</v>
      </c>
      <c r="B145" s="100" t="str">
        <f t="shared" si="10"/>
        <v/>
      </c>
      <c r="C145" s="107"/>
      <c r="D145" s="112" t="s">
        <v>1003</v>
      </c>
      <c r="E145" s="107" t="s">
        <v>1000</v>
      </c>
      <c r="F145" s="109"/>
      <c r="G145" s="105"/>
      <c r="H145" s="106" t="str">
        <f t="shared" si="12"/>
        <v/>
      </c>
    </row>
    <row r="146" spans="1:8" x14ac:dyDescent="0.25">
      <c r="A146" s="113">
        <f t="shared" si="15"/>
        <v>1.0399999999999956</v>
      </c>
      <c r="B146" s="100" t="str">
        <f t="shared" si="10"/>
        <v/>
      </c>
      <c r="C146" s="107"/>
      <c r="D146" s="153"/>
      <c r="E146" s="107"/>
      <c r="F146" s="109"/>
      <c r="G146" s="105"/>
      <c r="H146" s="106" t="str">
        <f t="shared" si="12"/>
        <v/>
      </c>
    </row>
    <row r="147" spans="1:8" x14ac:dyDescent="0.25">
      <c r="A147" s="113">
        <f t="shared" si="15"/>
        <v>1.0399999999999956</v>
      </c>
      <c r="B147" s="100" t="str">
        <f t="shared" si="10"/>
        <v/>
      </c>
      <c r="C147" s="107" t="s">
        <v>1004</v>
      </c>
      <c r="D147" s="111" t="s">
        <v>1005</v>
      </c>
      <c r="E147" s="107" t="s">
        <v>934</v>
      </c>
      <c r="F147" s="109"/>
      <c r="G147" s="105"/>
      <c r="H147" s="106" t="str">
        <f t="shared" si="12"/>
        <v/>
      </c>
    </row>
    <row r="148" spans="1:8" x14ac:dyDescent="0.25">
      <c r="A148" s="113">
        <f t="shared" si="15"/>
        <v>1.0399999999999956</v>
      </c>
      <c r="B148" s="100" t="str">
        <f t="shared" si="10"/>
        <v/>
      </c>
      <c r="C148" s="107"/>
      <c r="D148" s="162"/>
      <c r="E148" s="107"/>
      <c r="F148" s="109"/>
      <c r="G148" s="105"/>
      <c r="H148" s="106" t="str">
        <f t="shared" si="12"/>
        <v/>
      </c>
    </row>
    <row r="149" spans="1:8" x14ac:dyDescent="0.25">
      <c r="A149" s="113">
        <f t="shared" si="15"/>
        <v>1.0399999999999956</v>
      </c>
      <c r="B149" s="100" t="str">
        <f t="shared" si="10"/>
        <v/>
      </c>
      <c r="C149" s="107"/>
      <c r="D149" s="176" t="s">
        <v>1006</v>
      </c>
      <c r="E149" s="107" t="s">
        <v>1007</v>
      </c>
      <c r="F149" s="109"/>
      <c r="G149" s="105"/>
      <c r="H149" s="106" t="str">
        <f t="shared" si="12"/>
        <v/>
      </c>
    </row>
    <row r="150" spans="1:8" x14ac:dyDescent="0.25">
      <c r="A150" s="113">
        <f t="shared" si="15"/>
        <v>1.0399999999999956</v>
      </c>
      <c r="B150" s="100" t="str">
        <f t="shared" si="10"/>
        <v/>
      </c>
      <c r="C150" s="107"/>
      <c r="D150" s="162"/>
      <c r="E150" s="107"/>
      <c r="F150" s="109"/>
      <c r="G150" s="105"/>
      <c r="H150" s="106" t="str">
        <f t="shared" si="12"/>
        <v/>
      </c>
    </row>
    <row r="151" spans="1:8" x14ac:dyDescent="0.25">
      <c r="A151" s="113">
        <f t="shared" si="15"/>
        <v>1.0409999999999955</v>
      </c>
      <c r="B151" s="100">
        <f t="shared" si="10"/>
        <v>1.0409999999999955</v>
      </c>
      <c r="C151" s="107"/>
      <c r="D151" s="162" t="s">
        <v>1008</v>
      </c>
      <c r="E151" s="107" t="s">
        <v>1009</v>
      </c>
      <c r="F151" s="109">
        <v>250</v>
      </c>
      <c r="G151" s="105"/>
      <c r="H151" s="106">
        <f t="shared" si="12"/>
        <v>0</v>
      </c>
    </row>
    <row r="152" spans="1:8" x14ac:dyDescent="0.25">
      <c r="A152" s="113">
        <f t="shared" si="15"/>
        <v>1.0409999999999955</v>
      </c>
      <c r="B152" s="100" t="str">
        <f t="shared" ref="B152:B158" si="16">+IF(F152&gt;0,A152,"")</f>
        <v/>
      </c>
      <c r="C152" s="107"/>
      <c r="D152" s="108"/>
      <c r="E152" s="107"/>
      <c r="F152" s="109"/>
      <c r="G152" s="105"/>
      <c r="H152" s="106"/>
    </row>
    <row r="153" spans="1:8" x14ac:dyDescent="0.25">
      <c r="A153" s="113">
        <f t="shared" si="15"/>
        <v>1.0419999999999954</v>
      </c>
      <c r="B153" s="100">
        <f t="shared" si="16"/>
        <v>1.0419999999999954</v>
      </c>
      <c r="C153" s="107"/>
      <c r="D153" s="108" t="s">
        <v>1010</v>
      </c>
      <c r="E153" s="107" t="s">
        <v>1009</v>
      </c>
      <c r="F153" s="109">
        <v>150</v>
      </c>
      <c r="G153" s="105"/>
      <c r="H153" s="106"/>
    </row>
    <row r="154" spans="1:8" x14ac:dyDescent="0.25">
      <c r="A154" s="113">
        <f t="shared" si="15"/>
        <v>1.0419999999999954</v>
      </c>
      <c r="B154" s="100" t="str">
        <f t="shared" si="16"/>
        <v/>
      </c>
      <c r="C154" s="107"/>
      <c r="D154" s="108"/>
      <c r="E154" s="107"/>
      <c r="F154" s="109"/>
      <c r="G154" s="105"/>
      <c r="H154" s="106"/>
    </row>
    <row r="155" spans="1:8" x14ac:dyDescent="0.25">
      <c r="A155" s="113">
        <f t="shared" si="15"/>
        <v>1.0429999999999953</v>
      </c>
      <c r="B155" s="100">
        <f t="shared" si="16"/>
        <v>1.0429999999999953</v>
      </c>
      <c r="C155" s="107"/>
      <c r="D155" s="108" t="s">
        <v>1011</v>
      </c>
      <c r="E155" s="107" t="s">
        <v>1009</v>
      </c>
      <c r="F155" s="109">
        <v>100</v>
      </c>
      <c r="G155" s="105"/>
      <c r="H155" s="106"/>
    </row>
    <row r="156" spans="1:8" x14ac:dyDescent="0.25">
      <c r="A156" s="113">
        <f t="shared" si="15"/>
        <v>1.0429999999999953</v>
      </c>
      <c r="B156" s="100" t="str">
        <f t="shared" si="16"/>
        <v/>
      </c>
      <c r="C156" s="107"/>
      <c r="D156" s="108"/>
      <c r="E156" s="107"/>
      <c r="F156" s="109"/>
      <c r="G156" s="105"/>
      <c r="H156" s="106"/>
    </row>
    <row r="157" spans="1:8" x14ac:dyDescent="0.25">
      <c r="A157" s="113">
        <f t="shared" si="15"/>
        <v>1.0429999999999953</v>
      </c>
      <c r="B157" s="100" t="str">
        <f t="shared" si="16"/>
        <v/>
      </c>
      <c r="C157" s="107"/>
      <c r="D157" s="112" t="s">
        <v>1012</v>
      </c>
      <c r="E157" s="107" t="s">
        <v>1007</v>
      </c>
      <c r="F157" s="109"/>
      <c r="G157" s="105"/>
      <c r="H157" s="106"/>
    </row>
    <row r="158" spans="1:8" x14ac:dyDescent="0.25">
      <c r="A158" s="113">
        <f t="shared" si="15"/>
        <v>1.0429999999999953</v>
      </c>
      <c r="B158" s="100" t="str">
        <f t="shared" si="16"/>
        <v/>
      </c>
      <c r="C158" s="107"/>
      <c r="D158" s="108"/>
      <c r="E158" s="107"/>
      <c r="F158" s="109"/>
      <c r="G158" s="105"/>
      <c r="H158" s="106"/>
    </row>
    <row r="159" spans="1:8" ht="40.5" x14ac:dyDescent="0.25">
      <c r="A159" s="113">
        <f t="shared" si="15"/>
        <v>1.0439999999999952</v>
      </c>
      <c r="B159" s="100">
        <f t="shared" si="10"/>
        <v>1.0439999999999952</v>
      </c>
      <c r="C159" s="107"/>
      <c r="D159" s="108" t="s">
        <v>1013</v>
      </c>
      <c r="E159" s="107" t="s">
        <v>1009</v>
      </c>
      <c r="F159" s="109">
        <v>150</v>
      </c>
      <c r="G159" s="105"/>
      <c r="H159" s="106"/>
    </row>
    <row r="160" spans="1:8" x14ac:dyDescent="0.25">
      <c r="A160" s="113">
        <f t="shared" si="15"/>
        <v>1.0439999999999952</v>
      </c>
      <c r="B160" s="100" t="str">
        <f t="shared" si="10"/>
        <v/>
      </c>
      <c r="C160" s="107"/>
      <c r="D160" s="108"/>
      <c r="E160" s="107"/>
      <c r="F160" s="109"/>
      <c r="G160" s="105"/>
      <c r="H160" s="106"/>
    </row>
    <row r="161" spans="1:8" x14ac:dyDescent="0.25">
      <c r="A161" s="113">
        <f t="shared" si="15"/>
        <v>1.044999999999995</v>
      </c>
      <c r="B161" s="100">
        <f t="shared" si="10"/>
        <v>1.044999999999995</v>
      </c>
      <c r="C161" s="107"/>
      <c r="D161" s="108" t="s">
        <v>1014</v>
      </c>
      <c r="E161" s="107" t="s">
        <v>1009</v>
      </c>
      <c r="F161" s="109">
        <v>100</v>
      </c>
      <c r="G161" s="105"/>
      <c r="H161" s="106">
        <f t="shared" ref="H161:H175" si="17">IF(F161="","",G161*F161)</f>
        <v>0</v>
      </c>
    </row>
    <row r="162" spans="1:8" x14ac:dyDescent="0.25">
      <c r="A162" s="113">
        <f t="shared" si="15"/>
        <v>1.044999999999995</v>
      </c>
      <c r="B162" s="100" t="str">
        <f t="shared" si="10"/>
        <v/>
      </c>
      <c r="C162" s="107"/>
      <c r="D162" s="108"/>
      <c r="E162" s="107"/>
      <c r="F162" s="109"/>
      <c r="G162" s="105"/>
      <c r="H162" s="106" t="str">
        <f t="shared" si="17"/>
        <v/>
      </c>
    </row>
    <row r="163" spans="1:8" x14ac:dyDescent="0.25">
      <c r="A163" s="113">
        <f t="shared" si="15"/>
        <v>1.044999999999995</v>
      </c>
      <c r="B163" s="100" t="str">
        <f t="shared" si="10"/>
        <v/>
      </c>
      <c r="C163" s="107"/>
      <c r="D163" s="112" t="s">
        <v>1015</v>
      </c>
      <c r="E163" s="107" t="s">
        <v>1007</v>
      </c>
      <c r="F163" s="109"/>
      <c r="G163" s="105"/>
      <c r="H163" s="106" t="str">
        <f t="shared" si="17"/>
        <v/>
      </c>
    </row>
    <row r="164" spans="1:8" x14ac:dyDescent="0.25">
      <c r="A164" s="113">
        <f t="shared" si="15"/>
        <v>1.044999999999995</v>
      </c>
      <c r="B164" s="100"/>
      <c r="C164" s="107"/>
      <c r="D164" s="108"/>
      <c r="E164" s="107"/>
      <c r="F164" s="109"/>
      <c r="G164" s="105"/>
      <c r="H164" s="106" t="str">
        <f t="shared" si="17"/>
        <v/>
      </c>
    </row>
    <row r="165" spans="1:8" ht="27" x14ac:dyDescent="0.25">
      <c r="A165" s="113">
        <f t="shared" si="15"/>
        <v>1.0459999999999949</v>
      </c>
      <c r="B165" s="100"/>
      <c r="C165" s="107"/>
      <c r="D165" s="108" t="s">
        <v>1016</v>
      </c>
      <c r="E165" s="107" t="s">
        <v>18</v>
      </c>
      <c r="F165" s="109">
        <v>1</v>
      </c>
      <c r="G165" s="105"/>
      <c r="H165" s="106">
        <f t="shared" si="17"/>
        <v>0</v>
      </c>
    </row>
    <row r="166" spans="1:8" x14ac:dyDescent="0.25">
      <c r="A166" s="113">
        <f t="shared" si="15"/>
        <v>1.0459999999999949</v>
      </c>
      <c r="B166" s="100"/>
      <c r="C166" s="107"/>
      <c r="D166" s="108"/>
      <c r="E166" s="107"/>
      <c r="F166" s="109"/>
      <c r="G166" s="105"/>
      <c r="H166" s="106" t="str">
        <f t="shared" si="17"/>
        <v/>
      </c>
    </row>
    <row r="167" spans="1:8" ht="27" x14ac:dyDescent="0.25">
      <c r="A167" s="113">
        <f t="shared" si="15"/>
        <v>1.0459999999999949</v>
      </c>
      <c r="B167" s="100" t="str">
        <f>+IF(F167&gt;0,A167,"")</f>
        <v/>
      </c>
      <c r="C167" s="107"/>
      <c r="D167" s="108" t="s">
        <v>1017</v>
      </c>
      <c r="E167" s="107" t="s">
        <v>1000</v>
      </c>
      <c r="F167" s="109"/>
      <c r="G167" s="105"/>
      <c r="H167" s="106" t="str">
        <f t="shared" si="17"/>
        <v/>
      </c>
    </row>
    <row r="168" spans="1:8" x14ac:dyDescent="0.25">
      <c r="A168" s="113">
        <f t="shared" si="15"/>
        <v>1.0459999999999949</v>
      </c>
      <c r="B168" s="100" t="str">
        <f>+IF(F168&gt;0,A168,"")</f>
        <v/>
      </c>
      <c r="C168" s="107"/>
      <c r="D168" s="108"/>
      <c r="E168" s="107"/>
      <c r="F168" s="109"/>
      <c r="G168" s="105"/>
      <c r="H168" s="106" t="str">
        <f t="shared" si="17"/>
        <v/>
      </c>
    </row>
    <row r="169" spans="1:8" x14ac:dyDescent="0.25">
      <c r="A169" s="113">
        <f t="shared" si="15"/>
        <v>1.0459999999999949</v>
      </c>
      <c r="B169" s="100"/>
      <c r="C169" s="107" t="s">
        <v>1018</v>
      </c>
      <c r="D169" s="108" t="s">
        <v>1019</v>
      </c>
      <c r="E169" s="107" t="s">
        <v>934</v>
      </c>
      <c r="F169" s="109"/>
      <c r="G169" s="105"/>
      <c r="H169" s="106" t="str">
        <f t="shared" si="17"/>
        <v/>
      </c>
    </row>
    <row r="170" spans="1:8" x14ac:dyDescent="0.25">
      <c r="A170" s="113">
        <f t="shared" si="15"/>
        <v>1.0459999999999949</v>
      </c>
      <c r="B170" s="100"/>
      <c r="C170" s="107"/>
      <c r="D170" s="108"/>
      <c r="E170" s="107"/>
      <c r="F170" s="109"/>
      <c r="G170" s="105"/>
      <c r="H170" s="106" t="str">
        <f t="shared" si="17"/>
        <v/>
      </c>
    </row>
    <row r="171" spans="1:8" ht="27" x14ac:dyDescent="0.25">
      <c r="A171" s="113">
        <f t="shared" si="15"/>
        <v>1.0469999999999948</v>
      </c>
      <c r="B171" s="100"/>
      <c r="C171" s="107" t="s">
        <v>1020</v>
      </c>
      <c r="D171" s="162" t="s">
        <v>1021</v>
      </c>
      <c r="E171" s="107" t="s">
        <v>4</v>
      </c>
      <c r="F171" s="109">
        <v>70</v>
      </c>
      <c r="G171" s="105"/>
      <c r="H171" s="106">
        <f t="shared" si="17"/>
        <v>0</v>
      </c>
    </row>
    <row r="172" spans="1:8" x14ac:dyDescent="0.25">
      <c r="A172" s="113">
        <f t="shared" si="15"/>
        <v>1.0469999999999948</v>
      </c>
      <c r="B172" s="100"/>
      <c r="C172" s="107"/>
      <c r="D172" s="162"/>
      <c r="E172" s="107"/>
      <c r="F172" s="109"/>
      <c r="G172" s="105"/>
      <c r="H172" s="106" t="str">
        <f t="shared" si="17"/>
        <v/>
      </c>
    </row>
    <row r="173" spans="1:8" x14ac:dyDescent="0.25">
      <c r="A173" s="113">
        <f t="shared" si="15"/>
        <v>1.0469999999999948</v>
      </c>
      <c r="B173" s="100"/>
      <c r="C173" s="107"/>
      <c r="D173" s="162"/>
      <c r="E173" s="107"/>
      <c r="F173" s="109"/>
      <c r="G173" s="105"/>
      <c r="H173" s="106" t="str">
        <f t="shared" si="17"/>
        <v/>
      </c>
    </row>
    <row r="174" spans="1:8" ht="15.75" thickBot="1" x14ac:dyDescent="0.3">
      <c r="A174" s="113">
        <f t="shared" si="15"/>
        <v>1.0469999999999948</v>
      </c>
      <c r="B174" s="100"/>
      <c r="C174" s="107"/>
      <c r="D174" s="162"/>
      <c r="E174" s="107"/>
      <c r="F174" s="109"/>
      <c r="G174" s="105"/>
      <c r="H174" s="106" t="str">
        <f t="shared" si="17"/>
        <v/>
      </c>
    </row>
    <row r="175" spans="1:8" ht="15.75" thickBot="1" x14ac:dyDescent="0.3">
      <c r="A175" s="113">
        <f t="shared" si="15"/>
        <v>1.0469999999999948</v>
      </c>
      <c r="B175" s="173" t="s">
        <v>1026</v>
      </c>
      <c r="C175" s="174"/>
      <c r="D175" s="174"/>
      <c r="E175" s="174"/>
      <c r="F175" s="174"/>
      <c r="G175" s="175"/>
      <c r="H175" s="117">
        <f>SUM(H130:H173)</f>
        <v>0</v>
      </c>
    </row>
    <row r="176" spans="1:8" ht="24.75" thickBot="1" x14ac:dyDescent="0.3">
      <c r="A176" s="113">
        <f t="shared" si="15"/>
        <v>1.0479999999999947</v>
      </c>
      <c r="B176" s="114" t="s">
        <v>36</v>
      </c>
      <c r="C176" s="97" t="s">
        <v>94</v>
      </c>
      <c r="D176" s="115" t="s">
        <v>38</v>
      </c>
      <c r="E176" s="115" t="s">
        <v>37</v>
      </c>
      <c r="F176" s="115" t="s">
        <v>81</v>
      </c>
      <c r="G176" s="116" t="s">
        <v>86</v>
      </c>
      <c r="H176" s="99" t="s">
        <v>95</v>
      </c>
    </row>
    <row r="177" spans="1:8" ht="15.75" thickBot="1" x14ac:dyDescent="0.3">
      <c r="A177" s="113">
        <f t="shared" si="15"/>
        <v>1.0479999999999947</v>
      </c>
      <c r="B177" s="173" t="s">
        <v>1027</v>
      </c>
      <c r="C177" s="174"/>
      <c r="D177" s="174"/>
      <c r="E177" s="174"/>
      <c r="F177" s="174"/>
      <c r="G177" s="175"/>
      <c r="H177" s="117">
        <f>H175</f>
        <v>0</v>
      </c>
    </row>
    <row r="178" spans="1:8" x14ac:dyDescent="0.25">
      <c r="A178" s="113"/>
      <c r="B178" s="100"/>
      <c r="C178" s="107"/>
      <c r="D178" s="108"/>
      <c r="E178" s="107"/>
      <c r="F178" s="109"/>
      <c r="G178" s="105"/>
      <c r="H178" s="106"/>
    </row>
    <row r="179" spans="1:8" x14ac:dyDescent="0.25">
      <c r="A179" s="113"/>
      <c r="B179" s="100"/>
      <c r="C179" s="107"/>
      <c r="D179" s="179"/>
      <c r="E179" s="107"/>
      <c r="F179" s="109"/>
      <c r="G179" s="105"/>
      <c r="H179" s="106"/>
    </row>
    <row r="180" spans="1:8" x14ac:dyDescent="0.25">
      <c r="A180" s="113">
        <f>+IF(F180&gt;0.01,A168+0.001,A168)</f>
        <v>1.0459999999999949</v>
      </c>
      <c r="B180" s="100"/>
      <c r="C180" s="107"/>
      <c r="D180" s="179"/>
      <c r="E180" s="107"/>
      <c r="F180" s="109"/>
      <c r="G180" s="105"/>
      <c r="H180" s="106"/>
    </row>
    <row r="181" spans="1:8" x14ac:dyDescent="0.25">
      <c r="A181" s="113">
        <f t="shared" ref="A181:A188" si="18">+IF(F181&gt;0.01,A180+0.001,A180)</f>
        <v>1.0459999999999949</v>
      </c>
      <c r="B181" s="100"/>
      <c r="C181" s="107"/>
      <c r="D181" s="179"/>
      <c r="E181" s="107"/>
      <c r="F181" s="109"/>
      <c r="G181" s="105"/>
      <c r="H181" s="106"/>
    </row>
    <row r="182" spans="1:8" x14ac:dyDescent="0.25">
      <c r="A182" s="113">
        <f t="shared" si="18"/>
        <v>1.0459999999999949</v>
      </c>
      <c r="B182" s="100"/>
      <c r="C182" s="107"/>
      <c r="D182" s="179"/>
      <c r="E182" s="107"/>
      <c r="F182" s="109"/>
      <c r="G182" s="105"/>
      <c r="H182" s="106"/>
    </row>
    <row r="183" spans="1:8" x14ac:dyDescent="0.25">
      <c r="A183" s="113">
        <f t="shared" si="18"/>
        <v>1.0459999999999949</v>
      </c>
      <c r="B183" s="100"/>
      <c r="C183" s="107"/>
      <c r="D183" s="179"/>
      <c r="E183" s="107"/>
      <c r="F183" s="109"/>
      <c r="G183" s="105"/>
      <c r="H183" s="106"/>
    </row>
    <row r="184" spans="1:8" x14ac:dyDescent="0.25">
      <c r="A184" s="113">
        <f t="shared" si="18"/>
        <v>1.0459999999999949</v>
      </c>
      <c r="B184" s="100"/>
      <c r="C184" s="107"/>
      <c r="D184" s="179"/>
      <c r="E184" s="107"/>
      <c r="F184" s="109"/>
      <c r="G184" s="105"/>
      <c r="H184" s="106"/>
    </row>
    <row r="185" spans="1:8" x14ac:dyDescent="0.25">
      <c r="A185" s="113">
        <f t="shared" si="18"/>
        <v>1.0459999999999949</v>
      </c>
      <c r="B185" s="100"/>
      <c r="C185" s="107"/>
      <c r="D185" s="179"/>
      <c r="E185" s="107"/>
      <c r="F185" s="109"/>
      <c r="G185" s="105"/>
      <c r="H185" s="106"/>
    </row>
    <row r="186" spans="1:8" x14ac:dyDescent="0.25">
      <c r="A186" s="113">
        <f t="shared" si="18"/>
        <v>1.0459999999999949</v>
      </c>
      <c r="B186" s="100"/>
      <c r="C186" s="107"/>
      <c r="D186" s="108"/>
      <c r="E186" s="107"/>
      <c r="F186" s="109"/>
      <c r="G186" s="105"/>
      <c r="H186" s="106"/>
    </row>
    <row r="187" spans="1:8" x14ac:dyDescent="0.25">
      <c r="A187" s="113">
        <f t="shared" si="18"/>
        <v>1.0459999999999949</v>
      </c>
      <c r="B187" s="100"/>
      <c r="C187" s="107"/>
      <c r="D187" s="111"/>
      <c r="E187" s="107"/>
      <c r="F187" s="109"/>
      <c r="G187" s="105"/>
      <c r="H187" s="106"/>
    </row>
    <row r="188" spans="1:8" x14ac:dyDescent="0.25">
      <c r="A188" s="113">
        <f t="shared" si="18"/>
        <v>1.0459999999999949</v>
      </c>
      <c r="B188" s="100"/>
      <c r="C188" s="107"/>
      <c r="D188" s="108"/>
      <c r="E188" s="107"/>
      <c r="F188" s="109"/>
      <c r="G188" s="105"/>
      <c r="H188" s="106"/>
    </row>
    <row r="189" spans="1:8" x14ac:dyDescent="0.25">
      <c r="A189" s="113"/>
      <c r="B189" s="100"/>
      <c r="C189" s="107"/>
      <c r="D189" s="111"/>
      <c r="E189" s="107"/>
      <c r="F189" s="109"/>
      <c r="G189" s="105"/>
      <c r="H189" s="106"/>
    </row>
    <row r="190" spans="1:8" x14ac:dyDescent="0.25">
      <c r="A190" s="113"/>
      <c r="B190" s="100"/>
      <c r="C190" s="107"/>
      <c r="D190" s="108"/>
      <c r="E190" s="107"/>
      <c r="F190" s="109"/>
      <c r="G190" s="105"/>
      <c r="H190" s="106"/>
    </row>
    <row r="191" spans="1:8" x14ac:dyDescent="0.25">
      <c r="A191" s="113"/>
      <c r="B191" s="100"/>
      <c r="C191" s="107"/>
      <c r="D191" s="112"/>
      <c r="E191" s="107"/>
      <c r="F191" s="109"/>
      <c r="G191" s="105"/>
      <c r="H191" s="106"/>
    </row>
    <row r="192" spans="1:8" x14ac:dyDescent="0.25">
      <c r="A192" s="113"/>
      <c r="B192" s="100"/>
      <c r="C192" s="107"/>
      <c r="D192" s="108"/>
      <c r="E192" s="107"/>
      <c r="F192" s="109"/>
      <c r="G192" s="105"/>
      <c r="H192" s="106"/>
    </row>
    <row r="193" spans="1:8" x14ac:dyDescent="0.25">
      <c r="A193" s="113"/>
      <c r="B193" s="100"/>
      <c r="C193" s="107"/>
      <c r="D193" s="108"/>
      <c r="E193" s="107"/>
      <c r="F193" s="109"/>
      <c r="G193" s="105"/>
      <c r="H193" s="106"/>
    </row>
    <row r="194" spans="1:8" x14ac:dyDescent="0.25">
      <c r="A194" s="113">
        <f>+IF(F194&gt;0.01,A188+0.001,A188)</f>
        <v>1.0459999999999949</v>
      </c>
      <c r="B194" s="100"/>
      <c r="C194" s="107"/>
      <c r="D194" s="108"/>
      <c r="E194" s="107"/>
      <c r="F194" s="109"/>
      <c r="G194" s="105"/>
      <c r="H194" s="106"/>
    </row>
    <row r="195" spans="1:8" ht="41.25" customHeight="1" x14ac:dyDescent="0.25">
      <c r="A195" s="113">
        <f t="shared" ref="A195:A220" si="19">+IF(F195&gt;0.01,A194+0.001,A194)</f>
        <v>1.0459999999999949</v>
      </c>
      <c r="B195" s="100"/>
      <c r="C195" s="107"/>
      <c r="D195" s="108"/>
      <c r="E195" s="107"/>
      <c r="F195" s="109"/>
      <c r="G195" s="105"/>
      <c r="H195" s="106"/>
    </row>
    <row r="196" spans="1:8" x14ac:dyDescent="0.25">
      <c r="A196" s="113">
        <f t="shared" si="19"/>
        <v>1.0459999999999949</v>
      </c>
      <c r="B196" s="100"/>
      <c r="C196" s="107"/>
      <c r="D196" s="108"/>
      <c r="E196" s="107"/>
      <c r="F196" s="109"/>
      <c r="G196" s="105"/>
      <c r="H196" s="106"/>
    </row>
    <row r="197" spans="1:8" x14ac:dyDescent="0.25">
      <c r="A197" s="113">
        <f t="shared" si="19"/>
        <v>1.0459999999999949</v>
      </c>
      <c r="B197" s="100"/>
      <c r="C197" s="107"/>
      <c r="D197" s="162"/>
      <c r="E197" s="107"/>
      <c r="F197" s="109"/>
      <c r="G197" s="105"/>
      <c r="H197" s="106"/>
    </row>
    <row r="198" spans="1:8" x14ac:dyDescent="0.25">
      <c r="A198" s="113">
        <f t="shared" si="19"/>
        <v>1.0459999999999949</v>
      </c>
      <c r="B198" s="100"/>
      <c r="C198" s="107"/>
      <c r="D198" s="162"/>
      <c r="E198" s="107"/>
      <c r="F198" s="109"/>
      <c r="G198" s="105"/>
      <c r="H198" s="106"/>
    </row>
    <row r="199" spans="1:8" x14ac:dyDescent="0.25">
      <c r="A199" s="113">
        <f t="shared" si="19"/>
        <v>1.0459999999999949</v>
      </c>
      <c r="B199" s="100"/>
      <c r="C199" s="107"/>
      <c r="D199" s="162"/>
      <c r="E199" s="107"/>
      <c r="F199" s="109"/>
      <c r="G199" s="105"/>
      <c r="H199" s="106"/>
    </row>
    <row r="200" spans="1:8" x14ac:dyDescent="0.25">
      <c r="A200" s="113">
        <f t="shared" si="19"/>
        <v>1.0459999999999949</v>
      </c>
      <c r="B200" s="100" t="str">
        <f t="shared" ref="B194:B220" si="20">+IF(F200&gt;0,A200,"")</f>
        <v/>
      </c>
      <c r="C200" s="107"/>
      <c r="D200" s="162"/>
      <c r="E200" s="107"/>
      <c r="F200" s="109"/>
      <c r="G200" s="105"/>
      <c r="H200" s="106" t="str">
        <f t="shared" ref="H190:H220" si="21">IF(F200="","",G200*F200)</f>
        <v/>
      </c>
    </row>
    <row r="201" spans="1:8" x14ac:dyDescent="0.25">
      <c r="A201" s="113">
        <f t="shared" si="19"/>
        <v>1.0459999999999949</v>
      </c>
      <c r="B201" s="100" t="str">
        <f t="shared" si="20"/>
        <v/>
      </c>
      <c r="C201" s="107"/>
      <c r="D201" s="162"/>
      <c r="E201" s="107"/>
      <c r="F201" s="109"/>
      <c r="G201" s="105"/>
      <c r="H201" s="106" t="str">
        <f t="shared" si="21"/>
        <v/>
      </c>
    </row>
    <row r="202" spans="1:8" x14ac:dyDescent="0.25">
      <c r="A202" s="113">
        <f t="shared" si="19"/>
        <v>1.0459999999999949</v>
      </c>
      <c r="B202" s="100" t="str">
        <f t="shared" si="20"/>
        <v/>
      </c>
      <c r="C202" s="107"/>
      <c r="D202" s="162"/>
      <c r="E202" s="107"/>
      <c r="F202" s="109"/>
      <c r="G202" s="105"/>
      <c r="H202" s="106" t="str">
        <f t="shared" si="21"/>
        <v/>
      </c>
    </row>
    <row r="203" spans="1:8" x14ac:dyDescent="0.25">
      <c r="A203" s="113">
        <f t="shared" si="19"/>
        <v>1.0459999999999949</v>
      </c>
      <c r="B203" s="100" t="str">
        <f t="shared" si="20"/>
        <v/>
      </c>
      <c r="C203" s="107"/>
      <c r="D203" s="108"/>
      <c r="E203" s="107"/>
      <c r="F203" s="109"/>
      <c r="G203" s="105"/>
      <c r="H203" s="106" t="str">
        <f t="shared" si="21"/>
        <v/>
      </c>
    </row>
    <row r="204" spans="1:8" x14ac:dyDescent="0.25">
      <c r="A204" s="113">
        <f t="shared" si="19"/>
        <v>1.0459999999999949</v>
      </c>
      <c r="B204" s="100" t="str">
        <f t="shared" si="20"/>
        <v/>
      </c>
      <c r="C204" s="107"/>
      <c r="D204" s="108"/>
      <c r="E204" s="107"/>
      <c r="F204" s="109"/>
      <c r="G204" s="105"/>
      <c r="H204" s="106" t="str">
        <f t="shared" si="21"/>
        <v/>
      </c>
    </row>
    <row r="205" spans="1:8" x14ac:dyDescent="0.25">
      <c r="A205" s="113">
        <f t="shared" si="19"/>
        <v>1.0459999999999949</v>
      </c>
      <c r="B205" s="100" t="str">
        <f t="shared" si="20"/>
        <v/>
      </c>
      <c r="C205" s="107"/>
      <c r="D205" s="108"/>
      <c r="E205" s="107"/>
      <c r="F205" s="109"/>
      <c r="G205" s="105"/>
      <c r="H205" s="106" t="str">
        <f t="shared" si="21"/>
        <v/>
      </c>
    </row>
    <row r="206" spans="1:8" x14ac:dyDescent="0.25">
      <c r="A206" s="113">
        <f t="shared" si="19"/>
        <v>1.0459999999999949</v>
      </c>
      <c r="B206" s="100" t="str">
        <f t="shared" si="20"/>
        <v/>
      </c>
      <c r="C206" s="107"/>
      <c r="D206" s="108"/>
      <c r="E206" s="107"/>
      <c r="F206" s="109"/>
      <c r="G206" s="105"/>
      <c r="H206" s="106" t="str">
        <f t="shared" si="21"/>
        <v/>
      </c>
    </row>
    <row r="207" spans="1:8" x14ac:dyDescent="0.25">
      <c r="A207" s="113">
        <f t="shared" si="19"/>
        <v>1.0459999999999949</v>
      </c>
      <c r="B207" s="100" t="str">
        <f t="shared" si="20"/>
        <v/>
      </c>
      <c r="C207" s="107"/>
      <c r="D207" s="108"/>
      <c r="E207" s="107"/>
      <c r="F207" s="109"/>
      <c r="G207" s="105"/>
      <c r="H207" s="106" t="str">
        <f t="shared" si="21"/>
        <v/>
      </c>
    </row>
    <row r="208" spans="1:8" x14ac:dyDescent="0.25">
      <c r="A208" s="113">
        <f t="shared" si="19"/>
        <v>1.0459999999999949</v>
      </c>
      <c r="B208" s="100" t="str">
        <f t="shared" si="20"/>
        <v/>
      </c>
      <c r="C208" s="107"/>
      <c r="D208" s="108"/>
      <c r="E208" s="107"/>
      <c r="F208" s="109"/>
      <c r="G208" s="105"/>
      <c r="H208" s="106" t="str">
        <f t="shared" si="21"/>
        <v/>
      </c>
    </row>
    <row r="209" spans="1:8" x14ac:dyDescent="0.25">
      <c r="A209" s="113">
        <f t="shared" si="19"/>
        <v>1.0459999999999949</v>
      </c>
      <c r="B209" s="100" t="str">
        <f t="shared" si="20"/>
        <v/>
      </c>
      <c r="C209" s="107"/>
      <c r="D209" s="108"/>
      <c r="E209" s="107"/>
      <c r="F209" s="109"/>
      <c r="G209" s="105"/>
      <c r="H209" s="106" t="str">
        <f t="shared" si="21"/>
        <v/>
      </c>
    </row>
    <row r="210" spans="1:8" x14ac:dyDescent="0.25">
      <c r="A210" s="113">
        <f t="shared" si="19"/>
        <v>1.0459999999999949</v>
      </c>
      <c r="B210" s="100" t="str">
        <f t="shared" si="20"/>
        <v/>
      </c>
      <c r="C210" s="107"/>
      <c r="D210" s="161"/>
      <c r="E210" s="107"/>
      <c r="F210" s="109"/>
      <c r="G210" s="105"/>
      <c r="H210" s="106" t="str">
        <f t="shared" si="21"/>
        <v/>
      </c>
    </row>
    <row r="211" spans="1:8" x14ac:dyDescent="0.25">
      <c r="A211" s="113">
        <f t="shared" si="19"/>
        <v>1.0459999999999949</v>
      </c>
      <c r="B211" s="100" t="str">
        <f t="shared" si="20"/>
        <v/>
      </c>
      <c r="C211" s="107"/>
      <c r="D211" s="161"/>
      <c r="E211" s="107"/>
      <c r="F211" s="109"/>
      <c r="G211" s="105"/>
      <c r="H211" s="106" t="str">
        <f t="shared" si="21"/>
        <v/>
      </c>
    </row>
    <row r="212" spans="1:8" x14ac:dyDescent="0.25">
      <c r="A212" s="113">
        <f t="shared" si="19"/>
        <v>1.0459999999999949</v>
      </c>
      <c r="B212" s="100" t="str">
        <f t="shared" si="20"/>
        <v/>
      </c>
      <c r="C212" s="107"/>
      <c r="D212" s="161"/>
      <c r="E212" s="107"/>
      <c r="F212" s="109"/>
      <c r="G212" s="105"/>
      <c r="H212" s="106" t="str">
        <f t="shared" si="21"/>
        <v/>
      </c>
    </row>
    <row r="213" spans="1:8" x14ac:dyDescent="0.25">
      <c r="A213" s="113">
        <f t="shared" si="19"/>
        <v>1.0459999999999949</v>
      </c>
      <c r="B213" s="100" t="str">
        <f t="shared" si="20"/>
        <v/>
      </c>
      <c r="C213" s="107"/>
      <c r="D213" s="161"/>
      <c r="E213" s="107"/>
      <c r="F213" s="109"/>
      <c r="G213" s="105"/>
      <c r="H213" s="106" t="str">
        <f t="shared" si="21"/>
        <v/>
      </c>
    </row>
    <row r="214" spans="1:8" ht="15.75" thickBot="1" x14ac:dyDescent="0.3">
      <c r="A214" s="113">
        <f t="shared" si="19"/>
        <v>1.0459999999999949</v>
      </c>
      <c r="B214" s="100" t="str">
        <f t="shared" si="20"/>
        <v/>
      </c>
      <c r="C214" s="107"/>
      <c r="D214" s="161"/>
      <c r="E214" s="107"/>
      <c r="F214" s="109"/>
      <c r="G214" s="105"/>
      <c r="H214" s="106" t="str">
        <f t="shared" si="21"/>
        <v/>
      </c>
    </row>
    <row r="215" spans="1:8" ht="15.75" thickBot="1" x14ac:dyDescent="0.3">
      <c r="A215" s="113">
        <f t="shared" si="19"/>
        <v>1.0459999999999949</v>
      </c>
      <c r="B215" s="173" t="s">
        <v>240</v>
      </c>
      <c r="C215" s="174"/>
      <c r="D215" s="174"/>
      <c r="E215" s="174"/>
      <c r="F215" s="174"/>
      <c r="G215" s="175"/>
      <c r="H215" s="117">
        <f>SUM(H186:H214)</f>
        <v>0</v>
      </c>
    </row>
    <row r="216" spans="1:8" ht="24.75" thickBot="1" x14ac:dyDescent="0.3">
      <c r="A216" s="113">
        <f t="shared" si="19"/>
        <v>1.0469999999999948</v>
      </c>
      <c r="B216" s="114" t="s">
        <v>36</v>
      </c>
      <c r="C216" s="97" t="s">
        <v>94</v>
      </c>
      <c r="D216" s="115" t="s">
        <v>38</v>
      </c>
      <c r="E216" s="115" t="s">
        <v>37</v>
      </c>
      <c r="F216" s="115" t="s">
        <v>81</v>
      </c>
      <c r="G216" s="116" t="s">
        <v>86</v>
      </c>
      <c r="H216" s="99" t="s">
        <v>95</v>
      </c>
    </row>
    <row r="217" spans="1:8" ht="15.75" thickBot="1" x14ac:dyDescent="0.3">
      <c r="A217" s="113">
        <f t="shared" si="19"/>
        <v>1.0469999999999948</v>
      </c>
      <c r="B217" s="173" t="s">
        <v>241</v>
      </c>
      <c r="C217" s="174"/>
      <c r="D217" s="174"/>
      <c r="E217" s="174"/>
      <c r="F217" s="174"/>
      <c r="G217" s="175"/>
      <c r="H217" s="117">
        <f>H215</f>
        <v>0</v>
      </c>
    </row>
    <row r="218" spans="1:8" ht="16.5" customHeight="1" x14ac:dyDescent="0.25">
      <c r="A218" s="113">
        <f t="shared" si="19"/>
        <v>1.0469999999999948</v>
      </c>
      <c r="B218" s="100" t="str">
        <f t="shared" si="20"/>
        <v/>
      </c>
      <c r="C218" s="107"/>
      <c r="D218" s="108"/>
      <c r="E218" s="107"/>
      <c r="F218" s="109"/>
      <c r="G218" s="105"/>
      <c r="H218" s="106" t="str">
        <f t="shared" si="21"/>
        <v/>
      </c>
    </row>
    <row r="219" spans="1:8" ht="16.5" customHeight="1" x14ac:dyDescent="0.25">
      <c r="A219" s="113">
        <f t="shared" si="19"/>
        <v>1.0469999999999948</v>
      </c>
      <c r="B219" s="100" t="str">
        <f t="shared" si="20"/>
        <v/>
      </c>
      <c r="C219" s="107"/>
      <c r="D219" s="108"/>
      <c r="E219" s="107"/>
      <c r="F219" s="109"/>
      <c r="G219" s="105"/>
      <c r="H219" s="106" t="str">
        <f t="shared" si="21"/>
        <v/>
      </c>
    </row>
    <row r="220" spans="1:8" ht="16.5" customHeight="1" thickBot="1" x14ac:dyDescent="0.3">
      <c r="A220" s="113">
        <f t="shared" si="19"/>
        <v>1.0469999999999948</v>
      </c>
      <c r="B220" s="100" t="str">
        <f t="shared" si="20"/>
        <v/>
      </c>
      <c r="C220" s="107"/>
      <c r="D220" s="108"/>
      <c r="E220" s="107"/>
      <c r="F220" s="109"/>
      <c r="G220" s="105"/>
      <c r="H220" s="106" t="str">
        <f t="shared" si="21"/>
        <v/>
      </c>
    </row>
    <row r="221" spans="1:8" ht="15.75" thickBot="1" x14ac:dyDescent="0.3">
      <c r="A221" s="113"/>
      <c r="B221" s="173"/>
      <c r="C221" s="174"/>
      <c r="D221" s="174"/>
      <c r="E221" s="174"/>
      <c r="F221" s="174"/>
      <c r="G221" s="175"/>
      <c r="H221" s="117"/>
    </row>
    <row r="222" spans="1:8" ht="15.75" thickBot="1" x14ac:dyDescent="0.3">
      <c r="A222" s="113"/>
      <c r="B222" s="114"/>
      <c r="C222" s="97"/>
      <c r="D222" s="115"/>
      <c r="E222" s="115"/>
      <c r="F222" s="115"/>
      <c r="G222" s="116"/>
      <c r="H222" s="99"/>
    </row>
    <row r="223" spans="1:8" ht="15.75" thickBot="1" x14ac:dyDescent="0.3">
      <c r="A223" s="113"/>
      <c r="B223" s="173"/>
      <c r="C223" s="174"/>
      <c r="D223" s="174"/>
      <c r="E223" s="174"/>
      <c r="F223" s="174"/>
      <c r="G223" s="175"/>
      <c r="H223" s="117"/>
    </row>
    <row r="224" spans="1:8" x14ac:dyDescent="0.25">
      <c r="A224" s="113"/>
      <c r="B224" s="100"/>
      <c r="C224" s="107"/>
      <c r="D224" s="108"/>
      <c r="E224" s="107"/>
      <c r="F224" s="109"/>
      <c r="G224" s="105"/>
      <c r="H224" s="106"/>
    </row>
    <row r="225" spans="1:8" x14ac:dyDescent="0.25">
      <c r="A225" s="113">
        <f>+IF(F225&gt;0.01,A218+0.001,A218)</f>
        <v>1.0469999999999948</v>
      </c>
      <c r="B225" s="100" t="str">
        <f t="shared" ref="B225:B226" si="22">+IF(F225&gt;0,A225,"")</f>
        <v/>
      </c>
      <c r="C225" s="107"/>
      <c r="D225" s="108"/>
      <c r="E225" s="107"/>
      <c r="F225" s="109"/>
      <c r="G225" s="105"/>
      <c r="H225" s="106" t="str">
        <f t="shared" ref="H225:H226" si="23">IF(F225="","",G225*F225)</f>
        <v/>
      </c>
    </row>
    <row r="226" spans="1:8" x14ac:dyDescent="0.25">
      <c r="A226" s="113">
        <f t="shared" ref="A226:A248" si="24">+IF(F226&gt;0.01,A225+0.001,A225)</f>
        <v>1.0469999999999948</v>
      </c>
      <c r="B226" s="100" t="str">
        <f t="shared" si="22"/>
        <v/>
      </c>
      <c r="C226" s="107"/>
      <c r="D226" s="108"/>
      <c r="E226" s="107"/>
      <c r="F226" s="109"/>
      <c r="G226" s="105"/>
      <c r="H226" s="106" t="str">
        <f t="shared" si="23"/>
        <v/>
      </c>
    </row>
    <row r="227" spans="1:8" x14ac:dyDescent="0.25">
      <c r="A227" s="113">
        <f t="shared" si="24"/>
        <v>1.0469999999999948</v>
      </c>
      <c r="B227" s="100"/>
      <c r="C227" s="107"/>
      <c r="D227" s="108"/>
      <c r="E227" s="107"/>
      <c r="F227" s="109"/>
      <c r="G227" s="105"/>
      <c r="H227" s="106"/>
    </row>
    <row r="228" spans="1:8" x14ac:dyDescent="0.25">
      <c r="A228" s="113">
        <f t="shared" si="24"/>
        <v>1.0469999999999948</v>
      </c>
      <c r="B228" s="100"/>
      <c r="C228" s="107"/>
      <c r="D228" s="108"/>
      <c r="E228" s="107"/>
      <c r="F228" s="109"/>
      <c r="G228" s="105"/>
      <c r="H228" s="106"/>
    </row>
    <row r="229" spans="1:8" x14ac:dyDescent="0.25">
      <c r="A229" s="113">
        <f t="shared" si="24"/>
        <v>1.0469999999999948</v>
      </c>
      <c r="B229" s="100"/>
      <c r="C229" s="107"/>
      <c r="D229" s="161"/>
      <c r="E229" s="107"/>
      <c r="F229" s="109"/>
      <c r="G229" s="105"/>
      <c r="H229" s="106"/>
    </row>
    <row r="230" spans="1:8" x14ac:dyDescent="0.25">
      <c r="A230" s="113">
        <f t="shared" si="24"/>
        <v>1.0469999999999948</v>
      </c>
      <c r="B230" s="100"/>
      <c r="C230" s="107"/>
      <c r="D230" s="161"/>
      <c r="E230" s="107"/>
      <c r="F230" s="109"/>
      <c r="G230" s="105"/>
      <c r="H230" s="106"/>
    </row>
    <row r="231" spans="1:8" x14ac:dyDescent="0.25">
      <c r="A231" s="113">
        <f t="shared" si="24"/>
        <v>1.0469999999999948</v>
      </c>
      <c r="B231" s="100"/>
      <c r="C231" s="107"/>
      <c r="D231" s="108"/>
      <c r="E231" s="107"/>
      <c r="F231" s="109"/>
      <c r="G231" s="105"/>
      <c r="H231" s="106"/>
    </row>
    <row r="232" spans="1:8" x14ac:dyDescent="0.25">
      <c r="A232" s="113">
        <f t="shared" si="24"/>
        <v>1.0469999999999948</v>
      </c>
      <c r="B232" s="100"/>
      <c r="C232" s="107"/>
      <c r="D232" s="108"/>
      <c r="E232" s="107"/>
      <c r="F232" s="109"/>
      <c r="G232" s="105"/>
      <c r="H232" s="106"/>
    </row>
    <row r="233" spans="1:8" x14ac:dyDescent="0.25">
      <c r="A233" s="113">
        <f t="shared" si="24"/>
        <v>1.0469999999999948</v>
      </c>
      <c r="B233" s="100"/>
      <c r="C233" s="107"/>
      <c r="D233" s="108"/>
      <c r="E233" s="107"/>
      <c r="F233" s="109"/>
      <c r="G233" s="105"/>
      <c r="H233" s="106"/>
    </row>
    <row r="234" spans="1:8" x14ac:dyDescent="0.25">
      <c r="A234" s="113">
        <f t="shared" si="24"/>
        <v>1.0469999999999948</v>
      </c>
      <c r="B234" s="100"/>
      <c r="C234" s="107"/>
      <c r="D234" s="108"/>
      <c r="E234" s="107"/>
      <c r="F234" s="109"/>
      <c r="G234" s="105"/>
      <c r="H234" s="106"/>
    </row>
    <row r="235" spans="1:8" x14ac:dyDescent="0.25">
      <c r="A235" s="113">
        <f t="shared" si="24"/>
        <v>1.0469999999999948</v>
      </c>
      <c r="B235" s="100"/>
      <c r="C235" s="107"/>
      <c r="D235" s="108"/>
      <c r="E235" s="107"/>
      <c r="F235" s="109"/>
      <c r="G235" s="105"/>
      <c r="H235" s="106"/>
    </row>
    <row r="236" spans="1:8" x14ac:dyDescent="0.25">
      <c r="A236" s="113">
        <f t="shared" si="24"/>
        <v>1.0469999999999948</v>
      </c>
      <c r="B236" s="100"/>
      <c r="C236" s="107"/>
      <c r="D236" s="108"/>
      <c r="E236" s="107"/>
      <c r="F236" s="109"/>
      <c r="G236" s="105"/>
      <c r="H236" s="106"/>
    </row>
    <row r="237" spans="1:8" x14ac:dyDescent="0.25">
      <c r="A237" s="113">
        <f t="shared" si="24"/>
        <v>1.0469999999999948</v>
      </c>
      <c r="B237" s="100"/>
      <c r="C237" s="107"/>
      <c r="D237" s="108"/>
      <c r="E237" s="107"/>
      <c r="F237" s="109"/>
      <c r="G237" s="105"/>
      <c r="H237" s="106"/>
    </row>
    <row r="238" spans="1:8" x14ac:dyDescent="0.25">
      <c r="A238" s="113">
        <f t="shared" si="24"/>
        <v>1.0469999999999948</v>
      </c>
      <c r="B238" s="100"/>
      <c r="C238" s="107"/>
      <c r="D238" s="161"/>
      <c r="E238" s="107"/>
      <c r="F238" s="109"/>
      <c r="G238" s="105"/>
      <c r="H238" s="106"/>
    </row>
    <row r="239" spans="1:8" x14ac:dyDescent="0.25">
      <c r="A239" s="113">
        <f t="shared" si="24"/>
        <v>1.0469999999999948</v>
      </c>
      <c r="B239" s="100"/>
      <c r="C239" s="107"/>
      <c r="D239" s="161"/>
      <c r="E239" s="107"/>
      <c r="F239" s="109"/>
      <c r="G239" s="105"/>
      <c r="H239" s="106"/>
    </row>
    <row r="240" spans="1:8" x14ac:dyDescent="0.25">
      <c r="A240" s="113">
        <f t="shared" si="24"/>
        <v>1.0469999999999948</v>
      </c>
      <c r="B240" s="100"/>
      <c r="C240" s="107"/>
      <c r="D240" s="161"/>
      <c r="E240" s="107"/>
      <c r="F240" s="109"/>
      <c r="G240" s="105"/>
      <c r="H240" s="106"/>
    </row>
    <row r="241" spans="1:8" x14ac:dyDescent="0.25">
      <c r="A241" s="113">
        <f t="shared" si="24"/>
        <v>1.0469999999999948</v>
      </c>
      <c r="B241" s="100"/>
      <c r="C241" s="107"/>
      <c r="D241" s="161"/>
      <c r="E241" s="107"/>
      <c r="F241" s="109"/>
      <c r="G241" s="105"/>
      <c r="H241" s="106"/>
    </row>
    <row r="242" spans="1:8" x14ac:dyDescent="0.25">
      <c r="A242" s="113">
        <f t="shared" si="24"/>
        <v>1.0469999999999948</v>
      </c>
      <c r="B242" s="100"/>
      <c r="C242" s="107"/>
      <c r="D242" s="161"/>
      <c r="E242" s="107"/>
      <c r="F242" s="109"/>
      <c r="G242" s="105"/>
      <c r="H242" s="106"/>
    </row>
    <row r="243" spans="1:8" x14ac:dyDescent="0.25">
      <c r="A243" s="113">
        <f t="shared" si="24"/>
        <v>1.0469999999999948</v>
      </c>
      <c r="B243" s="100"/>
      <c r="C243" s="107"/>
      <c r="D243" s="161"/>
      <c r="E243" s="107"/>
      <c r="F243" s="109"/>
      <c r="G243" s="105"/>
      <c r="H243" s="106"/>
    </row>
    <row r="244" spans="1:8" x14ac:dyDescent="0.25">
      <c r="A244" s="113">
        <f t="shared" si="24"/>
        <v>1.0469999999999948</v>
      </c>
      <c r="B244" s="100"/>
      <c r="C244" s="107"/>
      <c r="D244" s="108"/>
      <c r="E244" s="107"/>
      <c r="F244" s="109"/>
      <c r="G244" s="105"/>
      <c r="H244" s="106"/>
    </row>
    <row r="245" spans="1:8" x14ac:dyDescent="0.25">
      <c r="A245" s="113">
        <f t="shared" si="24"/>
        <v>1.0469999999999948</v>
      </c>
      <c r="B245" s="100"/>
      <c r="C245" s="107"/>
      <c r="D245" s="108"/>
      <c r="E245" s="107"/>
      <c r="F245" s="109"/>
      <c r="G245" s="105"/>
      <c r="H245" s="106"/>
    </row>
    <row r="246" spans="1:8" x14ac:dyDescent="0.25">
      <c r="A246" s="113">
        <f t="shared" si="24"/>
        <v>1.0469999999999948</v>
      </c>
      <c r="B246" s="100"/>
      <c r="C246" s="107"/>
      <c r="D246" s="108"/>
      <c r="E246" s="107"/>
      <c r="F246" s="109"/>
      <c r="G246" s="105"/>
      <c r="H246" s="106"/>
    </row>
    <row r="247" spans="1:8" x14ac:dyDescent="0.25">
      <c r="A247" s="113">
        <f t="shared" si="24"/>
        <v>1.0469999999999948</v>
      </c>
      <c r="B247" s="100"/>
      <c r="C247" s="107"/>
      <c r="D247" s="108"/>
      <c r="E247" s="107"/>
      <c r="F247" s="109"/>
      <c r="G247" s="105"/>
      <c r="H247" s="106"/>
    </row>
    <row r="248" spans="1:8" x14ac:dyDescent="0.25">
      <c r="A248" s="113">
        <f t="shared" si="24"/>
        <v>1.0469999999999948</v>
      </c>
      <c r="B248" s="100"/>
      <c r="C248" s="107"/>
      <c r="D248" s="108"/>
      <c r="E248" s="107"/>
      <c r="F248" s="109"/>
      <c r="G248" s="105"/>
      <c r="H248" s="106"/>
    </row>
    <row r="249" spans="1:8" x14ac:dyDescent="0.25">
      <c r="A249" s="113"/>
      <c r="B249" s="100"/>
      <c r="C249" s="107"/>
      <c r="D249" s="108"/>
      <c r="E249" s="107"/>
      <c r="F249" s="109"/>
      <c r="G249" s="105"/>
      <c r="H249" s="106"/>
    </row>
    <row r="250" spans="1:8" x14ac:dyDescent="0.25">
      <c r="A250" s="113"/>
      <c r="B250" s="100"/>
      <c r="C250" s="107"/>
      <c r="D250" s="108"/>
      <c r="E250" s="107"/>
      <c r="F250" s="109"/>
      <c r="G250" s="105"/>
      <c r="H250" s="106"/>
    </row>
    <row r="251" spans="1:8" x14ac:dyDescent="0.25">
      <c r="A251" s="113"/>
      <c r="B251" s="100"/>
      <c r="C251" s="107"/>
      <c r="D251" s="108"/>
      <c r="E251" s="107"/>
      <c r="F251" s="109"/>
      <c r="G251" s="105"/>
      <c r="H251" s="106"/>
    </row>
    <row r="252" spans="1:8" ht="15.75" thickBot="1" x14ac:dyDescent="0.3">
      <c r="A252" s="113">
        <f>+IF(F252&gt;0.01,A248+0.001,A248)</f>
        <v>1.0469999999999948</v>
      </c>
      <c r="B252" s="100"/>
      <c r="C252" s="107"/>
      <c r="D252" s="108"/>
      <c r="E252" s="107"/>
      <c r="F252" s="109"/>
      <c r="G252" s="105"/>
      <c r="H252" s="106"/>
    </row>
    <row r="253" spans="1:8" ht="15.75" thickBot="1" x14ac:dyDescent="0.3">
      <c r="A253" s="113"/>
      <c r="B253" s="173"/>
      <c r="C253" s="174"/>
      <c r="D253" s="174"/>
      <c r="E253" s="174"/>
      <c r="F253" s="174"/>
      <c r="G253" s="175"/>
      <c r="H253" s="117"/>
    </row>
    <row r="254" spans="1:8" ht="15.75" thickBot="1" x14ac:dyDescent="0.3">
      <c r="A254" s="113"/>
      <c r="B254" s="114"/>
      <c r="C254" s="97"/>
      <c r="D254" s="115"/>
      <c r="E254" s="115"/>
      <c r="F254" s="115"/>
      <c r="G254" s="116"/>
      <c r="H254" s="99"/>
    </row>
    <row r="255" spans="1:8" ht="15.75" thickBot="1" x14ac:dyDescent="0.3">
      <c r="A255" s="113"/>
      <c r="B255" s="173"/>
      <c r="C255" s="174"/>
      <c r="D255" s="174"/>
      <c r="E255" s="174"/>
      <c r="F255" s="174"/>
      <c r="G255" s="175"/>
      <c r="H255" s="117"/>
    </row>
    <row r="256" spans="1:8" x14ac:dyDescent="0.25">
      <c r="A256" s="113"/>
      <c r="B256" s="100"/>
      <c r="C256" s="107"/>
      <c r="D256" s="108"/>
      <c r="E256" s="107"/>
      <c r="F256" s="109"/>
      <c r="G256" s="105"/>
      <c r="H256" s="106"/>
    </row>
    <row r="257" spans="1:8" x14ac:dyDescent="0.25">
      <c r="A257" s="113">
        <f>+IF(F257&gt;0.01,A252+0.001,A252)</f>
        <v>1.0469999999999948</v>
      </c>
      <c r="B257" s="100"/>
      <c r="C257" s="107"/>
      <c r="D257" s="108"/>
      <c r="E257" s="107"/>
      <c r="F257" s="109"/>
      <c r="G257" s="105"/>
      <c r="H257" s="106"/>
    </row>
    <row r="258" spans="1:8" x14ac:dyDescent="0.25">
      <c r="A258" s="113">
        <f t="shared" ref="A258:A281" si="25">+IF(F258&gt;0.01,A257+0.001,A257)</f>
        <v>1.0469999999999948</v>
      </c>
      <c r="B258" s="100"/>
      <c r="C258" s="107"/>
      <c r="D258" s="108"/>
      <c r="E258" s="107"/>
      <c r="F258" s="109"/>
      <c r="G258" s="105"/>
      <c r="H258" s="106"/>
    </row>
    <row r="259" spans="1:8" x14ac:dyDescent="0.25">
      <c r="A259" s="113">
        <f t="shared" si="25"/>
        <v>1.0469999999999948</v>
      </c>
      <c r="B259" s="100"/>
      <c r="C259" s="107"/>
      <c r="D259" s="108"/>
      <c r="E259" s="107"/>
      <c r="F259" s="109"/>
      <c r="G259" s="105"/>
      <c r="H259" s="106"/>
    </row>
    <row r="260" spans="1:8" x14ac:dyDescent="0.25">
      <c r="A260" s="113">
        <f t="shared" si="25"/>
        <v>1.0469999999999948</v>
      </c>
      <c r="B260" s="100"/>
      <c r="C260" s="107"/>
      <c r="D260" s="108"/>
      <c r="E260" s="107"/>
      <c r="F260" s="109"/>
      <c r="G260" s="105"/>
      <c r="H260" s="106"/>
    </row>
    <row r="261" spans="1:8" x14ac:dyDescent="0.25">
      <c r="A261" s="113">
        <f t="shared" si="25"/>
        <v>1.0469999999999948</v>
      </c>
      <c r="B261" s="100"/>
      <c r="C261" s="107"/>
      <c r="D261" s="161"/>
      <c r="E261" s="107"/>
      <c r="F261" s="109"/>
      <c r="G261" s="105"/>
      <c r="H261" s="106"/>
    </row>
    <row r="262" spans="1:8" x14ac:dyDescent="0.25">
      <c r="A262" s="113">
        <f t="shared" si="25"/>
        <v>1.0469999999999948</v>
      </c>
      <c r="B262" s="100"/>
      <c r="C262" s="107"/>
      <c r="D262" s="161"/>
      <c r="E262" s="107"/>
      <c r="F262" s="109"/>
      <c r="G262" s="105"/>
      <c r="H262" s="106"/>
    </row>
    <row r="263" spans="1:8" x14ac:dyDescent="0.25">
      <c r="A263" s="113">
        <f t="shared" si="25"/>
        <v>1.0469999999999948</v>
      </c>
      <c r="B263" s="100"/>
      <c r="C263" s="107"/>
      <c r="D263" s="161"/>
      <c r="E263" s="107"/>
      <c r="F263" s="109"/>
      <c r="G263" s="105"/>
      <c r="H263" s="106"/>
    </row>
    <row r="264" spans="1:8" x14ac:dyDescent="0.25">
      <c r="A264" s="113">
        <f t="shared" si="25"/>
        <v>1.0469999999999948</v>
      </c>
      <c r="B264" s="100"/>
      <c r="C264" s="107"/>
      <c r="D264" s="108"/>
      <c r="E264" s="107"/>
      <c r="F264" s="109"/>
      <c r="G264" s="105"/>
      <c r="H264" s="106"/>
    </row>
    <row r="265" spans="1:8" x14ac:dyDescent="0.25">
      <c r="A265" s="113">
        <f t="shared" si="25"/>
        <v>1.0469999999999948</v>
      </c>
      <c r="B265" s="100"/>
      <c r="C265" s="107"/>
      <c r="D265" s="112"/>
      <c r="E265" s="107"/>
      <c r="F265" s="109"/>
      <c r="G265" s="105"/>
      <c r="H265" s="106"/>
    </row>
    <row r="266" spans="1:8" ht="43.5" customHeight="1" x14ac:dyDescent="0.25">
      <c r="A266" s="113">
        <f t="shared" si="25"/>
        <v>1.0469999999999948</v>
      </c>
      <c r="B266" s="100"/>
      <c r="C266" s="107"/>
      <c r="D266" s="108"/>
      <c r="E266" s="107"/>
      <c r="F266" s="109"/>
      <c r="G266" s="105"/>
      <c r="H266" s="106"/>
    </row>
    <row r="267" spans="1:8" x14ac:dyDescent="0.25">
      <c r="A267" s="113">
        <f t="shared" si="25"/>
        <v>1.0469999999999948</v>
      </c>
      <c r="B267" s="100"/>
      <c r="C267" s="107"/>
      <c r="D267" s="108"/>
      <c r="E267" s="107"/>
      <c r="F267" s="109"/>
      <c r="G267" s="105"/>
      <c r="H267" s="106"/>
    </row>
    <row r="268" spans="1:8" x14ac:dyDescent="0.25">
      <c r="A268" s="113">
        <f t="shared" si="25"/>
        <v>1.0469999999999948</v>
      </c>
      <c r="B268" s="100"/>
      <c r="C268" s="107"/>
      <c r="D268" s="108"/>
      <c r="E268" s="107"/>
      <c r="F268" s="109"/>
      <c r="G268" s="105"/>
      <c r="H268" s="106"/>
    </row>
    <row r="269" spans="1:8" x14ac:dyDescent="0.25">
      <c r="A269" s="113">
        <f t="shared" si="25"/>
        <v>1.0469999999999948</v>
      </c>
      <c r="B269" s="100"/>
      <c r="C269" s="107"/>
      <c r="D269" s="108"/>
      <c r="E269" s="107"/>
      <c r="F269" s="109"/>
      <c r="G269" s="105"/>
      <c r="H269" s="106"/>
    </row>
    <row r="270" spans="1:8" ht="40.5" customHeight="1" x14ac:dyDescent="0.25">
      <c r="A270" s="113">
        <f t="shared" si="25"/>
        <v>1.0469999999999948</v>
      </c>
      <c r="B270" s="100"/>
      <c r="C270" s="107"/>
      <c r="D270" s="153"/>
      <c r="E270" s="107"/>
      <c r="F270" s="109"/>
      <c r="G270" s="105"/>
      <c r="H270" s="106"/>
    </row>
    <row r="271" spans="1:8" ht="16.5" customHeight="1" x14ac:dyDescent="0.25">
      <c r="A271" s="113">
        <f t="shared" si="25"/>
        <v>1.0469999999999948</v>
      </c>
      <c r="B271" s="100"/>
      <c r="C271" s="107"/>
      <c r="D271" s="108"/>
      <c r="E271" s="107"/>
      <c r="F271" s="109"/>
      <c r="G271" s="105"/>
      <c r="H271" s="106"/>
    </row>
    <row r="272" spans="1:8" ht="39.75" customHeight="1" x14ac:dyDescent="0.25">
      <c r="A272" s="113">
        <f t="shared" si="25"/>
        <v>1.0469999999999948</v>
      </c>
      <c r="B272" s="100"/>
      <c r="C272" s="107"/>
      <c r="D272" s="108"/>
      <c r="E272" s="107"/>
      <c r="F272" s="109"/>
      <c r="G272" s="105"/>
      <c r="H272" s="106"/>
    </row>
    <row r="273" spans="1:8" ht="41.25" customHeight="1" x14ac:dyDescent="0.25">
      <c r="A273" s="113">
        <f t="shared" si="25"/>
        <v>1.0469999999999948</v>
      </c>
      <c r="B273" s="100"/>
      <c r="C273" s="107"/>
      <c r="D273" s="153"/>
      <c r="E273" s="107"/>
      <c r="F273" s="109"/>
      <c r="G273" s="105"/>
      <c r="H273" s="106"/>
    </row>
    <row r="274" spans="1:8" x14ac:dyDescent="0.25">
      <c r="A274" s="113">
        <f t="shared" si="25"/>
        <v>1.0469999999999948</v>
      </c>
      <c r="B274" s="100"/>
      <c r="C274" s="107"/>
      <c r="D274" s="108"/>
      <c r="E274" s="107"/>
      <c r="F274" s="109"/>
      <c r="G274" s="105"/>
      <c r="H274" s="106"/>
    </row>
    <row r="275" spans="1:8" x14ac:dyDescent="0.25">
      <c r="A275" s="113">
        <f t="shared" si="25"/>
        <v>1.0469999999999948</v>
      </c>
      <c r="B275" s="100"/>
      <c r="C275" s="107"/>
      <c r="D275" s="108"/>
      <c r="E275" s="107"/>
      <c r="F275" s="109"/>
      <c r="G275" s="105"/>
      <c r="H275" s="106"/>
    </row>
    <row r="276" spans="1:8" ht="42.75" customHeight="1" x14ac:dyDescent="0.25">
      <c r="A276" s="113">
        <f t="shared" si="25"/>
        <v>1.0469999999999948</v>
      </c>
      <c r="B276" s="100"/>
      <c r="C276" s="107"/>
      <c r="D276" s="108"/>
      <c r="E276" s="107"/>
      <c r="F276" s="109"/>
      <c r="G276" s="105"/>
      <c r="H276" s="106"/>
    </row>
    <row r="277" spans="1:8" ht="13.5" customHeight="1" x14ac:dyDescent="0.25">
      <c r="A277" s="113">
        <f t="shared" si="25"/>
        <v>1.0469999999999948</v>
      </c>
      <c r="B277" s="100"/>
      <c r="C277" s="107"/>
      <c r="D277" s="108"/>
      <c r="E277" s="107"/>
      <c r="F277" s="109"/>
      <c r="G277" s="105"/>
      <c r="H277" s="106"/>
    </row>
    <row r="278" spans="1:8" x14ac:dyDescent="0.25">
      <c r="A278" s="113">
        <f t="shared" si="25"/>
        <v>1.0469999999999948</v>
      </c>
      <c r="B278" s="100"/>
      <c r="C278" s="107"/>
      <c r="D278" s="161"/>
      <c r="E278" s="107"/>
      <c r="F278" s="109"/>
      <c r="G278" s="105"/>
      <c r="H278" s="106"/>
    </row>
    <row r="279" spans="1:8" x14ac:dyDescent="0.25">
      <c r="A279" s="113">
        <f t="shared" si="25"/>
        <v>1.0469999999999948</v>
      </c>
      <c r="B279" s="100"/>
      <c r="C279" s="107"/>
      <c r="D279" s="161"/>
      <c r="E279" s="107"/>
      <c r="F279" s="109"/>
      <c r="G279" s="105"/>
      <c r="H279" s="106"/>
    </row>
    <row r="280" spans="1:8" x14ac:dyDescent="0.25">
      <c r="A280" s="113">
        <f t="shared" si="25"/>
        <v>1.0469999999999948</v>
      </c>
      <c r="B280" s="100"/>
      <c r="C280" s="107"/>
      <c r="D280" s="108"/>
      <c r="E280" s="107"/>
      <c r="F280" s="109"/>
      <c r="G280" s="105"/>
      <c r="H280" s="106"/>
    </row>
    <row r="281" spans="1:8" x14ac:dyDescent="0.25">
      <c r="A281" s="113">
        <f t="shared" si="25"/>
        <v>1.0469999999999948</v>
      </c>
      <c r="B281" s="100"/>
      <c r="C281" s="107"/>
      <c r="D281" s="108"/>
      <c r="E281" s="107"/>
      <c r="F281" s="109"/>
      <c r="G281" s="105"/>
      <c r="H281" s="106"/>
    </row>
    <row r="282" spans="1:8" x14ac:dyDescent="0.25">
      <c r="A282" s="113"/>
      <c r="B282" s="100"/>
      <c r="C282" s="107"/>
      <c r="D282" s="108"/>
      <c r="E282" s="107"/>
      <c r="F282" s="109"/>
      <c r="G282" s="105"/>
      <c r="H282" s="106"/>
    </row>
    <row r="283" spans="1:8" x14ac:dyDescent="0.25">
      <c r="A283" s="113">
        <f>+IF(F283&gt;0.01,A281+0.001,A281)</f>
        <v>1.0469999999999948</v>
      </c>
      <c r="B283" s="100"/>
      <c r="C283" s="107"/>
      <c r="D283" s="108"/>
      <c r="E283" s="107"/>
      <c r="F283" s="109"/>
      <c r="G283" s="105"/>
      <c r="H283" s="106"/>
    </row>
    <row r="284" spans="1:8" ht="15.75" thickBot="1" x14ac:dyDescent="0.3">
      <c r="A284" s="113">
        <f>+IF(F284&gt;0.01,A283+0.001,A283)</f>
        <v>1.0469999999999948</v>
      </c>
      <c r="B284" s="100"/>
      <c r="C284" s="107"/>
      <c r="D284" s="108"/>
      <c r="E284" s="107"/>
      <c r="F284" s="109"/>
      <c r="G284" s="105"/>
      <c r="H284" s="106"/>
    </row>
    <row r="285" spans="1:8" ht="15.75" thickBot="1" x14ac:dyDescent="0.3">
      <c r="A285" s="113"/>
      <c r="B285" s="173"/>
      <c r="C285" s="174"/>
      <c r="D285" s="174"/>
      <c r="E285" s="174"/>
      <c r="F285" s="174"/>
      <c r="G285" s="175"/>
      <c r="H285" s="117"/>
    </row>
    <row r="286" spans="1:8" ht="15.75" thickBot="1" x14ac:dyDescent="0.3">
      <c r="A286" s="113"/>
      <c r="B286" s="114"/>
      <c r="C286" s="97"/>
      <c r="D286" s="115"/>
      <c r="E286" s="115"/>
      <c r="F286" s="115"/>
      <c r="G286" s="116"/>
      <c r="H286" s="99"/>
    </row>
    <row r="287" spans="1:8" ht="15.75" thickBot="1" x14ac:dyDescent="0.3">
      <c r="A287" s="113"/>
      <c r="B287" s="173"/>
      <c r="C287" s="174"/>
      <c r="D287" s="174"/>
      <c r="E287" s="174"/>
      <c r="F287" s="174"/>
      <c r="G287" s="175"/>
      <c r="H287" s="117"/>
    </row>
    <row r="288" spans="1:8" x14ac:dyDescent="0.25">
      <c r="A288" s="113"/>
      <c r="B288" s="100"/>
      <c r="C288" s="107"/>
      <c r="D288" s="108"/>
      <c r="E288" s="107"/>
      <c r="F288" s="109"/>
      <c r="G288" s="105"/>
      <c r="H288" s="106"/>
    </row>
    <row r="289" spans="1:8" ht="39" customHeight="1" x14ac:dyDescent="0.25">
      <c r="A289" s="113">
        <f>+IF(F289&gt;0.01,A284+0.001,A284)</f>
        <v>1.0469999999999948</v>
      </c>
      <c r="B289" s="100"/>
      <c r="C289" s="107"/>
      <c r="D289" s="108"/>
      <c r="E289" s="107"/>
      <c r="F289" s="109"/>
      <c r="G289" s="105"/>
      <c r="H289" s="106"/>
    </row>
    <row r="290" spans="1:8" x14ac:dyDescent="0.25">
      <c r="A290" s="113">
        <f t="shared" ref="A290:A313" si="26">+IF(F290&gt;0.01,A289+0.001,A289)</f>
        <v>1.0469999999999948</v>
      </c>
      <c r="B290" s="100"/>
      <c r="C290" s="107"/>
      <c r="D290" s="108"/>
      <c r="E290" s="107"/>
      <c r="F290" s="109"/>
      <c r="G290" s="105"/>
      <c r="H290" s="106"/>
    </row>
    <row r="291" spans="1:8" x14ac:dyDescent="0.25">
      <c r="A291" s="113">
        <f t="shared" si="26"/>
        <v>1.0469999999999948</v>
      </c>
      <c r="B291" s="100"/>
      <c r="C291" s="107"/>
      <c r="D291" s="161"/>
      <c r="E291" s="107"/>
      <c r="F291" s="109"/>
      <c r="G291" s="105"/>
      <c r="H291" s="106"/>
    </row>
    <row r="292" spans="1:8" x14ac:dyDescent="0.25">
      <c r="A292" s="113">
        <f t="shared" si="26"/>
        <v>1.0469999999999948</v>
      </c>
      <c r="B292" s="100"/>
      <c r="C292" s="107"/>
      <c r="D292" s="161"/>
      <c r="E292" s="107"/>
      <c r="F292" s="109"/>
      <c r="G292" s="105"/>
      <c r="H292" s="106"/>
    </row>
    <row r="293" spans="1:8" x14ac:dyDescent="0.25">
      <c r="A293" s="113">
        <f t="shared" si="26"/>
        <v>1.0469999999999948</v>
      </c>
      <c r="B293" s="100"/>
      <c r="C293" s="107"/>
      <c r="D293" s="108"/>
      <c r="E293" s="107"/>
      <c r="F293" s="109"/>
      <c r="G293" s="105"/>
      <c r="H293" s="106"/>
    </row>
    <row r="294" spans="1:8" ht="45" customHeight="1" x14ac:dyDescent="0.25">
      <c r="A294" s="113">
        <f t="shared" si="26"/>
        <v>1.0469999999999948</v>
      </c>
      <c r="B294" s="100"/>
      <c r="C294" s="107"/>
      <c r="D294" s="108"/>
      <c r="E294" s="107"/>
      <c r="F294" s="109"/>
      <c r="G294" s="105"/>
      <c r="H294" s="106"/>
    </row>
    <row r="295" spans="1:8" x14ac:dyDescent="0.25">
      <c r="A295" s="113">
        <f t="shared" si="26"/>
        <v>1.0469999999999948</v>
      </c>
      <c r="B295" s="100"/>
      <c r="C295" s="107"/>
      <c r="D295" s="108"/>
      <c r="E295" s="107"/>
      <c r="F295" s="109"/>
      <c r="G295" s="105"/>
      <c r="H295" s="106"/>
    </row>
    <row r="296" spans="1:8" x14ac:dyDescent="0.25">
      <c r="A296" s="113">
        <f t="shared" si="26"/>
        <v>1.0469999999999948</v>
      </c>
      <c r="B296" s="100"/>
      <c r="C296" s="107"/>
      <c r="D296" s="108"/>
      <c r="E296" s="107"/>
      <c r="F296" s="109"/>
      <c r="G296" s="105"/>
      <c r="H296" s="106"/>
    </row>
    <row r="297" spans="1:8" x14ac:dyDescent="0.25">
      <c r="A297" s="113">
        <f t="shared" si="26"/>
        <v>1.0469999999999948</v>
      </c>
      <c r="B297" s="100"/>
      <c r="C297" s="107"/>
      <c r="D297" s="161"/>
      <c r="E297" s="107"/>
      <c r="F297" s="109"/>
      <c r="G297" s="105"/>
      <c r="H297" s="106"/>
    </row>
    <row r="298" spans="1:8" x14ac:dyDescent="0.25">
      <c r="A298" s="113">
        <f t="shared" si="26"/>
        <v>1.0469999999999948</v>
      </c>
      <c r="B298" s="100"/>
      <c r="C298" s="107"/>
      <c r="D298" s="161"/>
      <c r="E298" s="107"/>
      <c r="F298" s="109"/>
      <c r="G298" s="105"/>
      <c r="H298" s="106"/>
    </row>
    <row r="299" spans="1:8" x14ac:dyDescent="0.25">
      <c r="A299" s="113">
        <f t="shared" si="26"/>
        <v>1.0469999999999948</v>
      </c>
      <c r="B299" s="100"/>
      <c r="C299" s="107"/>
      <c r="D299" s="161"/>
      <c r="E299" s="107"/>
      <c r="F299" s="109"/>
      <c r="G299" s="105"/>
      <c r="H299" s="106"/>
    </row>
    <row r="300" spans="1:8" x14ac:dyDescent="0.25">
      <c r="A300" s="113">
        <f t="shared" si="26"/>
        <v>1.0469999999999948</v>
      </c>
      <c r="B300" s="100"/>
      <c r="C300" s="107"/>
      <c r="D300" s="161"/>
      <c r="E300" s="107"/>
      <c r="F300" s="109"/>
      <c r="G300" s="105"/>
      <c r="H300" s="106"/>
    </row>
    <row r="301" spans="1:8" x14ac:dyDescent="0.25">
      <c r="A301" s="113">
        <f t="shared" si="26"/>
        <v>1.0469999999999948</v>
      </c>
      <c r="B301" s="100"/>
      <c r="C301" s="107"/>
      <c r="D301" s="161"/>
      <c r="E301" s="107"/>
      <c r="F301" s="109"/>
      <c r="G301" s="105"/>
      <c r="H301" s="106"/>
    </row>
    <row r="302" spans="1:8" x14ac:dyDescent="0.25">
      <c r="A302" s="113">
        <f t="shared" si="26"/>
        <v>1.0469999999999948</v>
      </c>
      <c r="B302" s="100"/>
      <c r="C302" s="107"/>
      <c r="D302" s="161"/>
      <c r="E302" s="107"/>
      <c r="F302" s="109"/>
      <c r="G302" s="105"/>
      <c r="H302" s="106"/>
    </row>
    <row r="303" spans="1:8" x14ac:dyDescent="0.25">
      <c r="A303" s="113">
        <f t="shared" si="26"/>
        <v>1.0469999999999948</v>
      </c>
      <c r="B303" s="100"/>
      <c r="C303" s="107"/>
      <c r="D303" s="108"/>
      <c r="E303" s="107"/>
      <c r="F303" s="109"/>
      <c r="G303" s="105"/>
      <c r="H303" s="106"/>
    </row>
    <row r="304" spans="1:8" ht="45" customHeight="1" x14ac:dyDescent="0.25">
      <c r="A304" s="113">
        <f t="shared" si="26"/>
        <v>1.0469999999999948</v>
      </c>
      <c r="B304" s="100"/>
      <c r="C304" s="107"/>
      <c r="D304" s="108"/>
      <c r="E304" s="107"/>
      <c r="F304" s="109"/>
      <c r="G304" s="105"/>
      <c r="H304" s="106"/>
    </row>
    <row r="305" spans="1:8" x14ac:dyDescent="0.25">
      <c r="A305" s="113">
        <f t="shared" si="26"/>
        <v>1.0469999999999948</v>
      </c>
      <c r="B305" s="100"/>
      <c r="C305" s="107"/>
      <c r="D305" s="108"/>
      <c r="E305" s="107"/>
      <c r="F305" s="109"/>
      <c r="G305" s="105"/>
      <c r="H305" s="106"/>
    </row>
    <row r="306" spans="1:8" x14ac:dyDescent="0.25">
      <c r="A306" s="113">
        <f t="shared" si="26"/>
        <v>1.0469999999999948</v>
      </c>
      <c r="B306" s="100"/>
      <c r="C306" s="107"/>
      <c r="D306" s="108"/>
      <c r="E306" s="107"/>
      <c r="F306" s="109"/>
      <c r="G306" s="105"/>
      <c r="H306" s="106"/>
    </row>
    <row r="307" spans="1:8" x14ac:dyDescent="0.25">
      <c r="A307" s="113">
        <f t="shared" si="26"/>
        <v>1.0469999999999948</v>
      </c>
      <c r="B307" s="100"/>
      <c r="C307" s="107"/>
      <c r="D307" s="108"/>
      <c r="E307" s="107"/>
      <c r="F307" s="109"/>
      <c r="G307" s="105"/>
      <c r="H307" s="106"/>
    </row>
    <row r="308" spans="1:8" x14ac:dyDescent="0.25">
      <c r="A308" s="113">
        <f t="shared" si="26"/>
        <v>1.0469999999999948</v>
      </c>
      <c r="B308" s="100"/>
      <c r="C308" s="107"/>
      <c r="D308" s="108"/>
      <c r="E308" s="107"/>
      <c r="F308" s="109"/>
      <c r="G308" s="105"/>
      <c r="H308" s="106"/>
    </row>
    <row r="309" spans="1:8" x14ac:dyDescent="0.25">
      <c r="A309" s="113">
        <f t="shared" si="26"/>
        <v>1.0469999999999948</v>
      </c>
      <c r="B309" s="100"/>
      <c r="C309" s="107"/>
      <c r="D309" s="108"/>
      <c r="E309" s="107"/>
      <c r="F309" s="109"/>
      <c r="G309" s="105"/>
      <c r="H309" s="106"/>
    </row>
    <row r="310" spans="1:8" x14ac:dyDescent="0.25">
      <c r="A310" s="113">
        <f t="shared" si="26"/>
        <v>1.0469999999999948</v>
      </c>
      <c r="B310" s="100"/>
      <c r="C310" s="107"/>
      <c r="D310" s="108"/>
      <c r="E310" s="107"/>
      <c r="F310" s="109"/>
      <c r="G310" s="105"/>
      <c r="H310" s="106"/>
    </row>
    <row r="311" spans="1:8" x14ac:dyDescent="0.25">
      <c r="A311" s="113">
        <f t="shared" si="26"/>
        <v>1.0469999999999948</v>
      </c>
      <c r="B311" s="100"/>
      <c r="C311" s="107"/>
      <c r="D311" s="108"/>
      <c r="E311" s="107"/>
      <c r="F311" s="109"/>
      <c r="G311" s="105"/>
      <c r="H311" s="106"/>
    </row>
    <row r="312" spans="1:8" x14ac:dyDescent="0.25">
      <c r="A312" s="113">
        <f t="shared" si="26"/>
        <v>1.0469999999999948</v>
      </c>
      <c r="B312" s="100"/>
      <c r="C312" s="107"/>
      <c r="D312" s="108"/>
      <c r="E312" s="107"/>
      <c r="F312" s="109"/>
      <c r="G312" s="105"/>
      <c r="H312" s="106"/>
    </row>
    <row r="313" spans="1:8" ht="15.75" thickBot="1" x14ac:dyDescent="0.3">
      <c r="A313" s="113">
        <f t="shared" si="26"/>
        <v>1.0469999999999948</v>
      </c>
      <c r="B313" s="100"/>
      <c r="C313" s="107"/>
      <c r="D313" s="108"/>
      <c r="E313" s="107"/>
      <c r="F313" s="109"/>
      <c r="G313" s="105"/>
      <c r="H313" s="106"/>
    </row>
    <row r="314" spans="1:8" ht="15.75" thickBot="1" x14ac:dyDescent="0.3">
      <c r="A314" s="113"/>
      <c r="B314" s="173"/>
      <c r="C314" s="174"/>
      <c r="D314" s="174"/>
      <c r="E314" s="174"/>
      <c r="F314" s="174"/>
      <c r="G314" s="175"/>
      <c r="H314" s="117"/>
    </row>
    <row r="315" spans="1:8" ht="15.75" thickBot="1" x14ac:dyDescent="0.3">
      <c r="A315" s="113"/>
      <c r="B315" s="114"/>
      <c r="C315" s="97"/>
      <c r="D315" s="115"/>
      <c r="E315" s="115"/>
      <c r="F315" s="115"/>
      <c r="G315" s="116"/>
      <c r="H315" s="99"/>
    </row>
    <row r="316" spans="1:8" ht="15.75" thickBot="1" x14ac:dyDescent="0.3">
      <c r="A316" s="113"/>
      <c r="B316" s="173"/>
      <c r="C316" s="174"/>
      <c r="D316" s="174"/>
      <c r="E316" s="174"/>
      <c r="F316" s="174"/>
      <c r="G316" s="175"/>
      <c r="H316" s="117"/>
    </row>
    <row r="317" spans="1:8" x14ac:dyDescent="0.25">
      <c r="A317" s="113">
        <f>+IF(F317&gt;0.01,A313+0.001,A313)</f>
        <v>1.0469999999999948</v>
      </c>
      <c r="B317" s="100"/>
      <c r="C317" s="107"/>
      <c r="D317" s="108"/>
      <c r="E317" s="107"/>
      <c r="F317" s="109"/>
      <c r="G317" s="105"/>
      <c r="H317" s="106"/>
    </row>
    <row r="318" spans="1:8" ht="45" customHeight="1" x14ac:dyDescent="0.25">
      <c r="A318" s="113">
        <f t="shared" ref="A318:A344" si="27">+IF(F318&gt;0.01,A317+0.001,A317)</f>
        <v>1.0469999999999948</v>
      </c>
      <c r="B318" s="100"/>
      <c r="C318" s="107"/>
      <c r="D318" s="108"/>
      <c r="E318" s="107"/>
      <c r="F318" s="109"/>
      <c r="G318" s="105"/>
      <c r="H318" s="106"/>
    </row>
    <row r="319" spans="1:8" x14ac:dyDescent="0.25">
      <c r="A319" s="113">
        <f t="shared" si="27"/>
        <v>1.0469999999999948</v>
      </c>
      <c r="B319" s="100"/>
      <c r="C319" s="107"/>
      <c r="D319" s="108"/>
      <c r="E319" s="107"/>
      <c r="F319" s="109"/>
      <c r="G319" s="105"/>
      <c r="H319" s="106"/>
    </row>
    <row r="320" spans="1:8" x14ac:dyDescent="0.25">
      <c r="A320" s="113">
        <f t="shared" si="27"/>
        <v>1.0469999999999948</v>
      </c>
      <c r="B320" s="100"/>
      <c r="C320" s="107"/>
      <c r="D320" s="108"/>
      <c r="E320" s="107"/>
      <c r="F320" s="109"/>
      <c r="G320" s="105"/>
      <c r="H320" s="106"/>
    </row>
    <row r="321" spans="1:8" x14ac:dyDescent="0.25">
      <c r="A321" s="113">
        <f t="shared" si="27"/>
        <v>1.0469999999999948</v>
      </c>
      <c r="B321" s="100"/>
      <c r="C321" s="107"/>
      <c r="D321" s="161"/>
      <c r="E321" s="107"/>
      <c r="F321" s="109"/>
      <c r="G321" s="105"/>
      <c r="H321" s="106"/>
    </row>
    <row r="322" spans="1:8" x14ac:dyDescent="0.25">
      <c r="A322" s="113">
        <f t="shared" si="27"/>
        <v>1.0469999999999948</v>
      </c>
      <c r="B322" s="100"/>
      <c r="C322" s="107"/>
      <c r="D322" s="161"/>
      <c r="E322" s="107"/>
      <c r="F322" s="109"/>
      <c r="G322" s="105"/>
      <c r="H322" s="106"/>
    </row>
    <row r="323" spans="1:8" ht="42.75" customHeight="1" x14ac:dyDescent="0.25">
      <c r="A323" s="113">
        <f t="shared" si="27"/>
        <v>1.0469999999999948</v>
      </c>
      <c r="B323" s="100"/>
      <c r="C323" s="107"/>
      <c r="D323" s="161"/>
      <c r="E323" s="107"/>
      <c r="F323" s="109"/>
      <c r="G323" s="105"/>
      <c r="H323" s="106"/>
    </row>
    <row r="324" spans="1:8" x14ac:dyDescent="0.25">
      <c r="A324" s="113">
        <f t="shared" si="27"/>
        <v>1.0469999999999948</v>
      </c>
      <c r="B324" s="100"/>
      <c r="C324" s="107"/>
      <c r="D324" s="108"/>
      <c r="E324" s="107"/>
      <c r="F324" s="109"/>
      <c r="G324" s="105"/>
      <c r="H324" s="106"/>
    </row>
    <row r="325" spans="1:8" x14ac:dyDescent="0.25">
      <c r="A325" s="113">
        <f t="shared" si="27"/>
        <v>1.0469999999999948</v>
      </c>
      <c r="B325" s="100"/>
      <c r="C325" s="107"/>
      <c r="D325" s="108"/>
      <c r="E325" s="107"/>
      <c r="F325" s="109"/>
      <c r="G325" s="105"/>
      <c r="H325" s="106"/>
    </row>
    <row r="326" spans="1:8" x14ac:dyDescent="0.25">
      <c r="A326" s="113">
        <f t="shared" si="27"/>
        <v>1.0469999999999948</v>
      </c>
      <c r="B326" s="100"/>
      <c r="C326" s="107"/>
      <c r="D326" s="108"/>
      <c r="E326" s="107"/>
      <c r="F326" s="109"/>
      <c r="G326" s="105"/>
      <c r="H326" s="106"/>
    </row>
    <row r="327" spans="1:8" ht="44.25" customHeight="1" x14ac:dyDescent="0.25">
      <c r="A327" s="113">
        <f t="shared" si="27"/>
        <v>1.0469999999999948</v>
      </c>
      <c r="B327" s="100"/>
      <c r="C327" s="107"/>
      <c r="D327" s="108"/>
      <c r="E327" s="107"/>
      <c r="F327" s="109"/>
      <c r="G327" s="105"/>
      <c r="H327" s="106"/>
    </row>
    <row r="328" spans="1:8" x14ac:dyDescent="0.25">
      <c r="A328" s="113">
        <f t="shared" si="27"/>
        <v>1.0469999999999948</v>
      </c>
      <c r="B328" s="100"/>
      <c r="C328" s="107"/>
      <c r="D328" s="108"/>
      <c r="E328" s="107"/>
      <c r="F328" s="109"/>
      <c r="G328" s="105"/>
      <c r="H328" s="106"/>
    </row>
    <row r="329" spans="1:8" x14ac:dyDescent="0.25">
      <c r="A329" s="113">
        <f t="shared" si="27"/>
        <v>1.0469999999999948</v>
      </c>
      <c r="B329" s="100"/>
      <c r="C329" s="107"/>
      <c r="D329" s="108"/>
      <c r="E329" s="107"/>
      <c r="F329" s="109"/>
      <c r="G329" s="105"/>
      <c r="H329" s="106"/>
    </row>
    <row r="330" spans="1:8" x14ac:dyDescent="0.25">
      <c r="A330" s="113">
        <f t="shared" si="27"/>
        <v>1.0469999999999948</v>
      </c>
      <c r="B330" s="100"/>
      <c r="C330" s="107"/>
      <c r="D330" s="161"/>
      <c r="E330" s="107"/>
      <c r="F330" s="109"/>
      <c r="G330" s="105"/>
      <c r="H330" s="106"/>
    </row>
    <row r="331" spans="1:8" x14ac:dyDescent="0.25">
      <c r="A331" s="113">
        <f t="shared" si="27"/>
        <v>1.0469999999999948</v>
      </c>
      <c r="B331" s="100"/>
      <c r="C331" s="107"/>
      <c r="D331" s="161"/>
      <c r="E331" s="107"/>
      <c r="F331" s="109"/>
      <c r="G331" s="105"/>
      <c r="H331" s="106"/>
    </row>
    <row r="332" spans="1:8" x14ac:dyDescent="0.25">
      <c r="A332" s="113">
        <f t="shared" si="27"/>
        <v>1.0469999999999948</v>
      </c>
      <c r="B332" s="100"/>
      <c r="C332" s="107"/>
      <c r="D332" s="161"/>
      <c r="E332" s="107"/>
      <c r="F332" s="109"/>
      <c r="G332" s="105"/>
      <c r="H332" s="106"/>
    </row>
    <row r="333" spans="1:8" x14ac:dyDescent="0.25">
      <c r="A333" s="113">
        <f t="shared" si="27"/>
        <v>1.0469999999999948</v>
      </c>
      <c r="B333" s="100"/>
      <c r="C333" s="107"/>
      <c r="D333" s="161"/>
      <c r="E333" s="107"/>
      <c r="F333" s="109"/>
      <c r="G333" s="105"/>
      <c r="H333" s="106"/>
    </row>
    <row r="334" spans="1:8" x14ac:dyDescent="0.25">
      <c r="A334" s="113">
        <f t="shared" si="27"/>
        <v>1.0469999999999948</v>
      </c>
      <c r="B334" s="100"/>
      <c r="C334" s="107"/>
      <c r="D334" s="161"/>
      <c r="E334" s="107"/>
      <c r="F334" s="109"/>
      <c r="G334" s="105"/>
      <c r="H334" s="106"/>
    </row>
    <row r="335" spans="1:8" x14ac:dyDescent="0.25">
      <c r="A335" s="113">
        <f t="shared" si="27"/>
        <v>1.0469999999999948</v>
      </c>
      <c r="B335" s="100"/>
      <c r="C335" s="107"/>
      <c r="D335" s="161"/>
      <c r="E335" s="107"/>
      <c r="F335" s="109"/>
      <c r="G335" s="105"/>
      <c r="H335" s="106"/>
    </row>
    <row r="336" spans="1:8" x14ac:dyDescent="0.25">
      <c r="A336" s="113">
        <f t="shared" si="27"/>
        <v>1.0469999999999948</v>
      </c>
      <c r="B336" s="100"/>
      <c r="C336" s="107"/>
      <c r="D336" s="108"/>
      <c r="E336" s="107"/>
      <c r="F336" s="109"/>
      <c r="G336" s="105"/>
      <c r="H336" s="106"/>
    </row>
    <row r="337" spans="1:8" x14ac:dyDescent="0.25">
      <c r="A337" s="113">
        <f t="shared" si="27"/>
        <v>1.0469999999999948</v>
      </c>
      <c r="B337" s="100"/>
      <c r="C337" s="107"/>
      <c r="D337" s="108"/>
      <c r="E337" s="107"/>
      <c r="F337" s="109"/>
      <c r="G337" s="105"/>
      <c r="H337" s="106"/>
    </row>
    <row r="338" spans="1:8" x14ac:dyDescent="0.25">
      <c r="A338" s="113">
        <f t="shared" si="27"/>
        <v>1.0469999999999948</v>
      </c>
      <c r="B338" s="100"/>
      <c r="C338" s="107"/>
      <c r="D338" s="108"/>
      <c r="E338" s="107"/>
      <c r="F338" s="109"/>
      <c r="G338" s="105"/>
      <c r="H338" s="106"/>
    </row>
    <row r="339" spans="1:8" x14ac:dyDescent="0.25">
      <c r="A339" s="113">
        <f t="shared" si="27"/>
        <v>1.0469999999999948</v>
      </c>
      <c r="B339" s="100"/>
      <c r="C339" s="107"/>
      <c r="D339" s="108"/>
      <c r="E339" s="107"/>
      <c r="F339" s="109"/>
      <c r="G339" s="105"/>
      <c r="H339" s="106"/>
    </row>
    <row r="340" spans="1:8" x14ac:dyDescent="0.25">
      <c r="A340" s="113">
        <f t="shared" si="27"/>
        <v>1.0469999999999948</v>
      </c>
      <c r="B340" s="100"/>
      <c r="C340" s="107"/>
      <c r="D340" s="108"/>
      <c r="E340" s="107"/>
      <c r="F340" s="109"/>
      <c r="G340" s="105"/>
      <c r="H340" s="106"/>
    </row>
    <row r="341" spans="1:8" x14ac:dyDescent="0.25">
      <c r="A341" s="113">
        <f t="shared" si="27"/>
        <v>1.0469999999999948</v>
      </c>
      <c r="B341" s="100"/>
      <c r="C341" s="107"/>
      <c r="D341" s="108"/>
      <c r="E341" s="107"/>
      <c r="F341" s="109"/>
      <c r="G341" s="105"/>
      <c r="H341" s="106"/>
    </row>
    <row r="342" spans="1:8" x14ac:dyDescent="0.25">
      <c r="A342" s="113">
        <f t="shared" si="27"/>
        <v>1.0469999999999948</v>
      </c>
      <c r="B342" s="100"/>
      <c r="C342" s="107"/>
      <c r="D342" s="108"/>
      <c r="E342" s="107"/>
      <c r="F342" s="109"/>
      <c r="G342" s="105"/>
      <c r="H342" s="106"/>
    </row>
    <row r="343" spans="1:8" x14ac:dyDescent="0.25">
      <c r="A343" s="113">
        <f t="shared" si="27"/>
        <v>1.0469999999999948</v>
      </c>
      <c r="B343" s="100"/>
      <c r="C343" s="107"/>
      <c r="D343" s="108"/>
      <c r="E343" s="107"/>
      <c r="F343" s="109"/>
      <c r="G343" s="105"/>
      <c r="H343" s="106"/>
    </row>
    <row r="344" spans="1:8" ht="15.75" thickBot="1" x14ac:dyDescent="0.3">
      <c r="A344" s="113">
        <f t="shared" si="27"/>
        <v>1.0469999999999948</v>
      </c>
      <c r="B344" s="100"/>
      <c r="C344" s="107"/>
      <c r="D344" s="108"/>
      <c r="E344" s="107"/>
      <c r="F344" s="109"/>
      <c r="G344" s="105"/>
      <c r="H344" s="106"/>
    </row>
    <row r="345" spans="1:8" ht="15.75" thickBot="1" x14ac:dyDescent="0.3">
      <c r="A345" s="113"/>
      <c r="B345" s="173"/>
      <c r="C345" s="174"/>
      <c r="D345" s="174"/>
      <c r="E345" s="174"/>
      <c r="F345" s="174"/>
      <c r="G345" s="175"/>
      <c r="H345" s="117"/>
    </row>
    <row r="346" spans="1:8" ht="15.75" thickBot="1" x14ac:dyDescent="0.3">
      <c r="A346" s="113"/>
      <c r="B346" s="114"/>
      <c r="C346" s="97"/>
      <c r="D346" s="115"/>
      <c r="E346" s="115"/>
      <c r="F346" s="115"/>
      <c r="G346" s="116"/>
      <c r="H346" s="99"/>
    </row>
    <row r="347" spans="1:8" ht="15.75" thickBot="1" x14ac:dyDescent="0.3">
      <c r="A347" s="113"/>
      <c r="B347" s="173"/>
      <c r="C347" s="174"/>
      <c r="D347" s="174"/>
      <c r="E347" s="174"/>
      <c r="F347" s="174"/>
      <c r="G347" s="175"/>
      <c r="H347" s="117"/>
    </row>
    <row r="348" spans="1:8" x14ac:dyDescent="0.25">
      <c r="A348" s="113"/>
      <c r="B348" s="100"/>
      <c r="C348" s="107"/>
      <c r="D348" s="108"/>
      <c r="E348" s="107"/>
      <c r="F348" s="109"/>
      <c r="G348" s="105"/>
      <c r="H348" s="106"/>
    </row>
    <row r="349" spans="1:8" ht="40.5" customHeight="1" x14ac:dyDescent="0.25">
      <c r="A349" s="113">
        <f>+IF(F349&gt;0.01,A344+0.001,A344)</f>
        <v>1.0469999999999948</v>
      </c>
      <c r="B349" s="100"/>
      <c r="C349" s="107"/>
      <c r="D349" s="112"/>
      <c r="E349" s="107"/>
      <c r="F349" s="109"/>
      <c r="G349" s="105"/>
      <c r="H349" s="106"/>
    </row>
    <row r="350" spans="1:8" x14ac:dyDescent="0.25">
      <c r="A350" s="113">
        <f t="shared" ref="A350:A375" si="28">+IF(F350&gt;0.01,A349+0.001,A349)</f>
        <v>1.0469999999999948</v>
      </c>
      <c r="B350" s="100"/>
      <c r="C350" s="107"/>
      <c r="D350" s="153"/>
      <c r="E350" s="107"/>
      <c r="F350" s="109"/>
      <c r="G350" s="105"/>
      <c r="H350" s="106"/>
    </row>
    <row r="351" spans="1:8" x14ac:dyDescent="0.25">
      <c r="A351" s="113">
        <f t="shared" si="28"/>
        <v>1.0469999999999948</v>
      </c>
      <c r="B351" s="100"/>
      <c r="C351" s="107"/>
      <c r="D351" s="108"/>
      <c r="E351" s="107"/>
      <c r="F351" s="109"/>
      <c r="G351" s="105"/>
      <c r="H351" s="106"/>
    </row>
    <row r="352" spans="1:8" x14ac:dyDescent="0.25">
      <c r="A352" s="113">
        <f t="shared" si="28"/>
        <v>1.0469999999999948</v>
      </c>
      <c r="B352" s="100"/>
      <c r="C352" s="107"/>
      <c r="D352" s="108"/>
      <c r="E352" s="107"/>
      <c r="F352" s="109"/>
      <c r="G352" s="105"/>
      <c r="H352" s="106"/>
    </row>
    <row r="353" spans="1:8" x14ac:dyDescent="0.25">
      <c r="A353" s="113">
        <f t="shared" si="28"/>
        <v>1.0469999999999948</v>
      </c>
      <c r="B353" s="100"/>
      <c r="C353" s="107"/>
      <c r="D353" s="108"/>
      <c r="E353" s="107"/>
      <c r="F353" s="109"/>
      <c r="G353" s="105"/>
      <c r="H353" s="106"/>
    </row>
    <row r="354" spans="1:8" x14ac:dyDescent="0.25">
      <c r="A354" s="113">
        <f t="shared" si="28"/>
        <v>1.0469999999999948</v>
      </c>
      <c r="B354" s="100"/>
      <c r="C354" s="107"/>
      <c r="D354" s="108"/>
      <c r="E354" s="107"/>
      <c r="F354" s="109"/>
      <c r="G354" s="105"/>
      <c r="H354" s="106"/>
    </row>
    <row r="355" spans="1:8" x14ac:dyDescent="0.25">
      <c r="A355" s="113">
        <f t="shared" si="28"/>
        <v>1.0469999999999948</v>
      </c>
      <c r="B355" s="100"/>
      <c r="C355" s="107"/>
      <c r="D355" s="108"/>
      <c r="E355" s="107"/>
      <c r="F355" s="109"/>
      <c r="G355" s="105"/>
      <c r="H355" s="106"/>
    </row>
    <row r="356" spans="1:8" x14ac:dyDescent="0.25">
      <c r="A356" s="113">
        <f t="shared" si="28"/>
        <v>1.0469999999999948</v>
      </c>
      <c r="B356" s="100"/>
      <c r="C356" s="107"/>
      <c r="D356" s="108"/>
      <c r="E356" s="107"/>
      <c r="F356" s="109"/>
      <c r="G356" s="105"/>
      <c r="H356" s="106"/>
    </row>
    <row r="357" spans="1:8" x14ac:dyDescent="0.25">
      <c r="A357" s="113">
        <f t="shared" si="28"/>
        <v>1.0469999999999948</v>
      </c>
      <c r="B357" s="100"/>
      <c r="C357" s="107"/>
      <c r="D357" s="108"/>
      <c r="E357" s="107"/>
      <c r="F357" s="109"/>
      <c r="G357" s="105"/>
      <c r="H357" s="106"/>
    </row>
    <row r="358" spans="1:8" x14ac:dyDescent="0.25">
      <c r="A358" s="113">
        <f t="shared" si="28"/>
        <v>1.0469999999999948</v>
      </c>
      <c r="B358" s="100"/>
      <c r="C358" s="107"/>
      <c r="D358" s="108"/>
      <c r="E358" s="107"/>
      <c r="F358" s="109"/>
      <c r="G358" s="105"/>
      <c r="H358" s="106"/>
    </row>
    <row r="359" spans="1:8" x14ac:dyDescent="0.25">
      <c r="A359" s="113">
        <f t="shared" si="28"/>
        <v>1.0469999999999948</v>
      </c>
      <c r="B359" s="100"/>
      <c r="C359" s="107"/>
      <c r="D359" s="108"/>
      <c r="E359" s="107"/>
      <c r="F359" s="109"/>
      <c r="G359" s="105"/>
      <c r="H359" s="106"/>
    </row>
    <row r="360" spans="1:8" x14ac:dyDescent="0.25">
      <c r="A360" s="113">
        <f t="shared" si="28"/>
        <v>1.0469999999999948</v>
      </c>
      <c r="B360" s="100"/>
      <c r="C360" s="107"/>
      <c r="D360" s="108"/>
      <c r="E360" s="107"/>
      <c r="F360" s="109"/>
      <c r="G360" s="105"/>
      <c r="H360" s="106"/>
    </row>
    <row r="361" spans="1:8" x14ac:dyDescent="0.25">
      <c r="A361" s="113">
        <f t="shared" si="28"/>
        <v>1.0469999999999948</v>
      </c>
      <c r="B361" s="100"/>
      <c r="C361" s="107"/>
      <c r="D361" s="108"/>
      <c r="E361" s="107"/>
      <c r="F361" s="109"/>
      <c r="G361" s="105"/>
      <c r="H361" s="106"/>
    </row>
    <row r="362" spans="1:8" x14ac:dyDescent="0.25">
      <c r="A362" s="113">
        <f t="shared" si="28"/>
        <v>1.0469999999999948</v>
      </c>
      <c r="B362" s="100"/>
      <c r="C362" s="107"/>
      <c r="D362" s="108"/>
      <c r="E362" s="107"/>
      <c r="F362" s="109"/>
      <c r="G362" s="105"/>
      <c r="H362" s="106"/>
    </row>
    <row r="363" spans="1:8" x14ac:dyDescent="0.25">
      <c r="A363" s="113">
        <f t="shared" si="28"/>
        <v>1.0469999999999948</v>
      </c>
      <c r="B363" s="100"/>
      <c r="C363" s="107"/>
      <c r="D363" s="161"/>
      <c r="E363" s="107"/>
      <c r="F363" s="109"/>
      <c r="G363" s="105"/>
      <c r="H363" s="106"/>
    </row>
    <row r="364" spans="1:8" x14ac:dyDescent="0.25">
      <c r="A364" s="113">
        <f t="shared" si="28"/>
        <v>1.0469999999999948</v>
      </c>
      <c r="B364" s="100"/>
      <c r="C364" s="107"/>
      <c r="D364" s="161"/>
      <c r="E364" s="107"/>
      <c r="F364" s="109"/>
      <c r="G364" s="105"/>
      <c r="H364" s="106"/>
    </row>
    <row r="365" spans="1:8" x14ac:dyDescent="0.25">
      <c r="A365" s="113">
        <f t="shared" si="28"/>
        <v>1.0469999999999948</v>
      </c>
      <c r="B365" s="100"/>
      <c r="C365" s="107"/>
      <c r="D365" s="161"/>
      <c r="E365" s="107"/>
      <c r="F365" s="109"/>
      <c r="G365" s="105"/>
      <c r="H365" s="106"/>
    </row>
    <row r="366" spans="1:8" x14ac:dyDescent="0.25">
      <c r="A366" s="113">
        <f t="shared" si="28"/>
        <v>1.0469999999999948</v>
      </c>
      <c r="B366" s="100"/>
      <c r="C366" s="107"/>
      <c r="D366" s="161"/>
      <c r="E366" s="107"/>
      <c r="F366" s="109"/>
      <c r="G366" s="105"/>
      <c r="H366" s="106"/>
    </row>
    <row r="367" spans="1:8" x14ac:dyDescent="0.25">
      <c r="A367" s="113">
        <f t="shared" si="28"/>
        <v>1.0469999999999948</v>
      </c>
      <c r="B367" s="100"/>
      <c r="C367" s="107"/>
      <c r="D367" s="161"/>
      <c r="E367" s="107"/>
      <c r="F367" s="109"/>
      <c r="G367" s="105"/>
      <c r="H367" s="106"/>
    </row>
    <row r="368" spans="1:8" x14ac:dyDescent="0.25">
      <c r="A368" s="113">
        <f t="shared" si="28"/>
        <v>1.0469999999999948</v>
      </c>
      <c r="B368" s="100"/>
      <c r="C368" s="107"/>
      <c r="D368" s="161"/>
      <c r="E368" s="107"/>
      <c r="F368" s="109"/>
      <c r="G368" s="105"/>
      <c r="H368" s="106"/>
    </row>
    <row r="369" spans="1:8" x14ac:dyDescent="0.25">
      <c r="A369" s="113">
        <f t="shared" si="28"/>
        <v>1.0469999999999948</v>
      </c>
      <c r="B369" s="100"/>
      <c r="C369" s="107"/>
      <c r="D369" s="108"/>
      <c r="E369" s="107"/>
      <c r="F369" s="109"/>
      <c r="G369" s="105"/>
      <c r="H369" s="106"/>
    </row>
    <row r="370" spans="1:8" x14ac:dyDescent="0.25">
      <c r="A370" s="113">
        <f t="shared" si="28"/>
        <v>1.0469999999999948</v>
      </c>
      <c r="B370" s="100"/>
      <c r="C370" s="107"/>
      <c r="D370" s="108"/>
      <c r="E370" s="107"/>
      <c r="F370" s="109"/>
      <c r="G370" s="105"/>
      <c r="H370" s="106"/>
    </row>
    <row r="371" spans="1:8" x14ac:dyDescent="0.25">
      <c r="A371" s="113">
        <f t="shared" si="28"/>
        <v>1.0469999999999948</v>
      </c>
      <c r="B371" s="100"/>
      <c r="C371" s="107"/>
      <c r="D371" s="108"/>
      <c r="E371" s="107"/>
      <c r="F371" s="109"/>
      <c r="G371" s="105"/>
      <c r="H371" s="106"/>
    </row>
    <row r="372" spans="1:8" x14ac:dyDescent="0.25">
      <c r="A372" s="113">
        <f t="shared" si="28"/>
        <v>1.0469999999999948</v>
      </c>
      <c r="B372" s="100"/>
      <c r="C372" s="107"/>
      <c r="D372" s="108"/>
      <c r="E372" s="107"/>
      <c r="F372" s="109"/>
      <c r="G372" s="105"/>
      <c r="H372" s="106"/>
    </row>
    <row r="373" spans="1:8" x14ac:dyDescent="0.25">
      <c r="A373" s="113">
        <f t="shared" si="28"/>
        <v>1.0469999999999948</v>
      </c>
      <c r="B373" s="100"/>
      <c r="C373" s="107"/>
      <c r="D373" s="108"/>
      <c r="E373" s="107"/>
      <c r="F373" s="109"/>
      <c r="G373" s="105"/>
      <c r="H373" s="106"/>
    </row>
    <row r="374" spans="1:8" x14ac:dyDescent="0.25">
      <c r="A374" s="113">
        <f t="shared" si="28"/>
        <v>1.0469999999999948</v>
      </c>
      <c r="B374" s="100"/>
      <c r="C374" s="107"/>
      <c r="D374" s="108"/>
      <c r="E374" s="107"/>
      <c r="F374" s="109"/>
      <c r="G374" s="105"/>
      <c r="H374" s="106"/>
    </row>
    <row r="375" spans="1:8" ht="15.75" thickBot="1" x14ac:dyDescent="0.3">
      <c r="A375" s="113">
        <f t="shared" si="28"/>
        <v>1.0469999999999948</v>
      </c>
      <c r="B375" s="100"/>
      <c r="C375" s="107"/>
      <c r="D375" s="108"/>
      <c r="E375" s="107"/>
      <c r="F375" s="109"/>
      <c r="G375" s="105"/>
      <c r="H375" s="106"/>
    </row>
    <row r="376" spans="1:8" ht="15.75" thickBot="1" x14ac:dyDescent="0.3">
      <c r="A376" s="113"/>
      <c r="B376" s="173"/>
      <c r="C376" s="174"/>
      <c r="D376" s="174"/>
      <c r="E376" s="174"/>
      <c r="F376" s="174"/>
      <c r="G376" s="175"/>
      <c r="H376" s="117"/>
    </row>
    <row r="377" spans="1:8" ht="15.75" thickBot="1" x14ac:dyDescent="0.3">
      <c r="A377" s="113"/>
      <c r="B377" s="114"/>
      <c r="C377" s="97"/>
      <c r="D377" s="115"/>
      <c r="E377" s="115"/>
      <c r="F377" s="115"/>
      <c r="G377" s="116"/>
      <c r="H377" s="99"/>
    </row>
    <row r="378" spans="1:8" ht="15.75" thickBot="1" x14ac:dyDescent="0.3">
      <c r="A378" s="113"/>
      <c r="B378" s="173"/>
      <c r="C378" s="174"/>
      <c r="D378" s="174"/>
      <c r="E378" s="174"/>
      <c r="F378" s="174"/>
      <c r="G378" s="175"/>
      <c r="H378" s="117"/>
    </row>
    <row r="379" spans="1:8" x14ac:dyDescent="0.25">
      <c r="A379" s="113"/>
      <c r="B379" s="100"/>
      <c r="C379" s="107"/>
      <c r="D379" s="108"/>
      <c r="E379" s="107"/>
      <c r="F379" s="109"/>
      <c r="G379" s="105"/>
      <c r="H379" s="106"/>
    </row>
    <row r="380" spans="1:8" ht="38.25" customHeight="1" x14ac:dyDescent="0.25">
      <c r="A380" s="113">
        <f>+IF(F380&gt;0.01,A375+0.001,A375)</f>
        <v>1.0469999999999948</v>
      </c>
      <c r="B380" s="100"/>
      <c r="C380" s="107"/>
      <c r="D380" s="108"/>
      <c r="E380" s="107"/>
      <c r="F380" s="109"/>
      <c r="G380" s="105"/>
      <c r="H380" s="106"/>
    </row>
    <row r="381" spans="1:8" x14ac:dyDescent="0.25">
      <c r="A381" s="113">
        <f t="shared" ref="A381:A408" si="29">+IF(F381&gt;0.01,A380+0.001,A380)</f>
        <v>1.0469999999999948</v>
      </c>
      <c r="B381" s="100"/>
      <c r="C381" s="107"/>
      <c r="D381" s="108"/>
      <c r="E381" s="107"/>
      <c r="F381" s="109"/>
      <c r="G381" s="105"/>
      <c r="H381" s="106"/>
    </row>
    <row r="382" spans="1:8" x14ac:dyDescent="0.25">
      <c r="A382" s="113">
        <f t="shared" si="29"/>
        <v>1.0469999999999948</v>
      </c>
      <c r="B382" s="100"/>
      <c r="C382" s="107"/>
      <c r="D382" s="108"/>
      <c r="E382" s="107"/>
      <c r="F382" s="109"/>
      <c r="G382" s="105"/>
      <c r="H382" s="106"/>
    </row>
    <row r="383" spans="1:8" x14ac:dyDescent="0.25">
      <c r="A383" s="113">
        <f t="shared" si="29"/>
        <v>1.0469999999999948</v>
      </c>
      <c r="B383" s="100"/>
      <c r="C383" s="107"/>
      <c r="D383" s="108"/>
      <c r="E383" s="107"/>
      <c r="F383" s="109"/>
      <c r="G383" s="105"/>
      <c r="H383" s="106"/>
    </row>
    <row r="384" spans="1:8" x14ac:dyDescent="0.25">
      <c r="A384" s="113">
        <f t="shared" si="29"/>
        <v>1.0469999999999948</v>
      </c>
      <c r="B384" s="100"/>
      <c r="C384" s="107"/>
      <c r="D384" s="108"/>
      <c r="E384" s="107"/>
      <c r="F384" s="109"/>
      <c r="G384" s="105"/>
      <c r="H384" s="106"/>
    </row>
    <row r="385" spans="1:8" x14ac:dyDescent="0.25">
      <c r="A385" s="113">
        <f t="shared" si="29"/>
        <v>1.0469999999999948</v>
      </c>
      <c r="B385" s="100"/>
      <c r="C385" s="107"/>
      <c r="D385" s="108"/>
      <c r="E385" s="107"/>
      <c r="F385" s="109"/>
      <c r="G385" s="105"/>
      <c r="H385" s="106"/>
    </row>
    <row r="386" spans="1:8" x14ac:dyDescent="0.25">
      <c r="A386" s="113">
        <f t="shared" si="29"/>
        <v>1.0469999999999948</v>
      </c>
      <c r="B386" s="100"/>
      <c r="C386" s="107"/>
      <c r="D386" s="108"/>
      <c r="E386" s="107"/>
      <c r="F386" s="109"/>
      <c r="G386" s="105"/>
      <c r="H386" s="106"/>
    </row>
    <row r="387" spans="1:8" x14ac:dyDescent="0.25">
      <c r="A387" s="113">
        <f t="shared" si="29"/>
        <v>1.0469999999999948</v>
      </c>
      <c r="B387" s="100"/>
      <c r="C387" s="107"/>
      <c r="D387" s="108"/>
      <c r="E387" s="107"/>
      <c r="F387" s="109"/>
      <c r="G387" s="105"/>
      <c r="H387" s="106"/>
    </row>
    <row r="388" spans="1:8" x14ac:dyDescent="0.25">
      <c r="A388" s="113">
        <f t="shared" si="29"/>
        <v>1.0469999999999948</v>
      </c>
      <c r="B388" s="100"/>
      <c r="C388" s="107"/>
      <c r="D388" s="108"/>
      <c r="E388" s="107"/>
      <c r="F388" s="109"/>
      <c r="G388" s="105"/>
      <c r="H388" s="106"/>
    </row>
    <row r="389" spans="1:8" x14ac:dyDescent="0.25">
      <c r="A389" s="113">
        <f t="shared" si="29"/>
        <v>1.0469999999999948</v>
      </c>
      <c r="B389" s="100"/>
      <c r="C389" s="107"/>
      <c r="D389" s="108"/>
      <c r="E389" s="107"/>
      <c r="F389" s="109"/>
      <c r="G389" s="105"/>
      <c r="H389" s="106"/>
    </row>
    <row r="390" spans="1:8" x14ac:dyDescent="0.25">
      <c r="A390" s="113">
        <f t="shared" si="29"/>
        <v>1.0469999999999948</v>
      </c>
      <c r="B390" s="100"/>
      <c r="C390" s="107"/>
      <c r="D390" s="108"/>
      <c r="E390" s="107"/>
      <c r="F390" s="109"/>
      <c r="G390" s="105"/>
      <c r="H390" s="106"/>
    </row>
    <row r="391" spans="1:8" x14ac:dyDescent="0.25">
      <c r="A391" s="113">
        <f t="shared" si="29"/>
        <v>1.0469999999999948</v>
      </c>
      <c r="B391" s="100"/>
      <c r="C391" s="107"/>
      <c r="D391" s="108"/>
      <c r="E391" s="107"/>
      <c r="F391" s="109"/>
      <c r="G391" s="105"/>
      <c r="H391" s="106"/>
    </row>
    <row r="392" spans="1:8" x14ac:dyDescent="0.25">
      <c r="A392" s="113">
        <f t="shared" si="29"/>
        <v>1.0469999999999948</v>
      </c>
      <c r="B392" s="100"/>
      <c r="C392" s="107"/>
      <c r="D392" s="108"/>
      <c r="E392" s="107"/>
      <c r="F392" s="109"/>
      <c r="G392" s="105"/>
      <c r="H392" s="106"/>
    </row>
    <row r="393" spans="1:8" x14ac:dyDescent="0.25">
      <c r="A393" s="113">
        <f t="shared" si="29"/>
        <v>1.0469999999999948</v>
      </c>
      <c r="B393" s="100"/>
      <c r="C393" s="107"/>
      <c r="D393" s="161"/>
      <c r="E393" s="107"/>
      <c r="F393" s="109"/>
      <c r="G393" s="105"/>
      <c r="H393" s="106"/>
    </row>
    <row r="394" spans="1:8" x14ac:dyDescent="0.25">
      <c r="A394" s="113">
        <f t="shared" si="29"/>
        <v>1.0469999999999948</v>
      </c>
      <c r="B394" s="100"/>
      <c r="C394" s="107"/>
      <c r="D394" s="161"/>
      <c r="E394" s="107"/>
      <c r="F394" s="109"/>
      <c r="G394" s="105"/>
      <c r="H394" s="106"/>
    </row>
    <row r="395" spans="1:8" x14ac:dyDescent="0.25">
      <c r="A395" s="113">
        <f t="shared" si="29"/>
        <v>1.0469999999999948</v>
      </c>
      <c r="B395" s="100"/>
      <c r="C395" s="107"/>
      <c r="D395" s="161"/>
      <c r="E395" s="107"/>
      <c r="F395" s="109"/>
      <c r="G395" s="105"/>
      <c r="H395" s="106"/>
    </row>
    <row r="396" spans="1:8" x14ac:dyDescent="0.25">
      <c r="A396" s="113">
        <f t="shared" si="29"/>
        <v>1.0469999999999948</v>
      </c>
      <c r="B396" s="100"/>
      <c r="C396" s="107"/>
      <c r="D396" s="161"/>
      <c r="E396" s="107"/>
      <c r="F396" s="109"/>
      <c r="G396" s="105"/>
      <c r="H396" s="106"/>
    </row>
    <row r="397" spans="1:8" x14ac:dyDescent="0.25">
      <c r="A397" s="113">
        <f t="shared" si="29"/>
        <v>1.0469999999999948</v>
      </c>
      <c r="B397" s="100"/>
      <c r="C397" s="107"/>
      <c r="D397" s="161"/>
      <c r="E397" s="107"/>
      <c r="F397" s="109"/>
      <c r="G397" s="105"/>
      <c r="H397" s="106"/>
    </row>
    <row r="398" spans="1:8" x14ac:dyDescent="0.25">
      <c r="A398" s="113">
        <f t="shared" si="29"/>
        <v>1.0469999999999948</v>
      </c>
      <c r="B398" s="100"/>
      <c r="C398" s="107"/>
      <c r="D398" s="161"/>
      <c r="E398" s="107"/>
      <c r="F398" s="109"/>
      <c r="G398" s="105"/>
      <c r="H398" s="106"/>
    </row>
    <row r="399" spans="1:8" x14ac:dyDescent="0.25">
      <c r="A399" s="113">
        <f t="shared" si="29"/>
        <v>1.0469999999999948</v>
      </c>
      <c r="B399" s="100"/>
      <c r="C399" s="107"/>
      <c r="D399" s="108"/>
      <c r="E399" s="107"/>
      <c r="F399" s="109"/>
      <c r="G399" s="105"/>
      <c r="H399" s="106"/>
    </row>
    <row r="400" spans="1:8" x14ac:dyDescent="0.25">
      <c r="A400" s="113">
        <f t="shared" si="29"/>
        <v>1.0469999999999948</v>
      </c>
      <c r="B400" s="100"/>
      <c r="C400" s="107"/>
      <c r="D400" s="108"/>
      <c r="E400" s="107"/>
      <c r="F400" s="109"/>
      <c r="G400" s="105"/>
      <c r="H400" s="106"/>
    </row>
    <row r="401" spans="1:8" x14ac:dyDescent="0.25">
      <c r="A401" s="113">
        <f t="shared" si="29"/>
        <v>1.0469999999999948</v>
      </c>
      <c r="B401" s="100"/>
      <c r="C401" s="107"/>
      <c r="D401" s="108"/>
      <c r="E401" s="107"/>
      <c r="F401" s="109"/>
      <c r="G401" s="105"/>
      <c r="H401" s="106"/>
    </row>
    <row r="402" spans="1:8" x14ac:dyDescent="0.25">
      <c r="A402" s="113">
        <f t="shared" si="29"/>
        <v>1.0469999999999948</v>
      </c>
      <c r="B402" s="100"/>
      <c r="C402" s="107"/>
      <c r="D402" s="108"/>
      <c r="E402" s="107"/>
      <c r="F402" s="109"/>
      <c r="G402" s="105"/>
      <c r="H402" s="106"/>
    </row>
    <row r="403" spans="1:8" x14ac:dyDescent="0.25">
      <c r="A403" s="113">
        <f t="shared" si="29"/>
        <v>1.0469999999999948</v>
      </c>
      <c r="B403" s="100"/>
      <c r="C403" s="107"/>
      <c r="D403" s="108"/>
      <c r="E403" s="107"/>
      <c r="F403" s="109"/>
      <c r="G403" s="105"/>
      <c r="H403" s="106"/>
    </row>
    <row r="404" spans="1:8" x14ac:dyDescent="0.25">
      <c r="A404" s="113">
        <f t="shared" si="29"/>
        <v>1.0469999999999948</v>
      </c>
      <c r="B404" s="100"/>
      <c r="C404" s="107"/>
      <c r="D404" s="108"/>
      <c r="E404" s="107"/>
      <c r="F404" s="109"/>
      <c r="G404" s="105"/>
      <c r="H404" s="106"/>
    </row>
    <row r="405" spans="1:8" x14ac:dyDescent="0.25">
      <c r="A405" s="113">
        <f t="shared" si="29"/>
        <v>1.0469999999999948</v>
      </c>
      <c r="B405" s="100"/>
      <c r="C405" s="107"/>
      <c r="D405" s="108"/>
      <c r="E405" s="107"/>
      <c r="F405" s="109"/>
      <c r="G405" s="105"/>
      <c r="H405" s="106"/>
    </row>
    <row r="406" spans="1:8" x14ac:dyDescent="0.25">
      <c r="A406" s="113">
        <f t="shared" si="29"/>
        <v>1.0469999999999948</v>
      </c>
      <c r="B406" s="100"/>
      <c r="C406" s="107"/>
      <c r="D406" s="108"/>
      <c r="E406" s="107"/>
      <c r="F406" s="109"/>
      <c r="G406" s="105"/>
      <c r="H406" s="106"/>
    </row>
    <row r="407" spans="1:8" x14ac:dyDescent="0.25">
      <c r="A407" s="113">
        <f t="shared" si="29"/>
        <v>1.0469999999999948</v>
      </c>
      <c r="B407" s="100"/>
      <c r="C407" s="107"/>
      <c r="D407" s="108"/>
      <c r="E407" s="107"/>
      <c r="F407" s="109"/>
      <c r="G407" s="105"/>
      <c r="H407" s="106"/>
    </row>
    <row r="408" spans="1:8" ht="15.75" thickBot="1" x14ac:dyDescent="0.3">
      <c r="A408" s="113">
        <f t="shared" si="29"/>
        <v>1.0469999999999948</v>
      </c>
      <c r="B408" s="100"/>
      <c r="C408" s="107"/>
      <c r="D408" s="108"/>
      <c r="E408" s="107"/>
      <c r="F408" s="109"/>
      <c r="G408" s="105"/>
      <c r="H408" s="106"/>
    </row>
    <row r="409" spans="1:8" ht="15.75" thickBot="1" x14ac:dyDescent="0.3">
      <c r="A409" s="113"/>
      <c r="B409" s="173"/>
      <c r="C409" s="174"/>
      <c r="D409" s="174"/>
      <c r="E409" s="174"/>
      <c r="F409" s="174"/>
      <c r="G409" s="175"/>
      <c r="H409" s="117"/>
    </row>
    <row r="410" spans="1:8" ht="15.75" thickBot="1" x14ac:dyDescent="0.3">
      <c r="A410" s="113"/>
      <c r="B410" s="114"/>
      <c r="C410" s="97"/>
      <c r="D410" s="115"/>
      <c r="E410" s="115"/>
      <c r="F410" s="115"/>
      <c r="G410" s="116"/>
      <c r="H410" s="99"/>
    </row>
    <row r="411" spans="1:8" ht="15.75" thickBot="1" x14ac:dyDescent="0.3">
      <c r="A411" s="113"/>
      <c r="B411" s="173"/>
      <c r="C411" s="174"/>
      <c r="D411" s="174"/>
      <c r="E411" s="174"/>
      <c r="F411" s="174"/>
      <c r="G411" s="175"/>
      <c r="H411" s="117"/>
    </row>
    <row r="412" spans="1:8" x14ac:dyDescent="0.25">
      <c r="A412" s="113"/>
      <c r="B412" s="100"/>
      <c r="C412" s="107"/>
      <c r="D412" s="108"/>
      <c r="E412" s="107"/>
      <c r="F412" s="109"/>
      <c r="G412" s="105"/>
      <c r="H412" s="106"/>
    </row>
    <row r="413" spans="1:8" x14ac:dyDescent="0.25">
      <c r="A413" s="113">
        <f>+IF(F413&gt;0.01,A408+0.001,A408)</f>
        <v>1.0469999999999948</v>
      </c>
      <c r="B413" s="100"/>
      <c r="C413" s="107"/>
      <c r="D413" s="108"/>
      <c r="E413" s="107"/>
      <c r="F413" s="109"/>
      <c r="G413" s="105"/>
      <c r="H413" s="106"/>
    </row>
    <row r="414" spans="1:8" x14ac:dyDescent="0.25">
      <c r="A414" s="113">
        <f t="shared" ref="A414:A456" si="30">+IF(F414&gt;0.01,A413+0.001,A413)</f>
        <v>1.0469999999999948</v>
      </c>
      <c r="B414" s="100"/>
      <c r="C414" s="107"/>
      <c r="D414" s="108"/>
      <c r="E414" s="107"/>
      <c r="F414" s="109"/>
      <c r="G414" s="105"/>
      <c r="H414" s="106"/>
    </row>
    <row r="415" spans="1:8" x14ac:dyDescent="0.25">
      <c r="A415" s="113">
        <f t="shared" si="30"/>
        <v>1.0469999999999948</v>
      </c>
      <c r="B415" s="100"/>
      <c r="C415" s="107"/>
      <c r="D415" s="108"/>
      <c r="E415" s="107"/>
      <c r="F415" s="109"/>
      <c r="G415" s="105"/>
      <c r="H415" s="106"/>
    </row>
    <row r="416" spans="1:8" x14ac:dyDescent="0.25">
      <c r="A416" s="113">
        <f t="shared" si="30"/>
        <v>1.0469999999999948</v>
      </c>
      <c r="B416" s="100"/>
      <c r="C416" s="107"/>
      <c r="D416" s="108"/>
      <c r="E416" s="107"/>
      <c r="F416" s="109"/>
      <c r="G416" s="105"/>
      <c r="H416" s="106"/>
    </row>
    <row r="417" spans="1:8" x14ac:dyDescent="0.25">
      <c r="A417" s="113">
        <f t="shared" si="30"/>
        <v>1.0469999999999948</v>
      </c>
      <c r="B417" s="100"/>
      <c r="C417" s="107"/>
      <c r="D417" s="108"/>
      <c r="E417" s="107"/>
      <c r="F417" s="109"/>
      <c r="G417" s="105"/>
      <c r="H417" s="106"/>
    </row>
    <row r="418" spans="1:8" x14ac:dyDescent="0.25">
      <c r="A418" s="113">
        <f t="shared" si="30"/>
        <v>1.0469999999999948</v>
      </c>
      <c r="B418" s="100"/>
      <c r="C418" s="107"/>
      <c r="D418" s="108"/>
      <c r="E418" s="107"/>
      <c r="F418" s="109"/>
      <c r="G418" s="105"/>
      <c r="H418" s="106"/>
    </row>
    <row r="419" spans="1:8" x14ac:dyDescent="0.25">
      <c r="A419" s="113">
        <f t="shared" si="30"/>
        <v>1.0469999999999948</v>
      </c>
      <c r="B419" s="100"/>
      <c r="C419" s="107"/>
      <c r="D419" s="108"/>
      <c r="E419" s="107"/>
      <c r="F419" s="109"/>
      <c r="G419" s="105"/>
      <c r="H419" s="106"/>
    </row>
    <row r="420" spans="1:8" x14ac:dyDescent="0.25">
      <c r="A420" s="113">
        <f t="shared" si="30"/>
        <v>1.0469999999999948</v>
      </c>
      <c r="B420" s="100"/>
      <c r="C420" s="107"/>
      <c r="D420" s="108"/>
      <c r="E420" s="107"/>
      <c r="F420" s="109"/>
      <c r="G420" s="105"/>
      <c r="H420" s="106"/>
    </row>
    <row r="421" spans="1:8" x14ac:dyDescent="0.25">
      <c r="A421" s="113">
        <f t="shared" si="30"/>
        <v>1.0469999999999948</v>
      </c>
      <c r="B421" s="100"/>
      <c r="C421" s="107"/>
      <c r="D421" s="108"/>
      <c r="E421" s="107"/>
      <c r="F421" s="109"/>
      <c r="G421" s="105"/>
      <c r="H421" s="106"/>
    </row>
    <row r="422" spans="1:8" x14ac:dyDescent="0.25">
      <c r="A422" s="113">
        <f t="shared" si="30"/>
        <v>1.0469999999999948</v>
      </c>
      <c r="B422" s="100"/>
      <c r="C422" s="107"/>
      <c r="D422" s="108"/>
      <c r="E422" s="107"/>
      <c r="F422" s="109"/>
      <c r="G422" s="105"/>
      <c r="H422" s="106"/>
    </row>
    <row r="423" spans="1:8" ht="24.75" customHeight="1" x14ac:dyDescent="0.25">
      <c r="A423" s="113">
        <f t="shared" si="30"/>
        <v>1.0469999999999948</v>
      </c>
      <c r="B423" s="100"/>
      <c r="C423" s="107"/>
      <c r="D423" s="108"/>
      <c r="E423" s="107"/>
      <c r="F423" s="109"/>
      <c r="G423" s="105"/>
      <c r="H423" s="106"/>
    </row>
    <row r="424" spans="1:8" x14ac:dyDescent="0.25">
      <c r="A424" s="113">
        <f t="shared" si="30"/>
        <v>1.0469999999999948</v>
      </c>
      <c r="B424" s="100"/>
      <c r="C424" s="107"/>
      <c r="D424" s="108"/>
      <c r="E424" s="107"/>
      <c r="F424" s="109"/>
      <c r="G424" s="105"/>
      <c r="H424" s="106"/>
    </row>
    <row r="425" spans="1:8" x14ac:dyDescent="0.25">
      <c r="A425" s="113">
        <f t="shared" si="30"/>
        <v>1.0469999999999948</v>
      </c>
      <c r="B425" s="100"/>
      <c r="C425" s="107"/>
      <c r="D425" s="161"/>
      <c r="E425" s="107"/>
      <c r="F425" s="109"/>
      <c r="G425" s="105"/>
      <c r="H425" s="106"/>
    </row>
    <row r="426" spans="1:8" x14ac:dyDescent="0.25">
      <c r="A426" s="113">
        <f t="shared" si="30"/>
        <v>1.0469999999999948</v>
      </c>
      <c r="B426" s="100"/>
      <c r="C426" s="107"/>
      <c r="D426" s="161"/>
      <c r="E426" s="107"/>
      <c r="F426" s="109"/>
      <c r="G426" s="105"/>
      <c r="H426" s="106"/>
    </row>
    <row r="427" spans="1:8" x14ac:dyDescent="0.25">
      <c r="A427" s="113">
        <f t="shared" si="30"/>
        <v>1.0469999999999948</v>
      </c>
      <c r="B427" s="100"/>
      <c r="C427" s="107"/>
      <c r="D427" s="161"/>
      <c r="E427" s="107"/>
      <c r="F427" s="109"/>
      <c r="G427" s="105"/>
      <c r="H427" s="106"/>
    </row>
    <row r="428" spans="1:8" x14ac:dyDescent="0.25">
      <c r="A428" s="113">
        <f t="shared" si="30"/>
        <v>1.0469999999999948</v>
      </c>
      <c r="B428" s="100"/>
      <c r="C428" s="107"/>
      <c r="D428" s="161"/>
      <c r="E428" s="107"/>
      <c r="F428" s="109"/>
      <c r="G428" s="105"/>
      <c r="H428" s="106"/>
    </row>
    <row r="429" spans="1:8" x14ac:dyDescent="0.25">
      <c r="A429" s="113">
        <f t="shared" si="30"/>
        <v>1.0469999999999948</v>
      </c>
      <c r="B429" s="100"/>
      <c r="C429" s="107"/>
      <c r="D429" s="161"/>
      <c r="E429" s="107"/>
      <c r="F429" s="109"/>
      <c r="G429" s="105"/>
      <c r="H429" s="106"/>
    </row>
    <row r="430" spans="1:8" x14ac:dyDescent="0.25">
      <c r="A430" s="113">
        <f t="shared" si="30"/>
        <v>1.0469999999999948</v>
      </c>
      <c r="B430" s="100"/>
      <c r="C430" s="107"/>
      <c r="D430" s="161"/>
      <c r="E430" s="107"/>
      <c r="F430" s="109"/>
      <c r="G430" s="105"/>
      <c r="H430" s="106"/>
    </row>
    <row r="431" spans="1:8" x14ac:dyDescent="0.25">
      <c r="A431" s="113">
        <f t="shared" si="30"/>
        <v>1.0469999999999948</v>
      </c>
      <c r="B431" s="100"/>
      <c r="C431" s="107"/>
      <c r="D431" s="108"/>
      <c r="E431" s="107"/>
      <c r="F431" s="109"/>
      <c r="G431" s="105"/>
      <c r="H431" s="106"/>
    </row>
    <row r="432" spans="1:8" x14ac:dyDescent="0.25">
      <c r="A432" s="113">
        <f t="shared" si="30"/>
        <v>1.0469999999999948</v>
      </c>
      <c r="B432" s="100"/>
      <c r="C432" s="107"/>
      <c r="D432" s="108"/>
      <c r="E432" s="107"/>
      <c r="F432" s="109"/>
      <c r="G432" s="105"/>
      <c r="H432" s="106"/>
    </row>
    <row r="433" spans="1:8" x14ac:dyDescent="0.25">
      <c r="A433" s="113">
        <f t="shared" si="30"/>
        <v>1.0469999999999948</v>
      </c>
      <c r="B433" s="100"/>
      <c r="C433" s="107"/>
      <c r="D433" s="108"/>
      <c r="E433" s="107"/>
      <c r="F433" s="109"/>
      <c r="G433" s="105"/>
      <c r="H433" s="106"/>
    </row>
    <row r="434" spans="1:8" x14ac:dyDescent="0.25">
      <c r="A434" s="113">
        <f t="shared" si="30"/>
        <v>1.0469999999999948</v>
      </c>
      <c r="B434" s="100"/>
      <c r="C434" s="107"/>
      <c r="D434" s="108"/>
      <c r="E434" s="107"/>
      <c r="F434" s="109"/>
      <c r="G434" s="105"/>
      <c r="H434" s="106"/>
    </row>
    <row r="435" spans="1:8" x14ac:dyDescent="0.25">
      <c r="A435" s="113">
        <f t="shared" si="30"/>
        <v>1.0469999999999948</v>
      </c>
      <c r="B435" s="100"/>
      <c r="C435" s="107"/>
      <c r="D435" s="108"/>
      <c r="E435" s="107"/>
      <c r="F435" s="109"/>
      <c r="G435" s="105"/>
      <c r="H435" s="106"/>
    </row>
    <row r="436" spans="1:8" x14ac:dyDescent="0.25">
      <c r="A436" s="113">
        <f t="shared" si="30"/>
        <v>1.0469999999999948</v>
      </c>
      <c r="B436" s="100"/>
      <c r="C436" s="107"/>
      <c r="D436" s="108"/>
      <c r="E436" s="107"/>
      <c r="F436" s="109"/>
      <c r="G436" s="105"/>
      <c r="H436" s="106"/>
    </row>
    <row r="437" spans="1:8" x14ac:dyDescent="0.25">
      <c r="A437" s="113">
        <f t="shared" si="30"/>
        <v>1.0469999999999948</v>
      </c>
      <c r="B437" s="100"/>
      <c r="C437" s="107"/>
      <c r="D437" s="108"/>
      <c r="E437" s="107"/>
      <c r="F437" s="109"/>
      <c r="G437" s="105"/>
      <c r="H437" s="106"/>
    </row>
    <row r="438" spans="1:8" x14ac:dyDescent="0.25">
      <c r="A438" s="113">
        <f t="shared" si="30"/>
        <v>1.0469999999999948</v>
      </c>
      <c r="B438" s="100"/>
      <c r="C438" s="107"/>
      <c r="D438" s="108"/>
      <c r="E438" s="107"/>
      <c r="F438" s="109"/>
      <c r="G438" s="105"/>
      <c r="H438" s="106"/>
    </row>
    <row r="439" spans="1:8" x14ac:dyDescent="0.25">
      <c r="A439" s="113">
        <f t="shared" si="30"/>
        <v>1.0469999999999948</v>
      </c>
      <c r="B439" s="100"/>
      <c r="C439" s="107"/>
      <c r="D439" s="108"/>
      <c r="E439" s="107"/>
      <c r="F439" s="109"/>
      <c r="G439" s="105"/>
      <c r="H439" s="106"/>
    </row>
    <row r="440" spans="1:8" x14ac:dyDescent="0.25">
      <c r="A440" s="113">
        <f t="shared" si="30"/>
        <v>1.0469999999999948</v>
      </c>
      <c r="B440" s="100"/>
      <c r="C440" s="107"/>
      <c r="D440" s="108"/>
      <c r="E440" s="107"/>
      <c r="F440" s="109"/>
      <c r="G440" s="105"/>
      <c r="H440" s="106"/>
    </row>
    <row r="441" spans="1:8" x14ac:dyDescent="0.25">
      <c r="A441" s="113">
        <f t="shared" si="30"/>
        <v>1.0469999999999948</v>
      </c>
      <c r="B441" s="100"/>
      <c r="C441" s="107"/>
      <c r="D441" s="108"/>
      <c r="E441" s="107"/>
      <c r="F441" s="109"/>
      <c r="G441" s="105"/>
      <c r="H441" s="106"/>
    </row>
    <row r="442" spans="1:8" x14ac:dyDescent="0.25">
      <c r="A442" s="113">
        <f t="shared" si="30"/>
        <v>1.0469999999999948</v>
      </c>
      <c r="B442" s="100"/>
      <c r="C442" s="107"/>
      <c r="D442" s="108"/>
      <c r="E442" s="107"/>
      <c r="F442" s="109"/>
      <c r="G442" s="105"/>
      <c r="H442" s="106"/>
    </row>
    <row r="443" spans="1:8" x14ac:dyDescent="0.25">
      <c r="A443" s="113">
        <f t="shared" si="30"/>
        <v>1.0469999999999948</v>
      </c>
      <c r="B443" s="100"/>
      <c r="C443" s="107"/>
      <c r="D443" s="108"/>
      <c r="E443" s="107"/>
      <c r="F443" s="109"/>
      <c r="G443" s="105"/>
      <c r="H443" s="106"/>
    </row>
    <row r="444" spans="1:8" x14ac:dyDescent="0.25">
      <c r="A444" s="113">
        <f t="shared" si="30"/>
        <v>1.0469999999999948</v>
      </c>
      <c r="B444" s="100"/>
      <c r="C444" s="107"/>
      <c r="D444" s="108"/>
      <c r="E444" s="107"/>
      <c r="F444" s="109"/>
      <c r="G444" s="105"/>
      <c r="H444" s="106"/>
    </row>
    <row r="445" spans="1:8" x14ac:dyDescent="0.25">
      <c r="A445" s="113">
        <f t="shared" si="30"/>
        <v>1.0469999999999948</v>
      </c>
      <c r="B445" s="100"/>
      <c r="C445" s="107"/>
      <c r="D445" s="108"/>
      <c r="E445" s="107"/>
      <c r="F445" s="109"/>
      <c r="G445" s="105"/>
      <c r="H445" s="106"/>
    </row>
    <row r="446" spans="1:8" x14ac:dyDescent="0.25">
      <c r="A446" s="113">
        <f t="shared" si="30"/>
        <v>1.0469999999999948</v>
      </c>
      <c r="B446" s="100"/>
      <c r="C446" s="107"/>
      <c r="D446" s="108"/>
      <c r="E446" s="107"/>
      <c r="F446" s="109"/>
      <c r="G446" s="105"/>
      <c r="H446" s="106"/>
    </row>
    <row r="447" spans="1:8" x14ac:dyDescent="0.25">
      <c r="A447" s="113">
        <f t="shared" si="30"/>
        <v>1.0469999999999948</v>
      </c>
      <c r="B447" s="100"/>
      <c r="C447" s="107"/>
      <c r="D447" s="108"/>
      <c r="E447" s="107"/>
      <c r="F447" s="109"/>
      <c r="G447" s="105"/>
      <c r="H447" s="106"/>
    </row>
    <row r="448" spans="1:8" x14ac:dyDescent="0.25">
      <c r="A448" s="113">
        <f t="shared" si="30"/>
        <v>1.0469999999999948</v>
      </c>
      <c r="B448" s="100"/>
      <c r="C448" s="107"/>
      <c r="D448" s="108"/>
      <c r="E448" s="107"/>
      <c r="F448" s="109"/>
      <c r="G448" s="105"/>
      <c r="H448" s="106"/>
    </row>
    <row r="449" spans="1:8" x14ac:dyDescent="0.25">
      <c r="A449" s="113">
        <f t="shared" si="30"/>
        <v>1.0469999999999948</v>
      </c>
      <c r="B449" s="100"/>
      <c r="C449" s="107"/>
      <c r="D449" s="108"/>
      <c r="E449" s="107"/>
      <c r="F449" s="109"/>
      <c r="G449" s="105"/>
      <c r="H449" s="106"/>
    </row>
    <row r="450" spans="1:8" x14ac:dyDescent="0.25">
      <c r="A450" s="113">
        <f t="shared" si="30"/>
        <v>1.0469999999999948</v>
      </c>
      <c r="B450" s="100"/>
      <c r="C450" s="107"/>
      <c r="D450" s="108"/>
      <c r="E450" s="107"/>
      <c r="F450" s="109"/>
      <c r="G450" s="105"/>
      <c r="H450" s="106"/>
    </row>
    <row r="451" spans="1:8" x14ac:dyDescent="0.25">
      <c r="A451" s="113">
        <f t="shared" si="30"/>
        <v>1.0469999999999948</v>
      </c>
      <c r="B451" s="100"/>
      <c r="C451" s="107"/>
      <c r="D451" s="108"/>
      <c r="E451" s="107"/>
      <c r="F451" s="109"/>
      <c r="G451" s="105"/>
      <c r="H451" s="106"/>
    </row>
    <row r="452" spans="1:8" x14ac:dyDescent="0.25">
      <c r="A452" s="113">
        <f t="shared" si="30"/>
        <v>1.0469999999999948</v>
      </c>
      <c r="B452" s="100"/>
      <c r="C452" s="107"/>
      <c r="D452" s="108"/>
      <c r="E452" s="107"/>
      <c r="F452" s="109"/>
      <c r="G452" s="105"/>
      <c r="H452" s="106"/>
    </row>
    <row r="453" spans="1:8" x14ac:dyDescent="0.25">
      <c r="A453" s="113">
        <f t="shared" si="30"/>
        <v>1.0469999999999948</v>
      </c>
      <c r="B453" s="100"/>
      <c r="C453" s="107"/>
      <c r="D453" s="108"/>
      <c r="E453" s="107"/>
      <c r="F453" s="109"/>
      <c r="G453" s="105"/>
      <c r="H453" s="106"/>
    </row>
    <row r="454" spans="1:8" x14ac:dyDescent="0.25">
      <c r="A454" s="113">
        <f t="shared" si="30"/>
        <v>1.0469999999999948</v>
      </c>
      <c r="B454" s="100"/>
      <c r="C454" s="107"/>
      <c r="D454" s="108"/>
      <c r="E454" s="107"/>
      <c r="F454" s="109"/>
      <c r="G454" s="105"/>
      <c r="H454" s="106"/>
    </row>
    <row r="455" spans="1:8" x14ac:dyDescent="0.25">
      <c r="A455" s="113">
        <f t="shared" si="30"/>
        <v>1.0469999999999948</v>
      </c>
      <c r="B455" s="100"/>
      <c r="C455" s="107"/>
      <c r="D455" s="108"/>
      <c r="E455" s="107"/>
      <c r="F455" s="109"/>
      <c r="G455" s="105"/>
      <c r="H455" s="106"/>
    </row>
    <row r="456" spans="1:8" ht="15.75" thickBot="1" x14ac:dyDescent="0.3">
      <c r="A456" s="113">
        <f t="shared" si="30"/>
        <v>1.0469999999999948</v>
      </c>
      <c r="B456" s="100"/>
      <c r="C456" s="107"/>
      <c r="D456" s="108"/>
      <c r="E456" s="107"/>
      <c r="F456" s="109"/>
      <c r="G456" s="106"/>
      <c r="H456" s="106"/>
    </row>
    <row r="457" spans="1:8" ht="15.75" thickBot="1" x14ac:dyDescent="0.3">
      <c r="A457" s="113"/>
      <c r="B457" s="173"/>
      <c r="C457" s="174"/>
      <c r="D457" s="174"/>
      <c r="E457" s="174"/>
      <c r="F457" s="174"/>
      <c r="G457" s="175"/>
      <c r="H457" s="117"/>
    </row>
    <row r="458" spans="1:8" x14ac:dyDescent="0.25">
      <c r="H458" s="92" t="str">
        <f t="shared" ref="H458:H464" si="31">IF(F458="","",G458*F458)</f>
        <v/>
      </c>
    </row>
    <row r="459" spans="1:8" x14ac:dyDescent="0.25">
      <c r="H459" s="92" t="str">
        <f t="shared" si="31"/>
        <v/>
      </c>
    </row>
    <row r="460" spans="1:8" x14ac:dyDescent="0.25">
      <c r="H460" s="92" t="str">
        <f t="shared" si="31"/>
        <v/>
      </c>
    </row>
    <row r="461" spans="1:8" x14ac:dyDescent="0.25">
      <c r="H461" s="92" t="str">
        <f t="shared" si="31"/>
        <v/>
      </c>
    </row>
    <row r="462" spans="1:8" x14ac:dyDescent="0.25">
      <c r="H462" s="92" t="str">
        <f t="shared" si="31"/>
        <v/>
      </c>
    </row>
    <row r="463" spans="1:8" x14ac:dyDescent="0.25">
      <c r="H463" s="92" t="str">
        <f t="shared" si="31"/>
        <v/>
      </c>
    </row>
    <row r="464" spans="1:8" x14ac:dyDescent="0.25">
      <c r="H464" s="92" t="str">
        <f t="shared" si="31"/>
        <v/>
      </c>
    </row>
  </sheetData>
  <mergeCells count="27">
    <mergeCell ref="B376:G376"/>
    <mergeCell ref="B378:G378"/>
    <mergeCell ref="B409:G409"/>
    <mergeCell ref="B411:G411"/>
    <mergeCell ref="B457:G457"/>
    <mergeCell ref="B285:G285"/>
    <mergeCell ref="B287:G287"/>
    <mergeCell ref="B314:G314"/>
    <mergeCell ref="B316:G316"/>
    <mergeCell ref="B345:G345"/>
    <mergeCell ref="B347:G347"/>
    <mergeCell ref="B215:G215"/>
    <mergeCell ref="B217:G217"/>
    <mergeCell ref="B221:G221"/>
    <mergeCell ref="B223:G223"/>
    <mergeCell ref="B253:G253"/>
    <mergeCell ref="B255:G255"/>
    <mergeCell ref="B133:G133"/>
    <mergeCell ref="B135:G135"/>
    <mergeCell ref="B175:G175"/>
    <mergeCell ref="B177:G177"/>
    <mergeCell ref="B66:G66"/>
    <mergeCell ref="B68:G68"/>
    <mergeCell ref="B99:G99"/>
    <mergeCell ref="B101:G101"/>
    <mergeCell ref="B33:G33"/>
    <mergeCell ref="B35:G35"/>
  </mergeCells>
  <pageMargins left="0.7" right="0.7" top="0.75" bottom="0.75" header="0.3" footer="0.3"/>
  <pageSetup paperSize="9" scale="83" orientation="portrait" r:id="rId1"/>
  <rowBreaks count="11" manualBreakCount="11">
    <brk id="33" min="1" max="7" man="1"/>
    <brk id="66" min="1" max="7" man="1"/>
    <brk id="99" min="1" max="7" man="1"/>
    <brk id="133" min="1" max="7" man="1"/>
    <brk id="177" min="1" max="7" man="1"/>
    <brk id="251" min="1" max="7" man="1"/>
    <brk id="278" min="1" max="7" man="1"/>
    <brk id="307" min="1" max="7" man="1"/>
    <brk id="335" min="1" max="7" man="1"/>
    <brk id="366" min="1" max="7" man="1"/>
    <brk id="397" min="1" max="7" man="1"/>
  </rowBreak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H464"/>
  <sheetViews>
    <sheetView showGridLines="0" view="pageBreakPreview" zoomScale="130" zoomScaleNormal="100" zoomScaleSheetLayoutView="130" workbookViewId="0">
      <selection activeCell="B3" sqref="B3"/>
    </sheetView>
  </sheetViews>
  <sheetFormatPr defaultRowHeight="15" x14ac:dyDescent="0.25"/>
  <cols>
    <col min="2" max="2" width="8.28515625" style="95" customWidth="1"/>
    <col min="3" max="3" width="9.28515625" style="93" customWidth="1"/>
    <col min="4" max="4" width="32.7109375" style="94" customWidth="1"/>
    <col min="5" max="6" width="8.28515625" style="91" customWidth="1"/>
    <col min="7" max="7" width="9.28515625" style="92" customWidth="1"/>
    <col min="8" max="8" width="11.28515625" style="92" customWidth="1"/>
  </cols>
  <sheetData>
    <row r="1" spans="1:8" ht="24.75" thickBot="1" x14ac:dyDescent="0.3">
      <c r="B1" s="96" t="s">
        <v>36</v>
      </c>
      <c r="C1" s="97" t="s">
        <v>94</v>
      </c>
      <c r="D1" s="97" t="s">
        <v>38</v>
      </c>
      <c r="E1" s="97" t="s">
        <v>37</v>
      </c>
      <c r="F1" s="98" t="s">
        <v>81</v>
      </c>
      <c r="G1" s="99" t="s">
        <v>86</v>
      </c>
      <c r="H1" s="99" t="s">
        <v>95</v>
      </c>
    </row>
    <row r="2" spans="1:8" x14ac:dyDescent="0.25">
      <c r="B2" s="100"/>
      <c r="C2" s="101"/>
      <c r="D2" s="102"/>
      <c r="E2" s="103"/>
      <c r="F2" s="104"/>
      <c r="G2" s="105"/>
      <c r="H2" s="106"/>
    </row>
    <row r="3" spans="1:8" ht="27" x14ac:dyDescent="0.25">
      <c r="A3" s="113">
        <v>2</v>
      </c>
      <c r="B3" s="100" t="str">
        <f t="shared" ref="B3:B28" si="0">+IF(F3&gt;0,A3,"")</f>
        <v/>
      </c>
      <c r="C3" s="101"/>
      <c r="D3" s="102" t="s">
        <v>237</v>
      </c>
      <c r="E3" s="103"/>
      <c r="F3" s="104"/>
      <c r="G3" s="105"/>
      <c r="H3" s="106" t="str">
        <f t="shared" ref="H3:H28" si="1">IF(F3="","",G3*F3)</f>
        <v/>
      </c>
    </row>
    <row r="4" spans="1:8" x14ac:dyDescent="0.25">
      <c r="A4" s="113">
        <f t="shared" ref="A4:A28" si="2">+IF(F4&gt;0.01,A3+0.001,A3)</f>
        <v>2</v>
      </c>
      <c r="B4" s="100" t="str">
        <f t="shared" si="0"/>
        <v/>
      </c>
      <c r="C4" s="107" t="s">
        <v>54</v>
      </c>
      <c r="D4" s="108"/>
      <c r="E4" s="107"/>
      <c r="F4" s="109"/>
      <c r="G4" s="105"/>
      <c r="H4" s="106" t="str">
        <f t="shared" si="1"/>
        <v/>
      </c>
    </row>
    <row r="5" spans="1:8" ht="24.75" customHeight="1" x14ac:dyDescent="0.25">
      <c r="A5" s="113">
        <f t="shared" si="2"/>
        <v>2</v>
      </c>
      <c r="B5" s="100" t="str">
        <f t="shared" si="0"/>
        <v/>
      </c>
      <c r="C5" s="110" t="s">
        <v>55</v>
      </c>
      <c r="D5" s="111" t="s">
        <v>126</v>
      </c>
      <c r="E5" s="107"/>
      <c r="F5" s="109"/>
      <c r="G5" s="105"/>
      <c r="H5" s="106" t="str">
        <f t="shared" si="1"/>
        <v/>
      </c>
    </row>
    <row r="6" spans="1:8" ht="18.75" customHeight="1" x14ac:dyDescent="0.25">
      <c r="A6" s="113">
        <f t="shared" si="2"/>
        <v>2</v>
      </c>
      <c r="B6" s="100" t="str">
        <f t="shared" si="0"/>
        <v/>
      </c>
      <c r="C6" s="107">
        <v>8.3000000000000007</v>
      </c>
      <c r="D6" s="112" t="s">
        <v>33</v>
      </c>
      <c r="E6" s="107"/>
      <c r="F6" s="109"/>
      <c r="G6" s="105"/>
      <c r="H6" s="106" t="str">
        <f t="shared" si="1"/>
        <v/>
      </c>
    </row>
    <row r="7" spans="1:8" ht="108" customHeight="1" x14ac:dyDescent="0.25">
      <c r="A7" s="113">
        <f t="shared" si="2"/>
        <v>2</v>
      </c>
      <c r="B7" s="100" t="str">
        <f t="shared" si="0"/>
        <v/>
      </c>
      <c r="C7" s="107" t="s">
        <v>418</v>
      </c>
      <c r="D7" s="108" t="s">
        <v>87</v>
      </c>
      <c r="E7" s="107"/>
      <c r="F7" s="109"/>
      <c r="G7" s="105"/>
      <c r="H7" s="106" t="str">
        <f t="shared" si="1"/>
        <v/>
      </c>
    </row>
    <row r="8" spans="1:8" x14ac:dyDescent="0.25">
      <c r="A8" s="113">
        <f t="shared" si="2"/>
        <v>2.0009999999999999</v>
      </c>
      <c r="B8" s="100">
        <f t="shared" si="0"/>
        <v>2.0009999999999999</v>
      </c>
      <c r="C8" s="107" t="s">
        <v>1023</v>
      </c>
      <c r="D8" s="108" t="s">
        <v>242</v>
      </c>
      <c r="E8" s="107" t="s">
        <v>47</v>
      </c>
      <c r="F8" s="109">
        <v>23.52</v>
      </c>
      <c r="G8" s="105"/>
      <c r="H8" s="106">
        <f t="shared" si="1"/>
        <v>0</v>
      </c>
    </row>
    <row r="9" spans="1:8" x14ac:dyDescent="0.25">
      <c r="A9" s="113">
        <f t="shared" si="2"/>
        <v>2.0019999999999998</v>
      </c>
      <c r="B9" s="100">
        <f t="shared" si="0"/>
        <v>2.0019999999999998</v>
      </c>
      <c r="C9" s="107" t="s">
        <v>1025</v>
      </c>
      <c r="D9" s="108" t="s">
        <v>243</v>
      </c>
      <c r="E9" s="107" t="s">
        <v>47</v>
      </c>
      <c r="F9" s="109">
        <v>50</v>
      </c>
      <c r="G9" s="105"/>
      <c r="H9" s="106">
        <f t="shared" si="1"/>
        <v>0</v>
      </c>
    </row>
    <row r="10" spans="1:8" ht="27" x14ac:dyDescent="0.25">
      <c r="A10" s="113">
        <f t="shared" si="2"/>
        <v>2.0029999999999997</v>
      </c>
      <c r="B10" s="100">
        <f t="shared" si="0"/>
        <v>2.0029999999999997</v>
      </c>
      <c r="C10" s="107" t="s">
        <v>1054</v>
      </c>
      <c r="D10" s="108" t="s">
        <v>244</v>
      </c>
      <c r="E10" s="107" t="s">
        <v>47</v>
      </c>
      <c r="F10" s="109">
        <v>38</v>
      </c>
      <c r="G10" s="105"/>
      <c r="H10" s="106">
        <f t="shared" si="1"/>
        <v>0</v>
      </c>
    </row>
    <row r="11" spans="1:8" x14ac:dyDescent="0.25">
      <c r="A11" s="113">
        <f t="shared" si="2"/>
        <v>2.0039999999999996</v>
      </c>
      <c r="B11" s="100">
        <f t="shared" si="0"/>
        <v>2.0039999999999996</v>
      </c>
      <c r="C11" s="107" t="s">
        <v>1047</v>
      </c>
      <c r="D11" s="108" t="s">
        <v>245</v>
      </c>
      <c r="E11" s="107" t="s">
        <v>47</v>
      </c>
      <c r="F11" s="109">
        <v>22.24</v>
      </c>
      <c r="G11" s="105"/>
      <c r="H11" s="106">
        <f t="shared" si="1"/>
        <v>0</v>
      </c>
    </row>
    <row r="12" spans="1:8" x14ac:dyDescent="0.25">
      <c r="A12" s="113">
        <f t="shared" si="2"/>
        <v>2.0049999999999994</v>
      </c>
      <c r="B12" s="100">
        <f t="shared" si="0"/>
        <v>2.0049999999999994</v>
      </c>
      <c r="C12" s="107" t="s">
        <v>1047</v>
      </c>
      <c r="D12" s="108" t="s">
        <v>246</v>
      </c>
      <c r="E12" s="107" t="s">
        <v>47</v>
      </c>
      <c r="F12" s="109">
        <v>21.76</v>
      </c>
      <c r="G12" s="105"/>
      <c r="H12" s="106">
        <f t="shared" si="1"/>
        <v>0</v>
      </c>
    </row>
    <row r="13" spans="1:8" x14ac:dyDescent="0.25">
      <c r="A13" s="113">
        <f t="shared" si="2"/>
        <v>2.0059999999999993</v>
      </c>
      <c r="B13" s="100">
        <f t="shared" si="0"/>
        <v>2.0059999999999993</v>
      </c>
      <c r="C13" s="107" t="s">
        <v>1053</v>
      </c>
      <c r="D13" s="108" t="s">
        <v>839</v>
      </c>
      <c r="E13" s="107" t="s">
        <v>47</v>
      </c>
      <c r="F13" s="109">
        <v>2320.5501703847049</v>
      </c>
      <c r="G13" s="105"/>
      <c r="H13" s="106">
        <f t="shared" si="1"/>
        <v>0</v>
      </c>
    </row>
    <row r="14" spans="1:8" x14ac:dyDescent="0.25">
      <c r="A14" s="113">
        <f t="shared" si="2"/>
        <v>2.0069999999999992</v>
      </c>
      <c r="B14" s="100">
        <f t="shared" si="0"/>
        <v>2.0069999999999992</v>
      </c>
      <c r="C14" s="107" t="s">
        <v>1054</v>
      </c>
      <c r="D14" s="108" t="s">
        <v>83</v>
      </c>
      <c r="E14" s="107" t="s">
        <v>47</v>
      </c>
      <c r="F14" s="109">
        <v>340</v>
      </c>
      <c r="G14" s="105"/>
      <c r="H14" s="106">
        <f t="shared" si="1"/>
        <v>0</v>
      </c>
    </row>
    <row r="15" spans="1:8" x14ac:dyDescent="0.25">
      <c r="A15" s="113">
        <f t="shared" si="2"/>
        <v>2.0079999999999991</v>
      </c>
      <c r="B15" s="100">
        <f t="shared" si="0"/>
        <v>2.0079999999999991</v>
      </c>
      <c r="C15" s="107" t="s">
        <v>1053</v>
      </c>
      <c r="D15" s="108" t="s">
        <v>84</v>
      </c>
      <c r="E15" s="107" t="s">
        <v>47</v>
      </c>
      <c r="F15" s="109">
        <v>112.305322126996</v>
      </c>
      <c r="G15" s="105"/>
      <c r="H15" s="106">
        <f t="shared" si="1"/>
        <v>0</v>
      </c>
    </row>
    <row r="16" spans="1:8" x14ac:dyDescent="0.25">
      <c r="A16" s="113">
        <f t="shared" si="2"/>
        <v>2.008999999999999</v>
      </c>
      <c r="B16" s="100">
        <f t="shared" si="0"/>
        <v>2.008999999999999</v>
      </c>
      <c r="C16" s="107" t="s">
        <v>1053</v>
      </c>
      <c r="D16" s="108" t="s">
        <v>85</v>
      </c>
      <c r="E16" s="107" t="s">
        <v>47</v>
      </c>
      <c r="F16" s="109">
        <v>110.10336213336301</v>
      </c>
      <c r="G16" s="105"/>
      <c r="H16" s="106">
        <f t="shared" si="1"/>
        <v>0</v>
      </c>
    </row>
    <row r="17" spans="1:8" x14ac:dyDescent="0.25">
      <c r="A17" s="113">
        <f t="shared" si="2"/>
        <v>2.008999999999999</v>
      </c>
      <c r="B17" s="100" t="str">
        <f t="shared" si="0"/>
        <v/>
      </c>
      <c r="C17" s="107"/>
      <c r="D17" s="108"/>
      <c r="E17" s="107"/>
      <c r="F17" s="109"/>
      <c r="G17" s="105"/>
      <c r="H17" s="106" t="str">
        <f t="shared" si="1"/>
        <v/>
      </c>
    </row>
    <row r="18" spans="1:8" ht="54" x14ac:dyDescent="0.25">
      <c r="A18" s="113">
        <f t="shared" si="2"/>
        <v>2.008999999999999</v>
      </c>
      <c r="B18" s="100" t="str">
        <f t="shared" si="0"/>
        <v/>
      </c>
      <c r="C18" s="107" t="s">
        <v>415</v>
      </c>
      <c r="D18" s="108" t="s">
        <v>88</v>
      </c>
      <c r="E18" s="107"/>
      <c r="F18" s="109"/>
      <c r="G18" s="105"/>
      <c r="H18" s="106" t="str">
        <f t="shared" si="1"/>
        <v/>
      </c>
    </row>
    <row r="19" spans="1:8" ht="27" x14ac:dyDescent="0.25">
      <c r="A19" s="113">
        <f t="shared" si="2"/>
        <v>2.0099999999999989</v>
      </c>
      <c r="B19" s="100">
        <f t="shared" si="0"/>
        <v>2.0099999999999989</v>
      </c>
      <c r="C19" s="107" t="s">
        <v>1024</v>
      </c>
      <c r="D19" s="108" t="s">
        <v>859</v>
      </c>
      <c r="E19" s="107" t="s">
        <v>48</v>
      </c>
      <c r="F19" s="109">
        <v>12</v>
      </c>
      <c r="G19" s="105"/>
      <c r="H19" s="106">
        <f t="shared" si="1"/>
        <v>0</v>
      </c>
    </row>
    <row r="20" spans="1:8" ht="27" x14ac:dyDescent="0.25">
      <c r="A20" s="113">
        <f t="shared" si="2"/>
        <v>2.0109999999999988</v>
      </c>
      <c r="B20" s="100">
        <f t="shared" si="0"/>
        <v>2.0109999999999988</v>
      </c>
      <c r="C20" s="107" t="s">
        <v>1024</v>
      </c>
      <c r="D20" s="108" t="s">
        <v>840</v>
      </c>
      <c r="E20" s="107" t="s">
        <v>48</v>
      </c>
      <c r="F20" s="109">
        <v>8</v>
      </c>
      <c r="G20" s="105"/>
      <c r="H20" s="106">
        <f t="shared" si="1"/>
        <v>0</v>
      </c>
    </row>
    <row r="21" spans="1:8" ht="27" x14ac:dyDescent="0.25">
      <c r="A21" s="113">
        <f t="shared" si="2"/>
        <v>2.0119999999999987</v>
      </c>
      <c r="B21" s="100">
        <f t="shared" si="0"/>
        <v>2.0119999999999987</v>
      </c>
      <c r="C21" s="107" t="s">
        <v>1024</v>
      </c>
      <c r="D21" s="108" t="s">
        <v>841</v>
      </c>
      <c r="E21" s="107" t="s">
        <v>47</v>
      </c>
      <c r="F21" s="109">
        <v>8</v>
      </c>
      <c r="G21" s="105"/>
      <c r="H21" s="106">
        <f t="shared" si="1"/>
        <v>0</v>
      </c>
    </row>
    <row r="22" spans="1:8" ht="27" x14ac:dyDescent="0.25">
      <c r="A22" s="113">
        <f t="shared" si="2"/>
        <v>2.0129999999999986</v>
      </c>
      <c r="B22" s="100">
        <f t="shared" si="0"/>
        <v>2.0129999999999986</v>
      </c>
      <c r="C22" s="107" t="s">
        <v>1047</v>
      </c>
      <c r="D22" s="108" t="s">
        <v>860</v>
      </c>
      <c r="E22" s="107" t="s">
        <v>47</v>
      </c>
      <c r="F22" s="109">
        <v>52</v>
      </c>
      <c r="G22" s="105"/>
      <c r="H22" s="106">
        <f t="shared" si="1"/>
        <v>0</v>
      </c>
    </row>
    <row r="23" spans="1:8" ht="27" x14ac:dyDescent="0.25">
      <c r="A23" s="113">
        <f t="shared" si="2"/>
        <v>2.0139999999999985</v>
      </c>
      <c r="B23" s="100">
        <f t="shared" si="0"/>
        <v>2.0139999999999985</v>
      </c>
      <c r="C23" s="107" t="s">
        <v>1047</v>
      </c>
      <c r="D23" s="162" t="s">
        <v>842</v>
      </c>
      <c r="E23" s="107" t="s">
        <v>48</v>
      </c>
      <c r="F23" s="109">
        <v>6</v>
      </c>
      <c r="G23" s="105"/>
      <c r="H23" s="106">
        <f t="shared" si="1"/>
        <v>0</v>
      </c>
    </row>
    <row r="24" spans="1:8" ht="27" x14ac:dyDescent="0.25">
      <c r="A24" s="113">
        <f t="shared" si="2"/>
        <v>2.0149999999999983</v>
      </c>
      <c r="B24" s="100">
        <f t="shared" si="0"/>
        <v>2.0149999999999983</v>
      </c>
      <c r="C24" s="107" t="s">
        <v>1047</v>
      </c>
      <c r="D24" s="162" t="s">
        <v>221</v>
      </c>
      <c r="E24" s="107" t="s">
        <v>48</v>
      </c>
      <c r="F24" s="109">
        <v>10</v>
      </c>
      <c r="G24" s="105"/>
      <c r="H24" s="106">
        <f t="shared" si="1"/>
        <v>0</v>
      </c>
    </row>
    <row r="25" spans="1:8" ht="27" x14ac:dyDescent="0.25">
      <c r="A25" s="113">
        <f t="shared" si="2"/>
        <v>2.0159999999999982</v>
      </c>
      <c r="B25" s="100">
        <f t="shared" si="0"/>
        <v>2.0159999999999982</v>
      </c>
      <c r="C25" s="107" t="s">
        <v>1024</v>
      </c>
      <c r="D25" s="162" t="s">
        <v>843</v>
      </c>
      <c r="E25" s="107" t="s">
        <v>48</v>
      </c>
      <c r="F25" s="109">
        <v>9</v>
      </c>
      <c r="G25" s="105"/>
      <c r="H25" s="106">
        <f t="shared" si="1"/>
        <v>0</v>
      </c>
    </row>
    <row r="26" spans="1:8" ht="27" x14ac:dyDescent="0.25">
      <c r="A26" s="113">
        <f t="shared" si="2"/>
        <v>2.0169999999999981</v>
      </c>
      <c r="B26" s="100">
        <f t="shared" si="0"/>
        <v>2.0169999999999981</v>
      </c>
      <c r="C26" s="107" t="s">
        <v>1024</v>
      </c>
      <c r="D26" s="162" t="s">
        <v>844</v>
      </c>
      <c r="E26" s="107" t="s">
        <v>48</v>
      </c>
      <c r="F26" s="109">
        <v>10</v>
      </c>
      <c r="G26" s="105"/>
      <c r="H26" s="106">
        <f t="shared" si="1"/>
        <v>0</v>
      </c>
    </row>
    <row r="27" spans="1:8" ht="27" x14ac:dyDescent="0.25">
      <c r="A27" s="113">
        <f t="shared" si="2"/>
        <v>2.017999999999998</v>
      </c>
      <c r="B27" s="100">
        <f t="shared" si="0"/>
        <v>2.017999999999998</v>
      </c>
      <c r="C27" s="107" t="s">
        <v>1024</v>
      </c>
      <c r="D27" s="162" t="s">
        <v>845</v>
      </c>
      <c r="E27" s="107" t="s">
        <v>48</v>
      </c>
      <c r="F27" s="109">
        <v>10</v>
      </c>
      <c r="G27" s="105"/>
      <c r="H27" s="106">
        <f t="shared" si="1"/>
        <v>0</v>
      </c>
    </row>
    <row r="28" spans="1:8" ht="27.75" thickBot="1" x14ac:dyDescent="0.3">
      <c r="A28" s="113">
        <f t="shared" si="2"/>
        <v>2.0189999999999979</v>
      </c>
      <c r="B28" s="100">
        <f t="shared" si="0"/>
        <v>2.0189999999999979</v>
      </c>
      <c r="C28" s="107" t="s">
        <v>1024</v>
      </c>
      <c r="D28" s="162" t="s">
        <v>846</v>
      </c>
      <c r="E28" s="107" t="s">
        <v>48</v>
      </c>
      <c r="F28" s="109">
        <v>8</v>
      </c>
      <c r="G28" s="105"/>
      <c r="H28" s="106">
        <f t="shared" si="1"/>
        <v>0</v>
      </c>
    </row>
    <row r="29" spans="1:8" ht="15.75" thickBot="1" x14ac:dyDescent="0.3">
      <c r="A29" s="113"/>
      <c r="B29" s="173" t="s">
        <v>240</v>
      </c>
      <c r="C29" s="174"/>
      <c r="D29" s="174"/>
      <c r="E29" s="174"/>
      <c r="F29" s="174"/>
      <c r="G29" s="175"/>
      <c r="H29" s="117">
        <f>SUM(H2:H28)</f>
        <v>0</v>
      </c>
    </row>
    <row r="30" spans="1:8" ht="24.75" thickBot="1" x14ac:dyDescent="0.3">
      <c r="A30" s="113"/>
      <c r="B30" s="114" t="s">
        <v>36</v>
      </c>
      <c r="C30" s="97" t="s">
        <v>94</v>
      </c>
      <c r="D30" s="115" t="s">
        <v>38</v>
      </c>
      <c r="E30" s="115" t="s">
        <v>37</v>
      </c>
      <c r="F30" s="115" t="s">
        <v>81</v>
      </c>
      <c r="G30" s="116" t="s">
        <v>86</v>
      </c>
      <c r="H30" s="99" t="s">
        <v>95</v>
      </c>
    </row>
    <row r="31" spans="1:8" ht="15.75" thickBot="1" x14ac:dyDescent="0.3">
      <c r="A31" s="113"/>
      <c r="B31" s="173" t="s">
        <v>241</v>
      </c>
      <c r="C31" s="174"/>
      <c r="D31" s="174"/>
      <c r="E31" s="174"/>
      <c r="F31" s="174"/>
      <c r="G31" s="175"/>
      <c r="H31" s="117">
        <f>H29</f>
        <v>0</v>
      </c>
    </row>
    <row r="32" spans="1:8" ht="54" x14ac:dyDescent="0.25">
      <c r="A32" s="113"/>
      <c r="B32" s="100" t="str">
        <f>+IF(F32&gt;0,A32,"")</f>
        <v/>
      </c>
      <c r="C32" s="107" t="s">
        <v>415</v>
      </c>
      <c r="D32" s="152" t="s">
        <v>88</v>
      </c>
      <c r="E32" s="107"/>
      <c r="F32" s="109"/>
      <c r="G32" s="105"/>
      <c r="H32" s="106" t="str">
        <f t="shared" ref="H32:H55" si="3">IF(F32="","",G32*F32)</f>
        <v/>
      </c>
    </row>
    <row r="33" spans="1:8" x14ac:dyDescent="0.25">
      <c r="A33" s="113">
        <f>+IF(F33&gt;0.01,A28+0.001,A32)</f>
        <v>2.0199999999999978</v>
      </c>
      <c r="B33" s="100">
        <f>+IF(F33&gt;0,A33,"")</f>
        <v>2.0199999999999978</v>
      </c>
      <c r="C33" s="107" t="s">
        <v>1024</v>
      </c>
      <c r="D33" s="108" t="s">
        <v>850</v>
      </c>
      <c r="E33" s="107" t="s">
        <v>48</v>
      </c>
      <c r="F33" s="109">
        <v>11</v>
      </c>
      <c r="G33" s="105"/>
      <c r="H33" s="106">
        <f t="shared" si="3"/>
        <v>0</v>
      </c>
    </row>
    <row r="34" spans="1:8" x14ac:dyDescent="0.25">
      <c r="A34" s="113">
        <f>+IF(F34&gt;0.01,A33+0.001,A33)</f>
        <v>2.0209999999999977</v>
      </c>
      <c r="B34" s="100">
        <f t="shared" ref="B34:B46" si="4">+IF(F34&gt;0,A34,"")</f>
        <v>2.0209999999999977</v>
      </c>
      <c r="C34" s="107" t="s">
        <v>1024</v>
      </c>
      <c r="D34" s="108" t="s">
        <v>849</v>
      </c>
      <c r="E34" s="107" t="s">
        <v>48</v>
      </c>
      <c r="F34" s="109">
        <v>27</v>
      </c>
      <c r="G34" s="105"/>
      <c r="H34" s="106">
        <f t="shared" si="3"/>
        <v>0</v>
      </c>
    </row>
    <row r="35" spans="1:8" x14ac:dyDescent="0.25">
      <c r="A35" s="113">
        <f t="shared" ref="A35:A68" si="5">+IF(F35&gt;0.01,A34+0.001,A34)</f>
        <v>2.0219999999999976</v>
      </c>
      <c r="B35" s="100">
        <f t="shared" si="4"/>
        <v>2.0219999999999976</v>
      </c>
      <c r="C35" s="107" t="s">
        <v>1024</v>
      </c>
      <c r="D35" s="164" t="s">
        <v>848</v>
      </c>
      <c r="E35" s="163" t="s">
        <v>48</v>
      </c>
      <c r="F35" s="165">
        <v>27</v>
      </c>
      <c r="G35" s="166"/>
      <c r="H35" s="106">
        <f t="shared" si="3"/>
        <v>0</v>
      </c>
    </row>
    <row r="36" spans="1:8" x14ac:dyDescent="0.25">
      <c r="A36" s="113">
        <f t="shared" si="5"/>
        <v>2.0229999999999975</v>
      </c>
      <c r="B36" s="100">
        <f t="shared" si="4"/>
        <v>2.0229999999999975</v>
      </c>
      <c r="C36" s="107" t="s">
        <v>1052</v>
      </c>
      <c r="D36" s="108" t="s">
        <v>847</v>
      </c>
      <c r="E36" s="107" t="s">
        <v>48</v>
      </c>
      <c r="F36" s="109">
        <v>3.6</v>
      </c>
      <c r="G36" s="105"/>
      <c r="H36" s="106">
        <f t="shared" si="3"/>
        <v>0</v>
      </c>
    </row>
    <row r="37" spans="1:8" x14ac:dyDescent="0.25">
      <c r="A37" s="113">
        <f t="shared" si="5"/>
        <v>2.0239999999999974</v>
      </c>
      <c r="B37" s="100">
        <f t="shared" si="4"/>
        <v>2.0239999999999974</v>
      </c>
      <c r="C37" s="107" t="s">
        <v>1053</v>
      </c>
      <c r="D37" s="108" t="s">
        <v>851</v>
      </c>
      <c r="E37" s="163" t="s">
        <v>48</v>
      </c>
      <c r="F37" s="165">
        <v>950</v>
      </c>
      <c r="G37" s="166"/>
      <c r="H37" s="106">
        <f t="shared" si="3"/>
        <v>0</v>
      </c>
    </row>
    <row r="38" spans="1:8" ht="27" x14ac:dyDescent="0.25">
      <c r="A38" s="113">
        <f t="shared" si="5"/>
        <v>2.0249999999999972</v>
      </c>
      <c r="B38" s="100">
        <f t="shared" si="4"/>
        <v>2.0249999999999972</v>
      </c>
      <c r="C38" s="107" t="s">
        <v>1054</v>
      </c>
      <c r="D38" s="164" t="s">
        <v>229</v>
      </c>
      <c r="E38" s="163" t="s">
        <v>48</v>
      </c>
      <c r="F38" s="165">
        <v>20</v>
      </c>
      <c r="G38" s="166"/>
      <c r="H38" s="106">
        <f t="shared" si="3"/>
        <v>0</v>
      </c>
    </row>
    <row r="39" spans="1:8" ht="27" x14ac:dyDescent="0.25">
      <c r="A39" s="113">
        <f t="shared" si="5"/>
        <v>2.0259999999999971</v>
      </c>
      <c r="B39" s="100">
        <f t="shared" si="4"/>
        <v>2.0259999999999971</v>
      </c>
      <c r="C39" s="107" t="s">
        <v>1047</v>
      </c>
      <c r="D39" s="164" t="s">
        <v>230</v>
      </c>
      <c r="E39" s="163" t="s">
        <v>48</v>
      </c>
      <c r="F39" s="165">
        <v>25.787749999999999</v>
      </c>
      <c r="G39" s="166"/>
      <c r="H39" s="106">
        <f t="shared" si="3"/>
        <v>0</v>
      </c>
    </row>
    <row r="40" spans="1:8" ht="27" x14ac:dyDescent="0.25">
      <c r="A40" s="113">
        <f t="shared" si="5"/>
        <v>2.026999999999997</v>
      </c>
      <c r="B40" s="100">
        <f t="shared" si="4"/>
        <v>2.026999999999997</v>
      </c>
      <c r="C40" s="107" t="s">
        <v>1047</v>
      </c>
      <c r="D40" s="108" t="s">
        <v>231</v>
      </c>
      <c r="E40" s="107" t="s">
        <v>48</v>
      </c>
      <c r="F40" s="109">
        <v>22</v>
      </c>
      <c r="G40" s="105"/>
      <c r="H40" s="106">
        <f t="shared" si="3"/>
        <v>0</v>
      </c>
    </row>
    <row r="41" spans="1:8" ht="27" x14ac:dyDescent="0.25">
      <c r="A41" s="113">
        <f t="shared" si="5"/>
        <v>2.0279999999999969</v>
      </c>
      <c r="B41" s="100">
        <f t="shared" si="4"/>
        <v>2.0279999999999969</v>
      </c>
      <c r="C41" s="107" t="s">
        <v>1024</v>
      </c>
      <c r="D41" s="164" t="s">
        <v>852</v>
      </c>
      <c r="E41" s="163" t="s">
        <v>48</v>
      </c>
      <c r="F41" s="165">
        <v>8</v>
      </c>
      <c r="G41" s="166"/>
      <c r="H41" s="106">
        <f t="shared" si="3"/>
        <v>0</v>
      </c>
    </row>
    <row r="42" spans="1:8" ht="27" x14ac:dyDescent="0.25">
      <c r="A42" s="113">
        <f t="shared" si="5"/>
        <v>2.0289999999999968</v>
      </c>
      <c r="B42" s="100">
        <f t="shared" si="4"/>
        <v>2.0289999999999968</v>
      </c>
      <c r="C42" s="107" t="s">
        <v>1024</v>
      </c>
      <c r="D42" s="152" t="s">
        <v>853</v>
      </c>
      <c r="E42" s="107" t="s">
        <v>48</v>
      </c>
      <c r="F42" s="109">
        <v>8</v>
      </c>
      <c r="G42" s="105"/>
      <c r="H42" s="106">
        <f t="shared" si="3"/>
        <v>0</v>
      </c>
    </row>
    <row r="43" spans="1:8" ht="27" x14ac:dyDescent="0.25">
      <c r="A43" s="113">
        <f t="shared" si="5"/>
        <v>2.0299999999999967</v>
      </c>
      <c r="B43" s="100">
        <f t="shared" si="4"/>
        <v>2.0299999999999967</v>
      </c>
      <c r="C43" s="107" t="s">
        <v>1024</v>
      </c>
      <c r="D43" s="108" t="s">
        <v>854</v>
      </c>
      <c r="E43" s="107" t="s">
        <v>48</v>
      </c>
      <c r="F43" s="109">
        <v>8</v>
      </c>
      <c r="G43" s="105"/>
      <c r="H43" s="106">
        <f t="shared" si="3"/>
        <v>0</v>
      </c>
    </row>
    <row r="44" spans="1:8" x14ac:dyDescent="0.25">
      <c r="A44" s="113">
        <f t="shared" si="5"/>
        <v>2.0309999999999966</v>
      </c>
      <c r="B44" s="100">
        <f t="shared" si="4"/>
        <v>2.0309999999999966</v>
      </c>
      <c r="C44" s="107" t="s">
        <v>1054</v>
      </c>
      <c r="D44" s="108" t="s">
        <v>83</v>
      </c>
      <c r="E44" s="107" t="s">
        <v>48</v>
      </c>
      <c r="F44" s="109">
        <v>191.4</v>
      </c>
      <c r="G44" s="105"/>
      <c r="H44" s="106">
        <f t="shared" si="3"/>
        <v>0</v>
      </c>
    </row>
    <row r="45" spans="1:8" x14ac:dyDescent="0.25">
      <c r="A45" s="113">
        <f t="shared" si="5"/>
        <v>2.0309999999999966</v>
      </c>
      <c r="B45" s="100" t="str">
        <f t="shared" si="4"/>
        <v/>
      </c>
      <c r="C45" s="107"/>
      <c r="D45" s="108"/>
      <c r="E45" s="107"/>
      <c r="F45" s="109"/>
      <c r="G45" s="105"/>
      <c r="H45" s="106" t="str">
        <f t="shared" si="3"/>
        <v/>
      </c>
    </row>
    <row r="46" spans="1:8" ht="27" x14ac:dyDescent="0.25">
      <c r="A46" s="113">
        <f t="shared" si="5"/>
        <v>2.0319999999999965</v>
      </c>
      <c r="B46" s="100">
        <f t="shared" si="4"/>
        <v>2.0319999999999965</v>
      </c>
      <c r="C46" s="107"/>
      <c r="D46" s="108" t="s">
        <v>411</v>
      </c>
      <c r="E46" s="107" t="s">
        <v>48</v>
      </c>
      <c r="F46" s="109">
        <v>81.755933529999993</v>
      </c>
      <c r="G46" s="105"/>
      <c r="H46" s="106">
        <f t="shared" si="3"/>
        <v>0</v>
      </c>
    </row>
    <row r="47" spans="1:8" x14ac:dyDescent="0.25">
      <c r="A47" s="113">
        <f t="shared" si="5"/>
        <v>2.0319999999999965</v>
      </c>
      <c r="B47" s="100" t="str">
        <f t="shared" ref="B47:B62" si="6">+IF(F47&gt;0,A47,"")</f>
        <v/>
      </c>
      <c r="C47" s="107"/>
      <c r="D47" s="108"/>
      <c r="E47" s="107"/>
      <c r="F47" s="109"/>
      <c r="G47" s="105"/>
      <c r="H47" s="106" t="str">
        <f t="shared" si="3"/>
        <v/>
      </c>
    </row>
    <row r="48" spans="1:8" ht="27" x14ac:dyDescent="0.25">
      <c r="A48" s="113">
        <f t="shared" si="5"/>
        <v>2.0329999999999964</v>
      </c>
      <c r="B48" s="100">
        <f t="shared" si="6"/>
        <v>2.0329999999999964</v>
      </c>
      <c r="C48" s="107"/>
      <c r="D48" s="108" t="s">
        <v>90</v>
      </c>
      <c r="E48" s="107" t="s">
        <v>48</v>
      </c>
      <c r="F48" s="109">
        <v>47.514408700000004</v>
      </c>
      <c r="G48" s="105"/>
      <c r="H48" s="106">
        <f t="shared" si="3"/>
        <v>0</v>
      </c>
    </row>
    <row r="49" spans="1:8" x14ac:dyDescent="0.25">
      <c r="A49" s="113">
        <f t="shared" si="5"/>
        <v>2.0329999999999964</v>
      </c>
      <c r="B49" s="100" t="str">
        <f t="shared" si="6"/>
        <v/>
      </c>
      <c r="C49" s="107"/>
      <c r="D49" s="108"/>
      <c r="E49" s="107"/>
      <c r="F49" s="109"/>
      <c r="G49" s="105"/>
      <c r="H49" s="106" t="str">
        <f t="shared" si="3"/>
        <v/>
      </c>
    </row>
    <row r="50" spans="1:8" ht="27" x14ac:dyDescent="0.25">
      <c r="A50" s="113">
        <f t="shared" si="5"/>
        <v>2.0339999999999963</v>
      </c>
      <c r="B50" s="100">
        <f t="shared" si="6"/>
        <v>2.0339999999999963</v>
      </c>
      <c r="C50" s="107" t="s">
        <v>412</v>
      </c>
      <c r="D50" s="108" t="s">
        <v>411</v>
      </c>
      <c r="E50" s="107" t="s">
        <v>48</v>
      </c>
      <c r="F50" s="109">
        <v>81.755933529999993</v>
      </c>
      <c r="G50" s="105"/>
      <c r="H50" s="106">
        <f t="shared" si="3"/>
        <v>0</v>
      </c>
    </row>
    <row r="51" spans="1:8" x14ac:dyDescent="0.25">
      <c r="A51" s="113">
        <f t="shared" si="5"/>
        <v>2.0339999999999963</v>
      </c>
      <c r="B51" s="100" t="str">
        <f t="shared" si="6"/>
        <v/>
      </c>
      <c r="C51" s="107"/>
      <c r="D51" s="108"/>
      <c r="E51" s="107"/>
      <c r="F51" s="109"/>
      <c r="G51" s="105"/>
      <c r="H51" s="106" t="str">
        <f t="shared" si="3"/>
        <v/>
      </c>
    </row>
    <row r="52" spans="1:8" ht="27" x14ac:dyDescent="0.25">
      <c r="A52" s="113">
        <f t="shared" si="5"/>
        <v>2.0349999999999961</v>
      </c>
      <c r="B52" s="100">
        <f t="shared" si="6"/>
        <v>2.0349999999999961</v>
      </c>
      <c r="C52" s="107" t="s">
        <v>35</v>
      </c>
      <c r="D52" s="108" t="s">
        <v>90</v>
      </c>
      <c r="E52" s="107" t="s">
        <v>48</v>
      </c>
      <c r="F52" s="109">
        <v>47.514408700000004</v>
      </c>
      <c r="G52" s="105"/>
      <c r="H52" s="106">
        <f t="shared" si="3"/>
        <v>0</v>
      </c>
    </row>
    <row r="53" spans="1:8" x14ac:dyDescent="0.25">
      <c r="A53" s="113">
        <f t="shared" si="5"/>
        <v>2.0349999999999961</v>
      </c>
      <c r="B53" s="100" t="str">
        <f t="shared" si="6"/>
        <v/>
      </c>
      <c r="C53" s="107"/>
      <c r="D53" s="108"/>
      <c r="E53" s="107"/>
      <c r="F53" s="109"/>
      <c r="G53" s="105"/>
      <c r="H53" s="106" t="str">
        <f t="shared" si="3"/>
        <v/>
      </c>
    </row>
    <row r="54" spans="1:8" ht="108" x14ac:dyDescent="0.25">
      <c r="A54" s="113">
        <f t="shared" si="5"/>
        <v>2.0349999999999961</v>
      </c>
      <c r="B54" s="100" t="str">
        <f t="shared" si="6"/>
        <v/>
      </c>
      <c r="C54" s="107" t="s">
        <v>417</v>
      </c>
      <c r="D54" s="108" t="s">
        <v>191</v>
      </c>
      <c r="E54" s="107"/>
      <c r="F54" s="109"/>
      <c r="G54" s="105"/>
      <c r="H54" s="106" t="str">
        <f t="shared" si="3"/>
        <v/>
      </c>
    </row>
    <row r="55" spans="1:8" x14ac:dyDescent="0.25">
      <c r="A55" s="113">
        <f t="shared" si="5"/>
        <v>2.0349999999999961</v>
      </c>
      <c r="B55" s="100" t="str">
        <f t="shared" si="6"/>
        <v/>
      </c>
      <c r="C55" s="107"/>
      <c r="D55" s="108"/>
      <c r="E55" s="107"/>
      <c r="F55" s="109"/>
      <c r="G55" s="105"/>
      <c r="H55" s="106" t="str">
        <f t="shared" si="3"/>
        <v/>
      </c>
    </row>
    <row r="56" spans="1:8" ht="27" x14ac:dyDescent="0.25">
      <c r="A56" s="113">
        <f t="shared" si="5"/>
        <v>2.035999999999996</v>
      </c>
      <c r="B56" s="100">
        <f t="shared" si="6"/>
        <v>2.035999999999996</v>
      </c>
      <c r="C56" s="107" t="s">
        <v>1047</v>
      </c>
      <c r="D56" s="108" t="s">
        <v>219</v>
      </c>
      <c r="E56" s="107" t="s">
        <v>48</v>
      </c>
      <c r="F56" s="109">
        <v>32.727600000000002</v>
      </c>
      <c r="G56" s="105"/>
      <c r="H56" s="106">
        <f t="shared" ref="H56:H62" si="7">IF(F56="","",G56*F56)</f>
        <v>0</v>
      </c>
    </row>
    <row r="57" spans="1:8" x14ac:dyDescent="0.25">
      <c r="A57" s="113">
        <f t="shared" si="5"/>
        <v>2.0369999999999959</v>
      </c>
      <c r="B57" s="100">
        <f t="shared" si="6"/>
        <v>2.0369999999999959</v>
      </c>
      <c r="C57" s="107" t="s">
        <v>1053</v>
      </c>
      <c r="D57" s="108" t="s">
        <v>855</v>
      </c>
      <c r="E57" s="107" t="s">
        <v>48</v>
      </c>
      <c r="F57" s="109">
        <v>5730</v>
      </c>
      <c r="G57" s="105"/>
      <c r="H57" s="106">
        <f t="shared" si="7"/>
        <v>0</v>
      </c>
    </row>
    <row r="58" spans="1:8" x14ac:dyDescent="0.25">
      <c r="A58" s="113">
        <f t="shared" si="5"/>
        <v>2.0379999999999958</v>
      </c>
      <c r="B58" s="100">
        <f t="shared" si="6"/>
        <v>2.0379999999999958</v>
      </c>
      <c r="C58" s="107" t="s">
        <v>1053</v>
      </c>
      <c r="D58" s="108" t="s">
        <v>856</v>
      </c>
      <c r="E58" s="107" t="s">
        <v>48</v>
      </c>
      <c r="F58" s="109">
        <v>1714.8201199999999</v>
      </c>
      <c r="G58" s="105"/>
      <c r="H58" s="106">
        <f t="shared" si="7"/>
        <v>0</v>
      </c>
    </row>
    <row r="59" spans="1:8" ht="27" x14ac:dyDescent="0.25">
      <c r="A59" s="113">
        <f t="shared" si="5"/>
        <v>2.0389999999999957</v>
      </c>
      <c r="B59" s="100">
        <f t="shared" si="6"/>
        <v>2.0389999999999957</v>
      </c>
      <c r="C59" s="107" t="s">
        <v>1025</v>
      </c>
      <c r="D59" s="108" t="s">
        <v>861</v>
      </c>
      <c r="E59" s="107" t="s">
        <v>48</v>
      </c>
      <c r="F59" s="109">
        <v>23</v>
      </c>
      <c r="G59" s="105"/>
      <c r="H59" s="106">
        <f t="shared" si="7"/>
        <v>0</v>
      </c>
    </row>
    <row r="60" spans="1:8" x14ac:dyDescent="0.25">
      <c r="A60" s="113">
        <f t="shared" si="5"/>
        <v>2.0399999999999956</v>
      </c>
      <c r="B60" s="100">
        <f t="shared" si="6"/>
        <v>2.0399999999999956</v>
      </c>
      <c r="C60" s="107" t="s">
        <v>1053</v>
      </c>
      <c r="D60" s="162" t="s">
        <v>84</v>
      </c>
      <c r="E60" s="107" t="s">
        <v>48</v>
      </c>
      <c r="F60" s="109">
        <v>14</v>
      </c>
      <c r="G60" s="105"/>
      <c r="H60" s="106">
        <f t="shared" si="7"/>
        <v>0</v>
      </c>
    </row>
    <row r="61" spans="1:8" x14ac:dyDescent="0.25">
      <c r="A61" s="113">
        <f t="shared" si="5"/>
        <v>2.0409999999999955</v>
      </c>
      <c r="B61" s="100">
        <f t="shared" si="6"/>
        <v>2.0409999999999955</v>
      </c>
      <c r="C61" s="107" t="s">
        <v>1053</v>
      </c>
      <c r="D61" s="162" t="s">
        <v>85</v>
      </c>
      <c r="E61" s="107" t="s">
        <v>48</v>
      </c>
      <c r="F61" s="109">
        <v>84</v>
      </c>
      <c r="G61" s="105"/>
      <c r="H61" s="106">
        <f t="shared" si="7"/>
        <v>0</v>
      </c>
    </row>
    <row r="62" spans="1:8" x14ac:dyDescent="0.25">
      <c r="A62" s="113">
        <f t="shared" si="5"/>
        <v>2.0409999999999955</v>
      </c>
      <c r="B62" s="100" t="str">
        <f t="shared" si="6"/>
        <v/>
      </c>
      <c r="C62" s="107"/>
      <c r="D62" s="162"/>
      <c r="E62" s="107"/>
      <c r="F62" s="109"/>
      <c r="G62" s="105"/>
      <c r="H62" s="106" t="str">
        <f t="shared" si="7"/>
        <v/>
      </c>
    </row>
    <row r="63" spans="1:8" x14ac:dyDescent="0.25">
      <c r="A63" s="113">
        <f t="shared" si="5"/>
        <v>2.0409999999999955</v>
      </c>
      <c r="B63" s="100"/>
      <c r="C63" s="107"/>
      <c r="D63" s="108"/>
      <c r="E63" s="107"/>
      <c r="F63" s="109"/>
      <c r="G63" s="105"/>
      <c r="H63" s="106"/>
    </row>
    <row r="64" spans="1:8" x14ac:dyDescent="0.25">
      <c r="A64" s="113">
        <f t="shared" si="5"/>
        <v>2.0409999999999955</v>
      </c>
      <c r="B64" s="100"/>
      <c r="C64" s="107"/>
      <c r="D64" s="108"/>
      <c r="E64" s="107"/>
      <c r="F64" s="109"/>
      <c r="G64" s="105"/>
      <c r="H64" s="106"/>
    </row>
    <row r="65" spans="1:8" ht="15.75" thickBot="1" x14ac:dyDescent="0.3">
      <c r="A65" s="113">
        <f t="shared" si="5"/>
        <v>2.0409999999999955</v>
      </c>
      <c r="B65" s="100"/>
      <c r="C65" s="107"/>
      <c r="D65" s="108"/>
      <c r="E65" s="107"/>
      <c r="F65" s="109"/>
      <c r="G65" s="105"/>
      <c r="H65" s="106"/>
    </row>
    <row r="66" spans="1:8" ht="15.75" thickBot="1" x14ac:dyDescent="0.3">
      <c r="A66" s="113">
        <f t="shared" si="5"/>
        <v>2.0409999999999955</v>
      </c>
      <c r="B66" s="173" t="s">
        <v>240</v>
      </c>
      <c r="C66" s="174"/>
      <c r="D66" s="174"/>
      <c r="E66" s="174"/>
      <c r="F66" s="174"/>
      <c r="G66" s="175"/>
      <c r="H66" s="117">
        <f>SUM(H31:H65)</f>
        <v>0</v>
      </c>
    </row>
    <row r="67" spans="1:8" ht="24.75" thickBot="1" x14ac:dyDescent="0.3">
      <c r="A67" s="113">
        <f t="shared" si="5"/>
        <v>2.0419999999999954</v>
      </c>
      <c r="B67" s="114" t="s">
        <v>36</v>
      </c>
      <c r="C67" s="97" t="s">
        <v>94</v>
      </c>
      <c r="D67" s="115" t="s">
        <v>38</v>
      </c>
      <c r="E67" s="115" t="s">
        <v>37</v>
      </c>
      <c r="F67" s="115" t="s">
        <v>81</v>
      </c>
      <c r="G67" s="116" t="s">
        <v>86</v>
      </c>
      <c r="H67" s="99" t="s">
        <v>95</v>
      </c>
    </row>
    <row r="68" spans="1:8" ht="15.75" thickBot="1" x14ac:dyDescent="0.3">
      <c r="A68" s="113">
        <f t="shared" si="5"/>
        <v>2.0419999999999954</v>
      </c>
      <c r="B68" s="173" t="s">
        <v>241</v>
      </c>
      <c r="C68" s="174"/>
      <c r="D68" s="174"/>
      <c r="E68" s="174"/>
      <c r="F68" s="174"/>
      <c r="G68" s="175"/>
      <c r="H68" s="117">
        <f>H66</f>
        <v>0</v>
      </c>
    </row>
    <row r="69" spans="1:8" x14ac:dyDescent="0.25">
      <c r="A69" s="113">
        <f>+IF(F70&gt;0.01,A68+0.001,A68)</f>
        <v>2.0419999999999954</v>
      </c>
      <c r="B69" s="100" t="str">
        <f t="shared" ref="B69:B75" si="8">+IF(F69&gt;0,A69,"")</f>
        <v/>
      </c>
      <c r="C69" s="167"/>
      <c r="D69" s="168"/>
      <c r="E69" s="167"/>
      <c r="F69" s="169"/>
      <c r="G69" s="170"/>
      <c r="H69" s="106" t="str">
        <f t="shared" ref="H69:H98" si="9">IF(F69="","",G69*F69)</f>
        <v/>
      </c>
    </row>
    <row r="70" spans="1:8" ht="67.5" x14ac:dyDescent="0.25">
      <c r="A70" s="113"/>
      <c r="B70" s="100" t="str">
        <f t="shared" si="8"/>
        <v/>
      </c>
      <c r="C70" s="107" t="s">
        <v>39</v>
      </c>
      <c r="D70" s="108" t="s">
        <v>247</v>
      </c>
      <c r="E70" s="107"/>
      <c r="F70" s="109"/>
      <c r="G70" s="105"/>
      <c r="H70" s="106" t="str">
        <f t="shared" si="9"/>
        <v/>
      </c>
    </row>
    <row r="71" spans="1:8" x14ac:dyDescent="0.25">
      <c r="A71" s="113"/>
      <c r="B71" s="100" t="str">
        <f t="shared" si="8"/>
        <v/>
      </c>
      <c r="C71" s="107"/>
      <c r="D71" s="108"/>
      <c r="E71" s="107"/>
      <c r="F71" s="109"/>
      <c r="G71" s="105"/>
      <c r="H71" s="106" t="str">
        <f t="shared" si="9"/>
        <v/>
      </c>
    </row>
    <row r="72" spans="1:8" x14ac:dyDescent="0.25">
      <c r="A72" s="113"/>
      <c r="B72" s="100">
        <f t="shared" si="8"/>
        <v>0</v>
      </c>
      <c r="C72" s="107" t="s">
        <v>1047</v>
      </c>
      <c r="D72" s="108" t="s">
        <v>242</v>
      </c>
      <c r="E72" s="107" t="s">
        <v>47</v>
      </c>
      <c r="F72" s="109">
        <v>23.52</v>
      </c>
      <c r="G72" s="105"/>
      <c r="H72" s="106">
        <f t="shared" si="9"/>
        <v>0</v>
      </c>
    </row>
    <row r="73" spans="1:8" x14ac:dyDescent="0.25">
      <c r="A73" s="113">
        <f>+IF(F73&gt;0.01,A69+0.001,A69)</f>
        <v>2.0429999999999953</v>
      </c>
      <c r="B73" s="100">
        <f t="shared" si="8"/>
        <v>2.0429999999999953</v>
      </c>
      <c r="C73" s="107" t="s">
        <v>1054</v>
      </c>
      <c r="D73" s="162" t="s">
        <v>862</v>
      </c>
      <c r="E73" s="107" t="s">
        <v>47</v>
      </c>
      <c r="F73" s="109">
        <v>340</v>
      </c>
      <c r="G73" s="105"/>
      <c r="H73" s="106">
        <f t="shared" si="9"/>
        <v>0</v>
      </c>
    </row>
    <row r="74" spans="1:8" ht="15" customHeight="1" x14ac:dyDescent="0.25">
      <c r="A74" s="113">
        <f t="shared" ref="A74:A103" si="10">+IF(F74&gt;0.01,A73+0.001,A73)</f>
        <v>2.0439999999999952</v>
      </c>
      <c r="B74" s="100">
        <f t="shared" si="8"/>
        <v>2.0439999999999952</v>
      </c>
      <c r="C74" s="107" t="s">
        <v>1025</v>
      </c>
      <c r="D74" s="108" t="s">
        <v>243</v>
      </c>
      <c r="E74" s="107" t="s">
        <v>47</v>
      </c>
      <c r="F74" s="109">
        <v>50</v>
      </c>
      <c r="G74" s="105"/>
      <c r="H74" s="106">
        <f t="shared" si="9"/>
        <v>0</v>
      </c>
    </row>
    <row r="75" spans="1:8" ht="27" x14ac:dyDescent="0.25">
      <c r="A75" s="113">
        <f t="shared" si="10"/>
        <v>2.044999999999995</v>
      </c>
      <c r="B75" s="100">
        <f t="shared" si="8"/>
        <v>2.044999999999995</v>
      </c>
      <c r="C75" s="107" t="s">
        <v>1054</v>
      </c>
      <c r="D75" s="164" t="s">
        <v>229</v>
      </c>
      <c r="E75" s="107" t="s">
        <v>47</v>
      </c>
      <c r="F75" s="109">
        <v>38</v>
      </c>
      <c r="G75" s="105"/>
      <c r="H75" s="106">
        <f t="shared" si="9"/>
        <v>0</v>
      </c>
    </row>
    <row r="76" spans="1:8" x14ac:dyDescent="0.25">
      <c r="A76" s="113">
        <f t="shared" si="10"/>
        <v>2.0459999999999949</v>
      </c>
      <c r="B76" s="100">
        <f t="shared" ref="B76:B98" si="11">+IF(F76&gt;0,A76,"")</f>
        <v>2.0459999999999949</v>
      </c>
      <c r="C76" s="107" t="s">
        <v>1047</v>
      </c>
      <c r="D76" s="162" t="s">
        <v>245</v>
      </c>
      <c r="E76" s="107" t="s">
        <v>47</v>
      </c>
      <c r="F76" s="109">
        <v>21.76</v>
      </c>
      <c r="G76" s="105"/>
      <c r="H76" s="106">
        <f t="shared" si="9"/>
        <v>0</v>
      </c>
    </row>
    <row r="77" spans="1:8" x14ac:dyDescent="0.25">
      <c r="A77" s="113">
        <f t="shared" si="10"/>
        <v>2.0469999999999948</v>
      </c>
      <c r="B77" s="100">
        <f t="shared" si="11"/>
        <v>2.0469999999999948</v>
      </c>
      <c r="C77" s="107" t="s">
        <v>1047</v>
      </c>
      <c r="D77" s="162" t="s">
        <v>246</v>
      </c>
      <c r="E77" s="107" t="s">
        <v>47</v>
      </c>
      <c r="F77" s="109">
        <v>22</v>
      </c>
      <c r="G77" s="105"/>
      <c r="H77" s="106">
        <f t="shared" si="9"/>
        <v>0</v>
      </c>
    </row>
    <row r="78" spans="1:8" x14ac:dyDescent="0.25">
      <c r="A78" s="113">
        <f t="shared" si="10"/>
        <v>2.0479999999999947</v>
      </c>
      <c r="B78" s="100">
        <f t="shared" si="11"/>
        <v>2.0479999999999947</v>
      </c>
      <c r="C78" s="107" t="s">
        <v>1053</v>
      </c>
      <c r="D78" s="162" t="s">
        <v>84</v>
      </c>
      <c r="E78" s="107" t="s">
        <v>47</v>
      </c>
      <c r="F78" s="109">
        <v>111</v>
      </c>
      <c r="G78" s="105"/>
      <c r="H78" s="106">
        <f t="shared" si="9"/>
        <v>0</v>
      </c>
    </row>
    <row r="79" spans="1:8" x14ac:dyDescent="0.25">
      <c r="A79" s="113">
        <f t="shared" si="10"/>
        <v>2.0489999999999946</v>
      </c>
      <c r="B79" s="100">
        <f t="shared" si="11"/>
        <v>2.0489999999999946</v>
      </c>
      <c r="C79" s="107" t="s">
        <v>1053</v>
      </c>
      <c r="D79" s="162" t="s">
        <v>85</v>
      </c>
      <c r="E79" s="107" t="s">
        <v>47</v>
      </c>
      <c r="F79" s="109">
        <v>110</v>
      </c>
      <c r="G79" s="105"/>
      <c r="H79" s="106">
        <f t="shared" si="9"/>
        <v>0</v>
      </c>
    </row>
    <row r="80" spans="1:8" x14ac:dyDescent="0.25">
      <c r="A80" s="113">
        <f t="shared" si="10"/>
        <v>2.0499999999999945</v>
      </c>
      <c r="B80" s="100">
        <f t="shared" si="11"/>
        <v>2.0499999999999945</v>
      </c>
      <c r="C80" s="107" t="s">
        <v>1053</v>
      </c>
      <c r="D80" s="162" t="s">
        <v>839</v>
      </c>
      <c r="E80" s="107" t="s">
        <v>47</v>
      </c>
      <c r="F80" s="109">
        <v>2321</v>
      </c>
      <c r="G80" s="105"/>
      <c r="H80" s="106">
        <f t="shared" si="9"/>
        <v>0</v>
      </c>
    </row>
    <row r="81" spans="1:8" x14ac:dyDescent="0.25">
      <c r="A81" s="113">
        <f t="shared" si="10"/>
        <v>2.0499999999999945</v>
      </c>
      <c r="B81" s="100" t="str">
        <f t="shared" si="11"/>
        <v/>
      </c>
      <c r="C81" s="107"/>
      <c r="D81" s="161"/>
      <c r="E81" s="107"/>
      <c r="F81" s="109"/>
      <c r="G81" s="105"/>
      <c r="H81" s="106" t="str">
        <f t="shared" si="9"/>
        <v/>
      </c>
    </row>
    <row r="82" spans="1:8" ht="67.5" x14ac:dyDescent="0.25">
      <c r="A82" s="113">
        <f t="shared" si="10"/>
        <v>2.0499999999999945</v>
      </c>
      <c r="B82" s="100" t="str">
        <f t="shared" si="11"/>
        <v/>
      </c>
      <c r="C82" s="107" t="s">
        <v>414</v>
      </c>
      <c r="D82" s="108" t="s">
        <v>192</v>
      </c>
      <c r="E82" s="107"/>
      <c r="F82" s="109"/>
      <c r="G82" s="105"/>
      <c r="H82" s="106" t="str">
        <f t="shared" si="9"/>
        <v/>
      </c>
    </row>
    <row r="83" spans="1:8" x14ac:dyDescent="0.25">
      <c r="A83" s="113">
        <f t="shared" si="10"/>
        <v>2.0499999999999945</v>
      </c>
      <c r="B83" s="100" t="str">
        <f t="shared" si="11"/>
        <v/>
      </c>
      <c r="C83" s="107"/>
      <c r="D83" s="108"/>
      <c r="E83" s="107"/>
      <c r="F83" s="109"/>
      <c r="G83" s="105"/>
      <c r="H83" s="106" t="str">
        <f t="shared" si="9"/>
        <v/>
      </c>
    </row>
    <row r="84" spans="1:8" x14ac:dyDescent="0.25">
      <c r="A84" s="113">
        <f t="shared" si="10"/>
        <v>2.0509999999999944</v>
      </c>
      <c r="B84" s="100">
        <f t="shared" si="11"/>
        <v>2.0509999999999944</v>
      </c>
      <c r="C84" s="107" t="s">
        <v>1047</v>
      </c>
      <c r="D84" s="108" t="s">
        <v>242</v>
      </c>
      <c r="E84" s="107" t="s">
        <v>47</v>
      </c>
      <c r="F84" s="109">
        <v>23.52</v>
      </c>
      <c r="G84" s="105"/>
      <c r="H84" s="106">
        <f t="shared" si="9"/>
        <v>0</v>
      </c>
    </row>
    <row r="85" spans="1:8" x14ac:dyDescent="0.25">
      <c r="A85" s="113">
        <f t="shared" si="10"/>
        <v>2.0519999999999943</v>
      </c>
      <c r="B85" s="100">
        <f t="shared" si="11"/>
        <v>2.0519999999999943</v>
      </c>
      <c r="C85" s="107" t="s">
        <v>1025</v>
      </c>
      <c r="D85" s="108" t="s">
        <v>243</v>
      </c>
      <c r="E85" s="107" t="s">
        <v>47</v>
      </c>
      <c r="F85" s="109">
        <v>69</v>
      </c>
      <c r="G85" s="105"/>
      <c r="H85" s="106">
        <f t="shared" si="9"/>
        <v>0</v>
      </c>
    </row>
    <row r="86" spans="1:8" x14ac:dyDescent="0.25">
      <c r="A86" s="113">
        <f t="shared" si="10"/>
        <v>2.0529999999999942</v>
      </c>
      <c r="B86" s="100">
        <f t="shared" si="11"/>
        <v>2.0529999999999942</v>
      </c>
      <c r="C86" s="107" t="s">
        <v>1053</v>
      </c>
      <c r="D86" s="108" t="s">
        <v>857</v>
      </c>
      <c r="E86" s="107" t="s">
        <v>47</v>
      </c>
      <c r="F86" s="109">
        <v>6700</v>
      </c>
      <c r="G86" s="105"/>
      <c r="H86" s="106">
        <f t="shared" si="9"/>
        <v>0</v>
      </c>
    </row>
    <row r="87" spans="1:8" x14ac:dyDescent="0.25">
      <c r="A87" s="113">
        <f t="shared" si="10"/>
        <v>2.0539999999999941</v>
      </c>
      <c r="B87" s="100">
        <f t="shared" si="11"/>
        <v>2.0539999999999941</v>
      </c>
      <c r="C87" s="107" t="s">
        <v>1047</v>
      </c>
      <c r="D87" s="162" t="s">
        <v>245</v>
      </c>
      <c r="E87" s="107" t="s">
        <v>47</v>
      </c>
      <c r="F87" s="109">
        <v>22.24</v>
      </c>
      <c r="G87" s="105"/>
      <c r="H87" s="106">
        <f t="shared" si="9"/>
        <v>0</v>
      </c>
    </row>
    <row r="88" spans="1:8" x14ac:dyDescent="0.25">
      <c r="A88" s="113">
        <f t="shared" si="10"/>
        <v>2.0549999999999939</v>
      </c>
      <c r="B88" s="100">
        <f t="shared" si="11"/>
        <v>2.0549999999999939</v>
      </c>
      <c r="C88" s="107" t="s">
        <v>1047</v>
      </c>
      <c r="D88" s="162" t="s">
        <v>246</v>
      </c>
      <c r="E88" s="107" t="s">
        <v>47</v>
      </c>
      <c r="F88" s="109">
        <v>21.76</v>
      </c>
      <c r="G88" s="105"/>
      <c r="H88" s="106">
        <f t="shared" si="9"/>
        <v>0</v>
      </c>
    </row>
    <row r="89" spans="1:8" x14ac:dyDescent="0.25">
      <c r="A89" s="113">
        <f t="shared" si="10"/>
        <v>2.0559999999999938</v>
      </c>
      <c r="B89" s="100">
        <f t="shared" si="11"/>
        <v>2.0559999999999938</v>
      </c>
      <c r="C89" s="107" t="s">
        <v>1053</v>
      </c>
      <c r="D89" s="162" t="s">
        <v>858</v>
      </c>
      <c r="E89" s="107" t="s">
        <v>47</v>
      </c>
      <c r="F89" s="109">
        <v>2407</v>
      </c>
      <c r="G89" s="105"/>
      <c r="H89" s="106">
        <f t="shared" si="9"/>
        <v>0</v>
      </c>
    </row>
    <row r="90" spans="1:8" x14ac:dyDescent="0.25">
      <c r="A90" s="113">
        <f t="shared" si="10"/>
        <v>2.0569999999999937</v>
      </c>
      <c r="B90" s="100">
        <f t="shared" si="11"/>
        <v>2.0569999999999937</v>
      </c>
      <c r="C90" s="107" t="s">
        <v>1054</v>
      </c>
      <c r="D90" s="162" t="s">
        <v>83</v>
      </c>
      <c r="E90" s="107" t="s">
        <v>47</v>
      </c>
      <c r="F90" s="109">
        <v>850</v>
      </c>
      <c r="G90" s="105"/>
      <c r="H90" s="106">
        <f t="shared" si="9"/>
        <v>0</v>
      </c>
    </row>
    <row r="91" spans="1:8" x14ac:dyDescent="0.25">
      <c r="A91" s="113">
        <f t="shared" si="10"/>
        <v>2.0579999999999936</v>
      </c>
      <c r="B91" s="100">
        <f t="shared" si="11"/>
        <v>2.0579999999999936</v>
      </c>
      <c r="C91" s="107" t="s">
        <v>1053</v>
      </c>
      <c r="D91" s="162" t="s">
        <v>84</v>
      </c>
      <c r="E91" s="107" t="s">
        <v>47</v>
      </c>
      <c r="F91" s="109">
        <v>111</v>
      </c>
      <c r="G91" s="105"/>
      <c r="H91" s="106">
        <f t="shared" si="9"/>
        <v>0</v>
      </c>
    </row>
    <row r="92" spans="1:8" x14ac:dyDescent="0.25">
      <c r="A92" s="113">
        <f t="shared" si="10"/>
        <v>2.0589999999999935</v>
      </c>
      <c r="B92" s="100">
        <f t="shared" si="11"/>
        <v>2.0589999999999935</v>
      </c>
      <c r="C92" s="107" t="s">
        <v>1053</v>
      </c>
      <c r="D92" s="162" t="s">
        <v>85</v>
      </c>
      <c r="E92" s="107" t="s">
        <v>47</v>
      </c>
      <c r="F92" s="109">
        <v>129.19999999999999</v>
      </c>
      <c r="G92" s="105"/>
      <c r="H92" s="106">
        <f t="shared" si="9"/>
        <v>0</v>
      </c>
    </row>
    <row r="93" spans="1:8" x14ac:dyDescent="0.25">
      <c r="A93" s="113">
        <f t="shared" si="10"/>
        <v>2.0589999999999935</v>
      </c>
      <c r="B93" s="100" t="str">
        <f t="shared" si="11"/>
        <v/>
      </c>
      <c r="C93" s="107"/>
      <c r="D93" s="162"/>
      <c r="E93" s="107"/>
      <c r="F93" s="109"/>
      <c r="G93" s="105"/>
      <c r="H93" s="106" t="str">
        <f t="shared" si="9"/>
        <v/>
      </c>
    </row>
    <row r="94" spans="1:8" x14ac:dyDescent="0.25">
      <c r="A94" s="113">
        <f t="shared" si="10"/>
        <v>2.0589999999999935</v>
      </c>
      <c r="B94" s="100" t="str">
        <f t="shared" si="11"/>
        <v/>
      </c>
      <c r="C94" s="107"/>
      <c r="D94" s="162"/>
      <c r="E94" s="107"/>
      <c r="F94" s="109"/>
      <c r="G94" s="105"/>
      <c r="H94" s="106" t="str">
        <f t="shared" si="9"/>
        <v/>
      </c>
    </row>
    <row r="95" spans="1:8" x14ac:dyDescent="0.25">
      <c r="A95" s="113">
        <f t="shared" si="10"/>
        <v>2.0589999999999935</v>
      </c>
      <c r="B95" s="100" t="str">
        <f t="shared" si="11"/>
        <v/>
      </c>
      <c r="C95" s="107"/>
      <c r="D95" s="162"/>
      <c r="E95" s="107"/>
      <c r="F95" s="109"/>
      <c r="G95" s="105"/>
      <c r="H95" s="106" t="str">
        <f t="shared" si="9"/>
        <v/>
      </c>
    </row>
    <row r="96" spans="1:8" x14ac:dyDescent="0.25">
      <c r="A96" s="113">
        <f t="shared" si="10"/>
        <v>2.0589999999999935</v>
      </c>
      <c r="B96" s="100" t="str">
        <f t="shared" si="11"/>
        <v/>
      </c>
      <c r="C96" s="107"/>
      <c r="D96" s="162"/>
      <c r="E96" s="107"/>
      <c r="F96" s="109"/>
      <c r="G96" s="105"/>
      <c r="H96" s="106" t="str">
        <f t="shared" si="9"/>
        <v/>
      </c>
    </row>
    <row r="97" spans="1:8" x14ac:dyDescent="0.25">
      <c r="A97" s="113">
        <f t="shared" si="10"/>
        <v>2.0589999999999935</v>
      </c>
      <c r="B97" s="100" t="str">
        <f t="shared" si="11"/>
        <v/>
      </c>
      <c r="C97" s="107"/>
      <c r="D97" s="162"/>
      <c r="E97" s="107"/>
      <c r="F97" s="109"/>
      <c r="G97" s="105"/>
      <c r="H97" s="106" t="str">
        <f t="shared" si="9"/>
        <v/>
      </c>
    </row>
    <row r="98" spans="1:8" ht="15.75" thickBot="1" x14ac:dyDescent="0.3">
      <c r="A98" s="113">
        <f t="shared" si="10"/>
        <v>2.0589999999999935</v>
      </c>
      <c r="B98" s="100" t="str">
        <f t="shared" si="11"/>
        <v/>
      </c>
      <c r="C98" s="107"/>
      <c r="D98" s="108"/>
      <c r="E98" s="107"/>
      <c r="F98" s="109"/>
      <c r="G98" s="105"/>
      <c r="H98" s="106" t="str">
        <f t="shared" si="9"/>
        <v/>
      </c>
    </row>
    <row r="99" spans="1:8" ht="15.75" thickBot="1" x14ac:dyDescent="0.3">
      <c r="A99" s="113">
        <f t="shared" si="10"/>
        <v>2.0589999999999935</v>
      </c>
      <c r="B99" s="173" t="s">
        <v>240</v>
      </c>
      <c r="C99" s="174"/>
      <c r="D99" s="174"/>
      <c r="E99" s="174"/>
      <c r="F99" s="174"/>
      <c r="G99" s="175"/>
      <c r="H99" s="117">
        <f>SUM(H68:H98)</f>
        <v>0</v>
      </c>
    </row>
    <row r="100" spans="1:8" ht="24.75" thickBot="1" x14ac:dyDescent="0.3">
      <c r="A100" s="113">
        <f t="shared" si="10"/>
        <v>2.0599999999999934</v>
      </c>
      <c r="B100" s="114" t="s">
        <v>36</v>
      </c>
      <c r="C100" s="97" t="s">
        <v>94</v>
      </c>
      <c r="D100" s="115" t="s">
        <v>38</v>
      </c>
      <c r="E100" s="115" t="s">
        <v>37</v>
      </c>
      <c r="F100" s="115" t="s">
        <v>81</v>
      </c>
      <c r="G100" s="116" t="s">
        <v>86</v>
      </c>
      <c r="H100" s="99" t="s">
        <v>95</v>
      </c>
    </row>
    <row r="101" spans="1:8" ht="15.75" thickBot="1" x14ac:dyDescent="0.3">
      <c r="A101" s="113">
        <f t="shared" si="10"/>
        <v>2.0599999999999934</v>
      </c>
      <c r="B101" s="173" t="s">
        <v>241</v>
      </c>
      <c r="C101" s="174"/>
      <c r="D101" s="174"/>
      <c r="E101" s="174"/>
      <c r="F101" s="174"/>
      <c r="G101" s="175"/>
      <c r="H101" s="117">
        <f>H99</f>
        <v>0</v>
      </c>
    </row>
    <row r="102" spans="1:8" x14ac:dyDescent="0.25">
      <c r="A102" s="113">
        <f t="shared" si="10"/>
        <v>2.0599999999999934</v>
      </c>
      <c r="B102" s="100" t="str">
        <f t="shared" ref="B102:B107" si="12">+IF(F102&gt;0,A102,"")</f>
        <v/>
      </c>
      <c r="C102" s="107"/>
      <c r="D102" s="108"/>
      <c r="E102" s="107"/>
      <c r="F102" s="109"/>
      <c r="G102" s="105"/>
      <c r="H102" s="106" t="str">
        <f t="shared" ref="H102:H107" si="13">IF(F102="","",G102*F102)</f>
        <v/>
      </c>
    </row>
    <row r="103" spans="1:8" x14ac:dyDescent="0.25">
      <c r="A103" s="113">
        <f t="shared" si="10"/>
        <v>2.0599999999999934</v>
      </c>
      <c r="B103" s="100" t="str">
        <f t="shared" si="12"/>
        <v/>
      </c>
      <c r="C103" s="107"/>
      <c r="D103" s="112" t="s">
        <v>239</v>
      </c>
      <c r="E103" s="107"/>
      <c r="F103" s="109"/>
      <c r="G103" s="105"/>
      <c r="H103" s="106" t="str">
        <f t="shared" si="13"/>
        <v/>
      </c>
    </row>
    <row r="104" spans="1:8" ht="81" x14ac:dyDescent="0.25">
      <c r="A104" s="113"/>
      <c r="B104" s="100" t="str">
        <f t="shared" si="12"/>
        <v/>
      </c>
      <c r="C104" s="107"/>
      <c r="D104" s="108" t="s">
        <v>238</v>
      </c>
      <c r="E104" s="107"/>
      <c r="F104" s="109"/>
      <c r="G104" s="105"/>
      <c r="H104" s="106" t="str">
        <f t="shared" si="13"/>
        <v/>
      </c>
    </row>
    <row r="105" spans="1:8" x14ac:dyDescent="0.25">
      <c r="A105" s="113"/>
      <c r="B105" s="100">
        <f t="shared" si="12"/>
        <v>0</v>
      </c>
      <c r="C105" s="107" t="s">
        <v>1053</v>
      </c>
      <c r="D105" s="108" t="s">
        <v>82</v>
      </c>
      <c r="E105" s="107" t="s">
        <v>3</v>
      </c>
      <c r="F105" s="109">
        <v>20</v>
      </c>
      <c r="G105" s="105"/>
      <c r="H105" s="106">
        <f t="shared" si="13"/>
        <v>0</v>
      </c>
    </row>
    <row r="106" spans="1:8" x14ac:dyDescent="0.25">
      <c r="A106" s="113"/>
      <c r="B106" s="100" t="str">
        <f t="shared" si="12"/>
        <v/>
      </c>
      <c r="C106" s="107"/>
      <c r="D106" s="108"/>
      <c r="E106" s="107"/>
      <c r="F106" s="109"/>
      <c r="G106" s="105"/>
      <c r="H106" s="106" t="str">
        <f t="shared" si="13"/>
        <v/>
      </c>
    </row>
    <row r="107" spans="1:8" ht="72.75" customHeight="1" x14ac:dyDescent="0.25">
      <c r="A107" s="113"/>
      <c r="B107" s="100">
        <f t="shared" si="12"/>
        <v>0</v>
      </c>
      <c r="C107" s="154" t="s">
        <v>414</v>
      </c>
      <c r="D107" s="155" t="s">
        <v>413</v>
      </c>
      <c r="E107" s="154" t="s">
        <v>47</v>
      </c>
      <c r="F107" s="156">
        <v>5200</v>
      </c>
      <c r="G107" s="157"/>
      <c r="H107" s="106">
        <f t="shared" si="13"/>
        <v>0</v>
      </c>
    </row>
    <row r="108" spans="1:8" ht="16.5" customHeight="1" x14ac:dyDescent="0.25">
      <c r="A108" s="113">
        <f>+IF(F108&gt;0.01,A103+0.001,A103)</f>
        <v>2.0599999999999934</v>
      </c>
      <c r="B108" s="100" t="str">
        <f t="shared" ref="B108:B138" si="14">+IF(F108&gt;0,A108,"")</f>
        <v/>
      </c>
      <c r="C108" s="107"/>
      <c r="D108" s="108"/>
      <c r="E108" s="107"/>
      <c r="F108" s="109"/>
      <c r="G108" s="105"/>
      <c r="H108" s="106" t="str">
        <f>IF(F108="","",G108*F108)</f>
        <v/>
      </c>
    </row>
    <row r="109" spans="1:8" ht="25.5" x14ac:dyDescent="0.25">
      <c r="A109" s="113">
        <f t="shared" ref="A109:A142" si="15">+IF(F109&gt;0.01,A108+0.001,A108)</f>
        <v>2.0599999999999934</v>
      </c>
      <c r="B109" s="100" t="str">
        <f t="shared" si="14"/>
        <v/>
      </c>
      <c r="C109" s="110" t="s">
        <v>73</v>
      </c>
      <c r="D109" s="111" t="s">
        <v>188</v>
      </c>
      <c r="E109" s="107"/>
      <c r="F109" s="109"/>
      <c r="G109" s="105"/>
      <c r="H109" s="106" t="str">
        <f t="shared" ref="H109:H154" si="16">IF(F109="","",G109*F109)</f>
        <v/>
      </c>
    </row>
    <row r="110" spans="1:8" x14ac:dyDescent="0.25">
      <c r="A110" s="113">
        <f t="shared" si="15"/>
        <v>2.0599999999999934</v>
      </c>
      <c r="B110" s="100" t="str">
        <f t="shared" si="14"/>
        <v/>
      </c>
      <c r="C110" s="110"/>
      <c r="D110" s="111"/>
      <c r="E110" s="107"/>
      <c r="F110" s="109"/>
      <c r="G110" s="105"/>
      <c r="H110" s="106" t="str">
        <f t="shared" si="16"/>
        <v/>
      </c>
    </row>
    <row r="111" spans="1:8" x14ac:dyDescent="0.25">
      <c r="A111" s="113">
        <f t="shared" si="15"/>
        <v>2.0599999999999934</v>
      </c>
      <c r="B111" s="100" t="str">
        <f t="shared" si="14"/>
        <v/>
      </c>
      <c r="C111" s="107">
        <v>8.1999999999999993</v>
      </c>
      <c r="D111" s="112" t="s">
        <v>74</v>
      </c>
      <c r="E111" s="107"/>
      <c r="F111" s="109"/>
      <c r="G111" s="105"/>
      <c r="H111" s="106" t="str">
        <f t="shared" si="16"/>
        <v/>
      </c>
    </row>
    <row r="112" spans="1:8" ht="11.25" customHeight="1" x14ac:dyDescent="0.25">
      <c r="A112" s="113">
        <f t="shared" si="15"/>
        <v>2.0599999999999934</v>
      </c>
      <c r="B112" s="100" t="str">
        <f t="shared" si="14"/>
        <v/>
      </c>
      <c r="C112" s="107" t="s">
        <v>422</v>
      </c>
      <c r="D112" s="108" t="s">
        <v>75</v>
      </c>
      <c r="E112" s="107"/>
      <c r="F112" s="109"/>
      <c r="G112" s="105"/>
      <c r="H112" s="106" t="str">
        <f t="shared" si="16"/>
        <v/>
      </c>
    </row>
    <row r="113" spans="1:8" ht="39" customHeight="1" x14ac:dyDescent="0.25">
      <c r="A113" s="113">
        <f t="shared" si="15"/>
        <v>2.0609999999999933</v>
      </c>
      <c r="B113" s="100">
        <f t="shared" si="14"/>
        <v>2.0609999999999933</v>
      </c>
      <c r="C113" s="107" t="s">
        <v>1054</v>
      </c>
      <c r="D113" s="108" t="s">
        <v>229</v>
      </c>
      <c r="E113" s="107" t="s">
        <v>47</v>
      </c>
      <c r="F113" s="109">
        <v>50</v>
      </c>
      <c r="G113" s="105"/>
      <c r="H113" s="106">
        <f t="shared" si="16"/>
        <v>0</v>
      </c>
    </row>
    <row r="114" spans="1:8" x14ac:dyDescent="0.25">
      <c r="A114" s="113">
        <f t="shared" si="15"/>
        <v>2.0609999999999933</v>
      </c>
      <c r="B114" s="100" t="str">
        <f t="shared" si="14"/>
        <v/>
      </c>
      <c r="C114" s="107"/>
      <c r="D114" s="108"/>
      <c r="E114" s="107"/>
      <c r="F114" s="109"/>
      <c r="G114" s="105"/>
      <c r="H114" s="106" t="str">
        <f t="shared" si="16"/>
        <v/>
      </c>
    </row>
    <row r="115" spans="1:8" ht="25.5" x14ac:dyDescent="0.25">
      <c r="A115" s="113">
        <f t="shared" si="15"/>
        <v>2.0609999999999933</v>
      </c>
      <c r="B115" s="100" t="str">
        <f t="shared" si="14"/>
        <v/>
      </c>
      <c r="C115" s="110" t="s">
        <v>26</v>
      </c>
      <c r="D115" s="111" t="s">
        <v>127</v>
      </c>
      <c r="E115" s="107"/>
      <c r="F115" s="109"/>
      <c r="G115" s="105"/>
      <c r="H115" s="106" t="str">
        <f t="shared" si="16"/>
        <v/>
      </c>
    </row>
    <row r="116" spans="1:8" ht="54" x14ac:dyDescent="0.25">
      <c r="A116" s="113">
        <f t="shared" si="15"/>
        <v>2.0609999999999933</v>
      </c>
      <c r="B116" s="100" t="str">
        <f t="shared" si="14"/>
        <v/>
      </c>
      <c r="C116" s="107" t="s">
        <v>429</v>
      </c>
      <c r="D116" s="112" t="s">
        <v>41</v>
      </c>
      <c r="E116" s="107"/>
      <c r="F116" s="109"/>
      <c r="G116" s="105"/>
      <c r="H116" s="106" t="str">
        <f t="shared" si="16"/>
        <v/>
      </c>
    </row>
    <row r="117" spans="1:8" x14ac:dyDescent="0.25">
      <c r="A117" s="113">
        <f t="shared" si="15"/>
        <v>2.0609999999999933</v>
      </c>
      <c r="B117" s="100" t="str">
        <f t="shared" si="14"/>
        <v/>
      </c>
      <c r="C117" s="107"/>
      <c r="D117" s="112"/>
      <c r="E117" s="107"/>
      <c r="F117" s="109"/>
      <c r="G117" s="105"/>
      <c r="H117" s="106" t="str">
        <f t="shared" si="16"/>
        <v/>
      </c>
    </row>
    <row r="118" spans="1:8" ht="27" x14ac:dyDescent="0.25">
      <c r="A118" s="113">
        <f t="shared" si="15"/>
        <v>2.0609999999999933</v>
      </c>
      <c r="B118" s="100" t="str">
        <f t="shared" si="14"/>
        <v/>
      </c>
      <c r="C118" s="107" t="s">
        <v>423</v>
      </c>
      <c r="D118" s="108" t="s">
        <v>248</v>
      </c>
      <c r="E118" s="107"/>
      <c r="F118" s="109"/>
      <c r="G118" s="105"/>
      <c r="H118" s="106" t="str">
        <f t="shared" si="16"/>
        <v/>
      </c>
    </row>
    <row r="119" spans="1:8" x14ac:dyDescent="0.25">
      <c r="A119" s="113">
        <f t="shared" si="15"/>
        <v>2.0609999999999933</v>
      </c>
      <c r="B119" s="100" t="str">
        <f t="shared" si="14"/>
        <v/>
      </c>
      <c r="C119" s="107"/>
      <c r="D119" s="108"/>
      <c r="E119" s="107"/>
      <c r="F119" s="109"/>
      <c r="G119" s="105"/>
      <c r="H119" s="106" t="str">
        <f t="shared" si="16"/>
        <v/>
      </c>
    </row>
    <row r="120" spans="1:8" ht="27" x14ac:dyDescent="0.25">
      <c r="A120" s="113">
        <f t="shared" si="15"/>
        <v>2.0619999999999932</v>
      </c>
      <c r="B120" s="100">
        <f t="shared" si="14"/>
        <v>2.0619999999999932</v>
      </c>
      <c r="C120" s="107" t="s">
        <v>1047</v>
      </c>
      <c r="D120" s="108" t="s">
        <v>219</v>
      </c>
      <c r="E120" s="107" t="s">
        <v>47</v>
      </c>
      <c r="F120" s="109">
        <v>38.079465846731701</v>
      </c>
      <c r="G120" s="105"/>
      <c r="H120" s="106">
        <f t="shared" si="16"/>
        <v>0</v>
      </c>
    </row>
    <row r="121" spans="1:8" ht="27" x14ac:dyDescent="0.25">
      <c r="A121" s="113">
        <f t="shared" si="15"/>
        <v>2.0629999999999931</v>
      </c>
      <c r="B121" s="100">
        <f t="shared" si="14"/>
        <v>2.0629999999999931</v>
      </c>
      <c r="C121" s="107" t="s">
        <v>1047</v>
      </c>
      <c r="D121" s="162" t="s">
        <v>230</v>
      </c>
      <c r="E121" s="107" t="s">
        <v>47</v>
      </c>
      <c r="F121" s="109">
        <v>40.887319357676397</v>
      </c>
      <c r="G121" s="105"/>
      <c r="H121" s="106">
        <f t="shared" si="16"/>
        <v>0</v>
      </c>
    </row>
    <row r="122" spans="1:8" ht="27" x14ac:dyDescent="0.25">
      <c r="A122" s="113">
        <f t="shared" si="15"/>
        <v>2.063999999999993</v>
      </c>
      <c r="B122" s="100">
        <f t="shared" si="14"/>
        <v>2.063999999999993</v>
      </c>
      <c r="C122" s="107" t="s">
        <v>1047</v>
      </c>
      <c r="D122" s="162" t="s">
        <v>231</v>
      </c>
      <c r="E122" s="107" t="s">
        <v>47</v>
      </c>
      <c r="F122" s="109">
        <v>50.939046755885997</v>
      </c>
      <c r="G122" s="105"/>
      <c r="H122" s="106">
        <f t="shared" si="16"/>
        <v>0</v>
      </c>
    </row>
    <row r="123" spans="1:8" x14ac:dyDescent="0.25">
      <c r="A123" s="113">
        <f t="shared" si="15"/>
        <v>2.063999999999993</v>
      </c>
      <c r="B123" s="100" t="str">
        <f t="shared" si="14"/>
        <v/>
      </c>
      <c r="C123" s="107"/>
      <c r="D123" s="108"/>
      <c r="E123" s="107"/>
      <c r="F123" s="109"/>
      <c r="G123" s="105"/>
      <c r="H123" s="106" t="str">
        <f t="shared" si="16"/>
        <v/>
      </c>
    </row>
    <row r="124" spans="1:8" x14ac:dyDescent="0.25">
      <c r="A124" s="113">
        <f t="shared" si="15"/>
        <v>2.063999999999993</v>
      </c>
      <c r="B124" s="100" t="str">
        <f t="shared" si="14"/>
        <v/>
      </c>
      <c r="C124" s="107"/>
      <c r="D124" s="108"/>
      <c r="E124" s="107"/>
      <c r="F124" s="109"/>
      <c r="G124" s="105"/>
      <c r="H124" s="106" t="str">
        <f t="shared" si="16"/>
        <v/>
      </c>
    </row>
    <row r="125" spans="1:8" ht="27" x14ac:dyDescent="0.25">
      <c r="A125" s="113">
        <f t="shared" si="15"/>
        <v>2.063999999999993</v>
      </c>
      <c r="B125" s="100" t="str">
        <f t="shared" si="14"/>
        <v/>
      </c>
      <c r="C125" s="107" t="s">
        <v>423</v>
      </c>
      <c r="D125" s="108" t="s">
        <v>249</v>
      </c>
      <c r="E125" s="107"/>
      <c r="F125" s="109"/>
      <c r="G125" s="105"/>
      <c r="H125" s="106" t="str">
        <f t="shared" si="16"/>
        <v/>
      </c>
    </row>
    <row r="126" spans="1:8" ht="27" x14ac:dyDescent="0.25">
      <c r="A126" s="113">
        <f t="shared" si="15"/>
        <v>2.0649999999999928</v>
      </c>
      <c r="B126" s="100">
        <f t="shared" si="14"/>
        <v>2.0649999999999928</v>
      </c>
      <c r="C126" s="107" t="s">
        <v>1047</v>
      </c>
      <c r="D126" s="108" t="s">
        <v>219</v>
      </c>
      <c r="E126" s="107" t="s">
        <v>47</v>
      </c>
      <c r="F126" s="109">
        <v>2.3849999999999998</v>
      </c>
      <c r="G126" s="105"/>
      <c r="H126" s="106">
        <f t="shared" si="16"/>
        <v>0</v>
      </c>
    </row>
    <row r="127" spans="1:8" ht="27" x14ac:dyDescent="0.25">
      <c r="A127" s="113">
        <f t="shared" si="15"/>
        <v>2.0659999999999927</v>
      </c>
      <c r="B127" s="100">
        <f t="shared" si="14"/>
        <v>2.0659999999999927</v>
      </c>
      <c r="C127" s="107" t="s">
        <v>1047</v>
      </c>
      <c r="D127" s="162" t="s">
        <v>230</v>
      </c>
      <c r="E127" s="107" t="s">
        <v>47</v>
      </c>
      <c r="F127" s="109">
        <v>4.25</v>
      </c>
      <c r="G127" s="105"/>
      <c r="H127" s="106">
        <f t="shared" si="16"/>
        <v>0</v>
      </c>
    </row>
    <row r="128" spans="1:8" ht="27.75" thickBot="1" x14ac:dyDescent="0.3">
      <c r="A128" s="113">
        <f t="shared" si="15"/>
        <v>2.0669999999999926</v>
      </c>
      <c r="B128" s="100">
        <f t="shared" si="14"/>
        <v>2.0669999999999926</v>
      </c>
      <c r="C128" s="107" t="s">
        <v>1047</v>
      </c>
      <c r="D128" s="162" t="s">
        <v>231</v>
      </c>
      <c r="E128" s="107" t="s">
        <v>47</v>
      </c>
      <c r="F128" s="109">
        <v>20.4756</v>
      </c>
      <c r="G128" s="105"/>
      <c r="H128" s="106">
        <f t="shared" si="16"/>
        <v>0</v>
      </c>
    </row>
    <row r="129" spans="1:8" ht="15.75" thickBot="1" x14ac:dyDescent="0.3">
      <c r="A129" s="113">
        <f t="shared" si="15"/>
        <v>2.0669999999999926</v>
      </c>
      <c r="B129" s="173" t="s">
        <v>240</v>
      </c>
      <c r="C129" s="174"/>
      <c r="D129" s="174"/>
      <c r="E129" s="174"/>
      <c r="F129" s="174"/>
      <c r="G129" s="175"/>
      <c r="H129" s="117">
        <f>SUM(H101:H128)</f>
        <v>0</v>
      </c>
    </row>
    <row r="130" spans="1:8" ht="24.75" thickBot="1" x14ac:dyDescent="0.3">
      <c r="A130" s="113">
        <f t="shared" si="15"/>
        <v>2.0679999999999925</v>
      </c>
      <c r="B130" s="114" t="s">
        <v>36</v>
      </c>
      <c r="C130" s="97" t="s">
        <v>94</v>
      </c>
      <c r="D130" s="115" t="s">
        <v>38</v>
      </c>
      <c r="E130" s="115" t="s">
        <v>37</v>
      </c>
      <c r="F130" s="115" t="s">
        <v>81</v>
      </c>
      <c r="G130" s="116" t="s">
        <v>86</v>
      </c>
      <c r="H130" s="99" t="s">
        <v>95</v>
      </c>
    </row>
    <row r="131" spans="1:8" ht="15.75" thickBot="1" x14ac:dyDescent="0.3">
      <c r="A131" s="113">
        <f t="shared" si="15"/>
        <v>2.0679999999999925</v>
      </c>
      <c r="B131" s="173" t="s">
        <v>241</v>
      </c>
      <c r="C131" s="174"/>
      <c r="D131" s="174"/>
      <c r="E131" s="174"/>
      <c r="F131" s="174"/>
      <c r="G131" s="175"/>
      <c r="H131" s="117">
        <f>H129</f>
        <v>0</v>
      </c>
    </row>
    <row r="132" spans="1:8" x14ac:dyDescent="0.25">
      <c r="A132" s="113">
        <f t="shared" si="15"/>
        <v>2.0679999999999925</v>
      </c>
      <c r="B132" s="100" t="str">
        <f t="shared" si="14"/>
        <v/>
      </c>
      <c r="C132" s="107"/>
      <c r="D132" s="161"/>
      <c r="E132" s="107"/>
      <c r="F132" s="109"/>
      <c r="G132" s="105"/>
      <c r="H132" s="106" t="str">
        <f t="shared" si="16"/>
        <v/>
      </c>
    </row>
    <row r="133" spans="1:8" ht="54" x14ac:dyDescent="0.25">
      <c r="A133" s="113">
        <f t="shared" si="15"/>
        <v>2.0679999999999925</v>
      </c>
      <c r="B133" s="100" t="str">
        <f t="shared" si="14"/>
        <v/>
      </c>
      <c r="C133" s="107" t="s">
        <v>428</v>
      </c>
      <c r="D133" s="108" t="s">
        <v>252</v>
      </c>
      <c r="E133" s="107"/>
      <c r="F133" s="109"/>
      <c r="G133" s="105"/>
      <c r="H133" s="106" t="str">
        <f t="shared" si="16"/>
        <v/>
      </c>
    </row>
    <row r="134" spans="1:8" x14ac:dyDescent="0.25">
      <c r="A134" s="113">
        <f t="shared" si="15"/>
        <v>2.0679999999999925</v>
      </c>
      <c r="B134" s="100" t="str">
        <f t="shared" si="14"/>
        <v/>
      </c>
      <c r="C134" s="107"/>
      <c r="D134" s="108"/>
      <c r="E134" s="107"/>
      <c r="F134" s="109"/>
      <c r="G134" s="105"/>
      <c r="H134" s="106" t="str">
        <f t="shared" si="16"/>
        <v/>
      </c>
    </row>
    <row r="135" spans="1:8" ht="13.5" customHeight="1" x14ac:dyDescent="0.25">
      <c r="A135" s="113">
        <f t="shared" si="15"/>
        <v>2.0689999999999924</v>
      </c>
      <c r="B135" s="100">
        <f t="shared" si="14"/>
        <v>2.0689999999999924</v>
      </c>
      <c r="C135" s="107" t="s">
        <v>1047</v>
      </c>
      <c r="D135" s="108" t="s">
        <v>219</v>
      </c>
      <c r="E135" s="107" t="s">
        <v>47</v>
      </c>
      <c r="F135" s="109">
        <v>30.617599999999999</v>
      </c>
      <c r="G135" s="105"/>
      <c r="H135" s="106">
        <f t="shared" si="16"/>
        <v>0</v>
      </c>
    </row>
    <row r="136" spans="1:8" ht="11.25" customHeight="1" x14ac:dyDescent="0.25">
      <c r="A136" s="113">
        <f t="shared" si="15"/>
        <v>2.0699999999999923</v>
      </c>
      <c r="B136" s="100">
        <f t="shared" si="14"/>
        <v>2.0699999999999923</v>
      </c>
      <c r="C136" s="107" t="s">
        <v>1047</v>
      </c>
      <c r="D136" s="162" t="s">
        <v>230</v>
      </c>
      <c r="E136" s="107" t="s">
        <v>47</v>
      </c>
      <c r="F136" s="109">
        <v>42.578400000000002</v>
      </c>
      <c r="G136" s="105"/>
      <c r="H136" s="106">
        <f t="shared" si="16"/>
        <v>0</v>
      </c>
    </row>
    <row r="137" spans="1:8" ht="27" x14ac:dyDescent="0.25">
      <c r="A137" s="113">
        <f t="shared" si="15"/>
        <v>2.0709999999999922</v>
      </c>
      <c r="B137" s="100">
        <f t="shared" si="14"/>
        <v>2.0709999999999922</v>
      </c>
      <c r="C137" s="107" t="s">
        <v>1047</v>
      </c>
      <c r="D137" s="162" t="s">
        <v>231</v>
      </c>
      <c r="E137" s="107" t="s">
        <v>47</v>
      </c>
      <c r="F137" s="109">
        <v>34.139800000000001</v>
      </c>
      <c r="G137" s="105"/>
      <c r="H137" s="106">
        <f t="shared" si="16"/>
        <v>0</v>
      </c>
    </row>
    <row r="138" spans="1:8" ht="15" customHeight="1" x14ac:dyDescent="0.25">
      <c r="A138" s="113">
        <f t="shared" si="15"/>
        <v>2.0709999999999922</v>
      </c>
      <c r="B138" s="100" t="str">
        <f t="shared" si="14"/>
        <v/>
      </c>
      <c r="C138" s="107"/>
      <c r="D138" s="153"/>
      <c r="E138" s="107"/>
      <c r="F138" s="109"/>
      <c r="G138" s="105"/>
      <c r="H138" s="106" t="str">
        <f t="shared" si="16"/>
        <v/>
      </c>
    </row>
    <row r="139" spans="1:8" ht="54" x14ac:dyDescent="0.25">
      <c r="A139" s="113">
        <f t="shared" si="15"/>
        <v>2.0709999999999922</v>
      </c>
      <c r="B139" s="100" t="str">
        <f t="shared" ref="B139:B148" si="17">+IF(F139&gt;0,A139,"")</f>
        <v/>
      </c>
      <c r="C139" s="107" t="s">
        <v>428</v>
      </c>
      <c r="D139" s="108" t="s">
        <v>253</v>
      </c>
      <c r="E139" s="107"/>
      <c r="F139" s="109"/>
      <c r="G139" s="105"/>
      <c r="H139" s="106" t="str">
        <f t="shared" si="16"/>
        <v/>
      </c>
    </row>
    <row r="140" spans="1:8" ht="11.25" customHeight="1" x14ac:dyDescent="0.25">
      <c r="A140" s="113">
        <f t="shared" si="15"/>
        <v>2.0709999999999922</v>
      </c>
      <c r="B140" s="100" t="str">
        <f t="shared" si="17"/>
        <v/>
      </c>
      <c r="C140" s="107"/>
      <c r="D140" s="108"/>
      <c r="E140" s="107"/>
      <c r="F140" s="109"/>
      <c r="G140" s="105"/>
      <c r="H140" s="106" t="str">
        <f t="shared" si="16"/>
        <v/>
      </c>
    </row>
    <row r="141" spans="1:8" ht="51.75" customHeight="1" x14ac:dyDescent="0.25">
      <c r="A141" s="113">
        <f t="shared" si="15"/>
        <v>2.0719999999999921</v>
      </c>
      <c r="B141" s="100">
        <f t="shared" si="17"/>
        <v>2.0719999999999921</v>
      </c>
      <c r="C141" s="107" t="s">
        <v>1047</v>
      </c>
      <c r="D141" s="108" t="s">
        <v>219</v>
      </c>
      <c r="E141" s="107" t="s">
        <v>47</v>
      </c>
      <c r="F141" s="109">
        <v>16.468920000000001</v>
      </c>
      <c r="G141" s="105"/>
      <c r="H141" s="106">
        <f t="shared" si="16"/>
        <v>0</v>
      </c>
    </row>
    <row r="142" spans="1:8" ht="27" x14ac:dyDescent="0.25">
      <c r="A142" s="113">
        <f t="shared" si="15"/>
        <v>2.072999999999992</v>
      </c>
      <c r="B142" s="100">
        <f t="shared" si="17"/>
        <v>2.072999999999992</v>
      </c>
      <c r="C142" s="107" t="s">
        <v>1047</v>
      </c>
      <c r="D142" s="162" t="s">
        <v>230</v>
      </c>
      <c r="E142" s="107" t="s">
        <v>47</v>
      </c>
      <c r="F142" s="109">
        <v>23.832599999999999</v>
      </c>
      <c r="G142" s="105"/>
      <c r="H142" s="106">
        <f t="shared" si="16"/>
        <v>0</v>
      </c>
    </row>
    <row r="143" spans="1:8" ht="27" x14ac:dyDescent="0.25">
      <c r="A143" s="113"/>
      <c r="B143" s="100">
        <f t="shared" si="17"/>
        <v>0</v>
      </c>
      <c r="C143" s="107" t="s">
        <v>1047</v>
      </c>
      <c r="D143" s="162" t="s">
        <v>231</v>
      </c>
      <c r="E143" s="107" t="s">
        <v>47</v>
      </c>
      <c r="F143" s="109">
        <v>24.545059999999999</v>
      </c>
      <c r="G143" s="105"/>
      <c r="H143" s="106">
        <f t="shared" si="16"/>
        <v>0</v>
      </c>
    </row>
    <row r="144" spans="1:8" x14ac:dyDescent="0.25">
      <c r="A144" s="113"/>
      <c r="B144" s="100" t="str">
        <f t="shared" si="17"/>
        <v/>
      </c>
      <c r="C144" s="107"/>
      <c r="D144" s="108"/>
      <c r="E144" s="107"/>
      <c r="F144" s="109"/>
      <c r="G144" s="105"/>
      <c r="H144" s="106" t="str">
        <f t="shared" si="16"/>
        <v/>
      </c>
    </row>
    <row r="145" spans="1:8" ht="40.5" x14ac:dyDescent="0.25">
      <c r="A145" s="113"/>
      <c r="B145" s="100" t="str">
        <f t="shared" si="17"/>
        <v/>
      </c>
      <c r="C145" s="107" t="s">
        <v>430</v>
      </c>
      <c r="D145" s="112" t="s">
        <v>31</v>
      </c>
      <c r="E145" s="107"/>
      <c r="F145" s="109"/>
      <c r="G145" s="105"/>
      <c r="H145" s="106" t="str">
        <f t="shared" si="16"/>
        <v/>
      </c>
    </row>
    <row r="146" spans="1:8" ht="54" x14ac:dyDescent="0.25">
      <c r="A146" s="113"/>
      <c r="B146" s="100" t="str">
        <f t="shared" si="17"/>
        <v/>
      </c>
      <c r="C146" s="107" t="s">
        <v>426</v>
      </c>
      <c r="D146" s="153" t="s">
        <v>236</v>
      </c>
      <c r="E146" s="107"/>
      <c r="F146" s="109"/>
      <c r="G146" s="105"/>
      <c r="H146" s="106" t="str">
        <f t="shared" si="16"/>
        <v/>
      </c>
    </row>
    <row r="147" spans="1:8" x14ac:dyDescent="0.25">
      <c r="A147" s="113">
        <f>+IF(F147&gt;0.01,A142+0.001,A142)</f>
        <v>2.072999999999992</v>
      </c>
      <c r="B147" s="100" t="str">
        <f t="shared" si="17"/>
        <v/>
      </c>
      <c r="C147" s="107"/>
      <c r="D147" s="108"/>
      <c r="E147" s="107"/>
      <c r="F147" s="109"/>
      <c r="G147" s="105"/>
      <c r="H147" s="106" t="str">
        <f t="shared" si="16"/>
        <v/>
      </c>
    </row>
    <row r="148" spans="1:8" ht="27" x14ac:dyDescent="0.25">
      <c r="A148" s="113">
        <f t="shared" ref="A148:A163" si="18">+IF(F148&gt;0.01,A147+0.001,A147)</f>
        <v>2.0739999999999919</v>
      </c>
      <c r="B148" s="100">
        <f t="shared" si="17"/>
        <v>2.0739999999999919</v>
      </c>
      <c r="C148" s="107" t="s">
        <v>1047</v>
      </c>
      <c r="D148" s="162" t="s">
        <v>219</v>
      </c>
      <c r="E148" s="107" t="s">
        <v>47</v>
      </c>
      <c r="F148" s="109">
        <v>37.752000000000002</v>
      </c>
      <c r="G148" s="105"/>
      <c r="H148" s="106">
        <f t="shared" si="16"/>
        <v>0</v>
      </c>
    </row>
    <row r="149" spans="1:8" ht="27" x14ac:dyDescent="0.25">
      <c r="A149" s="113">
        <f t="shared" si="18"/>
        <v>2.0749999999999917</v>
      </c>
      <c r="B149" s="100">
        <f t="shared" ref="B149:B163" si="19">+IF(F149&gt;0,A149,"")</f>
        <v>2.0749999999999917</v>
      </c>
      <c r="C149" s="107" t="s">
        <v>1047</v>
      </c>
      <c r="D149" s="162" t="s">
        <v>230</v>
      </c>
      <c r="E149" s="107" t="s">
        <v>47</v>
      </c>
      <c r="F149" s="109">
        <v>52.66</v>
      </c>
      <c r="G149" s="105"/>
      <c r="H149" s="106">
        <f t="shared" si="16"/>
        <v>0</v>
      </c>
    </row>
    <row r="150" spans="1:8" ht="27" x14ac:dyDescent="0.25">
      <c r="A150" s="113">
        <f t="shared" si="18"/>
        <v>2.0759999999999916</v>
      </c>
      <c r="B150" s="100">
        <f t="shared" si="19"/>
        <v>2.0759999999999916</v>
      </c>
      <c r="C150" s="107" t="s">
        <v>1047</v>
      </c>
      <c r="D150" s="162" t="s">
        <v>231</v>
      </c>
      <c r="E150" s="107" t="s">
        <v>47</v>
      </c>
      <c r="F150" s="109">
        <v>45.451000000000001</v>
      </c>
      <c r="G150" s="105"/>
      <c r="H150" s="106">
        <f t="shared" si="16"/>
        <v>0</v>
      </c>
    </row>
    <row r="151" spans="1:8" x14ac:dyDescent="0.25">
      <c r="A151" s="113">
        <f t="shared" si="18"/>
        <v>2.0759999999999916</v>
      </c>
      <c r="B151" s="100" t="str">
        <f t="shared" si="19"/>
        <v/>
      </c>
      <c r="C151" s="107"/>
      <c r="D151" s="161"/>
      <c r="E151" s="107"/>
      <c r="F151" s="109"/>
      <c r="G151" s="105"/>
      <c r="H151" s="106" t="str">
        <f t="shared" si="16"/>
        <v/>
      </c>
    </row>
    <row r="152" spans="1:8" ht="54" x14ac:dyDescent="0.25">
      <c r="A152" s="113">
        <f t="shared" si="18"/>
        <v>2.0759999999999916</v>
      </c>
      <c r="B152" s="100" t="str">
        <f t="shared" si="19"/>
        <v/>
      </c>
      <c r="C152" s="107" t="s">
        <v>431</v>
      </c>
      <c r="D152" s="108" t="s">
        <v>92</v>
      </c>
      <c r="E152" s="107"/>
      <c r="F152" s="109"/>
      <c r="G152" s="105"/>
      <c r="H152" s="106" t="str">
        <f t="shared" si="16"/>
        <v/>
      </c>
    </row>
    <row r="153" spans="1:8" ht="27" x14ac:dyDescent="0.25">
      <c r="A153" s="113">
        <f t="shared" si="18"/>
        <v>2.0769999999999915</v>
      </c>
      <c r="B153" s="100">
        <f t="shared" si="19"/>
        <v>2.0769999999999915</v>
      </c>
      <c r="C153" s="107" t="s">
        <v>1024</v>
      </c>
      <c r="D153" s="108" t="s">
        <v>863</v>
      </c>
      <c r="E153" s="107" t="s">
        <v>48</v>
      </c>
      <c r="F153" s="109">
        <v>12</v>
      </c>
      <c r="G153" s="105"/>
      <c r="H153" s="106">
        <f t="shared" si="16"/>
        <v>0</v>
      </c>
    </row>
    <row r="154" spans="1:8" ht="27.75" thickBot="1" x14ac:dyDescent="0.3">
      <c r="A154" s="113">
        <f t="shared" si="18"/>
        <v>2.0779999999999914</v>
      </c>
      <c r="B154" s="100">
        <f t="shared" si="19"/>
        <v>2.0779999999999914</v>
      </c>
      <c r="C154" s="107" t="s">
        <v>1024</v>
      </c>
      <c r="D154" s="108" t="s">
        <v>864</v>
      </c>
      <c r="E154" s="107" t="s">
        <v>48</v>
      </c>
      <c r="F154" s="109">
        <v>8</v>
      </c>
      <c r="G154" s="105"/>
      <c r="H154" s="106">
        <f t="shared" si="16"/>
        <v>0</v>
      </c>
    </row>
    <row r="155" spans="1:8" ht="15.75" thickBot="1" x14ac:dyDescent="0.3">
      <c r="A155" s="113">
        <f t="shared" si="18"/>
        <v>2.0779999999999914</v>
      </c>
      <c r="B155" s="173" t="s">
        <v>240</v>
      </c>
      <c r="C155" s="174"/>
      <c r="D155" s="174"/>
      <c r="E155" s="174"/>
      <c r="F155" s="174"/>
      <c r="G155" s="175"/>
      <c r="H155" s="117">
        <f>SUM(H131:H154)</f>
        <v>0</v>
      </c>
    </row>
    <row r="156" spans="1:8" ht="24.75" thickBot="1" x14ac:dyDescent="0.3">
      <c r="A156" s="113">
        <f t="shared" si="18"/>
        <v>2.0789999999999913</v>
      </c>
      <c r="B156" s="114" t="s">
        <v>36</v>
      </c>
      <c r="C156" s="97" t="s">
        <v>94</v>
      </c>
      <c r="D156" s="115" t="s">
        <v>38</v>
      </c>
      <c r="E156" s="115" t="s">
        <v>37</v>
      </c>
      <c r="F156" s="115" t="s">
        <v>81</v>
      </c>
      <c r="G156" s="116" t="s">
        <v>86</v>
      </c>
      <c r="H156" s="99" t="s">
        <v>95</v>
      </c>
    </row>
    <row r="157" spans="1:8" ht="15.75" thickBot="1" x14ac:dyDescent="0.3">
      <c r="A157" s="113">
        <f t="shared" si="18"/>
        <v>2.0789999999999913</v>
      </c>
      <c r="B157" s="173" t="s">
        <v>241</v>
      </c>
      <c r="C157" s="174"/>
      <c r="D157" s="174"/>
      <c r="E157" s="174"/>
      <c r="F157" s="174"/>
      <c r="G157" s="175"/>
      <c r="H157" s="117">
        <f>H155</f>
        <v>0</v>
      </c>
    </row>
    <row r="158" spans="1:8" x14ac:dyDescent="0.25">
      <c r="A158" s="113">
        <f t="shared" si="18"/>
        <v>2.0789999999999913</v>
      </c>
      <c r="B158" s="100" t="str">
        <f t="shared" si="19"/>
        <v/>
      </c>
      <c r="C158" s="107"/>
      <c r="D158" s="108"/>
      <c r="E158" s="107"/>
      <c r="F158" s="109"/>
      <c r="G158" s="105"/>
      <c r="H158" s="106"/>
    </row>
    <row r="159" spans="1:8" ht="54" x14ac:dyDescent="0.25">
      <c r="A159" s="113">
        <f t="shared" si="18"/>
        <v>2.0789999999999913</v>
      </c>
      <c r="B159" s="100" t="str">
        <f t="shared" si="19"/>
        <v/>
      </c>
      <c r="C159" s="107" t="s">
        <v>431</v>
      </c>
      <c r="D159" s="108" t="s">
        <v>92</v>
      </c>
      <c r="E159" s="107"/>
      <c r="F159" s="109"/>
      <c r="G159" s="105"/>
      <c r="H159" s="106"/>
    </row>
    <row r="160" spans="1:8" x14ac:dyDescent="0.25">
      <c r="A160" s="113">
        <f t="shared" si="18"/>
        <v>2.0789999999999913</v>
      </c>
      <c r="B160" s="100" t="str">
        <f t="shared" si="19"/>
        <v/>
      </c>
      <c r="C160" s="107"/>
      <c r="D160" s="108"/>
      <c r="E160" s="107"/>
      <c r="F160" s="109"/>
      <c r="G160" s="105"/>
      <c r="H160" s="106"/>
    </row>
    <row r="161" spans="1:8" ht="27" x14ac:dyDescent="0.25">
      <c r="A161" s="113">
        <f t="shared" si="18"/>
        <v>2.0799999999999912</v>
      </c>
      <c r="B161" s="100">
        <f t="shared" si="19"/>
        <v>2.0799999999999912</v>
      </c>
      <c r="C161" s="107" t="s">
        <v>1047</v>
      </c>
      <c r="D161" s="108" t="s">
        <v>219</v>
      </c>
      <c r="E161" s="107" t="s">
        <v>48</v>
      </c>
      <c r="F161" s="109">
        <v>20</v>
      </c>
      <c r="G161" s="105"/>
      <c r="H161" s="106">
        <f t="shared" ref="H161:H175" si="20">IF(F161="","",G161*F161)</f>
        <v>0</v>
      </c>
    </row>
    <row r="162" spans="1:8" ht="27" x14ac:dyDescent="0.25">
      <c r="A162" s="113">
        <f t="shared" si="18"/>
        <v>2.0809999999999911</v>
      </c>
      <c r="B162" s="100">
        <f t="shared" si="19"/>
        <v>2.0809999999999911</v>
      </c>
      <c r="C162" s="107" t="s">
        <v>1024</v>
      </c>
      <c r="D162" s="108" t="s">
        <v>865</v>
      </c>
      <c r="E162" s="107" t="s">
        <v>48</v>
      </c>
      <c r="F162" s="109">
        <v>6</v>
      </c>
      <c r="G162" s="105"/>
      <c r="H162" s="106">
        <f t="shared" si="20"/>
        <v>0</v>
      </c>
    </row>
    <row r="163" spans="1:8" ht="27" x14ac:dyDescent="0.25">
      <c r="A163" s="113">
        <f t="shared" si="18"/>
        <v>2.081999999999991</v>
      </c>
      <c r="B163" s="100">
        <f t="shared" si="19"/>
        <v>2.081999999999991</v>
      </c>
      <c r="C163" s="107" t="s">
        <v>1024</v>
      </c>
      <c r="D163" s="108" t="s">
        <v>872</v>
      </c>
      <c r="E163" s="107" t="s">
        <v>48</v>
      </c>
      <c r="F163" s="109">
        <v>10</v>
      </c>
      <c r="G163" s="105"/>
      <c r="H163" s="106">
        <f t="shared" si="20"/>
        <v>0</v>
      </c>
    </row>
    <row r="164" spans="1:8" ht="27" x14ac:dyDescent="0.25">
      <c r="A164" s="113"/>
      <c r="B164" s="100"/>
      <c r="C164" s="107" t="s">
        <v>1024</v>
      </c>
      <c r="D164" s="108" t="s">
        <v>866</v>
      </c>
      <c r="E164" s="107" t="s">
        <v>48</v>
      </c>
      <c r="F164" s="109">
        <v>9</v>
      </c>
      <c r="G164" s="105"/>
      <c r="H164" s="106">
        <f t="shared" si="20"/>
        <v>0</v>
      </c>
    </row>
    <row r="165" spans="1:8" ht="27" x14ac:dyDescent="0.25">
      <c r="A165" s="113"/>
      <c r="B165" s="100"/>
      <c r="C165" s="107" t="s">
        <v>1024</v>
      </c>
      <c r="D165" s="108" t="s">
        <v>867</v>
      </c>
      <c r="E165" s="107" t="s">
        <v>48</v>
      </c>
      <c r="F165" s="109">
        <v>10</v>
      </c>
      <c r="G165" s="105"/>
      <c r="H165" s="106">
        <f t="shared" si="20"/>
        <v>0</v>
      </c>
    </row>
    <row r="166" spans="1:8" ht="27" x14ac:dyDescent="0.25">
      <c r="A166" s="113"/>
      <c r="B166" s="100"/>
      <c r="C166" s="107" t="s">
        <v>1024</v>
      </c>
      <c r="D166" s="108" t="s">
        <v>868</v>
      </c>
      <c r="E166" s="107" t="s">
        <v>48</v>
      </c>
      <c r="F166" s="109">
        <v>10</v>
      </c>
      <c r="G166" s="105"/>
      <c r="H166" s="106">
        <f t="shared" si="20"/>
        <v>0</v>
      </c>
    </row>
    <row r="167" spans="1:8" ht="27" x14ac:dyDescent="0.25">
      <c r="A167" s="113">
        <f>+IF(F167&gt;0.01,A163+0.001,A163)</f>
        <v>2.0829999999999909</v>
      </c>
      <c r="B167" s="100">
        <f>+IF(F167&gt;0,A167,"")</f>
        <v>2.0829999999999909</v>
      </c>
      <c r="C167" s="107" t="s">
        <v>1024</v>
      </c>
      <c r="D167" s="108" t="s">
        <v>869</v>
      </c>
      <c r="E167" s="107" t="s">
        <v>48</v>
      </c>
      <c r="F167" s="109">
        <v>8</v>
      </c>
      <c r="G167" s="105"/>
      <c r="H167" s="106">
        <f t="shared" si="20"/>
        <v>0</v>
      </c>
    </row>
    <row r="168" spans="1:8" ht="27" x14ac:dyDescent="0.25">
      <c r="A168" s="113">
        <f>+IF(F168&gt;0.01,A167+0.001,A167)</f>
        <v>2.0839999999999907</v>
      </c>
      <c r="B168" s="100">
        <f>+IF(F168&gt;0,A168,"")</f>
        <v>2.0839999999999907</v>
      </c>
      <c r="C168" s="107" t="s">
        <v>1024</v>
      </c>
      <c r="D168" s="108" t="s">
        <v>870</v>
      </c>
      <c r="E168" s="107" t="s">
        <v>48</v>
      </c>
      <c r="F168" s="109">
        <v>11</v>
      </c>
      <c r="G168" s="105"/>
      <c r="H168" s="106">
        <f t="shared" si="20"/>
        <v>0</v>
      </c>
    </row>
    <row r="169" spans="1:8" ht="27" x14ac:dyDescent="0.25">
      <c r="A169" s="113"/>
      <c r="B169" s="100"/>
      <c r="C169" s="107" t="s">
        <v>1024</v>
      </c>
      <c r="D169" s="108" t="s">
        <v>871</v>
      </c>
      <c r="E169" s="107" t="s">
        <v>48</v>
      </c>
      <c r="F169" s="109">
        <v>6</v>
      </c>
      <c r="G169" s="105"/>
      <c r="H169" s="106">
        <f t="shared" si="20"/>
        <v>0</v>
      </c>
    </row>
    <row r="170" spans="1:8" ht="27" x14ac:dyDescent="0.25">
      <c r="A170" s="113"/>
      <c r="B170" s="100"/>
      <c r="C170" s="107" t="s">
        <v>1024</v>
      </c>
      <c r="D170" s="108" t="s">
        <v>228</v>
      </c>
      <c r="E170" s="107" t="s">
        <v>48</v>
      </c>
      <c r="F170" s="109">
        <v>6.1</v>
      </c>
      <c r="G170" s="105"/>
      <c r="H170" s="106">
        <f t="shared" si="20"/>
        <v>0</v>
      </c>
    </row>
    <row r="171" spans="1:8" ht="27" x14ac:dyDescent="0.25">
      <c r="A171" s="113"/>
      <c r="B171" s="100"/>
      <c r="C171" s="107" t="s">
        <v>1047</v>
      </c>
      <c r="D171" s="162" t="s">
        <v>230</v>
      </c>
      <c r="E171" s="107" t="s">
        <v>48</v>
      </c>
      <c r="F171" s="109">
        <v>24.792750000000002</v>
      </c>
      <c r="G171" s="105"/>
      <c r="H171" s="106">
        <f t="shared" si="20"/>
        <v>0</v>
      </c>
    </row>
    <row r="172" spans="1:8" ht="27" x14ac:dyDescent="0.25">
      <c r="A172" s="113"/>
      <c r="B172" s="100"/>
      <c r="C172" s="107" t="s">
        <v>1047</v>
      </c>
      <c r="D172" s="162" t="s">
        <v>231</v>
      </c>
      <c r="E172" s="107" t="s">
        <v>48</v>
      </c>
      <c r="F172" s="109">
        <v>29.771295500000001</v>
      </c>
      <c r="G172" s="105"/>
      <c r="H172" s="106">
        <f t="shared" si="20"/>
        <v>0</v>
      </c>
    </row>
    <row r="173" spans="1:8" ht="27" x14ac:dyDescent="0.25">
      <c r="A173" s="113"/>
      <c r="B173" s="100"/>
      <c r="C173" s="107" t="s">
        <v>1024</v>
      </c>
      <c r="D173" s="162" t="s">
        <v>873</v>
      </c>
      <c r="E173" s="107" t="s">
        <v>48</v>
      </c>
      <c r="F173" s="109">
        <v>8</v>
      </c>
      <c r="G173" s="105"/>
      <c r="H173" s="106">
        <f t="shared" si="20"/>
        <v>0</v>
      </c>
    </row>
    <row r="174" spans="1:8" ht="27" x14ac:dyDescent="0.25">
      <c r="A174" s="113"/>
      <c r="B174" s="100"/>
      <c r="C174" s="107" t="s">
        <v>1024</v>
      </c>
      <c r="D174" s="162" t="s">
        <v>874</v>
      </c>
      <c r="E174" s="107" t="s">
        <v>48</v>
      </c>
      <c r="F174" s="109">
        <v>8</v>
      </c>
      <c r="G174" s="105"/>
      <c r="H174" s="106">
        <f t="shared" si="20"/>
        <v>0</v>
      </c>
    </row>
    <row r="175" spans="1:8" ht="27" x14ac:dyDescent="0.25">
      <c r="A175" s="113"/>
      <c r="B175" s="100"/>
      <c r="C175" s="107" t="s">
        <v>1024</v>
      </c>
      <c r="D175" s="162" t="s">
        <v>875</v>
      </c>
      <c r="E175" s="107" t="s">
        <v>48</v>
      </c>
      <c r="F175" s="109">
        <v>8</v>
      </c>
      <c r="G175" s="105"/>
      <c r="H175" s="106">
        <f t="shared" si="20"/>
        <v>0</v>
      </c>
    </row>
    <row r="176" spans="1:8" x14ac:dyDescent="0.25">
      <c r="A176" s="113"/>
      <c r="B176" s="100"/>
      <c r="C176" s="107"/>
      <c r="D176" s="162"/>
      <c r="E176" s="107"/>
      <c r="F176" s="109"/>
      <c r="G176" s="105"/>
      <c r="H176" s="106"/>
    </row>
    <row r="177" spans="1:8" ht="27" x14ac:dyDescent="0.25">
      <c r="A177" s="113"/>
      <c r="B177" s="100"/>
      <c r="C177" s="107" t="s">
        <v>42</v>
      </c>
      <c r="D177" s="108" t="s">
        <v>254</v>
      </c>
      <c r="E177" s="107"/>
      <c r="F177" s="109"/>
      <c r="G177" s="105"/>
      <c r="H177" s="106" t="str">
        <f t="shared" ref="H177:H182" si="21">IF(F177="","",G177*F177)</f>
        <v/>
      </c>
    </row>
    <row r="178" spans="1:8" ht="27" x14ac:dyDescent="0.25">
      <c r="A178" s="113"/>
      <c r="B178" s="100"/>
      <c r="C178" s="107" t="s">
        <v>1024</v>
      </c>
      <c r="D178" s="108" t="s">
        <v>863</v>
      </c>
      <c r="E178" s="107" t="s">
        <v>47</v>
      </c>
      <c r="F178" s="109">
        <v>5</v>
      </c>
      <c r="G178" s="105"/>
      <c r="H178" s="106">
        <f t="shared" si="21"/>
        <v>0</v>
      </c>
    </row>
    <row r="179" spans="1:8" ht="27" x14ac:dyDescent="0.25">
      <c r="A179" s="113"/>
      <c r="B179" s="100"/>
      <c r="C179" s="107" t="s">
        <v>1024</v>
      </c>
      <c r="D179" s="108" t="s">
        <v>864</v>
      </c>
      <c r="E179" s="107" t="s">
        <v>47</v>
      </c>
      <c r="F179" s="109">
        <v>8</v>
      </c>
      <c r="G179" s="105"/>
      <c r="H179" s="106">
        <f t="shared" si="21"/>
        <v>0</v>
      </c>
    </row>
    <row r="180" spans="1:8" ht="27" x14ac:dyDescent="0.25">
      <c r="A180" s="113">
        <f>+IF(F180&gt;0.01,A168+0.001,A168)</f>
        <v>2.0849999999999906</v>
      </c>
      <c r="B180" s="100">
        <f t="shared" ref="B180:B188" si="22">+IF(F180&gt;0,A180,"")</f>
        <v>2.0849999999999906</v>
      </c>
      <c r="C180" s="107" t="s">
        <v>1047</v>
      </c>
      <c r="D180" s="108" t="s">
        <v>219</v>
      </c>
      <c r="E180" s="107" t="s">
        <v>47</v>
      </c>
      <c r="F180" s="109">
        <v>7.9050000000000002</v>
      </c>
      <c r="G180" s="105"/>
      <c r="H180" s="106">
        <f t="shared" si="21"/>
        <v>0</v>
      </c>
    </row>
    <row r="181" spans="1:8" ht="27" x14ac:dyDescent="0.25">
      <c r="A181" s="113">
        <f t="shared" ref="A181:A188" si="23">+IF(F181&gt;0.01,A180+0.001,A180)</f>
        <v>2.0859999999999905</v>
      </c>
      <c r="B181" s="100">
        <f t="shared" si="22"/>
        <v>2.0859999999999905</v>
      </c>
      <c r="C181" s="107" t="s">
        <v>1024</v>
      </c>
      <c r="D181" s="108" t="s">
        <v>865</v>
      </c>
      <c r="E181" s="107" t="s">
        <v>47</v>
      </c>
      <c r="F181" s="109">
        <v>4</v>
      </c>
      <c r="G181" s="105"/>
      <c r="H181" s="106">
        <f t="shared" si="21"/>
        <v>0</v>
      </c>
    </row>
    <row r="182" spans="1:8" ht="27" x14ac:dyDescent="0.25">
      <c r="A182" s="113">
        <f t="shared" si="23"/>
        <v>2.0869999999999904</v>
      </c>
      <c r="B182" s="100">
        <f t="shared" si="22"/>
        <v>2.0869999999999904</v>
      </c>
      <c r="C182" s="107" t="s">
        <v>1024</v>
      </c>
      <c r="D182" s="108" t="s">
        <v>872</v>
      </c>
      <c r="E182" s="107" t="s">
        <v>47</v>
      </c>
      <c r="F182" s="109">
        <v>4</v>
      </c>
      <c r="G182" s="105"/>
      <c r="H182" s="106">
        <f t="shared" si="21"/>
        <v>0</v>
      </c>
    </row>
    <row r="183" spans="1:8" ht="15.75" thickBot="1" x14ac:dyDescent="0.3">
      <c r="A183" s="113">
        <f t="shared" si="23"/>
        <v>2.0869999999999904</v>
      </c>
      <c r="B183" s="100" t="str">
        <f t="shared" si="22"/>
        <v/>
      </c>
      <c r="C183" s="107"/>
      <c r="D183" s="161"/>
      <c r="E183" s="107"/>
      <c r="F183" s="109"/>
      <c r="G183" s="105"/>
      <c r="H183" s="106" t="str">
        <f t="shared" ref="H183" si="24">IF(F183="","",G183*F183)</f>
        <v/>
      </c>
    </row>
    <row r="184" spans="1:8" ht="15.75" thickBot="1" x14ac:dyDescent="0.3">
      <c r="A184" s="113">
        <f t="shared" si="23"/>
        <v>2.0869999999999904</v>
      </c>
      <c r="B184" s="173" t="s">
        <v>240</v>
      </c>
      <c r="C184" s="174"/>
      <c r="D184" s="174"/>
      <c r="E184" s="174"/>
      <c r="F184" s="174"/>
      <c r="G184" s="175"/>
      <c r="H184" s="117">
        <f>SUM(H139:H182)</f>
        <v>0</v>
      </c>
    </row>
    <row r="185" spans="1:8" ht="24.75" thickBot="1" x14ac:dyDescent="0.3">
      <c r="A185" s="113">
        <f t="shared" si="23"/>
        <v>2.0879999999999903</v>
      </c>
      <c r="B185" s="114" t="s">
        <v>36</v>
      </c>
      <c r="C185" s="97" t="s">
        <v>94</v>
      </c>
      <c r="D185" s="115" t="s">
        <v>38</v>
      </c>
      <c r="E185" s="115" t="s">
        <v>37</v>
      </c>
      <c r="F185" s="115" t="s">
        <v>81</v>
      </c>
      <c r="G185" s="116" t="s">
        <v>86</v>
      </c>
      <c r="H185" s="99" t="s">
        <v>95</v>
      </c>
    </row>
    <row r="186" spans="1:8" ht="15.75" thickBot="1" x14ac:dyDescent="0.3">
      <c r="A186" s="113">
        <f t="shared" si="23"/>
        <v>2.0879999999999903</v>
      </c>
      <c r="B186" s="173" t="s">
        <v>241</v>
      </c>
      <c r="C186" s="174"/>
      <c r="D186" s="174"/>
      <c r="E186" s="174"/>
      <c r="F186" s="174"/>
      <c r="G186" s="175"/>
      <c r="H186" s="117">
        <f>H184</f>
        <v>0</v>
      </c>
    </row>
    <row r="187" spans="1:8" x14ac:dyDescent="0.25">
      <c r="A187" s="113">
        <f t="shared" si="23"/>
        <v>2.0879999999999903</v>
      </c>
      <c r="B187" s="100" t="str">
        <f t="shared" si="22"/>
        <v/>
      </c>
      <c r="C187" s="107"/>
      <c r="D187" s="108"/>
      <c r="E187" s="107"/>
      <c r="F187" s="109"/>
      <c r="G187" s="105"/>
      <c r="H187" s="106"/>
    </row>
    <row r="188" spans="1:8" ht="27" x14ac:dyDescent="0.25">
      <c r="A188" s="113">
        <f t="shared" si="23"/>
        <v>2.0879999999999903</v>
      </c>
      <c r="B188" s="100" t="str">
        <f t="shared" si="22"/>
        <v/>
      </c>
      <c r="C188" s="107" t="s">
        <v>42</v>
      </c>
      <c r="D188" s="108" t="s">
        <v>254</v>
      </c>
      <c r="E188" s="107"/>
      <c r="F188" s="109"/>
      <c r="G188" s="105"/>
      <c r="H188" s="106" t="str">
        <f t="shared" ref="H188" si="25">IF(F188="","",G188*F188)</f>
        <v/>
      </c>
    </row>
    <row r="189" spans="1:8" x14ac:dyDescent="0.25">
      <c r="A189" s="113"/>
      <c r="B189" s="100"/>
      <c r="C189" s="107"/>
      <c r="D189" s="108"/>
      <c r="E189" s="107"/>
      <c r="F189" s="109"/>
      <c r="G189" s="105"/>
      <c r="H189" s="106"/>
    </row>
    <row r="190" spans="1:8" ht="27" x14ac:dyDescent="0.25">
      <c r="A190" s="113"/>
      <c r="B190" s="100">
        <f t="shared" ref="B190" si="26">+IF(F190&gt;0,A190,"")</f>
        <v>0</v>
      </c>
      <c r="C190" s="107" t="s">
        <v>1024</v>
      </c>
      <c r="D190" s="108" t="s">
        <v>866</v>
      </c>
      <c r="E190" s="107"/>
      <c r="F190" s="109">
        <v>5</v>
      </c>
      <c r="G190" s="105"/>
      <c r="H190" s="106">
        <f t="shared" ref="H190:H220" si="27">IF(F190="","",G190*F190)</f>
        <v>0</v>
      </c>
    </row>
    <row r="191" spans="1:8" ht="27" x14ac:dyDescent="0.25">
      <c r="A191" s="113"/>
      <c r="B191" s="100"/>
      <c r="C191" s="107" t="s">
        <v>1024</v>
      </c>
      <c r="D191" s="108" t="s">
        <v>867</v>
      </c>
      <c r="E191" s="107"/>
      <c r="F191" s="109">
        <v>5</v>
      </c>
      <c r="G191" s="105"/>
      <c r="H191" s="106">
        <f t="shared" si="27"/>
        <v>0</v>
      </c>
    </row>
    <row r="192" spans="1:8" ht="27" x14ac:dyDescent="0.25">
      <c r="A192" s="113"/>
      <c r="B192" s="100">
        <f t="shared" ref="B192" si="28">+IF(F192&gt;0,A192,"")</f>
        <v>0</v>
      </c>
      <c r="C192" s="107" t="s">
        <v>1024</v>
      </c>
      <c r="D192" s="108" t="s">
        <v>868</v>
      </c>
      <c r="E192" s="107"/>
      <c r="F192" s="109">
        <v>5</v>
      </c>
      <c r="G192" s="105"/>
      <c r="H192" s="106">
        <f t="shared" si="27"/>
        <v>0</v>
      </c>
    </row>
    <row r="193" spans="1:8" ht="27" x14ac:dyDescent="0.25">
      <c r="A193" s="113"/>
      <c r="B193" s="100"/>
      <c r="C193" s="107" t="s">
        <v>1024</v>
      </c>
      <c r="D193" s="108" t="s">
        <v>869</v>
      </c>
      <c r="E193" s="107"/>
      <c r="F193" s="109">
        <v>5</v>
      </c>
      <c r="G193" s="105"/>
      <c r="H193" s="106">
        <f t="shared" si="27"/>
        <v>0</v>
      </c>
    </row>
    <row r="194" spans="1:8" ht="27" x14ac:dyDescent="0.25">
      <c r="A194" s="113">
        <f>+IF(F194&gt;0.01,A188+0.001,A188)</f>
        <v>2.0889999999999902</v>
      </c>
      <c r="B194" s="100">
        <f t="shared" ref="B194:B220" si="29">+IF(F194&gt;0,A194,"")</f>
        <v>2.0889999999999902</v>
      </c>
      <c r="C194" s="107" t="s">
        <v>1024</v>
      </c>
      <c r="D194" s="108" t="s">
        <v>870</v>
      </c>
      <c r="E194" s="107"/>
      <c r="F194" s="109">
        <v>4</v>
      </c>
      <c r="G194" s="105"/>
      <c r="H194" s="106">
        <f t="shared" si="27"/>
        <v>0</v>
      </c>
    </row>
    <row r="195" spans="1:8" ht="41.25" customHeight="1" x14ac:dyDescent="0.25">
      <c r="A195" s="113">
        <f t="shared" ref="A195:A220" si="30">+IF(F195&gt;0.01,A194+0.001,A194)</f>
        <v>2.0899999999999901</v>
      </c>
      <c r="B195" s="100">
        <f t="shared" si="29"/>
        <v>2.0899999999999901</v>
      </c>
      <c r="C195" s="107" t="s">
        <v>1024</v>
      </c>
      <c r="D195" s="108" t="s">
        <v>871</v>
      </c>
      <c r="E195" s="107"/>
      <c r="F195" s="109">
        <v>5</v>
      </c>
      <c r="G195" s="105"/>
      <c r="H195" s="106">
        <f t="shared" si="27"/>
        <v>0</v>
      </c>
    </row>
    <row r="196" spans="1:8" ht="27" x14ac:dyDescent="0.25">
      <c r="A196" s="113">
        <f t="shared" si="30"/>
        <v>2.09099999999999</v>
      </c>
      <c r="B196" s="100">
        <f t="shared" si="29"/>
        <v>2.09099999999999</v>
      </c>
      <c r="C196" s="107" t="s">
        <v>1024</v>
      </c>
      <c r="D196" s="108" t="s">
        <v>228</v>
      </c>
      <c r="E196" s="107"/>
      <c r="F196" s="109">
        <v>6</v>
      </c>
      <c r="G196" s="105"/>
      <c r="H196" s="106">
        <f t="shared" si="27"/>
        <v>0</v>
      </c>
    </row>
    <row r="197" spans="1:8" x14ac:dyDescent="0.25">
      <c r="A197" s="113">
        <f t="shared" si="30"/>
        <v>2.0919999999999899</v>
      </c>
      <c r="B197" s="100">
        <f t="shared" si="29"/>
        <v>2.0919999999999899</v>
      </c>
      <c r="C197" s="107" t="s">
        <v>1047</v>
      </c>
      <c r="D197" s="162" t="s">
        <v>245</v>
      </c>
      <c r="E197" s="107" t="s">
        <v>47</v>
      </c>
      <c r="F197" s="109">
        <v>9.5449999999999999</v>
      </c>
      <c r="G197" s="105"/>
      <c r="H197" s="106">
        <f t="shared" si="27"/>
        <v>0</v>
      </c>
    </row>
    <row r="198" spans="1:8" x14ac:dyDescent="0.25">
      <c r="A198" s="113">
        <f t="shared" si="30"/>
        <v>2.0929999999999898</v>
      </c>
      <c r="B198" s="100">
        <f t="shared" si="29"/>
        <v>2.0929999999999898</v>
      </c>
      <c r="C198" s="107" t="s">
        <v>1047</v>
      </c>
      <c r="D198" s="162" t="s">
        <v>246</v>
      </c>
      <c r="E198" s="107" t="s">
        <v>47</v>
      </c>
      <c r="F198" s="109">
        <v>7.66</v>
      </c>
      <c r="G198" s="105"/>
      <c r="H198" s="106">
        <f t="shared" si="27"/>
        <v>0</v>
      </c>
    </row>
    <row r="199" spans="1:8" x14ac:dyDescent="0.25">
      <c r="A199" s="113">
        <f t="shared" si="30"/>
        <v>2.0939999999999896</v>
      </c>
      <c r="B199" s="100">
        <f t="shared" si="29"/>
        <v>2.0939999999999896</v>
      </c>
      <c r="C199" s="107" t="s">
        <v>1024</v>
      </c>
      <c r="D199" s="162" t="s">
        <v>1048</v>
      </c>
      <c r="E199" s="107" t="s">
        <v>47</v>
      </c>
      <c r="F199" s="109">
        <v>7.8</v>
      </c>
      <c r="G199" s="105"/>
      <c r="H199" s="106">
        <f t="shared" si="27"/>
        <v>0</v>
      </c>
    </row>
    <row r="200" spans="1:8" x14ac:dyDescent="0.25">
      <c r="A200" s="113">
        <f t="shared" si="30"/>
        <v>2.0949999999999895</v>
      </c>
      <c r="B200" s="100">
        <f t="shared" si="29"/>
        <v>2.0949999999999895</v>
      </c>
      <c r="C200" s="107" t="s">
        <v>1024</v>
      </c>
      <c r="D200" s="162" t="s">
        <v>1049</v>
      </c>
      <c r="E200" s="107" t="s">
        <v>47</v>
      </c>
      <c r="F200" s="109">
        <v>5</v>
      </c>
      <c r="G200" s="105"/>
      <c r="H200" s="106">
        <f t="shared" si="27"/>
        <v>0</v>
      </c>
    </row>
    <row r="201" spans="1:8" x14ac:dyDescent="0.25">
      <c r="A201" s="113">
        <f t="shared" si="30"/>
        <v>2.0959999999999894</v>
      </c>
      <c r="B201" s="100">
        <f t="shared" si="29"/>
        <v>2.0959999999999894</v>
      </c>
      <c r="C201" s="107" t="s">
        <v>1024</v>
      </c>
      <c r="D201" s="162" t="s">
        <v>1050</v>
      </c>
      <c r="E201" s="107" t="s">
        <v>47</v>
      </c>
      <c r="F201" s="109">
        <v>5</v>
      </c>
      <c r="G201" s="105"/>
      <c r="H201" s="106">
        <f t="shared" si="27"/>
        <v>0</v>
      </c>
    </row>
    <row r="202" spans="1:8" x14ac:dyDescent="0.25">
      <c r="A202" s="113">
        <f t="shared" si="30"/>
        <v>2.0969999999999893</v>
      </c>
      <c r="B202" s="100">
        <f t="shared" si="29"/>
        <v>2.0969999999999893</v>
      </c>
      <c r="C202" s="107" t="s">
        <v>1024</v>
      </c>
      <c r="D202" s="162" t="s">
        <v>1051</v>
      </c>
      <c r="E202" s="107" t="s">
        <v>47</v>
      </c>
      <c r="F202" s="109">
        <v>5</v>
      </c>
      <c r="G202" s="105"/>
      <c r="H202" s="106">
        <f t="shared" si="27"/>
        <v>0</v>
      </c>
    </row>
    <row r="203" spans="1:8" ht="27" x14ac:dyDescent="0.25">
      <c r="A203" s="113">
        <f t="shared" si="30"/>
        <v>2.0979999999999892</v>
      </c>
      <c r="B203" s="100">
        <f t="shared" si="29"/>
        <v>2.0979999999999892</v>
      </c>
      <c r="C203" s="107" t="s">
        <v>1024</v>
      </c>
      <c r="D203" s="108" t="s">
        <v>866</v>
      </c>
      <c r="E203" s="107"/>
      <c r="F203" s="109">
        <v>5</v>
      </c>
      <c r="G203" s="105"/>
      <c r="H203" s="106">
        <f t="shared" si="27"/>
        <v>0</v>
      </c>
    </row>
    <row r="204" spans="1:8" ht="27" x14ac:dyDescent="0.25">
      <c r="A204" s="113">
        <f t="shared" si="30"/>
        <v>2.0989999999999891</v>
      </c>
      <c r="B204" s="100">
        <f t="shared" si="29"/>
        <v>2.0989999999999891</v>
      </c>
      <c r="C204" s="107" t="s">
        <v>1024</v>
      </c>
      <c r="D204" s="108" t="s">
        <v>867</v>
      </c>
      <c r="E204" s="107"/>
      <c r="F204" s="109">
        <v>5</v>
      </c>
      <c r="G204" s="105"/>
      <c r="H204" s="106">
        <f t="shared" si="27"/>
        <v>0</v>
      </c>
    </row>
    <row r="205" spans="1:8" ht="27" x14ac:dyDescent="0.25">
      <c r="A205" s="113">
        <f t="shared" si="30"/>
        <v>2.099999999999989</v>
      </c>
      <c r="B205" s="100">
        <f t="shared" si="29"/>
        <v>2.099999999999989</v>
      </c>
      <c r="C205" s="107" t="s">
        <v>1024</v>
      </c>
      <c r="D205" s="108" t="s">
        <v>868</v>
      </c>
      <c r="E205" s="107"/>
      <c r="F205" s="109">
        <v>5</v>
      </c>
      <c r="G205" s="105"/>
      <c r="H205" s="106">
        <f t="shared" si="27"/>
        <v>0</v>
      </c>
    </row>
    <row r="206" spans="1:8" ht="27" x14ac:dyDescent="0.25">
      <c r="A206" s="113">
        <f t="shared" si="30"/>
        <v>2.1009999999999889</v>
      </c>
      <c r="B206" s="100">
        <f t="shared" si="29"/>
        <v>2.1009999999999889</v>
      </c>
      <c r="C206" s="107" t="s">
        <v>1024</v>
      </c>
      <c r="D206" s="108" t="s">
        <v>869</v>
      </c>
      <c r="E206" s="107"/>
      <c r="F206" s="109">
        <v>5</v>
      </c>
      <c r="G206" s="105"/>
      <c r="H206" s="106">
        <f t="shared" si="27"/>
        <v>0</v>
      </c>
    </row>
    <row r="207" spans="1:8" ht="27" x14ac:dyDescent="0.25">
      <c r="A207" s="113">
        <f t="shared" si="30"/>
        <v>2.1019999999999888</v>
      </c>
      <c r="B207" s="100">
        <f t="shared" si="29"/>
        <v>2.1019999999999888</v>
      </c>
      <c r="C207" s="107" t="s">
        <v>1024</v>
      </c>
      <c r="D207" s="108" t="s">
        <v>870</v>
      </c>
      <c r="E207" s="107"/>
      <c r="F207" s="109">
        <v>4</v>
      </c>
      <c r="G207" s="105"/>
      <c r="H207" s="106">
        <f t="shared" si="27"/>
        <v>0</v>
      </c>
    </row>
    <row r="208" spans="1:8" ht="27" x14ac:dyDescent="0.25">
      <c r="A208" s="113">
        <f t="shared" si="30"/>
        <v>2.1029999999999887</v>
      </c>
      <c r="B208" s="100">
        <f t="shared" si="29"/>
        <v>2.1029999999999887</v>
      </c>
      <c r="C208" s="107" t="s">
        <v>1024</v>
      </c>
      <c r="D208" s="108" t="s">
        <v>871</v>
      </c>
      <c r="E208" s="107"/>
      <c r="F208" s="109">
        <v>5</v>
      </c>
      <c r="G208" s="105"/>
      <c r="H208" s="106">
        <f t="shared" si="27"/>
        <v>0</v>
      </c>
    </row>
    <row r="209" spans="1:8" ht="27" x14ac:dyDescent="0.25">
      <c r="A209" s="113">
        <f t="shared" si="30"/>
        <v>2.1039999999999885</v>
      </c>
      <c r="B209" s="100">
        <f t="shared" si="29"/>
        <v>2.1039999999999885</v>
      </c>
      <c r="C209" s="107" t="s">
        <v>1024</v>
      </c>
      <c r="D209" s="108" t="s">
        <v>228</v>
      </c>
      <c r="E209" s="107"/>
      <c r="F209" s="109">
        <v>6</v>
      </c>
      <c r="G209" s="105"/>
      <c r="H209" s="106">
        <f t="shared" si="27"/>
        <v>0</v>
      </c>
    </row>
    <row r="210" spans="1:8" x14ac:dyDescent="0.25">
      <c r="A210" s="113">
        <f t="shared" si="30"/>
        <v>2.1039999999999885</v>
      </c>
      <c r="B210" s="100" t="str">
        <f t="shared" si="29"/>
        <v/>
      </c>
      <c r="C210" s="107"/>
      <c r="D210" s="161"/>
      <c r="E210" s="107"/>
      <c r="F210" s="109"/>
      <c r="G210" s="105"/>
      <c r="H210" s="106" t="str">
        <f t="shared" si="27"/>
        <v/>
      </c>
    </row>
    <row r="211" spans="1:8" x14ac:dyDescent="0.25">
      <c r="A211" s="113">
        <f t="shared" si="30"/>
        <v>2.1039999999999885</v>
      </c>
      <c r="B211" s="100" t="str">
        <f t="shared" si="29"/>
        <v/>
      </c>
      <c r="C211" s="107"/>
      <c r="D211" s="161"/>
      <c r="E211" s="107"/>
      <c r="F211" s="109"/>
      <c r="G211" s="105"/>
      <c r="H211" s="106" t="str">
        <f t="shared" si="27"/>
        <v/>
      </c>
    </row>
    <row r="212" spans="1:8" x14ac:dyDescent="0.25">
      <c r="A212" s="113">
        <f t="shared" si="30"/>
        <v>2.1039999999999885</v>
      </c>
      <c r="B212" s="100" t="str">
        <f t="shared" si="29"/>
        <v/>
      </c>
      <c r="C212" s="107"/>
      <c r="D212" s="161"/>
      <c r="E212" s="107"/>
      <c r="F212" s="109"/>
      <c r="G212" s="105"/>
      <c r="H212" s="106" t="str">
        <f t="shared" si="27"/>
        <v/>
      </c>
    </row>
    <row r="213" spans="1:8" x14ac:dyDescent="0.25">
      <c r="A213" s="113">
        <f t="shared" si="30"/>
        <v>2.1039999999999885</v>
      </c>
      <c r="B213" s="100" t="str">
        <f t="shared" si="29"/>
        <v/>
      </c>
      <c r="C213" s="107"/>
      <c r="D213" s="161"/>
      <c r="E213" s="107"/>
      <c r="F213" s="109"/>
      <c r="G213" s="105"/>
      <c r="H213" s="106" t="str">
        <f t="shared" si="27"/>
        <v/>
      </c>
    </row>
    <row r="214" spans="1:8" ht="15.75" thickBot="1" x14ac:dyDescent="0.3">
      <c r="A214" s="113">
        <f t="shared" si="30"/>
        <v>2.1039999999999885</v>
      </c>
      <c r="B214" s="100" t="str">
        <f t="shared" si="29"/>
        <v/>
      </c>
      <c r="C214" s="107"/>
      <c r="D214" s="161"/>
      <c r="E214" s="107"/>
      <c r="F214" s="109"/>
      <c r="G214" s="105"/>
      <c r="H214" s="106" t="str">
        <f t="shared" si="27"/>
        <v/>
      </c>
    </row>
    <row r="215" spans="1:8" ht="15.75" thickBot="1" x14ac:dyDescent="0.3">
      <c r="A215" s="113">
        <f t="shared" si="30"/>
        <v>2.1039999999999885</v>
      </c>
      <c r="B215" s="173" t="s">
        <v>240</v>
      </c>
      <c r="C215" s="174"/>
      <c r="D215" s="174"/>
      <c r="E215" s="174"/>
      <c r="F215" s="174"/>
      <c r="G215" s="175"/>
      <c r="H215" s="117">
        <f>SUM(H186:H214)</f>
        <v>0</v>
      </c>
    </row>
    <row r="216" spans="1:8" ht="24.75" thickBot="1" x14ac:dyDescent="0.3">
      <c r="A216" s="113">
        <f t="shared" si="30"/>
        <v>2.1049999999999884</v>
      </c>
      <c r="B216" s="114" t="s">
        <v>36</v>
      </c>
      <c r="C216" s="97" t="s">
        <v>94</v>
      </c>
      <c r="D216" s="115" t="s">
        <v>38</v>
      </c>
      <c r="E216" s="115" t="s">
        <v>37</v>
      </c>
      <c r="F216" s="115" t="s">
        <v>81</v>
      </c>
      <c r="G216" s="116" t="s">
        <v>86</v>
      </c>
      <c r="H216" s="99" t="s">
        <v>95</v>
      </c>
    </row>
    <row r="217" spans="1:8" ht="15.75" thickBot="1" x14ac:dyDescent="0.3">
      <c r="A217" s="113">
        <f t="shared" si="30"/>
        <v>2.1049999999999884</v>
      </c>
      <c r="B217" s="173" t="s">
        <v>241</v>
      </c>
      <c r="C217" s="174"/>
      <c r="D217" s="174"/>
      <c r="E217" s="174"/>
      <c r="F217" s="174"/>
      <c r="G217" s="175"/>
      <c r="H217" s="117">
        <f>H215</f>
        <v>0</v>
      </c>
    </row>
    <row r="218" spans="1:8" ht="16.5" customHeight="1" x14ac:dyDescent="0.25">
      <c r="A218" s="113">
        <f t="shared" si="30"/>
        <v>2.1049999999999884</v>
      </c>
      <c r="B218" s="100" t="str">
        <f t="shared" si="29"/>
        <v/>
      </c>
      <c r="C218" s="107"/>
      <c r="D218" s="108"/>
      <c r="E218" s="107"/>
      <c r="F218" s="109"/>
      <c r="G218" s="105"/>
      <c r="H218" s="106" t="str">
        <f t="shared" si="27"/>
        <v/>
      </c>
    </row>
    <row r="219" spans="1:8" ht="16.5" customHeight="1" x14ac:dyDescent="0.25">
      <c r="A219" s="113">
        <f t="shared" si="30"/>
        <v>2.1049999999999884</v>
      </c>
      <c r="B219" s="100" t="str">
        <f t="shared" si="29"/>
        <v/>
      </c>
      <c r="C219" s="107"/>
      <c r="D219" s="108"/>
      <c r="E219" s="107"/>
      <c r="F219" s="109"/>
      <c r="G219" s="105"/>
      <c r="H219" s="106" t="str">
        <f t="shared" si="27"/>
        <v/>
      </c>
    </row>
    <row r="220" spans="1:8" ht="16.5" customHeight="1" thickBot="1" x14ac:dyDescent="0.3">
      <c r="A220" s="113">
        <f t="shared" si="30"/>
        <v>2.1049999999999884</v>
      </c>
      <c r="B220" s="100" t="str">
        <f t="shared" si="29"/>
        <v/>
      </c>
      <c r="C220" s="107"/>
      <c r="D220" s="108"/>
      <c r="E220" s="107"/>
      <c r="F220" s="109"/>
      <c r="G220" s="105"/>
      <c r="H220" s="106" t="str">
        <f t="shared" si="27"/>
        <v/>
      </c>
    </row>
    <row r="221" spans="1:8" ht="15.75" thickBot="1" x14ac:dyDescent="0.3">
      <c r="A221" s="113"/>
      <c r="B221" s="173"/>
      <c r="C221" s="174"/>
      <c r="D221" s="174"/>
      <c r="E221" s="174"/>
      <c r="F221" s="174"/>
      <c r="G221" s="175"/>
      <c r="H221" s="117"/>
    </row>
    <row r="222" spans="1:8" ht="15.75" thickBot="1" x14ac:dyDescent="0.3">
      <c r="A222" s="113"/>
      <c r="B222" s="114"/>
      <c r="C222" s="97"/>
      <c r="D222" s="115"/>
      <c r="E222" s="115"/>
      <c r="F222" s="115"/>
      <c r="G222" s="116"/>
      <c r="H222" s="99"/>
    </row>
    <row r="223" spans="1:8" ht="15.75" thickBot="1" x14ac:dyDescent="0.3">
      <c r="A223" s="113"/>
      <c r="B223" s="173"/>
      <c r="C223" s="174"/>
      <c r="D223" s="174"/>
      <c r="E223" s="174"/>
      <c r="F223" s="174"/>
      <c r="G223" s="175"/>
      <c r="H223" s="117"/>
    </row>
    <row r="224" spans="1:8" x14ac:dyDescent="0.25">
      <c r="A224" s="113"/>
      <c r="B224" s="100"/>
      <c r="C224" s="107"/>
      <c r="D224" s="108"/>
      <c r="E224" s="107"/>
      <c r="F224" s="109"/>
      <c r="G224" s="105"/>
      <c r="H224" s="106"/>
    </row>
    <row r="225" spans="1:8" x14ac:dyDescent="0.25">
      <c r="A225" s="113">
        <f>+IF(F225&gt;0.01,A218+0.001,A218)</f>
        <v>2.1049999999999884</v>
      </c>
      <c r="B225" s="100" t="str">
        <f t="shared" ref="B225:B226" si="31">+IF(F225&gt;0,A225,"")</f>
        <v/>
      </c>
      <c r="C225" s="107"/>
      <c r="D225" s="108"/>
      <c r="E225" s="107"/>
      <c r="F225" s="109"/>
      <c r="G225" s="105"/>
      <c r="H225" s="106" t="str">
        <f t="shared" ref="H225:H226" si="32">IF(F225="","",G225*F225)</f>
        <v/>
      </c>
    </row>
    <row r="226" spans="1:8" x14ac:dyDescent="0.25">
      <c r="A226" s="113">
        <f t="shared" ref="A226:A248" si="33">+IF(F226&gt;0.01,A225+0.001,A225)</f>
        <v>2.1049999999999884</v>
      </c>
      <c r="B226" s="100" t="str">
        <f t="shared" si="31"/>
        <v/>
      </c>
      <c r="C226" s="107"/>
      <c r="D226" s="108"/>
      <c r="E226" s="107"/>
      <c r="F226" s="109"/>
      <c r="G226" s="105"/>
      <c r="H226" s="106" t="str">
        <f t="shared" si="32"/>
        <v/>
      </c>
    </row>
    <row r="227" spans="1:8" x14ac:dyDescent="0.25">
      <c r="A227" s="113">
        <f t="shared" si="33"/>
        <v>2.1049999999999884</v>
      </c>
      <c r="B227" s="100"/>
      <c r="C227" s="107"/>
      <c r="D227" s="108"/>
      <c r="E227" s="107"/>
      <c r="F227" s="109"/>
      <c r="G227" s="105"/>
      <c r="H227" s="106"/>
    </row>
    <row r="228" spans="1:8" x14ac:dyDescent="0.25">
      <c r="A228" s="113">
        <f t="shared" si="33"/>
        <v>2.1049999999999884</v>
      </c>
      <c r="B228" s="100"/>
      <c r="C228" s="107"/>
      <c r="D228" s="108"/>
      <c r="E228" s="107"/>
      <c r="F228" s="109"/>
      <c r="G228" s="105"/>
      <c r="H228" s="106"/>
    </row>
    <row r="229" spans="1:8" x14ac:dyDescent="0.25">
      <c r="A229" s="113">
        <f t="shared" si="33"/>
        <v>2.1049999999999884</v>
      </c>
      <c r="B229" s="100"/>
      <c r="C229" s="107"/>
      <c r="D229" s="161"/>
      <c r="E229" s="107"/>
      <c r="F229" s="109"/>
      <c r="G229" s="105"/>
      <c r="H229" s="106"/>
    </row>
    <row r="230" spans="1:8" x14ac:dyDescent="0.25">
      <c r="A230" s="113">
        <f t="shared" si="33"/>
        <v>2.1049999999999884</v>
      </c>
      <c r="B230" s="100"/>
      <c r="C230" s="107"/>
      <c r="D230" s="161"/>
      <c r="E230" s="107"/>
      <c r="F230" s="109"/>
      <c r="G230" s="105"/>
      <c r="H230" s="106"/>
    </row>
    <row r="231" spans="1:8" x14ac:dyDescent="0.25">
      <c r="A231" s="113">
        <f t="shared" si="33"/>
        <v>2.1049999999999884</v>
      </c>
      <c r="B231" s="100"/>
      <c r="C231" s="107"/>
      <c r="D231" s="108"/>
      <c r="E231" s="107"/>
      <c r="F231" s="109"/>
      <c r="G231" s="105"/>
      <c r="H231" s="106"/>
    </row>
    <row r="232" spans="1:8" x14ac:dyDescent="0.25">
      <c r="A232" s="113">
        <f t="shared" si="33"/>
        <v>2.1049999999999884</v>
      </c>
      <c r="B232" s="100"/>
      <c r="C232" s="107"/>
      <c r="D232" s="108"/>
      <c r="E232" s="107"/>
      <c r="F232" s="109"/>
      <c r="G232" s="105"/>
      <c r="H232" s="106"/>
    </row>
    <row r="233" spans="1:8" x14ac:dyDescent="0.25">
      <c r="A233" s="113">
        <f t="shared" si="33"/>
        <v>2.1049999999999884</v>
      </c>
      <c r="B233" s="100"/>
      <c r="C233" s="107"/>
      <c r="D233" s="108"/>
      <c r="E233" s="107"/>
      <c r="F233" s="109"/>
      <c r="G233" s="105"/>
      <c r="H233" s="106"/>
    </row>
    <row r="234" spans="1:8" x14ac:dyDescent="0.25">
      <c r="A234" s="113">
        <f t="shared" si="33"/>
        <v>2.1049999999999884</v>
      </c>
      <c r="B234" s="100"/>
      <c r="C234" s="107"/>
      <c r="D234" s="108"/>
      <c r="E234" s="107"/>
      <c r="F234" s="109"/>
      <c r="G234" s="105"/>
      <c r="H234" s="106"/>
    </row>
    <row r="235" spans="1:8" x14ac:dyDescent="0.25">
      <c r="A235" s="113">
        <f t="shared" si="33"/>
        <v>2.1049999999999884</v>
      </c>
      <c r="B235" s="100"/>
      <c r="C235" s="107"/>
      <c r="D235" s="108"/>
      <c r="E235" s="107"/>
      <c r="F235" s="109"/>
      <c r="G235" s="105"/>
      <c r="H235" s="106"/>
    </row>
    <row r="236" spans="1:8" x14ac:dyDescent="0.25">
      <c r="A236" s="113">
        <f t="shared" si="33"/>
        <v>2.1049999999999884</v>
      </c>
      <c r="B236" s="100"/>
      <c r="C236" s="107"/>
      <c r="D236" s="108"/>
      <c r="E236" s="107"/>
      <c r="F236" s="109"/>
      <c r="G236" s="105"/>
      <c r="H236" s="106"/>
    </row>
    <row r="237" spans="1:8" x14ac:dyDescent="0.25">
      <c r="A237" s="113">
        <f t="shared" si="33"/>
        <v>2.1049999999999884</v>
      </c>
      <c r="B237" s="100"/>
      <c r="C237" s="107"/>
      <c r="D237" s="108"/>
      <c r="E237" s="107"/>
      <c r="F237" s="109"/>
      <c r="G237" s="105"/>
      <c r="H237" s="106"/>
    </row>
    <row r="238" spans="1:8" x14ac:dyDescent="0.25">
      <c r="A238" s="113">
        <f t="shared" si="33"/>
        <v>2.1049999999999884</v>
      </c>
      <c r="B238" s="100"/>
      <c r="C238" s="107"/>
      <c r="D238" s="161"/>
      <c r="E238" s="107"/>
      <c r="F238" s="109"/>
      <c r="G238" s="105"/>
      <c r="H238" s="106"/>
    </row>
    <row r="239" spans="1:8" x14ac:dyDescent="0.25">
      <c r="A239" s="113">
        <f t="shared" si="33"/>
        <v>2.1049999999999884</v>
      </c>
      <c r="B239" s="100"/>
      <c r="C239" s="107"/>
      <c r="D239" s="161"/>
      <c r="E239" s="107"/>
      <c r="F239" s="109"/>
      <c r="G239" s="105"/>
      <c r="H239" s="106"/>
    </row>
    <row r="240" spans="1:8" x14ac:dyDescent="0.25">
      <c r="A240" s="113">
        <f t="shared" si="33"/>
        <v>2.1049999999999884</v>
      </c>
      <c r="B240" s="100"/>
      <c r="C240" s="107"/>
      <c r="D240" s="161"/>
      <c r="E240" s="107"/>
      <c r="F240" s="109"/>
      <c r="G240" s="105"/>
      <c r="H240" s="106"/>
    </row>
    <row r="241" spans="1:8" x14ac:dyDescent="0.25">
      <c r="A241" s="113">
        <f t="shared" si="33"/>
        <v>2.1049999999999884</v>
      </c>
      <c r="B241" s="100"/>
      <c r="C241" s="107"/>
      <c r="D241" s="161"/>
      <c r="E241" s="107"/>
      <c r="F241" s="109"/>
      <c r="G241" s="105"/>
      <c r="H241" s="106"/>
    </row>
    <row r="242" spans="1:8" x14ac:dyDescent="0.25">
      <c r="A242" s="113">
        <f t="shared" si="33"/>
        <v>2.1049999999999884</v>
      </c>
      <c r="B242" s="100"/>
      <c r="C242" s="107"/>
      <c r="D242" s="161"/>
      <c r="E242" s="107"/>
      <c r="F242" s="109"/>
      <c r="G242" s="105"/>
      <c r="H242" s="106"/>
    </row>
    <row r="243" spans="1:8" x14ac:dyDescent="0.25">
      <c r="A243" s="113">
        <f t="shared" si="33"/>
        <v>2.1049999999999884</v>
      </c>
      <c r="B243" s="100"/>
      <c r="C243" s="107"/>
      <c r="D243" s="161"/>
      <c r="E243" s="107"/>
      <c r="F243" s="109"/>
      <c r="G243" s="105"/>
      <c r="H243" s="106"/>
    </row>
    <row r="244" spans="1:8" x14ac:dyDescent="0.25">
      <c r="A244" s="113">
        <f t="shared" si="33"/>
        <v>2.1049999999999884</v>
      </c>
      <c r="B244" s="100"/>
      <c r="C244" s="107"/>
      <c r="D244" s="108"/>
      <c r="E244" s="107"/>
      <c r="F244" s="109"/>
      <c r="G244" s="105"/>
      <c r="H244" s="106"/>
    </row>
    <row r="245" spans="1:8" x14ac:dyDescent="0.25">
      <c r="A245" s="113">
        <f t="shared" si="33"/>
        <v>2.1049999999999884</v>
      </c>
      <c r="B245" s="100"/>
      <c r="C245" s="107"/>
      <c r="D245" s="108"/>
      <c r="E245" s="107"/>
      <c r="F245" s="109"/>
      <c r="G245" s="105"/>
      <c r="H245" s="106"/>
    </row>
    <row r="246" spans="1:8" x14ac:dyDescent="0.25">
      <c r="A246" s="113">
        <f t="shared" si="33"/>
        <v>2.1049999999999884</v>
      </c>
      <c r="B246" s="100"/>
      <c r="C246" s="107"/>
      <c r="D246" s="108"/>
      <c r="E246" s="107"/>
      <c r="F246" s="109"/>
      <c r="G246" s="105"/>
      <c r="H246" s="106"/>
    </row>
    <row r="247" spans="1:8" x14ac:dyDescent="0.25">
      <c r="A247" s="113">
        <f t="shared" si="33"/>
        <v>2.1049999999999884</v>
      </c>
      <c r="B247" s="100"/>
      <c r="C247" s="107"/>
      <c r="D247" s="108"/>
      <c r="E247" s="107"/>
      <c r="F247" s="109"/>
      <c r="G247" s="105"/>
      <c r="H247" s="106"/>
    </row>
    <row r="248" spans="1:8" x14ac:dyDescent="0.25">
      <c r="A248" s="113">
        <f t="shared" si="33"/>
        <v>2.1049999999999884</v>
      </c>
      <c r="B248" s="100"/>
      <c r="C248" s="107"/>
      <c r="D248" s="108"/>
      <c r="E248" s="107"/>
      <c r="F248" s="109"/>
      <c r="G248" s="105"/>
      <c r="H248" s="106"/>
    </row>
    <row r="249" spans="1:8" x14ac:dyDescent="0.25">
      <c r="A249" s="113"/>
      <c r="B249" s="100"/>
      <c r="C249" s="107"/>
      <c r="D249" s="108"/>
      <c r="E249" s="107"/>
      <c r="F249" s="109"/>
      <c r="G249" s="105"/>
      <c r="H249" s="106"/>
    </row>
    <row r="250" spans="1:8" x14ac:dyDescent="0.25">
      <c r="A250" s="113"/>
      <c r="B250" s="100"/>
      <c r="C250" s="107"/>
      <c r="D250" s="108"/>
      <c r="E250" s="107"/>
      <c r="F250" s="109"/>
      <c r="G250" s="105"/>
      <c r="H250" s="106"/>
    </row>
    <row r="251" spans="1:8" x14ac:dyDescent="0.25">
      <c r="A251" s="113"/>
      <c r="B251" s="100"/>
      <c r="C251" s="107"/>
      <c r="D251" s="108"/>
      <c r="E251" s="107"/>
      <c r="F251" s="109"/>
      <c r="G251" s="105"/>
      <c r="H251" s="106"/>
    </row>
    <row r="252" spans="1:8" ht="15.75" thickBot="1" x14ac:dyDescent="0.3">
      <c r="A252" s="113">
        <f>+IF(F252&gt;0.01,A248+0.001,A248)</f>
        <v>2.1049999999999884</v>
      </c>
      <c r="B252" s="100"/>
      <c r="C252" s="107"/>
      <c r="D252" s="108"/>
      <c r="E252" s="107"/>
      <c r="F252" s="109"/>
      <c r="G252" s="105"/>
      <c r="H252" s="106"/>
    </row>
    <row r="253" spans="1:8" ht="15.75" thickBot="1" x14ac:dyDescent="0.3">
      <c r="A253" s="113"/>
      <c r="B253" s="173"/>
      <c r="C253" s="174"/>
      <c r="D253" s="174"/>
      <c r="E253" s="174"/>
      <c r="F253" s="174"/>
      <c r="G253" s="175"/>
      <c r="H253" s="117"/>
    </row>
    <row r="254" spans="1:8" ht="15.75" thickBot="1" x14ac:dyDescent="0.3">
      <c r="A254" s="113"/>
      <c r="B254" s="114"/>
      <c r="C254" s="97"/>
      <c r="D254" s="115"/>
      <c r="E254" s="115"/>
      <c r="F254" s="115"/>
      <c r="G254" s="116"/>
      <c r="H254" s="99"/>
    </row>
    <row r="255" spans="1:8" ht="15.75" thickBot="1" x14ac:dyDescent="0.3">
      <c r="A255" s="113"/>
      <c r="B255" s="173"/>
      <c r="C255" s="174"/>
      <c r="D255" s="174"/>
      <c r="E255" s="174"/>
      <c r="F255" s="174"/>
      <c r="G255" s="175"/>
      <c r="H255" s="117"/>
    </row>
    <row r="256" spans="1:8" x14ac:dyDescent="0.25">
      <c r="A256" s="113"/>
      <c r="B256" s="100"/>
      <c r="C256" s="107"/>
      <c r="D256" s="108"/>
      <c r="E256" s="107"/>
      <c r="F256" s="109"/>
      <c r="G256" s="105"/>
      <c r="H256" s="106"/>
    </row>
    <row r="257" spans="1:8" x14ac:dyDescent="0.25">
      <c r="A257" s="113">
        <f>+IF(F257&gt;0.01,A252+0.001,A252)</f>
        <v>2.1049999999999884</v>
      </c>
      <c r="B257" s="100"/>
      <c r="C257" s="107"/>
      <c r="D257" s="108"/>
      <c r="E257" s="107"/>
      <c r="F257" s="109"/>
      <c r="G257" s="105"/>
      <c r="H257" s="106"/>
    </row>
    <row r="258" spans="1:8" x14ac:dyDescent="0.25">
      <c r="A258" s="113">
        <f t="shared" ref="A258:A281" si="34">+IF(F258&gt;0.01,A257+0.001,A257)</f>
        <v>2.1049999999999884</v>
      </c>
      <c r="B258" s="100"/>
      <c r="C258" s="107"/>
      <c r="D258" s="108"/>
      <c r="E258" s="107"/>
      <c r="F258" s="109"/>
      <c r="G258" s="105"/>
      <c r="H258" s="106"/>
    </row>
    <row r="259" spans="1:8" x14ac:dyDescent="0.25">
      <c r="A259" s="113">
        <f t="shared" si="34"/>
        <v>2.1049999999999884</v>
      </c>
      <c r="B259" s="100"/>
      <c r="C259" s="107"/>
      <c r="D259" s="108"/>
      <c r="E259" s="107"/>
      <c r="F259" s="109"/>
      <c r="G259" s="105"/>
      <c r="H259" s="106"/>
    </row>
    <row r="260" spans="1:8" x14ac:dyDescent="0.25">
      <c r="A260" s="113">
        <f t="shared" si="34"/>
        <v>2.1049999999999884</v>
      </c>
      <c r="B260" s="100"/>
      <c r="C260" s="107"/>
      <c r="D260" s="108"/>
      <c r="E260" s="107"/>
      <c r="F260" s="109"/>
      <c r="G260" s="105"/>
      <c r="H260" s="106"/>
    </row>
    <row r="261" spans="1:8" x14ac:dyDescent="0.25">
      <c r="A261" s="113">
        <f t="shared" si="34"/>
        <v>2.1049999999999884</v>
      </c>
      <c r="B261" s="100"/>
      <c r="C261" s="107"/>
      <c r="D261" s="161"/>
      <c r="E261" s="107"/>
      <c r="F261" s="109"/>
      <c r="G261" s="105"/>
      <c r="H261" s="106"/>
    </row>
    <row r="262" spans="1:8" x14ac:dyDescent="0.25">
      <c r="A262" s="113">
        <f t="shared" si="34"/>
        <v>2.1049999999999884</v>
      </c>
      <c r="B262" s="100"/>
      <c r="C262" s="107"/>
      <c r="D262" s="161"/>
      <c r="E262" s="107"/>
      <c r="F262" s="109"/>
      <c r="G262" s="105"/>
      <c r="H262" s="106"/>
    </row>
    <row r="263" spans="1:8" x14ac:dyDescent="0.25">
      <c r="A263" s="113">
        <f t="shared" si="34"/>
        <v>2.1049999999999884</v>
      </c>
      <c r="B263" s="100"/>
      <c r="C263" s="107"/>
      <c r="D263" s="161"/>
      <c r="E263" s="107"/>
      <c r="F263" s="109"/>
      <c r="G263" s="105"/>
      <c r="H263" s="106"/>
    </row>
    <row r="264" spans="1:8" x14ac:dyDescent="0.25">
      <c r="A264" s="113">
        <f t="shared" si="34"/>
        <v>2.1049999999999884</v>
      </c>
      <c r="B264" s="100"/>
      <c r="C264" s="107"/>
      <c r="D264" s="108"/>
      <c r="E264" s="107"/>
      <c r="F264" s="109"/>
      <c r="G264" s="105"/>
      <c r="H264" s="106"/>
    </row>
    <row r="265" spans="1:8" x14ac:dyDescent="0.25">
      <c r="A265" s="113">
        <f t="shared" si="34"/>
        <v>2.1049999999999884</v>
      </c>
      <c r="B265" s="100"/>
      <c r="C265" s="107"/>
      <c r="D265" s="112"/>
      <c r="E265" s="107"/>
      <c r="F265" s="109"/>
      <c r="G265" s="105"/>
      <c r="H265" s="106"/>
    </row>
    <row r="266" spans="1:8" ht="43.5" customHeight="1" x14ac:dyDescent="0.25">
      <c r="A266" s="113">
        <f t="shared" si="34"/>
        <v>2.1049999999999884</v>
      </c>
      <c r="B266" s="100"/>
      <c r="C266" s="107"/>
      <c r="D266" s="108"/>
      <c r="E266" s="107"/>
      <c r="F266" s="109"/>
      <c r="G266" s="105"/>
      <c r="H266" s="106"/>
    </row>
    <row r="267" spans="1:8" x14ac:dyDescent="0.25">
      <c r="A267" s="113">
        <f t="shared" si="34"/>
        <v>2.1049999999999884</v>
      </c>
      <c r="B267" s="100"/>
      <c r="C267" s="107"/>
      <c r="D267" s="108"/>
      <c r="E267" s="107"/>
      <c r="F267" s="109"/>
      <c r="G267" s="105"/>
      <c r="H267" s="106"/>
    </row>
    <row r="268" spans="1:8" x14ac:dyDescent="0.25">
      <c r="A268" s="113">
        <f t="shared" si="34"/>
        <v>2.1049999999999884</v>
      </c>
      <c r="B268" s="100"/>
      <c r="C268" s="107"/>
      <c r="D268" s="108"/>
      <c r="E268" s="107"/>
      <c r="F268" s="109"/>
      <c r="G268" s="105"/>
      <c r="H268" s="106"/>
    </row>
    <row r="269" spans="1:8" x14ac:dyDescent="0.25">
      <c r="A269" s="113">
        <f t="shared" si="34"/>
        <v>2.1049999999999884</v>
      </c>
      <c r="B269" s="100"/>
      <c r="C269" s="107"/>
      <c r="D269" s="108"/>
      <c r="E269" s="107"/>
      <c r="F269" s="109"/>
      <c r="G269" s="105"/>
      <c r="H269" s="106"/>
    </row>
    <row r="270" spans="1:8" ht="40.5" customHeight="1" x14ac:dyDescent="0.25">
      <c r="A270" s="113">
        <f t="shared" si="34"/>
        <v>2.1049999999999884</v>
      </c>
      <c r="B270" s="100"/>
      <c r="C270" s="107"/>
      <c r="D270" s="153"/>
      <c r="E270" s="107"/>
      <c r="F270" s="109"/>
      <c r="G270" s="105"/>
      <c r="H270" s="106"/>
    </row>
    <row r="271" spans="1:8" ht="16.5" customHeight="1" x14ac:dyDescent="0.25">
      <c r="A271" s="113">
        <f t="shared" si="34"/>
        <v>2.1049999999999884</v>
      </c>
      <c r="B271" s="100"/>
      <c r="C271" s="107"/>
      <c r="D271" s="108"/>
      <c r="E271" s="107"/>
      <c r="F271" s="109"/>
      <c r="G271" s="105"/>
      <c r="H271" s="106"/>
    </row>
    <row r="272" spans="1:8" ht="39.75" customHeight="1" x14ac:dyDescent="0.25">
      <c r="A272" s="113">
        <f t="shared" si="34"/>
        <v>2.1049999999999884</v>
      </c>
      <c r="B272" s="100"/>
      <c r="C272" s="107"/>
      <c r="D272" s="108"/>
      <c r="E272" s="107"/>
      <c r="F272" s="109"/>
      <c r="G272" s="105"/>
      <c r="H272" s="106"/>
    </row>
    <row r="273" spans="1:8" ht="41.25" customHeight="1" x14ac:dyDescent="0.25">
      <c r="A273" s="113">
        <f t="shared" si="34"/>
        <v>2.1049999999999884</v>
      </c>
      <c r="B273" s="100"/>
      <c r="C273" s="107"/>
      <c r="D273" s="153"/>
      <c r="E273" s="107"/>
      <c r="F273" s="109"/>
      <c r="G273" s="105"/>
      <c r="H273" s="106"/>
    </row>
    <row r="274" spans="1:8" x14ac:dyDescent="0.25">
      <c r="A274" s="113">
        <f t="shared" si="34"/>
        <v>2.1049999999999884</v>
      </c>
      <c r="B274" s="100"/>
      <c r="C274" s="107"/>
      <c r="D274" s="108"/>
      <c r="E274" s="107"/>
      <c r="F274" s="109"/>
      <c r="G274" s="105"/>
      <c r="H274" s="106"/>
    </row>
    <row r="275" spans="1:8" x14ac:dyDescent="0.25">
      <c r="A275" s="113">
        <f t="shared" si="34"/>
        <v>2.1049999999999884</v>
      </c>
      <c r="B275" s="100"/>
      <c r="C275" s="107"/>
      <c r="D275" s="108"/>
      <c r="E275" s="107"/>
      <c r="F275" s="109"/>
      <c r="G275" s="105"/>
      <c r="H275" s="106"/>
    </row>
    <row r="276" spans="1:8" ht="42.75" customHeight="1" x14ac:dyDescent="0.25">
      <c r="A276" s="113">
        <f t="shared" si="34"/>
        <v>2.1049999999999884</v>
      </c>
      <c r="B276" s="100"/>
      <c r="C276" s="107"/>
      <c r="D276" s="108"/>
      <c r="E276" s="107"/>
      <c r="F276" s="109"/>
      <c r="G276" s="105"/>
      <c r="H276" s="106"/>
    </row>
    <row r="277" spans="1:8" ht="13.5" customHeight="1" x14ac:dyDescent="0.25">
      <c r="A277" s="113">
        <f t="shared" si="34"/>
        <v>2.1049999999999884</v>
      </c>
      <c r="B277" s="100"/>
      <c r="C277" s="107"/>
      <c r="D277" s="108"/>
      <c r="E277" s="107"/>
      <c r="F277" s="109"/>
      <c r="G277" s="105"/>
      <c r="H277" s="106"/>
    </row>
    <row r="278" spans="1:8" x14ac:dyDescent="0.25">
      <c r="A278" s="113">
        <f t="shared" si="34"/>
        <v>2.1049999999999884</v>
      </c>
      <c r="B278" s="100"/>
      <c r="C278" s="107"/>
      <c r="D278" s="161"/>
      <c r="E278" s="107"/>
      <c r="F278" s="109"/>
      <c r="G278" s="105"/>
      <c r="H278" s="106"/>
    </row>
    <row r="279" spans="1:8" x14ac:dyDescent="0.25">
      <c r="A279" s="113">
        <f t="shared" si="34"/>
        <v>2.1049999999999884</v>
      </c>
      <c r="B279" s="100"/>
      <c r="C279" s="107"/>
      <c r="D279" s="161"/>
      <c r="E279" s="107"/>
      <c r="F279" s="109"/>
      <c r="G279" s="105"/>
      <c r="H279" s="106"/>
    </row>
    <row r="280" spans="1:8" x14ac:dyDescent="0.25">
      <c r="A280" s="113">
        <f t="shared" si="34"/>
        <v>2.1049999999999884</v>
      </c>
      <c r="B280" s="100"/>
      <c r="C280" s="107"/>
      <c r="D280" s="108"/>
      <c r="E280" s="107"/>
      <c r="F280" s="109"/>
      <c r="G280" s="105"/>
      <c r="H280" s="106"/>
    </row>
    <row r="281" spans="1:8" x14ac:dyDescent="0.25">
      <c r="A281" s="113">
        <f t="shared" si="34"/>
        <v>2.1049999999999884</v>
      </c>
      <c r="B281" s="100"/>
      <c r="C281" s="107"/>
      <c r="D281" s="108"/>
      <c r="E281" s="107"/>
      <c r="F281" s="109"/>
      <c r="G281" s="105"/>
      <c r="H281" s="106"/>
    </row>
    <row r="282" spans="1:8" x14ac:dyDescent="0.25">
      <c r="A282" s="113"/>
      <c r="B282" s="100"/>
      <c r="C282" s="107"/>
      <c r="D282" s="108"/>
      <c r="E282" s="107"/>
      <c r="F282" s="109"/>
      <c r="G282" s="105"/>
      <c r="H282" s="106"/>
    </row>
    <row r="283" spans="1:8" x14ac:dyDescent="0.25">
      <c r="A283" s="113">
        <f>+IF(F283&gt;0.01,A281+0.001,A281)</f>
        <v>2.1049999999999884</v>
      </c>
      <c r="B283" s="100"/>
      <c r="C283" s="107"/>
      <c r="D283" s="108"/>
      <c r="E283" s="107"/>
      <c r="F283" s="109"/>
      <c r="G283" s="105"/>
      <c r="H283" s="106"/>
    </row>
    <row r="284" spans="1:8" ht="15.75" thickBot="1" x14ac:dyDescent="0.3">
      <c r="A284" s="113">
        <f>+IF(F284&gt;0.01,A283+0.001,A283)</f>
        <v>2.1049999999999884</v>
      </c>
      <c r="B284" s="100"/>
      <c r="C284" s="107"/>
      <c r="D284" s="108"/>
      <c r="E284" s="107"/>
      <c r="F284" s="109"/>
      <c r="G284" s="105"/>
      <c r="H284" s="106"/>
    </row>
    <row r="285" spans="1:8" ht="15.75" thickBot="1" x14ac:dyDescent="0.3">
      <c r="A285" s="113"/>
      <c r="B285" s="173"/>
      <c r="C285" s="174"/>
      <c r="D285" s="174"/>
      <c r="E285" s="174"/>
      <c r="F285" s="174"/>
      <c r="G285" s="175"/>
      <c r="H285" s="117"/>
    </row>
    <row r="286" spans="1:8" ht="15.75" thickBot="1" x14ac:dyDescent="0.3">
      <c r="A286" s="113"/>
      <c r="B286" s="114"/>
      <c r="C286" s="97"/>
      <c r="D286" s="115"/>
      <c r="E286" s="115"/>
      <c r="F286" s="115"/>
      <c r="G286" s="116"/>
      <c r="H286" s="99"/>
    </row>
    <row r="287" spans="1:8" ht="15.75" thickBot="1" x14ac:dyDescent="0.3">
      <c r="A287" s="113"/>
      <c r="B287" s="173"/>
      <c r="C287" s="174"/>
      <c r="D287" s="174"/>
      <c r="E287" s="174"/>
      <c r="F287" s="174"/>
      <c r="G287" s="175"/>
      <c r="H287" s="117"/>
    </row>
    <row r="288" spans="1:8" x14ac:dyDescent="0.25">
      <c r="A288" s="113"/>
      <c r="B288" s="100"/>
      <c r="C288" s="107"/>
      <c r="D288" s="108"/>
      <c r="E288" s="107"/>
      <c r="F288" s="109"/>
      <c r="G288" s="105"/>
      <c r="H288" s="106"/>
    </row>
    <row r="289" spans="1:8" ht="39" customHeight="1" x14ac:dyDescent="0.25">
      <c r="A289" s="113">
        <f>+IF(F289&gt;0.01,A284+0.001,A284)</f>
        <v>2.1049999999999884</v>
      </c>
      <c r="B289" s="100"/>
      <c r="C289" s="107"/>
      <c r="D289" s="108"/>
      <c r="E289" s="107"/>
      <c r="F289" s="109"/>
      <c r="G289" s="105"/>
      <c r="H289" s="106"/>
    </row>
    <row r="290" spans="1:8" x14ac:dyDescent="0.25">
      <c r="A290" s="113">
        <f t="shared" ref="A290:A313" si="35">+IF(F290&gt;0.01,A289+0.001,A289)</f>
        <v>2.1049999999999884</v>
      </c>
      <c r="B290" s="100"/>
      <c r="C290" s="107"/>
      <c r="D290" s="108"/>
      <c r="E290" s="107"/>
      <c r="F290" s="109"/>
      <c r="G290" s="105"/>
      <c r="H290" s="106"/>
    </row>
    <row r="291" spans="1:8" x14ac:dyDescent="0.25">
      <c r="A291" s="113">
        <f t="shared" si="35"/>
        <v>2.1049999999999884</v>
      </c>
      <c r="B291" s="100"/>
      <c r="C291" s="107"/>
      <c r="D291" s="161"/>
      <c r="E291" s="107"/>
      <c r="F291" s="109"/>
      <c r="G291" s="105"/>
      <c r="H291" s="106"/>
    </row>
    <row r="292" spans="1:8" x14ac:dyDescent="0.25">
      <c r="A292" s="113">
        <f t="shared" si="35"/>
        <v>2.1049999999999884</v>
      </c>
      <c r="B292" s="100"/>
      <c r="C292" s="107"/>
      <c r="D292" s="161"/>
      <c r="E292" s="107"/>
      <c r="F292" s="109"/>
      <c r="G292" s="105"/>
      <c r="H292" s="106"/>
    </row>
    <row r="293" spans="1:8" x14ac:dyDescent="0.25">
      <c r="A293" s="113">
        <f t="shared" si="35"/>
        <v>2.1049999999999884</v>
      </c>
      <c r="B293" s="100"/>
      <c r="C293" s="107"/>
      <c r="D293" s="108"/>
      <c r="E293" s="107"/>
      <c r="F293" s="109"/>
      <c r="G293" s="105"/>
      <c r="H293" s="106"/>
    </row>
    <row r="294" spans="1:8" ht="45" customHeight="1" x14ac:dyDescent="0.25">
      <c r="A294" s="113">
        <f t="shared" si="35"/>
        <v>2.1049999999999884</v>
      </c>
      <c r="B294" s="100"/>
      <c r="C294" s="107"/>
      <c r="D294" s="108"/>
      <c r="E294" s="107"/>
      <c r="F294" s="109"/>
      <c r="G294" s="105"/>
      <c r="H294" s="106"/>
    </row>
    <row r="295" spans="1:8" x14ac:dyDescent="0.25">
      <c r="A295" s="113">
        <f t="shared" si="35"/>
        <v>2.1049999999999884</v>
      </c>
      <c r="B295" s="100"/>
      <c r="C295" s="107"/>
      <c r="D295" s="108"/>
      <c r="E295" s="107"/>
      <c r="F295" s="109"/>
      <c r="G295" s="105"/>
      <c r="H295" s="106"/>
    </row>
    <row r="296" spans="1:8" x14ac:dyDescent="0.25">
      <c r="A296" s="113">
        <f t="shared" si="35"/>
        <v>2.1049999999999884</v>
      </c>
      <c r="B296" s="100"/>
      <c r="C296" s="107"/>
      <c r="D296" s="108"/>
      <c r="E296" s="107"/>
      <c r="F296" s="109"/>
      <c r="G296" s="105"/>
      <c r="H296" s="106"/>
    </row>
    <row r="297" spans="1:8" x14ac:dyDescent="0.25">
      <c r="A297" s="113">
        <f t="shared" si="35"/>
        <v>2.1049999999999884</v>
      </c>
      <c r="B297" s="100"/>
      <c r="C297" s="107"/>
      <c r="D297" s="161"/>
      <c r="E297" s="107"/>
      <c r="F297" s="109"/>
      <c r="G297" s="105"/>
      <c r="H297" s="106"/>
    </row>
    <row r="298" spans="1:8" x14ac:dyDescent="0.25">
      <c r="A298" s="113">
        <f t="shared" si="35"/>
        <v>2.1049999999999884</v>
      </c>
      <c r="B298" s="100"/>
      <c r="C298" s="107"/>
      <c r="D298" s="161"/>
      <c r="E298" s="107"/>
      <c r="F298" s="109"/>
      <c r="G298" s="105"/>
      <c r="H298" s="106"/>
    </row>
    <row r="299" spans="1:8" x14ac:dyDescent="0.25">
      <c r="A299" s="113">
        <f t="shared" si="35"/>
        <v>2.1049999999999884</v>
      </c>
      <c r="B299" s="100"/>
      <c r="C299" s="107"/>
      <c r="D299" s="161"/>
      <c r="E299" s="107"/>
      <c r="F299" s="109"/>
      <c r="G299" s="105"/>
      <c r="H299" s="106"/>
    </row>
    <row r="300" spans="1:8" x14ac:dyDescent="0.25">
      <c r="A300" s="113">
        <f t="shared" si="35"/>
        <v>2.1049999999999884</v>
      </c>
      <c r="B300" s="100"/>
      <c r="C300" s="107"/>
      <c r="D300" s="161"/>
      <c r="E300" s="107"/>
      <c r="F300" s="109"/>
      <c r="G300" s="105"/>
      <c r="H300" s="106"/>
    </row>
    <row r="301" spans="1:8" x14ac:dyDescent="0.25">
      <c r="A301" s="113">
        <f t="shared" si="35"/>
        <v>2.1049999999999884</v>
      </c>
      <c r="B301" s="100"/>
      <c r="C301" s="107"/>
      <c r="D301" s="161"/>
      <c r="E301" s="107"/>
      <c r="F301" s="109"/>
      <c r="G301" s="105"/>
      <c r="H301" s="106"/>
    </row>
    <row r="302" spans="1:8" x14ac:dyDescent="0.25">
      <c r="A302" s="113">
        <f t="shared" si="35"/>
        <v>2.1049999999999884</v>
      </c>
      <c r="B302" s="100"/>
      <c r="C302" s="107"/>
      <c r="D302" s="161"/>
      <c r="E302" s="107"/>
      <c r="F302" s="109"/>
      <c r="G302" s="105"/>
      <c r="H302" s="106"/>
    </row>
    <row r="303" spans="1:8" x14ac:dyDescent="0.25">
      <c r="A303" s="113">
        <f t="shared" si="35"/>
        <v>2.1049999999999884</v>
      </c>
      <c r="B303" s="100"/>
      <c r="C303" s="107"/>
      <c r="D303" s="108"/>
      <c r="E303" s="107"/>
      <c r="F303" s="109"/>
      <c r="G303" s="105"/>
      <c r="H303" s="106"/>
    </row>
    <row r="304" spans="1:8" ht="45" customHeight="1" x14ac:dyDescent="0.25">
      <c r="A304" s="113">
        <f t="shared" si="35"/>
        <v>2.1049999999999884</v>
      </c>
      <c r="B304" s="100"/>
      <c r="C304" s="107"/>
      <c r="D304" s="108"/>
      <c r="E304" s="107"/>
      <c r="F304" s="109"/>
      <c r="G304" s="105"/>
      <c r="H304" s="106"/>
    </row>
    <row r="305" spans="1:8" x14ac:dyDescent="0.25">
      <c r="A305" s="113">
        <f t="shared" si="35"/>
        <v>2.1049999999999884</v>
      </c>
      <c r="B305" s="100"/>
      <c r="C305" s="107"/>
      <c r="D305" s="108"/>
      <c r="E305" s="107"/>
      <c r="F305" s="109"/>
      <c r="G305" s="105"/>
      <c r="H305" s="106"/>
    </row>
    <row r="306" spans="1:8" x14ac:dyDescent="0.25">
      <c r="A306" s="113">
        <f t="shared" si="35"/>
        <v>2.1049999999999884</v>
      </c>
      <c r="B306" s="100"/>
      <c r="C306" s="107"/>
      <c r="D306" s="108"/>
      <c r="E306" s="107"/>
      <c r="F306" s="109"/>
      <c r="G306" s="105"/>
      <c r="H306" s="106"/>
    </row>
    <row r="307" spans="1:8" x14ac:dyDescent="0.25">
      <c r="A307" s="113">
        <f t="shared" si="35"/>
        <v>2.1049999999999884</v>
      </c>
      <c r="B307" s="100"/>
      <c r="C307" s="107"/>
      <c r="D307" s="108"/>
      <c r="E307" s="107"/>
      <c r="F307" s="109"/>
      <c r="G307" s="105"/>
      <c r="H307" s="106"/>
    </row>
    <row r="308" spans="1:8" x14ac:dyDescent="0.25">
      <c r="A308" s="113">
        <f t="shared" si="35"/>
        <v>2.1049999999999884</v>
      </c>
      <c r="B308" s="100"/>
      <c r="C308" s="107"/>
      <c r="D308" s="108"/>
      <c r="E308" s="107"/>
      <c r="F308" s="109"/>
      <c r="G308" s="105"/>
      <c r="H308" s="106"/>
    </row>
    <row r="309" spans="1:8" x14ac:dyDescent="0.25">
      <c r="A309" s="113">
        <f t="shared" si="35"/>
        <v>2.1049999999999884</v>
      </c>
      <c r="B309" s="100"/>
      <c r="C309" s="107"/>
      <c r="D309" s="108"/>
      <c r="E309" s="107"/>
      <c r="F309" s="109"/>
      <c r="G309" s="105"/>
      <c r="H309" s="106"/>
    </row>
    <row r="310" spans="1:8" x14ac:dyDescent="0.25">
      <c r="A310" s="113">
        <f t="shared" si="35"/>
        <v>2.1049999999999884</v>
      </c>
      <c r="B310" s="100"/>
      <c r="C310" s="107"/>
      <c r="D310" s="108"/>
      <c r="E310" s="107"/>
      <c r="F310" s="109"/>
      <c r="G310" s="105"/>
      <c r="H310" s="106"/>
    </row>
    <row r="311" spans="1:8" x14ac:dyDescent="0.25">
      <c r="A311" s="113">
        <f t="shared" si="35"/>
        <v>2.1049999999999884</v>
      </c>
      <c r="B311" s="100"/>
      <c r="C311" s="107"/>
      <c r="D311" s="108"/>
      <c r="E311" s="107"/>
      <c r="F311" s="109"/>
      <c r="G311" s="105"/>
      <c r="H311" s="106"/>
    </row>
    <row r="312" spans="1:8" x14ac:dyDescent="0.25">
      <c r="A312" s="113">
        <f t="shared" si="35"/>
        <v>2.1049999999999884</v>
      </c>
      <c r="B312" s="100"/>
      <c r="C312" s="107"/>
      <c r="D312" s="108"/>
      <c r="E312" s="107"/>
      <c r="F312" s="109"/>
      <c r="G312" s="105"/>
      <c r="H312" s="106"/>
    </row>
    <row r="313" spans="1:8" ht="15.75" thickBot="1" x14ac:dyDescent="0.3">
      <c r="A313" s="113">
        <f t="shared" si="35"/>
        <v>2.1049999999999884</v>
      </c>
      <c r="B313" s="100"/>
      <c r="C313" s="107"/>
      <c r="D313" s="108"/>
      <c r="E313" s="107"/>
      <c r="F313" s="109"/>
      <c r="G313" s="105"/>
      <c r="H313" s="106"/>
    </row>
    <row r="314" spans="1:8" ht="15.75" thickBot="1" x14ac:dyDescent="0.3">
      <c r="A314" s="113"/>
      <c r="B314" s="173"/>
      <c r="C314" s="174"/>
      <c r="D314" s="174"/>
      <c r="E314" s="174"/>
      <c r="F314" s="174"/>
      <c r="G314" s="175"/>
      <c r="H314" s="117"/>
    </row>
    <row r="315" spans="1:8" ht="15.75" thickBot="1" x14ac:dyDescent="0.3">
      <c r="A315" s="113"/>
      <c r="B315" s="114"/>
      <c r="C315" s="97"/>
      <c r="D315" s="115"/>
      <c r="E315" s="115"/>
      <c r="F315" s="115"/>
      <c r="G315" s="116"/>
      <c r="H315" s="99"/>
    </row>
    <row r="316" spans="1:8" ht="15.75" thickBot="1" x14ac:dyDescent="0.3">
      <c r="A316" s="113"/>
      <c r="B316" s="173"/>
      <c r="C316" s="174"/>
      <c r="D316" s="174"/>
      <c r="E316" s="174"/>
      <c r="F316" s="174"/>
      <c r="G316" s="175"/>
      <c r="H316" s="117"/>
    </row>
    <row r="317" spans="1:8" x14ac:dyDescent="0.25">
      <c r="A317" s="113">
        <f>+IF(F317&gt;0.01,A313+0.001,A313)</f>
        <v>2.1049999999999884</v>
      </c>
      <c r="B317" s="100"/>
      <c r="C317" s="107"/>
      <c r="D317" s="108"/>
      <c r="E317" s="107"/>
      <c r="F317" s="109"/>
      <c r="G317" s="105"/>
      <c r="H317" s="106"/>
    </row>
    <row r="318" spans="1:8" ht="45" customHeight="1" x14ac:dyDescent="0.25">
      <c r="A318" s="113">
        <f t="shared" ref="A318:A344" si="36">+IF(F318&gt;0.01,A317+0.001,A317)</f>
        <v>2.1049999999999884</v>
      </c>
      <c r="B318" s="100"/>
      <c r="C318" s="107"/>
      <c r="D318" s="108"/>
      <c r="E318" s="107"/>
      <c r="F318" s="109"/>
      <c r="G318" s="105"/>
      <c r="H318" s="106"/>
    </row>
    <row r="319" spans="1:8" x14ac:dyDescent="0.25">
      <c r="A319" s="113">
        <f t="shared" si="36"/>
        <v>2.1049999999999884</v>
      </c>
      <c r="B319" s="100"/>
      <c r="C319" s="107"/>
      <c r="D319" s="108"/>
      <c r="E319" s="107"/>
      <c r="F319" s="109"/>
      <c r="G319" s="105"/>
      <c r="H319" s="106"/>
    </row>
    <row r="320" spans="1:8" x14ac:dyDescent="0.25">
      <c r="A320" s="113">
        <f t="shared" si="36"/>
        <v>2.1049999999999884</v>
      </c>
      <c r="B320" s="100"/>
      <c r="C320" s="107"/>
      <c r="D320" s="108"/>
      <c r="E320" s="107"/>
      <c r="F320" s="109"/>
      <c r="G320" s="105"/>
      <c r="H320" s="106"/>
    </row>
    <row r="321" spans="1:8" x14ac:dyDescent="0.25">
      <c r="A321" s="113">
        <f t="shared" si="36"/>
        <v>2.1049999999999884</v>
      </c>
      <c r="B321" s="100"/>
      <c r="C321" s="107"/>
      <c r="D321" s="161"/>
      <c r="E321" s="107"/>
      <c r="F321" s="109"/>
      <c r="G321" s="105"/>
      <c r="H321" s="106"/>
    </row>
    <row r="322" spans="1:8" x14ac:dyDescent="0.25">
      <c r="A322" s="113">
        <f t="shared" si="36"/>
        <v>2.1049999999999884</v>
      </c>
      <c r="B322" s="100"/>
      <c r="C322" s="107"/>
      <c r="D322" s="161"/>
      <c r="E322" s="107"/>
      <c r="F322" s="109"/>
      <c r="G322" s="105"/>
      <c r="H322" s="106"/>
    </row>
    <row r="323" spans="1:8" ht="42.75" customHeight="1" x14ac:dyDescent="0.25">
      <c r="A323" s="113">
        <f t="shared" si="36"/>
        <v>2.1049999999999884</v>
      </c>
      <c r="B323" s="100"/>
      <c r="C323" s="107"/>
      <c r="D323" s="161"/>
      <c r="E323" s="107"/>
      <c r="F323" s="109"/>
      <c r="G323" s="105"/>
      <c r="H323" s="106"/>
    </row>
    <row r="324" spans="1:8" x14ac:dyDescent="0.25">
      <c r="A324" s="113">
        <f t="shared" si="36"/>
        <v>2.1049999999999884</v>
      </c>
      <c r="B324" s="100"/>
      <c r="C324" s="107"/>
      <c r="D324" s="108"/>
      <c r="E324" s="107"/>
      <c r="F324" s="109"/>
      <c r="G324" s="105"/>
      <c r="H324" s="106"/>
    </row>
    <row r="325" spans="1:8" x14ac:dyDescent="0.25">
      <c r="A325" s="113">
        <f t="shared" si="36"/>
        <v>2.1049999999999884</v>
      </c>
      <c r="B325" s="100"/>
      <c r="C325" s="107"/>
      <c r="D325" s="108"/>
      <c r="E325" s="107"/>
      <c r="F325" s="109"/>
      <c r="G325" s="105"/>
      <c r="H325" s="106"/>
    </row>
    <row r="326" spans="1:8" x14ac:dyDescent="0.25">
      <c r="A326" s="113">
        <f t="shared" si="36"/>
        <v>2.1049999999999884</v>
      </c>
      <c r="B326" s="100"/>
      <c r="C326" s="107"/>
      <c r="D326" s="108"/>
      <c r="E326" s="107"/>
      <c r="F326" s="109"/>
      <c r="G326" s="105"/>
      <c r="H326" s="106"/>
    </row>
    <row r="327" spans="1:8" ht="44.25" customHeight="1" x14ac:dyDescent="0.25">
      <c r="A327" s="113">
        <f t="shared" si="36"/>
        <v>2.1049999999999884</v>
      </c>
      <c r="B327" s="100"/>
      <c r="C327" s="107"/>
      <c r="D327" s="108"/>
      <c r="E327" s="107"/>
      <c r="F327" s="109"/>
      <c r="G327" s="105"/>
      <c r="H327" s="106"/>
    </row>
    <row r="328" spans="1:8" x14ac:dyDescent="0.25">
      <c r="A328" s="113">
        <f t="shared" si="36"/>
        <v>2.1049999999999884</v>
      </c>
      <c r="B328" s="100"/>
      <c r="C328" s="107"/>
      <c r="D328" s="108"/>
      <c r="E328" s="107"/>
      <c r="F328" s="109"/>
      <c r="G328" s="105"/>
      <c r="H328" s="106"/>
    </row>
    <row r="329" spans="1:8" x14ac:dyDescent="0.25">
      <c r="A329" s="113">
        <f t="shared" si="36"/>
        <v>2.1049999999999884</v>
      </c>
      <c r="B329" s="100"/>
      <c r="C329" s="107"/>
      <c r="D329" s="108"/>
      <c r="E329" s="107"/>
      <c r="F329" s="109"/>
      <c r="G329" s="105"/>
      <c r="H329" s="106"/>
    </row>
    <row r="330" spans="1:8" x14ac:dyDescent="0.25">
      <c r="A330" s="113">
        <f t="shared" si="36"/>
        <v>2.1049999999999884</v>
      </c>
      <c r="B330" s="100"/>
      <c r="C330" s="107"/>
      <c r="D330" s="161"/>
      <c r="E330" s="107"/>
      <c r="F330" s="109"/>
      <c r="G330" s="105"/>
      <c r="H330" s="106"/>
    </row>
    <row r="331" spans="1:8" x14ac:dyDescent="0.25">
      <c r="A331" s="113">
        <f t="shared" si="36"/>
        <v>2.1049999999999884</v>
      </c>
      <c r="B331" s="100"/>
      <c r="C331" s="107"/>
      <c r="D331" s="161"/>
      <c r="E331" s="107"/>
      <c r="F331" s="109"/>
      <c r="G331" s="105"/>
      <c r="H331" s="106"/>
    </row>
    <row r="332" spans="1:8" x14ac:dyDescent="0.25">
      <c r="A332" s="113">
        <f t="shared" si="36"/>
        <v>2.1049999999999884</v>
      </c>
      <c r="B332" s="100"/>
      <c r="C332" s="107"/>
      <c r="D332" s="161"/>
      <c r="E332" s="107"/>
      <c r="F332" s="109"/>
      <c r="G332" s="105"/>
      <c r="H332" s="106"/>
    </row>
    <row r="333" spans="1:8" x14ac:dyDescent="0.25">
      <c r="A333" s="113">
        <f t="shared" si="36"/>
        <v>2.1049999999999884</v>
      </c>
      <c r="B333" s="100"/>
      <c r="C333" s="107"/>
      <c r="D333" s="161"/>
      <c r="E333" s="107"/>
      <c r="F333" s="109"/>
      <c r="G333" s="105"/>
      <c r="H333" s="106"/>
    </row>
    <row r="334" spans="1:8" x14ac:dyDescent="0.25">
      <c r="A334" s="113">
        <f t="shared" si="36"/>
        <v>2.1049999999999884</v>
      </c>
      <c r="B334" s="100"/>
      <c r="C334" s="107"/>
      <c r="D334" s="161"/>
      <c r="E334" s="107"/>
      <c r="F334" s="109"/>
      <c r="G334" s="105"/>
      <c r="H334" s="106"/>
    </row>
    <row r="335" spans="1:8" x14ac:dyDescent="0.25">
      <c r="A335" s="113">
        <f t="shared" si="36"/>
        <v>2.1049999999999884</v>
      </c>
      <c r="B335" s="100"/>
      <c r="C335" s="107"/>
      <c r="D335" s="161"/>
      <c r="E335" s="107"/>
      <c r="F335" s="109"/>
      <c r="G335" s="105"/>
      <c r="H335" s="106"/>
    </row>
    <row r="336" spans="1:8" x14ac:dyDescent="0.25">
      <c r="A336" s="113">
        <f t="shared" si="36"/>
        <v>2.1049999999999884</v>
      </c>
      <c r="B336" s="100"/>
      <c r="C336" s="107"/>
      <c r="D336" s="108"/>
      <c r="E336" s="107"/>
      <c r="F336" s="109"/>
      <c r="G336" s="105"/>
      <c r="H336" s="106"/>
    </row>
    <row r="337" spans="1:8" x14ac:dyDescent="0.25">
      <c r="A337" s="113">
        <f t="shared" si="36"/>
        <v>2.1049999999999884</v>
      </c>
      <c r="B337" s="100"/>
      <c r="C337" s="107"/>
      <c r="D337" s="108"/>
      <c r="E337" s="107"/>
      <c r="F337" s="109"/>
      <c r="G337" s="105"/>
      <c r="H337" s="106"/>
    </row>
    <row r="338" spans="1:8" x14ac:dyDescent="0.25">
      <c r="A338" s="113">
        <f t="shared" si="36"/>
        <v>2.1049999999999884</v>
      </c>
      <c r="B338" s="100"/>
      <c r="C338" s="107"/>
      <c r="D338" s="108"/>
      <c r="E338" s="107"/>
      <c r="F338" s="109"/>
      <c r="G338" s="105"/>
      <c r="H338" s="106"/>
    </row>
    <row r="339" spans="1:8" x14ac:dyDescent="0.25">
      <c r="A339" s="113">
        <f t="shared" si="36"/>
        <v>2.1049999999999884</v>
      </c>
      <c r="B339" s="100"/>
      <c r="C339" s="107"/>
      <c r="D339" s="108"/>
      <c r="E339" s="107"/>
      <c r="F339" s="109"/>
      <c r="G339" s="105"/>
      <c r="H339" s="106"/>
    </row>
    <row r="340" spans="1:8" x14ac:dyDescent="0.25">
      <c r="A340" s="113">
        <f t="shared" si="36"/>
        <v>2.1049999999999884</v>
      </c>
      <c r="B340" s="100"/>
      <c r="C340" s="107"/>
      <c r="D340" s="108"/>
      <c r="E340" s="107"/>
      <c r="F340" s="109"/>
      <c r="G340" s="105"/>
      <c r="H340" s="106"/>
    </row>
    <row r="341" spans="1:8" x14ac:dyDescent="0.25">
      <c r="A341" s="113">
        <f t="shared" si="36"/>
        <v>2.1049999999999884</v>
      </c>
      <c r="B341" s="100"/>
      <c r="C341" s="107"/>
      <c r="D341" s="108"/>
      <c r="E341" s="107"/>
      <c r="F341" s="109"/>
      <c r="G341" s="105"/>
      <c r="H341" s="106"/>
    </row>
    <row r="342" spans="1:8" x14ac:dyDescent="0.25">
      <c r="A342" s="113">
        <f t="shared" si="36"/>
        <v>2.1049999999999884</v>
      </c>
      <c r="B342" s="100"/>
      <c r="C342" s="107"/>
      <c r="D342" s="108"/>
      <c r="E342" s="107"/>
      <c r="F342" s="109"/>
      <c r="G342" s="105"/>
      <c r="H342" s="106"/>
    </row>
    <row r="343" spans="1:8" x14ac:dyDescent="0.25">
      <c r="A343" s="113">
        <f t="shared" si="36"/>
        <v>2.1049999999999884</v>
      </c>
      <c r="B343" s="100"/>
      <c r="C343" s="107"/>
      <c r="D343" s="108"/>
      <c r="E343" s="107"/>
      <c r="F343" s="109"/>
      <c r="G343" s="105"/>
      <c r="H343" s="106"/>
    </row>
    <row r="344" spans="1:8" ht="15.75" thickBot="1" x14ac:dyDescent="0.3">
      <c r="A344" s="113">
        <f t="shared" si="36"/>
        <v>2.1049999999999884</v>
      </c>
      <c r="B344" s="100"/>
      <c r="C344" s="107"/>
      <c r="D344" s="108"/>
      <c r="E344" s="107"/>
      <c r="F344" s="109"/>
      <c r="G344" s="105"/>
      <c r="H344" s="106"/>
    </row>
    <row r="345" spans="1:8" ht="15.75" thickBot="1" x14ac:dyDescent="0.3">
      <c r="A345" s="113"/>
      <c r="B345" s="173"/>
      <c r="C345" s="174"/>
      <c r="D345" s="174"/>
      <c r="E345" s="174"/>
      <c r="F345" s="174"/>
      <c r="G345" s="175"/>
      <c r="H345" s="117"/>
    </row>
    <row r="346" spans="1:8" ht="15.75" thickBot="1" x14ac:dyDescent="0.3">
      <c r="A346" s="113"/>
      <c r="B346" s="114"/>
      <c r="C346" s="97"/>
      <c r="D346" s="115"/>
      <c r="E346" s="115"/>
      <c r="F346" s="115"/>
      <c r="G346" s="116"/>
      <c r="H346" s="99"/>
    </row>
    <row r="347" spans="1:8" ht="15.75" thickBot="1" x14ac:dyDescent="0.3">
      <c r="A347" s="113"/>
      <c r="B347" s="173"/>
      <c r="C347" s="174"/>
      <c r="D347" s="174"/>
      <c r="E347" s="174"/>
      <c r="F347" s="174"/>
      <c r="G347" s="175"/>
      <c r="H347" s="117"/>
    </row>
    <row r="348" spans="1:8" x14ac:dyDescent="0.25">
      <c r="A348" s="113"/>
      <c r="B348" s="100"/>
      <c r="C348" s="107"/>
      <c r="D348" s="108"/>
      <c r="E348" s="107"/>
      <c r="F348" s="109"/>
      <c r="G348" s="105"/>
      <c r="H348" s="106"/>
    </row>
    <row r="349" spans="1:8" ht="40.5" customHeight="1" x14ac:dyDescent="0.25">
      <c r="A349" s="113">
        <f>+IF(F349&gt;0.01,A344+0.001,A344)</f>
        <v>2.1049999999999884</v>
      </c>
      <c r="B349" s="100"/>
      <c r="C349" s="107"/>
      <c r="D349" s="112"/>
      <c r="E349" s="107"/>
      <c r="F349" s="109"/>
      <c r="G349" s="105"/>
      <c r="H349" s="106"/>
    </row>
    <row r="350" spans="1:8" x14ac:dyDescent="0.25">
      <c r="A350" s="113">
        <f t="shared" ref="A350:A375" si="37">+IF(F350&gt;0.01,A349+0.001,A349)</f>
        <v>2.1049999999999884</v>
      </c>
      <c r="B350" s="100"/>
      <c r="C350" s="107"/>
      <c r="D350" s="153"/>
      <c r="E350" s="107"/>
      <c r="F350" s="109"/>
      <c r="G350" s="105"/>
      <c r="H350" s="106"/>
    </row>
    <row r="351" spans="1:8" x14ac:dyDescent="0.25">
      <c r="A351" s="113">
        <f t="shared" si="37"/>
        <v>2.1049999999999884</v>
      </c>
      <c r="B351" s="100"/>
      <c r="C351" s="107"/>
      <c r="D351" s="108"/>
      <c r="E351" s="107"/>
      <c r="F351" s="109"/>
      <c r="G351" s="105"/>
      <c r="H351" s="106"/>
    </row>
    <row r="352" spans="1:8" x14ac:dyDescent="0.25">
      <c r="A352" s="113">
        <f t="shared" si="37"/>
        <v>2.1049999999999884</v>
      </c>
      <c r="B352" s="100"/>
      <c r="C352" s="107"/>
      <c r="D352" s="108"/>
      <c r="E352" s="107"/>
      <c r="F352" s="109"/>
      <c r="G352" s="105"/>
      <c r="H352" s="106"/>
    </row>
    <row r="353" spans="1:8" x14ac:dyDescent="0.25">
      <c r="A353" s="113">
        <f t="shared" si="37"/>
        <v>2.1049999999999884</v>
      </c>
      <c r="B353" s="100"/>
      <c r="C353" s="107"/>
      <c r="D353" s="108"/>
      <c r="E353" s="107"/>
      <c r="F353" s="109"/>
      <c r="G353" s="105"/>
      <c r="H353" s="106"/>
    </row>
    <row r="354" spans="1:8" x14ac:dyDescent="0.25">
      <c r="A354" s="113">
        <f t="shared" si="37"/>
        <v>2.1049999999999884</v>
      </c>
      <c r="B354" s="100"/>
      <c r="C354" s="107"/>
      <c r="D354" s="108"/>
      <c r="E354" s="107"/>
      <c r="F354" s="109"/>
      <c r="G354" s="105"/>
      <c r="H354" s="106"/>
    </row>
    <row r="355" spans="1:8" x14ac:dyDescent="0.25">
      <c r="A355" s="113">
        <f t="shared" si="37"/>
        <v>2.1049999999999884</v>
      </c>
      <c r="B355" s="100"/>
      <c r="C355" s="107"/>
      <c r="D355" s="108"/>
      <c r="E355" s="107"/>
      <c r="F355" s="109"/>
      <c r="G355" s="105"/>
      <c r="H355" s="106"/>
    </row>
    <row r="356" spans="1:8" x14ac:dyDescent="0.25">
      <c r="A356" s="113">
        <f t="shared" si="37"/>
        <v>2.1049999999999884</v>
      </c>
      <c r="B356" s="100"/>
      <c r="C356" s="107"/>
      <c r="D356" s="108"/>
      <c r="E356" s="107"/>
      <c r="F356" s="109"/>
      <c r="G356" s="105"/>
      <c r="H356" s="106"/>
    </row>
    <row r="357" spans="1:8" x14ac:dyDescent="0.25">
      <c r="A357" s="113">
        <f t="shared" si="37"/>
        <v>2.1049999999999884</v>
      </c>
      <c r="B357" s="100"/>
      <c r="C357" s="107"/>
      <c r="D357" s="108"/>
      <c r="E357" s="107"/>
      <c r="F357" s="109"/>
      <c r="G357" s="105"/>
      <c r="H357" s="106"/>
    </row>
    <row r="358" spans="1:8" x14ac:dyDescent="0.25">
      <c r="A358" s="113">
        <f t="shared" si="37"/>
        <v>2.1049999999999884</v>
      </c>
      <c r="B358" s="100"/>
      <c r="C358" s="107"/>
      <c r="D358" s="108"/>
      <c r="E358" s="107"/>
      <c r="F358" s="109"/>
      <c r="G358" s="105"/>
      <c r="H358" s="106"/>
    </row>
    <row r="359" spans="1:8" x14ac:dyDescent="0.25">
      <c r="A359" s="113">
        <f t="shared" si="37"/>
        <v>2.1049999999999884</v>
      </c>
      <c r="B359" s="100"/>
      <c r="C359" s="107"/>
      <c r="D359" s="108"/>
      <c r="E359" s="107"/>
      <c r="F359" s="109"/>
      <c r="G359" s="105"/>
      <c r="H359" s="106"/>
    </row>
    <row r="360" spans="1:8" x14ac:dyDescent="0.25">
      <c r="A360" s="113">
        <f t="shared" si="37"/>
        <v>2.1049999999999884</v>
      </c>
      <c r="B360" s="100"/>
      <c r="C360" s="107"/>
      <c r="D360" s="108"/>
      <c r="E360" s="107"/>
      <c r="F360" s="109"/>
      <c r="G360" s="105"/>
      <c r="H360" s="106"/>
    </row>
    <row r="361" spans="1:8" x14ac:dyDescent="0.25">
      <c r="A361" s="113">
        <f t="shared" si="37"/>
        <v>2.1049999999999884</v>
      </c>
      <c r="B361" s="100"/>
      <c r="C361" s="107"/>
      <c r="D361" s="108"/>
      <c r="E361" s="107"/>
      <c r="F361" s="109"/>
      <c r="G361" s="105"/>
      <c r="H361" s="106"/>
    </row>
    <row r="362" spans="1:8" x14ac:dyDescent="0.25">
      <c r="A362" s="113">
        <f t="shared" si="37"/>
        <v>2.1049999999999884</v>
      </c>
      <c r="B362" s="100"/>
      <c r="C362" s="107"/>
      <c r="D362" s="108"/>
      <c r="E362" s="107"/>
      <c r="F362" s="109"/>
      <c r="G362" s="105"/>
      <c r="H362" s="106"/>
    </row>
    <row r="363" spans="1:8" x14ac:dyDescent="0.25">
      <c r="A363" s="113">
        <f t="shared" si="37"/>
        <v>2.1049999999999884</v>
      </c>
      <c r="B363" s="100"/>
      <c r="C363" s="107"/>
      <c r="D363" s="161"/>
      <c r="E363" s="107"/>
      <c r="F363" s="109"/>
      <c r="G363" s="105"/>
      <c r="H363" s="106"/>
    </row>
    <row r="364" spans="1:8" x14ac:dyDescent="0.25">
      <c r="A364" s="113">
        <f t="shared" si="37"/>
        <v>2.1049999999999884</v>
      </c>
      <c r="B364" s="100"/>
      <c r="C364" s="107"/>
      <c r="D364" s="161"/>
      <c r="E364" s="107"/>
      <c r="F364" s="109"/>
      <c r="G364" s="105"/>
      <c r="H364" s="106"/>
    </row>
    <row r="365" spans="1:8" x14ac:dyDescent="0.25">
      <c r="A365" s="113">
        <f t="shared" si="37"/>
        <v>2.1049999999999884</v>
      </c>
      <c r="B365" s="100"/>
      <c r="C365" s="107"/>
      <c r="D365" s="161"/>
      <c r="E365" s="107"/>
      <c r="F365" s="109"/>
      <c r="G365" s="105"/>
      <c r="H365" s="106"/>
    </row>
    <row r="366" spans="1:8" x14ac:dyDescent="0.25">
      <c r="A366" s="113">
        <f t="shared" si="37"/>
        <v>2.1049999999999884</v>
      </c>
      <c r="B366" s="100"/>
      <c r="C366" s="107"/>
      <c r="D366" s="161"/>
      <c r="E366" s="107"/>
      <c r="F366" s="109"/>
      <c r="G366" s="105"/>
      <c r="H366" s="106"/>
    </row>
    <row r="367" spans="1:8" x14ac:dyDescent="0.25">
      <c r="A367" s="113">
        <f t="shared" si="37"/>
        <v>2.1049999999999884</v>
      </c>
      <c r="B367" s="100"/>
      <c r="C367" s="107"/>
      <c r="D367" s="161"/>
      <c r="E367" s="107"/>
      <c r="F367" s="109"/>
      <c r="G367" s="105"/>
      <c r="H367" s="106"/>
    </row>
    <row r="368" spans="1:8" x14ac:dyDescent="0.25">
      <c r="A368" s="113">
        <f t="shared" si="37"/>
        <v>2.1049999999999884</v>
      </c>
      <c r="B368" s="100"/>
      <c r="C368" s="107"/>
      <c r="D368" s="161"/>
      <c r="E368" s="107"/>
      <c r="F368" s="109"/>
      <c r="G368" s="105"/>
      <c r="H368" s="106"/>
    </row>
    <row r="369" spans="1:8" x14ac:dyDescent="0.25">
      <c r="A369" s="113">
        <f t="shared" si="37"/>
        <v>2.1049999999999884</v>
      </c>
      <c r="B369" s="100"/>
      <c r="C369" s="107"/>
      <c r="D369" s="108"/>
      <c r="E369" s="107"/>
      <c r="F369" s="109"/>
      <c r="G369" s="105"/>
      <c r="H369" s="106"/>
    </row>
    <row r="370" spans="1:8" x14ac:dyDescent="0.25">
      <c r="A370" s="113">
        <f t="shared" si="37"/>
        <v>2.1049999999999884</v>
      </c>
      <c r="B370" s="100"/>
      <c r="C370" s="107"/>
      <c r="D370" s="108"/>
      <c r="E370" s="107"/>
      <c r="F370" s="109"/>
      <c r="G370" s="105"/>
      <c r="H370" s="106"/>
    </row>
    <row r="371" spans="1:8" x14ac:dyDescent="0.25">
      <c r="A371" s="113">
        <f t="shared" si="37"/>
        <v>2.1049999999999884</v>
      </c>
      <c r="B371" s="100"/>
      <c r="C371" s="107"/>
      <c r="D371" s="108"/>
      <c r="E371" s="107"/>
      <c r="F371" s="109"/>
      <c r="G371" s="105"/>
      <c r="H371" s="106"/>
    </row>
    <row r="372" spans="1:8" x14ac:dyDescent="0.25">
      <c r="A372" s="113">
        <f t="shared" si="37"/>
        <v>2.1049999999999884</v>
      </c>
      <c r="B372" s="100"/>
      <c r="C372" s="107"/>
      <c r="D372" s="108"/>
      <c r="E372" s="107"/>
      <c r="F372" s="109"/>
      <c r="G372" s="105"/>
      <c r="H372" s="106"/>
    </row>
    <row r="373" spans="1:8" x14ac:dyDescent="0.25">
      <c r="A373" s="113">
        <f t="shared" si="37"/>
        <v>2.1049999999999884</v>
      </c>
      <c r="B373" s="100"/>
      <c r="C373" s="107"/>
      <c r="D373" s="108"/>
      <c r="E373" s="107"/>
      <c r="F373" s="109"/>
      <c r="G373" s="105"/>
      <c r="H373" s="106"/>
    </row>
    <row r="374" spans="1:8" x14ac:dyDescent="0.25">
      <c r="A374" s="113">
        <f t="shared" si="37"/>
        <v>2.1049999999999884</v>
      </c>
      <c r="B374" s="100"/>
      <c r="C374" s="107"/>
      <c r="D374" s="108"/>
      <c r="E374" s="107"/>
      <c r="F374" s="109"/>
      <c r="G374" s="105"/>
      <c r="H374" s="106"/>
    </row>
    <row r="375" spans="1:8" ht="15.75" thickBot="1" x14ac:dyDescent="0.3">
      <c r="A375" s="113">
        <f t="shared" si="37"/>
        <v>2.1049999999999884</v>
      </c>
      <c r="B375" s="100"/>
      <c r="C375" s="107"/>
      <c r="D375" s="108"/>
      <c r="E375" s="107"/>
      <c r="F375" s="109"/>
      <c r="G375" s="105"/>
      <c r="H375" s="106"/>
    </row>
    <row r="376" spans="1:8" ht="15.75" thickBot="1" x14ac:dyDescent="0.3">
      <c r="A376" s="113"/>
      <c r="B376" s="173"/>
      <c r="C376" s="174"/>
      <c r="D376" s="174"/>
      <c r="E376" s="174"/>
      <c r="F376" s="174"/>
      <c r="G376" s="175"/>
      <c r="H376" s="117"/>
    </row>
    <row r="377" spans="1:8" ht="15.75" thickBot="1" x14ac:dyDescent="0.3">
      <c r="A377" s="113"/>
      <c r="B377" s="114"/>
      <c r="C377" s="97"/>
      <c r="D377" s="115"/>
      <c r="E377" s="115"/>
      <c r="F377" s="115"/>
      <c r="G377" s="116"/>
      <c r="H377" s="99"/>
    </row>
    <row r="378" spans="1:8" ht="15.75" thickBot="1" x14ac:dyDescent="0.3">
      <c r="A378" s="113"/>
      <c r="B378" s="173"/>
      <c r="C378" s="174"/>
      <c r="D378" s="174"/>
      <c r="E378" s="174"/>
      <c r="F378" s="174"/>
      <c r="G378" s="175"/>
      <c r="H378" s="117"/>
    </row>
    <row r="379" spans="1:8" x14ac:dyDescent="0.25">
      <c r="A379" s="113"/>
      <c r="B379" s="100"/>
      <c r="C379" s="107"/>
      <c r="D379" s="108"/>
      <c r="E379" s="107"/>
      <c r="F379" s="109"/>
      <c r="G379" s="105"/>
      <c r="H379" s="106"/>
    </row>
    <row r="380" spans="1:8" ht="38.25" customHeight="1" x14ac:dyDescent="0.25">
      <c r="A380" s="113">
        <f>+IF(F380&gt;0.01,A375+0.001,A375)</f>
        <v>2.1049999999999884</v>
      </c>
      <c r="B380" s="100"/>
      <c r="C380" s="107"/>
      <c r="D380" s="108"/>
      <c r="E380" s="107"/>
      <c r="F380" s="109"/>
      <c r="G380" s="105"/>
      <c r="H380" s="106"/>
    </row>
    <row r="381" spans="1:8" x14ac:dyDescent="0.25">
      <c r="A381" s="113">
        <f t="shared" ref="A381:A408" si="38">+IF(F381&gt;0.01,A380+0.001,A380)</f>
        <v>2.1049999999999884</v>
      </c>
      <c r="B381" s="100"/>
      <c r="C381" s="107"/>
      <c r="D381" s="108"/>
      <c r="E381" s="107"/>
      <c r="F381" s="109"/>
      <c r="G381" s="105"/>
      <c r="H381" s="106"/>
    </row>
    <row r="382" spans="1:8" x14ac:dyDescent="0.25">
      <c r="A382" s="113">
        <f t="shared" si="38"/>
        <v>2.1049999999999884</v>
      </c>
      <c r="B382" s="100"/>
      <c r="C382" s="107"/>
      <c r="D382" s="108"/>
      <c r="E382" s="107"/>
      <c r="F382" s="109"/>
      <c r="G382" s="105"/>
      <c r="H382" s="106"/>
    </row>
    <row r="383" spans="1:8" x14ac:dyDescent="0.25">
      <c r="A383" s="113">
        <f t="shared" si="38"/>
        <v>2.1049999999999884</v>
      </c>
      <c r="B383" s="100"/>
      <c r="C383" s="107"/>
      <c r="D383" s="108"/>
      <c r="E383" s="107"/>
      <c r="F383" s="109"/>
      <c r="G383" s="105"/>
      <c r="H383" s="106"/>
    </row>
    <row r="384" spans="1:8" x14ac:dyDescent="0.25">
      <c r="A384" s="113">
        <f t="shared" si="38"/>
        <v>2.1049999999999884</v>
      </c>
      <c r="B384" s="100"/>
      <c r="C384" s="107"/>
      <c r="D384" s="108"/>
      <c r="E384" s="107"/>
      <c r="F384" s="109"/>
      <c r="G384" s="105"/>
      <c r="H384" s="106"/>
    </row>
    <row r="385" spans="1:8" x14ac:dyDescent="0.25">
      <c r="A385" s="113">
        <f t="shared" si="38"/>
        <v>2.1049999999999884</v>
      </c>
      <c r="B385" s="100"/>
      <c r="C385" s="107"/>
      <c r="D385" s="108"/>
      <c r="E385" s="107"/>
      <c r="F385" s="109"/>
      <c r="G385" s="105"/>
      <c r="H385" s="106"/>
    </row>
    <row r="386" spans="1:8" x14ac:dyDescent="0.25">
      <c r="A386" s="113">
        <f t="shared" si="38"/>
        <v>2.1049999999999884</v>
      </c>
      <c r="B386" s="100"/>
      <c r="C386" s="107"/>
      <c r="D386" s="108"/>
      <c r="E386" s="107"/>
      <c r="F386" s="109"/>
      <c r="G386" s="105"/>
      <c r="H386" s="106"/>
    </row>
    <row r="387" spans="1:8" x14ac:dyDescent="0.25">
      <c r="A387" s="113">
        <f t="shared" si="38"/>
        <v>2.1049999999999884</v>
      </c>
      <c r="B387" s="100"/>
      <c r="C387" s="107"/>
      <c r="D387" s="108"/>
      <c r="E387" s="107"/>
      <c r="F387" s="109"/>
      <c r="G387" s="105"/>
      <c r="H387" s="106"/>
    </row>
    <row r="388" spans="1:8" x14ac:dyDescent="0.25">
      <c r="A388" s="113">
        <f t="shared" si="38"/>
        <v>2.1049999999999884</v>
      </c>
      <c r="B388" s="100"/>
      <c r="C388" s="107"/>
      <c r="D388" s="108"/>
      <c r="E388" s="107"/>
      <c r="F388" s="109"/>
      <c r="G388" s="105"/>
      <c r="H388" s="106"/>
    </row>
    <row r="389" spans="1:8" x14ac:dyDescent="0.25">
      <c r="A389" s="113">
        <f t="shared" si="38"/>
        <v>2.1049999999999884</v>
      </c>
      <c r="B389" s="100"/>
      <c r="C389" s="107"/>
      <c r="D389" s="108"/>
      <c r="E389" s="107"/>
      <c r="F389" s="109"/>
      <c r="G389" s="105"/>
      <c r="H389" s="106"/>
    </row>
    <row r="390" spans="1:8" x14ac:dyDescent="0.25">
      <c r="A390" s="113">
        <f t="shared" si="38"/>
        <v>2.1049999999999884</v>
      </c>
      <c r="B390" s="100"/>
      <c r="C390" s="107"/>
      <c r="D390" s="108"/>
      <c r="E390" s="107"/>
      <c r="F390" s="109"/>
      <c r="G390" s="105"/>
      <c r="H390" s="106"/>
    </row>
    <row r="391" spans="1:8" x14ac:dyDescent="0.25">
      <c r="A391" s="113">
        <f t="shared" si="38"/>
        <v>2.1049999999999884</v>
      </c>
      <c r="B391" s="100"/>
      <c r="C391" s="107"/>
      <c r="D391" s="108"/>
      <c r="E391" s="107"/>
      <c r="F391" s="109"/>
      <c r="G391" s="105"/>
      <c r="H391" s="106"/>
    </row>
    <row r="392" spans="1:8" x14ac:dyDescent="0.25">
      <c r="A392" s="113">
        <f t="shared" si="38"/>
        <v>2.1049999999999884</v>
      </c>
      <c r="B392" s="100"/>
      <c r="C392" s="107"/>
      <c r="D392" s="108"/>
      <c r="E392" s="107"/>
      <c r="F392" s="109"/>
      <c r="G392" s="105"/>
      <c r="H392" s="106"/>
    </row>
    <row r="393" spans="1:8" x14ac:dyDescent="0.25">
      <c r="A393" s="113">
        <f t="shared" si="38"/>
        <v>2.1049999999999884</v>
      </c>
      <c r="B393" s="100"/>
      <c r="C393" s="107"/>
      <c r="D393" s="161"/>
      <c r="E393" s="107"/>
      <c r="F393" s="109"/>
      <c r="G393" s="105"/>
      <c r="H393" s="106"/>
    </row>
    <row r="394" spans="1:8" x14ac:dyDescent="0.25">
      <c r="A394" s="113">
        <f t="shared" si="38"/>
        <v>2.1049999999999884</v>
      </c>
      <c r="B394" s="100"/>
      <c r="C394" s="107"/>
      <c r="D394" s="161"/>
      <c r="E394" s="107"/>
      <c r="F394" s="109"/>
      <c r="G394" s="105"/>
      <c r="H394" s="106"/>
    </row>
    <row r="395" spans="1:8" x14ac:dyDescent="0.25">
      <c r="A395" s="113">
        <f t="shared" si="38"/>
        <v>2.1049999999999884</v>
      </c>
      <c r="B395" s="100"/>
      <c r="C395" s="107"/>
      <c r="D395" s="161"/>
      <c r="E395" s="107"/>
      <c r="F395" s="109"/>
      <c r="G395" s="105"/>
      <c r="H395" s="106"/>
    </row>
    <row r="396" spans="1:8" x14ac:dyDescent="0.25">
      <c r="A396" s="113">
        <f t="shared" si="38"/>
        <v>2.1049999999999884</v>
      </c>
      <c r="B396" s="100"/>
      <c r="C396" s="107"/>
      <c r="D396" s="161"/>
      <c r="E396" s="107"/>
      <c r="F396" s="109"/>
      <c r="G396" s="105"/>
      <c r="H396" s="106"/>
    </row>
    <row r="397" spans="1:8" x14ac:dyDescent="0.25">
      <c r="A397" s="113">
        <f t="shared" si="38"/>
        <v>2.1049999999999884</v>
      </c>
      <c r="B397" s="100"/>
      <c r="C397" s="107"/>
      <c r="D397" s="161"/>
      <c r="E397" s="107"/>
      <c r="F397" s="109"/>
      <c r="G397" s="105"/>
      <c r="H397" s="106"/>
    </row>
    <row r="398" spans="1:8" x14ac:dyDescent="0.25">
      <c r="A398" s="113">
        <f t="shared" si="38"/>
        <v>2.1049999999999884</v>
      </c>
      <c r="B398" s="100"/>
      <c r="C398" s="107"/>
      <c r="D398" s="161"/>
      <c r="E398" s="107"/>
      <c r="F398" s="109"/>
      <c r="G398" s="105"/>
      <c r="H398" s="106"/>
    </row>
    <row r="399" spans="1:8" x14ac:dyDescent="0.25">
      <c r="A399" s="113">
        <f t="shared" si="38"/>
        <v>2.1049999999999884</v>
      </c>
      <c r="B399" s="100"/>
      <c r="C399" s="107"/>
      <c r="D399" s="108"/>
      <c r="E399" s="107"/>
      <c r="F399" s="109"/>
      <c r="G399" s="105"/>
      <c r="H399" s="106"/>
    </row>
    <row r="400" spans="1:8" x14ac:dyDescent="0.25">
      <c r="A400" s="113">
        <f t="shared" si="38"/>
        <v>2.1049999999999884</v>
      </c>
      <c r="B400" s="100"/>
      <c r="C400" s="107"/>
      <c r="D400" s="108"/>
      <c r="E400" s="107"/>
      <c r="F400" s="109"/>
      <c r="G400" s="105"/>
      <c r="H400" s="106"/>
    </row>
    <row r="401" spans="1:8" x14ac:dyDescent="0.25">
      <c r="A401" s="113">
        <f t="shared" si="38"/>
        <v>2.1049999999999884</v>
      </c>
      <c r="B401" s="100"/>
      <c r="C401" s="107"/>
      <c r="D401" s="108"/>
      <c r="E401" s="107"/>
      <c r="F401" s="109"/>
      <c r="G401" s="105"/>
      <c r="H401" s="106"/>
    </row>
    <row r="402" spans="1:8" x14ac:dyDescent="0.25">
      <c r="A402" s="113">
        <f t="shared" si="38"/>
        <v>2.1049999999999884</v>
      </c>
      <c r="B402" s="100"/>
      <c r="C402" s="107"/>
      <c r="D402" s="108"/>
      <c r="E402" s="107"/>
      <c r="F402" s="109"/>
      <c r="G402" s="105"/>
      <c r="H402" s="106"/>
    </row>
    <row r="403" spans="1:8" x14ac:dyDescent="0.25">
      <c r="A403" s="113">
        <f t="shared" si="38"/>
        <v>2.1049999999999884</v>
      </c>
      <c r="B403" s="100"/>
      <c r="C403" s="107"/>
      <c r="D403" s="108"/>
      <c r="E403" s="107"/>
      <c r="F403" s="109"/>
      <c r="G403" s="105"/>
      <c r="H403" s="106"/>
    </row>
    <row r="404" spans="1:8" x14ac:dyDescent="0.25">
      <c r="A404" s="113">
        <f t="shared" si="38"/>
        <v>2.1049999999999884</v>
      </c>
      <c r="B404" s="100"/>
      <c r="C404" s="107"/>
      <c r="D404" s="108"/>
      <c r="E404" s="107"/>
      <c r="F404" s="109"/>
      <c r="G404" s="105"/>
      <c r="H404" s="106"/>
    </row>
    <row r="405" spans="1:8" x14ac:dyDescent="0.25">
      <c r="A405" s="113">
        <f t="shared" si="38"/>
        <v>2.1049999999999884</v>
      </c>
      <c r="B405" s="100"/>
      <c r="C405" s="107"/>
      <c r="D405" s="108"/>
      <c r="E405" s="107"/>
      <c r="F405" s="109"/>
      <c r="G405" s="105"/>
      <c r="H405" s="106"/>
    </row>
    <row r="406" spans="1:8" x14ac:dyDescent="0.25">
      <c r="A406" s="113">
        <f t="shared" si="38"/>
        <v>2.1049999999999884</v>
      </c>
      <c r="B406" s="100"/>
      <c r="C406" s="107"/>
      <c r="D406" s="108"/>
      <c r="E406" s="107"/>
      <c r="F406" s="109"/>
      <c r="G406" s="105"/>
      <c r="H406" s="106"/>
    </row>
    <row r="407" spans="1:8" x14ac:dyDescent="0.25">
      <c r="A407" s="113">
        <f t="shared" si="38"/>
        <v>2.1049999999999884</v>
      </c>
      <c r="B407" s="100"/>
      <c r="C407" s="107"/>
      <c r="D407" s="108"/>
      <c r="E407" s="107"/>
      <c r="F407" s="109"/>
      <c r="G407" s="105"/>
      <c r="H407" s="106"/>
    </row>
    <row r="408" spans="1:8" ht="15.75" thickBot="1" x14ac:dyDescent="0.3">
      <c r="A408" s="113">
        <f t="shared" si="38"/>
        <v>2.1049999999999884</v>
      </c>
      <c r="B408" s="100"/>
      <c r="C408" s="107"/>
      <c r="D408" s="108"/>
      <c r="E408" s="107"/>
      <c r="F408" s="109"/>
      <c r="G408" s="105"/>
      <c r="H408" s="106"/>
    </row>
    <row r="409" spans="1:8" ht="15.75" thickBot="1" x14ac:dyDescent="0.3">
      <c r="A409" s="113"/>
      <c r="B409" s="173"/>
      <c r="C409" s="174"/>
      <c r="D409" s="174"/>
      <c r="E409" s="174"/>
      <c r="F409" s="174"/>
      <c r="G409" s="175"/>
      <c r="H409" s="117"/>
    </row>
    <row r="410" spans="1:8" ht="15.75" thickBot="1" x14ac:dyDescent="0.3">
      <c r="A410" s="113"/>
      <c r="B410" s="114"/>
      <c r="C410" s="97"/>
      <c r="D410" s="115"/>
      <c r="E410" s="115"/>
      <c r="F410" s="115"/>
      <c r="G410" s="116"/>
      <c r="H410" s="99"/>
    </row>
    <row r="411" spans="1:8" ht="15.75" thickBot="1" x14ac:dyDescent="0.3">
      <c r="A411" s="113"/>
      <c r="B411" s="173"/>
      <c r="C411" s="174"/>
      <c r="D411" s="174"/>
      <c r="E411" s="174"/>
      <c r="F411" s="174"/>
      <c r="G411" s="175"/>
      <c r="H411" s="117"/>
    </row>
    <row r="412" spans="1:8" x14ac:dyDescent="0.25">
      <c r="A412" s="113"/>
      <c r="B412" s="100"/>
      <c r="C412" s="107"/>
      <c r="D412" s="108"/>
      <c r="E412" s="107"/>
      <c r="F412" s="109"/>
      <c r="G412" s="105"/>
      <c r="H412" s="106"/>
    </row>
    <row r="413" spans="1:8" x14ac:dyDescent="0.25">
      <c r="A413" s="113">
        <f>+IF(F413&gt;0.01,A408+0.001,A408)</f>
        <v>2.1049999999999884</v>
      </c>
      <c r="B413" s="100"/>
      <c r="C413" s="107"/>
      <c r="D413" s="108"/>
      <c r="E413" s="107"/>
      <c r="F413" s="109"/>
      <c r="G413" s="105"/>
      <c r="H413" s="106"/>
    </row>
    <row r="414" spans="1:8" x14ac:dyDescent="0.25">
      <c r="A414" s="113">
        <f t="shared" ref="A414:A456" si="39">+IF(F414&gt;0.01,A413+0.001,A413)</f>
        <v>2.1049999999999884</v>
      </c>
      <c r="B414" s="100"/>
      <c r="C414" s="107"/>
      <c r="D414" s="108"/>
      <c r="E414" s="107"/>
      <c r="F414" s="109"/>
      <c r="G414" s="105"/>
      <c r="H414" s="106"/>
    </row>
    <row r="415" spans="1:8" x14ac:dyDescent="0.25">
      <c r="A415" s="113">
        <f t="shared" si="39"/>
        <v>2.1049999999999884</v>
      </c>
      <c r="B415" s="100"/>
      <c r="C415" s="107"/>
      <c r="D415" s="108"/>
      <c r="E415" s="107"/>
      <c r="F415" s="109"/>
      <c r="G415" s="105"/>
      <c r="H415" s="106"/>
    </row>
    <row r="416" spans="1:8" x14ac:dyDescent="0.25">
      <c r="A416" s="113">
        <f t="shared" si="39"/>
        <v>2.1049999999999884</v>
      </c>
      <c r="B416" s="100"/>
      <c r="C416" s="107"/>
      <c r="D416" s="108"/>
      <c r="E416" s="107"/>
      <c r="F416" s="109"/>
      <c r="G416" s="105"/>
      <c r="H416" s="106"/>
    </row>
    <row r="417" spans="1:8" x14ac:dyDescent="0.25">
      <c r="A417" s="113">
        <f t="shared" si="39"/>
        <v>2.1049999999999884</v>
      </c>
      <c r="B417" s="100"/>
      <c r="C417" s="107"/>
      <c r="D417" s="108"/>
      <c r="E417" s="107"/>
      <c r="F417" s="109"/>
      <c r="G417" s="105"/>
      <c r="H417" s="106"/>
    </row>
    <row r="418" spans="1:8" x14ac:dyDescent="0.25">
      <c r="A418" s="113">
        <f t="shared" si="39"/>
        <v>2.1049999999999884</v>
      </c>
      <c r="B418" s="100"/>
      <c r="C418" s="107"/>
      <c r="D418" s="108"/>
      <c r="E418" s="107"/>
      <c r="F418" s="109"/>
      <c r="G418" s="105"/>
      <c r="H418" s="106"/>
    </row>
    <row r="419" spans="1:8" x14ac:dyDescent="0.25">
      <c r="A419" s="113">
        <f t="shared" si="39"/>
        <v>2.1049999999999884</v>
      </c>
      <c r="B419" s="100"/>
      <c r="C419" s="107"/>
      <c r="D419" s="108"/>
      <c r="E419" s="107"/>
      <c r="F419" s="109"/>
      <c r="G419" s="105"/>
      <c r="H419" s="106"/>
    </row>
    <row r="420" spans="1:8" x14ac:dyDescent="0.25">
      <c r="A420" s="113">
        <f t="shared" si="39"/>
        <v>2.1049999999999884</v>
      </c>
      <c r="B420" s="100"/>
      <c r="C420" s="107"/>
      <c r="D420" s="108"/>
      <c r="E420" s="107"/>
      <c r="F420" s="109"/>
      <c r="G420" s="105"/>
      <c r="H420" s="106"/>
    </row>
    <row r="421" spans="1:8" x14ac:dyDescent="0.25">
      <c r="A421" s="113">
        <f t="shared" si="39"/>
        <v>2.1049999999999884</v>
      </c>
      <c r="B421" s="100"/>
      <c r="C421" s="107"/>
      <c r="D421" s="108"/>
      <c r="E421" s="107"/>
      <c r="F421" s="109"/>
      <c r="G421" s="105"/>
      <c r="H421" s="106"/>
    </row>
    <row r="422" spans="1:8" x14ac:dyDescent="0.25">
      <c r="A422" s="113">
        <f t="shared" si="39"/>
        <v>2.1049999999999884</v>
      </c>
      <c r="B422" s="100"/>
      <c r="C422" s="107"/>
      <c r="D422" s="108"/>
      <c r="E422" s="107"/>
      <c r="F422" s="109"/>
      <c r="G422" s="105"/>
      <c r="H422" s="106"/>
    </row>
    <row r="423" spans="1:8" ht="24.75" customHeight="1" x14ac:dyDescent="0.25">
      <c r="A423" s="113">
        <f t="shared" si="39"/>
        <v>2.1049999999999884</v>
      </c>
      <c r="B423" s="100"/>
      <c r="C423" s="107"/>
      <c r="D423" s="108"/>
      <c r="E423" s="107"/>
      <c r="F423" s="109"/>
      <c r="G423" s="105"/>
      <c r="H423" s="106"/>
    </row>
    <row r="424" spans="1:8" x14ac:dyDescent="0.25">
      <c r="A424" s="113">
        <f t="shared" si="39"/>
        <v>2.1049999999999884</v>
      </c>
      <c r="B424" s="100"/>
      <c r="C424" s="107"/>
      <c r="D424" s="108"/>
      <c r="E424" s="107"/>
      <c r="F424" s="109"/>
      <c r="G424" s="105"/>
      <c r="H424" s="106"/>
    </row>
    <row r="425" spans="1:8" x14ac:dyDescent="0.25">
      <c r="A425" s="113">
        <f t="shared" si="39"/>
        <v>2.1049999999999884</v>
      </c>
      <c r="B425" s="100"/>
      <c r="C425" s="107"/>
      <c r="D425" s="161"/>
      <c r="E425" s="107"/>
      <c r="F425" s="109"/>
      <c r="G425" s="105"/>
      <c r="H425" s="106"/>
    </row>
    <row r="426" spans="1:8" x14ac:dyDescent="0.25">
      <c r="A426" s="113">
        <f t="shared" si="39"/>
        <v>2.1049999999999884</v>
      </c>
      <c r="B426" s="100"/>
      <c r="C426" s="107"/>
      <c r="D426" s="161"/>
      <c r="E426" s="107"/>
      <c r="F426" s="109"/>
      <c r="G426" s="105"/>
      <c r="H426" s="106"/>
    </row>
    <row r="427" spans="1:8" x14ac:dyDescent="0.25">
      <c r="A427" s="113">
        <f t="shared" si="39"/>
        <v>2.1049999999999884</v>
      </c>
      <c r="B427" s="100"/>
      <c r="C427" s="107"/>
      <c r="D427" s="161"/>
      <c r="E427" s="107"/>
      <c r="F427" s="109"/>
      <c r="G427" s="105"/>
      <c r="H427" s="106"/>
    </row>
    <row r="428" spans="1:8" x14ac:dyDescent="0.25">
      <c r="A428" s="113">
        <f t="shared" si="39"/>
        <v>2.1049999999999884</v>
      </c>
      <c r="B428" s="100"/>
      <c r="C428" s="107"/>
      <c r="D428" s="161"/>
      <c r="E428" s="107"/>
      <c r="F428" s="109"/>
      <c r="G428" s="105"/>
      <c r="H428" s="106"/>
    </row>
    <row r="429" spans="1:8" x14ac:dyDescent="0.25">
      <c r="A429" s="113">
        <f t="shared" si="39"/>
        <v>2.1049999999999884</v>
      </c>
      <c r="B429" s="100"/>
      <c r="C429" s="107"/>
      <c r="D429" s="161"/>
      <c r="E429" s="107"/>
      <c r="F429" s="109"/>
      <c r="G429" s="105"/>
      <c r="H429" s="106"/>
    </row>
    <row r="430" spans="1:8" x14ac:dyDescent="0.25">
      <c r="A430" s="113">
        <f t="shared" si="39"/>
        <v>2.1049999999999884</v>
      </c>
      <c r="B430" s="100"/>
      <c r="C430" s="107"/>
      <c r="D430" s="161"/>
      <c r="E430" s="107"/>
      <c r="F430" s="109"/>
      <c r="G430" s="105"/>
      <c r="H430" s="106"/>
    </row>
    <row r="431" spans="1:8" x14ac:dyDescent="0.25">
      <c r="A431" s="113">
        <f t="shared" si="39"/>
        <v>2.1049999999999884</v>
      </c>
      <c r="B431" s="100"/>
      <c r="C431" s="107"/>
      <c r="D431" s="108"/>
      <c r="E431" s="107"/>
      <c r="F431" s="109"/>
      <c r="G431" s="105"/>
      <c r="H431" s="106"/>
    </row>
    <row r="432" spans="1:8" x14ac:dyDescent="0.25">
      <c r="A432" s="113">
        <f t="shared" si="39"/>
        <v>2.1049999999999884</v>
      </c>
      <c r="B432" s="100"/>
      <c r="C432" s="107"/>
      <c r="D432" s="108"/>
      <c r="E432" s="107"/>
      <c r="F432" s="109"/>
      <c r="G432" s="105"/>
      <c r="H432" s="106"/>
    </row>
    <row r="433" spans="1:8" x14ac:dyDescent="0.25">
      <c r="A433" s="113">
        <f t="shared" si="39"/>
        <v>2.1049999999999884</v>
      </c>
      <c r="B433" s="100"/>
      <c r="C433" s="107"/>
      <c r="D433" s="108"/>
      <c r="E433" s="107"/>
      <c r="F433" s="109"/>
      <c r="G433" s="105"/>
      <c r="H433" s="106"/>
    </row>
    <row r="434" spans="1:8" x14ac:dyDescent="0.25">
      <c r="A434" s="113">
        <f t="shared" si="39"/>
        <v>2.1049999999999884</v>
      </c>
      <c r="B434" s="100"/>
      <c r="C434" s="107"/>
      <c r="D434" s="108"/>
      <c r="E434" s="107"/>
      <c r="F434" s="109"/>
      <c r="G434" s="105"/>
      <c r="H434" s="106"/>
    </row>
    <row r="435" spans="1:8" x14ac:dyDescent="0.25">
      <c r="A435" s="113">
        <f t="shared" si="39"/>
        <v>2.1049999999999884</v>
      </c>
      <c r="B435" s="100"/>
      <c r="C435" s="107"/>
      <c r="D435" s="108"/>
      <c r="E435" s="107"/>
      <c r="F435" s="109"/>
      <c r="G435" s="105"/>
      <c r="H435" s="106"/>
    </row>
    <row r="436" spans="1:8" x14ac:dyDescent="0.25">
      <c r="A436" s="113">
        <f t="shared" si="39"/>
        <v>2.1049999999999884</v>
      </c>
      <c r="B436" s="100"/>
      <c r="C436" s="107"/>
      <c r="D436" s="108"/>
      <c r="E436" s="107"/>
      <c r="F436" s="109"/>
      <c r="G436" s="105"/>
      <c r="H436" s="106"/>
    </row>
    <row r="437" spans="1:8" x14ac:dyDescent="0.25">
      <c r="A437" s="113">
        <f t="shared" si="39"/>
        <v>2.1049999999999884</v>
      </c>
      <c r="B437" s="100"/>
      <c r="C437" s="107"/>
      <c r="D437" s="108"/>
      <c r="E437" s="107"/>
      <c r="F437" s="109"/>
      <c r="G437" s="105"/>
      <c r="H437" s="106"/>
    </row>
    <row r="438" spans="1:8" x14ac:dyDescent="0.25">
      <c r="A438" s="113">
        <f t="shared" si="39"/>
        <v>2.1049999999999884</v>
      </c>
      <c r="B438" s="100"/>
      <c r="C438" s="107"/>
      <c r="D438" s="108"/>
      <c r="E438" s="107"/>
      <c r="F438" s="109"/>
      <c r="G438" s="105"/>
      <c r="H438" s="106"/>
    </row>
    <row r="439" spans="1:8" x14ac:dyDescent="0.25">
      <c r="A439" s="113">
        <f t="shared" si="39"/>
        <v>2.1049999999999884</v>
      </c>
      <c r="B439" s="100"/>
      <c r="C439" s="107"/>
      <c r="D439" s="108"/>
      <c r="E439" s="107"/>
      <c r="F439" s="109"/>
      <c r="G439" s="105"/>
      <c r="H439" s="106"/>
    </row>
    <row r="440" spans="1:8" x14ac:dyDescent="0.25">
      <c r="A440" s="113">
        <f t="shared" si="39"/>
        <v>2.1049999999999884</v>
      </c>
      <c r="B440" s="100"/>
      <c r="C440" s="107"/>
      <c r="D440" s="108"/>
      <c r="E440" s="107"/>
      <c r="F440" s="109"/>
      <c r="G440" s="105"/>
      <c r="H440" s="106"/>
    </row>
    <row r="441" spans="1:8" x14ac:dyDescent="0.25">
      <c r="A441" s="113">
        <f t="shared" si="39"/>
        <v>2.1049999999999884</v>
      </c>
      <c r="B441" s="100"/>
      <c r="C441" s="107"/>
      <c r="D441" s="108"/>
      <c r="E441" s="107"/>
      <c r="F441" s="109"/>
      <c r="G441" s="105"/>
      <c r="H441" s="106"/>
    </row>
    <row r="442" spans="1:8" x14ac:dyDescent="0.25">
      <c r="A442" s="113">
        <f t="shared" si="39"/>
        <v>2.1049999999999884</v>
      </c>
      <c r="B442" s="100"/>
      <c r="C442" s="107"/>
      <c r="D442" s="108"/>
      <c r="E442" s="107"/>
      <c r="F442" s="109"/>
      <c r="G442" s="105"/>
      <c r="H442" s="106"/>
    </row>
    <row r="443" spans="1:8" x14ac:dyDescent="0.25">
      <c r="A443" s="113">
        <f t="shared" si="39"/>
        <v>2.1049999999999884</v>
      </c>
      <c r="B443" s="100"/>
      <c r="C443" s="107"/>
      <c r="D443" s="108"/>
      <c r="E443" s="107"/>
      <c r="F443" s="109"/>
      <c r="G443" s="105"/>
      <c r="H443" s="106"/>
    </row>
    <row r="444" spans="1:8" x14ac:dyDescent="0.25">
      <c r="A444" s="113">
        <f t="shared" si="39"/>
        <v>2.1049999999999884</v>
      </c>
      <c r="B444" s="100"/>
      <c r="C444" s="107"/>
      <c r="D444" s="108"/>
      <c r="E444" s="107"/>
      <c r="F444" s="109"/>
      <c r="G444" s="105"/>
      <c r="H444" s="106"/>
    </row>
    <row r="445" spans="1:8" x14ac:dyDescent="0.25">
      <c r="A445" s="113">
        <f t="shared" si="39"/>
        <v>2.1049999999999884</v>
      </c>
      <c r="B445" s="100"/>
      <c r="C445" s="107"/>
      <c r="D445" s="108"/>
      <c r="E445" s="107"/>
      <c r="F445" s="109"/>
      <c r="G445" s="105"/>
      <c r="H445" s="106"/>
    </row>
    <row r="446" spans="1:8" x14ac:dyDescent="0.25">
      <c r="A446" s="113">
        <f t="shared" si="39"/>
        <v>2.1049999999999884</v>
      </c>
      <c r="B446" s="100"/>
      <c r="C446" s="107"/>
      <c r="D446" s="108"/>
      <c r="E446" s="107"/>
      <c r="F446" s="109"/>
      <c r="G446" s="105"/>
      <c r="H446" s="106"/>
    </row>
    <row r="447" spans="1:8" x14ac:dyDescent="0.25">
      <c r="A447" s="113">
        <f t="shared" si="39"/>
        <v>2.1049999999999884</v>
      </c>
      <c r="B447" s="100"/>
      <c r="C447" s="107"/>
      <c r="D447" s="108"/>
      <c r="E447" s="107"/>
      <c r="F447" s="109"/>
      <c r="G447" s="105"/>
      <c r="H447" s="106"/>
    </row>
    <row r="448" spans="1:8" x14ac:dyDescent="0.25">
      <c r="A448" s="113">
        <f t="shared" si="39"/>
        <v>2.1049999999999884</v>
      </c>
      <c r="B448" s="100"/>
      <c r="C448" s="107"/>
      <c r="D448" s="108"/>
      <c r="E448" s="107"/>
      <c r="F448" s="109"/>
      <c r="G448" s="105"/>
      <c r="H448" s="106"/>
    </row>
    <row r="449" spans="1:8" x14ac:dyDescent="0.25">
      <c r="A449" s="113">
        <f t="shared" si="39"/>
        <v>2.1049999999999884</v>
      </c>
      <c r="B449" s="100"/>
      <c r="C449" s="107"/>
      <c r="D449" s="108"/>
      <c r="E449" s="107"/>
      <c r="F449" s="109"/>
      <c r="G449" s="105"/>
      <c r="H449" s="106"/>
    </row>
    <row r="450" spans="1:8" x14ac:dyDescent="0.25">
      <c r="A450" s="113">
        <f t="shared" si="39"/>
        <v>2.1049999999999884</v>
      </c>
      <c r="B450" s="100"/>
      <c r="C450" s="107"/>
      <c r="D450" s="108"/>
      <c r="E450" s="107"/>
      <c r="F450" s="109"/>
      <c r="G450" s="105"/>
      <c r="H450" s="106"/>
    </row>
    <row r="451" spans="1:8" x14ac:dyDescent="0.25">
      <c r="A451" s="113">
        <f t="shared" si="39"/>
        <v>2.1049999999999884</v>
      </c>
      <c r="B451" s="100"/>
      <c r="C451" s="107"/>
      <c r="D451" s="108"/>
      <c r="E451" s="107"/>
      <c r="F451" s="109"/>
      <c r="G451" s="105"/>
      <c r="H451" s="106"/>
    </row>
    <row r="452" spans="1:8" x14ac:dyDescent="0.25">
      <c r="A452" s="113">
        <f t="shared" si="39"/>
        <v>2.1049999999999884</v>
      </c>
      <c r="B452" s="100"/>
      <c r="C452" s="107"/>
      <c r="D452" s="108"/>
      <c r="E452" s="107"/>
      <c r="F452" s="109"/>
      <c r="G452" s="105"/>
      <c r="H452" s="106"/>
    </row>
    <row r="453" spans="1:8" x14ac:dyDescent="0.25">
      <c r="A453" s="113">
        <f t="shared" si="39"/>
        <v>2.1049999999999884</v>
      </c>
      <c r="B453" s="100"/>
      <c r="C453" s="107"/>
      <c r="D453" s="108"/>
      <c r="E453" s="107"/>
      <c r="F453" s="109"/>
      <c r="G453" s="105"/>
      <c r="H453" s="106"/>
    </row>
    <row r="454" spans="1:8" x14ac:dyDescent="0.25">
      <c r="A454" s="113">
        <f t="shared" si="39"/>
        <v>2.1049999999999884</v>
      </c>
      <c r="B454" s="100"/>
      <c r="C454" s="107"/>
      <c r="D454" s="108"/>
      <c r="E454" s="107"/>
      <c r="F454" s="109"/>
      <c r="G454" s="105"/>
      <c r="H454" s="106"/>
    </row>
    <row r="455" spans="1:8" x14ac:dyDescent="0.25">
      <c r="A455" s="113">
        <f t="shared" si="39"/>
        <v>2.1049999999999884</v>
      </c>
      <c r="B455" s="100"/>
      <c r="C455" s="107"/>
      <c r="D455" s="108"/>
      <c r="E455" s="107"/>
      <c r="F455" s="109"/>
      <c r="G455" s="105"/>
      <c r="H455" s="106"/>
    </row>
    <row r="456" spans="1:8" ht="15.75" thickBot="1" x14ac:dyDescent="0.3">
      <c r="A456" s="113">
        <f t="shared" si="39"/>
        <v>2.1049999999999884</v>
      </c>
      <c r="B456" s="100"/>
      <c r="C456" s="107"/>
      <c r="D456" s="108"/>
      <c r="E456" s="107"/>
      <c r="F456" s="109"/>
      <c r="G456" s="106"/>
      <c r="H456" s="106"/>
    </row>
    <row r="457" spans="1:8" ht="15.75" thickBot="1" x14ac:dyDescent="0.3">
      <c r="A457" s="113"/>
      <c r="B457" s="173"/>
      <c r="C457" s="174"/>
      <c r="D457" s="174"/>
      <c r="E457" s="174"/>
      <c r="F457" s="174"/>
      <c r="G457" s="175"/>
      <c r="H457" s="117"/>
    </row>
    <row r="458" spans="1:8" x14ac:dyDescent="0.25">
      <c r="H458" s="92" t="str">
        <f t="shared" ref="H458:H464" si="40">IF(F458="","",G458*F458)</f>
        <v/>
      </c>
    </row>
    <row r="459" spans="1:8" x14ac:dyDescent="0.25">
      <c r="H459" s="92" t="str">
        <f t="shared" si="40"/>
        <v/>
      </c>
    </row>
    <row r="460" spans="1:8" x14ac:dyDescent="0.25">
      <c r="H460" s="92" t="str">
        <f t="shared" si="40"/>
        <v/>
      </c>
    </row>
    <row r="461" spans="1:8" x14ac:dyDescent="0.25">
      <c r="H461" s="92" t="str">
        <f t="shared" si="40"/>
        <v/>
      </c>
    </row>
    <row r="462" spans="1:8" x14ac:dyDescent="0.25">
      <c r="H462" s="92" t="str">
        <f t="shared" si="40"/>
        <v/>
      </c>
    </row>
    <row r="463" spans="1:8" x14ac:dyDescent="0.25">
      <c r="H463" s="92" t="str">
        <f t="shared" si="40"/>
        <v/>
      </c>
    </row>
    <row r="464" spans="1:8" x14ac:dyDescent="0.25">
      <c r="H464" s="92" t="str">
        <f t="shared" si="40"/>
        <v/>
      </c>
    </row>
  </sheetData>
  <mergeCells count="29">
    <mergeCell ref="B157:G157"/>
    <mergeCell ref="B184:G184"/>
    <mergeCell ref="B186:G186"/>
    <mergeCell ref="B287:G287"/>
    <mergeCell ref="B457:G457"/>
    <mergeCell ref="B345:G345"/>
    <mergeCell ref="B347:G347"/>
    <mergeCell ref="B376:G376"/>
    <mergeCell ref="B378:G378"/>
    <mergeCell ref="B409:G409"/>
    <mergeCell ref="B411:G411"/>
    <mergeCell ref="B316:G316"/>
    <mergeCell ref="B314:G314"/>
    <mergeCell ref="B66:G66"/>
    <mergeCell ref="B68:G68"/>
    <mergeCell ref="B29:G29"/>
    <mergeCell ref="B31:G31"/>
    <mergeCell ref="B285:G285"/>
    <mergeCell ref="B223:G223"/>
    <mergeCell ref="B253:G253"/>
    <mergeCell ref="B255:G255"/>
    <mergeCell ref="B221:G221"/>
    <mergeCell ref="B99:G99"/>
    <mergeCell ref="B101:G101"/>
    <mergeCell ref="B129:G129"/>
    <mergeCell ref="B215:G215"/>
    <mergeCell ref="B217:G217"/>
    <mergeCell ref="B131:G131"/>
    <mergeCell ref="B155:G155"/>
  </mergeCells>
  <pageMargins left="0.7" right="0.7" top="0.75" bottom="0.75" header="0.3" footer="0.3"/>
  <pageSetup paperSize="9" scale="83" orientation="portrait" r:id="rId1"/>
  <rowBreaks count="13" manualBreakCount="13">
    <brk id="29" min="1" max="7" man="1"/>
    <brk id="66" min="1" max="7" man="1"/>
    <brk id="99" min="1" max="7" man="1"/>
    <brk id="129" min="1" max="7" man="1"/>
    <brk id="155" min="1" max="7" man="1"/>
    <brk id="184" min="1" max="7" man="1"/>
    <brk id="216" min="1" max="7" man="1"/>
    <brk id="251" min="1" max="7" man="1"/>
    <brk id="278" min="1" max="7" man="1"/>
    <brk id="307" min="1" max="7" man="1"/>
    <brk id="335" min="1" max="7" man="1"/>
    <brk id="366" min="1" max="7" man="1"/>
    <brk id="397" min="1" max="7" man="1"/>
  </rowBreak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H134"/>
  <sheetViews>
    <sheetView showGridLines="0" view="pageBreakPreview" zoomScale="130" zoomScaleNormal="100" zoomScaleSheetLayoutView="130" workbookViewId="0">
      <selection activeCell="C30" sqref="C30"/>
    </sheetView>
  </sheetViews>
  <sheetFormatPr defaultRowHeight="15" x14ac:dyDescent="0.25"/>
  <cols>
    <col min="2" max="2" width="8.28515625" style="95" customWidth="1"/>
    <col min="3" max="3" width="9.28515625" style="93" customWidth="1"/>
    <col min="4" max="4" width="32.7109375" style="94" customWidth="1"/>
    <col min="5" max="6" width="8.28515625" style="91" customWidth="1"/>
    <col min="7" max="7" width="9.28515625" style="92" customWidth="1"/>
    <col min="8" max="8" width="11.140625" style="92" customWidth="1"/>
  </cols>
  <sheetData>
    <row r="1" spans="1:8" ht="24.75" thickBot="1" x14ac:dyDescent="0.3">
      <c r="B1" s="96" t="s">
        <v>36</v>
      </c>
      <c r="C1" s="97" t="s">
        <v>94</v>
      </c>
      <c r="D1" s="97" t="s">
        <v>38</v>
      </c>
      <c r="E1" s="97" t="s">
        <v>37</v>
      </c>
      <c r="F1" s="98" t="s">
        <v>81</v>
      </c>
      <c r="G1" s="99" t="s">
        <v>86</v>
      </c>
      <c r="H1" s="99" t="s">
        <v>95</v>
      </c>
    </row>
    <row r="2" spans="1:8" x14ac:dyDescent="0.25">
      <c r="B2" s="100"/>
      <c r="C2" s="101"/>
      <c r="D2" s="102"/>
      <c r="E2" s="103"/>
      <c r="F2" s="104"/>
      <c r="G2" s="105"/>
      <c r="H2" s="106"/>
    </row>
    <row r="3" spans="1:8" ht="27" x14ac:dyDescent="0.25">
      <c r="A3" s="113">
        <v>3</v>
      </c>
      <c r="B3" s="100" t="str">
        <f t="shared" ref="B3:B27" si="0">+IF(F3&gt;0,A3,"")</f>
        <v/>
      </c>
      <c r="C3" s="101"/>
      <c r="D3" s="102" t="s">
        <v>326</v>
      </c>
      <c r="E3" s="103"/>
      <c r="F3" s="104"/>
      <c r="G3" s="105"/>
      <c r="H3" s="106"/>
    </row>
    <row r="4" spans="1:8" x14ac:dyDescent="0.25">
      <c r="A4" s="113">
        <f t="shared" ref="A4:A27" si="1">+IF(F4&gt;0.01,A3+0.001,A3)</f>
        <v>3</v>
      </c>
      <c r="B4" s="100" t="str">
        <f t="shared" si="0"/>
        <v/>
      </c>
      <c r="C4" s="107" t="s">
        <v>54</v>
      </c>
      <c r="D4" s="108"/>
      <c r="E4" s="107"/>
      <c r="F4" s="109"/>
      <c r="G4" s="105"/>
      <c r="H4" s="106" t="str">
        <f>IF(F4="","",G4*F4)</f>
        <v/>
      </c>
    </row>
    <row r="5" spans="1:8" ht="25.5" x14ac:dyDescent="0.25">
      <c r="A5" s="113">
        <f t="shared" si="1"/>
        <v>3</v>
      </c>
      <c r="B5" s="100" t="str">
        <f t="shared" si="0"/>
        <v/>
      </c>
      <c r="C5" s="110" t="s">
        <v>55</v>
      </c>
      <c r="D5" s="111" t="s">
        <v>126</v>
      </c>
      <c r="E5" s="107"/>
      <c r="F5" s="109"/>
      <c r="G5" s="105"/>
      <c r="H5" s="106" t="str">
        <f t="shared" ref="H5:H10" si="2">IF(F5="","",G5*F5)</f>
        <v/>
      </c>
    </row>
    <row r="6" spans="1:8" x14ac:dyDescent="0.25">
      <c r="A6" s="113">
        <f t="shared" si="1"/>
        <v>3</v>
      </c>
      <c r="B6" s="100" t="str">
        <f t="shared" si="0"/>
        <v/>
      </c>
      <c r="C6" s="107">
        <v>8.3000000000000007</v>
      </c>
      <c r="D6" s="112" t="s">
        <v>33</v>
      </c>
      <c r="E6" s="107"/>
      <c r="F6" s="109"/>
      <c r="G6" s="105"/>
      <c r="H6" s="106" t="str">
        <f t="shared" si="2"/>
        <v/>
      </c>
    </row>
    <row r="7" spans="1:8" ht="94.5" x14ac:dyDescent="0.25">
      <c r="A7" s="113">
        <f t="shared" si="1"/>
        <v>3</v>
      </c>
      <c r="B7" s="100" t="str">
        <f t="shared" si="0"/>
        <v/>
      </c>
      <c r="C7" s="107" t="s">
        <v>418</v>
      </c>
      <c r="D7" s="108" t="s">
        <v>87</v>
      </c>
      <c r="E7" s="107"/>
      <c r="F7" s="109"/>
      <c r="G7" s="105"/>
      <c r="H7" s="106" t="str">
        <f t="shared" si="2"/>
        <v/>
      </c>
    </row>
    <row r="8" spans="1:8" ht="27" x14ac:dyDescent="0.25">
      <c r="A8" s="113">
        <f t="shared" si="1"/>
        <v>3.0009999999999999</v>
      </c>
      <c r="B8" s="100">
        <f t="shared" si="0"/>
        <v>3.0009999999999999</v>
      </c>
      <c r="C8" s="107" t="s">
        <v>1023</v>
      </c>
      <c r="D8" s="108" t="s">
        <v>315</v>
      </c>
      <c r="E8" s="107" t="s">
        <v>47</v>
      </c>
      <c r="F8" s="109">
        <v>20.96</v>
      </c>
      <c r="G8" s="105"/>
      <c r="H8" s="106">
        <f t="shared" si="2"/>
        <v>0</v>
      </c>
    </row>
    <row r="9" spans="1:8" x14ac:dyDescent="0.25">
      <c r="A9" s="113">
        <f t="shared" si="1"/>
        <v>3.0019999999999998</v>
      </c>
      <c r="B9" s="100">
        <f t="shared" si="0"/>
        <v>3.0019999999999998</v>
      </c>
      <c r="C9" s="107" t="s">
        <v>1055</v>
      </c>
      <c r="D9" s="108" t="s">
        <v>316</v>
      </c>
      <c r="E9" s="107" t="s">
        <v>47</v>
      </c>
      <c r="F9" s="109">
        <v>3134.04</v>
      </c>
      <c r="G9" s="105"/>
      <c r="H9" s="106">
        <f t="shared" si="2"/>
        <v>0</v>
      </c>
    </row>
    <row r="10" spans="1:8" x14ac:dyDescent="0.25">
      <c r="A10" s="113">
        <f t="shared" si="1"/>
        <v>3.0029999999999997</v>
      </c>
      <c r="B10" s="100">
        <f t="shared" si="0"/>
        <v>3.0029999999999997</v>
      </c>
      <c r="C10" s="107" t="s">
        <v>1053</v>
      </c>
      <c r="D10" s="108" t="s">
        <v>317</v>
      </c>
      <c r="E10" s="107" t="s">
        <v>47</v>
      </c>
      <c r="F10" s="109">
        <v>191.41985973821201</v>
      </c>
      <c r="G10" s="105"/>
      <c r="H10" s="106">
        <f t="shared" si="2"/>
        <v>0</v>
      </c>
    </row>
    <row r="11" spans="1:8" x14ac:dyDescent="0.25">
      <c r="A11" s="113">
        <f t="shared" si="1"/>
        <v>3.0029999999999997</v>
      </c>
      <c r="B11" s="100" t="str">
        <f t="shared" si="0"/>
        <v/>
      </c>
      <c r="C11" s="107"/>
      <c r="D11" s="108"/>
      <c r="E11" s="107"/>
      <c r="F11" s="109"/>
      <c r="G11" s="105"/>
      <c r="H11" s="106"/>
    </row>
    <row r="12" spans="1:8" ht="54" x14ac:dyDescent="0.25">
      <c r="A12" s="113">
        <f t="shared" si="1"/>
        <v>3.0029999999999997</v>
      </c>
      <c r="B12" s="100" t="str">
        <f t="shared" si="0"/>
        <v/>
      </c>
      <c r="C12" s="107" t="s">
        <v>416</v>
      </c>
      <c r="D12" s="108" t="s">
        <v>324</v>
      </c>
      <c r="E12" s="107"/>
      <c r="F12" s="109"/>
      <c r="G12" s="105"/>
      <c r="H12" s="106" t="str">
        <f>IF(F12="","",G12*F12)</f>
        <v/>
      </c>
    </row>
    <row r="13" spans="1:8" x14ac:dyDescent="0.25">
      <c r="A13" s="113">
        <f t="shared" si="1"/>
        <v>3.0039999999999996</v>
      </c>
      <c r="B13" s="100">
        <f t="shared" si="0"/>
        <v>3.0039999999999996</v>
      </c>
      <c r="C13" s="107" t="s">
        <v>1055</v>
      </c>
      <c r="D13" s="108" t="s">
        <v>316</v>
      </c>
      <c r="E13" s="107" t="s">
        <v>48</v>
      </c>
      <c r="F13" s="109">
        <v>1385.03125</v>
      </c>
      <c r="G13" s="105"/>
      <c r="H13" s="106">
        <f>IF(F13="","",G13*F13)</f>
        <v>0</v>
      </c>
    </row>
    <row r="14" spans="1:8" x14ac:dyDescent="0.25">
      <c r="A14" s="113">
        <f t="shared" si="1"/>
        <v>3.0039999999999996</v>
      </c>
      <c r="B14" s="100" t="str">
        <f t="shared" si="0"/>
        <v/>
      </c>
      <c r="C14" s="107"/>
      <c r="D14" s="108"/>
      <c r="E14" s="107"/>
      <c r="F14" s="109"/>
      <c r="G14" s="105"/>
      <c r="H14" s="106"/>
    </row>
    <row r="15" spans="1:8" ht="54" x14ac:dyDescent="0.25">
      <c r="A15" s="113">
        <f t="shared" si="1"/>
        <v>3.0039999999999996</v>
      </c>
      <c r="B15" s="100" t="str">
        <f t="shared" si="0"/>
        <v/>
      </c>
      <c r="C15" s="107" t="s">
        <v>415</v>
      </c>
      <c r="D15" s="108" t="s">
        <v>88</v>
      </c>
      <c r="E15" s="107"/>
      <c r="F15" s="109"/>
      <c r="G15" s="105"/>
      <c r="H15" s="106" t="str">
        <f t="shared" ref="H15:H21" si="3">IF(F15="","",G15*F15)</f>
        <v/>
      </c>
    </row>
    <row r="16" spans="1:8" x14ac:dyDescent="0.25">
      <c r="A16" s="113">
        <f>+IF(F16&gt;0.01,A15+0.001,A15)</f>
        <v>3.0039999999999996</v>
      </c>
      <c r="B16" s="100" t="str">
        <f>+IF(F16&gt;0,A16,"")</f>
        <v/>
      </c>
      <c r="C16" s="107"/>
      <c r="D16" s="108"/>
      <c r="E16" s="107"/>
      <c r="F16" s="109"/>
      <c r="G16" s="105"/>
      <c r="H16" s="106" t="str">
        <f t="shared" si="3"/>
        <v/>
      </c>
    </row>
    <row r="17" spans="1:8" x14ac:dyDescent="0.25">
      <c r="A17" s="113">
        <f t="shared" si="1"/>
        <v>3.0049999999999994</v>
      </c>
      <c r="B17" s="100">
        <f t="shared" si="0"/>
        <v>3.0049999999999994</v>
      </c>
      <c r="C17" s="107" t="s">
        <v>1052</v>
      </c>
      <c r="D17" s="108" t="s">
        <v>876</v>
      </c>
      <c r="E17" s="107" t="s">
        <v>48</v>
      </c>
      <c r="F17" s="109">
        <v>5.3159999999999998</v>
      </c>
      <c r="G17" s="105"/>
      <c r="H17" s="106">
        <f t="shared" si="3"/>
        <v>0</v>
      </c>
    </row>
    <row r="18" spans="1:8" ht="27" x14ac:dyDescent="0.25">
      <c r="A18" s="113">
        <f t="shared" si="1"/>
        <v>3.0059999999999993</v>
      </c>
      <c r="B18" s="100">
        <f t="shared" si="0"/>
        <v>3.0059999999999993</v>
      </c>
      <c r="C18" s="107" t="s">
        <v>1023</v>
      </c>
      <c r="D18" s="108" t="s">
        <v>315</v>
      </c>
      <c r="E18" s="107" t="s">
        <v>48</v>
      </c>
      <c r="F18" s="109">
        <v>38.760038000000002</v>
      </c>
      <c r="G18" s="105"/>
      <c r="H18" s="106">
        <f t="shared" si="3"/>
        <v>0</v>
      </c>
    </row>
    <row r="19" spans="1:8" x14ac:dyDescent="0.25">
      <c r="A19" s="113">
        <f t="shared" si="1"/>
        <v>3.0069999999999992</v>
      </c>
      <c r="B19" s="100">
        <f t="shared" si="0"/>
        <v>3.0069999999999992</v>
      </c>
      <c r="C19" s="107" t="s">
        <v>1052</v>
      </c>
      <c r="D19" s="108" t="s">
        <v>877</v>
      </c>
      <c r="E19" s="107" t="s">
        <v>48</v>
      </c>
      <c r="F19" s="109">
        <v>5.3159999999999998</v>
      </c>
      <c r="G19" s="105"/>
      <c r="H19" s="106">
        <f t="shared" si="3"/>
        <v>0</v>
      </c>
    </row>
    <row r="20" spans="1:8" x14ac:dyDescent="0.25">
      <c r="A20" s="113">
        <f t="shared" si="1"/>
        <v>3.0079999999999991</v>
      </c>
      <c r="B20" s="100">
        <f t="shared" si="0"/>
        <v>3.0079999999999991</v>
      </c>
      <c r="C20" s="107" t="s">
        <v>1052</v>
      </c>
      <c r="D20" s="108" t="s">
        <v>878</v>
      </c>
      <c r="E20" s="107" t="s">
        <v>48</v>
      </c>
      <c r="F20" s="109">
        <v>4.5</v>
      </c>
      <c r="G20" s="105"/>
      <c r="H20" s="106">
        <f t="shared" si="3"/>
        <v>0</v>
      </c>
    </row>
    <row r="21" spans="1:8" x14ac:dyDescent="0.25">
      <c r="A21" s="113">
        <f t="shared" si="1"/>
        <v>3.008999999999999</v>
      </c>
      <c r="B21" s="100">
        <f t="shared" si="0"/>
        <v>3.008999999999999</v>
      </c>
      <c r="C21" s="107" t="s">
        <v>1052</v>
      </c>
      <c r="D21" s="108" t="s">
        <v>879</v>
      </c>
      <c r="E21" s="107" t="s">
        <v>48</v>
      </c>
      <c r="F21" s="109">
        <v>4.68</v>
      </c>
      <c r="G21" s="105"/>
      <c r="H21" s="106">
        <f t="shared" si="3"/>
        <v>0</v>
      </c>
    </row>
    <row r="22" spans="1:8" x14ac:dyDescent="0.25">
      <c r="A22" s="113">
        <f t="shared" si="1"/>
        <v>3.008999999999999</v>
      </c>
      <c r="B22" s="100" t="str">
        <f t="shared" si="0"/>
        <v/>
      </c>
      <c r="C22" s="107"/>
      <c r="D22" s="108"/>
      <c r="E22" s="107"/>
      <c r="F22" s="109"/>
      <c r="G22" s="105"/>
      <c r="H22" s="106"/>
    </row>
    <row r="23" spans="1:8" ht="27" x14ac:dyDescent="0.25">
      <c r="A23" s="113">
        <f t="shared" si="1"/>
        <v>3.008999999999999</v>
      </c>
      <c r="B23" s="100" t="str">
        <f t="shared" si="0"/>
        <v/>
      </c>
      <c r="C23" s="107" t="s">
        <v>412</v>
      </c>
      <c r="D23" s="108" t="s">
        <v>411</v>
      </c>
      <c r="E23" s="107"/>
      <c r="F23" s="109"/>
      <c r="G23" s="105"/>
      <c r="H23" s="106" t="str">
        <f>IF(F23="","",G23*F23)</f>
        <v/>
      </c>
    </row>
    <row r="24" spans="1:8" ht="27" x14ac:dyDescent="0.25">
      <c r="A24" s="113">
        <f t="shared" si="1"/>
        <v>3.0099999999999989</v>
      </c>
      <c r="B24" s="100">
        <f t="shared" si="0"/>
        <v>3.0099999999999989</v>
      </c>
      <c r="C24" s="107" t="s">
        <v>1023</v>
      </c>
      <c r="D24" s="108" t="s">
        <v>315</v>
      </c>
      <c r="E24" s="107" t="s">
        <v>48</v>
      </c>
      <c r="F24" s="109">
        <v>3.8760037999999999</v>
      </c>
      <c r="G24" s="105"/>
      <c r="H24" s="106">
        <f>IF(F24="","",G24*F24)</f>
        <v>0</v>
      </c>
    </row>
    <row r="25" spans="1:8" x14ac:dyDescent="0.25">
      <c r="A25" s="113">
        <f t="shared" si="1"/>
        <v>3.0099999999999989</v>
      </c>
      <c r="B25" s="100" t="str">
        <f t="shared" si="0"/>
        <v/>
      </c>
      <c r="C25" s="107"/>
      <c r="D25" s="108"/>
      <c r="E25" s="107"/>
      <c r="F25" s="109"/>
      <c r="G25" s="105"/>
      <c r="H25" s="106"/>
    </row>
    <row r="26" spans="1:8" ht="27" x14ac:dyDescent="0.25">
      <c r="A26" s="113">
        <f t="shared" si="1"/>
        <v>3.0099999999999989</v>
      </c>
      <c r="B26" s="100" t="str">
        <f t="shared" si="0"/>
        <v/>
      </c>
      <c r="C26" s="107" t="s">
        <v>35</v>
      </c>
      <c r="D26" s="108" t="s">
        <v>90</v>
      </c>
      <c r="E26" s="107"/>
      <c r="F26" s="109"/>
      <c r="G26" s="105"/>
      <c r="H26" s="106" t="str">
        <f>IF(F26="","",G26*F26)</f>
        <v/>
      </c>
    </row>
    <row r="27" spans="1:8" ht="27" x14ac:dyDescent="0.25">
      <c r="A27" s="113">
        <f t="shared" si="1"/>
        <v>3.0109999999999988</v>
      </c>
      <c r="B27" s="100">
        <f t="shared" si="0"/>
        <v>3.0109999999999988</v>
      </c>
      <c r="C27" s="107" t="s">
        <v>1023</v>
      </c>
      <c r="D27" s="108" t="s">
        <v>315</v>
      </c>
      <c r="E27" s="107" t="s">
        <v>48</v>
      </c>
      <c r="F27" s="109">
        <v>1.9380018999999999</v>
      </c>
      <c r="G27" s="105"/>
      <c r="H27" s="106">
        <f>IF(F27="","",G27*F27)</f>
        <v>0</v>
      </c>
    </row>
    <row r="28" spans="1:8" x14ac:dyDescent="0.25">
      <c r="A28" s="113">
        <f t="shared" ref="A28" si="4">+IF(F28&gt;0.01,A27+0.001,A27)</f>
        <v>3.0109999999999988</v>
      </c>
      <c r="B28" s="100" t="str">
        <f t="shared" ref="B28" si="5">+IF(F28&gt;0,A28,"")</f>
        <v/>
      </c>
      <c r="C28" s="107"/>
      <c r="D28" s="108"/>
      <c r="E28" s="107"/>
      <c r="F28" s="109"/>
      <c r="G28" s="105"/>
      <c r="H28" s="106"/>
    </row>
    <row r="29" spans="1:8" x14ac:dyDescent="0.25">
      <c r="A29" s="113"/>
      <c r="B29" s="100"/>
      <c r="C29" s="107"/>
      <c r="D29" s="108"/>
      <c r="E29" s="107"/>
      <c r="F29" s="109"/>
      <c r="G29" s="105"/>
      <c r="H29" s="106" t="str">
        <f>IF(F29="","",G29*F29)</f>
        <v/>
      </c>
    </row>
    <row r="30" spans="1:8" x14ac:dyDescent="0.25">
      <c r="A30" s="113"/>
      <c r="B30" s="100"/>
      <c r="C30" s="107"/>
      <c r="D30" s="108"/>
      <c r="E30" s="107"/>
      <c r="F30" s="109"/>
      <c r="G30" s="105"/>
      <c r="H30" s="106" t="str">
        <f>IF(F30="","",G30*F30)</f>
        <v/>
      </c>
    </row>
    <row r="31" spans="1:8" x14ac:dyDescent="0.25">
      <c r="A31" s="113"/>
      <c r="B31" s="100"/>
      <c r="C31" s="107"/>
      <c r="D31" s="108"/>
      <c r="E31" s="107"/>
      <c r="F31" s="109"/>
      <c r="G31" s="105"/>
      <c r="H31" s="106"/>
    </row>
    <row r="32" spans="1:8" ht="15.75" thickBot="1" x14ac:dyDescent="0.3">
      <c r="A32" s="113"/>
      <c r="B32" s="100"/>
      <c r="C32" s="107"/>
      <c r="D32" s="108"/>
      <c r="E32" s="107"/>
      <c r="F32" s="109"/>
      <c r="G32" s="105"/>
      <c r="H32" s="106"/>
    </row>
    <row r="33" spans="1:8" ht="15.75" thickBot="1" x14ac:dyDescent="0.3">
      <c r="A33" s="113"/>
      <c r="B33" s="173" t="s">
        <v>328</v>
      </c>
      <c r="C33" s="174"/>
      <c r="D33" s="174"/>
      <c r="E33" s="174"/>
      <c r="F33" s="174"/>
      <c r="G33" s="175"/>
      <c r="H33" s="117">
        <f>SUM(H2:H32)</f>
        <v>0</v>
      </c>
    </row>
    <row r="34" spans="1:8" ht="24.75" thickBot="1" x14ac:dyDescent="0.3">
      <c r="A34" s="113"/>
      <c r="B34" s="114" t="s">
        <v>36</v>
      </c>
      <c r="C34" s="97" t="s">
        <v>94</v>
      </c>
      <c r="D34" s="115" t="s">
        <v>38</v>
      </c>
      <c r="E34" s="115" t="s">
        <v>37</v>
      </c>
      <c r="F34" s="115" t="s">
        <v>81</v>
      </c>
      <c r="G34" s="116" t="s">
        <v>86</v>
      </c>
      <c r="H34" s="99" t="s">
        <v>95</v>
      </c>
    </row>
    <row r="35" spans="1:8" ht="15.75" thickBot="1" x14ac:dyDescent="0.3">
      <c r="A35" s="113"/>
      <c r="B35" s="171" t="s">
        <v>329</v>
      </c>
      <c r="C35" s="172"/>
      <c r="D35" s="172"/>
      <c r="E35" s="172"/>
      <c r="F35" s="172"/>
      <c r="G35" s="172"/>
      <c r="H35" s="117">
        <f>H33</f>
        <v>0</v>
      </c>
    </row>
    <row r="36" spans="1:8" ht="12.75" customHeight="1" x14ac:dyDescent="0.25">
      <c r="A36" s="113">
        <f>+IF(F36&gt;0.01,A28+0.001,A28)</f>
        <v>3.0109999999999988</v>
      </c>
      <c r="B36" s="100" t="str">
        <f t="shared" ref="B36:B46" si="6">+IF(F36&gt;0,A36,"")</f>
        <v/>
      </c>
      <c r="C36" s="118"/>
      <c r="D36" s="118"/>
      <c r="E36" s="118"/>
      <c r="F36" s="118"/>
      <c r="G36" s="118"/>
      <c r="H36" s="119"/>
    </row>
    <row r="37" spans="1:8" ht="12.75" customHeight="1" x14ac:dyDescent="0.25">
      <c r="A37" s="113">
        <f>+IF(F37&gt;0.01,A36+0.001,A36)</f>
        <v>3.0109999999999988</v>
      </c>
      <c r="B37" s="100" t="str">
        <f t="shared" ref="B37" si="7">+IF(F37&gt;0,A37,"")</f>
        <v/>
      </c>
      <c r="C37" s="107"/>
      <c r="D37" s="108"/>
      <c r="E37" s="107"/>
      <c r="F37" s="109"/>
      <c r="G37" s="105"/>
      <c r="H37" s="106" t="str">
        <f>IF(F37="","",G37*F37)</f>
        <v/>
      </c>
    </row>
    <row r="38" spans="1:8" ht="12.75" customHeight="1" x14ac:dyDescent="0.25">
      <c r="A38" s="113">
        <f>+IF(F38&gt;0.01,A37+0.001,A37)</f>
        <v>3.0109999999999988</v>
      </c>
      <c r="B38" s="100" t="str">
        <f t="shared" ref="B38:B39" si="8">+IF(F38&gt;0,A38,"")</f>
        <v/>
      </c>
      <c r="C38" s="107"/>
      <c r="D38" s="108"/>
      <c r="E38" s="107"/>
      <c r="F38" s="109"/>
      <c r="G38" s="105"/>
      <c r="H38" s="106" t="str">
        <f>IF(F38="","",G38*F38)</f>
        <v/>
      </c>
    </row>
    <row r="39" spans="1:8" ht="9.75" customHeight="1" x14ac:dyDescent="0.25">
      <c r="A39" s="113">
        <f t="shared" ref="A39:A43" si="9">+IF(F39&gt;0.01,A38+0.001,A38)</f>
        <v>3.0109999999999988</v>
      </c>
      <c r="B39" s="100" t="str">
        <f t="shared" si="8"/>
        <v/>
      </c>
      <c r="C39" s="118"/>
      <c r="D39" s="118"/>
      <c r="E39" s="118"/>
      <c r="F39" s="118"/>
      <c r="G39" s="118"/>
      <c r="H39" s="119"/>
    </row>
    <row r="40" spans="1:8" ht="108" x14ac:dyDescent="0.25">
      <c r="A40" s="113">
        <f t="shared" si="9"/>
        <v>3.0109999999999988</v>
      </c>
      <c r="B40" s="100" t="str">
        <f t="shared" ref="B40:B43" si="10">+IF(F40&gt;0,A40,"")</f>
        <v/>
      </c>
      <c r="C40" s="107" t="s">
        <v>417</v>
      </c>
      <c r="D40" s="108" t="s">
        <v>191</v>
      </c>
      <c r="E40" s="107"/>
      <c r="F40" s="109"/>
      <c r="G40" s="105"/>
      <c r="H40" s="106" t="str">
        <f t="shared" ref="H40" si="11">IF(F40="","",G40*F40)</f>
        <v/>
      </c>
    </row>
    <row r="41" spans="1:8" ht="27" x14ac:dyDescent="0.25">
      <c r="A41" s="113">
        <f t="shared" si="9"/>
        <v>3.0119999999999987</v>
      </c>
      <c r="B41" s="100">
        <f t="shared" si="10"/>
        <v>3.0119999999999987</v>
      </c>
      <c r="C41" s="107" t="s">
        <v>1023</v>
      </c>
      <c r="D41" s="108" t="s">
        <v>315</v>
      </c>
      <c r="E41" s="107" t="s">
        <v>48</v>
      </c>
      <c r="F41" s="109">
        <v>10.8096</v>
      </c>
      <c r="G41" s="105"/>
      <c r="H41" s="106">
        <f>IF(F41="","",G41*F41)</f>
        <v>0</v>
      </c>
    </row>
    <row r="42" spans="1:8" x14ac:dyDescent="0.25">
      <c r="A42" s="113">
        <f t="shared" si="9"/>
        <v>3.0129999999999986</v>
      </c>
      <c r="B42" s="100">
        <f t="shared" si="10"/>
        <v>3.0129999999999986</v>
      </c>
      <c r="C42" s="107" t="s">
        <v>1053</v>
      </c>
      <c r="D42" s="108" t="s">
        <v>317</v>
      </c>
      <c r="E42" s="107" t="s">
        <v>48</v>
      </c>
      <c r="F42" s="109">
        <v>38</v>
      </c>
      <c r="G42" s="105"/>
      <c r="H42" s="106">
        <f>IF(F42="","",G42*F42)</f>
        <v>0</v>
      </c>
    </row>
    <row r="43" spans="1:8" ht="9.75" customHeight="1" x14ac:dyDescent="0.25">
      <c r="A43" s="113">
        <f t="shared" si="9"/>
        <v>3.0129999999999986</v>
      </c>
      <c r="B43" s="100" t="str">
        <f t="shared" si="10"/>
        <v/>
      </c>
      <c r="C43" s="107"/>
      <c r="D43" s="108"/>
      <c r="E43" s="107"/>
      <c r="F43" s="109"/>
      <c r="G43" s="105"/>
      <c r="H43" s="106"/>
    </row>
    <row r="44" spans="1:8" ht="54" customHeight="1" x14ac:dyDescent="0.25">
      <c r="A44" s="113">
        <f t="shared" ref="A44:A46" si="12">+IF(F44&gt;0.01,A43+0.001,A43)</f>
        <v>3.0129999999999986</v>
      </c>
      <c r="B44" s="100" t="str">
        <f t="shared" si="6"/>
        <v/>
      </c>
      <c r="C44" s="107" t="s">
        <v>39</v>
      </c>
      <c r="D44" s="108" t="s">
        <v>247</v>
      </c>
      <c r="E44" s="107"/>
      <c r="F44" s="109"/>
      <c r="G44" s="105"/>
      <c r="H44" s="106" t="str">
        <f>IF(F44="","",G44*F44)</f>
        <v/>
      </c>
    </row>
    <row r="45" spans="1:8" ht="27" x14ac:dyDescent="0.25">
      <c r="A45" s="113">
        <f t="shared" si="12"/>
        <v>3.0139999999999985</v>
      </c>
      <c r="B45" s="100">
        <f t="shared" si="6"/>
        <v>3.0139999999999985</v>
      </c>
      <c r="C45" s="107" t="s">
        <v>1023</v>
      </c>
      <c r="D45" s="108" t="s">
        <v>315</v>
      </c>
      <c r="E45" s="107" t="s">
        <v>47</v>
      </c>
      <c r="F45" s="109">
        <v>20.96</v>
      </c>
      <c r="G45" s="105"/>
      <c r="H45" s="106">
        <f>IF(F45="","",G45*F45)</f>
        <v>0</v>
      </c>
    </row>
    <row r="46" spans="1:8" x14ac:dyDescent="0.25">
      <c r="A46" s="113">
        <f t="shared" si="12"/>
        <v>3.0149999999999983</v>
      </c>
      <c r="B46" s="100">
        <f t="shared" si="6"/>
        <v>3.0149999999999983</v>
      </c>
      <c r="C46" s="107"/>
      <c r="D46" s="108" t="s">
        <v>316</v>
      </c>
      <c r="E46" s="107" t="s">
        <v>47</v>
      </c>
      <c r="F46" s="109">
        <v>3134.04</v>
      </c>
      <c r="G46" s="105"/>
      <c r="H46" s="106">
        <f>IF(F46="","",G46*F46)</f>
        <v>0</v>
      </c>
    </row>
    <row r="47" spans="1:8" x14ac:dyDescent="0.25">
      <c r="A47" s="113">
        <f t="shared" ref="A47:A58" si="13">+IF(F47&gt;0.01,A46+0.001,A46)</f>
        <v>3.0159999999999982</v>
      </c>
      <c r="B47" s="100">
        <f t="shared" ref="B47:B58" si="14">+IF(F47&gt;0,A47,"")</f>
        <v>3.0159999999999982</v>
      </c>
      <c r="C47" s="107"/>
      <c r="D47" s="108" t="s">
        <v>317</v>
      </c>
      <c r="E47" s="107" t="s">
        <v>47</v>
      </c>
      <c r="F47" s="109">
        <v>179.75149999999999</v>
      </c>
      <c r="G47" s="105"/>
      <c r="H47" s="106">
        <f>IF(F47="","",G47*F47)</f>
        <v>0</v>
      </c>
    </row>
    <row r="48" spans="1:8" ht="9" customHeight="1" x14ac:dyDescent="0.25">
      <c r="A48" s="113">
        <f t="shared" si="13"/>
        <v>3.0159999999999982</v>
      </c>
      <c r="B48" s="100" t="str">
        <f t="shared" si="14"/>
        <v/>
      </c>
      <c r="C48" s="107"/>
      <c r="D48" s="108"/>
      <c r="E48" s="107"/>
      <c r="F48" s="109"/>
      <c r="G48" s="105"/>
      <c r="H48" s="106"/>
    </row>
    <row r="49" spans="1:8" ht="67.5" x14ac:dyDescent="0.25">
      <c r="A49" s="113">
        <f t="shared" si="13"/>
        <v>3.0159999999999982</v>
      </c>
      <c r="B49" s="100" t="str">
        <f t="shared" si="14"/>
        <v/>
      </c>
      <c r="C49" s="107" t="s">
        <v>414</v>
      </c>
      <c r="D49" s="108" t="s">
        <v>192</v>
      </c>
      <c r="E49" s="107"/>
      <c r="F49" s="109"/>
      <c r="G49" s="105"/>
      <c r="H49" s="106" t="str">
        <f>IF(F49="","",G49*F49)</f>
        <v/>
      </c>
    </row>
    <row r="50" spans="1:8" x14ac:dyDescent="0.25">
      <c r="A50" s="113">
        <f t="shared" si="13"/>
        <v>3.0159999999999982</v>
      </c>
      <c r="B50" s="100" t="str">
        <f t="shared" si="14"/>
        <v/>
      </c>
      <c r="C50" s="107"/>
      <c r="D50" s="108"/>
      <c r="E50" s="107"/>
      <c r="F50" s="109"/>
      <c r="G50" s="105"/>
      <c r="H50" s="106" t="str">
        <f>IF(F50="","",G50*F50)</f>
        <v/>
      </c>
    </row>
    <row r="51" spans="1:8" ht="11.25" customHeight="1" x14ac:dyDescent="0.25">
      <c r="A51" s="113">
        <f t="shared" si="13"/>
        <v>3.0169999999999981</v>
      </c>
      <c r="B51" s="100">
        <f t="shared" si="14"/>
        <v>3.0169999999999981</v>
      </c>
      <c r="C51" s="107" t="s">
        <v>1023</v>
      </c>
      <c r="D51" s="108" t="s">
        <v>315</v>
      </c>
      <c r="E51" s="107" t="s">
        <v>47</v>
      </c>
      <c r="F51" s="109">
        <v>20.96</v>
      </c>
      <c r="G51" s="105"/>
      <c r="H51" s="106">
        <f>IF(F51="","",G51*F51)</f>
        <v>0</v>
      </c>
    </row>
    <row r="52" spans="1:8" x14ac:dyDescent="0.25">
      <c r="A52" s="113">
        <f t="shared" si="13"/>
        <v>3.017999999999998</v>
      </c>
      <c r="B52" s="100">
        <f t="shared" si="14"/>
        <v>3.017999999999998</v>
      </c>
      <c r="C52" s="107" t="s">
        <v>1055</v>
      </c>
      <c r="D52" s="108" t="s">
        <v>316</v>
      </c>
      <c r="E52" s="107" t="s">
        <v>47</v>
      </c>
      <c r="F52" s="109">
        <v>3134.04</v>
      </c>
      <c r="G52" s="105"/>
      <c r="H52" s="106">
        <f>IF(F52="","",G52*F52)</f>
        <v>0</v>
      </c>
    </row>
    <row r="53" spans="1:8" x14ac:dyDescent="0.25">
      <c r="A53" s="113">
        <f t="shared" si="13"/>
        <v>3.0189999999999979</v>
      </c>
      <c r="B53" s="100">
        <f t="shared" si="14"/>
        <v>3.0189999999999979</v>
      </c>
      <c r="C53" s="107" t="s">
        <v>1053</v>
      </c>
      <c r="D53" s="108" t="s">
        <v>317</v>
      </c>
      <c r="E53" s="107" t="s">
        <v>47</v>
      </c>
      <c r="F53" s="109">
        <v>179.75149999999999</v>
      </c>
      <c r="G53" s="105"/>
      <c r="H53" s="106">
        <f>IF(F53="","",G53*F53)</f>
        <v>0</v>
      </c>
    </row>
    <row r="54" spans="1:8" ht="12" customHeight="1" x14ac:dyDescent="0.25">
      <c r="A54" s="113">
        <f t="shared" si="13"/>
        <v>3.0189999999999979</v>
      </c>
      <c r="B54" s="100" t="str">
        <f t="shared" si="14"/>
        <v/>
      </c>
      <c r="C54" s="107"/>
      <c r="D54" s="108"/>
      <c r="E54" s="107"/>
      <c r="F54" s="109"/>
      <c r="G54" s="105"/>
      <c r="H54" s="106"/>
    </row>
    <row r="55" spans="1:8" x14ac:dyDescent="0.25">
      <c r="A55" s="113">
        <f t="shared" si="13"/>
        <v>3.0189999999999979</v>
      </c>
      <c r="B55" s="100" t="str">
        <f t="shared" si="14"/>
        <v/>
      </c>
      <c r="C55" s="107"/>
      <c r="D55" s="112" t="s">
        <v>239</v>
      </c>
      <c r="E55" s="107"/>
      <c r="F55" s="109"/>
      <c r="G55" s="105"/>
      <c r="H55" s="106"/>
    </row>
    <row r="56" spans="1:8" ht="68.25" customHeight="1" x14ac:dyDescent="0.25">
      <c r="A56" s="113">
        <f t="shared" si="13"/>
        <v>3.0189999999999979</v>
      </c>
      <c r="B56" s="100" t="str">
        <f t="shared" si="14"/>
        <v/>
      </c>
      <c r="C56" s="107"/>
      <c r="D56" s="108" t="s">
        <v>190</v>
      </c>
      <c r="E56" s="107"/>
      <c r="F56" s="109"/>
      <c r="G56" s="105"/>
      <c r="H56" s="106" t="str">
        <f>IF(F56="","",G56*F56)</f>
        <v/>
      </c>
    </row>
    <row r="57" spans="1:8" x14ac:dyDescent="0.25">
      <c r="A57" s="113">
        <f t="shared" si="13"/>
        <v>3.0199999999999978</v>
      </c>
      <c r="B57" s="100">
        <f t="shared" si="14"/>
        <v>3.0199999999999978</v>
      </c>
      <c r="C57" s="107" t="s">
        <v>1052</v>
      </c>
      <c r="D57" s="108" t="s">
        <v>318</v>
      </c>
      <c r="E57" s="107" t="s">
        <v>3</v>
      </c>
      <c r="F57" s="109">
        <v>20</v>
      </c>
      <c r="G57" s="105"/>
      <c r="H57" s="106">
        <f>IF(F57="","",G57*F57)</f>
        <v>0</v>
      </c>
    </row>
    <row r="58" spans="1:8" x14ac:dyDescent="0.25">
      <c r="A58" s="113">
        <f t="shared" si="13"/>
        <v>3.0209999999999977</v>
      </c>
      <c r="B58" s="100">
        <f t="shared" si="14"/>
        <v>3.0209999999999977</v>
      </c>
      <c r="C58" s="107" t="s">
        <v>1052</v>
      </c>
      <c r="D58" s="108" t="s">
        <v>319</v>
      </c>
      <c r="E58" s="107" t="s">
        <v>3</v>
      </c>
      <c r="F58" s="109">
        <v>8</v>
      </c>
      <c r="G58" s="105"/>
      <c r="H58" s="106">
        <f>IF(F58="","",G58*F58)</f>
        <v>0</v>
      </c>
    </row>
    <row r="59" spans="1:8" x14ac:dyDescent="0.25">
      <c r="A59" s="113">
        <f t="shared" ref="A59:A62" si="15">+IF(F59&gt;0.01,A58+0.001,A58)</f>
        <v>3.0219999999999976</v>
      </c>
      <c r="B59" s="100">
        <f t="shared" ref="B59:B62" si="16">+IF(F59&gt;0,A59,"")</f>
        <v>3.0219999999999976</v>
      </c>
      <c r="C59" s="107" t="s">
        <v>1052</v>
      </c>
      <c r="D59" s="108" t="s">
        <v>320</v>
      </c>
      <c r="E59" s="107" t="s">
        <v>3</v>
      </c>
      <c r="F59" s="109">
        <v>25</v>
      </c>
      <c r="G59" s="105"/>
      <c r="H59" s="106">
        <f>IF(F59="","",G59*F59)</f>
        <v>0</v>
      </c>
    </row>
    <row r="60" spans="1:8" x14ac:dyDescent="0.25">
      <c r="A60" s="113">
        <f t="shared" si="15"/>
        <v>3.0229999999999975</v>
      </c>
      <c r="B60" s="100">
        <f t="shared" si="16"/>
        <v>3.0229999999999975</v>
      </c>
      <c r="C60" s="107" t="s">
        <v>1052</v>
      </c>
      <c r="D60" s="108" t="s">
        <v>321</v>
      </c>
      <c r="E60" s="107" t="s">
        <v>3</v>
      </c>
      <c r="F60" s="109">
        <v>26</v>
      </c>
      <c r="G60" s="105"/>
      <c r="H60" s="106">
        <f>IF(F60="","",G60*F60)</f>
        <v>0</v>
      </c>
    </row>
    <row r="61" spans="1:8" ht="9.75" customHeight="1" x14ac:dyDescent="0.25">
      <c r="A61" s="113">
        <f t="shared" si="15"/>
        <v>3.0229999999999975</v>
      </c>
      <c r="B61" s="100" t="str">
        <f t="shared" si="16"/>
        <v/>
      </c>
      <c r="C61" s="107"/>
      <c r="D61" s="108"/>
      <c r="E61" s="107"/>
      <c r="F61" s="109"/>
      <c r="G61" s="105"/>
      <c r="H61" s="106"/>
    </row>
    <row r="62" spans="1:8" ht="67.5" x14ac:dyDescent="0.25">
      <c r="A62" s="113">
        <f t="shared" si="15"/>
        <v>3.0239999999999974</v>
      </c>
      <c r="B62" s="100">
        <f t="shared" si="16"/>
        <v>3.0239999999999974</v>
      </c>
      <c r="C62" s="154" t="s">
        <v>414</v>
      </c>
      <c r="D62" s="155" t="s">
        <v>413</v>
      </c>
      <c r="E62" s="154" t="s">
        <v>47</v>
      </c>
      <c r="F62" s="156">
        <v>3630</v>
      </c>
      <c r="G62" s="157"/>
      <c r="H62" s="106">
        <f>IF(F62="","",G62*F62)</f>
        <v>0</v>
      </c>
    </row>
    <row r="63" spans="1:8" ht="15.75" thickBot="1" x14ac:dyDescent="0.3">
      <c r="A63" s="113">
        <f t="shared" ref="A63" si="17">+IF(F63&gt;0.01,A62+0.001,A62)</f>
        <v>3.0239999999999974</v>
      </c>
      <c r="B63" s="100" t="str">
        <f t="shared" ref="B63" si="18">+IF(F63&gt;0,A63,"")</f>
        <v/>
      </c>
      <c r="C63" s="107"/>
      <c r="D63" s="108"/>
      <c r="E63" s="107"/>
      <c r="F63" s="109"/>
      <c r="G63" s="105"/>
      <c r="H63" s="106"/>
    </row>
    <row r="64" spans="1:8" ht="15.75" thickBot="1" x14ac:dyDescent="0.3">
      <c r="A64" s="113"/>
      <c r="B64" s="173" t="s">
        <v>328</v>
      </c>
      <c r="C64" s="174"/>
      <c r="D64" s="174"/>
      <c r="E64" s="174"/>
      <c r="F64" s="174"/>
      <c r="G64" s="175"/>
      <c r="H64" s="117">
        <f>SUM(H35:H63)</f>
        <v>0</v>
      </c>
    </row>
    <row r="65" spans="1:8" ht="24.75" thickBot="1" x14ac:dyDescent="0.3">
      <c r="A65" s="113"/>
      <c r="B65" s="114" t="s">
        <v>36</v>
      </c>
      <c r="C65" s="97" t="s">
        <v>94</v>
      </c>
      <c r="D65" s="115" t="s">
        <v>38</v>
      </c>
      <c r="E65" s="115" t="s">
        <v>37</v>
      </c>
      <c r="F65" s="115" t="s">
        <v>81</v>
      </c>
      <c r="G65" s="116" t="s">
        <v>86</v>
      </c>
      <c r="H65" s="99" t="s">
        <v>95</v>
      </c>
    </row>
    <row r="66" spans="1:8" ht="15.75" thickBot="1" x14ac:dyDescent="0.3">
      <c r="A66" s="113"/>
      <c r="B66" s="171" t="s">
        <v>329</v>
      </c>
      <c r="C66" s="172"/>
      <c r="D66" s="172"/>
      <c r="E66" s="172"/>
      <c r="F66" s="172"/>
      <c r="G66" s="172"/>
      <c r="H66" s="117">
        <f>H64</f>
        <v>0</v>
      </c>
    </row>
    <row r="67" spans="1:8" x14ac:dyDescent="0.25">
      <c r="A67" s="113"/>
      <c r="B67" s="100"/>
      <c r="C67" s="107"/>
      <c r="D67" s="108"/>
      <c r="E67" s="107"/>
      <c r="F67" s="109"/>
      <c r="G67" s="105"/>
      <c r="H67" s="106"/>
    </row>
    <row r="68" spans="1:8" ht="25.5" x14ac:dyDescent="0.25">
      <c r="A68" s="113">
        <f>+IF(F68&gt;0.01,A63+0.001,A63)</f>
        <v>3.0239999999999974</v>
      </c>
      <c r="B68" s="100" t="str">
        <f>+IF(F68&gt;0,A68,"")</f>
        <v/>
      </c>
      <c r="C68" s="110" t="s">
        <v>26</v>
      </c>
      <c r="D68" s="111" t="s">
        <v>127</v>
      </c>
      <c r="E68" s="107"/>
      <c r="F68" s="109"/>
      <c r="G68" s="105"/>
      <c r="H68" s="106"/>
    </row>
    <row r="69" spans="1:8" ht="54" x14ac:dyDescent="0.25">
      <c r="A69" s="113">
        <f>+IF(F69&gt;0.01,A68+0.001,A68)</f>
        <v>3.0239999999999974</v>
      </c>
      <c r="B69" s="100" t="str">
        <f>+IF(F69&gt;0,A69,"")</f>
        <v/>
      </c>
      <c r="C69" s="107" t="s">
        <v>429</v>
      </c>
      <c r="D69" s="112" t="s">
        <v>41</v>
      </c>
      <c r="E69" s="107"/>
      <c r="F69" s="109"/>
      <c r="G69" s="105"/>
      <c r="H69" s="106"/>
    </row>
    <row r="70" spans="1:8" ht="27" x14ac:dyDescent="0.25">
      <c r="A70" s="113">
        <f t="shared" ref="A70:A90" si="19">+IF(F70&gt;0.01,A69+0.001,A69)</f>
        <v>3.0239999999999974</v>
      </c>
      <c r="B70" s="100" t="str">
        <f t="shared" ref="B70:B90" si="20">+IF(F70&gt;0,A70,"")</f>
        <v/>
      </c>
      <c r="C70" s="107" t="s">
        <v>423</v>
      </c>
      <c r="D70" s="108" t="s">
        <v>248</v>
      </c>
      <c r="E70" s="107"/>
      <c r="F70" s="109"/>
      <c r="G70" s="105"/>
      <c r="H70" s="106" t="str">
        <f>IF(F70="","",G70*F70)</f>
        <v/>
      </c>
    </row>
    <row r="71" spans="1:8" ht="27" x14ac:dyDescent="0.25">
      <c r="A71" s="113">
        <f t="shared" si="19"/>
        <v>3.0249999999999972</v>
      </c>
      <c r="B71" s="100">
        <f t="shared" si="20"/>
        <v>3.0249999999999972</v>
      </c>
      <c r="C71" s="107" t="s">
        <v>1023</v>
      </c>
      <c r="D71" s="108" t="s">
        <v>315</v>
      </c>
      <c r="E71" s="107" t="s">
        <v>47</v>
      </c>
      <c r="F71" s="109">
        <v>46.089202790819897</v>
      </c>
      <c r="G71" s="105"/>
      <c r="H71" s="106">
        <f>IF(F71="","",G71*F71)</f>
        <v>0</v>
      </c>
    </row>
    <row r="72" spans="1:8" x14ac:dyDescent="0.25">
      <c r="A72" s="113">
        <f t="shared" si="19"/>
        <v>3.0249999999999972</v>
      </c>
      <c r="B72" s="100" t="str">
        <f t="shared" si="20"/>
        <v/>
      </c>
      <c r="C72" s="159"/>
      <c r="D72" s="155"/>
      <c r="E72" s="154"/>
      <c r="F72" s="156"/>
      <c r="G72" s="157"/>
      <c r="H72" s="106"/>
    </row>
    <row r="73" spans="1:8" ht="27" x14ac:dyDescent="0.25">
      <c r="A73" s="113">
        <f t="shared" si="19"/>
        <v>3.0249999999999972</v>
      </c>
      <c r="B73" s="100" t="str">
        <f t="shared" si="20"/>
        <v/>
      </c>
      <c r="C73" s="107" t="s">
        <v>423</v>
      </c>
      <c r="D73" s="108" t="s">
        <v>322</v>
      </c>
      <c r="E73" s="107"/>
      <c r="F73" s="109"/>
      <c r="G73" s="105"/>
      <c r="H73" s="106" t="str">
        <f>IF(F73="","",G73*F73)</f>
        <v/>
      </c>
    </row>
    <row r="74" spans="1:8" ht="27" x14ac:dyDescent="0.25">
      <c r="A74" s="113">
        <f t="shared" si="19"/>
        <v>3.0259999999999971</v>
      </c>
      <c r="B74" s="100">
        <f t="shared" si="20"/>
        <v>3.0259999999999971</v>
      </c>
      <c r="C74" s="107" t="s">
        <v>1023</v>
      </c>
      <c r="D74" s="108" t="s">
        <v>315</v>
      </c>
      <c r="E74" s="107" t="s">
        <v>47</v>
      </c>
      <c r="F74" s="109">
        <v>6.42</v>
      </c>
      <c r="G74" s="105"/>
      <c r="H74" s="106">
        <f>IF(F74="","",G74*F74)</f>
        <v>0</v>
      </c>
    </row>
    <row r="75" spans="1:8" x14ac:dyDescent="0.25">
      <c r="A75" s="113">
        <f t="shared" si="19"/>
        <v>3.0259999999999971</v>
      </c>
      <c r="B75" s="100" t="str">
        <f t="shared" si="20"/>
        <v/>
      </c>
      <c r="C75" s="107"/>
      <c r="D75" s="108"/>
      <c r="E75" s="107"/>
      <c r="F75" s="109"/>
      <c r="G75" s="105"/>
      <c r="H75" s="106"/>
    </row>
    <row r="76" spans="1:8" ht="54" x14ac:dyDescent="0.25">
      <c r="A76" s="113">
        <f t="shared" si="19"/>
        <v>3.0259999999999971</v>
      </c>
      <c r="B76" s="100" t="str">
        <f t="shared" si="20"/>
        <v/>
      </c>
      <c r="C76" s="107" t="s">
        <v>424</v>
      </c>
      <c r="D76" s="108" t="s">
        <v>323</v>
      </c>
      <c r="E76" s="107"/>
      <c r="F76" s="109"/>
      <c r="G76" s="105"/>
      <c r="H76" s="106" t="str">
        <f>IF(F76="","",G76*F76)</f>
        <v/>
      </c>
    </row>
    <row r="77" spans="1:8" ht="27" x14ac:dyDescent="0.25">
      <c r="A77" s="113">
        <f t="shared" si="19"/>
        <v>3.026999999999997</v>
      </c>
      <c r="B77" s="100">
        <f t="shared" si="20"/>
        <v>3.026999999999997</v>
      </c>
      <c r="C77" s="107" t="s">
        <v>1023</v>
      </c>
      <c r="D77" s="108" t="s">
        <v>315</v>
      </c>
      <c r="E77" s="107" t="s">
        <v>40</v>
      </c>
      <c r="F77" s="109">
        <v>6</v>
      </c>
      <c r="G77" s="105"/>
      <c r="H77" s="106">
        <f>IF(F77="","",G77*F77)</f>
        <v>0</v>
      </c>
    </row>
    <row r="78" spans="1:8" x14ac:dyDescent="0.25">
      <c r="A78" s="113">
        <f t="shared" si="19"/>
        <v>3.026999999999997</v>
      </c>
      <c r="B78" s="100" t="str">
        <f t="shared" si="20"/>
        <v/>
      </c>
      <c r="C78" s="107"/>
      <c r="D78" s="108"/>
      <c r="E78" s="107"/>
      <c r="F78" s="109"/>
      <c r="G78" s="105"/>
      <c r="H78" s="106"/>
    </row>
    <row r="79" spans="1:8" ht="27" x14ac:dyDescent="0.25">
      <c r="A79" s="113">
        <f t="shared" si="19"/>
        <v>3.026999999999997</v>
      </c>
      <c r="B79" s="100" t="str">
        <f t="shared" si="20"/>
        <v/>
      </c>
      <c r="C79" s="107" t="s">
        <v>425</v>
      </c>
      <c r="D79" s="112" t="s">
        <v>32</v>
      </c>
      <c r="E79" s="107"/>
      <c r="F79" s="109"/>
      <c r="G79" s="105"/>
      <c r="H79" s="106"/>
    </row>
    <row r="80" spans="1:8" ht="54" x14ac:dyDescent="0.25">
      <c r="A80" s="113">
        <f t="shared" si="19"/>
        <v>3.026999999999997</v>
      </c>
      <c r="B80" s="100" t="str">
        <f t="shared" si="20"/>
        <v/>
      </c>
      <c r="C80" s="107" t="s">
        <v>428</v>
      </c>
      <c r="D80" s="108" t="s">
        <v>79</v>
      </c>
      <c r="E80" s="107"/>
      <c r="F80" s="109"/>
      <c r="G80" s="105"/>
      <c r="H80" s="106" t="str">
        <f>IF(F80="","",G80*F80)</f>
        <v/>
      </c>
    </row>
    <row r="81" spans="1:8" ht="27" x14ac:dyDescent="0.25">
      <c r="A81" s="113">
        <f t="shared" si="19"/>
        <v>3.0279999999999969</v>
      </c>
      <c r="B81" s="100">
        <f t="shared" si="20"/>
        <v>3.0279999999999969</v>
      </c>
      <c r="C81" s="107" t="s">
        <v>1023</v>
      </c>
      <c r="D81" s="108" t="s">
        <v>315</v>
      </c>
      <c r="E81" s="107" t="s">
        <v>47</v>
      </c>
      <c r="F81" s="109">
        <v>27.825600000000001</v>
      </c>
      <c r="G81" s="105"/>
      <c r="H81" s="106">
        <f>IF(F81="","",G81*F81)</f>
        <v>0</v>
      </c>
    </row>
    <row r="82" spans="1:8" x14ac:dyDescent="0.25">
      <c r="A82" s="113">
        <f t="shared" si="19"/>
        <v>3.0279999999999969</v>
      </c>
      <c r="B82" s="100" t="str">
        <f t="shared" si="20"/>
        <v/>
      </c>
      <c r="C82" s="107"/>
      <c r="D82" s="108"/>
      <c r="E82" s="107"/>
      <c r="F82" s="109"/>
      <c r="G82" s="105"/>
      <c r="H82" s="106"/>
    </row>
    <row r="83" spans="1:8" ht="54" x14ac:dyDescent="0.25">
      <c r="A83" s="113">
        <f t="shared" si="19"/>
        <v>3.0279999999999969</v>
      </c>
      <c r="B83" s="100" t="str">
        <f t="shared" si="20"/>
        <v/>
      </c>
      <c r="C83" s="107" t="s">
        <v>428</v>
      </c>
      <c r="D83" s="108" t="s">
        <v>80</v>
      </c>
      <c r="E83" s="107"/>
      <c r="F83" s="109"/>
      <c r="G83" s="105"/>
      <c r="H83" s="106" t="str">
        <f>IF(F83="","",G83*F83)</f>
        <v/>
      </c>
    </row>
    <row r="84" spans="1:8" ht="27" x14ac:dyDescent="0.25">
      <c r="A84" s="113">
        <f t="shared" si="19"/>
        <v>3.0289999999999968</v>
      </c>
      <c r="B84" s="100">
        <f t="shared" si="20"/>
        <v>3.0289999999999968</v>
      </c>
      <c r="C84" s="107" t="s">
        <v>1023</v>
      </c>
      <c r="D84" s="108" t="s">
        <v>315</v>
      </c>
      <c r="E84" s="107" t="s">
        <v>47</v>
      </c>
      <c r="F84" s="109">
        <v>22.335280000000001</v>
      </c>
      <c r="G84" s="105"/>
      <c r="H84" s="106">
        <f>IF(F84="","",G84*F84)</f>
        <v>0</v>
      </c>
    </row>
    <row r="85" spans="1:8" x14ac:dyDescent="0.25">
      <c r="A85" s="113">
        <f t="shared" si="19"/>
        <v>3.0289999999999968</v>
      </c>
      <c r="B85" s="100" t="str">
        <f t="shared" si="20"/>
        <v/>
      </c>
      <c r="C85" s="107"/>
      <c r="D85" s="108"/>
      <c r="E85" s="107"/>
      <c r="F85" s="109"/>
      <c r="G85" s="105"/>
      <c r="H85" s="106"/>
    </row>
    <row r="86" spans="1:8" ht="40.5" x14ac:dyDescent="0.25">
      <c r="A86" s="113">
        <f t="shared" si="19"/>
        <v>3.0289999999999968</v>
      </c>
      <c r="B86" s="100" t="str">
        <f t="shared" si="20"/>
        <v/>
      </c>
      <c r="C86" s="107" t="s">
        <v>430</v>
      </c>
      <c r="D86" s="112" t="s">
        <v>31</v>
      </c>
      <c r="E86" s="107"/>
      <c r="F86" s="109"/>
      <c r="G86" s="105"/>
      <c r="H86" s="106" t="s">
        <v>325</v>
      </c>
    </row>
    <row r="87" spans="1:8" ht="54" x14ac:dyDescent="0.25">
      <c r="A87" s="113">
        <f t="shared" si="19"/>
        <v>3.0289999999999968</v>
      </c>
      <c r="B87" s="100" t="str">
        <f t="shared" si="20"/>
        <v/>
      </c>
      <c r="C87" s="107" t="s">
        <v>426</v>
      </c>
      <c r="D87" s="108" t="s">
        <v>236</v>
      </c>
      <c r="E87" s="107"/>
      <c r="F87" s="109"/>
      <c r="G87" s="105"/>
      <c r="H87" s="106" t="s">
        <v>325</v>
      </c>
    </row>
    <row r="88" spans="1:8" ht="27" x14ac:dyDescent="0.25">
      <c r="A88" s="113">
        <f t="shared" si="19"/>
        <v>3.0299999999999967</v>
      </c>
      <c r="B88" s="100">
        <f t="shared" si="20"/>
        <v>3.0299999999999967</v>
      </c>
      <c r="C88" s="107" t="s">
        <v>1023</v>
      </c>
      <c r="D88" s="108" t="s">
        <v>315</v>
      </c>
      <c r="E88" s="107" t="s">
        <v>47</v>
      </c>
      <c r="F88" s="109">
        <v>38.552</v>
      </c>
      <c r="G88" s="105"/>
      <c r="H88" s="106">
        <v>11565.6</v>
      </c>
    </row>
    <row r="89" spans="1:8" x14ac:dyDescent="0.25">
      <c r="A89" s="113">
        <f t="shared" si="19"/>
        <v>3.0299999999999967</v>
      </c>
      <c r="B89" s="100" t="str">
        <f t="shared" si="20"/>
        <v/>
      </c>
      <c r="C89" s="107"/>
      <c r="D89" s="108"/>
      <c r="E89" s="107"/>
      <c r="F89" s="109"/>
      <c r="G89" s="105"/>
      <c r="H89" s="106"/>
    </row>
    <row r="90" spans="1:8" ht="15.75" thickBot="1" x14ac:dyDescent="0.3">
      <c r="A90" s="113">
        <f t="shared" si="19"/>
        <v>3.0299999999999967</v>
      </c>
      <c r="B90" s="100" t="str">
        <f t="shared" si="20"/>
        <v/>
      </c>
      <c r="C90" s="107"/>
      <c r="D90" s="108"/>
      <c r="E90" s="107"/>
      <c r="F90" s="109"/>
      <c r="G90" s="105"/>
      <c r="H90" s="106"/>
    </row>
    <row r="91" spans="1:8" ht="15.75" thickBot="1" x14ac:dyDescent="0.3">
      <c r="A91" s="113"/>
      <c r="B91" s="173" t="s">
        <v>328</v>
      </c>
      <c r="C91" s="174"/>
      <c r="D91" s="174"/>
      <c r="E91" s="174"/>
      <c r="F91" s="174"/>
      <c r="G91" s="175"/>
      <c r="H91" s="117">
        <f>SUM(H66:H90)</f>
        <v>11565.6</v>
      </c>
    </row>
    <row r="92" spans="1:8" ht="24.75" thickBot="1" x14ac:dyDescent="0.3">
      <c r="A92" s="113"/>
      <c r="B92" s="114" t="s">
        <v>36</v>
      </c>
      <c r="C92" s="97" t="s">
        <v>94</v>
      </c>
      <c r="D92" s="115" t="s">
        <v>38</v>
      </c>
      <c r="E92" s="115" t="s">
        <v>37</v>
      </c>
      <c r="F92" s="115" t="s">
        <v>81</v>
      </c>
      <c r="G92" s="116" t="s">
        <v>86</v>
      </c>
      <c r="H92" s="99" t="s">
        <v>95</v>
      </c>
    </row>
    <row r="93" spans="1:8" ht="15.75" thickBot="1" x14ac:dyDescent="0.3">
      <c r="A93" s="113"/>
      <c r="B93" s="171" t="s">
        <v>329</v>
      </c>
      <c r="C93" s="172"/>
      <c r="D93" s="172"/>
      <c r="E93" s="172"/>
      <c r="F93" s="172"/>
      <c r="G93" s="172"/>
      <c r="H93" s="117">
        <f>H91</f>
        <v>11565.6</v>
      </c>
    </row>
    <row r="94" spans="1:8" x14ac:dyDescent="0.25">
      <c r="A94" s="113"/>
      <c r="B94" s="100"/>
      <c r="C94" s="107"/>
      <c r="D94" s="108"/>
      <c r="E94" s="107"/>
      <c r="F94" s="109"/>
      <c r="G94" s="105"/>
      <c r="H94" s="106"/>
    </row>
    <row r="95" spans="1:8" ht="54" x14ac:dyDescent="0.25">
      <c r="A95" s="113">
        <f>+IF(F95&gt;0.01,A90+0.001,A90)</f>
        <v>3.0299999999999967</v>
      </c>
      <c r="B95" s="100" t="str">
        <f t="shared" ref="B95:B96" si="21">+IF(F95&gt;0,A95,"")</f>
        <v/>
      </c>
      <c r="C95" s="107" t="s">
        <v>431</v>
      </c>
      <c r="D95" s="108" t="s">
        <v>92</v>
      </c>
      <c r="E95" s="107"/>
      <c r="F95" s="109"/>
      <c r="G95" s="105"/>
      <c r="H95" s="106" t="str">
        <f>IF(F95="","",G95*F95)</f>
        <v/>
      </c>
    </row>
    <row r="96" spans="1:8" ht="27" x14ac:dyDescent="0.25">
      <c r="A96" s="113">
        <f t="shared" ref="A96" si="22">+IF(F96&gt;0.01,A95+0.001,A95)</f>
        <v>3.0309999999999966</v>
      </c>
      <c r="B96" s="100">
        <f t="shared" si="21"/>
        <v>3.0309999999999966</v>
      </c>
      <c r="C96" s="107" t="s">
        <v>1023</v>
      </c>
      <c r="D96" s="108" t="s">
        <v>315</v>
      </c>
      <c r="E96" s="107" t="s">
        <v>48</v>
      </c>
      <c r="F96" s="109">
        <v>27.321751200000001</v>
      </c>
      <c r="G96" s="105"/>
      <c r="H96" s="106">
        <f>IF(F96="","",G96*F96)</f>
        <v>0</v>
      </c>
    </row>
    <row r="97" spans="1:8" x14ac:dyDescent="0.25">
      <c r="A97" s="113">
        <f t="shared" ref="A97:A111" si="23">+IF(F97&gt;0.01,A96+0.001,A96)</f>
        <v>3.0309999999999966</v>
      </c>
      <c r="B97" s="100" t="str">
        <f t="shared" ref="B97:B111" si="24">+IF(F97&gt;0,A97,"")</f>
        <v/>
      </c>
      <c r="C97" s="107"/>
      <c r="D97" s="108"/>
      <c r="E97" s="107"/>
      <c r="F97" s="109"/>
      <c r="G97" s="105"/>
      <c r="H97" s="106"/>
    </row>
    <row r="98" spans="1:8" x14ac:dyDescent="0.25">
      <c r="A98" s="113">
        <f t="shared" si="23"/>
        <v>3.0309999999999966</v>
      </c>
      <c r="B98" s="100" t="str">
        <f t="shared" si="24"/>
        <v/>
      </c>
      <c r="C98" s="107" t="s">
        <v>42</v>
      </c>
      <c r="D98" s="108" t="s">
        <v>93</v>
      </c>
      <c r="E98" s="107"/>
      <c r="F98" s="109"/>
      <c r="G98" s="105"/>
      <c r="H98" s="106" t="str">
        <f>IF(F98="","",G98*F98)</f>
        <v/>
      </c>
    </row>
    <row r="99" spans="1:8" ht="27" x14ac:dyDescent="0.25">
      <c r="A99" s="113">
        <f t="shared" si="23"/>
        <v>3.0319999999999965</v>
      </c>
      <c r="B99" s="100">
        <f t="shared" si="24"/>
        <v>3.0319999999999965</v>
      </c>
      <c r="C99" s="107" t="s">
        <v>1023</v>
      </c>
      <c r="D99" s="108" t="s">
        <v>315</v>
      </c>
      <c r="E99" s="107" t="s">
        <v>47</v>
      </c>
      <c r="F99" s="109">
        <v>8.0039999999999996</v>
      </c>
      <c r="G99" s="105"/>
      <c r="H99" s="106">
        <f>IF(F99="","",G99*F99)</f>
        <v>0</v>
      </c>
    </row>
    <row r="100" spans="1:8" x14ac:dyDescent="0.25">
      <c r="A100" s="113">
        <f t="shared" si="23"/>
        <v>3.0319999999999965</v>
      </c>
      <c r="B100" s="100" t="str">
        <f t="shared" si="24"/>
        <v/>
      </c>
      <c r="C100" s="107"/>
      <c r="D100" s="108"/>
      <c r="E100" s="107"/>
      <c r="F100" s="109"/>
      <c r="G100" s="105"/>
      <c r="H100" s="106"/>
    </row>
    <row r="101" spans="1:8" x14ac:dyDescent="0.25">
      <c r="A101" s="113">
        <f t="shared" si="23"/>
        <v>3.0319999999999965</v>
      </c>
      <c r="B101" s="100" t="str">
        <f t="shared" si="24"/>
        <v/>
      </c>
      <c r="C101" s="107"/>
      <c r="D101" s="112"/>
      <c r="E101" s="107"/>
      <c r="F101" s="109"/>
      <c r="G101" s="105"/>
      <c r="H101" s="106"/>
    </row>
    <row r="102" spans="1:8" x14ac:dyDescent="0.25">
      <c r="A102" s="113">
        <f t="shared" si="23"/>
        <v>3.0319999999999965</v>
      </c>
      <c r="B102" s="100" t="str">
        <f t="shared" si="24"/>
        <v/>
      </c>
      <c r="C102" s="107"/>
      <c r="D102" s="108"/>
      <c r="E102" s="107"/>
      <c r="F102" s="109"/>
      <c r="G102" s="105"/>
      <c r="H102" s="106"/>
    </row>
    <row r="103" spans="1:8" x14ac:dyDescent="0.25">
      <c r="A103" s="113">
        <f t="shared" si="23"/>
        <v>3.0319999999999965</v>
      </c>
      <c r="B103" s="100" t="str">
        <f t="shared" si="24"/>
        <v/>
      </c>
      <c r="C103" s="107"/>
      <c r="D103" s="108"/>
      <c r="E103" s="107"/>
      <c r="F103" s="109"/>
      <c r="G103" s="105"/>
      <c r="H103" s="106"/>
    </row>
    <row r="104" spans="1:8" x14ac:dyDescent="0.25">
      <c r="A104" s="113">
        <f t="shared" si="23"/>
        <v>3.0319999999999965</v>
      </c>
      <c r="B104" s="100" t="str">
        <f t="shared" si="24"/>
        <v/>
      </c>
      <c r="C104" s="107"/>
      <c r="D104" s="108"/>
      <c r="E104" s="107"/>
      <c r="F104" s="109"/>
      <c r="G104" s="105"/>
      <c r="H104" s="106"/>
    </row>
    <row r="105" spans="1:8" x14ac:dyDescent="0.25">
      <c r="A105" s="113">
        <f t="shared" si="23"/>
        <v>3.0319999999999965</v>
      </c>
      <c r="B105" s="100" t="str">
        <f t="shared" si="24"/>
        <v/>
      </c>
      <c r="C105" s="107"/>
      <c r="D105" s="108"/>
      <c r="E105" s="107"/>
      <c r="F105" s="109"/>
      <c r="G105" s="105"/>
      <c r="H105" s="106"/>
    </row>
    <row r="106" spans="1:8" ht="33.75" customHeight="1" x14ac:dyDescent="0.25">
      <c r="A106" s="113">
        <f t="shared" si="23"/>
        <v>3.0319999999999965</v>
      </c>
      <c r="B106" s="100" t="str">
        <f t="shared" si="24"/>
        <v/>
      </c>
      <c r="C106" s="107"/>
      <c r="D106" s="108"/>
      <c r="E106" s="107"/>
      <c r="F106" s="109"/>
      <c r="G106" s="105"/>
      <c r="H106" s="106"/>
    </row>
    <row r="107" spans="1:8" x14ac:dyDescent="0.25">
      <c r="A107" s="113">
        <f t="shared" si="23"/>
        <v>3.0319999999999965</v>
      </c>
      <c r="B107" s="100" t="str">
        <f t="shared" si="24"/>
        <v/>
      </c>
      <c r="C107" s="107"/>
      <c r="D107" s="108"/>
      <c r="E107" s="107"/>
      <c r="F107" s="109"/>
      <c r="G107" s="105"/>
      <c r="H107" s="106"/>
    </row>
    <row r="108" spans="1:8" x14ac:dyDescent="0.25">
      <c r="A108" s="113">
        <f t="shared" si="23"/>
        <v>3.0319999999999965</v>
      </c>
      <c r="B108" s="100" t="str">
        <f t="shared" si="24"/>
        <v/>
      </c>
      <c r="C108" s="107"/>
      <c r="D108" s="108"/>
      <c r="E108" s="107"/>
      <c r="F108" s="109"/>
      <c r="G108" s="105"/>
      <c r="H108" s="106"/>
    </row>
    <row r="109" spans="1:8" ht="33.75" customHeight="1" x14ac:dyDescent="0.25">
      <c r="A109" s="113">
        <f t="shared" si="23"/>
        <v>3.0319999999999965</v>
      </c>
      <c r="B109" s="100" t="str">
        <f t="shared" si="24"/>
        <v/>
      </c>
      <c r="C109" s="107"/>
      <c r="D109" s="108"/>
      <c r="E109" s="107"/>
      <c r="F109" s="109"/>
      <c r="G109" s="105"/>
      <c r="H109" s="106"/>
    </row>
    <row r="110" spans="1:8" x14ac:dyDescent="0.25">
      <c r="A110" s="113">
        <f t="shared" si="23"/>
        <v>3.0319999999999965</v>
      </c>
      <c r="B110" s="100" t="str">
        <f t="shared" si="24"/>
        <v/>
      </c>
      <c r="C110" s="107"/>
      <c r="D110" s="108"/>
      <c r="E110" s="107"/>
      <c r="F110" s="109"/>
      <c r="G110" s="105"/>
      <c r="H110" s="106"/>
    </row>
    <row r="111" spans="1:8" x14ac:dyDescent="0.25">
      <c r="A111" s="113">
        <f t="shared" si="23"/>
        <v>3.0319999999999965</v>
      </c>
      <c r="B111" s="100" t="str">
        <f t="shared" si="24"/>
        <v/>
      </c>
      <c r="C111" s="107"/>
      <c r="D111" s="108"/>
      <c r="E111" s="107"/>
      <c r="F111" s="109"/>
      <c r="G111" s="105"/>
      <c r="H111" s="106"/>
    </row>
    <row r="112" spans="1:8" x14ac:dyDescent="0.25">
      <c r="A112" s="113">
        <f t="shared" ref="A112:A118" si="25">+IF(F112&gt;0.01,A111+0.001,A111)</f>
        <v>3.0319999999999965</v>
      </c>
      <c r="B112" s="100" t="str">
        <f t="shared" ref="B112:B118" si="26">+IF(F112&gt;0,A112,"")</f>
        <v/>
      </c>
      <c r="C112" s="107"/>
      <c r="D112" s="108"/>
      <c r="E112" s="107"/>
      <c r="F112" s="109"/>
      <c r="G112" s="105"/>
      <c r="H112" s="106"/>
    </row>
    <row r="113" spans="1:8" x14ac:dyDescent="0.25">
      <c r="A113" s="113">
        <f t="shared" si="25"/>
        <v>3.0319999999999965</v>
      </c>
      <c r="B113" s="100" t="str">
        <f t="shared" si="26"/>
        <v/>
      </c>
      <c r="C113" s="107"/>
      <c r="D113" s="108"/>
      <c r="E113" s="107"/>
      <c r="F113" s="109"/>
      <c r="G113" s="105"/>
      <c r="H113" s="106"/>
    </row>
    <row r="114" spans="1:8" x14ac:dyDescent="0.25">
      <c r="A114" s="113">
        <f t="shared" si="25"/>
        <v>3.0319999999999965</v>
      </c>
      <c r="B114" s="100" t="str">
        <f t="shared" si="26"/>
        <v/>
      </c>
      <c r="C114" s="107"/>
      <c r="D114" s="108"/>
      <c r="E114" s="107"/>
      <c r="F114" s="109"/>
      <c r="G114" s="105"/>
      <c r="H114" s="106"/>
    </row>
    <row r="115" spans="1:8" x14ac:dyDescent="0.25">
      <c r="A115" s="113">
        <f t="shared" si="25"/>
        <v>3.0319999999999965</v>
      </c>
      <c r="B115" s="100" t="str">
        <f t="shared" si="26"/>
        <v/>
      </c>
      <c r="C115" s="107"/>
      <c r="D115" s="108"/>
      <c r="E115" s="107"/>
      <c r="F115" s="109"/>
      <c r="G115" s="105"/>
      <c r="H115" s="106"/>
    </row>
    <row r="116" spans="1:8" x14ac:dyDescent="0.25">
      <c r="A116" s="113">
        <f t="shared" si="25"/>
        <v>3.0319999999999965</v>
      </c>
      <c r="B116" s="100" t="str">
        <f t="shared" si="26"/>
        <v/>
      </c>
      <c r="C116" s="107"/>
      <c r="D116" s="108"/>
      <c r="E116" s="107"/>
      <c r="F116" s="109"/>
      <c r="G116" s="105"/>
      <c r="H116" s="106"/>
    </row>
    <row r="117" spans="1:8" x14ac:dyDescent="0.25">
      <c r="A117" s="113">
        <f t="shared" si="25"/>
        <v>3.0319999999999965</v>
      </c>
      <c r="B117" s="100" t="str">
        <f t="shared" si="26"/>
        <v/>
      </c>
      <c r="C117" s="107"/>
      <c r="D117" s="108"/>
      <c r="E117" s="107"/>
      <c r="F117" s="109"/>
      <c r="G117" s="105"/>
      <c r="H117" s="106"/>
    </row>
    <row r="118" spans="1:8" x14ac:dyDescent="0.25">
      <c r="A118" s="113">
        <f t="shared" si="25"/>
        <v>3.0319999999999965</v>
      </c>
      <c r="B118" s="100" t="str">
        <f t="shared" si="26"/>
        <v/>
      </c>
      <c r="C118" s="107"/>
      <c r="D118" s="108"/>
      <c r="E118" s="107"/>
      <c r="F118" s="109"/>
      <c r="G118" s="105"/>
      <c r="H118" s="106"/>
    </row>
    <row r="119" spans="1:8" x14ac:dyDescent="0.25">
      <c r="A119" s="113">
        <f t="shared" ref="A119:A133" si="27">+IF(F119&gt;0.01,A118+0.001,A118)</f>
        <v>3.0319999999999965</v>
      </c>
      <c r="B119" s="100" t="str">
        <f t="shared" ref="B119:B133" si="28">+IF(F119&gt;0,A119,"")</f>
        <v/>
      </c>
      <c r="C119" s="107"/>
      <c r="D119" s="108"/>
      <c r="E119" s="107"/>
      <c r="F119" s="109"/>
      <c r="G119" s="105"/>
      <c r="H119" s="106"/>
    </row>
    <row r="120" spans="1:8" x14ac:dyDescent="0.25">
      <c r="A120" s="113">
        <f t="shared" si="27"/>
        <v>3.0319999999999965</v>
      </c>
      <c r="B120" s="100" t="str">
        <f t="shared" si="28"/>
        <v/>
      </c>
      <c r="C120" s="107"/>
      <c r="D120" s="108"/>
      <c r="E120" s="107"/>
      <c r="F120" s="109"/>
      <c r="G120" s="105"/>
      <c r="H120" s="106"/>
    </row>
    <row r="121" spans="1:8" x14ac:dyDescent="0.25">
      <c r="A121" s="113">
        <f t="shared" si="27"/>
        <v>3.0319999999999965</v>
      </c>
      <c r="B121" s="100" t="str">
        <f t="shared" si="28"/>
        <v/>
      </c>
      <c r="C121" s="107"/>
      <c r="D121" s="108"/>
      <c r="E121" s="107"/>
      <c r="F121" s="109"/>
      <c r="G121" s="105"/>
      <c r="H121" s="106"/>
    </row>
    <row r="122" spans="1:8" x14ac:dyDescent="0.25">
      <c r="A122" s="113">
        <f t="shared" si="27"/>
        <v>3.0319999999999965</v>
      </c>
      <c r="B122" s="100" t="str">
        <f t="shared" si="28"/>
        <v/>
      </c>
      <c r="C122" s="107"/>
      <c r="D122" s="108"/>
      <c r="E122" s="107"/>
      <c r="F122" s="109"/>
      <c r="G122" s="105"/>
      <c r="H122" s="106"/>
    </row>
    <row r="123" spans="1:8" x14ac:dyDescent="0.25">
      <c r="A123" s="113">
        <f t="shared" si="27"/>
        <v>3.0319999999999965</v>
      </c>
      <c r="B123" s="100" t="str">
        <f t="shared" si="28"/>
        <v/>
      </c>
      <c r="C123" s="107"/>
      <c r="D123" s="108"/>
      <c r="E123" s="107"/>
      <c r="F123" s="109"/>
      <c r="G123" s="105"/>
      <c r="H123" s="106"/>
    </row>
    <row r="124" spans="1:8" x14ac:dyDescent="0.25">
      <c r="A124" s="113">
        <f t="shared" si="27"/>
        <v>3.0319999999999965</v>
      </c>
      <c r="B124" s="100" t="str">
        <f t="shared" si="28"/>
        <v/>
      </c>
      <c r="C124" s="107"/>
      <c r="D124" s="108"/>
      <c r="E124" s="107"/>
      <c r="F124" s="109"/>
      <c r="G124" s="105"/>
      <c r="H124" s="106"/>
    </row>
    <row r="125" spans="1:8" x14ac:dyDescent="0.25">
      <c r="A125" s="113">
        <f t="shared" si="27"/>
        <v>3.0319999999999965</v>
      </c>
      <c r="B125" s="100" t="str">
        <f t="shared" si="28"/>
        <v/>
      </c>
      <c r="C125" s="107"/>
      <c r="D125" s="108"/>
      <c r="E125" s="107"/>
      <c r="F125" s="109"/>
      <c r="G125" s="105"/>
      <c r="H125" s="106"/>
    </row>
    <row r="126" spans="1:8" x14ac:dyDescent="0.25">
      <c r="A126" s="113">
        <f t="shared" si="27"/>
        <v>3.0319999999999965</v>
      </c>
      <c r="B126" s="100" t="str">
        <f t="shared" si="28"/>
        <v/>
      </c>
      <c r="C126" s="107"/>
      <c r="D126" s="108"/>
      <c r="E126" s="107"/>
      <c r="F126" s="109"/>
      <c r="G126" s="105"/>
      <c r="H126" s="106"/>
    </row>
    <row r="127" spans="1:8" x14ac:dyDescent="0.25">
      <c r="A127" s="113">
        <f t="shared" si="27"/>
        <v>3.0319999999999965</v>
      </c>
      <c r="B127" s="100" t="str">
        <f t="shared" si="28"/>
        <v/>
      </c>
      <c r="C127" s="107"/>
      <c r="D127" s="112"/>
      <c r="E127" s="107"/>
      <c r="F127" s="109"/>
      <c r="G127" s="105"/>
      <c r="H127" s="106"/>
    </row>
    <row r="128" spans="1:8" x14ac:dyDescent="0.25">
      <c r="A128" s="113">
        <f t="shared" si="27"/>
        <v>3.0319999999999965</v>
      </c>
      <c r="B128" s="100" t="str">
        <f t="shared" si="28"/>
        <v/>
      </c>
      <c r="C128" s="107"/>
      <c r="D128" s="108"/>
      <c r="E128" s="107"/>
      <c r="F128" s="109"/>
      <c r="G128" s="105"/>
      <c r="H128" s="106"/>
    </row>
    <row r="129" spans="1:8" x14ac:dyDescent="0.25">
      <c r="A129" s="113">
        <f t="shared" si="27"/>
        <v>3.0319999999999965</v>
      </c>
      <c r="B129" s="100" t="str">
        <f t="shared" si="28"/>
        <v/>
      </c>
      <c r="C129" s="107"/>
      <c r="D129" s="108"/>
      <c r="E129" s="107"/>
      <c r="F129" s="109"/>
      <c r="G129" s="105"/>
      <c r="H129" s="106"/>
    </row>
    <row r="130" spans="1:8" x14ac:dyDescent="0.25">
      <c r="A130" s="113">
        <f t="shared" si="27"/>
        <v>3.0319999999999965</v>
      </c>
      <c r="B130" s="100" t="str">
        <f t="shared" si="28"/>
        <v/>
      </c>
      <c r="C130" s="107"/>
      <c r="D130" s="108"/>
      <c r="E130" s="107"/>
      <c r="F130" s="109"/>
      <c r="G130" s="105"/>
      <c r="H130" s="106"/>
    </row>
    <row r="131" spans="1:8" x14ac:dyDescent="0.25">
      <c r="A131" s="113">
        <f t="shared" si="27"/>
        <v>3.0319999999999965</v>
      </c>
      <c r="B131" s="100" t="str">
        <f t="shared" si="28"/>
        <v/>
      </c>
      <c r="C131" s="107"/>
      <c r="D131" s="108"/>
      <c r="E131" s="107"/>
      <c r="F131" s="109"/>
      <c r="G131" s="105"/>
      <c r="H131" s="106"/>
    </row>
    <row r="132" spans="1:8" x14ac:dyDescent="0.25">
      <c r="A132" s="113">
        <f t="shared" si="27"/>
        <v>3.0319999999999965</v>
      </c>
      <c r="B132" s="100" t="str">
        <f t="shared" si="28"/>
        <v/>
      </c>
      <c r="C132" s="107"/>
      <c r="D132" s="108"/>
      <c r="E132" s="107"/>
      <c r="F132" s="109"/>
      <c r="G132" s="105"/>
      <c r="H132" s="106"/>
    </row>
    <row r="133" spans="1:8" ht="15.75" thickBot="1" x14ac:dyDescent="0.3">
      <c r="A133" s="113">
        <f t="shared" si="27"/>
        <v>3.0319999999999965</v>
      </c>
      <c r="B133" s="100" t="str">
        <f t="shared" si="28"/>
        <v/>
      </c>
      <c r="C133" s="107"/>
      <c r="D133" s="108"/>
      <c r="E133" s="107"/>
      <c r="F133" s="109"/>
      <c r="G133" s="105"/>
      <c r="H133" s="106"/>
    </row>
    <row r="134" spans="1:8" ht="15.75" thickBot="1" x14ac:dyDescent="0.3">
      <c r="A134" s="113"/>
      <c r="B134" s="173" t="s">
        <v>327</v>
      </c>
      <c r="C134" s="174"/>
      <c r="D134" s="174"/>
      <c r="E134" s="174"/>
      <c r="F134" s="174"/>
      <c r="G134" s="175"/>
      <c r="H134" s="117">
        <f>SUM(H93:H131)</f>
        <v>11565.6</v>
      </c>
    </row>
  </sheetData>
  <mergeCells count="7">
    <mergeCell ref="B33:G33"/>
    <mergeCell ref="B35:G35"/>
    <mergeCell ref="B91:G91"/>
    <mergeCell ref="B93:G93"/>
    <mergeCell ref="B134:G134"/>
    <mergeCell ref="B64:G64"/>
    <mergeCell ref="B66:G66"/>
  </mergeCells>
  <pageMargins left="0.70866141732283472" right="0.70866141732283472" top="0.74803149606299213" bottom="0.74803149606299213" header="0.31496062992125984" footer="0.31496062992125984"/>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575"/>
  <sheetViews>
    <sheetView topLeftCell="A547" workbookViewId="0">
      <selection activeCell="A2" sqref="A2:A574"/>
    </sheetView>
  </sheetViews>
  <sheetFormatPr defaultRowHeight="15" x14ac:dyDescent="0.25"/>
  <cols>
    <col min="1" max="1" width="255.7109375" customWidth="1"/>
    <col min="2" max="2" width="16.28515625" bestFit="1" customWidth="1"/>
    <col min="12" max="12" width="11.140625" bestFit="1" customWidth="1"/>
    <col min="13" max="13" width="11.28515625" bestFit="1" customWidth="1"/>
    <col min="14" max="14" width="11" bestFit="1" customWidth="1"/>
    <col min="23" max="25" width="8.85546875" customWidth="1"/>
    <col min="26" max="26" width="11.28515625" bestFit="1" customWidth="1"/>
    <col min="30" max="30" width="8.85546875" bestFit="1" customWidth="1"/>
    <col min="55" max="55" width="8.5703125" bestFit="1" customWidth="1"/>
    <col min="71" max="71" width="11.140625" bestFit="1" customWidth="1"/>
    <col min="72" max="72" width="11.28515625" bestFit="1" customWidth="1"/>
    <col min="73" max="73" width="11" bestFit="1" customWidth="1"/>
    <col min="82" max="108" width="8.85546875" bestFit="1" customWidth="1"/>
    <col min="109" max="117" width="10.28515625" bestFit="1" customWidth="1"/>
    <col min="118" max="120" width="10" bestFit="1" customWidth="1"/>
    <col min="121" max="124" width="9.28515625" bestFit="1" customWidth="1"/>
    <col min="125" max="125" width="11.28515625" bestFit="1" customWidth="1"/>
  </cols>
  <sheetData>
    <row r="1" spans="1:1" x14ac:dyDescent="0.25">
      <c r="A1" s="11" t="s">
        <v>5</v>
      </c>
    </row>
    <row r="2" spans="1:1" x14ac:dyDescent="0.25">
      <c r="A2" s="10" t="s">
        <v>23</v>
      </c>
    </row>
    <row r="3" spans="1:1" x14ac:dyDescent="0.25">
      <c r="A3" s="18" t="s">
        <v>52</v>
      </c>
    </row>
    <row r="4" spans="1:1" x14ac:dyDescent="0.25">
      <c r="A4" s="19" t="s">
        <v>580</v>
      </c>
    </row>
    <row r="5" spans="1:1" x14ac:dyDescent="0.25">
      <c r="A5" s="20" t="s">
        <v>52</v>
      </c>
    </row>
    <row r="6" spans="1:1" x14ac:dyDescent="0.25">
      <c r="A6" s="21" t="s">
        <v>52</v>
      </c>
    </row>
    <row r="7" spans="1:1" x14ac:dyDescent="0.25">
      <c r="A7" s="22" t="s">
        <v>52</v>
      </c>
    </row>
    <row r="8" spans="1:1" x14ac:dyDescent="0.25">
      <c r="A8" s="23" t="s">
        <v>52</v>
      </c>
    </row>
    <row r="9" spans="1:1" x14ac:dyDescent="0.25">
      <c r="A9" s="24" t="s">
        <v>52</v>
      </c>
    </row>
    <row r="10" spans="1:1" x14ac:dyDescent="0.25">
      <c r="A10" s="25" t="s">
        <v>52</v>
      </c>
    </row>
    <row r="11" spans="1:1" x14ac:dyDescent="0.25">
      <c r="A11" s="26" t="s">
        <v>52</v>
      </c>
    </row>
    <row r="12" spans="1:1" x14ac:dyDescent="0.25">
      <c r="A12" s="27" t="s">
        <v>581</v>
      </c>
    </row>
    <row r="13" spans="1:1" x14ac:dyDescent="0.25">
      <c r="A13" s="28" t="s">
        <v>794</v>
      </c>
    </row>
    <row r="14" spans="1:1" x14ac:dyDescent="0.25">
      <c r="A14" s="29" t="s">
        <v>177</v>
      </c>
    </row>
    <row r="15" spans="1:1" x14ac:dyDescent="0.25">
      <c r="A15" s="30" t="s">
        <v>52</v>
      </c>
    </row>
    <row r="16" spans="1:1" x14ac:dyDescent="0.25">
      <c r="A16" s="31" t="s">
        <v>52</v>
      </c>
    </row>
    <row r="17" spans="1:1" x14ac:dyDescent="0.25">
      <c r="A17" s="32" t="s">
        <v>52</v>
      </c>
    </row>
    <row r="18" spans="1:1" x14ac:dyDescent="0.25">
      <c r="A18" s="33" t="s">
        <v>52</v>
      </c>
    </row>
    <row r="19" spans="1:1" x14ac:dyDescent="0.25">
      <c r="A19" s="34" t="s">
        <v>52</v>
      </c>
    </row>
    <row r="20" spans="1:1" x14ac:dyDescent="0.25">
      <c r="A20" s="35" t="s">
        <v>52</v>
      </c>
    </row>
    <row r="21" spans="1:1" x14ac:dyDescent="0.25">
      <c r="A21" s="36" t="s">
        <v>52</v>
      </c>
    </row>
    <row r="22" spans="1:1" x14ac:dyDescent="0.25">
      <c r="A22" s="37" t="s">
        <v>52</v>
      </c>
    </row>
    <row r="23" spans="1:1" x14ac:dyDescent="0.25">
      <c r="A23" s="38" t="s">
        <v>52</v>
      </c>
    </row>
    <row r="24" spans="1:1" x14ac:dyDescent="0.25">
      <c r="A24" s="39" t="s">
        <v>52</v>
      </c>
    </row>
    <row r="25" spans="1:1" x14ac:dyDescent="0.25">
      <c r="A25" s="40" t="s">
        <v>52</v>
      </c>
    </row>
    <row r="26" spans="1:1" x14ac:dyDescent="0.25">
      <c r="A26" s="41" t="s">
        <v>52</v>
      </c>
    </row>
    <row r="27" spans="1:1" x14ac:dyDescent="0.25">
      <c r="A27" s="42" t="s">
        <v>52</v>
      </c>
    </row>
    <row r="28" spans="1:1" x14ac:dyDescent="0.25">
      <c r="A28" s="43" t="s">
        <v>52</v>
      </c>
    </row>
    <row r="29" spans="1:1" x14ac:dyDescent="0.25">
      <c r="A29" s="44" t="s">
        <v>52</v>
      </c>
    </row>
    <row r="30" spans="1:1" x14ac:dyDescent="0.25">
      <c r="A30" s="45" t="s">
        <v>52</v>
      </c>
    </row>
    <row r="31" spans="1:1" x14ac:dyDescent="0.25">
      <c r="A31" s="46" t="s">
        <v>52</v>
      </c>
    </row>
    <row r="32" spans="1:1" x14ac:dyDescent="0.25">
      <c r="A32" s="47" t="s">
        <v>52</v>
      </c>
    </row>
    <row r="33" spans="1:1" x14ac:dyDescent="0.25">
      <c r="A33" s="48" t="s">
        <v>52</v>
      </c>
    </row>
    <row r="34" spans="1:1" x14ac:dyDescent="0.25">
      <c r="A34" s="49" t="s">
        <v>52</v>
      </c>
    </row>
    <row r="35" spans="1:1" x14ac:dyDescent="0.25">
      <c r="A35" s="50" t="s">
        <v>52</v>
      </c>
    </row>
    <row r="36" spans="1:1" x14ac:dyDescent="0.25">
      <c r="A36" s="51" t="s">
        <v>52</v>
      </c>
    </row>
    <row r="37" spans="1:1" x14ac:dyDescent="0.25">
      <c r="A37" s="52" t="s">
        <v>52</v>
      </c>
    </row>
    <row r="38" spans="1:1" x14ac:dyDescent="0.25">
      <c r="A38" s="53" t="s">
        <v>52</v>
      </c>
    </row>
    <row r="39" spans="1:1" x14ac:dyDescent="0.25">
      <c r="A39" s="54" t="s">
        <v>52</v>
      </c>
    </row>
    <row r="40" spans="1:1" x14ac:dyDescent="0.25">
      <c r="A40" s="55" t="s">
        <v>52</v>
      </c>
    </row>
    <row r="41" spans="1:1" x14ac:dyDescent="0.25">
      <c r="A41" s="56" t="s">
        <v>52</v>
      </c>
    </row>
    <row r="42" spans="1:1" x14ac:dyDescent="0.25">
      <c r="A42" s="57" t="s">
        <v>52</v>
      </c>
    </row>
    <row r="43" spans="1:1" x14ac:dyDescent="0.25">
      <c r="A43" s="58" t="s">
        <v>52</v>
      </c>
    </row>
    <row r="44" spans="1:1" x14ac:dyDescent="0.25">
      <c r="A44" s="59" t="s">
        <v>52</v>
      </c>
    </row>
    <row r="45" spans="1:1" x14ac:dyDescent="0.25">
      <c r="A45" s="60" t="s">
        <v>52</v>
      </c>
    </row>
    <row r="46" spans="1:1" x14ac:dyDescent="0.25">
      <c r="A46" s="61" t="s">
        <v>52</v>
      </c>
    </row>
    <row r="47" spans="1:1" x14ac:dyDescent="0.25">
      <c r="A47" s="62" t="s">
        <v>52</v>
      </c>
    </row>
    <row r="48" spans="1:1" x14ac:dyDescent="0.25">
      <c r="A48" s="63" t="s">
        <v>52</v>
      </c>
    </row>
    <row r="49" spans="1:1" x14ac:dyDescent="0.25">
      <c r="A49" s="64" t="s">
        <v>52</v>
      </c>
    </row>
    <row r="50" spans="1:1" x14ac:dyDescent="0.25">
      <c r="A50" s="65" t="s">
        <v>52</v>
      </c>
    </row>
    <row r="51" spans="1:1" x14ac:dyDescent="0.25">
      <c r="A51" s="66" t="s">
        <v>52</v>
      </c>
    </row>
    <row r="52" spans="1:1" x14ac:dyDescent="0.25">
      <c r="A52" s="67" t="s">
        <v>52</v>
      </c>
    </row>
    <row r="53" spans="1:1" x14ac:dyDescent="0.25">
      <c r="A53" s="68" t="s">
        <v>52</v>
      </c>
    </row>
    <row r="54" spans="1:1" x14ac:dyDescent="0.25">
      <c r="A54" s="69" t="s">
        <v>52</v>
      </c>
    </row>
    <row r="55" spans="1:1" x14ac:dyDescent="0.25">
      <c r="A55" s="70" t="s">
        <v>52</v>
      </c>
    </row>
    <row r="56" spans="1:1" x14ac:dyDescent="0.25">
      <c r="A56" s="71" t="s">
        <v>52</v>
      </c>
    </row>
    <row r="57" spans="1:1" x14ac:dyDescent="0.25">
      <c r="A57" s="72" t="s">
        <v>52</v>
      </c>
    </row>
    <row r="58" spans="1:1" x14ac:dyDescent="0.25">
      <c r="A58" s="73" t="s">
        <v>52</v>
      </c>
    </row>
    <row r="59" spans="1:1" x14ac:dyDescent="0.25">
      <c r="A59" s="74" t="s">
        <v>52</v>
      </c>
    </row>
    <row r="60" spans="1:1" x14ac:dyDescent="0.25">
      <c r="A60" s="75" t="s">
        <v>52</v>
      </c>
    </row>
    <row r="61" spans="1:1" x14ac:dyDescent="0.25">
      <c r="A61" s="76" t="s">
        <v>52</v>
      </c>
    </row>
    <row r="62" spans="1:1" x14ac:dyDescent="0.25">
      <c r="A62" s="77" t="s">
        <v>52</v>
      </c>
    </row>
    <row r="63" spans="1:1" x14ac:dyDescent="0.25">
      <c r="A63" s="78" t="s">
        <v>52</v>
      </c>
    </row>
    <row r="64" spans="1:1" x14ac:dyDescent="0.25">
      <c r="A64" s="79" t="s">
        <v>52</v>
      </c>
    </row>
    <row r="65" spans="1:1" x14ac:dyDescent="0.25">
      <c r="A65" s="80" t="s">
        <v>52</v>
      </c>
    </row>
    <row r="66" spans="1:1" x14ac:dyDescent="0.25">
      <c r="A66" s="81" t="s">
        <v>52</v>
      </c>
    </row>
    <row r="67" spans="1:1" x14ac:dyDescent="0.25">
      <c r="A67" s="82" t="s">
        <v>52</v>
      </c>
    </row>
    <row r="68" spans="1:1" x14ac:dyDescent="0.25">
      <c r="A68" s="83" t="s">
        <v>52</v>
      </c>
    </row>
    <row r="69" spans="1:1" x14ac:dyDescent="0.25">
      <c r="A69" s="84" t="s">
        <v>52</v>
      </c>
    </row>
    <row r="70" spans="1:1" x14ac:dyDescent="0.25">
      <c r="A70" s="85" t="s">
        <v>52</v>
      </c>
    </row>
    <row r="71" spans="1:1" x14ac:dyDescent="0.25">
      <c r="A71" s="86" t="s">
        <v>52</v>
      </c>
    </row>
    <row r="72" spans="1:1" x14ac:dyDescent="0.25">
      <c r="A72" s="87" t="s">
        <v>52</v>
      </c>
    </row>
    <row r="73" spans="1:1" x14ac:dyDescent="0.25">
      <c r="A73" s="88" t="s">
        <v>52</v>
      </c>
    </row>
    <row r="74" spans="1:1" x14ac:dyDescent="0.25">
      <c r="A74" s="89" t="s">
        <v>52</v>
      </c>
    </row>
    <row r="75" spans="1:1" x14ac:dyDescent="0.25">
      <c r="A75" s="19" t="s">
        <v>795</v>
      </c>
    </row>
    <row r="76" spans="1:1" x14ac:dyDescent="0.25">
      <c r="A76" s="20" t="s">
        <v>52</v>
      </c>
    </row>
    <row r="77" spans="1:1" x14ac:dyDescent="0.25">
      <c r="A77" s="21" t="s">
        <v>52</v>
      </c>
    </row>
    <row r="78" spans="1:1" x14ac:dyDescent="0.25">
      <c r="A78" s="22" t="s">
        <v>52</v>
      </c>
    </row>
    <row r="79" spans="1:1" x14ac:dyDescent="0.25">
      <c r="A79" s="23" t="s">
        <v>52</v>
      </c>
    </row>
    <row r="80" spans="1:1" x14ac:dyDescent="0.25">
      <c r="A80" s="24" t="s">
        <v>52</v>
      </c>
    </row>
    <row r="81" spans="1:1" x14ac:dyDescent="0.25">
      <c r="A81" s="25" t="s">
        <v>52</v>
      </c>
    </row>
    <row r="82" spans="1:1" x14ac:dyDescent="0.25">
      <c r="A82" s="26" t="s">
        <v>52</v>
      </c>
    </row>
    <row r="83" spans="1:1" x14ac:dyDescent="0.25">
      <c r="A83" s="27" t="s">
        <v>52</v>
      </c>
    </row>
    <row r="84" spans="1:1" x14ac:dyDescent="0.25">
      <c r="A84" s="28" t="s">
        <v>52</v>
      </c>
    </row>
    <row r="85" spans="1:1" x14ac:dyDescent="0.25">
      <c r="A85" s="29" t="s">
        <v>52</v>
      </c>
    </row>
    <row r="86" spans="1:1" x14ac:dyDescent="0.25">
      <c r="A86" s="30" t="s">
        <v>52</v>
      </c>
    </row>
    <row r="87" spans="1:1" x14ac:dyDescent="0.25">
      <c r="A87" s="31" t="s">
        <v>52</v>
      </c>
    </row>
    <row r="88" spans="1:1" x14ac:dyDescent="0.25">
      <c r="A88" s="32" t="s">
        <v>52</v>
      </c>
    </row>
    <row r="89" spans="1:1" x14ac:dyDescent="0.25">
      <c r="A89" s="33" t="s">
        <v>52</v>
      </c>
    </row>
    <row r="90" spans="1:1" x14ac:dyDescent="0.25">
      <c r="A90" s="34" t="s">
        <v>52</v>
      </c>
    </row>
    <row r="91" spans="1:1" x14ac:dyDescent="0.25">
      <c r="A91" s="35" t="s">
        <v>52</v>
      </c>
    </row>
    <row r="92" spans="1:1" x14ac:dyDescent="0.25">
      <c r="A92" s="36" t="s">
        <v>52</v>
      </c>
    </row>
    <row r="93" spans="1:1" x14ac:dyDescent="0.25">
      <c r="A93" s="37" t="s">
        <v>52</v>
      </c>
    </row>
    <row r="94" spans="1:1" x14ac:dyDescent="0.25">
      <c r="A94" s="38" t="s">
        <v>52</v>
      </c>
    </row>
    <row r="95" spans="1:1" x14ac:dyDescent="0.25">
      <c r="A95" s="39" t="s">
        <v>52</v>
      </c>
    </row>
    <row r="96" spans="1:1" x14ac:dyDescent="0.25">
      <c r="A96" s="40" t="s">
        <v>52</v>
      </c>
    </row>
    <row r="97" spans="1:1" x14ac:dyDescent="0.25">
      <c r="A97" s="41" t="s">
        <v>52</v>
      </c>
    </row>
    <row r="98" spans="1:1" x14ac:dyDescent="0.25">
      <c r="A98" s="42" t="s">
        <v>52</v>
      </c>
    </row>
    <row r="99" spans="1:1" x14ac:dyDescent="0.25">
      <c r="A99" s="43" t="s">
        <v>52</v>
      </c>
    </row>
    <row r="100" spans="1:1" x14ac:dyDescent="0.25">
      <c r="A100" s="44" t="s">
        <v>52</v>
      </c>
    </row>
    <row r="101" spans="1:1" x14ac:dyDescent="0.25">
      <c r="A101" s="45" t="s">
        <v>52</v>
      </c>
    </row>
    <row r="102" spans="1:1" x14ac:dyDescent="0.25">
      <c r="A102" s="46" t="s">
        <v>52</v>
      </c>
    </row>
    <row r="103" spans="1:1" x14ac:dyDescent="0.25">
      <c r="A103" s="47" t="s">
        <v>52</v>
      </c>
    </row>
    <row r="104" spans="1:1" x14ac:dyDescent="0.25">
      <c r="A104" s="48" t="s">
        <v>52</v>
      </c>
    </row>
    <row r="105" spans="1:1" x14ac:dyDescent="0.25">
      <c r="A105" s="49" t="s">
        <v>52</v>
      </c>
    </row>
    <row r="106" spans="1:1" x14ac:dyDescent="0.25">
      <c r="A106" s="50" t="s">
        <v>52</v>
      </c>
    </row>
    <row r="107" spans="1:1" x14ac:dyDescent="0.25">
      <c r="A107" s="51" t="s">
        <v>52</v>
      </c>
    </row>
    <row r="108" spans="1:1" x14ac:dyDescent="0.25">
      <c r="A108" s="52" t="s">
        <v>52</v>
      </c>
    </row>
    <row r="109" spans="1:1" x14ac:dyDescent="0.25">
      <c r="A109" s="53" t="s">
        <v>52</v>
      </c>
    </row>
    <row r="110" spans="1:1" x14ac:dyDescent="0.25">
      <c r="A110" s="54" t="s">
        <v>52</v>
      </c>
    </row>
    <row r="111" spans="1:1" x14ac:dyDescent="0.25">
      <c r="A111" s="55" t="s">
        <v>52</v>
      </c>
    </row>
    <row r="112" spans="1:1" x14ac:dyDescent="0.25">
      <c r="A112" s="56" t="s">
        <v>52</v>
      </c>
    </row>
    <row r="113" spans="1:1" x14ac:dyDescent="0.25">
      <c r="A113" s="57" t="s">
        <v>52</v>
      </c>
    </row>
    <row r="114" spans="1:1" x14ac:dyDescent="0.25">
      <c r="A114" s="58" t="s">
        <v>52</v>
      </c>
    </row>
    <row r="115" spans="1:1" x14ac:dyDescent="0.25">
      <c r="A115" s="59" t="s">
        <v>52</v>
      </c>
    </row>
    <row r="116" spans="1:1" x14ac:dyDescent="0.25">
      <c r="A116" s="60" t="s">
        <v>52</v>
      </c>
    </row>
    <row r="117" spans="1:1" x14ac:dyDescent="0.25">
      <c r="A117" s="61" t="s">
        <v>52</v>
      </c>
    </row>
    <row r="118" spans="1:1" x14ac:dyDescent="0.25">
      <c r="A118" s="62" t="s">
        <v>52</v>
      </c>
    </row>
    <row r="119" spans="1:1" x14ac:dyDescent="0.25">
      <c r="A119" s="63" t="s">
        <v>52</v>
      </c>
    </row>
    <row r="120" spans="1:1" x14ac:dyDescent="0.25">
      <c r="A120" s="64" t="s">
        <v>52</v>
      </c>
    </row>
    <row r="121" spans="1:1" x14ac:dyDescent="0.25">
      <c r="A121" s="65" t="s">
        <v>52</v>
      </c>
    </row>
    <row r="122" spans="1:1" x14ac:dyDescent="0.25">
      <c r="A122" s="66" t="s">
        <v>52</v>
      </c>
    </row>
    <row r="123" spans="1:1" x14ac:dyDescent="0.25">
      <c r="A123" s="67" t="s">
        <v>52</v>
      </c>
    </row>
    <row r="124" spans="1:1" x14ac:dyDescent="0.25">
      <c r="A124" s="68" t="s">
        <v>52</v>
      </c>
    </row>
    <row r="125" spans="1:1" x14ac:dyDescent="0.25">
      <c r="A125" s="69" t="s">
        <v>52</v>
      </c>
    </row>
    <row r="126" spans="1:1" x14ac:dyDescent="0.25">
      <c r="A126" s="70" t="s">
        <v>52</v>
      </c>
    </row>
    <row r="127" spans="1:1" x14ac:dyDescent="0.25">
      <c r="A127" s="71" t="s">
        <v>52</v>
      </c>
    </row>
    <row r="128" spans="1:1" x14ac:dyDescent="0.25">
      <c r="A128" s="72" t="s">
        <v>52</v>
      </c>
    </row>
    <row r="129" spans="1:1" x14ac:dyDescent="0.25">
      <c r="A129" s="73" t="s">
        <v>52</v>
      </c>
    </row>
    <row r="130" spans="1:1" x14ac:dyDescent="0.25">
      <c r="A130" s="74" t="s">
        <v>52</v>
      </c>
    </row>
    <row r="131" spans="1:1" x14ac:dyDescent="0.25">
      <c r="A131" s="75" t="s">
        <v>52</v>
      </c>
    </row>
    <row r="132" spans="1:1" x14ac:dyDescent="0.25">
      <c r="A132" s="76" t="s">
        <v>796</v>
      </c>
    </row>
    <row r="133" spans="1:1" x14ac:dyDescent="0.25">
      <c r="A133" s="77" t="s">
        <v>52</v>
      </c>
    </row>
    <row r="134" spans="1:1" x14ac:dyDescent="0.25">
      <c r="A134" s="78" t="s">
        <v>52</v>
      </c>
    </row>
    <row r="135" spans="1:1" x14ac:dyDescent="0.25">
      <c r="A135" s="79" t="s">
        <v>52</v>
      </c>
    </row>
    <row r="136" spans="1:1" x14ac:dyDescent="0.25">
      <c r="A136" s="80" t="s">
        <v>52</v>
      </c>
    </row>
    <row r="137" spans="1:1" x14ac:dyDescent="0.25">
      <c r="A137" s="81" t="s">
        <v>52</v>
      </c>
    </row>
    <row r="138" spans="1:1" x14ac:dyDescent="0.25">
      <c r="A138" s="82" t="s">
        <v>52</v>
      </c>
    </row>
    <row r="139" spans="1:1" x14ac:dyDescent="0.25">
      <c r="A139" s="83" t="s">
        <v>52</v>
      </c>
    </row>
    <row r="140" spans="1:1" x14ac:dyDescent="0.25">
      <c r="A140" s="84" t="s">
        <v>52</v>
      </c>
    </row>
    <row r="141" spans="1:1" x14ac:dyDescent="0.25">
      <c r="A141" s="85" t="s">
        <v>52</v>
      </c>
    </row>
    <row r="142" spans="1:1" x14ac:dyDescent="0.25">
      <c r="A142" s="86" t="s">
        <v>52</v>
      </c>
    </row>
    <row r="143" spans="1:1" x14ac:dyDescent="0.25">
      <c r="A143" s="87" t="s">
        <v>52</v>
      </c>
    </row>
    <row r="144" spans="1:1" x14ac:dyDescent="0.25">
      <c r="A144" s="88" t="s">
        <v>52</v>
      </c>
    </row>
    <row r="145" spans="1:1" x14ac:dyDescent="0.25">
      <c r="A145" s="89" t="s">
        <v>52</v>
      </c>
    </row>
    <row r="146" spans="1:1" x14ac:dyDescent="0.25">
      <c r="A146" s="19" t="s">
        <v>797</v>
      </c>
    </row>
    <row r="147" spans="1:1" x14ac:dyDescent="0.25">
      <c r="A147" s="20" t="s">
        <v>52</v>
      </c>
    </row>
    <row r="148" spans="1:1" x14ac:dyDescent="0.25">
      <c r="A148" s="21" t="s">
        <v>52</v>
      </c>
    </row>
    <row r="149" spans="1:1" x14ac:dyDescent="0.25">
      <c r="A149" s="22" t="s">
        <v>52</v>
      </c>
    </row>
    <row r="150" spans="1:1" x14ac:dyDescent="0.25">
      <c r="A150" s="23" t="s">
        <v>52</v>
      </c>
    </row>
    <row r="151" spans="1:1" x14ac:dyDescent="0.25">
      <c r="A151" s="24" t="s">
        <v>52</v>
      </c>
    </row>
    <row r="152" spans="1:1" x14ac:dyDescent="0.25">
      <c r="A152" s="25" t="s">
        <v>52</v>
      </c>
    </row>
    <row r="153" spans="1:1" x14ac:dyDescent="0.25">
      <c r="A153" s="26" t="s">
        <v>52</v>
      </c>
    </row>
    <row r="154" spans="1:1" x14ac:dyDescent="0.25">
      <c r="A154" s="27" t="s">
        <v>52</v>
      </c>
    </row>
    <row r="155" spans="1:1" x14ac:dyDescent="0.25">
      <c r="A155" s="28" t="s">
        <v>52</v>
      </c>
    </row>
    <row r="156" spans="1:1" x14ac:dyDescent="0.25">
      <c r="A156" s="29" t="s">
        <v>52</v>
      </c>
    </row>
    <row r="157" spans="1:1" x14ac:dyDescent="0.25">
      <c r="A157" s="30" t="s">
        <v>52</v>
      </c>
    </row>
    <row r="158" spans="1:1" x14ac:dyDescent="0.25">
      <c r="A158" s="31" t="s">
        <v>52</v>
      </c>
    </row>
    <row r="159" spans="1:1" x14ac:dyDescent="0.25">
      <c r="A159" s="32" t="s">
        <v>52</v>
      </c>
    </row>
    <row r="160" spans="1:1" x14ac:dyDescent="0.25">
      <c r="A160" s="33" t="s">
        <v>52</v>
      </c>
    </row>
    <row r="161" spans="1:1" x14ac:dyDescent="0.25">
      <c r="A161" s="34" t="s">
        <v>52</v>
      </c>
    </row>
    <row r="162" spans="1:1" x14ac:dyDescent="0.25">
      <c r="A162" s="35" t="s">
        <v>52</v>
      </c>
    </row>
    <row r="163" spans="1:1" x14ac:dyDescent="0.25">
      <c r="A163" s="36" t="s">
        <v>52</v>
      </c>
    </row>
    <row r="164" spans="1:1" x14ac:dyDescent="0.25">
      <c r="A164" s="37" t="s">
        <v>52</v>
      </c>
    </row>
    <row r="165" spans="1:1" x14ac:dyDescent="0.25">
      <c r="A165" s="38" t="s">
        <v>52</v>
      </c>
    </row>
    <row r="166" spans="1:1" x14ac:dyDescent="0.25">
      <c r="A166" s="39" t="s">
        <v>52</v>
      </c>
    </row>
    <row r="167" spans="1:1" x14ac:dyDescent="0.25">
      <c r="A167" s="40" t="s">
        <v>52</v>
      </c>
    </row>
    <row r="168" spans="1:1" x14ac:dyDescent="0.25">
      <c r="A168" s="41" t="s">
        <v>52</v>
      </c>
    </row>
    <row r="169" spans="1:1" x14ac:dyDescent="0.25">
      <c r="A169" s="42" t="s">
        <v>52</v>
      </c>
    </row>
    <row r="170" spans="1:1" x14ac:dyDescent="0.25">
      <c r="A170" s="43" t="s">
        <v>52</v>
      </c>
    </row>
    <row r="171" spans="1:1" x14ac:dyDescent="0.25">
      <c r="A171" s="44" t="s">
        <v>52</v>
      </c>
    </row>
    <row r="172" spans="1:1" x14ac:dyDescent="0.25">
      <c r="A172" s="45" t="s">
        <v>52</v>
      </c>
    </row>
    <row r="173" spans="1:1" x14ac:dyDescent="0.25">
      <c r="A173" s="46" t="s">
        <v>52</v>
      </c>
    </row>
    <row r="174" spans="1:1" x14ac:dyDescent="0.25">
      <c r="A174" s="47" t="s">
        <v>52</v>
      </c>
    </row>
    <row r="175" spans="1:1" x14ac:dyDescent="0.25">
      <c r="A175" s="48" t="s">
        <v>52</v>
      </c>
    </row>
    <row r="176" spans="1:1" x14ac:dyDescent="0.25">
      <c r="A176" s="49" t="s">
        <v>52</v>
      </c>
    </row>
    <row r="177" spans="1:1" x14ac:dyDescent="0.25">
      <c r="A177" s="50" t="s">
        <v>52</v>
      </c>
    </row>
    <row r="178" spans="1:1" x14ac:dyDescent="0.25">
      <c r="A178" s="51" t="s">
        <v>52</v>
      </c>
    </row>
    <row r="179" spans="1:1" x14ac:dyDescent="0.25">
      <c r="A179" s="52" t="s">
        <v>52</v>
      </c>
    </row>
    <row r="180" spans="1:1" x14ac:dyDescent="0.25">
      <c r="A180" s="53" t="s">
        <v>52</v>
      </c>
    </row>
    <row r="181" spans="1:1" x14ac:dyDescent="0.25">
      <c r="A181" s="54" t="s">
        <v>52</v>
      </c>
    </row>
    <row r="182" spans="1:1" x14ac:dyDescent="0.25">
      <c r="A182" s="55" t="s">
        <v>52</v>
      </c>
    </row>
    <row r="183" spans="1:1" x14ac:dyDescent="0.25">
      <c r="A183" s="56" t="s">
        <v>52</v>
      </c>
    </row>
    <row r="184" spans="1:1" x14ac:dyDescent="0.25">
      <c r="A184" s="57" t="s">
        <v>52</v>
      </c>
    </row>
    <row r="185" spans="1:1" x14ac:dyDescent="0.25">
      <c r="A185" s="58" t="s">
        <v>52</v>
      </c>
    </row>
    <row r="186" spans="1:1" x14ac:dyDescent="0.25">
      <c r="A186" s="59" t="s">
        <v>52</v>
      </c>
    </row>
    <row r="187" spans="1:1" x14ac:dyDescent="0.25">
      <c r="A187" s="60" t="s">
        <v>52</v>
      </c>
    </row>
    <row r="188" spans="1:1" x14ac:dyDescent="0.25">
      <c r="A188" s="61" t="s">
        <v>52</v>
      </c>
    </row>
    <row r="189" spans="1:1" x14ac:dyDescent="0.25">
      <c r="A189" s="62" t="s">
        <v>52</v>
      </c>
    </row>
    <row r="190" spans="1:1" x14ac:dyDescent="0.25">
      <c r="A190" s="63" t="s">
        <v>52</v>
      </c>
    </row>
    <row r="191" spans="1:1" x14ac:dyDescent="0.25">
      <c r="A191" s="64" t="s">
        <v>52</v>
      </c>
    </row>
    <row r="192" spans="1:1" x14ac:dyDescent="0.25">
      <c r="A192" s="65" t="s">
        <v>52</v>
      </c>
    </row>
    <row r="193" spans="1:1" x14ac:dyDescent="0.25">
      <c r="A193" s="66" t="s">
        <v>52</v>
      </c>
    </row>
    <row r="194" spans="1:1" x14ac:dyDescent="0.25">
      <c r="A194" s="67" t="s">
        <v>52</v>
      </c>
    </row>
    <row r="195" spans="1:1" x14ac:dyDescent="0.25">
      <c r="A195" s="68" t="s">
        <v>52</v>
      </c>
    </row>
    <row r="196" spans="1:1" x14ac:dyDescent="0.25">
      <c r="A196" s="69" t="s">
        <v>52</v>
      </c>
    </row>
    <row r="197" spans="1:1" x14ac:dyDescent="0.25">
      <c r="A197" s="70" t="s">
        <v>52</v>
      </c>
    </row>
    <row r="198" spans="1:1" x14ac:dyDescent="0.25">
      <c r="A198" s="71" t="s">
        <v>52</v>
      </c>
    </row>
    <row r="199" spans="1:1" x14ac:dyDescent="0.25">
      <c r="A199" s="72" t="s">
        <v>52</v>
      </c>
    </row>
    <row r="200" spans="1:1" x14ac:dyDescent="0.25">
      <c r="A200" s="73" t="s">
        <v>52</v>
      </c>
    </row>
    <row r="201" spans="1:1" x14ac:dyDescent="0.25">
      <c r="A201" s="74" t="s">
        <v>52</v>
      </c>
    </row>
    <row r="202" spans="1:1" x14ac:dyDescent="0.25">
      <c r="A202" s="75" t="s">
        <v>52</v>
      </c>
    </row>
    <row r="203" spans="1:1" x14ac:dyDescent="0.25">
      <c r="A203" s="76" t="s">
        <v>798</v>
      </c>
    </row>
    <row r="204" spans="1:1" x14ac:dyDescent="0.25">
      <c r="A204" s="77" t="s">
        <v>52</v>
      </c>
    </row>
    <row r="205" spans="1:1" x14ac:dyDescent="0.25">
      <c r="A205" s="78" t="s">
        <v>52</v>
      </c>
    </row>
    <row r="206" spans="1:1" x14ac:dyDescent="0.25">
      <c r="A206" s="79" t="s">
        <v>52</v>
      </c>
    </row>
    <row r="207" spans="1:1" x14ac:dyDescent="0.25">
      <c r="A207" s="80" t="s">
        <v>52</v>
      </c>
    </row>
    <row r="208" spans="1:1" x14ac:dyDescent="0.25">
      <c r="A208" s="81" t="s">
        <v>52</v>
      </c>
    </row>
    <row r="209" spans="1:1" x14ac:dyDescent="0.25">
      <c r="A209" s="82" t="s">
        <v>52</v>
      </c>
    </row>
    <row r="210" spans="1:1" x14ac:dyDescent="0.25">
      <c r="A210" s="83" t="s">
        <v>52</v>
      </c>
    </row>
    <row r="211" spans="1:1" x14ac:dyDescent="0.25">
      <c r="A211" s="84" t="s">
        <v>52</v>
      </c>
    </row>
    <row r="212" spans="1:1" x14ac:dyDescent="0.25">
      <c r="A212" s="85" t="s">
        <v>52</v>
      </c>
    </row>
    <row r="213" spans="1:1" x14ac:dyDescent="0.25">
      <c r="A213" s="86" t="s">
        <v>52</v>
      </c>
    </row>
    <row r="214" spans="1:1" x14ac:dyDescent="0.25">
      <c r="A214" s="87" t="s">
        <v>52</v>
      </c>
    </row>
    <row r="215" spans="1:1" x14ac:dyDescent="0.25">
      <c r="A215" s="88" t="s">
        <v>52</v>
      </c>
    </row>
    <row r="216" spans="1:1" x14ac:dyDescent="0.25">
      <c r="A216" s="89" t="s">
        <v>52</v>
      </c>
    </row>
    <row r="217" spans="1:1" x14ac:dyDescent="0.25">
      <c r="A217" s="19" t="s">
        <v>799</v>
      </c>
    </row>
    <row r="218" spans="1:1" x14ac:dyDescent="0.25">
      <c r="A218" s="20" t="s">
        <v>52</v>
      </c>
    </row>
    <row r="219" spans="1:1" x14ac:dyDescent="0.25">
      <c r="A219" s="21" t="s">
        <v>52</v>
      </c>
    </row>
    <row r="220" spans="1:1" x14ac:dyDescent="0.25">
      <c r="A220" s="22" t="s">
        <v>52</v>
      </c>
    </row>
    <row r="221" spans="1:1" x14ac:dyDescent="0.25">
      <c r="A221" s="23" t="s">
        <v>52</v>
      </c>
    </row>
    <row r="222" spans="1:1" x14ac:dyDescent="0.25">
      <c r="A222" s="24" t="s">
        <v>52</v>
      </c>
    </row>
    <row r="223" spans="1:1" x14ac:dyDescent="0.25">
      <c r="A223" s="25" t="s">
        <v>52</v>
      </c>
    </row>
    <row r="224" spans="1:1" x14ac:dyDescent="0.25">
      <c r="A224" s="26" t="s">
        <v>52</v>
      </c>
    </row>
    <row r="225" spans="1:1" x14ac:dyDescent="0.25">
      <c r="A225" s="27" t="s">
        <v>52</v>
      </c>
    </row>
    <row r="226" spans="1:1" x14ac:dyDescent="0.25">
      <c r="A226" s="28" t="s">
        <v>52</v>
      </c>
    </row>
    <row r="227" spans="1:1" x14ac:dyDescent="0.25">
      <c r="A227" s="29" t="s">
        <v>52</v>
      </c>
    </row>
    <row r="228" spans="1:1" x14ac:dyDescent="0.25">
      <c r="A228" s="30" t="s">
        <v>52</v>
      </c>
    </row>
    <row r="229" spans="1:1" x14ac:dyDescent="0.25">
      <c r="A229" s="31" t="s">
        <v>52</v>
      </c>
    </row>
    <row r="230" spans="1:1" x14ac:dyDescent="0.25">
      <c r="A230" s="32" t="s">
        <v>52</v>
      </c>
    </row>
    <row r="231" spans="1:1" x14ac:dyDescent="0.25">
      <c r="A231" s="33" t="s">
        <v>52</v>
      </c>
    </row>
    <row r="232" spans="1:1" x14ac:dyDescent="0.25">
      <c r="A232" s="34" t="s">
        <v>52</v>
      </c>
    </row>
    <row r="233" spans="1:1" x14ac:dyDescent="0.25">
      <c r="A233" s="35" t="s">
        <v>52</v>
      </c>
    </row>
    <row r="234" spans="1:1" x14ac:dyDescent="0.25">
      <c r="A234" s="36" t="s">
        <v>52</v>
      </c>
    </row>
    <row r="235" spans="1:1" x14ac:dyDescent="0.25">
      <c r="A235" s="37" t="s">
        <v>52</v>
      </c>
    </row>
    <row r="236" spans="1:1" x14ac:dyDescent="0.25">
      <c r="A236" s="38" t="s">
        <v>52</v>
      </c>
    </row>
    <row r="237" spans="1:1" x14ac:dyDescent="0.25">
      <c r="A237" s="39" t="s">
        <v>52</v>
      </c>
    </row>
    <row r="238" spans="1:1" x14ac:dyDescent="0.25">
      <c r="A238" s="40" t="s">
        <v>52</v>
      </c>
    </row>
    <row r="239" spans="1:1" x14ac:dyDescent="0.25">
      <c r="A239" s="41" t="s">
        <v>52</v>
      </c>
    </row>
    <row r="240" spans="1:1" x14ac:dyDescent="0.25">
      <c r="A240" s="42" t="s">
        <v>52</v>
      </c>
    </row>
    <row r="241" spans="1:1" x14ac:dyDescent="0.25">
      <c r="A241" s="43" t="s">
        <v>52</v>
      </c>
    </row>
    <row r="242" spans="1:1" x14ac:dyDescent="0.25">
      <c r="A242" s="44" t="s">
        <v>52</v>
      </c>
    </row>
    <row r="243" spans="1:1" x14ac:dyDescent="0.25">
      <c r="A243" s="45" t="s">
        <v>52</v>
      </c>
    </row>
    <row r="244" spans="1:1" x14ac:dyDescent="0.25">
      <c r="A244" s="46" t="s">
        <v>52</v>
      </c>
    </row>
    <row r="245" spans="1:1" x14ac:dyDescent="0.25">
      <c r="A245" s="47" t="s">
        <v>52</v>
      </c>
    </row>
    <row r="246" spans="1:1" x14ac:dyDescent="0.25">
      <c r="A246" s="48" t="s">
        <v>52</v>
      </c>
    </row>
    <row r="247" spans="1:1" x14ac:dyDescent="0.25">
      <c r="A247" s="49" t="s">
        <v>52</v>
      </c>
    </row>
    <row r="248" spans="1:1" x14ac:dyDescent="0.25">
      <c r="A248" s="50" t="s">
        <v>52</v>
      </c>
    </row>
    <row r="249" spans="1:1" x14ac:dyDescent="0.25">
      <c r="A249" s="51" t="s">
        <v>52</v>
      </c>
    </row>
    <row r="250" spans="1:1" x14ac:dyDescent="0.25">
      <c r="A250" s="52" t="s">
        <v>52</v>
      </c>
    </row>
    <row r="251" spans="1:1" x14ac:dyDescent="0.25">
      <c r="A251" s="53" t="s">
        <v>52</v>
      </c>
    </row>
    <row r="252" spans="1:1" x14ac:dyDescent="0.25">
      <c r="A252" s="54" t="s">
        <v>52</v>
      </c>
    </row>
    <row r="253" spans="1:1" x14ac:dyDescent="0.25">
      <c r="A253" s="55" t="s">
        <v>52</v>
      </c>
    </row>
    <row r="254" spans="1:1" x14ac:dyDescent="0.25">
      <c r="A254" s="56" t="s">
        <v>52</v>
      </c>
    </row>
    <row r="255" spans="1:1" x14ac:dyDescent="0.25">
      <c r="A255" s="57" t="s">
        <v>52</v>
      </c>
    </row>
    <row r="256" spans="1:1" x14ac:dyDescent="0.25">
      <c r="A256" s="58" t="s">
        <v>52</v>
      </c>
    </row>
    <row r="257" spans="1:1" x14ac:dyDescent="0.25">
      <c r="A257" s="59" t="s">
        <v>52</v>
      </c>
    </row>
    <row r="258" spans="1:1" x14ac:dyDescent="0.25">
      <c r="A258" s="60" t="s">
        <v>52</v>
      </c>
    </row>
    <row r="259" spans="1:1" x14ac:dyDescent="0.25">
      <c r="A259" s="61" t="s">
        <v>52</v>
      </c>
    </row>
    <row r="260" spans="1:1" x14ac:dyDescent="0.25">
      <c r="A260" s="62" t="s">
        <v>52</v>
      </c>
    </row>
    <row r="261" spans="1:1" x14ac:dyDescent="0.25">
      <c r="A261" s="63" t="s">
        <v>52</v>
      </c>
    </row>
    <row r="262" spans="1:1" x14ac:dyDescent="0.25">
      <c r="A262" s="64" t="s">
        <v>52</v>
      </c>
    </row>
    <row r="263" spans="1:1" x14ac:dyDescent="0.25">
      <c r="A263" s="65" t="s">
        <v>52</v>
      </c>
    </row>
    <row r="264" spans="1:1" x14ac:dyDescent="0.25">
      <c r="A264" s="66" t="s">
        <v>52</v>
      </c>
    </row>
    <row r="265" spans="1:1" x14ac:dyDescent="0.25">
      <c r="A265" s="67" t="s">
        <v>52</v>
      </c>
    </row>
    <row r="266" spans="1:1" x14ac:dyDescent="0.25">
      <c r="A266" s="68" t="s">
        <v>52</v>
      </c>
    </row>
    <row r="267" spans="1:1" x14ac:dyDescent="0.25">
      <c r="A267" s="69" t="s">
        <v>52</v>
      </c>
    </row>
    <row r="268" spans="1:1" x14ac:dyDescent="0.25">
      <c r="A268" s="70" t="s">
        <v>52</v>
      </c>
    </row>
    <row r="269" spans="1:1" x14ac:dyDescent="0.25">
      <c r="A269" s="71" t="s">
        <v>52</v>
      </c>
    </row>
    <row r="270" spans="1:1" x14ac:dyDescent="0.25">
      <c r="A270" s="72" t="s">
        <v>52</v>
      </c>
    </row>
    <row r="271" spans="1:1" x14ac:dyDescent="0.25">
      <c r="A271" s="73" t="s">
        <v>52</v>
      </c>
    </row>
    <row r="272" spans="1:1" x14ac:dyDescent="0.25">
      <c r="A272" s="74" t="s">
        <v>52</v>
      </c>
    </row>
    <row r="273" spans="1:1" x14ac:dyDescent="0.25">
      <c r="A273" s="75" t="s">
        <v>52</v>
      </c>
    </row>
    <row r="274" spans="1:1" x14ac:dyDescent="0.25">
      <c r="A274" s="76" t="s">
        <v>800</v>
      </c>
    </row>
    <row r="275" spans="1:1" x14ac:dyDescent="0.25">
      <c r="A275" s="77" t="s">
        <v>52</v>
      </c>
    </row>
    <row r="276" spans="1:1" x14ac:dyDescent="0.25">
      <c r="A276" s="78" t="s">
        <v>52</v>
      </c>
    </row>
    <row r="277" spans="1:1" x14ac:dyDescent="0.25">
      <c r="A277" s="79" t="s">
        <v>52</v>
      </c>
    </row>
    <row r="278" spans="1:1" x14ac:dyDescent="0.25">
      <c r="A278" s="80" t="s">
        <v>52</v>
      </c>
    </row>
    <row r="279" spans="1:1" x14ac:dyDescent="0.25">
      <c r="A279" s="81" t="s">
        <v>52</v>
      </c>
    </row>
    <row r="280" spans="1:1" x14ac:dyDescent="0.25">
      <c r="A280" s="82" t="s">
        <v>52</v>
      </c>
    </row>
    <row r="281" spans="1:1" x14ac:dyDescent="0.25">
      <c r="A281" s="83" t="s">
        <v>52</v>
      </c>
    </row>
    <row r="282" spans="1:1" x14ac:dyDescent="0.25">
      <c r="A282" s="84" t="s">
        <v>52</v>
      </c>
    </row>
    <row r="283" spans="1:1" x14ac:dyDescent="0.25">
      <c r="A283" s="85" t="s">
        <v>52</v>
      </c>
    </row>
    <row r="284" spans="1:1" x14ac:dyDescent="0.25">
      <c r="A284" s="86" t="s">
        <v>52</v>
      </c>
    </row>
    <row r="285" spans="1:1" x14ac:dyDescent="0.25">
      <c r="A285" s="87" t="s">
        <v>52</v>
      </c>
    </row>
    <row r="286" spans="1:1" x14ac:dyDescent="0.25">
      <c r="A286" s="88" t="s">
        <v>52</v>
      </c>
    </row>
    <row r="287" spans="1:1" x14ac:dyDescent="0.25">
      <c r="A287" s="89" t="s">
        <v>52</v>
      </c>
    </row>
    <row r="288" spans="1:1" x14ac:dyDescent="0.25">
      <c r="A288" s="19" t="s">
        <v>801</v>
      </c>
    </row>
    <row r="289" spans="1:1" x14ac:dyDescent="0.25">
      <c r="A289" s="20" t="s">
        <v>52</v>
      </c>
    </row>
    <row r="290" spans="1:1" x14ac:dyDescent="0.25">
      <c r="A290" s="21" t="s">
        <v>52</v>
      </c>
    </row>
    <row r="291" spans="1:1" x14ac:dyDescent="0.25">
      <c r="A291" s="22" t="s">
        <v>52</v>
      </c>
    </row>
    <row r="292" spans="1:1" x14ac:dyDescent="0.25">
      <c r="A292" s="23" t="s">
        <v>52</v>
      </c>
    </row>
    <row r="293" spans="1:1" x14ac:dyDescent="0.25">
      <c r="A293" s="24" t="s">
        <v>52</v>
      </c>
    </row>
    <row r="294" spans="1:1" x14ac:dyDescent="0.25">
      <c r="A294" s="25" t="s">
        <v>52</v>
      </c>
    </row>
    <row r="295" spans="1:1" x14ac:dyDescent="0.25">
      <c r="A295" s="26" t="s">
        <v>52</v>
      </c>
    </row>
    <row r="296" spans="1:1" x14ac:dyDescent="0.25">
      <c r="A296" s="27" t="s">
        <v>52</v>
      </c>
    </row>
    <row r="297" spans="1:1" x14ac:dyDescent="0.25">
      <c r="A297" s="28" t="s">
        <v>52</v>
      </c>
    </row>
    <row r="298" spans="1:1" x14ac:dyDescent="0.25">
      <c r="A298" s="29" t="s">
        <v>52</v>
      </c>
    </row>
    <row r="299" spans="1:1" x14ac:dyDescent="0.25">
      <c r="A299" s="30" t="s">
        <v>52</v>
      </c>
    </row>
    <row r="300" spans="1:1" x14ac:dyDescent="0.25">
      <c r="A300" s="31" t="s">
        <v>52</v>
      </c>
    </row>
    <row r="301" spans="1:1" x14ac:dyDescent="0.25">
      <c r="A301" s="32" t="s">
        <v>52</v>
      </c>
    </row>
    <row r="302" spans="1:1" x14ac:dyDescent="0.25">
      <c r="A302" s="33" t="s">
        <v>52</v>
      </c>
    </row>
    <row r="303" spans="1:1" x14ac:dyDescent="0.25">
      <c r="A303" s="34" t="s">
        <v>52</v>
      </c>
    </row>
    <row r="304" spans="1:1" x14ac:dyDescent="0.25">
      <c r="A304" s="35" t="s">
        <v>52</v>
      </c>
    </row>
    <row r="305" spans="1:1" x14ac:dyDescent="0.25">
      <c r="A305" s="36" t="s">
        <v>52</v>
      </c>
    </row>
    <row r="306" spans="1:1" x14ac:dyDescent="0.25">
      <c r="A306" s="37" t="s">
        <v>52</v>
      </c>
    </row>
    <row r="307" spans="1:1" x14ac:dyDescent="0.25">
      <c r="A307" s="38" t="s">
        <v>52</v>
      </c>
    </row>
    <row r="308" spans="1:1" x14ac:dyDescent="0.25">
      <c r="A308" s="39" t="s">
        <v>52</v>
      </c>
    </row>
    <row r="309" spans="1:1" x14ac:dyDescent="0.25">
      <c r="A309" s="40" t="s">
        <v>52</v>
      </c>
    </row>
    <row r="310" spans="1:1" x14ac:dyDescent="0.25">
      <c r="A310" s="41" t="s">
        <v>52</v>
      </c>
    </row>
    <row r="311" spans="1:1" x14ac:dyDescent="0.25">
      <c r="A311" s="42" t="s">
        <v>52</v>
      </c>
    </row>
    <row r="312" spans="1:1" x14ac:dyDescent="0.25">
      <c r="A312" s="43" t="s">
        <v>52</v>
      </c>
    </row>
    <row r="313" spans="1:1" x14ac:dyDescent="0.25">
      <c r="A313" s="44" t="s">
        <v>52</v>
      </c>
    </row>
    <row r="314" spans="1:1" x14ac:dyDescent="0.25">
      <c r="A314" s="45" t="s">
        <v>52</v>
      </c>
    </row>
    <row r="315" spans="1:1" x14ac:dyDescent="0.25">
      <c r="A315" s="46" t="s">
        <v>52</v>
      </c>
    </row>
    <row r="316" spans="1:1" x14ac:dyDescent="0.25">
      <c r="A316" s="47" t="s">
        <v>52</v>
      </c>
    </row>
    <row r="317" spans="1:1" x14ac:dyDescent="0.25">
      <c r="A317" s="48" t="s">
        <v>52</v>
      </c>
    </row>
    <row r="318" spans="1:1" x14ac:dyDescent="0.25">
      <c r="A318" s="49" t="s">
        <v>52</v>
      </c>
    </row>
    <row r="319" spans="1:1" x14ac:dyDescent="0.25">
      <c r="A319" s="50" t="s">
        <v>52</v>
      </c>
    </row>
    <row r="320" spans="1:1" x14ac:dyDescent="0.25">
      <c r="A320" s="51" t="s">
        <v>52</v>
      </c>
    </row>
    <row r="321" spans="1:1" x14ac:dyDescent="0.25">
      <c r="A321" s="52" t="s">
        <v>52</v>
      </c>
    </row>
    <row r="322" spans="1:1" x14ac:dyDescent="0.25">
      <c r="A322" s="53" t="s">
        <v>52</v>
      </c>
    </row>
    <row r="323" spans="1:1" x14ac:dyDescent="0.25">
      <c r="A323" s="54" t="s">
        <v>52</v>
      </c>
    </row>
    <row r="324" spans="1:1" x14ac:dyDescent="0.25">
      <c r="A324" s="55" t="s">
        <v>52</v>
      </c>
    </row>
    <row r="325" spans="1:1" x14ac:dyDescent="0.25">
      <c r="A325" s="56" t="s">
        <v>52</v>
      </c>
    </row>
    <row r="326" spans="1:1" x14ac:dyDescent="0.25">
      <c r="A326" s="57" t="s">
        <v>52</v>
      </c>
    </row>
    <row r="327" spans="1:1" x14ac:dyDescent="0.25">
      <c r="A327" s="58" t="s">
        <v>52</v>
      </c>
    </row>
    <row r="328" spans="1:1" x14ac:dyDescent="0.25">
      <c r="A328" s="59" t="s">
        <v>52</v>
      </c>
    </row>
    <row r="329" spans="1:1" x14ac:dyDescent="0.25">
      <c r="A329" s="60" t="s">
        <v>52</v>
      </c>
    </row>
    <row r="330" spans="1:1" x14ac:dyDescent="0.25">
      <c r="A330" s="61" t="s">
        <v>52</v>
      </c>
    </row>
    <row r="331" spans="1:1" x14ac:dyDescent="0.25">
      <c r="A331" s="62" t="s">
        <v>52</v>
      </c>
    </row>
    <row r="332" spans="1:1" x14ac:dyDescent="0.25">
      <c r="A332" s="63" t="s">
        <v>52</v>
      </c>
    </row>
    <row r="333" spans="1:1" x14ac:dyDescent="0.25">
      <c r="A333" s="64" t="s">
        <v>52</v>
      </c>
    </row>
    <row r="334" spans="1:1" x14ac:dyDescent="0.25">
      <c r="A334" s="65" t="s">
        <v>52</v>
      </c>
    </row>
    <row r="335" spans="1:1" x14ac:dyDescent="0.25">
      <c r="A335" s="66" t="s">
        <v>52</v>
      </c>
    </row>
    <row r="336" spans="1:1" x14ac:dyDescent="0.25">
      <c r="A336" s="67" t="s">
        <v>52</v>
      </c>
    </row>
    <row r="337" spans="1:1" x14ac:dyDescent="0.25">
      <c r="A337" s="68" t="s">
        <v>52</v>
      </c>
    </row>
    <row r="338" spans="1:1" x14ac:dyDescent="0.25">
      <c r="A338" s="69" t="s">
        <v>52</v>
      </c>
    </row>
    <row r="339" spans="1:1" x14ac:dyDescent="0.25">
      <c r="A339" s="70" t="s">
        <v>52</v>
      </c>
    </row>
    <row r="340" spans="1:1" x14ac:dyDescent="0.25">
      <c r="A340" s="71" t="s">
        <v>52</v>
      </c>
    </row>
    <row r="341" spans="1:1" x14ac:dyDescent="0.25">
      <c r="A341" s="72" t="s">
        <v>52</v>
      </c>
    </row>
    <row r="342" spans="1:1" x14ac:dyDescent="0.25">
      <c r="A342" s="73" t="s">
        <v>52</v>
      </c>
    </row>
    <row r="343" spans="1:1" x14ac:dyDescent="0.25">
      <c r="A343" s="74" t="s">
        <v>52</v>
      </c>
    </row>
    <row r="344" spans="1:1" x14ac:dyDescent="0.25">
      <c r="A344" s="75" t="s">
        <v>52</v>
      </c>
    </row>
    <row r="345" spans="1:1" x14ac:dyDescent="0.25">
      <c r="A345" s="76" t="s">
        <v>802</v>
      </c>
    </row>
    <row r="346" spans="1:1" x14ac:dyDescent="0.25">
      <c r="A346" s="77" t="s">
        <v>52</v>
      </c>
    </row>
    <row r="347" spans="1:1" x14ac:dyDescent="0.25">
      <c r="A347" s="78" t="s">
        <v>52</v>
      </c>
    </row>
    <row r="348" spans="1:1" x14ac:dyDescent="0.25">
      <c r="A348" s="79" t="s">
        <v>52</v>
      </c>
    </row>
    <row r="349" spans="1:1" x14ac:dyDescent="0.25">
      <c r="A349" s="80" t="s">
        <v>52</v>
      </c>
    </row>
    <row r="350" spans="1:1" x14ac:dyDescent="0.25">
      <c r="A350" s="81" t="s">
        <v>52</v>
      </c>
    </row>
    <row r="351" spans="1:1" x14ac:dyDescent="0.25">
      <c r="A351" s="82" t="s">
        <v>52</v>
      </c>
    </row>
    <row r="352" spans="1:1" x14ac:dyDescent="0.25">
      <c r="A352" s="83" t="s">
        <v>52</v>
      </c>
    </row>
    <row r="353" spans="1:1" x14ac:dyDescent="0.25">
      <c r="A353" s="84" t="s">
        <v>52</v>
      </c>
    </row>
    <row r="354" spans="1:1" x14ac:dyDescent="0.25">
      <c r="A354" s="85" t="s">
        <v>52</v>
      </c>
    </row>
    <row r="355" spans="1:1" x14ac:dyDescent="0.25">
      <c r="A355" s="86" t="s">
        <v>52</v>
      </c>
    </row>
    <row r="356" spans="1:1" x14ac:dyDescent="0.25">
      <c r="A356" s="87" t="s">
        <v>52</v>
      </c>
    </row>
    <row r="357" spans="1:1" x14ac:dyDescent="0.25">
      <c r="A357" s="88" t="s">
        <v>52</v>
      </c>
    </row>
    <row r="358" spans="1:1" x14ac:dyDescent="0.25">
      <c r="A358" s="89" t="s">
        <v>52</v>
      </c>
    </row>
    <row r="359" spans="1:1" x14ac:dyDescent="0.25">
      <c r="A359" s="18" t="s">
        <v>128</v>
      </c>
    </row>
    <row r="360" spans="1:1" x14ac:dyDescent="0.25">
      <c r="A360" s="19" t="s">
        <v>52</v>
      </c>
    </row>
    <row r="361" spans="1:1" x14ac:dyDescent="0.25">
      <c r="A361" s="20" t="s">
        <v>52</v>
      </c>
    </row>
    <row r="362" spans="1:1" x14ac:dyDescent="0.25">
      <c r="A362" s="21" t="s">
        <v>52</v>
      </c>
    </row>
    <row r="363" spans="1:1" x14ac:dyDescent="0.25">
      <c r="A363" s="22" t="s">
        <v>52</v>
      </c>
    </row>
    <row r="364" spans="1:1" x14ac:dyDescent="0.25">
      <c r="A364" s="23" t="s">
        <v>52</v>
      </c>
    </row>
    <row r="365" spans="1:1" x14ac:dyDescent="0.25">
      <c r="A365" s="24" t="s">
        <v>52</v>
      </c>
    </row>
    <row r="366" spans="1:1" x14ac:dyDescent="0.25">
      <c r="A366" s="25" t="s">
        <v>52</v>
      </c>
    </row>
    <row r="367" spans="1:1" x14ac:dyDescent="0.25">
      <c r="A367" s="26" t="s">
        <v>264</v>
      </c>
    </row>
    <row r="368" spans="1:1" x14ac:dyDescent="0.25">
      <c r="A368" s="27" t="s">
        <v>582</v>
      </c>
    </row>
    <row r="369" spans="1:1" x14ac:dyDescent="0.25">
      <c r="A369" s="28" t="s">
        <v>52</v>
      </c>
    </row>
    <row r="370" spans="1:1" x14ac:dyDescent="0.25">
      <c r="A370" s="29" t="s">
        <v>52</v>
      </c>
    </row>
    <row r="371" spans="1:1" x14ac:dyDescent="0.25">
      <c r="A371" s="30" t="s">
        <v>52</v>
      </c>
    </row>
    <row r="372" spans="1:1" x14ac:dyDescent="0.25">
      <c r="A372" s="31" t="s">
        <v>52</v>
      </c>
    </row>
    <row r="373" spans="1:1" x14ac:dyDescent="0.25">
      <c r="A373" s="32" t="s">
        <v>52</v>
      </c>
    </row>
    <row r="374" spans="1:1" x14ac:dyDescent="0.25">
      <c r="A374" s="33" t="s">
        <v>52</v>
      </c>
    </row>
    <row r="375" spans="1:1" x14ac:dyDescent="0.25">
      <c r="A375" s="34" t="s">
        <v>52</v>
      </c>
    </row>
    <row r="376" spans="1:1" x14ac:dyDescent="0.25">
      <c r="A376" s="35" t="s">
        <v>52</v>
      </c>
    </row>
    <row r="377" spans="1:1" x14ac:dyDescent="0.25">
      <c r="A377" s="36" t="s">
        <v>52</v>
      </c>
    </row>
    <row r="378" spans="1:1" x14ac:dyDescent="0.25">
      <c r="A378" s="37" t="s">
        <v>52</v>
      </c>
    </row>
    <row r="379" spans="1:1" x14ac:dyDescent="0.25">
      <c r="A379" s="38" t="s">
        <v>52</v>
      </c>
    </row>
    <row r="380" spans="1:1" x14ac:dyDescent="0.25">
      <c r="A380" s="39" t="s">
        <v>52</v>
      </c>
    </row>
    <row r="381" spans="1:1" x14ac:dyDescent="0.25">
      <c r="A381" s="40" t="s">
        <v>52</v>
      </c>
    </row>
    <row r="382" spans="1:1" x14ac:dyDescent="0.25">
      <c r="A382" s="41" t="s">
        <v>52</v>
      </c>
    </row>
    <row r="383" spans="1:1" x14ac:dyDescent="0.25">
      <c r="A383" s="42" t="s">
        <v>52</v>
      </c>
    </row>
    <row r="384" spans="1:1" x14ac:dyDescent="0.25">
      <c r="A384" s="43" t="s">
        <v>52</v>
      </c>
    </row>
    <row r="385" spans="1:1" x14ac:dyDescent="0.25">
      <c r="A385" s="44" t="s">
        <v>52</v>
      </c>
    </row>
    <row r="386" spans="1:1" x14ac:dyDescent="0.25">
      <c r="A386" s="45" t="s">
        <v>52</v>
      </c>
    </row>
    <row r="387" spans="1:1" x14ac:dyDescent="0.25">
      <c r="A387" s="46" t="s">
        <v>52</v>
      </c>
    </row>
    <row r="388" spans="1:1" x14ac:dyDescent="0.25">
      <c r="A388" s="47" t="s">
        <v>52</v>
      </c>
    </row>
    <row r="389" spans="1:1" x14ac:dyDescent="0.25">
      <c r="A389" s="48" t="s">
        <v>583</v>
      </c>
    </row>
    <row r="390" spans="1:1" x14ac:dyDescent="0.25">
      <c r="A390" s="49" t="s">
        <v>52</v>
      </c>
    </row>
    <row r="391" spans="1:1" x14ac:dyDescent="0.25">
      <c r="A391" s="50" t="s">
        <v>52</v>
      </c>
    </row>
    <row r="392" spans="1:1" x14ac:dyDescent="0.25">
      <c r="A392" s="51" t="s">
        <v>52</v>
      </c>
    </row>
    <row r="393" spans="1:1" x14ac:dyDescent="0.25">
      <c r="A393" s="52" t="s">
        <v>52</v>
      </c>
    </row>
    <row r="394" spans="1:1" x14ac:dyDescent="0.25">
      <c r="A394" s="53" t="s">
        <v>52</v>
      </c>
    </row>
    <row r="395" spans="1:1" x14ac:dyDescent="0.25">
      <c r="A395" s="54" t="s">
        <v>52</v>
      </c>
    </row>
    <row r="396" spans="1:1" x14ac:dyDescent="0.25">
      <c r="A396" s="55" t="s">
        <v>52</v>
      </c>
    </row>
    <row r="397" spans="1:1" x14ac:dyDescent="0.25">
      <c r="A397" s="56" t="s">
        <v>52</v>
      </c>
    </row>
    <row r="398" spans="1:1" x14ac:dyDescent="0.25">
      <c r="A398" s="57" t="s">
        <v>52</v>
      </c>
    </row>
    <row r="399" spans="1:1" x14ac:dyDescent="0.25">
      <c r="A399" s="58" t="s">
        <v>52</v>
      </c>
    </row>
    <row r="400" spans="1:1" x14ac:dyDescent="0.25">
      <c r="A400" s="59" t="s">
        <v>52</v>
      </c>
    </row>
    <row r="401" spans="1:1" x14ac:dyDescent="0.25">
      <c r="A401" s="60" t="s">
        <v>52</v>
      </c>
    </row>
    <row r="402" spans="1:1" x14ac:dyDescent="0.25">
      <c r="A402" s="61" t="s">
        <v>52</v>
      </c>
    </row>
    <row r="403" spans="1:1" x14ac:dyDescent="0.25">
      <c r="A403" s="62" t="s">
        <v>52</v>
      </c>
    </row>
    <row r="404" spans="1:1" x14ac:dyDescent="0.25">
      <c r="A404" s="63" t="s">
        <v>52</v>
      </c>
    </row>
    <row r="405" spans="1:1" x14ac:dyDescent="0.25">
      <c r="A405" s="64" t="s">
        <v>52</v>
      </c>
    </row>
    <row r="406" spans="1:1" x14ac:dyDescent="0.25">
      <c r="A406" s="65" t="s">
        <v>52</v>
      </c>
    </row>
    <row r="407" spans="1:1" x14ac:dyDescent="0.25">
      <c r="A407" s="66" t="s">
        <v>52</v>
      </c>
    </row>
    <row r="408" spans="1:1" x14ac:dyDescent="0.25">
      <c r="A408" s="67" t="s">
        <v>52</v>
      </c>
    </row>
    <row r="409" spans="1:1" x14ac:dyDescent="0.25">
      <c r="A409" s="68" t="s">
        <v>52</v>
      </c>
    </row>
    <row r="410" spans="1:1" x14ac:dyDescent="0.25">
      <c r="A410" s="69" t="s">
        <v>52</v>
      </c>
    </row>
    <row r="411" spans="1:1" x14ac:dyDescent="0.25">
      <c r="A411" s="70" t="s">
        <v>52</v>
      </c>
    </row>
    <row r="412" spans="1:1" x14ac:dyDescent="0.25">
      <c r="A412" s="71" t="s">
        <v>52</v>
      </c>
    </row>
    <row r="413" spans="1:1" x14ac:dyDescent="0.25">
      <c r="A413" s="72" t="s">
        <v>52</v>
      </c>
    </row>
    <row r="414" spans="1:1" x14ac:dyDescent="0.25">
      <c r="A414" s="73" t="s">
        <v>52</v>
      </c>
    </row>
    <row r="415" spans="1:1" x14ac:dyDescent="0.25">
      <c r="A415" s="74" t="s">
        <v>52</v>
      </c>
    </row>
    <row r="416" spans="1:1" x14ac:dyDescent="0.25">
      <c r="A416" s="75" t="s">
        <v>52</v>
      </c>
    </row>
    <row r="417" spans="1:1" x14ac:dyDescent="0.25">
      <c r="A417" s="76" t="s">
        <v>52</v>
      </c>
    </row>
    <row r="418" spans="1:1" x14ac:dyDescent="0.25">
      <c r="A418" s="77" t="s">
        <v>52</v>
      </c>
    </row>
    <row r="419" spans="1:1" x14ac:dyDescent="0.25">
      <c r="A419" s="78" t="s">
        <v>52</v>
      </c>
    </row>
    <row r="420" spans="1:1" x14ac:dyDescent="0.25">
      <c r="A420" s="79" t="s">
        <v>52</v>
      </c>
    </row>
    <row r="421" spans="1:1" x14ac:dyDescent="0.25">
      <c r="A421" s="80" t="s">
        <v>52</v>
      </c>
    </row>
    <row r="422" spans="1:1" x14ac:dyDescent="0.25">
      <c r="A422" s="81" t="s">
        <v>52</v>
      </c>
    </row>
    <row r="423" spans="1:1" x14ac:dyDescent="0.25">
      <c r="A423" s="82" t="s">
        <v>52</v>
      </c>
    </row>
    <row r="424" spans="1:1" x14ac:dyDescent="0.25">
      <c r="A424" s="83" t="s">
        <v>52</v>
      </c>
    </row>
    <row r="425" spans="1:1" x14ac:dyDescent="0.25">
      <c r="A425" s="84" t="s">
        <v>52</v>
      </c>
    </row>
    <row r="426" spans="1:1" x14ac:dyDescent="0.25">
      <c r="A426" s="85" t="s">
        <v>52</v>
      </c>
    </row>
    <row r="427" spans="1:1" x14ac:dyDescent="0.25">
      <c r="A427" s="86" t="s">
        <v>52</v>
      </c>
    </row>
    <row r="428" spans="1:1" x14ac:dyDescent="0.25">
      <c r="A428" s="87" t="s">
        <v>52</v>
      </c>
    </row>
    <row r="429" spans="1:1" x14ac:dyDescent="0.25">
      <c r="A429" s="88" t="s">
        <v>52</v>
      </c>
    </row>
    <row r="430" spans="1:1" x14ac:dyDescent="0.25">
      <c r="A430" s="89" t="s">
        <v>52</v>
      </c>
    </row>
    <row r="431" spans="1:1" x14ac:dyDescent="0.25">
      <c r="A431" s="18" t="s">
        <v>129</v>
      </c>
    </row>
    <row r="432" spans="1:1" x14ac:dyDescent="0.25">
      <c r="A432" s="19" t="s">
        <v>52</v>
      </c>
    </row>
    <row r="433" spans="1:1" x14ac:dyDescent="0.25">
      <c r="A433" s="20" t="s">
        <v>52</v>
      </c>
    </row>
    <row r="434" spans="1:1" x14ac:dyDescent="0.25">
      <c r="A434" s="21" t="s">
        <v>52</v>
      </c>
    </row>
    <row r="435" spans="1:1" x14ac:dyDescent="0.25">
      <c r="A435" s="22" t="s">
        <v>584</v>
      </c>
    </row>
    <row r="436" spans="1:1" x14ac:dyDescent="0.25">
      <c r="A436" s="23" t="s">
        <v>52</v>
      </c>
    </row>
    <row r="437" spans="1:1" x14ac:dyDescent="0.25">
      <c r="A437" s="24" t="s">
        <v>52</v>
      </c>
    </row>
    <row r="438" spans="1:1" x14ac:dyDescent="0.25">
      <c r="A438" s="25" t="s">
        <v>52</v>
      </c>
    </row>
    <row r="439" spans="1:1" x14ac:dyDescent="0.25">
      <c r="A439" s="26" t="s">
        <v>265</v>
      </c>
    </row>
    <row r="440" spans="1:1" x14ac:dyDescent="0.25">
      <c r="A440" s="27" t="s">
        <v>585</v>
      </c>
    </row>
    <row r="441" spans="1:1" x14ac:dyDescent="0.25">
      <c r="A441" s="28" t="s">
        <v>52</v>
      </c>
    </row>
    <row r="442" spans="1:1" x14ac:dyDescent="0.25">
      <c r="A442" s="29" t="s">
        <v>52</v>
      </c>
    </row>
    <row r="443" spans="1:1" x14ac:dyDescent="0.25">
      <c r="A443" s="30" t="s">
        <v>52</v>
      </c>
    </row>
    <row r="444" spans="1:1" x14ac:dyDescent="0.25">
      <c r="A444" s="31" t="s">
        <v>52</v>
      </c>
    </row>
    <row r="445" spans="1:1" x14ac:dyDescent="0.25">
      <c r="A445" s="32" t="s">
        <v>52</v>
      </c>
    </row>
    <row r="446" spans="1:1" x14ac:dyDescent="0.25">
      <c r="A446" s="33" t="s">
        <v>52</v>
      </c>
    </row>
    <row r="447" spans="1:1" x14ac:dyDescent="0.25">
      <c r="A447" s="34" t="s">
        <v>52</v>
      </c>
    </row>
    <row r="448" spans="1:1" x14ac:dyDescent="0.25">
      <c r="A448" s="35" t="s">
        <v>52</v>
      </c>
    </row>
    <row r="449" spans="1:1" x14ac:dyDescent="0.25">
      <c r="A449" s="36" t="s">
        <v>52</v>
      </c>
    </row>
    <row r="450" spans="1:1" x14ac:dyDescent="0.25">
      <c r="A450" s="37" t="s">
        <v>52</v>
      </c>
    </row>
    <row r="451" spans="1:1" x14ac:dyDescent="0.25">
      <c r="A451" s="38" t="s">
        <v>52</v>
      </c>
    </row>
    <row r="452" spans="1:1" x14ac:dyDescent="0.25">
      <c r="A452" s="39" t="s">
        <v>52</v>
      </c>
    </row>
    <row r="453" spans="1:1" x14ac:dyDescent="0.25">
      <c r="A453" s="40" t="s">
        <v>52</v>
      </c>
    </row>
    <row r="454" spans="1:1" x14ac:dyDescent="0.25">
      <c r="A454" s="41" t="s">
        <v>52</v>
      </c>
    </row>
    <row r="455" spans="1:1" x14ac:dyDescent="0.25">
      <c r="A455" s="42" t="s">
        <v>52</v>
      </c>
    </row>
    <row r="456" spans="1:1" x14ac:dyDescent="0.25">
      <c r="A456" s="43" t="s">
        <v>52</v>
      </c>
    </row>
    <row r="457" spans="1:1" x14ac:dyDescent="0.25">
      <c r="A457" s="44" t="s">
        <v>52</v>
      </c>
    </row>
    <row r="458" spans="1:1" x14ac:dyDescent="0.25">
      <c r="A458" s="45" t="s">
        <v>52</v>
      </c>
    </row>
    <row r="459" spans="1:1" x14ac:dyDescent="0.25">
      <c r="A459" s="46" t="s">
        <v>52</v>
      </c>
    </row>
    <row r="460" spans="1:1" x14ac:dyDescent="0.25">
      <c r="A460" s="47" t="s">
        <v>52</v>
      </c>
    </row>
    <row r="461" spans="1:1" x14ac:dyDescent="0.25">
      <c r="A461" s="48" t="s">
        <v>52</v>
      </c>
    </row>
    <row r="462" spans="1:1" x14ac:dyDescent="0.25">
      <c r="A462" s="49" t="s">
        <v>52</v>
      </c>
    </row>
    <row r="463" spans="1:1" x14ac:dyDescent="0.25">
      <c r="A463" s="50" t="s">
        <v>52</v>
      </c>
    </row>
    <row r="464" spans="1:1" x14ac:dyDescent="0.25">
      <c r="A464" s="51" t="s">
        <v>52</v>
      </c>
    </row>
    <row r="465" spans="1:1" x14ac:dyDescent="0.25">
      <c r="A465" s="52" t="s">
        <v>52</v>
      </c>
    </row>
    <row r="466" spans="1:1" x14ac:dyDescent="0.25">
      <c r="A466" s="53" t="s">
        <v>52</v>
      </c>
    </row>
    <row r="467" spans="1:1" x14ac:dyDescent="0.25">
      <c r="A467" s="54" t="s">
        <v>52</v>
      </c>
    </row>
    <row r="468" spans="1:1" x14ac:dyDescent="0.25">
      <c r="A468" s="55" t="s">
        <v>52</v>
      </c>
    </row>
    <row r="469" spans="1:1" x14ac:dyDescent="0.25">
      <c r="A469" s="56" t="s">
        <v>52</v>
      </c>
    </row>
    <row r="470" spans="1:1" x14ac:dyDescent="0.25">
      <c r="A470" s="57" t="s">
        <v>52</v>
      </c>
    </row>
    <row r="471" spans="1:1" x14ac:dyDescent="0.25">
      <c r="A471" s="58" t="s">
        <v>52</v>
      </c>
    </row>
    <row r="472" spans="1:1" x14ac:dyDescent="0.25">
      <c r="A472" s="59" t="s">
        <v>52</v>
      </c>
    </row>
    <row r="473" spans="1:1" x14ac:dyDescent="0.25">
      <c r="A473" s="60" t="s">
        <v>52</v>
      </c>
    </row>
    <row r="474" spans="1:1" x14ac:dyDescent="0.25">
      <c r="A474" s="61" t="s">
        <v>52</v>
      </c>
    </row>
    <row r="475" spans="1:1" x14ac:dyDescent="0.25">
      <c r="A475" s="62" t="s">
        <v>52</v>
      </c>
    </row>
    <row r="476" spans="1:1" x14ac:dyDescent="0.25">
      <c r="A476" s="63" t="s">
        <v>52</v>
      </c>
    </row>
    <row r="477" spans="1:1" x14ac:dyDescent="0.25">
      <c r="A477" s="64" t="s">
        <v>52</v>
      </c>
    </row>
    <row r="478" spans="1:1" x14ac:dyDescent="0.25">
      <c r="A478" s="65" t="s">
        <v>52</v>
      </c>
    </row>
    <row r="479" spans="1:1" x14ac:dyDescent="0.25">
      <c r="A479" s="66" t="s">
        <v>52</v>
      </c>
    </row>
    <row r="480" spans="1:1" x14ac:dyDescent="0.25">
      <c r="A480" s="67" t="s">
        <v>52</v>
      </c>
    </row>
    <row r="481" spans="1:1" x14ac:dyDescent="0.25">
      <c r="A481" s="68" t="s">
        <v>52</v>
      </c>
    </row>
    <row r="482" spans="1:1" x14ac:dyDescent="0.25">
      <c r="A482" s="69" t="s">
        <v>52</v>
      </c>
    </row>
    <row r="483" spans="1:1" x14ac:dyDescent="0.25">
      <c r="A483" s="70" t="s">
        <v>52</v>
      </c>
    </row>
    <row r="484" spans="1:1" x14ac:dyDescent="0.25">
      <c r="A484" s="71" t="s">
        <v>52</v>
      </c>
    </row>
    <row r="485" spans="1:1" x14ac:dyDescent="0.25">
      <c r="A485" s="72" t="s">
        <v>52</v>
      </c>
    </row>
    <row r="486" spans="1:1" x14ac:dyDescent="0.25">
      <c r="A486" s="73" t="s">
        <v>52</v>
      </c>
    </row>
    <row r="487" spans="1:1" x14ac:dyDescent="0.25">
      <c r="A487" s="74" t="s">
        <v>52</v>
      </c>
    </row>
    <row r="488" spans="1:1" x14ac:dyDescent="0.25">
      <c r="A488" s="75" t="s">
        <v>52</v>
      </c>
    </row>
    <row r="489" spans="1:1" x14ac:dyDescent="0.25">
      <c r="A489" s="76" t="s">
        <v>52</v>
      </c>
    </row>
    <row r="490" spans="1:1" x14ac:dyDescent="0.25">
      <c r="A490" s="77" t="s">
        <v>52</v>
      </c>
    </row>
    <row r="491" spans="1:1" x14ac:dyDescent="0.25">
      <c r="A491" s="78" t="s">
        <v>52</v>
      </c>
    </row>
    <row r="492" spans="1:1" x14ac:dyDescent="0.25">
      <c r="A492" s="79" t="s">
        <v>52</v>
      </c>
    </row>
    <row r="493" spans="1:1" x14ac:dyDescent="0.25">
      <c r="A493" s="80" t="s">
        <v>52</v>
      </c>
    </row>
    <row r="494" spans="1:1" x14ac:dyDescent="0.25">
      <c r="A494" s="81" t="s">
        <v>52</v>
      </c>
    </row>
    <row r="495" spans="1:1" x14ac:dyDescent="0.25">
      <c r="A495" s="82" t="s">
        <v>52</v>
      </c>
    </row>
    <row r="496" spans="1:1" x14ac:dyDescent="0.25">
      <c r="A496" s="83" t="s">
        <v>52</v>
      </c>
    </row>
    <row r="497" spans="1:1" x14ac:dyDescent="0.25">
      <c r="A497" s="84" t="s">
        <v>52</v>
      </c>
    </row>
    <row r="498" spans="1:1" x14ac:dyDescent="0.25">
      <c r="A498" s="85" t="s">
        <v>52</v>
      </c>
    </row>
    <row r="499" spans="1:1" x14ac:dyDescent="0.25">
      <c r="A499" s="86" t="s">
        <v>52</v>
      </c>
    </row>
    <row r="500" spans="1:1" x14ac:dyDescent="0.25">
      <c r="A500" s="87" t="s">
        <v>52</v>
      </c>
    </row>
    <row r="501" spans="1:1" x14ac:dyDescent="0.25">
      <c r="A501" s="88" t="s">
        <v>52</v>
      </c>
    </row>
    <row r="502" spans="1:1" x14ac:dyDescent="0.25">
      <c r="A502" s="89" t="s">
        <v>52</v>
      </c>
    </row>
    <row r="503" spans="1:1" x14ac:dyDescent="0.25">
      <c r="A503" s="18" t="s">
        <v>206</v>
      </c>
    </row>
    <row r="504" spans="1:1" x14ac:dyDescent="0.25">
      <c r="A504" s="19" t="s">
        <v>586</v>
      </c>
    </row>
    <row r="505" spans="1:1" x14ac:dyDescent="0.25">
      <c r="A505" s="20" t="s">
        <v>587</v>
      </c>
    </row>
    <row r="506" spans="1:1" x14ac:dyDescent="0.25">
      <c r="A506" s="21" t="s">
        <v>266</v>
      </c>
    </row>
    <row r="507" spans="1:1" x14ac:dyDescent="0.25">
      <c r="A507" s="22" t="s">
        <v>52</v>
      </c>
    </row>
    <row r="508" spans="1:1" x14ac:dyDescent="0.25">
      <c r="A508" s="23" t="s">
        <v>52</v>
      </c>
    </row>
    <row r="509" spans="1:1" x14ac:dyDescent="0.25">
      <c r="A509" s="24" t="s">
        <v>52</v>
      </c>
    </row>
    <row r="510" spans="1:1" x14ac:dyDescent="0.25">
      <c r="A510" s="25" t="s">
        <v>52</v>
      </c>
    </row>
    <row r="511" spans="1:1" x14ac:dyDescent="0.25">
      <c r="A511" s="26" t="s">
        <v>267</v>
      </c>
    </row>
    <row r="512" spans="1:1" x14ac:dyDescent="0.25">
      <c r="A512" s="27" t="s">
        <v>588</v>
      </c>
    </row>
    <row r="513" spans="1:1" x14ac:dyDescent="0.25">
      <c r="A513" s="28" t="s">
        <v>52</v>
      </c>
    </row>
    <row r="514" spans="1:1" x14ac:dyDescent="0.25">
      <c r="A514" s="29" t="s">
        <v>52</v>
      </c>
    </row>
    <row r="515" spans="1:1" x14ac:dyDescent="0.25">
      <c r="A515" s="30" t="s">
        <v>207</v>
      </c>
    </row>
    <row r="516" spans="1:1" x14ac:dyDescent="0.25">
      <c r="A516" s="31" t="s">
        <v>208</v>
      </c>
    </row>
    <row r="517" spans="1:1" x14ac:dyDescent="0.25">
      <c r="A517" s="32" t="s">
        <v>52</v>
      </c>
    </row>
    <row r="518" spans="1:1" x14ac:dyDescent="0.25">
      <c r="A518" s="33" t="s">
        <v>52</v>
      </c>
    </row>
    <row r="519" spans="1:1" x14ac:dyDescent="0.25">
      <c r="A519" s="34" t="s">
        <v>52</v>
      </c>
    </row>
    <row r="520" spans="1:1" x14ac:dyDescent="0.25">
      <c r="A520" s="35" t="s">
        <v>268</v>
      </c>
    </row>
    <row r="521" spans="1:1" x14ac:dyDescent="0.25">
      <c r="A521" s="36" t="s">
        <v>52</v>
      </c>
    </row>
    <row r="522" spans="1:1" x14ac:dyDescent="0.25">
      <c r="A522" s="37" t="s">
        <v>269</v>
      </c>
    </row>
    <row r="523" spans="1:1" x14ac:dyDescent="0.25">
      <c r="A523" s="38" t="s">
        <v>52</v>
      </c>
    </row>
    <row r="524" spans="1:1" x14ac:dyDescent="0.25">
      <c r="A524" s="39" t="s">
        <v>52</v>
      </c>
    </row>
    <row r="525" spans="1:1" x14ac:dyDescent="0.25">
      <c r="A525" s="40" t="s">
        <v>52</v>
      </c>
    </row>
    <row r="526" spans="1:1" x14ac:dyDescent="0.25">
      <c r="A526" s="41" t="s">
        <v>52</v>
      </c>
    </row>
    <row r="527" spans="1:1" x14ac:dyDescent="0.25">
      <c r="A527" s="42" t="s">
        <v>52</v>
      </c>
    </row>
    <row r="528" spans="1:1" x14ac:dyDescent="0.25">
      <c r="A528" s="43" t="s">
        <v>270</v>
      </c>
    </row>
    <row r="529" spans="1:1" x14ac:dyDescent="0.25">
      <c r="A529" s="44" t="s">
        <v>209</v>
      </c>
    </row>
    <row r="530" spans="1:1" x14ac:dyDescent="0.25">
      <c r="A530" s="45" t="s">
        <v>52</v>
      </c>
    </row>
    <row r="531" spans="1:1" x14ac:dyDescent="0.25">
      <c r="A531" s="46" t="s">
        <v>52</v>
      </c>
    </row>
    <row r="532" spans="1:1" x14ac:dyDescent="0.25">
      <c r="A532" s="47" t="s">
        <v>52</v>
      </c>
    </row>
    <row r="533" spans="1:1" x14ac:dyDescent="0.25">
      <c r="A533" s="48" t="s">
        <v>589</v>
      </c>
    </row>
    <row r="534" spans="1:1" x14ac:dyDescent="0.25">
      <c r="A534" s="49" t="s">
        <v>52</v>
      </c>
    </row>
    <row r="535" spans="1:1" x14ac:dyDescent="0.25">
      <c r="A535" s="50" t="s">
        <v>52</v>
      </c>
    </row>
    <row r="536" spans="1:1" x14ac:dyDescent="0.25">
      <c r="A536" s="51" t="s">
        <v>52</v>
      </c>
    </row>
    <row r="537" spans="1:1" x14ac:dyDescent="0.25">
      <c r="A537" s="52" t="s">
        <v>52</v>
      </c>
    </row>
    <row r="538" spans="1:1" x14ac:dyDescent="0.25">
      <c r="A538" s="53" t="s">
        <v>52</v>
      </c>
    </row>
    <row r="539" spans="1:1" x14ac:dyDescent="0.25">
      <c r="A539" s="54" t="s">
        <v>52</v>
      </c>
    </row>
    <row r="540" spans="1:1" x14ac:dyDescent="0.25">
      <c r="A540" s="55" t="s">
        <v>52</v>
      </c>
    </row>
    <row r="541" spans="1:1" x14ac:dyDescent="0.25">
      <c r="A541" s="56" t="s">
        <v>52</v>
      </c>
    </row>
    <row r="542" spans="1:1" x14ac:dyDescent="0.25">
      <c r="A542" s="57" t="s">
        <v>52</v>
      </c>
    </row>
    <row r="543" spans="1:1" x14ac:dyDescent="0.25">
      <c r="A543" s="58" t="s">
        <v>52</v>
      </c>
    </row>
    <row r="544" spans="1:1" x14ac:dyDescent="0.25">
      <c r="A544" s="59" t="s">
        <v>52</v>
      </c>
    </row>
    <row r="545" spans="1:1" x14ac:dyDescent="0.25">
      <c r="A545" s="60" t="s">
        <v>52</v>
      </c>
    </row>
    <row r="546" spans="1:1" x14ac:dyDescent="0.25">
      <c r="A546" s="61" t="s">
        <v>52</v>
      </c>
    </row>
    <row r="547" spans="1:1" x14ac:dyDescent="0.25">
      <c r="A547" s="62" t="s">
        <v>52</v>
      </c>
    </row>
    <row r="548" spans="1:1" x14ac:dyDescent="0.25">
      <c r="A548" s="63" t="s">
        <v>52</v>
      </c>
    </row>
    <row r="549" spans="1:1" x14ac:dyDescent="0.25">
      <c r="A549" s="64" t="s">
        <v>52</v>
      </c>
    </row>
    <row r="550" spans="1:1" x14ac:dyDescent="0.25">
      <c r="A550" s="65" t="s">
        <v>52</v>
      </c>
    </row>
    <row r="551" spans="1:1" x14ac:dyDescent="0.25">
      <c r="A551" s="66" t="s">
        <v>52</v>
      </c>
    </row>
    <row r="552" spans="1:1" x14ac:dyDescent="0.25">
      <c r="A552" s="67" t="s">
        <v>52</v>
      </c>
    </row>
    <row r="553" spans="1:1" x14ac:dyDescent="0.25">
      <c r="A553" s="68" t="s">
        <v>52</v>
      </c>
    </row>
    <row r="554" spans="1:1" x14ac:dyDescent="0.25">
      <c r="A554" s="69" t="s">
        <v>52</v>
      </c>
    </row>
    <row r="555" spans="1:1" x14ac:dyDescent="0.25">
      <c r="A555" s="70" t="s">
        <v>52</v>
      </c>
    </row>
    <row r="556" spans="1:1" x14ac:dyDescent="0.25">
      <c r="A556" s="71" t="s">
        <v>52</v>
      </c>
    </row>
    <row r="557" spans="1:1" x14ac:dyDescent="0.25">
      <c r="A557" s="72" t="s">
        <v>52</v>
      </c>
    </row>
    <row r="558" spans="1:1" x14ac:dyDescent="0.25">
      <c r="A558" s="73" t="s">
        <v>52</v>
      </c>
    </row>
    <row r="559" spans="1:1" x14ac:dyDescent="0.25">
      <c r="A559" s="74" t="s">
        <v>52</v>
      </c>
    </row>
    <row r="560" spans="1:1" x14ac:dyDescent="0.25">
      <c r="A560" s="75" t="s">
        <v>52</v>
      </c>
    </row>
    <row r="561" spans="1:1" x14ac:dyDescent="0.25">
      <c r="A561" s="76" t="s">
        <v>52</v>
      </c>
    </row>
    <row r="562" spans="1:1" x14ac:dyDescent="0.25">
      <c r="A562" s="77" t="s">
        <v>52</v>
      </c>
    </row>
    <row r="563" spans="1:1" x14ac:dyDescent="0.25">
      <c r="A563" s="78" t="s">
        <v>52</v>
      </c>
    </row>
    <row r="564" spans="1:1" x14ac:dyDescent="0.25">
      <c r="A564" s="79" t="s">
        <v>52</v>
      </c>
    </row>
    <row r="565" spans="1:1" x14ac:dyDescent="0.25">
      <c r="A565" s="80" t="s">
        <v>52</v>
      </c>
    </row>
    <row r="566" spans="1:1" x14ac:dyDescent="0.25">
      <c r="A566" s="81" t="s">
        <v>52</v>
      </c>
    </row>
    <row r="567" spans="1:1" x14ac:dyDescent="0.25">
      <c r="A567" s="82" t="s">
        <v>52</v>
      </c>
    </row>
    <row r="568" spans="1:1" x14ac:dyDescent="0.25">
      <c r="A568" s="83" t="s">
        <v>52</v>
      </c>
    </row>
    <row r="569" spans="1:1" x14ac:dyDescent="0.25">
      <c r="A569" s="84" t="s">
        <v>52</v>
      </c>
    </row>
    <row r="570" spans="1:1" x14ac:dyDescent="0.25">
      <c r="A570" s="85" t="s">
        <v>52</v>
      </c>
    </row>
    <row r="571" spans="1:1" x14ac:dyDescent="0.25">
      <c r="A571" s="86" t="s">
        <v>52</v>
      </c>
    </row>
    <row r="572" spans="1:1" x14ac:dyDescent="0.25">
      <c r="A572" s="87" t="s">
        <v>52</v>
      </c>
    </row>
    <row r="573" spans="1:1" x14ac:dyDescent="0.25">
      <c r="A573" s="88" t="s">
        <v>210</v>
      </c>
    </row>
    <row r="574" spans="1:1" x14ac:dyDescent="0.25">
      <c r="A574" s="89" t="s">
        <v>211</v>
      </c>
    </row>
    <row r="575" spans="1:1" x14ac:dyDescent="0.25">
      <c r="A575" s="10" t="s">
        <v>6</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930"/>
  <sheetViews>
    <sheetView topLeftCell="A903" workbookViewId="0">
      <selection activeCell="A2" sqref="A2:A929"/>
    </sheetView>
  </sheetViews>
  <sheetFormatPr defaultRowHeight="15" x14ac:dyDescent="0.25"/>
  <cols>
    <col min="1" max="1" width="255.7109375" bestFit="1" customWidth="1"/>
  </cols>
  <sheetData>
    <row r="1" spans="1:1" x14ac:dyDescent="0.25">
      <c r="A1" s="11" t="s">
        <v>5</v>
      </c>
    </row>
    <row r="2" spans="1:1" x14ac:dyDescent="0.25">
      <c r="A2" s="10" t="s">
        <v>19</v>
      </c>
    </row>
    <row r="3" spans="1:1" x14ac:dyDescent="0.25">
      <c r="A3" s="18" t="s">
        <v>52</v>
      </c>
    </row>
    <row r="4" spans="1:1" x14ac:dyDescent="0.25">
      <c r="A4" s="19" t="s">
        <v>727</v>
      </c>
    </row>
    <row r="5" spans="1:1" x14ac:dyDescent="0.25">
      <c r="A5" s="20" t="s">
        <v>52</v>
      </c>
    </row>
    <row r="6" spans="1:1" x14ac:dyDescent="0.25">
      <c r="A6" s="21" t="s">
        <v>52</v>
      </c>
    </row>
    <row r="7" spans="1:1" x14ac:dyDescent="0.25">
      <c r="A7" s="22" t="s">
        <v>52</v>
      </c>
    </row>
    <row r="8" spans="1:1" x14ac:dyDescent="0.25">
      <c r="A8" s="23" t="s">
        <v>52</v>
      </c>
    </row>
    <row r="9" spans="1:1" x14ac:dyDescent="0.25">
      <c r="A9" s="24" t="s">
        <v>52</v>
      </c>
    </row>
    <row r="10" spans="1:1" x14ac:dyDescent="0.25">
      <c r="A10" s="25" t="s">
        <v>52</v>
      </c>
    </row>
    <row r="11" spans="1:1" x14ac:dyDescent="0.25">
      <c r="A11" s="26" t="s">
        <v>299</v>
      </c>
    </row>
    <row r="12" spans="1:1" x14ac:dyDescent="0.25">
      <c r="A12" s="27" t="s">
        <v>728</v>
      </c>
    </row>
    <row r="13" spans="1:1" x14ac:dyDescent="0.25">
      <c r="A13" s="28" t="s">
        <v>52</v>
      </c>
    </row>
    <row r="14" spans="1:1" x14ac:dyDescent="0.25">
      <c r="A14" s="29" t="s">
        <v>52</v>
      </c>
    </row>
    <row r="15" spans="1:1" x14ac:dyDescent="0.25">
      <c r="A15" s="30" t="s">
        <v>52</v>
      </c>
    </row>
    <row r="16" spans="1:1" x14ac:dyDescent="0.25">
      <c r="A16" s="31" t="s">
        <v>52</v>
      </c>
    </row>
    <row r="17" spans="1:1" x14ac:dyDescent="0.25">
      <c r="A17" s="32" t="s">
        <v>52</v>
      </c>
    </row>
    <row r="18" spans="1:1" x14ac:dyDescent="0.25">
      <c r="A18" s="33" t="s">
        <v>52</v>
      </c>
    </row>
    <row r="19" spans="1:1" x14ac:dyDescent="0.25">
      <c r="A19" s="34" t="s">
        <v>52</v>
      </c>
    </row>
    <row r="20" spans="1:1" x14ac:dyDescent="0.25">
      <c r="A20" s="35" t="s">
        <v>52</v>
      </c>
    </row>
    <row r="21" spans="1:1" x14ac:dyDescent="0.25">
      <c r="A21" s="36" t="s">
        <v>52</v>
      </c>
    </row>
    <row r="22" spans="1:1" x14ac:dyDescent="0.25">
      <c r="A22" s="37" t="s">
        <v>52</v>
      </c>
    </row>
    <row r="23" spans="1:1" x14ac:dyDescent="0.25">
      <c r="A23" s="38" t="s">
        <v>52</v>
      </c>
    </row>
    <row r="24" spans="1:1" x14ac:dyDescent="0.25">
      <c r="A24" s="39" t="s">
        <v>52</v>
      </c>
    </row>
    <row r="25" spans="1:1" x14ac:dyDescent="0.25">
      <c r="A25" s="40" t="s">
        <v>52</v>
      </c>
    </row>
    <row r="26" spans="1:1" x14ac:dyDescent="0.25">
      <c r="A26" s="41" t="s">
        <v>52</v>
      </c>
    </row>
    <row r="27" spans="1:1" x14ac:dyDescent="0.25">
      <c r="A27" s="42" t="s">
        <v>52</v>
      </c>
    </row>
    <row r="28" spans="1:1" x14ac:dyDescent="0.25">
      <c r="A28" s="43" t="s">
        <v>52</v>
      </c>
    </row>
    <row r="29" spans="1:1" x14ac:dyDescent="0.25">
      <c r="A29" s="44" t="s">
        <v>52</v>
      </c>
    </row>
    <row r="30" spans="1:1" x14ac:dyDescent="0.25">
      <c r="A30" s="45" t="s">
        <v>52</v>
      </c>
    </row>
    <row r="31" spans="1:1" x14ac:dyDescent="0.25">
      <c r="A31" s="46" t="s">
        <v>52</v>
      </c>
    </row>
    <row r="32" spans="1:1" x14ac:dyDescent="0.25">
      <c r="A32" s="47" t="s">
        <v>52</v>
      </c>
    </row>
    <row r="33" spans="1:1" x14ac:dyDescent="0.25">
      <c r="A33" s="48" t="s">
        <v>52</v>
      </c>
    </row>
    <row r="34" spans="1:1" x14ac:dyDescent="0.25">
      <c r="A34" s="49" t="s">
        <v>52</v>
      </c>
    </row>
    <row r="35" spans="1:1" x14ac:dyDescent="0.25">
      <c r="A35" s="50" t="s">
        <v>52</v>
      </c>
    </row>
    <row r="36" spans="1:1" x14ac:dyDescent="0.25">
      <c r="A36" s="51" t="s">
        <v>52</v>
      </c>
    </row>
    <row r="37" spans="1:1" x14ac:dyDescent="0.25">
      <c r="A37" s="52" t="s">
        <v>52</v>
      </c>
    </row>
    <row r="38" spans="1:1" x14ac:dyDescent="0.25">
      <c r="A38" s="53" t="s">
        <v>52</v>
      </c>
    </row>
    <row r="39" spans="1:1" x14ac:dyDescent="0.25">
      <c r="A39" s="54" t="s">
        <v>52</v>
      </c>
    </row>
    <row r="40" spans="1:1" x14ac:dyDescent="0.25">
      <c r="A40" s="55" t="s">
        <v>52</v>
      </c>
    </row>
    <row r="41" spans="1:1" x14ac:dyDescent="0.25">
      <c r="A41" s="56" t="s">
        <v>52</v>
      </c>
    </row>
    <row r="42" spans="1:1" x14ac:dyDescent="0.25">
      <c r="A42" s="57" t="s">
        <v>52</v>
      </c>
    </row>
    <row r="43" spans="1:1" x14ac:dyDescent="0.25">
      <c r="A43" s="58" t="s">
        <v>52</v>
      </c>
    </row>
    <row r="44" spans="1:1" x14ac:dyDescent="0.25">
      <c r="A44" s="59" t="s">
        <v>52</v>
      </c>
    </row>
    <row r="45" spans="1:1" x14ac:dyDescent="0.25">
      <c r="A45" s="60" t="s">
        <v>52</v>
      </c>
    </row>
    <row r="46" spans="1:1" x14ac:dyDescent="0.25">
      <c r="A46" s="61" t="s">
        <v>52</v>
      </c>
    </row>
    <row r="47" spans="1:1" x14ac:dyDescent="0.25">
      <c r="A47" s="62" t="s">
        <v>52</v>
      </c>
    </row>
    <row r="48" spans="1:1" x14ac:dyDescent="0.25">
      <c r="A48" s="63" t="s">
        <v>52</v>
      </c>
    </row>
    <row r="49" spans="1:1" x14ac:dyDescent="0.25">
      <c r="A49" s="64" t="s">
        <v>52</v>
      </c>
    </row>
    <row r="50" spans="1:1" x14ac:dyDescent="0.25">
      <c r="A50" s="65" t="s">
        <v>52</v>
      </c>
    </row>
    <row r="51" spans="1:1" x14ac:dyDescent="0.25">
      <c r="A51" s="66" t="s">
        <v>52</v>
      </c>
    </row>
    <row r="52" spans="1:1" x14ac:dyDescent="0.25">
      <c r="A52" s="67" t="s">
        <v>52</v>
      </c>
    </row>
    <row r="53" spans="1:1" x14ac:dyDescent="0.25">
      <c r="A53" s="68" t="s">
        <v>52</v>
      </c>
    </row>
    <row r="54" spans="1:1" x14ac:dyDescent="0.25">
      <c r="A54" s="69" t="s">
        <v>52</v>
      </c>
    </row>
    <row r="55" spans="1:1" x14ac:dyDescent="0.25">
      <c r="A55" s="70" t="s">
        <v>52</v>
      </c>
    </row>
    <row r="56" spans="1:1" x14ac:dyDescent="0.25">
      <c r="A56" s="71" t="s">
        <v>52</v>
      </c>
    </row>
    <row r="57" spans="1:1" x14ac:dyDescent="0.25">
      <c r="A57" s="72" t="s">
        <v>52</v>
      </c>
    </row>
    <row r="58" spans="1:1" x14ac:dyDescent="0.25">
      <c r="A58" s="73" t="s">
        <v>52</v>
      </c>
    </row>
    <row r="59" spans="1:1" x14ac:dyDescent="0.25">
      <c r="A59" s="74" t="s">
        <v>52</v>
      </c>
    </row>
    <row r="60" spans="1:1" x14ac:dyDescent="0.25">
      <c r="A60" s="75" t="s">
        <v>52</v>
      </c>
    </row>
    <row r="61" spans="1:1" x14ac:dyDescent="0.25">
      <c r="A61" s="76" t="s">
        <v>52</v>
      </c>
    </row>
    <row r="62" spans="1:1" x14ac:dyDescent="0.25">
      <c r="A62" s="77" t="s">
        <v>52</v>
      </c>
    </row>
    <row r="63" spans="1:1" x14ac:dyDescent="0.25">
      <c r="A63" s="78" t="s">
        <v>52</v>
      </c>
    </row>
    <row r="64" spans="1:1" x14ac:dyDescent="0.25">
      <c r="A64" s="79" t="s">
        <v>52</v>
      </c>
    </row>
    <row r="65" spans="1:1" x14ac:dyDescent="0.25">
      <c r="A65" s="80" t="s">
        <v>52</v>
      </c>
    </row>
    <row r="66" spans="1:1" x14ac:dyDescent="0.25">
      <c r="A66" s="81" t="s">
        <v>52</v>
      </c>
    </row>
    <row r="67" spans="1:1" x14ac:dyDescent="0.25">
      <c r="A67" s="82" t="s">
        <v>52</v>
      </c>
    </row>
    <row r="68" spans="1:1" x14ac:dyDescent="0.25">
      <c r="A68" s="83" t="s">
        <v>52</v>
      </c>
    </row>
    <row r="69" spans="1:1" x14ac:dyDescent="0.25">
      <c r="A69" s="84" t="s">
        <v>52</v>
      </c>
    </row>
    <row r="70" spans="1:1" x14ac:dyDescent="0.25">
      <c r="A70" s="85" t="s">
        <v>52</v>
      </c>
    </row>
    <row r="71" spans="1:1" x14ac:dyDescent="0.25">
      <c r="A71" s="86" t="s">
        <v>52</v>
      </c>
    </row>
    <row r="72" spans="1:1" x14ac:dyDescent="0.25">
      <c r="A72" s="87" t="s">
        <v>52</v>
      </c>
    </row>
    <row r="73" spans="1:1" x14ac:dyDescent="0.25">
      <c r="A73" s="88" t="s">
        <v>52</v>
      </c>
    </row>
    <row r="74" spans="1:1" x14ac:dyDescent="0.25">
      <c r="A74" s="89" t="s">
        <v>52</v>
      </c>
    </row>
    <row r="75" spans="1:1" x14ac:dyDescent="0.25">
      <c r="A75" s="90" t="s">
        <v>52</v>
      </c>
    </row>
    <row r="76" spans="1:1" x14ac:dyDescent="0.25">
      <c r="A76" s="120" t="s">
        <v>52</v>
      </c>
    </row>
    <row r="77" spans="1:1" x14ac:dyDescent="0.25">
      <c r="A77" s="121" t="s">
        <v>52</v>
      </c>
    </row>
    <row r="78" spans="1:1" x14ac:dyDescent="0.25">
      <c r="A78" s="122" t="s">
        <v>52</v>
      </c>
    </row>
    <row r="79" spans="1:1" x14ac:dyDescent="0.25">
      <c r="A79" s="123" t="s">
        <v>52</v>
      </c>
    </row>
    <row r="80" spans="1:1" x14ac:dyDescent="0.25">
      <c r="A80" s="124" t="s">
        <v>52</v>
      </c>
    </row>
    <row r="81" spans="1:1" x14ac:dyDescent="0.25">
      <c r="A81" s="125" t="s">
        <v>52</v>
      </c>
    </row>
    <row r="82" spans="1:1" x14ac:dyDescent="0.25">
      <c r="A82" s="126" t="s">
        <v>52</v>
      </c>
    </row>
    <row r="83" spans="1:1" x14ac:dyDescent="0.25">
      <c r="A83" s="127" t="s">
        <v>52</v>
      </c>
    </row>
    <row r="84" spans="1:1" x14ac:dyDescent="0.25">
      <c r="A84" s="128" t="s">
        <v>52</v>
      </c>
    </row>
    <row r="85" spans="1:1" x14ac:dyDescent="0.25">
      <c r="A85" s="129" t="s">
        <v>52</v>
      </c>
    </row>
    <row r="86" spans="1:1" x14ac:dyDescent="0.25">
      <c r="A86" s="130" t="s">
        <v>52</v>
      </c>
    </row>
    <row r="87" spans="1:1" x14ac:dyDescent="0.25">
      <c r="A87" s="131" t="s">
        <v>52</v>
      </c>
    </row>
    <row r="88" spans="1:1" x14ac:dyDescent="0.25">
      <c r="A88" s="132" t="s">
        <v>52</v>
      </c>
    </row>
    <row r="89" spans="1:1" x14ac:dyDescent="0.25">
      <c r="A89" s="133" t="s">
        <v>52</v>
      </c>
    </row>
    <row r="90" spans="1:1" x14ac:dyDescent="0.25">
      <c r="A90" s="134" t="s">
        <v>52</v>
      </c>
    </row>
    <row r="91" spans="1:1" x14ac:dyDescent="0.25">
      <c r="A91" s="135" t="s">
        <v>52</v>
      </c>
    </row>
    <row r="92" spans="1:1" x14ac:dyDescent="0.25">
      <c r="A92" s="136" t="s">
        <v>52</v>
      </c>
    </row>
    <row r="93" spans="1:1" x14ac:dyDescent="0.25">
      <c r="A93" s="137" t="s">
        <v>52</v>
      </c>
    </row>
    <row r="94" spans="1:1" x14ac:dyDescent="0.25">
      <c r="A94" s="138" t="s">
        <v>52</v>
      </c>
    </row>
    <row r="95" spans="1:1" x14ac:dyDescent="0.25">
      <c r="A95" s="139" t="s">
        <v>52</v>
      </c>
    </row>
    <row r="96" spans="1:1" x14ac:dyDescent="0.25">
      <c r="A96" s="19" t="s">
        <v>729</v>
      </c>
    </row>
    <row r="97" spans="1:1" x14ac:dyDescent="0.25">
      <c r="A97" s="20" t="s">
        <v>52</v>
      </c>
    </row>
    <row r="98" spans="1:1" x14ac:dyDescent="0.25">
      <c r="A98" s="21" t="s">
        <v>52</v>
      </c>
    </row>
    <row r="99" spans="1:1" x14ac:dyDescent="0.25">
      <c r="A99" s="22" t="s">
        <v>52</v>
      </c>
    </row>
    <row r="100" spans="1:1" x14ac:dyDescent="0.25">
      <c r="A100" s="23" t="s">
        <v>300</v>
      </c>
    </row>
    <row r="101" spans="1:1" x14ac:dyDescent="0.25">
      <c r="A101" s="24" t="s">
        <v>52</v>
      </c>
    </row>
    <row r="102" spans="1:1" x14ac:dyDescent="0.25">
      <c r="A102" s="25" t="s">
        <v>52</v>
      </c>
    </row>
    <row r="103" spans="1:1" x14ac:dyDescent="0.25">
      <c r="A103" s="26" t="s">
        <v>52</v>
      </c>
    </row>
    <row r="104" spans="1:1" x14ac:dyDescent="0.25">
      <c r="A104" s="27" t="s">
        <v>52</v>
      </c>
    </row>
    <row r="105" spans="1:1" x14ac:dyDescent="0.25">
      <c r="A105" s="28" t="s">
        <v>52</v>
      </c>
    </row>
    <row r="106" spans="1:1" x14ac:dyDescent="0.25">
      <c r="A106" s="29" t="s">
        <v>52</v>
      </c>
    </row>
    <row r="107" spans="1:1" x14ac:dyDescent="0.25">
      <c r="A107" s="30" t="s">
        <v>52</v>
      </c>
    </row>
    <row r="108" spans="1:1" x14ac:dyDescent="0.25">
      <c r="A108" s="31" t="s">
        <v>52</v>
      </c>
    </row>
    <row r="109" spans="1:1" x14ac:dyDescent="0.25">
      <c r="A109" s="32" t="s">
        <v>52</v>
      </c>
    </row>
    <row r="110" spans="1:1" x14ac:dyDescent="0.25">
      <c r="A110" s="33" t="s">
        <v>52</v>
      </c>
    </row>
    <row r="111" spans="1:1" x14ac:dyDescent="0.25">
      <c r="A111" s="34" t="s">
        <v>52</v>
      </c>
    </row>
    <row r="112" spans="1:1" x14ac:dyDescent="0.25">
      <c r="A112" s="35" t="s">
        <v>52</v>
      </c>
    </row>
    <row r="113" spans="1:1" x14ac:dyDescent="0.25">
      <c r="A113" s="36" t="s">
        <v>52</v>
      </c>
    </row>
    <row r="114" spans="1:1" x14ac:dyDescent="0.25">
      <c r="A114" s="37" t="s">
        <v>52</v>
      </c>
    </row>
    <row r="115" spans="1:1" x14ac:dyDescent="0.25">
      <c r="A115" s="38" t="s">
        <v>52</v>
      </c>
    </row>
    <row r="116" spans="1:1" x14ac:dyDescent="0.25">
      <c r="A116" s="39" t="s">
        <v>52</v>
      </c>
    </row>
    <row r="117" spans="1:1" x14ac:dyDescent="0.25">
      <c r="A117" s="40" t="s">
        <v>52</v>
      </c>
    </row>
    <row r="118" spans="1:1" x14ac:dyDescent="0.25">
      <c r="A118" s="41" t="s">
        <v>52</v>
      </c>
    </row>
    <row r="119" spans="1:1" x14ac:dyDescent="0.25">
      <c r="A119" s="42" t="s">
        <v>52</v>
      </c>
    </row>
    <row r="120" spans="1:1" x14ac:dyDescent="0.25">
      <c r="A120" s="43" t="s">
        <v>52</v>
      </c>
    </row>
    <row r="121" spans="1:1" x14ac:dyDescent="0.25">
      <c r="A121" s="44" t="s">
        <v>52</v>
      </c>
    </row>
    <row r="122" spans="1:1" x14ac:dyDescent="0.25">
      <c r="A122" s="45" t="s">
        <v>52</v>
      </c>
    </row>
    <row r="123" spans="1:1" x14ac:dyDescent="0.25">
      <c r="A123" s="46" t="s">
        <v>52</v>
      </c>
    </row>
    <row r="124" spans="1:1" x14ac:dyDescent="0.25">
      <c r="A124" s="47" t="s">
        <v>52</v>
      </c>
    </row>
    <row r="125" spans="1:1" x14ac:dyDescent="0.25">
      <c r="A125" s="48" t="s">
        <v>52</v>
      </c>
    </row>
    <row r="126" spans="1:1" x14ac:dyDescent="0.25">
      <c r="A126" s="49" t="s">
        <v>52</v>
      </c>
    </row>
    <row r="127" spans="1:1" x14ac:dyDescent="0.25">
      <c r="A127" s="50" t="s">
        <v>52</v>
      </c>
    </row>
    <row r="128" spans="1:1" x14ac:dyDescent="0.25">
      <c r="A128" s="51" t="s">
        <v>52</v>
      </c>
    </row>
    <row r="129" spans="1:1" x14ac:dyDescent="0.25">
      <c r="A129" s="52" t="s">
        <v>52</v>
      </c>
    </row>
    <row r="130" spans="1:1" x14ac:dyDescent="0.25">
      <c r="A130" s="53" t="s">
        <v>52</v>
      </c>
    </row>
    <row r="131" spans="1:1" x14ac:dyDescent="0.25">
      <c r="A131" s="54" t="s">
        <v>52</v>
      </c>
    </row>
    <row r="132" spans="1:1" x14ac:dyDescent="0.25">
      <c r="A132" s="55" t="s">
        <v>52</v>
      </c>
    </row>
    <row r="133" spans="1:1" x14ac:dyDescent="0.25">
      <c r="A133" s="56" t="s">
        <v>52</v>
      </c>
    </row>
    <row r="134" spans="1:1" x14ac:dyDescent="0.25">
      <c r="A134" s="57" t="s">
        <v>52</v>
      </c>
    </row>
    <row r="135" spans="1:1" x14ac:dyDescent="0.25">
      <c r="A135" s="58" t="s">
        <v>52</v>
      </c>
    </row>
    <row r="136" spans="1:1" x14ac:dyDescent="0.25">
      <c r="A136" s="59" t="s">
        <v>52</v>
      </c>
    </row>
    <row r="137" spans="1:1" x14ac:dyDescent="0.25">
      <c r="A137" s="60" t="s">
        <v>52</v>
      </c>
    </row>
    <row r="138" spans="1:1" x14ac:dyDescent="0.25">
      <c r="A138" s="61" t="s">
        <v>52</v>
      </c>
    </row>
    <row r="139" spans="1:1" x14ac:dyDescent="0.25">
      <c r="A139" s="62" t="s">
        <v>52</v>
      </c>
    </row>
    <row r="140" spans="1:1" x14ac:dyDescent="0.25">
      <c r="A140" s="63" t="s">
        <v>52</v>
      </c>
    </row>
    <row r="141" spans="1:1" x14ac:dyDescent="0.25">
      <c r="A141" s="64" t="s">
        <v>52</v>
      </c>
    </row>
    <row r="142" spans="1:1" x14ac:dyDescent="0.25">
      <c r="A142" s="65" t="s">
        <v>52</v>
      </c>
    </row>
    <row r="143" spans="1:1" x14ac:dyDescent="0.25">
      <c r="A143" s="66" t="s">
        <v>52</v>
      </c>
    </row>
    <row r="144" spans="1:1" x14ac:dyDescent="0.25">
      <c r="A144" s="67" t="s">
        <v>52</v>
      </c>
    </row>
    <row r="145" spans="1:1" x14ac:dyDescent="0.25">
      <c r="A145" s="68" t="s">
        <v>52</v>
      </c>
    </row>
    <row r="146" spans="1:1" x14ac:dyDescent="0.25">
      <c r="A146" s="69" t="s">
        <v>52</v>
      </c>
    </row>
    <row r="147" spans="1:1" x14ac:dyDescent="0.25">
      <c r="A147" s="70" t="s">
        <v>52</v>
      </c>
    </row>
    <row r="148" spans="1:1" x14ac:dyDescent="0.25">
      <c r="A148" s="71" t="s">
        <v>52</v>
      </c>
    </row>
    <row r="149" spans="1:1" x14ac:dyDescent="0.25">
      <c r="A149" s="72" t="s">
        <v>52</v>
      </c>
    </row>
    <row r="150" spans="1:1" x14ac:dyDescent="0.25">
      <c r="A150" s="73" t="s">
        <v>52</v>
      </c>
    </row>
    <row r="151" spans="1:1" x14ac:dyDescent="0.25">
      <c r="A151" s="74" t="s">
        <v>52</v>
      </c>
    </row>
    <row r="152" spans="1:1" x14ac:dyDescent="0.25">
      <c r="A152" s="75" t="s">
        <v>52</v>
      </c>
    </row>
    <row r="153" spans="1:1" x14ac:dyDescent="0.25">
      <c r="A153" s="76" t="s">
        <v>52</v>
      </c>
    </row>
    <row r="154" spans="1:1" x14ac:dyDescent="0.25">
      <c r="A154" s="77" t="s">
        <v>52</v>
      </c>
    </row>
    <row r="155" spans="1:1" x14ac:dyDescent="0.25">
      <c r="A155" s="78" t="s">
        <v>52</v>
      </c>
    </row>
    <row r="156" spans="1:1" x14ac:dyDescent="0.25">
      <c r="A156" s="79" t="s">
        <v>52</v>
      </c>
    </row>
    <row r="157" spans="1:1" x14ac:dyDescent="0.25">
      <c r="A157" s="80" t="s">
        <v>52</v>
      </c>
    </row>
    <row r="158" spans="1:1" x14ac:dyDescent="0.25">
      <c r="A158" s="81" t="s">
        <v>52</v>
      </c>
    </row>
    <row r="159" spans="1:1" x14ac:dyDescent="0.25">
      <c r="A159" s="82" t="s">
        <v>52</v>
      </c>
    </row>
    <row r="160" spans="1:1" x14ac:dyDescent="0.25">
      <c r="A160" s="83" t="s">
        <v>52</v>
      </c>
    </row>
    <row r="161" spans="1:1" x14ac:dyDescent="0.25">
      <c r="A161" s="84" t="s">
        <v>52</v>
      </c>
    </row>
    <row r="162" spans="1:1" x14ac:dyDescent="0.25">
      <c r="A162" s="85" t="s">
        <v>52</v>
      </c>
    </row>
    <row r="163" spans="1:1" x14ac:dyDescent="0.25">
      <c r="A163" s="86" t="s">
        <v>52</v>
      </c>
    </row>
    <row r="164" spans="1:1" x14ac:dyDescent="0.25">
      <c r="A164" s="87" t="s">
        <v>52</v>
      </c>
    </row>
    <row r="165" spans="1:1" x14ac:dyDescent="0.25">
      <c r="A165" s="88" t="s">
        <v>52</v>
      </c>
    </row>
    <row r="166" spans="1:1" x14ac:dyDescent="0.25">
      <c r="A166" s="89" t="s">
        <v>52</v>
      </c>
    </row>
    <row r="167" spans="1:1" x14ac:dyDescent="0.25">
      <c r="A167" s="90" t="s">
        <v>52</v>
      </c>
    </row>
    <row r="168" spans="1:1" x14ac:dyDescent="0.25">
      <c r="A168" s="120" t="s">
        <v>52</v>
      </c>
    </row>
    <row r="169" spans="1:1" x14ac:dyDescent="0.25">
      <c r="A169" s="121" t="s">
        <v>52</v>
      </c>
    </row>
    <row r="170" spans="1:1" x14ac:dyDescent="0.25">
      <c r="A170" s="122" t="s">
        <v>52</v>
      </c>
    </row>
    <row r="171" spans="1:1" x14ac:dyDescent="0.25">
      <c r="A171" s="123" t="s">
        <v>52</v>
      </c>
    </row>
    <row r="172" spans="1:1" x14ac:dyDescent="0.25">
      <c r="A172" s="124" t="s">
        <v>52</v>
      </c>
    </row>
    <row r="173" spans="1:1" x14ac:dyDescent="0.25">
      <c r="A173" s="125" t="s">
        <v>305</v>
      </c>
    </row>
    <row r="174" spans="1:1" x14ac:dyDescent="0.25">
      <c r="A174" s="126" t="s">
        <v>52</v>
      </c>
    </row>
    <row r="175" spans="1:1" x14ac:dyDescent="0.25">
      <c r="A175" s="127" t="s">
        <v>306</v>
      </c>
    </row>
    <row r="176" spans="1:1" x14ac:dyDescent="0.25">
      <c r="A176" s="128" t="s">
        <v>52</v>
      </c>
    </row>
    <row r="177" spans="1:1" x14ac:dyDescent="0.25">
      <c r="A177" s="129" t="s">
        <v>52</v>
      </c>
    </row>
    <row r="178" spans="1:1" x14ac:dyDescent="0.25">
      <c r="A178" s="130" t="s">
        <v>52</v>
      </c>
    </row>
    <row r="179" spans="1:1" x14ac:dyDescent="0.25">
      <c r="A179" s="131" t="s">
        <v>52</v>
      </c>
    </row>
    <row r="180" spans="1:1" x14ac:dyDescent="0.25">
      <c r="A180" s="132" t="s">
        <v>52</v>
      </c>
    </row>
    <row r="181" spans="1:1" x14ac:dyDescent="0.25">
      <c r="A181" s="133" t="s">
        <v>52</v>
      </c>
    </row>
    <row r="182" spans="1:1" x14ac:dyDescent="0.25">
      <c r="A182" s="134" t="s">
        <v>52</v>
      </c>
    </row>
    <row r="183" spans="1:1" x14ac:dyDescent="0.25">
      <c r="A183" s="135" t="s">
        <v>52</v>
      </c>
    </row>
    <row r="184" spans="1:1" x14ac:dyDescent="0.25">
      <c r="A184" s="136" t="s">
        <v>52</v>
      </c>
    </row>
    <row r="185" spans="1:1" x14ac:dyDescent="0.25">
      <c r="A185" s="137" t="s">
        <v>52</v>
      </c>
    </row>
    <row r="186" spans="1:1" x14ac:dyDescent="0.25">
      <c r="A186" s="138" t="s">
        <v>52</v>
      </c>
    </row>
    <row r="187" spans="1:1" x14ac:dyDescent="0.25">
      <c r="A187" s="139" t="s">
        <v>52</v>
      </c>
    </row>
    <row r="188" spans="1:1" x14ac:dyDescent="0.25">
      <c r="A188" s="19" t="s">
        <v>749</v>
      </c>
    </row>
    <row r="189" spans="1:1" x14ac:dyDescent="0.25">
      <c r="A189" s="20" t="s">
        <v>52</v>
      </c>
    </row>
    <row r="190" spans="1:1" x14ac:dyDescent="0.25">
      <c r="A190" s="21" t="s">
        <v>52</v>
      </c>
    </row>
    <row r="191" spans="1:1" x14ac:dyDescent="0.25">
      <c r="A191" s="22" t="s">
        <v>52</v>
      </c>
    </row>
    <row r="192" spans="1:1" x14ac:dyDescent="0.25">
      <c r="A192" s="23" t="s">
        <v>52</v>
      </c>
    </row>
    <row r="193" spans="1:1" x14ac:dyDescent="0.25">
      <c r="A193" s="24" t="s">
        <v>52</v>
      </c>
    </row>
    <row r="194" spans="1:1" x14ac:dyDescent="0.25">
      <c r="A194" s="25" t="s">
        <v>52</v>
      </c>
    </row>
    <row r="195" spans="1:1" x14ac:dyDescent="0.25">
      <c r="A195" s="26" t="s">
        <v>52</v>
      </c>
    </row>
    <row r="196" spans="1:1" x14ac:dyDescent="0.25">
      <c r="A196" s="27" t="s">
        <v>52</v>
      </c>
    </row>
    <row r="197" spans="1:1" x14ac:dyDescent="0.25">
      <c r="A197" s="28" t="s">
        <v>52</v>
      </c>
    </row>
    <row r="198" spans="1:1" x14ac:dyDescent="0.25">
      <c r="A198" s="29" t="s">
        <v>52</v>
      </c>
    </row>
    <row r="199" spans="1:1" x14ac:dyDescent="0.25">
      <c r="A199" s="30" t="s">
        <v>52</v>
      </c>
    </row>
    <row r="200" spans="1:1" x14ac:dyDescent="0.25">
      <c r="A200" s="31" t="s">
        <v>52</v>
      </c>
    </row>
    <row r="201" spans="1:1" x14ac:dyDescent="0.25">
      <c r="A201" s="32" t="s">
        <v>52</v>
      </c>
    </row>
    <row r="202" spans="1:1" x14ac:dyDescent="0.25">
      <c r="A202" s="33" t="s">
        <v>52</v>
      </c>
    </row>
    <row r="203" spans="1:1" x14ac:dyDescent="0.25">
      <c r="A203" s="34" t="s">
        <v>52</v>
      </c>
    </row>
    <row r="204" spans="1:1" x14ac:dyDescent="0.25">
      <c r="A204" s="35" t="s">
        <v>52</v>
      </c>
    </row>
    <row r="205" spans="1:1" x14ac:dyDescent="0.25">
      <c r="A205" s="36" t="s">
        <v>52</v>
      </c>
    </row>
    <row r="206" spans="1:1" x14ac:dyDescent="0.25">
      <c r="A206" s="37" t="s">
        <v>52</v>
      </c>
    </row>
    <row r="207" spans="1:1" x14ac:dyDescent="0.25">
      <c r="A207" s="38" t="s">
        <v>52</v>
      </c>
    </row>
    <row r="208" spans="1:1" x14ac:dyDescent="0.25">
      <c r="A208" s="39" t="s">
        <v>52</v>
      </c>
    </row>
    <row r="209" spans="1:1" x14ac:dyDescent="0.25">
      <c r="A209" s="40" t="s">
        <v>52</v>
      </c>
    </row>
    <row r="210" spans="1:1" x14ac:dyDescent="0.25">
      <c r="A210" s="41" t="s">
        <v>52</v>
      </c>
    </row>
    <row r="211" spans="1:1" x14ac:dyDescent="0.25">
      <c r="A211" s="42" t="s">
        <v>52</v>
      </c>
    </row>
    <row r="212" spans="1:1" x14ac:dyDescent="0.25">
      <c r="A212" s="43" t="s">
        <v>52</v>
      </c>
    </row>
    <row r="213" spans="1:1" x14ac:dyDescent="0.25">
      <c r="A213" s="44" t="s">
        <v>52</v>
      </c>
    </row>
    <row r="214" spans="1:1" x14ac:dyDescent="0.25">
      <c r="A214" s="45" t="s">
        <v>52</v>
      </c>
    </row>
    <row r="215" spans="1:1" x14ac:dyDescent="0.25">
      <c r="A215" s="46" t="s">
        <v>52</v>
      </c>
    </row>
    <row r="216" spans="1:1" x14ac:dyDescent="0.25">
      <c r="A216" s="47" t="s">
        <v>52</v>
      </c>
    </row>
    <row r="217" spans="1:1" x14ac:dyDescent="0.25">
      <c r="A217" s="48" t="s">
        <v>52</v>
      </c>
    </row>
    <row r="218" spans="1:1" x14ac:dyDescent="0.25">
      <c r="A218" s="49" t="s">
        <v>52</v>
      </c>
    </row>
    <row r="219" spans="1:1" x14ac:dyDescent="0.25">
      <c r="A219" s="50" t="s">
        <v>52</v>
      </c>
    </row>
    <row r="220" spans="1:1" x14ac:dyDescent="0.25">
      <c r="A220" s="51" t="s">
        <v>52</v>
      </c>
    </row>
    <row r="221" spans="1:1" x14ac:dyDescent="0.25">
      <c r="A221" s="52" t="s">
        <v>52</v>
      </c>
    </row>
    <row r="222" spans="1:1" x14ac:dyDescent="0.25">
      <c r="A222" s="53" t="s">
        <v>52</v>
      </c>
    </row>
    <row r="223" spans="1:1" x14ac:dyDescent="0.25">
      <c r="A223" s="54" t="s">
        <v>52</v>
      </c>
    </row>
    <row r="224" spans="1:1" x14ac:dyDescent="0.25">
      <c r="A224" s="55" t="s">
        <v>52</v>
      </c>
    </row>
    <row r="225" spans="1:1" x14ac:dyDescent="0.25">
      <c r="A225" s="56" t="s">
        <v>52</v>
      </c>
    </row>
    <row r="226" spans="1:1" x14ac:dyDescent="0.25">
      <c r="A226" s="57" t="s">
        <v>52</v>
      </c>
    </row>
    <row r="227" spans="1:1" x14ac:dyDescent="0.25">
      <c r="A227" s="58" t="s">
        <v>52</v>
      </c>
    </row>
    <row r="228" spans="1:1" x14ac:dyDescent="0.25">
      <c r="A228" s="59" t="s">
        <v>52</v>
      </c>
    </row>
    <row r="229" spans="1:1" x14ac:dyDescent="0.25">
      <c r="A229" s="60" t="s">
        <v>52</v>
      </c>
    </row>
    <row r="230" spans="1:1" x14ac:dyDescent="0.25">
      <c r="A230" s="61" t="s">
        <v>52</v>
      </c>
    </row>
    <row r="231" spans="1:1" x14ac:dyDescent="0.25">
      <c r="A231" s="62" t="s">
        <v>52</v>
      </c>
    </row>
    <row r="232" spans="1:1" x14ac:dyDescent="0.25">
      <c r="A232" s="63" t="s">
        <v>52</v>
      </c>
    </row>
    <row r="233" spans="1:1" x14ac:dyDescent="0.25">
      <c r="A233" s="64" t="s">
        <v>52</v>
      </c>
    </row>
    <row r="234" spans="1:1" x14ac:dyDescent="0.25">
      <c r="A234" s="65" t="s">
        <v>52</v>
      </c>
    </row>
    <row r="235" spans="1:1" x14ac:dyDescent="0.25">
      <c r="A235" s="66" t="s">
        <v>52</v>
      </c>
    </row>
    <row r="236" spans="1:1" x14ac:dyDescent="0.25">
      <c r="A236" s="67" t="s">
        <v>52</v>
      </c>
    </row>
    <row r="237" spans="1:1" x14ac:dyDescent="0.25">
      <c r="A237" s="68" t="s">
        <v>52</v>
      </c>
    </row>
    <row r="238" spans="1:1" x14ac:dyDescent="0.25">
      <c r="A238" s="69" t="s">
        <v>52</v>
      </c>
    </row>
    <row r="239" spans="1:1" x14ac:dyDescent="0.25">
      <c r="A239" s="70" t="s">
        <v>52</v>
      </c>
    </row>
    <row r="240" spans="1:1" x14ac:dyDescent="0.25">
      <c r="A240" s="71" t="s">
        <v>52</v>
      </c>
    </row>
    <row r="241" spans="1:1" x14ac:dyDescent="0.25">
      <c r="A241" s="72" t="s">
        <v>52</v>
      </c>
    </row>
    <row r="242" spans="1:1" x14ac:dyDescent="0.25">
      <c r="A242" s="73" t="s">
        <v>52</v>
      </c>
    </row>
    <row r="243" spans="1:1" x14ac:dyDescent="0.25">
      <c r="A243" s="74" t="s">
        <v>52</v>
      </c>
    </row>
    <row r="244" spans="1:1" x14ac:dyDescent="0.25">
      <c r="A244" s="75" t="s">
        <v>52</v>
      </c>
    </row>
    <row r="245" spans="1:1" x14ac:dyDescent="0.25">
      <c r="A245" s="76" t="s">
        <v>750</v>
      </c>
    </row>
    <row r="246" spans="1:1" x14ac:dyDescent="0.25">
      <c r="A246" s="77" t="s">
        <v>52</v>
      </c>
    </row>
    <row r="247" spans="1:1" x14ac:dyDescent="0.25">
      <c r="A247" s="78" t="s">
        <v>52</v>
      </c>
    </row>
    <row r="248" spans="1:1" x14ac:dyDescent="0.25">
      <c r="A248" s="79" t="s">
        <v>52</v>
      </c>
    </row>
    <row r="249" spans="1:1" x14ac:dyDescent="0.25">
      <c r="A249" s="80" t="s">
        <v>52</v>
      </c>
    </row>
    <row r="250" spans="1:1" x14ac:dyDescent="0.25">
      <c r="A250" s="81" t="s">
        <v>52</v>
      </c>
    </row>
    <row r="251" spans="1:1" x14ac:dyDescent="0.25">
      <c r="A251" s="82" t="s">
        <v>52</v>
      </c>
    </row>
    <row r="252" spans="1:1" x14ac:dyDescent="0.25">
      <c r="A252" s="83" t="s">
        <v>52</v>
      </c>
    </row>
    <row r="253" spans="1:1" x14ac:dyDescent="0.25">
      <c r="A253" s="84" t="s">
        <v>52</v>
      </c>
    </row>
    <row r="254" spans="1:1" x14ac:dyDescent="0.25">
      <c r="A254" s="85" t="s">
        <v>52</v>
      </c>
    </row>
    <row r="255" spans="1:1" x14ac:dyDescent="0.25">
      <c r="A255" s="86" t="s">
        <v>52</v>
      </c>
    </row>
    <row r="256" spans="1:1" x14ac:dyDescent="0.25">
      <c r="A256" s="87" t="s">
        <v>52</v>
      </c>
    </row>
    <row r="257" spans="1:1" x14ac:dyDescent="0.25">
      <c r="A257" s="88" t="s">
        <v>52</v>
      </c>
    </row>
    <row r="258" spans="1:1" x14ac:dyDescent="0.25">
      <c r="A258" s="89" t="s">
        <v>52</v>
      </c>
    </row>
    <row r="259" spans="1:1" x14ac:dyDescent="0.25">
      <c r="A259" s="90" t="s">
        <v>52</v>
      </c>
    </row>
    <row r="260" spans="1:1" x14ac:dyDescent="0.25">
      <c r="A260" s="120" t="s">
        <v>52</v>
      </c>
    </row>
    <row r="261" spans="1:1" x14ac:dyDescent="0.25">
      <c r="A261" s="121" t="s">
        <v>52</v>
      </c>
    </row>
    <row r="262" spans="1:1" x14ac:dyDescent="0.25">
      <c r="A262" s="122" t="s">
        <v>52</v>
      </c>
    </row>
    <row r="263" spans="1:1" x14ac:dyDescent="0.25">
      <c r="A263" s="123" t="s">
        <v>52</v>
      </c>
    </row>
    <row r="264" spans="1:1" x14ac:dyDescent="0.25">
      <c r="A264" s="124" t="s">
        <v>52</v>
      </c>
    </row>
    <row r="265" spans="1:1" x14ac:dyDescent="0.25">
      <c r="A265" s="125" t="s">
        <v>52</v>
      </c>
    </row>
    <row r="266" spans="1:1" x14ac:dyDescent="0.25">
      <c r="A266" s="126" t="s">
        <v>52</v>
      </c>
    </row>
    <row r="267" spans="1:1" x14ac:dyDescent="0.25">
      <c r="A267" s="127" t="s">
        <v>52</v>
      </c>
    </row>
    <row r="268" spans="1:1" x14ac:dyDescent="0.25">
      <c r="A268" s="128" t="s">
        <v>52</v>
      </c>
    </row>
    <row r="269" spans="1:1" x14ac:dyDescent="0.25">
      <c r="A269" s="129" t="s">
        <v>52</v>
      </c>
    </row>
    <row r="270" spans="1:1" x14ac:dyDescent="0.25">
      <c r="A270" s="130" t="s">
        <v>52</v>
      </c>
    </row>
    <row r="271" spans="1:1" x14ac:dyDescent="0.25">
      <c r="A271" s="131" t="s">
        <v>52</v>
      </c>
    </row>
    <row r="272" spans="1:1" x14ac:dyDescent="0.25">
      <c r="A272" s="132" t="s">
        <v>52</v>
      </c>
    </row>
    <row r="273" spans="1:1" x14ac:dyDescent="0.25">
      <c r="A273" s="133" t="s">
        <v>52</v>
      </c>
    </row>
    <row r="274" spans="1:1" x14ac:dyDescent="0.25">
      <c r="A274" s="134" t="s">
        <v>52</v>
      </c>
    </row>
    <row r="275" spans="1:1" x14ac:dyDescent="0.25">
      <c r="A275" s="135" t="s">
        <v>52</v>
      </c>
    </row>
    <row r="276" spans="1:1" x14ac:dyDescent="0.25">
      <c r="A276" s="136" t="s">
        <v>52</v>
      </c>
    </row>
    <row r="277" spans="1:1" x14ac:dyDescent="0.25">
      <c r="A277" s="137" t="s">
        <v>52</v>
      </c>
    </row>
    <row r="278" spans="1:1" x14ac:dyDescent="0.25">
      <c r="A278" s="138" t="s">
        <v>52</v>
      </c>
    </row>
    <row r="279" spans="1:1" x14ac:dyDescent="0.25">
      <c r="A279" s="139" t="s">
        <v>52</v>
      </c>
    </row>
    <row r="280" spans="1:1" x14ac:dyDescent="0.25">
      <c r="A280" s="19" t="s">
        <v>751</v>
      </c>
    </row>
    <row r="281" spans="1:1" x14ac:dyDescent="0.25">
      <c r="A281" s="20" t="s">
        <v>52</v>
      </c>
    </row>
    <row r="282" spans="1:1" x14ac:dyDescent="0.25">
      <c r="A282" s="21" t="s">
        <v>52</v>
      </c>
    </row>
    <row r="283" spans="1:1" x14ac:dyDescent="0.25">
      <c r="A283" s="22" t="s">
        <v>52</v>
      </c>
    </row>
    <row r="284" spans="1:1" x14ac:dyDescent="0.25">
      <c r="A284" s="23" t="s">
        <v>52</v>
      </c>
    </row>
    <row r="285" spans="1:1" x14ac:dyDescent="0.25">
      <c r="A285" s="24" t="s">
        <v>52</v>
      </c>
    </row>
    <row r="286" spans="1:1" x14ac:dyDescent="0.25">
      <c r="A286" s="25" t="s">
        <v>52</v>
      </c>
    </row>
    <row r="287" spans="1:1" x14ac:dyDescent="0.25">
      <c r="A287" s="26" t="s">
        <v>52</v>
      </c>
    </row>
    <row r="288" spans="1:1" x14ac:dyDescent="0.25">
      <c r="A288" s="27" t="s">
        <v>52</v>
      </c>
    </row>
    <row r="289" spans="1:1" x14ac:dyDescent="0.25">
      <c r="A289" s="28" t="s">
        <v>52</v>
      </c>
    </row>
    <row r="290" spans="1:1" x14ac:dyDescent="0.25">
      <c r="A290" s="29" t="s">
        <v>52</v>
      </c>
    </row>
    <row r="291" spans="1:1" x14ac:dyDescent="0.25">
      <c r="A291" s="30" t="s">
        <v>52</v>
      </c>
    </row>
    <row r="292" spans="1:1" x14ac:dyDescent="0.25">
      <c r="A292" s="31" t="s">
        <v>52</v>
      </c>
    </row>
    <row r="293" spans="1:1" x14ac:dyDescent="0.25">
      <c r="A293" s="32" t="s">
        <v>52</v>
      </c>
    </row>
    <row r="294" spans="1:1" x14ac:dyDescent="0.25">
      <c r="A294" s="33" t="s">
        <v>52</v>
      </c>
    </row>
    <row r="295" spans="1:1" x14ac:dyDescent="0.25">
      <c r="A295" s="34" t="s">
        <v>52</v>
      </c>
    </row>
    <row r="296" spans="1:1" x14ac:dyDescent="0.25">
      <c r="A296" s="35" t="s">
        <v>52</v>
      </c>
    </row>
    <row r="297" spans="1:1" x14ac:dyDescent="0.25">
      <c r="A297" s="36" t="s">
        <v>52</v>
      </c>
    </row>
    <row r="298" spans="1:1" x14ac:dyDescent="0.25">
      <c r="A298" s="37" t="s">
        <v>52</v>
      </c>
    </row>
    <row r="299" spans="1:1" x14ac:dyDescent="0.25">
      <c r="A299" s="38" t="s">
        <v>52</v>
      </c>
    </row>
    <row r="300" spans="1:1" x14ac:dyDescent="0.25">
      <c r="A300" s="39" t="s">
        <v>52</v>
      </c>
    </row>
    <row r="301" spans="1:1" x14ac:dyDescent="0.25">
      <c r="A301" s="40" t="s">
        <v>52</v>
      </c>
    </row>
    <row r="302" spans="1:1" x14ac:dyDescent="0.25">
      <c r="A302" s="41" t="s">
        <v>52</v>
      </c>
    </row>
    <row r="303" spans="1:1" x14ac:dyDescent="0.25">
      <c r="A303" s="42" t="s">
        <v>52</v>
      </c>
    </row>
    <row r="304" spans="1:1" x14ac:dyDescent="0.25">
      <c r="A304" s="43" t="s">
        <v>52</v>
      </c>
    </row>
    <row r="305" spans="1:1" x14ac:dyDescent="0.25">
      <c r="A305" s="44" t="s">
        <v>52</v>
      </c>
    </row>
    <row r="306" spans="1:1" x14ac:dyDescent="0.25">
      <c r="A306" s="45" t="s">
        <v>52</v>
      </c>
    </row>
    <row r="307" spans="1:1" x14ac:dyDescent="0.25">
      <c r="A307" s="46" t="s">
        <v>52</v>
      </c>
    </row>
    <row r="308" spans="1:1" x14ac:dyDescent="0.25">
      <c r="A308" s="47" t="s">
        <v>52</v>
      </c>
    </row>
    <row r="309" spans="1:1" x14ac:dyDescent="0.25">
      <c r="A309" s="48" t="s">
        <v>52</v>
      </c>
    </row>
    <row r="310" spans="1:1" x14ac:dyDescent="0.25">
      <c r="A310" s="49" t="s">
        <v>52</v>
      </c>
    </row>
    <row r="311" spans="1:1" x14ac:dyDescent="0.25">
      <c r="A311" s="50" t="s">
        <v>52</v>
      </c>
    </row>
    <row r="312" spans="1:1" x14ac:dyDescent="0.25">
      <c r="A312" s="51" t="s">
        <v>52</v>
      </c>
    </row>
    <row r="313" spans="1:1" x14ac:dyDescent="0.25">
      <c r="A313" s="52" t="s">
        <v>52</v>
      </c>
    </row>
    <row r="314" spans="1:1" x14ac:dyDescent="0.25">
      <c r="A314" s="53" t="s">
        <v>52</v>
      </c>
    </row>
    <row r="315" spans="1:1" x14ac:dyDescent="0.25">
      <c r="A315" s="54" t="s">
        <v>52</v>
      </c>
    </row>
    <row r="316" spans="1:1" x14ac:dyDescent="0.25">
      <c r="A316" s="55" t="s">
        <v>52</v>
      </c>
    </row>
    <row r="317" spans="1:1" x14ac:dyDescent="0.25">
      <c r="A317" s="56" t="s">
        <v>52</v>
      </c>
    </row>
    <row r="318" spans="1:1" x14ac:dyDescent="0.25">
      <c r="A318" s="57" t="s">
        <v>52</v>
      </c>
    </row>
    <row r="319" spans="1:1" x14ac:dyDescent="0.25">
      <c r="A319" s="58" t="s">
        <v>52</v>
      </c>
    </row>
    <row r="320" spans="1:1" x14ac:dyDescent="0.25">
      <c r="A320" s="59" t="s">
        <v>52</v>
      </c>
    </row>
    <row r="321" spans="1:1" x14ac:dyDescent="0.25">
      <c r="A321" s="60" t="s">
        <v>52</v>
      </c>
    </row>
    <row r="322" spans="1:1" x14ac:dyDescent="0.25">
      <c r="A322" s="61" t="s">
        <v>52</v>
      </c>
    </row>
    <row r="323" spans="1:1" x14ac:dyDescent="0.25">
      <c r="A323" s="62" t="s">
        <v>52</v>
      </c>
    </row>
    <row r="324" spans="1:1" x14ac:dyDescent="0.25">
      <c r="A324" s="63" t="s">
        <v>52</v>
      </c>
    </row>
    <row r="325" spans="1:1" x14ac:dyDescent="0.25">
      <c r="A325" s="64" t="s">
        <v>52</v>
      </c>
    </row>
    <row r="326" spans="1:1" x14ac:dyDescent="0.25">
      <c r="A326" s="65" t="s">
        <v>52</v>
      </c>
    </row>
    <row r="327" spans="1:1" x14ac:dyDescent="0.25">
      <c r="A327" s="66" t="s">
        <v>52</v>
      </c>
    </row>
    <row r="328" spans="1:1" x14ac:dyDescent="0.25">
      <c r="A328" s="67" t="s">
        <v>52</v>
      </c>
    </row>
    <row r="329" spans="1:1" x14ac:dyDescent="0.25">
      <c r="A329" s="68" t="s">
        <v>52</v>
      </c>
    </row>
    <row r="330" spans="1:1" x14ac:dyDescent="0.25">
      <c r="A330" s="69" t="s">
        <v>52</v>
      </c>
    </row>
    <row r="331" spans="1:1" x14ac:dyDescent="0.25">
      <c r="A331" s="70" t="s">
        <v>52</v>
      </c>
    </row>
    <row r="332" spans="1:1" x14ac:dyDescent="0.25">
      <c r="A332" s="71" t="s">
        <v>52</v>
      </c>
    </row>
    <row r="333" spans="1:1" x14ac:dyDescent="0.25">
      <c r="A333" s="72" t="s">
        <v>52</v>
      </c>
    </row>
    <row r="334" spans="1:1" x14ac:dyDescent="0.25">
      <c r="A334" s="73" t="s">
        <v>52</v>
      </c>
    </row>
    <row r="335" spans="1:1" x14ac:dyDescent="0.25">
      <c r="A335" s="74" t="s">
        <v>52</v>
      </c>
    </row>
    <row r="336" spans="1:1" x14ac:dyDescent="0.25">
      <c r="A336" s="75" t="s">
        <v>52</v>
      </c>
    </row>
    <row r="337" spans="1:1" x14ac:dyDescent="0.25">
      <c r="A337" s="76" t="s">
        <v>752</v>
      </c>
    </row>
    <row r="338" spans="1:1" x14ac:dyDescent="0.25">
      <c r="A338" s="77" t="s">
        <v>52</v>
      </c>
    </row>
    <row r="339" spans="1:1" x14ac:dyDescent="0.25">
      <c r="A339" s="78" t="s">
        <v>52</v>
      </c>
    </row>
    <row r="340" spans="1:1" x14ac:dyDescent="0.25">
      <c r="A340" s="79" t="s">
        <v>52</v>
      </c>
    </row>
    <row r="341" spans="1:1" x14ac:dyDescent="0.25">
      <c r="A341" s="80" t="s">
        <v>52</v>
      </c>
    </row>
    <row r="342" spans="1:1" x14ac:dyDescent="0.25">
      <c r="A342" s="81" t="s">
        <v>52</v>
      </c>
    </row>
    <row r="343" spans="1:1" x14ac:dyDescent="0.25">
      <c r="A343" s="82" t="s">
        <v>52</v>
      </c>
    </row>
    <row r="344" spans="1:1" x14ac:dyDescent="0.25">
      <c r="A344" s="83" t="s">
        <v>52</v>
      </c>
    </row>
    <row r="345" spans="1:1" x14ac:dyDescent="0.25">
      <c r="A345" s="84" t="s">
        <v>52</v>
      </c>
    </row>
    <row r="346" spans="1:1" x14ac:dyDescent="0.25">
      <c r="A346" s="85" t="s">
        <v>52</v>
      </c>
    </row>
    <row r="347" spans="1:1" x14ac:dyDescent="0.25">
      <c r="A347" s="86" t="s">
        <v>52</v>
      </c>
    </row>
    <row r="348" spans="1:1" x14ac:dyDescent="0.25">
      <c r="A348" s="87" t="s">
        <v>52</v>
      </c>
    </row>
    <row r="349" spans="1:1" x14ac:dyDescent="0.25">
      <c r="A349" s="88" t="s">
        <v>52</v>
      </c>
    </row>
    <row r="350" spans="1:1" x14ac:dyDescent="0.25">
      <c r="A350" s="89" t="s">
        <v>52</v>
      </c>
    </row>
    <row r="351" spans="1:1" x14ac:dyDescent="0.25">
      <c r="A351" s="90" t="s">
        <v>52</v>
      </c>
    </row>
    <row r="352" spans="1:1" x14ac:dyDescent="0.25">
      <c r="A352" s="120" t="s">
        <v>52</v>
      </c>
    </row>
    <row r="353" spans="1:1" x14ac:dyDescent="0.25">
      <c r="A353" s="121" t="s">
        <v>52</v>
      </c>
    </row>
    <row r="354" spans="1:1" x14ac:dyDescent="0.25">
      <c r="A354" s="122" t="s">
        <v>52</v>
      </c>
    </row>
    <row r="355" spans="1:1" x14ac:dyDescent="0.25">
      <c r="A355" s="123" t="s">
        <v>52</v>
      </c>
    </row>
    <row r="356" spans="1:1" x14ac:dyDescent="0.25">
      <c r="A356" s="124" t="s">
        <v>52</v>
      </c>
    </row>
    <row r="357" spans="1:1" x14ac:dyDescent="0.25">
      <c r="A357" s="125" t="s">
        <v>52</v>
      </c>
    </row>
    <row r="358" spans="1:1" x14ac:dyDescent="0.25">
      <c r="A358" s="126" t="s">
        <v>52</v>
      </c>
    </row>
    <row r="359" spans="1:1" x14ac:dyDescent="0.25">
      <c r="A359" s="127" t="s">
        <v>52</v>
      </c>
    </row>
    <row r="360" spans="1:1" x14ac:dyDescent="0.25">
      <c r="A360" s="128" t="s">
        <v>52</v>
      </c>
    </row>
    <row r="361" spans="1:1" x14ac:dyDescent="0.25">
      <c r="A361" s="129" t="s">
        <v>52</v>
      </c>
    </row>
    <row r="362" spans="1:1" x14ac:dyDescent="0.25">
      <c r="A362" s="130" t="s">
        <v>52</v>
      </c>
    </row>
    <row r="363" spans="1:1" x14ac:dyDescent="0.25">
      <c r="A363" s="131" t="s">
        <v>52</v>
      </c>
    </row>
    <row r="364" spans="1:1" x14ac:dyDescent="0.25">
      <c r="A364" s="132" t="s">
        <v>52</v>
      </c>
    </row>
    <row r="365" spans="1:1" x14ac:dyDescent="0.25">
      <c r="A365" s="133" t="s">
        <v>52</v>
      </c>
    </row>
    <row r="366" spans="1:1" x14ac:dyDescent="0.25">
      <c r="A366" s="134" t="s">
        <v>52</v>
      </c>
    </row>
    <row r="367" spans="1:1" x14ac:dyDescent="0.25">
      <c r="A367" s="135" t="s">
        <v>52</v>
      </c>
    </row>
    <row r="368" spans="1:1" x14ac:dyDescent="0.25">
      <c r="A368" s="136" t="s">
        <v>52</v>
      </c>
    </row>
    <row r="369" spans="1:1" x14ac:dyDescent="0.25">
      <c r="A369" s="137" t="s">
        <v>52</v>
      </c>
    </row>
    <row r="370" spans="1:1" x14ac:dyDescent="0.25">
      <c r="A370" s="138" t="s">
        <v>52</v>
      </c>
    </row>
    <row r="371" spans="1:1" x14ac:dyDescent="0.25">
      <c r="A371" s="139" t="s">
        <v>52</v>
      </c>
    </row>
    <row r="372" spans="1:1" x14ac:dyDescent="0.25">
      <c r="A372" s="18" t="s">
        <v>301</v>
      </c>
    </row>
    <row r="373" spans="1:1" x14ac:dyDescent="0.25">
      <c r="A373" s="19" t="s">
        <v>730</v>
      </c>
    </row>
    <row r="374" spans="1:1" x14ac:dyDescent="0.25">
      <c r="A374" s="20" t="s">
        <v>52</v>
      </c>
    </row>
    <row r="375" spans="1:1" x14ac:dyDescent="0.25">
      <c r="A375" s="21" t="s">
        <v>52</v>
      </c>
    </row>
    <row r="376" spans="1:1" x14ac:dyDescent="0.25">
      <c r="A376" s="22" t="s">
        <v>52</v>
      </c>
    </row>
    <row r="377" spans="1:1" x14ac:dyDescent="0.25">
      <c r="A377" s="23" t="s">
        <v>52</v>
      </c>
    </row>
    <row r="378" spans="1:1" x14ac:dyDescent="0.25">
      <c r="A378" s="24" t="s">
        <v>52</v>
      </c>
    </row>
    <row r="379" spans="1:1" x14ac:dyDescent="0.25">
      <c r="A379" s="25" t="s">
        <v>52</v>
      </c>
    </row>
    <row r="380" spans="1:1" x14ac:dyDescent="0.25">
      <c r="A380" s="26" t="s">
        <v>302</v>
      </c>
    </row>
    <row r="381" spans="1:1" x14ac:dyDescent="0.25">
      <c r="A381" s="27" t="s">
        <v>731</v>
      </c>
    </row>
    <row r="382" spans="1:1" x14ac:dyDescent="0.25">
      <c r="A382" s="28" t="s">
        <v>52</v>
      </c>
    </row>
    <row r="383" spans="1:1" x14ac:dyDescent="0.25">
      <c r="A383" s="29" t="s">
        <v>52</v>
      </c>
    </row>
    <row r="384" spans="1:1" x14ac:dyDescent="0.25">
      <c r="A384" s="30" t="s">
        <v>52</v>
      </c>
    </row>
    <row r="385" spans="1:1" x14ac:dyDescent="0.25">
      <c r="A385" s="31" t="s">
        <v>52</v>
      </c>
    </row>
    <row r="386" spans="1:1" x14ac:dyDescent="0.25">
      <c r="A386" s="32" t="s">
        <v>52</v>
      </c>
    </row>
    <row r="387" spans="1:1" x14ac:dyDescent="0.25">
      <c r="A387" s="33" t="s">
        <v>52</v>
      </c>
    </row>
    <row r="388" spans="1:1" x14ac:dyDescent="0.25">
      <c r="A388" s="34" t="s">
        <v>52</v>
      </c>
    </row>
    <row r="389" spans="1:1" x14ac:dyDescent="0.25">
      <c r="A389" s="35" t="s">
        <v>52</v>
      </c>
    </row>
    <row r="390" spans="1:1" x14ac:dyDescent="0.25">
      <c r="A390" s="36" t="s">
        <v>52</v>
      </c>
    </row>
    <row r="391" spans="1:1" x14ac:dyDescent="0.25">
      <c r="A391" s="37" t="s">
        <v>52</v>
      </c>
    </row>
    <row r="392" spans="1:1" x14ac:dyDescent="0.25">
      <c r="A392" s="38" t="s">
        <v>52</v>
      </c>
    </row>
    <row r="393" spans="1:1" x14ac:dyDescent="0.25">
      <c r="A393" s="39" t="s">
        <v>52</v>
      </c>
    </row>
    <row r="394" spans="1:1" x14ac:dyDescent="0.25">
      <c r="A394" s="40" t="s">
        <v>52</v>
      </c>
    </row>
    <row r="395" spans="1:1" x14ac:dyDescent="0.25">
      <c r="A395" s="41" t="s">
        <v>52</v>
      </c>
    </row>
    <row r="396" spans="1:1" x14ac:dyDescent="0.25">
      <c r="A396" s="42" t="s">
        <v>52</v>
      </c>
    </row>
    <row r="397" spans="1:1" x14ac:dyDescent="0.25">
      <c r="A397" s="43" t="s">
        <v>52</v>
      </c>
    </row>
    <row r="398" spans="1:1" x14ac:dyDescent="0.25">
      <c r="A398" s="44" t="s">
        <v>52</v>
      </c>
    </row>
    <row r="399" spans="1:1" x14ac:dyDescent="0.25">
      <c r="A399" s="45" t="s">
        <v>52</v>
      </c>
    </row>
    <row r="400" spans="1:1" x14ac:dyDescent="0.25">
      <c r="A400" s="46" t="s">
        <v>52</v>
      </c>
    </row>
    <row r="401" spans="1:1" x14ac:dyDescent="0.25">
      <c r="A401" s="47" t="s">
        <v>52</v>
      </c>
    </row>
    <row r="402" spans="1:1" x14ac:dyDescent="0.25">
      <c r="A402" s="48" t="s">
        <v>732</v>
      </c>
    </row>
    <row r="403" spans="1:1" x14ac:dyDescent="0.25">
      <c r="A403" s="49" t="s">
        <v>52</v>
      </c>
    </row>
    <row r="404" spans="1:1" x14ac:dyDescent="0.25">
      <c r="A404" s="50" t="s">
        <v>52</v>
      </c>
    </row>
    <row r="405" spans="1:1" x14ac:dyDescent="0.25">
      <c r="A405" s="51" t="s">
        <v>52</v>
      </c>
    </row>
    <row r="406" spans="1:1" x14ac:dyDescent="0.25">
      <c r="A406" s="52" t="s">
        <v>52</v>
      </c>
    </row>
    <row r="407" spans="1:1" x14ac:dyDescent="0.25">
      <c r="A407" s="53" t="s">
        <v>52</v>
      </c>
    </row>
    <row r="408" spans="1:1" x14ac:dyDescent="0.25">
      <c r="A408" s="54" t="s">
        <v>52</v>
      </c>
    </row>
    <row r="409" spans="1:1" x14ac:dyDescent="0.25">
      <c r="A409" s="55" t="s">
        <v>52</v>
      </c>
    </row>
    <row r="410" spans="1:1" x14ac:dyDescent="0.25">
      <c r="A410" s="56" t="s">
        <v>52</v>
      </c>
    </row>
    <row r="411" spans="1:1" x14ac:dyDescent="0.25">
      <c r="A411" s="57" t="s">
        <v>52</v>
      </c>
    </row>
    <row r="412" spans="1:1" x14ac:dyDescent="0.25">
      <c r="A412" s="58" t="s">
        <v>52</v>
      </c>
    </row>
    <row r="413" spans="1:1" x14ac:dyDescent="0.25">
      <c r="A413" s="59" t="s">
        <v>52</v>
      </c>
    </row>
    <row r="414" spans="1:1" x14ac:dyDescent="0.25">
      <c r="A414" s="60" t="s">
        <v>52</v>
      </c>
    </row>
    <row r="415" spans="1:1" x14ac:dyDescent="0.25">
      <c r="A415" s="61" t="s">
        <v>52</v>
      </c>
    </row>
    <row r="416" spans="1:1" x14ac:dyDescent="0.25">
      <c r="A416" s="62" t="s">
        <v>52</v>
      </c>
    </row>
    <row r="417" spans="1:1" x14ac:dyDescent="0.25">
      <c r="A417" s="63" t="s">
        <v>52</v>
      </c>
    </row>
    <row r="418" spans="1:1" x14ac:dyDescent="0.25">
      <c r="A418" s="64" t="s">
        <v>52</v>
      </c>
    </row>
    <row r="419" spans="1:1" x14ac:dyDescent="0.25">
      <c r="A419" s="65" t="s">
        <v>52</v>
      </c>
    </row>
    <row r="420" spans="1:1" x14ac:dyDescent="0.25">
      <c r="A420" s="66" t="s">
        <v>52</v>
      </c>
    </row>
    <row r="421" spans="1:1" x14ac:dyDescent="0.25">
      <c r="A421" s="67" t="s">
        <v>52</v>
      </c>
    </row>
    <row r="422" spans="1:1" x14ac:dyDescent="0.25">
      <c r="A422" s="68" t="s">
        <v>52</v>
      </c>
    </row>
    <row r="423" spans="1:1" x14ac:dyDescent="0.25">
      <c r="A423" s="69" t="s">
        <v>52</v>
      </c>
    </row>
    <row r="424" spans="1:1" x14ac:dyDescent="0.25">
      <c r="A424" s="70" t="s">
        <v>52</v>
      </c>
    </row>
    <row r="425" spans="1:1" x14ac:dyDescent="0.25">
      <c r="A425" s="71" t="s">
        <v>52</v>
      </c>
    </row>
    <row r="426" spans="1:1" x14ac:dyDescent="0.25">
      <c r="A426" s="72" t="s">
        <v>52</v>
      </c>
    </row>
    <row r="427" spans="1:1" x14ac:dyDescent="0.25">
      <c r="A427" s="73" t="s">
        <v>52</v>
      </c>
    </row>
    <row r="428" spans="1:1" x14ac:dyDescent="0.25">
      <c r="A428" s="74" t="s">
        <v>52</v>
      </c>
    </row>
    <row r="429" spans="1:1" x14ac:dyDescent="0.25">
      <c r="A429" s="75" t="s">
        <v>52</v>
      </c>
    </row>
    <row r="430" spans="1:1" x14ac:dyDescent="0.25">
      <c r="A430" s="76" t="s">
        <v>52</v>
      </c>
    </row>
    <row r="431" spans="1:1" x14ac:dyDescent="0.25">
      <c r="A431" s="77" t="s">
        <v>52</v>
      </c>
    </row>
    <row r="432" spans="1:1" x14ac:dyDescent="0.25">
      <c r="A432" s="78" t="s">
        <v>52</v>
      </c>
    </row>
    <row r="433" spans="1:1" x14ac:dyDescent="0.25">
      <c r="A433" s="79" t="s">
        <v>52</v>
      </c>
    </row>
    <row r="434" spans="1:1" x14ac:dyDescent="0.25">
      <c r="A434" s="80" t="s">
        <v>52</v>
      </c>
    </row>
    <row r="435" spans="1:1" x14ac:dyDescent="0.25">
      <c r="A435" s="81" t="s">
        <v>52</v>
      </c>
    </row>
    <row r="436" spans="1:1" x14ac:dyDescent="0.25">
      <c r="A436" s="82" t="s">
        <v>52</v>
      </c>
    </row>
    <row r="437" spans="1:1" x14ac:dyDescent="0.25">
      <c r="A437" s="83" t="s">
        <v>52</v>
      </c>
    </row>
    <row r="438" spans="1:1" x14ac:dyDescent="0.25">
      <c r="A438" s="84" t="s">
        <v>52</v>
      </c>
    </row>
    <row r="439" spans="1:1" x14ac:dyDescent="0.25">
      <c r="A439" s="85" t="s">
        <v>52</v>
      </c>
    </row>
    <row r="440" spans="1:1" x14ac:dyDescent="0.25">
      <c r="A440" s="86" t="s">
        <v>52</v>
      </c>
    </row>
    <row r="441" spans="1:1" x14ac:dyDescent="0.25">
      <c r="A441" s="87" t="s">
        <v>52</v>
      </c>
    </row>
    <row r="442" spans="1:1" x14ac:dyDescent="0.25">
      <c r="A442" s="88" t="s">
        <v>52</v>
      </c>
    </row>
    <row r="443" spans="1:1" x14ac:dyDescent="0.25">
      <c r="A443" s="89" t="s">
        <v>52</v>
      </c>
    </row>
    <row r="444" spans="1:1" x14ac:dyDescent="0.25">
      <c r="A444" s="90" t="s">
        <v>52</v>
      </c>
    </row>
    <row r="445" spans="1:1" x14ac:dyDescent="0.25">
      <c r="A445" s="120" t="s">
        <v>52</v>
      </c>
    </row>
    <row r="446" spans="1:1" x14ac:dyDescent="0.25">
      <c r="A446" s="121" t="s">
        <v>52</v>
      </c>
    </row>
    <row r="447" spans="1:1" x14ac:dyDescent="0.25">
      <c r="A447" s="122" t="s">
        <v>52</v>
      </c>
    </row>
    <row r="448" spans="1:1" x14ac:dyDescent="0.25">
      <c r="A448" s="123" t="s">
        <v>52</v>
      </c>
    </row>
    <row r="449" spans="1:1" x14ac:dyDescent="0.25">
      <c r="A449" s="124" t="s">
        <v>52</v>
      </c>
    </row>
    <row r="450" spans="1:1" x14ac:dyDescent="0.25">
      <c r="A450" s="125" t="s">
        <v>52</v>
      </c>
    </row>
    <row r="451" spans="1:1" x14ac:dyDescent="0.25">
      <c r="A451" s="126" t="s">
        <v>52</v>
      </c>
    </row>
    <row r="452" spans="1:1" x14ac:dyDescent="0.25">
      <c r="A452" s="127" t="s">
        <v>52</v>
      </c>
    </row>
    <row r="453" spans="1:1" x14ac:dyDescent="0.25">
      <c r="A453" s="128" t="s">
        <v>52</v>
      </c>
    </row>
    <row r="454" spans="1:1" x14ac:dyDescent="0.25">
      <c r="A454" s="129" t="s">
        <v>52</v>
      </c>
    </row>
    <row r="455" spans="1:1" x14ac:dyDescent="0.25">
      <c r="A455" s="130" t="s">
        <v>52</v>
      </c>
    </row>
    <row r="456" spans="1:1" x14ac:dyDescent="0.25">
      <c r="A456" s="131" t="s">
        <v>52</v>
      </c>
    </row>
    <row r="457" spans="1:1" x14ac:dyDescent="0.25">
      <c r="A457" s="132" t="s">
        <v>52</v>
      </c>
    </row>
    <row r="458" spans="1:1" x14ac:dyDescent="0.25">
      <c r="A458" s="133" t="s">
        <v>52</v>
      </c>
    </row>
    <row r="459" spans="1:1" x14ac:dyDescent="0.25">
      <c r="A459" s="134" t="s">
        <v>52</v>
      </c>
    </row>
    <row r="460" spans="1:1" x14ac:dyDescent="0.25">
      <c r="A460" s="135" t="s">
        <v>52</v>
      </c>
    </row>
    <row r="461" spans="1:1" x14ac:dyDescent="0.25">
      <c r="A461" s="136" t="s">
        <v>52</v>
      </c>
    </row>
    <row r="462" spans="1:1" x14ac:dyDescent="0.25">
      <c r="A462" s="137" t="s">
        <v>52</v>
      </c>
    </row>
    <row r="463" spans="1:1" x14ac:dyDescent="0.25">
      <c r="A463" s="138" t="s">
        <v>52</v>
      </c>
    </row>
    <row r="464" spans="1:1" x14ac:dyDescent="0.25">
      <c r="A464" s="139" t="s">
        <v>52</v>
      </c>
    </row>
    <row r="465" spans="1:1" x14ac:dyDescent="0.25">
      <c r="A465" s="18" t="s">
        <v>130</v>
      </c>
    </row>
    <row r="466" spans="1:1" x14ac:dyDescent="0.25">
      <c r="A466" s="19" t="s">
        <v>52</v>
      </c>
    </row>
    <row r="467" spans="1:1" x14ac:dyDescent="0.25">
      <c r="A467" s="20" t="s">
        <v>52</v>
      </c>
    </row>
    <row r="468" spans="1:1" x14ac:dyDescent="0.25">
      <c r="A468" s="21" t="s">
        <v>52</v>
      </c>
    </row>
    <row r="469" spans="1:1" x14ac:dyDescent="0.25">
      <c r="A469" s="22" t="s">
        <v>733</v>
      </c>
    </row>
    <row r="470" spans="1:1" x14ac:dyDescent="0.25">
      <c r="A470" s="23" t="s">
        <v>52</v>
      </c>
    </row>
    <row r="471" spans="1:1" x14ac:dyDescent="0.25">
      <c r="A471" s="24" t="s">
        <v>52</v>
      </c>
    </row>
    <row r="472" spans="1:1" x14ac:dyDescent="0.25">
      <c r="A472" s="25" t="s">
        <v>52</v>
      </c>
    </row>
    <row r="473" spans="1:1" x14ac:dyDescent="0.25">
      <c r="A473" s="26" t="s">
        <v>271</v>
      </c>
    </row>
    <row r="474" spans="1:1" x14ac:dyDescent="0.25">
      <c r="A474" s="27" t="s">
        <v>734</v>
      </c>
    </row>
    <row r="475" spans="1:1" x14ac:dyDescent="0.25">
      <c r="A475" s="28" t="s">
        <v>753</v>
      </c>
    </row>
    <row r="476" spans="1:1" x14ac:dyDescent="0.25">
      <c r="A476" s="29" t="s">
        <v>52</v>
      </c>
    </row>
    <row r="477" spans="1:1" x14ac:dyDescent="0.25">
      <c r="A477" s="30" t="s">
        <v>52</v>
      </c>
    </row>
    <row r="478" spans="1:1" x14ac:dyDescent="0.25">
      <c r="A478" s="31" t="s">
        <v>52</v>
      </c>
    </row>
    <row r="479" spans="1:1" x14ac:dyDescent="0.25">
      <c r="A479" s="32" t="s">
        <v>52</v>
      </c>
    </row>
    <row r="480" spans="1:1" x14ac:dyDescent="0.25">
      <c r="A480" s="33" t="s">
        <v>52</v>
      </c>
    </row>
    <row r="481" spans="1:1" x14ac:dyDescent="0.25">
      <c r="A481" s="34" t="s">
        <v>52</v>
      </c>
    </row>
    <row r="482" spans="1:1" x14ac:dyDescent="0.25">
      <c r="A482" s="35" t="s">
        <v>52</v>
      </c>
    </row>
    <row r="483" spans="1:1" x14ac:dyDescent="0.25">
      <c r="A483" s="36" t="s">
        <v>52</v>
      </c>
    </row>
    <row r="484" spans="1:1" x14ac:dyDescent="0.25">
      <c r="A484" s="37" t="s">
        <v>52</v>
      </c>
    </row>
    <row r="485" spans="1:1" x14ac:dyDescent="0.25">
      <c r="A485" s="38" t="s">
        <v>52</v>
      </c>
    </row>
    <row r="486" spans="1:1" x14ac:dyDescent="0.25">
      <c r="A486" s="39" t="s">
        <v>52</v>
      </c>
    </row>
    <row r="487" spans="1:1" x14ac:dyDescent="0.25">
      <c r="A487" s="40" t="s">
        <v>52</v>
      </c>
    </row>
    <row r="488" spans="1:1" x14ac:dyDescent="0.25">
      <c r="A488" s="41" t="s">
        <v>52</v>
      </c>
    </row>
    <row r="489" spans="1:1" x14ac:dyDescent="0.25">
      <c r="A489" s="42" t="s">
        <v>52</v>
      </c>
    </row>
    <row r="490" spans="1:1" x14ac:dyDescent="0.25">
      <c r="A490" s="43" t="s">
        <v>52</v>
      </c>
    </row>
    <row r="491" spans="1:1" x14ac:dyDescent="0.25">
      <c r="A491" s="44" t="s">
        <v>52</v>
      </c>
    </row>
    <row r="492" spans="1:1" x14ac:dyDescent="0.25">
      <c r="A492" s="45" t="s">
        <v>52</v>
      </c>
    </row>
    <row r="493" spans="1:1" x14ac:dyDescent="0.25">
      <c r="A493" s="46" t="s">
        <v>52</v>
      </c>
    </row>
    <row r="494" spans="1:1" x14ac:dyDescent="0.25">
      <c r="A494" s="47" t="s">
        <v>52</v>
      </c>
    </row>
    <row r="495" spans="1:1" x14ac:dyDescent="0.25">
      <c r="A495" s="48" t="s">
        <v>52</v>
      </c>
    </row>
    <row r="496" spans="1:1" x14ac:dyDescent="0.25">
      <c r="A496" s="49" t="s">
        <v>52</v>
      </c>
    </row>
    <row r="497" spans="1:1" x14ac:dyDescent="0.25">
      <c r="A497" s="50" t="s">
        <v>52</v>
      </c>
    </row>
    <row r="498" spans="1:1" x14ac:dyDescent="0.25">
      <c r="A498" s="51" t="s">
        <v>52</v>
      </c>
    </row>
    <row r="499" spans="1:1" x14ac:dyDescent="0.25">
      <c r="A499" s="52" t="s">
        <v>52</v>
      </c>
    </row>
    <row r="500" spans="1:1" x14ac:dyDescent="0.25">
      <c r="A500" s="53" t="s">
        <v>52</v>
      </c>
    </row>
    <row r="501" spans="1:1" x14ac:dyDescent="0.25">
      <c r="A501" s="54" t="s">
        <v>52</v>
      </c>
    </row>
    <row r="502" spans="1:1" x14ac:dyDescent="0.25">
      <c r="A502" s="55" t="s">
        <v>52</v>
      </c>
    </row>
    <row r="503" spans="1:1" x14ac:dyDescent="0.25">
      <c r="A503" s="56" t="s">
        <v>52</v>
      </c>
    </row>
    <row r="504" spans="1:1" x14ac:dyDescent="0.25">
      <c r="A504" s="57" t="s">
        <v>52</v>
      </c>
    </row>
    <row r="505" spans="1:1" x14ac:dyDescent="0.25">
      <c r="A505" s="58" t="s">
        <v>52</v>
      </c>
    </row>
    <row r="506" spans="1:1" x14ac:dyDescent="0.25">
      <c r="A506" s="59" t="s">
        <v>52</v>
      </c>
    </row>
    <row r="507" spans="1:1" x14ac:dyDescent="0.25">
      <c r="A507" s="60" t="s">
        <v>52</v>
      </c>
    </row>
    <row r="508" spans="1:1" x14ac:dyDescent="0.25">
      <c r="A508" s="61" t="s">
        <v>52</v>
      </c>
    </row>
    <row r="509" spans="1:1" x14ac:dyDescent="0.25">
      <c r="A509" s="62" t="s">
        <v>52</v>
      </c>
    </row>
    <row r="510" spans="1:1" x14ac:dyDescent="0.25">
      <c r="A510" s="63" t="s">
        <v>52</v>
      </c>
    </row>
    <row r="511" spans="1:1" x14ac:dyDescent="0.25">
      <c r="A511" s="64" t="s">
        <v>52</v>
      </c>
    </row>
    <row r="512" spans="1:1" x14ac:dyDescent="0.25">
      <c r="A512" s="65" t="s">
        <v>52</v>
      </c>
    </row>
    <row r="513" spans="1:1" x14ac:dyDescent="0.25">
      <c r="A513" s="66" t="s">
        <v>52</v>
      </c>
    </row>
    <row r="514" spans="1:1" x14ac:dyDescent="0.25">
      <c r="A514" s="67" t="s">
        <v>52</v>
      </c>
    </row>
    <row r="515" spans="1:1" x14ac:dyDescent="0.25">
      <c r="A515" s="68" t="s">
        <v>52</v>
      </c>
    </row>
    <row r="516" spans="1:1" x14ac:dyDescent="0.25">
      <c r="A516" s="69" t="s">
        <v>52</v>
      </c>
    </row>
    <row r="517" spans="1:1" x14ac:dyDescent="0.25">
      <c r="A517" s="70" t="s">
        <v>52</v>
      </c>
    </row>
    <row r="518" spans="1:1" x14ac:dyDescent="0.25">
      <c r="A518" s="71" t="s">
        <v>52</v>
      </c>
    </row>
    <row r="519" spans="1:1" x14ac:dyDescent="0.25">
      <c r="A519" s="72" t="s">
        <v>52</v>
      </c>
    </row>
    <row r="520" spans="1:1" x14ac:dyDescent="0.25">
      <c r="A520" s="73" t="s">
        <v>52</v>
      </c>
    </row>
    <row r="521" spans="1:1" x14ac:dyDescent="0.25">
      <c r="A521" s="74" t="s">
        <v>52</v>
      </c>
    </row>
    <row r="522" spans="1:1" x14ac:dyDescent="0.25">
      <c r="A522" s="75" t="s">
        <v>52</v>
      </c>
    </row>
    <row r="523" spans="1:1" x14ac:dyDescent="0.25">
      <c r="A523" s="76" t="s">
        <v>52</v>
      </c>
    </row>
    <row r="524" spans="1:1" x14ac:dyDescent="0.25">
      <c r="A524" s="77" t="s">
        <v>52</v>
      </c>
    </row>
    <row r="525" spans="1:1" x14ac:dyDescent="0.25">
      <c r="A525" s="78" t="s">
        <v>52</v>
      </c>
    </row>
    <row r="526" spans="1:1" x14ac:dyDescent="0.25">
      <c r="A526" s="79" t="s">
        <v>52</v>
      </c>
    </row>
    <row r="527" spans="1:1" x14ac:dyDescent="0.25">
      <c r="A527" s="80" t="s">
        <v>52</v>
      </c>
    </row>
    <row r="528" spans="1:1" x14ac:dyDescent="0.25">
      <c r="A528" s="81" t="s">
        <v>52</v>
      </c>
    </row>
    <row r="529" spans="1:1" x14ac:dyDescent="0.25">
      <c r="A529" s="82" t="s">
        <v>52</v>
      </c>
    </row>
    <row r="530" spans="1:1" x14ac:dyDescent="0.25">
      <c r="A530" s="83" t="s">
        <v>52</v>
      </c>
    </row>
    <row r="531" spans="1:1" x14ac:dyDescent="0.25">
      <c r="A531" s="84" t="s">
        <v>52</v>
      </c>
    </row>
    <row r="532" spans="1:1" x14ac:dyDescent="0.25">
      <c r="A532" s="85" t="s">
        <v>52</v>
      </c>
    </row>
    <row r="533" spans="1:1" x14ac:dyDescent="0.25">
      <c r="A533" s="86" t="s">
        <v>52</v>
      </c>
    </row>
    <row r="534" spans="1:1" x14ac:dyDescent="0.25">
      <c r="A534" s="87" t="s">
        <v>52</v>
      </c>
    </row>
    <row r="535" spans="1:1" x14ac:dyDescent="0.25">
      <c r="A535" s="88" t="s">
        <v>52</v>
      </c>
    </row>
    <row r="536" spans="1:1" x14ac:dyDescent="0.25">
      <c r="A536" s="89" t="s">
        <v>52</v>
      </c>
    </row>
    <row r="537" spans="1:1" x14ac:dyDescent="0.25">
      <c r="A537" s="90" t="s">
        <v>52</v>
      </c>
    </row>
    <row r="538" spans="1:1" x14ac:dyDescent="0.25">
      <c r="A538" s="120" t="s">
        <v>52</v>
      </c>
    </row>
    <row r="539" spans="1:1" x14ac:dyDescent="0.25">
      <c r="A539" s="121" t="s">
        <v>52</v>
      </c>
    </row>
    <row r="540" spans="1:1" x14ac:dyDescent="0.25">
      <c r="A540" s="122" t="s">
        <v>52</v>
      </c>
    </row>
    <row r="541" spans="1:1" x14ac:dyDescent="0.25">
      <c r="A541" s="123" t="s">
        <v>52</v>
      </c>
    </row>
    <row r="542" spans="1:1" x14ac:dyDescent="0.25">
      <c r="A542" s="124" t="s">
        <v>52</v>
      </c>
    </row>
    <row r="543" spans="1:1" x14ac:dyDescent="0.25">
      <c r="A543" s="125" t="s">
        <v>52</v>
      </c>
    </row>
    <row r="544" spans="1:1" x14ac:dyDescent="0.25">
      <c r="A544" s="126" t="s">
        <v>52</v>
      </c>
    </row>
    <row r="545" spans="1:1" x14ac:dyDescent="0.25">
      <c r="A545" s="127" t="s">
        <v>52</v>
      </c>
    </row>
    <row r="546" spans="1:1" x14ac:dyDescent="0.25">
      <c r="A546" s="128" t="s">
        <v>52</v>
      </c>
    </row>
    <row r="547" spans="1:1" x14ac:dyDescent="0.25">
      <c r="A547" s="129" t="s">
        <v>52</v>
      </c>
    </row>
    <row r="548" spans="1:1" x14ac:dyDescent="0.25">
      <c r="A548" s="130" t="s">
        <v>52</v>
      </c>
    </row>
    <row r="549" spans="1:1" x14ac:dyDescent="0.25">
      <c r="A549" s="131" t="s">
        <v>52</v>
      </c>
    </row>
    <row r="550" spans="1:1" x14ac:dyDescent="0.25">
      <c r="A550" s="132" t="s">
        <v>52</v>
      </c>
    </row>
    <row r="551" spans="1:1" x14ac:dyDescent="0.25">
      <c r="A551" s="133" t="s">
        <v>52</v>
      </c>
    </row>
    <row r="552" spans="1:1" x14ac:dyDescent="0.25">
      <c r="A552" s="134" t="s">
        <v>52</v>
      </c>
    </row>
    <row r="553" spans="1:1" x14ac:dyDescent="0.25">
      <c r="A553" s="135" t="s">
        <v>52</v>
      </c>
    </row>
    <row r="554" spans="1:1" x14ac:dyDescent="0.25">
      <c r="A554" s="136" t="s">
        <v>52</v>
      </c>
    </row>
    <row r="555" spans="1:1" x14ac:dyDescent="0.25">
      <c r="A555" s="137" t="s">
        <v>52</v>
      </c>
    </row>
    <row r="556" spans="1:1" x14ac:dyDescent="0.25">
      <c r="A556" s="138" t="s">
        <v>52</v>
      </c>
    </row>
    <row r="557" spans="1:1" x14ac:dyDescent="0.25">
      <c r="A557" s="139" t="s">
        <v>52</v>
      </c>
    </row>
    <row r="558" spans="1:1" x14ac:dyDescent="0.25">
      <c r="A558" s="18" t="s">
        <v>303</v>
      </c>
    </row>
    <row r="559" spans="1:1" x14ac:dyDescent="0.25">
      <c r="A559" s="19" t="s">
        <v>735</v>
      </c>
    </row>
    <row r="560" spans="1:1" x14ac:dyDescent="0.25">
      <c r="A560" s="20" t="s">
        <v>52</v>
      </c>
    </row>
    <row r="561" spans="1:1" x14ac:dyDescent="0.25">
      <c r="A561" s="21" t="s">
        <v>52</v>
      </c>
    </row>
    <row r="562" spans="1:1" x14ac:dyDescent="0.25">
      <c r="A562" s="22" t="s">
        <v>52</v>
      </c>
    </row>
    <row r="563" spans="1:1" x14ac:dyDescent="0.25">
      <c r="A563" s="23" t="s">
        <v>52</v>
      </c>
    </row>
    <row r="564" spans="1:1" x14ac:dyDescent="0.25">
      <c r="A564" s="24" t="s">
        <v>52</v>
      </c>
    </row>
    <row r="565" spans="1:1" x14ac:dyDescent="0.25">
      <c r="A565" s="25" t="s">
        <v>52</v>
      </c>
    </row>
    <row r="566" spans="1:1" x14ac:dyDescent="0.25">
      <c r="A566" s="26" t="s">
        <v>304</v>
      </c>
    </row>
    <row r="567" spans="1:1" x14ac:dyDescent="0.25">
      <c r="A567" s="27" t="s">
        <v>736</v>
      </c>
    </row>
    <row r="568" spans="1:1" x14ac:dyDescent="0.25">
      <c r="A568" s="28" t="s">
        <v>52</v>
      </c>
    </row>
    <row r="569" spans="1:1" x14ac:dyDescent="0.25">
      <c r="A569" s="29" t="s">
        <v>52</v>
      </c>
    </row>
    <row r="570" spans="1:1" x14ac:dyDescent="0.25">
      <c r="A570" s="30" t="s">
        <v>52</v>
      </c>
    </row>
    <row r="571" spans="1:1" x14ac:dyDescent="0.25">
      <c r="A571" s="31" t="s">
        <v>52</v>
      </c>
    </row>
    <row r="572" spans="1:1" x14ac:dyDescent="0.25">
      <c r="A572" s="32" t="s">
        <v>52</v>
      </c>
    </row>
    <row r="573" spans="1:1" x14ac:dyDescent="0.25">
      <c r="A573" s="33" t="s">
        <v>52</v>
      </c>
    </row>
    <row r="574" spans="1:1" x14ac:dyDescent="0.25">
      <c r="A574" s="34" t="s">
        <v>52</v>
      </c>
    </row>
    <row r="575" spans="1:1" x14ac:dyDescent="0.25">
      <c r="A575" s="35" t="s">
        <v>52</v>
      </c>
    </row>
    <row r="576" spans="1:1" x14ac:dyDescent="0.25">
      <c r="A576" s="36" t="s">
        <v>52</v>
      </c>
    </row>
    <row r="577" spans="1:1" x14ac:dyDescent="0.25">
      <c r="A577" s="37" t="s">
        <v>52</v>
      </c>
    </row>
    <row r="578" spans="1:1" x14ac:dyDescent="0.25">
      <c r="A578" s="38" t="s">
        <v>52</v>
      </c>
    </row>
    <row r="579" spans="1:1" x14ac:dyDescent="0.25">
      <c r="A579" s="39" t="s">
        <v>52</v>
      </c>
    </row>
    <row r="580" spans="1:1" x14ac:dyDescent="0.25">
      <c r="A580" s="40" t="s">
        <v>52</v>
      </c>
    </row>
    <row r="581" spans="1:1" x14ac:dyDescent="0.25">
      <c r="A581" s="41" t="s">
        <v>52</v>
      </c>
    </row>
    <row r="582" spans="1:1" x14ac:dyDescent="0.25">
      <c r="A582" s="42" t="s">
        <v>52</v>
      </c>
    </row>
    <row r="583" spans="1:1" x14ac:dyDescent="0.25">
      <c r="A583" s="43" t="s">
        <v>52</v>
      </c>
    </row>
    <row r="584" spans="1:1" x14ac:dyDescent="0.25">
      <c r="A584" s="44" t="s">
        <v>52</v>
      </c>
    </row>
    <row r="585" spans="1:1" x14ac:dyDescent="0.25">
      <c r="A585" s="45" t="s">
        <v>52</v>
      </c>
    </row>
    <row r="586" spans="1:1" x14ac:dyDescent="0.25">
      <c r="A586" s="46" t="s">
        <v>52</v>
      </c>
    </row>
    <row r="587" spans="1:1" x14ac:dyDescent="0.25">
      <c r="A587" s="47" t="s">
        <v>52</v>
      </c>
    </row>
    <row r="588" spans="1:1" x14ac:dyDescent="0.25">
      <c r="A588" s="48" t="s">
        <v>52</v>
      </c>
    </row>
    <row r="589" spans="1:1" x14ac:dyDescent="0.25">
      <c r="A589" s="49" t="s">
        <v>52</v>
      </c>
    </row>
    <row r="590" spans="1:1" x14ac:dyDescent="0.25">
      <c r="A590" s="50" t="s">
        <v>52</v>
      </c>
    </row>
    <row r="591" spans="1:1" x14ac:dyDescent="0.25">
      <c r="A591" s="51" t="s">
        <v>52</v>
      </c>
    </row>
    <row r="592" spans="1:1" x14ac:dyDescent="0.25">
      <c r="A592" s="52" t="s">
        <v>52</v>
      </c>
    </row>
    <row r="593" spans="1:1" x14ac:dyDescent="0.25">
      <c r="A593" s="53" t="s">
        <v>52</v>
      </c>
    </row>
    <row r="594" spans="1:1" x14ac:dyDescent="0.25">
      <c r="A594" s="54" t="s">
        <v>52</v>
      </c>
    </row>
    <row r="595" spans="1:1" x14ac:dyDescent="0.25">
      <c r="A595" s="55" t="s">
        <v>52</v>
      </c>
    </row>
    <row r="596" spans="1:1" x14ac:dyDescent="0.25">
      <c r="A596" s="56" t="s">
        <v>52</v>
      </c>
    </row>
    <row r="597" spans="1:1" x14ac:dyDescent="0.25">
      <c r="A597" s="57" t="s">
        <v>52</v>
      </c>
    </row>
    <row r="598" spans="1:1" x14ac:dyDescent="0.25">
      <c r="A598" s="58" t="s">
        <v>52</v>
      </c>
    </row>
    <row r="599" spans="1:1" x14ac:dyDescent="0.25">
      <c r="A599" s="59" t="s">
        <v>52</v>
      </c>
    </row>
    <row r="600" spans="1:1" x14ac:dyDescent="0.25">
      <c r="A600" s="60" t="s">
        <v>52</v>
      </c>
    </row>
    <row r="601" spans="1:1" x14ac:dyDescent="0.25">
      <c r="A601" s="61" t="s">
        <v>52</v>
      </c>
    </row>
    <row r="602" spans="1:1" x14ac:dyDescent="0.25">
      <c r="A602" s="62" t="s">
        <v>52</v>
      </c>
    </row>
    <row r="603" spans="1:1" x14ac:dyDescent="0.25">
      <c r="A603" s="63" t="s">
        <v>52</v>
      </c>
    </row>
    <row r="604" spans="1:1" x14ac:dyDescent="0.25">
      <c r="A604" s="64" t="s">
        <v>52</v>
      </c>
    </row>
    <row r="605" spans="1:1" x14ac:dyDescent="0.25">
      <c r="A605" s="65" t="s">
        <v>52</v>
      </c>
    </row>
    <row r="606" spans="1:1" x14ac:dyDescent="0.25">
      <c r="A606" s="66" t="s">
        <v>52</v>
      </c>
    </row>
    <row r="607" spans="1:1" x14ac:dyDescent="0.25">
      <c r="A607" s="67" t="s">
        <v>52</v>
      </c>
    </row>
    <row r="608" spans="1:1" x14ac:dyDescent="0.25">
      <c r="A608" s="68" t="s">
        <v>52</v>
      </c>
    </row>
    <row r="609" spans="1:1" x14ac:dyDescent="0.25">
      <c r="A609" s="69" t="s">
        <v>52</v>
      </c>
    </row>
    <row r="610" spans="1:1" x14ac:dyDescent="0.25">
      <c r="A610" s="70" t="s">
        <v>52</v>
      </c>
    </row>
    <row r="611" spans="1:1" x14ac:dyDescent="0.25">
      <c r="A611" s="71" t="s">
        <v>52</v>
      </c>
    </row>
    <row r="612" spans="1:1" x14ac:dyDescent="0.25">
      <c r="A612" s="72" t="s">
        <v>52</v>
      </c>
    </row>
    <row r="613" spans="1:1" x14ac:dyDescent="0.25">
      <c r="A613" s="73" t="s">
        <v>52</v>
      </c>
    </row>
    <row r="614" spans="1:1" x14ac:dyDescent="0.25">
      <c r="A614" s="74" t="s">
        <v>52</v>
      </c>
    </row>
    <row r="615" spans="1:1" x14ac:dyDescent="0.25">
      <c r="A615" s="75" t="s">
        <v>52</v>
      </c>
    </row>
    <row r="616" spans="1:1" x14ac:dyDescent="0.25">
      <c r="A616" s="76" t="s">
        <v>52</v>
      </c>
    </row>
    <row r="617" spans="1:1" x14ac:dyDescent="0.25">
      <c r="A617" s="77" t="s">
        <v>52</v>
      </c>
    </row>
    <row r="618" spans="1:1" x14ac:dyDescent="0.25">
      <c r="A618" s="78" t="s">
        <v>52</v>
      </c>
    </row>
    <row r="619" spans="1:1" x14ac:dyDescent="0.25">
      <c r="A619" s="79" t="s">
        <v>52</v>
      </c>
    </row>
    <row r="620" spans="1:1" x14ac:dyDescent="0.25">
      <c r="A620" s="80" t="s">
        <v>52</v>
      </c>
    </row>
    <row r="621" spans="1:1" x14ac:dyDescent="0.25">
      <c r="A621" s="81" t="s">
        <v>52</v>
      </c>
    </row>
    <row r="622" spans="1:1" x14ac:dyDescent="0.25">
      <c r="A622" s="82" t="s">
        <v>52</v>
      </c>
    </row>
    <row r="623" spans="1:1" x14ac:dyDescent="0.25">
      <c r="A623" s="83" t="s">
        <v>52</v>
      </c>
    </row>
    <row r="624" spans="1:1" x14ac:dyDescent="0.25">
      <c r="A624" s="84" t="s">
        <v>52</v>
      </c>
    </row>
    <row r="625" spans="1:1" x14ac:dyDescent="0.25">
      <c r="A625" s="85" t="s">
        <v>52</v>
      </c>
    </row>
    <row r="626" spans="1:1" x14ac:dyDescent="0.25">
      <c r="A626" s="86" t="s">
        <v>52</v>
      </c>
    </row>
    <row r="627" spans="1:1" x14ac:dyDescent="0.25">
      <c r="A627" s="87" t="s">
        <v>52</v>
      </c>
    </row>
    <row r="628" spans="1:1" x14ac:dyDescent="0.25">
      <c r="A628" s="88" t="s">
        <v>52</v>
      </c>
    </row>
    <row r="629" spans="1:1" x14ac:dyDescent="0.25">
      <c r="A629" s="89" t="s">
        <v>52</v>
      </c>
    </row>
    <row r="630" spans="1:1" x14ac:dyDescent="0.25">
      <c r="A630" s="90" t="s">
        <v>52</v>
      </c>
    </row>
    <row r="631" spans="1:1" x14ac:dyDescent="0.25">
      <c r="A631" s="120" t="s">
        <v>52</v>
      </c>
    </row>
    <row r="632" spans="1:1" x14ac:dyDescent="0.25">
      <c r="A632" s="121" t="s">
        <v>52</v>
      </c>
    </row>
    <row r="633" spans="1:1" x14ac:dyDescent="0.25">
      <c r="A633" s="122" t="s">
        <v>52</v>
      </c>
    </row>
    <row r="634" spans="1:1" x14ac:dyDescent="0.25">
      <c r="A634" s="123" t="s">
        <v>52</v>
      </c>
    </row>
    <row r="635" spans="1:1" x14ac:dyDescent="0.25">
      <c r="A635" s="124" t="s">
        <v>52</v>
      </c>
    </row>
    <row r="636" spans="1:1" x14ac:dyDescent="0.25">
      <c r="A636" s="125" t="s">
        <v>52</v>
      </c>
    </row>
    <row r="637" spans="1:1" x14ac:dyDescent="0.25">
      <c r="A637" s="126" t="s">
        <v>52</v>
      </c>
    </row>
    <row r="638" spans="1:1" x14ac:dyDescent="0.25">
      <c r="A638" s="127" t="s">
        <v>52</v>
      </c>
    </row>
    <row r="639" spans="1:1" x14ac:dyDescent="0.25">
      <c r="A639" s="128" t="s">
        <v>52</v>
      </c>
    </row>
    <row r="640" spans="1:1" x14ac:dyDescent="0.25">
      <c r="A640" s="129" t="s">
        <v>52</v>
      </c>
    </row>
    <row r="641" spans="1:1" x14ac:dyDescent="0.25">
      <c r="A641" s="130" t="s">
        <v>52</v>
      </c>
    </row>
    <row r="642" spans="1:1" x14ac:dyDescent="0.25">
      <c r="A642" s="131" t="s">
        <v>52</v>
      </c>
    </row>
    <row r="643" spans="1:1" x14ac:dyDescent="0.25">
      <c r="A643" s="132" t="s">
        <v>52</v>
      </c>
    </row>
    <row r="644" spans="1:1" x14ac:dyDescent="0.25">
      <c r="A644" s="133" t="s">
        <v>52</v>
      </c>
    </row>
    <row r="645" spans="1:1" x14ac:dyDescent="0.25">
      <c r="A645" s="134" t="s">
        <v>52</v>
      </c>
    </row>
    <row r="646" spans="1:1" x14ac:dyDescent="0.25">
      <c r="A646" s="135" t="s">
        <v>52</v>
      </c>
    </row>
    <row r="647" spans="1:1" x14ac:dyDescent="0.25">
      <c r="A647" s="136" t="s">
        <v>52</v>
      </c>
    </row>
    <row r="648" spans="1:1" x14ac:dyDescent="0.25">
      <c r="A648" s="137" t="s">
        <v>52</v>
      </c>
    </row>
    <row r="649" spans="1:1" x14ac:dyDescent="0.25">
      <c r="A649" s="138" t="s">
        <v>52</v>
      </c>
    </row>
    <row r="650" spans="1:1" x14ac:dyDescent="0.25">
      <c r="A650" s="139" t="s">
        <v>52</v>
      </c>
    </row>
    <row r="651" spans="1:1" x14ac:dyDescent="0.25">
      <c r="A651" s="18" t="s">
        <v>175</v>
      </c>
    </row>
    <row r="652" spans="1:1" x14ac:dyDescent="0.25">
      <c r="A652" s="19" t="s">
        <v>52</v>
      </c>
    </row>
    <row r="653" spans="1:1" x14ac:dyDescent="0.25">
      <c r="A653" s="20" t="s">
        <v>52</v>
      </c>
    </row>
    <row r="654" spans="1:1" x14ac:dyDescent="0.25">
      <c r="A654" s="21" t="s">
        <v>52</v>
      </c>
    </row>
    <row r="655" spans="1:1" x14ac:dyDescent="0.25">
      <c r="A655" s="22" t="s">
        <v>737</v>
      </c>
    </row>
    <row r="656" spans="1:1" x14ac:dyDescent="0.25">
      <c r="A656" s="23" t="s">
        <v>52</v>
      </c>
    </row>
    <row r="657" spans="1:1" x14ac:dyDescent="0.25">
      <c r="A657" s="24" t="s">
        <v>52</v>
      </c>
    </row>
    <row r="658" spans="1:1" x14ac:dyDescent="0.25">
      <c r="A658" s="25" t="s">
        <v>52</v>
      </c>
    </row>
    <row r="659" spans="1:1" x14ac:dyDescent="0.25">
      <c r="A659" s="26" t="s">
        <v>272</v>
      </c>
    </row>
    <row r="660" spans="1:1" x14ac:dyDescent="0.25">
      <c r="A660" s="27" t="s">
        <v>738</v>
      </c>
    </row>
    <row r="661" spans="1:1" x14ac:dyDescent="0.25">
      <c r="A661" s="28" t="s">
        <v>52</v>
      </c>
    </row>
    <row r="662" spans="1:1" x14ac:dyDescent="0.25">
      <c r="A662" s="29" t="s">
        <v>52</v>
      </c>
    </row>
    <row r="663" spans="1:1" x14ac:dyDescent="0.25">
      <c r="A663" s="30" t="s">
        <v>52</v>
      </c>
    </row>
    <row r="664" spans="1:1" x14ac:dyDescent="0.25">
      <c r="A664" s="31" t="s">
        <v>52</v>
      </c>
    </row>
    <row r="665" spans="1:1" x14ac:dyDescent="0.25">
      <c r="A665" s="32" t="s">
        <v>52</v>
      </c>
    </row>
    <row r="666" spans="1:1" x14ac:dyDescent="0.25">
      <c r="A666" s="33" t="s">
        <v>52</v>
      </c>
    </row>
    <row r="667" spans="1:1" x14ac:dyDescent="0.25">
      <c r="A667" s="34" t="s">
        <v>52</v>
      </c>
    </row>
    <row r="668" spans="1:1" x14ac:dyDescent="0.25">
      <c r="A668" s="35" t="s">
        <v>52</v>
      </c>
    </row>
    <row r="669" spans="1:1" x14ac:dyDescent="0.25">
      <c r="A669" s="36" t="s">
        <v>52</v>
      </c>
    </row>
    <row r="670" spans="1:1" x14ac:dyDescent="0.25">
      <c r="A670" s="37" t="s">
        <v>52</v>
      </c>
    </row>
    <row r="671" spans="1:1" x14ac:dyDescent="0.25">
      <c r="A671" s="38" t="s">
        <v>52</v>
      </c>
    </row>
    <row r="672" spans="1:1" x14ac:dyDescent="0.25">
      <c r="A672" s="39" t="s">
        <v>52</v>
      </c>
    </row>
    <row r="673" spans="1:1" x14ac:dyDescent="0.25">
      <c r="A673" s="40" t="s">
        <v>52</v>
      </c>
    </row>
    <row r="674" spans="1:1" x14ac:dyDescent="0.25">
      <c r="A674" s="41" t="s">
        <v>52</v>
      </c>
    </row>
    <row r="675" spans="1:1" x14ac:dyDescent="0.25">
      <c r="A675" s="42" t="s">
        <v>52</v>
      </c>
    </row>
    <row r="676" spans="1:1" x14ac:dyDescent="0.25">
      <c r="A676" s="43" t="s">
        <v>52</v>
      </c>
    </row>
    <row r="677" spans="1:1" x14ac:dyDescent="0.25">
      <c r="A677" s="44" t="s">
        <v>52</v>
      </c>
    </row>
    <row r="678" spans="1:1" x14ac:dyDescent="0.25">
      <c r="A678" s="45" t="s">
        <v>52</v>
      </c>
    </row>
    <row r="679" spans="1:1" x14ac:dyDescent="0.25">
      <c r="A679" s="46" t="s">
        <v>52</v>
      </c>
    </row>
    <row r="680" spans="1:1" x14ac:dyDescent="0.25">
      <c r="A680" s="47" t="s">
        <v>52</v>
      </c>
    </row>
    <row r="681" spans="1:1" x14ac:dyDescent="0.25">
      <c r="A681" s="48" t="s">
        <v>52</v>
      </c>
    </row>
    <row r="682" spans="1:1" x14ac:dyDescent="0.25">
      <c r="A682" s="49" t="s">
        <v>52</v>
      </c>
    </row>
    <row r="683" spans="1:1" x14ac:dyDescent="0.25">
      <c r="A683" s="50" t="s">
        <v>52</v>
      </c>
    </row>
    <row r="684" spans="1:1" x14ac:dyDescent="0.25">
      <c r="A684" s="51" t="s">
        <v>52</v>
      </c>
    </row>
    <row r="685" spans="1:1" x14ac:dyDescent="0.25">
      <c r="A685" s="52" t="s">
        <v>52</v>
      </c>
    </row>
    <row r="686" spans="1:1" x14ac:dyDescent="0.25">
      <c r="A686" s="53" t="s">
        <v>52</v>
      </c>
    </row>
    <row r="687" spans="1:1" x14ac:dyDescent="0.25">
      <c r="A687" s="54" t="s">
        <v>52</v>
      </c>
    </row>
    <row r="688" spans="1:1" x14ac:dyDescent="0.25">
      <c r="A688" s="55" t="s">
        <v>52</v>
      </c>
    </row>
    <row r="689" spans="1:1" x14ac:dyDescent="0.25">
      <c r="A689" s="56" t="s">
        <v>52</v>
      </c>
    </row>
    <row r="690" spans="1:1" x14ac:dyDescent="0.25">
      <c r="A690" s="57" t="s">
        <v>52</v>
      </c>
    </row>
    <row r="691" spans="1:1" x14ac:dyDescent="0.25">
      <c r="A691" s="58" t="s">
        <v>52</v>
      </c>
    </row>
    <row r="692" spans="1:1" x14ac:dyDescent="0.25">
      <c r="A692" s="59" t="s">
        <v>52</v>
      </c>
    </row>
    <row r="693" spans="1:1" x14ac:dyDescent="0.25">
      <c r="A693" s="60" t="s">
        <v>52</v>
      </c>
    </row>
    <row r="694" spans="1:1" x14ac:dyDescent="0.25">
      <c r="A694" s="61" t="s">
        <v>52</v>
      </c>
    </row>
    <row r="695" spans="1:1" x14ac:dyDescent="0.25">
      <c r="A695" s="62" t="s">
        <v>52</v>
      </c>
    </row>
    <row r="696" spans="1:1" x14ac:dyDescent="0.25">
      <c r="A696" s="63" t="s">
        <v>52</v>
      </c>
    </row>
    <row r="697" spans="1:1" x14ac:dyDescent="0.25">
      <c r="A697" s="64" t="s">
        <v>52</v>
      </c>
    </row>
    <row r="698" spans="1:1" x14ac:dyDescent="0.25">
      <c r="A698" s="65" t="s">
        <v>52</v>
      </c>
    </row>
    <row r="699" spans="1:1" x14ac:dyDescent="0.25">
      <c r="A699" s="66" t="s">
        <v>52</v>
      </c>
    </row>
    <row r="700" spans="1:1" x14ac:dyDescent="0.25">
      <c r="A700" s="67" t="s">
        <v>52</v>
      </c>
    </row>
    <row r="701" spans="1:1" x14ac:dyDescent="0.25">
      <c r="A701" s="68" t="s">
        <v>52</v>
      </c>
    </row>
    <row r="702" spans="1:1" x14ac:dyDescent="0.25">
      <c r="A702" s="69" t="s">
        <v>52</v>
      </c>
    </row>
    <row r="703" spans="1:1" x14ac:dyDescent="0.25">
      <c r="A703" s="70" t="s">
        <v>52</v>
      </c>
    </row>
    <row r="704" spans="1:1" x14ac:dyDescent="0.25">
      <c r="A704" s="71" t="s">
        <v>52</v>
      </c>
    </row>
    <row r="705" spans="1:1" x14ac:dyDescent="0.25">
      <c r="A705" s="72" t="s">
        <v>52</v>
      </c>
    </row>
    <row r="706" spans="1:1" x14ac:dyDescent="0.25">
      <c r="A706" s="73" t="s">
        <v>52</v>
      </c>
    </row>
    <row r="707" spans="1:1" x14ac:dyDescent="0.25">
      <c r="A707" s="74" t="s">
        <v>52</v>
      </c>
    </row>
    <row r="708" spans="1:1" x14ac:dyDescent="0.25">
      <c r="A708" s="75" t="s">
        <v>52</v>
      </c>
    </row>
    <row r="709" spans="1:1" x14ac:dyDescent="0.25">
      <c r="A709" s="76" t="s">
        <v>52</v>
      </c>
    </row>
    <row r="710" spans="1:1" x14ac:dyDescent="0.25">
      <c r="A710" s="77" t="s">
        <v>52</v>
      </c>
    </row>
    <row r="711" spans="1:1" x14ac:dyDescent="0.25">
      <c r="A711" s="78" t="s">
        <v>52</v>
      </c>
    </row>
    <row r="712" spans="1:1" x14ac:dyDescent="0.25">
      <c r="A712" s="79" t="s">
        <v>52</v>
      </c>
    </row>
    <row r="713" spans="1:1" x14ac:dyDescent="0.25">
      <c r="A713" s="80" t="s">
        <v>52</v>
      </c>
    </row>
    <row r="714" spans="1:1" x14ac:dyDescent="0.25">
      <c r="A714" s="81" t="s">
        <v>52</v>
      </c>
    </row>
    <row r="715" spans="1:1" x14ac:dyDescent="0.25">
      <c r="A715" s="82" t="s">
        <v>52</v>
      </c>
    </row>
    <row r="716" spans="1:1" x14ac:dyDescent="0.25">
      <c r="A716" s="83" t="s">
        <v>52</v>
      </c>
    </row>
    <row r="717" spans="1:1" x14ac:dyDescent="0.25">
      <c r="A717" s="84" t="s">
        <v>52</v>
      </c>
    </row>
    <row r="718" spans="1:1" x14ac:dyDescent="0.25">
      <c r="A718" s="85" t="s">
        <v>52</v>
      </c>
    </row>
    <row r="719" spans="1:1" x14ac:dyDescent="0.25">
      <c r="A719" s="86" t="s">
        <v>52</v>
      </c>
    </row>
    <row r="720" spans="1:1" x14ac:dyDescent="0.25">
      <c r="A720" s="87" t="s">
        <v>52</v>
      </c>
    </row>
    <row r="721" spans="1:1" x14ac:dyDescent="0.25">
      <c r="A721" s="88" t="s">
        <v>52</v>
      </c>
    </row>
    <row r="722" spans="1:1" x14ac:dyDescent="0.25">
      <c r="A722" s="89" t="s">
        <v>52</v>
      </c>
    </row>
    <row r="723" spans="1:1" x14ac:dyDescent="0.25">
      <c r="A723" s="90" t="s">
        <v>52</v>
      </c>
    </row>
    <row r="724" spans="1:1" x14ac:dyDescent="0.25">
      <c r="A724" s="120" t="s">
        <v>52</v>
      </c>
    </row>
    <row r="725" spans="1:1" x14ac:dyDescent="0.25">
      <c r="A725" s="121" t="s">
        <v>52</v>
      </c>
    </row>
    <row r="726" spans="1:1" x14ac:dyDescent="0.25">
      <c r="A726" s="122" t="s">
        <v>52</v>
      </c>
    </row>
    <row r="727" spans="1:1" x14ac:dyDescent="0.25">
      <c r="A727" s="123" t="s">
        <v>52</v>
      </c>
    </row>
    <row r="728" spans="1:1" x14ac:dyDescent="0.25">
      <c r="A728" s="124" t="s">
        <v>52</v>
      </c>
    </row>
    <row r="729" spans="1:1" x14ac:dyDescent="0.25">
      <c r="A729" s="125" t="s">
        <v>52</v>
      </c>
    </row>
    <row r="730" spans="1:1" x14ac:dyDescent="0.25">
      <c r="A730" s="126" t="s">
        <v>52</v>
      </c>
    </row>
    <row r="731" spans="1:1" x14ac:dyDescent="0.25">
      <c r="A731" s="127" t="s">
        <v>52</v>
      </c>
    </row>
    <row r="732" spans="1:1" x14ac:dyDescent="0.25">
      <c r="A732" s="128" t="s">
        <v>52</v>
      </c>
    </row>
    <row r="733" spans="1:1" x14ac:dyDescent="0.25">
      <c r="A733" s="129" t="s">
        <v>52</v>
      </c>
    </row>
    <row r="734" spans="1:1" x14ac:dyDescent="0.25">
      <c r="A734" s="130" t="s">
        <v>52</v>
      </c>
    </row>
    <row r="735" spans="1:1" x14ac:dyDescent="0.25">
      <c r="A735" s="131" t="s">
        <v>52</v>
      </c>
    </row>
    <row r="736" spans="1:1" x14ac:dyDescent="0.25">
      <c r="A736" s="132" t="s">
        <v>52</v>
      </c>
    </row>
    <row r="737" spans="1:1" x14ac:dyDescent="0.25">
      <c r="A737" s="133" t="s">
        <v>52</v>
      </c>
    </row>
    <row r="738" spans="1:1" x14ac:dyDescent="0.25">
      <c r="A738" s="134" t="s">
        <v>52</v>
      </c>
    </row>
    <row r="739" spans="1:1" x14ac:dyDescent="0.25">
      <c r="A739" s="135" t="s">
        <v>52</v>
      </c>
    </row>
    <row r="740" spans="1:1" x14ac:dyDescent="0.25">
      <c r="A740" s="136" t="s">
        <v>52</v>
      </c>
    </row>
    <row r="741" spans="1:1" x14ac:dyDescent="0.25">
      <c r="A741" s="137" t="s">
        <v>52</v>
      </c>
    </row>
    <row r="742" spans="1:1" x14ac:dyDescent="0.25">
      <c r="A742" s="138" t="s">
        <v>52</v>
      </c>
    </row>
    <row r="743" spans="1:1" x14ac:dyDescent="0.25">
      <c r="A743" s="139" t="s">
        <v>52</v>
      </c>
    </row>
    <row r="744" spans="1:1" x14ac:dyDescent="0.25">
      <c r="A744" s="18" t="s">
        <v>739</v>
      </c>
    </row>
    <row r="745" spans="1:1" x14ac:dyDescent="0.25">
      <c r="A745" s="19" t="s">
        <v>52</v>
      </c>
    </row>
    <row r="746" spans="1:1" x14ac:dyDescent="0.25">
      <c r="A746" s="20" t="s">
        <v>52</v>
      </c>
    </row>
    <row r="747" spans="1:1" x14ac:dyDescent="0.25">
      <c r="A747" s="21" t="s">
        <v>52</v>
      </c>
    </row>
    <row r="748" spans="1:1" x14ac:dyDescent="0.25">
      <c r="A748" s="22" t="s">
        <v>52</v>
      </c>
    </row>
    <row r="749" spans="1:1" x14ac:dyDescent="0.25">
      <c r="A749" s="23" t="s">
        <v>52</v>
      </c>
    </row>
    <row r="750" spans="1:1" x14ac:dyDescent="0.25">
      <c r="A750" s="24" t="s">
        <v>52</v>
      </c>
    </row>
    <row r="751" spans="1:1" x14ac:dyDescent="0.25">
      <c r="A751" s="25" t="s">
        <v>52</v>
      </c>
    </row>
    <row r="752" spans="1:1" x14ac:dyDescent="0.25">
      <c r="A752" s="26" t="s">
        <v>740</v>
      </c>
    </row>
    <row r="753" spans="1:1" x14ac:dyDescent="0.25">
      <c r="A753" s="27" t="s">
        <v>741</v>
      </c>
    </row>
    <row r="754" spans="1:1" x14ac:dyDescent="0.25">
      <c r="A754" s="28" t="s">
        <v>52</v>
      </c>
    </row>
    <row r="755" spans="1:1" x14ac:dyDescent="0.25">
      <c r="A755" s="29" t="s">
        <v>52</v>
      </c>
    </row>
    <row r="756" spans="1:1" x14ac:dyDescent="0.25">
      <c r="A756" s="30" t="s">
        <v>52</v>
      </c>
    </row>
    <row r="757" spans="1:1" x14ac:dyDescent="0.25">
      <c r="A757" s="31" t="s">
        <v>52</v>
      </c>
    </row>
    <row r="758" spans="1:1" x14ac:dyDescent="0.25">
      <c r="A758" s="32" t="s">
        <v>52</v>
      </c>
    </row>
    <row r="759" spans="1:1" x14ac:dyDescent="0.25">
      <c r="A759" s="33" t="s">
        <v>52</v>
      </c>
    </row>
    <row r="760" spans="1:1" x14ac:dyDescent="0.25">
      <c r="A760" s="34" t="s">
        <v>52</v>
      </c>
    </row>
    <row r="761" spans="1:1" x14ac:dyDescent="0.25">
      <c r="A761" s="35" t="s">
        <v>52</v>
      </c>
    </row>
    <row r="762" spans="1:1" x14ac:dyDescent="0.25">
      <c r="A762" s="36" t="s">
        <v>52</v>
      </c>
    </row>
    <row r="763" spans="1:1" x14ac:dyDescent="0.25">
      <c r="A763" s="37" t="s">
        <v>52</v>
      </c>
    </row>
    <row r="764" spans="1:1" x14ac:dyDescent="0.25">
      <c r="A764" s="38" t="s">
        <v>52</v>
      </c>
    </row>
    <row r="765" spans="1:1" x14ac:dyDescent="0.25">
      <c r="A765" s="39" t="s">
        <v>52</v>
      </c>
    </row>
    <row r="766" spans="1:1" x14ac:dyDescent="0.25">
      <c r="A766" s="40" t="s">
        <v>52</v>
      </c>
    </row>
    <row r="767" spans="1:1" x14ac:dyDescent="0.25">
      <c r="A767" s="41" t="s">
        <v>52</v>
      </c>
    </row>
    <row r="768" spans="1:1" x14ac:dyDescent="0.25">
      <c r="A768" s="42" t="s">
        <v>52</v>
      </c>
    </row>
    <row r="769" spans="1:1" x14ac:dyDescent="0.25">
      <c r="A769" s="43" t="s">
        <v>52</v>
      </c>
    </row>
    <row r="770" spans="1:1" x14ac:dyDescent="0.25">
      <c r="A770" s="44" t="s">
        <v>52</v>
      </c>
    </row>
    <row r="771" spans="1:1" x14ac:dyDescent="0.25">
      <c r="A771" s="45" t="s">
        <v>52</v>
      </c>
    </row>
    <row r="772" spans="1:1" x14ac:dyDescent="0.25">
      <c r="A772" s="46" t="s">
        <v>52</v>
      </c>
    </row>
    <row r="773" spans="1:1" x14ac:dyDescent="0.25">
      <c r="A773" s="47" t="s">
        <v>52</v>
      </c>
    </row>
    <row r="774" spans="1:1" x14ac:dyDescent="0.25">
      <c r="A774" s="48" t="s">
        <v>742</v>
      </c>
    </row>
    <row r="775" spans="1:1" x14ac:dyDescent="0.25">
      <c r="A775" s="49" t="s">
        <v>52</v>
      </c>
    </row>
    <row r="776" spans="1:1" x14ac:dyDescent="0.25">
      <c r="A776" s="50" t="s">
        <v>52</v>
      </c>
    </row>
    <row r="777" spans="1:1" x14ac:dyDescent="0.25">
      <c r="A777" s="51" t="s">
        <v>52</v>
      </c>
    </row>
    <row r="778" spans="1:1" x14ac:dyDescent="0.25">
      <c r="A778" s="52" t="s">
        <v>52</v>
      </c>
    </row>
    <row r="779" spans="1:1" x14ac:dyDescent="0.25">
      <c r="A779" s="53" t="s">
        <v>52</v>
      </c>
    </row>
    <row r="780" spans="1:1" x14ac:dyDescent="0.25">
      <c r="A780" s="54" t="s">
        <v>52</v>
      </c>
    </row>
    <row r="781" spans="1:1" x14ac:dyDescent="0.25">
      <c r="A781" s="55" t="s">
        <v>52</v>
      </c>
    </row>
    <row r="782" spans="1:1" x14ac:dyDescent="0.25">
      <c r="A782" s="56" t="s">
        <v>52</v>
      </c>
    </row>
    <row r="783" spans="1:1" x14ac:dyDescent="0.25">
      <c r="A783" s="57" t="s">
        <v>52</v>
      </c>
    </row>
    <row r="784" spans="1:1" x14ac:dyDescent="0.25">
      <c r="A784" s="58" t="s">
        <v>52</v>
      </c>
    </row>
    <row r="785" spans="1:1" x14ac:dyDescent="0.25">
      <c r="A785" s="59" t="s">
        <v>52</v>
      </c>
    </row>
    <row r="786" spans="1:1" x14ac:dyDescent="0.25">
      <c r="A786" s="60" t="s">
        <v>52</v>
      </c>
    </row>
    <row r="787" spans="1:1" x14ac:dyDescent="0.25">
      <c r="A787" s="61" t="s">
        <v>52</v>
      </c>
    </row>
    <row r="788" spans="1:1" x14ac:dyDescent="0.25">
      <c r="A788" s="62" t="s">
        <v>52</v>
      </c>
    </row>
    <row r="789" spans="1:1" x14ac:dyDescent="0.25">
      <c r="A789" s="63" t="s">
        <v>52</v>
      </c>
    </row>
    <row r="790" spans="1:1" x14ac:dyDescent="0.25">
      <c r="A790" s="64" t="s">
        <v>52</v>
      </c>
    </row>
    <row r="791" spans="1:1" x14ac:dyDescent="0.25">
      <c r="A791" s="65" t="s">
        <v>52</v>
      </c>
    </row>
    <row r="792" spans="1:1" x14ac:dyDescent="0.25">
      <c r="A792" s="66" t="s">
        <v>52</v>
      </c>
    </row>
    <row r="793" spans="1:1" x14ac:dyDescent="0.25">
      <c r="A793" s="67" t="s">
        <v>52</v>
      </c>
    </row>
    <row r="794" spans="1:1" x14ac:dyDescent="0.25">
      <c r="A794" s="68" t="s">
        <v>52</v>
      </c>
    </row>
    <row r="795" spans="1:1" x14ac:dyDescent="0.25">
      <c r="A795" s="69" t="s">
        <v>52</v>
      </c>
    </row>
    <row r="796" spans="1:1" x14ac:dyDescent="0.25">
      <c r="A796" s="70" t="s">
        <v>52</v>
      </c>
    </row>
    <row r="797" spans="1:1" x14ac:dyDescent="0.25">
      <c r="A797" s="71" t="s">
        <v>52</v>
      </c>
    </row>
    <row r="798" spans="1:1" x14ac:dyDescent="0.25">
      <c r="A798" s="72" t="s">
        <v>52</v>
      </c>
    </row>
    <row r="799" spans="1:1" x14ac:dyDescent="0.25">
      <c r="A799" s="73" t="s">
        <v>52</v>
      </c>
    </row>
    <row r="800" spans="1:1" x14ac:dyDescent="0.25">
      <c r="A800" s="74" t="s">
        <v>52</v>
      </c>
    </row>
    <row r="801" spans="1:1" x14ac:dyDescent="0.25">
      <c r="A801" s="75" t="s">
        <v>52</v>
      </c>
    </row>
    <row r="802" spans="1:1" x14ac:dyDescent="0.25">
      <c r="A802" s="76" t="s">
        <v>52</v>
      </c>
    </row>
    <row r="803" spans="1:1" x14ac:dyDescent="0.25">
      <c r="A803" s="77" t="s">
        <v>52</v>
      </c>
    </row>
    <row r="804" spans="1:1" x14ac:dyDescent="0.25">
      <c r="A804" s="78" t="s">
        <v>52</v>
      </c>
    </row>
    <row r="805" spans="1:1" x14ac:dyDescent="0.25">
      <c r="A805" s="79" t="s">
        <v>52</v>
      </c>
    </row>
    <row r="806" spans="1:1" x14ac:dyDescent="0.25">
      <c r="A806" s="80" t="s">
        <v>52</v>
      </c>
    </row>
    <row r="807" spans="1:1" x14ac:dyDescent="0.25">
      <c r="A807" s="81" t="s">
        <v>52</v>
      </c>
    </row>
    <row r="808" spans="1:1" x14ac:dyDescent="0.25">
      <c r="A808" s="82" t="s">
        <v>52</v>
      </c>
    </row>
    <row r="809" spans="1:1" x14ac:dyDescent="0.25">
      <c r="A809" s="83" t="s">
        <v>52</v>
      </c>
    </row>
    <row r="810" spans="1:1" x14ac:dyDescent="0.25">
      <c r="A810" s="84" t="s">
        <v>52</v>
      </c>
    </row>
    <row r="811" spans="1:1" x14ac:dyDescent="0.25">
      <c r="A811" s="85" t="s">
        <v>52</v>
      </c>
    </row>
    <row r="812" spans="1:1" x14ac:dyDescent="0.25">
      <c r="A812" s="86" t="s">
        <v>52</v>
      </c>
    </row>
    <row r="813" spans="1:1" x14ac:dyDescent="0.25">
      <c r="A813" s="87" t="s">
        <v>52</v>
      </c>
    </row>
    <row r="814" spans="1:1" x14ac:dyDescent="0.25">
      <c r="A814" s="88" t="s">
        <v>52</v>
      </c>
    </row>
    <row r="815" spans="1:1" x14ac:dyDescent="0.25">
      <c r="A815" s="89" t="s">
        <v>52</v>
      </c>
    </row>
    <row r="816" spans="1:1" x14ac:dyDescent="0.25">
      <c r="A816" s="90" t="s">
        <v>52</v>
      </c>
    </row>
    <row r="817" spans="1:1" x14ac:dyDescent="0.25">
      <c r="A817" s="120" t="s">
        <v>52</v>
      </c>
    </row>
    <row r="818" spans="1:1" x14ac:dyDescent="0.25">
      <c r="A818" s="121" t="s">
        <v>52</v>
      </c>
    </row>
    <row r="819" spans="1:1" x14ac:dyDescent="0.25">
      <c r="A819" s="122" t="s">
        <v>52</v>
      </c>
    </row>
    <row r="820" spans="1:1" x14ac:dyDescent="0.25">
      <c r="A820" s="123" t="s">
        <v>52</v>
      </c>
    </row>
    <row r="821" spans="1:1" x14ac:dyDescent="0.25">
      <c r="A821" s="124" t="s">
        <v>52</v>
      </c>
    </row>
    <row r="822" spans="1:1" x14ac:dyDescent="0.25">
      <c r="A822" s="125" t="s">
        <v>52</v>
      </c>
    </row>
    <row r="823" spans="1:1" x14ac:dyDescent="0.25">
      <c r="A823" s="126" t="s">
        <v>52</v>
      </c>
    </row>
    <row r="824" spans="1:1" x14ac:dyDescent="0.25">
      <c r="A824" s="127" t="s">
        <v>52</v>
      </c>
    </row>
    <row r="825" spans="1:1" x14ac:dyDescent="0.25">
      <c r="A825" s="128" t="s">
        <v>52</v>
      </c>
    </row>
    <row r="826" spans="1:1" x14ac:dyDescent="0.25">
      <c r="A826" s="129" t="s">
        <v>52</v>
      </c>
    </row>
    <row r="827" spans="1:1" x14ac:dyDescent="0.25">
      <c r="A827" s="130" t="s">
        <v>52</v>
      </c>
    </row>
    <row r="828" spans="1:1" x14ac:dyDescent="0.25">
      <c r="A828" s="131" t="s">
        <v>52</v>
      </c>
    </row>
    <row r="829" spans="1:1" x14ac:dyDescent="0.25">
      <c r="A829" s="132" t="s">
        <v>52</v>
      </c>
    </row>
    <row r="830" spans="1:1" x14ac:dyDescent="0.25">
      <c r="A830" s="133" t="s">
        <v>52</v>
      </c>
    </row>
    <row r="831" spans="1:1" x14ac:dyDescent="0.25">
      <c r="A831" s="134" t="s">
        <v>52</v>
      </c>
    </row>
    <row r="832" spans="1:1" x14ac:dyDescent="0.25">
      <c r="A832" s="135" t="s">
        <v>52</v>
      </c>
    </row>
    <row r="833" spans="1:1" x14ac:dyDescent="0.25">
      <c r="A833" s="136" t="s">
        <v>52</v>
      </c>
    </row>
    <row r="834" spans="1:1" x14ac:dyDescent="0.25">
      <c r="A834" s="137" t="s">
        <v>52</v>
      </c>
    </row>
    <row r="835" spans="1:1" x14ac:dyDescent="0.25">
      <c r="A835" s="138" t="s">
        <v>52</v>
      </c>
    </row>
    <row r="836" spans="1:1" x14ac:dyDescent="0.25">
      <c r="A836" s="139" t="s">
        <v>52</v>
      </c>
    </row>
    <row r="837" spans="1:1" x14ac:dyDescent="0.25">
      <c r="A837" s="18" t="s">
        <v>743</v>
      </c>
    </row>
    <row r="838" spans="1:1" x14ac:dyDescent="0.25">
      <c r="A838" s="19" t="s">
        <v>52</v>
      </c>
    </row>
    <row r="839" spans="1:1" x14ac:dyDescent="0.25">
      <c r="A839" s="20" t="s">
        <v>52</v>
      </c>
    </row>
    <row r="840" spans="1:1" x14ac:dyDescent="0.25">
      <c r="A840" s="21" t="s">
        <v>52</v>
      </c>
    </row>
    <row r="841" spans="1:1" x14ac:dyDescent="0.25">
      <c r="A841" s="22" t="s">
        <v>52</v>
      </c>
    </row>
    <row r="842" spans="1:1" x14ac:dyDescent="0.25">
      <c r="A842" s="23" t="s">
        <v>52</v>
      </c>
    </row>
    <row r="843" spans="1:1" x14ac:dyDescent="0.25">
      <c r="A843" s="24" t="s">
        <v>52</v>
      </c>
    </row>
    <row r="844" spans="1:1" x14ac:dyDescent="0.25">
      <c r="A844" s="25" t="s">
        <v>52</v>
      </c>
    </row>
    <row r="845" spans="1:1" x14ac:dyDescent="0.25">
      <c r="A845" s="26" t="s">
        <v>744</v>
      </c>
    </row>
    <row r="846" spans="1:1" x14ac:dyDescent="0.25">
      <c r="A846" s="27" t="s">
        <v>745</v>
      </c>
    </row>
    <row r="847" spans="1:1" x14ac:dyDescent="0.25">
      <c r="A847" s="28" t="s">
        <v>52</v>
      </c>
    </row>
    <row r="848" spans="1:1" x14ac:dyDescent="0.25">
      <c r="A848" s="29" t="s">
        <v>52</v>
      </c>
    </row>
    <row r="849" spans="1:1" x14ac:dyDescent="0.25">
      <c r="A849" s="30" t="s">
        <v>52</v>
      </c>
    </row>
    <row r="850" spans="1:1" x14ac:dyDescent="0.25">
      <c r="A850" s="31" t="s">
        <v>52</v>
      </c>
    </row>
    <row r="851" spans="1:1" x14ac:dyDescent="0.25">
      <c r="A851" s="32" t="s">
        <v>52</v>
      </c>
    </row>
    <row r="852" spans="1:1" x14ac:dyDescent="0.25">
      <c r="A852" s="33" t="s">
        <v>52</v>
      </c>
    </row>
    <row r="853" spans="1:1" x14ac:dyDescent="0.25">
      <c r="A853" s="34" t="s">
        <v>52</v>
      </c>
    </row>
    <row r="854" spans="1:1" x14ac:dyDescent="0.25">
      <c r="A854" s="35" t="s">
        <v>52</v>
      </c>
    </row>
    <row r="855" spans="1:1" x14ac:dyDescent="0.25">
      <c r="A855" s="36" t="s">
        <v>52</v>
      </c>
    </row>
    <row r="856" spans="1:1" x14ac:dyDescent="0.25">
      <c r="A856" s="37" t="s">
        <v>52</v>
      </c>
    </row>
    <row r="857" spans="1:1" x14ac:dyDescent="0.25">
      <c r="A857" s="38" t="s">
        <v>52</v>
      </c>
    </row>
    <row r="858" spans="1:1" x14ac:dyDescent="0.25">
      <c r="A858" s="39" t="s">
        <v>52</v>
      </c>
    </row>
    <row r="859" spans="1:1" x14ac:dyDescent="0.25">
      <c r="A859" s="40" t="s">
        <v>52</v>
      </c>
    </row>
    <row r="860" spans="1:1" x14ac:dyDescent="0.25">
      <c r="A860" s="41" t="s">
        <v>52</v>
      </c>
    </row>
    <row r="861" spans="1:1" x14ac:dyDescent="0.25">
      <c r="A861" s="42" t="s">
        <v>52</v>
      </c>
    </row>
    <row r="862" spans="1:1" x14ac:dyDescent="0.25">
      <c r="A862" s="43" t="s">
        <v>52</v>
      </c>
    </row>
    <row r="863" spans="1:1" x14ac:dyDescent="0.25">
      <c r="A863" s="44" t="s">
        <v>52</v>
      </c>
    </row>
    <row r="864" spans="1:1" x14ac:dyDescent="0.25">
      <c r="A864" s="45" t="s">
        <v>52</v>
      </c>
    </row>
    <row r="865" spans="1:1" x14ac:dyDescent="0.25">
      <c r="A865" s="46" t="s">
        <v>52</v>
      </c>
    </row>
    <row r="866" spans="1:1" x14ac:dyDescent="0.25">
      <c r="A866" s="47" t="s">
        <v>52</v>
      </c>
    </row>
    <row r="867" spans="1:1" x14ac:dyDescent="0.25">
      <c r="A867" s="48" t="s">
        <v>746</v>
      </c>
    </row>
    <row r="868" spans="1:1" x14ac:dyDescent="0.25">
      <c r="A868" s="49" t="s">
        <v>52</v>
      </c>
    </row>
    <row r="869" spans="1:1" x14ac:dyDescent="0.25">
      <c r="A869" s="50" t="s">
        <v>52</v>
      </c>
    </row>
    <row r="870" spans="1:1" x14ac:dyDescent="0.25">
      <c r="A870" s="51" t="s">
        <v>52</v>
      </c>
    </row>
    <row r="871" spans="1:1" x14ac:dyDescent="0.25">
      <c r="A871" s="52" t="s">
        <v>52</v>
      </c>
    </row>
    <row r="872" spans="1:1" x14ac:dyDescent="0.25">
      <c r="A872" s="53" t="s">
        <v>52</v>
      </c>
    </row>
    <row r="873" spans="1:1" x14ac:dyDescent="0.25">
      <c r="A873" s="54" t="s">
        <v>52</v>
      </c>
    </row>
    <row r="874" spans="1:1" x14ac:dyDescent="0.25">
      <c r="A874" s="55" t="s">
        <v>52</v>
      </c>
    </row>
    <row r="875" spans="1:1" x14ac:dyDescent="0.25">
      <c r="A875" s="56" t="s">
        <v>52</v>
      </c>
    </row>
    <row r="876" spans="1:1" x14ac:dyDescent="0.25">
      <c r="A876" s="57" t="s">
        <v>52</v>
      </c>
    </row>
    <row r="877" spans="1:1" x14ac:dyDescent="0.25">
      <c r="A877" s="58" t="s">
        <v>52</v>
      </c>
    </row>
    <row r="878" spans="1:1" x14ac:dyDescent="0.25">
      <c r="A878" s="59" t="s">
        <v>52</v>
      </c>
    </row>
    <row r="879" spans="1:1" x14ac:dyDescent="0.25">
      <c r="A879" s="60" t="s">
        <v>52</v>
      </c>
    </row>
    <row r="880" spans="1:1" x14ac:dyDescent="0.25">
      <c r="A880" s="61" t="s">
        <v>52</v>
      </c>
    </row>
    <row r="881" spans="1:1" x14ac:dyDescent="0.25">
      <c r="A881" s="62" t="s">
        <v>52</v>
      </c>
    </row>
    <row r="882" spans="1:1" x14ac:dyDescent="0.25">
      <c r="A882" s="63" t="s">
        <v>52</v>
      </c>
    </row>
    <row r="883" spans="1:1" x14ac:dyDescent="0.25">
      <c r="A883" s="64" t="s">
        <v>52</v>
      </c>
    </row>
    <row r="884" spans="1:1" x14ac:dyDescent="0.25">
      <c r="A884" s="65" t="s">
        <v>52</v>
      </c>
    </row>
    <row r="885" spans="1:1" x14ac:dyDescent="0.25">
      <c r="A885" s="66" t="s">
        <v>52</v>
      </c>
    </row>
    <row r="886" spans="1:1" x14ac:dyDescent="0.25">
      <c r="A886" s="67" t="s">
        <v>52</v>
      </c>
    </row>
    <row r="887" spans="1:1" x14ac:dyDescent="0.25">
      <c r="A887" s="68" t="s">
        <v>52</v>
      </c>
    </row>
    <row r="888" spans="1:1" x14ac:dyDescent="0.25">
      <c r="A888" s="69" t="s">
        <v>52</v>
      </c>
    </row>
    <row r="889" spans="1:1" x14ac:dyDescent="0.25">
      <c r="A889" s="70" t="s">
        <v>52</v>
      </c>
    </row>
    <row r="890" spans="1:1" x14ac:dyDescent="0.25">
      <c r="A890" s="71" t="s">
        <v>52</v>
      </c>
    </row>
    <row r="891" spans="1:1" x14ac:dyDescent="0.25">
      <c r="A891" s="72" t="s">
        <v>52</v>
      </c>
    </row>
    <row r="892" spans="1:1" x14ac:dyDescent="0.25">
      <c r="A892" s="73" t="s">
        <v>52</v>
      </c>
    </row>
    <row r="893" spans="1:1" x14ac:dyDescent="0.25">
      <c r="A893" s="74" t="s">
        <v>52</v>
      </c>
    </row>
    <row r="894" spans="1:1" x14ac:dyDescent="0.25">
      <c r="A894" s="75" t="s">
        <v>52</v>
      </c>
    </row>
    <row r="895" spans="1:1" x14ac:dyDescent="0.25">
      <c r="A895" s="76" t="s">
        <v>52</v>
      </c>
    </row>
    <row r="896" spans="1:1" x14ac:dyDescent="0.25">
      <c r="A896" s="77" t="s">
        <v>52</v>
      </c>
    </row>
    <row r="897" spans="1:1" x14ac:dyDescent="0.25">
      <c r="A897" s="78" t="s">
        <v>52</v>
      </c>
    </row>
    <row r="898" spans="1:1" x14ac:dyDescent="0.25">
      <c r="A898" s="79" t="s">
        <v>52</v>
      </c>
    </row>
    <row r="899" spans="1:1" x14ac:dyDescent="0.25">
      <c r="A899" s="80" t="s">
        <v>52</v>
      </c>
    </row>
    <row r="900" spans="1:1" x14ac:dyDescent="0.25">
      <c r="A900" s="81" t="s">
        <v>52</v>
      </c>
    </row>
    <row r="901" spans="1:1" x14ac:dyDescent="0.25">
      <c r="A901" s="82" t="s">
        <v>52</v>
      </c>
    </row>
    <row r="902" spans="1:1" x14ac:dyDescent="0.25">
      <c r="A902" s="83" t="s">
        <v>52</v>
      </c>
    </row>
    <row r="903" spans="1:1" x14ac:dyDescent="0.25">
      <c r="A903" s="84" t="s">
        <v>52</v>
      </c>
    </row>
    <row r="904" spans="1:1" x14ac:dyDescent="0.25">
      <c r="A904" s="85" t="s">
        <v>52</v>
      </c>
    </row>
    <row r="905" spans="1:1" x14ac:dyDescent="0.25">
      <c r="A905" s="86" t="s">
        <v>52</v>
      </c>
    </row>
    <row r="906" spans="1:1" x14ac:dyDescent="0.25">
      <c r="A906" s="87" t="s">
        <v>52</v>
      </c>
    </row>
    <row r="907" spans="1:1" x14ac:dyDescent="0.25">
      <c r="A907" s="88" t="s">
        <v>52</v>
      </c>
    </row>
    <row r="908" spans="1:1" x14ac:dyDescent="0.25">
      <c r="A908" s="89" t="s">
        <v>52</v>
      </c>
    </row>
    <row r="909" spans="1:1" x14ac:dyDescent="0.25">
      <c r="A909" s="90" t="s">
        <v>52</v>
      </c>
    </row>
    <row r="910" spans="1:1" x14ac:dyDescent="0.25">
      <c r="A910" s="120" t="s">
        <v>52</v>
      </c>
    </row>
    <row r="911" spans="1:1" x14ac:dyDescent="0.25">
      <c r="A911" s="121" t="s">
        <v>52</v>
      </c>
    </row>
    <row r="912" spans="1:1" x14ac:dyDescent="0.25">
      <c r="A912" s="122" t="s">
        <v>52</v>
      </c>
    </row>
    <row r="913" spans="1:1" x14ac:dyDescent="0.25">
      <c r="A913" s="123" t="s">
        <v>52</v>
      </c>
    </row>
    <row r="914" spans="1:1" x14ac:dyDescent="0.25">
      <c r="A914" s="124" t="s">
        <v>52</v>
      </c>
    </row>
    <row r="915" spans="1:1" x14ac:dyDescent="0.25">
      <c r="A915" s="125" t="s">
        <v>52</v>
      </c>
    </row>
    <row r="916" spans="1:1" x14ac:dyDescent="0.25">
      <c r="A916" s="126" t="s">
        <v>52</v>
      </c>
    </row>
    <row r="917" spans="1:1" x14ac:dyDescent="0.25">
      <c r="A917" s="127" t="s">
        <v>52</v>
      </c>
    </row>
    <row r="918" spans="1:1" x14ac:dyDescent="0.25">
      <c r="A918" s="128" t="s">
        <v>52</v>
      </c>
    </row>
    <row r="919" spans="1:1" x14ac:dyDescent="0.25">
      <c r="A919" s="129" t="s">
        <v>52</v>
      </c>
    </row>
    <row r="920" spans="1:1" x14ac:dyDescent="0.25">
      <c r="A920" s="130" t="s">
        <v>52</v>
      </c>
    </row>
    <row r="921" spans="1:1" x14ac:dyDescent="0.25">
      <c r="A921" s="131" t="s">
        <v>52</v>
      </c>
    </row>
    <row r="922" spans="1:1" x14ac:dyDescent="0.25">
      <c r="A922" s="132" t="s">
        <v>52</v>
      </c>
    </row>
    <row r="923" spans="1:1" x14ac:dyDescent="0.25">
      <c r="A923" s="133" t="s">
        <v>52</v>
      </c>
    </row>
    <row r="924" spans="1:1" x14ac:dyDescent="0.25">
      <c r="A924" s="134" t="s">
        <v>52</v>
      </c>
    </row>
    <row r="925" spans="1:1" x14ac:dyDescent="0.25">
      <c r="A925" s="135" t="s">
        <v>52</v>
      </c>
    </row>
    <row r="926" spans="1:1" x14ac:dyDescent="0.25">
      <c r="A926" s="136" t="s">
        <v>52</v>
      </c>
    </row>
    <row r="927" spans="1:1" x14ac:dyDescent="0.25">
      <c r="A927" s="137" t="s">
        <v>52</v>
      </c>
    </row>
    <row r="928" spans="1:1" x14ac:dyDescent="0.25">
      <c r="A928" s="138" t="s">
        <v>52</v>
      </c>
    </row>
    <row r="929" spans="1:1" x14ac:dyDescent="0.25">
      <c r="A929" s="139" t="s">
        <v>52</v>
      </c>
    </row>
    <row r="930" spans="1:1" x14ac:dyDescent="0.25">
      <c r="A930" s="10" t="s">
        <v>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H112"/>
  <sheetViews>
    <sheetView showGridLines="0" view="pageBreakPreview" zoomScale="115" zoomScaleNormal="100" zoomScaleSheetLayoutView="115" workbookViewId="0">
      <selection activeCell="C1" sqref="C1"/>
    </sheetView>
  </sheetViews>
  <sheetFormatPr defaultRowHeight="15" x14ac:dyDescent="0.25"/>
  <cols>
    <col min="2" max="2" width="8.28515625" style="95" customWidth="1"/>
    <col min="3" max="3" width="9.28515625" style="93" customWidth="1"/>
    <col min="4" max="4" width="32.7109375" style="94" customWidth="1"/>
    <col min="5" max="6" width="8.28515625" style="91" customWidth="1"/>
    <col min="7" max="7" width="9.28515625" style="92" customWidth="1"/>
    <col min="8" max="8" width="11.140625" style="92" customWidth="1"/>
  </cols>
  <sheetData>
    <row r="1" spans="1:8" ht="24.75" thickBot="1" x14ac:dyDescent="0.3">
      <c r="B1" s="96" t="s">
        <v>36</v>
      </c>
      <c r="C1" s="97" t="s">
        <v>94</v>
      </c>
      <c r="D1" s="97" t="s">
        <v>38</v>
      </c>
      <c r="E1" s="97" t="s">
        <v>37</v>
      </c>
      <c r="F1" s="98" t="s">
        <v>81</v>
      </c>
      <c r="G1" s="99" t="s">
        <v>86</v>
      </c>
      <c r="H1" s="99" t="s">
        <v>95</v>
      </c>
    </row>
    <row r="2" spans="1:8" x14ac:dyDescent="0.25">
      <c r="B2" s="100"/>
      <c r="C2" s="101"/>
      <c r="D2" s="102"/>
      <c r="E2" s="103"/>
      <c r="F2" s="104"/>
      <c r="G2" s="105"/>
      <c r="H2" s="106"/>
    </row>
    <row r="3" spans="1:8" ht="27" x14ac:dyDescent="0.25">
      <c r="A3" s="113">
        <v>4</v>
      </c>
      <c r="B3" s="100" t="str">
        <f t="shared" ref="B3:B13" si="0">+IF(F3&gt;0,A3,"")</f>
        <v/>
      </c>
      <c r="C3" s="101"/>
      <c r="D3" s="102" t="s">
        <v>310</v>
      </c>
      <c r="E3" s="103"/>
      <c r="F3" s="104"/>
      <c r="G3" s="105"/>
      <c r="H3" s="106"/>
    </row>
    <row r="4" spans="1:8" x14ac:dyDescent="0.25">
      <c r="A4" s="113">
        <f t="shared" ref="A4:A13" si="1">+IF(F4&gt;0.01,A3+0.001,A3)</f>
        <v>4</v>
      </c>
      <c r="B4" s="100" t="str">
        <f t="shared" si="0"/>
        <v/>
      </c>
      <c r="C4" s="107" t="s">
        <v>54</v>
      </c>
      <c r="D4" s="108"/>
      <c r="E4" s="107"/>
      <c r="F4" s="109"/>
      <c r="G4" s="105"/>
      <c r="H4" s="106" t="str">
        <f>IF(F4="","",G4*F4)</f>
        <v/>
      </c>
    </row>
    <row r="5" spans="1:8" ht="25.5" x14ac:dyDescent="0.25">
      <c r="A5" s="113">
        <f>+IF(F5&gt;0.01,A4+0.001,A4)</f>
        <v>4</v>
      </c>
      <c r="B5" s="100" t="str">
        <f>+IF(F5&gt;0,A5,"")</f>
        <v/>
      </c>
      <c r="C5" s="110" t="s">
        <v>307</v>
      </c>
      <c r="D5" s="111" t="s">
        <v>308</v>
      </c>
      <c r="E5" s="107"/>
      <c r="F5" s="107"/>
      <c r="G5" s="107"/>
      <c r="H5" s="107" t="str">
        <f t="shared" ref="H5:H12" si="2">IF(F5="","",G5*F5)</f>
        <v/>
      </c>
    </row>
    <row r="6" spans="1:8" x14ac:dyDescent="0.25">
      <c r="A6" s="113">
        <f t="shared" si="1"/>
        <v>4</v>
      </c>
      <c r="B6" s="100" t="str">
        <f t="shared" si="0"/>
        <v/>
      </c>
      <c r="C6" s="107">
        <v>8.1999999999999993</v>
      </c>
      <c r="D6" s="112" t="s">
        <v>56</v>
      </c>
      <c r="E6" s="107"/>
      <c r="F6" s="107"/>
      <c r="G6" s="107"/>
      <c r="H6" s="107" t="str">
        <f t="shared" si="2"/>
        <v/>
      </c>
    </row>
    <row r="7" spans="1:8" x14ac:dyDescent="0.25">
      <c r="A7" s="113"/>
      <c r="B7" s="100"/>
      <c r="C7" s="107"/>
      <c r="D7" s="108"/>
      <c r="E7" s="107"/>
      <c r="F7" s="109"/>
      <c r="G7" s="105"/>
      <c r="H7" s="106"/>
    </row>
    <row r="8" spans="1:8" ht="40.5" x14ac:dyDescent="0.25">
      <c r="A8" s="113">
        <f>+IF(F8&gt;0.01,A6+0.001,A6)</f>
        <v>4</v>
      </c>
      <c r="B8" s="100" t="str">
        <f t="shared" si="0"/>
        <v/>
      </c>
      <c r="C8" s="107" t="s">
        <v>420</v>
      </c>
      <c r="D8" s="153" t="s">
        <v>309</v>
      </c>
      <c r="E8" s="107"/>
      <c r="F8" s="109"/>
      <c r="G8" s="105"/>
      <c r="H8" s="106" t="str">
        <f t="shared" si="2"/>
        <v/>
      </c>
    </row>
    <row r="9" spans="1:8" x14ac:dyDescent="0.25">
      <c r="A9" s="113">
        <f t="shared" si="1"/>
        <v>4.0010000000000003</v>
      </c>
      <c r="B9" s="100">
        <f t="shared" si="0"/>
        <v>4.0010000000000003</v>
      </c>
      <c r="C9" s="107" t="s">
        <v>1055</v>
      </c>
      <c r="D9" s="108" t="s">
        <v>103</v>
      </c>
      <c r="E9" s="107" t="s">
        <v>47</v>
      </c>
      <c r="F9" s="109">
        <v>1700</v>
      </c>
      <c r="G9" s="105"/>
      <c r="H9" s="106">
        <f t="shared" si="2"/>
        <v>0</v>
      </c>
    </row>
    <row r="10" spans="1:8" x14ac:dyDescent="0.25">
      <c r="A10" s="113"/>
      <c r="B10" s="100"/>
      <c r="C10" s="107"/>
      <c r="D10" s="108"/>
      <c r="E10" s="107"/>
      <c r="F10" s="109"/>
      <c r="G10" s="105"/>
      <c r="H10" s="106"/>
    </row>
    <row r="11" spans="1:8" ht="27" x14ac:dyDescent="0.25">
      <c r="A11" s="113">
        <f>+IF(F11&gt;0.01,A9+0.001,A9)</f>
        <v>4.0010000000000003</v>
      </c>
      <c r="B11" s="100" t="str">
        <f t="shared" si="0"/>
        <v/>
      </c>
      <c r="C11" s="107" t="s">
        <v>421</v>
      </c>
      <c r="D11" s="108" t="s">
        <v>311</v>
      </c>
      <c r="E11" s="107"/>
      <c r="F11" s="109"/>
      <c r="G11" s="105"/>
      <c r="H11" s="106" t="str">
        <f t="shared" si="2"/>
        <v/>
      </c>
    </row>
    <row r="12" spans="1:8" x14ac:dyDescent="0.25">
      <c r="A12" s="113">
        <f t="shared" si="1"/>
        <v>4.0020000000000007</v>
      </c>
      <c r="B12" s="100">
        <f t="shared" si="0"/>
        <v>4.0020000000000007</v>
      </c>
      <c r="C12" s="107" t="s">
        <v>1055</v>
      </c>
      <c r="D12" s="108" t="s">
        <v>103</v>
      </c>
      <c r="E12" s="107" t="s">
        <v>40</v>
      </c>
      <c r="F12" s="109">
        <v>7</v>
      </c>
      <c r="G12" s="105"/>
      <c r="H12" s="106">
        <f t="shared" si="2"/>
        <v>0</v>
      </c>
    </row>
    <row r="13" spans="1:8" x14ac:dyDescent="0.25">
      <c r="A13" s="113">
        <f t="shared" si="1"/>
        <v>4.0020000000000007</v>
      </c>
      <c r="B13" s="100" t="str">
        <f t="shared" si="0"/>
        <v/>
      </c>
      <c r="C13" s="107"/>
      <c r="D13" s="108"/>
      <c r="E13" s="107"/>
      <c r="F13" s="109"/>
      <c r="G13" s="105"/>
      <c r="H13" s="106"/>
    </row>
    <row r="14" spans="1:8" ht="25.5" x14ac:dyDescent="0.25">
      <c r="A14" s="113">
        <f t="shared" ref="A14:A32" si="3">+IF(F14&gt;0.01,A13+0.001,A13)</f>
        <v>4.0020000000000007</v>
      </c>
      <c r="B14" s="100" t="str">
        <f t="shared" ref="B14:B32" si="4">+IF(F14&gt;0,A14,"")</f>
        <v/>
      </c>
      <c r="C14" s="110" t="s">
        <v>55</v>
      </c>
      <c r="D14" s="111" t="s">
        <v>126</v>
      </c>
      <c r="E14" s="107"/>
      <c r="F14" s="109"/>
      <c r="G14" s="105"/>
      <c r="H14" s="106"/>
    </row>
    <row r="15" spans="1:8" x14ac:dyDescent="0.25">
      <c r="A15" s="113">
        <f t="shared" si="3"/>
        <v>4.0020000000000007</v>
      </c>
      <c r="B15" s="100" t="str">
        <f t="shared" si="4"/>
        <v/>
      </c>
      <c r="C15" s="107"/>
      <c r="D15" s="108"/>
      <c r="E15" s="107"/>
      <c r="F15" s="109"/>
      <c r="G15" s="105"/>
      <c r="H15" s="106"/>
    </row>
    <row r="16" spans="1:8" ht="94.5" x14ac:dyDescent="0.25">
      <c r="A16" s="113">
        <f t="shared" si="3"/>
        <v>4.0020000000000007</v>
      </c>
      <c r="B16" s="100" t="str">
        <f t="shared" si="4"/>
        <v/>
      </c>
      <c r="C16" s="107" t="s">
        <v>418</v>
      </c>
      <c r="D16" s="108" t="s">
        <v>87</v>
      </c>
      <c r="E16" s="107"/>
      <c r="F16" s="109"/>
      <c r="G16" s="105"/>
      <c r="H16" s="106" t="str">
        <f t="shared" ref="H16:H23" si="5">IF(F16="","",G16*F16)</f>
        <v/>
      </c>
    </row>
    <row r="17" spans="1:8" x14ac:dyDescent="0.25">
      <c r="A17" s="113">
        <f t="shared" si="3"/>
        <v>4.003000000000001</v>
      </c>
      <c r="B17" s="100">
        <f t="shared" si="4"/>
        <v>4.003000000000001</v>
      </c>
      <c r="C17" s="107" t="s">
        <v>1057</v>
      </c>
      <c r="D17" s="108" t="s">
        <v>748</v>
      </c>
      <c r="E17" s="107" t="s">
        <v>47</v>
      </c>
      <c r="F17" s="109">
        <v>495</v>
      </c>
      <c r="G17" s="105"/>
      <c r="H17" s="106">
        <f t="shared" si="5"/>
        <v>0</v>
      </c>
    </row>
    <row r="18" spans="1:8" x14ac:dyDescent="0.25">
      <c r="A18" s="113">
        <f t="shared" si="3"/>
        <v>4.0040000000000013</v>
      </c>
      <c r="B18" s="100">
        <f t="shared" si="4"/>
        <v>4.0040000000000013</v>
      </c>
      <c r="C18" s="107" t="s">
        <v>1055</v>
      </c>
      <c r="D18" s="108" t="s">
        <v>298</v>
      </c>
      <c r="E18" s="107" t="s">
        <v>47</v>
      </c>
      <c r="F18" s="109">
        <v>284</v>
      </c>
      <c r="G18" s="105"/>
      <c r="H18" s="106">
        <f t="shared" si="5"/>
        <v>0</v>
      </c>
    </row>
    <row r="19" spans="1:8" x14ac:dyDescent="0.25">
      <c r="A19" s="113">
        <f t="shared" si="3"/>
        <v>4.0050000000000017</v>
      </c>
      <c r="B19" s="100">
        <f t="shared" si="4"/>
        <v>4.0050000000000017</v>
      </c>
      <c r="C19" s="107" t="s">
        <v>1025</v>
      </c>
      <c r="D19" s="108" t="s">
        <v>747</v>
      </c>
      <c r="E19" s="107" t="s">
        <v>47</v>
      </c>
      <c r="F19" s="109">
        <v>480</v>
      </c>
      <c r="G19" s="105"/>
      <c r="H19" s="106">
        <f t="shared" si="5"/>
        <v>0</v>
      </c>
    </row>
    <row r="20" spans="1:8" x14ac:dyDescent="0.25">
      <c r="A20" s="113">
        <f t="shared" si="3"/>
        <v>4.006000000000002</v>
      </c>
      <c r="B20" s="100">
        <f t="shared" si="4"/>
        <v>4.006000000000002</v>
      </c>
      <c r="C20" s="107" t="s">
        <v>1055</v>
      </c>
      <c r="D20" s="108" t="s">
        <v>99</v>
      </c>
      <c r="E20" s="107" t="s">
        <v>47</v>
      </c>
      <c r="F20" s="109">
        <v>594</v>
      </c>
      <c r="G20" s="105"/>
      <c r="H20" s="106">
        <f t="shared" si="5"/>
        <v>0</v>
      </c>
    </row>
    <row r="21" spans="1:8" x14ac:dyDescent="0.25">
      <c r="A21" s="113">
        <f t="shared" si="3"/>
        <v>4.0070000000000023</v>
      </c>
      <c r="B21" s="100">
        <f t="shared" si="4"/>
        <v>4.0070000000000023</v>
      </c>
      <c r="C21" s="107" t="s">
        <v>1054</v>
      </c>
      <c r="D21" s="108" t="s">
        <v>102</v>
      </c>
      <c r="E21" s="107" t="s">
        <v>47</v>
      </c>
      <c r="F21" s="109">
        <v>54</v>
      </c>
      <c r="G21" s="105"/>
      <c r="H21" s="106">
        <f t="shared" si="5"/>
        <v>0</v>
      </c>
    </row>
    <row r="22" spans="1:8" x14ac:dyDescent="0.25">
      <c r="A22" s="113">
        <f t="shared" si="3"/>
        <v>4.0080000000000027</v>
      </c>
      <c r="B22" s="100">
        <f t="shared" si="4"/>
        <v>4.0080000000000027</v>
      </c>
      <c r="C22" s="107" t="s">
        <v>1053</v>
      </c>
      <c r="D22" s="108" t="s">
        <v>100</v>
      </c>
      <c r="E22" s="107" t="s">
        <v>47</v>
      </c>
      <c r="F22" s="109">
        <v>320</v>
      </c>
      <c r="G22" s="105"/>
      <c r="H22" s="106">
        <f t="shared" si="5"/>
        <v>0</v>
      </c>
    </row>
    <row r="23" spans="1:8" x14ac:dyDescent="0.25">
      <c r="A23" s="113">
        <f t="shared" si="3"/>
        <v>4.009000000000003</v>
      </c>
      <c r="B23" s="100">
        <f t="shared" si="4"/>
        <v>4.009000000000003</v>
      </c>
      <c r="C23" s="107" t="s">
        <v>1025</v>
      </c>
      <c r="D23" s="108" t="s">
        <v>101</v>
      </c>
      <c r="E23" s="107" t="s">
        <v>47</v>
      </c>
      <c r="F23" s="109">
        <v>34.981166037701897</v>
      </c>
      <c r="G23" s="105"/>
      <c r="H23" s="106">
        <f t="shared" si="5"/>
        <v>0</v>
      </c>
    </row>
    <row r="24" spans="1:8" ht="54" x14ac:dyDescent="0.25">
      <c r="A24" s="113">
        <f t="shared" si="3"/>
        <v>4.009000000000003</v>
      </c>
      <c r="B24" s="100" t="str">
        <f t="shared" si="4"/>
        <v/>
      </c>
      <c r="C24" s="107" t="s">
        <v>416</v>
      </c>
      <c r="D24" s="108" t="s">
        <v>312</v>
      </c>
      <c r="E24" s="107"/>
      <c r="F24" s="109"/>
      <c r="G24" s="105"/>
      <c r="H24" s="106" t="str">
        <f>IF(F24="","",G24*F24)</f>
        <v/>
      </c>
    </row>
    <row r="25" spans="1:8" x14ac:dyDescent="0.25">
      <c r="A25" s="113">
        <f t="shared" si="3"/>
        <v>4.0100000000000033</v>
      </c>
      <c r="B25" s="100">
        <f t="shared" si="4"/>
        <v>4.0100000000000033</v>
      </c>
      <c r="C25" s="107" t="s">
        <v>1055</v>
      </c>
      <c r="D25" s="108" t="s">
        <v>298</v>
      </c>
      <c r="E25" s="107" t="s">
        <v>48</v>
      </c>
      <c r="F25" s="109">
        <v>89.7</v>
      </c>
      <c r="G25" s="105"/>
      <c r="H25" s="106">
        <f>IF(F25="","",G25*F25)</f>
        <v>0</v>
      </c>
    </row>
    <row r="26" spans="1:8" x14ac:dyDescent="0.25">
      <c r="A26" s="113">
        <f t="shared" si="3"/>
        <v>4.0110000000000037</v>
      </c>
      <c r="B26" s="100">
        <f t="shared" ref="B26:B27" si="6">+IF(F26&gt;0,A26,"")</f>
        <v>4.0110000000000037</v>
      </c>
      <c r="C26" s="107" t="s">
        <v>1055</v>
      </c>
      <c r="D26" s="108" t="s">
        <v>99</v>
      </c>
      <c r="E26" s="107" t="s">
        <v>48</v>
      </c>
      <c r="F26" s="109">
        <v>188.47125</v>
      </c>
      <c r="G26" s="105"/>
      <c r="H26" s="106">
        <f t="shared" ref="H26" si="7">IF(F26="","",G26*F26)</f>
        <v>0</v>
      </c>
    </row>
    <row r="27" spans="1:8" x14ac:dyDescent="0.25">
      <c r="A27" s="113"/>
      <c r="B27" s="100" t="str">
        <f t="shared" si="6"/>
        <v/>
      </c>
      <c r="C27" s="107"/>
      <c r="D27" s="108"/>
      <c r="E27" s="107"/>
      <c r="F27" s="109"/>
      <c r="G27" s="105"/>
      <c r="H27" s="106"/>
    </row>
    <row r="28" spans="1:8" ht="27" x14ac:dyDescent="0.25">
      <c r="A28" s="113">
        <f>+IF(F28&gt;0.01,A26+0.001,A26)</f>
        <v>4.0110000000000037</v>
      </c>
      <c r="B28" s="100" t="str">
        <f t="shared" si="4"/>
        <v/>
      </c>
      <c r="C28" s="107" t="s">
        <v>412</v>
      </c>
      <c r="D28" s="108" t="s">
        <v>411</v>
      </c>
      <c r="E28" s="107"/>
      <c r="F28" s="109"/>
      <c r="G28" s="105"/>
      <c r="H28" s="106" t="str">
        <f>IF(F28="","",G28*F28)</f>
        <v/>
      </c>
    </row>
    <row r="29" spans="1:8" x14ac:dyDescent="0.25">
      <c r="A29" s="113">
        <f t="shared" si="3"/>
        <v>4.012000000000004</v>
      </c>
      <c r="B29" s="100">
        <f t="shared" si="4"/>
        <v>4.012000000000004</v>
      </c>
      <c r="C29" s="107" t="s">
        <v>1055</v>
      </c>
      <c r="D29" s="108" t="s">
        <v>103</v>
      </c>
      <c r="E29" s="107" t="s">
        <v>48</v>
      </c>
      <c r="F29" s="109">
        <v>32.435749999999999</v>
      </c>
      <c r="G29" s="105"/>
      <c r="H29" s="106">
        <f>IF(F29="","",G29*F29)</f>
        <v>0</v>
      </c>
    </row>
    <row r="30" spans="1:8" x14ac:dyDescent="0.25">
      <c r="A30" s="113">
        <f t="shared" si="3"/>
        <v>4.012000000000004</v>
      </c>
      <c r="B30" s="100" t="str">
        <f t="shared" si="4"/>
        <v/>
      </c>
      <c r="C30" s="107"/>
      <c r="D30" s="108"/>
      <c r="E30" s="107"/>
      <c r="F30" s="109"/>
      <c r="G30" s="105"/>
      <c r="H30" s="106" t="str">
        <f>IF(F30="","",G30*F30)</f>
        <v/>
      </c>
    </row>
    <row r="31" spans="1:8" x14ac:dyDescent="0.25">
      <c r="A31" s="113">
        <f t="shared" si="3"/>
        <v>4.012000000000004</v>
      </c>
      <c r="B31" s="100" t="str">
        <f t="shared" si="4"/>
        <v/>
      </c>
      <c r="C31" s="107" t="s">
        <v>53</v>
      </c>
      <c r="D31" s="108" t="s">
        <v>376</v>
      </c>
      <c r="E31" s="107"/>
      <c r="F31" s="109"/>
      <c r="G31" s="105"/>
      <c r="H31" s="106" t="str">
        <f>IF(F31="","",G31*F31)</f>
        <v/>
      </c>
    </row>
    <row r="32" spans="1:8" x14ac:dyDescent="0.25">
      <c r="A32" s="113">
        <f t="shared" si="3"/>
        <v>4.0130000000000043</v>
      </c>
      <c r="B32" s="100">
        <f t="shared" si="4"/>
        <v>4.0130000000000043</v>
      </c>
      <c r="C32" s="107" t="s">
        <v>1055</v>
      </c>
      <c r="D32" s="108" t="s">
        <v>377</v>
      </c>
      <c r="E32" s="107" t="s">
        <v>48</v>
      </c>
      <c r="F32" s="109">
        <v>188</v>
      </c>
      <c r="G32" s="105"/>
      <c r="H32" s="106">
        <f>IF(F32="","",G32*F32)</f>
        <v>0</v>
      </c>
    </row>
    <row r="33" spans="1:8" x14ac:dyDescent="0.25">
      <c r="A33" s="113">
        <f>+IF(F33&gt;0.01,A32+0.001,A32)</f>
        <v>4.0130000000000043</v>
      </c>
      <c r="B33" s="100" t="str">
        <f>+IF(F33&gt;0,A33,"")</f>
        <v/>
      </c>
      <c r="C33" s="107"/>
      <c r="D33" s="108"/>
      <c r="E33" s="107"/>
      <c r="F33" s="109"/>
      <c r="G33" s="105"/>
      <c r="H33" s="106"/>
    </row>
    <row r="34" spans="1:8" ht="15.75" thickBot="1" x14ac:dyDescent="0.3">
      <c r="A34" s="113">
        <f>+IF(F34&gt;0.01,A33+0.001,A33)</f>
        <v>4.0130000000000043</v>
      </c>
      <c r="B34" s="100" t="str">
        <f>+IF(F34&gt;0,A34,"")</f>
        <v/>
      </c>
      <c r="C34" s="107"/>
      <c r="D34" s="108"/>
      <c r="E34" s="107"/>
      <c r="F34" s="109"/>
      <c r="G34" s="105"/>
      <c r="H34" s="106"/>
    </row>
    <row r="35" spans="1:8" ht="15.75" thickBot="1" x14ac:dyDescent="0.3">
      <c r="A35" s="113"/>
      <c r="B35" s="173" t="s">
        <v>313</v>
      </c>
      <c r="C35" s="174"/>
      <c r="D35" s="174"/>
      <c r="E35" s="174"/>
      <c r="F35" s="174"/>
      <c r="G35" s="175"/>
      <c r="H35" s="117">
        <f>SUM(H2:H34)</f>
        <v>0</v>
      </c>
    </row>
    <row r="36" spans="1:8" ht="24.75" thickBot="1" x14ac:dyDescent="0.3">
      <c r="A36" s="113"/>
      <c r="B36" s="114" t="s">
        <v>36</v>
      </c>
      <c r="C36" s="97" t="s">
        <v>94</v>
      </c>
      <c r="D36" s="115" t="s">
        <v>38</v>
      </c>
      <c r="E36" s="115" t="s">
        <v>37</v>
      </c>
      <c r="F36" s="115" t="s">
        <v>81</v>
      </c>
      <c r="G36" s="116" t="s">
        <v>86</v>
      </c>
      <c r="H36" s="99" t="s">
        <v>95</v>
      </c>
    </row>
    <row r="37" spans="1:8" ht="15.75" thickBot="1" x14ac:dyDescent="0.3">
      <c r="A37" s="113"/>
      <c r="B37" s="171" t="s">
        <v>330</v>
      </c>
      <c r="C37" s="172"/>
      <c r="D37" s="172"/>
      <c r="E37" s="172"/>
      <c r="F37" s="172"/>
      <c r="G37" s="172"/>
      <c r="H37" s="117">
        <f>H35</f>
        <v>0</v>
      </c>
    </row>
    <row r="38" spans="1:8" ht="12.75" customHeight="1" x14ac:dyDescent="0.25">
      <c r="A38" s="113">
        <f>+IF(F38&gt;0.01,A34+0.001,A34)</f>
        <v>4.0130000000000043</v>
      </c>
      <c r="B38" s="100" t="str">
        <f t="shared" ref="B38:B74" si="8">+IF(F38&gt;0,A38,"")</f>
        <v/>
      </c>
      <c r="C38" s="118"/>
      <c r="D38" s="118"/>
      <c r="E38" s="118"/>
      <c r="F38" s="118"/>
      <c r="G38" s="118"/>
      <c r="H38" s="119"/>
    </row>
    <row r="39" spans="1:8" ht="54" x14ac:dyDescent="0.25">
      <c r="A39" s="113">
        <f t="shared" ref="A39" si="9">+IF(F39&gt;0.01,A38+0.001,A38)</f>
        <v>4.0130000000000043</v>
      </c>
      <c r="B39" s="100" t="str">
        <f t="shared" si="8"/>
        <v/>
      </c>
      <c r="C39" s="107" t="s">
        <v>415</v>
      </c>
      <c r="D39" s="108" t="s">
        <v>88</v>
      </c>
      <c r="E39" s="107"/>
      <c r="F39" s="109"/>
      <c r="G39" s="105"/>
      <c r="H39" s="106" t="str">
        <f t="shared" ref="H39:H41" si="10">IF(F39="","",G39*F39)</f>
        <v/>
      </c>
    </row>
    <row r="40" spans="1:8" x14ac:dyDescent="0.25">
      <c r="A40" s="113">
        <f t="shared" ref="A40:A69" si="11">+IF(F40&gt;0.01,A39+0.001,A39)</f>
        <v>4.0140000000000047</v>
      </c>
      <c r="B40" s="100">
        <f t="shared" ref="B40:B69" si="12">+IF(F40&gt;0,A40,"")</f>
        <v>4.0140000000000047</v>
      </c>
      <c r="C40" s="107" t="s">
        <v>1056</v>
      </c>
      <c r="D40" s="108" t="s">
        <v>96</v>
      </c>
      <c r="E40" s="107" t="s">
        <v>48</v>
      </c>
      <c r="F40" s="109">
        <v>14.22</v>
      </c>
      <c r="G40" s="105"/>
      <c r="H40" s="106">
        <f t="shared" si="10"/>
        <v>0</v>
      </c>
    </row>
    <row r="41" spans="1:8" x14ac:dyDescent="0.25">
      <c r="A41" s="113">
        <f t="shared" si="11"/>
        <v>4.015000000000005</v>
      </c>
      <c r="B41" s="100">
        <f t="shared" si="12"/>
        <v>4.015000000000005</v>
      </c>
      <c r="C41" s="107" t="s">
        <v>1053</v>
      </c>
      <c r="D41" s="108" t="s">
        <v>297</v>
      </c>
      <c r="E41" s="107" t="s">
        <v>48</v>
      </c>
      <c r="F41" s="109">
        <v>18.36</v>
      </c>
      <c r="G41" s="105"/>
      <c r="H41" s="106">
        <f t="shared" si="10"/>
        <v>0</v>
      </c>
    </row>
    <row r="42" spans="1:8" x14ac:dyDescent="0.25">
      <c r="A42" s="113">
        <f t="shared" si="11"/>
        <v>4.0160000000000053</v>
      </c>
      <c r="B42" s="100">
        <f t="shared" si="12"/>
        <v>4.0160000000000053</v>
      </c>
      <c r="C42" s="107" t="s">
        <v>1054</v>
      </c>
      <c r="D42" s="108" t="s">
        <v>102</v>
      </c>
      <c r="E42" s="107" t="s">
        <v>48</v>
      </c>
      <c r="F42" s="109">
        <v>18.899999999999999</v>
      </c>
      <c r="G42" s="105"/>
      <c r="H42" s="106">
        <f t="shared" ref="H42:H45" si="13">IF(F42="","",G42*F42)</f>
        <v>0</v>
      </c>
    </row>
    <row r="43" spans="1:8" x14ac:dyDescent="0.25">
      <c r="A43" s="113">
        <f t="shared" si="11"/>
        <v>4.0170000000000057</v>
      </c>
      <c r="B43" s="100">
        <f t="shared" si="12"/>
        <v>4.0170000000000057</v>
      </c>
      <c r="C43" s="107" t="s">
        <v>1053</v>
      </c>
      <c r="D43" s="108" t="s">
        <v>100</v>
      </c>
      <c r="E43" s="107" t="s">
        <v>48</v>
      </c>
      <c r="F43" s="109">
        <v>64</v>
      </c>
      <c r="G43" s="105"/>
      <c r="H43" s="106">
        <f t="shared" si="13"/>
        <v>0</v>
      </c>
    </row>
    <row r="44" spans="1:8" x14ac:dyDescent="0.25">
      <c r="A44" s="113">
        <f t="shared" si="11"/>
        <v>4.018000000000006</v>
      </c>
      <c r="B44" s="100">
        <f t="shared" si="12"/>
        <v>4.018000000000006</v>
      </c>
      <c r="C44" s="107" t="s">
        <v>1055</v>
      </c>
      <c r="D44" s="108" t="s">
        <v>103</v>
      </c>
      <c r="E44" s="107" t="s">
        <v>48</v>
      </c>
      <c r="F44" s="109">
        <v>324.35750000000002</v>
      </c>
      <c r="G44" s="105"/>
      <c r="H44" s="106">
        <f t="shared" si="13"/>
        <v>0</v>
      </c>
    </row>
    <row r="45" spans="1:8" x14ac:dyDescent="0.25">
      <c r="A45" s="113">
        <f t="shared" si="11"/>
        <v>4.0190000000000063</v>
      </c>
      <c r="B45" s="100">
        <f t="shared" si="12"/>
        <v>4.0190000000000063</v>
      </c>
      <c r="C45" s="107" t="s">
        <v>1025</v>
      </c>
      <c r="D45" s="108" t="s">
        <v>101</v>
      </c>
      <c r="E45" s="107" t="s">
        <v>48</v>
      </c>
      <c r="F45" s="109">
        <v>5.4</v>
      </c>
      <c r="G45" s="105"/>
      <c r="H45" s="106">
        <f t="shared" si="13"/>
        <v>0</v>
      </c>
    </row>
    <row r="46" spans="1:8" ht="12.75" customHeight="1" x14ac:dyDescent="0.25">
      <c r="A46" s="113">
        <f t="shared" si="11"/>
        <v>4.0190000000000063</v>
      </c>
      <c r="B46" s="100" t="str">
        <f t="shared" si="12"/>
        <v/>
      </c>
      <c r="C46" s="107"/>
      <c r="D46" s="108"/>
      <c r="E46" s="107"/>
      <c r="F46" s="109"/>
      <c r="G46" s="105"/>
      <c r="H46" s="106"/>
    </row>
    <row r="47" spans="1:8" ht="108" x14ac:dyDescent="0.25">
      <c r="A47" s="113">
        <f t="shared" si="11"/>
        <v>4.0190000000000063</v>
      </c>
      <c r="B47" s="100" t="str">
        <f t="shared" si="12"/>
        <v/>
      </c>
      <c r="C47" s="107" t="s">
        <v>417</v>
      </c>
      <c r="D47" s="108" t="s">
        <v>191</v>
      </c>
      <c r="E47" s="107"/>
      <c r="F47" s="109"/>
      <c r="G47" s="105"/>
      <c r="H47" s="106" t="str">
        <f t="shared" ref="H47:H48" si="14">IF(F47="","",G47*F47)</f>
        <v/>
      </c>
    </row>
    <row r="48" spans="1:8" x14ac:dyDescent="0.25">
      <c r="A48" s="113">
        <f t="shared" si="11"/>
        <v>4.0200000000000067</v>
      </c>
      <c r="B48" s="100">
        <f t="shared" si="12"/>
        <v>4.0200000000000067</v>
      </c>
      <c r="C48" s="107" t="s">
        <v>1053</v>
      </c>
      <c r="D48" s="108" t="s">
        <v>97</v>
      </c>
      <c r="E48" s="107" t="s">
        <v>48</v>
      </c>
      <c r="F48" s="109">
        <v>118</v>
      </c>
      <c r="G48" s="105"/>
      <c r="H48" s="106">
        <f t="shared" si="14"/>
        <v>0</v>
      </c>
    </row>
    <row r="49" spans="1:8" x14ac:dyDescent="0.25">
      <c r="A49" s="113">
        <f t="shared" si="11"/>
        <v>4.021000000000007</v>
      </c>
      <c r="B49" s="100">
        <f t="shared" si="12"/>
        <v>4.021000000000007</v>
      </c>
      <c r="C49" s="107" t="s">
        <v>1025</v>
      </c>
      <c r="D49" s="108" t="s">
        <v>98</v>
      </c>
      <c r="E49" s="107" t="s">
        <v>48</v>
      </c>
      <c r="F49" s="109">
        <v>69</v>
      </c>
      <c r="G49" s="105"/>
      <c r="H49" s="106">
        <f>IF(F49="","",G49*F49)</f>
        <v>0</v>
      </c>
    </row>
    <row r="50" spans="1:8" x14ac:dyDescent="0.25">
      <c r="A50" s="113">
        <f t="shared" si="11"/>
        <v>4.0220000000000073</v>
      </c>
      <c r="B50" s="100">
        <f t="shared" si="12"/>
        <v>4.0220000000000073</v>
      </c>
      <c r="C50" s="107" t="s">
        <v>1053</v>
      </c>
      <c r="D50" s="108" t="s">
        <v>100</v>
      </c>
      <c r="E50" s="107" t="s">
        <v>48</v>
      </c>
      <c r="F50" s="109">
        <v>93</v>
      </c>
      <c r="G50" s="105"/>
      <c r="H50" s="106">
        <f>IF(F50="","",G50*F50)</f>
        <v>0</v>
      </c>
    </row>
    <row r="51" spans="1:8" ht="11.25" customHeight="1" x14ac:dyDescent="0.25">
      <c r="A51" s="113">
        <f t="shared" si="11"/>
        <v>4.0220000000000073</v>
      </c>
      <c r="B51" s="100" t="str">
        <f t="shared" si="12"/>
        <v/>
      </c>
      <c r="C51" s="107"/>
      <c r="D51" s="108"/>
      <c r="E51" s="107"/>
      <c r="F51" s="109"/>
      <c r="G51" s="105"/>
      <c r="H51" s="106"/>
    </row>
    <row r="52" spans="1:8" ht="52.5" customHeight="1" x14ac:dyDescent="0.25">
      <c r="A52" s="113">
        <f t="shared" si="11"/>
        <v>4.0220000000000073</v>
      </c>
      <c r="B52" s="100" t="str">
        <f t="shared" si="12"/>
        <v/>
      </c>
      <c r="C52" s="107" t="s">
        <v>39</v>
      </c>
      <c r="D52" s="108" t="s">
        <v>247</v>
      </c>
      <c r="E52" s="107"/>
      <c r="F52" s="109"/>
      <c r="G52" s="105"/>
      <c r="H52" s="106" t="str">
        <f t="shared" ref="H52:H59" si="15">IF(F52="","",G52*F52)</f>
        <v/>
      </c>
    </row>
    <row r="53" spans="1:8" x14ac:dyDescent="0.25">
      <c r="A53" s="113">
        <f t="shared" si="11"/>
        <v>4.0230000000000077</v>
      </c>
      <c r="B53" s="100">
        <f>+IF(F53&gt;0,A53,"")</f>
        <v>4.0230000000000077</v>
      </c>
      <c r="C53" s="107"/>
      <c r="D53" s="108" t="s">
        <v>97</v>
      </c>
      <c r="E53" s="107" t="s">
        <v>47</v>
      </c>
      <c r="F53" s="109">
        <v>494.87334053189198</v>
      </c>
      <c r="G53" s="105"/>
      <c r="H53" s="106">
        <f t="shared" si="15"/>
        <v>0</v>
      </c>
    </row>
    <row r="54" spans="1:8" x14ac:dyDescent="0.25">
      <c r="A54" s="113">
        <f t="shared" si="11"/>
        <v>4.024000000000008</v>
      </c>
      <c r="B54" s="100">
        <f t="shared" si="12"/>
        <v>4.024000000000008</v>
      </c>
      <c r="C54" s="107" t="s">
        <v>1055</v>
      </c>
      <c r="D54" s="108" t="s">
        <v>298</v>
      </c>
      <c r="E54" s="107" t="s">
        <v>47</v>
      </c>
      <c r="F54" s="109">
        <v>283.94775771874401</v>
      </c>
      <c r="G54" s="105"/>
      <c r="H54" s="106">
        <f t="shared" si="15"/>
        <v>0</v>
      </c>
    </row>
    <row r="55" spans="1:8" x14ac:dyDescent="0.25">
      <c r="A55" s="113">
        <f t="shared" si="11"/>
        <v>4.0250000000000083</v>
      </c>
      <c r="B55" s="100">
        <f t="shared" si="12"/>
        <v>4.0250000000000083</v>
      </c>
      <c r="C55" s="107"/>
      <c r="D55" s="108" t="s">
        <v>98</v>
      </c>
      <c r="E55" s="107" t="s">
        <v>47</v>
      </c>
      <c r="F55" s="109">
        <v>480</v>
      </c>
      <c r="G55" s="105"/>
      <c r="H55" s="106">
        <f t="shared" si="15"/>
        <v>0</v>
      </c>
    </row>
    <row r="56" spans="1:8" x14ac:dyDescent="0.25">
      <c r="A56" s="113">
        <f t="shared" si="11"/>
        <v>4.0260000000000087</v>
      </c>
      <c r="B56" s="100">
        <f t="shared" si="12"/>
        <v>4.0260000000000087</v>
      </c>
      <c r="C56" s="107" t="s">
        <v>1055</v>
      </c>
      <c r="D56" s="108" t="s">
        <v>99</v>
      </c>
      <c r="E56" s="107" t="s">
        <v>47</v>
      </c>
      <c r="F56" s="109">
        <v>594</v>
      </c>
      <c r="G56" s="105"/>
      <c r="H56" s="106">
        <f t="shared" si="15"/>
        <v>0</v>
      </c>
    </row>
    <row r="57" spans="1:8" x14ac:dyDescent="0.25">
      <c r="A57" s="113">
        <f t="shared" si="11"/>
        <v>4.027000000000009</v>
      </c>
      <c r="B57" s="100">
        <f t="shared" si="12"/>
        <v>4.027000000000009</v>
      </c>
      <c r="C57" s="107" t="s">
        <v>1054</v>
      </c>
      <c r="D57" s="108" t="s">
        <v>102</v>
      </c>
      <c r="E57" s="107" t="s">
        <v>47</v>
      </c>
      <c r="F57" s="109">
        <v>54</v>
      </c>
      <c r="G57" s="105"/>
      <c r="H57" s="106">
        <f t="shared" si="15"/>
        <v>0</v>
      </c>
    </row>
    <row r="58" spans="1:8" x14ac:dyDescent="0.25">
      <c r="A58" s="113">
        <f t="shared" si="11"/>
        <v>4.0280000000000094</v>
      </c>
      <c r="B58" s="100">
        <f t="shared" si="12"/>
        <v>4.0280000000000094</v>
      </c>
      <c r="C58" s="107" t="s">
        <v>1053</v>
      </c>
      <c r="D58" s="108" t="s">
        <v>100</v>
      </c>
      <c r="E58" s="107" t="s">
        <v>47</v>
      </c>
      <c r="F58" s="109">
        <v>320</v>
      </c>
      <c r="G58" s="105"/>
      <c r="H58" s="106">
        <f t="shared" si="15"/>
        <v>0</v>
      </c>
    </row>
    <row r="59" spans="1:8" x14ac:dyDescent="0.25">
      <c r="A59" s="113">
        <f t="shared" si="11"/>
        <v>4.0290000000000097</v>
      </c>
      <c r="B59" s="100">
        <f t="shared" si="12"/>
        <v>4.0290000000000097</v>
      </c>
      <c r="C59" s="107" t="s">
        <v>1025</v>
      </c>
      <c r="D59" s="108" t="s">
        <v>101</v>
      </c>
      <c r="E59" s="107" t="s">
        <v>47</v>
      </c>
      <c r="F59" s="109">
        <v>18</v>
      </c>
      <c r="G59" s="105"/>
      <c r="H59" s="106">
        <f t="shared" si="15"/>
        <v>0</v>
      </c>
    </row>
    <row r="60" spans="1:8" ht="11.25" customHeight="1" x14ac:dyDescent="0.25">
      <c r="A60" s="113">
        <f t="shared" si="11"/>
        <v>4.0290000000000097</v>
      </c>
      <c r="B60" s="100" t="str">
        <f t="shared" si="12"/>
        <v/>
      </c>
      <c r="C60" s="107"/>
      <c r="D60" s="108"/>
      <c r="E60" s="107"/>
      <c r="F60" s="109"/>
      <c r="G60" s="105"/>
      <c r="H60" s="106"/>
    </row>
    <row r="61" spans="1:8" ht="67.5" x14ac:dyDescent="0.25">
      <c r="A61" s="113">
        <f t="shared" si="11"/>
        <v>4.0290000000000097</v>
      </c>
      <c r="B61" s="100" t="str">
        <f t="shared" si="12"/>
        <v/>
      </c>
      <c r="C61" s="107" t="s">
        <v>414</v>
      </c>
      <c r="D61" s="108" t="s">
        <v>192</v>
      </c>
      <c r="E61" s="107"/>
      <c r="F61" s="109"/>
      <c r="G61" s="105"/>
      <c r="H61" s="106" t="str">
        <f t="shared" ref="H61:H68" si="16">IF(F61="","",G61*F61)</f>
        <v/>
      </c>
    </row>
    <row r="62" spans="1:8" x14ac:dyDescent="0.25">
      <c r="A62" s="113">
        <f t="shared" si="11"/>
        <v>4.03000000000001</v>
      </c>
      <c r="B62" s="100">
        <f t="shared" si="12"/>
        <v>4.03000000000001</v>
      </c>
      <c r="C62" s="107"/>
      <c r="D62" s="108" t="s">
        <v>97</v>
      </c>
      <c r="E62" s="107" t="s">
        <v>47</v>
      </c>
      <c r="F62" s="109">
        <v>494.87334053189198</v>
      </c>
      <c r="G62" s="105"/>
      <c r="H62" s="106">
        <f t="shared" si="16"/>
        <v>0</v>
      </c>
    </row>
    <row r="63" spans="1:8" x14ac:dyDescent="0.25">
      <c r="A63" s="113">
        <f t="shared" si="11"/>
        <v>4.0310000000000104</v>
      </c>
      <c r="B63" s="100">
        <f t="shared" si="12"/>
        <v>4.0310000000000104</v>
      </c>
      <c r="C63" s="107" t="s">
        <v>1055</v>
      </c>
      <c r="D63" s="108" t="s">
        <v>298</v>
      </c>
      <c r="E63" s="107" t="s">
        <v>47</v>
      </c>
      <c r="F63" s="109">
        <v>283.94775771874401</v>
      </c>
      <c r="G63" s="105"/>
      <c r="H63" s="106">
        <f t="shared" si="16"/>
        <v>0</v>
      </c>
    </row>
    <row r="64" spans="1:8" x14ac:dyDescent="0.25">
      <c r="A64" s="113">
        <f t="shared" si="11"/>
        <v>4.0320000000000107</v>
      </c>
      <c r="B64" s="100">
        <f t="shared" si="12"/>
        <v>4.0320000000000107</v>
      </c>
      <c r="C64" s="107" t="s">
        <v>1025</v>
      </c>
      <c r="D64" s="108" t="s">
        <v>98</v>
      </c>
      <c r="E64" s="107" t="s">
        <v>47</v>
      </c>
      <c r="F64" s="109">
        <v>480</v>
      </c>
      <c r="G64" s="105"/>
      <c r="H64" s="106">
        <f t="shared" si="16"/>
        <v>0</v>
      </c>
    </row>
    <row r="65" spans="1:8" x14ac:dyDescent="0.25">
      <c r="A65" s="113">
        <f t="shared" si="11"/>
        <v>4.033000000000011</v>
      </c>
      <c r="B65" s="100">
        <f t="shared" si="12"/>
        <v>4.033000000000011</v>
      </c>
      <c r="C65" s="107" t="s">
        <v>1055</v>
      </c>
      <c r="D65" s="108" t="s">
        <v>99</v>
      </c>
      <c r="E65" s="107" t="s">
        <v>47</v>
      </c>
      <c r="F65" s="109">
        <v>594</v>
      </c>
      <c r="G65" s="105"/>
      <c r="H65" s="106">
        <f t="shared" si="16"/>
        <v>0</v>
      </c>
    </row>
    <row r="66" spans="1:8" x14ac:dyDescent="0.25">
      <c r="A66" s="113">
        <f t="shared" si="11"/>
        <v>4.0340000000000114</v>
      </c>
      <c r="B66" s="100">
        <f t="shared" si="12"/>
        <v>4.0340000000000114</v>
      </c>
      <c r="C66" s="107" t="s">
        <v>1054</v>
      </c>
      <c r="D66" s="108" t="s">
        <v>102</v>
      </c>
      <c r="E66" s="107" t="s">
        <v>47</v>
      </c>
      <c r="F66" s="109">
        <v>54</v>
      </c>
      <c r="G66" s="105"/>
      <c r="H66" s="106">
        <f t="shared" si="16"/>
        <v>0</v>
      </c>
    </row>
    <row r="67" spans="1:8" x14ac:dyDescent="0.25">
      <c r="A67" s="113">
        <f t="shared" si="11"/>
        <v>4.0350000000000117</v>
      </c>
      <c r="B67" s="100">
        <f t="shared" si="12"/>
        <v>4.0350000000000117</v>
      </c>
      <c r="C67" s="107" t="s">
        <v>1053</v>
      </c>
      <c r="D67" s="108" t="s">
        <v>100</v>
      </c>
      <c r="E67" s="107" t="s">
        <v>47</v>
      </c>
      <c r="F67" s="109">
        <v>320</v>
      </c>
      <c r="G67" s="105"/>
      <c r="H67" s="106">
        <f t="shared" si="16"/>
        <v>0</v>
      </c>
    </row>
    <row r="68" spans="1:8" x14ac:dyDescent="0.25">
      <c r="A68" s="113">
        <f t="shared" si="11"/>
        <v>4.036000000000012</v>
      </c>
      <c r="B68" s="100">
        <f t="shared" si="12"/>
        <v>4.036000000000012</v>
      </c>
      <c r="C68" s="107" t="s">
        <v>1025</v>
      </c>
      <c r="D68" s="108" t="s">
        <v>101</v>
      </c>
      <c r="E68" s="107" t="s">
        <v>47</v>
      </c>
      <c r="F68" s="109">
        <v>18</v>
      </c>
      <c r="G68" s="105"/>
      <c r="H68" s="106">
        <f t="shared" si="16"/>
        <v>0</v>
      </c>
    </row>
    <row r="69" spans="1:8" ht="15.75" thickBot="1" x14ac:dyDescent="0.3">
      <c r="A69" s="113">
        <f t="shared" si="11"/>
        <v>4.036000000000012</v>
      </c>
      <c r="B69" s="100" t="str">
        <f t="shared" si="12"/>
        <v/>
      </c>
      <c r="C69" s="107"/>
      <c r="D69" s="108"/>
      <c r="E69" s="107"/>
      <c r="F69" s="109"/>
      <c r="G69" s="105"/>
      <c r="H69" s="106"/>
    </row>
    <row r="70" spans="1:8" ht="15.75" thickBot="1" x14ac:dyDescent="0.3">
      <c r="A70" s="113"/>
      <c r="B70" s="173" t="s">
        <v>313</v>
      </c>
      <c r="C70" s="174"/>
      <c r="D70" s="174"/>
      <c r="E70" s="174"/>
      <c r="F70" s="174"/>
      <c r="G70" s="175"/>
      <c r="H70" s="117">
        <f>SUM(H37:H69)</f>
        <v>0</v>
      </c>
    </row>
    <row r="71" spans="1:8" ht="24.75" thickBot="1" x14ac:dyDescent="0.3">
      <c r="A71" s="113"/>
      <c r="B71" s="114" t="s">
        <v>36</v>
      </c>
      <c r="C71" s="97" t="s">
        <v>94</v>
      </c>
      <c r="D71" s="115" t="s">
        <v>38</v>
      </c>
      <c r="E71" s="115" t="s">
        <v>37</v>
      </c>
      <c r="F71" s="115" t="s">
        <v>81</v>
      </c>
      <c r="G71" s="116" t="s">
        <v>86</v>
      </c>
      <c r="H71" s="99" t="s">
        <v>95</v>
      </c>
    </row>
    <row r="72" spans="1:8" ht="15.75" thickBot="1" x14ac:dyDescent="0.3">
      <c r="A72" s="113"/>
      <c r="B72" s="171" t="s">
        <v>330</v>
      </c>
      <c r="C72" s="172"/>
      <c r="D72" s="172"/>
      <c r="E72" s="172"/>
      <c r="F72" s="172"/>
      <c r="G72" s="172"/>
      <c r="H72" s="117">
        <f>H70</f>
        <v>0</v>
      </c>
    </row>
    <row r="73" spans="1:8" x14ac:dyDescent="0.25">
      <c r="A73" s="113"/>
      <c r="B73" s="100"/>
      <c r="C73" s="107"/>
      <c r="D73" s="108"/>
      <c r="E73" s="107"/>
      <c r="F73" s="109"/>
      <c r="G73" s="105"/>
      <c r="H73" s="106"/>
    </row>
    <row r="74" spans="1:8" x14ac:dyDescent="0.25">
      <c r="A74" s="113">
        <f>+IF(F74&gt;0.01,A69+0.001,A69)</f>
        <v>4.036000000000012</v>
      </c>
      <c r="B74" s="100" t="str">
        <f t="shared" si="8"/>
        <v/>
      </c>
      <c r="C74" s="107"/>
      <c r="D74" s="108" t="s">
        <v>239</v>
      </c>
      <c r="E74" s="107"/>
      <c r="F74" s="109"/>
      <c r="G74" s="105"/>
      <c r="H74" s="106" t="str">
        <f t="shared" ref="H74:H98" si="17">IF(F74="","",G74*F74)</f>
        <v/>
      </c>
    </row>
    <row r="75" spans="1:8" ht="71.25" customHeight="1" x14ac:dyDescent="0.25">
      <c r="A75" s="113">
        <f>+IF(F75&gt;0.01,A74+0.001,A74)</f>
        <v>4.036000000000012</v>
      </c>
      <c r="B75" s="100" t="str">
        <f t="shared" ref="B75" si="18">+IF(F75&gt;0,A75,"")</f>
        <v/>
      </c>
      <c r="C75" s="107" t="s">
        <v>54</v>
      </c>
      <c r="D75" s="108" t="s">
        <v>190</v>
      </c>
      <c r="E75" s="107"/>
      <c r="F75" s="109"/>
      <c r="G75" s="105"/>
      <c r="H75" s="106" t="str">
        <f t="shared" si="17"/>
        <v/>
      </c>
    </row>
    <row r="76" spans="1:8" x14ac:dyDescent="0.25">
      <c r="A76" s="113">
        <f t="shared" ref="A76:A109" si="19">+IF(F76&gt;0.01,A75+0.001,A75)</f>
        <v>4.0370000000000124</v>
      </c>
      <c r="B76" s="100">
        <f t="shared" ref="B76:B111" si="20">+IF(F76&gt;0,A76,"")</f>
        <v>4.0370000000000124</v>
      </c>
      <c r="C76" s="107" t="s">
        <v>1052</v>
      </c>
      <c r="D76" s="108" t="s">
        <v>96</v>
      </c>
      <c r="E76" s="107" t="s">
        <v>3</v>
      </c>
      <c r="F76" s="109">
        <v>79</v>
      </c>
      <c r="G76" s="105"/>
      <c r="H76" s="106">
        <f t="shared" si="17"/>
        <v>0</v>
      </c>
    </row>
    <row r="77" spans="1:8" x14ac:dyDescent="0.25">
      <c r="A77" s="113">
        <f t="shared" si="19"/>
        <v>4.0380000000000127</v>
      </c>
      <c r="B77" s="100">
        <f t="shared" si="20"/>
        <v>4.0380000000000127</v>
      </c>
      <c r="C77" s="107" t="s">
        <v>1052</v>
      </c>
      <c r="D77" s="108" t="s">
        <v>297</v>
      </c>
      <c r="E77" s="107" t="s">
        <v>3</v>
      </c>
      <c r="F77" s="109">
        <v>102</v>
      </c>
      <c r="G77" s="105"/>
      <c r="H77" s="106">
        <f t="shared" si="17"/>
        <v>0</v>
      </c>
    </row>
    <row r="78" spans="1:8" x14ac:dyDescent="0.25">
      <c r="A78" s="113">
        <f t="shared" si="19"/>
        <v>4.0380000000000127</v>
      </c>
      <c r="B78" s="100" t="str">
        <f t="shared" si="20"/>
        <v/>
      </c>
      <c r="C78" s="107"/>
      <c r="D78" s="108"/>
      <c r="E78" s="107"/>
      <c r="F78" s="109"/>
      <c r="G78" s="105"/>
      <c r="H78" s="106" t="str">
        <f t="shared" si="17"/>
        <v/>
      </c>
    </row>
    <row r="79" spans="1:8" ht="67.5" x14ac:dyDescent="0.25">
      <c r="A79" s="113">
        <f t="shared" si="19"/>
        <v>4.039000000000013</v>
      </c>
      <c r="B79" s="100">
        <f t="shared" si="20"/>
        <v>4.039000000000013</v>
      </c>
      <c r="C79" s="107" t="s">
        <v>414</v>
      </c>
      <c r="D79" s="108" t="s">
        <v>413</v>
      </c>
      <c r="E79" s="107" t="s">
        <v>47</v>
      </c>
      <c r="F79" s="109">
        <v>500</v>
      </c>
      <c r="G79" s="105"/>
      <c r="H79" s="106">
        <f t="shared" si="17"/>
        <v>0</v>
      </c>
    </row>
    <row r="80" spans="1:8" x14ac:dyDescent="0.25">
      <c r="A80" s="113">
        <f t="shared" si="19"/>
        <v>4.039000000000013</v>
      </c>
      <c r="B80" s="100" t="str">
        <f t="shared" si="20"/>
        <v/>
      </c>
      <c r="C80" s="107"/>
      <c r="D80" s="108"/>
      <c r="E80" s="107"/>
      <c r="F80" s="109"/>
      <c r="G80" s="105"/>
      <c r="H80" s="106" t="str">
        <f t="shared" si="17"/>
        <v/>
      </c>
    </row>
    <row r="81" spans="1:8" x14ac:dyDescent="0.25">
      <c r="A81" s="113">
        <f t="shared" si="19"/>
        <v>4.039000000000013</v>
      </c>
      <c r="B81" s="100" t="str">
        <f t="shared" si="20"/>
        <v/>
      </c>
      <c r="C81" s="107"/>
      <c r="D81" s="108"/>
      <c r="E81" s="107"/>
      <c r="F81" s="109"/>
      <c r="G81" s="105"/>
      <c r="H81" s="106" t="str">
        <f t="shared" si="17"/>
        <v/>
      </c>
    </row>
    <row r="82" spans="1:8" x14ac:dyDescent="0.25">
      <c r="A82" s="113">
        <f t="shared" si="19"/>
        <v>4.039000000000013</v>
      </c>
      <c r="B82" s="100" t="str">
        <f t="shared" si="20"/>
        <v/>
      </c>
      <c r="C82" s="107"/>
      <c r="D82" s="108"/>
      <c r="E82" s="107"/>
      <c r="F82" s="109"/>
      <c r="G82" s="105"/>
      <c r="H82" s="106" t="str">
        <f t="shared" si="17"/>
        <v/>
      </c>
    </row>
    <row r="83" spans="1:8" x14ac:dyDescent="0.25">
      <c r="A83" s="113">
        <f t="shared" si="19"/>
        <v>4.039000000000013</v>
      </c>
      <c r="B83" s="100" t="str">
        <f t="shared" si="20"/>
        <v/>
      </c>
      <c r="C83" s="107"/>
      <c r="D83" s="112"/>
      <c r="E83" s="107"/>
      <c r="F83" s="109"/>
      <c r="G83" s="105"/>
      <c r="H83" s="106" t="str">
        <f t="shared" si="17"/>
        <v/>
      </c>
    </row>
    <row r="84" spans="1:8" x14ac:dyDescent="0.25">
      <c r="A84" s="113">
        <f t="shared" si="19"/>
        <v>4.039000000000013</v>
      </c>
      <c r="B84" s="100" t="str">
        <f t="shared" si="20"/>
        <v/>
      </c>
      <c r="C84" s="107"/>
      <c r="D84" s="108"/>
      <c r="E84" s="107"/>
      <c r="F84" s="109"/>
      <c r="G84" s="105"/>
      <c r="H84" s="106" t="str">
        <f t="shared" si="17"/>
        <v/>
      </c>
    </row>
    <row r="85" spans="1:8" x14ac:dyDescent="0.25">
      <c r="A85" s="113">
        <f t="shared" si="19"/>
        <v>4.039000000000013</v>
      </c>
      <c r="B85" s="100" t="str">
        <f t="shared" si="20"/>
        <v/>
      </c>
      <c r="C85" s="107"/>
      <c r="D85" s="108"/>
      <c r="E85" s="107"/>
      <c r="F85" s="109"/>
      <c r="G85" s="105"/>
      <c r="H85" s="106" t="str">
        <f t="shared" si="17"/>
        <v/>
      </c>
    </row>
    <row r="86" spans="1:8" x14ac:dyDescent="0.25">
      <c r="A86" s="113">
        <f t="shared" si="19"/>
        <v>4.039000000000013</v>
      </c>
      <c r="B86" s="100" t="str">
        <f t="shared" si="20"/>
        <v/>
      </c>
      <c r="C86" s="107"/>
      <c r="D86" s="108"/>
      <c r="E86" s="107"/>
      <c r="F86" s="109"/>
      <c r="G86" s="105"/>
      <c r="H86" s="106" t="str">
        <f t="shared" si="17"/>
        <v/>
      </c>
    </row>
    <row r="87" spans="1:8" x14ac:dyDescent="0.25">
      <c r="A87" s="113">
        <f t="shared" si="19"/>
        <v>4.039000000000013</v>
      </c>
      <c r="B87" s="100" t="str">
        <f t="shared" si="20"/>
        <v/>
      </c>
      <c r="C87" s="107"/>
      <c r="D87" s="108"/>
      <c r="E87" s="107"/>
      <c r="F87" s="109"/>
      <c r="G87" s="105"/>
      <c r="H87" s="106" t="str">
        <f t="shared" si="17"/>
        <v/>
      </c>
    </row>
    <row r="88" spans="1:8" x14ac:dyDescent="0.25">
      <c r="A88" s="113">
        <f t="shared" si="19"/>
        <v>4.039000000000013</v>
      </c>
      <c r="B88" s="100" t="str">
        <f t="shared" si="20"/>
        <v/>
      </c>
      <c r="C88" s="154"/>
      <c r="D88" s="155"/>
      <c r="E88" s="154"/>
      <c r="F88" s="156"/>
      <c r="G88" s="157"/>
      <c r="H88" s="106" t="str">
        <f t="shared" si="17"/>
        <v/>
      </c>
    </row>
    <row r="89" spans="1:8" x14ac:dyDescent="0.25">
      <c r="A89" s="113">
        <f t="shared" si="19"/>
        <v>4.039000000000013</v>
      </c>
      <c r="B89" s="100" t="str">
        <f t="shared" si="20"/>
        <v/>
      </c>
      <c r="C89" s="154"/>
      <c r="D89" s="158"/>
      <c r="E89" s="154"/>
      <c r="F89" s="156"/>
      <c r="G89" s="157"/>
      <c r="H89" s="106" t="str">
        <f t="shared" si="17"/>
        <v/>
      </c>
    </row>
    <row r="90" spans="1:8" x14ac:dyDescent="0.25">
      <c r="A90" s="113">
        <f t="shared" si="19"/>
        <v>4.039000000000013</v>
      </c>
      <c r="B90" s="100" t="str">
        <f t="shared" si="20"/>
        <v/>
      </c>
      <c r="C90" s="107"/>
      <c r="D90" s="108"/>
      <c r="E90" s="107"/>
      <c r="F90" s="109"/>
      <c r="G90" s="105"/>
      <c r="H90" s="106" t="str">
        <f t="shared" si="17"/>
        <v/>
      </c>
    </row>
    <row r="91" spans="1:8" x14ac:dyDescent="0.25">
      <c r="A91" s="113">
        <f t="shared" si="19"/>
        <v>4.039000000000013</v>
      </c>
      <c r="B91" s="100" t="str">
        <f t="shared" si="20"/>
        <v/>
      </c>
      <c r="C91" s="107"/>
      <c r="D91" s="108"/>
      <c r="E91" s="107"/>
      <c r="F91" s="109"/>
      <c r="G91" s="105"/>
      <c r="H91" s="106" t="str">
        <f t="shared" si="17"/>
        <v/>
      </c>
    </row>
    <row r="92" spans="1:8" x14ac:dyDescent="0.25">
      <c r="A92" s="113">
        <f t="shared" si="19"/>
        <v>4.039000000000013</v>
      </c>
      <c r="B92" s="100" t="str">
        <f t="shared" si="20"/>
        <v/>
      </c>
      <c r="C92" s="107"/>
      <c r="D92" s="108"/>
      <c r="E92" s="107"/>
      <c r="F92" s="109"/>
      <c r="G92" s="105"/>
      <c r="H92" s="106" t="str">
        <f t="shared" si="17"/>
        <v/>
      </c>
    </row>
    <row r="93" spans="1:8" x14ac:dyDescent="0.25">
      <c r="A93" s="113">
        <f t="shared" si="19"/>
        <v>4.039000000000013</v>
      </c>
      <c r="B93" s="100" t="str">
        <f t="shared" si="20"/>
        <v/>
      </c>
      <c r="C93" s="107"/>
      <c r="D93" s="108"/>
      <c r="E93" s="107"/>
      <c r="F93" s="109"/>
      <c r="G93" s="105"/>
      <c r="H93" s="106" t="str">
        <f t="shared" si="17"/>
        <v/>
      </c>
    </row>
    <row r="94" spans="1:8" x14ac:dyDescent="0.25">
      <c r="A94" s="113">
        <f t="shared" si="19"/>
        <v>4.039000000000013</v>
      </c>
      <c r="B94" s="100" t="str">
        <f t="shared" si="20"/>
        <v/>
      </c>
      <c r="C94" s="107"/>
      <c r="D94" s="108"/>
      <c r="E94" s="107"/>
      <c r="F94" s="109"/>
      <c r="G94" s="105"/>
      <c r="H94" s="106" t="str">
        <f t="shared" si="17"/>
        <v/>
      </c>
    </row>
    <row r="95" spans="1:8" x14ac:dyDescent="0.25">
      <c r="A95" s="113">
        <f t="shared" si="19"/>
        <v>4.039000000000013</v>
      </c>
      <c r="B95" s="100" t="str">
        <f t="shared" si="20"/>
        <v/>
      </c>
      <c r="C95" s="107"/>
      <c r="D95" s="108"/>
      <c r="E95" s="107"/>
      <c r="F95" s="109"/>
      <c r="G95" s="105"/>
      <c r="H95" s="106" t="str">
        <f t="shared" si="17"/>
        <v/>
      </c>
    </row>
    <row r="96" spans="1:8" x14ac:dyDescent="0.25">
      <c r="A96" s="113">
        <f t="shared" si="19"/>
        <v>4.039000000000013</v>
      </c>
      <c r="B96" s="100" t="str">
        <f t="shared" si="20"/>
        <v/>
      </c>
      <c r="C96" s="107"/>
      <c r="D96" s="108"/>
      <c r="E96" s="107"/>
      <c r="F96" s="109"/>
      <c r="G96" s="105"/>
      <c r="H96" s="106" t="str">
        <f t="shared" si="17"/>
        <v/>
      </c>
    </row>
    <row r="97" spans="1:8" x14ac:dyDescent="0.25">
      <c r="A97" s="113">
        <f t="shared" si="19"/>
        <v>4.039000000000013</v>
      </c>
      <c r="B97" s="100" t="str">
        <f t="shared" si="20"/>
        <v/>
      </c>
      <c r="C97" s="107"/>
      <c r="D97" s="108"/>
      <c r="E97" s="107"/>
      <c r="F97" s="109"/>
      <c r="G97" s="105"/>
      <c r="H97" s="106" t="str">
        <f t="shared" si="17"/>
        <v/>
      </c>
    </row>
    <row r="98" spans="1:8" x14ac:dyDescent="0.25">
      <c r="A98" s="113">
        <f t="shared" si="19"/>
        <v>4.039000000000013</v>
      </c>
      <c r="B98" s="100" t="str">
        <f t="shared" si="20"/>
        <v/>
      </c>
      <c r="C98" s="107"/>
      <c r="D98" s="108"/>
      <c r="E98" s="107"/>
      <c r="F98" s="109"/>
      <c r="G98" s="105"/>
      <c r="H98" s="106" t="str">
        <f t="shared" si="17"/>
        <v/>
      </c>
    </row>
    <row r="99" spans="1:8" x14ac:dyDescent="0.25">
      <c r="A99" s="113">
        <f t="shared" si="19"/>
        <v>4.039000000000013</v>
      </c>
      <c r="B99" s="100" t="str">
        <f t="shared" si="20"/>
        <v/>
      </c>
      <c r="C99" s="107"/>
      <c r="D99" s="108"/>
      <c r="E99" s="107"/>
      <c r="F99" s="109"/>
      <c r="G99" s="105"/>
      <c r="H99" s="106"/>
    </row>
    <row r="100" spans="1:8" x14ac:dyDescent="0.25">
      <c r="A100" s="113">
        <f t="shared" si="19"/>
        <v>4.039000000000013</v>
      </c>
      <c r="B100" s="100" t="str">
        <f t="shared" si="20"/>
        <v/>
      </c>
      <c r="C100" s="107"/>
      <c r="D100" s="108"/>
      <c r="E100" s="107"/>
      <c r="F100" s="109"/>
      <c r="G100" s="105"/>
      <c r="H100" s="106"/>
    </row>
    <row r="101" spans="1:8" x14ac:dyDescent="0.25">
      <c r="A101" s="113">
        <f t="shared" si="19"/>
        <v>4.039000000000013</v>
      </c>
      <c r="B101" s="100" t="str">
        <f t="shared" si="20"/>
        <v/>
      </c>
      <c r="C101" s="107"/>
      <c r="D101" s="108"/>
      <c r="E101" s="107"/>
      <c r="F101" s="109"/>
      <c r="G101" s="105"/>
      <c r="H101" s="106"/>
    </row>
    <row r="102" spans="1:8" x14ac:dyDescent="0.25">
      <c r="A102" s="113">
        <f t="shared" si="19"/>
        <v>4.039000000000013</v>
      </c>
      <c r="B102" s="100" t="str">
        <f t="shared" si="20"/>
        <v/>
      </c>
      <c r="C102" s="107"/>
      <c r="D102" s="108"/>
      <c r="E102" s="107"/>
      <c r="F102" s="109"/>
      <c r="G102" s="105"/>
      <c r="H102" s="106"/>
    </row>
    <row r="103" spans="1:8" x14ac:dyDescent="0.25">
      <c r="A103" s="113">
        <f t="shared" si="19"/>
        <v>4.039000000000013</v>
      </c>
      <c r="B103" s="100" t="str">
        <f t="shared" si="20"/>
        <v/>
      </c>
      <c r="C103" s="107"/>
      <c r="D103" s="108"/>
      <c r="E103" s="107"/>
      <c r="F103" s="109"/>
      <c r="G103" s="105"/>
      <c r="H103" s="106"/>
    </row>
    <row r="104" spans="1:8" x14ac:dyDescent="0.25">
      <c r="A104" s="113">
        <f t="shared" si="19"/>
        <v>4.039000000000013</v>
      </c>
      <c r="B104" s="100" t="str">
        <f t="shared" si="20"/>
        <v/>
      </c>
      <c r="C104" s="107"/>
      <c r="D104" s="108"/>
      <c r="E104" s="107"/>
      <c r="F104" s="109"/>
      <c r="G104" s="105"/>
      <c r="H104" s="106"/>
    </row>
    <row r="105" spans="1:8" x14ac:dyDescent="0.25">
      <c r="A105" s="113">
        <f t="shared" si="19"/>
        <v>4.039000000000013</v>
      </c>
      <c r="B105" s="100" t="str">
        <f t="shared" si="20"/>
        <v/>
      </c>
      <c r="C105" s="107"/>
      <c r="D105" s="108"/>
      <c r="E105" s="107"/>
      <c r="F105" s="109"/>
      <c r="G105" s="105"/>
      <c r="H105" s="106"/>
    </row>
    <row r="106" spans="1:8" x14ac:dyDescent="0.25">
      <c r="A106" s="113">
        <f t="shared" si="19"/>
        <v>4.039000000000013</v>
      </c>
      <c r="B106" s="100" t="str">
        <f t="shared" si="20"/>
        <v/>
      </c>
      <c r="C106" s="107"/>
      <c r="D106" s="108"/>
      <c r="E106" s="107"/>
      <c r="F106" s="109"/>
      <c r="G106" s="105"/>
      <c r="H106" s="106"/>
    </row>
    <row r="107" spans="1:8" x14ac:dyDescent="0.25">
      <c r="A107" s="113">
        <f t="shared" si="19"/>
        <v>4.039000000000013</v>
      </c>
      <c r="B107" s="100" t="str">
        <f t="shared" si="20"/>
        <v/>
      </c>
      <c r="C107" s="107"/>
      <c r="D107" s="108"/>
      <c r="E107" s="107"/>
      <c r="F107" s="109"/>
      <c r="G107" s="105"/>
      <c r="H107" s="106"/>
    </row>
    <row r="108" spans="1:8" x14ac:dyDescent="0.25">
      <c r="A108" s="113">
        <f t="shared" si="19"/>
        <v>4.039000000000013</v>
      </c>
      <c r="B108" s="100" t="str">
        <f t="shared" si="20"/>
        <v/>
      </c>
      <c r="C108" s="107"/>
      <c r="D108" s="108"/>
      <c r="E108" s="107"/>
      <c r="F108" s="109"/>
      <c r="G108" s="105"/>
      <c r="H108" s="106"/>
    </row>
    <row r="109" spans="1:8" x14ac:dyDescent="0.25">
      <c r="A109" s="113">
        <f t="shared" si="19"/>
        <v>4.039000000000013</v>
      </c>
      <c r="B109" s="100" t="str">
        <f t="shared" si="20"/>
        <v/>
      </c>
      <c r="C109" s="107"/>
      <c r="D109" s="108"/>
      <c r="E109" s="107"/>
      <c r="F109" s="109"/>
      <c r="G109" s="105"/>
      <c r="H109" s="106"/>
    </row>
    <row r="110" spans="1:8" x14ac:dyDescent="0.25">
      <c r="A110" s="113"/>
      <c r="B110" s="100"/>
      <c r="C110" s="107"/>
      <c r="D110" s="108"/>
      <c r="E110" s="107"/>
      <c r="F110" s="109"/>
      <c r="G110" s="105"/>
      <c r="H110" s="106"/>
    </row>
    <row r="111" spans="1:8" ht="15.75" thickBot="1" x14ac:dyDescent="0.3">
      <c r="A111" s="113">
        <f>+IF(F111&gt;0.01,A109+0.001,A109)</f>
        <v>4.039000000000013</v>
      </c>
      <c r="B111" s="100" t="str">
        <f t="shared" si="20"/>
        <v/>
      </c>
      <c r="C111" s="107"/>
      <c r="D111" s="108"/>
      <c r="E111" s="107"/>
      <c r="F111" s="109"/>
      <c r="G111" s="105"/>
      <c r="H111" s="106"/>
    </row>
    <row r="112" spans="1:8" ht="15.75" thickBot="1" x14ac:dyDescent="0.3">
      <c r="A112" s="113"/>
      <c r="B112" s="173" t="s">
        <v>314</v>
      </c>
      <c r="C112" s="174"/>
      <c r="D112" s="174"/>
      <c r="E112" s="174"/>
      <c r="F112" s="174"/>
      <c r="G112" s="175"/>
      <c r="H112" s="117">
        <f>SUM(H72:H111)</f>
        <v>0</v>
      </c>
    </row>
  </sheetData>
  <mergeCells count="5">
    <mergeCell ref="B35:G35"/>
    <mergeCell ref="B37:G37"/>
    <mergeCell ref="B70:G70"/>
    <mergeCell ref="B72:G72"/>
    <mergeCell ref="B112:G112"/>
  </mergeCells>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H97"/>
  <sheetViews>
    <sheetView showGridLines="0" view="pageBreakPreview" zoomScale="115" zoomScaleNormal="100" zoomScaleSheetLayoutView="115" workbookViewId="0">
      <selection activeCell="D6" sqref="D6"/>
    </sheetView>
  </sheetViews>
  <sheetFormatPr defaultRowHeight="15" x14ac:dyDescent="0.25"/>
  <cols>
    <col min="2" max="2" width="8.28515625" style="95" customWidth="1"/>
    <col min="3" max="3" width="9.28515625" style="93" customWidth="1"/>
    <col min="4" max="4" width="32.7109375" style="94" customWidth="1"/>
    <col min="5" max="6" width="8.28515625" style="91" customWidth="1"/>
    <col min="7" max="7" width="9.28515625" style="92" customWidth="1"/>
    <col min="8" max="8" width="11.140625" style="92" customWidth="1"/>
  </cols>
  <sheetData>
    <row r="1" spans="1:8" ht="24.75" thickBot="1" x14ac:dyDescent="0.3">
      <c r="B1" s="96" t="s">
        <v>36</v>
      </c>
      <c r="C1" s="97" t="s">
        <v>94</v>
      </c>
      <c r="D1" s="97" t="s">
        <v>38</v>
      </c>
      <c r="E1" s="97" t="s">
        <v>37</v>
      </c>
      <c r="F1" s="98" t="s">
        <v>81</v>
      </c>
      <c r="G1" s="99" t="s">
        <v>86</v>
      </c>
      <c r="H1" s="99" t="s">
        <v>95</v>
      </c>
    </row>
    <row r="2" spans="1:8" x14ac:dyDescent="0.25">
      <c r="B2" s="100"/>
      <c r="C2" s="101"/>
      <c r="D2" s="102"/>
      <c r="E2" s="103"/>
      <c r="F2" s="104"/>
      <c r="G2" s="105"/>
      <c r="H2" s="106"/>
    </row>
    <row r="3" spans="1:8" ht="27" x14ac:dyDescent="0.25">
      <c r="A3" s="113">
        <v>5</v>
      </c>
      <c r="B3" s="100" t="str">
        <f t="shared" ref="B3:B23" si="0">+IF(F3&gt;0,A3,"")</f>
        <v/>
      </c>
      <c r="C3" s="101"/>
      <c r="D3" s="102" t="s">
        <v>334</v>
      </c>
      <c r="E3" s="103"/>
      <c r="F3" s="104"/>
      <c r="G3" s="105"/>
      <c r="H3" s="106"/>
    </row>
    <row r="4" spans="1:8" x14ac:dyDescent="0.25">
      <c r="A4" s="113">
        <f t="shared" ref="A4:A23" si="1">+IF(F4&gt;0.01,A3+0.001,A3)</f>
        <v>5</v>
      </c>
      <c r="B4" s="100" t="str">
        <f t="shared" si="0"/>
        <v/>
      </c>
      <c r="C4" s="107" t="s">
        <v>54</v>
      </c>
      <c r="D4" s="108"/>
      <c r="E4" s="107"/>
      <c r="F4" s="109"/>
      <c r="G4" s="105"/>
      <c r="H4" s="106" t="str">
        <f t="shared" ref="H4:H9" si="2">IF(F4="","",G4*F4)</f>
        <v/>
      </c>
    </row>
    <row r="5" spans="1:8" ht="25.5" x14ac:dyDescent="0.25">
      <c r="A5" s="113">
        <f t="shared" si="1"/>
        <v>5</v>
      </c>
      <c r="B5" s="100" t="str">
        <f t="shared" si="0"/>
        <v/>
      </c>
      <c r="C5" s="110" t="s">
        <v>55</v>
      </c>
      <c r="D5" s="111" t="s">
        <v>126</v>
      </c>
      <c r="E5" s="107"/>
      <c r="F5" s="109"/>
      <c r="G5" s="105"/>
      <c r="H5" s="106" t="str">
        <f t="shared" si="2"/>
        <v/>
      </c>
    </row>
    <row r="6" spans="1:8" x14ac:dyDescent="0.25">
      <c r="A6" s="113">
        <f t="shared" si="1"/>
        <v>5</v>
      </c>
      <c r="B6" s="100" t="str">
        <f t="shared" si="0"/>
        <v/>
      </c>
      <c r="C6" s="107">
        <v>8.3000000000000007</v>
      </c>
      <c r="D6" s="112" t="s">
        <v>33</v>
      </c>
      <c r="E6" s="107"/>
      <c r="F6" s="109"/>
      <c r="G6" s="105"/>
      <c r="H6" s="106" t="str">
        <f t="shared" si="2"/>
        <v/>
      </c>
    </row>
    <row r="7" spans="1:8" ht="94.5" x14ac:dyDescent="0.25">
      <c r="A7" s="113">
        <f t="shared" si="1"/>
        <v>5</v>
      </c>
      <c r="B7" s="100" t="str">
        <f t="shared" si="0"/>
        <v/>
      </c>
      <c r="C7" s="107" t="s">
        <v>419</v>
      </c>
      <c r="D7" s="108" t="s">
        <v>87</v>
      </c>
      <c r="E7" s="107"/>
      <c r="F7" s="109"/>
      <c r="G7" s="105"/>
      <c r="H7" s="106" t="str">
        <f t="shared" si="2"/>
        <v/>
      </c>
    </row>
    <row r="8" spans="1:8" ht="27" x14ac:dyDescent="0.25">
      <c r="A8" s="113">
        <f t="shared" si="1"/>
        <v>5.0010000000000003</v>
      </c>
      <c r="B8" s="100">
        <f t="shared" si="0"/>
        <v>5.0010000000000003</v>
      </c>
      <c r="C8" s="107"/>
      <c r="D8" s="108" t="s">
        <v>331</v>
      </c>
      <c r="E8" s="107" t="s">
        <v>47</v>
      </c>
      <c r="F8" s="109">
        <v>31.75</v>
      </c>
      <c r="G8" s="105"/>
      <c r="H8" s="106">
        <f t="shared" si="2"/>
        <v>0</v>
      </c>
    </row>
    <row r="9" spans="1:8" x14ac:dyDescent="0.25">
      <c r="A9" s="113">
        <f t="shared" si="1"/>
        <v>5.0010000000000003</v>
      </c>
      <c r="B9" s="100" t="str">
        <f t="shared" si="0"/>
        <v/>
      </c>
      <c r="C9" s="107"/>
      <c r="D9" s="108"/>
      <c r="E9" s="107"/>
      <c r="F9" s="109"/>
      <c r="G9" s="105"/>
      <c r="H9" s="106" t="str">
        <f t="shared" si="2"/>
        <v/>
      </c>
    </row>
    <row r="10" spans="1:8" x14ac:dyDescent="0.25">
      <c r="A10" s="113">
        <f t="shared" si="1"/>
        <v>5.0010000000000003</v>
      </c>
      <c r="B10" s="100" t="str">
        <f t="shared" si="0"/>
        <v/>
      </c>
      <c r="C10" s="107"/>
      <c r="D10" s="108"/>
      <c r="E10" s="107"/>
      <c r="F10" s="109"/>
      <c r="G10" s="105"/>
      <c r="H10" s="106"/>
    </row>
    <row r="11" spans="1:8" ht="54" x14ac:dyDescent="0.25">
      <c r="A11" s="113">
        <f t="shared" si="1"/>
        <v>5.0010000000000003</v>
      </c>
      <c r="B11" s="100" t="str">
        <f t="shared" si="0"/>
        <v/>
      </c>
      <c r="C11" s="107" t="s">
        <v>415</v>
      </c>
      <c r="D11" s="108" t="s">
        <v>88</v>
      </c>
      <c r="E11" s="107"/>
      <c r="F11" s="109"/>
      <c r="G11" s="105"/>
      <c r="H11" s="106" t="str">
        <f t="shared" ref="H11:H24" si="3">IF(F11="","",G11*F11)</f>
        <v/>
      </c>
    </row>
    <row r="12" spans="1:8" ht="27" x14ac:dyDescent="0.25">
      <c r="A12" s="113">
        <f t="shared" si="1"/>
        <v>5.0020000000000007</v>
      </c>
      <c r="B12" s="100">
        <f t="shared" si="0"/>
        <v>5.0020000000000007</v>
      </c>
      <c r="C12" s="107"/>
      <c r="D12" s="108" t="s">
        <v>880</v>
      </c>
      <c r="E12" s="107" t="s">
        <v>48</v>
      </c>
      <c r="F12" s="109">
        <v>5.7</v>
      </c>
      <c r="G12" s="105"/>
      <c r="H12" s="106">
        <f t="shared" si="3"/>
        <v>0</v>
      </c>
    </row>
    <row r="13" spans="1:8" ht="27" x14ac:dyDescent="0.25">
      <c r="A13" s="113">
        <f t="shared" si="1"/>
        <v>5.003000000000001</v>
      </c>
      <c r="B13" s="100">
        <f t="shared" si="0"/>
        <v>5.003000000000001</v>
      </c>
      <c r="C13" s="107"/>
      <c r="D13" s="108" t="s">
        <v>881</v>
      </c>
      <c r="E13" s="107" t="s">
        <v>48</v>
      </c>
      <c r="F13" s="109">
        <v>5.3550000000000004</v>
      </c>
      <c r="G13" s="105"/>
      <c r="H13" s="106">
        <f t="shared" si="3"/>
        <v>0</v>
      </c>
    </row>
    <row r="14" spans="1:8" ht="27" x14ac:dyDescent="0.25">
      <c r="A14" s="113">
        <f t="shared" si="1"/>
        <v>5.0040000000000013</v>
      </c>
      <c r="B14" s="100">
        <f t="shared" si="0"/>
        <v>5.0040000000000013</v>
      </c>
      <c r="C14" s="107"/>
      <c r="D14" s="108" t="s">
        <v>882</v>
      </c>
      <c r="E14" s="107" t="s">
        <v>48</v>
      </c>
      <c r="F14" s="109">
        <v>6.93</v>
      </c>
      <c r="G14" s="105"/>
      <c r="H14" s="106">
        <f t="shared" si="3"/>
        <v>0</v>
      </c>
    </row>
    <row r="15" spans="1:8" ht="27" x14ac:dyDescent="0.25">
      <c r="A15" s="113">
        <f t="shared" si="1"/>
        <v>5.0050000000000017</v>
      </c>
      <c r="B15" s="100">
        <f t="shared" si="0"/>
        <v>5.0050000000000017</v>
      </c>
      <c r="C15" s="107"/>
      <c r="D15" s="108" t="s">
        <v>883</v>
      </c>
      <c r="E15" s="107" t="s">
        <v>48</v>
      </c>
      <c r="F15" s="109">
        <v>6.6150000000000002</v>
      </c>
      <c r="G15" s="105"/>
      <c r="H15" s="106">
        <f t="shared" si="3"/>
        <v>0</v>
      </c>
    </row>
    <row r="16" spans="1:8" ht="27" x14ac:dyDescent="0.25">
      <c r="A16" s="113">
        <f t="shared" si="1"/>
        <v>5.006000000000002</v>
      </c>
      <c r="B16" s="100">
        <f t="shared" si="0"/>
        <v>5.006000000000002</v>
      </c>
      <c r="C16" s="107"/>
      <c r="D16" s="108" t="s">
        <v>884</v>
      </c>
      <c r="E16" s="107" t="s">
        <v>48</v>
      </c>
      <c r="F16" s="109">
        <v>5.04</v>
      </c>
      <c r="G16" s="105"/>
      <c r="H16" s="106">
        <f t="shared" si="3"/>
        <v>0</v>
      </c>
    </row>
    <row r="17" spans="1:8" ht="27" x14ac:dyDescent="0.25">
      <c r="A17" s="113">
        <f t="shared" si="1"/>
        <v>5.0070000000000023</v>
      </c>
      <c r="B17" s="100">
        <f t="shared" si="0"/>
        <v>5.0070000000000023</v>
      </c>
      <c r="C17" s="107"/>
      <c r="D17" s="108" t="s">
        <v>885</v>
      </c>
      <c r="E17" s="107" t="s">
        <v>48</v>
      </c>
      <c r="F17" s="109">
        <v>5.76</v>
      </c>
      <c r="G17" s="105"/>
      <c r="H17" s="106">
        <f t="shared" si="3"/>
        <v>0</v>
      </c>
    </row>
    <row r="18" spans="1:8" ht="27" x14ac:dyDescent="0.25">
      <c r="A18" s="113">
        <f t="shared" si="1"/>
        <v>5.0080000000000027</v>
      </c>
      <c r="B18" s="100">
        <f t="shared" si="0"/>
        <v>5.0080000000000027</v>
      </c>
      <c r="C18" s="107"/>
      <c r="D18" s="108" t="s">
        <v>886</v>
      </c>
      <c r="E18" s="107" t="s">
        <v>48</v>
      </c>
      <c r="F18" s="109">
        <v>5.7750000000000004</v>
      </c>
      <c r="G18" s="105"/>
      <c r="H18" s="106">
        <f t="shared" si="3"/>
        <v>0</v>
      </c>
    </row>
    <row r="19" spans="1:8" ht="27" x14ac:dyDescent="0.25">
      <c r="A19" s="113">
        <f t="shared" si="1"/>
        <v>5.009000000000003</v>
      </c>
      <c r="B19" s="100">
        <f t="shared" si="0"/>
        <v>5.009000000000003</v>
      </c>
      <c r="C19" s="107"/>
      <c r="D19" s="108" t="s">
        <v>887</v>
      </c>
      <c r="E19" s="107" t="s">
        <v>48</v>
      </c>
      <c r="F19" s="109">
        <v>6.93</v>
      </c>
      <c r="G19" s="105"/>
      <c r="H19" s="106">
        <f t="shared" si="3"/>
        <v>0</v>
      </c>
    </row>
    <row r="20" spans="1:8" ht="27" x14ac:dyDescent="0.25">
      <c r="A20" s="113">
        <f t="shared" si="1"/>
        <v>5.0100000000000033</v>
      </c>
      <c r="B20" s="100">
        <f t="shared" si="0"/>
        <v>5.0100000000000033</v>
      </c>
      <c r="C20" s="107"/>
      <c r="D20" s="108" t="s">
        <v>888</v>
      </c>
      <c r="E20" s="107" t="s">
        <v>48</v>
      </c>
      <c r="F20" s="109">
        <v>6</v>
      </c>
      <c r="G20" s="105"/>
      <c r="H20" s="106">
        <f t="shared" si="3"/>
        <v>0</v>
      </c>
    </row>
    <row r="21" spans="1:8" ht="27" x14ac:dyDescent="0.25">
      <c r="A21" s="113">
        <f t="shared" si="1"/>
        <v>5.0110000000000037</v>
      </c>
      <c r="B21" s="100">
        <f t="shared" si="0"/>
        <v>5.0110000000000037</v>
      </c>
      <c r="C21" s="107"/>
      <c r="D21" s="108" t="s">
        <v>889</v>
      </c>
      <c r="E21" s="107" t="s">
        <v>48</v>
      </c>
      <c r="F21" s="109">
        <v>6.6</v>
      </c>
      <c r="G21" s="105"/>
      <c r="H21" s="106">
        <f t="shared" si="3"/>
        <v>0</v>
      </c>
    </row>
    <row r="22" spans="1:8" ht="27" x14ac:dyDescent="0.25">
      <c r="A22" s="113">
        <f t="shared" si="1"/>
        <v>5.012000000000004</v>
      </c>
      <c r="B22" s="100">
        <f t="shared" si="0"/>
        <v>5.012000000000004</v>
      </c>
      <c r="C22" s="107"/>
      <c r="D22" s="108" t="s">
        <v>890</v>
      </c>
      <c r="E22" s="107" t="s">
        <v>48</v>
      </c>
      <c r="F22" s="109">
        <v>6</v>
      </c>
      <c r="G22" s="105"/>
      <c r="H22" s="106">
        <f t="shared" si="3"/>
        <v>0</v>
      </c>
    </row>
    <row r="23" spans="1:8" ht="27" x14ac:dyDescent="0.25">
      <c r="A23" s="113">
        <f t="shared" si="1"/>
        <v>5.0130000000000043</v>
      </c>
      <c r="B23" s="100">
        <f t="shared" si="0"/>
        <v>5.0130000000000043</v>
      </c>
      <c r="C23" s="107"/>
      <c r="D23" s="108" t="s">
        <v>891</v>
      </c>
      <c r="E23" s="107" t="s">
        <v>48</v>
      </c>
      <c r="F23" s="109">
        <v>7</v>
      </c>
      <c r="G23" s="105"/>
      <c r="H23" s="106">
        <f t="shared" si="3"/>
        <v>0</v>
      </c>
    </row>
    <row r="24" spans="1:8" x14ac:dyDescent="0.25">
      <c r="A24" s="113">
        <f>+IF(F24&gt;0.01,A23+0.001,A23)</f>
        <v>5.0140000000000047</v>
      </c>
      <c r="B24" s="100">
        <f>+IF(F24&gt;0,A24,"")</f>
        <v>5.0140000000000047</v>
      </c>
      <c r="C24" s="107"/>
      <c r="D24" s="108" t="s">
        <v>104</v>
      </c>
      <c r="E24" s="107" t="s">
        <v>48</v>
      </c>
      <c r="F24" s="109">
        <v>1100</v>
      </c>
      <c r="G24" s="105"/>
      <c r="H24" s="106">
        <f t="shared" si="3"/>
        <v>0</v>
      </c>
    </row>
    <row r="25" spans="1:8" x14ac:dyDescent="0.25">
      <c r="A25" s="113">
        <f>+IF(F25&gt;0.01,A24+0.001,A24)</f>
        <v>5.0140000000000047</v>
      </c>
      <c r="B25" s="100" t="str">
        <f>+IF(F25&gt;0,A25,"")</f>
        <v/>
      </c>
      <c r="C25" s="107"/>
      <c r="D25" s="108"/>
      <c r="E25" s="107"/>
      <c r="F25" s="109"/>
      <c r="G25" s="105"/>
      <c r="H25" s="106"/>
    </row>
    <row r="26" spans="1:8" x14ac:dyDescent="0.25">
      <c r="A26" s="113"/>
      <c r="B26" s="100"/>
      <c r="C26" s="107"/>
      <c r="D26" s="108"/>
      <c r="E26" s="107"/>
      <c r="F26" s="109"/>
      <c r="G26" s="105"/>
      <c r="H26" s="106"/>
    </row>
    <row r="27" spans="1:8" x14ac:dyDescent="0.25">
      <c r="A27" s="113"/>
      <c r="B27" s="100"/>
      <c r="C27" s="107"/>
      <c r="D27" s="108"/>
      <c r="E27" s="107"/>
      <c r="F27" s="109"/>
      <c r="G27" s="105"/>
      <c r="H27" s="106"/>
    </row>
    <row r="28" spans="1:8" ht="15.75" thickBot="1" x14ac:dyDescent="0.3">
      <c r="A28" s="113"/>
      <c r="B28" s="100"/>
      <c r="C28" s="107"/>
      <c r="D28" s="108"/>
      <c r="E28" s="107"/>
      <c r="F28" s="109"/>
      <c r="G28" s="105"/>
      <c r="H28" s="106"/>
    </row>
    <row r="29" spans="1:8" ht="15.75" thickBot="1" x14ac:dyDescent="0.3">
      <c r="A29" s="113"/>
      <c r="B29" s="173" t="s">
        <v>335</v>
      </c>
      <c r="C29" s="174"/>
      <c r="D29" s="174"/>
      <c r="E29" s="174"/>
      <c r="F29" s="174"/>
      <c r="G29" s="175"/>
      <c r="H29" s="117">
        <f>SUM(H2:H25)</f>
        <v>0</v>
      </c>
    </row>
    <row r="30" spans="1:8" ht="24.75" thickBot="1" x14ac:dyDescent="0.3">
      <c r="A30" s="113"/>
      <c r="B30" s="114" t="s">
        <v>36</v>
      </c>
      <c r="C30" s="97" t="s">
        <v>94</v>
      </c>
      <c r="D30" s="115" t="s">
        <v>38</v>
      </c>
      <c r="E30" s="115" t="s">
        <v>37</v>
      </c>
      <c r="F30" s="115" t="s">
        <v>81</v>
      </c>
      <c r="G30" s="116" t="s">
        <v>86</v>
      </c>
      <c r="H30" s="99" t="s">
        <v>95</v>
      </c>
    </row>
    <row r="31" spans="1:8" ht="15.75" thickBot="1" x14ac:dyDescent="0.3">
      <c r="A31" s="113"/>
      <c r="B31" s="171" t="s">
        <v>336</v>
      </c>
      <c r="C31" s="172"/>
      <c r="D31" s="172"/>
      <c r="E31" s="172"/>
      <c r="F31" s="172"/>
      <c r="G31" s="172"/>
      <c r="H31" s="117">
        <f>H29</f>
        <v>0</v>
      </c>
    </row>
    <row r="32" spans="1:8" x14ac:dyDescent="0.25">
      <c r="A32" s="113">
        <f>+IF(F32&gt;0.01,A25+0.001,A25)</f>
        <v>5.0140000000000047</v>
      </c>
      <c r="B32" s="100" t="str">
        <f>+IF(F32&gt;0,A32,"")</f>
        <v/>
      </c>
      <c r="C32" s="118"/>
      <c r="D32" s="118"/>
      <c r="E32" s="118"/>
      <c r="F32" s="118"/>
      <c r="G32" s="118"/>
      <c r="H32" s="119"/>
    </row>
    <row r="33" spans="1:8" ht="108" x14ac:dyDescent="0.25">
      <c r="A33" s="113">
        <f>+IF(F33&gt;0.01,A32+0.001,A32)</f>
        <v>5.0140000000000047</v>
      </c>
      <c r="B33" s="100" t="str">
        <f>+IF(F33&gt;0,A33,"")</f>
        <v/>
      </c>
      <c r="C33" s="107" t="s">
        <v>417</v>
      </c>
      <c r="D33" s="108" t="s">
        <v>191</v>
      </c>
      <c r="E33" s="107"/>
      <c r="F33" s="109"/>
      <c r="G33" s="105"/>
      <c r="H33" s="106" t="str">
        <f>IF(F33="","",G33*F33)</f>
        <v/>
      </c>
    </row>
    <row r="34" spans="1:8" x14ac:dyDescent="0.25">
      <c r="A34" s="113">
        <f t="shared" ref="A34:A55" si="4">+IF(F34&gt;0.01,A33+0.001,A33)</f>
        <v>5.0140000000000047</v>
      </c>
      <c r="B34" s="100" t="str">
        <f t="shared" ref="B34:B55" si="5">+IF(F34&gt;0,A34,"")</f>
        <v/>
      </c>
      <c r="C34" s="107"/>
      <c r="D34" s="108"/>
      <c r="E34" s="107"/>
      <c r="F34" s="109"/>
      <c r="G34" s="105"/>
      <c r="H34" s="106" t="str">
        <f>IF(F34="","",G34*F34)</f>
        <v/>
      </c>
    </row>
    <row r="35" spans="1:8" x14ac:dyDescent="0.25">
      <c r="A35" s="113">
        <f t="shared" si="4"/>
        <v>5.015000000000005</v>
      </c>
      <c r="B35" s="100">
        <f t="shared" si="5"/>
        <v>5.015000000000005</v>
      </c>
      <c r="C35" s="107"/>
      <c r="D35" s="108" t="s">
        <v>104</v>
      </c>
      <c r="E35" s="107" t="s">
        <v>48</v>
      </c>
      <c r="F35" s="109">
        <v>3549</v>
      </c>
      <c r="G35" s="105"/>
      <c r="H35" s="106">
        <f>IF(F35="","",G35*F35)</f>
        <v>0</v>
      </c>
    </row>
    <row r="36" spans="1:8" x14ac:dyDescent="0.25">
      <c r="A36" s="113">
        <f t="shared" si="4"/>
        <v>5.015000000000005</v>
      </c>
      <c r="B36" s="100" t="str">
        <f t="shared" si="5"/>
        <v/>
      </c>
      <c r="C36" s="107"/>
      <c r="D36" s="108"/>
      <c r="E36" s="107"/>
      <c r="F36" s="109"/>
      <c r="G36" s="105"/>
      <c r="H36" s="106"/>
    </row>
    <row r="37" spans="1:8" ht="55.5" customHeight="1" x14ac:dyDescent="0.25">
      <c r="A37" s="113">
        <f t="shared" si="4"/>
        <v>5.015000000000005</v>
      </c>
      <c r="B37" s="100" t="str">
        <f t="shared" si="5"/>
        <v/>
      </c>
      <c r="C37" s="107" t="s">
        <v>39</v>
      </c>
      <c r="D37" s="108" t="s">
        <v>247</v>
      </c>
      <c r="E37" s="107"/>
      <c r="F37" s="109"/>
      <c r="G37" s="105"/>
      <c r="H37" s="106" t="str">
        <f>IF(F37="","",G37*F37)</f>
        <v/>
      </c>
    </row>
    <row r="38" spans="1:8" x14ac:dyDescent="0.25">
      <c r="A38" s="113">
        <f t="shared" si="4"/>
        <v>5.0160000000000053</v>
      </c>
      <c r="B38" s="100">
        <f t="shared" si="5"/>
        <v>5.0160000000000053</v>
      </c>
      <c r="C38" s="107"/>
      <c r="D38" s="108" t="s">
        <v>337</v>
      </c>
      <c r="E38" s="107" t="s">
        <v>47</v>
      </c>
      <c r="F38" s="109">
        <v>31.75</v>
      </c>
      <c r="G38" s="105"/>
      <c r="H38" s="106">
        <f>IF(F38="","",G38*F38)</f>
        <v>0</v>
      </c>
    </row>
    <row r="39" spans="1:8" x14ac:dyDescent="0.25">
      <c r="A39" s="113">
        <f t="shared" si="4"/>
        <v>5.0170000000000057</v>
      </c>
      <c r="B39" s="100">
        <f t="shared" si="5"/>
        <v>5.0170000000000057</v>
      </c>
      <c r="C39" s="107"/>
      <c r="D39" s="108" t="s">
        <v>104</v>
      </c>
      <c r="E39" s="107" t="s">
        <v>47</v>
      </c>
      <c r="F39" s="109">
        <v>3294.95</v>
      </c>
      <c r="G39" s="105"/>
      <c r="H39" s="106">
        <f>IF(F39="","",G39*F39)</f>
        <v>0</v>
      </c>
    </row>
    <row r="40" spans="1:8" x14ac:dyDescent="0.25">
      <c r="A40" s="113">
        <f t="shared" si="4"/>
        <v>5.0170000000000057</v>
      </c>
      <c r="B40" s="100" t="str">
        <f t="shared" si="5"/>
        <v/>
      </c>
      <c r="C40" s="107"/>
      <c r="D40" s="108"/>
      <c r="E40" s="107"/>
      <c r="F40" s="109"/>
      <c r="G40" s="105"/>
      <c r="H40" s="106"/>
    </row>
    <row r="41" spans="1:8" ht="67.5" x14ac:dyDescent="0.25">
      <c r="A41" s="113">
        <f t="shared" si="4"/>
        <v>5.0170000000000057</v>
      </c>
      <c r="B41" s="100" t="str">
        <f t="shared" si="5"/>
        <v/>
      </c>
      <c r="C41" s="107" t="s">
        <v>414</v>
      </c>
      <c r="D41" s="108" t="s">
        <v>192</v>
      </c>
      <c r="E41" s="107"/>
      <c r="F41" s="109"/>
      <c r="G41" s="105"/>
      <c r="H41" s="106" t="str">
        <f>IF(F41="","",G41*F41)</f>
        <v/>
      </c>
    </row>
    <row r="42" spans="1:8" x14ac:dyDescent="0.25">
      <c r="A42" s="113">
        <f t="shared" si="4"/>
        <v>5.018000000000006</v>
      </c>
      <c r="B42" s="100">
        <f t="shared" si="5"/>
        <v>5.018000000000006</v>
      </c>
      <c r="C42" s="107"/>
      <c r="D42" s="108" t="s">
        <v>104</v>
      </c>
      <c r="E42" s="107" t="s">
        <v>47</v>
      </c>
      <c r="F42" s="109">
        <v>3294.95</v>
      </c>
      <c r="G42" s="105"/>
      <c r="H42" s="106">
        <f>IF(F42="","",G42*F42)</f>
        <v>0</v>
      </c>
    </row>
    <row r="43" spans="1:8" x14ac:dyDescent="0.25">
      <c r="A43" s="113">
        <f t="shared" si="4"/>
        <v>5.018000000000006</v>
      </c>
      <c r="B43" s="100" t="str">
        <f t="shared" si="5"/>
        <v/>
      </c>
      <c r="C43" s="107"/>
      <c r="D43" s="108"/>
      <c r="E43" s="107"/>
      <c r="F43" s="109"/>
      <c r="G43" s="105"/>
      <c r="H43" s="106"/>
    </row>
    <row r="44" spans="1:8" ht="67.5" x14ac:dyDescent="0.25">
      <c r="A44" s="113">
        <f t="shared" si="4"/>
        <v>5.0190000000000063</v>
      </c>
      <c r="B44" s="160">
        <f t="shared" si="5"/>
        <v>5.0190000000000063</v>
      </c>
      <c r="C44" s="154" t="s">
        <v>414</v>
      </c>
      <c r="D44" s="155" t="s">
        <v>413</v>
      </c>
      <c r="E44" s="154" t="s">
        <v>47</v>
      </c>
      <c r="F44" s="156">
        <v>2380</v>
      </c>
      <c r="G44" s="157"/>
      <c r="H44" s="106">
        <f>IF(F44="","",G44*F44)</f>
        <v>0</v>
      </c>
    </row>
    <row r="45" spans="1:8" x14ac:dyDescent="0.25">
      <c r="A45" s="113">
        <f t="shared" si="4"/>
        <v>5.0190000000000063</v>
      </c>
      <c r="B45" s="160" t="str">
        <f t="shared" si="5"/>
        <v/>
      </c>
      <c r="C45" s="154"/>
      <c r="D45" s="158"/>
      <c r="E45" s="154"/>
      <c r="F45" s="156"/>
      <c r="G45" s="157"/>
      <c r="H45" s="106"/>
    </row>
    <row r="46" spans="1:8" x14ac:dyDescent="0.25">
      <c r="A46" s="113">
        <f t="shared" si="4"/>
        <v>5.0190000000000063</v>
      </c>
      <c r="B46" s="100" t="str">
        <f t="shared" si="5"/>
        <v/>
      </c>
      <c r="C46" s="107"/>
      <c r="D46" s="108"/>
      <c r="E46" s="107"/>
      <c r="F46" s="109"/>
      <c r="G46" s="105"/>
      <c r="H46" s="106"/>
    </row>
    <row r="47" spans="1:8" x14ac:dyDescent="0.25">
      <c r="A47" s="113">
        <f t="shared" si="4"/>
        <v>5.0190000000000063</v>
      </c>
      <c r="B47" s="100" t="str">
        <f t="shared" si="5"/>
        <v/>
      </c>
      <c r="C47" s="107"/>
      <c r="D47" s="108"/>
      <c r="E47" s="107"/>
      <c r="F47" s="109"/>
      <c r="G47" s="105"/>
      <c r="H47" s="106"/>
    </row>
    <row r="48" spans="1:8" x14ac:dyDescent="0.25">
      <c r="A48" s="113">
        <f t="shared" si="4"/>
        <v>5.0190000000000063</v>
      </c>
      <c r="B48" s="100" t="str">
        <f t="shared" si="5"/>
        <v/>
      </c>
      <c r="C48" s="107"/>
      <c r="D48" s="108"/>
      <c r="E48" s="107"/>
      <c r="F48" s="109"/>
      <c r="G48" s="105"/>
      <c r="H48" s="106"/>
    </row>
    <row r="49" spans="1:8" x14ac:dyDescent="0.25">
      <c r="A49" s="113">
        <f t="shared" si="4"/>
        <v>5.0190000000000063</v>
      </c>
      <c r="B49" s="100" t="str">
        <f t="shared" si="5"/>
        <v/>
      </c>
      <c r="C49" s="107"/>
      <c r="D49" s="108"/>
      <c r="E49" s="107"/>
      <c r="F49" s="109"/>
      <c r="G49" s="105"/>
      <c r="H49" s="106"/>
    </row>
    <row r="50" spans="1:8" x14ac:dyDescent="0.25">
      <c r="A50" s="113">
        <f t="shared" si="4"/>
        <v>5.0190000000000063</v>
      </c>
      <c r="B50" s="100" t="str">
        <f t="shared" si="5"/>
        <v/>
      </c>
      <c r="C50" s="107"/>
      <c r="D50" s="108"/>
      <c r="E50" s="107"/>
      <c r="F50" s="109"/>
      <c r="G50" s="105"/>
      <c r="H50" s="106"/>
    </row>
    <row r="51" spans="1:8" x14ac:dyDescent="0.25">
      <c r="A51" s="113">
        <f t="shared" si="4"/>
        <v>5.0190000000000063</v>
      </c>
      <c r="B51" s="100" t="str">
        <f t="shared" si="5"/>
        <v/>
      </c>
      <c r="C51" s="107"/>
      <c r="D51" s="108"/>
      <c r="E51" s="107"/>
      <c r="F51" s="109"/>
      <c r="G51" s="105"/>
      <c r="H51" s="106"/>
    </row>
    <row r="52" spans="1:8" x14ac:dyDescent="0.25">
      <c r="A52" s="113">
        <f t="shared" si="4"/>
        <v>5.0190000000000063</v>
      </c>
      <c r="B52" s="100" t="str">
        <f t="shared" si="5"/>
        <v/>
      </c>
      <c r="C52" s="107"/>
      <c r="D52" s="108"/>
      <c r="E52" s="107"/>
      <c r="F52" s="109"/>
      <c r="G52" s="105"/>
      <c r="H52" s="106"/>
    </row>
    <row r="53" spans="1:8" x14ac:dyDescent="0.25">
      <c r="A53" s="113">
        <f t="shared" si="4"/>
        <v>5.0190000000000063</v>
      </c>
      <c r="B53" s="100" t="str">
        <f t="shared" si="5"/>
        <v/>
      </c>
      <c r="C53" s="107"/>
      <c r="D53" s="108"/>
      <c r="E53" s="107"/>
      <c r="F53" s="109"/>
      <c r="G53" s="105"/>
      <c r="H53" s="106"/>
    </row>
    <row r="54" spans="1:8" x14ac:dyDescent="0.25">
      <c r="A54" s="113">
        <f t="shared" si="4"/>
        <v>5.0190000000000063</v>
      </c>
      <c r="B54" s="100" t="str">
        <f t="shared" si="5"/>
        <v/>
      </c>
      <c r="C54" s="107"/>
      <c r="D54" s="108"/>
      <c r="E54" s="107"/>
      <c r="F54" s="109"/>
      <c r="G54" s="105"/>
      <c r="H54" s="106"/>
    </row>
    <row r="55" spans="1:8" x14ac:dyDescent="0.25">
      <c r="A55" s="113">
        <f t="shared" si="4"/>
        <v>5.0190000000000063</v>
      </c>
      <c r="B55" s="100" t="str">
        <f t="shared" si="5"/>
        <v/>
      </c>
      <c r="C55" s="107"/>
      <c r="D55" s="108"/>
      <c r="E55" s="107"/>
      <c r="F55" s="109"/>
      <c r="G55" s="105"/>
      <c r="H55" s="106"/>
    </row>
    <row r="56" spans="1:8" x14ac:dyDescent="0.25">
      <c r="A56" s="113">
        <f>+IF(F56&gt;0.01,A55+0.001,A55)</f>
        <v>5.0190000000000063</v>
      </c>
      <c r="B56" s="100" t="str">
        <f>+IF(F56&gt;0,A56,"")</f>
        <v/>
      </c>
      <c r="C56" s="107"/>
      <c r="D56" s="108"/>
      <c r="E56" s="107"/>
      <c r="F56" s="109"/>
      <c r="G56" s="105"/>
      <c r="H56" s="106"/>
    </row>
    <row r="57" spans="1:8" x14ac:dyDescent="0.25">
      <c r="A57" s="113">
        <f>+IF(F57&gt;0.01,A56+0.001,A56)</f>
        <v>5.0190000000000063</v>
      </c>
      <c r="B57" s="100" t="str">
        <f>+IF(F57&gt;0,A57,"")</f>
        <v/>
      </c>
      <c r="C57" s="107"/>
      <c r="D57" s="108"/>
      <c r="E57" s="107"/>
      <c r="F57" s="109"/>
      <c r="G57" s="105"/>
      <c r="H57" s="106"/>
    </row>
    <row r="58" spans="1:8" x14ac:dyDescent="0.25">
      <c r="A58" s="113">
        <f>+IF(F58&gt;0.01,A57+0.001,A57)</f>
        <v>5.0190000000000063</v>
      </c>
      <c r="B58" s="100" t="str">
        <f>+IF(F58&gt;0,A58,"")</f>
        <v/>
      </c>
      <c r="C58" s="107"/>
      <c r="D58" s="108"/>
      <c r="E58" s="107"/>
      <c r="F58" s="109"/>
      <c r="G58" s="105"/>
      <c r="H58" s="106"/>
    </row>
    <row r="59" spans="1:8" x14ac:dyDescent="0.25">
      <c r="A59" s="113">
        <f t="shared" ref="A59:A61" si="6">+IF(F59&gt;0.01,A58+0.001,A58)</f>
        <v>5.0190000000000063</v>
      </c>
      <c r="B59" s="100" t="str">
        <f t="shared" ref="B59:B61" si="7">+IF(F59&gt;0,A59,"")</f>
        <v/>
      </c>
      <c r="C59" s="107"/>
      <c r="D59" s="108"/>
      <c r="E59" s="107"/>
      <c r="F59" s="109"/>
      <c r="G59" s="105"/>
      <c r="H59" s="106"/>
    </row>
    <row r="60" spans="1:8" x14ac:dyDescent="0.25">
      <c r="A60" s="113">
        <f t="shared" si="6"/>
        <v>5.0190000000000063</v>
      </c>
      <c r="B60" s="100" t="str">
        <f t="shared" si="7"/>
        <v/>
      </c>
      <c r="C60" s="107"/>
      <c r="D60" s="108"/>
      <c r="E60" s="107"/>
      <c r="F60" s="109"/>
      <c r="G60" s="105"/>
      <c r="H60" s="106"/>
    </row>
    <row r="61" spans="1:8" ht="15.75" thickBot="1" x14ac:dyDescent="0.3">
      <c r="A61" s="113">
        <f t="shared" si="6"/>
        <v>5.0190000000000063</v>
      </c>
      <c r="B61" s="100" t="str">
        <f t="shared" si="7"/>
        <v/>
      </c>
      <c r="C61" s="107"/>
      <c r="D61" s="108"/>
      <c r="E61" s="107"/>
      <c r="F61" s="109"/>
      <c r="G61" s="105"/>
      <c r="H61" s="106"/>
    </row>
    <row r="62" spans="1:8" ht="15.75" thickBot="1" x14ac:dyDescent="0.3">
      <c r="A62" s="113"/>
      <c r="B62" s="173" t="s">
        <v>335</v>
      </c>
      <c r="C62" s="174"/>
      <c r="D62" s="174"/>
      <c r="E62" s="174"/>
      <c r="F62" s="174"/>
      <c r="G62" s="175"/>
      <c r="H62" s="117">
        <f>SUM(H31:H58)</f>
        <v>0</v>
      </c>
    </row>
    <row r="63" spans="1:8" ht="24.75" thickBot="1" x14ac:dyDescent="0.3">
      <c r="A63" s="113"/>
      <c r="B63" s="114" t="s">
        <v>36</v>
      </c>
      <c r="C63" s="97" t="s">
        <v>94</v>
      </c>
      <c r="D63" s="115" t="s">
        <v>38</v>
      </c>
      <c r="E63" s="115" t="s">
        <v>37</v>
      </c>
      <c r="F63" s="115" t="s">
        <v>81</v>
      </c>
      <c r="G63" s="116" t="s">
        <v>86</v>
      </c>
      <c r="H63" s="99" t="s">
        <v>95</v>
      </c>
    </row>
    <row r="64" spans="1:8" ht="15.75" thickBot="1" x14ac:dyDescent="0.3">
      <c r="A64" s="113"/>
      <c r="B64" s="171" t="s">
        <v>336</v>
      </c>
      <c r="C64" s="172"/>
      <c r="D64" s="172"/>
      <c r="E64" s="172"/>
      <c r="F64" s="172"/>
      <c r="G64" s="172"/>
      <c r="H64" s="117">
        <f>H62</f>
        <v>0</v>
      </c>
    </row>
    <row r="65" spans="1:8" x14ac:dyDescent="0.25">
      <c r="A65" s="113"/>
      <c r="B65" s="100"/>
      <c r="C65" s="107"/>
      <c r="D65" s="108"/>
      <c r="E65" s="107"/>
      <c r="F65" s="109"/>
      <c r="G65" s="105"/>
      <c r="H65" s="106"/>
    </row>
    <row r="66" spans="1:8" ht="25.5" x14ac:dyDescent="0.25">
      <c r="A66" s="113">
        <f>+IF(F66&gt;0.01,A61+0.001,A61)</f>
        <v>5.0190000000000063</v>
      </c>
      <c r="B66" s="100" t="str">
        <f t="shared" ref="B66:B85" si="8">+IF(F66&gt;0,A66,"")</f>
        <v/>
      </c>
      <c r="C66" s="110" t="s">
        <v>26</v>
      </c>
      <c r="D66" s="111" t="s">
        <v>127</v>
      </c>
      <c r="E66" s="107"/>
      <c r="F66" s="109"/>
      <c r="G66" s="105"/>
      <c r="H66" s="106" t="str">
        <f t="shared" ref="H66:H80" si="9">IF(F66="","",G66*F66)</f>
        <v/>
      </c>
    </row>
    <row r="67" spans="1:8" ht="40.5" x14ac:dyDescent="0.25">
      <c r="A67" s="113">
        <f>+IF(F67&gt;0.01,A66+0.001,A66)</f>
        <v>5.0190000000000063</v>
      </c>
      <c r="B67" s="100" t="str">
        <f t="shared" si="8"/>
        <v/>
      </c>
      <c r="C67" s="107" t="s">
        <v>430</v>
      </c>
      <c r="D67" s="112" t="s">
        <v>31</v>
      </c>
      <c r="E67" s="107"/>
      <c r="F67" s="109"/>
      <c r="G67" s="105"/>
      <c r="H67" s="106" t="str">
        <f t="shared" si="9"/>
        <v/>
      </c>
    </row>
    <row r="68" spans="1:8" ht="54" x14ac:dyDescent="0.25">
      <c r="A68" s="113">
        <f t="shared" ref="A68:A85" si="10">+IF(F68&gt;0.01,A67+0.001,A67)</f>
        <v>5.0190000000000063</v>
      </c>
      <c r="B68" s="100" t="str">
        <f t="shared" si="8"/>
        <v/>
      </c>
      <c r="C68" s="107" t="s">
        <v>431</v>
      </c>
      <c r="D68" s="108" t="s">
        <v>92</v>
      </c>
      <c r="E68" s="107"/>
      <c r="F68" s="109"/>
      <c r="G68" s="105"/>
      <c r="H68" s="106" t="str">
        <f t="shared" si="9"/>
        <v/>
      </c>
    </row>
    <row r="69" spans="1:8" ht="27" x14ac:dyDescent="0.25">
      <c r="A69" s="113">
        <f t="shared" si="10"/>
        <v>5.0200000000000067</v>
      </c>
      <c r="B69" s="100">
        <f t="shared" si="8"/>
        <v>5.0200000000000067</v>
      </c>
      <c r="C69" s="107"/>
      <c r="D69" s="108" t="s">
        <v>880</v>
      </c>
      <c r="E69" s="107" t="s">
        <v>48</v>
      </c>
      <c r="F69" s="109">
        <v>5.7</v>
      </c>
      <c r="G69" s="105"/>
      <c r="H69" s="106">
        <f t="shared" si="9"/>
        <v>0</v>
      </c>
    </row>
    <row r="70" spans="1:8" ht="27" x14ac:dyDescent="0.25">
      <c r="A70" s="113">
        <f t="shared" si="10"/>
        <v>5.021000000000007</v>
      </c>
      <c r="B70" s="100">
        <f t="shared" si="8"/>
        <v>5.021000000000007</v>
      </c>
      <c r="C70" s="107"/>
      <c r="D70" s="108" t="s">
        <v>881</v>
      </c>
      <c r="E70" s="107" t="s">
        <v>48</v>
      </c>
      <c r="F70" s="109">
        <v>5.3550000000000004</v>
      </c>
      <c r="G70" s="105"/>
      <c r="H70" s="106">
        <f t="shared" si="9"/>
        <v>0</v>
      </c>
    </row>
    <row r="71" spans="1:8" ht="27" x14ac:dyDescent="0.25">
      <c r="A71" s="113">
        <f t="shared" si="10"/>
        <v>5.0220000000000073</v>
      </c>
      <c r="B71" s="100">
        <f t="shared" si="8"/>
        <v>5.0220000000000073</v>
      </c>
      <c r="C71" s="107"/>
      <c r="D71" s="108" t="s">
        <v>882</v>
      </c>
      <c r="E71" s="107" t="s">
        <v>48</v>
      </c>
      <c r="F71" s="109">
        <v>6.93</v>
      </c>
      <c r="G71" s="105"/>
      <c r="H71" s="106">
        <f t="shared" si="9"/>
        <v>0</v>
      </c>
    </row>
    <row r="72" spans="1:8" ht="27" x14ac:dyDescent="0.25">
      <c r="A72" s="113">
        <f t="shared" si="10"/>
        <v>5.0230000000000077</v>
      </c>
      <c r="B72" s="100">
        <f t="shared" si="8"/>
        <v>5.0230000000000077</v>
      </c>
      <c r="C72" s="107"/>
      <c r="D72" s="108" t="s">
        <v>883</v>
      </c>
      <c r="E72" s="107" t="s">
        <v>48</v>
      </c>
      <c r="F72" s="109">
        <v>6.6150000000000002</v>
      </c>
      <c r="G72" s="105"/>
      <c r="H72" s="106">
        <f t="shared" si="9"/>
        <v>0</v>
      </c>
    </row>
    <row r="73" spans="1:8" ht="27" x14ac:dyDescent="0.25">
      <c r="A73" s="113">
        <f t="shared" si="10"/>
        <v>5.024000000000008</v>
      </c>
      <c r="B73" s="100">
        <f t="shared" si="8"/>
        <v>5.024000000000008</v>
      </c>
      <c r="C73" s="107"/>
      <c r="D73" s="108" t="s">
        <v>884</v>
      </c>
      <c r="E73" s="107" t="s">
        <v>48</v>
      </c>
      <c r="F73" s="109">
        <v>5.04</v>
      </c>
      <c r="G73" s="105"/>
      <c r="H73" s="106">
        <f t="shared" si="9"/>
        <v>0</v>
      </c>
    </row>
    <row r="74" spans="1:8" ht="27" x14ac:dyDescent="0.25">
      <c r="A74" s="113">
        <f t="shared" si="10"/>
        <v>5.0250000000000083</v>
      </c>
      <c r="B74" s="100">
        <f t="shared" si="8"/>
        <v>5.0250000000000083</v>
      </c>
      <c r="C74" s="107"/>
      <c r="D74" s="108" t="s">
        <v>885</v>
      </c>
      <c r="E74" s="107" t="s">
        <v>48</v>
      </c>
      <c r="F74" s="109">
        <v>5.76</v>
      </c>
      <c r="G74" s="105"/>
      <c r="H74" s="106">
        <f t="shared" si="9"/>
        <v>0</v>
      </c>
    </row>
    <row r="75" spans="1:8" ht="27" x14ac:dyDescent="0.25">
      <c r="A75" s="113">
        <f t="shared" si="10"/>
        <v>5.0260000000000087</v>
      </c>
      <c r="B75" s="100">
        <f t="shared" si="8"/>
        <v>5.0260000000000087</v>
      </c>
      <c r="C75" s="107"/>
      <c r="D75" s="108" t="s">
        <v>886</v>
      </c>
      <c r="E75" s="107" t="s">
        <v>48</v>
      </c>
      <c r="F75" s="109">
        <v>5.7750000000000004</v>
      </c>
      <c r="G75" s="105"/>
      <c r="H75" s="106">
        <f t="shared" si="9"/>
        <v>0</v>
      </c>
    </row>
    <row r="76" spans="1:8" ht="27" x14ac:dyDescent="0.25">
      <c r="A76" s="113">
        <f t="shared" si="10"/>
        <v>5.027000000000009</v>
      </c>
      <c r="B76" s="100">
        <f t="shared" si="8"/>
        <v>5.027000000000009</v>
      </c>
      <c r="C76" s="107"/>
      <c r="D76" s="108" t="s">
        <v>887</v>
      </c>
      <c r="E76" s="107" t="s">
        <v>48</v>
      </c>
      <c r="F76" s="109">
        <v>6.93</v>
      </c>
      <c r="G76" s="105"/>
      <c r="H76" s="106">
        <f t="shared" si="9"/>
        <v>0</v>
      </c>
    </row>
    <row r="77" spans="1:8" ht="27" x14ac:dyDescent="0.25">
      <c r="A77" s="113">
        <f t="shared" si="10"/>
        <v>5.0280000000000094</v>
      </c>
      <c r="B77" s="100">
        <f t="shared" si="8"/>
        <v>5.0280000000000094</v>
      </c>
      <c r="C77" s="107"/>
      <c r="D77" s="108" t="s">
        <v>888</v>
      </c>
      <c r="E77" s="107" t="s">
        <v>48</v>
      </c>
      <c r="F77" s="109">
        <v>6</v>
      </c>
      <c r="G77" s="105"/>
      <c r="H77" s="106">
        <f t="shared" si="9"/>
        <v>0</v>
      </c>
    </row>
    <row r="78" spans="1:8" ht="27" x14ac:dyDescent="0.25">
      <c r="A78" s="113">
        <f t="shared" si="10"/>
        <v>5.0290000000000097</v>
      </c>
      <c r="B78" s="100">
        <f t="shared" si="8"/>
        <v>5.0290000000000097</v>
      </c>
      <c r="C78" s="107"/>
      <c r="D78" s="108" t="s">
        <v>889</v>
      </c>
      <c r="E78" s="107" t="s">
        <v>48</v>
      </c>
      <c r="F78" s="109">
        <v>6.6</v>
      </c>
      <c r="G78" s="105"/>
      <c r="H78" s="106">
        <f t="shared" si="9"/>
        <v>0</v>
      </c>
    </row>
    <row r="79" spans="1:8" ht="27" x14ac:dyDescent="0.25">
      <c r="A79" s="113">
        <f t="shared" si="10"/>
        <v>5.03000000000001</v>
      </c>
      <c r="B79" s="100">
        <f t="shared" si="8"/>
        <v>5.03000000000001</v>
      </c>
      <c r="C79" s="107"/>
      <c r="D79" s="108" t="s">
        <v>890</v>
      </c>
      <c r="E79" s="107" t="s">
        <v>48</v>
      </c>
      <c r="F79" s="109">
        <v>6</v>
      </c>
      <c r="G79" s="105"/>
      <c r="H79" s="106">
        <f t="shared" si="9"/>
        <v>0</v>
      </c>
    </row>
    <row r="80" spans="1:8" ht="27" x14ac:dyDescent="0.25">
      <c r="A80" s="113">
        <f t="shared" si="10"/>
        <v>5.0310000000000104</v>
      </c>
      <c r="B80" s="100">
        <f t="shared" si="8"/>
        <v>5.0310000000000104</v>
      </c>
      <c r="C80" s="107"/>
      <c r="D80" s="108" t="s">
        <v>891</v>
      </c>
      <c r="E80" s="107" t="s">
        <v>48</v>
      </c>
      <c r="F80" s="109">
        <v>7</v>
      </c>
      <c r="G80" s="105"/>
      <c r="H80" s="106">
        <f t="shared" si="9"/>
        <v>0</v>
      </c>
    </row>
    <row r="81" spans="1:8" x14ac:dyDescent="0.25">
      <c r="A81" s="113">
        <f t="shared" si="10"/>
        <v>5.0310000000000104</v>
      </c>
      <c r="B81" s="100" t="str">
        <f t="shared" si="8"/>
        <v/>
      </c>
      <c r="C81" s="107"/>
      <c r="D81" s="108"/>
      <c r="E81" s="107"/>
      <c r="F81" s="109"/>
      <c r="G81" s="105"/>
      <c r="H81" s="106"/>
    </row>
    <row r="82" spans="1:8" x14ac:dyDescent="0.25">
      <c r="A82" s="113">
        <f t="shared" si="10"/>
        <v>5.0310000000000104</v>
      </c>
      <c r="B82" s="100" t="str">
        <f t="shared" si="8"/>
        <v/>
      </c>
      <c r="C82" s="107"/>
      <c r="D82" s="108"/>
      <c r="E82" s="107"/>
      <c r="F82" s="109"/>
      <c r="G82" s="105"/>
      <c r="H82" s="106"/>
    </row>
    <row r="83" spans="1:8" x14ac:dyDescent="0.25">
      <c r="A83" s="113">
        <f t="shared" si="10"/>
        <v>5.0310000000000104</v>
      </c>
      <c r="B83" s="100" t="str">
        <f t="shared" si="8"/>
        <v/>
      </c>
      <c r="C83" s="107"/>
      <c r="D83" s="108"/>
      <c r="E83" s="107"/>
      <c r="F83" s="109"/>
      <c r="G83" s="105"/>
      <c r="H83" s="106"/>
    </row>
    <row r="84" spans="1:8" x14ac:dyDescent="0.25">
      <c r="A84" s="113">
        <f t="shared" si="10"/>
        <v>5.0310000000000104</v>
      </c>
      <c r="B84" s="100" t="str">
        <f t="shared" si="8"/>
        <v/>
      </c>
      <c r="C84" s="107"/>
      <c r="D84" s="108"/>
      <c r="E84" s="107"/>
      <c r="F84" s="109"/>
      <c r="G84" s="105"/>
      <c r="H84" s="106"/>
    </row>
    <row r="85" spans="1:8" x14ac:dyDescent="0.25">
      <c r="A85" s="113">
        <f t="shared" si="10"/>
        <v>5.0310000000000104</v>
      </c>
      <c r="B85" s="100" t="str">
        <f t="shared" si="8"/>
        <v/>
      </c>
      <c r="C85" s="107"/>
      <c r="D85" s="108"/>
      <c r="E85" s="107"/>
      <c r="F85" s="109"/>
      <c r="G85" s="105"/>
      <c r="H85" s="106"/>
    </row>
    <row r="86" spans="1:8" x14ac:dyDescent="0.25">
      <c r="A86" s="113">
        <f t="shared" ref="A86:A95" si="11">+IF(F86&gt;0.01,A85+0.001,A85)</f>
        <v>5.0310000000000104</v>
      </c>
      <c r="B86" s="100" t="str">
        <f t="shared" ref="B86:B95" si="12">+IF(F86&gt;0,A86,"")</f>
        <v/>
      </c>
      <c r="C86" s="107"/>
      <c r="D86" s="108"/>
      <c r="E86" s="107"/>
      <c r="F86" s="109"/>
      <c r="G86" s="105"/>
      <c r="H86" s="106"/>
    </row>
    <row r="87" spans="1:8" x14ac:dyDescent="0.25">
      <c r="A87" s="113">
        <f t="shared" si="11"/>
        <v>5.0310000000000104</v>
      </c>
      <c r="B87" s="100" t="str">
        <f t="shared" si="12"/>
        <v/>
      </c>
      <c r="C87" s="107"/>
      <c r="D87" s="108"/>
      <c r="E87" s="107"/>
      <c r="F87" s="109"/>
      <c r="G87" s="105"/>
      <c r="H87" s="106"/>
    </row>
    <row r="88" spans="1:8" x14ac:dyDescent="0.25">
      <c r="A88" s="113">
        <f t="shared" si="11"/>
        <v>5.0310000000000104</v>
      </c>
      <c r="B88" s="100" t="str">
        <f t="shared" si="12"/>
        <v/>
      </c>
      <c r="C88" s="107"/>
      <c r="D88" s="108"/>
      <c r="E88" s="107"/>
      <c r="F88" s="109"/>
      <c r="G88" s="105"/>
      <c r="H88" s="106"/>
    </row>
    <row r="89" spans="1:8" x14ac:dyDescent="0.25">
      <c r="A89" s="113">
        <f t="shared" si="11"/>
        <v>5.0310000000000104</v>
      </c>
      <c r="B89" s="100" t="str">
        <f t="shared" si="12"/>
        <v/>
      </c>
      <c r="C89" s="107"/>
      <c r="D89" s="108"/>
      <c r="E89" s="107"/>
      <c r="F89" s="109"/>
      <c r="G89" s="105"/>
      <c r="H89" s="106"/>
    </row>
    <row r="90" spans="1:8" x14ac:dyDescent="0.25">
      <c r="A90" s="113">
        <f t="shared" si="11"/>
        <v>5.0310000000000104</v>
      </c>
      <c r="B90" s="100" t="str">
        <f t="shared" si="12"/>
        <v/>
      </c>
      <c r="C90" s="107"/>
      <c r="D90" s="108"/>
      <c r="E90" s="107"/>
      <c r="F90" s="109"/>
      <c r="G90" s="105"/>
      <c r="H90" s="106"/>
    </row>
    <row r="91" spans="1:8" x14ac:dyDescent="0.25">
      <c r="A91" s="113">
        <f t="shared" si="11"/>
        <v>5.0310000000000104</v>
      </c>
      <c r="B91" s="100" t="str">
        <f t="shared" si="12"/>
        <v/>
      </c>
      <c r="C91" s="107"/>
      <c r="D91" s="108"/>
      <c r="E91" s="107"/>
      <c r="F91" s="109"/>
      <c r="G91" s="105"/>
      <c r="H91" s="106"/>
    </row>
    <row r="92" spans="1:8" x14ac:dyDescent="0.25">
      <c r="A92" s="113">
        <f t="shared" si="11"/>
        <v>5.0310000000000104</v>
      </c>
      <c r="B92" s="100" t="str">
        <f t="shared" si="12"/>
        <v/>
      </c>
      <c r="C92" s="107"/>
      <c r="D92" s="108"/>
      <c r="E92" s="107"/>
      <c r="F92" s="109"/>
      <c r="G92" s="105"/>
      <c r="H92" s="106"/>
    </row>
    <row r="93" spans="1:8" x14ac:dyDescent="0.25">
      <c r="A93" s="113">
        <f t="shared" si="11"/>
        <v>5.0310000000000104</v>
      </c>
      <c r="B93" s="100" t="str">
        <f t="shared" si="12"/>
        <v/>
      </c>
      <c r="C93" s="107"/>
      <c r="D93" s="108"/>
      <c r="E93" s="107"/>
      <c r="F93" s="109"/>
      <c r="G93" s="105"/>
      <c r="H93" s="106"/>
    </row>
    <row r="94" spans="1:8" x14ac:dyDescent="0.25">
      <c r="A94" s="113">
        <f t="shared" si="11"/>
        <v>5.0310000000000104</v>
      </c>
      <c r="B94" s="100" t="str">
        <f t="shared" si="12"/>
        <v/>
      </c>
      <c r="C94" s="107"/>
      <c r="D94" s="108"/>
      <c r="E94" s="107"/>
      <c r="F94" s="109"/>
      <c r="G94" s="105"/>
      <c r="H94" s="106"/>
    </row>
    <row r="95" spans="1:8" x14ac:dyDescent="0.25">
      <c r="A95" s="113">
        <f t="shared" si="11"/>
        <v>5.0310000000000104</v>
      </c>
      <c r="B95" s="100" t="str">
        <f t="shared" si="12"/>
        <v/>
      </c>
      <c r="C95" s="107"/>
      <c r="D95" s="108"/>
      <c r="E95" s="107"/>
      <c r="F95" s="109"/>
      <c r="G95" s="105"/>
      <c r="H95" s="106"/>
    </row>
    <row r="96" spans="1:8" ht="15.75" thickBot="1" x14ac:dyDescent="0.3">
      <c r="A96" s="113">
        <f>+IF(F96&gt;0.01,A95+0.001,A95)</f>
        <v>5.0310000000000104</v>
      </c>
      <c r="B96" s="100" t="str">
        <f>+IF(F96&gt;0,A96,"")</f>
        <v/>
      </c>
      <c r="C96" s="107"/>
      <c r="D96" s="108"/>
      <c r="E96" s="107"/>
      <c r="F96" s="109"/>
      <c r="G96" s="105"/>
      <c r="H96" s="106"/>
    </row>
    <row r="97" spans="1:8" ht="15.75" thickBot="1" x14ac:dyDescent="0.3">
      <c r="A97" s="113"/>
      <c r="B97" s="173" t="s">
        <v>338</v>
      </c>
      <c r="C97" s="174"/>
      <c r="D97" s="174"/>
      <c r="E97" s="174"/>
      <c r="F97" s="174"/>
      <c r="G97" s="175"/>
      <c r="H97" s="117">
        <f>SUM(H64:H96)</f>
        <v>0</v>
      </c>
    </row>
  </sheetData>
  <mergeCells count="5">
    <mergeCell ref="B29:G29"/>
    <mergeCell ref="B31:G31"/>
    <mergeCell ref="B62:G62"/>
    <mergeCell ref="B64:G64"/>
    <mergeCell ref="B97:G97"/>
  </mergeCells>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A941"/>
  <sheetViews>
    <sheetView topLeftCell="A914" workbookViewId="0">
      <selection activeCell="A2" sqref="A2:A941"/>
    </sheetView>
  </sheetViews>
  <sheetFormatPr defaultRowHeight="15" x14ac:dyDescent="0.25"/>
  <cols>
    <col min="1" max="1" width="255.7109375" bestFit="1" customWidth="1"/>
  </cols>
  <sheetData>
    <row r="1" spans="1:1" x14ac:dyDescent="0.25">
      <c r="A1" s="11" t="s">
        <v>5</v>
      </c>
    </row>
    <row r="2" spans="1:1" x14ac:dyDescent="0.25">
      <c r="A2" s="10" t="s">
        <v>22</v>
      </c>
    </row>
    <row r="3" spans="1:1" x14ac:dyDescent="0.25">
      <c r="A3" s="18" t="s">
        <v>52</v>
      </c>
    </row>
    <row r="4" spans="1:1" x14ac:dyDescent="0.25">
      <c r="A4" s="19" t="s">
        <v>803</v>
      </c>
    </row>
    <row r="5" spans="1:1" x14ac:dyDescent="0.25">
      <c r="A5" s="20" t="s">
        <v>52</v>
      </c>
    </row>
    <row r="6" spans="1:1" x14ac:dyDescent="0.25">
      <c r="A6" s="21" t="s">
        <v>52</v>
      </c>
    </row>
    <row r="7" spans="1:1" x14ac:dyDescent="0.25">
      <c r="A7" s="22" t="s">
        <v>52</v>
      </c>
    </row>
    <row r="8" spans="1:1" x14ac:dyDescent="0.25">
      <c r="A8" s="23" t="s">
        <v>52</v>
      </c>
    </row>
    <row r="9" spans="1:1" x14ac:dyDescent="0.25">
      <c r="A9" s="24" t="s">
        <v>52</v>
      </c>
    </row>
    <row r="10" spans="1:1" x14ac:dyDescent="0.25">
      <c r="A10" s="25" t="s">
        <v>52</v>
      </c>
    </row>
    <row r="11" spans="1:1" x14ac:dyDescent="0.25">
      <c r="A11" s="26" t="s">
        <v>52</v>
      </c>
    </row>
    <row r="12" spans="1:1" x14ac:dyDescent="0.25">
      <c r="A12" s="27" t="s">
        <v>52</v>
      </c>
    </row>
    <row r="13" spans="1:1" x14ac:dyDescent="0.25">
      <c r="A13" s="28" t="s">
        <v>52</v>
      </c>
    </row>
    <row r="14" spans="1:1" x14ac:dyDescent="0.25">
      <c r="A14" s="29" t="s">
        <v>52</v>
      </c>
    </row>
    <row r="15" spans="1:1" x14ac:dyDescent="0.25">
      <c r="A15" s="30" t="s">
        <v>804</v>
      </c>
    </row>
    <row r="16" spans="1:1" x14ac:dyDescent="0.25">
      <c r="A16" s="31" t="s">
        <v>52</v>
      </c>
    </row>
    <row r="17" spans="1:1" x14ac:dyDescent="0.25">
      <c r="A17" s="32" t="s">
        <v>52</v>
      </c>
    </row>
    <row r="18" spans="1:1" x14ac:dyDescent="0.25">
      <c r="A18" s="33" t="s">
        <v>52</v>
      </c>
    </row>
    <row r="19" spans="1:1" x14ac:dyDescent="0.25">
      <c r="A19" s="34" t="s">
        <v>52</v>
      </c>
    </row>
    <row r="20" spans="1:1" x14ac:dyDescent="0.25">
      <c r="A20" s="35" t="s">
        <v>52</v>
      </c>
    </row>
    <row r="21" spans="1:1" x14ac:dyDescent="0.25">
      <c r="A21" s="36" t="s">
        <v>52</v>
      </c>
    </row>
    <row r="22" spans="1:1" x14ac:dyDescent="0.25">
      <c r="A22" s="37" t="s">
        <v>52</v>
      </c>
    </row>
    <row r="23" spans="1:1" x14ac:dyDescent="0.25">
      <c r="A23" s="38" t="s">
        <v>52</v>
      </c>
    </row>
    <row r="24" spans="1:1" x14ac:dyDescent="0.25">
      <c r="A24" s="39" t="s">
        <v>52</v>
      </c>
    </row>
    <row r="25" spans="1:1" x14ac:dyDescent="0.25">
      <c r="A25" s="40" t="s">
        <v>52</v>
      </c>
    </row>
    <row r="26" spans="1:1" x14ac:dyDescent="0.25">
      <c r="A26" s="41" t="s">
        <v>52</v>
      </c>
    </row>
    <row r="27" spans="1:1" x14ac:dyDescent="0.25">
      <c r="A27" s="42" t="s">
        <v>52</v>
      </c>
    </row>
    <row r="28" spans="1:1" x14ac:dyDescent="0.25">
      <c r="A28" s="43" t="s">
        <v>52</v>
      </c>
    </row>
    <row r="29" spans="1:1" x14ac:dyDescent="0.25">
      <c r="A29" s="44" t="s">
        <v>52</v>
      </c>
    </row>
    <row r="30" spans="1:1" x14ac:dyDescent="0.25">
      <c r="A30" s="45" t="s">
        <v>52</v>
      </c>
    </row>
    <row r="31" spans="1:1" x14ac:dyDescent="0.25">
      <c r="A31" s="46" t="s">
        <v>52</v>
      </c>
    </row>
    <row r="32" spans="1:1" x14ac:dyDescent="0.25">
      <c r="A32" s="47" t="s">
        <v>52</v>
      </c>
    </row>
    <row r="33" spans="1:1" x14ac:dyDescent="0.25">
      <c r="A33" s="48" t="s">
        <v>52</v>
      </c>
    </row>
    <row r="34" spans="1:1" x14ac:dyDescent="0.25">
      <c r="A34" s="49" t="s">
        <v>52</v>
      </c>
    </row>
    <row r="35" spans="1:1" x14ac:dyDescent="0.25">
      <c r="A35" s="50" t="s">
        <v>52</v>
      </c>
    </row>
    <row r="36" spans="1:1" x14ac:dyDescent="0.25">
      <c r="A36" s="51" t="s">
        <v>52</v>
      </c>
    </row>
    <row r="37" spans="1:1" x14ac:dyDescent="0.25">
      <c r="A37" s="52" t="s">
        <v>52</v>
      </c>
    </row>
    <row r="38" spans="1:1" x14ac:dyDescent="0.25">
      <c r="A38" s="53" t="s">
        <v>52</v>
      </c>
    </row>
    <row r="39" spans="1:1" x14ac:dyDescent="0.25">
      <c r="A39" s="54" t="s">
        <v>52</v>
      </c>
    </row>
    <row r="40" spans="1:1" x14ac:dyDescent="0.25">
      <c r="A40" s="55" t="s">
        <v>52</v>
      </c>
    </row>
    <row r="41" spans="1:1" x14ac:dyDescent="0.25">
      <c r="A41" s="56" t="s">
        <v>52</v>
      </c>
    </row>
    <row r="42" spans="1:1" x14ac:dyDescent="0.25">
      <c r="A42" s="57" t="s">
        <v>52</v>
      </c>
    </row>
    <row r="43" spans="1:1" x14ac:dyDescent="0.25">
      <c r="A43" s="58" t="s">
        <v>52</v>
      </c>
    </row>
    <row r="44" spans="1:1" x14ac:dyDescent="0.25">
      <c r="A44" s="59" t="s">
        <v>52</v>
      </c>
    </row>
    <row r="45" spans="1:1" x14ac:dyDescent="0.25">
      <c r="A45" s="60" t="s">
        <v>52</v>
      </c>
    </row>
    <row r="46" spans="1:1" x14ac:dyDescent="0.25">
      <c r="A46" s="61" t="s">
        <v>52</v>
      </c>
    </row>
    <row r="47" spans="1:1" x14ac:dyDescent="0.25">
      <c r="A47" s="62" t="s">
        <v>52</v>
      </c>
    </row>
    <row r="48" spans="1:1" x14ac:dyDescent="0.25">
      <c r="A48" s="63" t="s">
        <v>52</v>
      </c>
    </row>
    <row r="49" spans="1:1" x14ac:dyDescent="0.25">
      <c r="A49" s="64" t="s">
        <v>52</v>
      </c>
    </row>
    <row r="50" spans="1:1" x14ac:dyDescent="0.25">
      <c r="A50" s="65" t="s">
        <v>52</v>
      </c>
    </row>
    <row r="51" spans="1:1" x14ac:dyDescent="0.25">
      <c r="A51" s="66" t="s">
        <v>52</v>
      </c>
    </row>
    <row r="52" spans="1:1" x14ac:dyDescent="0.25">
      <c r="A52" s="67" t="s">
        <v>52</v>
      </c>
    </row>
    <row r="53" spans="1:1" x14ac:dyDescent="0.25">
      <c r="A53" s="68" t="s">
        <v>52</v>
      </c>
    </row>
    <row r="54" spans="1:1" x14ac:dyDescent="0.25">
      <c r="A54" s="69" t="s">
        <v>52</v>
      </c>
    </row>
    <row r="55" spans="1:1" x14ac:dyDescent="0.25">
      <c r="A55" s="70" t="s">
        <v>52</v>
      </c>
    </row>
    <row r="56" spans="1:1" x14ac:dyDescent="0.25">
      <c r="A56" s="71" t="s">
        <v>52</v>
      </c>
    </row>
    <row r="57" spans="1:1" x14ac:dyDescent="0.25">
      <c r="A57" s="72" t="s">
        <v>52</v>
      </c>
    </row>
    <row r="58" spans="1:1" x14ac:dyDescent="0.25">
      <c r="A58" s="73" t="s">
        <v>52</v>
      </c>
    </row>
    <row r="59" spans="1:1" x14ac:dyDescent="0.25">
      <c r="A59" s="74" t="s">
        <v>52</v>
      </c>
    </row>
    <row r="60" spans="1:1" x14ac:dyDescent="0.25">
      <c r="A60" s="75" t="s">
        <v>52</v>
      </c>
    </row>
    <row r="61" spans="1:1" x14ac:dyDescent="0.25">
      <c r="A61" s="76" t="s">
        <v>52</v>
      </c>
    </row>
    <row r="62" spans="1:1" x14ac:dyDescent="0.25">
      <c r="A62" s="77" t="s">
        <v>52</v>
      </c>
    </row>
    <row r="63" spans="1:1" x14ac:dyDescent="0.25">
      <c r="A63" s="78" t="s">
        <v>52</v>
      </c>
    </row>
    <row r="64" spans="1:1" x14ac:dyDescent="0.25">
      <c r="A64" s="79" t="s">
        <v>52</v>
      </c>
    </row>
    <row r="65" spans="1:1" x14ac:dyDescent="0.25">
      <c r="A65" s="80" t="s">
        <v>52</v>
      </c>
    </row>
    <row r="66" spans="1:1" x14ac:dyDescent="0.25">
      <c r="A66" s="81" t="s">
        <v>52</v>
      </c>
    </row>
    <row r="67" spans="1:1" x14ac:dyDescent="0.25">
      <c r="A67" s="82" t="s">
        <v>52</v>
      </c>
    </row>
    <row r="68" spans="1:1" x14ac:dyDescent="0.25">
      <c r="A68" s="83" t="s">
        <v>52</v>
      </c>
    </row>
    <row r="69" spans="1:1" x14ac:dyDescent="0.25">
      <c r="A69" s="84" t="s">
        <v>52</v>
      </c>
    </row>
    <row r="70" spans="1:1" x14ac:dyDescent="0.25">
      <c r="A70" s="85" t="s">
        <v>52</v>
      </c>
    </row>
    <row r="71" spans="1:1" x14ac:dyDescent="0.25">
      <c r="A71" s="86" t="s">
        <v>52</v>
      </c>
    </row>
    <row r="72" spans="1:1" x14ac:dyDescent="0.25">
      <c r="A72" s="87" t="s">
        <v>52</v>
      </c>
    </row>
    <row r="73" spans="1:1" x14ac:dyDescent="0.25">
      <c r="A73" s="88" t="s">
        <v>52</v>
      </c>
    </row>
    <row r="74" spans="1:1" x14ac:dyDescent="0.25">
      <c r="A74" s="89" t="s">
        <v>52</v>
      </c>
    </row>
    <row r="75" spans="1:1" x14ac:dyDescent="0.25">
      <c r="A75" s="90" t="s">
        <v>52</v>
      </c>
    </row>
    <row r="76" spans="1:1" x14ac:dyDescent="0.25">
      <c r="A76" s="19" t="s">
        <v>805</v>
      </c>
    </row>
    <row r="77" spans="1:1" x14ac:dyDescent="0.25">
      <c r="A77" s="20" t="s">
        <v>52</v>
      </c>
    </row>
    <row r="78" spans="1:1" x14ac:dyDescent="0.25">
      <c r="A78" s="21" t="s">
        <v>52</v>
      </c>
    </row>
    <row r="79" spans="1:1" x14ac:dyDescent="0.25">
      <c r="A79" s="22" t="s">
        <v>52</v>
      </c>
    </row>
    <row r="80" spans="1:1" x14ac:dyDescent="0.25">
      <c r="A80" s="23" t="s">
        <v>52</v>
      </c>
    </row>
    <row r="81" spans="1:1" x14ac:dyDescent="0.25">
      <c r="A81" s="24" t="s">
        <v>52</v>
      </c>
    </row>
    <row r="82" spans="1:1" x14ac:dyDescent="0.25">
      <c r="A82" s="25" t="s">
        <v>52</v>
      </c>
    </row>
    <row r="83" spans="1:1" x14ac:dyDescent="0.25">
      <c r="A83" s="26" t="s">
        <v>52</v>
      </c>
    </row>
    <row r="84" spans="1:1" x14ac:dyDescent="0.25">
      <c r="A84" s="27" t="s">
        <v>52</v>
      </c>
    </row>
    <row r="85" spans="1:1" x14ac:dyDescent="0.25">
      <c r="A85" s="28" t="s">
        <v>52</v>
      </c>
    </row>
    <row r="86" spans="1:1" x14ac:dyDescent="0.25">
      <c r="A86" s="29" t="s">
        <v>52</v>
      </c>
    </row>
    <row r="87" spans="1:1" x14ac:dyDescent="0.25">
      <c r="A87" s="30" t="s">
        <v>806</v>
      </c>
    </row>
    <row r="88" spans="1:1" x14ac:dyDescent="0.25">
      <c r="A88" s="31" t="s">
        <v>52</v>
      </c>
    </row>
    <row r="89" spans="1:1" x14ac:dyDescent="0.25">
      <c r="A89" s="32" t="s">
        <v>52</v>
      </c>
    </row>
    <row r="90" spans="1:1" x14ac:dyDescent="0.25">
      <c r="A90" s="33" t="s">
        <v>52</v>
      </c>
    </row>
    <row r="91" spans="1:1" x14ac:dyDescent="0.25">
      <c r="A91" s="34" t="s">
        <v>52</v>
      </c>
    </row>
    <row r="92" spans="1:1" x14ac:dyDescent="0.25">
      <c r="A92" s="35" t="s">
        <v>52</v>
      </c>
    </row>
    <row r="93" spans="1:1" x14ac:dyDescent="0.25">
      <c r="A93" s="36" t="s">
        <v>52</v>
      </c>
    </row>
    <row r="94" spans="1:1" x14ac:dyDescent="0.25">
      <c r="A94" s="37" t="s">
        <v>52</v>
      </c>
    </row>
    <row r="95" spans="1:1" x14ac:dyDescent="0.25">
      <c r="A95" s="38" t="s">
        <v>52</v>
      </c>
    </row>
    <row r="96" spans="1:1" x14ac:dyDescent="0.25">
      <c r="A96" s="39" t="s">
        <v>52</v>
      </c>
    </row>
    <row r="97" spans="1:1" x14ac:dyDescent="0.25">
      <c r="A97" s="40" t="s">
        <v>52</v>
      </c>
    </row>
    <row r="98" spans="1:1" x14ac:dyDescent="0.25">
      <c r="A98" s="41" t="s">
        <v>52</v>
      </c>
    </row>
    <row r="99" spans="1:1" x14ac:dyDescent="0.25">
      <c r="A99" s="42" t="s">
        <v>52</v>
      </c>
    </row>
    <row r="100" spans="1:1" x14ac:dyDescent="0.25">
      <c r="A100" s="43" t="s">
        <v>52</v>
      </c>
    </row>
    <row r="101" spans="1:1" x14ac:dyDescent="0.25">
      <c r="A101" s="44" t="s">
        <v>52</v>
      </c>
    </row>
    <row r="102" spans="1:1" x14ac:dyDescent="0.25">
      <c r="A102" s="45" t="s">
        <v>52</v>
      </c>
    </row>
    <row r="103" spans="1:1" x14ac:dyDescent="0.25">
      <c r="A103" s="46" t="s">
        <v>52</v>
      </c>
    </row>
    <row r="104" spans="1:1" x14ac:dyDescent="0.25">
      <c r="A104" s="47" t="s">
        <v>52</v>
      </c>
    </row>
    <row r="105" spans="1:1" x14ac:dyDescent="0.25">
      <c r="A105" s="48" t="s">
        <v>52</v>
      </c>
    </row>
    <row r="106" spans="1:1" x14ac:dyDescent="0.25">
      <c r="A106" s="49" t="s">
        <v>52</v>
      </c>
    </row>
    <row r="107" spans="1:1" x14ac:dyDescent="0.25">
      <c r="A107" s="50" t="s">
        <v>52</v>
      </c>
    </row>
    <row r="108" spans="1:1" x14ac:dyDescent="0.25">
      <c r="A108" s="51" t="s">
        <v>52</v>
      </c>
    </row>
    <row r="109" spans="1:1" x14ac:dyDescent="0.25">
      <c r="A109" s="52" t="s">
        <v>52</v>
      </c>
    </row>
    <row r="110" spans="1:1" x14ac:dyDescent="0.25">
      <c r="A110" s="53" t="s">
        <v>52</v>
      </c>
    </row>
    <row r="111" spans="1:1" x14ac:dyDescent="0.25">
      <c r="A111" s="54" t="s">
        <v>52</v>
      </c>
    </row>
    <row r="112" spans="1:1" x14ac:dyDescent="0.25">
      <c r="A112" s="55" t="s">
        <v>52</v>
      </c>
    </row>
    <row r="113" spans="1:1" x14ac:dyDescent="0.25">
      <c r="A113" s="56" t="s">
        <v>52</v>
      </c>
    </row>
    <row r="114" spans="1:1" x14ac:dyDescent="0.25">
      <c r="A114" s="57" t="s">
        <v>52</v>
      </c>
    </row>
    <row r="115" spans="1:1" x14ac:dyDescent="0.25">
      <c r="A115" s="58" t="s">
        <v>52</v>
      </c>
    </row>
    <row r="116" spans="1:1" x14ac:dyDescent="0.25">
      <c r="A116" s="59" t="s">
        <v>52</v>
      </c>
    </row>
    <row r="117" spans="1:1" x14ac:dyDescent="0.25">
      <c r="A117" s="60" t="s">
        <v>52</v>
      </c>
    </row>
    <row r="118" spans="1:1" x14ac:dyDescent="0.25">
      <c r="A118" s="61" t="s">
        <v>52</v>
      </c>
    </row>
    <row r="119" spans="1:1" x14ac:dyDescent="0.25">
      <c r="A119" s="62" t="s">
        <v>52</v>
      </c>
    </row>
    <row r="120" spans="1:1" x14ac:dyDescent="0.25">
      <c r="A120" s="63" t="s">
        <v>52</v>
      </c>
    </row>
    <row r="121" spans="1:1" x14ac:dyDescent="0.25">
      <c r="A121" s="64" t="s">
        <v>52</v>
      </c>
    </row>
    <row r="122" spans="1:1" x14ac:dyDescent="0.25">
      <c r="A122" s="65" t="s">
        <v>52</v>
      </c>
    </row>
    <row r="123" spans="1:1" x14ac:dyDescent="0.25">
      <c r="A123" s="66" t="s">
        <v>52</v>
      </c>
    </row>
    <row r="124" spans="1:1" x14ac:dyDescent="0.25">
      <c r="A124" s="67" t="s">
        <v>52</v>
      </c>
    </row>
    <row r="125" spans="1:1" x14ac:dyDescent="0.25">
      <c r="A125" s="68" t="s">
        <v>52</v>
      </c>
    </row>
    <row r="126" spans="1:1" x14ac:dyDescent="0.25">
      <c r="A126" s="69" t="s">
        <v>52</v>
      </c>
    </row>
    <row r="127" spans="1:1" x14ac:dyDescent="0.25">
      <c r="A127" s="70" t="s">
        <v>52</v>
      </c>
    </row>
    <row r="128" spans="1:1" x14ac:dyDescent="0.25">
      <c r="A128" s="71" t="s">
        <v>52</v>
      </c>
    </row>
    <row r="129" spans="1:1" x14ac:dyDescent="0.25">
      <c r="A129" s="72" t="s">
        <v>52</v>
      </c>
    </row>
    <row r="130" spans="1:1" x14ac:dyDescent="0.25">
      <c r="A130" s="73" t="s">
        <v>52</v>
      </c>
    </row>
    <row r="131" spans="1:1" x14ac:dyDescent="0.25">
      <c r="A131" s="74" t="s">
        <v>52</v>
      </c>
    </row>
    <row r="132" spans="1:1" x14ac:dyDescent="0.25">
      <c r="A132" s="75" t="s">
        <v>52</v>
      </c>
    </row>
    <row r="133" spans="1:1" x14ac:dyDescent="0.25">
      <c r="A133" s="76" t="s">
        <v>52</v>
      </c>
    </row>
    <row r="134" spans="1:1" x14ac:dyDescent="0.25">
      <c r="A134" s="77" t="s">
        <v>52</v>
      </c>
    </row>
    <row r="135" spans="1:1" x14ac:dyDescent="0.25">
      <c r="A135" s="78" t="s">
        <v>52</v>
      </c>
    </row>
    <row r="136" spans="1:1" x14ac:dyDescent="0.25">
      <c r="A136" s="79" t="s">
        <v>52</v>
      </c>
    </row>
    <row r="137" spans="1:1" x14ac:dyDescent="0.25">
      <c r="A137" s="80" t="s">
        <v>52</v>
      </c>
    </row>
    <row r="138" spans="1:1" x14ac:dyDescent="0.25">
      <c r="A138" s="81" t="s">
        <v>52</v>
      </c>
    </row>
    <row r="139" spans="1:1" x14ac:dyDescent="0.25">
      <c r="A139" s="82" t="s">
        <v>52</v>
      </c>
    </row>
    <row r="140" spans="1:1" x14ac:dyDescent="0.25">
      <c r="A140" s="83" t="s">
        <v>52</v>
      </c>
    </row>
    <row r="141" spans="1:1" x14ac:dyDescent="0.25">
      <c r="A141" s="84" t="s">
        <v>52</v>
      </c>
    </row>
    <row r="142" spans="1:1" x14ac:dyDescent="0.25">
      <c r="A142" s="85" t="s">
        <v>52</v>
      </c>
    </row>
    <row r="143" spans="1:1" x14ac:dyDescent="0.25">
      <c r="A143" s="86" t="s">
        <v>52</v>
      </c>
    </row>
    <row r="144" spans="1:1" x14ac:dyDescent="0.25">
      <c r="A144" s="87" t="s">
        <v>52</v>
      </c>
    </row>
    <row r="145" spans="1:1" x14ac:dyDescent="0.25">
      <c r="A145" s="88" t="s">
        <v>52</v>
      </c>
    </row>
    <row r="146" spans="1:1" x14ac:dyDescent="0.25">
      <c r="A146" s="89" t="s">
        <v>52</v>
      </c>
    </row>
    <row r="147" spans="1:1" x14ac:dyDescent="0.25">
      <c r="A147" s="90" t="s">
        <v>52</v>
      </c>
    </row>
    <row r="148" spans="1:1" x14ac:dyDescent="0.25">
      <c r="A148" s="19" t="s">
        <v>807</v>
      </c>
    </row>
    <row r="149" spans="1:1" x14ac:dyDescent="0.25">
      <c r="A149" s="20" t="s">
        <v>52</v>
      </c>
    </row>
    <row r="150" spans="1:1" x14ac:dyDescent="0.25">
      <c r="A150" s="21" t="s">
        <v>52</v>
      </c>
    </row>
    <row r="151" spans="1:1" x14ac:dyDescent="0.25">
      <c r="A151" s="22" t="s">
        <v>52</v>
      </c>
    </row>
    <row r="152" spans="1:1" x14ac:dyDescent="0.25">
      <c r="A152" s="23" t="s">
        <v>52</v>
      </c>
    </row>
    <row r="153" spans="1:1" x14ac:dyDescent="0.25">
      <c r="A153" s="24" t="s">
        <v>52</v>
      </c>
    </row>
    <row r="154" spans="1:1" x14ac:dyDescent="0.25">
      <c r="A154" s="25" t="s">
        <v>52</v>
      </c>
    </row>
    <row r="155" spans="1:1" x14ac:dyDescent="0.25">
      <c r="A155" s="26" t="s">
        <v>52</v>
      </c>
    </row>
    <row r="156" spans="1:1" x14ac:dyDescent="0.25">
      <c r="A156" s="27" t="s">
        <v>52</v>
      </c>
    </row>
    <row r="157" spans="1:1" x14ac:dyDescent="0.25">
      <c r="A157" s="28" t="s">
        <v>52</v>
      </c>
    </row>
    <row r="158" spans="1:1" x14ac:dyDescent="0.25">
      <c r="A158" s="29" t="s">
        <v>52</v>
      </c>
    </row>
    <row r="159" spans="1:1" x14ac:dyDescent="0.25">
      <c r="A159" s="30" t="s">
        <v>808</v>
      </c>
    </row>
    <row r="160" spans="1:1" x14ac:dyDescent="0.25">
      <c r="A160" s="31" t="s">
        <v>52</v>
      </c>
    </row>
    <row r="161" spans="1:1" x14ac:dyDescent="0.25">
      <c r="A161" s="32" t="s">
        <v>52</v>
      </c>
    </row>
    <row r="162" spans="1:1" x14ac:dyDescent="0.25">
      <c r="A162" s="33" t="s">
        <v>52</v>
      </c>
    </row>
    <row r="163" spans="1:1" x14ac:dyDescent="0.25">
      <c r="A163" s="34" t="s">
        <v>52</v>
      </c>
    </row>
    <row r="164" spans="1:1" x14ac:dyDescent="0.25">
      <c r="A164" s="35" t="s">
        <v>52</v>
      </c>
    </row>
    <row r="165" spans="1:1" x14ac:dyDescent="0.25">
      <c r="A165" s="36" t="s">
        <v>52</v>
      </c>
    </row>
    <row r="166" spans="1:1" x14ac:dyDescent="0.25">
      <c r="A166" s="37" t="s">
        <v>52</v>
      </c>
    </row>
    <row r="167" spans="1:1" x14ac:dyDescent="0.25">
      <c r="A167" s="38" t="s">
        <v>52</v>
      </c>
    </row>
    <row r="168" spans="1:1" x14ac:dyDescent="0.25">
      <c r="A168" s="39" t="s">
        <v>52</v>
      </c>
    </row>
    <row r="169" spans="1:1" x14ac:dyDescent="0.25">
      <c r="A169" s="40" t="s">
        <v>52</v>
      </c>
    </row>
    <row r="170" spans="1:1" x14ac:dyDescent="0.25">
      <c r="A170" s="41" t="s">
        <v>52</v>
      </c>
    </row>
    <row r="171" spans="1:1" x14ac:dyDescent="0.25">
      <c r="A171" s="42" t="s">
        <v>52</v>
      </c>
    </row>
    <row r="172" spans="1:1" x14ac:dyDescent="0.25">
      <c r="A172" s="43" t="s">
        <v>52</v>
      </c>
    </row>
    <row r="173" spans="1:1" x14ac:dyDescent="0.25">
      <c r="A173" s="44" t="s">
        <v>52</v>
      </c>
    </row>
    <row r="174" spans="1:1" x14ac:dyDescent="0.25">
      <c r="A174" s="45" t="s">
        <v>52</v>
      </c>
    </row>
    <row r="175" spans="1:1" x14ac:dyDescent="0.25">
      <c r="A175" s="46" t="s">
        <v>52</v>
      </c>
    </row>
    <row r="176" spans="1:1" x14ac:dyDescent="0.25">
      <c r="A176" s="47" t="s">
        <v>52</v>
      </c>
    </row>
    <row r="177" spans="1:1" x14ac:dyDescent="0.25">
      <c r="A177" s="48" t="s">
        <v>52</v>
      </c>
    </row>
    <row r="178" spans="1:1" x14ac:dyDescent="0.25">
      <c r="A178" s="49" t="s">
        <v>52</v>
      </c>
    </row>
    <row r="179" spans="1:1" x14ac:dyDescent="0.25">
      <c r="A179" s="50" t="s">
        <v>52</v>
      </c>
    </row>
    <row r="180" spans="1:1" x14ac:dyDescent="0.25">
      <c r="A180" s="51" t="s">
        <v>52</v>
      </c>
    </row>
    <row r="181" spans="1:1" x14ac:dyDescent="0.25">
      <c r="A181" s="52" t="s">
        <v>52</v>
      </c>
    </row>
    <row r="182" spans="1:1" x14ac:dyDescent="0.25">
      <c r="A182" s="53" t="s">
        <v>52</v>
      </c>
    </row>
    <row r="183" spans="1:1" x14ac:dyDescent="0.25">
      <c r="A183" s="54" t="s">
        <v>52</v>
      </c>
    </row>
    <row r="184" spans="1:1" x14ac:dyDescent="0.25">
      <c r="A184" s="55" t="s">
        <v>52</v>
      </c>
    </row>
    <row r="185" spans="1:1" x14ac:dyDescent="0.25">
      <c r="A185" s="56" t="s">
        <v>52</v>
      </c>
    </row>
    <row r="186" spans="1:1" x14ac:dyDescent="0.25">
      <c r="A186" s="57" t="s">
        <v>52</v>
      </c>
    </row>
    <row r="187" spans="1:1" x14ac:dyDescent="0.25">
      <c r="A187" s="58" t="s">
        <v>52</v>
      </c>
    </row>
    <row r="188" spans="1:1" x14ac:dyDescent="0.25">
      <c r="A188" s="59" t="s">
        <v>52</v>
      </c>
    </row>
    <row r="189" spans="1:1" x14ac:dyDescent="0.25">
      <c r="A189" s="60" t="s">
        <v>52</v>
      </c>
    </row>
    <row r="190" spans="1:1" x14ac:dyDescent="0.25">
      <c r="A190" s="61" t="s">
        <v>52</v>
      </c>
    </row>
    <row r="191" spans="1:1" x14ac:dyDescent="0.25">
      <c r="A191" s="62" t="s">
        <v>52</v>
      </c>
    </row>
    <row r="192" spans="1:1" x14ac:dyDescent="0.25">
      <c r="A192" s="63" t="s">
        <v>52</v>
      </c>
    </row>
    <row r="193" spans="1:1" x14ac:dyDescent="0.25">
      <c r="A193" s="64" t="s">
        <v>52</v>
      </c>
    </row>
    <row r="194" spans="1:1" x14ac:dyDescent="0.25">
      <c r="A194" s="65" t="s">
        <v>52</v>
      </c>
    </row>
    <row r="195" spans="1:1" x14ac:dyDescent="0.25">
      <c r="A195" s="66" t="s">
        <v>52</v>
      </c>
    </row>
    <row r="196" spans="1:1" x14ac:dyDescent="0.25">
      <c r="A196" s="67" t="s">
        <v>52</v>
      </c>
    </row>
    <row r="197" spans="1:1" x14ac:dyDescent="0.25">
      <c r="A197" s="68" t="s">
        <v>52</v>
      </c>
    </row>
    <row r="198" spans="1:1" x14ac:dyDescent="0.25">
      <c r="A198" s="69" t="s">
        <v>52</v>
      </c>
    </row>
    <row r="199" spans="1:1" x14ac:dyDescent="0.25">
      <c r="A199" s="70" t="s">
        <v>52</v>
      </c>
    </row>
    <row r="200" spans="1:1" x14ac:dyDescent="0.25">
      <c r="A200" s="71" t="s">
        <v>52</v>
      </c>
    </row>
    <row r="201" spans="1:1" x14ac:dyDescent="0.25">
      <c r="A201" s="72" t="s">
        <v>52</v>
      </c>
    </row>
    <row r="202" spans="1:1" x14ac:dyDescent="0.25">
      <c r="A202" s="73" t="s">
        <v>52</v>
      </c>
    </row>
    <row r="203" spans="1:1" x14ac:dyDescent="0.25">
      <c r="A203" s="74" t="s">
        <v>52</v>
      </c>
    </row>
    <row r="204" spans="1:1" x14ac:dyDescent="0.25">
      <c r="A204" s="75" t="s">
        <v>52</v>
      </c>
    </row>
    <row r="205" spans="1:1" x14ac:dyDescent="0.25">
      <c r="A205" s="76" t="s">
        <v>52</v>
      </c>
    </row>
    <row r="206" spans="1:1" x14ac:dyDescent="0.25">
      <c r="A206" s="77" t="s">
        <v>52</v>
      </c>
    </row>
    <row r="207" spans="1:1" x14ac:dyDescent="0.25">
      <c r="A207" s="78" t="s">
        <v>52</v>
      </c>
    </row>
    <row r="208" spans="1:1" x14ac:dyDescent="0.25">
      <c r="A208" s="79" t="s">
        <v>52</v>
      </c>
    </row>
    <row r="209" spans="1:1" x14ac:dyDescent="0.25">
      <c r="A209" s="80" t="s">
        <v>52</v>
      </c>
    </row>
    <row r="210" spans="1:1" x14ac:dyDescent="0.25">
      <c r="A210" s="81" t="s">
        <v>52</v>
      </c>
    </row>
    <row r="211" spans="1:1" x14ac:dyDescent="0.25">
      <c r="A211" s="82" t="s">
        <v>52</v>
      </c>
    </row>
    <row r="212" spans="1:1" x14ac:dyDescent="0.25">
      <c r="A212" s="83" t="s">
        <v>52</v>
      </c>
    </row>
    <row r="213" spans="1:1" x14ac:dyDescent="0.25">
      <c r="A213" s="84" t="s">
        <v>52</v>
      </c>
    </row>
    <row r="214" spans="1:1" x14ac:dyDescent="0.25">
      <c r="A214" s="85" t="s">
        <v>52</v>
      </c>
    </row>
    <row r="215" spans="1:1" x14ac:dyDescent="0.25">
      <c r="A215" s="86" t="s">
        <v>52</v>
      </c>
    </row>
    <row r="216" spans="1:1" x14ac:dyDescent="0.25">
      <c r="A216" s="87" t="s">
        <v>52</v>
      </c>
    </row>
    <row r="217" spans="1:1" x14ac:dyDescent="0.25">
      <c r="A217" s="88" t="s">
        <v>52</v>
      </c>
    </row>
    <row r="218" spans="1:1" x14ac:dyDescent="0.25">
      <c r="A218" s="89" t="s">
        <v>52</v>
      </c>
    </row>
    <row r="219" spans="1:1" x14ac:dyDescent="0.25">
      <c r="A219" s="90" t="s">
        <v>52</v>
      </c>
    </row>
    <row r="220" spans="1:1" x14ac:dyDescent="0.25">
      <c r="A220" s="19" t="s">
        <v>809</v>
      </c>
    </row>
    <row r="221" spans="1:1" x14ac:dyDescent="0.25">
      <c r="A221" s="20" t="s">
        <v>52</v>
      </c>
    </row>
    <row r="222" spans="1:1" x14ac:dyDescent="0.25">
      <c r="A222" s="21" t="s">
        <v>52</v>
      </c>
    </row>
    <row r="223" spans="1:1" x14ac:dyDescent="0.25">
      <c r="A223" s="22" t="s">
        <v>52</v>
      </c>
    </row>
    <row r="224" spans="1:1" x14ac:dyDescent="0.25">
      <c r="A224" s="23" t="s">
        <v>52</v>
      </c>
    </row>
    <row r="225" spans="1:1" x14ac:dyDescent="0.25">
      <c r="A225" s="24" t="s">
        <v>52</v>
      </c>
    </row>
    <row r="226" spans="1:1" x14ac:dyDescent="0.25">
      <c r="A226" s="25" t="s">
        <v>52</v>
      </c>
    </row>
    <row r="227" spans="1:1" x14ac:dyDescent="0.25">
      <c r="A227" s="26" t="s">
        <v>52</v>
      </c>
    </row>
    <row r="228" spans="1:1" x14ac:dyDescent="0.25">
      <c r="A228" s="27" t="s">
        <v>52</v>
      </c>
    </row>
    <row r="229" spans="1:1" x14ac:dyDescent="0.25">
      <c r="A229" s="28" t="s">
        <v>52</v>
      </c>
    </row>
    <row r="230" spans="1:1" x14ac:dyDescent="0.25">
      <c r="A230" s="29" t="s">
        <v>52</v>
      </c>
    </row>
    <row r="231" spans="1:1" x14ac:dyDescent="0.25">
      <c r="A231" s="30" t="s">
        <v>810</v>
      </c>
    </row>
    <row r="232" spans="1:1" x14ac:dyDescent="0.25">
      <c r="A232" s="31" t="s">
        <v>52</v>
      </c>
    </row>
    <row r="233" spans="1:1" x14ac:dyDescent="0.25">
      <c r="A233" s="32" t="s">
        <v>52</v>
      </c>
    </row>
    <row r="234" spans="1:1" x14ac:dyDescent="0.25">
      <c r="A234" s="33" t="s">
        <v>52</v>
      </c>
    </row>
    <row r="235" spans="1:1" x14ac:dyDescent="0.25">
      <c r="A235" s="34" t="s">
        <v>52</v>
      </c>
    </row>
    <row r="236" spans="1:1" x14ac:dyDescent="0.25">
      <c r="A236" s="35" t="s">
        <v>52</v>
      </c>
    </row>
    <row r="237" spans="1:1" x14ac:dyDescent="0.25">
      <c r="A237" s="36" t="s">
        <v>52</v>
      </c>
    </row>
    <row r="238" spans="1:1" x14ac:dyDescent="0.25">
      <c r="A238" s="37" t="s">
        <v>52</v>
      </c>
    </row>
    <row r="239" spans="1:1" x14ac:dyDescent="0.25">
      <c r="A239" s="38" t="s">
        <v>52</v>
      </c>
    </row>
    <row r="240" spans="1:1" x14ac:dyDescent="0.25">
      <c r="A240" s="39" t="s">
        <v>52</v>
      </c>
    </row>
    <row r="241" spans="1:1" x14ac:dyDescent="0.25">
      <c r="A241" s="40" t="s">
        <v>52</v>
      </c>
    </row>
    <row r="242" spans="1:1" x14ac:dyDescent="0.25">
      <c r="A242" s="41" t="s">
        <v>52</v>
      </c>
    </row>
    <row r="243" spans="1:1" x14ac:dyDescent="0.25">
      <c r="A243" s="42" t="s">
        <v>52</v>
      </c>
    </row>
    <row r="244" spans="1:1" x14ac:dyDescent="0.25">
      <c r="A244" s="43" t="s">
        <v>52</v>
      </c>
    </row>
    <row r="245" spans="1:1" x14ac:dyDescent="0.25">
      <c r="A245" s="44" t="s">
        <v>52</v>
      </c>
    </row>
    <row r="246" spans="1:1" x14ac:dyDescent="0.25">
      <c r="A246" s="45" t="s">
        <v>52</v>
      </c>
    </row>
    <row r="247" spans="1:1" x14ac:dyDescent="0.25">
      <c r="A247" s="46" t="s">
        <v>52</v>
      </c>
    </row>
    <row r="248" spans="1:1" x14ac:dyDescent="0.25">
      <c r="A248" s="47" t="s">
        <v>52</v>
      </c>
    </row>
    <row r="249" spans="1:1" x14ac:dyDescent="0.25">
      <c r="A249" s="48" t="s">
        <v>52</v>
      </c>
    </row>
    <row r="250" spans="1:1" x14ac:dyDescent="0.25">
      <c r="A250" s="49" t="s">
        <v>52</v>
      </c>
    </row>
    <row r="251" spans="1:1" x14ac:dyDescent="0.25">
      <c r="A251" s="50" t="s">
        <v>52</v>
      </c>
    </row>
    <row r="252" spans="1:1" x14ac:dyDescent="0.25">
      <c r="A252" s="51" t="s">
        <v>52</v>
      </c>
    </row>
    <row r="253" spans="1:1" x14ac:dyDescent="0.25">
      <c r="A253" s="52" t="s">
        <v>52</v>
      </c>
    </row>
    <row r="254" spans="1:1" x14ac:dyDescent="0.25">
      <c r="A254" s="53" t="s">
        <v>52</v>
      </c>
    </row>
    <row r="255" spans="1:1" x14ac:dyDescent="0.25">
      <c r="A255" s="54" t="s">
        <v>52</v>
      </c>
    </row>
    <row r="256" spans="1:1" x14ac:dyDescent="0.25">
      <c r="A256" s="55" t="s">
        <v>52</v>
      </c>
    </row>
    <row r="257" spans="1:1" x14ac:dyDescent="0.25">
      <c r="A257" s="56" t="s">
        <v>52</v>
      </c>
    </row>
    <row r="258" spans="1:1" x14ac:dyDescent="0.25">
      <c r="A258" s="57" t="s">
        <v>52</v>
      </c>
    </row>
    <row r="259" spans="1:1" x14ac:dyDescent="0.25">
      <c r="A259" s="58" t="s">
        <v>52</v>
      </c>
    </row>
    <row r="260" spans="1:1" x14ac:dyDescent="0.25">
      <c r="A260" s="59" t="s">
        <v>52</v>
      </c>
    </row>
    <row r="261" spans="1:1" x14ac:dyDescent="0.25">
      <c r="A261" s="60" t="s">
        <v>52</v>
      </c>
    </row>
    <row r="262" spans="1:1" x14ac:dyDescent="0.25">
      <c r="A262" s="61" t="s">
        <v>52</v>
      </c>
    </row>
    <row r="263" spans="1:1" x14ac:dyDescent="0.25">
      <c r="A263" s="62" t="s">
        <v>52</v>
      </c>
    </row>
    <row r="264" spans="1:1" x14ac:dyDescent="0.25">
      <c r="A264" s="63" t="s">
        <v>52</v>
      </c>
    </row>
    <row r="265" spans="1:1" x14ac:dyDescent="0.25">
      <c r="A265" s="64" t="s">
        <v>52</v>
      </c>
    </row>
    <row r="266" spans="1:1" x14ac:dyDescent="0.25">
      <c r="A266" s="65" t="s">
        <v>52</v>
      </c>
    </row>
    <row r="267" spans="1:1" x14ac:dyDescent="0.25">
      <c r="A267" s="66" t="s">
        <v>52</v>
      </c>
    </row>
    <row r="268" spans="1:1" x14ac:dyDescent="0.25">
      <c r="A268" s="67" t="s">
        <v>52</v>
      </c>
    </row>
    <row r="269" spans="1:1" x14ac:dyDescent="0.25">
      <c r="A269" s="68" t="s">
        <v>52</v>
      </c>
    </row>
    <row r="270" spans="1:1" x14ac:dyDescent="0.25">
      <c r="A270" s="69" t="s">
        <v>52</v>
      </c>
    </row>
    <row r="271" spans="1:1" x14ac:dyDescent="0.25">
      <c r="A271" s="70" t="s">
        <v>52</v>
      </c>
    </row>
    <row r="272" spans="1:1" x14ac:dyDescent="0.25">
      <c r="A272" s="71" t="s">
        <v>52</v>
      </c>
    </row>
    <row r="273" spans="1:1" x14ac:dyDescent="0.25">
      <c r="A273" s="72" t="s">
        <v>52</v>
      </c>
    </row>
    <row r="274" spans="1:1" x14ac:dyDescent="0.25">
      <c r="A274" s="73" t="s">
        <v>52</v>
      </c>
    </row>
    <row r="275" spans="1:1" x14ac:dyDescent="0.25">
      <c r="A275" s="74" t="s">
        <v>52</v>
      </c>
    </row>
    <row r="276" spans="1:1" x14ac:dyDescent="0.25">
      <c r="A276" s="75" t="s">
        <v>52</v>
      </c>
    </row>
    <row r="277" spans="1:1" x14ac:dyDescent="0.25">
      <c r="A277" s="76" t="s">
        <v>52</v>
      </c>
    </row>
    <row r="278" spans="1:1" x14ac:dyDescent="0.25">
      <c r="A278" s="77" t="s">
        <v>52</v>
      </c>
    </row>
    <row r="279" spans="1:1" x14ac:dyDescent="0.25">
      <c r="A279" s="78" t="s">
        <v>52</v>
      </c>
    </row>
    <row r="280" spans="1:1" x14ac:dyDescent="0.25">
      <c r="A280" s="79" t="s">
        <v>52</v>
      </c>
    </row>
    <row r="281" spans="1:1" x14ac:dyDescent="0.25">
      <c r="A281" s="80" t="s">
        <v>52</v>
      </c>
    </row>
    <row r="282" spans="1:1" x14ac:dyDescent="0.25">
      <c r="A282" s="81" t="s">
        <v>52</v>
      </c>
    </row>
    <row r="283" spans="1:1" x14ac:dyDescent="0.25">
      <c r="A283" s="82" t="s">
        <v>52</v>
      </c>
    </row>
    <row r="284" spans="1:1" x14ac:dyDescent="0.25">
      <c r="A284" s="83" t="s">
        <v>52</v>
      </c>
    </row>
    <row r="285" spans="1:1" x14ac:dyDescent="0.25">
      <c r="A285" s="84" t="s">
        <v>52</v>
      </c>
    </row>
    <row r="286" spans="1:1" x14ac:dyDescent="0.25">
      <c r="A286" s="85" t="s">
        <v>52</v>
      </c>
    </row>
    <row r="287" spans="1:1" x14ac:dyDescent="0.25">
      <c r="A287" s="86" t="s">
        <v>52</v>
      </c>
    </row>
    <row r="288" spans="1:1" x14ac:dyDescent="0.25">
      <c r="A288" s="87" t="s">
        <v>52</v>
      </c>
    </row>
    <row r="289" spans="1:1" x14ac:dyDescent="0.25">
      <c r="A289" s="88" t="s">
        <v>52</v>
      </c>
    </row>
    <row r="290" spans="1:1" x14ac:dyDescent="0.25">
      <c r="A290" s="89" t="s">
        <v>52</v>
      </c>
    </row>
    <row r="291" spans="1:1" x14ac:dyDescent="0.25">
      <c r="A291" s="90" t="s">
        <v>52</v>
      </c>
    </row>
    <row r="292" spans="1:1" x14ac:dyDescent="0.25">
      <c r="A292" s="19" t="s">
        <v>811</v>
      </c>
    </row>
    <row r="293" spans="1:1" x14ac:dyDescent="0.25">
      <c r="A293" s="20" t="s">
        <v>52</v>
      </c>
    </row>
    <row r="294" spans="1:1" x14ac:dyDescent="0.25">
      <c r="A294" s="21" t="s">
        <v>52</v>
      </c>
    </row>
    <row r="295" spans="1:1" x14ac:dyDescent="0.25">
      <c r="A295" s="22" t="s">
        <v>52</v>
      </c>
    </row>
    <row r="296" spans="1:1" x14ac:dyDescent="0.25">
      <c r="A296" s="23" t="s">
        <v>52</v>
      </c>
    </row>
    <row r="297" spans="1:1" x14ac:dyDescent="0.25">
      <c r="A297" s="24" t="s">
        <v>52</v>
      </c>
    </row>
    <row r="298" spans="1:1" x14ac:dyDescent="0.25">
      <c r="A298" s="25" t="s">
        <v>52</v>
      </c>
    </row>
    <row r="299" spans="1:1" x14ac:dyDescent="0.25">
      <c r="A299" s="26" t="s">
        <v>52</v>
      </c>
    </row>
    <row r="300" spans="1:1" x14ac:dyDescent="0.25">
      <c r="A300" s="27" t="s">
        <v>52</v>
      </c>
    </row>
    <row r="301" spans="1:1" x14ac:dyDescent="0.25">
      <c r="A301" s="28" t="s">
        <v>52</v>
      </c>
    </row>
    <row r="302" spans="1:1" x14ac:dyDescent="0.25">
      <c r="A302" s="29" t="s">
        <v>52</v>
      </c>
    </row>
    <row r="303" spans="1:1" x14ac:dyDescent="0.25">
      <c r="A303" s="30" t="s">
        <v>812</v>
      </c>
    </row>
    <row r="304" spans="1:1" x14ac:dyDescent="0.25">
      <c r="A304" s="31" t="s">
        <v>52</v>
      </c>
    </row>
    <row r="305" spans="1:1" x14ac:dyDescent="0.25">
      <c r="A305" s="32" t="s">
        <v>52</v>
      </c>
    </row>
    <row r="306" spans="1:1" x14ac:dyDescent="0.25">
      <c r="A306" s="33" t="s">
        <v>52</v>
      </c>
    </row>
    <row r="307" spans="1:1" x14ac:dyDescent="0.25">
      <c r="A307" s="34" t="s">
        <v>52</v>
      </c>
    </row>
    <row r="308" spans="1:1" x14ac:dyDescent="0.25">
      <c r="A308" s="35" t="s">
        <v>52</v>
      </c>
    </row>
    <row r="309" spans="1:1" x14ac:dyDescent="0.25">
      <c r="A309" s="36" t="s">
        <v>52</v>
      </c>
    </row>
    <row r="310" spans="1:1" x14ac:dyDescent="0.25">
      <c r="A310" s="37" t="s">
        <v>52</v>
      </c>
    </row>
    <row r="311" spans="1:1" x14ac:dyDescent="0.25">
      <c r="A311" s="38" t="s">
        <v>52</v>
      </c>
    </row>
    <row r="312" spans="1:1" x14ac:dyDescent="0.25">
      <c r="A312" s="39" t="s">
        <v>52</v>
      </c>
    </row>
    <row r="313" spans="1:1" x14ac:dyDescent="0.25">
      <c r="A313" s="40" t="s">
        <v>52</v>
      </c>
    </row>
    <row r="314" spans="1:1" x14ac:dyDescent="0.25">
      <c r="A314" s="41" t="s">
        <v>52</v>
      </c>
    </row>
    <row r="315" spans="1:1" x14ac:dyDescent="0.25">
      <c r="A315" s="42" t="s">
        <v>52</v>
      </c>
    </row>
    <row r="316" spans="1:1" x14ac:dyDescent="0.25">
      <c r="A316" s="43" t="s">
        <v>52</v>
      </c>
    </row>
    <row r="317" spans="1:1" x14ac:dyDescent="0.25">
      <c r="A317" s="44" t="s">
        <v>52</v>
      </c>
    </row>
    <row r="318" spans="1:1" x14ac:dyDescent="0.25">
      <c r="A318" s="45" t="s">
        <v>52</v>
      </c>
    </row>
    <row r="319" spans="1:1" x14ac:dyDescent="0.25">
      <c r="A319" s="46" t="s">
        <v>52</v>
      </c>
    </row>
    <row r="320" spans="1:1" x14ac:dyDescent="0.25">
      <c r="A320" s="47" t="s">
        <v>52</v>
      </c>
    </row>
    <row r="321" spans="1:1" x14ac:dyDescent="0.25">
      <c r="A321" s="48" t="s">
        <v>52</v>
      </c>
    </row>
    <row r="322" spans="1:1" x14ac:dyDescent="0.25">
      <c r="A322" s="49" t="s">
        <v>52</v>
      </c>
    </row>
    <row r="323" spans="1:1" x14ac:dyDescent="0.25">
      <c r="A323" s="50" t="s">
        <v>52</v>
      </c>
    </row>
    <row r="324" spans="1:1" x14ac:dyDescent="0.25">
      <c r="A324" s="51" t="s">
        <v>52</v>
      </c>
    </row>
    <row r="325" spans="1:1" x14ac:dyDescent="0.25">
      <c r="A325" s="52" t="s">
        <v>52</v>
      </c>
    </row>
    <row r="326" spans="1:1" x14ac:dyDescent="0.25">
      <c r="A326" s="53" t="s">
        <v>52</v>
      </c>
    </row>
    <row r="327" spans="1:1" x14ac:dyDescent="0.25">
      <c r="A327" s="54" t="s">
        <v>52</v>
      </c>
    </row>
    <row r="328" spans="1:1" x14ac:dyDescent="0.25">
      <c r="A328" s="55" t="s">
        <v>52</v>
      </c>
    </row>
    <row r="329" spans="1:1" x14ac:dyDescent="0.25">
      <c r="A329" s="56" t="s">
        <v>52</v>
      </c>
    </row>
    <row r="330" spans="1:1" x14ac:dyDescent="0.25">
      <c r="A330" s="57" t="s">
        <v>52</v>
      </c>
    </row>
    <row r="331" spans="1:1" x14ac:dyDescent="0.25">
      <c r="A331" s="58" t="s">
        <v>52</v>
      </c>
    </row>
    <row r="332" spans="1:1" x14ac:dyDescent="0.25">
      <c r="A332" s="59" t="s">
        <v>52</v>
      </c>
    </row>
    <row r="333" spans="1:1" x14ac:dyDescent="0.25">
      <c r="A333" s="60" t="s">
        <v>52</v>
      </c>
    </row>
    <row r="334" spans="1:1" x14ac:dyDescent="0.25">
      <c r="A334" s="61" t="s">
        <v>52</v>
      </c>
    </row>
    <row r="335" spans="1:1" x14ac:dyDescent="0.25">
      <c r="A335" s="62" t="s">
        <v>52</v>
      </c>
    </row>
    <row r="336" spans="1:1" x14ac:dyDescent="0.25">
      <c r="A336" s="63" t="s">
        <v>52</v>
      </c>
    </row>
    <row r="337" spans="1:1" x14ac:dyDescent="0.25">
      <c r="A337" s="64" t="s">
        <v>52</v>
      </c>
    </row>
    <row r="338" spans="1:1" x14ac:dyDescent="0.25">
      <c r="A338" s="65" t="s">
        <v>52</v>
      </c>
    </row>
    <row r="339" spans="1:1" x14ac:dyDescent="0.25">
      <c r="A339" s="66" t="s">
        <v>52</v>
      </c>
    </row>
    <row r="340" spans="1:1" x14ac:dyDescent="0.25">
      <c r="A340" s="67" t="s">
        <v>52</v>
      </c>
    </row>
    <row r="341" spans="1:1" x14ac:dyDescent="0.25">
      <c r="A341" s="68" t="s">
        <v>52</v>
      </c>
    </row>
    <row r="342" spans="1:1" x14ac:dyDescent="0.25">
      <c r="A342" s="69" t="s">
        <v>52</v>
      </c>
    </row>
    <row r="343" spans="1:1" x14ac:dyDescent="0.25">
      <c r="A343" s="70" t="s">
        <v>52</v>
      </c>
    </row>
    <row r="344" spans="1:1" x14ac:dyDescent="0.25">
      <c r="A344" s="71" t="s">
        <v>52</v>
      </c>
    </row>
    <row r="345" spans="1:1" x14ac:dyDescent="0.25">
      <c r="A345" s="72" t="s">
        <v>52</v>
      </c>
    </row>
    <row r="346" spans="1:1" x14ac:dyDescent="0.25">
      <c r="A346" s="73" t="s">
        <v>52</v>
      </c>
    </row>
    <row r="347" spans="1:1" x14ac:dyDescent="0.25">
      <c r="A347" s="74" t="s">
        <v>52</v>
      </c>
    </row>
    <row r="348" spans="1:1" x14ac:dyDescent="0.25">
      <c r="A348" s="75" t="s">
        <v>52</v>
      </c>
    </row>
    <row r="349" spans="1:1" x14ac:dyDescent="0.25">
      <c r="A349" s="76" t="s">
        <v>52</v>
      </c>
    </row>
    <row r="350" spans="1:1" x14ac:dyDescent="0.25">
      <c r="A350" s="77" t="s">
        <v>52</v>
      </c>
    </row>
    <row r="351" spans="1:1" x14ac:dyDescent="0.25">
      <c r="A351" s="78" t="s">
        <v>52</v>
      </c>
    </row>
    <row r="352" spans="1:1" x14ac:dyDescent="0.25">
      <c r="A352" s="79" t="s">
        <v>52</v>
      </c>
    </row>
    <row r="353" spans="1:1" x14ac:dyDescent="0.25">
      <c r="A353" s="80" t="s">
        <v>52</v>
      </c>
    </row>
    <row r="354" spans="1:1" x14ac:dyDescent="0.25">
      <c r="A354" s="81" t="s">
        <v>52</v>
      </c>
    </row>
    <row r="355" spans="1:1" x14ac:dyDescent="0.25">
      <c r="A355" s="82" t="s">
        <v>52</v>
      </c>
    </row>
    <row r="356" spans="1:1" x14ac:dyDescent="0.25">
      <c r="A356" s="83" t="s">
        <v>52</v>
      </c>
    </row>
    <row r="357" spans="1:1" x14ac:dyDescent="0.25">
      <c r="A357" s="84" t="s">
        <v>52</v>
      </c>
    </row>
    <row r="358" spans="1:1" x14ac:dyDescent="0.25">
      <c r="A358" s="85" t="s">
        <v>52</v>
      </c>
    </row>
    <row r="359" spans="1:1" x14ac:dyDescent="0.25">
      <c r="A359" s="86" t="s">
        <v>52</v>
      </c>
    </row>
    <row r="360" spans="1:1" x14ac:dyDescent="0.25">
      <c r="A360" s="87" t="s">
        <v>52</v>
      </c>
    </row>
    <row r="361" spans="1:1" x14ac:dyDescent="0.25">
      <c r="A361" s="88" t="s">
        <v>52</v>
      </c>
    </row>
    <row r="362" spans="1:1" x14ac:dyDescent="0.25">
      <c r="A362" s="89" t="s">
        <v>52</v>
      </c>
    </row>
    <row r="363" spans="1:1" x14ac:dyDescent="0.25">
      <c r="A363" s="90" t="s">
        <v>52</v>
      </c>
    </row>
    <row r="364" spans="1:1" x14ac:dyDescent="0.25">
      <c r="A364" s="19" t="s">
        <v>813</v>
      </c>
    </row>
    <row r="365" spans="1:1" x14ac:dyDescent="0.25">
      <c r="A365" s="20" t="s">
        <v>52</v>
      </c>
    </row>
    <row r="366" spans="1:1" x14ac:dyDescent="0.25">
      <c r="A366" s="21" t="s">
        <v>52</v>
      </c>
    </row>
    <row r="367" spans="1:1" x14ac:dyDescent="0.25">
      <c r="A367" s="22" t="s">
        <v>52</v>
      </c>
    </row>
    <row r="368" spans="1:1" x14ac:dyDescent="0.25">
      <c r="A368" s="23" t="s">
        <v>52</v>
      </c>
    </row>
    <row r="369" spans="1:1" x14ac:dyDescent="0.25">
      <c r="A369" s="24" t="s">
        <v>52</v>
      </c>
    </row>
    <row r="370" spans="1:1" x14ac:dyDescent="0.25">
      <c r="A370" s="25" t="s">
        <v>52</v>
      </c>
    </row>
    <row r="371" spans="1:1" x14ac:dyDescent="0.25">
      <c r="A371" s="26" t="s">
        <v>52</v>
      </c>
    </row>
    <row r="372" spans="1:1" x14ac:dyDescent="0.25">
      <c r="A372" s="27" t="s">
        <v>52</v>
      </c>
    </row>
    <row r="373" spans="1:1" x14ac:dyDescent="0.25">
      <c r="A373" s="28" t="s">
        <v>52</v>
      </c>
    </row>
    <row r="374" spans="1:1" x14ac:dyDescent="0.25">
      <c r="A374" s="29" t="s">
        <v>52</v>
      </c>
    </row>
    <row r="375" spans="1:1" x14ac:dyDescent="0.25">
      <c r="A375" s="30" t="s">
        <v>814</v>
      </c>
    </row>
    <row r="376" spans="1:1" x14ac:dyDescent="0.25">
      <c r="A376" s="31" t="s">
        <v>52</v>
      </c>
    </row>
    <row r="377" spans="1:1" x14ac:dyDescent="0.25">
      <c r="A377" s="32" t="s">
        <v>52</v>
      </c>
    </row>
    <row r="378" spans="1:1" x14ac:dyDescent="0.25">
      <c r="A378" s="33" t="s">
        <v>52</v>
      </c>
    </row>
    <row r="379" spans="1:1" x14ac:dyDescent="0.25">
      <c r="A379" s="34" t="s">
        <v>52</v>
      </c>
    </row>
    <row r="380" spans="1:1" x14ac:dyDescent="0.25">
      <c r="A380" s="35" t="s">
        <v>52</v>
      </c>
    </row>
    <row r="381" spans="1:1" x14ac:dyDescent="0.25">
      <c r="A381" s="36" t="s">
        <v>52</v>
      </c>
    </row>
    <row r="382" spans="1:1" x14ac:dyDescent="0.25">
      <c r="A382" s="37" t="s">
        <v>52</v>
      </c>
    </row>
    <row r="383" spans="1:1" x14ac:dyDescent="0.25">
      <c r="A383" s="38" t="s">
        <v>52</v>
      </c>
    </row>
    <row r="384" spans="1:1" x14ac:dyDescent="0.25">
      <c r="A384" s="39" t="s">
        <v>52</v>
      </c>
    </row>
    <row r="385" spans="1:1" x14ac:dyDescent="0.25">
      <c r="A385" s="40" t="s">
        <v>52</v>
      </c>
    </row>
    <row r="386" spans="1:1" x14ac:dyDescent="0.25">
      <c r="A386" s="41" t="s">
        <v>52</v>
      </c>
    </row>
    <row r="387" spans="1:1" x14ac:dyDescent="0.25">
      <c r="A387" s="42" t="s">
        <v>52</v>
      </c>
    </row>
    <row r="388" spans="1:1" x14ac:dyDescent="0.25">
      <c r="A388" s="43" t="s">
        <v>52</v>
      </c>
    </row>
    <row r="389" spans="1:1" x14ac:dyDescent="0.25">
      <c r="A389" s="44" t="s">
        <v>52</v>
      </c>
    </row>
    <row r="390" spans="1:1" x14ac:dyDescent="0.25">
      <c r="A390" s="45" t="s">
        <v>52</v>
      </c>
    </row>
    <row r="391" spans="1:1" x14ac:dyDescent="0.25">
      <c r="A391" s="46" t="s">
        <v>52</v>
      </c>
    </row>
    <row r="392" spans="1:1" x14ac:dyDescent="0.25">
      <c r="A392" s="47" t="s">
        <v>52</v>
      </c>
    </row>
    <row r="393" spans="1:1" x14ac:dyDescent="0.25">
      <c r="A393" s="48" t="s">
        <v>52</v>
      </c>
    </row>
    <row r="394" spans="1:1" x14ac:dyDescent="0.25">
      <c r="A394" s="49" t="s">
        <v>52</v>
      </c>
    </row>
    <row r="395" spans="1:1" x14ac:dyDescent="0.25">
      <c r="A395" s="50" t="s">
        <v>52</v>
      </c>
    </row>
    <row r="396" spans="1:1" x14ac:dyDescent="0.25">
      <c r="A396" s="51" t="s">
        <v>52</v>
      </c>
    </row>
    <row r="397" spans="1:1" x14ac:dyDescent="0.25">
      <c r="A397" s="52" t="s">
        <v>52</v>
      </c>
    </row>
    <row r="398" spans="1:1" x14ac:dyDescent="0.25">
      <c r="A398" s="53" t="s">
        <v>52</v>
      </c>
    </row>
    <row r="399" spans="1:1" x14ac:dyDescent="0.25">
      <c r="A399" s="54" t="s">
        <v>52</v>
      </c>
    </row>
    <row r="400" spans="1:1" x14ac:dyDescent="0.25">
      <c r="A400" s="55" t="s">
        <v>52</v>
      </c>
    </row>
    <row r="401" spans="1:1" x14ac:dyDescent="0.25">
      <c r="A401" s="56" t="s">
        <v>52</v>
      </c>
    </row>
    <row r="402" spans="1:1" x14ac:dyDescent="0.25">
      <c r="A402" s="57" t="s">
        <v>52</v>
      </c>
    </row>
    <row r="403" spans="1:1" x14ac:dyDescent="0.25">
      <c r="A403" s="58" t="s">
        <v>52</v>
      </c>
    </row>
    <row r="404" spans="1:1" x14ac:dyDescent="0.25">
      <c r="A404" s="59" t="s">
        <v>52</v>
      </c>
    </row>
    <row r="405" spans="1:1" x14ac:dyDescent="0.25">
      <c r="A405" s="60" t="s">
        <v>52</v>
      </c>
    </row>
    <row r="406" spans="1:1" x14ac:dyDescent="0.25">
      <c r="A406" s="61" t="s">
        <v>52</v>
      </c>
    </row>
    <row r="407" spans="1:1" x14ac:dyDescent="0.25">
      <c r="A407" s="62" t="s">
        <v>52</v>
      </c>
    </row>
    <row r="408" spans="1:1" x14ac:dyDescent="0.25">
      <c r="A408" s="63" t="s">
        <v>52</v>
      </c>
    </row>
    <row r="409" spans="1:1" x14ac:dyDescent="0.25">
      <c r="A409" s="64" t="s">
        <v>52</v>
      </c>
    </row>
    <row r="410" spans="1:1" x14ac:dyDescent="0.25">
      <c r="A410" s="65" t="s">
        <v>52</v>
      </c>
    </row>
    <row r="411" spans="1:1" x14ac:dyDescent="0.25">
      <c r="A411" s="66" t="s">
        <v>52</v>
      </c>
    </row>
    <row r="412" spans="1:1" x14ac:dyDescent="0.25">
      <c r="A412" s="67" t="s">
        <v>52</v>
      </c>
    </row>
    <row r="413" spans="1:1" x14ac:dyDescent="0.25">
      <c r="A413" s="68" t="s">
        <v>52</v>
      </c>
    </row>
    <row r="414" spans="1:1" x14ac:dyDescent="0.25">
      <c r="A414" s="69" t="s">
        <v>52</v>
      </c>
    </row>
    <row r="415" spans="1:1" x14ac:dyDescent="0.25">
      <c r="A415" s="70" t="s">
        <v>52</v>
      </c>
    </row>
    <row r="416" spans="1:1" x14ac:dyDescent="0.25">
      <c r="A416" s="71" t="s">
        <v>52</v>
      </c>
    </row>
    <row r="417" spans="1:1" x14ac:dyDescent="0.25">
      <c r="A417" s="72" t="s">
        <v>52</v>
      </c>
    </row>
    <row r="418" spans="1:1" x14ac:dyDescent="0.25">
      <c r="A418" s="73" t="s">
        <v>52</v>
      </c>
    </row>
    <row r="419" spans="1:1" x14ac:dyDescent="0.25">
      <c r="A419" s="74" t="s">
        <v>52</v>
      </c>
    </row>
    <row r="420" spans="1:1" x14ac:dyDescent="0.25">
      <c r="A420" s="75" t="s">
        <v>52</v>
      </c>
    </row>
    <row r="421" spans="1:1" x14ac:dyDescent="0.25">
      <c r="A421" s="76" t="s">
        <v>52</v>
      </c>
    </row>
    <row r="422" spans="1:1" x14ac:dyDescent="0.25">
      <c r="A422" s="77" t="s">
        <v>52</v>
      </c>
    </row>
    <row r="423" spans="1:1" x14ac:dyDescent="0.25">
      <c r="A423" s="78" t="s">
        <v>52</v>
      </c>
    </row>
    <row r="424" spans="1:1" x14ac:dyDescent="0.25">
      <c r="A424" s="79" t="s">
        <v>52</v>
      </c>
    </row>
    <row r="425" spans="1:1" x14ac:dyDescent="0.25">
      <c r="A425" s="80" t="s">
        <v>52</v>
      </c>
    </row>
    <row r="426" spans="1:1" x14ac:dyDescent="0.25">
      <c r="A426" s="81" t="s">
        <v>52</v>
      </c>
    </row>
    <row r="427" spans="1:1" x14ac:dyDescent="0.25">
      <c r="A427" s="82" t="s">
        <v>52</v>
      </c>
    </row>
    <row r="428" spans="1:1" x14ac:dyDescent="0.25">
      <c r="A428" s="83" t="s">
        <v>52</v>
      </c>
    </row>
    <row r="429" spans="1:1" x14ac:dyDescent="0.25">
      <c r="A429" s="84" t="s">
        <v>52</v>
      </c>
    </row>
    <row r="430" spans="1:1" x14ac:dyDescent="0.25">
      <c r="A430" s="85" t="s">
        <v>52</v>
      </c>
    </row>
    <row r="431" spans="1:1" x14ac:dyDescent="0.25">
      <c r="A431" s="86" t="s">
        <v>52</v>
      </c>
    </row>
    <row r="432" spans="1:1" x14ac:dyDescent="0.25">
      <c r="A432" s="87" t="s">
        <v>52</v>
      </c>
    </row>
    <row r="433" spans="1:1" x14ac:dyDescent="0.25">
      <c r="A433" s="88" t="s">
        <v>52</v>
      </c>
    </row>
    <row r="434" spans="1:1" x14ac:dyDescent="0.25">
      <c r="A434" s="89" t="s">
        <v>52</v>
      </c>
    </row>
    <row r="435" spans="1:1" x14ac:dyDescent="0.25">
      <c r="A435" s="90" t="s">
        <v>52</v>
      </c>
    </row>
    <row r="436" spans="1:1" x14ac:dyDescent="0.25">
      <c r="A436" s="19" t="s">
        <v>815</v>
      </c>
    </row>
    <row r="437" spans="1:1" x14ac:dyDescent="0.25">
      <c r="A437" s="20" t="s">
        <v>52</v>
      </c>
    </row>
    <row r="438" spans="1:1" x14ac:dyDescent="0.25">
      <c r="A438" s="21" t="s">
        <v>52</v>
      </c>
    </row>
    <row r="439" spans="1:1" x14ac:dyDescent="0.25">
      <c r="A439" s="22" t="s">
        <v>52</v>
      </c>
    </row>
    <row r="440" spans="1:1" x14ac:dyDescent="0.25">
      <c r="A440" s="23" t="s">
        <v>52</v>
      </c>
    </row>
    <row r="441" spans="1:1" x14ac:dyDescent="0.25">
      <c r="A441" s="24" t="s">
        <v>52</v>
      </c>
    </row>
    <row r="442" spans="1:1" x14ac:dyDescent="0.25">
      <c r="A442" s="25" t="s">
        <v>52</v>
      </c>
    </row>
    <row r="443" spans="1:1" x14ac:dyDescent="0.25">
      <c r="A443" s="26" t="s">
        <v>52</v>
      </c>
    </row>
    <row r="444" spans="1:1" x14ac:dyDescent="0.25">
      <c r="A444" s="27" t="s">
        <v>52</v>
      </c>
    </row>
    <row r="445" spans="1:1" x14ac:dyDescent="0.25">
      <c r="A445" s="28" t="s">
        <v>52</v>
      </c>
    </row>
    <row r="446" spans="1:1" x14ac:dyDescent="0.25">
      <c r="A446" s="29" t="s">
        <v>52</v>
      </c>
    </row>
    <row r="447" spans="1:1" x14ac:dyDescent="0.25">
      <c r="A447" s="30" t="s">
        <v>816</v>
      </c>
    </row>
    <row r="448" spans="1:1" x14ac:dyDescent="0.25">
      <c r="A448" s="31" t="s">
        <v>52</v>
      </c>
    </row>
    <row r="449" spans="1:1" x14ac:dyDescent="0.25">
      <c r="A449" s="32" t="s">
        <v>52</v>
      </c>
    </row>
    <row r="450" spans="1:1" x14ac:dyDescent="0.25">
      <c r="A450" s="33" t="s">
        <v>52</v>
      </c>
    </row>
    <row r="451" spans="1:1" x14ac:dyDescent="0.25">
      <c r="A451" s="34" t="s">
        <v>52</v>
      </c>
    </row>
    <row r="452" spans="1:1" x14ac:dyDescent="0.25">
      <c r="A452" s="35" t="s">
        <v>52</v>
      </c>
    </row>
    <row r="453" spans="1:1" x14ac:dyDescent="0.25">
      <c r="A453" s="36" t="s">
        <v>52</v>
      </c>
    </row>
    <row r="454" spans="1:1" x14ac:dyDescent="0.25">
      <c r="A454" s="37" t="s">
        <v>52</v>
      </c>
    </row>
    <row r="455" spans="1:1" x14ac:dyDescent="0.25">
      <c r="A455" s="38" t="s">
        <v>52</v>
      </c>
    </row>
    <row r="456" spans="1:1" x14ac:dyDescent="0.25">
      <c r="A456" s="39" t="s">
        <v>52</v>
      </c>
    </row>
    <row r="457" spans="1:1" x14ac:dyDescent="0.25">
      <c r="A457" s="40" t="s">
        <v>52</v>
      </c>
    </row>
    <row r="458" spans="1:1" x14ac:dyDescent="0.25">
      <c r="A458" s="41" t="s">
        <v>52</v>
      </c>
    </row>
    <row r="459" spans="1:1" x14ac:dyDescent="0.25">
      <c r="A459" s="42" t="s">
        <v>52</v>
      </c>
    </row>
    <row r="460" spans="1:1" x14ac:dyDescent="0.25">
      <c r="A460" s="43" t="s">
        <v>52</v>
      </c>
    </row>
    <row r="461" spans="1:1" x14ac:dyDescent="0.25">
      <c r="A461" s="44" t="s">
        <v>52</v>
      </c>
    </row>
    <row r="462" spans="1:1" x14ac:dyDescent="0.25">
      <c r="A462" s="45" t="s">
        <v>52</v>
      </c>
    </row>
    <row r="463" spans="1:1" x14ac:dyDescent="0.25">
      <c r="A463" s="46" t="s">
        <v>52</v>
      </c>
    </row>
    <row r="464" spans="1:1" x14ac:dyDescent="0.25">
      <c r="A464" s="47" t="s">
        <v>52</v>
      </c>
    </row>
    <row r="465" spans="1:1" x14ac:dyDescent="0.25">
      <c r="A465" s="48" t="s">
        <v>52</v>
      </c>
    </row>
    <row r="466" spans="1:1" x14ac:dyDescent="0.25">
      <c r="A466" s="49" t="s">
        <v>52</v>
      </c>
    </row>
    <row r="467" spans="1:1" x14ac:dyDescent="0.25">
      <c r="A467" s="50" t="s">
        <v>52</v>
      </c>
    </row>
    <row r="468" spans="1:1" x14ac:dyDescent="0.25">
      <c r="A468" s="51" t="s">
        <v>52</v>
      </c>
    </row>
    <row r="469" spans="1:1" x14ac:dyDescent="0.25">
      <c r="A469" s="52" t="s">
        <v>52</v>
      </c>
    </row>
    <row r="470" spans="1:1" x14ac:dyDescent="0.25">
      <c r="A470" s="53" t="s">
        <v>52</v>
      </c>
    </row>
    <row r="471" spans="1:1" x14ac:dyDescent="0.25">
      <c r="A471" s="54" t="s">
        <v>52</v>
      </c>
    </row>
    <row r="472" spans="1:1" x14ac:dyDescent="0.25">
      <c r="A472" s="55" t="s">
        <v>52</v>
      </c>
    </row>
    <row r="473" spans="1:1" x14ac:dyDescent="0.25">
      <c r="A473" s="56" t="s">
        <v>52</v>
      </c>
    </row>
    <row r="474" spans="1:1" x14ac:dyDescent="0.25">
      <c r="A474" s="57" t="s">
        <v>52</v>
      </c>
    </row>
    <row r="475" spans="1:1" x14ac:dyDescent="0.25">
      <c r="A475" s="58" t="s">
        <v>52</v>
      </c>
    </row>
    <row r="476" spans="1:1" x14ac:dyDescent="0.25">
      <c r="A476" s="59" t="s">
        <v>52</v>
      </c>
    </row>
    <row r="477" spans="1:1" x14ac:dyDescent="0.25">
      <c r="A477" s="60" t="s">
        <v>52</v>
      </c>
    </row>
    <row r="478" spans="1:1" x14ac:dyDescent="0.25">
      <c r="A478" s="61" t="s">
        <v>52</v>
      </c>
    </row>
    <row r="479" spans="1:1" x14ac:dyDescent="0.25">
      <c r="A479" s="62" t="s">
        <v>52</v>
      </c>
    </row>
    <row r="480" spans="1:1" x14ac:dyDescent="0.25">
      <c r="A480" s="63" t="s">
        <v>52</v>
      </c>
    </row>
    <row r="481" spans="1:1" x14ac:dyDescent="0.25">
      <c r="A481" s="64" t="s">
        <v>52</v>
      </c>
    </row>
    <row r="482" spans="1:1" x14ac:dyDescent="0.25">
      <c r="A482" s="65" t="s">
        <v>52</v>
      </c>
    </row>
    <row r="483" spans="1:1" x14ac:dyDescent="0.25">
      <c r="A483" s="66" t="s">
        <v>52</v>
      </c>
    </row>
    <row r="484" spans="1:1" x14ac:dyDescent="0.25">
      <c r="A484" s="67" t="s">
        <v>52</v>
      </c>
    </row>
    <row r="485" spans="1:1" x14ac:dyDescent="0.25">
      <c r="A485" s="68" t="s">
        <v>52</v>
      </c>
    </row>
    <row r="486" spans="1:1" x14ac:dyDescent="0.25">
      <c r="A486" s="69" t="s">
        <v>52</v>
      </c>
    </row>
    <row r="487" spans="1:1" x14ac:dyDescent="0.25">
      <c r="A487" s="70" t="s">
        <v>52</v>
      </c>
    </row>
    <row r="488" spans="1:1" x14ac:dyDescent="0.25">
      <c r="A488" s="71" t="s">
        <v>52</v>
      </c>
    </row>
    <row r="489" spans="1:1" x14ac:dyDescent="0.25">
      <c r="A489" s="72" t="s">
        <v>52</v>
      </c>
    </row>
    <row r="490" spans="1:1" x14ac:dyDescent="0.25">
      <c r="A490" s="73" t="s">
        <v>52</v>
      </c>
    </row>
    <row r="491" spans="1:1" x14ac:dyDescent="0.25">
      <c r="A491" s="74" t="s">
        <v>52</v>
      </c>
    </row>
    <row r="492" spans="1:1" x14ac:dyDescent="0.25">
      <c r="A492" s="75" t="s">
        <v>52</v>
      </c>
    </row>
    <row r="493" spans="1:1" x14ac:dyDescent="0.25">
      <c r="A493" s="76" t="s">
        <v>52</v>
      </c>
    </row>
    <row r="494" spans="1:1" x14ac:dyDescent="0.25">
      <c r="A494" s="77" t="s">
        <v>52</v>
      </c>
    </row>
    <row r="495" spans="1:1" x14ac:dyDescent="0.25">
      <c r="A495" s="78" t="s">
        <v>52</v>
      </c>
    </row>
    <row r="496" spans="1:1" x14ac:dyDescent="0.25">
      <c r="A496" s="79" t="s">
        <v>52</v>
      </c>
    </row>
    <row r="497" spans="1:1" x14ac:dyDescent="0.25">
      <c r="A497" s="80" t="s">
        <v>52</v>
      </c>
    </row>
    <row r="498" spans="1:1" x14ac:dyDescent="0.25">
      <c r="A498" s="81" t="s">
        <v>52</v>
      </c>
    </row>
    <row r="499" spans="1:1" x14ac:dyDescent="0.25">
      <c r="A499" s="82" t="s">
        <v>52</v>
      </c>
    </row>
    <row r="500" spans="1:1" x14ac:dyDescent="0.25">
      <c r="A500" s="83" t="s">
        <v>52</v>
      </c>
    </row>
    <row r="501" spans="1:1" x14ac:dyDescent="0.25">
      <c r="A501" s="84" t="s">
        <v>52</v>
      </c>
    </row>
    <row r="502" spans="1:1" x14ac:dyDescent="0.25">
      <c r="A502" s="85" t="s">
        <v>52</v>
      </c>
    </row>
    <row r="503" spans="1:1" x14ac:dyDescent="0.25">
      <c r="A503" s="86" t="s">
        <v>52</v>
      </c>
    </row>
    <row r="504" spans="1:1" x14ac:dyDescent="0.25">
      <c r="A504" s="87" t="s">
        <v>52</v>
      </c>
    </row>
    <row r="505" spans="1:1" x14ac:dyDescent="0.25">
      <c r="A505" s="88" t="s">
        <v>52</v>
      </c>
    </row>
    <row r="506" spans="1:1" x14ac:dyDescent="0.25">
      <c r="A506" s="89" t="s">
        <v>52</v>
      </c>
    </row>
    <row r="507" spans="1:1" x14ac:dyDescent="0.25">
      <c r="A507" s="90" t="s">
        <v>52</v>
      </c>
    </row>
    <row r="508" spans="1:1" x14ac:dyDescent="0.25">
      <c r="A508" s="19" t="s">
        <v>817</v>
      </c>
    </row>
    <row r="509" spans="1:1" x14ac:dyDescent="0.25">
      <c r="A509" s="20" t="s">
        <v>52</v>
      </c>
    </row>
    <row r="510" spans="1:1" x14ac:dyDescent="0.25">
      <c r="A510" s="21" t="s">
        <v>52</v>
      </c>
    </row>
    <row r="511" spans="1:1" x14ac:dyDescent="0.25">
      <c r="A511" s="22" t="s">
        <v>52</v>
      </c>
    </row>
    <row r="512" spans="1:1" x14ac:dyDescent="0.25">
      <c r="A512" s="23" t="s">
        <v>52</v>
      </c>
    </row>
    <row r="513" spans="1:1" x14ac:dyDescent="0.25">
      <c r="A513" s="24" t="s">
        <v>52</v>
      </c>
    </row>
    <row r="514" spans="1:1" x14ac:dyDescent="0.25">
      <c r="A514" s="25" t="s">
        <v>52</v>
      </c>
    </row>
    <row r="515" spans="1:1" x14ac:dyDescent="0.25">
      <c r="A515" s="26" t="s">
        <v>52</v>
      </c>
    </row>
    <row r="516" spans="1:1" x14ac:dyDescent="0.25">
      <c r="A516" s="27" t="s">
        <v>52</v>
      </c>
    </row>
    <row r="517" spans="1:1" x14ac:dyDescent="0.25">
      <c r="A517" s="28" t="s">
        <v>52</v>
      </c>
    </row>
    <row r="518" spans="1:1" x14ac:dyDescent="0.25">
      <c r="A518" s="29" t="s">
        <v>52</v>
      </c>
    </row>
    <row r="519" spans="1:1" x14ac:dyDescent="0.25">
      <c r="A519" s="30" t="s">
        <v>818</v>
      </c>
    </row>
    <row r="520" spans="1:1" x14ac:dyDescent="0.25">
      <c r="A520" s="31" t="s">
        <v>52</v>
      </c>
    </row>
    <row r="521" spans="1:1" x14ac:dyDescent="0.25">
      <c r="A521" s="32" t="s">
        <v>52</v>
      </c>
    </row>
    <row r="522" spans="1:1" x14ac:dyDescent="0.25">
      <c r="A522" s="33" t="s">
        <v>52</v>
      </c>
    </row>
    <row r="523" spans="1:1" x14ac:dyDescent="0.25">
      <c r="A523" s="34" t="s">
        <v>52</v>
      </c>
    </row>
    <row r="524" spans="1:1" x14ac:dyDescent="0.25">
      <c r="A524" s="35" t="s">
        <v>52</v>
      </c>
    </row>
    <row r="525" spans="1:1" x14ac:dyDescent="0.25">
      <c r="A525" s="36" t="s">
        <v>52</v>
      </c>
    </row>
    <row r="526" spans="1:1" x14ac:dyDescent="0.25">
      <c r="A526" s="37" t="s">
        <v>52</v>
      </c>
    </row>
    <row r="527" spans="1:1" x14ac:dyDescent="0.25">
      <c r="A527" s="38" t="s">
        <v>52</v>
      </c>
    </row>
    <row r="528" spans="1:1" x14ac:dyDescent="0.25">
      <c r="A528" s="39" t="s">
        <v>52</v>
      </c>
    </row>
    <row r="529" spans="1:1" x14ac:dyDescent="0.25">
      <c r="A529" s="40" t="s">
        <v>52</v>
      </c>
    </row>
    <row r="530" spans="1:1" x14ac:dyDescent="0.25">
      <c r="A530" s="41" t="s">
        <v>52</v>
      </c>
    </row>
    <row r="531" spans="1:1" x14ac:dyDescent="0.25">
      <c r="A531" s="42" t="s">
        <v>52</v>
      </c>
    </row>
    <row r="532" spans="1:1" x14ac:dyDescent="0.25">
      <c r="A532" s="43" t="s">
        <v>52</v>
      </c>
    </row>
    <row r="533" spans="1:1" x14ac:dyDescent="0.25">
      <c r="A533" s="44" t="s">
        <v>52</v>
      </c>
    </row>
    <row r="534" spans="1:1" x14ac:dyDescent="0.25">
      <c r="A534" s="45" t="s">
        <v>52</v>
      </c>
    </row>
    <row r="535" spans="1:1" x14ac:dyDescent="0.25">
      <c r="A535" s="46" t="s">
        <v>52</v>
      </c>
    </row>
    <row r="536" spans="1:1" x14ac:dyDescent="0.25">
      <c r="A536" s="47" t="s">
        <v>52</v>
      </c>
    </row>
    <row r="537" spans="1:1" x14ac:dyDescent="0.25">
      <c r="A537" s="48" t="s">
        <v>52</v>
      </c>
    </row>
    <row r="538" spans="1:1" x14ac:dyDescent="0.25">
      <c r="A538" s="49" t="s">
        <v>52</v>
      </c>
    </row>
    <row r="539" spans="1:1" x14ac:dyDescent="0.25">
      <c r="A539" s="50" t="s">
        <v>52</v>
      </c>
    </row>
    <row r="540" spans="1:1" x14ac:dyDescent="0.25">
      <c r="A540" s="51" t="s">
        <v>52</v>
      </c>
    </row>
    <row r="541" spans="1:1" x14ac:dyDescent="0.25">
      <c r="A541" s="52" t="s">
        <v>52</v>
      </c>
    </row>
    <row r="542" spans="1:1" x14ac:dyDescent="0.25">
      <c r="A542" s="53" t="s">
        <v>52</v>
      </c>
    </row>
    <row r="543" spans="1:1" x14ac:dyDescent="0.25">
      <c r="A543" s="54" t="s">
        <v>52</v>
      </c>
    </row>
    <row r="544" spans="1:1" x14ac:dyDescent="0.25">
      <c r="A544" s="55" t="s">
        <v>52</v>
      </c>
    </row>
    <row r="545" spans="1:1" x14ac:dyDescent="0.25">
      <c r="A545" s="56" t="s">
        <v>52</v>
      </c>
    </row>
    <row r="546" spans="1:1" x14ac:dyDescent="0.25">
      <c r="A546" s="57" t="s">
        <v>52</v>
      </c>
    </row>
    <row r="547" spans="1:1" x14ac:dyDescent="0.25">
      <c r="A547" s="58" t="s">
        <v>52</v>
      </c>
    </row>
    <row r="548" spans="1:1" x14ac:dyDescent="0.25">
      <c r="A548" s="59" t="s">
        <v>52</v>
      </c>
    </row>
    <row r="549" spans="1:1" x14ac:dyDescent="0.25">
      <c r="A549" s="60" t="s">
        <v>52</v>
      </c>
    </row>
    <row r="550" spans="1:1" x14ac:dyDescent="0.25">
      <c r="A550" s="61" t="s">
        <v>52</v>
      </c>
    </row>
    <row r="551" spans="1:1" x14ac:dyDescent="0.25">
      <c r="A551" s="62" t="s">
        <v>52</v>
      </c>
    </row>
    <row r="552" spans="1:1" x14ac:dyDescent="0.25">
      <c r="A552" s="63" t="s">
        <v>52</v>
      </c>
    </row>
    <row r="553" spans="1:1" x14ac:dyDescent="0.25">
      <c r="A553" s="64" t="s">
        <v>52</v>
      </c>
    </row>
    <row r="554" spans="1:1" x14ac:dyDescent="0.25">
      <c r="A554" s="65" t="s">
        <v>52</v>
      </c>
    </row>
    <row r="555" spans="1:1" x14ac:dyDescent="0.25">
      <c r="A555" s="66" t="s">
        <v>52</v>
      </c>
    </row>
    <row r="556" spans="1:1" x14ac:dyDescent="0.25">
      <c r="A556" s="67" t="s">
        <v>52</v>
      </c>
    </row>
    <row r="557" spans="1:1" x14ac:dyDescent="0.25">
      <c r="A557" s="68" t="s">
        <v>52</v>
      </c>
    </row>
    <row r="558" spans="1:1" x14ac:dyDescent="0.25">
      <c r="A558" s="69" t="s">
        <v>52</v>
      </c>
    </row>
    <row r="559" spans="1:1" x14ac:dyDescent="0.25">
      <c r="A559" s="70" t="s">
        <v>52</v>
      </c>
    </row>
    <row r="560" spans="1:1" x14ac:dyDescent="0.25">
      <c r="A560" s="71" t="s">
        <v>52</v>
      </c>
    </row>
    <row r="561" spans="1:1" x14ac:dyDescent="0.25">
      <c r="A561" s="72" t="s">
        <v>52</v>
      </c>
    </row>
    <row r="562" spans="1:1" x14ac:dyDescent="0.25">
      <c r="A562" s="73" t="s">
        <v>52</v>
      </c>
    </row>
    <row r="563" spans="1:1" x14ac:dyDescent="0.25">
      <c r="A563" s="74" t="s">
        <v>52</v>
      </c>
    </row>
    <row r="564" spans="1:1" x14ac:dyDescent="0.25">
      <c r="A564" s="75" t="s">
        <v>52</v>
      </c>
    </row>
    <row r="565" spans="1:1" x14ac:dyDescent="0.25">
      <c r="A565" s="76" t="s">
        <v>52</v>
      </c>
    </row>
    <row r="566" spans="1:1" x14ac:dyDescent="0.25">
      <c r="A566" s="77" t="s">
        <v>52</v>
      </c>
    </row>
    <row r="567" spans="1:1" x14ac:dyDescent="0.25">
      <c r="A567" s="78" t="s">
        <v>52</v>
      </c>
    </row>
    <row r="568" spans="1:1" x14ac:dyDescent="0.25">
      <c r="A568" s="79" t="s">
        <v>52</v>
      </c>
    </row>
    <row r="569" spans="1:1" x14ac:dyDescent="0.25">
      <c r="A569" s="80" t="s">
        <v>52</v>
      </c>
    </row>
    <row r="570" spans="1:1" x14ac:dyDescent="0.25">
      <c r="A570" s="81" t="s">
        <v>52</v>
      </c>
    </row>
    <row r="571" spans="1:1" x14ac:dyDescent="0.25">
      <c r="A571" s="82" t="s">
        <v>52</v>
      </c>
    </row>
    <row r="572" spans="1:1" x14ac:dyDescent="0.25">
      <c r="A572" s="83" t="s">
        <v>52</v>
      </c>
    </row>
    <row r="573" spans="1:1" x14ac:dyDescent="0.25">
      <c r="A573" s="84" t="s">
        <v>52</v>
      </c>
    </row>
    <row r="574" spans="1:1" x14ac:dyDescent="0.25">
      <c r="A574" s="85" t="s">
        <v>52</v>
      </c>
    </row>
    <row r="575" spans="1:1" x14ac:dyDescent="0.25">
      <c r="A575" s="86" t="s">
        <v>52</v>
      </c>
    </row>
    <row r="576" spans="1:1" x14ac:dyDescent="0.25">
      <c r="A576" s="87" t="s">
        <v>52</v>
      </c>
    </row>
    <row r="577" spans="1:1" x14ac:dyDescent="0.25">
      <c r="A577" s="88" t="s">
        <v>52</v>
      </c>
    </row>
    <row r="578" spans="1:1" x14ac:dyDescent="0.25">
      <c r="A578" s="89" t="s">
        <v>52</v>
      </c>
    </row>
    <row r="579" spans="1:1" x14ac:dyDescent="0.25">
      <c r="A579" s="90" t="s">
        <v>52</v>
      </c>
    </row>
    <row r="580" spans="1:1" x14ac:dyDescent="0.25">
      <c r="A580" s="19" t="s">
        <v>819</v>
      </c>
    </row>
    <row r="581" spans="1:1" x14ac:dyDescent="0.25">
      <c r="A581" s="20" t="s">
        <v>52</v>
      </c>
    </row>
    <row r="582" spans="1:1" x14ac:dyDescent="0.25">
      <c r="A582" s="21" t="s">
        <v>52</v>
      </c>
    </row>
    <row r="583" spans="1:1" x14ac:dyDescent="0.25">
      <c r="A583" s="22" t="s">
        <v>52</v>
      </c>
    </row>
    <row r="584" spans="1:1" x14ac:dyDescent="0.25">
      <c r="A584" s="23" t="s">
        <v>52</v>
      </c>
    </row>
    <row r="585" spans="1:1" x14ac:dyDescent="0.25">
      <c r="A585" s="24" t="s">
        <v>52</v>
      </c>
    </row>
    <row r="586" spans="1:1" x14ac:dyDescent="0.25">
      <c r="A586" s="25" t="s">
        <v>52</v>
      </c>
    </row>
    <row r="587" spans="1:1" x14ac:dyDescent="0.25">
      <c r="A587" s="26" t="s">
        <v>52</v>
      </c>
    </row>
    <row r="588" spans="1:1" x14ac:dyDescent="0.25">
      <c r="A588" s="27" t="s">
        <v>52</v>
      </c>
    </row>
    <row r="589" spans="1:1" x14ac:dyDescent="0.25">
      <c r="A589" s="28" t="s">
        <v>52</v>
      </c>
    </row>
    <row r="590" spans="1:1" x14ac:dyDescent="0.25">
      <c r="A590" s="29" t="s">
        <v>52</v>
      </c>
    </row>
    <row r="591" spans="1:1" x14ac:dyDescent="0.25">
      <c r="A591" s="30" t="s">
        <v>820</v>
      </c>
    </row>
    <row r="592" spans="1:1" x14ac:dyDescent="0.25">
      <c r="A592" s="31" t="s">
        <v>52</v>
      </c>
    </row>
    <row r="593" spans="1:1" x14ac:dyDescent="0.25">
      <c r="A593" s="32" t="s">
        <v>52</v>
      </c>
    </row>
    <row r="594" spans="1:1" x14ac:dyDescent="0.25">
      <c r="A594" s="33" t="s">
        <v>52</v>
      </c>
    </row>
    <row r="595" spans="1:1" x14ac:dyDescent="0.25">
      <c r="A595" s="34" t="s">
        <v>52</v>
      </c>
    </row>
    <row r="596" spans="1:1" x14ac:dyDescent="0.25">
      <c r="A596" s="35" t="s">
        <v>52</v>
      </c>
    </row>
    <row r="597" spans="1:1" x14ac:dyDescent="0.25">
      <c r="A597" s="36" t="s">
        <v>52</v>
      </c>
    </row>
    <row r="598" spans="1:1" x14ac:dyDescent="0.25">
      <c r="A598" s="37" t="s">
        <v>52</v>
      </c>
    </row>
    <row r="599" spans="1:1" x14ac:dyDescent="0.25">
      <c r="A599" s="38" t="s">
        <v>52</v>
      </c>
    </row>
    <row r="600" spans="1:1" x14ac:dyDescent="0.25">
      <c r="A600" s="39" t="s">
        <v>52</v>
      </c>
    </row>
    <row r="601" spans="1:1" x14ac:dyDescent="0.25">
      <c r="A601" s="40" t="s">
        <v>52</v>
      </c>
    </row>
    <row r="602" spans="1:1" x14ac:dyDescent="0.25">
      <c r="A602" s="41" t="s">
        <v>52</v>
      </c>
    </row>
    <row r="603" spans="1:1" x14ac:dyDescent="0.25">
      <c r="A603" s="42" t="s">
        <v>52</v>
      </c>
    </row>
    <row r="604" spans="1:1" x14ac:dyDescent="0.25">
      <c r="A604" s="43" t="s">
        <v>52</v>
      </c>
    </row>
    <row r="605" spans="1:1" x14ac:dyDescent="0.25">
      <c r="A605" s="44" t="s">
        <v>52</v>
      </c>
    </row>
    <row r="606" spans="1:1" x14ac:dyDescent="0.25">
      <c r="A606" s="45" t="s">
        <v>52</v>
      </c>
    </row>
    <row r="607" spans="1:1" x14ac:dyDescent="0.25">
      <c r="A607" s="46" t="s">
        <v>52</v>
      </c>
    </row>
    <row r="608" spans="1:1" x14ac:dyDescent="0.25">
      <c r="A608" s="47" t="s">
        <v>52</v>
      </c>
    </row>
    <row r="609" spans="1:1" x14ac:dyDescent="0.25">
      <c r="A609" s="48" t="s">
        <v>52</v>
      </c>
    </row>
    <row r="610" spans="1:1" x14ac:dyDescent="0.25">
      <c r="A610" s="49" t="s">
        <v>52</v>
      </c>
    </row>
    <row r="611" spans="1:1" x14ac:dyDescent="0.25">
      <c r="A611" s="50" t="s">
        <v>52</v>
      </c>
    </row>
    <row r="612" spans="1:1" x14ac:dyDescent="0.25">
      <c r="A612" s="51" t="s">
        <v>52</v>
      </c>
    </row>
    <row r="613" spans="1:1" x14ac:dyDescent="0.25">
      <c r="A613" s="52" t="s">
        <v>52</v>
      </c>
    </row>
    <row r="614" spans="1:1" x14ac:dyDescent="0.25">
      <c r="A614" s="53" t="s">
        <v>52</v>
      </c>
    </row>
    <row r="615" spans="1:1" x14ac:dyDescent="0.25">
      <c r="A615" s="54" t="s">
        <v>52</v>
      </c>
    </row>
    <row r="616" spans="1:1" x14ac:dyDescent="0.25">
      <c r="A616" s="55" t="s">
        <v>52</v>
      </c>
    </row>
    <row r="617" spans="1:1" x14ac:dyDescent="0.25">
      <c r="A617" s="56" t="s">
        <v>52</v>
      </c>
    </row>
    <row r="618" spans="1:1" x14ac:dyDescent="0.25">
      <c r="A618" s="57" t="s">
        <v>52</v>
      </c>
    </row>
    <row r="619" spans="1:1" x14ac:dyDescent="0.25">
      <c r="A619" s="58" t="s">
        <v>52</v>
      </c>
    </row>
    <row r="620" spans="1:1" x14ac:dyDescent="0.25">
      <c r="A620" s="59" t="s">
        <v>52</v>
      </c>
    </row>
    <row r="621" spans="1:1" x14ac:dyDescent="0.25">
      <c r="A621" s="60" t="s">
        <v>52</v>
      </c>
    </row>
    <row r="622" spans="1:1" x14ac:dyDescent="0.25">
      <c r="A622" s="61" t="s">
        <v>52</v>
      </c>
    </row>
    <row r="623" spans="1:1" x14ac:dyDescent="0.25">
      <c r="A623" s="62" t="s">
        <v>52</v>
      </c>
    </row>
    <row r="624" spans="1:1" x14ac:dyDescent="0.25">
      <c r="A624" s="63" t="s">
        <v>52</v>
      </c>
    </row>
    <row r="625" spans="1:1" x14ac:dyDescent="0.25">
      <c r="A625" s="64" t="s">
        <v>52</v>
      </c>
    </row>
    <row r="626" spans="1:1" x14ac:dyDescent="0.25">
      <c r="A626" s="65" t="s">
        <v>52</v>
      </c>
    </row>
    <row r="627" spans="1:1" x14ac:dyDescent="0.25">
      <c r="A627" s="66" t="s">
        <v>52</v>
      </c>
    </row>
    <row r="628" spans="1:1" x14ac:dyDescent="0.25">
      <c r="A628" s="67" t="s">
        <v>52</v>
      </c>
    </row>
    <row r="629" spans="1:1" x14ac:dyDescent="0.25">
      <c r="A629" s="68" t="s">
        <v>52</v>
      </c>
    </row>
    <row r="630" spans="1:1" x14ac:dyDescent="0.25">
      <c r="A630" s="69" t="s">
        <v>52</v>
      </c>
    </row>
    <row r="631" spans="1:1" x14ac:dyDescent="0.25">
      <c r="A631" s="70" t="s">
        <v>52</v>
      </c>
    </row>
    <row r="632" spans="1:1" x14ac:dyDescent="0.25">
      <c r="A632" s="71" t="s">
        <v>52</v>
      </c>
    </row>
    <row r="633" spans="1:1" x14ac:dyDescent="0.25">
      <c r="A633" s="72" t="s">
        <v>52</v>
      </c>
    </row>
    <row r="634" spans="1:1" x14ac:dyDescent="0.25">
      <c r="A634" s="73" t="s">
        <v>52</v>
      </c>
    </row>
    <row r="635" spans="1:1" x14ac:dyDescent="0.25">
      <c r="A635" s="74" t="s">
        <v>52</v>
      </c>
    </row>
    <row r="636" spans="1:1" x14ac:dyDescent="0.25">
      <c r="A636" s="75" t="s">
        <v>52</v>
      </c>
    </row>
    <row r="637" spans="1:1" x14ac:dyDescent="0.25">
      <c r="A637" s="76" t="s">
        <v>52</v>
      </c>
    </row>
    <row r="638" spans="1:1" x14ac:dyDescent="0.25">
      <c r="A638" s="77" t="s">
        <v>52</v>
      </c>
    </row>
    <row r="639" spans="1:1" x14ac:dyDescent="0.25">
      <c r="A639" s="78" t="s">
        <v>52</v>
      </c>
    </row>
    <row r="640" spans="1:1" x14ac:dyDescent="0.25">
      <c r="A640" s="79" t="s">
        <v>52</v>
      </c>
    </row>
    <row r="641" spans="1:1" x14ac:dyDescent="0.25">
      <c r="A641" s="80" t="s">
        <v>52</v>
      </c>
    </row>
    <row r="642" spans="1:1" x14ac:dyDescent="0.25">
      <c r="A642" s="81" t="s">
        <v>52</v>
      </c>
    </row>
    <row r="643" spans="1:1" x14ac:dyDescent="0.25">
      <c r="A643" s="82" t="s">
        <v>52</v>
      </c>
    </row>
    <row r="644" spans="1:1" x14ac:dyDescent="0.25">
      <c r="A644" s="83" t="s">
        <v>52</v>
      </c>
    </row>
    <row r="645" spans="1:1" x14ac:dyDescent="0.25">
      <c r="A645" s="84" t="s">
        <v>52</v>
      </c>
    </row>
    <row r="646" spans="1:1" x14ac:dyDescent="0.25">
      <c r="A646" s="85" t="s">
        <v>52</v>
      </c>
    </row>
    <row r="647" spans="1:1" x14ac:dyDescent="0.25">
      <c r="A647" s="86" t="s">
        <v>52</v>
      </c>
    </row>
    <row r="648" spans="1:1" x14ac:dyDescent="0.25">
      <c r="A648" s="87" t="s">
        <v>52</v>
      </c>
    </row>
    <row r="649" spans="1:1" x14ac:dyDescent="0.25">
      <c r="A649" s="88" t="s">
        <v>52</v>
      </c>
    </row>
    <row r="650" spans="1:1" x14ac:dyDescent="0.25">
      <c r="A650" s="89" t="s">
        <v>52</v>
      </c>
    </row>
    <row r="651" spans="1:1" x14ac:dyDescent="0.25">
      <c r="A651" s="90" t="s">
        <v>52</v>
      </c>
    </row>
    <row r="652" spans="1:1" x14ac:dyDescent="0.25">
      <c r="A652" s="19" t="s">
        <v>821</v>
      </c>
    </row>
    <row r="653" spans="1:1" x14ac:dyDescent="0.25">
      <c r="A653" s="20" t="s">
        <v>52</v>
      </c>
    </row>
    <row r="654" spans="1:1" x14ac:dyDescent="0.25">
      <c r="A654" s="21" t="s">
        <v>52</v>
      </c>
    </row>
    <row r="655" spans="1:1" x14ac:dyDescent="0.25">
      <c r="A655" s="22" t="s">
        <v>52</v>
      </c>
    </row>
    <row r="656" spans="1:1" x14ac:dyDescent="0.25">
      <c r="A656" s="23" t="s">
        <v>52</v>
      </c>
    </row>
    <row r="657" spans="1:1" x14ac:dyDescent="0.25">
      <c r="A657" s="24" t="s">
        <v>52</v>
      </c>
    </row>
    <row r="658" spans="1:1" x14ac:dyDescent="0.25">
      <c r="A658" s="25" t="s">
        <v>52</v>
      </c>
    </row>
    <row r="659" spans="1:1" x14ac:dyDescent="0.25">
      <c r="A659" s="26" t="s">
        <v>52</v>
      </c>
    </row>
    <row r="660" spans="1:1" x14ac:dyDescent="0.25">
      <c r="A660" s="27" t="s">
        <v>52</v>
      </c>
    </row>
    <row r="661" spans="1:1" x14ac:dyDescent="0.25">
      <c r="A661" s="28" t="s">
        <v>52</v>
      </c>
    </row>
    <row r="662" spans="1:1" x14ac:dyDescent="0.25">
      <c r="A662" s="29" t="s">
        <v>52</v>
      </c>
    </row>
    <row r="663" spans="1:1" x14ac:dyDescent="0.25">
      <c r="A663" s="30" t="s">
        <v>822</v>
      </c>
    </row>
    <row r="664" spans="1:1" x14ac:dyDescent="0.25">
      <c r="A664" s="31" t="s">
        <v>52</v>
      </c>
    </row>
    <row r="665" spans="1:1" x14ac:dyDescent="0.25">
      <c r="A665" s="32" t="s">
        <v>52</v>
      </c>
    </row>
    <row r="666" spans="1:1" x14ac:dyDescent="0.25">
      <c r="A666" s="33" t="s">
        <v>52</v>
      </c>
    </row>
    <row r="667" spans="1:1" x14ac:dyDescent="0.25">
      <c r="A667" s="34" t="s">
        <v>52</v>
      </c>
    </row>
    <row r="668" spans="1:1" x14ac:dyDescent="0.25">
      <c r="A668" s="35" t="s">
        <v>52</v>
      </c>
    </row>
    <row r="669" spans="1:1" x14ac:dyDescent="0.25">
      <c r="A669" s="36" t="s">
        <v>52</v>
      </c>
    </row>
    <row r="670" spans="1:1" x14ac:dyDescent="0.25">
      <c r="A670" s="37" t="s">
        <v>52</v>
      </c>
    </row>
    <row r="671" spans="1:1" x14ac:dyDescent="0.25">
      <c r="A671" s="38" t="s">
        <v>52</v>
      </c>
    </row>
    <row r="672" spans="1:1" x14ac:dyDescent="0.25">
      <c r="A672" s="39" t="s">
        <v>52</v>
      </c>
    </row>
    <row r="673" spans="1:1" x14ac:dyDescent="0.25">
      <c r="A673" s="40" t="s">
        <v>52</v>
      </c>
    </row>
    <row r="674" spans="1:1" x14ac:dyDescent="0.25">
      <c r="A674" s="41" t="s">
        <v>52</v>
      </c>
    </row>
    <row r="675" spans="1:1" x14ac:dyDescent="0.25">
      <c r="A675" s="42" t="s">
        <v>52</v>
      </c>
    </row>
    <row r="676" spans="1:1" x14ac:dyDescent="0.25">
      <c r="A676" s="43" t="s">
        <v>52</v>
      </c>
    </row>
    <row r="677" spans="1:1" x14ac:dyDescent="0.25">
      <c r="A677" s="44" t="s">
        <v>52</v>
      </c>
    </row>
    <row r="678" spans="1:1" x14ac:dyDescent="0.25">
      <c r="A678" s="45" t="s">
        <v>52</v>
      </c>
    </row>
    <row r="679" spans="1:1" x14ac:dyDescent="0.25">
      <c r="A679" s="46" t="s">
        <v>52</v>
      </c>
    </row>
    <row r="680" spans="1:1" x14ac:dyDescent="0.25">
      <c r="A680" s="47" t="s">
        <v>52</v>
      </c>
    </row>
    <row r="681" spans="1:1" x14ac:dyDescent="0.25">
      <c r="A681" s="48" t="s">
        <v>52</v>
      </c>
    </row>
    <row r="682" spans="1:1" x14ac:dyDescent="0.25">
      <c r="A682" s="49" t="s">
        <v>52</v>
      </c>
    </row>
    <row r="683" spans="1:1" x14ac:dyDescent="0.25">
      <c r="A683" s="50" t="s">
        <v>52</v>
      </c>
    </row>
    <row r="684" spans="1:1" x14ac:dyDescent="0.25">
      <c r="A684" s="51" t="s">
        <v>52</v>
      </c>
    </row>
    <row r="685" spans="1:1" x14ac:dyDescent="0.25">
      <c r="A685" s="52" t="s">
        <v>52</v>
      </c>
    </row>
    <row r="686" spans="1:1" x14ac:dyDescent="0.25">
      <c r="A686" s="53" t="s">
        <v>52</v>
      </c>
    </row>
    <row r="687" spans="1:1" x14ac:dyDescent="0.25">
      <c r="A687" s="54" t="s">
        <v>52</v>
      </c>
    </row>
    <row r="688" spans="1:1" x14ac:dyDescent="0.25">
      <c r="A688" s="55" t="s">
        <v>52</v>
      </c>
    </row>
    <row r="689" spans="1:1" x14ac:dyDescent="0.25">
      <c r="A689" s="56" t="s">
        <v>52</v>
      </c>
    </row>
    <row r="690" spans="1:1" x14ac:dyDescent="0.25">
      <c r="A690" s="57" t="s">
        <v>52</v>
      </c>
    </row>
    <row r="691" spans="1:1" x14ac:dyDescent="0.25">
      <c r="A691" s="58" t="s">
        <v>52</v>
      </c>
    </row>
    <row r="692" spans="1:1" x14ac:dyDescent="0.25">
      <c r="A692" s="59" t="s">
        <v>52</v>
      </c>
    </row>
    <row r="693" spans="1:1" x14ac:dyDescent="0.25">
      <c r="A693" s="60" t="s">
        <v>52</v>
      </c>
    </row>
    <row r="694" spans="1:1" x14ac:dyDescent="0.25">
      <c r="A694" s="61" t="s">
        <v>52</v>
      </c>
    </row>
    <row r="695" spans="1:1" x14ac:dyDescent="0.25">
      <c r="A695" s="62" t="s">
        <v>52</v>
      </c>
    </row>
    <row r="696" spans="1:1" x14ac:dyDescent="0.25">
      <c r="A696" s="63" t="s">
        <v>52</v>
      </c>
    </row>
    <row r="697" spans="1:1" x14ac:dyDescent="0.25">
      <c r="A697" s="64" t="s">
        <v>52</v>
      </c>
    </row>
    <row r="698" spans="1:1" x14ac:dyDescent="0.25">
      <c r="A698" s="65" t="s">
        <v>52</v>
      </c>
    </row>
    <row r="699" spans="1:1" x14ac:dyDescent="0.25">
      <c r="A699" s="66" t="s">
        <v>52</v>
      </c>
    </row>
    <row r="700" spans="1:1" x14ac:dyDescent="0.25">
      <c r="A700" s="67" t="s">
        <v>52</v>
      </c>
    </row>
    <row r="701" spans="1:1" x14ac:dyDescent="0.25">
      <c r="A701" s="68" t="s">
        <v>52</v>
      </c>
    </row>
    <row r="702" spans="1:1" x14ac:dyDescent="0.25">
      <c r="A702" s="69" t="s">
        <v>52</v>
      </c>
    </row>
    <row r="703" spans="1:1" x14ac:dyDescent="0.25">
      <c r="A703" s="70" t="s">
        <v>52</v>
      </c>
    </row>
    <row r="704" spans="1:1" x14ac:dyDescent="0.25">
      <c r="A704" s="71" t="s">
        <v>52</v>
      </c>
    </row>
    <row r="705" spans="1:1" x14ac:dyDescent="0.25">
      <c r="A705" s="72" t="s">
        <v>52</v>
      </c>
    </row>
    <row r="706" spans="1:1" x14ac:dyDescent="0.25">
      <c r="A706" s="73" t="s">
        <v>52</v>
      </c>
    </row>
    <row r="707" spans="1:1" x14ac:dyDescent="0.25">
      <c r="A707" s="74" t="s">
        <v>52</v>
      </c>
    </row>
    <row r="708" spans="1:1" x14ac:dyDescent="0.25">
      <c r="A708" s="75" t="s">
        <v>52</v>
      </c>
    </row>
    <row r="709" spans="1:1" x14ac:dyDescent="0.25">
      <c r="A709" s="76" t="s">
        <v>52</v>
      </c>
    </row>
    <row r="710" spans="1:1" x14ac:dyDescent="0.25">
      <c r="A710" s="77" t="s">
        <v>52</v>
      </c>
    </row>
    <row r="711" spans="1:1" x14ac:dyDescent="0.25">
      <c r="A711" s="78" t="s">
        <v>52</v>
      </c>
    </row>
    <row r="712" spans="1:1" x14ac:dyDescent="0.25">
      <c r="A712" s="79" t="s">
        <v>52</v>
      </c>
    </row>
    <row r="713" spans="1:1" x14ac:dyDescent="0.25">
      <c r="A713" s="80" t="s">
        <v>52</v>
      </c>
    </row>
    <row r="714" spans="1:1" x14ac:dyDescent="0.25">
      <c r="A714" s="81" t="s">
        <v>52</v>
      </c>
    </row>
    <row r="715" spans="1:1" x14ac:dyDescent="0.25">
      <c r="A715" s="82" t="s">
        <v>52</v>
      </c>
    </row>
    <row r="716" spans="1:1" x14ac:dyDescent="0.25">
      <c r="A716" s="83" t="s">
        <v>52</v>
      </c>
    </row>
    <row r="717" spans="1:1" x14ac:dyDescent="0.25">
      <c r="A717" s="84" t="s">
        <v>52</v>
      </c>
    </row>
    <row r="718" spans="1:1" x14ac:dyDescent="0.25">
      <c r="A718" s="85" t="s">
        <v>52</v>
      </c>
    </row>
    <row r="719" spans="1:1" x14ac:dyDescent="0.25">
      <c r="A719" s="86" t="s">
        <v>52</v>
      </c>
    </row>
    <row r="720" spans="1:1" x14ac:dyDescent="0.25">
      <c r="A720" s="87" t="s">
        <v>52</v>
      </c>
    </row>
    <row r="721" spans="1:1" x14ac:dyDescent="0.25">
      <c r="A721" s="88" t="s">
        <v>52</v>
      </c>
    </row>
    <row r="722" spans="1:1" x14ac:dyDescent="0.25">
      <c r="A722" s="89" t="s">
        <v>52</v>
      </c>
    </row>
    <row r="723" spans="1:1" x14ac:dyDescent="0.25">
      <c r="A723" s="90" t="s">
        <v>52</v>
      </c>
    </row>
    <row r="724" spans="1:1" x14ac:dyDescent="0.25">
      <c r="A724" s="19" t="s">
        <v>823</v>
      </c>
    </row>
    <row r="725" spans="1:1" x14ac:dyDescent="0.25">
      <c r="A725" s="20" t="s">
        <v>52</v>
      </c>
    </row>
    <row r="726" spans="1:1" x14ac:dyDescent="0.25">
      <c r="A726" s="21" t="s">
        <v>52</v>
      </c>
    </row>
    <row r="727" spans="1:1" x14ac:dyDescent="0.25">
      <c r="A727" s="22" t="s">
        <v>52</v>
      </c>
    </row>
    <row r="728" spans="1:1" x14ac:dyDescent="0.25">
      <c r="A728" s="23" t="s">
        <v>52</v>
      </c>
    </row>
    <row r="729" spans="1:1" x14ac:dyDescent="0.25">
      <c r="A729" s="24" t="s">
        <v>52</v>
      </c>
    </row>
    <row r="730" spans="1:1" x14ac:dyDescent="0.25">
      <c r="A730" s="25" t="s">
        <v>52</v>
      </c>
    </row>
    <row r="731" spans="1:1" x14ac:dyDescent="0.25">
      <c r="A731" s="26" t="s">
        <v>52</v>
      </c>
    </row>
    <row r="732" spans="1:1" x14ac:dyDescent="0.25">
      <c r="A732" s="27" t="s">
        <v>52</v>
      </c>
    </row>
    <row r="733" spans="1:1" x14ac:dyDescent="0.25">
      <c r="A733" s="28" t="s">
        <v>52</v>
      </c>
    </row>
    <row r="734" spans="1:1" x14ac:dyDescent="0.25">
      <c r="A734" s="29" t="s">
        <v>52</v>
      </c>
    </row>
    <row r="735" spans="1:1" x14ac:dyDescent="0.25">
      <c r="A735" s="30" t="s">
        <v>824</v>
      </c>
    </row>
    <row r="736" spans="1:1" x14ac:dyDescent="0.25">
      <c r="A736" s="31" t="s">
        <v>52</v>
      </c>
    </row>
    <row r="737" spans="1:1" x14ac:dyDescent="0.25">
      <c r="A737" s="32" t="s">
        <v>52</v>
      </c>
    </row>
    <row r="738" spans="1:1" x14ac:dyDescent="0.25">
      <c r="A738" s="33" t="s">
        <v>52</v>
      </c>
    </row>
    <row r="739" spans="1:1" x14ac:dyDescent="0.25">
      <c r="A739" s="34" t="s">
        <v>52</v>
      </c>
    </row>
    <row r="740" spans="1:1" x14ac:dyDescent="0.25">
      <c r="A740" s="35" t="s">
        <v>52</v>
      </c>
    </row>
    <row r="741" spans="1:1" x14ac:dyDescent="0.25">
      <c r="A741" s="36" t="s">
        <v>52</v>
      </c>
    </row>
    <row r="742" spans="1:1" x14ac:dyDescent="0.25">
      <c r="A742" s="37" t="s">
        <v>52</v>
      </c>
    </row>
    <row r="743" spans="1:1" x14ac:dyDescent="0.25">
      <c r="A743" s="38" t="s">
        <v>52</v>
      </c>
    </row>
    <row r="744" spans="1:1" x14ac:dyDescent="0.25">
      <c r="A744" s="39" t="s">
        <v>52</v>
      </c>
    </row>
    <row r="745" spans="1:1" x14ac:dyDescent="0.25">
      <c r="A745" s="40" t="s">
        <v>52</v>
      </c>
    </row>
    <row r="746" spans="1:1" x14ac:dyDescent="0.25">
      <c r="A746" s="41" t="s">
        <v>52</v>
      </c>
    </row>
    <row r="747" spans="1:1" x14ac:dyDescent="0.25">
      <c r="A747" s="42" t="s">
        <v>52</v>
      </c>
    </row>
    <row r="748" spans="1:1" x14ac:dyDescent="0.25">
      <c r="A748" s="43" t="s">
        <v>52</v>
      </c>
    </row>
    <row r="749" spans="1:1" x14ac:dyDescent="0.25">
      <c r="A749" s="44" t="s">
        <v>52</v>
      </c>
    </row>
    <row r="750" spans="1:1" x14ac:dyDescent="0.25">
      <c r="A750" s="45" t="s">
        <v>52</v>
      </c>
    </row>
    <row r="751" spans="1:1" x14ac:dyDescent="0.25">
      <c r="A751" s="46" t="s">
        <v>52</v>
      </c>
    </row>
    <row r="752" spans="1:1" x14ac:dyDescent="0.25">
      <c r="A752" s="47" t="s">
        <v>52</v>
      </c>
    </row>
    <row r="753" spans="1:1" x14ac:dyDescent="0.25">
      <c r="A753" s="48" t="s">
        <v>52</v>
      </c>
    </row>
    <row r="754" spans="1:1" x14ac:dyDescent="0.25">
      <c r="A754" s="49" t="s">
        <v>52</v>
      </c>
    </row>
    <row r="755" spans="1:1" x14ac:dyDescent="0.25">
      <c r="A755" s="50" t="s">
        <v>52</v>
      </c>
    </row>
    <row r="756" spans="1:1" x14ac:dyDescent="0.25">
      <c r="A756" s="51" t="s">
        <v>52</v>
      </c>
    </row>
    <row r="757" spans="1:1" x14ac:dyDescent="0.25">
      <c r="A757" s="52" t="s">
        <v>52</v>
      </c>
    </row>
    <row r="758" spans="1:1" x14ac:dyDescent="0.25">
      <c r="A758" s="53" t="s">
        <v>52</v>
      </c>
    </row>
    <row r="759" spans="1:1" x14ac:dyDescent="0.25">
      <c r="A759" s="54" t="s">
        <v>52</v>
      </c>
    </row>
    <row r="760" spans="1:1" x14ac:dyDescent="0.25">
      <c r="A760" s="55" t="s">
        <v>52</v>
      </c>
    </row>
    <row r="761" spans="1:1" x14ac:dyDescent="0.25">
      <c r="A761" s="56" t="s">
        <v>52</v>
      </c>
    </row>
    <row r="762" spans="1:1" x14ac:dyDescent="0.25">
      <c r="A762" s="57" t="s">
        <v>52</v>
      </c>
    </row>
    <row r="763" spans="1:1" x14ac:dyDescent="0.25">
      <c r="A763" s="58" t="s">
        <v>52</v>
      </c>
    </row>
    <row r="764" spans="1:1" x14ac:dyDescent="0.25">
      <c r="A764" s="59" t="s">
        <v>52</v>
      </c>
    </row>
    <row r="765" spans="1:1" x14ac:dyDescent="0.25">
      <c r="A765" s="60" t="s">
        <v>52</v>
      </c>
    </row>
    <row r="766" spans="1:1" x14ac:dyDescent="0.25">
      <c r="A766" s="61" t="s">
        <v>52</v>
      </c>
    </row>
    <row r="767" spans="1:1" x14ac:dyDescent="0.25">
      <c r="A767" s="62" t="s">
        <v>52</v>
      </c>
    </row>
    <row r="768" spans="1:1" x14ac:dyDescent="0.25">
      <c r="A768" s="63" t="s">
        <v>52</v>
      </c>
    </row>
    <row r="769" spans="1:1" x14ac:dyDescent="0.25">
      <c r="A769" s="64" t="s">
        <v>52</v>
      </c>
    </row>
    <row r="770" spans="1:1" x14ac:dyDescent="0.25">
      <c r="A770" s="65" t="s">
        <v>52</v>
      </c>
    </row>
    <row r="771" spans="1:1" x14ac:dyDescent="0.25">
      <c r="A771" s="66" t="s">
        <v>52</v>
      </c>
    </row>
    <row r="772" spans="1:1" x14ac:dyDescent="0.25">
      <c r="A772" s="67" t="s">
        <v>52</v>
      </c>
    </row>
    <row r="773" spans="1:1" x14ac:dyDescent="0.25">
      <c r="A773" s="68" t="s">
        <v>52</v>
      </c>
    </row>
    <row r="774" spans="1:1" x14ac:dyDescent="0.25">
      <c r="A774" s="69" t="s">
        <v>52</v>
      </c>
    </row>
    <row r="775" spans="1:1" x14ac:dyDescent="0.25">
      <c r="A775" s="70" t="s">
        <v>52</v>
      </c>
    </row>
    <row r="776" spans="1:1" x14ac:dyDescent="0.25">
      <c r="A776" s="71" t="s">
        <v>52</v>
      </c>
    </row>
    <row r="777" spans="1:1" x14ac:dyDescent="0.25">
      <c r="A777" s="72" t="s">
        <v>52</v>
      </c>
    </row>
    <row r="778" spans="1:1" x14ac:dyDescent="0.25">
      <c r="A778" s="73" t="s">
        <v>52</v>
      </c>
    </row>
    <row r="779" spans="1:1" x14ac:dyDescent="0.25">
      <c r="A779" s="74" t="s">
        <v>52</v>
      </c>
    </row>
    <row r="780" spans="1:1" x14ac:dyDescent="0.25">
      <c r="A780" s="75" t="s">
        <v>52</v>
      </c>
    </row>
    <row r="781" spans="1:1" x14ac:dyDescent="0.25">
      <c r="A781" s="76" t="s">
        <v>52</v>
      </c>
    </row>
    <row r="782" spans="1:1" x14ac:dyDescent="0.25">
      <c r="A782" s="77" t="s">
        <v>52</v>
      </c>
    </row>
    <row r="783" spans="1:1" x14ac:dyDescent="0.25">
      <c r="A783" s="78" t="s">
        <v>52</v>
      </c>
    </row>
    <row r="784" spans="1:1" x14ac:dyDescent="0.25">
      <c r="A784" s="79" t="s">
        <v>52</v>
      </c>
    </row>
    <row r="785" spans="1:1" x14ac:dyDescent="0.25">
      <c r="A785" s="80" t="s">
        <v>52</v>
      </c>
    </row>
    <row r="786" spans="1:1" x14ac:dyDescent="0.25">
      <c r="A786" s="81" t="s">
        <v>52</v>
      </c>
    </row>
    <row r="787" spans="1:1" x14ac:dyDescent="0.25">
      <c r="A787" s="82" t="s">
        <v>52</v>
      </c>
    </row>
    <row r="788" spans="1:1" x14ac:dyDescent="0.25">
      <c r="A788" s="83" t="s">
        <v>52</v>
      </c>
    </row>
    <row r="789" spans="1:1" x14ac:dyDescent="0.25">
      <c r="A789" s="84" t="s">
        <v>52</v>
      </c>
    </row>
    <row r="790" spans="1:1" x14ac:dyDescent="0.25">
      <c r="A790" s="85" t="s">
        <v>52</v>
      </c>
    </row>
    <row r="791" spans="1:1" x14ac:dyDescent="0.25">
      <c r="A791" s="86" t="s">
        <v>52</v>
      </c>
    </row>
    <row r="792" spans="1:1" x14ac:dyDescent="0.25">
      <c r="A792" s="87" t="s">
        <v>52</v>
      </c>
    </row>
    <row r="793" spans="1:1" x14ac:dyDescent="0.25">
      <c r="A793" s="88" t="s">
        <v>52</v>
      </c>
    </row>
    <row r="794" spans="1:1" x14ac:dyDescent="0.25">
      <c r="A794" s="89" t="s">
        <v>52</v>
      </c>
    </row>
    <row r="795" spans="1:1" x14ac:dyDescent="0.25">
      <c r="A795" s="90" t="s">
        <v>52</v>
      </c>
    </row>
    <row r="796" spans="1:1" x14ac:dyDescent="0.25">
      <c r="A796" s="19" t="s">
        <v>825</v>
      </c>
    </row>
    <row r="797" spans="1:1" x14ac:dyDescent="0.25">
      <c r="A797" s="20" t="s">
        <v>52</v>
      </c>
    </row>
    <row r="798" spans="1:1" x14ac:dyDescent="0.25">
      <c r="A798" s="21" t="s">
        <v>52</v>
      </c>
    </row>
    <row r="799" spans="1:1" x14ac:dyDescent="0.25">
      <c r="A799" s="22" t="s">
        <v>52</v>
      </c>
    </row>
    <row r="800" spans="1:1" x14ac:dyDescent="0.25">
      <c r="A800" s="23" t="s">
        <v>52</v>
      </c>
    </row>
    <row r="801" spans="1:1" x14ac:dyDescent="0.25">
      <c r="A801" s="24" t="s">
        <v>52</v>
      </c>
    </row>
    <row r="802" spans="1:1" x14ac:dyDescent="0.25">
      <c r="A802" s="25" t="s">
        <v>52</v>
      </c>
    </row>
    <row r="803" spans="1:1" x14ac:dyDescent="0.25">
      <c r="A803" s="26" t="s">
        <v>52</v>
      </c>
    </row>
    <row r="804" spans="1:1" x14ac:dyDescent="0.25">
      <c r="A804" s="27" t="s">
        <v>52</v>
      </c>
    </row>
    <row r="805" spans="1:1" x14ac:dyDescent="0.25">
      <c r="A805" s="28" t="s">
        <v>52</v>
      </c>
    </row>
    <row r="806" spans="1:1" x14ac:dyDescent="0.25">
      <c r="A806" s="29" t="s">
        <v>52</v>
      </c>
    </row>
    <row r="807" spans="1:1" x14ac:dyDescent="0.25">
      <c r="A807" s="30" t="s">
        <v>826</v>
      </c>
    </row>
    <row r="808" spans="1:1" x14ac:dyDescent="0.25">
      <c r="A808" s="31" t="s">
        <v>52</v>
      </c>
    </row>
    <row r="809" spans="1:1" x14ac:dyDescent="0.25">
      <c r="A809" s="32" t="s">
        <v>52</v>
      </c>
    </row>
    <row r="810" spans="1:1" x14ac:dyDescent="0.25">
      <c r="A810" s="33" t="s">
        <v>52</v>
      </c>
    </row>
    <row r="811" spans="1:1" x14ac:dyDescent="0.25">
      <c r="A811" s="34" t="s">
        <v>52</v>
      </c>
    </row>
    <row r="812" spans="1:1" x14ac:dyDescent="0.25">
      <c r="A812" s="35" t="s">
        <v>52</v>
      </c>
    </row>
    <row r="813" spans="1:1" x14ac:dyDescent="0.25">
      <c r="A813" s="36" t="s">
        <v>52</v>
      </c>
    </row>
    <row r="814" spans="1:1" x14ac:dyDescent="0.25">
      <c r="A814" s="37" t="s">
        <v>52</v>
      </c>
    </row>
    <row r="815" spans="1:1" x14ac:dyDescent="0.25">
      <c r="A815" s="38" t="s">
        <v>52</v>
      </c>
    </row>
    <row r="816" spans="1:1" x14ac:dyDescent="0.25">
      <c r="A816" s="39" t="s">
        <v>52</v>
      </c>
    </row>
    <row r="817" spans="1:1" x14ac:dyDescent="0.25">
      <c r="A817" s="40" t="s">
        <v>52</v>
      </c>
    </row>
    <row r="818" spans="1:1" x14ac:dyDescent="0.25">
      <c r="A818" s="41" t="s">
        <v>52</v>
      </c>
    </row>
    <row r="819" spans="1:1" x14ac:dyDescent="0.25">
      <c r="A819" s="42" t="s">
        <v>52</v>
      </c>
    </row>
    <row r="820" spans="1:1" x14ac:dyDescent="0.25">
      <c r="A820" s="43" t="s">
        <v>52</v>
      </c>
    </row>
    <row r="821" spans="1:1" x14ac:dyDescent="0.25">
      <c r="A821" s="44" t="s">
        <v>827</v>
      </c>
    </row>
    <row r="822" spans="1:1" x14ac:dyDescent="0.25">
      <c r="A822" s="45" t="s">
        <v>52</v>
      </c>
    </row>
    <row r="823" spans="1:1" x14ac:dyDescent="0.25">
      <c r="A823" s="46" t="s">
        <v>52</v>
      </c>
    </row>
    <row r="824" spans="1:1" x14ac:dyDescent="0.25">
      <c r="A824" s="47" t="s">
        <v>52</v>
      </c>
    </row>
    <row r="825" spans="1:1" x14ac:dyDescent="0.25">
      <c r="A825" s="48" t="s">
        <v>52</v>
      </c>
    </row>
    <row r="826" spans="1:1" x14ac:dyDescent="0.25">
      <c r="A826" s="49" t="s">
        <v>52</v>
      </c>
    </row>
    <row r="827" spans="1:1" x14ac:dyDescent="0.25">
      <c r="A827" s="50" t="s">
        <v>52</v>
      </c>
    </row>
    <row r="828" spans="1:1" x14ac:dyDescent="0.25">
      <c r="A828" s="51" t="s">
        <v>52</v>
      </c>
    </row>
    <row r="829" spans="1:1" x14ac:dyDescent="0.25">
      <c r="A829" s="52" t="s">
        <v>52</v>
      </c>
    </row>
    <row r="830" spans="1:1" x14ac:dyDescent="0.25">
      <c r="A830" s="53" t="s">
        <v>52</v>
      </c>
    </row>
    <row r="831" spans="1:1" x14ac:dyDescent="0.25">
      <c r="A831" s="54" t="s">
        <v>52</v>
      </c>
    </row>
    <row r="832" spans="1:1" x14ac:dyDescent="0.25">
      <c r="A832" s="55" t="s">
        <v>52</v>
      </c>
    </row>
    <row r="833" spans="1:1" x14ac:dyDescent="0.25">
      <c r="A833" s="56" t="s">
        <v>52</v>
      </c>
    </row>
    <row r="834" spans="1:1" x14ac:dyDescent="0.25">
      <c r="A834" s="57" t="s">
        <v>52</v>
      </c>
    </row>
    <row r="835" spans="1:1" x14ac:dyDescent="0.25">
      <c r="A835" s="58" t="s">
        <v>52</v>
      </c>
    </row>
    <row r="836" spans="1:1" x14ac:dyDescent="0.25">
      <c r="A836" s="59" t="s">
        <v>52</v>
      </c>
    </row>
    <row r="837" spans="1:1" x14ac:dyDescent="0.25">
      <c r="A837" s="60" t="s">
        <v>52</v>
      </c>
    </row>
    <row r="838" spans="1:1" x14ac:dyDescent="0.25">
      <c r="A838" s="61" t="s">
        <v>52</v>
      </c>
    </row>
    <row r="839" spans="1:1" x14ac:dyDescent="0.25">
      <c r="A839" s="62" t="s">
        <v>52</v>
      </c>
    </row>
    <row r="840" spans="1:1" x14ac:dyDescent="0.25">
      <c r="A840" s="63" t="s">
        <v>52</v>
      </c>
    </row>
    <row r="841" spans="1:1" x14ac:dyDescent="0.25">
      <c r="A841" s="64" t="s">
        <v>52</v>
      </c>
    </row>
    <row r="842" spans="1:1" x14ac:dyDescent="0.25">
      <c r="A842" s="65" t="s">
        <v>52</v>
      </c>
    </row>
    <row r="843" spans="1:1" x14ac:dyDescent="0.25">
      <c r="A843" s="66" t="s">
        <v>52</v>
      </c>
    </row>
    <row r="844" spans="1:1" x14ac:dyDescent="0.25">
      <c r="A844" s="67" t="s">
        <v>52</v>
      </c>
    </row>
    <row r="845" spans="1:1" x14ac:dyDescent="0.25">
      <c r="A845" s="68" t="s">
        <v>52</v>
      </c>
    </row>
    <row r="846" spans="1:1" x14ac:dyDescent="0.25">
      <c r="A846" s="69" t="s">
        <v>52</v>
      </c>
    </row>
    <row r="847" spans="1:1" x14ac:dyDescent="0.25">
      <c r="A847" s="70" t="s">
        <v>52</v>
      </c>
    </row>
    <row r="848" spans="1:1" x14ac:dyDescent="0.25">
      <c r="A848" s="71" t="s">
        <v>52</v>
      </c>
    </row>
    <row r="849" spans="1:1" x14ac:dyDescent="0.25">
      <c r="A849" s="72" t="s">
        <v>52</v>
      </c>
    </row>
    <row r="850" spans="1:1" x14ac:dyDescent="0.25">
      <c r="A850" s="73" t="s">
        <v>52</v>
      </c>
    </row>
    <row r="851" spans="1:1" x14ac:dyDescent="0.25">
      <c r="A851" s="74" t="s">
        <v>52</v>
      </c>
    </row>
    <row r="852" spans="1:1" x14ac:dyDescent="0.25">
      <c r="A852" s="75" t="s">
        <v>52</v>
      </c>
    </row>
    <row r="853" spans="1:1" x14ac:dyDescent="0.25">
      <c r="A853" s="76" t="s">
        <v>52</v>
      </c>
    </row>
    <row r="854" spans="1:1" x14ac:dyDescent="0.25">
      <c r="A854" s="77" t="s">
        <v>52</v>
      </c>
    </row>
    <row r="855" spans="1:1" x14ac:dyDescent="0.25">
      <c r="A855" s="78" t="s">
        <v>52</v>
      </c>
    </row>
    <row r="856" spans="1:1" x14ac:dyDescent="0.25">
      <c r="A856" s="79" t="s">
        <v>52</v>
      </c>
    </row>
    <row r="857" spans="1:1" x14ac:dyDescent="0.25">
      <c r="A857" s="80" t="s">
        <v>52</v>
      </c>
    </row>
    <row r="858" spans="1:1" x14ac:dyDescent="0.25">
      <c r="A858" s="81" t="s">
        <v>52</v>
      </c>
    </row>
    <row r="859" spans="1:1" x14ac:dyDescent="0.25">
      <c r="A859" s="82" t="s">
        <v>52</v>
      </c>
    </row>
    <row r="860" spans="1:1" x14ac:dyDescent="0.25">
      <c r="A860" s="83" t="s">
        <v>52</v>
      </c>
    </row>
    <row r="861" spans="1:1" x14ac:dyDescent="0.25">
      <c r="A861" s="84" t="s">
        <v>52</v>
      </c>
    </row>
    <row r="862" spans="1:1" x14ac:dyDescent="0.25">
      <c r="A862" s="85" t="s">
        <v>52</v>
      </c>
    </row>
    <row r="863" spans="1:1" x14ac:dyDescent="0.25">
      <c r="A863" s="86" t="s">
        <v>52</v>
      </c>
    </row>
    <row r="864" spans="1:1" x14ac:dyDescent="0.25">
      <c r="A864" s="87" t="s">
        <v>52</v>
      </c>
    </row>
    <row r="865" spans="1:1" x14ac:dyDescent="0.25">
      <c r="A865" s="88" t="s">
        <v>52</v>
      </c>
    </row>
    <row r="866" spans="1:1" x14ac:dyDescent="0.25">
      <c r="A866" s="89" t="s">
        <v>52</v>
      </c>
    </row>
    <row r="867" spans="1:1" x14ac:dyDescent="0.25">
      <c r="A867" s="90" t="s">
        <v>52</v>
      </c>
    </row>
    <row r="868" spans="1:1" x14ac:dyDescent="0.25">
      <c r="A868" s="18" t="s">
        <v>590</v>
      </c>
    </row>
    <row r="869" spans="1:1" x14ac:dyDescent="0.25">
      <c r="A869" s="19" t="s">
        <v>591</v>
      </c>
    </row>
    <row r="870" spans="1:1" x14ac:dyDescent="0.25">
      <c r="A870" s="20" t="s">
        <v>52</v>
      </c>
    </row>
    <row r="871" spans="1:1" x14ac:dyDescent="0.25">
      <c r="A871" s="21" t="s">
        <v>52</v>
      </c>
    </row>
    <row r="872" spans="1:1" x14ac:dyDescent="0.25">
      <c r="A872" s="22" t="s">
        <v>52</v>
      </c>
    </row>
    <row r="873" spans="1:1" x14ac:dyDescent="0.25">
      <c r="A873" s="23" t="s">
        <v>52</v>
      </c>
    </row>
    <row r="874" spans="1:1" x14ac:dyDescent="0.25">
      <c r="A874" s="24" t="s">
        <v>52</v>
      </c>
    </row>
    <row r="875" spans="1:1" x14ac:dyDescent="0.25">
      <c r="A875" s="25" t="s">
        <v>52</v>
      </c>
    </row>
    <row r="876" spans="1:1" x14ac:dyDescent="0.25">
      <c r="A876" s="26" t="s">
        <v>592</v>
      </c>
    </row>
    <row r="877" spans="1:1" x14ac:dyDescent="0.25">
      <c r="A877" s="27" t="s">
        <v>593</v>
      </c>
    </row>
    <row r="878" spans="1:1" x14ac:dyDescent="0.25">
      <c r="A878" s="28" t="s">
        <v>52</v>
      </c>
    </row>
    <row r="879" spans="1:1" x14ac:dyDescent="0.25">
      <c r="A879" s="29" t="s">
        <v>52</v>
      </c>
    </row>
    <row r="880" spans="1:1" x14ac:dyDescent="0.25">
      <c r="A880" s="30" t="s">
        <v>52</v>
      </c>
    </row>
    <row r="881" spans="1:1" x14ac:dyDescent="0.25">
      <c r="A881" s="31" t="s">
        <v>52</v>
      </c>
    </row>
    <row r="882" spans="1:1" x14ac:dyDescent="0.25">
      <c r="A882" s="32" t="s">
        <v>52</v>
      </c>
    </row>
    <row r="883" spans="1:1" x14ac:dyDescent="0.25">
      <c r="A883" s="33" t="s">
        <v>52</v>
      </c>
    </row>
    <row r="884" spans="1:1" x14ac:dyDescent="0.25">
      <c r="A884" s="34" t="s">
        <v>52</v>
      </c>
    </row>
    <row r="885" spans="1:1" x14ac:dyDescent="0.25">
      <c r="A885" s="35" t="s">
        <v>52</v>
      </c>
    </row>
    <row r="886" spans="1:1" x14ac:dyDescent="0.25">
      <c r="A886" s="36" t="s">
        <v>52</v>
      </c>
    </row>
    <row r="887" spans="1:1" x14ac:dyDescent="0.25">
      <c r="A887" s="37" t="s">
        <v>52</v>
      </c>
    </row>
    <row r="888" spans="1:1" x14ac:dyDescent="0.25">
      <c r="A888" s="38" t="s">
        <v>52</v>
      </c>
    </row>
    <row r="889" spans="1:1" x14ac:dyDescent="0.25">
      <c r="A889" s="39" t="s">
        <v>52</v>
      </c>
    </row>
    <row r="890" spans="1:1" x14ac:dyDescent="0.25">
      <c r="A890" s="40" t="s">
        <v>52</v>
      </c>
    </row>
    <row r="891" spans="1:1" x14ac:dyDescent="0.25">
      <c r="A891" s="41" t="s">
        <v>52</v>
      </c>
    </row>
    <row r="892" spans="1:1" x14ac:dyDescent="0.25">
      <c r="A892" s="42" t="s">
        <v>52</v>
      </c>
    </row>
    <row r="893" spans="1:1" x14ac:dyDescent="0.25">
      <c r="A893" s="43" t="s">
        <v>52</v>
      </c>
    </row>
    <row r="894" spans="1:1" x14ac:dyDescent="0.25">
      <c r="A894" s="44" t="s">
        <v>52</v>
      </c>
    </row>
    <row r="895" spans="1:1" x14ac:dyDescent="0.25">
      <c r="A895" s="45" t="s">
        <v>52</v>
      </c>
    </row>
    <row r="896" spans="1:1" x14ac:dyDescent="0.25">
      <c r="A896" s="46" t="s">
        <v>52</v>
      </c>
    </row>
    <row r="897" spans="1:1" x14ac:dyDescent="0.25">
      <c r="A897" s="47" t="s">
        <v>52</v>
      </c>
    </row>
    <row r="898" spans="1:1" x14ac:dyDescent="0.25">
      <c r="A898" s="48" t="s">
        <v>594</v>
      </c>
    </row>
    <row r="899" spans="1:1" x14ac:dyDescent="0.25">
      <c r="A899" s="49" t="s">
        <v>52</v>
      </c>
    </row>
    <row r="900" spans="1:1" x14ac:dyDescent="0.25">
      <c r="A900" s="50" t="s">
        <v>52</v>
      </c>
    </row>
    <row r="901" spans="1:1" x14ac:dyDescent="0.25">
      <c r="A901" s="51" t="s">
        <v>52</v>
      </c>
    </row>
    <row r="902" spans="1:1" x14ac:dyDescent="0.25">
      <c r="A902" s="52" t="s">
        <v>52</v>
      </c>
    </row>
    <row r="903" spans="1:1" x14ac:dyDescent="0.25">
      <c r="A903" s="53" t="s">
        <v>52</v>
      </c>
    </row>
    <row r="904" spans="1:1" x14ac:dyDescent="0.25">
      <c r="A904" s="54" t="s">
        <v>52</v>
      </c>
    </row>
    <row r="905" spans="1:1" x14ac:dyDescent="0.25">
      <c r="A905" s="55" t="s">
        <v>52</v>
      </c>
    </row>
    <row r="906" spans="1:1" x14ac:dyDescent="0.25">
      <c r="A906" s="56" t="s">
        <v>52</v>
      </c>
    </row>
    <row r="907" spans="1:1" x14ac:dyDescent="0.25">
      <c r="A907" s="57" t="s">
        <v>52</v>
      </c>
    </row>
    <row r="908" spans="1:1" x14ac:dyDescent="0.25">
      <c r="A908" s="58" t="s">
        <v>52</v>
      </c>
    </row>
    <row r="909" spans="1:1" x14ac:dyDescent="0.25">
      <c r="A909" s="59" t="s">
        <v>52</v>
      </c>
    </row>
    <row r="910" spans="1:1" x14ac:dyDescent="0.25">
      <c r="A910" s="60" t="s">
        <v>52</v>
      </c>
    </row>
    <row r="911" spans="1:1" x14ac:dyDescent="0.25">
      <c r="A911" s="61" t="s">
        <v>52</v>
      </c>
    </row>
    <row r="912" spans="1:1" x14ac:dyDescent="0.25">
      <c r="A912" s="62" t="s">
        <v>52</v>
      </c>
    </row>
    <row r="913" spans="1:1" x14ac:dyDescent="0.25">
      <c r="A913" s="63" t="s">
        <v>52</v>
      </c>
    </row>
    <row r="914" spans="1:1" x14ac:dyDescent="0.25">
      <c r="A914" s="64" t="s">
        <v>52</v>
      </c>
    </row>
    <row r="915" spans="1:1" x14ac:dyDescent="0.25">
      <c r="A915" s="65" t="s">
        <v>52</v>
      </c>
    </row>
    <row r="916" spans="1:1" x14ac:dyDescent="0.25">
      <c r="A916" s="66" t="s">
        <v>52</v>
      </c>
    </row>
    <row r="917" spans="1:1" x14ac:dyDescent="0.25">
      <c r="A917" s="67" t="s">
        <v>52</v>
      </c>
    </row>
    <row r="918" spans="1:1" x14ac:dyDescent="0.25">
      <c r="A918" s="68" t="s">
        <v>52</v>
      </c>
    </row>
    <row r="919" spans="1:1" x14ac:dyDescent="0.25">
      <c r="A919" s="69" t="s">
        <v>52</v>
      </c>
    </row>
    <row r="920" spans="1:1" x14ac:dyDescent="0.25">
      <c r="A920" s="70" t="s">
        <v>52</v>
      </c>
    </row>
    <row r="921" spans="1:1" x14ac:dyDescent="0.25">
      <c r="A921" s="71" t="s">
        <v>52</v>
      </c>
    </row>
    <row r="922" spans="1:1" x14ac:dyDescent="0.25">
      <c r="A922" s="72" t="s">
        <v>52</v>
      </c>
    </row>
    <row r="923" spans="1:1" x14ac:dyDescent="0.25">
      <c r="A923" s="73" t="s">
        <v>52</v>
      </c>
    </row>
    <row r="924" spans="1:1" x14ac:dyDescent="0.25">
      <c r="A924" s="74" t="s">
        <v>52</v>
      </c>
    </row>
    <row r="925" spans="1:1" x14ac:dyDescent="0.25">
      <c r="A925" s="75" t="s">
        <v>52</v>
      </c>
    </row>
    <row r="926" spans="1:1" x14ac:dyDescent="0.25">
      <c r="A926" s="76" t="s">
        <v>52</v>
      </c>
    </row>
    <row r="927" spans="1:1" x14ac:dyDescent="0.25">
      <c r="A927" s="77" t="s">
        <v>52</v>
      </c>
    </row>
    <row r="928" spans="1:1" x14ac:dyDescent="0.25">
      <c r="A928" s="78" t="s">
        <v>52</v>
      </c>
    </row>
    <row r="929" spans="1:1" x14ac:dyDescent="0.25">
      <c r="A929" s="79" t="s">
        <v>52</v>
      </c>
    </row>
    <row r="930" spans="1:1" x14ac:dyDescent="0.25">
      <c r="A930" s="80" t="s">
        <v>52</v>
      </c>
    </row>
    <row r="931" spans="1:1" x14ac:dyDescent="0.25">
      <c r="A931" s="81" t="s">
        <v>52</v>
      </c>
    </row>
    <row r="932" spans="1:1" x14ac:dyDescent="0.25">
      <c r="A932" s="82" t="s">
        <v>52</v>
      </c>
    </row>
    <row r="933" spans="1:1" x14ac:dyDescent="0.25">
      <c r="A933" s="83" t="s">
        <v>52</v>
      </c>
    </row>
    <row r="934" spans="1:1" x14ac:dyDescent="0.25">
      <c r="A934" s="84" t="s">
        <v>52</v>
      </c>
    </row>
    <row r="935" spans="1:1" x14ac:dyDescent="0.25">
      <c r="A935" s="85" t="s">
        <v>52</v>
      </c>
    </row>
    <row r="936" spans="1:1" x14ac:dyDescent="0.25">
      <c r="A936" s="86" t="s">
        <v>52</v>
      </c>
    </row>
    <row r="937" spans="1:1" x14ac:dyDescent="0.25">
      <c r="A937" s="87" t="s">
        <v>52</v>
      </c>
    </row>
    <row r="938" spans="1:1" x14ac:dyDescent="0.25">
      <c r="A938" s="88" t="s">
        <v>52</v>
      </c>
    </row>
    <row r="939" spans="1:1" x14ac:dyDescent="0.25">
      <c r="A939" s="89" t="s">
        <v>52</v>
      </c>
    </row>
    <row r="940" spans="1:1" x14ac:dyDescent="0.25">
      <c r="A940" s="90" t="s">
        <v>52</v>
      </c>
    </row>
    <row r="941" spans="1:1" x14ac:dyDescent="0.25">
      <c r="A941" s="10" t="s">
        <v>6</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1885"/>
  <sheetViews>
    <sheetView topLeftCell="A1800" workbookViewId="0">
      <selection activeCell="A2" sqref="A2:A1827"/>
    </sheetView>
  </sheetViews>
  <sheetFormatPr defaultRowHeight="15" x14ac:dyDescent="0.25"/>
  <cols>
    <col min="1" max="1" width="255.7109375" bestFit="1" customWidth="1"/>
  </cols>
  <sheetData>
    <row r="1" spans="1:1" x14ac:dyDescent="0.25">
      <c r="A1" s="11" t="s">
        <v>5</v>
      </c>
    </row>
    <row r="2" spans="1:1" x14ac:dyDescent="0.25">
      <c r="A2" s="10" t="s">
        <v>21</v>
      </c>
    </row>
    <row r="3" spans="1:1" x14ac:dyDescent="0.25">
      <c r="A3" s="18" t="s">
        <v>52</v>
      </c>
    </row>
    <row r="4" spans="1:1" x14ac:dyDescent="0.25">
      <c r="A4" s="19" t="s">
        <v>595</v>
      </c>
    </row>
    <row r="5" spans="1:1" x14ac:dyDescent="0.25">
      <c r="A5" s="20" t="s">
        <v>52</v>
      </c>
    </row>
    <row r="6" spans="1:1" x14ac:dyDescent="0.25">
      <c r="A6" s="21" t="s">
        <v>52</v>
      </c>
    </row>
    <row r="7" spans="1:1" x14ac:dyDescent="0.25">
      <c r="A7" s="22" t="s">
        <v>52</v>
      </c>
    </row>
    <row r="8" spans="1:1" x14ac:dyDescent="0.25">
      <c r="A8" s="23" t="s">
        <v>52</v>
      </c>
    </row>
    <row r="9" spans="1:1" x14ac:dyDescent="0.25">
      <c r="A9" s="24" t="s">
        <v>52</v>
      </c>
    </row>
    <row r="10" spans="1:1" x14ac:dyDescent="0.25">
      <c r="A10" s="25" t="s">
        <v>52</v>
      </c>
    </row>
    <row r="11" spans="1:1" x14ac:dyDescent="0.25">
      <c r="A11" s="26" t="s">
        <v>52</v>
      </c>
    </row>
    <row r="12" spans="1:1" x14ac:dyDescent="0.25">
      <c r="A12" s="27" t="s">
        <v>52</v>
      </c>
    </row>
    <row r="13" spans="1:1" x14ac:dyDescent="0.25">
      <c r="A13" s="28" t="s">
        <v>52</v>
      </c>
    </row>
    <row r="14" spans="1:1" x14ac:dyDescent="0.25">
      <c r="A14" s="29" t="s">
        <v>52</v>
      </c>
    </row>
    <row r="15" spans="1:1" x14ac:dyDescent="0.25">
      <c r="A15" s="30" t="s">
        <v>596</v>
      </c>
    </row>
    <row r="16" spans="1:1" x14ac:dyDescent="0.25">
      <c r="A16" s="31" t="s">
        <v>52</v>
      </c>
    </row>
    <row r="17" spans="1:1" x14ac:dyDescent="0.25">
      <c r="A17" s="32" t="s">
        <v>52</v>
      </c>
    </row>
    <row r="18" spans="1:1" x14ac:dyDescent="0.25">
      <c r="A18" s="33" t="s">
        <v>52</v>
      </c>
    </row>
    <row r="19" spans="1:1" x14ac:dyDescent="0.25">
      <c r="A19" s="34" t="s">
        <v>52</v>
      </c>
    </row>
    <row r="20" spans="1:1" x14ac:dyDescent="0.25">
      <c r="A20" s="35" t="s">
        <v>52</v>
      </c>
    </row>
    <row r="21" spans="1:1" x14ac:dyDescent="0.25">
      <c r="A21" s="36" t="s">
        <v>52</v>
      </c>
    </row>
    <row r="22" spans="1:1" x14ac:dyDescent="0.25">
      <c r="A22" s="37" t="s">
        <v>52</v>
      </c>
    </row>
    <row r="23" spans="1:1" x14ac:dyDescent="0.25">
      <c r="A23" s="38" t="s">
        <v>52</v>
      </c>
    </row>
    <row r="24" spans="1:1" x14ac:dyDescent="0.25">
      <c r="A24" s="39" t="s">
        <v>52</v>
      </c>
    </row>
    <row r="25" spans="1:1" x14ac:dyDescent="0.25">
      <c r="A25" s="40" t="s">
        <v>52</v>
      </c>
    </row>
    <row r="26" spans="1:1" x14ac:dyDescent="0.25">
      <c r="A26" s="41" t="s">
        <v>52</v>
      </c>
    </row>
    <row r="27" spans="1:1" x14ac:dyDescent="0.25">
      <c r="A27" s="42" t="s">
        <v>52</v>
      </c>
    </row>
    <row r="28" spans="1:1" x14ac:dyDescent="0.25">
      <c r="A28" s="43" t="s">
        <v>52</v>
      </c>
    </row>
    <row r="29" spans="1:1" x14ac:dyDescent="0.25">
      <c r="A29" s="44" t="s">
        <v>597</v>
      </c>
    </row>
    <row r="30" spans="1:1" x14ac:dyDescent="0.25">
      <c r="A30" s="45" t="s">
        <v>52</v>
      </c>
    </row>
    <row r="31" spans="1:1" x14ac:dyDescent="0.25">
      <c r="A31" s="46" t="s">
        <v>52</v>
      </c>
    </row>
    <row r="32" spans="1:1" x14ac:dyDescent="0.25">
      <c r="A32" s="47" t="s">
        <v>52</v>
      </c>
    </row>
    <row r="33" spans="1:1" x14ac:dyDescent="0.25">
      <c r="A33" s="48" t="s">
        <v>52</v>
      </c>
    </row>
    <row r="34" spans="1:1" x14ac:dyDescent="0.25">
      <c r="A34" s="49" t="s">
        <v>52</v>
      </c>
    </row>
    <row r="35" spans="1:1" x14ac:dyDescent="0.25">
      <c r="A35" s="50" t="s">
        <v>52</v>
      </c>
    </row>
    <row r="36" spans="1:1" x14ac:dyDescent="0.25">
      <c r="A36" s="51" t="s">
        <v>52</v>
      </c>
    </row>
    <row r="37" spans="1:1" x14ac:dyDescent="0.25">
      <c r="A37" s="52" t="s">
        <v>52</v>
      </c>
    </row>
    <row r="38" spans="1:1" x14ac:dyDescent="0.25">
      <c r="A38" s="53" t="s">
        <v>52</v>
      </c>
    </row>
    <row r="39" spans="1:1" x14ac:dyDescent="0.25">
      <c r="A39" s="54" t="s">
        <v>52</v>
      </c>
    </row>
    <row r="40" spans="1:1" x14ac:dyDescent="0.25">
      <c r="A40" s="55" t="s">
        <v>52</v>
      </c>
    </row>
    <row r="41" spans="1:1" x14ac:dyDescent="0.25">
      <c r="A41" s="56" t="s">
        <v>52</v>
      </c>
    </row>
    <row r="42" spans="1:1" x14ac:dyDescent="0.25">
      <c r="A42" s="57" t="s">
        <v>52</v>
      </c>
    </row>
    <row r="43" spans="1:1" x14ac:dyDescent="0.25">
      <c r="A43" s="58" t="s">
        <v>52</v>
      </c>
    </row>
    <row r="44" spans="1:1" x14ac:dyDescent="0.25">
      <c r="A44" s="59" t="s">
        <v>52</v>
      </c>
    </row>
    <row r="45" spans="1:1" x14ac:dyDescent="0.25">
      <c r="A45" s="60" t="s">
        <v>52</v>
      </c>
    </row>
    <row r="46" spans="1:1" x14ac:dyDescent="0.25">
      <c r="A46" s="61" t="s">
        <v>52</v>
      </c>
    </row>
    <row r="47" spans="1:1" x14ac:dyDescent="0.25">
      <c r="A47" s="62" t="s">
        <v>52</v>
      </c>
    </row>
    <row r="48" spans="1:1" x14ac:dyDescent="0.25">
      <c r="A48" s="63" t="s">
        <v>52</v>
      </c>
    </row>
    <row r="49" spans="1:1" x14ac:dyDescent="0.25">
      <c r="A49" s="64" t="s">
        <v>52</v>
      </c>
    </row>
    <row r="50" spans="1:1" x14ac:dyDescent="0.25">
      <c r="A50" s="65" t="s">
        <v>52</v>
      </c>
    </row>
    <row r="51" spans="1:1" x14ac:dyDescent="0.25">
      <c r="A51" s="66" t="s">
        <v>52</v>
      </c>
    </row>
    <row r="52" spans="1:1" x14ac:dyDescent="0.25">
      <c r="A52" s="67" t="s">
        <v>52</v>
      </c>
    </row>
    <row r="53" spans="1:1" x14ac:dyDescent="0.25">
      <c r="A53" s="68" t="s">
        <v>52</v>
      </c>
    </row>
    <row r="54" spans="1:1" x14ac:dyDescent="0.25">
      <c r="A54" s="69" t="s">
        <v>52</v>
      </c>
    </row>
    <row r="55" spans="1:1" x14ac:dyDescent="0.25">
      <c r="A55" s="70" t="s">
        <v>52</v>
      </c>
    </row>
    <row r="56" spans="1:1" x14ac:dyDescent="0.25">
      <c r="A56" s="71" t="s">
        <v>52</v>
      </c>
    </row>
    <row r="57" spans="1:1" x14ac:dyDescent="0.25">
      <c r="A57" s="72" t="s">
        <v>52</v>
      </c>
    </row>
    <row r="58" spans="1:1" x14ac:dyDescent="0.25">
      <c r="A58" s="73" t="s">
        <v>52</v>
      </c>
    </row>
    <row r="59" spans="1:1" x14ac:dyDescent="0.25">
      <c r="A59" s="74" t="s">
        <v>52</v>
      </c>
    </row>
    <row r="60" spans="1:1" x14ac:dyDescent="0.25">
      <c r="A60" s="75" t="s">
        <v>52</v>
      </c>
    </row>
    <row r="61" spans="1:1" x14ac:dyDescent="0.25">
      <c r="A61" s="76" t="s">
        <v>52</v>
      </c>
    </row>
    <row r="62" spans="1:1" x14ac:dyDescent="0.25">
      <c r="A62" s="77" t="s">
        <v>52</v>
      </c>
    </row>
    <row r="63" spans="1:1" x14ac:dyDescent="0.25">
      <c r="A63" s="78" t="s">
        <v>52</v>
      </c>
    </row>
    <row r="64" spans="1:1" x14ac:dyDescent="0.25">
      <c r="A64" s="79" t="s">
        <v>52</v>
      </c>
    </row>
    <row r="65" spans="1:1" x14ac:dyDescent="0.25">
      <c r="A65" s="80" t="s">
        <v>52</v>
      </c>
    </row>
    <row r="66" spans="1:1" x14ac:dyDescent="0.25">
      <c r="A66" s="81" t="s">
        <v>52</v>
      </c>
    </row>
    <row r="67" spans="1:1" x14ac:dyDescent="0.25">
      <c r="A67" s="82" t="s">
        <v>52</v>
      </c>
    </row>
    <row r="68" spans="1:1" x14ac:dyDescent="0.25">
      <c r="A68" s="83" t="s">
        <v>52</v>
      </c>
    </row>
    <row r="69" spans="1:1" x14ac:dyDescent="0.25">
      <c r="A69" s="84" t="s">
        <v>52</v>
      </c>
    </row>
    <row r="70" spans="1:1" x14ac:dyDescent="0.25">
      <c r="A70" s="85" t="s">
        <v>52</v>
      </c>
    </row>
    <row r="71" spans="1:1" x14ac:dyDescent="0.25">
      <c r="A71" s="86" t="s">
        <v>52</v>
      </c>
    </row>
    <row r="72" spans="1:1" x14ac:dyDescent="0.25">
      <c r="A72" s="87" t="s">
        <v>52</v>
      </c>
    </row>
    <row r="73" spans="1:1" x14ac:dyDescent="0.25">
      <c r="A73" s="88" t="s">
        <v>52</v>
      </c>
    </row>
    <row r="74" spans="1:1" x14ac:dyDescent="0.25">
      <c r="A74" s="89" t="s">
        <v>52</v>
      </c>
    </row>
    <row r="75" spans="1:1" x14ac:dyDescent="0.25">
      <c r="A75" s="90" t="s">
        <v>52</v>
      </c>
    </row>
    <row r="76" spans="1:1" x14ac:dyDescent="0.25">
      <c r="A76" s="19" t="s">
        <v>598</v>
      </c>
    </row>
    <row r="77" spans="1:1" x14ac:dyDescent="0.25">
      <c r="A77" s="20" t="s">
        <v>52</v>
      </c>
    </row>
    <row r="78" spans="1:1" x14ac:dyDescent="0.25">
      <c r="A78" s="21" t="s">
        <v>52</v>
      </c>
    </row>
    <row r="79" spans="1:1" x14ac:dyDescent="0.25">
      <c r="A79" s="22" t="s">
        <v>52</v>
      </c>
    </row>
    <row r="80" spans="1:1" x14ac:dyDescent="0.25">
      <c r="A80" s="23" t="s">
        <v>52</v>
      </c>
    </row>
    <row r="81" spans="1:1" x14ac:dyDescent="0.25">
      <c r="A81" s="24" t="s">
        <v>52</v>
      </c>
    </row>
    <row r="82" spans="1:1" x14ac:dyDescent="0.25">
      <c r="A82" s="25" t="s">
        <v>52</v>
      </c>
    </row>
    <row r="83" spans="1:1" x14ac:dyDescent="0.25">
      <c r="A83" s="26" t="s">
        <v>52</v>
      </c>
    </row>
    <row r="84" spans="1:1" x14ac:dyDescent="0.25">
      <c r="A84" s="27" t="s">
        <v>52</v>
      </c>
    </row>
    <row r="85" spans="1:1" x14ac:dyDescent="0.25">
      <c r="A85" s="28" t="s">
        <v>52</v>
      </c>
    </row>
    <row r="86" spans="1:1" x14ac:dyDescent="0.25">
      <c r="A86" s="29" t="s">
        <v>52</v>
      </c>
    </row>
    <row r="87" spans="1:1" x14ac:dyDescent="0.25">
      <c r="A87" s="30" t="s">
        <v>599</v>
      </c>
    </row>
    <row r="88" spans="1:1" x14ac:dyDescent="0.25">
      <c r="A88" s="31" t="s">
        <v>52</v>
      </c>
    </row>
    <row r="89" spans="1:1" x14ac:dyDescent="0.25">
      <c r="A89" s="32" t="s">
        <v>52</v>
      </c>
    </row>
    <row r="90" spans="1:1" x14ac:dyDescent="0.25">
      <c r="A90" s="33" t="s">
        <v>52</v>
      </c>
    </row>
    <row r="91" spans="1:1" x14ac:dyDescent="0.25">
      <c r="A91" s="34" t="s">
        <v>52</v>
      </c>
    </row>
    <row r="92" spans="1:1" x14ac:dyDescent="0.25">
      <c r="A92" s="35" t="s">
        <v>52</v>
      </c>
    </row>
    <row r="93" spans="1:1" x14ac:dyDescent="0.25">
      <c r="A93" s="36" t="s">
        <v>52</v>
      </c>
    </row>
    <row r="94" spans="1:1" x14ac:dyDescent="0.25">
      <c r="A94" s="37" t="s">
        <v>52</v>
      </c>
    </row>
    <row r="95" spans="1:1" x14ac:dyDescent="0.25">
      <c r="A95" s="38" t="s">
        <v>52</v>
      </c>
    </row>
    <row r="96" spans="1:1" x14ac:dyDescent="0.25">
      <c r="A96" s="39" t="s">
        <v>52</v>
      </c>
    </row>
    <row r="97" spans="1:1" x14ac:dyDescent="0.25">
      <c r="A97" s="40" t="s">
        <v>52</v>
      </c>
    </row>
    <row r="98" spans="1:1" x14ac:dyDescent="0.25">
      <c r="A98" s="41" t="s">
        <v>52</v>
      </c>
    </row>
    <row r="99" spans="1:1" x14ac:dyDescent="0.25">
      <c r="A99" s="42" t="s">
        <v>52</v>
      </c>
    </row>
    <row r="100" spans="1:1" x14ac:dyDescent="0.25">
      <c r="A100" s="43" t="s">
        <v>52</v>
      </c>
    </row>
    <row r="101" spans="1:1" x14ac:dyDescent="0.25">
      <c r="A101" s="44" t="s">
        <v>600</v>
      </c>
    </row>
    <row r="102" spans="1:1" x14ac:dyDescent="0.25">
      <c r="A102" s="45" t="s">
        <v>52</v>
      </c>
    </row>
    <row r="103" spans="1:1" x14ac:dyDescent="0.25">
      <c r="A103" s="46" t="s">
        <v>52</v>
      </c>
    </row>
    <row r="104" spans="1:1" x14ac:dyDescent="0.25">
      <c r="A104" s="47" t="s">
        <v>52</v>
      </c>
    </row>
    <row r="105" spans="1:1" x14ac:dyDescent="0.25">
      <c r="A105" s="48" t="s">
        <v>52</v>
      </c>
    </row>
    <row r="106" spans="1:1" x14ac:dyDescent="0.25">
      <c r="A106" s="49" t="s">
        <v>52</v>
      </c>
    </row>
    <row r="107" spans="1:1" x14ac:dyDescent="0.25">
      <c r="A107" s="50" t="s">
        <v>52</v>
      </c>
    </row>
    <row r="108" spans="1:1" x14ac:dyDescent="0.25">
      <c r="A108" s="51" t="s">
        <v>52</v>
      </c>
    </row>
    <row r="109" spans="1:1" x14ac:dyDescent="0.25">
      <c r="A109" s="52" t="s">
        <v>52</v>
      </c>
    </row>
    <row r="110" spans="1:1" x14ac:dyDescent="0.25">
      <c r="A110" s="53" t="s">
        <v>52</v>
      </c>
    </row>
    <row r="111" spans="1:1" x14ac:dyDescent="0.25">
      <c r="A111" s="54" t="s">
        <v>52</v>
      </c>
    </row>
    <row r="112" spans="1:1" x14ac:dyDescent="0.25">
      <c r="A112" s="55" t="s">
        <v>52</v>
      </c>
    </row>
    <row r="113" spans="1:1" x14ac:dyDescent="0.25">
      <c r="A113" s="56" t="s">
        <v>52</v>
      </c>
    </row>
    <row r="114" spans="1:1" x14ac:dyDescent="0.25">
      <c r="A114" s="57" t="s">
        <v>52</v>
      </c>
    </row>
    <row r="115" spans="1:1" x14ac:dyDescent="0.25">
      <c r="A115" s="58" t="s">
        <v>52</v>
      </c>
    </row>
    <row r="116" spans="1:1" x14ac:dyDescent="0.25">
      <c r="A116" s="59" t="s">
        <v>52</v>
      </c>
    </row>
    <row r="117" spans="1:1" x14ac:dyDescent="0.25">
      <c r="A117" s="60" t="s">
        <v>52</v>
      </c>
    </row>
    <row r="118" spans="1:1" x14ac:dyDescent="0.25">
      <c r="A118" s="61" t="s">
        <v>52</v>
      </c>
    </row>
    <row r="119" spans="1:1" x14ac:dyDescent="0.25">
      <c r="A119" s="62" t="s">
        <v>52</v>
      </c>
    </row>
    <row r="120" spans="1:1" x14ac:dyDescent="0.25">
      <c r="A120" s="63" t="s">
        <v>52</v>
      </c>
    </row>
    <row r="121" spans="1:1" x14ac:dyDescent="0.25">
      <c r="A121" s="64" t="s">
        <v>52</v>
      </c>
    </row>
    <row r="122" spans="1:1" x14ac:dyDescent="0.25">
      <c r="A122" s="65" t="s">
        <v>52</v>
      </c>
    </row>
    <row r="123" spans="1:1" x14ac:dyDescent="0.25">
      <c r="A123" s="66" t="s">
        <v>52</v>
      </c>
    </row>
    <row r="124" spans="1:1" x14ac:dyDescent="0.25">
      <c r="A124" s="67" t="s">
        <v>52</v>
      </c>
    </row>
    <row r="125" spans="1:1" x14ac:dyDescent="0.25">
      <c r="A125" s="68" t="s">
        <v>52</v>
      </c>
    </row>
    <row r="126" spans="1:1" x14ac:dyDescent="0.25">
      <c r="A126" s="69" t="s">
        <v>52</v>
      </c>
    </row>
    <row r="127" spans="1:1" x14ac:dyDescent="0.25">
      <c r="A127" s="70" t="s">
        <v>52</v>
      </c>
    </row>
    <row r="128" spans="1:1" x14ac:dyDescent="0.25">
      <c r="A128" s="71" t="s">
        <v>52</v>
      </c>
    </row>
    <row r="129" spans="1:1" x14ac:dyDescent="0.25">
      <c r="A129" s="72" t="s">
        <v>52</v>
      </c>
    </row>
    <row r="130" spans="1:1" x14ac:dyDescent="0.25">
      <c r="A130" s="73" t="s">
        <v>52</v>
      </c>
    </row>
    <row r="131" spans="1:1" x14ac:dyDescent="0.25">
      <c r="A131" s="74" t="s">
        <v>52</v>
      </c>
    </row>
    <row r="132" spans="1:1" x14ac:dyDescent="0.25">
      <c r="A132" s="75" t="s">
        <v>52</v>
      </c>
    </row>
    <row r="133" spans="1:1" x14ac:dyDescent="0.25">
      <c r="A133" s="76" t="s">
        <v>52</v>
      </c>
    </row>
    <row r="134" spans="1:1" x14ac:dyDescent="0.25">
      <c r="A134" s="77" t="s">
        <v>52</v>
      </c>
    </row>
    <row r="135" spans="1:1" x14ac:dyDescent="0.25">
      <c r="A135" s="78" t="s">
        <v>52</v>
      </c>
    </row>
    <row r="136" spans="1:1" x14ac:dyDescent="0.25">
      <c r="A136" s="79" t="s">
        <v>52</v>
      </c>
    </row>
    <row r="137" spans="1:1" x14ac:dyDescent="0.25">
      <c r="A137" s="80" t="s">
        <v>52</v>
      </c>
    </row>
    <row r="138" spans="1:1" x14ac:dyDescent="0.25">
      <c r="A138" s="81" t="s">
        <v>52</v>
      </c>
    </row>
    <row r="139" spans="1:1" x14ac:dyDescent="0.25">
      <c r="A139" s="82" t="s">
        <v>52</v>
      </c>
    </row>
    <row r="140" spans="1:1" x14ac:dyDescent="0.25">
      <c r="A140" s="83" t="s">
        <v>52</v>
      </c>
    </row>
    <row r="141" spans="1:1" x14ac:dyDescent="0.25">
      <c r="A141" s="84" t="s">
        <v>52</v>
      </c>
    </row>
    <row r="142" spans="1:1" x14ac:dyDescent="0.25">
      <c r="A142" s="85" t="s">
        <v>52</v>
      </c>
    </row>
    <row r="143" spans="1:1" x14ac:dyDescent="0.25">
      <c r="A143" s="86" t="s">
        <v>52</v>
      </c>
    </row>
    <row r="144" spans="1:1" x14ac:dyDescent="0.25">
      <c r="A144" s="87" t="s">
        <v>52</v>
      </c>
    </row>
    <row r="145" spans="1:1" x14ac:dyDescent="0.25">
      <c r="A145" s="88" t="s">
        <v>52</v>
      </c>
    </row>
    <row r="146" spans="1:1" x14ac:dyDescent="0.25">
      <c r="A146" s="89" t="s">
        <v>52</v>
      </c>
    </row>
    <row r="147" spans="1:1" x14ac:dyDescent="0.25">
      <c r="A147" s="90" t="s">
        <v>52</v>
      </c>
    </row>
    <row r="148" spans="1:1" x14ac:dyDescent="0.25">
      <c r="A148" s="19" t="s">
        <v>601</v>
      </c>
    </row>
    <row r="149" spans="1:1" x14ac:dyDescent="0.25">
      <c r="A149" s="20" t="s">
        <v>52</v>
      </c>
    </row>
    <row r="150" spans="1:1" x14ac:dyDescent="0.25">
      <c r="A150" s="21" t="s">
        <v>52</v>
      </c>
    </row>
    <row r="151" spans="1:1" x14ac:dyDescent="0.25">
      <c r="A151" s="22" t="s">
        <v>52</v>
      </c>
    </row>
    <row r="152" spans="1:1" x14ac:dyDescent="0.25">
      <c r="A152" s="23" t="s">
        <v>52</v>
      </c>
    </row>
    <row r="153" spans="1:1" x14ac:dyDescent="0.25">
      <c r="A153" s="24" t="s">
        <v>52</v>
      </c>
    </row>
    <row r="154" spans="1:1" x14ac:dyDescent="0.25">
      <c r="A154" s="25" t="s">
        <v>52</v>
      </c>
    </row>
    <row r="155" spans="1:1" x14ac:dyDescent="0.25">
      <c r="A155" s="26" t="s">
        <v>52</v>
      </c>
    </row>
    <row r="156" spans="1:1" x14ac:dyDescent="0.25">
      <c r="A156" s="27" t="s">
        <v>52</v>
      </c>
    </row>
    <row r="157" spans="1:1" x14ac:dyDescent="0.25">
      <c r="A157" s="28" t="s">
        <v>52</v>
      </c>
    </row>
    <row r="158" spans="1:1" x14ac:dyDescent="0.25">
      <c r="A158" s="29" t="s">
        <v>52</v>
      </c>
    </row>
    <row r="159" spans="1:1" x14ac:dyDescent="0.25">
      <c r="A159" s="30" t="s">
        <v>602</v>
      </c>
    </row>
    <row r="160" spans="1:1" x14ac:dyDescent="0.25">
      <c r="A160" s="31" t="s">
        <v>52</v>
      </c>
    </row>
    <row r="161" spans="1:1" x14ac:dyDescent="0.25">
      <c r="A161" s="32" t="s">
        <v>52</v>
      </c>
    </row>
    <row r="162" spans="1:1" x14ac:dyDescent="0.25">
      <c r="A162" s="33" t="s">
        <v>52</v>
      </c>
    </row>
    <row r="163" spans="1:1" x14ac:dyDescent="0.25">
      <c r="A163" s="34" t="s">
        <v>52</v>
      </c>
    </row>
    <row r="164" spans="1:1" x14ac:dyDescent="0.25">
      <c r="A164" s="35" t="s">
        <v>52</v>
      </c>
    </row>
    <row r="165" spans="1:1" x14ac:dyDescent="0.25">
      <c r="A165" s="36" t="s">
        <v>52</v>
      </c>
    </row>
    <row r="166" spans="1:1" x14ac:dyDescent="0.25">
      <c r="A166" s="37" t="s">
        <v>52</v>
      </c>
    </row>
    <row r="167" spans="1:1" x14ac:dyDescent="0.25">
      <c r="A167" s="38" t="s">
        <v>52</v>
      </c>
    </row>
    <row r="168" spans="1:1" x14ac:dyDescent="0.25">
      <c r="A168" s="39" t="s">
        <v>52</v>
      </c>
    </row>
    <row r="169" spans="1:1" x14ac:dyDescent="0.25">
      <c r="A169" s="40" t="s">
        <v>52</v>
      </c>
    </row>
    <row r="170" spans="1:1" x14ac:dyDescent="0.25">
      <c r="A170" s="41" t="s">
        <v>52</v>
      </c>
    </row>
    <row r="171" spans="1:1" x14ac:dyDescent="0.25">
      <c r="A171" s="42" t="s">
        <v>52</v>
      </c>
    </row>
    <row r="172" spans="1:1" x14ac:dyDescent="0.25">
      <c r="A172" s="43" t="s">
        <v>52</v>
      </c>
    </row>
    <row r="173" spans="1:1" x14ac:dyDescent="0.25">
      <c r="A173" s="44" t="s">
        <v>603</v>
      </c>
    </row>
    <row r="174" spans="1:1" x14ac:dyDescent="0.25">
      <c r="A174" s="45" t="s">
        <v>52</v>
      </c>
    </row>
    <row r="175" spans="1:1" x14ac:dyDescent="0.25">
      <c r="A175" s="46" t="s">
        <v>52</v>
      </c>
    </row>
    <row r="176" spans="1:1" x14ac:dyDescent="0.25">
      <c r="A176" s="47" t="s">
        <v>52</v>
      </c>
    </row>
    <row r="177" spans="1:1" x14ac:dyDescent="0.25">
      <c r="A177" s="48" t="s">
        <v>52</v>
      </c>
    </row>
    <row r="178" spans="1:1" x14ac:dyDescent="0.25">
      <c r="A178" s="49" t="s">
        <v>52</v>
      </c>
    </row>
    <row r="179" spans="1:1" x14ac:dyDescent="0.25">
      <c r="A179" s="50" t="s">
        <v>52</v>
      </c>
    </row>
    <row r="180" spans="1:1" x14ac:dyDescent="0.25">
      <c r="A180" s="51" t="s">
        <v>52</v>
      </c>
    </row>
    <row r="181" spans="1:1" x14ac:dyDescent="0.25">
      <c r="A181" s="52" t="s">
        <v>52</v>
      </c>
    </row>
    <row r="182" spans="1:1" x14ac:dyDescent="0.25">
      <c r="A182" s="53" t="s">
        <v>52</v>
      </c>
    </row>
    <row r="183" spans="1:1" x14ac:dyDescent="0.25">
      <c r="A183" s="54" t="s">
        <v>52</v>
      </c>
    </row>
    <row r="184" spans="1:1" x14ac:dyDescent="0.25">
      <c r="A184" s="55" t="s">
        <v>52</v>
      </c>
    </row>
    <row r="185" spans="1:1" x14ac:dyDescent="0.25">
      <c r="A185" s="56" t="s">
        <v>52</v>
      </c>
    </row>
    <row r="186" spans="1:1" x14ac:dyDescent="0.25">
      <c r="A186" s="57" t="s">
        <v>52</v>
      </c>
    </row>
    <row r="187" spans="1:1" x14ac:dyDescent="0.25">
      <c r="A187" s="58" t="s">
        <v>52</v>
      </c>
    </row>
    <row r="188" spans="1:1" x14ac:dyDescent="0.25">
      <c r="A188" s="59" t="s">
        <v>52</v>
      </c>
    </row>
    <row r="189" spans="1:1" x14ac:dyDescent="0.25">
      <c r="A189" s="60" t="s">
        <v>52</v>
      </c>
    </row>
    <row r="190" spans="1:1" x14ac:dyDescent="0.25">
      <c r="A190" s="61" t="s">
        <v>52</v>
      </c>
    </row>
    <row r="191" spans="1:1" x14ac:dyDescent="0.25">
      <c r="A191" s="62" t="s">
        <v>52</v>
      </c>
    </row>
    <row r="192" spans="1:1" x14ac:dyDescent="0.25">
      <c r="A192" s="63" t="s">
        <v>52</v>
      </c>
    </row>
    <row r="193" spans="1:1" x14ac:dyDescent="0.25">
      <c r="A193" s="64" t="s">
        <v>52</v>
      </c>
    </row>
    <row r="194" spans="1:1" x14ac:dyDescent="0.25">
      <c r="A194" s="65" t="s">
        <v>52</v>
      </c>
    </row>
    <row r="195" spans="1:1" x14ac:dyDescent="0.25">
      <c r="A195" s="66" t="s">
        <v>52</v>
      </c>
    </row>
    <row r="196" spans="1:1" x14ac:dyDescent="0.25">
      <c r="A196" s="67" t="s">
        <v>52</v>
      </c>
    </row>
    <row r="197" spans="1:1" x14ac:dyDescent="0.25">
      <c r="A197" s="68" t="s">
        <v>52</v>
      </c>
    </row>
    <row r="198" spans="1:1" x14ac:dyDescent="0.25">
      <c r="A198" s="69" t="s">
        <v>52</v>
      </c>
    </row>
    <row r="199" spans="1:1" x14ac:dyDescent="0.25">
      <c r="A199" s="70" t="s">
        <v>52</v>
      </c>
    </row>
    <row r="200" spans="1:1" x14ac:dyDescent="0.25">
      <c r="A200" s="71" t="s">
        <v>52</v>
      </c>
    </row>
    <row r="201" spans="1:1" x14ac:dyDescent="0.25">
      <c r="A201" s="72" t="s">
        <v>52</v>
      </c>
    </row>
    <row r="202" spans="1:1" x14ac:dyDescent="0.25">
      <c r="A202" s="73" t="s">
        <v>52</v>
      </c>
    </row>
    <row r="203" spans="1:1" x14ac:dyDescent="0.25">
      <c r="A203" s="74" t="s">
        <v>52</v>
      </c>
    </row>
    <row r="204" spans="1:1" x14ac:dyDescent="0.25">
      <c r="A204" s="75" t="s">
        <v>52</v>
      </c>
    </row>
    <row r="205" spans="1:1" x14ac:dyDescent="0.25">
      <c r="A205" s="76" t="s">
        <v>52</v>
      </c>
    </row>
    <row r="206" spans="1:1" x14ac:dyDescent="0.25">
      <c r="A206" s="77" t="s">
        <v>52</v>
      </c>
    </row>
    <row r="207" spans="1:1" x14ac:dyDescent="0.25">
      <c r="A207" s="78" t="s">
        <v>52</v>
      </c>
    </row>
    <row r="208" spans="1:1" x14ac:dyDescent="0.25">
      <c r="A208" s="79" t="s">
        <v>52</v>
      </c>
    </row>
    <row r="209" spans="1:1" x14ac:dyDescent="0.25">
      <c r="A209" s="80" t="s">
        <v>52</v>
      </c>
    </row>
    <row r="210" spans="1:1" x14ac:dyDescent="0.25">
      <c r="A210" s="81" t="s">
        <v>52</v>
      </c>
    </row>
    <row r="211" spans="1:1" x14ac:dyDescent="0.25">
      <c r="A211" s="82" t="s">
        <v>52</v>
      </c>
    </row>
    <row r="212" spans="1:1" x14ac:dyDescent="0.25">
      <c r="A212" s="83" t="s">
        <v>52</v>
      </c>
    </row>
    <row r="213" spans="1:1" x14ac:dyDescent="0.25">
      <c r="A213" s="84" t="s">
        <v>52</v>
      </c>
    </row>
    <row r="214" spans="1:1" x14ac:dyDescent="0.25">
      <c r="A214" s="85" t="s">
        <v>52</v>
      </c>
    </row>
    <row r="215" spans="1:1" x14ac:dyDescent="0.25">
      <c r="A215" s="86" t="s">
        <v>52</v>
      </c>
    </row>
    <row r="216" spans="1:1" x14ac:dyDescent="0.25">
      <c r="A216" s="87" t="s">
        <v>52</v>
      </c>
    </row>
    <row r="217" spans="1:1" x14ac:dyDescent="0.25">
      <c r="A217" s="88" t="s">
        <v>52</v>
      </c>
    </row>
    <row r="218" spans="1:1" x14ac:dyDescent="0.25">
      <c r="A218" s="89" t="s">
        <v>52</v>
      </c>
    </row>
    <row r="219" spans="1:1" x14ac:dyDescent="0.25">
      <c r="A219" s="90" t="s">
        <v>52</v>
      </c>
    </row>
    <row r="220" spans="1:1" x14ac:dyDescent="0.25">
      <c r="A220" s="19" t="s">
        <v>604</v>
      </c>
    </row>
    <row r="221" spans="1:1" x14ac:dyDescent="0.25">
      <c r="A221" s="20" t="s">
        <v>52</v>
      </c>
    </row>
    <row r="222" spans="1:1" x14ac:dyDescent="0.25">
      <c r="A222" s="21" t="s">
        <v>52</v>
      </c>
    </row>
    <row r="223" spans="1:1" x14ac:dyDescent="0.25">
      <c r="A223" s="22" t="s">
        <v>52</v>
      </c>
    </row>
    <row r="224" spans="1:1" x14ac:dyDescent="0.25">
      <c r="A224" s="23" t="s">
        <v>52</v>
      </c>
    </row>
    <row r="225" spans="1:1" x14ac:dyDescent="0.25">
      <c r="A225" s="24" t="s">
        <v>52</v>
      </c>
    </row>
    <row r="226" spans="1:1" x14ac:dyDescent="0.25">
      <c r="A226" s="25" t="s">
        <v>52</v>
      </c>
    </row>
    <row r="227" spans="1:1" x14ac:dyDescent="0.25">
      <c r="A227" s="26" t="s">
        <v>52</v>
      </c>
    </row>
    <row r="228" spans="1:1" x14ac:dyDescent="0.25">
      <c r="A228" s="27" t="s">
        <v>52</v>
      </c>
    </row>
    <row r="229" spans="1:1" x14ac:dyDescent="0.25">
      <c r="A229" s="28" t="s">
        <v>52</v>
      </c>
    </row>
    <row r="230" spans="1:1" x14ac:dyDescent="0.25">
      <c r="A230" s="29" t="s">
        <v>52</v>
      </c>
    </row>
    <row r="231" spans="1:1" x14ac:dyDescent="0.25">
      <c r="A231" s="30" t="s">
        <v>605</v>
      </c>
    </row>
    <row r="232" spans="1:1" x14ac:dyDescent="0.25">
      <c r="A232" s="31" t="s">
        <v>52</v>
      </c>
    </row>
    <row r="233" spans="1:1" x14ac:dyDescent="0.25">
      <c r="A233" s="32" t="s">
        <v>52</v>
      </c>
    </row>
    <row r="234" spans="1:1" x14ac:dyDescent="0.25">
      <c r="A234" s="33" t="s">
        <v>52</v>
      </c>
    </row>
    <row r="235" spans="1:1" x14ac:dyDescent="0.25">
      <c r="A235" s="34" t="s">
        <v>52</v>
      </c>
    </row>
    <row r="236" spans="1:1" x14ac:dyDescent="0.25">
      <c r="A236" s="35" t="s">
        <v>52</v>
      </c>
    </row>
    <row r="237" spans="1:1" x14ac:dyDescent="0.25">
      <c r="A237" s="36" t="s">
        <v>52</v>
      </c>
    </row>
    <row r="238" spans="1:1" x14ac:dyDescent="0.25">
      <c r="A238" s="37" t="s">
        <v>52</v>
      </c>
    </row>
    <row r="239" spans="1:1" x14ac:dyDescent="0.25">
      <c r="A239" s="38" t="s">
        <v>52</v>
      </c>
    </row>
    <row r="240" spans="1:1" x14ac:dyDescent="0.25">
      <c r="A240" s="39" t="s">
        <v>52</v>
      </c>
    </row>
    <row r="241" spans="1:1" x14ac:dyDescent="0.25">
      <c r="A241" s="40" t="s">
        <v>52</v>
      </c>
    </row>
    <row r="242" spans="1:1" x14ac:dyDescent="0.25">
      <c r="A242" s="41" t="s">
        <v>52</v>
      </c>
    </row>
    <row r="243" spans="1:1" x14ac:dyDescent="0.25">
      <c r="A243" s="42" t="s">
        <v>52</v>
      </c>
    </row>
    <row r="244" spans="1:1" x14ac:dyDescent="0.25">
      <c r="A244" s="43" t="s">
        <v>52</v>
      </c>
    </row>
    <row r="245" spans="1:1" x14ac:dyDescent="0.25">
      <c r="A245" s="44" t="s">
        <v>606</v>
      </c>
    </row>
    <row r="246" spans="1:1" x14ac:dyDescent="0.25">
      <c r="A246" s="45" t="s">
        <v>52</v>
      </c>
    </row>
    <row r="247" spans="1:1" x14ac:dyDescent="0.25">
      <c r="A247" s="46" t="s">
        <v>52</v>
      </c>
    </row>
    <row r="248" spans="1:1" x14ac:dyDescent="0.25">
      <c r="A248" s="47" t="s">
        <v>52</v>
      </c>
    </row>
    <row r="249" spans="1:1" x14ac:dyDescent="0.25">
      <c r="A249" s="48" t="s">
        <v>52</v>
      </c>
    </row>
    <row r="250" spans="1:1" x14ac:dyDescent="0.25">
      <c r="A250" s="49" t="s">
        <v>52</v>
      </c>
    </row>
    <row r="251" spans="1:1" x14ac:dyDescent="0.25">
      <c r="A251" s="50" t="s">
        <v>52</v>
      </c>
    </row>
    <row r="252" spans="1:1" x14ac:dyDescent="0.25">
      <c r="A252" s="51" t="s">
        <v>52</v>
      </c>
    </row>
    <row r="253" spans="1:1" x14ac:dyDescent="0.25">
      <c r="A253" s="52" t="s">
        <v>52</v>
      </c>
    </row>
    <row r="254" spans="1:1" x14ac:dyDescent="0.25">
      <c r="A254" s="53" t="s">
        <v>52</v>
      </c>
    </row>
    <row r="255" spans="1:1" x14ac:dyDescent="0.25">
      <c r="A255" s="54" t="s">
        <v>52</v>
      </c>
    </row>
    <row r="256" spans="1:1" x14ac:dyDescent="0.25">
      <c r="A256" s="55" t="s">
        <v>52</v>
      </c>
    </row>
    <row r="257" spans="1:1" x14ac:dyDescent="0.25">
      <c r="A257" s="56" t="s">
        <v>52</v>
      </c>
    </row>
    <row r="258" spans="1:1" x14ac:dyDescent="0.25">
      <c r="A258" s="57" t="s">
        <v>52</v>
      </c>
    </row>
    <row r="259" spans="1:1" x14ac:dyDescent="0.25">
      <c r="A259" s="58" t="s">
        <v>52</v>
      </c>
    </row>
    <row r="260" spans="1:1" x14ac:dyDescent="0.25">
      <c r="A260" s="59" t="s">
        <v>52</v>
      </c>
    </row>
    <row r="261" spans="1:1" x14ac:dyDescent="0.25">
      <c r="A261" s="60" t="s">
        <v>52</v>
      </c>
    </row>
    <row r="262" spans="1:1" x14ac:dyDescent="0.25">
      <c r="A262" s="61" t="s">
        <v>52</v>
      </c>
    </row>
    <row r="263" spans="1:1" x14ac:dyDescent="0.25">
      <c r="A263" s="62" t="s">
        <v>52</v>
      </c>
    </row>
    <row r="264" spans="1:1" x14ac:dyDescent="0.25">
      <c r="A264" s="63" t="s">
        <v>52</v>
      </c>
    </row>
    <row r="265" spans="1:1" x14ac:dyDescent="0.25">
      <c r="A265" s="64" t="s">
        <v>52</v>
      </c>
    </row>
    <row r="266" spans="1:1" x14ac:dyDescent="0.25">
      <c r="A266" s="65" t="s">
        <v>52</v>
      </c>
    </row>
    <row r="267" spans="1:1" x14ac:dyDescent="0.25">
      <c r="A267" s="66" t="s">
        <v>52</v>
      </c>
    </row>
    <row r="268" spans="1:1" x14ac:dyDescent="0.25">
      <c r="A268" s="67" t="s">
        <v>52</v>
      </c>
    </row>
    <row r="269" spans="1:1" x14ac:dyDescent="0.25">
      <c r="A269" s="68" t="s">
        <v>52</v>
      </c>
    </row>
    <row r="270" spans="1:1" x14ac:dyDescent="0.25">
      <c r="A270" s="69" t="s">
        <v>52</v>
      </c>
    </row>
    <row r="271" spans="1:1" x14ac:dyDescent="0.25">
      <c r="A271" s="70" t="s">
        <v>52</v>
      </c>
    </row>
    <row r="272" spans="1:1" x14ac:dyDescent="0.25">
      <c r="A272" s="71" t="s">
        <v>52</v>
      </c>
    </row>
    <row r="273" spans="1:1" x14ac:dyDescent="0.25">
      <c r="A273" s="72" t="s">
        <v>52</v>
      </c>
    </row>
    <row r="274" spans="1:1" x14ac:dyDescent="0.25">
      <c r="A274" s="73" t="s">
        <v>52</v>
      </c>
    </row>
    <row r="275" spans="1:1" x14ac:dyDescent="0.25">
      <c r="A275" s="74" t="s">
        <v>52</v>
      </c>
    </row>
    <row r="276" spans="1:1" x14ac:dyDescent="0.25">
      <c r="A276" s="75" t="s">
        <v>52</v>
      </c>
    </row>
    <row r="277" spans="1:1" x14ac:dyDescent="0.25">
      <c r="A277" s="76" t="s">
        <v>52</v>
      </c>
    </row>
    <row r="278" spans="1:1" x14ac:dyDescent="0.25">
      <c r="A278" s="77" t="s">
        <v>52</v>
      </c>
    </row>
    <row r="279" spans="1:1" x14ac:dyDescent="0.25">
      <c r="A279" s="78" t="s">
        <v>52</v>
      </c>
    </row>
    <row r="280" spans="1:1" x14ac:dyDescent="0.25">
      <c r="A280" s="79" t="s">
        <v>52</v>
      </c>
    </row>
    <row r="281" spans="1:1" x14ac:dyDescent="0.25">
      <c r="A281" s="80" t="s">
        <v>52</v>
      </c>
    </row>
    <row r="282" spans="1:1" x14ac:dyDescent="0.25">
      <c r="A282" s="81" t="s">
        <v>52</v>
      </c>
    </row>
    <row r="283" spans="1:1" x14ac:dyDescent="0.25">
      <c r="A283" s="82" t="s">
        <v>52</v>
      </c>
    </row>
    <row r="284" spans="1:1" x14ac:dyDescent="0.25">
      <c r="A284" s="83" t="s">
        <v>52</v>
      </c>
    </row>
    <row r="285" spans="1:1" x14ac:dyDescent="0.25">
      <c r="A285" s="84" t="s">
        <v>52</v>
      </c>
    </row>
    <row r="286" spans="1:1" x14ac:dyDescent="0.25">
      <c r="A286" s="85" t="s">
        <v>52</v>
      </c>
    </row>
    <row r="287" spans="1:1" x14ac:dyDescent="0.25">
      <c r="A287" s="86" t="s">
        <v>52</v>
      </c>
    </row>
    <row r="288" spans="1:1" x14ac:dyDescent="0.25">
      <c r="A288" s="87" t="s">
        <v>52</v>
      </c>
    </row>
    <row r="289" spans="1:1" x14ac:dyDescent="0.25">
      <c r="A289" s="88" t="s">
        <v>52</v>
      </c>
    </row>
    <row r="290" spans="1:1" x14ac:dyDescent="0.25">
      <c r="A290" s="89" t="s">
        <v>52</v>
      </c>
    </row>
    <row r="291" spans="1:1" x14ac:dyDescent="0.25">
      <c r="A291" s="90" t="s">
        <v>52</v>
      </c>
    </row>
    <row r="292" spans="1:1" x14ac:dyDescent="0.25">
      <c r="A292" s="19" t="s">
        <v>607</v>
      </c>
    </row>
    <row r="293" spans="1:1" x14ac:dyDescent="0.25">
      <c r="A293" s="20" t="s">
        <v>52</v>
      </c>
    </row>
    <row r="294" spans="1:1" x14ac:dyDescent="0.25">
      <c r="A294" s="21" t="s">
        <v>52</v>
      </c>
    </row>
    <row r="295" spans="1:1" x14ac:dyDescent="0.25">
      <c r="A295" s="22" t="s">
        <v>52</v>
      </c>
    </row>
    <row r="296" spans="1:1" x14ac:dyDescent="0.25">
      <c r="A296" s="23" t="s">
        <v>52</v>
      </c>
    </row>
    <row r="297" spans="1:1" x14ac:dyDescent="0.25">
      <c r="A297" s="24" t="s">
        <v>52</v>
      </c>
    </row>
    <row r="298" spans="1:1" x14ac:dyDescent="0.25">
      <c r="A298" s="25" t="s">
        <v>52</v>
      </c>
    </row>
    <row r="299" spans="1:1" x14ac:dyDescent="0.25">
      <c r="A299" s="26" t="s">
        <v>52</v>
      </c>
    </row>
    <row r="300" spans="1:1" x14ac:dyDescent="0.25">
      <c r="A300" s="27" t="s">
        <v>52</v>
      </c>
    </row>
    <row r="301" spans="1:1" x14ac:dyDescent="0.25">
      <c r="A301" s="28" t="s">
        <v>52</v>
      </c>
    </row>
    <row r="302" spans="1:1" x14ac:dyDescent="0.25">
      <c r="A302" s="29" t="s">
        <v>52</v>
      </c>
    </row>
    <row r="303" spans="1:1" x14ac:dyDescent="0.25">
      <c r="A303" s="30" t="s">
        <v>608</v>
      </c>
    </row>
    <row r="304" spans="1:1" x14ac:dyDescent="0.25">
      <c r="A304" s="31" t="s">
        <v>52</v>
      </c>
    </row>
    <row r="305" spans="1:1" x14ac:dyDescent="0.25">
      <c r="A305" s="32" t="s">
        <v>52</v>
      </c>
    </row>
    <row r="306" spans="1:1" x14ac:dyDescent="0.25">
      <c r="A306" s="33" t="s">
        <v>52</v>
      </c>
    </row>
    <row r="307" spans="1:1" x14ac:dyDescent="0.25">
      <c r="A307" s="34" t="s">
        <v>52</v>
      </c>
    </row>
    <row r="308" spans="1:1" x14ac:dyDescent="0.25">
      <c r="A308" s="35" t="s">
        <v>52</v>
      </c>
    </row>
    <row r="309" spans="1:1" x14ac:dyDescent="0.25">
      <c r="A309" s="36" t="s">
        <v>52</v>
      </c>
    </row>
    <row r="310" spans="1:1" x14ac:dyDescent="0.25">
      <c r="A310" s="37" t="s">
        <v>52</v>
      </c>
    </row>
    <row r="311" spans="1:1" x14ac:dyDescent="0.25">
      <c r="A311" s="38" t="s">
        <v>52</v>
      </c>
    </row>
    <row r="312" spans="1:1" x14ac:dyDescent="0.25">
      <c r="A312" s="39" t="s">
        <v>52</v>
      </c>
    </row>
    <row r="313" spans="1:1" x14ac:dyDescent="0.25">
      <c r="A313" s="40" t="s">
        <v>52</v>
      </c>
    </row>
    <row r="314" spans="1:1" x14ac:dyDescent="0.25">
      <c r="A314" s="41" t="s">
        <v>52</v>
      </c>
    </row>
    <row r="315" spans="1:1" x14ac:dyDescent="0.25">
      <c r="A315" s="42" t="s">
        <v>52</v>
      </c>
    </row>
    <row r="316" spans="1:1" x14ac:dyDescent="0.25">
      <c r="A316" s="43" t="s">
        <v>52</v>
      </c>
    </row>
    <row r="317" spans="1:1" x14ac:dyDescent="0.25">
      <c r="A317" s="44" t="s">
        <v>609</v>
      </c>
    </row>
    <row r="318" spans="1:1" x14ac:dyDescent="0.25">
      <c r="A318" s="45" t="s">
        <v>52</v>
      </c>
    </row>
    <row r="319" spans="1:1" x14ac:dyDescent="0.25">
      <c r="A319" s="46" t="s">
        <v>52</v>
      </c>
    </row>
    <row r="320" spans="1:1" x14ac:dyDescent="0.25">
      <c r="A320" s="47" t="s">
        <v>52</v>
      </c>
    </row>
    <row r="321" spans="1:1" x14ac:dyDescent="0.25">
      <c r="A321" s="48" t="s">
        <v>52</v>
      </c>
    </row>
    <row r="322" spans="1:1" x14ac:dyDescent="0.25">
      <c r="A322" s="49" t="s">
        <v>52</v>
      </c>
    </row>
    <row r="323" spans="1:1" x14ac:dyDescent="0.25">
      <c r="A323" s="50" t="s">
        <v>52</v>
      </c>
    </row>
    <row r="324" spans="1:1" x14ac:dyDescent="0.25">
      <c r="A324" s="51" t="s">
        <v>52</v>
      </c>
    </row>
    <row r="325" spans="1:1" x14ac:dyDescent="0.25">
      <c r="A325" s="52" t="s">
        <v>52</v>
      </c>
    </row>
    <row r="326" spans="1:1" x14ac:dyDescent="0.25">
      <c r="A326" s="53" t="s">
        <v>52</v>
      </c>
    </row>
    <row r="327" spans="1:1" x14ac:dyDescent="0.25">
      <c r="A327" s="54" t="s">
        <v>52</v>
      </c>
    </row>
    <row r="328" spans="1:1" x14ac:dyDescent="0.25">
      <c r="A328" s="55" t="s">
        <v>52</v>
      </c>
    </row>
    <row r="329" spans="1:1" x14ac:dyDescent="0.25">
      <c r="A329" s="56" t="s">
        <v>52</v>
      </c>
    </row>
    <row r="330" spans="1:1" x14ac:dyDescent="0.25">
      <c r="A330" s="57" t="s">
        <v>52</v>
      </c>
    </row>
    <row r="331" spans="1:1" x14ac:dyDescent="0.25">
      <c r="A331" s="58" t="s">
        <v>52</v>
      </c>
    </row>
    <row r="332" spans="1:1" x14ac:dyDescent="0.25">
      <c r="A332" s="59" t="s">
        <v>52</v>
      </c>
    </row>
    <row r="333" spans="1:1" x14ac:dyDescent="0.25">
      <c r="A333" s="60" t="s">
        <v>52</v>
      </c>
    </row>
    <row r="334" spans="1:1" x14ac:dyDescent="0.25">
      <c r="A334" s="61" t="s">
        <v>52</v>
      </c>
    </row>
    <row r="335" spans="1:1" x14ac:dyDescent="0.25">
      <c r="A335" s="62" t="s">
        <v>52</v>
      </c>
    </row>
    <row r="336" spans="1:1" x14ac:dyDescent="0.25">
      <c r="A336" s="63" t="s">
        <v>52</v>
      </c>
    </row>
    <row r="337" spans="1:1" x14ac:dyDescent="0.25">
      <c r="A337" s="64" t="s">
        <v>52</v>
      </c>
    </row>
    <row r="338" spans="1:1" x14ac:dyDescent="0.25">
      <c r="A338" s="65" t="s">
        <v>52</v>
      </c>
    </row>
    <row r="339" spans="1:1" x14ac:dyDescent="0.25">
      <c r="A339" s="66" t="s">
        <v>52</v>
      </c>
    </row>
    <row r="340" spans="1:1" x14ac:dyDescent="0.25">
      <c r="A340" s="67" t="s">
        <v>52</v>
      </c>
    </row>
    <row r="341" spans="1:1" x14ac:dyDescent="0.25">
      <c r="A341" s="68" t="s">
        <v>52</v>
      </c>
    </row>
    <row r="342" spans="1:1" x14ac:dyDescent="0.25">
      <c r="A342" s="69" t="s">
        <v>52</v>
      </c>
    </row>
    <row r="343" spans="1:1" x14ac:dyDescent="0.25">
      <c r="A343" s="70" t="s">
        <v>52</v>
      </c>
    </row>
    <row r="344" spans="1:1" x14ac:dyDescent="0.25">
      <c r="A344" s="71" t="s">
        <v>52</v>
      </c>
    </row>
    <row r="345" spans="1:1" x14ac:dyDescent="0.25">
      <c r="A345" s="72" t="s">
        <v>52</v>
      </c>
    </row>
    <row r="346" spans="1:1" x14ac:dyDescent="0.25">
      <c r="A346" s="73" t="s">
        <v>52</v>
      </c>
    </row>
    <row r="347" spans="1:1" x14ac:dyDescent="0.25">
      <c r="A347" s="74" t="s">
        <v>52</v>
      </c>
    </row>
    <row r="348" spans="1:1" x14ac:dyDescent="0.25">
      <c r="A348" s="75" t="s">
        <v>52</v>
      </c>
    </row>
    <row r="349" spans="1:1" x14ac:dyDescent="0.25">
      <c r="A349" s="76" t="s">
        <v>52</v>
      </c>
    </row>
    <row r="350" spans="1:1" x14ac:dyDescent="0.25">
      <c r="A350" s="77" t="s">
        <v>52</v>
      </c>
    </row>
    <row r="351" spans="1:1" x14ac:dyDescent="0.25">
      <c r="A351" s="78" t="s">
        <v>52</v>
      </c>
    </row>
    <row r="352" spans="1:1" x14ac:dyDescent="0.25">
      <c r="A352" s="79" t="s">
        <v>52</v>
      </c>
    </row>
    <row r="353" spans="1:1" x14ac:dyDescent="0.25">
      <c r="A353" s="80" t="s">
        <v>52</v>
      </c>
    </row>
    <row r="354" spans="1:1" x14ac:dyDescent="0.25">
      <c r="A354" s="81" t="s">
        <v>52</v>
      </c>
    </row>
    <row r="355" spans="1:1" x14ac:dyDescent="0.25">
      <c r="A355" s="82" t="s">
        <v>52</v>
      </c>
    </row>
    <row r="356" spans="1:1" x14ac:dyDescent="0.25">
      <c r="A356" s="83" t="s">
        <v>52</v>
      </c>
    </row>
    <row r="357" spans="1:1" x14ac:dyDescent="0.25">
      <c r="A357" s="84" t="s">
        <v>52</v>
      </c>
    </row>
    <row r="358" spans="1:1" x14ac:dyDescent="0.25">
      <c r="A358" s="85" t="s">
        <v>52</v>
      </c>
    </row>
    <row r="359" spans="1:1" x14ac:dyDescent="0.25">
      <c r="A359" s="86" t="s">
        <v>52</v>
      </c>
    </row>
    <row r="360" spans="1:1" x14ac:dyDescent="0.25">
      <c r="A360" s="87" t="s">
        <v>52</v>
      </c>
    </row>
    <row r="361" spans="1:1" x14ac:dyDescent="0.25">
      <c r="A361" s="88" t="s">
        <v>52</v>
      </c>
    </row>
    <row r="362" spans="1:1" x14ac:dyDescent="0.25">
      <c r="A362" s="89" t="s">
        <v>52</v>
      </c>
    </row>
    <row r="363" spans="1:1" x14ac:dyDescent="0.25">
      <c r="A363" s="90" t="s">
        <v>52</v>
      </c>
    </row>
    <row r="364" spans="1:1" x14ac:dyDescent="0.25">
      <c r="A364" s="19" t="s">
        <v>610</v>
      </c>
    </row>
    <row r="365" spans="1:1" x14ac:dyDescent="0.25">
      <c r="A365" s="20" t="s">
        <v>52</v>
      </c>
    </row>
    <row r="366" spans="1:1" x14ac:dyDescent="0.25">
      <c r="A366" s="21" t="s">
        <v>52</v>
      </c>
    </row>
    <row r="367" spans="1:1" x14ac:dyDescent="0.25">
      <c r="A367" s="22" t="s">
        <v>52</v>
      </c>
    </row>
    <row r="368" spans="1:1" x14ac:dyDescent="0.25">
      <c r="A368" s="23" t="s">
        <v>52</v>
      </c>
    </row>
    <row r="369" spans="1:1" x14ac:dyDescent="0.25">
      <c r="A369" s="24" t="s">
        <v>52</v>
      </c>
    </row>
    <row r="370" spans="1:1" x14ac:dyDescent="0.25">
      <c r="A370" s="25" t="s">
        <v>52</v>
      </c>
    </row>
    <row r="371" spans="1:1" x14ac:dyDescent="0.25">
      <c r="A371" s="26" t="s">
        <v>52</v>
      </c>
    </row>
    <row r="372" spans="1:1" x14ac:dyDescent="0.25">
      <c r="A372" s="27" t="s">
        <v>52</v>
      </c>
    </row>
    <row r="373" spans="1:1" x14ac:dyDescent="0.25">
      <c r="A373" s="28" t="s">
        <v>52</v>
      </c>
    </row>
    <row r="374" spans="1:1" x14ac:dyDescent="0.25">
      <c r="A374" s="29" t="s">
        <v>52</v>
      </c>
    </row>
    <row r="375" spans="1:1" x14ac:dyDescent="0.25">
      <c r="A375" s="30" t="s">
        <v>611</v>
      </c>
    </row>
    <row r="376" spans="1:1" x14ac:dyDescent="0.25">
      <c r="A376" s="31" t="s">
        <v>52</v>
      </c>
    </row>
    <row r="377" spans="1:1" x14ac:dyDescent="0.25">
      <c r="A377" s="32" t="s">
        <v>52</v>
      </c>
    </row>
    <row r="378" spans="1:1" x14ac:dyDescent="0.25">
      <c r="A378" s="33" t="s">
        <v>52</v>
      </c>
    </row>
    <row r="379" spans="1:1" x14ac:dyDescent="0.25">
      <c r="A379" s="34" t="s">
        <v>52</v>
      </c>
    </row>
    <row r="380" spans="1:1" x14ac:dyDescent="0.25">
      <c r="A380" s="35" t="s">
        <v>52</v>
      </c>
    </row>
    <row r="381" spans="1:1" x14ac:dyDescent="0.25">
      <c r="A381" s="36" t="s">
        <v>52</v>
      </c>
    </row>
    <row r="382" spans="1:1" x14ac:dyDescent="0.25">
      <c r="A382" s="37" t="s">
        <v>52</v>
      </c>
    </row>
    <row r="383" spans="1:1" x14ac:dyDescent="0.25">
      <c r="A383" s="38" t="s">
        <v>52</v>
      </c>
    </row>
    <row r="384" spans="1:1" x14ac:dyDescent="0.25">
      <c r="A384" s="39" t="s">
        <v>52</v>
      </c>
    </row>
    <row r="385" spans="1:1" x14ac:dyDescent="0.25">
      <c r="A385" s="40" t="s">
        <v>52</v>
      </c>
    </row>
    <row r="386" spans="1:1" x14ac:dyDescent="0.25">
      <c r="A386" s="41" t="s">
        <v>52</v>
      </c>
    </row>
    <row r="387" spans="1:1" x14ac:dyDescent="0.25">
      <c r="A387" s="42" t="s">
        <v>52</v>
      </c>
    </row>
    <row r="388" spans="1:1" x14ac:dyDescent="0.25">
      <c r="A388" s="43" t="s">
        <v>52</v>
      </c>
    </row>
    <row r="389" spans="1:1" x14ac:dyDescent="0.25">
      <c r="A389" s="44" t="s">
        <v>612</v>
      </c>
    </row>
    <row r="390" spans="1:1" x14ac:dyDescent="0.25">
      <c r="A390" s="45" t="s">
        <v>52</v>
      </c>
    </row>
    <row r="391" spans="1:1" x14ac:dyDescent="0.25">
      <c r="A391" s="46" t="s">
        <v>52</v>
      </c>
    </row>
    <row r="392" spans="1:1" x14ac:dyDescent="0.25">
      <c r="A392" s="47" t="s">
        <v>52</v>
      </c>
    </row>
    <row r="393" spans="1:1" x14ac:dyDescent="0.25">
      <c r="A393" s="48" t="s">
        <v>52</v>
      </c>
    </row>
    <row r="394" spans="1:1" x14ac:dyDescent="0.25">
      <c r="A394" s="49" t="s">
        <v>52</v>
      </c>
    </row>
    <row r="395" spans="1:1" x14ac:dyDescent="0.25">
      <c r="A395" s="50" t="s">
        <v>52</v>
      </c>
    </row>
    <row r="396" spans="1:1" x14ac:dyDescent="0.25">
      <c r="A396" s="51" t="s">
        <v>52</v>
      </c>
    </row>
    <row r="397" spans="1:1" x14ac:dyDescent="0.25">
      <c r="A397" s="52" t="s">
        <v>52</v>
      </c>
    </row>
    <row r="398" spans="1:1" x14ac:dyDescent="0.25">
      <c r="A398" s="53" t="s">
        <v>52</v>
      </c>
    </row>
    <row r="399" spans="1:1" x14ac:dyDescent="0.25">
      <c r="A399" s="54" t="s">
        <v>52</v>
      </c>
    </row>
    <row r="400" spans="1:1" x14ac:dyDescent="0.25">
      <c r="A400" s="55" t="s">
        <v>52</v>
      </c>
    </row>
    <row r="401" spans="1:1" x14ac:dyDescent="0.25">
      <c r="A401" s="56" t="s">
        <v>52</v>
      </c>
    </row>
    <row r="402" spans="1:1" x14ac:dyDescent="0.25">
      <c r="A402" s="57" t="s">
        <v>52</v>
      </c>
    </row>
    <row r="403" spans="1:1" x14ac:dyDescent="0.25">
      <c r="A403" s="58" t="s">
        <v>52</v>
      </c>
    </row>
    <row r="404" spans="1:1" x14ac:dyDescent="0.25">
      <c r="A404" s="59" t="s">
        <v>52</v>
      </c>
    </row>
    <row r="405" spans="1:1" x14ac:dyDescent="0.25">
      <c r="A405" s="60" t="s">
        <v>52</v>
      </c>
    </row>
    <row r="406" spans="1:1" x14ac:dyDescent="0.25">
      <c r="A406" s="61" t="s">
        <v>52</v>
      </c>
    </row>
    <row r="407" spans="1:1" x14ac:dyDescent="0.25">
      <c r="A407" s="62" t="s">
        <v>52</v>
      </c>
    </row>
    <row r="408" spans="1:1" x14ac:dyDescent="0.25">
      <c r="A408" s="63" t="s">
        <v>52</v>
      </c>
    </row>
    <row r="409" spans="1:1" x14ac:dyDescent="0.25">
      <c r="A409" s="64" t="s">
        <v>52</v>
      </c>
    </row>
    <row r="410" spans="1:1" x14ac:dyDescent="0.25">
      <c r="A410" s="65" t="s">
        <v>52</v>
      </c>
    </row>
    <row r="411" spans="1:1" x14ac:dyDescent="0.25">
      <c r="A411" s="66" t="s">
        <v>52</v>
      </c>
    </row>
    <row r="412" spans="1:1" x14ac:dyDescent="0.25">
      <c r="A412" s="67" t="s">
        <v>52</v>
      </c>
    </row>
    <row r="413" spans="1:1" x14ac:dyDescent="0.25">
      <c r="A413" s="68" t="s">
        <v>52</v>
      </c>
    </row>
    <row r="414" spans="1:1" x14ac:dyDescent="0.25">
      <c r="A414" s="69" t="s">
        <v>52</v>
      </c>
    </row>
    <row r="415" spans="1:1" x14ac:dyDescent="0.25">
      <c r="A415" s="70" t="s">
        <v>52</v>
      </c>
    </row>
    <row r="416" spans="1:1" x14ac:dyDescent="0.25">
      <c r="A416" s="71" t="s">
        <v>52</v>
      </c>
    </row>
    <row r="417" spans="1:1" x14ac:dyDescent="0.25">
      <c r="A417" s="72" t="s">
        <v>52</v>
      </c>
    </row>
    <row r="418" spans="1:1" x14ac:dyDescent="0.25">
      <c r="A418" s="73" t="s">
        <v>52</v>
      </c>
    </row>
    <row r="419" spans="1:1" x14ac:dyDescent="0.25">
      <c r="A419" s="74" t="s">
        <v>52</v>
      </c>
    </row>
    <row r="420" spans="1:1" x14ac:dyDescent="0.25">
      <c r="A420" s="75" t="s">
        <v>52</v>
      </c>
    </row>
    <row r="421" spans="1:1" x14ac:dyDescent="0.25">
      <c r="A421" s="76" t="s">
        <v>52</v>
      </c>
    </row>
    <row r="422" spans="1:1" x14ac:dyDescent="0.25">
      <c r="A422" s="77" t="s">
        <v>52</v>
      </c>
    </row>
    <row r="423" spans="1:1" x14ac:dyDescent="0.25">
      <c r="A423" s="78" t="s">
        <v>52</v>
      </c>
    </row>
    <row r="424" spans="1:1" x14ac:dyDescent="0.25">
      <c r="A424" s="79" t="s">
        <v>52</v>
      </c>
    </row>
    <row r="425" spans="1:1" x14ac:dyDescent="0.25">
      <c r="A425" s="80" t="s">
        <v>52</v>
      </c>
    </row>
    <row r="426" spans="1:1" x14ac:dyDescent="0.25">
      <c r="A426" s="81" t="s">
        <v>52</v>
      </c>
    </row>
    <row r="427" spans="1:1" x14ac:dyDescent="0.25">
      <c r="A427" s="82" t="s">
        <v>52</v>
      </c>
    </row>
    <row r="428" spans="1:1" x14ac:dyDescent="0.25">
      <c r="A428" s="83" t="s">
        <v>52</v>
      </c>
    </row>
    <row r="429" spans="1:1" x14ac:dyDescent="0.25">
      <c r="A429" s="84" t="s">
        <v>52</v>
      </c>
    </row>
    <row r="430" spans="1:1" x14ac:dyDescent="0.25">
      <c r="A430" s="85" t="s">
        <v>52</v>
      </c>
    </row>
    <row r="431" spans="1:1" x14ac:dyDescent="0.25">
      <c r="A431" s="86" t="s">
        <v>52</v>
      </c>
    </row>
    <row r="432" spans="1:1" x14ac:dyDescent="0.25">
      <c r="A432" s="87" t="s">
        <v>52</v>
      </c>
    </row>
    <row r="433" spans="1:1" x14ac:dyDescent="0.25">
      <c r="A433" s="88" t="s">
        <v>52</v>
      </c>
    </row>
    <row r="434" spans="1:1" x14ac:dyDescent="0.25">
      <c r="A434" s="89" t="s">
        <v>52</v>
      </c>
    </row>
    <row r="435" spans="1:1" x14ac:dyDescent="0.25">
      <c r="A435" s="90" t="s">
        <v>52</v>
      </c>
    </row>
    <row r="436" spans="1:1" x14ac:dyDescent="0.25">
      <c r="A436" s="19" t="s">
        <v>613</v>
      </c>
    </row>
    <row r="437" spans="1:1" x14ac:dyDescent="0.25">
      <c r="A437" s="20" t="s">
        <v>52</v>
      </c>
    </row>
    <row r="438" spans="1:1" x14ac:dyDescent="0.25">
      <c r="A438" s="21" t="s">
        <v>52</v>
      </c>
    </row>
    <row r="439" spans="1:1" x14ac:dyDescent="0.25">
      <c r="A439" s="22" t="s">
        <v>52</v>
      </c>
    </row>
    <row r="440" spans="1:1" x14ac:dyDescent="0.25">
      <c r="A440" s="23" t="s">
        <v>52</v>
      </c>
    </row>
    <row r="441" spans="1:1" x14ac:dyDescent="0.25">
      <c r="A441" s="24" t="s">
        <v>52</v>
      </c>
    </row>
    <row r="442" spans="1:1" x14ac:dyDescent="0.25">
      <c r="A442" s="25" t="s">
        <v>52</v>
      </c>
    </row>
    <row r="443" spans="1:1" x14ac:dyDescent="0.25">
      <c r="A443" s="26" t="s">
        <v>52</v>
      </c>
    </row>
    <row r="444" spans="1:1" x14ac:dyDescent="0.25">
      <c r="A444" s="27" t="s">
        <v>52</v>
      </c>
    </row>
    <row r="445" spans="1:1" x14ac:dyDescent="0.25">
      <c r="A445" s="28" t="s">
        <v>52</v>
      </c>
    </row>
    <row r="446" spans="1:1" x14ac:dyDescent="0.25">
      <c r="A446" s="29" t="s">
        <v>52</v>
      </c>
    </row>
    <row r="447" spans="1:1" x14ac:dyDescent="0.25">
      <c r="A447" s="30" t="s">
        <v>614</v>
      </c>
    </row>
    <row r="448" spans="1:1" x14ac:dyDescent="0.25">
      <c r="A448" s="31" t="s">
        <v>52</v>
      </c>
    </row>
    <row r="449" spans="1:1" x14ac:dyDescent="0.25">
      <c r="A449" s="32" t="s">
        <v>52</v>
      </c>
    </row>
    <row r="450" spans="1:1" x14ac:dyDescent="0.25">
      <c r="A450" s="33" t="s">
        <v>52</v>
      </c>
    </row>
    <row r="451" spans="1:1" x14ac:dyDescent="0.25">
      <c r="A451" s="34" t="s">
        <v>52</v>
      </c>
    </row>
    <row r="452" spans="1:1" x14ac:dyDescent="0.25">
      <c r="A452" s="35" t="s">
        <v>52</v>
      </c>
    </row>
    <row r="453" spans="1:1" x14ac:dyDescent="0.25">
      <c r="A453" s="36" t="s">
        <v>52</v>
      </c>
    </row>
    <row r="454" spans="1:1" x14ac:dyDescent="0.25">
      <c r="A454" s="37" t="s">
        <v>52</v>
      </c>
    </row>
    <row r="455" spans="1:1" x14ac:dyDescent="0.25">
      <c r="A455" s="38" t="s">
        <v>52</v>
      </c>
    </row>
    <row r="456" spans="1:1" x14ac:dyDescent="0.25">
      <c r="A456" s="39" t="s">
        <v>52</v>
      </c>
    </row>
    <row r="457" spans="1:1" x14ac:dyDescent="0.25">
      <c r="A457" s="40" t="s">
        <v>52</v>
      </c>
    </row>
    <row r="458" spans="1:1" x14ac:dyDescent="0.25">
      <c r="A458" s="41" t="s">
        <v>52</v>
      </c>
    </row>
    <row r="459" spans="1:1" x14ac:dyDescent="0.25">
      <c r="A459" s="42" t="s">
        <v>52</v>
      </c>
    </row>
    <row r="460" spans="1:1" x14ac:dyDescent="0.25">
      <c r="A460" s="43" t="s">
        <v>52</v>
      </c>
    </row>
    <row r="461" spans="1:1" x14ac:dyDescent="0.25">
      <c r="A461" s="44" t="s">
        <v>615</v>
      </c>
    </row>
    <row r="462" spans="1:1" x14ac:dyDescent="0.25">
      <c r="A462" s="45" t="s">
        <v>52</v>
      </c>
    </row>
    <row r="463" spans="1:1" x14ac:dyDescent="0.25">
      <c r="A463" s="46" t="s">
        <v>52</v>
      </c>
    </row>
    <row r="464" spans="1:1" x14ac:dyDescent="0.25">
      <c r="A464" s="47" t="s">
        <v>52</v>
      </c>
    </row>
    <row r="465" spans="1:1" x14ac:dyDescent="0.25">
      <c r="A465" s="48" t="s">
        <v>52</v>
      </c>
    </row>
    <row r="466" spans="1:1" x14ac:dyDescent="0.25">
      <c r="A466" s="49" t="s">
        <v>52</v>
      </c>
    </row>
    <row r="467" spans="1:1" x14ac:dyDescent="0.25">
      <c r="A467" s="50" t="s">
        <v>52</v>
      </c>
    </row>
    <row r="468" spans="1:1" x14ac:dyDescent="0.25">
      <c r="A468" s="51" t="s">
        <v>52</v>
      </c>
    </row>
    <row r="469" spans="1:1" x14ac:dyDescent="0.25">
      <c r="A469" s="52" t="s">
        <v>52</v>
      </c>
    </row>
    <row r="470" spans="1:1" x14ac:dyDescent="0.25">
      <c r="A470" s="53" t="s">
        <v>52</v>
      </c>
    </row>
    <row r="471" spans="1:1" x14ac:dyDescent="0.25">
      <c r="A471" s="54" t="s">
        <v>52</v>
      </c>
    </row>
    <row r="472" spans="1:1" x14ac:dyDescent="0.25">
      <c r="A472" s="55" t="s">
        <v>52</v>
      </c>
    </row>
    <row r="473" spans="1:1" x14ac:dyDescent="0.25">
      <c r="A473" s="56" t="s">
        <v>52</v>
      </c>
    </row>
    <row r="474" spans="1:1" x14ac:dyDescent="0.25">
      <c r="A474" s="57" t="s">
        <v>52</v>
      </c>
    </row>
    <row r="475" spans="1:1" x14ac:dyDescent="0.25">
      <c r="A475" s="58" t="s">
        <v>52</v>
      </c>
    </row>
    <row r="476" spans="1:1" x14ac:dyDescent="0.25">
      <c r="A476" s="59" t="s">
        <v>52</v>
      </c>
    </row>
    <row r="477" spans="1:1" x14ac:dyDescent="0.25">
      <c r="A477" s="60" t="s">
        <v>52</v>
      </c>
    </row>
    <row r="478" spans="1:1" x14ac:dyDescent="0.25">
      <c r="A478" s="61" t="s">
        <v>52</v>
      </c>
    </row>
    <row r="479" spans="1:1" x14ac:dyDescent="0.25">
      <c r="A479" s="62" t="s">
        <v>52</v>
      </c>
    </row>
    <row r="480" spans="1:1" x14ac:dyDescent="0.25">
      <c r="A480" s="63" t="s">
        <v>52</v>
      </c>
    </row>
    <row r="481" spans="1:1" x14ac:dyDescent="0.25">
      <c r="A481" s="64" t="s">
        <v>52</v>
      </c>
    </row>
    <row r="482" spans="1:1" x14ac:dyDescent="0.25">
      <c r="A482" s="65" t="s">
        <v>52</v>
      </c>
    </row>
    <row r="483" spans="1:1" x14ac:dyDescent="0.25">
      <c r="A483" s="66" t="s">
        <v>52</v>
      </c>
    </row>
    <row r="484" spans="1:1" x14ac:dyDescent="0.25">
      <c r="A484" s="67" t="s">
        <v>52</v>
      </c>
    </row>
    <row r="485" spans="1:1" x14ac:dyDescent="0.25">
      <c r="A485" s="68" t="s">
        <v>52</v>
      </c>
    </row>
    <row r="486" spans="1:1" x14ac:dyDescent="0.25">
      <c r="A486" s="69" t="s">
        <v>52</v>
      </c>
    </row>
    <row r="487" spans="1:1" x14ac:dyDescent="0.25">
      <c r="A487" s="70" t="s">
        <v>52</v>
      </c>
    </row>
    <row r="488" spans="1:1" x14ac:dyDescent="0.25">
      <c r="A488" s="71" t="s">
        <v>52</v>
      </c>
    </row>
    <row r="489" spans="1:1" x14ac:dyDescent="0.25">
      <c r="A489" s="72" t="s">
        <v>52</v>
      </c>
    </row>
    <row r="490" spans="1:1" x14ac:dyDescent="0.25">
      <c r="A490" s="73" t="s">
        <v>52</v>
      </c>
    </row>
    <row r="491" spans="1:1" x14ac:dyDescent="0.25">
      <c r="A491" s="74" t="s">
        <v>52</v>
      </c>
    </row>
    <row r="492" spans="1:1" x14ac:dyDescent="0.25">
      <c r="A492" s="75" t="s">
        <v>52</v>
      </c>
    </row>
    <row r="493" spans="1:1" x14ac:dyDescent="0.25">
      <c r="A493" s="76" t="s">
        <v>52</v>
      </c>
    </row>
    <row r="494" spans="1:1" x14ac:dyDescent="0.25">
      <c r="A494" s="77" t="s">
        <v>52</v>
      </c>
    </row>
    <row r="495" spans="1:1" x14ac:dyDescent="0.25">
      <c r="A495" s="78" t="s">
        <v>52</v>
      </c>
    </row>
    <row r="496" spans="1:1" x14ac:dyDescent="0.25">
      <c r="A496" s="79" t="s">
        <v>52</v>
      </c>
    </row>
    <row r="497" spans="1:1" x14ac:dyDescent="0.25">
      <c r="A497" s="80" t="s">
        <v>52</v>
      </c>
    </row>
    <row r="498" spans="1:1" x14ac:dyDescent="0.25">
      <c r="A498" s="81" t="s">
        <v>52</v>
      </c>
    </row>
    <row r="499" spans="1:1" x14ac:dyDescent="0.25">
      <c r="A499" s="82" t="s">
        <v>52</v>
      </c>
    </row>
    <row r="500" spans="1:1" x14ac:dyDescent="0.25">
      <c r="A500" s="83" t="s">
        <v>52</v>
      </c>
    </row>
    <row r="501" spans="1:1" x14ac:dyDescent="0.25">
      <c r="A501" s="84" t="s">
        <v>52</v>
      </c>
    </row>
    <row r="502" spans="1:1" x14ac:dyDescent="0.25">
      <c r="A502" s="85" t="s">
        <v>52</v>
      </c>
    </row>
    <row r="503" spans="1:1" x14ac:dyDescent="0.25">
      <c r="A503" s="86" t="s">
        <v>52</v>
      </c>
    </row>
    <row r="504" spans="1:1" x14ac:dyDescent="0.25">
      <c r="A504" s="87" t="s">
        <v>52</v>
      </c>
    </row>
    <row r="505" spans="1:1" x14ac:dyDescent="0.25">
      <c r="A505" s="88" t="s">
        <v>52</v>
      </c>
    </row>
    <row r="506" spans="1:1" x14ac:dyDescent="0.25">
      <c r="A506" s="89" t="s">
        <v>52</v>
      </c>
    </row>
    <row r="507" spans="1:1" x14ac:dyDescent="0.25">
      <c r="A507" s="90" t="s">
        <v>52</v>
      </c>
    </row>
    <row r="508" spans="1:1" x14ac:dyDescent="0.25">
      <c r="A508" s="19" t="s">
        <v>616</v>
      </c>
    </row>
    <row r="509" spans="1:1" x14ac:dyDescent="0.25">
      <c r="A509" s="20" t="s">
        <v>52</v>
      </c>
    </row>
    <row r="510" spans="1:1" x14ac:dyDescent="0.25">
      <c r="A510" s="21" t="s">
        <v>52</v>
      </c>
    </row>
    <row r="511" spans="1:1" x14ac:dyDescent="0.25">
      <c r="A511" s="22" t="s">
        <v>52</v>
      </c>
    </row>
    <row r="512" spans="1:1" x14ac:dyDescent="0.25">
      <c r="A512" s="23" t="s">
        <v>52</v>
      </c>
    </row>
    <row r="513" spans="1:1" x14ac:dyDescent="0.25">
      <c r="A513" s="24" t="s">
        <v>52</v>
      </c>
    </row>
    <row r="514" spans="1:1" x14ac:dyDescent="0.25">
      <c r="A514" s="25" t="s">
        <v>52</v>
      </c>
    </row>
    <row r="515" spans="1:1" x14ac:dyDescent="0.25">
      <c r="A515" s="26" t="s">
        <v>52</v>
      </c>
    </row>
    <row r="516" spans="1:1" x14ac:dyDescent="0.25">
      <c r="A516" s="27" t="s">
        <v>52</v>
      </c>
    </row>
    <row r="517" spans="1:1" x14ac:dyDescent="0.25">
      <c r="A517" s="28" t="s">
        <v>52</v>
      </c>
    </row>
    <row r="518" spans="1:1" x14ac:dyDescent="0.25">
      <c r="A518" s="29" t="s">
        <v>52</v>
      </c>
    </row>
    <row r="519" spans="1:1" x14ac:dyDescent="0.25">
      <c r="A519" s="30" t="s">
        <v>617</v>
      </c>
    </row>
    <row r="520" spans="1:1" x14ac:dyDescent="0.25">
      <c r="A520" s="31" t="s">
        <v>52</v>
      </c>
    </row>
    <row r="521" spans="1:1" x14ac:dyDescent="0.25">
      <c r="A521" s="32" t="s">
        <v>52</v>
      </c>
    </row>
    <row r="522" spans="1:1" x14ac:dyDescent="0.25">
      <c r="A522" s="33" t="s">
        <v>52</v>
      </c>
    </row>
    <row r="523" spans="1:1" x14ac:dyDescent="0.25">
      <c r="A523" s="34" t="s">
        <v>52</v>
      </c>
    </row>
    <row r="524" spans="1:1" x14ac:dyDescent="0.25">
      <c r="A524" s="35" t="s">
        <v>52</v>
      </c>
    </row>
    <row r="525" spans="1:1" x14ac:dyDescent="0.25">
      <c r="A525" s="36" t="s">
        <v>52</v>
      </c>
    </row>
    <row r="526" spans="1:1" x14ac:dyDescent="0.25">
      <c r="A526" s="37" t="s">
        <v>52</v>
      </c>
    </row>
    <row r="527" spans="1:1" x14ac:dyDescent="0.25">
      <c r="A527" s="38" t="s">
        <v>52</v>
      </c>
    </row>
    <row r="528" spans="1:1" x14ac:dyDescent="0.25">
      <c r="A528" s="39" t="s">
        <v>52</v>
      </c>
    </row>
    <row r="529" spans="1:1" x14ac:dyDescent="0.25">
      <c r="A529" s="40" t="s">
        <v>52</v>
      </c>
    </row>
    <row r="530" spans="1:1" x14ac:dyDescent="0.25">
      <c r="A530" s="41" t="s">
        <v>52</v>
      </c>
    </row>
    <row r="531" spans="1:1" x14ac:dyDescent="0.25">
      <c r="A531" s="42" t="s">
        <v>52</v>
      </c>
    </row>
    <row r="532" spans="1:1" x14ac:dyDescent="0.25">
      <c r="A532" s="43" t="s">
        <v>52</v>
      </c>
    </row>
    <row r="533" spans="1:1" x14ac:dyDescent="0.25">
      <c r="A533" s="44" t="s">
        <v>618</v>
      </c>
    </row>
    <row r="534" spans="1:1" x14ac:dyDescent="0.25">
      <c r="A534" s="45" t="s">
        <v>52</v>
      </c>
    </row>
    <row r="535" spans="1:1" x14ac:dyDescent="0.25">
      <c r="A535" s="46" t="s">
        <v>52</v>
      </c>
    </row>
    <row r="536" spans="1:1" x14ac:dyDescent="0.25">
      <c r="A536" s="47" t="s">
        <v>52</v>
      </c>
    </row>
    <row r="537" spans="1:1" x14ac:dyDescent="0.25">
      <c r="A537" s="48" t="s">
        <v>52</v>
      </c>
    </row>
    <row r="538" spans="1:1" x14ac:dyDescent="0.25">
      <c r="A538" s="49" t="s">
        <v>52</v>
      </c>
    </row>
    <row r="539" spans="1:1" x14ac:dyDescent="0.25">
      <c r="A539" s="50" t="s">
        <v>52</v>
      </c>
    </row>
    <row r="540" spans="1:1" x14ac:dyDescent="0.25">
      <c r="A540" s="51" t="s">
        <v>52</v>
      </c>
    </row>
    <row r="541" spans="1:1" x14ac:dyDescent="0.25">
      <c r="A541" s="52" t="s">
        <v>52</v>
      </c>
    </row>
    <row r="542" spans="1:1" x14ac:dyDescent="0.25">
      <c r="A542" s="53" t="s">
        <v>52</v>
      </c>
    </row>
    <row r="543" spans="1:1" x14ac:dyDescent="0.25">
      <c r="A543" s="54" t="s">
        <v>52</v>
      </c>
    </row>
    <row r="544" spans="1:1" x14ac:dyDescent="0.25">
      <c r="A544" s="55" t="s">
        <v>52</v>
      </c>
    </row>
    <row r="545" spans="1:1" x14ac:dyDescent="0.25">
      <c r="A545" s="56" t="s">
        <v>52</v>
      </c>
    </row>
    <row r="546" spans="1:1" x14ac:dyDescent="0.25">
      <c r="A546" s="57" t="s">
        <v>52</v>
      </c>
    </row>
    <row r="547" spans="1:1" x14ac:dyDescent="0.25">
      <c r="A547" s="58" t="s">
        <v>52</v>
      </c>
    </row>
    <row r="548" spans="1:1" x14ac:dyDescent="0.25">
      <c r="A548" s="59" t="s">
        <v>52</v>
      </c>
    </row>
    <row r="549" spans="1:1" x14ac:dyDescent="0.25">
      <c r="A549" s="60" t="s">
        <v>52</v>
      </c>
    </row>
    <row r="550" spans="1:1" x14ac:dyDescent="0.25">
      <c r="A550" s="61" t="s">
        <v>52</v>
      </c>
    </row>
    <row r="551" spans="1:1" x14ac:dyDescent="0.25">
      <c r="A551" s="62" t="s">
        <v>52</v>
      </c>
    </row>
    <row r="552" spans="1:1" x14ac:dyDescent="0.25">
      <c r="A552" s="63" t="s">
        <v>52</v>
      </c>
    </row>
    <row r="553" spans="1:1" x14ac:dyDescent="0.25">
      <c r="A553" s="64" t="s">
        <v>52</v>
      </c>
    </row>
    <row r="554" spans="1:1" x14ac:dyDescent="0.25">
      <c r="A554" s="65" t="s">
        <v>52</v>
      </c>
    </row>
    <row r="555" spans="1:1" x14ac:dyDescent="0.25">
      <c r="A555" s="66" t="s">
        <v>52</v>
      </c>
    </row>
    <row r="556" spans="1:1" x14ac:dyDescent="0.25">
      <c r="A556" s="67" t="s">
        <v>52</v>
      </c>
    </row>
    <row r="557" spans="1:1" x14ac:dyDescent="0.25">
      <c r="A557" s="68" t="s">
        <v>52</v>
      </c>
    </row>
    <row r="558" spans="1:1" x14ac:dyDescent="0.25">
      <c r="A558" s="69" t="s">
        <v>52</v>
      </c>
    </row>
    <row r="559" spans="1:1" x14ac:dyDescent="0.25">
      <c r="A559" s="70" t="s">
        <v>52</v>
      </c>
    </row>
    <row r="560" spans="1:1" x14ac:dyDescent="0.25">
      <c r="A560" s="71" t="s">
        <v>52</v>
      </c>
    </row>
    <row r="561" spans="1:1" x14ac:dyDescent="0.25">
      <c r="A561" s="72" t="s">
        <v>52</v>
      </c>
    </row>
    <row r="562" spans="1:1" x14ac:dyDescent="0.25">
      <c r="A562" s="73" t="s">
        <v>52</v>
      </c>
    </row>
    <row r="563" spans="1:1" x14ac:dyDescent="0.25">
      <c r="A563" s="74" t="s">
        <v>52</v>
      </c>
    </row>
    <row r="564" spans="1:1" x14ac:dyDescent="0.25">
      <c r="A564" s="75" t="s">
        <v>52</v>
      </c>
    </row>
    <row r="565" spans="1:1" x14ac:dyDescent="0.25">
      <c r="A565" s="76" t="s">
        <v>52</v>
      </c>
    </row>
    <row r="566" spans="1:1" x14ac:dyDescent="0.25">
      <c r="A566" s="77" t="s">
        <v>52</v>
      </c>
    </row>
    <row r="567" spans="1:1" x14ac:dyDescent="0.25">
      <c r="A567" s="78" t="s">
        <v>52</v>
      </c>
    </row>
    <row r="568" spans="1:1" x14ac:dyDescent="0.25">
      <c r="A568" s="79" t="s">
        <v>52</v>
      </c>
    </row>
    <row r="569" spans="1:1" x14ac:dyDescent="0.25">
      <c r="A569" s="80" t="s">
        <v>52</v>
      </c>
    </row>
    <row r="570" spans="1:1" x14ac:dyDescent="0.25">
      <c r="A570" s="81" t="s">
        <v>52</v>
      </c>
    </row>
    <row r="571" spans="1:1" x14ac:dyDescent="0.25">
      <c r="A571" s="82" t="s">
        <v>52</v>
      </c>
    </row>
    <row r="572" spans="1:1" x14ac:dyDescent="0.25">
      <c r="A572" s="83" t="s">
        <v>52</v>
      </c>
    </row>
    <row r="573" spans="1:1" x14ac:dyDescent="0.25">
      <c r="A573" s="84" t="s">
        <v>52</v>
      </c>
    </row>
    <row r="574" spans="1:1" x14ac:dyDescent="0.25">
      <c r="A574" s="85" t="s">
        <v>52</v>
      </c>
    </row>
    <row r="575" spans="1:1" x14ac:dyDescent="0.25">
      <c r="A575" s="86" t="s">
        <v>52</v>
      </c>
    </row>
    <row r="576" spans="1:1" x14ac:dyDescent="0.25">
      <c r="A576" s="87" t="s">
        <v>52</v>
      </c>
    </row>
    <row r="577" spans="1:1" x14ac:dyDescent="0.25">
      <c r="A577" s="88" t="s">
        <v>52</v>
      </c>
    </row>
    <row r="578" spans="1:1" x14ac:dyDescent="0.25">
      <c r="A578" s="89" t="s">
        <v>52</v>
      </c>
    </row>
    <row r="579" spans="1:1" x14ac:dyDescent="0.25">
      <c r="A579" s="90" t="s">
        <v>52</v>
      </c>
    </row>
    <row r="580" spans="1:1" x14ac:dyDescent="0.25">
      <c r="A580" s="19" t="s">
        <v>619</v>
      </c>
    </row>
    <row r="581" spans="1:1" x14ac:dyDescent="0.25">
      <c r="A581" s="20" t="s">
        <v>52</v>
      </c>
    </row>
    <row r="582" spans="1:1" x14ac:dyDescent="0.25">
      <c r="A582" s="21" t="s">
        <v>52</v>
      </c>
    </row>
    <row r="583" spans="1:1" x14ac:dyDescent="0.25">
      <c r="A583" s="22" t="s">
        <v>52</v>
      </c>
    </row>
    <row r="584" spans="1:1" x14ac:dyDescent="0.25">
      <c r="A584" s="23" t="s">
        <v>52</v>
      </c>
    </row>
    <row r="585" spans="1:1" x14ac:dyDescent="0.25">
      <c r="A585" s="24" t="s">
        <v>52</v>
      </c>
    </row>
    <row r="586" spans="1:1" x14ac:dyDescent="0.25">
      <c r="A586" s="25" t="s">
        <v>52</v>
      </c>
    </row>
    <row r="587" spans="1:1" x14ac:dyDescent="0.25">
      <c r="A587" s="26" t="s">
        <v>52</v>
      </c>
    </row>
    <row r="588" spans="1:1" x14ac:dyDescent="0.25">
      <c r="A588" s="27" t="s">
        <v>52</v>
      </c>
    </row>
    <row r="589" spans="1:1" x14ac:dyDescent="0.25">
      <c r="A589" s="28" t="s">
        <v>52</v>
      </c>
    </row>
    <row r="590" spans="1:1" x14ac:dyDescent="0.25">
      <c r="A590" s="29" t="s">
        <v>52</v>
      </c>
    </row>
    <row r="591" spans="1:1" x14ac:dyDescent="0.25">
      <c r="A591" s="30" t="s">
        <v>620</v>
      </c>
    </row>
    <row r="592" spans="1:1" x14ac:dyDescent="0.25">
      <c r="A592" s="31" t="s">
        <v>52</v>
      </c>
    </row>
    <row r="593" spans="1:1" x14ac:dyDescent="0.25">
      <c r="A593" s="32" t="s">
        <v>52</v>
      </c>
    </row>
    <row r="594" spans="1:1" x14ac:dyDescent="0.25">
      <c r="A594" s="33" t="s">
        <v>52</v>
      </c>
    </row>
    <row r="595" spans="1:1" x14ac:dyDescent="0.25">
      <c r="A595" s="34" t="s">
        <v>52</v>
      </c>
    </row>
    <row r="596" spans="1:1" x14ac:dyDescent="0.25">
      <c r="A596" s="35" t="s">
        <v>52</v>
      </c>
    </row>
    <row r="597" spans="1:1" x14ac:dyDescent="0.25">
      <c r="A597" s="36" t="s">
        <v>52</v>
      </c>
    </row>
    <row r="598" spans="1:1" x14ac:dyDescent="0.25">
      <c r="A598" s="37" t="s">
        <v>52</v>
      </c>
    </row>
    <row r="599" spans="1:1" x14ac:dyDescent="0.25">
      <c r="A599" s="38" t="s">
        <v>52</v>
      </c>
    </row>
    <row r="600" spans="1:1" x14ac:dyDescent="0.25">
      <c r="A600" s="39" t="s">
        <v>52</v>
      </c>
    </row>
    <row r="601" spans="1:1" x14ac:dyDescent="0.25">
      <c r="A601" s="40" t="s">
        <v>52</v>
      </c>
    </row>
    <row r="602" spans="1:1" x14ac:dyDescent="0.25">
      <c r="A602" s="41" t="s">
        <v>52</v>
      </c>
    </row>
    <row r="603" spans="1:1" x14ac:dyDescent="0.25">
      <c r="A603" s="42" t="s">
        <v>52</v>
      </c>
    </row>
    <row r="604" spans="1:1" x14ac:dyDescent="0.25">
      <c r="A604" s="43" t="s">
        <v>52</v>
      </c>
    </row>
    <row r="605" spans="1:1" x14ac:dyDescent="0.25">
      <c r="A605" s="44" t="s">
        <v>621</v>
      </c>
    </row>
    <row r="606" spans="1:1" x14ac:dyDescent="0.25">
      <c r="A606" s="45" t="s">
        <v>52</v>
      </c>
    </row>
    <row r="607" spans="1:1" x14ac:dyDescent="0.25">
      <c r="A607" s="46" t="s">
        <v>52</v>
      </c>
    </row>
    <row r="608" spans="1:1" x14ac:dyDescent="0.25">
      <c r="A608" s="47" t="s">
        <v>52</v>
      </c>
    </row>
    <row r="609" spans="1:1" x14ac:dyDescent="0.25">
      <c r="A609" s="48" t="s">
        <v>52</v>
      </c>
    </row>
    <row r="610" spans="1:1" x14ac:dyDescent="0.25">
      <c r="A610" s="49" t="s">
        <v>52</v>
      </c>
    </row>
    <row r="611" spans="1:1" x14ac:dyDescent="0.25">
      <c r="A611" s="50" t="s">
        <v>52</v>
      </c>
    </row>
    <row r="612" spans="1:1" x14ac:dyDescent="0.25">
      <c r="A612" s="51" t="s">
        <v>52</v>
      </c>
    </row>
    <row r="613" spans="1:1" x14ac:dyDescent="0.25">
      <c r="A613" s="52" t="s">
        <v>52</v>
      </c>
    </row>
    <row r="614" spans="1:1" x14ac:dyDescent="0.25">
      <c r="A614" s="53" t="s">
        <v>52</v>
      </c>
    </row>
    <row r="615" spans="1:1" x14ac:dyDescent="0.25">
      <c r="A615" s="54" t="s">
        <v>52</v>
      </c>
    </row>
    <row r="616" spans="1:1" x14ac:dyDescent="0.25">
      <c r="A616" s="55" t="s">
        <v>52</v>
      </c>
    </row>
    <row r="617" spans="1:1" x14ac:dyDescent="0.25">
      <c r="A617" s="56" t="s">
        <v>52</v>
      </c>
    </row>
    <row r="618" spans="1:1" x14ac:dyDescent="0.25">
      <c r="A618" s="57" t="s">
        <v>52</v>
      </c>
    </row>
    <row r="619" spans="1:1" x14ac:dyDescent="0.25">
      <c r="A619" s="58" t="s">
        <v>52</v>
      </c>
    </row>
    <row r="620" spans="1:1" x14ac:dyDescent="0.25">
      <c r="A620" s="59" t="s">
        <v>52</v>
      </c>
    </row>
    <row r="621" spans="1:1" x14ac:dyDescent="0.25">
      <c r="A621" s="60" t="s">
        <v>52</v>
      </c>
    </row>
    <row r="622" spans="1:1" x14ac:dyDescent="0.25">
      <c r="A622" s="61" t="s">
        <v>52</v>
      </c>
    </row>
    <row r="623" spans="1:1" x14ac:dyDescent="0.25">
      <c r="A623" s="62" t="s">
        <v>52</v>
      </c>
    </row>
    <row r="624" spans="1:1" x14ac:dyDescent="0.25">
      <c r="A624" s="63" t="s">
        <v>52</v>
      </c>
    </row>
    <row r="625" spans="1:1" x14ac:dyDescent="0.25">
      <c r="A625" s="64" t="s">
        <v>52</v>
      </c>
    </row>
    <row r="626" spans="1:1" x14ac:dyDescent="0.25">
      <c r="A626" s="65" t="s">
        <v>52</v>
      </c>
    </row>
    <row r="627" spans="1:1" x14ac:dyDescent="0.25">
      <c r="A627" s="66" t="s">
        <v>52</v>
      </c>
    </row>
    <row r="628" spans="1:1" x14ac:dyDescent="0.25">
      <c r="A628" s="67" t="s">
        <v>52</v>
      </c>
    </row>
    <row r="629" spans="1:1" x14ac:dyDescent="0.25">
      <c r="A629" s="68" t="s">
        <v>52</v>
      </c>
    </row>
    <row r="630" spans="1:1" x14ac:dyDescent="0.25">
      <c r="A630" s="69" t="s">
        <v>52</v>
      </c>
    </row>
    <row r="631" spans="1:1" x14ac:dyDescent="0.25">
      <c r="A631" s="70" t="s">
        <v>52</v>
      </c>
    </row>
    <row r="632" spans="1:1" x14ac:dyDescent="0.25">
      <c r="A632" s="71" t="s">
        <v>52</v>
      </c>
    </row>
    <row r="633" spans="1:1" x14ac:dyDescent="0.25">
      <c r="A633" s="72" t="s">
        <v>52</v>
      </c>
    </row>
    <row r="634" spans="1:1" x14ac:dyDescent="0.25">
      <c r="A634" s="73" t="s">
        <v>52</v>
      </c>
    </row>
    <row r="635" spans="1:1" x14ac:dyDescent="0.25">
      <c r="A635" s="74" t="s">
        <v>52</v>
      </c>
    </row>
    <row r="636" spans="1:1" x14ac:dyDescent="0.25">
      <c r="A636" s="75" t="s">
        <v>52</v>
      </c>
    </row>
    <row r="637" spans="1:1" x14ac:dyDescent="0.25">
      <c r="A637" s="76" t="s">
        <v>52</v>
      </c>
    </row>
    <row r="638" spans="1:1" x14ac:dyDescent="0.25">
      <c r="A638" s="77" t="s">
        <v>52</v>
      </c>
    </row>
    <row r="639" spans="1:1" x14ac:dyDescent="0.25">
      <c r="A639" s="78" t="s">
        <v>52</v>
      </c>
    </row>
    <row r="640" spans="1:1" x14ac:dyDescent="0.25">
      <c r="A640" s="79" t="s">
        <v>52</v>
      </c>
    </row>
    <row r="641" spans="1:1" x14ac:dyDescent="0.25">
      <c r="A641" s="80" t="s">
        <v>52</v>
      </c>
    </row>
    <row r="642" spans="1:1" x14ac:dyDescent="0.25">
      <c r="A642" s="81" t="s">
        <v>52</v>
      </c>
    </row>
    <row r="643" spans="1:1" x14ac:dyDescent="0.25">
      <c r="A643" s="82" t="s">
        <v>52</v>
      </c>
    </row>
    <row r="644" spans="1:1" x14ac:dyDescent="0.25">
      <c r="A644" s="83" t="s">
        <v>52</v>
      </c>
    </row>
    <row r="645" spans="1:1" x14ac:dyDescent="0.25">
      <c r="A645" s="84" t="s">
        <v>52</v>
      </c>
    </row>
    <row r="646" spans="1:1" x14ac:dyDescent="0.25">
      <c r="A646" s="85" t="s">
        <v>52</v>
      </c>
    </row>
    <row r="647" spans="1:1" x14ac:dyDescent="0.25">
      <c r="A647" s="86" t="s">
        <v>52</v>
      </c>
    </row>
    <row r="648" spans="1:1" x14ac:dyDescent="0.25">
      <c r="A648" s="87" t="s">
        <v>52</v>
      </c>
    </row>
    <row r="649" spans="1:1" x14ac:dyDescent="0.25">
      <c r="A649" s="88" t="s">
        <v>52</v>
      </c>
    </row>
    <row r="650" spans="1:1" x14ac:dyDescent="0.25">
      <c r="A650" s="89" t="s">
        <v>52</v>
      </c>
    </row>
    <row r="651" spans="1:1" x14ac:dyDescent="0.25">
      <c r="A651" s="90" t="s">
        <v>52</v>
      </c>
    </row>
    <row r="652" spans="1:1" x14ac:dyDescent="0.25">
      <c r="A652" s="19" t="s">
        <v>622</v>
      </c>
    </row>
    <row r="653" spans="1:1" x14ac:dyDescent="0.25">
      <c r="A653" s="20" t="s">
        <v>52</v>
      </c>
    </row>
    <row r="654" spans="1:1" x14ac:dyDescent="0.25">
      <c r="A654" s="21" t="s">
        <v>52</v>
      </c>
    </row>
    <row r="655" spans="1:1" x14ac:dyDescent="0.25">
      <c r="A655" s="22" t="s">
        <v>52</v>
      </c>
    </row>
    <row r="656" spans="1:1" x14ac:dyDescent="0.25">
      <c r="A656" s="23" t="s">
        <v>52</v>
      </c>
    </row>
    <row r="657" spans="1:1" x14ac:dyDescent="0.25">
      <c r="A657" s="24" t="s">
        <v>52</v>
      </c>
    </row>
    <row r="658" spans="1:1" x14ac:dyDescent="0.25">
      <c r="A658" s="25" t="s">
        <v>52</v>
      </c>
    </row>
    <row r="659" spans="1:1" x14ac:dyDescent="0.25">
      <c r="A659" s="26" t="s">
        <v>623</v>
      </c>
    </row>
    <row r="660" spans="1:1" x14ac:dyDescent="0.25">
      <c r="A660" s="27" t="s">
        <v>624</v>
      </c>
    </row>
    <row r="661" spans="1:1" x14ac:dyDescent="0.25">
      <c r="A661" s="28" t="s">
        <v>52</v>
      </c>
    </row>
    <row r="662" spans="1:1" x14ac:dyDescent="0.25">
      <c r="A662" s="29" t="s">
        <v>52</v>
      </c>
    </row>
    <row r="663" spans="1:1" x14ac:dyDescent="0.25">
      <c r="A663" s="30" t="s">
        <v>52</v>
      </c>
    </row>
    <row r="664" spans="1:1" x14ac:dyDescent="0.25">
      <c r="A664" s="31" t="s">
        <v>52</v>
      </c>
    </row>
    <row r="665" spans="1:1" x14ac:dyDescent="0.25">
      <c r="A665" s="32" t="s">
        <v>52</v>
      </c>
    </row>
    <row r="666" spans="1:1" x14ac:dyDescent="0.25">
      <c r="A666" s="33" t="s">
        <v>52</v>
      </c>
    </row>
    <row r="667" spans="1:1" x14ac:dyDescent="0.25">
      <c r="A667" s="34" t="s">
        <v>52</v>
      </c>
    </row>
    <row r="668" spans="1:1" x14ac:dyDescent="0.25">
      <c r="A668" s="35" t="s">
        <v>52</v>
      </c>
    </row>
    <row r="669" spans="1:1" x14ac:dyDescent="0.25">
      <c r="A669" s="36" t="s">
        <v>52</v>
      </c>
    </row>
    <row r="670" spans="1:1" x14ac:dyDescent="0.25">
      <c r="A670" s="37" t="s">
        <v>52</v>
      </c>
    </row>
    <row r="671" spans="1:1" x14ac:dyDescent="0.25">
      <c r="A671" s="38" t="s">
        <v>52</v>
      </c>
    </row>
    <row r="672" spans="1:1" x14ac:dyDescent="0.25">
      <c r="A672" s="39" t="s">
        <v>52</v>
      </c>
    </row>
    <row r="673" spans="1:1" x14ac:dyDescent="0.25">
      <c r="A673" s="40" t="s">
        <v>52</v>
      </c>
    </row>
    <row r="674" spans="1:1" x14ac:dyDescent="0.25">
      <c r="A674" s="41" t="s">
        <v>52</v>
      </c>
    </row>
    <row r="675" spans="1:1" x14ac:dyDescent="0.25">
      <c r="A675" s="42" t="s">
        <v>52</v>
      </c>
    </row>
    <row r="676" spans="1:1" x14ac:dyDescent="0.25">
      <c r="A676" s="43" t="s">
        <v>52</v>
      </c>
    </row>
    <row r="677" spans="1:1" x14ac:dyDescent="0.25">
      <c r="A677" s="44" t="s">
        <v>52</v>
      </c>
    </row>
    <row r="678" spans="1:1" x14ac:dyDescent="0.25">
      <c r="A678" s="45" t="s">
        <v>52</v>
      </c>
    </row>
    <row r="679" spans="1:1" x14ac:dyDescent="0.25">
      <c r="A679" s="46" t="s">
        <v>52</v>
      </c>
    </row>
    <row r="680" spans="1:1" x14ac:dyDescent="0.25">
      <c r="A680" s="47" t="s">
        <v>52</v>
      </c>
    </row>
    <row r="681" spans="1:1" x14ac:dyDescent="0.25">
      <c r="A681" s="48" t="s">
        <v>625</v>
      </c>
    </row>
    <row r="682" spans="1:1" x14ac:dyDescent="0.25">
      <c r="A682" s="49" t="s">
        <v>52</v>
      </c>
    </row>
    <row r="683" spans="1:1" x14ac:dyDescent="0.25">
      <c r="A683" s="50" t="s">
        <v>52</v>
      </c>
    </row>
    <row r="684" spans="1:1" x14ac:dyDescent="0.25">
      <c r="A684" s="51" t="s">
        <v>52</v>
      </c>
    </row>
    <row r="685" spans="1:1" x14ac:dyDescent="0.25">
      <c r="A685" s="52" t="s">
        <v>52</v>
      </c>
    </row>
    <row r="686" spans="1:1" x14ac:dyDescent="0.25">
      <c r="A686" s="53" t="s">
        <v>52</v>
      </c>
    </row>
    <row r="687" spans="1:1" x14ac:dyDescent="0.25">
      <c r="A687" s="54" t="s">
        <v>52</v>
      </c>
    </row>
    <row r="688" spans="1:1" x14ac:dyDescent="0.25">
      <c r="A688" s="55" t="s">
        <v>52</v>
      </c>
    </row>
    <row r="689" spans="1:1" x14ac:dyDescent="0.25">
      <c r="A689" s="56" t="s">
        <v>52</v>
      </c>
    </row>
    <row r="690" spans="1:1" x14ac:dyDescent="0.25">
      <c r="A690" s="57" t="s">
        <v>52</v>
      </c>
    </row>
    <row r="691" spans="1:1" x14ac:dyDescent="0.25">
      <c r="A691" s="58" t="s">
        <v>52</v>
      </c>
    </row>
    <row r="692" spans="1:1" x14ac:dyDescent="0.25">
      <c r="A692" s="59" t="s">
        <v>52</v>
      </c>
    </row>
    <row r="693" spans="1:1" x14ac:dyDescent="0.25">
      <c r="A693" s="60" t="s">
        <v>52</v>
      </c>
    </row>
    <row r="694" spans="1:1" x14ac:dyDescent="0.25">
      <c r="A694" s="61" t="s">
        <v>52</v>
      </c>
    </row>
    <row r="695" spans="1:1" x14ac:dyDescent="0.25">
      <c r="A695" s="62" t="s">
        <v>52</v>
      </c>
    </row>
    <row r="696" spans="1:1" x14ac:dyDescent="0.25">
      <c r="A696" s="63" t="s">
        <v>52</v>
      </c>
    </row>
    <row r="697" spans="1:1" x14ac:dyDescent="0.25">
      <c r="A697" s="64" t="s">
        <v>52</v>
      </c>
    </row>
    <row r="698" spans="1:1" x14ac:dyDescent="0.25">
      <c r="A698" s="65" t="s">
        <v>52</v>
      </c>
    </row>
    <row r="699" spans="1:1" x14ac:dyDescent="0.25">
      <c r="A699" s="66" t="s">
        <v>52</v>
      </c>
    </row>
    <row r="700" spans="1:1" x14ac:dyDescent="0.25">
      <c r="A700" s="67" t="s">
        <v>52</v>
      </c>
    </row>
    <row r="701" spans="1:1" x14ac:dyDescent="0.25">
      <c r="A701" s="68" t="s">
        <v>52</v>
      </c>
    </row>
    <row r="702" spans="1:1" x14ac:dyDescent="0.25">
      <c r="A702" s="69" t="s">
        <v>52</v>
      </c>
    </row>
    <row r="703" spans="1:1" x14ac:dyDescent="0.25">
      <c r="A703" s="70" t="s">
        <v>52</v>
      </c>
    </row>
    <row r="704" spans="1:1" x14ac:dyDescent="0.25">
      <c r="A704" s="71" t="s">
        <v>52</v>
      </c>
    </row>
    <row r="705" spans="1:1" x14ac:dyDescent="0.25">
      <c r="A705" s="72" t="s">
        <v>52</v>
      </c>
    </row>
    <row r="706" spans="1:1" x14ac:dyDescent="0.25">
      <c r="A706" s="73" t="s">
        <v>52</v>
      </c>
    </row>
    <row r="707" spans="1:1" x14ac:dyDescent="0.25">
      <c r="A707" s="74" t="s">
        <v>52</v>
      </c>
    </row>
    <row r="708" spans="1:1" x14ac:dyDescent="0.25">
      <c r="A708" s="75" t="s">
        <v>52</v>
      </c>
    </row>
    <row r="709" spans="1:1" x14ac:dyDescent="0.25">
      <c r="A709" s="76" t="s">
        <v>52</v>
      </c>
    </row>
    <row r="710" spans="1:1" x14ac:dyDescent="0.25">
      <c r="A710" s="77" t="s">
        <v>52</v>
      </c>
    </row>
    <row r="711" spans="1:1" x14ac:dyDescent="0.25">
      <c r="A711" s="78" t="s">
        <v>52</v>
      </c>
    </row>
    <row r="712" spans="1:1" x14ac:dyDescent="0.25">
      <c r="A712" s="79" t="s">
        <v>52</v>
      </c>
    </row>
    <row r="713" spans="1:1" x14ac:dyDescent="0.25">
      <c r="A713" s="80" t="s">
        <v>52</v>
      </c>
    </row>
    <row r="714" spans="1:1" x14ac:dyDescent="0.25">
      <c r="A714" s="81" t="s">
        <v>52</v>
      </c>
    </row>
    <row r="715" spans="1:1" x14ac:dyDescent="0.25">
      <c r="A715" s="82" t="s">
        <v>52</v>
      </c>
    </row>
    <row r="716" spans="1:1" x14ac:dyDescent="0.25">
      <c r="A716" s="83" t="s">
        <v>52</v>
      </c>
    </row>
    <row r="717" spans="1:1" x14ac:dyDescent="0.25">
      <c r="A717" s="84" t="s">
        <v>52</v>
      </c>
    </row>
    <row r="718" spans="1:1" x14ac:dyDescent="0.25">
      <c r="A718" s="85" t="s">
        <v>52</v>
      </c>
    </row>
    <row r="719" spans="1:1" x14ac:dyDescent="0.25">
      <c r="A719" s="86" t="s">
        <v>52</v>
      </c>
    </row>
    <row r="720" spans="1:1" x14ac:dyDescent="0.25">
      <c r="A720" s="87" t="s">
        <v>52</v>
      </c>
    </row>
    <row r="721" spans="1:1" x14ac:dyDescent="0.25">
      <c r="A721" s="88" t="s">
        <v>52</v>
      </c>
    </row>
    <row r="722" spans="1:1" x14ac:dyDescent="0.25">
      <c r="A722" s="89" t="s">
        <v>52</v>
      </c>
    </row>
    <row r="723" spans="1:1" x14ac:dyDescent="0.25">
      <c r="A723" s="90" t="s">
        <v>52</v>
      </c>
    </row>
    <row r="724" spans="1:1" x14ac:dyDescent="0.25">
      <c r="A724" s="19" t="s">
        <v>626</v>
      </c>
    </row>
    <row r="725" spans="1:1" x14ac:dyDescent="0.25">
      <c r="A725" s="20" t="s">
        <v>52</v>
      </c>
    </row>
    <row r="726" spans="1:1" x14ac:dyDescent="0.25">
      <c r="A726" s="21" t="s">
        <v>52</v>
      </c>
    </row>
    <row r="727" spans="1:1" x14ac:dyDescent="0.25">
      <c r="A727" s="22" t="s">
        <v>52</v>
      </c>
    </row>
    <row r="728" spans="1:1" x14ac:dyDescent="0.25">
      <c r="A728" s="23" t="s">
        <v>52</v>
      </c>
    </row>
    <row r="729" spans="1:1" x14ac:dyDescent="0.25">
      <c r="A729" s="24" t="s">
        <v>52</v>
      </c>
    </row>
    <row r="730" spans="1:1" x14ac:dyDescent="0.25">
      <c r="A730" s="25" t="s">
        <v>52</v>
      </c>
    </row>
    <row r="731" spans="1:1" x14ac:dyDescent="0.25">
      <c r="A731" s="26" t="s">
        <v>52</v>
      </c>
    </row>
    <row r="732" spans="1:1" x14ac:dyDescent="0.25">
      <c r="A732" s="27" t="s">
        <v>52</v>
      </c>
    </row>
    <row r="733" spans="1:1" x14ac:dyDescent="0.25">
      <c r="A733" s="28" t="s">
        <v>52</v>
      </c>
    </row>
    <row r="734" spans="1:1" x14ac:dyDescent="0.25">
      <c r="A734" s="29" t="s">
        <v>52</v>
      </c>
    </row>
    <row r="735" spans="1:1" x14ac:dyDescent="0.25">
      <c r="A735" s="30" t="s">
        <v>627</v>
      </c>
    </row>
    <row r="736" spans="1:1" x14ac:dyDescent="0.25">
      <c r="A736" s="31" t="s">
        <v>52</v>
      </c>
    </row>
    <row r="737" spans="1:1" x14ac:dyDescent="0.25">
      <c r="A737" s="32" t="s">
        <v>52</v>
      </c>
    </row>
    <row r="738" spans="1:1" x14ac:dyDescent="0.25">
      <c r="A738" s="33" t="s">
        <v>52</v>
      </c>
    </row>
    <row r="739" spans="1:1" x14ac:dyDescent="0.25">
      <c r="A739" s="34" t="s">
        <v>52</v>
      </c>
    </row>
    <row r="740" spans="1:1" x14ac:dyDescent="0.25">
      <c r="A740" s="35" t="s">
        <v>52</v>
      </c>
    </row>
    <row r="741" spans="1:1" x14ac:dyDescent="0.25">
      <c r="A741" s="36" t="s">
        <v>52</v>
      </c>
    </row>
    <row r="742" spans="1:1" x14ac:dyDescent="0.25">
      <c r="A742" s="37" t="s">
        <v>52</v>
      </c>
    </row>
    <row r="743" spans="1:1" x14ac:dyDescent="0.25">
      <c r="A743" s="38" t="s">
        <v>52</v>
      </c>
    </row>
    <row r="744" spans="1:1" x14ac:dyDescent="0.25">
      <c r="A744" s="39" t="s">
        <v>52</v>
      </c>
    </row>
    <row r="745" spans="1:1" x14ac:dyDescent="0.25">
      <c r="A745" s="40" t="s">
        <v>52</v>
      </c>
    </row>
    <row r="746" spans="1:1" x14ac:dyDescent="0.25">
      <c r="A746" s="41" t="s">
        <v>52</v>
      </c>
    </row>
    <row r="747" spans="1:1" x14ac:dyDescent="0.25">
      <c r="A747" s="42" t="s">
        <v>52</v>
      </c>
    </row>
    <row r="748" spans="1:1" x14ac:dyDescent="0.25">
      <c r="A748" s="43" t="s">
        <v>52</v>
      </c>
    </row>
    <row r="749" spans="1:1" x14ac:dyDescent="0.25">
      <c r="A749" s="44" t="s">
        <v>52</v>
      </c>
    </row>
    <row r="750" spans="1:1" x14ac:dyDescent="0.25">
      <c r="A750" s="45" t="s">
        <v>52</v>
      </c>
    </row>
    <row r="751" spans="1:1" x14ac:dyDescent="0.25">
      <c r="A751" s="46" t="s">
        <v>52</v>
      </c>
    </row>
    <row r="752" spans="1:1" x14ac:dyDescent="0.25">
      <c r="A752" s="47" t="s">
        <v>52</v>
      </c>
    </row>
    <row r="753" spans="1:1" x14ac:dyDescent="0.25">
      <c r="A753" s="48" t="s">
        <v>52</v>
      </c>
    </row>
    <row r="754" spans="1:1" x14ac:dyDescent="0.25">
      <c r="A754" s="49" t="s">
        <v>52</v>
      </c>
    </row>
    <row r="755" spans="1:1" x14ac:dyDescent="0.25">
      <c r="A755" s="50" t="s">
        <v>52</v>
      </c>
    </row>
    <row r="756" spans="1:1" x14ac:dyDescent="0.25">
      <c r="A756" s="51" t="s">
        <v>52</v>
      </c>
    </row>
    <row r="757" spans="1:1" x14ac:dyDescent="0.25">
      <c r="A757" s="52" t="s">
        <v>52</v>
      </c>
    </row>
    <row r="758" spans="1:1" x14ac:dyDescent="0.25">
      <c r="A758" s="53" t="s">
        <v>52</v>
      </c>
    </row>
    <row r="759" spans="1:1" x14ac:dyDescent="0.25">
      <c r="A759" s="54" t="s">
        <v>52</v>
      </c>
    </row>
    <row r="760" spans="1:1" x14ac:dyDescent="0.25">
      <c r="A760" s="55" t="s">
        <v>52</v>
      </c>
    </row>
    <row r="761" spans="1:1" x14ac:dyDescent="0.25">
      <c r="A761" s="56" t="s">
        <v>52</v>
      </c>
    </row>
    <row r="762" spans="1:1" x14ac:dyDescent="0.25">
      <c r="A762" s="57" t="s">
        <v>52</v>
      </c>
    </row>
    <row r="763" spans="1:1" x14ac:dyDescent="0.25">
      <c r="A763" s="58" t="s">
        <v>52</v>
      </c>
    </row>
    <row r="764" spans="1:1" x14ac:dyDescent="0.25">
      <c r="A764" s="59" t="s">
        <v>52</v>
      </c>
    </row>
    <row r="765" spans="1:1" x14ac:dyDescent="0.25">
      <c r="A765" s="60" t="s">
        <v>52</v>
      </c>
    </row>
    <row r="766" spans="1:1" x14ac:dyDescent="0.25">
      <c r="A766" s="61" t="s">
        <v>52</v>
      </c>
    </row>
    <row r="767" spans="1:1" x14ac:dyDescent="0.25">
      <c r="A767" s="62" t="s">
        <v>52</v>
      </c>
    </row>
    <row r="768" spans="1:1" x14ac:dyDescent="0.25">
      <c r="A768" s="63" t="s">
        <v>52</v>
      </c>
    </row>
    <row r="769" spans="1:1" x14ac:dyDescent="0.25">
      <c r="A769" s="64" t="s">
        <v>52</v>
      </c>
    </row>
    <row r="770" spans="1:1" x14ac:dyDescent="0.25">
      <c r="A770" s="65" t="s">
        <v>52</v>
      </c>
    </row>
    <row r="771" spans="1:1" x14ac:dyDescent="0.25">
      <c r="A771" s="66" t="s">
        <v>52</v>
      </c>
    </row>
    <row r="772" spans="1:1" x14ac:dyDescent="0.25">
      <c r="A772" s="67" t="s">
        <v>52</v>
      </c>
    </row>
    <row r="773" spans="1:1" x14ac:dyDescent="0.25">
      <c r="A773" s="68" t="s">
        <v>52</v>
      </c>
    </row>
    <row r="774" spans="1:1" x14ac:dyDescent="0.25">
      <c r="A774" s="69" t="s">
        <v>52</v>
      </c>
    </row>
    <row r="775" spans="1:1" x14ac:dyDescent="0.25">
      <c r="A775" s="70" t="s">
        <v>52</v>
      </c>
    </row>
    <row r="776" spans="1:1" x14ac:dyDescent="0.25">
      <c r="A776" s="71" t="s">
        <v>52</v>
      </c>
    </row>
    <row r="777" spans="1:1" x14ac:dyDescent="0.25">
      <c r="A777" s="72" t="s">
        <v>52</v>
      </c>
    </row>
    <row r="778" spans="1:1" x14ac:dyDescent="0.25">
      <c r="A778" s="73" t="s">
        <v>52</v>
      </c>
    </row>
    <row r="779" spans="1:1" x14ac:dyDescent="0.25">
      <c r="A779" s="74" t="s">
        <v>52</v>
      </c>
    </row>
    <row r="780" spans="1:1" x14ac:dyDescent="0.25">
      <c r="A780" s="75" t="s">
        <v>52</v>
      </c>
    </row>
    <row r="781" spans="1:1" x14ac:dyDescent="0.25">
      <c r="A781" s="76" t="s">
        <v>52</v>
      </c>
    </row>
    <row r="782" spans="1:1" x14ac:dyDescent="0.25">
      <c r="A782" s="77" t="s">
        <v>52</v>
      </c>
    </row>
    <row r="783" spans="1:1" x14ac:dyDescent="0.25">
      <c r="A783" s="78" t="s">
        <v>52</v>
      </c>
    </row>
    <row r="784" spans="1:1" x14ac:dyDescent="0.25">
      <c r="A784" s="79" t="s">
        <v>52</v>
      </c>
    </row>
    <row r="785" spans="1:1" x14ac:dyDescent="0.25">
      <c r="A785" s="80" t="s">
        <v>52</v>
      </c>
    </row>
    <row r="786" spans="1:1" x14ac:dyDescent="0.25">
      <c r="A786" s="81" t="s">
        <v>52</v>
      </c>
    </row>
    <row r="787" spans="1:1" x14ac:dyDescent="0.25">
      <c r="A787" s="82" t="s">
        <v>52</v>
      </c>
    </row>
    <row r="788" spans="1:1" x14ac:dyDescent="0.25">
      <c r="A788" s="83" t="s">
        <v>52</v>
      </c>
    </row>
    <row r="789" spans="1:1" x14ac:dyDescent="0.25">
      <c r="A789" s="84" t="s">
        <v>52</v>
      </c>
    </row>
    <row r="790" spans="1:1" x14ac:dyDescent="0.25">
      <c r="A790" s="85" t="s">
        <v>52</v>
      </c>
    </row>
    <row r="791" spans="1:1" x14ac:dyDescent="0.25">
      <c r="A791" s="86" t="s">
        <v>52</v>
      </c>
    </row>
    <row r="792" spans="1:1" x14ac:dyDescent="0.25">
      <c r="A792" s="87" t="s">
        <v>52</v>
      </c>
    </row>
    <row r="793" spans="1:1" x14ac:dyDescent="0.25">
      <c r="A793" s="88" t="s">
        <v>52</v>
      </c>
    </row>
    <row r="794" spans="1:1" x14ac:dyDescent="0.25">
      <c r="A794" s="89" t="s">
        <v>52</v>
      </c>
    </row>
    <row r="795" spans="1:1" x14ac:dyDescent="0.25">
      <c r="A795" s="90" t="s">
        <v>52</v>
      </c>
    </row>
    <row r="796" spans="1:1" x14ac:dyDescent="0.25">
      <c r="A796" s="19" t="s">
        <v>628</v>
      </c>
    </row>
    <row r="797" spans="1:1" x14ac:dyDescent="0.25">
      <c r="A797" s="20" t="s">
        <v>52</v>
      </c>
    </row>
    <row r="798" spans="1:1" x14ac:dyDescent="0.25">
      <c r="A798" s="21" t="s">
        <v>52</v>
      </c>
    </row>
    <row r="799" spans="1:1" x14ac:dyDescent="0.25">
      <c r="A799" s="22" t="s">
        <v>52</v>
      </c>
    </row>
    <row r="800" spans="1:1" x14ac:dyDescent="0.25">
      <c r="A800" s="23" t="s">
        <v>52</v>
      </c>
    </row>
    <row r="801" spans="1:1" x14ac:dyDescent="0.25">
      <c r="A801" s="24" t="s">
        <v>52</v>
      </c>
    </row>
    <row r="802" spans="1:1" x14ac:dyDescent="0.25">
      <c r="A802" s="25" t="s">
        <v>52</v>
      </c>
    </row>
    <row r="803" spans="1:1" x14ac:dyDescent="0.25">
      <c r="A803" s="26" t="s">
        <v>52</v>
      </c>
    </row>
    <row r="804" spans="1:1" x14ac:dyDescent="0.25">
      <c r="A804" s="27" t="s">
        <v>52</v>
      </c>
    </row>
    <row r="805" spans="1:1" x14ac:dyDescent="0.25">
      <c r="A805" s="28" t="s">
        <v>52</v>
      </c>
    </row>
    <row r="806" spans="1:1" x14ac:dyDescent="0.25">
      <c r="A806" s="29" t="s">
        <v>52</v>
      </c>
    </row>
    <row r="807" spans="1:1" x14ac:dyDescent="0.25">
      <c r="A807" s="30" t="s">
        <v>629</v>
      </c>
    </row>
    <row r="808" spans="1:1" x14ac:dyDescent="0.25">
      <c r="A808" s="31" t="s">
        <v>52</v>
      </c>
    </row>
    <row r="809" spans="1:1" x14ac:dyDescent="0.25">
      <c r="A809" s="32" t="s">
        <v>52</v>
      </c>
    </row>
    <row r="810" spans="1:1" x14ac:dyDescent="0.25">
      <c r="A810" s="33" t="s">
        <v>52</v>
      </c>
    </row>
    <row r="811" spans="1:1" x14ac:dyDescent="0.25">
      <c r="A811" s="34" t="s">
        <v>52</v>
      </c>
    </row>
    <row r="812" spans="1:1" x14ac:dyDescent="0.25">
      <c r="A812" s="35" t="s">
        <v>52</v>
      </c>
    </row>
    <row r="813" spans="1:1" x14ac:dyDescent="0.25">
      <c r="A813" s="36" t="s">
        <v>52</v>
      </c>
    </row>
    <row r="814" spans="1:1" x14ac:dyDescent="0.25">
      <c r="A814" s="37" t="s">
        <v>52</v>
      </c>
    </row>
    <row r="815" spans="1:1" x14ac:dyDescent="0.25">
      <c r="A815" s="38" t="s">
        <v>52</v>
      </c>
    </row>
    <row r="816" spans="1:1" x14ac:dyDescent="0.25">
      <c r="A816" s="39" t="s">
        <v>52</v>
      </c>
    </row>
    <row r="817" spans="1:1" x14ac:dyDescent="0.25">
      <c r="A817" s="40" t="s">
        <v>52</v>
      </c>
    </row>
    <row r="818" spans="1:1" x14ac:dyDescent="0.25">
      <c r="A818" s="41" t="s">
        <v>52</v>
      </c>
    </row>
    <row r="819" spans="1:1" x14ac:dyDescent="0.25">
      <c r="A819" s="42" t="s">
        <v>52</v>
      </c>
    </row>
    <row r="820" spans="1:1" x14ac:dyDescent="0.25">
      <c r="A820" s="43" t="s">
        <v>52</v>
      </c>
    </row>
    <row r="821" spans="1:1" x14ac:dyDescent="0.25">
      <c r="A821" s="44" t="s">
        <v>630</v>
      </c>
    </row>
    <row r="822" spans="1:1" x14ac:dyDescent="0.25">
      <c r="A822" s="45" t="s">
        <v>52</v>
      </c>
    </row>
    <row r="823" spans="1:1" x14ac:dyDescent="0.25">
      <c r="A823" s="46" t="s">
        <v>52</v>
      </c>
    </row>
    <row r="824" spans="1:1" x14ac:dyDescent="0.25">
      <c r="A824" s="47" t="s">
        <v>52</v>
      </c>
    </row>
    <row r="825" spans="1:1" x14ac:dyDescent="0.25">
      <c r="A825" s="48" t="s">
        <v>52</v>
      </c>
    </row>
    <row r="826" spans="1:1" x14ac:dyDescent="0.25">
      <c r="A826" s="49" t="s">
        <v>52</v>
      </c>
    </row>
    <row r="827" spans="1:1" x14ac:dyDescent="0.25">
      <c r="A827" s="50" t="s">
        <v>52</v>
      </c>
    </row>
    <row r="828" spans="1:1" x14ac:dyDescent="0.25">
      <c r="A828" s="51" t="s">
        <v>52</v>
      </c>
    </row>
    <row r="829" spans="1:1" x14ac:dyDescent="0.25">
      <c r="A829" s="52" t="s">
        <v>52</v>
      </c>
    </row>
    <row r="830" spans="1:1" x14ac:dyDescent="0.25">
      <c r="A830" s="53" t="s">
        <v>52</v>
      </c>
    </row>
    <row r="831" spans="1:1" x14ac:dyDescent="0.25">
      <c r="A831" s="54" t="s">
        <v>52</v>
      </c>
    </row>
    <row r="832" spans="1:1" x14ac:dyDescent="0.25">
      <c r="A832" s="55" t="s">
        <v>52</v>
      </c>
    </row>
    <row r="833" spans="1:1" x14ac:dyDescent="0.25">
      <c r="A833" s="56" t="s">
        <v>52</v>
      </c>
    </row>
    <row r="834" spans="1:1" x14ac:dyDescent="0.25">
      <c r="A834" s="57" t="s">
        <v>52</v>
      </c>
    </row>
    <row r="835" spans="1:1" x14ac:dyDescent="0.25">
      <c r="A835" s="58" t="s">
        <v>52</v>
      </c>
    </row>
    <row r="836" spans="1:1" x14ac:dyDescent="0.25">
      <c r="A836" s="59" t="s">
        <v>52</v>
      </c>
    </row>
    <row r="837" spans="1:1" x14ac:dyDescent="0.25">
      <c r="A837" s="60" t="s">
        <v>52</v>
      </c>
    </row>
    <row r="838" spans="1:1" x14ac:dyDescent="0.25">
      <c r="A838" s="61" t="s">
        <v>52</v>
      </c>
    </row>
    <row r="839" spans="1:1" x14ac:dyDescent="0.25">
      <c r="A839" s="62" t="s">
        <v>52</v>
      </c>
    </row>
    <row r="840" spans="1:1" x14ac:dyDescent="0.25">
      <c r="A840" s="63" t="s">
        <v>52</v>
      </c>
    </row>
    <row r="841" spans="1:1" x14ac:dyDescent="0.25">
      <c r="A841" s="64" t="s">
        <v>52</v>
      </c>
    </row>
    <row r="842" spans="1:1" x14ac:dyDescent="0.25">
      <c r="A842" s="65" t="s">
        <v>52</v>
      </c>
    </row>
    <row r="843" spans="1:1" x14ac:dyDescent="0.25">
      <c r="A843" s="66" t="s">
        <v>52</v>
      </c>
    </row>
    <row r="844" spans="1:1" x14ac:dyDescent="0.25">
      <c r="A844" s="67" t="s">
        <v>52</v>
      </c>
    </row>
    <row r="845" spans="1:1" x14ac:dyDescent="0.25">
      <c r="A845" s="68" t="s">
        <v>52</v>
      </c>
    </row>
    <row r="846" spans="1:1" x14ac:dyDescent="0.25">
      <c r="A846" s="69" t="s">
        <v>52</v>
      </c>
    </row>
    <row r="847" spans="1:1" x14ac:dyDescent="0.25">
      <c r="A847" s="70" t="s">
        <v>52</v>
      </c>
    </row>
    <row r="848" spans="1:1" x14ac:dyDescent="0.25">
      <c r="A848" s="71" t="s">
        <v>52</v>
      </c>
    </row>
    <row r="849" spans="1:1" x14ac:dyDescent="0.25">
      <c r="A849" s="72" t="s">
        <v>52</v>
      </c>
    </row>
    <row r="850" spans="1:1" x14ac:dyDescent="0.25">
      <c r="A850" s="73" t="s">
        <v>52</v>
      </c>
    </row>
    <row r="851" spans="1:1" x14ac:dyDescent="0.25">
      <c r="A851" s="74" t="s">
        <v>52</v>
      </c>
    </row>
    <row r="852" spans="1:1" x14ac:dyDescent="0.25">
      <c r="A852" s="75" t="s">
        <v>52</v>
      </c>
    </row>
    <row r="853" spans="1:1" x14ac:dyDescent="0.25">
      <c r="A853" s="76" t="s">
        <v>52</v>
      </c>
    </row>
    <row r="854" spans="1:1" x14ac:dyDescent="0.25">
      <c r="A854" s="77" t="s">
        <v>52</v>
      </c>
    </row>
    <row r="855" spans="1:1" x14ac:dyDescent="0.25">
      <c r="A855" s="78" t="s">
        <v>52</v>
      </c>
    </row>
    <row r="856" spans="1:1" x14ac:dyDescent="0.25">
      <c r="A856" s="79" t="s">
        <v>52</v>
      </c>
    </row>
    <row r="857" spans="1:1" x14ac:dyDescent="0.25">
      <c r="A857" s="80" t="s">
        <v>52</v>
      </c>
    </row>
    <row r="858" spans="1:1" x14ac:dyDescent="0.25">
      <c r="A858" s="81" t="s">
        <v>52</v>
      </c>
    </row>
    <row r="859" spans="1:1" x14ac:dyDescent="0.25">
      <c r="A859" s="82" t="s">
        <v>52</v>
      </c>
    </row>
    <row r="860" spans="1:1" x14ac:dyDescent="0.25">
      <c r="A860" s="83" t="s">
        <v>52</v>
      </c>
    </row>
    <row r="861" spans="1:1" x14ac:dyDescent="0.25">
      <c r="A861" s="84" t="s">
        <v>52</v>
      </c>
    </row>
    <row r="862" spans="1:1" x14ac:dyDescent="0.25">
      <c r="A862" s="85" t="s">
        <v>52</v>
      </c>
    </row>
    <row r="863" spans="1:1" x14ac:dyDescent="0.25">
      <c r="A863" s="86" t="s">
        <v>52</v>
      </c>
    </row>
    <row r="864" spans="1:1" x14ac:dyDescent="0.25">
      <c r="A864" s="87" t="s">
        <v>52</v>
      </c>
    </row>
    <row r="865" spans="1:1" x14ac:dyDescent="0.25">
      <c r="A865" s="88" t="s">
        <v>52</v>
      </c>
    </row>
    <row r="866" spans="1:1" x14ac:dyDescent="0.25">
      <c r="A866" s="89" t="s">
        <v>52</v>
      </c>
    </row>
    <row r="867" spans="1:1" x14ac:dyDescent="0.25">
      <c r="A867" s="90" t="s">
        <v>52</v>
      </c>
    </row>
    <row r="868" spans="1:1" x14ac:dyDescent="0.25">
      <c r="A868" s="19" t="s">
        <v>631</v>
      </c>
    </row>
    <row r="869" spans="1:1" x14ac:dyDescent="0.25">
      <c r="A869" s="20" t="s">
        <v>52</v>
      </c>
    </row>
    <row r="870" spans="1:1" x14ac:dyDescent="0.25">
      <c r="A870" s="21" t="s">
        <v>52</v>
      </c>
    </row>
    <row r="871" spans="1:1" x14ac:dyDescent="0.25">
      <c r="A871" s="22" t="s">
        <v>52</v>
      </c>
    </row>
    <row r="872" spans="1:1" x14ac:dyDescent="0.25">
      <c r="A872" s="23" t="s">
        <v>52</v>
      </c>
    </row>
    <row r="873" spans="1:1" x14ac:dyDescent="0.25">
      <c r="A873" s="24" t="s">
        <v>52</v>
      </c>
    </row>
    <row r="874" spans="1:1" x14ac:dyDescent="0.25">
      <c r="A874" s="25" t="s">
        <v>52</v>
      </c>
    </row>
    <row r="875" spans="1:1" x14ac:dyDescent="0.25">
      <c r="A875" s="26" t="s">
        <v>52</v>
      </c>
    </row>
    <row r="876" spans="1:1" x14ac:dyDescent="0.25">
      <c r="A876" s="27" t="s">
        <v>52</v>
      </c>
    </row>
    <row r="877" spans="1:1" x14ac:dyDescent="0.25">
      <c r="A877" s="28" t="s">
        <v>52</v>
      </c>
    </row>
    <row r="878" spans="1:1" x14ac:dyDescent="0.25">
      <c r="A878" s="29" t="s">
        <v>52</v>
      </c>
    </row>
    <row r="879" spans="1:1" x14ac:dyDescent="0.25">
      <c r="A879" s="30" t="s">
        <v>632</v>
      </c>
    </row>
    <row r="880" spans="1:1" x14ac:dyDescent="0.25">
      <c r="A880" s="31" t="s">
        <v>52</v>
      </c>
    </row>
    <row r="881" spans="1:1" x14ac:dyDescent="0.25">
      <c r="A881" s="32" t="s">
        <v>52</v>
      </c>
    </row>
    <row r="882" spans="1:1" x14ac:dyDescent="0.25">
      <c r="A882" s="33" t="s">
        <v>52</v>
      </c>
    </row>
    <row r="883" spans="1:1" x14ac:dyDescent="0.25">
      <c r="A883" s="34" t="s">
        <v>52</v>
      </c>
    </row>
    <row r="884" spans="1:1" x14ac:dyDescent="0.25">
      <c r="A884" s="35" t="s">
        <v>52</v>
      </c>
    </row>
    <row r="885" spans="1:1" x14ac:dyDescent="0.25">
      <c r="A885" s="36" t="s">
        <v>52</v>
      </c>
    </row>
    <row r="886" spans="1:1" x14ac:dyDescent="0.25">
      <c r="A886" s="37" t="s">
        <v>52</v>
      </c>
    </row>
    <row r="887" spans="1:1" x14ac:dyDescent="0.25">
      <c r="A887" s="38" t="s">
        <v>52</v>
      </c>
    </row>
    <row r="888" spans="1:1" x14ac:dyDescent="0.25">
      <c r="A888" s="39" t="s">
        <v>52</v>
      </c>
    </row>
    <row r="889" spans="1:1" x14ac:dyDescent="0.25">
      <c r="A889" s="40" t="s">
        <v>52</v>
      </c>
    </row>
    <row r="890" spans="1:1" x14ac:dyDescent="0.25">
      <c r="A890" s="41" t="s">
        <v>52</v>
      </c>
    </row>
    <row r="891" spans="1:1" x14ac:dyDescent="0.25">
      <c r="A891" s="42" t="s">
        <v>52</v>
      </c>
    </row>
    <row r="892" spans="1:1" x14ac:dyDescent="0.25">
      <c r="A892" s="43" t="s">
        <v>52</v>
      </c>
    </row>
    <row r="893" spans="1:1" x14ac:dyDescent="0.25">
      <c r="A893" s="44" t="s">
        <v>633</v>
      </c>
    </row>
    <row r="894" spans="1:1" x14ac:dyDescent="0.25">
      <c r="A894" s="45" t="s">
        <v>52</v>
      </c>
    </row>
    <row r="895" spans="1:1" x14ac:dyDescent="0.25">
      <c r="A895" s="46" t="s">
        <v>52</v>
      </c>
    </row>
    <row r="896" spans="1:1" x14ac:dyDescent="0.25">
      <c r="A896" s="47" t="s">
        <v>52</v>
      </c>
    </row>
    <row r="897" spans="1:1" x14ac:dyDescent="0.25">
      <c r="A897" s="48" t="s">
        <v>52</v>
      </c>
    </row>
    <row r="898" spans="1:1" x14ac:dyDescent="0.25">
      <c r="A898" s="49" t="s">
        <v>52</v>
      </c>
    </row>
    <row r="899" spans="1:1" x14ac:dyDescent="0.25">
      <c r="A899" s="50" t="s">
        <v>52</v>
      </c>
    </row>
    <row r="900" spans="1:1" x14ac:dyDescent="0.25">
      <c r="A900" s="51" t="s">
        <v>52</v>
      </c>
    </row>
    <row r="901" spans="1:1" x14ac:dyDescent="0.25">
      <c r="A901" s="52" t="s">
        <v>52</v>
      </c>
    </row>
    <row r="902" spans="1:1" x14ac:dyDescent="0.25">
      <c r="A902" s="53" t="s">
        <v>52</v>
      </c>
    </row>
    <row r="903" spans="1:1" x14ac:dyDescent="0.25">
      <c r="A903" s="54" t="s">
        <v>52</v>
      </c>
    </row>
    <row r="904" spans="1:1" x14ac:dyDescent="0.25">
      <c r="A904" s="55" t="s">
        <v>52</v>
      </c>
    </row>
    <row r="905" spans="1:1" x14ac:dyDescent="0.25">
      <c r="A905" s="56" t="s">
        <v>52</v>
      </c>
    </row>
    <row r="906" spans="1:1" x14ac:dyDescent="0.25">
      <c r="A906" s="57" t="s">
        <v>52</v>
      </c>
    </row>
    <row r="907" spans="1:1" x14ac:dyDescent="0.25">
      <c r="A907" s="58" t="s">
        <v>52</v>
      </c>
    </row>
    <row r="908" spans="1:1" x14ac:dyDescent="0.25">
      <c r="A908" s="59" t="s">
        <v>52</v>
      </c>
    </row>
    <row r="909" spans="1:1" x14ac:dyDescent="0.25">
      <c r="A909" s="60" t="s">
        <v>52</v>
      </c>
    </row>
    <row r="910" spans="1:1" x14ac:dyDescent="0.25">
      <c r="A910" s="61" t="s">
        <v>52</v>
      </c>
    </row>
    <row r="911" spans="1:1" x14ac:dyDescent="0.25">
      <c r="A911" s="62" t="s">
        <v>52</v>
      </c>
    </row>
    <row r="912" spans="1:1" x14ac:dyDescent="0.25">
      <c r="A912" s="63" t="s">
        <v>52</v>
      </c>
    </row>
    <row r="913" spans="1:1" x14ac:dyDescent="0.25">
      <c r="A913" s="64" t="s">
        <v>52</v>
      </c>
    </row>
    <row r="914" spans="1:1" x14ac:dyDescent="0.25">
      <c r="A914" s="65" t="s">
        <v>52</v>
      </c>
    </row>
    <row r="915" spans="1:1" x14ac:dyDescent="0.25">
      <c r="A915" s="66" t="s">
        <v>52</v>
      </c>
    </row>
    <row r="916" spans="1:1" x14ac:dyDescent="0.25">
      <c r="A916" s="67" t="s">
        <v>52</v>
      </c>
    </row>
    <row r="917" spans="1:1" x14ac:dyDescent="0.25">
      <c r="A917" s="68" t="s">
        <v>52</v>
      </c>
    </row>
    <row r="918" spans="1:1" x14ac:dyDescent="0.25">
      <c r="A918" s="69" t="s">
        <v>52</v>
      </c>
    </row>
    <row r="919" spans="1:1" x14ac:dyDescent="0.25">
      <c r="A919" s="70" t="s">
        <v>52</v>
      </c>
    </row>
    <row r="920" spans="1:1" x14ac:dyDescent="0.25">
      <c r="A920" s="71" t="s">
        <v>52</v>
      </c>
    </row>
    <row r="921" spans="1:1" x14ac:dyDescent="0.25">
      <c r="A921" s="72" t="s">
        <v>52</v>
      </c>
    </row>
    <row r="922" spans="1:1" x14ac:dyDescent="0.25">
      <c r="A922" s="73" t="s">
        <v>52</v>
      </c>
    </row>
    <row r="923" spans="1:1" x14ac:dyDescent="0.25">
      <c r="A923" s="74" t="s">
        <v>52</v>
      </c>
    </row>
    <row r="924" spans="1:1" x14ac:dyDescent="0.25">
      <c r="A924" s="75" t="s">
        <v>52</v>
      </c>
    </row>
    <row r="925" spans="1:1" x14ac:dyDescent="0.25">
      <c r="A925" s="76" t="s">
        <v>52</v>
      </c>
    </row>
    <row r="926" spans="1:1" x14ac:dyDescent="0.25">
      <c r="A926" s="77" t="s">
        <v>52</v>
      </c>
    </row>
    <row r="927" spans="1:1" x14ac:dyDescent="0.25">
      <c r="A927" s="78" t="s">
        <v>52</v>
      </c>
    </row>
    <row r="928" spans="1:1" x14ac:dyDescent="0.25">
      <c r="A928" s="79" t="s">
        <v>52</v>
      </c>
    </row>
    <row r="929" spans="1:1" x14ac:dyDescent="0.25">
      <c r="A929" s="80" t="s">
        <v>52</v>
      </c>
    </row>
    <row r="930" spans="1:1" x14ac:dyDescent="0.25">
      <c r="A930" s="81" t="s">
        <v>52</v>
      </c>
    </row>
    <row r="931" spans="1:1" x14ac:dyDescent="0.25">
      <c r="A931" s="82" t="s">
        <v>52</v>
      </c>
    </row>
    <row r="932" spans="1:1" x14ac:dyDescent="0.25">
      <c r="A932" s="83" t="s">
        <v>52</v>
      </c>
    </row>
    <row r="933" spans="1:1" x14ac:dyDescent="0.25">
      <c r="A933" s="84" t="s">
        <v>52</v>
      </c>
    </row>
    <row r="934" spans="1:1" x14ac:dyDescent="0.25">
      <c r="A934" s="85" t="s">
        <v>52</v>
      </c>
    </row>
    <row r="935" spans="1:1" x14ac:dyDescent="0.25">
      <c r="A935" s="86" t="s">
        <v>52</v>
      </c>
    </row>
    <row r="936" spans="1:1" x14ac:dyDescent="0.25">
      <c r="A936" s="87" t="s">
        <v>52</v>
      </c>
    </row>
    <row r="937" spans="1:1" x14ac:dyDescent="0.25">
      <c r="A937" s="88" t="s">
        <v>52</v>
      </c>
    </row>
    <row r="938" spans="1:1" x14ac:dyDescent="0.25">
      <c r="A938" s="89" t="s">
        <v>52</v>
      </c>
    </row>
    <row r="939" spans="1:1" x14ac:dyDescent="0.25">
      <c r="A939" s="90" t="s">
        <v>52</v>
      </c>
    </row>
    <row r="940" spans="1:1" x14ac:dyDescent="0.25">
      <c r="A940" s="19" t="s">
        <v>634</v>
      </c>
    </row>
    <row r="941" spans="1:1" x14ac:dyDescent="0.25">
      <c r="A941" s="20" t="s">
        <v>52</v>
      </c>
    </row>
    <row r="942" spans="1:1" x14ac:dyDescent="0.25">
      <c r="A942" s="21" t="s">
        <v>52</v>
      </c>
    </row>
    <row r="943" spans="1:1" x14ac:dyDescent="0.25">
      <c r="A943" s="22" t="s">
        <v>52</v>
      </c>
    </row>
    <row r="944" spans="1:1" x14ac:dyDescent="0.25">
      <c r="A944" s="23" t="s">
        <v>52</v>
      </c>
    </row>
    <row r="945" spans="1:1" x14ac:dyDescent="0.25">
      <c r="A945" s="24" t="s">
        <v>52</v>
      </c>
    </row>
    <row r="946" spans="1:1" x14ac:dyDescent="0.25">
      <c r="A946" s="25" t="s">
        <v>52</v>
      </c>
    </row>
    <row r="947" spans="1:1" x14ac:dyDescent="0.25">
      <c r="A947" s="26" t="s">
        <v>52</v>
      </c>
    </row>
    <row r="948" spans="1:1" x14ac:dyDescent="0.25">
      <c r="A948" s="27" t="s">
        <v>52</v>
      </c>
    </row>
    <row r="949" spans="1:1" x14ac:dyDescent="0.25">
      <c r="A949" s="28" t="s">
        <v>52</v>
      </c>
    </row>
    <row r="950" spans="1:1" x14ac:dyDescent="0.25">
      <c r="A950" s="29" t="s">
        <v>52</v>
      </c>
    </row>
    <row r="951" spans="1:1" x14ac:dyDescent="0.25">
      <c r="A951" s="30" t="s">
        <v>635</v>
      </c>
    </row>
    <row r="952" spans="1:1" x14ac:dyDescent="0.25">
      <c r="A952" s="31" t="s">
        <v>52</v>
      </c>
    </row>
    <row r="953" spans="1:1" x14ac:dyDescent="0.25">
      <c r="A953" s="32" t="s">
        <v>52</v>
      </c>
    </row>
    <row r="954" spans="1:1" x14ac:dyDescent="0.25">
      <c r="A954" s="33" t="s">
        <v>52</v>
      </c>
    </row>
    <row r="955" spans="1:1" x14ac:dyDescent="0.25">
      <c r="A955" s="34" t="s">
        <v>52</v>
      </c>
    </row>
    <row r="956" spans="1:1" x14ac:dyDescent="0.25">
      <c r="A956" s="35" t="s">
        <v>52</v>
      </c>
    </row>
    <row r="957" spans="1:1" x14ac:dyDescent="0.25">
      <c r="A957" s="36" t="s">
        <v>52</v>
      </c>
    </row>
    <row r="958" spans="1:1" x14ac:dyDescent="0.25">
      <c r="A958" s="37" t="s">
        <v>52</v>
      </c>
    </row>
    <row r="959" spans="1:1" x14ac:dyDescent="0.25">
      <c r="A959" s="38" t="s">
        <v>52</v>
      </c>
    </row>
    <row r="960" spans="1:1" x14ac:dyDescent="0.25">
      <c r="A960" s="39" t="s">
        <v>52</v>
      </c>
    </row>
    <row r="961" spans="1:1" x14ac:dyDescent="0.25">
      <c r="A961" s="40" t="s">
        <v>52</v>
      </c>
    </row>
    <row r="962" spans="1:1" x14ac:dyDescent="0.25">
      <c r="A962" s="41" t="s">
        <v>52</v>
      </c>
    </row>
    <row r="963" spans="1:1" x14ac:dyDescent="0.25">
      <c r="A963" s="42" t="s">
        <v>52</v>
      </c>
    </row>
    <row r="964" spans="1:1" x14ac:dyDescent="0.25">
      <c r="A964" s="43" t="s">
        <v>52</v>
      </c>
    </row>
    <row r="965" spans="1:1" x14ac:dyDescent="0.25">
      <c r="A965" s="44" t="s">
        <v>636</v>
      </c>
    </row>
    <row r="966" spans="1:1" x14ac:dyDescent="0.25">
      <c r="A966" s="45" t="s">
        <v>52</v>
      </c>
    </row>
    <row r="967" spans="1:1" x14ac:dyDescent="0.25">
      <c r="A967" s="46" t="s">
        <v>52</v>
      </c>
    </row>
    <row r="968" spans="1:1" x14ac:dyDescent="0.25">
      <c r="A968" s="47" t="s">
        <v>52</v>
      </c>
    </row>
    <row r="969" spans="1:1" x14ac:dyDescent="0.25">
      <c r="A969" s="48" t="s">
        <v>52</v>
      </c>
    </row>
    <row r="970" spans="1:1" x14ac:dyDescent="0.25">
      <c r="A970" s="49" t="s">
        <v>52</v>
      </c>
    </row>
    <row r="971" spans="1:1" x14ac:dyDescent="0.25">
      <c r="A971" s="50" t="s">
        <v>52</v>
      </c>
    </row>
    <row r="972" spans="1:1" x14ac:dyDescent="0.25">
      <c r="A972" s="51" t="s">
        <v>52</v>
      </c>
    </row>
    <row r="973" spans="1:1" x14ac:dyDescent="0.25">
      <c r="A973" s="52" t="s">
        <v>52</v>
      </c>
    </row>
    <row r="974" spans="1:1" x14ac:dyDescent="0.25">
      <c r="A974" s="53" t="s">
        <v>52</v>
      </c>
    </row>
    <row r="975" spans="1:1" x14ac:dyDescent="0.25">
      <c r="A975" s="54" t="s">
        <v>52</v>
      </c>
    </row>
    <row r="976" spans="1:1" x14ac:dyDescent="0.25">
      <c r="A976" s="55" t="s">
        <v>52</v>
      </c>
    </row>
    <row r="977" spans="1:1" x14ac:dyDescent="0.25">
      <c r="A977" s="56" t="s">
        <v>52</v>
      </c>
    </row>
    <row r="978" spans="1:1" x14ac:dyDescent="0.25">
      <c r="A978" s="57" t="s">
        <v>52</v>
      </c>
    </row>
    <row r="979" spans="1:1" x14ac:dyDescent="0.25">
      <c r="A979" s="58" t="s">
        <v>52</v>
      </c>
    </row>
    <row r="980" spans="1:1" x14ac:dyDescent="0.25">
      <c r="A980" s="59" t="s">
        <v>52</v>
      </c>
    </row>
    <row r="981" spans="1:1" x14ac:dyDescent="0.25">
      <c r="A981" s="60" t="s">
        <v>52</v>
      </c>
    </row>
    <row r="982" spans="1:1" x14ac:dyDescent="0.25">
      <c r="A982" s="61" t="s">
        <v>52</v>
      </c>
    </row>
    <row r="983" spans="1:1" x14ac:dyDescent="0.25">
      <c r="A983" s="62" t="s">
        <v>52</v>
      </c>
    </row>
    <row r="984" spans="1:1" x14ac:dyDescent="0.25">
      <c r="A984" s="63" t="s">
        <v>52</v>
      </c>
    </row>
    <row r="985" spans="1:1" x14ac:dyDescent="0.25">
      <c r="A985" s="64" t="s">
        <v>52</v>
      </c>
    </row>
    <row r="986" spans="1:1" x14ac:dyDescent="0.25">
      <c r="A986" s="65" t="s">
        <v>52</v>
      </c>
    </row>
    <row r="987" spans="1:1" x14ac:dyDescent="0.25">
      <c r="A987" s="66" t="s">
        <v>52</v>
      </c>
    </row>
    <row r="988" spans="1:1" x14ac:dyDescent="0.25">
      <c r="A988" s="67" t="s">
        <v>52</v>
      </c>
    </row>
    <row r="989" spans="1:1" x14ac:dyDescent="0.25">
      <c r="A989" s="68" t="s">
        <v>52</v>
      </c>
    </row>
    <row r="990" spans="1:1" x14ac:dyDescent="0.25">
      <c r="A990" s="69" t="s">
        <v>52</v>
      </c>
    </row>
    <row r="991" spans="1:1" x14ac:dyDescent="0.25">
      <c r="A991" s="70" t="s">
        <v>52</v>
      </c>
    </row>
    <row r="992" spans="1:1" x14ac:dyDescent="0.25">
      <c r="A992" s="71" t="s">
        <v>52</v>
      </c>
    </row>
    <row r="993" spans="1:1" x14ac:dyDescent="0.25">
      <c r="A993" s="72" t="s">
        <v>52</v>
      </c>
    </row>
    <row r="994" spans="1:1" x14ac:dyDescent="0.25">
      <c r="A994" s="73" t="s">
        <v>52</v>
      </c>
    </row>
    <row r="995" spans="1:1" x14ac:dyDescent="0.25">
      <c r="A995" s="74" t="s">
        <v>52</v>
      </c>
    </row>
    <row r="996" spans="1:1" x14ac:dyDescent="0.25">
      <c r="A996" s="75" t="s">
        <v>52</v>
      </c>
    </row>
    <row r="997" spans="1:1" x14ac:dyDescent="0.25">
      <c r="A997" s="76" t="s">
        <v>52</v>
      </c>
    </row>
    <row r="998" spans="1:1" x14ac:dyDescent="0.25">
      <c r="A998" s="77" t="s">
        <v>52</v>
      </c>
    </row>
    <row r="999" spans="1:1" x14ac:dyDescent="0.25">
      <c r="A999" s="78" t="s">
        <v>52</v>
      </c>
    </row>
    <row r="1000" spans="1:1" x14ac:dyDescent="0.25">
      <c r="A1000" s="79" t="s">
        <v>52</v>
      </c>
    </row>
    <row r="1001" spans="1:1" x14ac:dyDescent="0.25">
      <c r="A1001" s="80" t="s">
        <v>52</v>
      </c>
    </row>
    <row r="1002" spans="1:1" x14ac:dyDescent="0.25">
      <c r="A1002" s="81" t="s">
        <v>52</v>
      </c>
    </row>
    <row r="1003" spans="1:1" x14ac:dyDescent="0.25">
      <c r="A1003" s="82" t="s">
        <v>52</v>
      </c>
    </row>
    <row r="1004" spans="1:1" x14ac:dyDescent="0.25">
      <c r="A1004" s="83" t="s">
        <v>52</v>
      </c>
    </row>
    <row r="1005" spans="1:1" x14ac:dyDescent="0.25">
      <c r="A1005" s="84" t="s">
        <v>52</v>
      </c>
    </row>
    <row r="1006" spans="1:1" x14ac:dyDescent="0.25">
      <c r="A1006" s="85" t="s">
        <v>52</v>
      </c>
    </row>
    <row r="1007" spans="1:1" x14ac:dyDescent="0.25">
      <c r="A1007" s="86" t="s">
        <v>52</v>
      </c>
    </row>
    <row r="1008" spans="1:1" x14ac:dyDescent="0.25">
      <c r="A1008" s="87" t="s">
        <v>52</v>
      </c>
    </row>
    <row r="1009" spans="1:1" x14ac:dyDescent="0.25">
      <c r="A1009" s="88" t="s">
        <v>52</v>
      </c>
    </row>
    <row r="1010" spans="1:1" x14ac:dyDescent="0.25">
      <c r="A1010" s="89" t="s">
        <v>52</v>
      </c>
    </row>
    <row r="1011" spans="1:1" x14ac:dyDescent="0.25">
      <c r="A1011" s="90" t="s">
        <v>52</v>
      </c>
    </row>
    <row r="1012" spans="1:1" x14ac:dyDescent="0.25">
      <c r="A1012" s="19" t="s">
        <v>637</v>
      </c>
    </row>
    <row r="1013" spans="1:1" x14ac:dyDescent="0.25">
      <c r="A1013" s="20" t="s">
        <v>52</v>
      </c>
    </row>
    <row r="1014" spans="1:1" x14ac:dyDescent="0.25">
      <c r="A1014" s="21" t="s">
        <v>52</v>
      </c>
    </row>
    <row r="1015" spans="1:1" x14ac:dyDescent="0.25">
      <c r="A1015" s="22" t="s">
        <v>52</v>
      </c>
    </row>
    <row r="1016" spans="1:1" x14ac:dyDescent="0.25">
      <c r="A1016" s="23" t="s">
        <v>52</v>
      </c>
    </row>
    <row r="1017" spans="1:1" x14ac:dyDescent="0.25">
      <c r="A1017" s="24" t="s">
        <v>52</v>
      </c>
    </row>
    <row r="1018" spans="1:1" x14ac:dyDescent="0.25">
      <c r="A1018" s="25" t="s">
        <v>52</v>
      </c>
    </row>
    <row r="1019" spans="1:1" x14ac:dyDescent="0.25">
      <c r="A1019" s="26" t="s">
        <v>52</v>
      </c>
    </row>
    <row r="1020" spans="1:1" x14ac:dyDescent="0.25">
      <c r="A1020" s="27" t="s">
        <v>52</v>
      </c>
    </row>
    <row r="1021" spans="1:1" x14ac:dyDescent="0.25">
      <c r="A1021" s="28" t="s">
        <v>52</v>
      </c>
    </row>
    <row r="1022" spans="1:1" x14ac:dyDescent="0.25">
      <c r="A1022" s="29" t="s">
        <v>52</v>
      </c>
    </row>
    <row r="1023" spans="1:1" x14ac:dyDescent="0.25">
      <c r="A1023" s="30" t="s">
        <v>638</v>
      </c>
    </row>
    <row r="1024" spans="1:1" x14ac:dyDescent="0.25">
      <c r="A1024" s="31" t="s">
        <v>52</v>
      </c>
    </row>
    <row r="1025" spans="1:1" x14ac:dyDescent="0.25">
      <c r="A1025" s="32" t="s">
        <v>52</v>
      </c>
    </row>
    <row r="1026" spans="1:1" x14ac:dyDescent="0.25">
      <c r="A1026" s="33" t="s">
        <v>52</v>
      </c>
    </row>
    <row r="1027" spans="1:1" x14ac:dyDescent="0.25">
      <c r="A1027" s="34" t="s">
        <v>52</v>
      </c>
    </row>
    <row r="1028" spans="1:1" x14ac:dyDescent="0.25">
      <c r="A1028" s="35" t="s">
        <v>52</v>
      </c>
    </row>
    <row r="1029" spans="1:1" x14ac:dyDescent="0.25">
      <c r="A1029" s="36" t="s">
        <v>52</v>
      </c>
    </row>
    <row r="1030" spans="1:1" x14ac:dyDescent="0.25">
      <c r="A1030" s="37" t="s">
        <v>52</v>
      </c>
    </row>
    <row r="1031" spans="1:1" x14ac:dyDescent="0.25">
      <c r="A1031" s="38" t="s">
        <v>52</v>
      </c>
    </row>
    <row r="1032" spans="1:1" x14ac:dyDescent="0.25">
      <c r="A1032" s="39" t="s">
        <v>52</v>
      </c>
    </row>
    <row r="1033" spans="1:1" x14ac:dyDescent="0.25">
      <c r="A1033" s="40" t="s">
        <v>52</v>
      </c>
    </row>
    <row r="1034" spans="1:1" x14ac:dyDescent="0.25">
      <c r="A1034" s="41" t="s">
        <v>52</v>
      </c>
    </row>
    <row r="1035" spans="1:1" x14ac:dyDescent="0.25">
      <c r="A1035" s="42" t="s">
        <v>52</v>
      </c>
    </row>
    <row r="1036" spans="1:1" x14ac:dyDescent="0.25">
      <c r="A1036" s="43" t="s">
        <v>52</v>
      </c>
    </row>
    <row r="1037" spans="1:1" x14ac:dyDescent="0.25">
      <c r="A1037" s="44" t="s">
        <v>639</v>
      </c>
    </row>
    <row r="1038" spans="1:1" x14ac:dyDescent="0.25">
      <c r="A1038" s="45" t="s">
        <v>52</v>
      </c>
    </row>
    <row r="1039" spans="1:1" x14ac:dyDescent="0.25">
      <c r="A1039" s="46" t="s">
        <v>52</v>
      </c>
    </row>
    <row r="1040" spans="1:1" x14ac:dyDescent="0.25">
      <c r="A1040" s="47" t="s">
        <v>52</v>
      </c>
    </row>
    <row r="1041" spans="1:1" x14ac:dyDescent="0.25">
      <c r="A1041" s="48" t="s">
        <v>52</v>
      </c>
    </row>
    <row r="1042" spans="1:1" x14ac:dyDescent="0.25">
      <c r="A1042" s="49" t="s">
        <v>52</v>
      </c>
    </row>
    <row r="1043" spans="1:1" x14ac:dyDescent="0.25">
      <c r="A1043" s="50" t="s">
        <v>52</v>
      </c>
    </row>
    <row r="1044" spans="1:1" x14ac:dyDescent="0.25">
      <c r="A1044" s="51" t="s">
        <v>52</v>
      </c>
    </row>
    <row r="1045" spans="1:1" x14ac:dyDescent="0.25">
      <c r="A1045" s="52" t="s">
        <v>52</v>
      </c>
    </row>
    <row r="1046" spans="1:1" x14ac:dyDescent="0.25">
      <c r="A1046" s="53" t="s">
        <v>52</v>
      </c>
    </row>
    <row r="1047" spans="1:1" x14ac:dyDescent="0.25">
      <c r="A1047" s="54" t="s">
        <v>52</v>
      </c>
    </row>
    <row r="1048" spans="1:1" x14ac:dyDescent="0.25">
      <c r="A1048" s="55" t="s">
        <v>52</v>
      </c>
    </row>
    <row r="1049" spans="1:1" x14ac:dyDescent="0.25">
      <c r="A1049" s="56" t="s">
        <v>52</v>
      </c>
    </row>
    <row r="1050" spans="1:1" x14ac:dyDescent="0.25">
      <c r="A1050" s="57" t="s">
        <v>52</v>
      </c>
    </row>
    <row r="1051" spans="1:1" x14ac:dyDescent="0.25">
      <c r="A1051" s="58" t="s">
        <v>52</v>
      </c>
    </row>
    <row r="1052" spans="1:1" x14ac:dyDescent="0.25">
      <c r="A1052" s="59" t="s">
        <v>52</v>
      </c>
    </row>
    <row r="1053" spans="1:1" x14ac:dyDescent="0.25">
      <c r="A1053" s="60" t="s">
        <v>52</v>
      </c>
    </row>
    <row r="1054" spans="1:1" x14ac:dyDescent="0.25">
      <c r="A1054" s="61" t="s">
        <v>52</v>
      </c>
    </row>
    <row r="1055" spans="1:1" x14ac:dyDescent="0.25">
      <c r="A1055" s="62" t="s">
        <v>52</v>
      </c>
    </row>
    <row r="1056" spans="1:1" x14ac:dyDescent="0.25">
      <c r="A1056" s="63" t="s">
        <v>52</v>
      </c>
    </row>
    <row r="1057" spans="1:1" x14ac:dyDescent="0.25">
      <c r="A1057" s="64" t="s">
        <v>52</v>
      </c>
    </row>
    <row r="1058" spans="1:1" x14ac:dyDescent="0.25">
      <c r="A1058" s="65" t="s">
        <v>52</v>
      </c>
    </row>
    <row r="1059" spans="1:1" x14ac:dyDescent="0.25">
      <c r="A1059" s="66" t="s">
        <v>52</v>
      </c>
    </row>
    <row r="1060" spans="1:1" x14ac:dyDescent="0.25">
      <c r="A1060" s="67" t="s">
        <v>52</v>
      </c>
    </row>
    <row r="1061" spans="1:1" x14ac:dyDescent="0.25">
      <c r="A1061" s="68" t="s">
        <v>52</v>
      </c>
    </row>
    <row r="1062" spans="1:1" x14ac:dyDescent="0.25">
      <c r="A1062" s="69" t="s">
        <v>52</v>
      </c>
    </row>
    <row r="1063" spans="1:1" x14ac:dyDescent="0.25">
      <c r="A1063" s="70" t="s">
        <v>52</v>
      </c>
    </row>
    <row r="1064" spans="1:1" x14ac:dyDescent="0.25">
      <c r="A1064" s="71" t="s">
        <v>52</v>
      </c>
    </row>
    <row r="1065" spans="1:1" x14ac:dyDescent="0.25">
      <c r="A1065" s="72" t="s">
        <v>52</v>
      </c>
    </row>
    <row r="1066" spans="1:1" x14ac:dyDescent="0.25">
      <c r="A1066" s="73" t="s">
        <v>52</v>
      </c>
    </row>
    <row r="1067" spans="1:1" x14ac:dyDescent="0.25">
      <c r="A1067" s="74" t="s">
        <v>52</v>
      </c>
    </row>
    <row r="1068" spans="1:1" x14ac:dyDescent="0.25">
      <c r="A1068" s="75" t="s">
        <v>52</v>
      </c>
    </row>
    <row r="1069" spans="1:1" x14ac:dyDescent="0.25">
      <c r="A1069" s="76" t="s">
        <v>52</v>
      </c>
    </row>
    <row r="1070" spans="1:1" x14ac:dyDescent="0.25">
      <c r="A1070" s="77" t="s">
        <v>52</v>
      </c>
    </row>
    <row r="1071" spans="1:1" x14ac:dyDescent="0.25">
      <c r="A1071" s="78" t="s">
        <v>52</v>
      </c>
    </row>
    <row r="1072" spans="1:1" x14ac:dyDescent="0.25">
      <c r="A1072" s="79" t="s">
        <v>52</v>
      </c>
    </row>
    <row r="1073" spans="1:1" x14ac:dyDescent="0.25">
      <c r="A1073" s="80" t="s">
        <v>52</v>
      </c>
    </row>
    <row r="1074" spans="1:1" x14ac:dyDescent="0.25">
      <c r="A1074" s="81" t="s">
        <v>52</v>
      </c>
    </row>
    <row r="1075" spans="1:1" x14ac:dyDescent="0.25">
      <c r="A1075" s="82" t="s">
        <v>52</v>
      </c>
    </row>
    <row r="1076" spans="1:1" x14ac:dyDescent="0.25">
      <c r="A1076" s="83" t="s">
        <v>52</v>
      </c>
    </row>
    <row r="1077" spans="1:1" x14ac:dyDescent="0.25">
      <c r="A1077" s="84" t="s">
        <v>52</v>
      </c>
    </row>
    <row r="1078" spans="1:1" x14ac:dyDescent="0.25">
      <c r="A1078" s="85" t="s">
        <v>52</v>
      </c>
    </row>
    <row r="1079" spans="1:1" x14ac:dyDescent="0.25">
      <c r="A1079" s="86" t="s">
        <v>52</v>
      </c>
    </row>
    <row r="1080" spans="1:1" x14ac:dyDescent="0.25">
      <c r="A1080" s="87" t="s">
        <v>52</v>
      </c>
    </row>
    <row r="1081" spans="1:1" x14ac:dyDescent="0.25">
      <c r="A1081" s="88" t="s">
        <v>52</v>
      </c>
    </row>
    <row r="1082" spans="1:1" x14ac:dyDescent="0.25">
      <c r="A1082" s="89" t="s">
        <v>52</v>
      </c>
    </row>
    <row r="1083" spans="1:1" x14ac:dyDescent="0.25">
      <c r="A1083" s="90" t="s">
        <v>52</v>
      </c>
    </row>
    <row r="1084" spans="1:1" x14ac:dyDescent="0.25">
      <c r="A1084" s="19" t="s">
        <v>640</v>
      </c>
    </row>
    <row r="1085" spans="1:1" x14ac:dyDescent="0.25">
      <c r="A1085" s="20" t="s">
        <v>52</v>
      </c>
    </row>
    <row r="1086" spans="1:1" x14ac:dyDescent="0.25">
      <c r="A1086" s="21" t="s">
        <v>52</v>
      </c>
    </row>
    <row r="1087" spans="1:1" x14ac:dyDescent="0.25">
      <c r="A1087" s="22" t="s">
        <v>52</v>
      </c>
    </row>
    <row r="1088" spans="1:1" x14ac:dyDescent="0.25">
      <c r="A1088" s="23" t="s">
        <v>52</v>
      </c>
    </row>
    <row r="1089" spans="1:1" x14ac:dyDescent="0.25">
      <c r="A1089" s="24" t="s">
        <v>52</v>
      </c>
    </row>
    <row r="1090" spans="1:1" x14ac:dyDescent="0.25">
      <c r="A1090" s="25" t="s">
        <v>52</v>
      </c>
    </row>
    <row r="1091" spans="1:1" x14ac:dyDescent="0.25">
      <c r="A1091" s="26" t="s">
        <v>52</v>
      </c>
    </row>
    <row r="1092" spans="1:1" x14ac:dyDescent="0.25">
      <c r="A1092" s="27" t="s">
        <v>52</v>
      </c>
    </row>
    <row r="1093" spans="1:1" x14ac:dyDescent="0.25">
      <c r="A1093" s="28" t="s">
        <v>52</v>
      </c>
    </row>
    <row r="1094" spans="1:1" x14ac:dyDescent="0.25">
      <c r="A1094" s="29" t="s">
        <v>52</v>
      </c>
    </row>
    <row r="1095" spans="1:1" x14ac:dyDescent="0.25">
      <c r="A1095" s="30" t="s">
        <v>641</v>
      </c>
    </row>
    <row r="1096" spans="1:1" x14ac:dyDescent="0.25">
      <c r="A1096" s="31" t="s">
        <v>52</v>
      </c>
    </row>
    <row r="1097" spans="1:1" x14ac:dyDescent="0.25">
      <c r="A1097" s="32" t="s">
        <v>52</v>
      </c>
    </row>
    <row r="1098" spans="1:1" x14ac:dyDescent="0.25">
      <c r="A1098" s="33" t="s">
        <v>52</v>
      </c>
    </row>
    <row r="1099" spans="1:1" x14ac:dyDescent="0.25">
      <c r="A1099" s="34" t="s">
        <v>52</v>
      </c>
    </row>
    <row r="1100" spans="1:1" x14ac:dyDescent="0.25">
      <c r="A1100" s="35" t="s">
        <v>52</v>
      </c>
    </row>
    <row r="1101" spans="1:1" x14ac:dyDescent="0.25">
      <c r="A1101" s="36" t="s">
        <v>52</v>
      </c>
    </row>
    <row r="1102" spans="1:1" x14ac:dyDescent="0.25">
      <c r="A1102" s="37" t="s">
        <v>52</v>
      </c>
    </row>
    <row r="1103" spans="1:1" x14ac:dyDescent="0.25">
      <c r="A1103" s="38" t="s">
        <v>52</v>
      </c>
    </row>
    <row r="1104" spans="1:1" x14ac:dyDescent="0.25">
      <c r="A1104" s="39" t="s">
        <v>52</v>
      </c>
    </row>
    <row r="1105" spans="1:1" x14ac:dyDescent="0.25">
      <c r="A1105" s="40" t="s">
        <v>52</v>
      </c>
    </row>
    <row r="1106" spans="1:1" x14ac:dyDescent="0.25">
      <c r="A1106" s="41" t="s">
        <v>52</v>
      </c>
    </row>
    <row r="1107" spans="1:1" x14ac:dyDescent="0.25">
      <c r="A1107" s="42" t="s">
        <v>52</v>
      </c>
    </row>
    <row r="1108" spans="1:1" x14ac:dyDescent="0.25">
      <c r="A1108" s="43" t="s">
        <v>52</v>
      </c>
    </row>
    <row r="1109" spans="1:1" x14ac:dyDescent="0.25">
      <c r="A1109" s="44" t="s">
        <v>642</v>
      </c>
    </row>
    <row r="1110" spans="1:1" x14ac:dyDescent="0.25">
      <c r="A1110" s="45" t="s">
        <v>52</v>
      </c>
    </row>
    <row r="1111" spans="1:1" x14ac:dyDescent="0.25">
      <c r="A1111" s="46" t="s">
        <v>52</v>
      </c>
    </row>
    <row r="1112" spans="1:1" x14ac:dyDescent="0.25">
      <c r="A1112" s="47" t="s">
        <v>52</v>
      </c>
    </row>
    <row r="1113" spans="1:1" x14ac:dyDescent="0.25">
      <c r="A1113" s="48" t="s">
        <v>52</v>
      </c>
    </row>
    <row r="1114" spans="1:1" x14ac:dyDescent="0.25">
      <c r="A1114" s="49" t="s">
        <v>52</v>
      </c>
    </row>
    <row r="1115" spans="1:1" x14ac:dyDescent="0.25">
      <c r="A1115" s="50" t="s">
        <v>52</v>
      </c>
    </row>
    <row r="1116" spans="1:1" x14ac:dyDescent="0.25">
      <c r="A1116" s="51" t="s">
        <v>52</v>
      </c>
    </row>
    <row r="1117" spans="1:1" x14ac:dyDescent="0.25">
      <c r="A1117" s="52" t="s">
        <v>52</v>
      </c>
    </row>
    <row r="1118" spans="1:1" x14ac:dyDescent="0.25">
      <c r="A1118" s="53" t="s">
        <v>52</v>
      </c>
    </row>
    <row r="1119" spans="1:1" x14ac:dyDescent="0.25">
      <c r="A1119" s="54" t="s">
        <v>52</v>
      </c>
    </row>
    <row r="1120" spans="1:1" x14ac:dyDescent="0.25">
      <c r="A1120" s="55" t="s">
        <v>52</v>
      </c>
    </row>
    <row r="1121" spans="1:1" x14ac:dyDescent="0.25">
      <c r="A1121" s="56" t="s">
        <v>52</v>
      </c>
    </row>
    <row r="1122" spans="1:1" x14ac:dyDescent="0.25">
      <c r="A1122" s="57" t="s">
        <v>52</v>
      </c>
    </row>
    <row r="1123" spans="1:1" x14ac:dyDescent="0.25">
      <c r="A1123" s="58" t="s">
        <v>52</v>
      </c>
    </row>
    <row r="1124" spans="1:1" x14ac:dyDescent="0.25">
      <c r="A1124" s="59" t="s">
        <v>52</v>
      </c>
    </row>
    <row r="1125" spans="1:1" x14ac:dyDescent="0.25">
      <c r="A1125" s="60" t="s">
        <v>52</v>
      </c>
    </row>
    <row r="1126" spans="1:1" x14ac:dyDescent="0.25">
      <c r="A1126" s="61" t="s">
        <v>52</v>
      </c>
    </row>
    <row r="1127" spans="1:1" x14ac:dyDescent="0.25">
      <c r="A1127" s="62" t="s">
        <v>52</v>
      </c>
    </row>
    <row r="1128" spans="1:1" x14ac:dyDescent="0.25">
      <c r="A1128" s="63" t="s">
        <v>52</v>
      </c>
    </row>
    <row r="1129" spans="1:1" x14ac:dyDescent="0.25">
      <c r="A1129" s="64" t="s">
        <v>52</v>
      </c>
    </row>
    <row r="1130" spans="1:1" x14ac:dyDescent="0.25">
      <c r="A1130" s="65" t="s">
        <v>52</v>
      </c>
    </row>
    <row r="1131" spans="1:1" x14ac:dyDescent="0.25">
      <c r="A1131" s="66" t="s">
        <v>52</v>
      </c>
    </row>
    <row r="1132" spans="1:1" x14ac:dyDescent="0.25">
      <c r="A1132" s="67" t="s">
        <v>52</v>
      </c>
    </row>
    <row r="1133" spans="1:1" x14ac:dyDescent="0.25">
      <c r="A1133" s="68" t="s">
        <v>52</v>
      </c>
    </row>
    <row r="1134" spans="1:1" x14ac:dyDescent="0.25">
      <c r="A1134" s="69" t="s">
        <v>52</v>
      </c>
    </row>
    <row r="1135" spans="1:1" x14ac:dyDescent="0.25">
      <c r="A1135" s="70" t="s">
        <v>52</v>
      </c>
    </row>
    <row r="1136" spans="1:1" x14ac:dyDescent="0.25">
      <c r="A1136" s="71" t="s">
        <v>52</v>
      </c>
    </row>
    <row r="1137" spans="1:1" x14ac:dyDescent="0.25">
      <c r="A1137" s="72" t="s">
        <v>52</v>
      </c>
    </row>
    <row r="1138" spans="1:1" x14ac:dyDescent="0.25">
      <c r="A1138" s="73" t="s">
        <v>52</v>
      </c>
    </row>
    <row r="1139" spans="1:1" x14ac:dyDescent="0.25">
      <c r="A1139" s="74" t="s">
        <v>52</v>
      </c>
    </row>
    <row r="1140" spans="1:1" x14ac:dyDescent="0.25">
      <c r="A1140" s="75" t="s">
        <v>52</v>
      </c>
    </row>
    <row r="1141" spans="1:1" x14ac:dyDescent="0.25">
      <c r="A1141" s="76" t="s">
        <v>52</v>
      </c>
    </row>
    <row r="1142" spans="1:1" x14ac:dyDescent="0.25">
      <c r="A1142" s="77" t="s">
        <v>52</v>
      </c>
    </row>
    <row r="1143" spans="1:1" x14ac:dyDescent="0.25">
      <c r="A1143" s="78" t="s">
        <v>52</v>
      </c>
    </row>
    <row r="1144" spans="1:1" x14ac:dyDescent="0.25">
      <c r="A1144" s="79" t="s">
        <v>52</v>
      </c>
    </row>
    <row r="1145" spans="1:1" x14ac:dyDescent="0.25">
      <c r="A1145" s="80" t="s">
        <v>52</v>
      </c>
    </row>
    <row r="1146" spans="1:1" x14ac:dyDescent="0.25">
      <c r="A1146" s="81" t="s">
        <v>52</v>
      </c>
    </row>
    <row r="1147" spans="1:1" x14ac:dyDescent="0.25">
      <c r="A1147" s="82" t="s">
        <v>52</v>
      </c>
    </row>
    <row r="1148" spans="1:1" x14ac:dyDescent="0.25">
      <c r="A1148" s="83" t="s">
        <v>52</v>
      </c>
    </row>
    <row r="1149" spans="1:1" x14ac:dyDescent="0.25">
      <c r="A1149" s="84" t="s">
        <v>52</v>
      </c>
    </row>
    <row r="1150" spans="1:1" x14ac:dyDescent="0.25">
      <c r="A1150" s="85" t="s">
        <v>52</v>
      </c>
    </row>
    <row r="1151" spans="1:1" x14ac:dyDescent="0.25">
      <c r="A1151" s="86" t="s">
        <v>52</v>
      </c>
    </row>
    <row r="1152" spans="1:1" x14ac:dyDescent="0.25">
      <c r="A1152" s="87" t="s">
        <v>52</v>
      </c>
    </row>
    <row r="1153" spans="1:1" x14ac:dyDescent="0.25">
      <c r="A1153" s="88" t="s">
        <v>52</v>
      </c>
    </row>
    <row r="1154" spans="1:1" x14ac:dyDescent="0.25">
      <c r="A1154" s="89" t="s">
        <v>52</v>
      </c>
    </row>
    <row r="1155" spans="1:1" x14ac:dyDescent="0.25">
      <c r="A1155" s="90" t="s">
        <v>52</v>
      </c>
    </row>
    <row r="1156" spans="1:1" x14ac:dyDescent="0.25">
      <c r="A1156" s="19" t="s">
        <v>643</v>
      </c>
    </row>
    <row r="1157" spans="1:1" x14ac:dyDescent="0.25">
      <c r="A1157" s="20" t="s">
        <v>52</v>
      </c>
    </row>
    <row r="1158" spans="1:1" x14ac:dyDescent="0.25">
      <c r="A1158" s="21" t="s">
        <v>52</v>
      </c>
    </row>
    <row r="1159" spans="1:1" x14ac:dyDescent="0.25">
      <c r="A1159" s="22" t="s">
        <v>52</v>
      </c>
    </row>
    <row r="1160" spans="1:1" x14ac:dyDescent="0.25">
      <c r="A1160" s="23" t="s">
        <v>52</v>
      </c>
    </row>
    <row r="1161" spans="1:1" x14ac:dyDescent="0.25">
      <c r="A1161" s="24" t="s">
        <v>52</v>
      </c>
    </row>
    <row r="1162" spans="1:1" x14ac:dyDescent="0.25">
      <c r="A1162" s="25" t="s">
        <v>52</v>
      </c>
    </row>
    <row r="1163" spans="1:1" x14ac:dyDescent="0.25">
      <c r="A1163" s="26" t="s">
        <v>52</v>
      </c>
    </row>
    <row r="1164" spans="1:1" x14ac:dyDescent="0.25">
      <c r="A1164" s="27" t="s">
        <v>52</v>
      </c>
    </row>
    <row r="1165" spans="1:1" x14ac:dyDescent="0.25">
      <c r="A1165" s="28" t="s">
        <v>52</v>
      </c>
    </row>
    <row r="1166" spans="1:1" x14ac:dyDescent="0.25">
      <c r="A1166" s="29" t="s">
        <v>52</v>
      </c>
    </row>
    <row r="1167" spans="1:1" x14ac:dyDescent="0.25">
      <c r="A1167" s="30" t="s">
        <v>644</v>
      </c>
    </row>
    <row r="1168" spans="1:1" x14ac:dyDescent="0.25">
      <c r="A1168" s="31" t="s">
        <v>52</v>
      </c>
    </row>
    <row r="1169" spans="1:1" x14ac:dyDescent="0.25">
      <c r="A1169" s="32" t="s">
        <v>52</v>
      </c>
    </row>
    <row r="1170" spans="1:1" x14ac:dyDescent="0.25">
      <c r="A1170" s="33" t="s">
        <v>52</v>
      </c>
    </row>
    <row r="1171" spans="1:1" x14ac:dyDescent="0.25">
      <c r="A1171" s="34" t="s">
        <v>52</v>
      </c>
    </row>
    <row r="1172" spans="1:1" x14ac:dyDescent="0.25">
      <c r="A1172" s="35" t="s">
        <v>52</v>
      </c>
    </row>
    <row r="1173" spans="1:1" x14ac:dyDescent="0.25">
      <c r="A1173" s="36" t="s">
        <v>52</v>
      </c>
    </row>
    <row r="1174" spans="1:1" x14ac:dyDescent="0.25">
      <c r="A1174" s="37" t="s">
        <v>52</v>
      </c>
    </row>
    <row r="1175" spans="1:1" x14ac:dyDescent="0.25">
      <c r="A1175" s="38" t="s">
        <v>52</v>
      </c>
    </row>
    <row r="1176" spans="1:1" x14ac:dyDescent="0.25">
      <c r="A1176" s="39" t="s">
        <v>52</v>
      </c>
    </row>
    <row r="1177" spans="1:1" x14ac:dyDescent="0.25">
      <c r="A1177" s="40" t="s">
        <v>52</v>
      </c>
    </row>
    <row r="1178" spans="1:1" x14ac:dyDescent="0.25">
      <c r="A1178" s="41" t="s">
        <v>52</v>
      </c>
    </row>
    <row r="1179" spans="1:1" x14ac:dyDescent="0.25">
      <c r="A1179" s="42" t="s">
        <v>52</v>
      </c>
    </row>
    <row r="1180" spans="1:1" x14ac:dyDescent="0.25">
      <c r="A1180" s="43" t="s">
        <v>52</v>
      </c>
    </row>
    <row r="1181" spans="1:1" x14ac:dyDescent="0.25">
      <c r="A1181" s="44" t="s">
        <v>645</v>
      </c>
    </row>
    <row r="1182" spans="1:1" x14ac:dyDescent="0.25">
      <c r="A1182" s="45" t="s">
        <v>52</v>
      </c>
    </row>
    <row r="1183" spans="1:1" x14ac:dyDescent="0.25">
      <c r="A1183" s="46" t="s">
        <v>52</v>
      </c>
    </row>
    <row r="1184" spans="1:1" x14ac:dyDescent="0.25">
      <c r="A1184" s="47" t="s">
        <v>52</v>
      </c>
    </row>
    <row r="1185" spans="1:1" x14ac:dyDescent="0.25">
      <c r="A1185" s="48" t="s">
        <v>52</v>
      </c>
    </row>
    <row r="1186" spans="1:1" x14ac:dyDescent="0.25">
      <c r="A1186" s="49" t="s">
        <v>52</v>
      </c>
    </row>
    <row r="1187" spans="1:1" x14ac:dyDescent="0.25">
      <c r="A1187" s="50" t="s">
        <v>52</v>
      </c>
    </row>
    <row r="1188" spans="1:1" x14ac:dyDescent="0.25">
      <c r="A1188" s="51" t="s">
        <v>52</v>
      </c>
    </row>
    <row r="1189" spans="1:1" x14ac:dyDescent="0.25">
      <c r="A1189" s="52" t="s">
        <v>52</v>
      </c>
    </row>
    <row r="1190" spans="1:1" x14ac:dyDescent="0.25">
      <c r="A1190" s="53" t="s">
        <v>52</v>
      </c>
    </row>
    <row r="1191" spans="1:1" x14ac:dyDescent="0.25">
      <c r="A1191" s="54" t="s">
        <v>52</v>
      </c>
    </row>
    <row r="1192" spans="1:1" x14ac:dyDescent="0.25">
      <c r="A1192" s="55" t="s">
        <v>52</v>
      </c>
    </row>
    <row r="1193" spans="1:1" x14ac:dyDescent="0.25">
      <c r="A1193" s="56" t="s">
        <v>52</v>
      </c>
    </row>
    <row r="1194" spans="1:1" x14ac:dyDescent="0.25">
      <c r="A1194" s="57" t="s">
        <v>52</v>
      </c>
    </row>
    <row r="1195" spans="1:1" x14ac:dyDescent="0.25">
      <c r="A1195" s="58" t="s">
        <v>52</v>
      </c>
    </row>
    <row r="1196" spans="1:1" x14ac:dyDescent="0.25">
      <c r="A1196" s="59" t="s">
        <v>52</v>
      </c>
    </row>
    <row r="1197" spans="1:1" x14ac:dyDescent="0.25">
      <c r="A1197" s="60" t="s">
        <v>52</v>
      </c>
    </row>
    <row r="1198" spans="1:1" x14ac:dyDescent="0.25">
      <c r="A1198" s="61" t="s">
        <v>52</v>
      </c>
    </row>
    <row r="1199" spans="1:1" x14ac:dyDescent="0.25">
      <c r="A1199" s="62" t="s">
        <v>52</v>
      </c>
    </row>
    <row r="1200" spans="1:1" x14ac:dyDescent="0.25">
      <c r="A1200" s="63" t="s">
        <v>52</v>
      </c>
    </row>
    <row r="1201" spans="1:1" x14ac:dyDescent="0.25">
      <c r="A1201" s="64" t="s">
        <v>52</v>
      </c>
    </row>
    <row r="1202" spans="1:1" x14ac:dyDescent="0.25">
      <c r="A1202" s="65" t="s">
        <v>52</v>
      </c>
    </row>
    <row r="1203" spans="1:1" x14ac:dyDescent="0.25">
      <c r="A1203" s="66" t="s">
        <v>52</v>
      </c>
    </row>
    <row r="1204" spans="1:1" x14ac:dyDescent="0.25">
      <c r="A1204" s="67" t="s">
        <v>52</v>
      </c>
    </row>
    <row r="1205" spans="1:1" x14ac:dyDescent="0.25">
      <c r="A1205" s="68" t="s">
        <v>52</v>
      </c>
    </row>
    <row r="1206" spans="1:1" x14ac:dyDescent="0.25">
      <c r="A1206" s="69" t="s">
        <v>52</v>
      </c>
    </row>
    <row r="1207" spans="1:1" x14ac:dyDescent="0.25">
      <c r="A1207" s="70" t="s">
        <v>52</v>
      </c>
    </row>
    <row r="1208" spans="1:1" x14ac:dyDescent="0.25">
      <c r="A1208" s="71" t="s">
        <v>52</v>
      </c>
    </row>
    <row r="1209" spans="1:1" x14ac:dyDescent="0.25">
      <c r="A1209" s="72" t="s">
        <v>52</v>
      </c>
    </row>
    <row r="1210" spans="1:1" x14ac:dyDescent="0.25">
      <c r="A1210" s="73" t="s">
        <v>52</v>
      </c>
    </row>
    <row r="1211" spans="1:1" x14ac:dyDescent="0.25">
      <c r="A1211" s="74" t="s">
        <v>52</v>
      </c>
    </row>
    <row r="1212" spans="1:1" x14ac:dyDescent="0.25">
      <c r="A1212" s="75" t="s">
        <v>52</v>
      </c>
    </row>
    <row r="1213" spans="1:1" x14ac:dyDescent="0.25">
      <c r="A1213" s="76" t="s">
        <v>52</v>
      </c>
    </row>
    <row r="1214" spans="1:1" x14ac:dyDescent="0.25">
      <c r="A1214" s="77" t="s">
        <v>52</v>
      </c>
    </row>
    <row r="1215" spans="1:1" x14ac:dyDescent="0.25">
      <c r="A1215" s="78" t="s">
        <v>52</v>
      </c>
    </row>
    <row r="1216" spans="1:1" x14ac:dyDescent="0.25">
      <c r="A1216" s="79" t="s">
        <v>52</v>
      </c>
    </row>
    <row r="1217" spans="1:1" x14ac:dyDescent="0.25">
      <c r="A1217" s="80" t="s">
        <v>52</v>
      </c>
    </row>
    <row r="1218" spans="1:1" x14ac:dyDescent="0.25">
      <c r="A1218" s="81" t="s">
        <v>52</v>
      </c>
    </row>
    <row r="1219" spans="1:1" x14ac:dyDescent="0.25">
      <c r="A1219" s="82" t="s">
        <v>52</v>
      </c>
    </row>
    <row r="1220" spans="1:1" x14ac:dyDescent="0.25">
      <c r="A1220" s="83" t="s">
        <v>52</v>
      </c>
    </row>
    <row r="1221" spans="1:1" x14ac:dyDescent="0.25">
      <c r="A1221" s="84" t="s">
        <v>52</v>
      </c>
    </row>
    <row r="1222" spans="1:1" x14ac:dyDescent="0.25">
      <c r="A1222" s="85" t="s">
        <v>52</v>
      </c>
    </row>
    <row r="1223" spans="1:1" x14ac:dyDescent="0.25">
      <c r="A1223" s="86" t="s">
        <v>52</v>
      </c>
    </row>
    <row r="1224" spans="1:1" x14ac:dyDescent="0.25">
      <c r="A1224" s="87" t="s">
        <v>52</v>
      </c>
    </row>
    <row r="1225" spans="1:1" x14ac:dyDescent="0.25">
      <c r="A1225" s="88" t="s">
        <v>52</v>
      </c>
    </row>
    <row r="1226" spans="1:1" x14ac:dyDescent="0.25">
      <c r="A1226" s="89" t="s">
        <v>52</v>
      </c>
    </row>
    <row r="1227" spans="1:1" x14ac:dyDescent="0.25">
      <c r="A1227" s="90" t="s">
        <v>52</v>
      </c>
    </row>
    <row r="1228" spans="1:1" x14ac:dyDescent="0.25">
      <c r="A1228" s="18" t="s">
        <v>132</v>
      </c>
    </row>
    <row r="1229" spans="1:1" x14ac:dyDescent="0.25">
      <c r="A1229" s="19" t="s">
        <v>52</v>
      </c>
    </row>
    <row r="1230" spans="1:1" x14ac:dyDescent="0.25">
      <c r="A1230" s="20" t="s">
        <v>52</v>
      </c>
    </row>
    <row r="1231" spans="1:1" x14ac:dyDescent="0.25">
      <c r="A1231" s="21" t="s">
        <v>52</v>
      </c>
    </row>
    <row r="1232" spans="1:1" x14ac:dyDescent="0.25">
      <c r="A1232" s="22" t="s">
        <v>52</v>
      </c>
    </row>
    <row r="1233" spans="1:1" x14ac:dyDescent="0.25">
      <c r="A1233" s="23" t="s">
        <v>52</v>
      </c>
    </row>
    <row r="1234" spans="1:1" x14ac:dyDescent="0.25">
      <c r="A1234" s="24" t="s">
        <v>52</v>
      </c>
    </row>
    <row r="1235" spans="1:1" x14ac:dyDescent="0.25">
      <c r="A1235" s="25" t="s">
        <v>52</v>
      </c>
    </row>
    <row r="1236" spans="1:1" x14ac:dyDescent="0.25">
      <c r="A1236" s="26" t="s">
        <v>273</v>
      </c>
    </row>
    <row r="1237" spans="1:1" x14ac:dyDescent="0.25">
      <c r="A1237" s="27" t="s">
        <v>52</v>
      </c>
    </row>
    <row r="1238" spans="1:1" x14ac:dyDescent="0.25">
      <c r="A1238" s="28" t="s">
        <v>52</v>
      </c>
    </row>
    <row r="1239" spans="1:1" x14ac:dyDescent="0.25">
      <c r="A1239" s="29" t="s">
        <v>52</v>
      </c>
    </row>
    <row r="1240" spans="1:1" x14ac:dyDescent="0.25">
      <c r="A1240" s="30" t="s">
        <v>52</v>
      </c>
    </row>
    <row r="1241" spans="1:1" x14ac:dyDescent="0.25">
      <c r="A1241" s="31" t="s">
        <v>52</v>
      </c>
    </row>
    <row r="1242" spans="1:1" x14ac:dyDescent="0.25">
      <c r="A1242" s="32" t="s">
        <v>52</v>
      </c>
    </row>
    <row r="1243" spans="1:1" x14ac:dyDescent="0.25">
      <c r="A1243" s="33" t="s">
        <v>52</v>
      </c>
    </row>
    <row r="1244" spans="1:1" x14ac:dyDescent="0.25">
      <c r="A1244" s="34" t="s">
        <v>52</v>
      </c>
    </row>
    <row r="1245" spans="1:1" x14ac:dyDescent="0.25">
      <c r="A1245" s="35" t="s">
        <v>52</v>
      </c>
    </row>
    <row r="1246" spans="1:1" x14ac:dyDescent="0.25">
      <c r="A1246" s="36" t="s">
        <v>52</v>
      </c>
    </row>
    <row r="1247" spans="1:1" x14ac:dyDescent="0.25">
      <c r="A1247" s="37" t="s">
        <v>52</v>
      </c>
    </row>
    <row r="1248" spans="1:1" x14ac:dyDescent="0.25">
      <c r="A1248" s="38" t="s">
        <v>52</v>
      </c>
    </row>
    <row r="1249" spans="1:1" x14ac:dyDescent="0.25">
      <c r="A1249" s="39" t="s">
        <v>52</v>
      </c>
    </row>
    <row r="1250" spans="1:1" x14ac:dyDescent="0.25">
      <c r="A1250" s="40" t="s">
        <v>52</v>
      </c>
    </row>
    <row r="1251" spans="1:1" x14ac:dyDescent="0.25">
      <c r="A1251" s="41" t="s">
        <v>52</v>
      </c>
    </row>
    <row r="1252" spans="1:1" x14ac:dyDescent="0.25">
      <c r="A1252" s="42" t="s">
        <v>52</v>
      </c>
    </row>
    <row r="1253" spans="1:1" x14ac:dyDescent="0.25">
      <c r="A1253" s="43" t="s">
        <v>52</v>
      </c>
    </row>
    <row r="1254" spans="1:1" x14ac:dyDescent="0.25">
      <c r="A1254" s="44" t="s">
        <v>52</v>
      </c>
    </row>
    <row r="1255" spans="1:1" x14ac:dyDescent="0.25">
      <c r="A1255" s="45" t="s">
        <v>52</v>
      </c>
    </row>
    <row r="1256" spans="1:1" x14ac:dyDescent="0.25">
      <c r="A1256" s="46" t="s">
        <v>52</v>
      </c>
    </row>
    <row r="1257" spans="1:1" x14ac:dyDescent="0.25">
      <c r="A1257" s="47" t="s">
        <v>52</v>
      </c>
    </row>
    <row r="1258" spans="1:1" x14ac:dyDescent="0.25">
      <c r="A1258" s="48" t="s">
        <v>646</v>
      </c>
    </row>
    <row r="1259" spans="1:1" x14ac:dyDescent="0.25">
      <c r="A1259" s="49" t="s">
        <v>52</v>
      </c>
    </row>
    <row r="1260" spans="1:1" x14ac:dyDescent="0.25">
      <c r="A1260" s="50" t="s">
        <v>52</v>
      </c>
    </row>
    <row r="1261" spans="1:1" x14ac:dyDescent="0.25">
      <c r="A1261" s="51" t="s">
        <v>52</v>
      </c>
    </row>
    <row r="1262" spans="1:1" x14ac:dyDescent="0.25">
      <c r="A1262" s="52" t="s">
        <v>52</v>
      </c>
    </row>
    <row r="1263" spans="1:1" x14ac:dyDescent="0.25">
      <c r="A1263" s="53" t="s">
        <v>52</v>
      </c>
    </row>
    <row r="1264" spans="1:1" x14ac:dyDescent="0.25">
      <c r="A1264" s="54" t="s">
        <v>52</v>
      </c>
    </row>
    <row r="1265" spans="1:1" x14ac:dyDescent="0.25">
      <c r="A1265" s="55" t="s">
        <v>52</v>
      </c>
    </row>
    <row r="1266" spans="1:1" x14ac:dyDescent="0.25">
      <c r="A1266" s="56" t="s">
        <v>52</v>
      </c>
    </row>
    <row r="1267" spans="1:1" x14ac:dyDescent="0.25">
      <c r="A1267" s="57" t="s">
        <v>52</v>
      </c>
    </row>
    <row r="1268" spans="1:1" x14ac:dyDescent="0.25">
      <c r="A1268" s="58" t="s">
        <v>52</v>
      </c>
    </row>
    <row r="1269" spans="1:1" x14ac:dyDescent="0.25">
      <c r="A1269" s="59" t="s">
        <v>52</v>
      </c>
    </row>
    <row r="1270" spans="1:1" x14ac:dyDescent="0.25">
      <c r="A1270" s="60" t="s">
        <v>52</v>
      </c>
    </row>
    <row r="1271" spans="1:1" x14ac:dyDescent="0.25">
      <c r="A1271" s="61" t="s">
        <v>52</v>
      </c>
    </row>
    <row r="1272" spans="1:1" x14ac:dyDescent="0.25">
      <c r="A1272" s="62" t="s">
        <v>52</v>
      </c>
    </row>
    <row r="1273" spans="1:1" x14ac:dyDescent="0.25">
      <c r="A1273" s="63" t="s">
        <v>52</v>
      </c>
    </row>
    <row r="1274" spans="1:1" x14ac:dyDescent="0.25">
      <c r="A1274" s="64" t="s">
        <v>52</v>
      </c>
    </row>
    <row r="1275" spans="1:1" x14ac:dyDescent="0.25">
      <c r="A1275" s="65" t="s">
        <v>52</v>
      </c>
    </row>
    <row r="1276" spans="1:1" x14ac:dyDescent="0.25">
      <c r="A1276" s="66" t="s">
        <v>52</v>
      </c>
    </row>
    <row r="1277" spans="1:1" x14ac:dyDescent="0.25">
      <c r="A1277" s="67" t="s">
        <v>52</v>
      </c>
    </row>
    <row r="1278" spans="1:1" x14ac:dyDescent="0.25">
      <c r="A1278" s="68" t="s">
        <v>52</v>
      </c>
    </row>
    <row r="1279" spans="1:1" x14ac:dyDescent="0.25">
      <c r="A1279" s="69" t="s">
        <v>52</v>
      </c>
    </row>
    <row r="1280" spans="1:1" x14ac:dyDescent="0.25">
      <c r="A1280" s="70" t="s">
        <v>52</v>
      </c>
    </row>
    <row r="1281" spans="1:1" x14ac:dyDescent="0.25">
      <c r="A1281" s="71" t="s">
        <v>52</v>
      </c>
    </row>
    <row r="1282" spans="1:1" x14ac:dyDescent="0.25">
      <c r="A1282" s="72" t="s">
        <v>52</v>
      </c>
    </row>
    <row r="1283" spans="1:1" x14ac:dyDescent="0.25">
      <c r="A1283" s="73" t="s">
        <v>52</v>
      </c>
    </row>
    <row r="1284" spans="1:1" x14ac:dyDescent="0.25">
      <c r="A1284" s="74" t="s">
        <v>52</v>
      </c>
    </row>
    <row r="1285" spans="1:1" x14ac:dyDescent="0.25">
      <c r="A1285" s="75" t="s">
        <v>52</v>
      </c>
    </row>
    <row r="1286" spans="1:1" x14ac:dyDescent="0.25">
      <c r="A1286" s="76" t="s">
        <v>52</v>
      </c>
    </row>
    <row r="1287" spans="1:1" x14ac:dyDescent="0.25">
      <c r="A1287" s="77" t="s">
        <v>52</v>
      </c>
    </row>
    <row r="1288" spans="1:1" x14ac:dyDescent="0.25">
      <c r="A1288" s="78" t="s">
        <v>52</v>
      </c>
    </row>
    <row r="1289" spans="1:1" x14ac:dyDescent="0.25">
      <c r="A1289" s="79" t="s">
        <v>52</v>
      </c>
    </row>
    <row r="1290" spans="1:1" x14ac:dyDescent="0.25">
      <c r="A1290" s="80" t="s">
        <v>52</v>
      </c>
    </row>
    <row r="1291" spans="1:1" x14ac:dyDescent="0.25">
      <c r="A1291" s="81" t="s">
        <v>52</v>
      </c>
    </row>
    <row r="1292" spans="1:1" x14ac:dyDescent="0.25">
      <c r="A1292" s="82" t="s">
        <v>52</v>
      </c>
    </row>
    <row r="1293" spans="1:1" x14ac:dyDescent="0.25">
      <c r="A1293" s="83" t="s">
        <v>52</v>
      </c>
    </row>
    <row r="1294" spans="1:1" x14ac:dyDescent="0.25">
      <c r="A1294" s="84" t="s">
        <v>52</v>
      </c>
    </row>
    <row r="1295" spans="1:1" x14ac:dyDescent="0.25">
      <c r="A1295" s="85" t="s">
        <v>52</v>
      </c>
    </row>
    <row r="1296" spans="1:1" x14ac:dyDescent="0.25">
      <c r="A1296" s="86" t="s">
        <v>52</v>
      </c>
    </row>
    <row r="1297" spans="1:1" x14ac:dyDescent="0.25">
      <c r="A1297" s="87" t="s">
        <v>52</v>
      </c>
    </row>
    <row r="1298" spans="1:1" x14ac:dyDescent="0.25">
      <c r="A1298" s="88" t="s">
        <v>52</v>
      </c>
    </row>
    <row r="1299" spans="1:1" x14ac:dyDescent="0.25">
      <c r="A1299" s="89" t="s">
        <v>52</v>
      </c>
    </row>
    <row r="1300" spans="1:1" x14ac:dyDescent="0.25">
      <c r="A1300" s="90" t="s">
        <v>52</v>
      </c>
    </row>
    <row r="1301" spans="1:1" x14ac:dyDescent="0.25">
      <c r="A1301" s="18" t="s">
        <v>133</v>
      </c>
    </row>
    <row r="1302" spans="1:1" x14ac:dyDescent="0.25">
      <c r="A1302" s="19" t="s">
        <v>52</v>
      </c>
    </row>
    <row r="1303" spans="1:1" x14ac:dyDescent="0.25">
      <c r="A1303" s="20" t="s">
        <v>52</v>
      </c>
    </row>
    <row r="1304" spans="1:1" x14ac:dyDescent="0.25">
      <c r="A1304" s="21" t="s">
        <v>52</v>
      </c>
    </row>
    <row r="1305" spans="1:1" x14ac:dyDescent="0.25">
      <c r="A1305" s="22" t="s">
        <v>52</v>
      </c>
    </row>
    <row r="1306" spans="1:1" x14ac:dyDescent="0.25">
      <c r="A1306" s="23" t="s">
        <v>52</v>
      </c>
    </row>
    <row r="1307" spans="1:1" x14ac:dyDescent="0.25">
      <c r="A1307" s="24" t="s">
        <v>52</v>
      </c>
    </row>
    <row r="1308" spans="1:1" x14ac:dyDescent="0.25">
      <c r="A1308" s="25" t="s">
        <v>52</v>
      </c>
    </row>
    <row r="1309" spans="1:1" x14ac:dyDescent="0.25">
      <c r="A1309" s="26" t="s">
        <v>274</v>
      </c>
    </row>
    <row r="1310" spans="1:1" x14ac:dyDescent="0.25">
      <c r="A1310" s="27" t="s">
        <v>52</v>
      </c>
    </row>
    <row r="1311" spans="1:1" x14ac:dyDescent="0.25">
      <c r="A1311" s="28" t="s">
        <v>52</v>
      </c>
    </row>
    <row r="1312" spans="1:1" x14ac:dyDescent="0.25">
      <c r="A1312" s="29" t="s">
        <v>52</v>
      </c>
    </row>
    <row r="1313" spans="1:1" x14ac:dyDescent="0.25">
      <c r="A1313" s="30" t="s">
        <v>52</v>
      </c>
    </row>
    <row r="1314" spans="1:1" x14ac:dyDescent="0.25">
      <c r="A1314" s="31" t="s">
        <v>52</v>
      </c>
    </row>
    <row r="1315" spans="1:1" x14ac:dyDescent="0.25">
      <c r="A1315" s="32" t="s">
        <v>52</v>
      </c>
    </row>
    <row r="1316" spans="1:1" x14ac:dyDescent="0.25">
      <c r="A1316" s="33" t="s">
        <v>52</v>
      </c>
    </row>
    <row r="1317" spans="1:1" x14ac:dyDescent="0.25">
      <c r="A1317" s="34" t="s">
        <v>52</v>
      </c>
    </row>
    <row r="1318" spans="1:1" x14ac:dyDescent="0.25">
      <c r="A1318" s="35" t="s">
        <v>52</v>
      </c>
    </row>
    <row r="1319" spans="1:1" x14ac:dyDescent="0.25">
      <c r="A1319" s="36" t="s">
        <v>52</v>
      </c>
    </row>
    <row r="1320" spans="1:1" x14ac:dyDescent="0.25">
      <c r="A1320" s="37" t="s">
        <v>52</v>
      </c>
    </row>
    <row r="1321" spans="1:1" x14ac:dyDescent="0.25">
      <c r="A1321" s="38" t="s">
        <v>52</v>
      </c>
    </row>
    <row r="1322" spans="1:1" x14ac:dyDescent="0.25">
      <c r="A1322" s="39" t="s">
        <v>52</v>
      </c>
    </row>
    <row r="1323" spans="1:1" x14ac:dyDescent="0.25">
      <c r="A1323" s="40" t="s">
        <v>52</v>
      </c>
    </row>
    <row r="1324" spans="1:1" x14ac:dyDescent="0.25">
      <c r="A1324" s="41" t="s">
        <v>52</v>
      </c>
    </row>
    <row r="1325" spans="1:1" x14ac:dyDescent="0.25">
      <c r="A1325" s="42" t="s">
        <v>52</v>
      </c>
    </row>
    <row r="1326" spans="1:1" x14ac:dyDescent="0.25">
      <c r="A1326" s="43" t="s">
        <v>52</v>
      </c>
    </row>
    <row r="1327" spans="1:1" x14ac:dyDescent="0.25">
      <c r="A1327" s="44" t="s">
        <v>52</v>
      </c>
    </row>
    <row r="1328" spans="1:1" x14ac:dyDescent="0.25">
      <c r="A1328" s="45" t="s">
        <v>52</v>
      </c>
    </row>
    <row r="1329" spans="1:1" x14ac:dyDescent="0.25">
      <c r="A1329" s="46" t="s">
        <v>52</v>
      </c>
    </row>
    <row r="1330" spans="1:1" x14ac:dyDescent="0.25">
      <c r="A1330" s="47" t="s">
        <v>52</v>
      </c>
    </row>
    <row r="1331" spans="1:1" x14ac:dyDescent="0.25">
      <c r="A1331" s="48" t="s">
        <v>647</v>
      </c>
    </row>
    <row r="1332" spans="1:1" x14ac:dyDescent="0.25">
      <c r="A1332" s="49" t="s">
        <v>52</v>
      </c>
    </row>
    <row r="1333" spans="1:1" x14ac:dyDescent="0.25">
      <c r="A1333" s="50" t="s">
        <v>52</v>
      </c>
    </row>
    <row r="1334" spans="1:1" x14ac:dyDescent="0.25">
      <c r="A1334" s="51" t="s">
        <v>52</v>
      </c>
    </row>
    <row r="1335" spans="1:1" x14ac:dyDescent="0.25">
      <c r="A1335" s="52" t="s">
        <v>52</v>
      </c>
    </row>
    <row r="1336" spans="1:1" x14ac:dyDescent="0.25">
      <c r="A1336" s="53" t="s">
        <v>52</v>
      </c>
    </row>
    <row r="1337" spans="1:1" x14ac:dyDescent="0.25">
      <c r="A1337" s="54" t="s">
        <v>52</v>
      </c>
    </row>
    <row r="1338" spans="1:1" x14ac:dyDescent="0.25">
      <c r="A1338" s="55" t="s">
        <v>52</v>
      </c>
    </row>
    <row r="1339" spans="1:1" x14ac:dyDescent="0.25">
      <c r="A1339" s="56" t="s">
        <v>52</v>
      </c>
    </row>
    <row r="1340" spans="1:1" x14ac:dyDescent="0.25">
      <c r="A1340" s="57" t="s">
        <v>52</v>
      </c>
    </row>
    <row r="1341" spans="1:1" x14ac:dyDescent="0.25">
      <c r="A1341" s="58" t="s">
        <v>52</v>
      </c>
    </row>
    <row r="1342" spans="1:1" x14ac:dyDescent="0.25">
      <c r="A1342" s="59" t="s">
        <v>52</v>
      </c>
    </row>
    <row r="1343" spans="1:1" x14ac:dyDescent="0.25">
      <c r="A1343" s="60" t="s">
        <v>52</v>
      </c>
    </row>
    <row r="1344" spans="1:1" x14ac:dyDescent="0.25">
      <c r="A1344" s="61" t="s">
        <v>52</v>
      </c>
    </row>
    <row r="1345" spans="1:1" x14ac:dyDescent="0.25">
      <c r="A1345" s="62" t="s">
        <v>52</v>
      </c>
    </row>
    <row r="1346" spans="1:1" x14ac:dyDescent="0.25">
      <c r="A1346" s="63" t="s">
        <v>52</v>
      </c>
    </row>
    <row r="1347" spans="1:1" x14ac:dyDescent="0.25">
      <c r="A1347" s="64" t="s">
        <v>52</v>
      </c>
    </row>
    <row r="1348" spans="1:1" x14ac:dyDescent="0.25">
      <c r="A1348" s="65" t="s">
        <v>52</v>
      </c>
    </row>
    <row r="1349" spans="1:1" x14ac:dyDescent="0.25">
      <c r="A1349" s="66" t="s">
        <v>52</v>
      </c>
    </row>
    <row r="1350" spans="1:1" x14ac:dyDescent="0.25">
      <c r="A1350" s="67" t="s">
        <v>52</v>
      </c>
    </row>
    <row r="1351" spans="1:1" x14ac:dyDescent="0.25">
      <c r="A1351" s="68" t="s">
        <v>52</v>
      </c>
    </row>
    <row r="1352" spans="1:1" x14ac:dyDescent="0.25">
      <c r="A1352" s="69" t="s">
        <v>52</v>
      </c>
    </row>
    <row r="1353" spans="1:1" x14ac:dyDescent="0.25">
      <c r="A1353" s="70" t="s">
        <v>52</v>
      </c>
    </row>
    <row r="1354" spans="1:1" x14ac:dyDescent="0.25">
      <c r="A1354" s="71" t="s">
        <v>52</v>
      </c>
    </row>
    <row r="1355" spans="1:1" x14ac:dyDescent="0.25">
      <c r="A1355" s="72" t="s">
        <v>52</v>
      </c>
    </row>
    <row r="1356" spans="1:1" x14ac:dyDescent="0.25">
      <c r="A1356" s="73" t="s">
        <v>52</v>
      </c>
    </row>
    <row r="1357" spans="1:1" x14ac:dyDescent="0.25">
      <c r="A1357" s="74" t="s">
        <v>52</v>
      </c>
    </row>
    <row r="1358" spans="1:1" x14ac:dyDescent="0.25">
      <c r="A1358" s="75" t="s">
        <v>52</v>
      </c>
    </row>
    <row r="1359" spans="1:1" x14ac:dyDescent="0.25">
      <c r="A1359" s="76" t="s">
        <v>52</v>
      </c>
    </row>
    <row r="1360" spans="1:1" x14ac:dyDescent="0.25">
      <c r="A1360" s="77" t="s">
        <v>52</v>
      </c>
    </row>
    <row r="1361" spans="1:1" x14ac:dyDescent="0.25">
      <c r="A1361" s="78" t="s">
        <v>52</v>
      </c>
    </row>
    <row r="1362" spans="1:1" x14ac:dyDescent="0.25">
      <c r="A1362" s="79" t="s">
        <v>52</v>
      </c>
    </row>
    <row r="1363" spans="1:1" x14ac:dyDescent="0.25">
      <c r="A1363" s="80" t="s">
        <v>52</v>
      </c>
    </row>
    <row r="1364" spans="1:1" x14ac:dyDescent="0.25">
      <c r="A1364" s="81" t="s">
        <v>52</v>
      </c>
    </row>
    <row r="1365" spans="1:1" x14ac:dyDescent="0.25">
      <c r="A1365" s="82" t="s">
        <v>52</v>
      </c>
    </row>
    <row r="1366" spans="1:1" x14ac:dyDescent="0.25">
      <c r="A1366" s="83" t="s">
        <v>52</v>
      </c>
    </row>
    <row r="1367" spans="1:1" x14ac:dyDescent="0.25">
      <c r="A1367" s="84" t="s">
        <v>52</v>
      </c>
    </row>
    <row r="1368" spans="1:1" x14ac:dyDescent="0.25">
      <c r="A1368" s="85" t="s">
        <v>52</v>
      </c>
    </row>
    <row r="1369" spans="1:1" x14ac:dyDescent="0.25">
      <c r="A1369" s="86" t="s">
        <v>52</v>
      </c>
    </row>
    <row r="1370" spans="1:1" x14ac:dyDescent="0.25">
      <c r="A1370" s="87" t="s">
        <v>52</v>
      </c>
    </row>
    <row r="1371" spans="1:1" x14ac:dyDescent="0.25">
      <c r="A1371" s="88" t="s">
        <v>52</v>
      </c>
    </row>
    <row r="1372" spans="1:1" x14ac:dyDescent="0.25">
      <c r="A1372" s="89" t="s">
        <v>52</v>
      </c>
    </row>
    <row r="1373" spans="1:1" x14ac:dyDescent="0.25">
      <c r="A1373" s="90" t="s">
        <v>52</v>
      </c>
    </row>
    <row r="1374" spans="1:1" x14ac:dyDescent="0.25">
      <c r="A1374" s="18" t="s">
        <v>134</v>
      </c>
    </row>
    <row r="1375" spans="1:1" x14ac:dyDescent="0.25">
      <c r="A1375" s="19" t="s">
        <v>52</v>
      </c>
    </row>
    <row r="1376" spans="1:1" x14ac:dyDescent="0.25">
      <c r="A1376" s="20" t="s">
        <v>52</v>
      </c>
    </row>
    <row r="1377" spans="1:1" x14ac:dyDescent="0.25">
      <c r="A1377" s="21" t="s">
        <v>52</v>
      </c>
    </row>
    <row r="1378" spans="1:1" x14ac:dyDescent="0.25">
      <c r="A1378" s="22" t="s">
        <v>52</v>
      </c>
    </row>
    <row r="1379" spans="1:1" x14ac:dyDescent="0.25">
      <c r="A1379" s="23" t="s">
        <v>52</v>
      </c>
    </row>
    <row r="1380" spans="1:1" x14ac:dyDescent="0.25">
      <c r="A1380" s="24" t="s">
        <v>52</v>
      </c>
    </row>
    <row r="1381" spans="1:1" x14ac:dyDescent="0.25">
      <c r="A1381" s="25" t="s">
        <v>52</v>
      </c>
    </row>
    <row r="1382" spans="1:1" x14ac:dyDescent="0.25">
      <c r="A1382" s="26" t="s">
        <v>275</v>
      </c>
    </row>
    <row r="1383" spans="1:1" x14ac:dyDescent="0.25">
      <c r="A1383" s="27" t="s">
        <v>648</v>
      </c>
    </row>
    <row r="1384" spans="1:1" x14ac:dyDescent="0.25">
      <c r="A1384" s="28" t="s">
        <v>52</v>
      </c>
    </row>
    <row r="1385" spans="1:1" x14ac:dyDescent="0.25">
      <c r="A1385" s="29" t="s">
        <v>52</v>
      </c>
    </row>
    <row r="1386" spans="1:1" x14ac:dyDescent="0.25">
      <c r="A1386" s="30" t="s">
        <v>52</v>
      </c>
    </row>
    <row r="1387" spans="1:1" x14ac:dyDescent="0.25">
      <c r="A1387" s="31" t="s">
        <v>52</v>
      </c>
    </row>
    <row r="1388" spans="1:1" x14ac:dyDescent="0.25">
      <c r="A1388" s="32" t="s">
        <v>52</v>
      </c>
    </row>
    <row r="1389" spans="1:1" x14ac:dyDescent="0.25">
      <c r="A1389" s="33" t="s">
        <v>52</v>
      </c>
    </row>
    <row r="1390" spans="1:1" x14ac:dyDescent="0.25">
      <c r="A1390" s="34" t="s">
        <v>52</v>
      </c>
    </row>
    <row r="1391" spans="1:1" x14ac:dyDescent="0.25">
      <c r="A1391" s="35" t="s">
        <v>52</v>
      </c>
    </row>
    <row r="1392" spans="1:1" x14ac:dyDescent="0.25">
      <c r="A1392" s="36" t="s">
        <v>52</v>
      </c>
    </row>
    <row r="1393" spans="1:1" x14ac:dyDescent="0.25">
      <c r="A1393" s="37" t="s">
        <v>52</v>
      </c>
    </row>
    <row r="1394" spans="1:1" x14ac:dyDescent="0.25">
      <c r="A1394" s="38" t="s">
        <v>52</v>
      </c>
    </row>
    <row r="1395" spans="1:1" x14ac:dyDescent="0.25">
      <c r="A1395" s="39" t="s">
        <v>52</v>
      </c>
    </row>
    <row r="1396" spans="1:1" x14ac:dyDescent="0.25">
      <c r="A1396" s="40" t="s">
        <v>52</v>
      </c>
    </row>
    <row r="1397" spans="1:1" x14ac:dyDescent="0.25">
      <c r="A1397" s="41" t="s">
        <v>52</v>
      </c>
    </row>
    <row r="1398" spans="1:1" x14ac:dyDescent="0.25">
      <c r="A1398" s="42" t="s">
        <v>52</v>
      </c>
    </row>
    <row r="1399" spans="1:1" x14ac:dyDescent="0.25">
      <c r="A1399" s="43" t="s">
        <v>52</v>
      </c>
    </row>
    <row r="1400" spans="1:1" x14ac:dyDescent="0.25">
      <c r="A1400" s="44" t="s">
        <v>52</v>
      </c>
    </row>
    <row r="1401" spans="1:1" x14ac:dyDescent="0.25">
      <c r="A1401" s="45" t="s">
        <v>52</v>
      </c>
    </row>
    <row r="1402" spans="1:1" x14ac:dyDescent="0.25">
      <c r="A1402" s="46" t="s">
        <v>52</v>
      </c>
    </row>
    <row r="1403" spans="1:1" x14ac:dyDescent="0.25">
      <c r="A1403" s="47" t="s">
        <v>52</v>
      </c>
    </row>
    <row r="1404" spans="1:1" x14ac:dyDescent="0.25">
      <c r="A1404" s="48" t="s">
        <v>649</v>
      </c>
    </row>
    <row r="1405" spans="1:1" x14ac:dyDescent="0.25">
      <c r="A1405" s="49" t="s">
        <v>52</v>
      </c>
    </row>
    <row r="1406" spans="1:1" x14ac:dyDescent="0.25">
      <c r="A1406" s="50" t="s">
        <v>52</v>
      </c>
    </row>
    <row r="1407" spans="1:1" x14ac:dyDescent="0.25">
      <c r="A1407" s="51" t="s">
        <v>52</v>
      </c>
    </row>
    <row r="1408" spans="1:1" x14ac:dyDescent="0.25">
      <c r="A1408" s="52" t="s">
        <v>52</v>
      </c>
    </row>
    <row r="1409" spans="1:1" x14ac:dyDescent="0.25">
      <c r="A1409" s="53" t="s">
        <v>52</v>
      </c>
    </row>
    <row r="1410" spans="1:1" x14ac:dyDescent="0.25">
      <c r="A1410" s="54" t="s">
        <v>52</v>
      </c>
    </row>
    <row r="1411" spans="1:1" x14ac:dyDescent="0.25">
      <c r="A1411" s="55" t="s">
        <v>52</v>
      </c>
    </row>
    <row r="1412" spans="1:1" x14ac:dyDescent="0.25">
      <c r="A1412" s="56" t="s">
        <v>52</v>
      </c>
    </row>
    <row r="1413" spans="1:1" x14ac:dyDescent="0.25">
      <c r="A1413" s="57" t="s">
        <v>52</v>
      </c>
    </row>
    <row r="1414" spans="1:1" x14ac:dyDescent="0.25">
      <c r="A1414" s="58" t="s">
        <v>52</v>
      </c>
    </row>
    <row r="1415" spans="1:1" x14ac:dyDescent="0.25">
      <c r="A1415" s="59" t="s">
        <v>52</v>
      </c>
    </row>
    <row r="1416" spans="1:1" x14ac:dyDescent="0.25">
      <c r="A1416" s="60" t="s">
        <v>52</v>
      </c>
    </row>
    <row r="1417" spans="1:1" x14ac:dyDescent="0.25">
      <c r="A1417" s="61" t="s">
        <v>52</v>
      </c>
    </row>
    <row r="1418" spans="1:1" x14ac:dyDescent="0.25">
      <c r="A1418" s="62" t="s">
        <v>52</v>
      </c>
    </row>
    <row r="1419" spans="1:1" x14ac:dyDescent="0.25">
      <c r="A1419" s="63" t="s">
        <v>52</v>
      </c>
    </row>
    <row r="1420" spans="1:1" x14ac:dyDescent="0.25">
      <c r="A1420" s="64" t="s">
        <v>52</v>
      </c>
    </row>
    <row r="1421" spans="1:1" x14ac:dyDescent="0.25">
      <c r="A1421" s="65" t="s">
        <v>52</v>
      </c>
    </row>
    <row r="1422" spans="1:1" x14ac:dyDescent="0.25">
      <c r="A1422" s="66" t="s">
        <v>52</v>
      </c>
    </row>
    <row r="1423" spans="1:1" x14ac:dyDescent="0.25">
      <c r="A1423" s="67" t="s">
        <v>52</v>
      </c>
    </row>
    <row r="1424" spans="1:1" x14ac:dyDescent="0.25">
      <c r="A1424" s="68" t="s">
        <v>52</v>
      </c>
    </row>
    <row r="1425" spans="1:1" x14ac:dyDescent="0.25">
      <c r="A1425" s="69" t="s">
        <v>52</v>
      </c>
    </row>
    <row r="1426" spans="1:1" x14ac:dyDescent="0.25">
      <c r="A1426" s="70" t="s">
        <v>52</v>
      </c>
    </row>
    <row r="1427" spans="1:1" x14ac:dyDescent="0.25">
      <c r="A1427" s="71" t="s">
        <v>52</v>
      </c>
    </row>
    <row r="1428" spans="1:1" x14ac:dyDescent="0.25">
      <c r="A1428" s="72" t="s">
        <v>52</v>
      </c>
    </row>
    <row r="1429" spans="1:1" x14ac:dyDescent="0.25">
      <c r="A1429" s="73" t="s">
        <v>52</v>
      </c>
    </row>
    <row r="1430" spans="1:1" x14ac:dyDescent="0.25">
      <c r="A1430" s="74" t="s">
        <v>52</v>
      </c>
    </row>
    <row r="1431" spans="1:1" x14ac:dyDescent="0.25">
      <c r="A1431" s="75" t="s">
        <v>52</v>
      </c>
    </row>
    <row r="1432" spans="1:1" x14ac:dyDescent="0.25">
      <c r="A1432" s="76" t="s">
        <v>52</v>
      </c>
    </row>
    <row r="1433" spans="1:1" x14ac:dyDescent="0.25">
      <c r="A1433" s="77" t="s">
        <v>52</v>
      </c>
    </row>
    <row r="1434" spans="1:1" x14ac:dyDescent="0.25">
      <c r="A1434" s="78" t="s">
        <v>52</v>
      </c>
    </row>
    <row r="1435" spans="1:1" x14ac:dyDescent="0.25">
      <c r="A1435" s="79" t="s">
        <v>52</v>
      </c>
    </row>
    <row r="1436" spans="1:1" x14ac:dyDescent="0.25">
      <c r="A1436" s="80" t="s">
        <v>52</v>
      </c>
    </row>
    <row r="1437" spans="1:1" x14ac:dyDescent="0.25">
      <c r="A1437" s="81" t="s">
        <v>52</v>
      </c>
    </row>
    <row r="1438" spans="1:1" x14ac:dyDescent="0.25">
      <c r="A1438" s="82" t="s">
        <v>52</v>
      </c>
    </row>
    <row r="1439" spans="1:1" x14ac:dyDescent="0.25">
      <c r="A1439" s="83" t="s">
        <v>52</v>
      </c>
    </row>
    <row r="1440" spans="1:1" x14ac:dyDescent="0.25">
      <c r="A1440" s="84" t="s">
        <v>52</v>
      </c>
    </row>
    <row r="1441" spans="1:1" x14ac:dyDescent="0.25">
      <c r="A1441" s="85" t="s">
        <v>52</v>
      </c>
    </row>
    <row r="1442" spans="1:1" x14ac:dyDescent="0.25">
      <c r="A1442" s="86" t="s">
        <v>52</v>
      </c>
    </row>
    <row r="1443" spans="1:1" x14ac:dyDescent="0.25">
      <c r="A1443" s="87" t="s">
        <v>52</v>
      </c>
    </row>
    <row r="1444" spans="1:1" x14ac:dyDescent="0.25">
      <c r="A1444" s="88" t="s">
        <v>52</v>
      </c>
    </row>
    <row r="1445" spans="1:1" x14ac:dyDescent="0.25">
      <c r="A1445" s="89" t="s">
        <v>52</v>
      </c>
    </row>
    <row r="1446" spans="1:1" x14ac:dyDescent="0.25">
      <c r="A1446" s="90" t="s">
        <v>52</v>
      </c>
    </row>
    <row r="1447" spans="1:1" x14ac:dyDescent="0.25">
      <c r="A1447" s="18" t="s">
        <v>135</v>
      </c>
    </row>
    <row r="1448" spans="1:1" x14ac:dyDescent="0.25">
      <c r="A1448" s="19" t="s">
        <v>52</v>
      </c>
    </row>
    <row r="1449" spans="1:1" x14ac:dyDescent="0.25">
      <c r="A1449" s="20" t="s">
        <v>52</v>
      </c>
    </row>
    <row r="1450" spans="1:1" x14ac:dyDescent="0.25">
      <c r="A1450" s="21" t="s">
        <v>52</v>
      </c>
    </row>
    <row r="1451" spans="1:1" x14ac:dyDescent="0.25">
      <c r="A1451" s="22" t="s">
        <v>650</v>
      </c>
    </row>
    <row r="1452" spans="1:1" x14ac:dyDescent="0.25">
      <c r="A1452" s="23" t="s">
        <v>52</v>
      </c>
    </row>
    <row r="1453" spans="1:1" x14ac:dyDescent="0.25">
      <c r="A1453" s="24" t="s">
        <v>52</v>
      </c>
    </row>
    <row r="1454" spans="1:1" x14ac:dyDescent="0.25">
      <c r="A1454" s="25" t="s">
        <v>52</v>
      </c>
    </row>
    <row r="1455" spans="1:1" x14ac:dyDescent="0.25">
      <c r="A1455" s="26" t="s">
        <v>276</v>
      </c>
    </row>
    <row r="1456" spans="1:1" x14ac:dyDescent="0.25">
      <c r="A1456" s="27" t="s">
        <v>651</v>
      </c>
    </row>
    <row r="1457" spans="1:1" x14ac:dyDescent="0.25">
      <c r="A1457" s="28" t="s">
        <v>52</v>
      </c>
    </row>
    <row r="1458" spans="1:1" x14ac:dyDescent="0.25">
      <c r="A1458" s="29" t="s">
        <v>52</v>
      </c>
    </row>
    <row r="1459" spans="1:1" x14ac:dyDescent="0.25">
      <c r="A1459" s="30" t="s">
        <v>52</v>
      </c>
    </row>
    <row r="1460" spans="1:1" x14ac:dyDescent="0.25">
      <c r="A1460" s="31" t="s">
        <v>52</v>
      </c>
    </row>
    <row r="1461" spans="1:1" x14ac:dyDescent="0.25">
      <c r="A1461" s="32" t="s">
        <v>52</v>
      </c>
    </row>
    <row r="1462" spans="1:1" x14ac:dyDescent="0.25">
      <c r="A1462" s="33" t="s">
        <v>52</v>
      </c>
    </row>
    <row r="1463" spans="1:1" x14ac:dyDescent="0.25">
      <c r="A1463" s="34" t="s">
        <v>52</v>
      </c>
    </row>
    <row r="1464" spans="1:1" x14ac:dyDescent="0.25">
      <c r="A1464" s="35" t="s">
        <v>52</v>
      </c>
    </row>
    <row r="1465" spans="1:1" x14ac:dyDescent="0.25">
      <c r="A1465" s="36" t="s">
        <v>52</v>
      </c>
    </row>
    <row r="1466" spans="1:1" x14ac:dyDescent="0.25">
      <c r="A1466" s="37" t="s">
        <v>52</v>
      </c>
    </row>
    <row r="1467" spans="1:1" x14ac:dyDescent="0.25">
      <c r="A1467" s="38" t="s">
        <v>52</v>
      </c>
    </row>
    <row r="1468" spans="1:1" x14ac:dyDescent="0.25">
      <c r="A1468" s="39" t="s">
        <v>52</v>
      </c>
    </row>
    <row r="1469" spans="1:1" x14ac:dyDescent="0.25">
      <c r="A1469" s="40" t="s">
        <v>52</v>
      </c>
    </row>
    <row r="1470" spans="1:1" x14ac:dyDescent="0.25">
      <c r="A1470" s="41" t="s">
        <v>52</v>
      </c>
    </row>
    <row r="1471" spans="1:1" x14ac:dyDescent="0.25">
      <c r="A1471" s="42" t="s">
        <v>52</v>
      </c>
    </row>
    <row r="1472" spans="1:1" x14ac:dyDescent="0.25">
      <c r="A1472" s="43" t="s">
        <v>52</v>
      </c>
    </row>
    <row r="1473" spans="1:1" x14ac:dyDescent="0.25">
      <c r="A1473" s="44" t="s">
        <v>52</v>
      </c>
    </row>
    <row r="1474" spans="1:1" x14ac:dyDescent="0.25">
      <c r="A1474" s="45" t="s">
        <v>52</v>
      </c>
    </row>
    <row r="1475" spans="1:1" x14ac:dyDescent="0.25">
      <c r="A1475" s="46" t="s">
        <v>52</v>
      </c>
    </row>
    <row r="1476" spans="1:1" x14ac:dyDescent="0.25">
      <c r="A1476" s="47" t="s">
        <v>52</v>
      </c>
    </row>
    <row r="1477" spans="1:1" x14ac:dyDescent="0.25">
      <c r="A1477" s="48" t="s">
        <v>652</v>
      </c>
    </row>
    <row r="1478" spans="1:1" x14ac:dyDescent="0.25">
      <c r="A1478" s="49" t="s">
        <v>52</v>
      </c>
    </row>
    <row r="1479" spans="1:1" x14ac:dyDescent="0.25">
      <c r="A1479" s="50" t="s">
        <v>52</v>
      </c>
    </row>
    <row r="1480" spans="1:1" x14ac:dyDescent="0.25">
      <c r="A1480" s="51" t="s">
        <v>52</v>
      </c>
    </row>
    <row r="1481" spans="1:1" x14ac:dyDescent="0.25">
      <c r="A1481" s="52" t="s">
        <v>52</v>
      </c>
    </row>
    <row r="1482" spans="1:1" x14ac:dyDescent="0.25">
      <c r="A1482" s="53" t="s">
        <v>52</v>
      </c>
    </row>
    <row r="1483" spans="1:1" x14ac:dyDescent="0.25">
      <c r="A1483" s="54" t="s">
        <v>52</v>
      </c>
    </row>
    <row r="1484" spans="1:1" x14ac:dyDescent="0.25">
      <c r="A1484" s="55" t="s">
        <v>52</v>
      </c>
    </row>
    <row r="1485" spans="1:1" x14ac:dyDescent="0.25">
      <c r="A1485" s="56" t="s">
        <v>52</v>
      </c>
    </row>
    <row r="1486" spans="1:1" x14ac:dyDescent="0.25">
      <c r="A1486" s="57" t="s">
        <v>52</v>
      </c>
    </row>
    <row r="1487" spans="1:1" x14ac:dyDescent="0.25">
      <c r="A1487" s="58" t="s">
        <v>52</v>
      </c>
    </row>
    <row r="1488" spans="1:1" x14ac:dyDescent="0.25">
      <c r="A1488" s="59" t="s">
        <v>52</v>
      </c>
    </row>
    <row r="1489" spans="1:1" x14ac:dyDescent="0.25">
      <c r="A1489" s="60" t="s">
        <v>52</v>
      </c>
    </row>
    <row r="1490" spans="1:1" x14ac:dyDescent="0.25">
      <c r="A1490" s="61" t="s">
        <v>52</v>
      </c>
    </row>
    <row r="1491" spans="1:1" x14ac:dyDescent="0.25">
      <c r="A1491" s="62" t="s">
        <v>52</v>
      </c>
    </row>
    <row r="1492" spans="1:1" x14ac:dyDescent="0.25">
      <c r="A1492" s="63" t="s">
        <v>52</v>
      </c>
    </row>
    <row r="1493" spans="1:1" x14ac:dyDescent="0.25">
      <c r="A1493" s="64" t="s">
        <v>52</v>
      </c>
    </row>
    <row r="1494" spans="1:1" x14ac:dyDescent="0.25">
      <c r="A1494" s="65" t="s">
        <v>52</v>
      </c>
    </row>
    <row r="1495" spans="1:1" x14ac:dyDescent="0.25">
      <c r="A1495" s="66" t="s">
        <v>52</v>
      </c>
    </row>
    <row r="1496" spans="1:1" x14ac:dyDescent="0.25">
      <c r="A1496" s="67" t="s">
        <v>52</v>
      </c>
    </row>
    <row r="1497" spans="1:1" x14ac:dyDescent="0.25">
      <c r="A1497" s="68" t="s">
        <v>52</v>
      </c>
    </row>
    <row r="1498" spans="1:1" x14ac:dyDescent="0.25">
      <c r="A1498" s="69" t="s">
        <v>52</v>
      </c>
    </row>
    <row r="1499" spans="1:1" x14ac:dyDescent="0.25">
      <c r="A1499" s="70" t="s">
        <v>52</v>
      </c>
    </row>
    <row r="1500" spans="1:1" x14ac:dyDescent="0.25">
      <c r="A1500" s="71" t="s">
        <v>52</v>
      </c>
    </row>
    <row r="1501" spans="1:1" x14ac:dyDescent="0.25">
      <c r="A1501" s="72" t="s">
        <v>52</v>
      </c>
    </row>
    <row r="1502" spans="1:1" x14ac:dyDescent="0.25">
      <c r="A1502" s="73" t="s">
        <v>52</v>
      </c>
    </row>
    <row r="1503" spans="1:1" x14ac:dyDescent="0.25">
      <c r="A1503" s="74" t="s">
        <v>52</v>
      </c>
    </row>
    <row r="1504" spans="1:1" x14ac:dyDescent="0.25">
      <c r="A1504" s="75" t="s">
        <v>52</v>
      </c>
    </row>
    <row r="1505" spans="1:1" x14ac:dyDescent="0.25">
      <c r="A1505" s="76" t="s">
        <v>52</v>
      </c>
    </row>
    <row r="1506" spans="1:1" x14ac:dyDescent="0.25">
      <c r="A1506" s="77" t="s">
        <v>52</v>
      </c>
    </row>
    <row r="1507" spans="1:1" x14ac:dyDescent="0.25">
      <c r="A1507" s="78" t="s">
        <v>52</v>
      </c>
    </row>
    <row r="1508" spans="1:1" x14ac:dyDescent="0.25">
      <c r="A1508" s="79" t="s">
        <v>52</v>
      </c>
    </row>
    <row r="1509" spans="1:1" x14ac:dyDescent="0.25">
      <c r="A1509" s="80" t="s">
        <v>52</v>
      </c>
    </row>
    <row r="1510" spans="1:1" x14ac:dyDescent="0.25">
      <c r="A1510" s="81" t="s">
        <v>52</v>
      </c>
    </row>
    <row r="1511" spans="1:1" x14ac:dyDescent="0.25">
      <c r="A1511" s="82" t="s">
        <v>52</v>
      </c>
    </row>
    <row r="1512" spans="1:1" x14ac:dyDescent="0.25">
      <c r="A1512" s="83" t="s">
        <v>52</v>
      </c>
    </row>
    <row r="1513" spans="1:1" x14ac:dyDescent="0.25">
      <c r="A1513" s="84" t="s">
        <v>52</v>
      </c>
    </row>
    <row r="1514" spans="1:1" x14ac:dyDescent="0.25">
      <c r="A1514" s="85" t="s">
        <v>52</v>
      </c>
    </row>
    <row r="1515" spans="1:1" x14ac:dyDescent="0.25">
      <c r="A1515" s="86" t="s">
        <v>52</v>
      </c>
    </row>
    <row r="1516" spans="1:1" x14ac:dyDescent="0.25">
      <c r="A1516" s="87" t="s">
        <v>52</v>
      </c>
    </row>
    <row r="1517" spans="1:1" x14ac:dyDescent="0.25">
      <c r="A1517" s="88" t="s">
        <v>52</v>
      </c>
    </row>
    <row r="1518" spans="1:1" x14ac:dyDescent="0.25">
      <c r="A1518" s="89" t="s">
        <v>52</v>
      </c>
    </row>
    <row r="1519" spans="1:1" x14ac:dyDescent="0.25">
      <c r="A1519" s="90" t="s">
        <v>52</v>
      </c>
    </row>
    <row r="1520" spans="1:1" x14ac:dyDescent="0.25">
      <c r="A1520" s="18" t="s">
        <v>136</v>
      </c>
    </row>
    <row r="1521" spans="1:1" x14ac:dyDescent="0.25">
      <c r="A1521" s="19" t="s">
        <v>52</v>
      </c>
    </row>
    <row r="1522" spans="1:1" x14ac:dyDescent="0.25">
      <c r="A1522" s="20" t="s">
        <v>52</v>
      </c>
    </row>
    <row r="1523" spans="1:1" x14ac:dyDescent="0.25">
      <c r="A1523" s="21" t="s">
        <v>52</v>
      </c>
    </row>
    <row r="1524" spans="1:1" x14ac:dyDescent="0.25">
      <c r="A1524" s="22" t="s">
        <v>653</v>
      </c>
    </row>
    <row r="1525" spans="1:1" x14ac:dyDescent="0.25">
      <c r="A1525" s="23" t="s">
        <v>52</v>
      </c>
    </row>
    <row r="1526" spans="1:1" x14ac:dyDescent="0.25">
      <c r="A1526" s="24" t="s">
        <v>52</v>
      </c>
    </row>
    <row r="1527" spans="1:1" x14ac:dyDescent="0.25">
      <c r="A1527" s="25" t="s">
        <v>52</v>
      </c>
    </row>
    <row r="1528" spans="1:1" x14ac:dyDescent="0.25">
      <c r="A1528" s="26" t="s">
        <v>277</v>
      </c>
    </row>
    <row r="1529" spans="1:1" x14ac:dyDescent="0.25">
      <c r="A1529" s="27" t="s">
        <v>654</v>
      </c>
    </row>
    <row r="1530" spans="1:1" x14ac:dyDescent="0.25">
      <c r="A1530" s="28" t="s">
        <v>828</v>
      </c>
    </row>
    <row r="1531" spans="1:1" x14ac:dyDescent="0.25">
      <c r="A1531" s="29" t="s">
        <v>52</v>
      </c>
    </row>
    <row r="1532" spans="1:1" x14ac:dyDescent="0.25">
      <c r="A1532" s="30" t="s">
        <v>52</v>
      </c>
    </row>
    <row r="1533" spans="1:1" x14ac:dyDescent="0.25">
      <c r="A1533" s="31" t="s">
        <v>52</v>
      </c>
    </row>
    <row r="1534" spans="1:1" x14ac:dyDescent="0.25">
      <c r="A1534" s="32" t="s">
        <v>52</v>
      </c>
    </row>
    <row r="1535" spans="1:1" x14ac:dyDescent="0.25">
      <c r="A1535" s="33" t="s">
        <v>52</v>
      </c>
    </row>
    <row r="1536" spans="1:1" x14ac:dyDescent="0.25">
      <c r="A1536" s="34" t="s">
        <v>52</v>
      </c>
    </row>
    <row r="1537" spans="1:1" x14ac:dyDescent="0.25">
      <c r="A1537" s="35" t="s">
        <v>52</v>
      </c>
    </row>
    <row r="1538" spans="1:1" x14ac:dyDescent="0.25">
      <c r="A1538" s="36" t="s">
        <v>52</v>
      </c>
    </row>
    <row r="1539" spans="1:1" x14ac:dyDescent="0.25">
      <c r="A1539" s="37" t="s">
        <v>52</v>
      </c>
    </row>
    <row r="1540" spans="1:1" x14ac:dyDescent="0.25">
      <c r="A1540" s="38" t="s">
        <v>52</v>
      </c>
    </row>
    <row r="1541" spans="1:1" x14ac:dyDescent="0.25">
      <c r="A1541" s="39" t="s">
        <v>52</v>
      </c>
    </row>
    <row r="1542" spans="1:1" x14ac:dyDescent="0.25">
      <c r="A1542" s="40" t="s">
        <v>52</v>
      </c>
    </row>
    <row r="1543" spans="1:1" x14ac:dyDescent="0.25">
      <c r="A1543" s="41" t="s">
        <v>52</v>
      </c>
    </row>
    <row r="1544" spans="1:1" x14ac:dyDescent="0.25">
      <c r="A1544" s="42" t="s">
        <v>52</v>
      </c>
    </row>
    <row r="1545" spans="1:1" x14ac:dyDescent="0.25">
      <c r="A1545" s="43" t="s">
        <v>52</v>
      </c>
    </row>
    <row r="1546" spans="1:1" x14ac:dyDescent="0.25">
      <c r="A1546" s="44" t="s">
        <v>52</v>
      </c>
    </row>
    <row r="1547" spans="1:1" x14ac:dyDescent="0.25">
      <c r="A1547" s="45" t="s">
        <v>52</v>
      </c>
    </row>
    <row r="1548" spans="1:1" x14ac:dyDescent="0.25">
      <c r="A1548" s="46" t="s">
        <v>52</v>
      </c>
    </row>
    <row r="1549" spans="1:1" x14ac:dyDescent="0.25">
      <c r="A1549" s="47" t="s">
        <v>52</v>
      </c>
    </row>
    <row r="1550" spans="1:1" x14ac:dyDescent="0.25">
      <c r="A1550" s="48" t="s">
        <v>52</v>
      </c>
    </row>
    <row r="1551" spans="1:1" x14ac:dyDescent="0.25">
      <c r="A1551" s="49" t="s">
        <v>52</v>
      </c>
    </row>
    <row r="1552" spans="1:1" x14ac:dyDescent="0.25">
      <c r="A1552" s="50" t="s">
        <v>52</v>
      </c>
    </row>
    <row r="1553" spans="1:1" x14ac:dyDescent="0.25">
      <c r="A1553" s="51" t="s">
        <v>52</v>
      </c>
    </row>
    <row r="1554" spans="1:1" x14ac:dyDescent="0.25">
      <c r="A1554" s="52" t="s">
        <v>52</v>
      </c>
    </row>
    <row r="1555" spans="1:1" x14ac:dyDescent="0.25">
      <c r="A1555" s="53" t="s">
        <v>52</v>
      </c>
    </row>
    <row r="1556" spans="1:1" x14ac:dyDescent="0.25">
      <c r="A1556" s="54" t="s">
        <v>52</v>
      </c>
    </row>
    <row r="1557" spans="1:1" x14ac:dyDescent="0.25">
      <c r="A1557" s="55" t="s">
        <v>52</v>
      </c>
    </row>
    <row r="1558" spans="1:1" x14ac:dyDescent="0.25">
      <c r="A1558" s="56" t="s">
        <v>52</v>
      </c>
    </row>
    <row r="1559" spans="1:1" x14ac:dyDescent="0.25">
      <c r="A1559" s="57" t="s">
        <v>52</v>
      </c>
    </row>
    <row r="1560" spans="1:1" x14ac:dyDescent="0.25">
      <c r="A1560" s="58" t="s">
        <v>52</v>
      </c>
    </row>
    <row r="1561" spans="1:1" x14ac:dyDescent="0.25">
      <c r="A1561" s="59" t="s">
        <v>52</v>
      </c>
    </row>
    <row r="1562" spans="1:1" x14ac:dyDescent="0.25">
      <c r="A1562" s="60" t="s">
        <v>52</v>
      </c>
    </row>
    <row r="1563" spans="1:1" x14ac:dyDescent="0.25">
      <c r="A1563" s="61" t="s">
        <v>52</v>
      </c>
    </row>
    <row r="1564" spans="1:1" x14ac:dyDescent="0.25">
      <c r="A1564" s="62" t="s">
        <v>52</v>
      </c>
    </row>
    <row r="1565" spans="1:1" x14ac:dyDescent="0.25">
      <c r="A1565" s="63" t="s">
        <v>52</v>
      </c>
    </row>
    <row r="1566" spans="1:1" x14ac:dyDescent="0.25">
      <c r="A1566" s="64" t="s">
        <v>52</v>
      </c>
    </row>
    <row r="1567" spans="1:1" x14ac:dyDescent="0.25">
      <c r="A1567" s="65" t="s">
        <v>52</v>
      </c>
    </row>
    <row r="1568" spans="1:1" x14ac:dyDescent="0.25">
      <c r="A1568" s="66" t="s">
        <v>52</v>
      </c>
    </row>
    <row r="1569" spans="1:1" x14ac:dyDescent="0.25">
      <c r="A1569" s="67" t="s">
        <v>52</v>
      </c>
    </row>
    <row r="1570" spans="1:1" x14ac:dyDescent="0.25">
      <c r="A1570" s="68" t="s">
        <v>52</v>
      </c>
    </row>
    <row r="1571" spans="1:1" x14ac:dyDescent="0.25">
      <c r="A1571" s="69" t="s">
        <v>52</v>
      </c>
    </row>
    <row r="1572" spans="1:1" x14ac:dyDescent="0.25">
      <c r="A1572" s="70" t="s">
        <v>52</v>
      </c>
    </row>
    <row r="1573" spans="1:1" x14ac:dyDescent="0.25">
      <c r="A1573" s="71" t="s">
        <v>52</v>
      </c>
    </row>
    <row r="1574" spans="1:1" x14ac:dyDescent="0.25">
      <c r="A1574" s="72" t="s">
        <v>52</v>
      </c>
    </row>
    <row r="1575" spans="1:1" x14ac:dyDescent="0.25">
      <c r="A1575" s="73" t="s">
        <v>52</v>
      </c>
    </row>
    <row r="1576" spans="1:1" x14ac:dyDescent="0.25">
      <c r="A1576" s="74" t="s">
        <v>52</v>
      </c>
    </row>
    <row r="1577" spans="1:1" x14ac:dyDescent="0.25">
      <c r="A1577" s="75" t="s">
        <v>52</v>
      </c>
    </row>
    <row r="1578" spans="1:1" x14ac:dyDescent="0.25">
      <c r="A1578" s="76" t="s">
        <v>52</v>
      </c>
    </row>
    <row r="1579" spans="1:1" x14ac:dyDescent="0.25">
      <c r="A1579" s="77" t="s">
        <v>52</v>
      </c>
    </row>
    <row r="1580" spans="1:1" x14ac:dyDescent="0.25">
      <c r="A1580" s="78" t="s">
        <v>52</v>
      </c>
    </row>
    <row r="1581" spans="1:1" x14ac:dyDescent="0.25">
      <c r="A1581" s="79" t="s">
        <v>52</v>
      </c>
    </row>
    <row r="1582" spans="1:1" x14ac:dyDescent="0.25">
      <c r="A1582" s="80" t="s">
        <v>52</v>
      </c>
    </row>
    <row r="1583" spans="1:1" x14ac:dyDescent="0.25">
      <c r="A1583" s="81" t="s">
        <v>52</v>
      </c>
    </row>
    <row r="1584" spans="1:1" x14ac:dyDescent="0.25">
      <c r="A1584" s="82" t="s">
        <v>52</v>
      </c>
    </row>
    <row r="1585" spans="1:1" x14ac:dyDescent="0.25">
      <c r="A1585" s="83" t="s">
        <v>52</v>
      </c>
    </row>
    <row r="1586" spans="1:1" x14ac:dyDescent="0.25">
      <c r="A1586" s="84" t="s">
        <v>52</v>
      </c>
    </row>
    <row r="1587" spans="1:1" x14ac:dyDescent="0.25">
      <c r="A1587" s="85" t="s">
        <v>52</v>
      </c>
    </row>
    <row r="1588" spans="1:1" x14ac:dyDescent="0.25">
      <c r="A1588" s="86" t="s">
        <v>52</v>
      </c>
    </row>
    <row r="1589" spans="1:1" x14ac:dyDescent="0.25">
      <c r="A1589" s="87" t="s">
        <v>52</v>
      </c>
    </row>
    <row r="1590" spans="1:1" x14ac:dyDescent="0.25">
      <c r="A1590" s="88" t="s">
        <v>52</v>
      </c>
    </row>
    <row r="1591" spans="1:1" x14ac:dyDescent="0.25">
      <c r="A1591" s="89" t="s">
        <v>52</v>
      </c>
    </row>
    <row r="1592" spans="1:1" x14ac:dyDescent="0.25">
      <c r="A1592" s="90" t="s">
        <v>52</v>
      </c>
    </row>
    <row r="1593" spans="1:1" x14ac:dyDescent="0.25">
      <c r="A1593" s="18" t="s">
        <v>137</v>
      </c>
    </row>
    <row r="1594" spans="1:1" x14ac:dyDescent="0.25">
      <c r="A1594" s="19" t="s">
        <v>52</v>
      </c>
    </row>
    <row r="1595" spans="1:1" x14ac:dyDescent="0.25">
      <c r="A1595" s="20" t="s">
        <v>52</v>
      </c>
    </row>
    <row r="1596" spans="1:1" x14ac:dyDescent="0.25">
      <c r="A1596" s="21" t="s">
        <v>52</v>
      </c>
    </row>
    <row r="1597" spans="1:1" x14ac:dyDescent="0.25">
      <c r="A1597" s="22" t="s">
        <v>655</v>
      </c>
    </row>
    <row r="1598" spans="1:1" x14ac:dyDescent="0.25">
      <c r="A1598" s="23" t="s">
        <v>52</v>
      </c>
    </row>
    <row r="1599" spans="1:1" x14ac:dyDescent="0.25">
      <c r="A1599" s="24" t="s">
        <v>52</v>
      </c>
    </row>
    <row r="1600" spans="1:1" x14ac:dyDescent="0.25">
      <c r="A1600" s="25" t="s">
        <v>52</v>
      </c>
    </row>
    <row r="1601" spans="1:1" x14ac:dyDescent="0.25">
      <c r="A1601" s="26" t="s">
        <v>278</v>
      </c>
    </row>
    <row r="1602" spans="1:1" x14ac:dyDescent="0.25">
      <c r="A1602" s="27" t="s">
        <v>656</v>
      </c>
    </row>
    <row r="1603" spans="1:1" x14ac:dyDescent="0.25">
      <c r="A1603" s="28" t="s">
        <v>52</v>
      </c>
    </row>
    <row r="1604" spans="1:1" x14ac:dyDescent="0.25">
      <c r="A1604" s="29" t="s">
        <v>52</v>
      </c>
    </row>
    <row r="1605" spans="1:1" x14ac:dyDescent="0.25">
      <c r="A1605" s="30" t="s">
        <v>52</v>
      </c>
    </row>
    <row r="1606" spans="1:1" x14ac:dyDescent="0.25">
      <c r="A1606" s="31" t="s">
        <v>52</v>
      </c>
    </row>
    <row r="1607" spans="1:1" x14ac:dyDescent="0.25">
      <c r="A1607" s="32" t="s">
        <v>52</v>
      </c>
    </row>
    <row r="1608" spans="1:1" x14ac:dyDescent="0.25">
      <c r="A1608" s="33" t="s">
        <v>52</v>
      </c>
    </row>
    <row r="1609" spans="1:1" x14ac:dyDescent="0.25">
      <c r="A1609" s="34" t="s">
        <v>52</v>
      </c>
    </row>
    <row r="1610" spans="1:1" x14ac:dyDescent="0.25">
      <c r="A1610" s="35" t="s">
        <v>52</v>
      </c>
    </row>
    <row r="1611" spans="1:1" x14ac:dyDescent="0.25">
      <c r="A1611" s="36" t="s">
        <v>52</v>
      </c>
    </row>
    <row r="1612" spans="1:1" x14ac:dyDescent="0.25">
      <c r="A1612" s="37" t="s">
        <v>52</v>
      </c>
    </row>
    <row r="1613" spans="1:1" x14ac:dyDescent="0.25">
      <c r="A1613" s="38" t="s">
        <v>52</v>
      </c>
    </row>
    <row r="1614" spans="1:1" x14ac:dyDescent="0.25">
      <c r="A1614" s="39" t="s">
        <v>52</v>
      </c>
    </row>
    <row r="1615" spans="1:1" x14ac:dyDescent="0.25">
      <c r="A1615" s="40" t="s">
        <v>52</v>
      </c>
    </row>
    <row r="1616" spans="1:1" x14ac:dyDescent="0.25">
      <c r="A1616" s="41" t="s">
        <v>52</v>
      </c>
    </row>
    <row r="1617" spans="1:1" x14ac:dyDescent="0.25">
      <c r="A1617" s="42" t="s">
        <v>52</v>
      </c>
    </row>
    <row r="1618" spans="1:1" x14ac:dyDescent="0.25">
      <c r="A1618" s="43" t="s">
        <v>52</v>
      </c>
    </row>
    <row r="1619" spans="1:1" x14ac:dyDescent="0.25">
      <c r="A1619" s="44" t="s">
        <v>52</v>
      </c>
    </row>
    <row r="1620" spans="1:1" x14ac:dyDescent="0.25">
      <c r="A1620" s="45" t="s">
        <v>52</v>
      </c>
    </row>
    <row r="1621" spans="1:1" x14ac:dyDescent="0.25">
      <c r="A1621" s="46" t="s">
        <v>52</v>
      </c>
    </row>
    <row r="1622" spans="1:1" x14ac:dyDescent="0.25">
      <c r="A1622" s="47" t="s">
        <v>52</v>
      </c>
    </row>
    <row r="1623" spans="1:1" x14ac:dyDescent="0.25">
      <c r="A1623" s="48" t="s">
        <v>52</v>
      </c>
    </row>
    <row r="1624" spans="1:1" x14ac:dyDescent="0.25">
      <c r="A1624" s="49" t="s">
        <v>52</v>
      </c>
    </row>
    <row r="1625" spans="1:1" x14ac:dyDescent="0.25">
      <c r="A1625" s="50" t="s">
        <v>52</v>
      </c>
    </row>
    <row r="1626" spans="1:1" x14ac:dyDescent="0.25">
      <c r="A1626" s="51" t="s">
        <v>52</v>
      </c>
    </row>
    <row r="1627" spans="1:1" x14ac:dyDescent="0.25">
      <c r="A1627" s="52" t="s">
        <v>52</v>
      </c>
    </row>
    <row r="1628" spans="1:1" x14ac:dyDescent="0.25">
      <c r="A1628" s="53" t="s">
        <v>52</v>
      </c>
    </row>
    <row r="1629" spans="1:1" x14ac:dyDescent="0.25">
      <c r="A1629" s="54" t="s">
        <v>52</v>
      </c>
    </row>
    <row r="1630" spans="1:1" x14ac:dyDescent="0.25">
      <c r="A1630" s="55" t="s">
        <v>52</v>
      </c>
    </row>
    <row r="1631" spans="1:1" x14ac:dyDescent="0.25">
      <c r="A1631" s="56" t="s">
        <v>52</v>
      </c>
    </row>
    <row r="1632" spans="1:1" x14ac:dyDescent="0.25">
      <c r="A1632" s="57" t="s">
        <v>52</v>
      </c>
    </row>
    <row r="1633" spans="1:1" x14ac:dyDescent="0.25">
      <c r="A1633" s="58" t="s">
        <v>52</v>
      </c>
    </row>
    <row r="1634" spans="1:1" x14ac:dyDescent="0.25">
      <c r="A1634" s="59" t="s">
        <v>52</v>
      </c>
    </row>
    <row r="1635" spans="1:1" x14ac:dyDescent="0.25">
      <c r="A1635" s="60" t="s">
        <v>52</v>
      </c>
    </row>
    <row r="1636" spans="1:1" x14ac:dyDescent="0.25">
      <c r="A1636" s="61" t="s">
        <v>52</v>
      </c>
    </row>
    <row r="1637" spans="1:1" x14ac:dyDescent="0.25">
      <c r="A1637" s="62" t="s">
        <v>52</v>
      </c>
    </row>
    <row r="1638" spans="1:1" x14ac:dyDescent="0.25">
      <c r="A1638" s="63" t="s">
        <v>52</v>
      </c>
    </row>
    <row r="1639" spans="1:1" x14ac:dyDescent="0.25">
      <c r="A1639" s="64" t="s">
        <v>52</v>
      </c>
    </row>
    <row r="1640" spans="1:1" x14ac:dyDescent="0.25">
      <c r="A1640" s="65" t="s">
        <v>52</v>
      </c>
    </row>
    <row r="1641" spans="1:1" x14ac:dyDescent="0.25">
      <c r="A1641" s="66" t="s">
        <v>52</v>
      </c>
    </row>
    <row r="1642" spans="1:1" x14ac:dyDescent="0.25">
      <c r="A1642" s="67" t="s">
        <v>52</v>
      </c>
    </row>
    <row r="1643" spans="1:1" x14ac:dyDescent="0.25">
      <c r="A1643" s="68" t="s">
        <v>52</v>
      </c>
    </row>
    <row r="1644" spans="1:1" x14ac:dyDescent="0.25">
      <c r="A1644" s="69" t="s">
        <v>52</v>
      </c>
    </row>
    <row r="1645" spans="1:1" x14ac:dyDescent="0.25">
      <c r="A1645" s="70" t="s">
        <v>52</v>
      </c>
    </row>
    <row r="1646" spans="1:1" x14ac:dyDescent="0.25">
      <c r="A1646" s="71" t="s">
        <v>52</v>
      </c>
    </row>
    <row r="1647" spans="1:1" x14ac:dyDescent="0.25">
      <c r="A1647" s="72" t="s">
        <v>52</v>
      </c>
    </row>
    <row r="1648" spans="1:1" x14ac:dyDescent="0.25">
      <c r="A1648" s="73" t="s">
        <v>52</v>
      </c>
    </row>
    <row r="1649" spans="1:1" x14ac:dyDescent="0.25">
      <c r="A1649" s="74" t="s">
        <v>52</v>
      </c>
    </row>
    <row r="1650" spans="1:1" x14ac:dyDescent="0.25">
      <c r="A1650" s="75" t="s">
        <v>52</v>
      </c>
    </row>
    <row r="1651" spans="1:1" x14ac:dyDescent="0.25">
      <c r="A1651" s="76" t="s">
        <v>52</v>
      </c>
    </row>
    <row r="1652" spans="1:1" x14ac:dyDescent="0.25">
      <c r="A1652" s="77" t="s">
        <v>52</v>
      </c>
    </row>
    <row r="1653" spans="1:1" x14ac:dyDescent="0.25">
      <c r="A1653" s="78" t="s">
        <v>52</v>
      </c>
    </row>
    <row r="1654" spans="1:1" x14ac:dyDescent="0.25">
      <c r="A1654" s="79" t="s">
        <v>52</v>
      </c>
    </row>
    <row r="1655" spans="1:1" x14ac:dyDescent="0.25">
      <c r="A1655" s="80" t="s">
        <v>52</v>
      </c>
    </row>
    <row r="1656" spans="1:1" x14ac:dyDescent="0.25">
      <c r="A1656" s="81" t="s">
        <v>52</v>
      </c>
    </row>
    <row r="1657" spans="1:1" x14ac:dyDescent="0.25">
      <c r="A1657" s="82" t="s">
        <v>52</v>
      </c>
    </row>
    <row r="1658" spans="1:1" x14ac:dyDescent="0.25">
      <c r="A1658" s="83" t="s">
        <v>52</v>
      </c>
    </row>
    <row r="1659" spans="1:1" x14ac:dyDescent="0.25">
      <c r="A1659" s="84" t="s">
        <v>52</v>
      </c>
    </row>
    <row r="1660" spans="1:1" x14ac:dyDescent="0.25">
      <c r="A1660" s="85" t="s">
        <v>52</v>
      </c>
    </row>
    <row r="1661" spans="1:1" x14ac:dyDescent="0.25">
      <c r="A1661" s="86" t="s">
        <v>52</v>
      </c>
    </row>
    <row r="1662" spans="1:1" x14ac:dyDescent="0.25">
      <c r="A1662" s="87" t="s">
        <v>52</v>
      </c>
    </row>
    <row r="1663" spans="1:1" x14ac:dyDescent="0.25">
      <c r="A1663" s="88" t="s">
        <v>52</v>
      </c>
    </row>
    <row r="1664" spans="1:1" x14ac:dyDescent="0.25">
      <c r="A1664" s="89" t="s">
        <v>52</v>
      </c>
    </row>
    <row r="1665" spans="1:1" x14ac:dyDescent="0.25">
      <c r="A1665" s="90" t="s">
        <v>52</v>
      </c>
    </row>
    <row r="1666" spans="1:1" x14ac:dyDescent="0.25">
      <c r="A1666" s="18" t="s">
        <v>176</v>
      </c>
    </row>
    <row r="1667" spans="1:1" x14ac:dyDescent="0.25">
      <c r="A1667" s="19" t="s">
        <v>657</v>
      </c>
    </row>
    <row r="1668" spans="1:1" x14ac:dyDescent="0.25">
      <c r="A1668" s="20" t="s">
        <v>52</v>
      </c>
    </row>
    <row r="1669" spans="1:1" x14ac:dyDescent="0.25">
      <c r="A1669" s="21" t="s">
        <v>52</v>
      </c>
    </row>
    <row r="1670" spans="1:1" x14ac:dyDescent="0.25">
      <c r="A1670" s="22" t="s">
        <v>52</v>
      </c>
    </row>
    <row r="1671" spans="1:1" x14ac:dyDescent="0.25">
      <c r="A1671" s="23" t="s">
        <v>52</v>
      </c>
    </row>
    <row r="1672" spans="1:1" x14ac:dyDescent="0.25">
      <c r="A1672" s="24" t="s">
        <v>52</v>
      </c>
    </row>
    <row r="1673" spans="1:1" x14ac:dyDescent="0.25">
      <c r="A1673" s="25" t="s">
        <v>52</v>
      </c>
    </row>
    <row r="1674" spans="1:1" x14ac:dyDescent="0.25">
      <c r="A1674" s="26" t="s">
        <v>279</v>
      </c>
    </row>
    <row r="1675" spans="1:1" x14ac:dyDescent="0.25">
      <c r="A1675" s="27" t="s">
        <v>658</v>
      </c>
    </row>
    <row r="1676" spans="1:1" x14ac:dyDescent="0.25">
      <c r="A1676" s="28" t="s">
        <v>52</v>
      </c>
    </row>
    <row r="1677" spans="1:1" x14ac:dyDescent="0.25">
      <c r="A1677" s="29" t="s">
        <v>52</v>
      </c>
    </row>
    <row r="1678" spans="1:1" x14ac:dyDescent="0.25">
      <c r="A1678" s="30" t="s">
        <v>52</v>
      </c>
    </row>
    <row r="1679" spans="1:1" x14ac:dyDescent="0.25">
      <c r="A1679" s="31" t="s">
        <v>52</v>
      </c>
    </row>
    <row r="1680" spans="1:1" x14ac:dyDescent="0.25">
      <c r="A1680" s="32" t="s">
        <v>52</v>
      </c>
    </row>
    <row r="1681" spans="1:1" x14ac:dyDescent="0.25">
      <c r="A1681" s="33" t="s">
        <v>52</v>
      </c>
    </row>
    <row r="1682" spans="1:1" x14ac:dyDescent="0.25">
      <c r="A1682" s="34" t="s">
        <v>52</v>
      </c>
    </row>
    <row r="1683" spans="1:1" x14ac:dyDescent="0.25">
      <c r="A1683" s="35" t="s">
        <v>52</v>
      </c>
    </row>
    <row r="1684" spans="1:1" x14ac:dyDescent="0.25">
      <c r="A1684" s="36" t="s">
        <v>52</v>
      </c>
    </row>
    <row r="1685" spans="1:1" x14ac:dyDescent="0.25">
      <c r="A1685" s="37" t="s">
        <v>52</v>
      </c>
    </row>
    <row r="1686" spans="1:1" x14ac:dyDescent="0.25">
      <c r="A1686" s="38" t="s">
        <v>52</v>
      </c>
    </row>
    <row r="1687" spans="1:1" x14ac:dyDescent="0.25">
      <c r="A1687" s="39" t="s">
        <v>52</v>
      </c>
    </row>
    <row r="1688" spans="1:1" x14ac:dyDescent="0.25">
      <c r="A1688" s="40" t="s">
        <v>52</v>
      </c>
    </row>
    <row r="1689" spans="1:1" x14ac:dyDescent="0.25">
      <c r="A1689" s="41" t="s">
        <v>52</v>
      </c>
    </row>
    <row r="1690" spans="1:1" x14ac:dyDescent="0.25">
      <c r="A1690" s="42" t="s">
        <v>52</v>
      </c>
    </row>
    <row r="1691" spans="1:1" x14ac:dyDescent="0.25">
      <c r="A1691" s="43" t="s">
        <v>52</v>
      </c>
    </row>
    <row r="1692" spans="1:1" x14ac:dyDescent="0.25">
      <c r="A1692" s="44" t="s">
        <v>52</v>
      </c>
    </row>
    <row r="1693" spans="1:1" x14ac:dyDescent="0.25">
      <c r="A1693" s="45" t="s">
        <v>52</v>
      </c>
    </row>
    <row r="1694" spans="1:1" x14ac:dyDescent="0.25">
      <c r="A1694" s="46" t="s">
        <v>52</v>
      </c>
    </row>
    <row r="1695" spans="1:1" x14ac:dyDescent="0.25">
      <c r="A1695" s="47" t="s">
        <v>52</v>
      </c>
    </row>
    <row r="1696" spans="1:1" x14ac:dyDescent="0.25">
      <c r="A1696" s="48" t="s">
        <v>659</v>
      </c>
    </row>
    <row r="1697" spans="1:1" x14ac:dyDescent="0.25">
      <c r="A1697" s="49" t="s">
        <v>52</v>
      </c>
    </row>
    <row r="1698" spans="1:1" x14ac:dyDescent="0.25">
      <c r="A1698" s="50" t="s">
        <v>52</v>
      </c>
    </row>
    <row r="1699" spans="1:1" x14ac:dyDescent="0.25">
      <c r="A1699" s="51" t="s">
        <v>52</v>
      </c>
    </row>
    <row r="1700" spans="1:1" x14ac:dyDescent="0.25">
      <c r="A1700" s="52" t="s">
        <v>52</v>
      </c>
    </row>
    <row r="1701" spans="1:1" x14ac:dyDescent="0.25">
      <c r="A1701" s="53" t="s">
        <v>52</v>
      </c>
    </row>
    <row r="1702" spans="1:1" x14ac:dyDescent="0.25">
      <c r="A1702" s="54" t="s">
        <v>52</v>
      </c>
    </row>
    <row r="1703" spans="1:1" x14ac:dyDescent="0.25">
      <c r="A1703" s="55" t="s">
        <v>52</v>
      </c>
    </row>
    <row r="1704" spans="1:1" x14ac:dyDescent="0.25">
      <c r="A1704" s="56" t="s">
        <v>52</v>
      </c>
    </row>
    <row r="1705" spans="1:1" x14ac:dyDescent="0.25">
      <c r="A1705" s="57" t="s">
        <v>52</v>
      </c>
    </row>
    <row r="1706" spans="1:1" x14ac:dyDescent="0.25">
      <c r="A1706" s="58" t="s">
        <v>52</v>
      </c>
    </row>
    <row r="1707" spans="1:1" x14ac:dyDescent="0.25">
      <c r="A1707" s="59" t="s">
        <v>52</v>
      </c>
    </row>
    <row r="1708" spans="1:1" x14ac:dyDescent="0.25">
      <c r="A1708" s="60" t="s">
        <v>52</v>
      </c>
    </row>
    <row r="1709" spans="1:1" x14ac:dyDescent="0.25">
      <c r="A1709" s="61" t="s">
        <v>52</v>
      </c>
    </row>
    <row r="1710" spans="1:1" x14ac:dyDescent="0.25">
      <c r="A1710" s="62" t="s">
        <v>52</v>
      </c>
    </row>
    <row r="1711" spans="1:1" x14ac:dyDescent="0.25">
      <c r="A1711" s="63" t="s">
        <v>52</v>
      </c>
    </row>
    <row r="1712" spans="1:1" x14ac:dyDescent="0.25">
      <c r="A1712" s="64" t="s">
        <v>52</v>
      </c>
    </row>
    <row r="1713" spans="1:1" x14ac:dyDescent="0.25">
      <c r="A1713" s="65" t="s">
        <v>52</v>
      </c>
    </row>
    <row r="1714" spans="1:1" x14ac:dyDescent="0.25">
      <c r="A1714" s="66" t="s">
        <v>52</v>
      </c>
    </row>
    <row r="1715" spans="1:1" x14ac:dyDescent="0.25">
      <c r="A1715" s="67" t="s">
        <v>52</v>
      </c>
    </row>
    <row r="1716" spans="1:1" x14ac:dyDescent="0.25">
      <c r="A1716" s="68" t="s">
        <v>52</v>
      </c>
    </row>
    <row r="1717" spans="1:1" x14ac:dyDescent="0.25">
      <c r="A1717" s="69" t="s">
        <v>52</v>
      </c>
    </row>
    <row r="1718" spans="1:1" x14ac:dyDescent="0.25">
      <c r="A1718" s="70" t="s">
        <v>52</v>
      </c>
    </row>
    <row r="1719" spans="1:1" x14ac:dyDescent="0.25">
      <c r="A1719" s="71" t="s">
        <v>52</v>
      </c>
    </row>
    <row r="1720" spans="1:1" x14ac:dyDescent="0.25">
      <c r="A1720" s="72" t="s">
        <v>52</v>
      </c>
    </row>
    <row r="1721" spans="1:1" x14ac:dyDescent="0.25">
      <c r="A1721" s="73" t="s">
        <v>52</v>
      </c>
    </row>
    <row r="1722" spans="1:1" x14ac:dyDescent="0.25">
      <c r="A1722" s="74" t="s">
        <v>52</v>
      </c>
    </row>
    <row r="1723" spans="1:1" x14ac:dyDescent="0.25">
      <c r="A1723" s="75" t="s">
        <v>52</v>
      </c>
    </row>
    <row r="1724" spans="1:1" x14ac:dyDescent="0.25">
      <c r="A1724" s="76" t="s">
        <v>52</v>
      </c>
    </row>
    <row r="1725" spans="1:1" x14ac:dyDescent="0.25">
      <c r="A1725" s="77" t="s">
        <v>52</v>
      </c>
    </row>
    <row r="1726" spans="1:1" x14ac:dyDescent="0.25">
      <c r="A1726" s="78" t="s">
        <v>52</v>
      </c>
    </row>
    <row r="1727" spans="1:1" x14ac:dyDescent="0.25">
      <c r="A1727" s="79" t="s">
        <v>52</v>
      </c>
    </row>
    <row r="1728" spans="1:1" x14ac:dyDescent="0.25">
      <c r="A1728" s="80" t="s">
        <v>52</v>
      </c>
    </row>
    <row r="1729" spans="1:1" x14ac:dyDescent="0.25">
      <c r="A1729" s="81" t="s">
        <v>52</v>
      </c>
    </row>
    <row r="1730" spans="1:1" x14ac:dyDescent="0.25">
      <c r="A1730" s="82" t="s">
        <v>52</v>
      </c>
    </row>
    <row r="1731" spans="1:1" x14ac:dyDescent="0.25">
      <c r="A1731" s="83" t="s">
        <v>52</v>
      </c>
    </row>
    <row r="1732" spans="1:1" x14ac:dyDescent="0.25">
      <c r="A1732" s="84" t="s">
        <v>52</v>
      </c>
    </row>
    <row r="1733" spans="1:1" x14ac:dyDescent="0.25">
      <c r="A1733" s="85" t="s">
        <v>52</v>
      </c>
    </row>
    <row r="1734" spans="1:1" x14ac:dyDescent="0.25">
      <c r="A1734" s="86" t="s">
        <v>52</v>
      </c>
    </row>
    <row r="1735" spans="1:1" x14ac:dyDescent="0.25">
      <c r="A1735" s="87" t="s">
        <v>52</v>
      </c>
    </row>
    <row r="1736" spans="1:1" x14ac:dyDescent="0.25">
      <c r="A1736" s="88" t="s">
        <v>52</v>
      </c>
    </row>
    <row r="1737" spans="1:1" x14ac:dyDescent="0.25">
      <c r="A1737" s="89" t="s">
        <v>52</v>
      </c>
    </row>
    <row r="1738" spans="1:1" x14ac:dyDescent="0.25">
      <c r="A1738" s="90" t="s">
        <v>52</v>
      </c>
    </row>
    <row r="1739" spans="1:1" x14ac:dyDescent="0.25">
      <c r="A1739" s="18" t="s">
        <v>178</v>
      </c>
    </row>
    <row r="1740" spans="1:1" x14ac:dyDescent="0.25">
      <c r="A1740" s="19" t="s">
        <v>52</v>
      </c>
    </row>
    <row r="1741" spans="1:1" x14ac:dyDescent="0.25">
      <c r="A1741" s="20" t="s">
        <v>52</v>
      </c>
    </row>
    <row r="1742" spans="1:1" x14ac:dyDescent="0.25">
      <c r="A1742" s="21" t="s">
        <v>52</v>
      </c>
    </row>
    <row r="1743" spans="1:1" x14ac:dyDescent="0.25">
      <c r="A1743" s="22" t="s">
        <v>52</v>
      </c>
    </row>
    <row r="1744" spans="1:1" x14ac:dyDescent="0.25">
      <c r="A1744" s="23" t="s">
        <v>52</v>
      </c>
    </row>
    <row r="1745" spans="1:1" x14ac:dyDescent="0.25">
      <c r="A1745" s="24" t="s">
        <v>52</v>
      </c>
    </row>
    <row r="1746" spans="1:1" x14ac:dyDescent="0.25">
      <c r="A1746" s="25" t="s">
        <v>52</v>
      </c>
    </row>
    <row r="1747" spans="1:1" x14ac:dyDescent="0.25">
      <c r="A1747" s="26" t="s">
        <v>280</v>
      </c>
    </row>
    <row r="1748" spans="1:1" x14ac:dyDescent="0.25">
      <c r="A1748" s="27" t="s">
        <v>660</v>
      </c>
    </row>
    <row r="1749" spans="1:1" x14ac:dyDescent="0.25">
      <c r="A1749" s="28" t="s">
        <v>52</v>
      </c>
    </row>
    <row r="1750" spans="1:1" x14ac:dyDescent="0.25">
      <c r="A1750" s="29" t="s">
        <v>52</v>
      </c>
    </row>
    <row r="1751" spans="1:1" x14ac:dyDescent="0.25">
      <c r="A1751" s="30" t="s">
        <v>52</v>
      </c>
    </row>
    <row r="1752" spans="1:1" x14ac:dyDescent="0.25">
      <c r="A1752" s="31" t="s">
        <v>52</v>
      </c>
    </row>
    <row r="1753" spans="1:1" x14ac:dyDescent="0.25">
      <c r="A1753" s="32" t="s">
        <v>52</v>
      </c>
    </row>
    <row r="1754" spans="1:1" x14ac:dyDescent="0.25">
      <c r="A1754" s="33" t="s">
        <v>52</v>
      </c>
    </row>
    <row r="1755" spans="1:1" x14ac:dyDescent="0.25">
      <c r="A1755" s="34" t="s">
        <v>52</v>
      </c>
    </row>
    <row r="1756" spans="1:1" x14ac:dyDescent="0.25">
      <c r="A1756" s="35" t="s">
        <v>52</v>
      </c>
    </row>
    <row r="1757" spans="1:1" x14ac:dyDescent="0.25">
      <c r="A1757" s="36" t="s">
        <v>52</v>
      </c>
    </row>
    <row r="1758" spans="1:1" x14ac:dyDescent="0.25">
      <c r="A1758" s="37" t="s">
        <v>52</v>
      </c>
    </row>
    <row r="1759" spans="1:1" x14ac:dyDescent="0.25">
      <c r="A1759" s="38" t="s">
        <v>52</v>
      </c>
    </row>
    <row r="1760" spans="1:1" x14ac:dyDescent="0.25">
      <c r="A1760" s="39" t="s">
        <v>52</v>
      </c>
    </row>
    <row r="1761" spans="1:1" x14ac:dyDescent="0.25">
      <c r="A1761" s="40" t="s">
        <v>52</v>
      </c>
    </row>
    <row r="1762" spans="1:1" x14ac:dyDescent="0.25">
      <c r="A1762" s="41" t="s">
        <v>52</v>
      </c>
    </row>
    <row r="1763" spans="1:1" x14ac:dyDescent="0.25">
      <c r="A1763" s="42" t="s">
        <v>52</v>
      </c>
    </row>
    <row r="1764" spans="1:1" x14ac:dyDescent="0.25">
      <c r="A1764" s="43" t="s">
        <v>52</v>
      </c>
    </row>
    <row r="1765" spans="1:1" x14ac:dyDescent="0.25">
      <c r="A1765" s="44" t="s">
        <v>52</v>
      </c>
    </row>
    <row r="1766" spans="1:1" x14ac:dyDescent="0.25">
      <c r="A1766" s="45" t="s">
        <v>52</v>
      </c>
    </row>
    <row r="1767" spans="1:1" x14ac:dyDescent="0.25">
      <c r="A1767" s="46" t="s">
        <v>52</v>
      </c>
    </row>
    <row r="1768" spans="1:1" x14ac:dyDescent="0.25">
      <c r="A1768" s="47" t="s">
        <v>52</v>
      </c>
    </row>
    <row r="1769" spans="1:1" x14ac:dyDescent="0.25">
      <c r="A1769" s="48" t="s">
        <v>661</v>
      </c>
    </row>
    <row r="1770" spans="1:1" x14ac:dyDescent="0.25">
      <c r="A1770" s="49" t="s">
        <v>52</v>
      </c>
    </row>
    <row r="1771" spans="1:1" x14ac:dyDescent="0.25">
      <c r="A1771" s="50" t="s">
        <v>52</v>
      </c>
    </row>
    <row r="1772" spans="1:1" x14ac:dyDescent="0.25">
      <c r="A1772" s="51" t="s">
        <v>52</v>
      </c>
    </row>
    <row r="1773" spans="1:1" x14ac:dyDescent="0.25">
      <c r="A1773" s="52" t="s">
        <v>52</v>
      </c>
    </row>
    <row r="1774" spans="1:1" x14ac:dyDescent="0.25">
      <c r="A1774" s="53" t="s">
        <v>52</v>
      </c>
    </row>
    <row r="1775" spans="1:1" x14ac:dyDescent="0.25">
      <c r="A1775" s="54" t="s">
        <v>52</v>
      </c>
    </row>
    <row r="1776" spans="1:1" x14ac:dyDescent="0.25">
      <c r="A1776" s="55" t="s">
        <v>52</v>
      </c>
    </row>
    <row r="1777" spans="1:1" x14ac:dyDescent="0.25">
      <c r="A1777" s="56" t="s">
        <v>52</v>
      </c>
    </row>
    <row r="1778" spans="1:1" x14ac:dyDescent="0.25">
      <c r="A1778" s="57" t="s">
        <v>52</v>
      </c>
    </row>
    <row r="1779" spans="1:1" x14ac:dyDescent="0.25">
      <c r="A1779" s="58" t="s">
        <v>52</v>
      </c>
    </row>
    <row r="1780" spans="1:1" x14ac:dyDescent="0.25">
      <c r="A1780" s="59" t="s">
        <v>52</v>
      </c>
    </row>
    <row r="1781" spans="1:1" x14ac:dyDescent="0.25">
      <c r="A1781" s="60" t="s">
        <v>52</v>
      </c>
    </row>
    <row r="1782" spans="1:1" x14ac:dyDescent="0.25">
      <c r="A1782" s="61" t="s">
        <v>52</v>
      </c>
    </row>
    <row r="1783" spans="1:1" x14ac:dyDescent="0.25">
      <c r="A1783" s="62" t="s">
        <v>52</v>
      </c>
    </row>
    <row r="1784" spans="1:1" x14ac:dyDescent="0.25">
      <c r="A1784" s="63" t="s">
        <v>52</v>
      </c>
    </row>
    <row r="1785" spans="1:1" x14ac:dyDescent="0.25">
      <c r="A1785" s="64" t="s">
        <v>52</v>
      </c>
    </row>
    <row r="1786" spans="1:1" x14ac:dyDescent="0.25">
      <c r="A1786" s="65" t="s">
        <v>52</v>
      </c>
    </row>
    <row r="1787" spans="1:1" x14ac:dyDescent="0.25">
      <c r="A1787" s="66" t="s">
        <v>52</v>
      </c>
    </row>
    <row r="1788" spans="1:1" x14ac:dyDescent="0.25">
      <c r="A1788" s="67" t="s">
        <v>52</v>
      </c>
    </row>
    <row r="1789" spans="1:1" x14ac:dyDescent="0.25">
      <c r="A1789" s="68" t="s">
        <v>52</v>
      </c>
    </row>
    <row r="1790" spans="1:1" x14ac:dyDescent="0.25">
      <c r="A1790" s="69" t="s">
        <v>52</v>
      </c>
    </row>
    <row r="1791" spans="1:1" x14ac:dyDescent="0.25">
      <c r="A1791" s="70" t="s">
        <v>52</v>
      </c>
    </row>
    <row r="1792" spans="1:1" x14ac:dyDescent="0.25">
      <c r="A1792" s="71" t="s">
        <v>52</v>
      </c>
    </row>
    <row r="1793" spans="1:1" x14ac:dyDescent="0.25">
      <c r="A1793" s="72" t="s">
        <v>52</v>
      </c>
    </row>
    <row r="1794" spans="1:1" x14ac:dyDescent="0.25">
      <c r="A1794" s="73" t="s">
        <v>52</v>
      </c>
    </row>
    <row r="1795" spans="1:1" x14ac:dyDescent="0.25">
      <c r="A1795" s="74" t="s">
        <v>52</v>
      </c>
    </row>
    <row r="1796" spans="1:1" x14ac:dyDescent="0.25">
      <c r="A1796" s="75" t="s">
        <v>52</v>
      </c>
    </row>
    <row r="1797" spans="1:1" x14ac:dyDescent="0.25">
      <c r="A1797" s="76" t="s">
        <v>52</v>
      </c>
    </row>
    <row r="1798" spans="1:1" x14ac:dyDescent="0.25">
      <c r="A1798" s="77" t="s">
        <v>52</v>
      </c>
    </row>
    <row r="1799" spans="1:1" x14ac:dyDescent="0.25">
      <c r="A1799" s="78" t="s">
        <v>52</v>
      </c>
    </row>
    <row r="1800" spans="1:1" x14ac:dyDescent="0.25">
      <c r="A1800" s="79" t="s">
        <v>52</v>
      </c>
    </row>
    <row r="1801" spans="1:1" x14ac:dyDescent="0.25">
      <c r="A1801" s="80" t="s">
        <v>52</v>
      </c>
    </row>
    <row r="1802" spans="1:1" x14ac:dyDescent="0.25">
      <c r="A1802" s="81" t="s">
        <v>52</v>
      </c>
    </row>
    <row r="1803" spans="1:1" x14ac:dyDescent="0.25">
      <c r="A1803" s="82" t="s">
        <v>52</v>
      </c>
    </row>
    <row r="1804" spans="1:1" x14ac:dyDescent="0.25">
      <c r="A1804" s="83" t="s">
        <v>52</v>
      </c>
    </row>
    <row r="1805" spans="1:1" x14ac:dyDescent="0.25">
      <c r="A1805" s="84" t="s">
        <v>52</v>
      </c>
    </row>
    <row r="1806" spans="1:1" x14ac:dyDescent="0.25">
      <c r="A1806" s="85" t="s">
        <v>52</v>
      </c>
    </row>
    <row r="1807" spans="1:1" x14ac:dyDescent="0.25">
      <c r="A1807" s="86" t="s">
        <v>52</v>
      </c>
    </row>
    <row r="1808" spans="1:1" x14ac:dyDescent="0.25">
      <c r="A1808" s="87" t="s">
        <v>52</v>
      </c>
    </row>
    <row r="1809" spans="1:1" x14ac:dyDescent="0.25">
      <c r="A1809" s="88" t="s">
        <v>52</v>
      </c>
    </row>
    <row r="1810" spans="1:1" x14ac:dyDescent="0.25">
      <c r="A1810" s="89" t="s">
        <v>52</v>
      </c>
    </row>
    <row r="1811" spans="1:1" x14ac:dyDescent="0.25">
      <c r="A1811" s="90" t="s">
        <v>52</v>
      </c>
    </row>
    <row r="1812" spans="1:1" x14ac:dyDescent="0.25">
      <c r="A1812" s="18" t="s">
        <v>212</v>
      </c>
    </row>
    <row r="1813" spans="1:1" x14ac:dyDescent="0.25">
      <c r="A1813" s="19" t="s">
        <v>662</v>
      </c>
    </row>
    <row r="1814" spans="1:1" x14ac:dyDescent="0.25">
      <c r="A1814" s="20" t="s">
        <v>663</v>
      </c>
    </row>
    <row r="1815" spans="1:1" x14ac:dyDescent="0.25">
      <c r="A1815" s="21" t="s">
        <v>281</v>
      </c>
    </row>
    <row r="1816" spans="1:1" x14ac:dyDescent="0.25">
      <c r="A1816" s="22" t="s">
        <v>52</v>
      </c>
    </row>
    <row r="1817" spans="1:1" x14ac:dyDescent="0.25">
      <c r="A1817" s="23" t="s">
        <v>52</v>
      </c>
    </row>
    <row r="1818" spans="1:1" x14ac:dyDescent="0.25">
      <c r="A1818" s="24" t="s">
        <v>52</v>
      </c>
    </row>
    <row r="1819" spans="1:1" x14ac:dyDescent="0.25">
      <c r="A1819" s="25" t="s">
        <v>52</v>
      </c>
    </row>
    <row r="1820" spans="1:1" x14ac:dyDescent="0.25">
      <c r="A1820" s="26" t="s">
        <v>282</v>
      </c>
    </row>
    <row r="1821" spans="1:1" x14ac:dyDescent="0.25">
      <c r="A1821" s="27" t="s">
        <v>664</v>
      </c>
    </row>
    <row r="1822" spans="1:1" x14ac:dyDescent="0.25">
      <c r="A1822" s="28" t="s">
        <v>52</v>
      </c>
    </row>
    <row r="1823" spans="1:1" x14ac:dyDescent="0.25">
      <c r="A1823" s="29" t="s">
        <v>52</v>
      </c>
    </row>
    <row r="1824" spans="1:1" x14ac:dyDescent="0.25">
      <c r="A1824" s="30" t="s">
        <v>213</v>
      </c>
    </row>
    <row r="1825" spans="1:1" x14ac:dyDescent="0.25">
      <c r="A1825" s="31" t="s">
        <v>214</v>
      </c>
    </row>
    <row r="1826" spans="1:1" x14ac:dyDescent="0.25">
      <c r="A1826" s="32" t="s">
        <v>52</v>
      </c>
    </row>
    <row r="1827" spans="1:1" x14ac:dyDescent="0.25">
      <c r="A1827" s="33" t="s">
        <v>52</v>
      </c>
    </row>
    <row r="1828" spans="1:1" x14ac:dyDescent="0.25">
      <c r="A1828" s="34" t="s">
        <v>52</v>
      </c>
    </row>
    <row r="1829" spans="1:1" x14ac:dyDescent="0.25">
      <c r="A1829" s="35" t="s">
        <v>283</v>
      </c>
    </row>
    <row r="1830" spans="1:1" x14ac:dyDescent="0.25">
      <c r="A1830" s="36" t="s">
        <v>52</v>
      </c>
    </row>
    <row r="1831" spans="1:1" x14ac:dyDescent="0.25">
      <c r="A1831" s="37" t="s">
        <v>284</v>
      </c>
    </row>
    <row r="1832" spans="1:1" x14ac:dyDescent="0.25">
      <c r="A1832" s="38" t="s">
        <v>52</v>
      </c>
    </row>
    <row r="1833" spans="1:1" x14ac:dyDescent="0.25">
      <c r="A1833" s="39" t="s">
        <v>52</v>
      </c>
    </row>
    <row r="1834" spans="1:1" x14ac:dyDescent="0.25">
      <c r="A1834" s="40" t="s">
        <v>52</v>
      </c>
    </row>
    <row r="1835" spans="1:1" x14ac:dyDescent="0.25">
      <c r="A1835" s="41" t="s">
        <v>52</v>
      </c>
    </row>
    <row r="1836" spans="1:1" x14ac:dyDescent="0.25">
      <c r="A1836" s="42" t="s">
        <v>52</v>
      </c>
    </row>
    <row r="1837" spans="1:1" x14ac:dyDescent="0.25">
      <c r="A1837" s="43" t="s">
        <v>285</v>
      </c>
    </row>
    <row r="1838" spans="1:1" x14ac:dyDescent="0.25">
      <c r="A1838" s="44" t="s">
        <v>215</v>
      </c>
    </row>
    <row r="1839" spans="1:1" x14ac:dyDescent="0.25">
      <c r="A1839" s="45" t="s">
        <v>52</v>
      </c>
    </row>
    <row r="1840" spans="1:1" x14ac:dyDescent="0.25">
      <c r="A1840" s="46" t="s">
        <v>52</v>
      </c>
    </row>
    <row r="1841" spans="1:1" x14ac:dyDescent="0.25">
      <c r="A1841" s="47" t="s">
        <v>52</v>
      </c>
    </row>
    <row r="1842" spans="1:1" x14ac:dyDescent="0.25">
      <c r="A1842" s="48" t="s">
        <v>665</v>
      </c>
    </row>
    <row r="1843" spans="1:1" x14ac:dyDescent="0.25">
      <c r="A1843" s="49" t="s">
        <v>52</v>
      </c>
    </row>
    <row r="1844" spans="1:1" x14ac:dyDescent="0.25">
      <c r="A1844" s="50" t="s">
        <v>52</v>
      </c>
    </row>
    <row r="1845" spans="1:1" x14ac:dyDescent="0.25">
      <c r="A1845" s="51" t="s">
        <v>52</v>
      </c>
    </row>
    <row r="1846" spans="1:1" x14ac:dyDescent="0.25">
      <c r="A1846" s="52" t="s">
        <v>52</v>
      </c>
    </row>
    <row r="1847" spans="1:1" x14ac:dyDescent="0.25">
      <c r="A1847" s="53" t="s">
        <v>52</v>
      </c>
    </row>
    <row r="1848" spans="1:1" x14ac:dyDescent="0.25">
      <c r="A1848" s="54" t="s">
        <v>52</v>
      </c>
    </row>
    <row r="1849" spans="1:1" x14ac:dyDescent="0.25">
      <c r="A1849" s="55" t="s">
        <v>52</v>
      </c>
    </row>
    <row r="1850" spans="1:1" x14ac:dyDescent="0.25">
      <c r="A1850" s="56" t="s">
        <v>52</v>
      </c>
    </row>
    <row r="1851" spans="1:1" x14ac:dyDescent="0.25">
      <c r="A1851" s="57" t="s">
        <v>52</v>
      </c>
    </row>
    <row r="1852" spans="1:1" x14ac:dyDescent="0.25">
      <c r="A1852" s="58" t="s">
        <v>52</v>
      </c>
    </row>
    <row r="1853" spans="1:1" x14ac:dyDescent="0.25">
      <c r="A1853" s="59" t="s">
        <v>52</v>
      </c>
    </row>
    <row r="1854" spans="1:1" x14ac:dyDescent="0.25">
      <c r="A1854" s="60" t="s">
        <v>52</v>
      </c>
    </row>
    <row r="1855" spans="1:1" x14ac:dyDescent="0.25">
      <c r="A1855" s="61" t="s">
        <v>52</v>
      </c>
    </row>
    <row r="1856" spans="1:1" x14ac:dyDescent="0.25">
      <c r="A1856" s="62" t="s">
        <v>52</v>
      </c>
    </row>
    <row r="1857" spans="1:1" x14ac:dyDescent="0.25">
      <c r="A1857" s="63" t="s">
        <v>52</v>
      </c>
    </row>
    <row r="1858" spans="1:1" x14ac:dyDescent="0.25">
      <c r="A1858" s="64" t="s">
        <v>52</v>
      </c>
    </row>
    <row r="1859" spans="1:1" x14ac:dyDescent="0.25">
      <c r="A1859" s="65" t="s">
        <v>52</v>
      </c>
    </row>
    <row r="1860" spans="1:1" x14ac:dyDescent="0.25">
      <c r="A1860" s="66" t="s">
        <v>52</v>
      </c>
    </row>
    <row r="1861" spans="1:1" x14ac:dyDescent="0.25">
      <c r="A1861" s="67" t="s">
        <v>52</v>
      </c>
    </row>
    <row r="1862" spans="1:1" x14ac:dyDescent="0.25">
      <c r="A1862" s="68" t="s">
        <v>52</v>
      </c>
    </row>
    <row r="1863" spans="1:1" x14ac:dyDescent="0.25">
      <c r="A1863" s="69" t="s">
        <v>52</v>
      </c>
    </row>
    <row r="1864" spans="1:1" x14ac:dyDescent="0.25">
      <c r="A1864" s="70" t="s">
        <v>52</v>
      </c>
    </row>
    <row r="1865" spans="1:1" x14ac:dyDescent="0.25">
      <c r="A1865" s="71" t="s">
        <v>52</v>
      </c>
    </row>
    <row r="1866" spans="1:1" x14ac:dyDescent="0.25">
      <c r="A1866" s="72" t="s">
        <v>52</v>
      </c>
    </row>
    <row r="1867" spans="1:1" x14ac:dyDescent="0.25">
      <c r="A1867" s="73" t="s">
        <v>52</v>
      </c>
    </row>
    <row r="1868" spans="1:1" x14ac:dyDescent="0.25">
      <c r="A1868" s="74" t="s">
        <v>52</v>
      </c>
    </row>
    <row r="1869" spans="1:1" x14ac:dyDescent="0.25">
      <c r="A1869" s="75" t="s">
        <v>52</v>
      </c>
    </row>
    <row r="1870" spans="1:1" x14ac:dyDescent="0.25">
      <c r="A1870" s="76" t="s">
        <v>52</v>
      </c>
    </row>
    <row r="1871" spans="1:1" x14ac:dyDescent="0.25">
      <c r="A1871" s="77" t="s">
        <v>52</v>
      </c>
    </row>
    <row r="1872" spans="1:1" x14ac:dyDescent="0.25">
      <c r="A1872" s="78" t="s">
        <v>52</v>
      </c>
    </row>
    <row r="1873" spans="1:1" x14ac:dyDescent="0.25">
      <c r="A1873" s="79" t="s">
        <v>52</v>
      </c>
    </row>
    <row r="1874" spans="1:1" x14ac:dyDescent="0.25">
      <c r="A1874" s="80" t="s">
        <v>52</v>
      </c>
    </row>
    <row r="1875" spans="1:1" x14ac:dyDescent="0.25">
      <c r="A1875" s="81" t="s">
        <v>52</v>
      </c>
    </row>
    <row r="1876" spans="1:1" x14ac:dyDescent="0.25">
      <c r="A1876" s="82" t="s">
        <v>52</v>
      </c>
    </row>
    <row r="1877" spans="1:1" x14ac:dyDescent="0.25">
      <c r="A1877" s="83" t="s">
        <v>52</v>
      </c>
    </row>
    <row r="1878" spans="1:1" x14ac:dyDescent="0.25">
      <c r="A1878" s="84" t="s">
        <v>52</v>
      </c>
    </row>
    <row r="1879" spans="1:1" x14ac:dyDescent="0.25">
      <c r="A1879" s="85" t="s">
        <v>52</v>
      </c>
    </row>
    <row r="1880" spans="1:1" x14ac:dyDescent="0.25">
      <c r="A1880" s="86" t="s">
        <v>52</v>
      </c>
    </row>
    <row r="1881" spans="1:1" x14ac:dyDescent="0.25">
      <c r="A1881" s="87" t="s">
        <v>52</v>
      </c>
    </row>
    <row r="1882" spans="1:1" x14ac:dyDescent="0.25">
      <c r="A1882" s="88" t="s">
        <v>216</v>
      </c>
    </row>
    <row r="1883" spans="1:1" x14ac:dyDescent="0.25">
      <c r="A1883" s="89" t="s">
        <v>217</v>
      </c>
    </row>
    <row r="1884" spans="1:1" x14ac:dyDescent="0.25">
      <c r="A1884" s="90" t="s">
        <v>52</v>
      </c>
    </row>
    <row r="1885" spans="1:1" x14ac:dyDescent="0.25">
      <c r="A1885" s="10" t="s">
        <v>6</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H400"/>
  <sheetViews>
    <sheetView showGridLines="0" view="pageBreakPreview" zoomScale="130" zoomScaleNormal="100" zoomScaleSheetLayoutView="130" workbookViewId="0">
      <selection activeCell="D7" sqref="D7"/>
    </sheetView>
  </sheetViews>
  <sheetFormatPr defaultRowHeight="15" x14ac:dyDescent="0.25"/>
  <cols>
    <col min="2" max="2" width="8.28515625" style="95" customWidth="1"/>
    <col min="3" max="3" width="9.28515625" style="93" customWidth="1"/>
    <col min="4" max="4" width="32.7109375" style="94" customWidth="1"/>
    <col min="5" max="6" width="8.28515625" style="91" customWidth="1"/>
    <col min="7" max="7" width="9.28515625" style="92" customWidth="1"/>
    <col min="8" max="8" width="12.7109375" style="92" customWidth="1"/>
  </cols>
  <sheetData>
    <row r="1" spans="1:8" ht="24.75" thickBot="1" x14ac:dyDescent="0.3">
      <c r="B1" s="96" t="s">
        <v>36</v>
      </c>
      <c r="C1" s="97" t="s">
        <v>94</v>
      </c>
      <c r="D1" s="97" t="s">
        <v>38</v>
      </c>
      <c r="E1" s="97" t="s">
        <v>37</v>
      </c>
      <c r="F1" s="98" t="s">
        <v>81</v>
      </c>
      <c r="G1" s="99" t="s">
        <v>86</v>
      </c>
      <c r="H1" s="99" t="s">
        <v>95</v>
      </c>
    </row>
    <row r="2" spans="1:8" x14ac:dyDescent="0.25">
      <c r="B2" s="100"/>
      <c r="C2" s="101"/>
      <c r="D2" s="102"/>
      <c r="E2" s="103"/>
      <c r="F2" s="104"/>
      <c r="G2" s="105"/>
      <c r="H2" s="106"/>
    </row>
    <row r="3" spans="1:8" ht="27" x14ac:dyDescent="0.25">
      <c r="A3" s="113">
        <v>6</v>
      </c>
      <c r="B3" s="100" t="str">
        <f t="shared" ref="B3:B38" si="0">+IF(F3&gt;0,A3,"")</f>
        <v/>
      </c>
      <c r="C3" s="101"/>
      <c r="D3" s="102" t="s">
        <v>357</v>
      </c>
      <c r="E3" s="103"/>
      <c r="F3" s="104"/>
      <c r="G3" s="105"/>
      <c r="H3" s="106"/>
    </row>
    <row r="4" spans="1:8" x14ac:dyDescent="0.25">
      <c r="A4" s="113">
        <f t="shared" ref="A4:A38" si="1">+IF(F4&gt;0.01,A3+0.001,A3)</f>
        <v>6</v>
      </c>
      <c r="B4" s="100" t="str">
        <f t="shared" si="0"/>
        <v/>
      </c>
      <c r="C4" s="107" t="s">
        <v>54</v>
      </c>
      <c r="D4" s="108"/>
      <c r="E4" s="107"/>
      <c r="F4" s="109"/>
      <c r="G4" s="105"/>
      <c r="H4" s="106" t="str">
        <f>IF(F4="","",G4*F4)</f>
        <v/>
      </c>
    </row>
    <row r="5" spans="1:8" ht="25.5" x14ac:dyDescent="0.25">
      <c r="A5" s="113">
        <f t="shared" si="1"/>
        <v>6</v>
      </c>
      <c r="B5" s="100" t="str">
        <f t="shared" si="0"/>
        <v/>
      </c>
      <c r="C5" s="110" t="s">
        <v>55</v>
      </c>
      <c r="D5" s="111" t="s">
        <v>126</v>
      </c>
      <c r="E5" s="107"/>
      <c r="F5" s="109"/>
      <c r="G5" s="105"/>
      <c r="H5" s="106" t="str">
        <f t="shared" ref="H5:H32" si="2">IF(F5="","",G5*F5)</f>
        <v/>
      </c>
    </row>
    <row r="6" spans="1:8" x14ac:dyDescent="0.25">
      <c r="A6" s="113">
        <f t="shared" si="1"/>
        <v>6</v>
      </c>
      <c r="B6" s="100" t="str">
        <f t="shared" si="0"/>
        <v/>
      </c>
      <c r="C6" s="107">
        <v>8.3000000000000007</v>
      </c>
      <c r="D6" s="112" t="s">
        <v>33</v>
      </c>
      <c r="E6" s="107"/>
      <c r="F6" s="109"/>
      <c r="G6" s="105"/>
      <c r="H6" s="106" t="str">
        <f t="shared" si="2"/>
        <v/>
      </c>
    </row>
    <row r="7" spans="1:8" ht="90.75" customHeight="1" x14ac:dyDescent="0.25">
      <c r="A7" s="113">
        <f t="shared" si="1"/>
        <v>6</v>
      </c>
      <c r="B7" s="100" t="str">
        <f t="shared" si="0"/>
        <v/>
      </c>
      <c r="C7" s="107" t="s">
        <v>419</v>
      </c>
      <c r="D7" s="108" t="s">
        <v>87</v>
      </c>
      <c r="E7" s="107"/>
      <c r="F7" s="109"/>
      <c r="G7" s="105"/>
      <c r="H7" s="106" t="str">
        <f t="shared" si="2"/>
        <v/>
      </c>
    </row>
    <row r="8" spans="1:8" x14ac:dyDescent="0.25">
      <c r="A8" s="113">
        <f t="shared" si="1"/>
        <v>6.0010000000000003</v>
      </c>
      <c r="B8" s="100">
        <f t="shared" si="0"/>
        <v>6.0010000000000003</v>
      </c>
      <c r="C8" s="107" t="s">
        <v>1053</v>
      </c>
      <c r="D8" s="108" t="s">
        <v>105</v>
      </c>
      <c r="E8" s="107" t="s">
        <v>47</v>
      </c>
      <c r="F8" s="109">
        <v>1148.9399859945099</v>
      </c>
      <c r="G8" s="105"/>
      <c r="H8" s="106">
        <f t="shared" si="2"/>
        <v>0</v>
      </c>
    </row>
    <row r="9" spans="1:8" x14ac:dyDescent="0.25">
      <c r="A9" s="113">
        <f t="shared" si="1"/>
        <v>6.0020000000000007</v>
      </c>
      <c r="B9" s="100">
        <f t="shared" si="0"/>
        <v>6.0020000000000007</v>
      </c>
      <c r="C9" s="107" t="s">
        <v>1053</v>
      </c>
      <c r="D9" s="108" t="s">
        <v>106</v>
      </c>
      <c r="E9" s="107" t="s">
        <v>47</v>
      </c>
      <c r="F9" s="109">
        <v>85.816653826391999</v>
      </c>
      <c r="G9" s="105"/>
      <c r="H9" s="106">
        <f t="shared" si="2"/>
        <v>0</v>
      </c>
    </row>
    <row r="10" spans="1:8" x14ac:dyDescent="0.25">
      <c r="A10" s="113">
        <f t="shared" si="1"/>
        <v>6.003000000000001</v>
      </c>
      <c r="B10" s="100">
        <f t="shared" si="0"/>
        <v>6.003000000000001</v>
      </c>
      <c r="C10" s="107" t="s">
        <v>1023</v>
      </c>
      <c r="D10" s="108" t="s">
        <v>358</v>
      </c>
      <c r="E10" s="107" t="s">
        <v>47</v>
      </c>
      <c r="F10" s="109">
        <v>23.2</v>
      </c>
      <c r="G10" s="105"/>
      <c r="H10" s="106">
        <f t="shared" si="2"/>
        <v>0</v>
      </c>
    </row>
    <row r="11" spans="1:8" x14ac:dyDescent="0.25">
      <c r="A11" s="113">
        <f t="shared" si="1"/>
        <v>6.0040000000000013</v>
      </c>
      <c r="B11" s="100">
        <f t="shared" si="0"/>
        <v>6.0040000000000013</v>
      </c>
      <c r="C11" s="107" t="s">
        <v>1053</v>
      </c>
      <c r="D11" s="108" t="s">
        <v>107</v>
      </c>
      <c r="E11" s="107" t="s">
        <v>47</v>
      </c>
      <c r="F11" s="109">
        <v>78.571670860393297</v>
      </c>
      <c r="G11" s="105"/>
      <c r="H11" s="106">
        <f t="shared" si="2"/>
        <v>0</v>
      </c>
    </row>
    <row r="12" spans="1:8" x14ac:dyDescent="0.25">
      <c r="A12" s="113">
        <f t="shared" si="1"/>
        <v>6.0050000000000017</v>
      </c>
      <c r="B12" s="100">
        <f t="shared" si="0"/>
        <v>6.0050000000000017</v>
      </c>
      <c r="C12" s="107" t="s">
        <v>1025</v>
      </c>
      <c r="D12" s="108" t="s">
        <v>108</v>
      </c>
      <c r="E12" s="107" t="s">
        <v>47</v>
      </c>
      <c r="F12" s="109">
        <v>1021</v>
      </c>
      <c r="G12" s="105"/>
      <c r="H12" s="106">
        <f t="shared" si="2"/>
        <v>0</v>
      </c>
    </row>
    <row r="13" spans="1:8" x14ac:dyDescent="0.25">
      <c r="A13" s="113">
        <f t="shared" si="1"/>
        <v>6.006000000000002</v>
      </c>
      <c r="B13" s="100">
        <f t="shared" si="0"/>
        <v>6.006000000000002</v>
      </c>
      <c r="C13" s="107" t="s">
        <v>1053</v>
      </c>
      <c r="D13" s="108" t="s">
        <v>348</v>
      </c>
      <c r="E13" s="107" t="s">
        <v>47</v>
      </c>
      <c r="F13" s="109">
        <v>278.71659832128802</v>
      </c>
      <c r="G13" s="105"/>
      <c r="H13" s="106">
        <f t="shared" si="2"/>
        <v>0</v>
      </c>
    </row>
    <row r="14" spans="1:8" x14ac:dyDescent="0.25">
      <c r="A14" s="113">
        <f t="shared" si="1"/>
        <v>6.0070000000000023</v>
      </c>
      <c r="B14" s="100">
        <f t="shared" si="0"/>
        <v>6.0070000000000023</v>
      </c>
      <c r="C14" s="107" t="s">
        <v>1053</v>
      </c>
      <c r="D14" s="108" t="s">
        <v>109</v>
      </c>
      <c r="E14" s="107" t="s">
        <v>47</v>
      </c>
      <c r="F14" s="109">
        <v>332.18699875976</v>
      </c>
      <c r="G14" s="105"/>
      <c r="H14" s="106">
        <f t="shared" si="2"/>
        <v>0</v>
      </c>
    </row>
    <row r="15" spans="1:8" x14ac:dyDescent="0.25">
      <c r="A15" s="113">
        <f t="shared" si="1"/>
        <v>6.0080000000000027</v>
      </c>
      <c r="B15" s="100">
        <f t="shared" si="0"/>
        <v>6.0080000000000027</v>
      </c>
      <c r="C15" s="107" t="s">
        <v>1053</v>
      </c>
      <c r="D15" s="108" t="s">
        <v>892</v>
      </c>
      <c r="E15" s="107" t="s">
        <v>47</v>
      </c>
      <c r="F15" s="109">
        <v>4680</v>
      </c>
      <c r="G15" s="105"/>
      <c r="H15" s="106">
        <f t="shared" si="2"/>
        <v>0</v>
      </c>
    </row>
    <row r="16" spans="1:8" x14ac:dyDescent="0.25">
      <c r="A16" s="113">
        <f t="shared" si="1"/>
        <v>6.009000000000003</v>
      </c>
      <c r="B16" s="100">
        <f t="shared" si="0"/>
        <v>6.009000000000003</v>
      </c>
      <c r="C16" s="107" t="s">
        <v>1055</v>
      </c>
      <c r="D16" s="108" t="s">
        <v>110</v>
      </c>
      <c r="E16" s="107" t="s">
        <v>47</v>
      </c>
      <c r="F16" s="109">
        <v>619.28940112107398</v>
      </c>
      <c r="G16" s="105"/>
      <c r="H16" s="106">
        <f t="shared" si="2"/>
        <v>0</v>
      </c>
    </row>
    <row r="17" spans="1:8" x14ac:dyDescent="0.25">
      <c r="A17" s="113">
        <f t="shared" si="1"/>
        <v>6.0100000000000033</v>
      </c>
      <c r="B17" s="100">
        <f t="shared" si="0"/>
        <v>6.0100000000000033</v>
      </c>
      <c r="C17" s="107" t="s">
        <v>1053</v>
      </c>
      <c r="D17" s="108" t="s">
        <v>111</v>
      </c>
      <c r="E17" s="107" t="s">
        <v>47</v>
      </c>
      <c r="F17" s="109">
        <v>3846.97837810187</v>
      </c>
      <c r="G17" s="105"/>
      <c r="H17" s="106">
        <f t="shared" si="2"/>
        <v>0</v>
      </c>
    </row>
    <row r="18" spans="1:8" x14ac:dyDescent="0.25">
      <c r="A18" s="113">
        <f t="shared" si="1"/>
        <v>6.0100000000000033</v>
      </c>
      <c r="B18" s="100" t="str">
        <f t="shared" si="0"/>
        <v/>
      </c>
      <c r="C18" s="107"/>
      <c r="D18" s="108"/>
      <c r="E18" s="107"/>
      <c r="F18" s="109"/>
      <c r="G18" s="105"/>
      <c r="H18" s="106" t="str">
        <f t="shared" si="2"/>
        <v/>
      </c>
    </row>
    <row r="19" spans="1:8" ht="54" x14ac:dyDescent="0.25">
      <c r="A19" s="113">
        <f t="shared" si="1"/>
        <v>6.0100000000000033</v>
      </c>
      <c r="B19" s="100" t="str">
        <f t="shared" si="0"/>
        <v/>
      </c>
      <c r="C19" s="107" t="s">
        <v>416</v>
      </c>
      <c r="D19" s="108" t="s">
        <v>893</v>
      </c>
      <c r="E19" s="107"/>
      <c r="F19" s="109"/>
      <c r="G19" s="105"/>
      <c r="H19" s="106" t="str">
        <f t="shared" si="2"/>
        <v/>
      </c>
    </row>
    <row r="20" spans="1:8" x14ac:dyDescent="0.25">
      <c r="A20" s="113">
        <f t="shared" si="1"/>
        <v>6.0110000000000037</v>
      </c>
      <c r="B20" s="100">
        <f t="shared" si="0"/>
        <v>6.0110000000000037</v>
      </c>
      <c r="C20" s="107" t="s">
        <v>1025</v>
      </c>
      <c r="D20" s="108" t="s">
        <v>108</v>
      </c>
      <c r="E20" s="107" t="s">
        <v>48</v>
      </c>
      <c r="F20" s="109">
        <v>336.92505</v>
      </c>
      <c r="G20" s="105"/>
      <c r="H20" s="106">
        <f t="shared" si="2"/>
        <v>0</v>
      </c>
    </row>
    <row r="21" spans="1:8" x14ac:dyDescent="0.25">
      <c r="A21" s="113">
        <f t="shared" si="1"/>
        <v>6.012000000000004</v>
      </c>
      <c r="B21" s="100">
        <f t="shared" si="0"/>
        <v>6.012000000000004</v>
      </c>
      <c r="C21" s="107" t="s">
        <v>1053</v>
      </c>
      <c r="D21" s="108" t="s">
        <v>109</v>
      </c>
      <c r="E21" s="107" t="s">
        <v>48</v>
      </c>
      <c r="F21" s="109">
        <v>111.91475</v>
      </c>
      <c r="G21" s="105"/>
      <c r="H21" s="106">
        <f t="shared" si="2"/>
        <v>0</v>
      </c>
    </row>
    <row r="22" spans="1:8" x14ac:dyDescent="0.25">
      <c r="A22" s="113">
        <f t="shared" si="1"/>
        <v>6.0130000000000043</v>
      </c>
      <c r="B22" s="100">
        <f t="shared" si="0"/>
        <v>6.0130000000000043</v>
      </c>
      <c r="C22" s="107" t="s">
        <v>1055</v>
      </c>
      <c r="D22" s="108" t="s">
        <v>110</v>
      </c>
      <c r="E22" s="107" t="s">
        <v>48</v>
      </c>
      <c r="F22" s="109">
        <v>185.54374999999999</v>
      </c>
      <c r="G22" s="105"/>
      <c r="H22" s="106">
        <f t="shared" si="2"/>
        <v>0</v>
      </c>
    </row>
    <row r="23" spans="1:8" x14ac:dyDescent="0.25">
      <c r="A23" s="113">
        <f t="shared" si="1"/>
        <v>6.0130000000000043</v>
      </c>
      <c r="B23" s="100" t="str">
        <f t="shared" si="0"/>
        <v/>
      </c>
      <c r="C23" s="107"/>
      <c r="D23" s="108"/>
      <c r="E23" s="107"/>
      <c r="F23" s="109"/>
      <c r="G23" s="105"/>
      <c r="H23" s="106" t="str">
        <f t="shared" si="2"/>
        <v/>
      </c>
    </row>
    <row r="24" spans="1:8" ht="67.5" x14ac:dyDescent="0.25">
      <c r="A24" s="113">
        <f t="shared" si="1"/>
        <v>6.0130000000000043</v>
      </c>
      <c r="B24" s="100" t="str">
        <f t="shared" si="0"/>
        <v/>
      </c>
      <c r="C24" s="107" t="s">
        <v>415</v>
      </c>
      <c r="D24" s="108" t="s">
        <v>359</v>
      </c>
      <c r="E24" s="107"/>
      <c r="F24" s="109"/>
      <c r="G24" s="105"/>
      <c r="H24" s="106" t="str">
        <f t="shared" si="2"/>
        <v/>
      </c>
    </row>
    <row r="25" spans="1:8" ht="27" x14ac:dyDescent="0.25">
      <c r="A25" s="113">
        <f t="shared" si="1"/>
        <v>6.0140000000000047</v>
      </c>
      <c r="B25" s="100">
        <f t="shared" si="0"/>
        <v>6.0140000000000047</v>
      </c>
      <c r="C25" s="107" t="s">
        <v>1023</v>
      </c>
      <c r="D25" s="108" t="s">
        <v>339</v>
      </c>
      <c r="E25" s="107" t="s">
        <v>48</v>
      </c>
      <c r="F25" s="109">
        <v>44.032499999999999</v>
      </c>
      <c r="G25" s="105"/>
      <c r="H25" s="106">
        <f t="shared" si="2"/>
        <v>0</v>
      </c>
    </row>
    <row r="26" spans="1:8" ht="27" x14ac:dyDescent="0.25">
      <c r="A26" s="113">
        <f t="shared" si="1"/>
        <v>6.015000000000005</v>
      </c>
      <c r="B26" s="100">
        <f t="shared" si="0"/>
        <v>6.015000000000005</v>
      </c>
      <c r="C26" s="107" t="s">
        <v>1024</v>
      </c>
      <c r="D26" s="108" t="s">
        <v>894</v>
      </c>
      <c r="E26" s="107" t="s">
        <v>48</v>
      </c>
      <c r="F26" s="109">
        <v>5</v>
      </c>
      <c r="G26" s="105"/>
      <c r="H26" s="106">
        <f t="shared" si="2"/>
        <v>0</v>
      </c>
    </row>
    <row r="27" spans="1:8" ht="27" x14ac:dyDescent="0.25">
      <c r="A27" s="113">
        <f t="shared" si="1"/>
        <v>6.0160000000000053</v>
      </c>
      <c r="B27" s="100">
        <f t="shared" si="0"/>
        <v>6.0160000000000053</v>
      </c>
      <c r="C27" s="107" t="s">
        <v>1024</v>
      </c>
      <c r="D27" s="108" t="s">
        <v>895</v>
      </c>
      <c r="E27" s="107" t="s">
        <v>48</v>
      </c>
      <c r="F27" s="109">
        <v>7</v>
      </c>
      <c r="G27" s="105"/>
      <c r="H27" s="106">
        <f t="shared" si="2"/>
        <v>0</v>
      </c>
    </row>
    <row r="28" spans="1:8" ht="27" x14ac:dyDescent="0.25">
      <c r="A28" s="113">
        <f t="shared" si="1"/>
        <v>6.0170000000000057</v>
      </c>
      <c r="B28" s="100">
        <f t="shared" si="0"/>
        <v>6.0170000000000057</v>
      </c>
      <c r="C28" s="107" t="s">
        <v>1024</v>
      </c>
      <c r="D28" s="108" t="s">
        <v>896</v>
      </c>
      <c r="E28" s="107" t="s">
        <v>48</v>
      </c>
      <c r="F28" s="109">
        <v>7</v>
      </c>
      <c r="G28" s="105"/>
      <c r="H28" s="106">
        <f t="shared" si="2"/>
        <v>0</v>
      </c>
    </row>
    <row r="29" spans="1:8" ht="27" x14ac:dyDescent="0.25">
      <c r="A29" s="113">
        <f t="shared" si="1"/>
        <v>6.018000000000006</v>
      </c>
      <c r="B29" s="100">
        <f t="shared" si="0"/>
        <v>6.018000000000006</v>
      </c>
      <c r="C29" s="107" t="s">
        <v>1024</v>
      </c>
      <c r="D29" s="108" t="s">
        <v>897</v>
      </c>
      <c r="E29" s="107" t="s">
        <v>48</v>
      </c>
      <c r="F29" s="109">
        <v>6</v>
      </c>
      <c r="G29" s="105"/>
      <c r="H29" s="106">
        <f t="shared" si="2"/>
        <v>0</v>
      </c>
    </row>
    <row r="30" spans="1:8" ht="27" x14ac:dyDescent="0.25">
      <c r="A30" s="113">
        <f t="shared" si="1"/>
        <v>6.0190000000000063</v>
      </c>
      <c r="B30" s="100">
        <f t="shared" si="0"/>
        <v>6.0190000000000063</v>
      </c>
      <c r="C30" s="107" t="s">
        <v>1024</v>
      </c>
      <c r="D30" s="108" t="s">
        <v>898</v>
      </c>
      <c r="E30" s="107" t="s">
        <v>48</v>
      </c>
      <c r="F30" s="109">
        <v>8</v>
      </c>
      <c r="G30" s="105"/>
      <c r="H30" s="106">
        <f t="shared" si="2"/>
        <v>0</v>
      </c>
    </row>
    <row r="31" spans="1:8" x14ac:dyDescent="0.25">
      <c r="A31" s="113">
        <f t="shared" si="1"/>
        <v>6.0190000000000063</v>
      </c>
      <c r="B31" s="100" t="str">
        <f t="shared" si="0"/>
        <v/>
      </c>
      <c r="C31" s="107"/>
      <c r="D31" s="108"/>
      <c r="E31" s="107"/>
      <c r="F31" s="109"/>
      <c r="G31" s="105"/>
      <c r="H31" s="106" t="str">
        <f t="shared" si="2"/>
        <v/>
      </c>
    </row>
    <row r="32" spans="1:8" x14ac:dyDescent="0.25">
      <c r="A32" s="113">
        <f t="shared" si="1"/>
        <v>6.0190000000000063</v>
      </c>
      <c r="B32" s="100" t="str">
        <f t="shared" si="0"/>
        <v/>
      </c>
      <c r="C32" s="107"/>
      <c r="D32" s="108"/>
      <c r="E32" s="107"/>
      <c r="F32" s="109"/>
      <c r="G32" s="105"/>
      <c r="H32" s="106" t="str">
        <f t="shared" si="2"/>
        <v/>
      </c>
    </row>
    <row r="33" spans="1:8" x14ac:dyDescent="0.25">
      <c r="A33" s="113">
        <f t="shared" si="1"/>
        <v>6.0190000000000063</v>
      </c>
      <c r="B33" s="100" t="str">
        <f t="shared" si="0"/>
        <v/>
      </c>
      <c r="C33" s="107"/>
      <c r="D33" s="108"/>
      <c r="E33" s="107"/>
      <c r="F33" s="109"/>
      <c r="G33" s="105"/>
      <c r="H33" s="106"/>
    </row>
    <row r="34" spans="1:8" x14ac:dyDescent="0.25">
      <c r="A34" s="113">
        <f t="shared" si="1"/>
        <v>6.0190000000000063</v>
      </c>
      <c r="B34" s="100" t="str">
        <f t="shared" si="0"/>
        <v/>
      </c>
      <c r="C34" s="107"/>
      <c r="D34" s="108"/>
      <c r="E34" s="107"/>
      <c r="F34" s="109"/>
      <c r="G34" s="105"/>
      <c r="H34" s="106" t="str">
        <f>IF(F34="","",G34*F34)</f>
        <v/>
      </c>
    </row>
    <row r="35" spans="1:8" x14ac:dyDescent="0.25">
      <c r="A35" s="113"/>
      <c r="B35" s="100"/>
      <c r="C35" s="107"/>
      <c r="D35" s="108"/>
      <c r="E35" s="107"/>
      <c r="F35" s="109"/>
      <c r="G35" s="105"/>
      <c r="H35" s="106" t="str">
        <f>IF(F35="","",G35*F35)</f>
        <v/>
      </c>
    </row>
    <row r="36" spans="1:8" x14ac:dyDescent="0.25">
      <c r="A36" s="113"/>
      <c r="B36" s="100"/>
      <c r="C36" s="107"/>
      <c r="D36" s="108"/>
      <c r="E36" s="107"/>
      <c r="F36" s="109"/>
      <c r="G36" s="105"/>
      <c r="H36" s="106" t="str">
        <f>IF(F36="","",G36*F36)</f>
        <v/>
      </c>
    </row>
    <row r="37" spans="1:8" x14ac:dyDescent="0.25">
      <c r="A37" s="113">
        <f>+IF(F37&gt;0.01,A34+0.001,A34)</f>
        <v>6.0190000000000063</v>
      </c>
      <c r="B37" s="100" t="str">
        <f t="shared" si="0"/>
        <v/>
      </c>
      <c r="C37" s="107"/>
      <c r="D37" s="108"/>
      <c r="E37" s="107"/>
      <c r="F37" s="109"/>
      <c r="G37" s="105"/>
      <c r="H37" s="106" t="str">
        <f>IF(F37="","",G37*F37)</f>
        <v/>
      </c>
    </row>
    <row r="38" spans="1:8" ht="15.75" thickBot="1" x14ac:dyDescent="0.3">
      <c r="A38" s="113">
        <f t="shared" si="1"/>
        <v>6.0190000000000063</v>
      </c>
      <c r="B38" s="100" t="str">
        <f t="shared" si="0"/>
        <v/>
      </c>
      <c r="C38" s="107"/>
      <c r="D38" s="108"/>
      <c r="E38" s="107"/>
      <c r="F38" s="109"/>
      <c r="G38" s="105"/>
      <c r="H38" s="106"/>
    </row>
    <row r="39" spans="1:8" ht="15.75" thickBot="1" x14ac:dyDescent="0.3">
      <c r="A39" s="113"/>
      <c r="B39" s="173" t="s">
        <v>360</v>
      </c>
      <c r="C39" s="174"/>
      <c r="D39" s="174"/>
      <c r="E39" s="174"/>
      <c r="F39" s="174"/>
      <c r="G39" s="175"/>
      <c r="H39" s="117">
        <f>SUM(H2:H38)</f>
        <v>0</v>
      </c>
    </row>
    <row r="40" spans="1:8" ht="24.75" thickBot="1" x14ac:dyDescent="0.3">
      <c r="A40" s="113"/>
      <c r="B40" s="114" t="s">
        <v>36</v>
      </c>
      <c r="C40" s="97" t="s">
        <v>94</v>
      </c>
      <c r="D40" s="115" t="s">
        <v>38</v>
      </c>
      <c r="E40" s="115" t="s">
        <v>37</v>
      </c>
      <c r="F40" s="115" t="s">
        <v>81</v>
      </c>
      <c r="G40" s="116" t="s">
        <v>86</v>
      </c>
      <c r="H40" s="99" t="s">
        <v>95</v>
      </c>
    </row>
    <row r="41" spans="1:8" ht="15.75" thickBot="1" x14ac:dyDescent="0.3">
      <c r="A41" s="113"/>
      <c r="B41" s="171" t="s">
        <v>361</v>
      </c>
      <c r="C41" s="172"/>
      <c r="D41" s="172"/>
      <c r="E41" s="172"/>
      <c r="F41" s="172"/>
      <c r="G41" s="172"/>
      <c r="H41" s="117">
        <f>H39</f>
        <v>0</v>
      </c>
    </row>
    <row r="42" spans="1:8" x14ac:dyDescent="0.25">
      <c r="A42" s="113">
        <f>+IF(F42&gt;0.01,A38+0.001,A38)</f>
        <v>6.0190000000000063</v>
      </c>
      <c r="B42" s="100" t="str">
        <f t="shared" ref="B42:B94" si="3">+IF(F42&gt;0,A42,"")</f>
        <v/>
      </c>
      <c r="C42" s="118"/>
      <c r="D42" s="118"/>
      <c r="E42" s="118"/>
      <c r="F42" s="118"/>
      <c r="G42" s="118"/>
      <c r="H42" s="119"/>
    </row>
    <row r="43" spans="1:8" ht="67.5" x14ac:dyDescent="0.25">
      <c r="A43" s="113">
        <f t="shared" ref="A43:A60" si="4">+IF(F43&gt;0.01,A42+0.001,A42)</f>
        <v>6.0190000000000063</v>
      </c>
      <c r="B43" s="100" t="str">
        <f t="shared" si="3"/>
        <v/>
      </c>
      <c r="C43" s="107" t="s">
        <v>415</v>
      </c>
      <c r="D43" s="108" t="s">
        <v>359</v>
      </c>
      <c r="E43" s="107"/>
      <c r="F43" s="109"/>
      <c r="G43" s="105"/>
      <c r="H43" s="106" t="str">
        <f t="shared" ref="H43:H61" si="5">IF(F43="","",G43*F43)</f>
        <v/>
      </c>
    </row>
    <row r="44" spans="1:8" x14ac:dyDescent="0.25">
      <c r="A44" s="113">
        <f t="shared" si="4"/>
        <v>6.0190000000000063</v>
      </c>
      <c r="B44" s="100" t="str">
        <f t="shared" si="3"/>
        <v/>
      </c>
      <c r="C44" s="107"/>
      <c r="D44" s="108"/>
      <c r="E44" s="107"/>
      <c r="F44" s="109"/>
      <c r="G44" s="105"/>
      <c r="H44" s="106" t="str">
        <f t="shared" si="5"/>
        <v/>
      </c>
    </row>
    <row r="45" spans="1:8" ht="27" x14ac:dyDescent="0.25">
      <c r="A45" s="113">
        <f t="shared" si="4"/>
        <v>6.0200000000000067</v>
      </c>
      <c r="B45" s="100">
        <f t="shared" si="3"/>
        <v>6.0200000000000067</v>
      </c>
      <c r="C45" s="107" t="s">
        <v>1024</v>
      </c>
      <c r="D45" s="108" t="s">
        <v>899</v>
      </c>
      <c r="E45" s="107" t="s">
        <v>48</v>
      </c>
      <c r="F45" s="109">
        <v>7</v>
      </c>
      <c r="G45" s="105"/>
      <c r="H45" s="106">
        <f t="shared" si="5"/>
        <v>0</v>
      </c>
    </row>
    <row r="46" spans="1:8" ht="27" x14ac:dyDescent="0.25">
      <c r="A46" s="113">
        <f t="shared" si="4"/>
        <v>6.021000000000007</v>
      </c>
      <c r="B46" s="100">
        <f t="shared" si="3"/>
        <v>6.021000000000007</v>
      </c>
      <c r="C46" s="107" t="s">
        <v>1024</v>
      </c>
      <c r="D46" s="108" t="s">
        <v>900</v>
      </c>
      <c r="E46" s="107" t="s">
        <v>48</v>
      </c>
      <c r="F46" s="109">
        <v>6</v>
      </c>
      <c r="G46" s="105"/>
      <c r="H46" s="106">
        <f t="shared" si="5"/>
        <v>0</v>
      </c>
    </row>
    <row r="47" spans="1:8" ht="27" x14ac:dyDescent="0.25">
      <c r="A47" s="113">
        <f t="shared" si="4"/>
        <v>6.0220000000000073</v>
      </c>
      <c r="B47" s="100">
        <f t="shared" si="3"/>
        <v>6.0220000000000073</v>
      </c>
      <c r="C47" s="107" t="s">
        <v>1024</v>
      </c>
      <c r="D47" s="108" t="s">
        <v>901</v>
      </c>
      <c r="E47" s="107" t="s">
        <v>48</v>
      </c>
      <c r="F47" s="109">
        <v>5</v>
      </c>
      <c r="G47" s="105"/>
      <c r="H47" s="106">
        <f t="shared" si="5"/>
        <v>0</v>
      </c>
    </row>
    <row r="48" spans="1:8" ht="27" x14ac:dyDescent="0.25">
      <c r="A48" s="113">
        <f t="shared" si="4"/>
        <v>6.0230000000000077</v>
      </c>
      <c r="B48" s="100">
        <f t="shared" si="3"/>
        <v>6.0230000000000077</v>
      </c>
      <c r="C48" s="107" t="s">
        <v>1024</v>
      </c>
      <c r="D48" s="108" t="s">
        <v>902</v>
      </c>
      <c r="E48" s="107" t="s">
        <v>48</v>
      </c>
      <c r="F48" s="109">
        <v>5</v>
      </c>
      <c r="G48" s="105"/>
      <c r="H48" s="106">
        <f t="shared" si="5"/>
        <v>0</v>
      </c>
    </row>
    <row r="49" spans="1:8" ht="27" x14ac:dyDescent="0.25">
      <c r="A49" s="113">
        <f t="shared" si="4"/>
        <v>6.024000000000008</v>
      </c>
      <c r="B49" s="100">
        <f t="shared" si="3"/>
        <v>6.024000000000008</v>
      </c>
      <c r="C49" s="107" t="s">
        <v>1024</v>
      </c>
      <c r="D49" s="108" t="s">
        <v>909</v>
      </c>
      <c r="E49" s="107" t="s">
        <v>48</v>
      </c>
      <c r="F49" s="109">
        <v>6</v>
      </c>
      <c r="G49" s="105"/>
      <c r="H49" s="106">
        <f t="shared" si="5"/>
        <v>0</v>
      </c>
    </row>
    <row r="50" spans="1:8" ht="27" x14ac:dyDescent="0.25">
      <c r="A50" s="113">
        <f t="shared" si="4"/>
        <v>6.0250000000000083</v>
      </c>
      <c r="B50" s="100">
        <f t="shared" si="3"/>
        <v>6.0250000000000083</v>
      </c>
      <c r="C50" s="107" t="s">
        <v>1024</v>
      </c>
      <c r="D50" s="108" t="s">
        <v>903</v>
      </c>
      <c r="E50" s="107" t="s">
        <v>48</v>
      </c>
      <c r="F50" s="109">
        <v>8</v>
      </c>
      <c r="G50" s="105"/>
      <c r="H50" s="106">
        <f t="shared" si="5"/>
        <v>0</v>
      </c>
    </row>
    <row r="51" spans="1:8" ht="27" x14ac:dyDescent="0.25">
      <c r="A51" s="113">
        <f t="shared" si="4"/>
        <v>6.0260000000000087</v>
      </c>
      <c r="B51" s="100">
        <f t="shared" si="3"/>
        <v>6.0260000000000087</v>
      </c>
      <c r="C51" s="107" t="s">
        <v>1024</v>
      </c>
      <c r="D51" s="108" t="s">
        <v>904</v>
      </c>
      <c r="E51" s="107" t="s">
        <v>48</v>
      </c>
      <c r="F51" s="109">
        <v>7</v>
      </c>
      <c r="G51" s="105"/>
      <c r="H51" s="106">
        <f t="shared" si="5"/>
        <v>0</v>
      </c>
    </row>
    <row r="52" spans="1:8" ht="27" x14ac:dyDescent="0.25">
      <c r="A52" s="113">
        <f t="shared" si="4"/>
        <v>6.027000000000009</v>
      </c>
      <c r="B52" s="100">
        <f t="shared" si="3"/>
        <v>6.027000000000009</v>
      </c>
      <c r="C52" s="107" t="s">
        <v>1024</v>
      </c>
      <c r="D52" s="108" t="s">
        <v>905</v>
      </c>
      <c r="E52" s="107" t="s">
        <v>48</v>
      </c>
      <c r="F52" s="109">
        <v>6</v>
      </c>
      <c r="G52" s="105"/>
      <c r="H52" s="106">
        <f t="shared" si="5"/>
        <v>0</v>
      </c>
    </row>
    <row r="53" spans="1:8" ht="27" x14ac:dyDescent="0.25">
      <c r="A53" s="113">
        <f t="shared" si="4"/>
        <v>6.0280000000000094</v>
      </c>
      <c r="B53" s="100">
        <f t="shared" si="3"/>
        <v>6.0280000000000094</v>
      </c>
      <c r="C53" s="107" t="s">
        <v>1024</v>
      </c>
      <c r="D53" s="108" t="s">
        <v>906</v>
      </c>
      <c r="E53" s="107" t="s">
        <v>48</v>
      </c>
      <c r="F53" s="109">
        <v>5</v>
      </c>
      <c r="G53" s="105"/>
      <c r="H53" s="106">
        <f t="shared" si="5"/>
        <v>0</v>
      </c>
    </row>
    <row r="54" spans="1:8" ht="27" x14ac:dyDescent="0.25">
      <c r="A54" s="113">
        <f t="shared" si="4"/>
        <v>6.0290000000000097</v>
      </c>
      <c r="B54" s="100">
        <f t="shared" si="3"/>
        <v>6.0290000000000097</v>
      </c>
      <c r="C54" s="107" t="s">
        <v>1024</v>
      </c>
      <c r="D54" s="108" t="s">
        <v>907</v>
      </c>
      <c r="E54" s="107" t="s">
        <v>48</v>
      </c>
      <c r="F54" s="109">
        <v>7</v>
      </c>
      <c r="G54" s="105"/>
      <c r="H54" s="106">
        <f t="shared" si="5"/>
        <v>0</v>
      </c>
    </row>
    <row r="55" spans="1:8" ht="27" x14ac:dyDescent="0.25">
      <c r="A55" s="113">
        <f t="shared" si="4"/>
        <v>6.03000000000001</v>
      </c>
      <c r="B55" s="100">
        <f t="shared" si="3"/>
        <v>6.03000000000001</v>
      </c>
      <c r="C55" s="107" t="s">
        <v>1024</v>
      </c>
      <c r="D55" s="108" t="s">
        <v>908</v>
      </c>
      <c r="E55" s="107" t="s">
        <v>48</v>
      </c>
      <c r="F55" s="109">
        <v>7</v>
      </c>
      <c r="G55" s="105"/>
      <c r="H55" s="106">
        <f t="shared" si="5"/>
        <v>0</v>
      </c>
    </row>
    <row r="56" spans="1:8" x14ac:dyDescent="0.25">
      <c r="A56" s="113">
        <f t="shared" si="4"/>
        <v>6.0310000000000104</v>
      </c>
      <c r="B56" s="100">
        <f t="shared" si="3"/>
        <v>6.0310000000000104</v>
      </c>
      <c r="C56" s="107" t="s">
        <v>1053</v>
      </c>
      <c r="D56" s="108" t="s">
        <v>111</v>
      </c>
      <c r="E56" s="107" t="s">
        <v>48</v>
      </c>
      <c r="F56" s="109">
        <v>980</v>
      </c>
      <c r="G56" s="105"/>
      <c r="H56" s="106">
        <f t="shared" si="5"/>
        <v>0</v>
      </c>
    </row>
    <row r="57" spans="1:8" x14ac:dyDescent="0.25">
      <c r="A57" s="113">
        <f t="shared" si="4"/>
        <v>6.0320000000000107</v>
      </c>
      <c r="B57" s="100">
        <f t="shared" si="3"/>
        <v>6.0320000000000107</v>
      </c>
      <c r="C57" s="107" t="s">
        <v>1053</v>
      </c>
      <c r="D57" s="108" t="s">
        <v>910</v>
      </c>
      <c r="E57" s="107" t="s">
        <v>48</v>
      </c>
      <c r="F57" s="109">
        <v>634</v>
      </c>
      <c r="G57" s="105"/>
      <c r="H57" s="106">
        <f t="shared" si="5"/>
        <v>0</v>
      </c>
    </row>
    <row r="58" spans="1:8" x14ac:dyDescent="0.25">
      <c r="A58" s="113">
        <f t="shared" si="4"/>
        <v>6.0320000000000107</v>
      </c>
      <c r="B58" s="100" t="str">
        <f t="shared" si="3"/>
        <v/>
      </c>
      <c r="C58" s="107"/>
      <c r="D58" s="108"/>
      <c r="E58" s="107"/>
      <c r="F58" s="109"/>
      <c r="G58" s="105"/>
      <c r="H58" s="106" t="str">
        <f t="shared" si="5"/>
        <v/>
      </c>
    </row>
    <row r="59" spans="1:8" x14ac:dyDescent="0.25">
      <c r="A59" s="113">
        <f t="shared" si="4"/>
        <v>6.0320000000000107</v>
      </c>
      <c r="B59" s="100" t="str">
        <f t="shared" si="3"/>
        <v/>
      </c>
      <c r="C59" s="107"/>
      <c r="D59" s="108"/>
      <c r="E59" s="107"/>
      <c r="F59" s="109"/>
      <c r="G59" s="105"/>
      <c r="H59" s="106" t="str">
        <f t="shared" si="5"/>
        <v/>
      </c>
    </row>
    <row r="60" spans="1:8" x14ac:dyDescent="0.25">
      <c r="A60" s="113">
        <f t="shared" si="4"/>
        <v>6.0320000000000107</v>
      </c>
      <c r="B60" s="100" t="str">
        <f t="shared" si="3"/>
        <v/>
      </c>
      <c r="C60" s="107"/>
      <c r="D60" s="108"/>
      <c r="E60" s="107"/>
      <c r="F60" s="109"/>
      <c r="G60" s="105"/>
      <c r="H60" s="106" t="str">
        <f t="shared" si="5"/>
        <v/>
      </c>
    </row>
    <row r="61" spans="1:8" x14ac:dyDescent="0.25">
      <c r="A61" s="113">
        <f t="shared" ref="A61:A69" si="6">+IF(F61&gt;0.01,A60+0.001,A60)</f>
        <v>6.0320000000000107</v>
      </c>
      <c r="B61" s="100" t="str">
        <f t="shared" ref="B61:B69" si="7">+IF(F61&gt;0,A61,"")</f>
        <v/>
      </c>
      <c r="C61" s="107"/>
      <c r="D61" s="108"/>
      <c r="E61" s="107"/>
      <c r="F61" s="109"/>
      <c r="G61" s="105"/>
      <c r="H61" s="106" t="str">
        <f t="shared" si="5"/>
        <v/>
      </c>
    </row>
    <row r="62" spans="1:8" x14ac:dyDescent="0.25">
      <c r="A62" s="113">
        <f t="shared" si="6"/>
        <v>6.0320000000000107</v>
      </c>
      <c r="B62" s="100" t="str">
        <f t="shared" si="7"/>
        <v/>
      </c>
      <c r="C62" s="107"/>
      <c r="D62" s="108"/>
      <c r="E62" s="107"/>
      <c r="F62" s="109"/>
      <c r="G62" s="105"/>
      <c r="H62" s="106"/>
    </row>
    <row r="63" spans="1:8" ht="27" x14ac:dyDescent="0.25">
      <c r="A63" s="113">
        <f t="shared" si="6"/>
        <v>6.033000000000011</v>
      </c>
      <c r="B63" s="100">
        <f t="shared" si="7"/>
        <v>6.033000000000011</v>
      </c>
      <c r="C63" s="107" t="s">
        <v>412</v>
      </c>
      <c r="D63" s="108" t="s">
        <v>411</v>
      </c>
      <c r="E63" s="107" t="s">
        <v>48</v>
      </c>
      <c r="F63" s="109">
        <v>60.437158500000002</v>
      </c>
      <c r="G63" s="105"/>
      <c r="H63" s="106">
        <f>IF(F63="","",G63*F63)</f>
        <v>0</v>
      </c>
    </row>
    <row r="64" spans="1:8" x14ac:dyDescent="0.25">
      <c r="A64" s="113">
        <f t="shared" si="6"/>
        <v>6.033000000000011</v>
      </c>
      <c r="B64" s="100" t="str">
        <f t="shared" si="7"/>
        <v/>
      </c>
      <c r="C64" s="107"/>
      <c r="D64" s="108"/>
      <c r="E64" s="107"/>
      <c r="F64" s="109"/>
      <c r="G64" s="105"/>
      <c r="H64" s="106"/>
    </row>
    <row r="65" spans="1:8" ht="27" x14ac:dyDescent="0.25">
      <c r="A65" s="113">
        <f t="shared" si="6"/>
        <v>6.0340000000000114</v>
      </c>
      <c r="B65" s="100">
        <f t="shared" si="7"/>
        <v>6.0340000000000114</v>
      </c>
      <c r="C65" s="107" t="s">
        <v>35</v>
      </c>
      <c r="D65" s="108" t="s">
        <v>90</v>
      </c>
      <c r="E65" s="107" t="s">
        <v>48</v>
      </c>
      <c r="F65" s="109">
        <v>33.059468249999995</v>
      </c>
      <c r="G65" s="105"/>
      <c r="H65" s="106">
        <f>IF(F65="","",G65*F65)</f>
        <v>0</v>
      </c>
    </row>
    <row r="66" spans="1:8" x14ac:dyDescent="0.25">
      <c r="A66" s="113">
        <f t="shared" si="6"/>
        <v>6.0340000000000114</v>
      </c>
      <c r="B66" s="100" t="str">
        <f t="shared" si="7"/>
        <v/>
      </c>
      <c r="C66" s="107"/>
      <c r="D66" s="108"/>
      <c r="E66" s="107"/>
      <c r="F66" s="109"/>
      <c r="G66" s="105"/>
      <c r="H66" s="106"/>
    </row>
    <row r="67" spans="1:8" x14ac:dyDescent="0.25">
      <c r="A67" s="113">
        <f t="shared" si="6"/>
        <v>6.0340000000000114</v>
      </c>
      <c r="B67" s="100" t="str">
        <f t="shared" si="7"/>
        <v/>
      </c>
      <c r="C67" s="107" t="s">
        <v>53</v>
      </c>
      <c r="D67" s="108" t="s">
        <v>911</v>
      </c>
      <c r="E67" s="107"/>
      <c r="F67" s="109"/>
      <c r="G67" s="105"/>
      <c r="H67" s="106" t="str">
        <f>IF(F67="","",G67*F67)</f>
        <v/>
      </c>
    </row>
    <row r="68" spans="1:8" x14ac:dyDescent="0.25">
      <c r="A68" s="113">
        <f t="shared" si="6"/>
        <v>6.0350000000000117</v>
      </c>
      <c r="B68" s="100">
        <f t="shared" si="7"/>
        <v>6.0350000000000117</v>
      </c>
      <c r="C68" s="107"/>
      <c r="D68" s="108" t="s">
        <v>356</v>
      </c>
      <c r="E68" s="107" t="s">
        <v>48</v>
      </c>
      <c r="F68" s="109">
        <v>150</v>
      </c>
      <c r="G68" s="105"/>
      <c r="H68" s="106">
        <f>IF(F68="","",G68*F68)</f>
        <v>0</v>
      </c>
    </row>
    <row r="69" spans="1:8" ht="15.75" thickBot="1" x14ac:dyDescent="0.3">
      <c r="A69" s="113">
        <f t="shared" si="6"/>
        <v>6.0350000000000117</v>
      </c>
      <c r="B69" s="100" t="str">
        <f t="shared" si="7"/>
        <v/>
      </c>
      <c r="C69" s="107"/>
      <c r="D69" s="108"/>
      <c r="E69" s="107"/>
      <c r="F69" s="109"/>
      <c r="G69" s="105"/>
      <c r="H69" s="106"/>
    </row>
    <row r="70" spans="1:8" ht="15.75" thickBot="1" x14ac:dyDescent="0.3">
      <c r="A70" s="113"/>
      <c r="B70" s="173" t="s">
        <v>360</v>
      </c>
      <c r="C70" s="174"/>
      <c r="D70" s="174"/>
      <c r="E70" s="174"/>
      <c r="F70" s="174"/>
      <c r="G70" s="175"/>
      <c r="H70" s="117">
        <f>SUM(H41:H69)</f>
        <v>0</v>
      </c>
    </row>
    <row r="71" spans="1:8" ht="24.75" thickBot="1" x14ac:dyDescent="0.3">
      <c r="A71" s="113"/>
      <c r="B71" s="114" t="s">
        <v>36</v>
      </c>
      <c r="C71" s="97" t="s">
        <v>94</v>
      </c>
      <c r="D71" s="115" t="s">
        <v>38</v>
      </c>
      <c r="E71" s="115" t="s">
        <v>37</v>
      </c>
      <c r="F71" s="115" t="s">
        <v>81</v>
      </c>
      <c r="G71" s="116" t="s">
        <v>86</v>
      </c>
      <c r="H71" s="99" t="s">
        <v>95</v>
      </c>
    </row>
    <row r="72" spans="1:8" ht="15.75" thickBot="1" x14ac:dyDescent="0.3">
      <c r="A72" s="113"/>
      <c r="B72" s="171" t="s">
        <v>361</v>
      </c>
      <c r="C72" s="172"/>
      <c r="D72" s="172"/>
      <c r="E72" s="172"/>
      <c r="F72" s="172"/>
      <c r="G72" s="172"/>
      <c r="H72" s="117">
        <f>H70</f>
        <v>0</v>
      </c>
    </row>
    <row r="73" spans="1:8" ht="14.25" customHeight="1" x14ac:dyDescent="0.25">
      <c r="A73" s="113"/>
      <c r="B73" s="100"/>
      <c r="C73" s="107"/>
      <c r="D73" s="108"/>
      <c r="E73" s="107"/>
      <c r="F73" s="109"/>
      <c r="G73" s="105"/>
      <c r="H73" s="106"/>
    </row>
    <row r="74" spans="1:8" ht="108" x14ac:dyDescent="0.25">
      <c r="A74" s="113">
        <f>+IF(F74&gt;0.01,A69+0.001,A69)</f>
        <v>6.0350000000000117</v>
      </c>
      <c r="B74" s="100" t="str">
        <f t="shared" si="3"/>
        <v/>
      </c>
      <c r="C74" s="107" t="s">
        <v>417</v>
      </c>
      <c r="D74" s="108" t="s">
        <v>191</v>
      </c>
      <c r="E74" s="107"/>
      <c r="F74" s="109"/>
      <c r="G74" s="105"/>
      <c r="H74" s="106" t="str">
        <f t="shared" ref="H74:H93" si="8">IF(F74="","",G74*F74)</f>
        <v/>
      </c>
    </row>
    <row r="75" spans="1:8" x14ac:dyDescent="0.25">
      <c r="A75" s="113">
        <f>+IF(F75&gt;0.01,A74+0.001,A74)</f>
        <v>6.036000000000012</v>
      </c>
      <c r="B75" s="100">
        <f t="shared" si="3"/>
        <v>6.036000000000012</v>
      </c>
      <c r="C75" s="107" t="s">
        <v>1053</v>
      </c>
      <c r="D75" s="108" t="s">
        <v>105</v>
      </c>
      <c r="E75" s="107" t="s">
        <v>48</v>
      </c>
      <c r="F75" s="109">
        <v>215</v>
      </c>
      <c r="G75" s="105"/>
      <c r="H75" s="106">
        <f t="shared" si="8"/>
        <v>0</v>
      </c>
    </row>
    <row r="76" spans="1:8" x14ac:dyDescent="0.25">
      <c r="A76" s="113">
        <f t="shared" ref="A76:A136" si="9">+IF(F76&gt;0.01,A75+0.001,A75)</f>
        <v>6.0370000000000124</v>
      </c>
      <c r="B76" s="100">
        <f t="shared" si="3"/>
        <v>6.0370000000000124</v>
      </c>
      <c r="C76" s="107" t="s">
        <v>1053</v>
      </c>
      <c r="D76" s="108" t="s">
        <v>106</v>
      </c>
      <c r="E76" s="107" t="s">
        <v>48</v>
      </c>
      <c r="F76" s="109">
        <v>15</v>
      </c>
      <c r="G76" s="105"/>
      <c r="H76" s="106">
        <f t="shared" si="8"/>
        <v>0</v>
      </c>
    </row>
    <row r="77" spans="1:8" ht="27" x14ac:dyDescent="0.25">
      <c r="A77" s="113">
        <f t="shared" si="9"/>
        <v>6.0380000000000127</v>
      </c>
      <c r="B77" s="100">
        <f t="shared" si="3"/>
        <v>6.0380000000000127</v>
      </c>
      <c r="C77" s="107" t="s">
        <v>1023</v>
      </c>
      <c r="D77" s="108" t="s">
        <v>339</v>
      </c>
      <c r="E77" s="107" t="s">
        <v>48</v>
      </c>
      <c r="F77" s="109">
        <v>12.734999999999999</v>
      </c>
      <c r="G77" s="105"/>
      <c r="H77" s="106">
        <f t="shared" si="8"/>
        <v>0</v>
      </c>
    </row>
    <row r="78" spans="1:8" x14ac:dyDescent="0.25">
      <c r="A78" s="113">
        <f t="shared" si="9"/>
        <v>6.039000000000013</v>
      </c>
      <c r="B78" s="100">
        <f t="shared" si="3"/>
        <v>6.039000000000013</v>
      </c>
      <c r="C78" s="107" t="s">
        <v>1053</v>
      </c>
      <c r="D78" s="108" t="s">
        <v>107</v>
      </c>
      <c r="E78" s="107" t="s">
        <v>48</v>
      </c>
      <c r="F78" s="109">
        <v>12.538500000000001</v>
      </c>
      <c r="G78" s="105"/>
      <c r="H78" s="106">
        <f t="shared" si="8"/>
        <v>0</v>
      </c>
    </row>
    <row r="79" spans="1:8" x14ac:dyDescent="0.25">
      <c r="A79" s="113">
        <f>+IF(F79&gt;0.01,A78+0.001,A78)</f>
        <v>6.039000000000013</v>
      </c>
      <c r="B79" s="100" t="str">
        <f>+IF(F79&gt;0,A79,"")</f>
        <v/>
      </c>
      <c r="C79" s="107"/>
      <c r="D79" s="108"/>
      <c r="E79" s="107"/>
      <c r="F79" s="109"/>
      <c r="G79" s="105"/>
      <c r="H79" s="106" t="str">
        <f t="shared" si="8"/>
        <v/>
      </c>
    </row>
    <row r="80" spans="1:8" x14ac:dyDescent="0.25">
      <c r="A80" s="113">
        <f>+IF(F80&gt;0.01,A79+0.001,A79)</f>
        <v>6.0400000000000134</v>
      </c>
      <c r="B80" s="100">
        <f>+IF(F80&gt;0,A80,"")</f>
        <v>6.0400000000000134</v>
      </c>
      <c r="C80" s="107" t="s">
        <v>1053</v>
      </c>
      <c r="D80" s="108" t="s">
        <v>348</v>
      </c>
      <c r="E80" s="107" t="s">
        <v>48</v>
      </c>
      <c r="F80" s="109">
        <v>64.842659999999995</v>
      </c>
      <c r="G80" s="105"/>
      <c r="H80" s="106">
        <f t="shared" si="8"/>
        <v>0</v>
      </c>
    </row>
    <row r="81" spans="1:8" x14ac:dyDescent="0.25">
      <c r="A81" s="113">
        <f t="shared" si="9"/>
        <v>6.0400000000000134</v>
      </c>
      <c r="B81" s="100" t="str">
        <f t="shared" si="3"/>
        <v/>
      </c>
      <c r="C81" s="107"/>
      <c r="D81" s="108"/>
      <c r="E81" s="107"/>
      <c r="F81" s="109"/>
      <c r="G81" s="105"/>
      <c r="H81" s="106" t="str">
        <f t="shared" si="8"/>
        <v/>
      </c>
    </row>
    <row r="82" spans="1:8" x14ac:dyDescent="0.25">
      <c r="A82" s="113">
        <f t="shared" si="9"/>
        <v>6.0410000000000137</v>
      </c>
      <c r="B82" s="100">
        <f t="shared" si="3"/>
        <v>6.0410000000000137</v>
      </c>
      <c r="C82" s="107" t="s">
        <v>1053</v>
      </c>
      <c r="D82" s="108" t="s">
        <v>109</v>
      </c>
      <c r="E82" s="107" t="s">
        <v>48</v>
      </c>
      <c r="F82" s="109">
        <v>111.91475</v>
      </c>
      <c r="G82" s="105"/>
      <c r="H82" s="106">
        <f t="shared" si="8"/>
        <v>0</v>
      </c>
    </row>
    <row r="83" spans="1:8" x14ac:dyDescent="0.25">
      <c r="A83" s="113">
        <f t="shared" si="9"/>
        <v>6.042000000000014</v>
      </c>
      <c r="B83" s="100">
        <f t="shared" si="3"/>
        <v>6.042000000000014</v>
      </c>
      <c r="C83" s="107" t="s">
        <v>1053</v>
      </c>
      <c r="D83" s="108" t="s">
        <v>912</v>
      </c>
      <c r="E83" s="107" t="s">
        <v>48</v>
      </c>
      <c r="F83" s="109">
        <v>2260</v>
      </c>
      <c r="G83" s="105"/>
      <c r="H83" s="106">
        <f t="shared" si="8"/>
        <v>0</v>
      </c>
    </row>
    <row r="84" spans="1:8" x14ac:dyDescent="0.25">
      <c r="A84" s="113">
        <f t="shared" si="9"/>
        <v>6.0430000000000144</v>
      </c>
      <c r="B84" s="100">
        <f t="shared" si="3"/>
        <v>6.0430000000000144</v>
      </c>
      <c r="C84" s="107" t="s">
        <v>1053</v>
      </c>
      <c r="D84" s="108" t="s">
        <v>111</v>
      </c>
      <c r="E84" s="107" t="s">
        <v>48</v>
      </c>
      <c r="F84" s="109">
        <v>3200</v>
      </c>
      <c r="G84" s="105"/>
      <c r="H84" s="106">
        <f t="shared" si="8"/>
        <v>0</v>
      </c>
    </row>
    <row r="85" spans="1:8" x14ac:dyDescent="0.25">
      <c r="A85" s="113">
        <f t="shared" si="9"/>
        <v>6.0430000000000144</v>
      </c>
      <c r="B85" s="100" t="str">
        <f t="shared" si="3"/>
        <v/>
      </c>
      <c r="C85" s="107"/>
      <c r="D85" s="108"/>
      <c r="E85" s="107"/>
      <c r="F85" s="109"/>
      <c r="G85" s="105"/>
      <c r="H85" s="106" t="str">
        <f t="shared" si="8"/>
        <v/>
      </c>
    </row>
    <row r="86" spans="1:8" ht="67.5" x14ac:dyDescent="0.25">
      <c r="A86" s="113">
        <f t="shared" si="9"/>
        <v>6.0430000000000144</v>
      </c>
      <c r="B86" s="100" t="str">
        <f t="shared" si="3"/>
        <v/>
      </c>
      <c r="C86" s="107" t="s">
        <v>39</v>
      </c>
      <c r="D86" s="108" t="s">
        <v>247</v>
      </c>
      <c r="E86" s="107"/>
      <c r="F86" s="109"/>
      <c r="G86" s="105"/>
      <c r="H86" s="106" t="str">
        <f t="shared" si="8"/>
        <v/>
      </c>
    </row>
    <row r="87" spans="1:8" x14ac:dyDescent="0.25">
      <c r="A87" s="113">
        <f t="shared" si="9"/>
        <v>6.0440000000000147</v>
      </c>
      <c r="B87" s="100">
        <f t="shared" si="3"/>
        <v>6.0440000000000147</v>
      </c>
      <c r="C87" s="107" t="s">
        <v>1053</v>
      </c>
      <c r="D87" s="108" t="s">
        <v>105</v>
      </c>
      <c r="E87" s="107" t="s">
        <v>47</v>
      </c>
      <c r="F87" s="109">
        <v>1148.9399859945099</v>
      </c>
      <c r="G87" s="105"/>
      <c r="H87" s="106">
        <f t="shared" si="8"/>
        <v>0</v>
      </c>
    </row>
    <row r="88" spans="1:8" x14ac:dyDescent="0.25">
      <c r="A88" s="113">
        <f t="shared" si="9"/>
        <v>6.045000000000015</v>
      </c>
      <c r="B88" s="100">
        <f t="shared" si="3"/>
        <v>6.045000000000015</v>
      </c>
      <c r="C88" s="107" t="s">
        <v>1053</v>
      </c>
      <c r="D88" s="108" t="s">
        <v>106</v>
      </c>
      <c r="E88" s="107" t="s">
        <v>47</v>
      </c>
      <c r="F88" s="109">
        <v>85.816653826391999</v>
      </c>
      <c r="G88" s="105"/>
      <c r="H88" s="106">
        <f t="shared" si="8"/>
        <v>0</v>
      </c>
    </row>
    <row r="89" spans="1:8" ht="27" x14ac:dyDescent="0.25">
      <c r="A89" s="113">
        <f t="shared" si="9"/>
        <v>6.0460000000000154</v>
      </c>
      <c r="B89" s="100">
        <f t="shared" si="3"/>
        <v>6.0460000000000154</v>
      </c>
      <c r="C89" s="107" t="s">
        <v>1023</v>
      </c>
      <c r="D89" s="108" t="s">
        <v>339</v>
      </c>
      <c r="E89" s="107" t="s">
        <v>47</v>
      </c>
      <c r="F89" s="109">
        <v>23.2</v>
      </c>
      <c r="G89" s="105"/>
      <c r="H89" s="106">
        <f t="shared" si="8"/>
        <v>0</v>
      </c>
    </row>
    <row r="90" spans="1:8" x14ac:dyDescent="0.25">
      <c r="A90" s="113">
        <f t="shared" si="9"/>
        <v>6.0470000000000157</v>
      </c>
      <c r="B90" s="100">
        <f t="shared" si="3"/>
        <v>6.0470000000000157</v>
      </c>
      <c r="C90" s="107" t="s">
        <v>1053</v>
      </c>
      <c r="D90" s="108" t="s">
        <v>107</v>
      </c>
      <c r="E90" s="107" t="s">
        <v>47</v>
      </c>
      <c r="F90" s="109">
        <v>78.571670860393297</v>
      </c>
      <c r="G90" s="105"/>
      <c r="H90" s="106">
        <f t="shared" si="8"/>
        <v>0</v>
      </c>
    </row>
    <row r="91" spans="1:8" x14ac:dyDescent="0.25">
      <c r="A91" s="113">
        <f t="shared" si="9"/>
        <v>6.048000000000016</v>
      </c>
      <c r="B91" s="100">
        <f t="shared" si="3"/>
        <v>6.048000000000016</v>
      </c>
      <c r="C91" s="107" t="s">
        <v>1025</v>
      </c>
      <c r="D91" s="108" t="s">
        <v>108</v>
      </c>
      <c r="E91" s="107" t="s">
        <v>47</v>
      </c>
      <c r="F91" s="109">
        <v>1020.985</v>
      </c>
      <c r="G91" s="105"/>
      <c r="H91" s="106">
        <f t="shared" si="8"/>
        <v>0</v>
      </c>
    </row>
    <row r="92" spans="1:8" x14ac:dyDescent="0.25">
      <c r="A92" s="113">
        <f t="shared" si="9"/>
        <v>6.0490000000000164</v>
      </c>
      <c r="B92" s="100">
        <f t="shared" si="3"/>
        <v>6.0490000000000164</v>
      </c>
      <c r="C92" s="107" t="s">
        <v>1053</v>
      </c>
      <c r="D92" s="108" t="s">
        <v>348</v>
      </c>
      <c r="E92" s="107" t="s">
        <v>47</v>
      </c>
      <c r="F92" s="109">
        <v>278.71659832128802</v>
      </c>
      <c r="G92" s="105"/>
      <c r="H92" s="106">
        <f t="shared" si="8"/>
        <v>0</v>
      </c>
    </row>
    <row r="93" spans="1:8" x14ac:dyDescent="0.25">
      <c r="A93" s="113">
        <f t="shared" si="9"/>
        <v>6.0500000000000167</v>
      </c>
      <c r="B93" s="100">
        <f t="shared" si="3"/>
        <v>6.0500000000000167</v>
      </c>
      <c r="C93" s="107" t="s">
        <v>1053</v>
      </c>
      <c r="D93" s="108" t="s">
        <v>910</v>
      </c>
      <c r="E93" s="107" t="s">
        <v>47</v>
      </c>
      <c r="F93" s="109">
        <v>4680</v>
      </c>
      <c r="G93" s="105"/>
      <c r="H93" s="106">
        <f t="shared" si="8"/>
        <v>0</v>
      </c>
    </row>
    <row r="94" spans="1:8" x14ac:dyDescent="0.25">
      <c r="A94" s="113">
        <f t="shared" si="9"/>
        <v>6.051000000000017</v>
      </c>
      <c r="B94" s="100">
        <f t="shared" si="3"/>
        <v>6.051000000000017</v>
      </c>
      <c r="C94" s="107" t="s">
        <v>1053</v>
      </c>
      <c r="D94" s="108" t="s">
        <v>109</v>
      </c>
      <c r="E94" s="107" t="s">
        <v>47</v>
      </c>
      <c r="F94" s="109">
        <v>332.18699875976</v>
      </c>
      <c r="G94" s="105"/>
      <c r="H94" s="106"/>
    </row>
    <row r="95" spans="1:8" x14ac:dyDescent="0.25">
      <c r="A95" s="113">
        <f t="shared" ref="A95:A99" si="10">+IF(F95&gt;0.01,A94+0.001,A94)</f>
        <v>6.0520000000000174</v>
      </c>
      <c r="B95" s="100">
        <f t="shared" ref="B95:B99" si="11">+IF(F95&gt;0,A95,"")</f>
        <v>6.0520000000000174</v>
      </c>
      <c r="C95" s="107" t="s">
        <v>1055</v>
      </c>
      <c r="D95" s="108" t="s">
        <v>110</v>
      </c>
      <c r="E95" s="107" t="s">
        <v>47</v>
      </c>
      <c r="F95" s="109">
        <v>619.28940112107398</v>
      </c>
      <c r="G95" s="105"/>
      <c r="H95" s="106"/>
    </row>
    <row r="96" spans="1:8" x14ac:dyDescent="0.25">
      <c r="A96" s="113">
        <f t="shared" si="10"/>
        <v>6.0530000000000177</v>
      </c>
      <c r="B96" s="100">
        <f t="shared" si="11"/>
        <v>6.0530000000000177</v>
      </c>
      <c r="C96" s="107" t="s">
        <v>1053</v>
      </c>
      <c r="D96" s="108" t="s">
        <v>111</v>
      </c>
      <c r="E96" s="107" t="s">
        <v>47</v>
      </c>
      <c r="F96" s="109">
        <v>3846.97837810187</v>
      </c>
      <c r="G96" s="105"/>
      <c r="H96" s="106"/>
    </row>
    <row r="97" spans="1:8" x14ac:dyDescent="0.25">
      <c r="A97" s="113">
        <f t="shared" si="10"/>
        <v>6.0530000000000177</v>
      </c>
      <c r="B97" s="100" t="str">
        <f t="shared" si="11"/>
        <v/>
      </c>
      <c r="C97" s="107"/>
      <c r="D97" s="108"/>
      <c r="E97" s="107"/>
      <c r="F97" s="109"/>
      <c r="G97" s="105"/>
      <c r="H97" s="106"/>
    </row>
    <row r="98" spans="1:8" x14ac:dyDescent="0.25">
      <c r="A98" s="113">
        <f t="shared" si="10"/>
        <v>6.0530000000000177</v>
      </c>
      <c r="B98" s="100" t="str">
        <f t="shared" si="11"/>
        <v/>
      </c>
      <c r="C98" s="107"/>
      <c r="D98" s="108"/>
      <c r="E98" s="107"/>
      <c r="F98" s="109"/>
      <c r="G98" s="105"/>
      <c r="H98" s="106"/>
    </row>
    <row r="99" spans="1:8" x14ac:dyDescent="0.25">
      <c r="A99" s="113">
        <f t="shared" si="10"/>
        <v>6.0530000000000177</v>
      </c>
      <c r="B99" s="100" t="str">
        <f t="shared" si="11"/>
        <v/>
      </c>
      <c r="C99" s="107"/>
      <c r="D99" s="108"/>
      <c r="E99" s="107"/>
      <c r="F99" s="109"/>
      <c r="G99" s="105"/>
      <c r="H99" s="106"/>
    </row>
    <row r="100" spans="1:8" x14ac:dyDescent="0.25">
      <c r="A100" s="113">
        <f t="shared" ref="A100:A103" si="12">+IF(F100&gt;0.01,A99+0.001,A99)</f>
        <v>6.0530000000000177</v>
      </c>
      <c r="B100" s="100" t="str">
        <f t="shared" ref="B100:B103" si="13">+IF(F100&gt;0,A100,"")</f>
        <v/>
      </c>
      <c r="C100" s="107"/>
      <c r="D100" s="108"/>
      <c r="E100" s="107"/>
      <c r="F100" s="109"/>
      <c r="G100" s="105"/>
      <c r="H100" s="106"/>
    </row>
    <row r="101" spans="1:8" x14ac:dyDescent="0.25">
      <c r="A101" s="113">
        <f t="shared" si="12"/>
        <v>6.0530000000000177</v>
      </c>
      <c r="B101" s="100" t="str">
        <f t="shared" si="13"/>
        <v/>
      </c>
      <c r="C101" s="107"/>
      <c r="D101" s="108"/>
      <c r="E101" s="107"/>
      <c r="F101" s="109"/>
      <c r="G101" s="105"/>
      <c r="H101" s="106"/>
    </row>
    <row r="102" spans="1:8" x14ac:dyDescent="0.25">
      <c r="A102" s="113">
        <f t="shared" si="12"/>
        <v>6.0530000000000177</v>
      </c>
      <c r="B102" s="100" t="str">
        <f t="shared" si="13"/>
        <v/>
      </c>
      <c r="C102" s="107"/>
      <c r="D102" s="108"/>
      <c r="E102" s="107"/>
      <c r="F102" s="109"/>
      <c r="G102" s="105"/>
      <c r="H102" s="106"/>
    </row>
    <row r="103" spans="1:8" ht="15.75" thickBot="1" x14ac:dyDescent="0.3">
      <c r="A103" s="113">
        <f t="shared" si="12"/>
        <v>6.0530000000000177</v>
      </c>
      <c r="B103" s="100" t="str">
        <f t="shared" si="13"/>
        <v/>
      </c>
      <c r="C103" s="107"/>
      <c r="D103" s="108"/>
      <c r="E103" s="107"/>
      <c r="F103" s="109"/>
      <c r="G103" s="105"/>
      <c r="H103" s="106"/>
    </row>
    <row r="104" spans="1:8" ht="15.75" thickBot="1" x14ac:dyDescent="0.3">
      <c r="A104" s="113"/>
      <c r="B104" s="173" t="s">
        <v>360</v>
      </c>
      <c r="C104" s="174"/>
      <c r="D104" s="174"/>
      <c r="E104" s="174"/>
      <c r="F104" s="174"/>
      <c r="G104" s="175"/>
      <c r="H104" s="117">
        <f>SUM(H72:H103)</f>
        <v>0</v>
      </c>
    </row>
    <row r="105" spans="1:8" ht="24.75" thickBot="1" x14ac:dyDescent="0.3">
      <c r="A105" s="113"/>
      <c r="B105" s="114" t="s">
        <v>36</v>
      </c>
      <c r="C105" s="97" t="s">
        <v>94</v>
      </c>
      <c r="D105" s="115" t="s">
        <v>38</v>
      </c>
      <c r="E105" s="115" t="s">
        <v>37</v>
      </c>
      <c r="F105" s="115" t="s">
        <v>81</v>
      </c>
      <c r="G105" s="116" t="s">
        <v>86</v>
      </c>
      <c r="H105" s="99" t="s">
        <v>95</v>
      </c>
    </row>
    <row r="106" spans="1:8" ht="15.75" thickBot="1" x14ac:dyDescent="0.3">
      <c r="A106" s="113"/>
      <c r="B106" s="171" t="s">
        <v>361</v>
      </c>
      <c r="C106" s="172"/>
      <c r="D106" s="172"/>
      <c r="E106" s="172"/>
      <c r="F106" s="172"/>
      <c r="G106" s="172"/>
      <c r="H106" s="117">
        <f>H104</f>
        <v>0</v>
      </c>
    </row>
    <row r="107" spans="1:8" x14ac:dyDescent="0.25">
      <c r="A107" s="113"/>
      <c r="B107" s="100"/>
      <c r="C107" s="107"/>
      <c r="D107" s="108"/>
      <c r="E107" s="107"/>
      <c r="F107" s="109"/>
      <c r="G107" s="105"/>
      <c r="H107" s="106"/>
    </row>
    <row r="108" spans="1:8" ht="75" customHeight="1" x14ac:dyDescent="0.25">
      <c r="A108" s="113">
        <f>+IF(F108&gt;0.01,A103+0.001,A103)</f>
        <v>6.0530000000000177</v>
      </c>
      <c r="B108" s="100" t="str">
        <f t="shared" ref="B108:B136" si="14">+IF(F108&gt;0,A108,"")</f>
        <v/>
      </c>
      <c r="C108" s="107" t="s">
        <v>414</v>
      </c>
      <c r="D108" s="108" t="s">
        <v>192</v>
      </c>
      <c r="E108" s="107"/>
      <c r="F108" s="109"/>
      <c r="G108" s="105"/>
      <c r="H108" s="106" t="str">
        <f t="shared" ref="H108:H132" si="15">IF(F108="","",G108*F108)</f>
        <v/>
      </c>
    </row>
    <row r="109" spans="1:8" x14ac:dyDescent="0.25">
      <c r="A109" s="113">
        <f t="shared" si="9"/>
        <v>6.054000000000018</v>
      </c>
      <c r="B109" s="100">
        <f t="shared" si="14"/>
        <v>6.054000000000018</v>
      </c>
      <c r="C109" s="107" t="s">
        <v>1023</v>
      </c>
      <c r="D109" s="108" t="s">
        <v>358</v>
      </c>
      <c r="E109" s="107" t="s">
        <v>47</v>
      </c>
      <c r="F109" s="109">
        <v>23.2</v>
      </c>
      <c r="G109" s="105"/>
      <c r="H109" s="106">
        <f t="shared" si="15"/>
        <v>0</v>
      </c>
    </row>
    <row r="110" spans="1:8" x14ac:dyDescent="0.25">
      <c r="A110" s="113">
        <f t="shared" si="9"/>
        <v>6.0550000000000184</v>
      </c>
      <c r="B110" s="100">
        <f t="shared" si="14"/>
        <v>6.0550000000000184</v>
      </c>
      <c r="C110" s="107" t="s">
        <v>1053</v>
      </c>
      <c r="D110" s="108" t="s">
        <v>913</v>
      </c>
      <c r="E110" s="107" t="s">
        <v>47</v>
      </c>
      <c r="F110" s="109">
        <v>79</v>
      </c>
      <c r="G110" s="105"/>
      <c r="H110" s="106">
        <f t="shared" si="15"/>
        <v>0</v>
      </c>
    </row>
    <row r="111" spans="1:8" x14ac:dyDescent="0.25">
      <c r="A111" s="113">
        <f t="shared" si="9"/>
        <v>6.0560000000000187</v>
      </c>
      <c r="B111" s="100">
        <f t="shared" si="14"/>
        <v>6.0560000000000187</v>
      </c>
      <c r="C111" s="107" t="s">
        <v>1025</v>
      </c>
      <c r="D111" s="108" t="s">
        <v>356</v>
      </c>
      <c r="E111" s="107" t="s">
        <v>47</v>
      </c>
      <c r="F111" s="109">
        <v>1021</v>
      </c>
      <c r="G111" s="105"/>
      <c r="H111" s="106">
        <f t="shared" si="15"/>
        <v>0</v>
      </c>
    </row>
    <row r="112" spans="1:8" x14ac:dyDescent="0.25">
      <c r="A112" s="113">
        <f t="shared" si="9"/>
        <v>6.057000000000019</v>
      </c>
      <c r="B112" s="100">
        <f t="shared" si="14"/>
        <v>6.057000000000019</v>
      </c>
      <c r="C112" s="107" t="s">
        <v>1053</v>
      </c>
      <c r="D112" s="108" t="s">
        <v>348</v>
      </c>
      <c r="E112" s="107" t="s">
        <v>47</v>
      </c>
      <c r="F112" s="109">
        <v>278.71659832128802</v>
      </c>
      <c r="G112" s="105"/>
      <c r="H112" s="106">
        <f t="shared" si="15"/>
        <v>0</v>
      </c>
    </row>
    <row r="113" spans="1:8" x14ac:dyDescent="0.25">
      <c r="A113" s="113">
        <f t="shared" si="9"/>
        <v>6.0580000000000194</v>
      </c>
      <c r="B113" s="100">
        <f t="shared" si="14"/>
        <v>6.0580000000000194</v>
      </c>
      <c r="C113" s="107" t="s">
        <v>1053</v>
      </c>
      <c r="D113" s="108" t="s">
        <v>914</v>
      </c>
      <c r="E113" s="107" t="s">
        <v>47</v>
      </c>
      <c r="F113" s="109">
        <v>4680</v>
      </c>
      <c r="G113" s="105"/>
      <c r="H113" s="106">
        <f t="shared" si="15"/>
        <v>0</v>
      </c>
    </row>
    <row r="114" spans="1:8" x14ac:dyDescent="0.25">
      <c r="A114" s="113">
        <f t="shared" si="9"/>
        <v>6.0590000000000197</v>
      </c>
      <c r="B114" s="100">
        <f t="shared" si="14"/>
        <v>6.0590000000000197</v>
      </c>
      <c r="C114" s="107" t="s">
        <v>1053</v>
      </c>
      <c r="D114" s="108" t="s">
        <v>109</v>
      </c>
      <c r="E114" s="107" t="s">
        <v>47</v>
      </c>
      <c r="F114" s="109">
        <v>332.18699875976</v>
      </c>
      <c r="G114" s="105"/>
      <c r="H114" s="106">
        <f t="shared" si="15"/>
        <v>0</v>
      </c>
    </row>
    <row r="115" spans="1:8" x14ac:dyDescent="0.25">
      <c r="A115" s="113">
        <f t="shared" si="9"/>
        <v>6.06000000000002</v>
      </c>
      <c r="B115" s="100">
        <f t="shared" si="14"/>
        <v>6.06000000000002</v>
      </c>
      <c r="C115" s="107" t="s">
        <v>1055</v>
      </c>
      <c r="D115" s="108" t="s">
        <v>110</v>
      </c>
      <c r="E115" s="107" t="s">
        <v>47</v>
      </c>
      <c r="F115" s="109">
        <v>619.28940112107398</v>
      </c>
      <c r="G115" s="105"/>
      <c r="H115" s="106">
        <f t="shared" si="15"/>
        <v>0</v>
      </c>
    </row>
    <row r="116" spans="1:8" x14ac:dyDescent="0.25">
      <c r="A116" s="113">
        <f t="shared" si="9"/>
        <v>6.0610000000000204</v>
      </c>
      <c r="B116" s="100">
        <f t="shared" si="14"/>
        <v>6.0610000000000204</v>
      </c>
      <c r="C116" s="107" t="s">
        <v>1053</v>
      </c>
      <c r="D116" s="108" t="s">
        <v>111</v>
      </c>
      <c r="E116" s="107" t="s">
        <v>47</v>
      </c>
      <c r="F116" s="109">
        <v>3846.97837810187</v>
      </c>
      <c r="G116" s="105"/>
      <c r="H116" s="106">
        <f t="shared" si="15"/>
        <v>0</v>
      </c>
    </row>
    <row r="117" spans="1:8" x14ac:dyDescent="0.25">
      <c r="A117" s="113">
        <f t="shared" si="9"/>
        <v>6.0620000000000207</v>
      </c>
      <c r="B117" s="100">
        <f t="shared" si="14"/>
        <v>6.0620000000000207</v>
      </c>
      <c r="C117" s="107" t="s">
        <v>1025</v>
      </c>
      <c r="D117" s="108" t="s">
        <v>356</v>
      </c>
      <c r="E117" s="107" t="s">
        <v>47</v>
      </c>
      <c r="F117" s="109">
        <v>1021</v>
      </c>
      <c r="G117" s="105"/>
      <c r="H117" s="106">
        <f t="shared" si="15"/>
        <v>0</v>
      </c>
    </row>
    <row r="118" spans="1:8" x14ac:dyDescent="0.25">
      <c r="A118" s="113">
        <f t="shared" si="9"/>
        <v>6.063000000000021</v>
      </c>
      <c r="B118" s="100">
        <f t="shared" si="14"/>
        <v>6.063000000000021</v>
      </c>
      <c r="C118" s="107" t="s">
        <v>1053</v>
      </c>
      <c r="D118" s="108" t="s">
        <v>348</v>
      </c>
      <c r="E118" s="107" t="s">
        <v>47</v>
      </c>
      <c r="F118" s="109">
        <v>278.71659832128802</v>
      </c>
      <c r="G118" s="105"/>
      <c r="H118" s="106">
        <f t="shared" si="15"/>
        <v>0</v>
      </c>
    </row>
    <row r="119" spans="1:8" x14ac:dyDescent="0.25">
      <c r="A119" s="113">
        <f t="shared" si="9"/>
        <v>6.0640000000000214</v>
      </c>
      <c r="B119" s="100">
        <f t="shared" si="14"/>
        <v>6.0640000000000214</v>
      </c>
      <c r="C119" s="107" t="s">
        <v>1053</v>
      </c>
      <c r="D119" s="108" t="s">
        <v>914</v>
      </c>
      <c r="E119" s="107" t="s">
        <v>47</v>
      </c>
      <c r="F119" s="109">
        <v>4680</v>
      </c>
      <c r="G119" s="105"/>
      <c r="H119" s="106">
        <f t="shared" si="15"/>
        <v>0</v>
      </c>
    </row>
    <row r="120" spans="1:8" x14ac:dyDescent="0.25">
      <c r="A120" s="113">
        <f t="shared" si="9"/>
        <v>6.0650000000000217</v>
      </c>
      <c r="B120" s="100">
        <f t="shared" si="14"/>
        <v>6.0650000000000217</v>
      </c>
      <c r="C120" s="107" t="s">
        <v>1053</v>
      </c>
      <c r="D120" s="108" t="s">
        <v>109</v>
      </c>
      <c r="E120" s="107" t="s">
        <v>47</v>
      </c>
      <c r="F120" s="109">
        <v>332.18699875976</v>
      </c>
      <c r="G120" s="105"/>
      <c r="H120" s="106">
        <f t="shared" si="15"/>
        <v>0</v>
      </c>
    </row>
    <row r="121" spans="1:8" x14ac:dyDescent="0.25">
      <c r="A121" s="113">
        <f t="shared" si="9"/>
        <v>6.066000000000022</v>
      </c>
      <c r="B121" s="100">
        <f t="shared" si="14"/>
        <v>6.066000000000022</v>
      </c>
      <c r="C121" s="107" t="s">
        <v>1055</v>
      </c>
      <c r="D121" s="108" t="s">
        <v>110</v>
      </c>
      <c r="E121" s="107" t="s">
        <v>47</v>
      </c>
      <c r="F121" s="109">
        <v>619.28940112107398</v>
      </c>
      <c r="G121" s="105"/>
      <c r="H121" s="106">
        <f t="shared" si="15"/>
        <v>0</v>
      </c>
    </row>
    <row r="122" spans="1:8" x14ac:dyDescent="0.25">
      <c r="A122" s="113">
        <f t="shared" si="9"/>
        <v>6.0670000000000224</v>
      </c>
      <c r="B122" s="100">
        <f t="shared" si="14"/>
        <v>6.0670000000000224</v>
      </c>
      <c r="C122" s="107" t="s">
        <v>1053</v>
      </c>
      <c r="D122" s="108" t="s">
        <v>111</v>
      </c>
      <c r="E122" s="107" t="s">
        <v>47</v>
      </c>
      <c r="F122" s="109">
        <v>3846.97837810187</v>
      </c>
      <c r="G122" s="105"/>
      <c r="H122" s="106">
        <f t="shared" si="15"/>
        <v>0</v>
      </c>
    </row>
    <row r="123" spans="1:8" x14ac:dyDescent="0.25">
      <c r="A123" s="113">
        <f t="shared" si="9"/>
        <v>6.0670000000000224</v>
      </c>
      <c r="B123" s="100" t="str">
        <f t="shared" si="14"/>
        <v/>
      </c>
      <c r="C123" s="107"/>
      <c r="D123" s="108"/>
      <c r="E123" s="107"/>
      <c r="F123" s="109"/>
      <c r="G123" s="105"/>
      <c r="H123" s="106" t="str">
        <f t="shared" si="15"/>
        <v/>
      </c>
    </row>
    <row r="124" spans="1:8" ht="67.5" x14ac:dyDescent="0.25">
      <c r="A124" s="113">
        <f t="shared" si="9"/>
        <v>6.0680000000000227</v>
      </c>
      <c r="B124" s="100">
        <f t="shared" si="14"/>
        <v>6.0680000000000227</v>
      </c>
      <c r="C124" s="107" t="s">
        <v>414</v>
      </c>
      <c r="D124" s="155" t="s">
        <v>413</v>
      </c>
      <c r="E124" s="154" t="s">
        <v>47</v>
      </c>
      <c r="F124" s="156">
        <v>4300</v>
      </c>
      <c r="G124" s="157"/>
      <c r="H124" s="106">
        <f t="shared" si="15"/>
        <v>0</v>
      </c>
    </row>
    <row r="125" spans="1:8" x14ac:dyDescent="0.25">
      <c r="A125" s="113">
        <f t="shared" si="9"/>
        <v>6.0680000000000227</v>
      </c>
      <c r="B125" s="100" t="str">
        <f t="shared" si="14"/>
        <v/>
      </c>
      <c r="C125" s="107"/>
      <c r="D125" s="108"/>
      <c r="E125" s="107"/>
      <c r="F125" s="109"/>
      <c r="G125" s="105"/>
      <c r="H125" s="106" t="str">
        <f t="shared" si="15"/>
        <v/>
      </c>
    </row>
    <row r="126" spans="1:8" x14ac:dyDescent="0.25">
      <c r="A126" s="113">
        <f t="shared" si="9"/>
        <v>6.0680000000000227</v>
      </c>
      <c r="B126" s="100" t="str">
        <f t="shared" si="14"/>
        <v/>
      </c>
      <c r="C126" s="107"/>
      <c r="D126" s="108"/>
      <c r="E126" s="107"/>
      <c r="F126" s="109"/>
      <c r="G126" s="105"/>
      <c r="H126" s="106" t="str">
        <f t="shared" si="15"/>
        <v/>
      </c>
    </row>
    <row r="127" spans="1:8" x14ac:dyDescent="0.25">
      <c r="A127" s="113">
        <f t="shared" si="9"/>
        <v>6.0680000000000227</v>
      </c>
      <c r="B127" s="100" t="str">
        <f t="shared" si="14"/>
        <v/>
      </c>
      <c r="C127" s="107"/>
      <c r="D127" s="108"/>
      <c r="E127" s="107"/>
      <c r="F127" s="109"/>
      <c r="G127" s="105"/>
      <c r="H127" s="106" t="str">
        <f t="shared" si="15"/>
        <v/>
      </c>
    </row>
    <row r="128" spans="1:8" x14ac:dyDescent="0.25">
      <c r="A128" s="113">
        <f t="shared" si="9"/>
        <v>6.0680000000000227</v>
      </c>
      <c r="B128" s="100" t="str">
        <f t="shared" si="14"/>
        <v/>
      </c>
      <c r="C128" s="107"/>
      <c r="D128" s="108"/>
      <c r="E128" s="107"/>
      <c r="F128" s="109"/>
      <c r="G128" s="105"/>
      <c r="H128" s="106" t="str">
        <f t="shared" si="15"/>
        <v/>
      </c>
    </row>
    <row r="129" spans="1:8" x14ac:dyDescent="0.25">
      <c r="A129" s="113">
        <f t="shared" si="9"/>
        <v>6.0680000000000227</v>
      </c>
      <c r="B129" s="100" t="str">
        <f t="shared" si="14"/>
        <v/>
      </c>
      <c r="C129" s="107"/>
      <c r="D129" s="108"/>
      <c r="E129" s="107"/>
      <c r="F129" s="109"/>
      <c r="G129" s="105"/>
      <c r="H129" s="106" t="str">
        <f t="shared" si="15"/>
        <v/>
      </c>
    </row>
    <row r="130" spans="1:8" x14ac:dyDescent="0.25">
      <c r="A130" s="113">
        <f t="shared" si="9"/>
        <v>6.0680000000000227</v>
      </c>
      <c r="B130" s="100" t="str">
        <f t="shared" si="14"/>
        <v/>
      </c>
      <c r="C130" s="107"/>
      <c r="D130" s="108"/>
      <c r="E130" s="107"/>
      <c r="F130" s="109"/>
      <c r="G130" s="105"/>
      <c r="H130" s="106" t="str">
        <f t="shared" si="15"/>
        <v/>
      </c>
    </row>
    <row r="131" spans="1:8" x14ac:dyDescent="0.25">
      <c r="A131" s="113">
        <f t="shared" si="9"/>
        <v>6.0680000000000227</v>
      </c>
      <c r="B131" s="100" t="str">
        <f t="shared" si="14"/>
        <v/>
      </c>
      <c r="C131" s="107"/>
      <c r="D131" s="108"/>
      <c r="E131" s="107"/>
      <c r="F131" s="109"/>
      <c r="G131" s="105"/>
      <c r="H131" s="106" t="str">
        <f t="shared" si="15"/>
        <v/>
      </c>
    </row>
    <row r="132" spans="1:8" x14ac:dyDescent="0.25">
      <c r="A132" s="113">
        <f t="shared" si="9"/>
        <v>6.0680000000000227</v>
      </c>
      <c r="B132" s="100" t="str">
        <f t="shared" si="14"/>
        <v/>
      </c>
      <c r="C132" s="107"/>
      <c r="D132" s="108"/>
      <c r="E132" s="107"/>
      <c r="F132" s="109"/>
      <c r="G132" s="105"/>
      <c r="H132" s="106" t="str">
        <f t="shared" si="15"/>
        <v/>
      </c>
    </row>
    <row r="133" spans="1:8" x14ac:dyDescent="0.25">
      <c r="A133" s="113">
        <f t="shared" si="9"/>
        <v>6.0680000000000227</v>
      </c>
      <c r="B133" s="100" t="str">
        <f t="shared" si="14"/>
        <v/>
      </c>
      <c r="C133" s="107"/>
      <c r="D133" s="108"/>
      <c r="E133" s="107"/>
      <c r="F133" s="109"/>
      <c r="G133" s="105"/>
      <c r="H133" s="106"/>
    </row>
    <row r="134" spans="1:8" x14ac:dyDescent="0.25">
      <c r="A134" s="113">
        <f t="shared" si="9"/>
        <v>6.0680000000000227</v>
      </c>
      <c r="B134" s="100" t="str">
        <f t="shared" si="14"/>
        <v/>
      </c>
      <c r="C134" s="107"/>
      <c r="D134" s="108"/>
      <c r="E134" s="107"/>
      <c r="F134" s="109"/>
      <c r="G134" s="105"/>
      <c r="H134" s="106"/>
    </row>
    <row r="135" spans="1:8" x14ac:dyDescent="0.25">
      <c r="A135" s="113">
        <f t="shared" si="9"/>
        <v>6.0680000000000227</v>
      </c>
      <c r="B135" s="100" t="str">
        <f t="shared" si="14"/>
        <v/>
      </c>
      <c r="C135" s="107"/>
      <c r="D135" s="108"/>
      <c r="E135" s="107"/>
      <c r="F135" s="109"/>
      <c r="G135" s="105"/>
      <c r="H135" s="106"/>
    </row>
    <row r="136" spans="1:8" ht="15.75" thickBot="1" x14ac:dyDescent="0.3">
      <c r="A136" s="113">
        <f t="shared" si="9"/>
        <v>6.0680000000000227</v>
      </c>
      <c r="B136" s="100" t="str">
        <f t="shared" si="14"/>
        <v/>
      </c>
      <c r="C136" s="107"/>
      <c r="D136" s="108"/>
      <c r="E136" s="107"/>
      <c r="F136" s="109"/>
      <c r="G136" s="105"/>
      <c r="H136" s="106"/>
    </row>
    <row r="137" spans="1:8" ht="15.75" thickBot="1" x14ac:dyDescent="0.3">
      <c r="A137" s="113"/>
      <c r="B137" s="173" t="s">
        <v>360</v>
      </c>
      <c r="C137" s="174"/>
      <c r="D137" s="174"/>
      <c r="E137" s="174"/>
      <c r="F137" s="174"/>
      <c r="G137" s="175"/>
      <c r="H137" s="117">
        <f>SUM(H106:H136)</f>
        <v>0</v>
      </c>
    </row>
    <row r="138" spans="1:8" ht="24.75" thickBot="1" x14ac:dyDescent="0.3">
      <c r="A138" s="113"/>
      <c r="B138" s="114" t="s">
        <v>36</v>
      </c>
      <c r="C138" s="97" t="s">
        <v>94</v>
      </c>
      <c r="D138" s="115" t="s">
        <v>38</v>
      </c>
      <c r="E138" s="115" t="s">
        <v>37</v>
      </c>
      <c r="F138" s="115" t="s">
        <v>81</v>
      </c>
      <c r="G138" s="116" t="s">
        <v>86</v>
      </c>
      <c r="H138" s="99" t="s">
        <v>95</v>
      </c>
    </row>
    <row r="139" spans="1:8" ht="15.75" thickBot="1" x14ac:dyDescent="0.3">
      <c r="A139" s="113"/>
      <c r="B139" s="171" t="s">
        <v>361</v>
      </c>
      <c r="C139" s="172"/>
      <c r="D139" s="172"/>
      <c r="E139" s="172"/>
      <c r="F139" s="172"/>
      <c r="G139" s="172"/>
      <c r="H139" s="117">
        <f>H137</f>
        <v>0</v>
      </c>
    </row>
    <row r="140" spans="1:8" x14ac:dyDescent="0.25">
      <c r="A140" s="113">
        <f>+IF(F140&gt;0.01,A136+0.001,A136)</f>
        <v>6.0680000000000227</v>
      </c>
      <c r="B140" s="100" t="str">
        <f>+IF(F140&gt;0,A140,"")</f>
        <v/>
      </c>
      <c r="C140" s="107"/>
      <c r="D140" s="108"/>
      <c r="E140" s="107"/>
      <c r="F140" s="109"/>
      <c r="G140" s="105"/>
      <c r="H140" s="106"/>
    </row>
    <row r="141" spans="1:8" ht="25.5" x14ac:dyDescent="0.25">
      <c r="A141" s="113">
        <f>+IF(F141&gt;0.01,A140+0.001,A140)</f>
        <v>6.0680000000000227</v>
      </c>
      <c r="B141" s="100" t="str">
        <f>+IF(F141&gt;0,A141,"")</f>
        <v/>
      </c>
      <c r="C141" s="110" t="s">
        <v>26</v>
      </c>
      <c r="D141" s="111" t="s">
        <v>127</v>
      </c>
      <c r="E141" s="107"/>
      <c r="F141" s="109"/>
      <c r="G141" s="105"/>
      <c r="H141" s="106" t="str">
        <f t="shared" ref="H141:H163" si="16">IF(F141="","",G141*F141)</f>
        <v/>
      </c>
    </row>
    <row r="142" spans="1:8" ht="54" x14ac:dyDescent="0.25">
      <c r="A142" s="113">
        <f>+IF(F142&gt;0.01,A141+0.001,A141)</f>
        <v>6.0680000000000227</v>
      </c>
      <c r="B142" s="100" t="str">
        <f>+IF(F142&gt;0,A142,"")</f>
        <v/>
      </c>
      <c r="C142" s="107" t="s">
        <v>429</v>
      </c>
      <c r="D142" s="112" t="s">
        <v>41</v>
      </c>
      <c r="E142" s="107"/>
      <c r="F142" s="109"/>
      <c r="G142" s="105"/>
      <c r="H142" s="106" t="str">
        <f t="shared" si="16"/>
        <v/>
      </c>
    </row>
    <row r="143" spans="1:8" x14ac:dyDescent="0.25">
      <c r="A143" s="113">
        <f>+IF(F143&gt;0.01,A142+0.001,A142)</f>
        <v>6.0680000000000227</v>
      </c>
      <c r="B143" s="100" t="str">
        <f>+IF(F143&gt;0,A143,"")</f>
        <v/>
      </c>
      <c r="C143" s="107"/>
      <c r="D143" s="112"/>
      <c r="E143" s="107"/>
      <c r="F143" s="109"/>
      <c r="G143" s="105"/>
      <c r="H143" s="106" t="str">
        <f t="shared" si="16"/>
        <v/>
      </c>
    </row>
    <row r="144" spans="1:8" ht="27" x14ac:dyDescent="0.25">
      <c r="A144" s="113">
        <f t="shared" ref="A144:A165" si="17">+IF(F144&gt;0.01,A143+0.001,A143)</f>
        <v>6.0680000000000227</v>
      </c>
      <c r="B144" s="100" t="str">
        <f t="shared" ref="B144:B164" si="18">+IF(F144&gt;0,A144,"")</f>
        <v/>
      </c>
      <c r="C144" s="107" t="s">
        <v>423</v>
      </c>
      <c r="D144" s="108" t="s">
        <v>248</v>
      </c>
      <c r="E144" s="107"/>
      <c r="F144" s="109"/>
      <c r="G144" s="105"/>
      <c r="H144" s="106" t="str">
        <f t="shared" si="16"/>
        <v/>
      </c>
    </row>
    <row r="145" spans="1:8" ht="27" x14ac:dyDescent="0.25">
      <c r="A145" s="113">
        <f t="shared" si="17"/>
        <v>6.069000000000023</v>
      </c>
      <c r="B145" s="100">
        <f t="shared" si="18"/>
        <v>6.069000000000023</v>
      </c>
      <c r="C145" s="107" t="s">
        <v>1023</v>
      </c>
      <c r="D145" s="108" t="s">
        <v>339</v>
      </c>
      <c r="E145" s="107" t="s">
        <v>47</v>
      </c>
      <c r="F145" s="109">
        <v>49.822834066672002</v>
      </c>
      <c r="G145" s="105"/>
      <c r="H145" s="106">
        <f t="shared" si="16"/>
        <v>0</v>
      </c>
    </row>
    <row r="146" spans="1:8" x14ac:dyDescent="0.25">
      <c r="A146" s="113">
        <f t="shared" si="17"/>
        <v>6.069000000000023</v>
      </c>
      <c r="B146" s="100" t="str">
        <f t="shared" si="18"/>
        <v/>
      </c>
      <c r="C146" s="107"/>
      <c r="D146" s="108"/>
      <c r="E146" s="107"/>
      <c r="F146" s="109"/>
      <c r="G146" s="105"/>
      <c r="H146" s="106" t="str">
        <f t="shared" si="16"/>
        <v/>
      </c>
    </row>
    <row r="147" spans="1:8" ht="27" x14ac:dyDescent="0.25">
      <c r="A147" s="113">
        <f t="shared" si="17"/>
        <v>6.069000000000023</v>
      </c>
      <c r="B147" s="100" t="str">
        <f t="shared" si="18"/>
        <v/>
      </c>
      <c r="C147" s="107" t="s">
        <v>423</v>
      </c>
      <c r="D147" s="108" t="s">
        <v>249</v>
      </c>
      <c r="E147" s="107"/>
      <c r="F147" s="109"/>
      <c r="G147" s="105"/>
      <c r="H147" s="106" t="str">
        <f t="shared" si="16"/>
        <v/>
      </c>
    </row>
    <row r="148" spans="1:8" ht="27" x14ac:dyDescent="0.25">
      <c r="A148" s="113">
        <f t="shared" si="17"/>
        <v>6.0700000000000234</v>
      </c>
      <c r="B148" s="100">
        <f t="shared" si="18"/>
        <v>6.0700000000000234</v>
      </c>
      <c r="C148" s="107" t="s">
        <v>1023</v>
      </c>
      <c r="D148" s="108" t="s">
        <v>339</v>
      </c>
      <c r="E148" s="107" t="s">
        <v>47</v>
      </c>
      <c r="F148" s="109">
        <v>16.510000000000002</v>
      </c>
      <c r="G148" s="105"/>
      <c r="H148" s="106">
        <f t="shared" si="16"/>
        <v>0</v>
      </c>
    </row>
    <row r="149" spans="1:8" x14ac:dyDescent="0.25">
      <c r="A149" s="113">
        <f t="shared" si="17"/>
        <v>6.0700000000000234</v>
      </c>
      <c r="B149" s="100" t="str">
        <f t="shared" si="18"/>
        <v/>
      </c>
      <c r="C149" s="107"/>
      <c r="D149" s="108"/>
      <c r="E149" s="107"/>
      <c r="F149" s="109"/>
      <c r="G149" s="105"/>
      <c r="H149" s="106" t="str">
        <f t="shared" si="16"/>
        <v/>
      </c>
    </row>
    <row r="150" spans="1:8" ht="54" x14ac:dyDescent="0.25">
      <c r="A150" s="113">
        <f t="shared" si="17"/>
        <v>6.0700000000000234</v>
      </c>
      <c r="B150" s="100" t="str">
        <f t="shared" si="18"/>
        <v/>
      </c>
      <c r="C150" s="107" t="s">
        <v>424</v>
      </c>
      <c r="D150" s="108" t="s">
        <v>250</v>
      </c>
      <c r="E150" s="107"/>
      <c r="F150" s="109"/>
      <c r="G150" s="105"/>
      <c r="H150" s="106" t="str">
        <f t="shared" si="16"/>
        <v/>
      </c>
    </row>
    <row r="151" spans="1:8" x14ac:dyDescent="0.25">
      <c r="A151" s="113">
        <f t="shared" si="17"/>
        <v>6.0710000000000237</v>
      </c>
      <c r="B151" s="100">
        <f t="shared" si="18"/>
        <v>6.0710000000000237</v>
      </c>
      <c r="C151" s="107"/>
      <c r="D151" s="108" t="s">
        <v>362</v>
      </c>
      <c r="E151" s="107" t="s">
        <v>40</v>
      </c>
      <c r="F151" s="109">
        <v>8</v>
      </c>
      <c r="G151" s="105"/>
      <c r="H151" s="106">
        <f t="shared" si="16"/>
        <v>0</v>
      </c>
    </row>
    <row r="152" spans="1:8" x14ac:dyDescent="0.25">
      <c r="A152" s="113">
        <f t="shared" si="17"/>
        <v>6.0710000000000237</v>
      </c>
      <c r="B152" s="100" t="str">
        <f t="shared" si="18"/>
        <v/>
      </c>
      <c r="C152" s="107"/>
      <c r="D152" s="108"/>
      <c r="E152" s="107"/>
      <c r="F152" s="109"/>
      <c r="G152" s="105"/>
      <c r="H152" s="106" t="str">
        <f t="shared" si="16"/>
        <v/>
      </c>
    </row>
    <row r="153" spans="1:8" ht="27" x14ac:dyDescent="0.25">
      <c r="A153" s="113">
        <f t="shared" si="17"/>
        <v>6.0710000000000237</v>
      </c>
      <c r="B153" s="100" t="str">
        <f t="shared" si="18"/>
        <v/>
      </c>
      <c r="C153" s="107" t="s">
        <v>425</v>
      </c>
      <c r="D153" s="112" t="s">
        <v>32</v>
      </c>
      <c r="E153" s="107"/>
      <c r="F153" s="109"/>
      <c r="G153" s="105"/>
      <c r="H153" s="106" t="str">
        <f t="shared" si="16"/>
        <v/>
      </c>
    </row>
    <row r="154" spans="1:8" ht="54" x14ac:dyDescent="0.25">
      <c r="A154" s="113">
        <f t="shared" si="17"/>
        <v>6.0710000000000237</v>
      </c>
      <c r="B154" s="100" t="str">
        <f t="shared" si="18"/>
        <v/>
      </c>
      <c r="C154" s="107" t="s">
        <v>428</v>
      </c>
      <c r="D154" s="108" t="s">
        <v>79</v>
      </c>
      <c r="E154" s="107"/>
      <c r="F154" s="109"/>
      <c r="G154" s="105"/>
      <c r="H154" s="106" t="str">
        <f t="shared" si="16"/>
        <v/>
      </c>
    </row>
    <row r="155" spans="1:8" ht="27" x14ac:dyDescent="0.25">
      <c r="A155" s="113">
        <f t="shared" si="17"/>
        <v>6.072000000000024</v>
      </c>
      <c r="B155" s="100">
        <f t="shared" si="18"/>
        <v>6.072000000000024</v>
      </c>
      <c r="C155" s="107" t="s">
        <v>1023</v>
      </c>
      <c r="D155" s="108" t="s">
        <v>339</v>
      </c>
      <c r="E155" s="107" t="s">
        <v>47</v>
      </c>
      <c r="F155" s="109">
        <v>35.522399999999998</v>
      </c>
      <c r="G155" s="105"/>
      <c r="H155" s="106">
        <f t="shared" si="16"/>
        <v>0</v>
      </c>
    </row>
    <row r="156" spans="1:8" x14ac:dyDescent="0.25">
      <c r="A156" s="113">
        <f t="shared" si="17"/>
        <v>6.072000000000024</v>
      </c>
      <c r="B156" s="100" t="str">
        <f t="shared" si="18"/>
        <v/>
      </c>
      <c r="C156" s="107"/>
      <c r="D156" s="108"/>
      <c r="E156" s="107"/>
      <c r="F156" s="109"/>
      <c r="G156" s="105"/>
      <c r="H156" s="106" t="str">
        <f t="shared" si="16"/>
        <v/>
      </c>
    </row>
    <row r="157" spans="1:8" ht="54" x14ac:dyDescent="0.25">
      <c r="A157" s="113">
        <f t="shared" si="17"/>
        <v>6.072000000000024</v>
      </c>
      <c r="B157" s="100" t="str">
        <f t="shared" si="18"/>
        <v/>
      </c>
      <c r="C157" s="107" t="s">
        <v>428</v>
      </c>
      <c r="D157" s="108" t="s">
        <v>80</v>
      </c>
      <c r="E157" s="107"/>
      <c r="F157" s="109"/>
      <c r="G157" s="105"/>
      <c r="H157" s="106" t="str">
        <f t="shared" si="16"/>
        <v/>
      </c>
    </row>
    <row r="158" spans="1:8" ht="27" x14ac:dyDescent="0.25">
      <c r="A158" s="113">
        <f t="shared" si="17"/>
        <v>6.0730000000000244</v>
      </c>
      <c r="B158" s="100">
        <f t="shared" si="18"/>
        <v>6.0730000000000244</v>
      </c>
      <c r="C158" s="107" t="s">
        <v>1023</v>
      </c>
      <c r="D158" s="108" t="s">
        <v>339</v>
      </c>
      <c r="E158" s="107" t="s">
        <v>47</v>
      </c>
      <c r="F158" s="109">
        <v>21.558920000000001</v>
      </c>
      <c r="G158" s="105"/>
      <c r="H158" s="106">
        <f t="shared" si="16"/>
        <v>0</v>
      </c>
    </row>
    <row r="159" spans="1:8" x14ac:dyDescent="0.25">
      <c r="A159" s="113">
        <f t="shared" si="17"/>
        <v>6.0730000000000244</v>
      </c>
      <c r="B159" s="100" t="str">
        <f t="shared" si="18"/>
        <v/>
      </c>
      <c r="C159" s="107"/>
      <c r="D159" s="108"/>
      <c r="E159" s="107"/>
      <c r="F159" s="109"/>
      <c r="G159" s="105"/>
      <c r="H159" s="106" t="str">
        <f t="shared" si="16"/>
        <v/>
      </c>
    </row>
    <row r="160" spans="1:8" ht="40.5" x14ac:dyDescent="0.25">
      <c r="A160" s="113">
        <f t="shared" si="17"/>
        <v>6.0730000000000244</v>
      </c>
      <c r="B160" s="100" t="str">
        <f t="shared" si="18"/>
        <v/>
      </c>
      <c r="C160" s="107" t="s">
        <v>430</v>
      </c>
      <c r="D160" s="112" t="s">
        <v>31</v>
      </c>
      <c r="E160" s="107"/>
      <c r="F160" s="109"/>
      <c r="G160" s="105"/>
      <c r="H160" s="106" t="str">
        <f t="shared" si="16"/>
        <v/>
      </c>
    </row>
    <row r="161" spans="1:8" ht="54" x14ac:dyDescent="0.25">
      <c r="A161" s="113">
        <f t="shared" si="17"/>
        <v>6.0730000000000244</v>
      </c>
      <c r="B161" s="100" t="str">
        <f t="shared" si="18"/>
        <v/>
      </c>
      <c r="C161" s="107" t="s">
        <v>426</v>
      </c>
      <c r="D161" s="108" t="s">
        <v>236</v>
      </c>
      <c r="E161" s="107"/>
      <c r="F161" s="109"/>
      <c r="G161" s="105"/>
      <c r="H161" s="106" t="str">
        <f t="shared" si="16"/>
        <v/>
      </c>
    </row>
    <row r="162" spans="1:8" ht="27" x14ac:dyDescent="0.25">
      <c r="A162" s="113">
        <f t="shared" si="17"/>
        <v>6.0740000000000247</v>
      </c>
      <c r="B162" s="100">
        <f t="shared" si="18"/>
        <v>6.0740000000000247</v>
      </c>
      <c r="C162" s="107" t="s">
        <v>1023</v>
      </c>
      <c r="D162" s="108" t="s">
        <v>339</v>
      </c>
      <c r="E162" s="107" t="s">
        <v>47</v>
      </c>
      <c r="F162" s="109">
        <v>43.7</v>
      </c>
      <c r="G162" s="105"/>
      <c r="H162" s="106">
        <f t="shared" si="16"/>
        <v>0</v>
      </c>
    </row>
    <row r="163" spans="1:8" x14ac:dyDescent="0.25">
      <c r="A163" s="113">
        <f t="shared" si="17"/>
        <v>6.0740000000000247</v>
      </c>
      <c r="B163" s="100" t="str">
        <f t="shared" si="18"/>
        <v/>
      </c>
      <c r="C163" s="107"/>
      <c r="D163" s="108"/>
      <c r="E163" s="107"/>
      <c r="F163" s="109"/>
      <c r="G163" s="105"/>
      <c r="H163" s="106" t="str">
        <f t="shared" si="16"/>
        <v/>
      </c>
    </row>
    <row r="164" spans="1:8" ht="15.75" thickBot="1" x14ac:dyDescent="0.3">
      <c r="A164" s="113">
        <f t="shared" si="17"/>
        <v>6.0740000000000247</v>
      </c>
      <c r="B164" s="100" t="str">
        <f t="shared" si="18"/>
        <v/>
      </c>
      <c r="C164" s="107"/>
      <c r="D164" s="108"/>
      <c r="E164" s="107"/>
      <c r="F164" s="109"/>
      <c r="G164" s="105"/>
      <c r="H164" s="106" t="str">
        <f>IF(F164="","",G164*F164)</f>
        <v/>
      </c>
    </row>
    <row r="165" spans="1:8" ht="15.75" thickBot="1" x14ac:dyDescent="0.3">
      <c r="A165" s="113">
        <f t="shared" si="17"/>
        <v>6.0740000000000247</v>
      </c>
      <c r="B165" s="173" t="s">
        <v>360</v>
      </c>
      <c r="C165" s="174"/>
      <c r="D165" s="174"/>
      <c r="E165" s="174"/>
      <c r="F165" s="174"/>
      <c r="G165" s="175"/>
      <c r="H165" s="117">
        <f>SUM(H126:H164)</f>
        <v>0</v>
      </c>
    </row>
    <row r="166" spans="1:8" ht="24.75" thickBot="1" x14ac:dyDescent="0.3">
      <c r="A166" s="113">
        <f>+IF(F166&gt;0.01,A165+0.001,A165)</f>
        <v>6.075000000000025</v>
      </c>
      <c r="B166" s="114" t="s">
        <v>36</v>
      </c>
      <c r="C166" s="97" t="s">
        <v>94</v>
      </c>
      <c r="D166" s="115" t="s">
        <v>38</v>
      </c>
      <c r="E166" s="115" t="s">
        <v>37</v>
      </c>
      <c r="F166" s="115" t="s">
        <v>81</v>
      </c>
      <c r="G166" s="116" t="s">
        <v>86</v>
      </c>
      <c r="H166" s="99" t="s">
        <v>95</v>
      </c>
    </row>
    <row r="167" spans="1:8" ht="15.75" thickBot="1" x14ac:dyDescent="0.3">
      <c r="A167" s="113">
        <f>+IF(F167&gt;0.01,A166+0.001,A166)</f>
        <v>6.075000000000025</v>
      </c>
      <c r="B167" s="171" t="s">
        <v>361</v>
      </c>
      <c r="C167" s="172"/>
      <c r="D167" s="172"/>
      <c r="E167" s="172"/>
      <c r="F167" s="172"/>
      <c r="G167" s="172"/>
      <c r="H167" s="117">
        <f>H165</f>
        <v>0</v>
      </c>
    </row>
    <row r="168" spans="1:8" x14ac:dyDescent="0.25">
      <c r="A168" s="113">
        <f>+IF(F168&gt;0.01,A167+0.001,A167)</f>
        <v>6.075000000000025</v>
      </c>
      <c r="B168" s="100" t="str">
        <f>+IF(F168&gt;0,A168,"")</f>
        <v/>
      </c>
      <c r="C168" s="107"/>
      <c r="D168" s="108"/>
      <c r="E168" s="107"/>
      <c r="F168" s="109"/>
      <c r="G168" s="105"/>
      <c r="H168" s="106"/>
    </row>
    <row r="169" spans="1:8" ht="54" x14ac:dyDescent="0.25">
      <c r="A169" s="113">
        <f>+IF(F169&gt;0.01,A168+0.001,A168)</f>
        <v>6.075000000000025</v>
      </c>
      <c r="B169" s="100" t="str">
        <f>+IF(F169&gt;0,A169,"")</f>
        <v/>
      </c>
      <c r="C169" s="107" t="s">
        <v>431</v>
      </c>
      <c r="D169" s="108" t="s">
        <v>92</v>
      </c>
      <c r="E169" s="107"/>
      <c r="F169" s="109"/>
      <c r="G169" s="105"/>
      <c r="H169" s="106" t="str">
        <f t="shared" ref="H169:H214" si="19">IF(F169="","",G169*F169)</f>
        <v/>
      </c>
    </row>
    <row r="170" spans="1:8" ht="27" x14ac:dyDescent="0.25">
      <c r="A170" s="113">
        <f t="shared" ref="A170:A177" si="20">+IF(F170&gt;0.01,A169+0.001,A169)</f>
        <v>6.0760000000000254</v>
      </c>
      <c r="B170" s="100">
        <f t="shared" ref="B170:B175" si="21">+IF(F170&gt;0,A170,"")</f>
        <v>6.0760000000000254</v>
      </c>
      <c r="C170" s="107" t="s">
        <v>1023</v>
      </c>
      <c r="D170" s="108" t="s">
        <v>339</v>
      </c>
      <c r="E170" s="107" t="s">
        <v>48</v>
      </c>
      <c r="F170" s="109">
        <v>27.726600000000001</v>
      </c>
      <c r="G170" s="105"/>
      <c r="H170" s="106">
        <f t="shared" si="19"/>
        <v>0</v>
      </c>
    </row>
    <row r="171" spans="1:8" ht="27" x14ac:dyDescent="0.25">
      <c r="A171" s="113">
        <f t="shared" si="20"/>
        <v>6.0770000000000257</v>
      </c>
      <c r="B171" s="100">
        <f t="shared" si="21"/>
        <v>6.0770000000000257</v>
      </c>
      <c r="C171" s="107" t="s">
        <v>1024</v>
      </c>
      <c r="D171" s="108" t="s">
        <v>894</v>
      </c>
      <c r="E171" s="107" t="s">
        <v>48</v>
      </c>
      <c r="F171" s="109">
        <v>5</v>
      </c>
      <c r="G171" s="105"/>
      <c r="H171" s="106">
        <f t="shared" si="19"/>
        <v>0</v>
      </c>
    </row>
    <row r="172" spans="1:8" ht="27" x14ac:dyDescent="0.25">
      <c r="A172" s="113">
        <f t="shared" si="20"/>
        <v>6.078000000000026</v>
      </c>
      <c r="B172" s="100">
        <f t="shared" si="21"/>
        <v>6.078000000000026</v>
      </c>
      <c r="C172" s="107" t="s">
        <v>1024</v>
      </c>
      <c r="D172" s="108" t="s">
        <v>895</v>
      </c>
      <c r="E172" s="107" t="s">
        <v>48</v>
      </c>
      <c r="F172" s="109">
        <v>7</v>
      </c>
      <c r="G172" s="105"/>
      <c r="H172" s="106">
        <f t="shared" si="19"/>
        <v>0</v>
      </c>
    </row>
    <row r="173" spans="1:8" ht="27" x14ac:dyDescent="0.25">
      <c r="A173" s="113">
        <f t="shared" si="20"/>
        <v>6.0790000000000264</v>
      </c>
      <c r="B173" s="100">
        <f t="shared" si="21"/>
        <v>6.0790000000000264</v>
      </c>
      <c r="C173" s="107" t="s">
        <v>1024</v>
      </c>
      <c r="D173" s="108" t="s">
        <v>896</v>
      </c>
      <c r="E173" s="107" t="s">
        <v>48</v>
      </c>
      <c r="F173" s="109">
        <v>7</v>
      </c>
      <c r="G173" s="105"/>
      <c r="H173" s="106">
        <f t="shared" si="19"/>
        <v>0</v>
      </c>
    </row>
    <row r="174" spans="1:8" ht="27" x14ac:dyDescent="0.25">
      <c r="A174" s="113">
        <f t="shared" si="20"/>
        <v>6.0800000000000267</v>
      </c>
      <c r="B174" s="100">
        <f t="shared" si="21"/>
        <v>6.0800000000000267</v>
      </c>
      <c r="C174" s="107" t="s">
        <v>1024</v>
      </c>
      <c r="D174" s="108" t="s">
        <v>897</v>
      </c>
      <c r="E174" s="107" t="s">
        <v>48</v>
      </c>
      <c r="F174" s="109">
        <v>6</v>
      </c>
      <c r="G174" s="105"/>
      <c r="H174" s="106">
        <f t="shared" si="19"/>
        <v>0</v>
      </c>
    </row>
    <row r="175" spans="1:8" ht="27" x14ac:dyDescent="0.25">
      <c r="A175" s="113">
        <f t="shared" si="20"/>
        <v>6.0810000000000271</v>
      </c>
      <c r="B175" s="100">
        <f t="shared" si="21"/>
        <v>6.0810000000000271</v>
      </c>
      <c r="C175" s="107" t="s">
        <v>1024</v>
      </c>
      <c r="D175" s="108" t="s">
        <v>898</v>
      </c>
      <c r="E175" s="107" t="s">
        <v>48</v>
      </c>
      <c r="F175" s="109">
        <v>8</v>
      </c>
      <c r="G175" s="105"/>
      <c r="H175" s="106">
        <f t="shared" si="19"/>
        <v>0</v>
      </c>
    </row>
    <row r="176" spans="1:8" ht="27" x14ac:dyDescent="0.25">
      <c r="A176" s="113">
        <f t="shared" si="20"/>
        <v>6.0820000000000274</v>
      </c>
      <c r="B176" s="100">
        <f t="shared" ref="B176:B185" si="22">+IF(F176&gt;0,A176,"")</f>
        <v>6.0820000000000274</v>
      </c>
      <c r="C176" s="107" t="s">
        <v>1024</v>
      </c>
      <c r="D176" s="108" t="s">
        <v>899</v>
      </c>
      <c r="E176" s="107" t="s">
        <v>48</v>
      </c>
      <c r="F176" s="109">
        <v>7</v>
      </c>
      <c r="G176" s="105"/>
      <c r="H176" s="106">
        <f t="shared" si="19"/>
        <v>0</v>
      </c>
    </row>
    <row r="177" spans="1:8" ht="27" x14ac:dyDescent="0.25">
      <c r="A177" s="113">
        <f t="shared" si="20"/>
        <v>6.0830000000000277</v>
      </c>
      <c r="B177" s="100">
        <f t="shared" si="22"/>
        <v>6.0830000000000277</v>
      </c>
      <c r="C177" s="107" t="s">
        <v>1024</v>
      </c>
      <c r="D177" s="108" t="s">
        <v>900</v>
      </c>
      <c r="E177" s="107" t="s">
        <v>48</v>
      </c>
      <c r="F177" s="109">
        <v>6</v>
      </c>
      <c r="G177" s="105"/>
      <c r="H177" s="106">
        <f t="shared" si="19"/>
        <v>0</v>
      </c>
    </row>
    <row r="178" spans="1:8" ht="27" x14ac:dyDescent="0.25">
      <c r="A178" s="113"/>
      <c r="B178" s="100">
        <f t="shared" si="22"/>
        <v>0</v>
      </c>
      <c r="C178" s="107" t="s">
        <v>1024</v>
      </c>
      <c r="D178" s="108" t="s">
        <v>901</v>
      </c>
      <c r="E178" s="107" t="s">
        <v>48</v>
      </c>
      <c r="F178" s="109">
        <v>5</v>
      </c>
      <c r="G178" s="105"/>
      <c r="H178" s="106">
        <f t="shared" si="19"/>
        <v>0</v>
      </c>
    </row>
    <row r="179" spans="1:8" ht="27" x14ac:dyDescent="0.25">
      <c r="A179" s="113"/>
      <c r="B179" s="100">
        <f t="shared" si="22"/>
        <v>0</v>
      </c>
      <c r="C179" s="107" t="s">
        <v>1024</v>
      </c>
      <c r="D179" s="108" t="s">
        <v>902</v>
      </c>
      <c r="E179" s="107" t="s">
        <v>48</v>
      </c>
      <c r="F179" s="109">
        <v>5</v>
      </c>
      <c r="G179" s="105"/>
      <c r="H179" s="106">
        <f t="shared" si="19"/>
        <v>0</v>
      </c>
    </row>
    <row r="180" spans="1:8" ht="27" x14ac:dyDescent="0.25">
      <c r="A180" s="113"/>
      <c r="B180" s="100">
        <f t="shared" si="22"/>
        <v>0</v>
      </c>
      <c r="C180" s="107" t="s">
        <v>1024</v>
      </c>
      <c r="D180" s="108" t="s">
        <v>909</v>
      </c>
      <c r="E180" s="107" t="s">
        <v>48</v>
      </c>
      <c r="F180" s="109">
        <v>6</v>
      </c>
      <c r="G180" s="105"/>
      <c r="H180" s="106">
        <f t="shared" si="19"/>
        <v>0</v>
      </c>
    </row>
    <row r="181" spans="1:8" ht="27" x14ac:dyDescent="0.25">
      <c r="A181" s="113">
        <f>+IF(F181&gt;0.01,A177+0.001,A177)</f>
        <v>6.0840000000000281</v>
      </c>
      <c r="B181" s="100">
        <f t="shared" si="22"/>
        <v>6.0840000000000281</v>
      </c>
      <c r="C181" s="107" t="s">
        <v>1024</v>
      </c>
      <c r="D181" s="108" t="s">
        <v>903</v>
      </c>
      <c r="E181" s="107" t="s">
        <v>48</v>
      </c>
      <c r="F181" s="109">
        <v>8</v>
      </c>
      <c r="G181" s="105"/>
      <c r="H181" s="106">
        <f t="shared" si="19"/>
        <v>0</v>
      </c>
    </row>
    <row r="182" spans="1:8" ht="27" x14ac:dyDescent="0.25">
      <c r="A182" s="113">
        <f>+IF(F182&gt;0.01,A181+0.001,A181)</f>
        <v>6.0850000000000284</v>
      </c>
      <c r="B182" s="100">
        <f t="shared" si="22"/>
        <v>6.0850000000000284</v>
      </c>
      <c r="C182" s="107" t="s">
        <v>1024</v>
      </c>
      <c r="D182" s="108" t="s">
        <v>904</v>
      </c>
      <c r="E182" s="107" t="s">
        <v>48</v>
      </c>
      <c r="F182" s="109">
        <v>7</v>
      </c>
      <c r="G182" s="105"/>
      <c r="H182" s="106">
        <f t="shared" si="19"/>
        <v>0</v>
      </c>
    </row>
    <row r="183" spans="1:8" ht="45.75" customHeight="1" x14ac:dyDescent="0.25">
      <c r="A183" s="113">
        <f t="shared" ref="A183:A264" si="23">+IF(F183&gt;0.01,A182+0.001,A182)</f>
        <v>6.0860000000000287</v>
      </c>
      <c r="B183" s="100">
        <f t="shared" si="22"/>
        <v>6.0860000000000287</v>
      </c>
      <c r="C183" s="107" t="s">
        <v>1024</v>
      </c>
      <c r="D183" s="108" t="s">
        <v>905</v>
      </c>
      <c r="E183" s="107" t="s">
        <v>48</v>
      </c>
      <c r="F183" s="109">
        <v>6</v>
      </c>
      <c r="G183" s="105"/>
      <c r="H183" s="106">
        <f t="shared" si="19"/>
        <v>0</v>
      </c>
    </row>
    <row r="184" spans="1:8" ht="27" x14ac:dyDescent="0.25">
      <c r="A184" s="113">
        <f t="shared" si="23"/>
        <v>6.0870000000000291</v>
      </c>
      <c r="B184" s="100">
        <f t="shared" si="22"/>
        <v>6.0870000000000291</v>
      </c>
      <c r="C184" s="107" t="s">
        <v>1024</v>
      </c>
      <c r="D184" s="108" t="s">
        <v>906</v>
      </c>
      <c r="E184" s="107" t="s">
        <v>48</v>
      </c>
      <c r="F184" s="109">
        <v>5</v>
      </c>
      <c r="G184" s="105"/>
      <c r="H184" s="106">
        <f t="shared" si="19"/>
        <v>0</v>
      </c>
    </row>
    <row r="185" spans="1:8" ht="27" x14ac:dyDescent="0.25">
      <c r="A185" s="113">
        <f t="shared" si="23"/>
        <v>6.0880000000000294</v>
      </c>
      <c r="B185" s="100">
        <f t="shared" si="22"/>
        <v>6.0880000000000294</v>
      </c>
      <c r="C185" s="107" t="s">
        <v>1024</v>
      </c>
      <c r="D185" s="108" t="s">
        <v>907</v>
      </c>
      <c r="E185" s="107" t="s">
        <v>48</v>
      </c>
      <c r="F185" s="109">
        <v>7</v>
      </c>
      <c r="G185" s="105"/>
      <c r="H185" s="106">
        <f t="shared" si="19"/>
        <v>0</v>
      </c>
    </row>
    <row r="186" spans="1:8" ht="27" x14ac:dyDescent="0.25">
      <c r="A186" s="113">
        <f t="shared" si="23"/>
        <v>6.0890000000000297</v>
      </c>
      <c r="B186" s="100">
        <f t="shared" ref="B186:B264" si="24">+IF(F186&gt;0,A186,"")</f>
        <v>6.0890000000000297</v>
      </c>
      <c r="C186" s="107" t="s">
        <v>1024</v>
      </c>
      <c r="D186" s="108" t="s">
        <v>908</v>
      </c>
      <c r="E186" s="107" t="s">
        <v>48</v>
      </c>
      <c r="F186" s="109">
        <v>7</v>
      </c>
      <c r="G186" s="105"/>
      <c r="H186" s="106">
        <f t="shared" si="19"/>
        <v>0</v>
      </c>
    </row>
    <row r="187" spans="1:8" x14ac:dyDescent="0.25">
      <c r="A187" s="113">
        <f t="shared" si="23"/>
        <v>6.0890000000000297</v>
      </c>
      <c r="B187" s="100" t="str">
        <f t="shared" si="24"/>
        <v/>
      </c>
      <c r="C187" s="107"/>
      <c r="D187" s="108"/>
      <c r="E187" s="107"/>
      <c r="F187" s="109"/>
      <c r="G187" s="105"/>
      <c r="H187" s="106" t="str">
        <f t="shared" si="19"/>
        <v/>
      </c>
    </row>
    <row r="188" spans="1:8" x14ac:dyDescent="0.25">
      <c r="A188" s="113">
        <f t="shared" si="23"/>
        <v>6.0890000000000297</v>
      </c>
      <c r="B188" s="100" t="str">
        <f t="shared" si="24"/>
        <v/>
      </c>
      <c r="C188" s="107"/>
      <c r="D188" s="108"/>
      <c r="E188" s="107"/>
      <c r="F188" s="109"/>
      <c r="G188" s="105"/>
      <c r="H188" s="106" t="str">
        <f t="shared" si="19"/>
        <v/>
      </c>
    </row>
    <row r="189" spans="1:8" x14ac:dyDescent="0.25">
      <c r="A189" s="113">
        <f t="shared" si="23"/>
        <v>6.0890000000000297</v>
      </c>
      <c r="B189" s="100" t="str">
        <f t="shared" si="24"/>
        <v/>
      </c>
      <c r="C189" s="107"/>
      <c r="D189" s="108"/>
      <c r="E189" s="107"/>
      <c r="F189" s="109"/>
      <c r="G189" s="105"/>
      <c r="H189" s="106" t="str">
        <f t="shared" si="19"/>
        <v/>
      </c>
    </row>
    <row r="190" spans="1:8" x14ac:dyDescent="0.25">
      <c r="A190" s="113">
        <f t="shared" si="23"/>
        <v>6.0890000000000297</v>
      </c>
      <c r="B190" s="100" t="str">
        <f t="shared" si="24"/>
        <v/>
      </c>
      <c r="C190" s="107"/>
      <c r="D190" s="108"/>
      <c r="E190" s="107"/>
      <c r="F190" s="109"/>
      <c r="G190" s="105"/>
      <c r="H190" s="106" t="str">
        <f t="shared" si="19"/>
        <v/>
      </c>
    </row>
    <row r="191" spans="1:8" x14ac:dyDescent="0.25">
      <c r="A191" s="113">
        <f t="shared" si="23"/>
        <v>6.0890000000000297</v>
      </c>
      <c r="B191" s="100" t="str">
        <f t="shared" si="24"/>
        <v/>
      </c>
      <c r="C191" s="107"/>
      <c r="D191" s="108"/>
      <c r="E191" s="107"/>
      <c r="F191" s="109"/>
      <c r="G191" s="105"/>
      <c r="H191" s="106" t="str">
        <f t="shared" si="19"/>
        <v/>
      </c>
    </row>
    <row r="192" spans="1:8" x14ac:dyDescent="0.25">
      <c r="A192" s="113">
        <f t="shared" si="23"/>
        <v>6.0890000000000297</v>
      </c>
      <c r="B192" s="100" t="str">
        <f t="shared" si="24"/>
        <v/>
      </c>
      <c r="C192" s="107"/>
      <c r="D192" s="108"/>
      <c r="E192" s="107"/>
      <c r="F192" s="109"/>
      <c r="G192" s="105"/>
      <c r="H192" s="106" t="str">
        <f t="shared" si="19"/>
        <v/>
      </c>
    </row>
    <row r="193" spans="1:8" ht="15.75" thickBot="1" x14ac:dyDescent="0.3">
      <c r="A193" s="113">
        <f t="shared" si="23"/>
        <v>6.0890000000000297</v>
      </c>
      <c r="B193" s="100" t="str">
        <f t="shared" si="24"/>
        <v/>
      </c>
      <c r="C193" s="107"/>
      <c r="D193" s="108"/>
      <c r="E193" s="107"/>
      <c r="F193" s="109"/>
      <c r="G193" s="105"/>
      <c r="H193" s="106" t="str">
        <f t="shared" si="19"/>
        <v/>
      </c>
    </row>
    <row r="194" spans="1:8" ht="15.75" thickBot="1" x14ac:dyDescent="0.3">
      <c r="A194" s="113">
        <f t="shared" si="23"/>
        <v>6.0890000000000297</v>
      </c>
      <c r="B194" s="173" t="s">
        <v>360</v>
      </c>
      <c r="C194" s="174"/>
      <c r="D194" s="174"/>
      <c r="E194" s="174"/>
      <c r="F194" s="174"/>
      <c r="G194" s="175"/>
      <c r="H194" s="117">
        <f>SUM(H163:H193)</f>
        <v>0</v>
      </c>
    </row>
    <row r="195" spans="1:8" ht="24.75" thickBot="1" x14ac:dyDescent="0.3">
      <c r="A195" s="113">
        <f t="shared" si="23"/>
        <v>6.0900000000000301</v>
      </c>
      <c r="B195" s="114" t="s">
        <v>36</v>
      </c>
      <c r="C195" s="97" t="s">
        <v>94</v>
      </c>
      <c r="D195" s="115" t="s">
        <v>38</v>
      </c>
      <c r="E195" s="115" t="s">
        <v>37</v>
      </c>
      <c r="F195" s="115" t="s">
        <v>81</v>
      </c>
      <c r="G195" s="116" t="s">
        <v>86</v>
      </c>
      <c r="H195" s="99" t="s">
        <v>95</v>
      </c>
    </row>
    <row r="196" spans="1:8" ht="15.75" thickBot="1" x14ac:dyDescent="0.3">
      <c r="A196" s="113">
        <f t="shared" si="23"/>
        <v>6.0900000000000301</v>
      </c>
      <c r="B196" s="171" t="s">
        <v>361</v>
      </c>
      <c r="C196" s="172"/>
      <c r="D196" s="172"/>
      <c r="E196" s="172"/>
      <c r="F196" s="172"/>
      <c r="G196" s="172"/>
      <c r="H196" s="117">
        <f>H194</f>
        <v>0</v>
      </c>
    </row>
    <row r="197" spans="1:8" x14ac:dyDescent="0.25">
      <c r="A197" s="113">
        <f t="shared" si="23"/>
        <v>6.0900000000000301</v>
      </c>
      <c r="B197" s="100" t="str">
        <f t="shared" si="24"/>
        <v/>
      </c>
      <c r="C197" s="107"/>
      <c r="D197" s="108"/>
      <c r="E197" s="107"/>
      <c r="F197" s="109"/>
      <c r="G197" s="105"/>
      <c r="H197" s="106" t="str">
        <f t="shared" si="19"/>
        <v/>
      </c>
    </row>
    <row r="198" spans="1:8" x14ac:dyDescent="0.25">
      <c r="A198" s="113">
        <f t="shared" si="23"/>
        <v>6.0900000000000301</v>
      </c>
      <c r="B198" s="100" t="str">
        <f t="shared" si="24"/>
        <v/>
      </c>
      <c r="C198" s="107" t="s">
        <v>42</v>
      </c>
      <c r="D198" s="108" t="s">
        <v>93</v>
      </c>
      <c r="E198" s="107"/>
      <c r="F198" s="109"/>
      <c r="G198" s="105"/>
      <c r="H198" s="106" t="str">
        <f t="shared" si="19"/>
        <v/>
      </c>
    </row>
    <row r="199" spans="1:8" ht="27" x14ac:dyDescent="0.25">
      <c r="A199" s="113">
        <f t="shared" si="23"/>
        <v>6.0910000000000304</v>
      </c>
      <c r="B199" s="100">
        <f t="shared" si="24"/>
        <v>6.0910000000000304</v>
      </c>
      <c r="C199" s="107" t="s">
        <v>1023</v>
      </c>
      <c r="D199" s="108" t="s">
        <v>339</v>
      </c>
      <c r="E199" s="107" t="s">
        <v>47</v>
      </c>
      <c r="F199" s="109">
        <v>8.3149999999999995</v>
      </c>
      <c r="G199" s="105"/>
      <c r="H199" s="106">
        <f t="shared" si="19"/>
        <v>0</v>
      </c>
    </row>
    <row r="200" spans="1:8" ht="27" x14ac:dyDescent="0.25">
      <c r="A200" s="113">
        <f t="shared" si="23"/>
        <v>6.0920000000000307</v>
      </c>
      <c r="B200" s="100">
        <f t="shared" si="24"/>
        <v>6.0920000000000307</v>
      </c>
      <c r="C200" s="107" t="s">
        <v>1024</v>
      </c>
      <c r="D200" s="108" t="s">
        <v>894</v>
      </c>
      <c r="E200" s="107" t="s">
        <v>47</v>
      </c>
      <c r="F200" s="109">
        <v>4</v>
      </c>
      <c r="G200" s="105"/>
      <c r="H200" s="106">
        <f t="shared" si="19"/>
        <v>0</v>
      </c>
    </row>
    <row r="201" spans="1:8" ht="27" x14ac:dyDescent="0.25">
      <c r="A201" s="113">
        <f t="shared" si="23"/>
        <v>6.0930000000000311</v>
      </c>
      <c r="B201" s="100">
        <f t="shared" si="24"/>
        <v>6.0930000000000311</v>
      </c>
      <c r="C201" s="107" t="s">
        <v>1024</v>
      </c>
      <c r="D201" s="108" t="s">
        <v>895</v>
      </c>
      <c r="E201" s="107" t="s">
        <v>47</v>
      </c>
      <c r="F201" s="109">
        <v>4</v>
      </c>
      <c r="G201" s="105"/>
      <c r="H201" s="106">
        <f t="shared" si="19"/>
        <v>0</v>
      </c>
    </row>
    <row r="202" spans="1:8" ht="27" x14ac:dyDescent="0.25">
      <c r="A202" s="113">
        <f t="shared" si="23"/>
        <v>6.0940000000000314</v>
      </c>
      <c r="B202" s="100">
        <f t="shared" si="24"/>
        <v>6.0940000000000314</v>
      </c>
      <c r="C202" s="107" t="s">
        <v>1024</v>
      </c>
      <c r="D202" s="108" t="s">
        <v>896</v>
      </c>
      <c r="E202" s="107" t="s">
        <v>47</v>
      </c>
      <c r="F202" s="109">
        <v>4</v>
      </c>
      <c r="G202" s="105"/>
      <c r="H202" s="106">
        <f t="shared" si="19"/>
        <v>0</v>
      </c>
    </row>
    <row r="203" spans="1:8" ht="27" x14ac:dyDescent="0.25">
      <c r="A203" s="113">
        <f t="shared" si="23"/>
        <v>6.0950000000000317</v>
      </c>
      <c r="B203" s="100">
        <f t="shared" si="24"/>
        <v>6.0950000000000317</v>
      </c>
      <c r="C203" s="107" t="s">
        <v>1024</v>
      </c>
      <c r="D203" s="108" t="s">
        <v>897</v>
      </c>
      <c r="E203" s="107" t="s">
        <v>47</v>
      </c>
      <c r="F203" s="109">
        <v>4</v>
      </c>
      <c r="G203" s="105"/>
      <c r="H203" s="106">
        <f t="shared" si="19"/>
        <v>0</v>
      </c>
    </row>
    <row r="204" spans="1:8" ht="27" x14ac:dyDescent="0.25">
      <c r="A204" s="113">
        <f>+IF(F204&gt;0.01,A203+0.001,A203)</f>
        <v>6.0960000000000321</v>
      </c>
      <c r="B204" s="100">
        <f>+IF(F204&gt;0,A204,"")</f>
        <v>6.0960000000000321</v>
      </c>
      <c r="C204" s="107" t="s">
        <v>1024</v>
      </c>
      <c r="D204" s="108" t="s">
        <v>898</v>
      </c>
      <c r="E204" s="107" t="s">
        <v>47</v>
      </c>
      <c r="F204" s="109">
        <v>4</v>
      </c>
      <c r="G204" s="105"/>
      <c r="H204" s="106">
        <f t="shared" si="19"/>
        <v>0</v>
      </c>
    </row>
    <row r="205" spans="1:8" ht="27" x14ac:dyDescent="0.25">
      <c r="A205" s="113">
        <f>+IF(F205&gt;0.01,A204+0.001,A204)</f>
        <v>6.0970000000000324</v>
      </c>
      <c r="B205" s="100">
        <f>+IF(F205&gt;0,A205,"")</f>
        <v>6.0970000000000324</v>
      </c>
      <c r="C205" s="107" t="s">
        <v>1024</v>
      </c>
      <c r="D205" s="108" t="s">
        <v>899</v>
      </c>
      <c r="E205" s="107" t="s">
        <v>47</v>
      </c>
      <c r="F205" s="109">
        <v>5</v>
      </c>
      <c r="G205" s="105"/>
      <c r="H205" s="106">
        <f t="shared" si="19"/>
        <v>0</v>
      </c>
    </row>
    <row r="206" spans="1:8" ht="27" x14ac:dyDescent="0.25">
      <c r="A206" s="113">
        <f>+IF(F206&gt;0.01,A205+0.001,A205)</f>
        <v>6.0980000000000327</v>
      </c>
      <c r="B206" s="100">
        <f>+IF(F206&gt;0,A206,"")</f>
        <v>6.0980000000000327</v>
      </c>
      <c r="C206" s="107" t="s">
        <v>1024</v>
      </c>
      <c r="D206" s="108" t="s">
        <v>900</v>
      </c>
      <c r="E206" s="107" t="s">
        <v>47</v>
      </c>
      <c r="F206" s="109">
        <v>4</v>
      </c>
      <c r="G206" s="105"/>
      <c r="H206" s="106">
        <f t="shared" si="19"/>
        <v>0</v>
      </c>
    </row>
    <row r="207" spans="1:8" ht="27" x14ac:dyDescent="0.25">
      <c r="A207" s="113">
        <f>+IF(F207&gt;0.01,A206+0.001,A206)</f>
        <v>6.0990000000000331</v>
      </c>
      <c r="B207" s="100">
        <f>+IF(F207&gt;0,A207,"")</f>
        <v>6.0990000000000331</v>
      </c>
      <c r="C207" s="107" t="s">
        <v>1024</v>
      </c>
      <c r="D207" s="108" t="s">
        <v>901</v>
      </c>
      <c r="E207" s="107" t="s">
        <v>47</v>
      </c>
      <c r="F207" s="109">
        <v>4</v>
      </c>
      <c r="G207" s="105"/>
      <c r="H207" s="106">
        <f t="shared" si="19"/>
        <v>0</v>
      </c>
    </row>
    <row r="208" spans="1:8" ht="27" x14ac:dyDescent="0.25">
      <c r="A208" s="113">
        <f>+IF(F208&gt;0.01,A207+0.001,A207)</f>
        <v>6.1000000000000334</v>
      </c>
      <c r="B208" s="100">
        <f t="shared" ref="B208:B217" si="25">+IF(F208&gt;0,A208,"")</f>
        <v>6.1000000000000334</v>
      </c>
      <c r="C208" s="107" t="s">
        <v>1024</v>
      </c>
      <c r="D208" s="108" t="s">
        <v>902</v>
      </c>
      <c r="E208" s="107" t="s">
        <v>47</v>
      </c>
      <c r="F208" s="109">
        <v>4</v>
      </c>
      <c r="G208" s="105"/>
      <c r="H208" s="106">
        <f t="shared" si="19"/>
        <v>0</v>
      </c>
    </row>
    <row r="209" spans="1:8" ht="27" x14ac:dyDescent="0.25">
      <c r="A209" s="113">
        <f t="shared" ref="A209:A210" si="26">+IF(F209&gt;0.01,A208+0.001,A208)</f>
        <v>6.1010000000000337</v>
      </c>
      <c r="B209" s="100">
        <f t="shared" si="25"/>
        <v>6.1010000000000337</v>
      </c>
      <c r="C209" s="107" t="s">
        <v>1024</v>
      </c>
      <c r="D209" s="108" t="s">
        <v>903</v>
      </c>
      <c r="E209" s="107" t="s">
        <v>47</v>
      </c>
      <c r="F209" s="109">
        <v>4</v>
      </c>
      <c r="G209" s="105"/>
      <c r="H209" s="106">
        <f t="shared" si="19"/>
        <v>0</v>
      </c>
    </row>
    <row r="210" spans="1:8" ht="27" x14ac:dyDescent="0.25">
      <c r="A210" s="113">
        <f t="shared" si="26"/>
        <v>6.1020000000000341</v>
      </c>
      <c r="B210" s="100">
        <f t="shared" si="25"/>
        <v>6.1020000000000341</v>
      </c>
      <c r="C210" s="107" t="s">
        <v>1024</v>
      </c>
      <c r="D210" s="108" t="s">
        <v>904</v>
      </c>
      <c r="E210" s="107" t="s">
        <v>47</v>
      </c>
      <c r="F210" s="109">
        <v>4</v>
      </c>
      <c r="G210" s="105"/>
      <c r="H210" s="106">
        <f t="shared" si="19"/>
        <v>0</v>
      </c>
    </row>
    <row r="211" spans="1:8" ht="27" x14ac:dyDescent="0.25">
      <c r="A211" s="113"/>
      <c r="B211" s="100">
        <f t="shared" si="25"/>
        <v>0</v>
      </c>
      <c r="C211" s="107" t="s">
        <v>1024</v>
      </c>
      <c r="D211" s="108" t="s">
        <v>905</v>
      </c>
      <c r="E211" s="107" t="s">
        <v>47</v>
      </c>
      <c r="F211" s="109">
        <v>4</v>
      </c>
      <c r="G211" s="105"/>
      <c r="H211" s="106">
        <f t="shared" si="19"/>
        <v>0</v>
      </c>
    </row>
    <row r="212" spans="1:8" ht="27" x14ac:dyDescent="0.25">
      <c r="A212" s="113"/>
      <c r="B212" s="100">
        <f t="shared" si="25"/>
        <v>0</v>
      </c>
      <c r="C212" s="107" t="s">
        <v>1024</v>
      </c>
      <c r="D212" s="108" t="s">
        <v>906</v>
      </c>
      <c r="E212" s="107" t="s">
        <v>47</v>
      </c>
      <c r="F212" s="109">
        <v>4</v>
      </c>
      <c r="G212" s="105"/>
      <c r="H212" s="106">
        <f t="shared" si="19"/>
        <v>0</v>
      </c>
    </row>
    <row r="213" spans="1:8" ht="27" x14ac:dyDescent="0.25">
      <c r="A213" s="113"/>
      <c r="B213" s="100">
        <f t="shared" si="25"/>
        <v>0</v>
      </c>
      <c r="C213" s="107" t="s">
        <v>1024</v>
      </c>
      <c r="D213" s="108" t="s">
        <v>907</v>
      </c>
      <c r="E213" s="107" t="s">
        <v>47</v>
      </c>
      <c r="F213" s="109">
        <v>4</v>
      </c>
      <c r="G213" s="105"/>
      <c r="H213" s="106">
        <f t="shared" si="19"/>
        <v>0</v>
      </c>
    </row>
    <row r="214" spans="1:8" ht="27" x14ac:dyDescent="0.25">
      <c r="A214" s="113"/>
      <c r="B214" s="100">
        <f t="shared" si="25"/>
        <v>0</v>
      </c>
      <c r="C214" s="107" t="s">
        <v>1024</v>
      </c>
      <c r="D214" s="108" t="s">
        <v>908</v>
      </c>
      <c r="E214" s="107" t="s">
        <v>47</v>
      </c>
      <c r="F214" s="109">
        <v>4</v>
      </c>
      <c r="G214" s="105"/>
      <c r="H214" s="106">
        <f t="shared" si="19"/>
        <v>0</v>
      </c>
    </row>
    <row r="215" spans="1:8" x14ac:dyDescent="0.25">
      <c r="A215" s="113">
        <f>+IF(F215&gt;0.01,A208+0.001,A208)</f>
        <v>6.1000000000000334</v>
      </c>
      <c r="B215" s="100" t="str">
        <f t="shared" si="25"/>
        <v/>
      </c>
      <c r="C215" s="107"/>
      <c r="D215" s="108"/>
      <c r="E215" s="107"/>
      <c r="F215" s="109"/>
      <c r="G215" s="105"/>
      <c r="H215" s="106"/>
    </row>
    <row r="216" spans="1:8" x14ac:dyDescent="0.25">
      <c r="A216" s="113">
        <f t="shared" si="23"/>
        <v>6.1000000000000334</v>
      </c>
      <c r="B216" s="100" t="str">
        <f t="shared" si="25"/>
        <v/>
      </c>
      <c r="C216" s="107"/>
      <c r="D216" s="108"/>
      <c r="E216" s="107"/>
      <c r="F216" s="109"/>
      <c r="G216" s="105"/>
      <c r="H216" s="106"/>
    </row>
    <row r="217" spans="1:8" x14ac:dyDescent="0.25">
      <c r="A217" s="113">
        <f t="shared" si="23"/>
        <v>6.1000000000000334</v>
      </c>
      <c r="B217" s="100" t="str">
        <f t="shared" si="25"/>
        <v/>
      </c>
      <c r="C217" s="107"/>
      <c r="D217" s="108"/>
      <c r="E217" s="107"/>
      <c r="F217" s="109"/>
      <c r="G217" s="105"/>
      <c r="H217" s="106"/>
    </row>
    <row r="218" spans="1:8" x14ac:dyDescent="0.25">
      <c r="A218" s="113">
        <f t="shared" si="23"/>
        <v>6.1000000000000334</v>
      </c>
      <c r="B218" s="100" t="str">
        <f t="shared" si="24"/>
        <v/>
      </c>
      <c r="C218" s="107"/>
      <c r="D218" s="108"/>
      <c r="E218" s="107"/>
      <c r="F218" s="109"/>
      <c r="G218" s="105"/>
      <c r="H218" s="106" t="str">
        <f>IF(F218="","",G218*F218)</f>
        <v/>
      </c>
    </row>
    <row r="219" spans="1:8" x14ac:dyDescent="0.25">
      <c r="A219" s="113">
        <f t="shared" si="23"/>
        <v>6.1000000000000334</v>
      </c>
      <c r="B219" s="100" t="str">
        <f t="shared" si="24"/>
        <v/>
      </c>
      <c r="C219" s="107"/>
      <c r="D219" s="108"/>
      <c r="E219" s="107"/>
      <c r="F219" s="109"/>
      <c r="G219" s="105"/>
      <c r="H219" s="106" t="str">
        <f>IF(F219="","",G219*F219)</f>
        <v/>
      </c>
    </row>
    <row r="220" spans="1:8" x14ac:dyDescent="0.25">
      <c r="A220" s="113">
        <f t="shared" si="23"/>
        <v>6.1000000000000334</v>
      </c>
      <c r="B220" s="100" t="str">
        <f t="shared" si="24"/>
        <v/>
      </c>
      <c r="C220" s="107"/>
      <c r="D220" s="108"/>
      <c r="E220" s="107"/>
      <c r="F220" s="109"/>
      <c r="G220" s="105"/>
      <c r="H220" s="106" t="str">
        <f>IF(F220="","",G220*F220)</f>
        <v/>
      </c>
    </row>
    <row r="221" spans="1:8" x14ac:dyDescent="0.25">
      <c r="A221" s="113">
        <f t="shared" si="23"/>
        <v>6.1000000000000334</v>
      </c>
      <c r="B221" s="100" t="str">
        <f t="shared" si="24"/>
        <v/>
      </c>
      <c r="C221" s="107"/>
      <c r="D221" s="108"/>
      <c r="E221" s="107"/>
      <c r="F221" s="109"/>
      <c r="G221" s="105"/>
      <c r="H221" s="106" t="str">
        <f t="shared" ref="H221:H231" si="27">IF(F221="","",G221*F221)</f>
        <v/>
      </c>
    </row>
    <row r="222" spans="1:8" x14ac:dyDescent="0.25">
      <c r="A222" s="113">
        <f t="shared" si="23"/>
        <v>6.1000000000000334</v>
      </c>
      <c r="B222" s="100" t="str">
        <f t="shared" si="24"/>
        <v/>
      </c>
      <c r="C222" s="107"/>
      <c r="D222" s="108"/>
      <c r="E222" s="107"/>
      <c r="F222" s="109"/>
      <c r="G222" s="105"/>
      <c r="H222" s="106" t="str">
        <f t="shared" si="27"/>
        <v/>
      </c>
    </row>
    <row r="223" spans="1:8" x14ac:dyDescent="0.25">
      <c r="A223" s="113">
        <f t="shared" si="23"/>
        <v>6.1000000000000334</v>
      </c>
      <c r="B223" s="100" t="str">
        <f t="shared" si="24"/>
        <v/>
      </c>
      <c r="C223" s="107"/>
      <c r="D223" s="108"/>
      <c r="E223" s="107"/>
      <c r="F223" s="109"/>
      <c r="G223" s="105"/>
      <c r="H223" s="106" t="str">
        <f t="shared" si="27"/>
        <v/>
      </c>
    </row>
    <row r="224" spans="1:8" x14ac:dyDescent="0.25">
      <c r="A224" s="113">
        <f t="shared" si="23"/>
        <v>6.1000000000000334</v>
      </c>
      <c r="B224" s="100" t="str">
        <f t="shared" si="24"/>
        <v/>
      </c>
      <c r="C224" s="107"/>
      <c r="D224" s="108"/>
      <c r="E224" s="107"/>
      <c r="F224" s="109"/>
      <c r="G224" s="105"/>
      <c r="H224" s="106" t="str">
        <f t="shared" si="27"/>
        <v/>
      </c>
    </row>
    <row r="225" spans="1:8" x14ac:dyDescent="0.25">
      <c r="A225" s="113">
        <f t="shared" si="23"/>
        <v>6.1000000000000334</v>
      </c>
      <c r="B225" s="100" t="str">
        <f t="shared" si="24"/>
        <v/>
      </c>
      <c r="C225" s="107"/>
      <c r="D225" s="108"/>
      <c r="E225" s="107"/>
      <c r="F225" s="109"/>
      <c r="G225" s="105"/>
      <c r="H225" s="106" t="str">
        <f t="shared" si="27"/>
        <v/>
      </c>
    </row>
    <row r="226" spans="1:8" x14ac:dyDescent="0.25">
      <c r="A226" s="113">
        <f t="shared" si="23"/>
        <v>6.1000000000000334</v>
      </c>
      <c r="B226" s="100" t="str">
        <f t="shared" si="24"/>
        <v/>
      </c>
      <c r="C226" s="107"/>
      <c r="D226" s="108"/>
      <c r="E226" s="107"/>
      <c r="F226" s="109"/>
      <c r="G226" s="105"/>
      <c r="H226" s="106" t="str">
        <f t="shared" si="27"/>
        <v/>
      </c>
    </row>
    <row r="227" spans="1:8" x14ac:dyDescent="0.25">
      <c r="A227" s="113">
        <f t="shared" si="23"/>
        <v>6.1000000000000334</v>
      </c>
      <c r="B227" s="100" t="str">
        <f t="shared" si="24"/>
        <v/>
      </c>
      <c r="C227" s="107"/>
      <c r="D227" s="108"/>
      <c r="E227" s="107"/>
      <c r="F227" s="109"/>
      <c r="G227" s="105"/>
      <c r="H227" s="106" t="str">
        <f t="shared" si="27"/>
        <v/>
      </c>
    </row>
    <row r="228" spans="1:8" x14ac:dyDescent="0.25">
      <c r="A228" s="113"/>
      <c r="B228" s="100"/>
      <c r="C228" s="107"/>
      <c r="D228" s="108"/>
      <c r="E228" s="107"/>
      <c r="F228" s="109"/>
      <c r="G228" s="105"/>
      <c r="H228" s="106" t="str">
        <f t="shared" si="27"/>
        <v/>
      </c>
    </row>
    <row r="229" spans="1:8" x14ac:dyDescent="0.25">
      <c r="A229" s="113"/>
      <c r="B229" s="100"/>
      <c r="C229" s="107"/>
      <c r="D229" s="108"/>
      <c r="E229" s="107"/>
      <c r="F229" s="109"/>
      <c r="G229" s="105"/>
      <c r="H229" s="106" t="str">
        <f t="shared" si="27"/>
        <v/>
      </c>
    </row>
    <row r="230" spans="1:8" x14ac:dyDescent="0.25">
      <c r="A230" s="113"/>
      <c r="B230" s="100"/>
      <c r="C230" s="107"/>
      <c r="D230" s="108"/>
      <c r="E230" s="107"/>
      <c r="F230" s="109"/>
      <c r="G230" s="105"/>
      <c r="H230" s="106" t="str">
        <f t="shared" si="27"/>
        <v/>
      </c>
    </row>
    <row r="231" spans="1:8" x14ac:dyDescent="0.25">
      <c r="A231" s="113"/>
      <c r="B231" s="100"/>
      <c r="C231" s="107"/>
      <c r="D231" s="108"/>
      <c r="E231" s="107"/>
      <c r="F231" s="109"/>
      <c r="G231" s="105"/>
      <c r="H231" s="106" t="str">
        <f t="shared" si="27"/>
        <v/>
      </c>
    </row>
    <row r="232" spans="1:8" x14ac:dyDescent="0.25">
      <c r="A232" s="113"/>
      <c r="B232" s="100"/>
      <c r="C232" s="107"/>
      <c r="D232" s="108"/>
      <c r="E232" s="107"/>
      <c r="F232" s="109"/>
      <c r="G232" s="105"/>
      <c r="H232" s="106"/>
    </row>
    <row r="233" spans="1:8" x14ac:dyDescent="0.25">
      <c r="A233" s="113"/>
      <c r="B233" s="100"/>
      <c r="C233" s="107"/>
      <c r="D233" s="108"/>
      <c r="E233" s="107"/>
      <c r="F233" s="109"/>
      <c r="G233" s="105"/>
      <c r="H233" s="106" t="str">
        <f t="shared" ref="H233:H242" si="28">IF(F233="","",G233*F233)</f>
        <v/>
      </c>
    </row>
    <row r="234" spans="1:8" x14ac:dyDescent="0.25">
      <c r="A234" s="113"/>
      <c r="B234" s="100"/>
      <c r="C234" s="107"/>
      <c r="D234" s="108"/>
      <c r="E234" s="107"/>
      <c r="F234" s="109"/>
      <c r="G234" s="105"/>
      <c r="H234" s="106" t="str">
        <f t="shared" si="28"/>
        <v/>
      </c>
    </row>
    <row r="235" spans="1:8" x14ac:dyDescent="0.25">
      <c r="A235" s="113"/>
      <c r="B235" s="100"/>
      <c r="C235" s="107"/>
      <c r="D235" s="108"/>
      <c r="E235" s="107"/>
      <c r="F235" s="109"/>
      <c r="G235" s="105"/>
      <c r="H235" s="106" t="str">
        <f t="shared" si="28"/>
        <v/>
      </c>
    </row>
    <row r="236" spans="1:8" x14ac:dyDescent="0.25">
      <c r="A236" s="113"/>
      <c r="B236" s="100"/>
      <c r="C236" s="107"/>
      <c r="D236" s="108"/>
      <c r="E236" s="107"/>
      <c r="F236" s="109"/>
      <c r="G236" s="105"/>
      <c r="H236" s="106" t="str">
        <f t="shared" si="28"/>
        <v/>
      </c>
    </row>
    <row r="237" spans="1:8" x14ac:dyDescent="0.25">
      <c r="A237" s="113"/>
      <c r="B237" s="100"/>
      <c r="C237" s="107"/>
      <c r="D237" s="108"/>
      <c r="E237" s="107"/>
      <c r="F237" s="109"/>
      <c r="G237" s="105"/>
      <c r="H237" s="106" t="str">
        <f t="shared" si="28"/>
        <v/>
      </c>
    </row>
    <row r="238" spans="1:8" x14ac:dyDescent="0.25">
      <c r="A238" s="113"/>
      <c r="B238" s="100"/>
      <c r="C238" s="107"/>
      <c r="D238" s="108"/>
      <c r="E238" s="107"/>
      <c r="F238" s="109"/>
      <c r="G238" s="105"/>
      <c r="H238" s="106" t="str">
        <f t="shared" si="28"/>
        <v/>
      </c>
    </row>
    <row r="239" spans="1:8" x14ac:dyDescent="0.25">
      <c r="A239" s="113"/>
      <c r="B239" s="100"/>
      <c r="C239" s="107"/>
      <c r="D239" s="108"/>
      <c r="E239" s="107"/>
      <c r="F239" s="109"/>
      <c r="G239" s="105"/>
      <c r="H239" s="106" t="str">
        <f t="shared" si="28"/>
        <v/>
      </c>
    </row>
    <row r="240" spans="1:8" x14ac:dyDescent="0.25">
      <c r="A240" s="113"/>
      <c r="B240" s="100"/>
      <c r="C240" s="107"/>
      <c r="D240" s="108"/>
      <c r="E240" s="107"/>
      <c r="F240" s="109"/>
      <c r="G240" s="105"/>
      <c r="H240" s="106" t="str">
        <f t="shared" si="28"/>
        <v/>
      </c>
    </row>
    <row r="241" spans="1:8" x14ac:dyDescent="0.25">
      <c r="A241" s="113"/>
      <c r="B241" s="100"/>
      <c r="C241" s="107"/>
      <c r="D241" s="108"/>
      <c r="E241" s="107"/>
      <c r="F241" s="109"/>
      <c r="G241" s="105"/>
      <c r="H241" s="106" t="str">
        <f t="shared" si="28"/>
        <v/>
      </c>
    </row>
    <row r="242" spans="1:8" x14ac:dyDescent="0.25">
      <c r="A242" s="113"/>
      <c r="B242" s="100"/>
      <c r="C242" s="107"/>
      <c r="D242" s="108"/>
      <c r="E242" s="107"/>
      <c r="F242" s="109"/>
      <c r="G242" s="105"/>
      <c r="H242" s="106" t="str">
        <f t="shared" si="28"/>
        <v/>
      </c>
    </row>
    <row r="243" spans="1:8" ht="15.75" thickBot="1" x14ac:dyDescent="0.3">
      <c r="A243" s="113"/>
      <c r="B243" s="100"/>
      <c r="C243" s="107"/>
      <c r="D243" s="108"/>
      <c r="E243" s="107"/>
      <c r="F243" s="109"/>
      <c r="G243" s="105"/>
      <c r="H243" s="106"/>
    </row>
    <row r="244" spans="1:8" ht="15.75" thickBot="1" x14ac:dyDescent="0.3">
      <c r="A244" s="113"/>
      <c r="B244" s="173" t="s">
        <v>360</v>
      </c>
      <c r="C244" s="174"/>
      <c r="D244" s="174"/>
      <c r="E244" s="174"/>
      <c r="F244" s="174"/>
      <c r="G244" s="175"/>
      <c r="H244" s="117">
        <f>SUM(H213:H243)</f>
        <v>0</v>
      </c>
    </row>
    <row r="245" spans="1:8" ht="24.75" thickBot="1" x14ac:dyDescent="0.3">
      <c r="A245" s="113"/>
      <c r="B245" s="114" t="s">
        <v>36</v>
      </c>
      <c r="C245" s="97" t="s">
        <v>94</v>
      </c>
      <c r="D245" s="115" t="s">
        <v>38</v>
      </c>
      <c r="E245" s="115" t="s">
        <v>37</v>
      </c>
      <c r="F245" s="115" t="s">
        <v>81</v>
      </c>
      <c r="G245" s="116" t="s">
        <v>86</v>
      </c>
      <c r="H245" s="99" t="s">
        <v>95</v>
      </c>
    </row>
    <row r="246" spans="1:8" ht="15.75" thickBot="1" x14ac:dyDescent="0.3">
      <c r="A246" s="113"/>
      <c r="B246" s="171" t="s">
        <v>361</v>
      </c>
      <c r="C246" s="172"/>
      <c r="D246" s="172"/>
      <c r="E246" s="172"/>
      <c r="F246" s="172"/>
      <c r="G246" s="172"/>
      <c r="H246" s="117">
        <f>H244</f>
        <v>0</v>
      </c>
    </row>
    <row r="247" spans="1:8" x14ac:dyDescent="0.25">
      <c r="A247" s="113"/>
      <c r="B247" s="100"/>
      <c r="C247" s="107"/>
      <c r="D247" s="108"/>
      <c r="E247" s="107"/>
      <c r="F247" s="109"/>
      <c r="G247" s="105"/>
      <c r="H247" s="106"/>
    </row>
    <row r="248" spans="1:8" x14ac:dyDescent="0.25">
      <c r="A248" s="113">
        <f>+IF(F248&gt;0.01,A227+0.001,A227)</f>
        <v>6.1000000000000334</v>
      </c>
      <c r="B248" s="100" t="str">
        <f t="shared" si="24"/>
        <v/>
      </c>
      <c r="C248" s="107"/>
      <c r="D248" s="108"/>
      <c r="E248" s="107"/>
      <c r="F248" s="109"/>
      <c r="G248" s="105"/>
      <c r="H248" s="106" t="str">
        <f t="shared" ref="H248" si="29">IF(F248="","",G248*F248)</f>
        <v/>
      </c>
    </row>
    <row r="249" spans="1:8" x14ac:dyDescent="0.25">
      <c r="A249" s="113">
        <f t="shared" si="23"/>
        <v>6.1000000000000334</v>
      </c>
      <c r="B249" s="100" t="str">
        <f t="shared" si="24"/>
        <v/>
      </c>
      <c r="C249" s="107"/>
      <c r="D249" s="108"/>
      <c r="E249" s="107"/>
      <c r="F249" s="109"/>
      <c r="G249" s="105"/>
      <c r="H249" s="106" t="str">
        <f t="shared" ref="H249:H254" si="30">IF(F249="","",G249*F249)</f>
        <v/>
      </c>
    </row>
    <row r="250" spans="1:8" x14ac:dyDescent="0.25">
      <c r="A250" s="113">
        <f t="shared" si="23"/>
        <v>6.1000000000000334</v>
      </c>
      <c r="B250" s="100" t="str">
        <f t="shared" si="24"/>
        <v/>
      </c>
      <c r="C250" s="107"/>
      <c r="D250" s="108"/>
      <c r="E250" s="107"/>
      <c r="F250" s="109"/>
      <c r="G250" s="105"/>
      <c r="H250" s="106" t="str">
        <f t="shared" si="30"/>
        <v/>
      </c>
    </row>
    <row r="251" spans="1:8" x14ac:dyDescent="0.25">
      <c r="A251" s="113">
        <f t="shared" si="23"/>
        <v>6.1000000000000334</v>
      </c>
      <c r="B251" s="100" t="str">
        <f t="shared" si="24"/>
        <v/>
      </c>
      <c r="C251" s="107"/>
      <c r="D251" s="108"/>
      <c r="E251" s="107"/>
      <c r="F251" s="109"/>
      <c r="G251" s="105"/>
      <c r="H251" s="106" t="str">
        <f t="shared" si="30"/>
        <v/>
      </c>
    </row>
    <row r="252" spans="1:8" x14ac:dyDescent="0.25">
      <c r="A252" s="113">
        <f t="shared" si="23"/>
        <v>6.1000000000000334</v>
      </c>
      <c r="B252" s="100" t="str">
        <f t="shared" si="24"/>
        <v/>
      </c>
      <c r="C252" s="107"/>
      <c r="D252" s="108"/>
      <c r="E252" s="107"/>
      <c r="F252" s="109"/>
      <c r="G252" s="105"/>
      <c r="H252" s="106" t="str">
        <f t="shared" si="30"/>
        <v/>
      </c>
    </row>
    <row r="253" spans="1:8" x14ac:dyDescent="0.25">
      <c r="A253" s="113">
        <f t="shared" si="23"/>
        <v>6.1000000000000334</v>
      </c>
      <c r="B253" s="100" t="str">
        <f t="shared" si="24"/>
        <v/>
      </c>
      <c r="C253" s="107"/>
      <c r="D253" s="108"/>
      <c r="E253" s="107"/>
      <c r="F253" s="109"/>
      <c r="G253" s="105"/>
      <c r="H253" s="106" t="str">
        <f t="shared" si="30"/>
        <v/>
      </c>
    </row>
    <row r="254" spans="1:8" x14ac:dyDescent="0.25">
      <c r="A254" s="113">
        <f t="shared" si="23"/>
        <v>6.1000000000000334</v>
      </c>
      <c r="B254" s="100" t="str">
        <f t="shared" si="24"/>
        <v/>
      </c>
      <c r="C254" s="107"/>
      <c r="D254" s="108"/>
      <c r="E254" s="107"/>
      <c r="F254" s="109"/>
      <c r="G254" s="105"/>
      <c r="H254" s="106" t="str">
        <f t="shared" si="30"/>
        <v/>
      </c>
    </row>
    <row r="255" spans="1:8" x14ac:dyDescent="0.25">
      <c r="A255" s="113">
        <f t="shared" si="23"/>
        <v>6.1000000000000334</v>
      </c>
      <c r="B255" s="100" t="str">
        <f t="shared" si="24"/>
        <v/>
      </c>
      <c r="C255" s="107"/>
      <c r="D255" s="108"/>
      <c r="E255" s="107"/>
      <c r="F255" s="109"/>
      <c r="G255" s="105"/>
      <c r="H255" s="106"/>
    </row>
    <row r="256" spans="1:8" x14ac:dyDescent="0.25">
      <c r="A256" s="113">
        <f t="shared" si="23"/>
        <v>6.1000000000000334</v>
      </c>
      <c r="B256" s="100" t="str">
        <f t="shared" si="24"/>
        <v/>
      </c>
      <c r="C256" s="107"/>
      <c r="D256" s="112"/>
      <c r="E256" s="107"/>
      <c r="F256" s="109"/>
      <c r="G256" s="105"/>
      <c r="H256" s="106"/>
    </row>
    <row r="257" spans="1:8" x14ac:dyDescent="0.25">
      <c r="A257" s="113">
        <f t="shared" si="23"/>
        <v>6.1000000000000334</v>
      </c>
      <c r="B257" s="100" t="str">
        <f t="shared" si="24"/>
        <v/>
      </c>
      <c r="C257" s="107"/>
      <c r="D257" s="108"/>
      <c r="E257" s="107"/>
      <c r="F257" s="109"/>
      <c r="G257" s="105"/>
      <c r="H257" s="106" t="str">
        <f>IF(F257="","",G257*F257)</f>
        <v/>
      </c>
    </row>
    <row r="258" spans="1:8" x14ac:dyDescent="0.25">
      <c r="A258" s="113">
        <f t="shared" si="23"/>
        <v>6.1000000000000334</v>
      </c>
      <c r="B258" s="100" t="str">
        <f t="shared" si="24"/>
        <v/>
      </c>
      <c r="C258" s="107"/>
      <c r="D258" s="108"/>
      <c r="E258" s="107"/>
      <c r="F258" s="109"/>
      <c r="G258" s="105"/>
      <c r="H258" s="106" t="str">
        <f>IF(F258="","",G258*F258)</f>
        <v/>
      </c>
    </row>
    <row r="259" spans="1:8" x14ac:dyDescent="0.25">
      <c r="A259" s="113">
        <f t="shared" si="23"/>
        <v>6.1000000000000334</v>
      </c>
      <c r="B259" s="100" t="str">
        <f t="shared" si="24"/>
        <v/>
      </c>
      <c r="C259" s="107"/>
      <c r="D259" s="108"/>
      <c r="E259" s="107"/>
      <c r="F259" s="109"/>
      <c r="G259" s="105"/>
      <c r="H259" s="106"/>
    </row>
    <row r="260" spans="1:8" x14ac:dyDescent="0.25">
      <c r="A260" s="113">
        <f t="shared" si="23"/>
        <v>6.1000000000000334</v>
      </c>
      <c r="B260" s="100" t="str">
        <f t="shared" si="24"/>
        <v/>
      </c>
      <c r="C260" s="107"/>
      <c r="D260" s="112"/>
      <c r="E260" s="107"/>
      <c r="F260" s="109"/>
      <c r="G260" s="105"/>
      <c r="H260" s="106" t="str">
        <f t="shared" ref="H260:H283" si="31">IF(F260="","",G260*F260)</f>
        <v/>
      </c>
    </row>
    <row r="261" spans="1:8" x14ac:dyDescent="0.25">
      <c r="A261" s="113">
        <f t="shared" si="23"/>
        <v>6.1000000000000334</v>
      </c>
      <c r="B261" s="100" t="str">
        <f t="shared" si="24"/>
        <v/>
      </c>
      <c r="C261" s="107"/>
      <c r="D261" s="108"/>
      <c r="E261" s="107"/>
      <c r="F261" s="109"/>
      <c r="G261" s="105"/>
      <c r="H261" s="106" t="str">
        <f t="shared" si="31"/>
        <v/>
      </c>
    </row>
    <row r="262" spans="1:8" x14ac:dyDescent="0.25">
      <c r="A262" s="113">
        <f t="shared" si="23"/>
        <v>6.1000000000000334</v>
      </c>
      <c r="B262" s="100" t="str">
        <f t="shared" si="24"/>
        <v/>
      </c>
      <c r="C262" s="107"/>
      <c r="D262" s="108"/>
      <c r="E262" s="107"/>
      <c r="F262" s="109"/>
      <c r="G262" s="105"/>
      <c r="H262" s="106" t="str">
        <f t="shared" si="31"/>
        <v/>
      </c>
    </row>
    <row r="263" spans="1:8" x14ac:dyDescent="0.25">
      <c r="A263" s="113">
        <f t="shared" si="23"/>
        <v>6.1000000000000334</v>
      </c>
      <c r="B263" s="100" t="str">
        <f t="shared" si="24"/>
        <v/>
      </c>
      <c r="C263" s="107"/>
      <c r="D263" s="108"/>
      <c r="E263" s="107"/>
      <c r="F263" s="109"/>
      <c r="G263" s="105"/>
      <c r="H263" s="106" t="str">
        <f t="shared" si="31"/>
        <v/>
      </c>
    </row>
    <row r="264" spans="1:8" x14ac:dyDescent="0.25">
      <c r="A264" s="113">
        <f t="shared" si="23"/>
        <v>6.1000000000000334</v>
      </c>
      <c r="B264" s="100" t="str">
        <f t="shared" si="24"/>
        <v/>
      </c>
      <c r="C264" s="107"/>
      <c r="D264" s="108"/>
      <c r="E264" s="107"/>
      <c r="F264" s="109"/>
      <c r="G264" s="105"/>
      <c r="H264" s="106" t="str">
        <f t="shared" si="31"/>
        <v/>
      </c>
    </row>
    <row r="265" spans="1:8" x14ac:dyDescent="0.25">
      <c r="A265" s="113">
        <f>+IF(F265&gt;0.01,A264+0.001,A264)</f>
        <v>6.1000000000000334</v>
      </c>
      <c r="B265" s="100" t="str">
        <f>+IF(F265&gt;0,A265,"")</f>
        <v/>
      </c>
      <c r="C265" s="107"/>
      <c r="D265" s="108"/>
      <c r="E265" s="107"/>
      <c r="F265" s="109"/>
      <c r="G265" s="105"/>
      <c r="H265" s="106" t="str">
        <f t="shared" si="31"/>
        <v/>
      </c>
    </row>
    <row r="266" spans="1:8" x14ac:dyDescent="0.25">
      <c r="A266" s="113">
        <f>+IF(F266&gt;0.01,A265+0.001,A265)</f>
        <v>6.1000000000000334</v>
      </c>
      <c r="B266" s="100" t="str">
        <f>+IF(F266&gt;0,A266,"")</f>
        <v/>
      </c>
      <c r="C266" s="107"/>
      <c r="D266" s="108"/>
      <c r="E266" s="107"/>
      <c r="F266" s="109"/>
      <c r="G266" s="105"/>
      <c r="H266" s="106" t="str">
        <f t="shared" si="31"/>
        <v/>
      </c>
    </row>
    <row r="267" spans="1:8" x14ac:dyDescent="0.25">
      <c r="A267" s="113">
        <f>+IF(F267&gt;0.01,A266+0.001,A266)</f>
        <v>6.1000000000000334</v>
      </c>
      <c r="B267" s="100" t="str">
        <f>+IF(F267&gt;0,A267,"")</f>
        <v/>
      </c>
      <c r="C267" s="107"/>
      <c r="D267" s="108"/>
      <c r="E267" s="107"/>
      <c r="F267" s="109"/>
      <c r="G267" s="105"/>
      <c r="H267" s="106" t="str">
        <f t="shared" si="31"/>
        <v/>
      </c>
    </row>
    <row r="268" spans="1:8" ht="30" customHeight="1" x14ac:dyDescent="0.25">
      <c r="A268" s="113"/>
      <c r="B268" s="100"/>
      <c r="C268" s="107"/>
      <c r="D268" s="108"/>
      <c r="E268" s="107"/>
      <c r="F268" s="109"/>
      <c r="G268" s="105"/>
      <c r="H268" s="106" t="str">
        <f t="shared" si="31"/>
        <v/>
      </c>
    </row>
    <row r="269" spans="1:8" x14ac:dyDescent="0.25">
      <c r="A269" s="113">
        <f>+IF(F269&gt;0.01,A264+0.001,A264)</f>
        <v>6.1000000000000334</v>
      </c>
      <c r="B269" s="100" t="str">
        <f t="shared" ref="B269:B348" si="32">+IF(F269&gt;0,A269,"")</f>
        <v/>
      </c>
      <c r="C269" s="107"/>
      <c r="D269" s="108"/>
      <c r="E269" s="107"/>
      <c r="F269" s="109"/>
      <c r="G269" s="105"/>
      <c r="H269" s="106" t="str">
        <f t="shared" si="31"/>
        <v/>
      </c>
    </row>
    <row r="270" spans="1:8" x14ac:dyDescent="0.25">
      <c r="A270" s="113">
        <f t="shared" ref="A270:A281" si="33">+IF(F270&gt;0.01,A269+0.001,A269)</f>
        <v>6.1000000000000334</v>
      </c>
      <c r="B270" s="100" t="str">
        <f t="shared" si="32"/>
        <v/>
      </c>
      <c r="C270" s="107"/>
      <c r="D270" s="108"/>
      <c r="E270" s="107"/>
      <c r="F270" s="109"/>
      <c r="G270" s="105"/>
      <c r="H270" s="106" t="str">
        <f t="shared" si="31"/>
        <v/>
      </c>
    </row>
    <row r="271" spans="1:8" x14ac:dyDescent="0.25">
      <c r="A271" s="113">
        <f t="shared" si="33"/>
        <v>6.1000000000000334</v>
      </c>
      <c r="B271" s="100" t="str">
        <f t="shared" si="32"/>
        <v/>
      </c>
      <c r="C271" s="107"/>
      <c r="D271" s="108"/>
      <c r="E271" s="107"/>
      <c r="F271" s="109"/>
      <c r="G271" s="105"/>
      <c r="H271" s="106" t="str">
        <f t="shared" si="31"/>
        <v/>
      </c>
    </row>
    <row r="272" spans="1:8" x14ac:dyDescent="0.25">
      <c r="A272" s="113">
        <f t="shared" si="33"/>
        <v>6.1000000000000334</v>
      </c>
      <c r="B272" s="100" t="str">
        <f t="shared" si="32"/>
        <v/>
      </c>
      <c r="C272" s="107"/>
      <c r="D272" s="108"/>
      <c r="E272" s="107"/>
      <c r="F272" s="109"/>
      <c r="G272" s="105"/>
      <c r="H272" s="106" t="str">
        <f t="shared" si="31"/>
        <v/>
      </c>
    </row>
    <row r="273" spans="1:8" x14ac:dyDescent="0.25">
      <c r="A273" s="113"/>
      <c r="B273" s="100"/>
      <c r="C273" s="107"/>
      <c r="D273" s="108"/>
      <c r="E273" s="107"/>
      <c r="F273" s="109"/>
      <c r="G273" s="105"/>
      <c r="H273" s="106"/>
    </row>
    <row r="274" spans="1:8" ht="15.75" thickBot="1" x14ac:dyDescent="0.3">
      <c r="A274" s="113"/>
      <c r="B274" s="100"/>
      <c r="C274" s="107"/>
      <c r="D274" s="108"/>
      <c r="E274" s="107"/>
      <c r="F274" s="109"/>
      <c r="G274" s="105"/>
      <c r="H274" s="106"/>
    </row>
    <row r="275" spans="1:8" ht="15.75" thickBot="1" x14ac:dyDescent="0.3">
      <c r="A275" s="113"/>
      <c r="B275" s="173" t="s">
        <v>360</v>
      </c>
      <c r="C275" s="174"/>
      <c r="D275" s="174"/>
      <c r="E275" s="174"/>
      <c r="F275" s="174"/>
      <c r="G275" s="175"/>
      <c r="H275" s="117">
        <f>SUM(H246:H274)</f>
        <v>0</v>
      </c>
    </row>
    <row r="276" spans="1:8" ht="24.75" thickBot="1" x14ac:dyDescent="0.3">
      <c r="A276" s="113"/>
      <c r="B276" s="114" t="s">
        <v>36</v>
      </c>
      <c r="C276" s="97" t="s">
        <v>94</v>
      </c>
      <c r="D276" s="115" t="s">
        <v>38</v>
      </c>
      <c r="E276" s="115" t="s">
        <v>37</v>
      </c>
      <c r="F276" s="115" t="s">
        <v>81</v>
      </c>
      <c r="G276" s="116" t="s">
        <v>86</v>
      </c>
      <c r="H276" s="99" t="s">
        <v>95</v>
      </c>
    </row>
    <row r="277" spans="1:8" ht="15.75" thickBot="1" x14ac:dyDescent="0.3">
      <c r="A277" s="113"/>
      <c r="B277" s="171" t="s">
        <v>361</v>
      </c>
      <c r="C277" s="172"/>
      <c r="D277" s="172"/>
      <c r="E277" s="172"/>
      <c r="F277" s="172"/>
      <c r="G277" s="172"/>
      <c r="H277" s="117">
        <f>H275</f>
        <v>0</v>
      </c>
    </row>
    <row r="278" spans="1:8" x14ac:dyDescent="0.25">
      <c r="A278" s="113"/>
      <c r="B278" s="100"/>
      <c r="C278" s="107"/>
      <c r="D278" s="108"/>
      <c r="E278" s="107"/>
      <c r="F278" s="109"/>
      <c r="G278" s="105"/>
      <c r="H278" s="106"/>
    </row>
    <row r="279" spans="1:8" x14ac:dyDescent="0.25">
      <c r="A279" s="113"/>
      <c r="B279" s="100"/>
      <c r="C279" s="107"/>
      <c r="D279" s="108"/>
      <c r="E279" s="107"/>
      <c r="F279" s="109"/>
      <c r="G279" s="105"/>
      <c r="H279" s="106"/>
    </row>
    <row r="280" spans="1:8" x14ac:dyDescent="0.25">
      <c r="A280" s="113">
        <f>+IF(F280&gt;0.01,A272+0.001,A272)</f>
        <v>6.1000000000000334</v>
      </c>
      <c r="B280" s="100" t="str">
        <f t="shared" si="32"/>
        <v/>
      </c>
      <c r="C280" s="107"/>
      <c r="D280" s="108"/>
      <c r="E280" s="107"/>
      <c r="F280" s="109"/>
      <c r="G280" s="105"/>
      <c r="H280" s="106" t="str">
        <f t="shared" si="31"/>
        <v/>
      </c>
    </row>
    <row r="281" spans="1:8" ht="44.25" customHeight="1" x14ac:dyDescent="0.25">
      <c r="A281" s="113">
        <f t="shared" si="33"/>
        <v>6.1000000000000334</v>
      </c>
      <c r="B281" s="100" t="str">
        <f t="shared" si="32"/>
        <v/>
      </c>
      <c r="C281" s="107"/>
      <c r="D281" s="108"/>
      <c r="E281" s="107"/>
      <c r="F281" s="109"/>
      <c r="G281" s="105"/>
      <c r="H281" s="106" t="str">
        <f t="shared" si="31"/>
        <v/>
      </c>
    </row>
    <row r="282" spans="1:8" x14ac:dyDescent="0.25">
      <c r="A282" s="113">
        <f t="shared" ref="A282:A300" si="34">+IF(F282&gt;0.01,A281+0.001,A281)</f>
        <v>6.1000000000000334</v>
      </c>
      <c r="B282" s="100" t="str">
        <f t="shared" ref="B282:B300" si="35">+IF(F282&gt;0,A282,"")</f>
        <v/>
      </c>
      <c r="C282" s="107"/>
      <c r="D282" s="108"/>
      <c r="E282" s="107"/>
      <c r="F282" s="109"/>
      <c r="G282" s="105"/>
      <c r="H282" s="106" t="str">
        <f t="shared" si="31"/>
        <v/>
      </c>
    </row>
    <row r="283" spans="1:8" x14ac:dyDescent="0.25">
      <c r="A283" s="113">
        <f t="shared" si="34"/>
        <v>6.1000000000000334</v>
      </c>
      <c r="B283" s="100" t="str">
        <f t="shared" si="35"/>
        <v/>
      </c>
      <c r="C283" s="107"/>
      <c r="D283" s="108"/>
      <c r="E283" s="107"/>
      <c r="F283" s="109"/>
      <c r="G283" s="105"/>
      <c r="H283" s="106" t="str">
        <f t="shared" si="31"/>
        <v/>
      </c>
    </row>
    <row r="284" spans="1:8" x14ac:dyDescent="0.25">
      <c r="A284" s="113">
        <f t="shared" si="34"/>
        <v>6.1000000000000334</v>
      </c>
      <c r="B284" s="100" t="str">
        <f t="shared" si="35"/>
        <v/>
      </c>
      <c r="C284" s="107"/>
      <c r="D284" s="108"/>
      <c r="E284" s="107"/>
      <c r="F284" s="109"/>
      <c r="G284" s="105"/>
      <c r="H284" s="106"/>
    </row>
    <row r="285" spans="1:8" x14ac:dyDescent="0.25">
      <c r="A285" s="113">
        <f t="shared" si="34"/>
        <v>6.1000000000000334</v>
      </c>
      <c r="B285" s="100" t="str">
        <f t="shared" si="35"/>
        <v/>
      </c>
      <c r="C285" s="107"/>
      <c r="D285" s="108"/>
      <c r="E285" s="107"/>
      <c r="F285" s="109"/>
      <c r="G285" s="105"/>
      <c r="H285" s="106" t="str">
        <f>IF(F285="","",G285*F285)</f>
        <v/>
      </c>
    </row>
    <row r="286" spans="1:8" x14ac:dyDescent="0.25">
      <c r="A286" s="113">
        <f t="shared" si="34"/>
        <v>6.1000000000000334</v>
      </c>
      <c r="B286" s="100" t="str">
        <f t="shared" si="35"/>
        <v/>
      </c>
      <c r="C286" s="107"/>
      <c r="D286" s="108"/>
      <c r="E286" s="107"/>
      <c r="F286" s="109"/>
      <c r="G286" s="105"/>
      <c r="H286" s="106" t="str">
        <f>IF(F286="","",G286*F286)</f>
        <v/>
      </c>
    </row>
    <row r="287" spans="1:8" x14ac:dyDescent="0.25">
      <c r="A287" s="113">
        <f t="shared" si="34"/>
        <v>6.1000000000000334</v>
      </c>
      <c r="B287" s="100" t="str">
        <f t="shared" si="35"/>
        <v/>
      </c>
      <c r="C287" s="107"/>
      <c r="D287" s="108"/>
      <c r="E287" s="107"/>
      <c r="F287" s="109"/>
      <c r="G287" s="105"/>
      <c r="H287" s="106"/>
    </row>
    <row r="288" spans="1:8" ht="45" customHeight="1" x14ac:dyDescent="0.25">
      <c r="A288" s="113">
        <f t="shared" si="34"/>
        <v>6.1000000000000334</v>
      </c>
      <c r="B288" s="100" t="str">
        <f t="shared" si="35"/>
        <v/>
      </c>
      <c r="C288" s="107"/>
      <c r="D288" s="108"/>
      <c r="E288" s="107"/>
      <c r="F288" s="109"/>
      <c r="G288" s="105"/>
      <c r="H288" s="106" t="str">
        <f t="shared" ref="H288:H300" si="36">IF(F288="","",G288*F288)</f>
        <v/>
      </c>
    </row>
    <row r="289" spans="1:8" x14ac:dyDescent="0.25">
      <c r="A289" s="113">
        <f t="shared" si="34"/>
        <v>6.1000000000000334</v>
      </c>
      <c r="B289" s="100" t="str">
        <f t="shared" si="35"/>
        <v/>
      </c>
      <c r="C289" s="107"/>
      <c r="D289" s="108"/>
      <c r="E289" s="107"/>
      <c r="F289" s="109"/>
      <c r="G289" s="105"/>
      <c r="H289" s="106" t="str">
        <f t="shared" si="36"/>
        <v/>
      </c>
    </row>
    <row r="290" spans="1:8" x14ac:dyDescent="0.25">
      <c r="A290" s="113">
        <f t="shared" si="34"/>
        <v>6.1000000000000334</v>
      </c>
      <c r="B290" s="100" t="str">
        <f t="shared" si="35"/>
        <v/>
      </c>
      <c r="C290" s="107"/>
      <c r="D290" s="108"/>
      <c r="E290" s="107"/>
      <c r="F290" s="109"/>
      <c r="G290" s="105"/>
      <c r="H290" s="106" t="str">
        <f t="shared" si="36"/>
        <v/>
      </c>
    </row>
    <row r="291" spans="1:8" x14ac:dyDescent="0.25">
      <c r="A291" s="113">
        <f t="shared" si="34"/>
        <v>6.1000000000000334</v>
      </c>
      <c r="B291" s="100" t="str">
        <f t="shared" si="35"/>
        <v/>
      </c>
      <c r="C291" s="107"/>
      <c r="D291" s="108"/>
      <c r="E291" s="107"/>
      <c r="F291" s="109"/>
      <c r="G291" s="105"/>
      <c r="H291" s="106" t="str">
        <f t="shared" si="36"/>
        <v/>
      </c>
    </row>
    <row r="292" spans="1:8" x14ac:dyDescent="0.25">
      <c r="A292" s="113">
        <f t="shared" si="34"/>
        <v>6.1000000000000334</v>
      </c>
      <c r="B292" s="100" t="str">
        <f t="shared" si="35"/>
        <v/>
      </c>
      <c r="C292" s="107"/>
      <c r="D292" s="108"/>
      <c r="E292" s="107"/>
      <c r="F292" s="109"/>
      <c r="G292" s="105"/>
      <c r="H292" s="106" t="str">
        <f t="shared" si="36"/>
        <v/>
      </c>
    </row>
    <row r="293" spans="1:8" x14ac:dyDescent="0.25">
      <c r="A293" s="113">
        <f t="shared" si="34"/>
        <v>6.1000000000000334</v>
      </c>
      <c r="B293" s="100" t="str">
        <f t="shared" si="35"/>
        <v/>
      </c>
      <c r="C293" s="107"/>
      <c r="D293" s="108"/>
      <c r="E293" s="107"/>
      <c r="F293" s="109"/>
      <c r="G293" s="105"/>
      <c r="H293" s="106" t="str">
        <f t="shared" si="36"/>
        <v/>
      </c>
    </row>
    <row r="294" spans="1:8" x14ac:dyDescent="0.25">
      <c r="A294" s="113">
        <f t="shared" si="34"/>
        <v>6.1000000000000334</v>
      </c>
      <c r="B294" s="100" t="str">
        <f t="shared" si="35"/>
        <v/>
      </c>
      <c r="C294" s="107"/>
      <c r="D294" s="108"/>
      <c r="E294" s="107"/>
      <c r="F294" s="109"/>
      <c r="G294" s="105"/>
      <c r="H294" s="106" t="str">
        <f t="shared" si="36"/>
        <v/>
      </c>
    </row>
    <row r="295" spans="1:8" x14ac:dyDescent="0.25">
      <c r="A295" s="113">
        <f t="shared" si="34"/>
        <v>6.1000000000000334</v>
      </c>
      <c r="B295" s="100" t="str">
        <f t="shared" si="35"/>
        <v/>
      </c>
      <c r="C295" s="107"/>
      <c r="D295" s="108"/>
      <c r="E295" s="107"/>
      <c r="F295" s="109"/>
      <c r="G295" s="105"/>
      <c r="H295" s="106" t="str">
        <f t="shared" si="36"/>
        <v/>
      </c>
    </row>
    <row r="296" spans="1:8" x14ac:dyDescent="0.25">
      <c r="A296" s="113">
        <f t="shared" si="34"/>
        <v>6.1000000000000334</v>
      </c>
      <c r="B296" s="100" t="str">
        <f t="shared" si="35"/>
        <v/>
      </c>
      <c r="C296" s="107"/>
      <c r="D296" s="108"/>
      <c r="E296" s="107"/>
      <c r="F296" s="109"/>
      <c r="G296" s="105"/>
      <c r="H296" s="106" t="str">
        <f t="shared" si="36"/>
        <v/>
      </c>
    </row>
    <row r="297" spans="1:8" x14ac:dyDescent="0.25">
      <c r="A297" s="113">
        <f t="shared" si="34"/>
        <v>6.1000000000000334</v>
      </c>
      <c r="B297" s="100" t="str">
        <f t="shared" si="35"/>
        <v/>
      </c>
      <c r="C297" s="107"/>
      <c r="D297" s="108"/>
      <c r="E297" s="107"/>
      <c r="F297" s="109"/>
      <c r="G297" s="105"/>
      <c r="H297" s="106" t="str">
        <f t="shared" si="36"/>
        <v/>
      </c>
    </row>
    <row r="298" spans="1:8" x14ac:dyDescent="0.25">
      <c r="A298" s="113">
        <f t="shared" si="34"/>
        <v>6.1000000000000334</v>
      </c>
      <c r="B298" s="100" t="str">
        <f t="shared" si="35"/>
        <v/>
      </c>
      <c r="C298" s="107"/>
      <c r="D298" s="108"/>
      <c r="E298" s="107"/>
      <c r="F298" s="109"/>
      <c r="G298" s="105"/>
      <c r="H298" s="106" t="str">
        <f t="shared" si="36"/>
        <v/>
      </c>
    </row>
    <row r="299" spans="1:8" x14ac:dyDescent="0.25">
      <c r="A299" s="113">
        <f t="shared" si="34"/>
        <v>6.1000000000000334</v>
      </c>
      <c r="B299" s="100" t="str">
        <f t="shared" si="35"/>
        <v/>
      </c>
      <c r="C299" s="107"/>
      <c r="D299" s="108"/>
      <c r="E299" s="107"/>
      <c r="F299" s="109"/>
      <c r="G299" s="105"/>
      <c r="H299" s="106" t="str">
        <f t="shared" si="36"/>
        <v/>
      </c>
    </row>
    <row r="300" spans="1:8" x14ac:dyDescent="0.25">
      <c r="A300" s="113">
        <f t="shared" si="34"/>
        <v>6.1000000000000334</v>
      </c>
      <c r="B300" s="100" t="str">
        <f t="shared" si="35"/>
        <v/>
      </c>
      <c r="C300" s="107"/>
      <c r="D300" s="108"/>
      <c r="E300" s="107"/>
      <c r="F300" s="109"/>
      <c r="G300" s="105"/>
      <c r="H300" s="106" t="str">
        <f t="shared" si="36"/>
        <v/>
      </c>
    </row>
    <row r="301" spans="1:8" ht="15.75" thickBot="1" x14ac:dyDescent="0.3">
      <c r="A301" s="113"/>
      <c r="B301" s="100"/>
      <c r="C301" s="107"/>
      <c r="D301" s="108"/>
      <c r="E301" s="107"/>
      <c r="F301" s="109"/>
      <c r="G301" s="105"/>
      <c r="H301" s="106"/>
    </row>
    <row r="302" spans="1:8" ht="15.75" thickBot="1" x14ac:dyDescent="0.3">
      <c r="A302" s="113"/>
      <c r="B302" s="173" t="s">
        <v>360</v>
      </c>
      <c r="C302" s="174"/>
      <c r="D302" s="174"/>
      <c r="E302" s="174"/>
      <c r="F302" s="174"/>
      <c r="G302" s="175"/>
      <c r="H302" s="117">
        <f>SUM(H277:H301)</f>
        <v>0</v>
      </c>
    </row>
    <row r="303" spans="1:8" ht="24.75" thickBot="1" x14ac:dyDescent="0.3">
      <c r="A303" s="113"/>
      <c r="B303" s="114" t="s">
        <v>36</v>
      </c>
      <c r="C303" s="97" t="s">
        <v>94</v>
      </c>
      <c r="D303" s="115" t="s">
        <v>38</v>
      </c>
      <c r="E303" s="115" t="s">
        <v>37</v>
      </c>
      <c r="F303" s="115" t="s">
        <v>81</v>
      </c>
      <c r="G303" s="116" t="s">
        <v>86</v>
      </c>
      <c r="H303" s="99" t="s">
        <v>95</v>
      </c>
    </row>
    <row r="304" spans="1:8" ht="15" customHeight="1" thickBot="1" x14ac:dyDescent="0.3">
      <c r="A304" s="113"/>
      <c r="B304" s="171" t="s">
        <v>361</v>
      </c>
      <c r="C304" s="172"/>
      <c r="D304" s="172"/>
      <c r="E304" s="172"/>
      <c r="F304" s="172"/>
      <c r="G304" s="172"/>
      <c r="H304" s="117">
        <f>H302</f>
        <v>0</v>
      </c>
    </row>
    <row r="305" spans="1:8" ht="9.75" customHeight="1" x14ac:dyDescent="0.25">
      <c r="A305" s="113">
        <f>+IF(F305&gt;0.01,A300+0.001,A300)</f>
        <v>6.1000000000000334</v>
      </c>
      <c r="B305" s="100" t="str">
        <f t="shared" ref="B305:B325" si="37">+IF(F305&gt;0,A305,"")</f>
        <v/>
      </c>
      <c r="C305" s="107"/>
      <c r="D305" s="108"/>
      <c r="E305" s="107"/>
      <c r="F305" s="109"/>
      <c r="G305" s="105"/>
      <c r="H305" s="106"/>
    </row>
    <row r="306" spans="1:8" ht="41.25" customHeight="1" x14ac:dyDescent="0.25">
      <c r="A306" s="113">
        <f t="shared" ref="A306:A325" si="38">+IF(F306&gt;0.01,A305+0.001,A305)</f>
        <v>6.1000000000000334</v>
      </c>
      <c r="B306" s="100" t="str">
        <f t="shared" si="37"/>
        <v/>
      </c>
      <c r="C306" s="107"/>
      <c r="D306" s="108"/>
      <c r="E306" s="107"/>
      <c r="F306" s="109"/>
      <c r="G306" s="105"/>
      <c r="H306" s="106" t="str">
        <f t="shared" ref="H306" si="39">IF(F306="","",G306*F306)</f>
        <v/>
      </c>
    </row>
    <row r="307" spans="1:8" x14ac:dyDescent="0.25">
      <c r="A307" s="113">
        <f t="shared" si="38"/>
        <v>6.1000000000000334</v>
      </c>
      <c r="B307" s="100" t="str">
        <f t="shared" si="37"/>
        <v/>
      </c>
      <c r="C307" s="107"/>
      <c r="D307" s="108"/>
      <c r="E307" s="107"/>
      <c r="F307" s="109"/>
      <c r="G307" s="105"/>
      <c r="H307" s="106" t="str">
        <f t="shared" ref="H307:H310" si="40">IF(F307="","",G307*F307)</f>
        <v/>
      </c>
    </row>
    <row r="308" spans="1:8" x14ac:dyDescent="0.25">
      <c r="A308" s="113">
        <f t="shared" si="38"/>
        <v>6.1000000000000334</v>
      </c>
      <c r="B308" s="100" t="str">
        <f t="shared" si="37"/>
        <v/>
      </c>
      <c r="C308" s="107"/>
      <c r="D308" s="108"/>
      <c r="E308" s="107"/>
      <c r="F308" s="109"/>
      <c r="G308" s="105"/>
      <c r="H308" s="106" t="str">
        <f t="shared" si="40"/>
        <v/>
      </c>
    </row>
    <row r="309" spans="1:8" x14ac:dyDescent="0.25">
      <c r="A309" s="113">
        <f t="shared" si="38"/>
        <v>6.1000000000000334</v>
      </c>
      <c r="B309" s="100" t="str">
        <f t="shared" si="37"/>
        <v/>
      </c>
      <c r="C309" s="107"/>
      <c r="D309" s="108"/>
      <c r="E309" s="107"/>
      <c r="F309" s="109"/>
      <c r="G309" s="105"/>
      <c r="H309" s="106" t="str">
        <f t="shared" si="40"/>
        <v/>
      </c>
    </row>
    <row r="310" spans="1:8" x14ac:dyDescent="0.25">
      <c r="A310" s="113">
        <f t="shared" si="38"/>
        <v>6.1000000000000334</v>
      </c>
      <c r="B310" s="100" t="str">
        <f t="shared" si="37"/>
        <v/>
      </c>
      <c r="C310" s="107"/>
      <c r="D310" s="108"/>
      <c r="E310" s="107"/>
      <c r="F310" s="109"/>
      <c r="G310" s="105"/>
      <c r="H310" s="106" t="str">
        <f t="shared" si="40"/>
        <v/>
      </c>
    </row>
    <row r="311" spans="1:8" ht="11.25" customHeight="1" x14ac:dyDescent="0.25">
      <c r="A311" s="113">
        <f t="shared" si="38"/>
        <v>6.1000000000000334</v>
      </c>
      <c r="B311" s="100" t="str">
        <f t="shared" si="37"/>
        <v/>
      </c>
      <c r="C311" s="107"/>
      <c r="D311" s="108"/>
      <c r="E311" s="107"/>
      <c r="F311" s="109"/>
      <c r="G311" s="105"/>
      <c r="H311" s="106"/>
    </row>
    <row r="312" spans="1:8" ht="39" customHeight="1" x14ac:dyDescent="0.25">
      <c r="A312" s="113">
        <f t="shared" si="38"/>
        <v>6.1000000000000334</v>
      </c>
      <c r="B312" s="100" t="str">
        <f t="shared" si="37"/>
        <v/>
      </c>
      <c r="C312" s="107"/>
      <c r="D312" s="112"/>
      <c r="E312" s="107"/>
      <c r="F312" s="109"/>
      <c r="G312" s="105"/>
      <c r="H312" s="106" t="str">
        <f t="shared" ref="H312:H329" si="41">IF(F312="","",G312*F312)</f>
        <v/>
      </c>
    </row>
    <row r="313" spans="1:8" x14ac:dyDescent="0.25">
      <c r="A313" s="113">
        <f t="shared" si="38"/>
        <v>6.1000000000000334</v>
      </c>
      <c r="B313" s="100" t="str">
        <f t="shared" si="37"/>
        <v/>
      </c>
      <c r="C313" s="107"/>
      <c r="D313" s="108"/>
      <c r="E313" s="107"/>
      <c r="F313" s="109"/>
      <c r="G313" s="105"/>
      <c r="H313" s="106" t="str">
        <f t="shared" si="41"/>
        <v/>
      </c>
    </row>
    <row r="314" spans="1:8" x14ac:dyDescent="0.25">
      <c r="A314" s="113">
        <f t="shared" si="38"/>
        <v>6.1000000000000334</v>
      </c>
      <c r="B314" s="100" t="str">
        <f t="shared" si="37"/>
        <v/>
      </c>
      <c r="C314" s="107"/>
      <c r="D314" s="108"/>
      <c r="E314" s="107"/>
      <c r="F314" s="109"/>
      <c r="G314" s="105"/>
      <c r="H314" s="106" t="str">
        <f t="shared" si="41"/>
        <v/>
      </c>
    </row>
    <row r="315" spans="1:8" x14ac:dyDescent="0.25">
      <c r="A315" s="113">
        <f t="shared" si="38"/>
        <v>6.1000000000000334</v>
      </c>
      <c r="B315" s="100" t="str">
        <f t="shared" si="37"/>
        <v/>
      </c>
      <c r="C315" s="107"/>
      <c r="D315" s="108"/>
      <c r="E315" s="107"/>
      <c r="F315" s="109"/>
      <c r="G315" s="105"/>
      <c r="H315" s="106" t="str">
        <f t="shared" si="41"/>
        <v/>
      </c>
    </row>
    <row r="316" spans="1:8" x14ac:dyDescent="0.25">
      <c r="A316" s="113">
        <f t="shared" si="38"/>
        <v>6.1000000000000334</v>
      </c>
      <c r="B316" s="100" t="str">
        <f t="shared" si="37"/>
        <v/>
      </c>
      <c r="C316" s="107"/>
      <c r="D316" s="108"/>
      <c r="E316" s="107"/>
      <c r="F316" s="109"/>
      <c r="G316" s="105"/>
      <c r="H316" s="106" t="str">
        <f t="shared" si="41"/>
        <v/>
      </c>
    </row>
    <row r="317" spans="1:8" x14ac:dyDescent="0.25">
      <c r="A317" s="113">
        <f t="shared" si="38"/>
        <v>6.1000000000000334</v>
      </c>
      <c r="B317" s="100" t="str">
        <f t="shared" si="37"/>
        <v/>
      </c>
      <c r="C317" s="107"/>
      <c r="D317" s="108"/>
      <c r="E317" s="107"/>
      <c r="F317" s="109"/>
      <c r="G317" s="105"/>
      <c r="H317" s="106" t="str">
        <f t="shared" si="41"/>
        <v/>
      </c>
    </row>
    <row r="318" spans="1:8" x14ac:dyDescent="0.25">
      <c r="A318" s="113">
        <f t="shared" si="38"/>
        <v>6.1000000000000334</v>
      </c>
      <c r="B318" s="100" t="str">
        <f t="shared" si="37"/>
        <v/>
      </c>
      <c r="C318" s="107"/>
      <c r="D318" s="108"/>
      <c r="E318" s="107"/>
      <c r="F318" s="109"/>
      <c r="G318" s="105"/>
      <c r="H318" s="106" t="str">
        <f t="shared" si="41"/>
        <v/>
      </c>
    </row>
    <row r="319" spans="1:8" x14ac:dyDescent="0.25">
      <c r="A319" s="113">
        <f t="shared" si="38"/>
        <v>6.1000000000000334</v>
      </c>
      <c r="B319" s="100" t="str">
        <f t="shared" si="37"/>
        <v/>
      </c>
      <c r="C319" s="107"/>
      <c r="D319" s="108"/>
      <c r="E319" s="107"/>
      <c r="F319" s="109"/>
      <c r="G319" s="105"/>
      <c r="H319" s="106" t="str">
        <f t="shared" si="41"/>
        <v/>
      </c>
    </row>
    <row r="320" spans="1:8" x14ac:dyDescent="0.25">
      <c r="A320" s="113">
        <f t="shared" si="38"/>
        <v>6.1000000000000334</v>
      </c>
      <c r="B320" s="100" t="str">
        <f t="shared" si="37"/>
        <v/>
      </c>
      <c r="C320" s="107"/>
      <c r="D320" s="108"/>
      <c r="E320" s="107"/>
      <c r="F320" s="109"/>
      <c r="G320" s="105"/>
      <c r="H320" s="106" t="str">
        <f t="shared" si="41"/>
        <v/>
      </c>
    </row>
    <row r="321" spans="1:8" x14ac:dyDescent="0.25">
      <c r="A321" s="113">
        <f t="shared" si="38"/>
        <v>6.1000000000000334</v>
      </c>
      <c r="B321" s="100" t="str">
        <f t="shared" si="37"/>
        <v/>
      </c>
      <c r="C321" s="107"/>
      <c r="D321" s="108"/>
      <c r="E321" s="107"/>
      <c r="F321" s="109"/>
      <c r="G321" s="105"/>
      <c r="H321" s="106" t="str">
        <f t="shared" si="41"/>
        <v/>
      </c>
    </row>
    <row r="322" spans="1:8" x14ac:dyDescent="0.25">
      <c r="A322" s="113">
        <f t="shared" si="38"/>
        <v>6.1000000000000334</v>
      </c>
      <c r="B322" s="100" t="str">
        <f t="shared" si="37"/>
        <v/>
      </c>
      <c r="C322" s="107"/>
      <c r="D322" s="108"/>
      <c r="E322" s="107"/>
      <c r="F322" s="109"/>
      <c r="G322" s="105"/>
      <c r="H322" s="106" t="str">
        <f t="shared" si="41"/>
        <v/>
      </c>
    </row>
    <row r="323" spans="1:8" x14ac:dyDescent="0.25">
      <c r="A323" s="113">
        <f t="shared" si="38"/>
        <v>6.1000000000000334</v>
      </c>
      <c r="B323" s="100" t="str">
        <f t="shared" si="37"/>
        <v/>
      </c>
      <c r="C323" s="107"/>
      <c r="D323" s="108"/>
      <c r="E323" s="107"/>
      <c r="F323" s="109"/>
      <c r="G323" s="105"/>
      <c r="H323" s="106" t="str">
        <f t="shared" si="41"/>
        <v/>
      </c>
    </row>
    <row r="324" spans="1:8" x14ac:dyDescent="0.25">
      <c r="A324" s="113">
        <f t="shared" si="38"/>
        <v>6.1000000000000334</v>
      </c>
      <c r="B324" s="100" t="str">
        <f t="shared" si="37"/>
        <v/>
      </c>
      <c r="C324" s="107"/>
      <c r="D324" s="108"/>
      <c r="E324" s="107"/>
      <c r="F324" s="109"/>
      <c r="G324" s="105"/>
      <c r="H324" s="106" t="str">
        <f t="shared" si="41"/>
        <v/>
      </c>
    </row>
    <row r="325" spans="1:8" x14ac:dyDescent="0.25">
      <c r="A325" s="113">
        <f t="shared" si="38"/>
        <v>6.1000000000000334</v>
      </c>
      <c r="B325" s="100" t="str">
        <f t="shared" si="37"/>
        <v/>
      </c>
      <c r="C325" s="107"/>
      <c r="D325" s="108"/>
      <c r="E325" s="107"/>
      <c r="F325" s="109"/>
      <c r="G325" s="105"/>
      <c r="H325" s="106" t="str">
        <f t="shared" si="41"/>
        <v/>
      </c>
    </row>
    <row r="326" spans="1:8" x14ac:dyDescent="0.25">
      <c r="A326" s="113">
        <f t="shared" ref="A326:A329" si="42">+IF(F326&gt;0.01,A325+0.001,A325)</f>
        <v>6.1000000000000334</v>
      </c>
      <c r="B326" s="100" t="str">
        <f t="shared" si="32"/>
        <v/>
      </c>
      <c r="C326" s="107"/>
      <c r="D326" s="108"/>
      <c r="E326" s="107"/>
      <c r="F326" s="109"/>
      <c r="G326" s="105"/>
      <c r="H326" s="106" t="str">
        <f t="shared" si="41"/>
        <v/>
      </c>
    </row>
    <row r="327" spans="1:8" x14ac:dyDescent="0.25">
      <c r="A327" s="113">
        <f t="shared" si="42"/>
        <v>6.1000000000000334</v>
      </c>
      <c r="B327" s="100" t="str">
        <f t="shared" si="32"/>
        <v/>
      </c>
      <c r="C327" s="107"/>
      <c r="D327" s="108"/>
      <c r="E327" s="107"/>
      <c r="F327" s="109"/>
      <c r="G327" s="105"/>
      <c r="H327" s="106" t="str">
        <f t="shared" si="41"/>
        <v/>
      </c>
    </row>
    <row r="328" spans="1:8" x14ac:dyDescent="0.25">
      <c r="A328" s="113">
        <f t="shared" si="42"/>
        <v>6.1000000000000334</v>
      </c>
      <c r="B328" s="100" t="str">
        <f t="shared" si="32"/>
        <v/>
      </c>
      <c r="C328" s="107"/>
      <c r="D328" s="108"/>
      <c r="E328" s="107"/>
      <c r="F328" s="109"/>
      <c r="G328" s="105"/>
      <c r="H328" s="106" t="str">
        <f t="shared" si="41"/>
        <v/>
      </c>
    </row>
    <row r="329" spans="1:8" ht="15.75" thickBot="1" x14ac:dyDescent="0.3">
      <c r="A329" s="113">
        <f t="shared" si="42"/>
        <v>6.1000000000000334</v>
      </c>
      <c r="B329" s="100" t="str">
        <f t="shared" si="32"/>
        <v/>
      </c>
      <c r="C329" s="107"/>
      <c r="D329" s="108"/>
      <c r="E329" s="107"/>
      <c r="F329" s="109"/>
      <c r="G329" s="105"/>
      <c r="H329" s="106" t="str">
        <f t="shared" si="41"/>
        <v/>
      </c>
    </row>
    <row r="330" spans="1:8" ht="15.75" thickBot="1" x14ac:dyDescent="0.3">
      <c r="A330" s="113"/>
      <c r="B330" s="173" t="s">
        <v>360</v>
      </c>
      <c r="C330" s="174"/>
      <c r="D330" s="174"/>
      <c r="E330" s="174"/>
      <c r="F330" s="174"/>
      <c r="G330" s="175"/>
      <c r="H330" s="117">
        <f>SUM(H304:H329)</f>
        <v>0</v>
      </c>
    </row>
    <row r="331" spans="1:8" ht="24.75" thickBot="1" x14ac:dyDescent="0.3">
      <c r="A331" s="113"/>
      <c r="B331" s="114" t="s">
        <v>36</v>
      </c>
      <c r="C331" s="97" t="s">
        <v>94</v>
      </c>
      <c r="D331" s="115" t="s">
        <v>38</v>
      </c>
      <c r="E331" s="115" t="s">
        <v>37</v>
      </c>
      <c r="F331" s="115" t="s">
        <v>81</v>
      </c>
      <c r="G331" s="116" t="s">
        <v>86</v>
      </c>
      <c r="H331" s="99" t="s">
        <v>95</v>
      </c>
    </row>
    <row r="332" spans="1:8" ht="15.75" thickBot="1" x14ac:dyDescent="0.3">
      <c r="A332" s="113"/>
      <c r="B332" s="171" t="s">
        <v>361</v>
      </c>
      <c r="C332" s="172"/>
      <c r="D332" s="172"/>
      <c r="E332" s="172"/>
      <c r="F332" s="172"/>
      <c r="G332" s="172"/>
      <c r="H332" s="117">
        <f>H330</f>
        <v>0</v>
      </c>
    </row>
    <row r="333" spans="1:8" x14ac:dyDescent="0.25">
      <c r="A333" s="113"/>
      <c r="B333" s="100"/>
      <c r="C333" s="107"/>
      <c r="D333" s="108"/>
      <c r="E333" s="107"/>
      <c r="F333" s="109"/>
      <c r="G333" s="105"/>
      <c r="H333" s="106"/>
    </row>
    <row r="334" spans="1:8" x14ac:dyDescent="0.25">
      <c r="A334" s="113">
        <f>+IF(F334&gt;0.01,A329+0.001,A329)</f>
        <v>6.1000000000000334</v>
      </c>
      <c r="B334" s="100" t="str">
        <f t="shared" si="32"/>
        <v/>
      </c>
      <c r="C334" s="107"/>
      <c r="D334" s="108"/>
      <c r="E334" s="107"/>
      <c r="F334" s="109"/>
      <c r="G334" s="105"/>
      <c r="H334" s="106" t="str">
        <f t="shared" ref="H334:H351" si="43">IF(F334="","",G334*F334)</f>
        <v/>
      </c>
    </row>
    <row r="335" spans="1:8" x14ac:dyDescent="0.25">
      <c r="A335" s="113">
        <f>+IF(F335&gt;0.01,A334+0.001,A334)</f>
        <v>6.1000000000000334</v>
      </c>
      <c r="B335" s="100" t="str">
        <f t="shared" si="32"/>
        <v/>
      </c>
      <c r="C335" s="107"/>
      <c r="D335" s="108"/>
      <c r="E335" s="107"/>
      <c r="F335" s="109"/>
      <c r="G335" s="105"/>
      <c r="H335" s="106" t="str">
        <f t="shared" si="43"/>
        <v/>
      </c>
    </row>
    <row r="336" spans="1:8" x14ac:dyDescent="0.25">
      <c r="A336" s="113">
        <f>+IF(F336&gt;0.01,A335+0.001,A335)</f>
        <v>6.1000000000000334</v>
      </c>
      <c r="B336" s="100" t="str">
        <f t="shared" si="32"/>
        <v/>
      </c>
      <c r="C336" s="107"/>
      <c r="D336" s="108"/>
      <c r="E336" s="107"/>
      <c r="F336" s="109"/>
      <c r="G336" s="105"/>
      <c r="H336" s="106" t="str">
        <f t="shared" si="43"/>
        <v/>
      </c>
    </row>
    <row r="337" spans="1:8" x14ac:dyDescent="0.25">
      <c r="A337" s="113">
        <f t="shared" ref="A337:A388" si="44">+IF(F337&gt;0.01,A336+0.001,A336)</f>
        <v>6.1000000000000334</v>
      </c>
      <c r="B337" s="100" t="str">
        <f t="shared" si="32"/>
        <v/>
      </c>
      <c r="C337" s="107"/>
      <c r="D337" s="108"/>
      <c r="E337" s="107"/>
      <c r="F337" s="109"/>
      <c r="G337" s="105"/>
      <c r="H337" s="106" t="str">
        <f t="shared" si="43"/>
        <v/>
      </c>
    </row>
    <row r="338" spans="1:8" x14ac:dyDescent="0.25">
      <c r="A338" s="113">
        <f t="shared" si="44"/>
        <v>6.1000000000000334</v>
      </c>
      <c r="B338" s="100" t="str">
        <f t="shared" si="32"/>
        <v/>
      </c>
      <c r="C338" s="107"/>
      <c r="D338" s="108"/>
      <c r="E338" s="107"/>
      <c r="F338" s="109"/>
      <c r="G338" s="105"/>
      <c r="H338" s="106" t="str">
        <f t="shared" si="43"/>
        <v/>
      </c>
    </row>
    <row r="339" spans="1:8" x14ac:dyDescent="0.25">
      <c r="A339" s="113">
        <f t="shared" si="44"/>
        <v>6.1000000000000334</v>
      </c>
      <c r="B339" s="100" t="str">
        <f t="shared" si="32"/>
        <v/>
      </c>
      <c r="C339" s="107"/>
      <c r="D339" s="108"/>
      <c r="E339" s="107"/>
      <c r="F339" s="109"/>
      <c r="G339" s="105"/>
      <c r="H339" s="106" t="str">
        <f t="shared" si="43"/>
        <v/>
      </c>
    </row>
    <row r="340" spans="1:8" x14ac:dyDescent="0.25">
      <c r="A340" s="113">
        <f t="shared" si="44"/>
        <v>6.1000000000000334</v>
      </c>
      <c r="B340" s="100" t="str">
        <f t="shared" si="32"/>
        <v/>
      </c>
      <c r="C340" s="107"/>
      <c r="D340" s="108"/>
      <c r="E340" s="107"/>
      <c r="F340" s="109"/>
      <c r="G340" s="105"/>
      <c r="H340" s="106" t="str">
        <f t="shared" si="43"/>
        <v/>
      </c>
    </row>
    <row r="341" spans="1:8" x14ac:dyDescent="0.25">
      <c r="A341" s="113">
        <f t="shared" si="44"/>
        <v>6.1000000000000334</v>
      </c>
      <c r="B341" s="100" t="str">
        <f t="shared" si="32"/>
        <v/>
      </c>
      <c r="C341" s="107"/>
      <c r="D341" s="108"/>
      <c r="E341" s="107"/>
      <c r="F341" s="109"/>
      <c r="G341" s="105"/>
      <c r="H341" s="106" t="str">
        <f t="shared" si="43"/>
        <v/>
      </c>
    </row>
    <row r="342" spans="1:8" x14ac:dyDescent="0.25">
      <c r="A342" s="113">
        <f t="shared" si="44"/>
        <v>6.1000000000000334</v>
      </c>
      <c r="B342" s="100" t="str">
        <f t="shared" si="32"/>
        <v/>
      </c>
      <c r="C342" s="107"/>
      <c r="D342" s="108"/>
      <c r="E342" s="107"/>
      <c r="F342" s="109"/>
      <c r="G342" s="105"/>
      <c r="H342" s="106" t="str">
        <f t="shared" si="43"/>
        <v/>
      </c>
    </row>
    <row r="343" spans="1:8" x14ac:dyDescent="0.25">
      <c r="A343" s="113">
        <f t="shared" si="44"/>
        <v>6.1000000000000334</v>
      </c>
      <c r="B343" s="100" t="str">
        <f t="shared" si="32"/>
        <v/>
      </c>
      <c r="C343" s="107"/>
      <c r="D343" s="108"/>
      <c r="E343" s="107"/>
      <c r="F343" s="109"/>
      <c r="G343" s="105"/>
      <c r="H343" s="106" t="str">
        <f t="shared" si="43"/>
        <v/>
      </c>
    </row>
    <row r="344" spans="1:8" x14ac:dyDescent="0.25">
      <c r="A344" s="113">
        <f t="shared" si="44"/>
        <v>6.1000000000000334</v>
      </c>
      <c r="B344" s="100" t="str">
        <f t="shared" si="32"/>
        <v/>
      </c>
      <c r="C344" s="107"/>
      <c r="D344" s="108"/>
      <c r="E344" s="107"/>
      <c r="F344" s="109"/>
      <c r="G344" s="105"/>
      <c r="H344" s="106" t="str">
        <f t="shared" si="43"/>
        <v/>
      </c>
    </row>
    <row r="345" spans="1:8" x14ac:dyDescent="0.25">
      <c r="A345" s="113">
        <f t="shared" si="44"/>
        <v>6.1000000000000334</v>
      </c>
      <c r="B345" s="100" t="str">
        <f t="shared" si="32"/>
        <v/>
      </c>
      <c r="C345" s="107"/>
      <c r="D345" s="108"/>
      <c r="E345" s="107"/>
      <c r="F345" s="109"/>
      <c r="G345" s="105"/>
      <c r="H345" s="106" t="str">
        <f t="shared" si="43"/>
        <v/>
      </c>
    </row>
    <row r="346" spans="1:8" x14ac:dyDescent="0.25">
      <c r="A346" s="113">
        <f t="shared" si="44"/>
        <v>6.1000000000000334</v>
      </c>
      <c r="B346" s="100" t="str">
        <f t="shared" si="32"/>
        <v/>
      </c>
      <c r="C346" s="107"/>
      <c r="D346" s="108"/>
      <c r="E346" s="107"/>
      <c r="F346" s="109"/>
      <c r="G346" s="105"/>
      <c r="H346" s="106" t="str">
        <f t="shared" si="43"/>
        <v/>
      </c>
    </row>
    <row r="347" spans="1:8" x14ac:dyDescent="0.25">
      <c r="A347" s="113">
        <f t="shared" si="44"/>
        <v>6.1000000000000334</v>
      </c>
      <c r="B347" s="100" t="str">
        <f t="shared" si="32"/>
        <v/>
      </c>
      <c r="C347" s="107"/>
      <c r="D347" s="108"/>
      <c r="E347" s="107"/>
      <c r="F347" s="109"/>
      <c r="G347" s="105"/>
      <c r="H347" s="106" t="str">
        <f t="shared" si="43"/>
        <v/>
      </c>
    </row>
    <row r="348" spans="1:8" x14ac:dyDescent="0.25">
      <c r="A348" s="113">
        <f t="shared" si="44"/>
        <v>6.1000000000000334</v>
      </c>
      <c r="B348" s="100" t="str">
        <f t="shared" si="32"/>
        <v/>
      </c>
      <c r="C348" s="107"/>
      <c r="D348" s="108"/>
      <c r="E348" s="107"/>
      <c r="F348" s="109"/>
      <c r="G348" s="105"/>
      <c r="H348" s="106" t="str">
        <f t="shared" si="43"/>
        <v/>
      </c>
    </row>
    <row r="349" spans="1:8" x14ac:dyDescent="0.25">
      <c r="A349" s="113">
        <f t="shared" si="44"/>
        <v>6.1000000000000334</v>
      </c>
      <c r="B349" s="100" t="str">
        <f t="shared" ref="B349:B388" si="45">+IF(F349&gt;0,A349,"")</f>
        <v/>
      </c>
      <c r="C349" s="107"/>
      <c r="D349" s="108"/>
      <c r="E349" s="107"/>
      <c r="F349" s="109"/>
      <c r="G349" s="105"/>
      <c r="H349" s="106" t="str">
        <f t="shared" si="43"/>
        <v/>
      </c>
    </row>
    <row r="350" spans="1:8" x14ac:dyDescent="0.25">
      <c r="A350" s="113">
        <f t="shared" si="44"/>
        <v>6.1000000000000334</v>
      </c>
      <c r="B350" s="100" t="str">
        <f t="shared" si="45"/>
        <v/>
      </c>
      <c r="C350" s="107"/>
      <c r="D350" s="108"/>
      <c r="E350" s="107"/>
      <c r="F350" s="109"/>
      <c r="G350" s="105"/>
      <c r="H350" s="106" t="str">
        <f t="shared" si="43"/>
        <v/>
      </c>
    </row>
    <row r="351" spans="1:8" x14ac:dyDescent="0.25">
      <c r="A351" s="113">
        <f t="shared" si="44"/>
        <v>6.1000000000000334</v>
      </c>
      <c r="B351" s="100" t="str">
        <f t="shared" si="45"/>
        <v/>
      </c>
      <c r="C351" s="107"/>
      <c r="D351" s="108"/>
      <c r="E351" s="107"/>
      <c r="F351" s="109"/>
      <c r="G351" s="105"/>
      <c r="H351" s="106" t="str">
        <f t="shared" si="43"/>
        <v/>
      </c>
    </row>
    <row r="352" spans="1:8" x14ac:dyDescent="0.25">
      <c r="A352" s="113">
        <f t="shared" si="44"/>
        <v>6.1000000000000334</v>
      </c>
      <c r="B352" s="100" t="str">
        <f t="shared" si="45"/>
        <v/>
      </c>
      <c r="C352" s="107"/>
      <c r="D352" s="108"/>
      <c r="E352" s="107"/>
      <c r="F352" s="109"/>
      <c r="G352" s="105"/>
      <c r="H352" s="106"/>
    </row>
    <row r="353" spans="1:8" x14ac:dyDescent="0.25">
      <c r="A353" s="113">
        <f t="shared" si="44"/>
        <v>6.1000000000000334</v>
      </c>
      <c r="B353" s="100" t="str">
        <f t="shared" si="45"/>
        <v/>
      </c>
      <c r="C353" s="107"/>
      <c r="D353" s="108"/>
      <c r="E353" s="107"/>
      <c r="F353" s="109"/>
      <c r="G353" s="105"/>
      <c r="H353" s="106" t="str">
        <f t="shared" ref="H353:H358" si="46">IF(F353="","",G353*F353)</f>
        <v/>
      </c>
    </row>
    <row r="354" spans="1:8" x14ac:dyDescent="0.25">
      <c r="A354" s="113">
        <f t="shared" si="44"/>
        <v>6.1000000000000334</v>
      </c>
      <c r="B354" s="100" t="str">
        <f t="shared" si="45"/>
        <v/>
      </c>
      <c r="C354" s="107"/>
      <c r="D354" s="108"/>
      <c r="E354" s="107"/>
      <c r="F354" s="109"/>
      <c r="G354" s="105"/>
      <c r="H354" s="106" t="str">
        <f t="shared" si="46"/>
        <v/>
      </c>
    </row>
    <row r="355" spans="1:8" x14ac:dyDescent="0.25">
      <c r="A355" s="113">
        <f t="shared" si="44"/>
        <v>6.1000000000000334</v>
      </c>
      <c r="B355" s="100" t="str">
        <f t="shared" si="45"/>
        <v/>
      </c>
      <c r="C355" s="107"/>
      <c r="D355" s="108"/>
      <c r="E355" s="107"/>
      <c r="F355" s="109"/>
      <c r="G355" s="105"/>
      <c r="H355" s="106" t="str">
        <f t="shared" si="46"/>
        <v/>
      </c>
    </row>
    <row r="356" spans="1:8" x14ac:dyDescent="0.25">
      <c r="A356" s="113">
        <f t="shared" si="44"/>
        <v>6.1000000000000334</v>
      </c>
      <c r="B356" s="100" t="str">
        <f t="shared" si="45"/>
        <v/>
      </c>
      <c r="C356" s="107"/>
      <c r="D356" s="108"/>
      <c r="E356" s="107"/>
      <c r="F356" s="109"/>
      <c r="G356" s="105"/>
      <c r="H356" s="106" t="str">
        <f t="shared" si="46"/>
        <v/>
      </c>
    </row>
    <row r="357" spans="1:8" x14ac:dyDescent="0.25">
      <c r="A357" s="113">
        <f t="shared" si="44"/>
        <v>6.1000000000000334</v>
      </c>
      <c r="B357" s="100" t="str">
        <f t="shared" si="45"/>
        <v/>
      </c>
      <c r="C357" s="107"/>
      <c r="D357" s="108"/>
      <c r="E357" s="107"/>
      <c r="F357" s="109"/>
      <c r="G357" s="105"/>
      <c r="H357" s="106" t="str">
        <f t="shared" si="46"/>
        <v/>
      </c>
    </row>
    <row r="358" spans="1:8" x14ac:dyDescent="0.25">
      <c r="A358" s="113">
        <f t="shared" si="44"/>
        <v>6.1000000000000334</v>
      </c>
      <c r="B358" s="100" t="str">
        <f t="shared" si="45"/>
        <v/>
      </c>
      <c r="C358" s="107"/>
      <c r="D358" s="108"/>
      <c r="E358" s="107"/>
      <c r="F358" s="109"/>
      <c r="G358" s="105"/>
      <c r="H358" s="106" t="str">
        <f t="shared" si="46"/>
        <v/>
      </c>
    </row>
    <row r="359" spans="1:8" ht="15.75" thickBot="1" x14ac:dyDescent="0.3">
      <c r="A359" s="113">
        <f t="shared" si="44"/>
        <v>6.1000000000000334</v>
      </c>
      <c r="B359" s="100" t="str">
        <f t="shared" si="45"/>
        <v/>
      </c>
      <c r="C359" s="107"/>
      <c r="D359" s="108"/>
      <c r="E359" s="107"/>
      <c r="F359" s="109"/>
      <c r="G359" s="105"/>
      <c r="H359" s="106"/>
    </row>
    <row r="360" spans="1:8" ht="15.75" thickBot="1" x14ac:dyDescent="0.3">
      <c r="A360" s="113"/>
      <c r="B360" s="173" t="s">
        <v>360</v>
      </c>
      <c r="C360" s="174"/>
      <c r="D360" s="174"/>
      <c r="E360" s="174"/>
      <c r="F360" s="174"/>
      <c r="G360" s="175"/>
      <c r="H360" s="117">
        <f>SUM(H332:H359)</f>
        <v>0</v>
      </c>
    </row>
    <row r="361" spans="1:8" ht="24.75" thickBot="1" x14ac:dyDescent="0.3">
      <c r="A361" s="113"/>
      <c r="B361" s="114" t="s">
        <v>36</v>
      </c>
      <c r="C361" s="97" t="s">
        <v>94</v>
      </c>
      <c r="D361" s="115" t="s">
        <v>38</v>
      </c>
      <c r="E361" s="115" t="s">
        <v>37</v>
      </c>
      <c r="F361" s="115" t="s">
        <v>81</v>
      </c>
      <c r="G361" s="116" t="s">
        <v>86</v>
      </c>
      <c r="H361" s="99" t="s">
        <v>95</v>
      </c>
    </row>
    <row r="362" spans="1:8" ht="15.75" thickBot="1" x14ac:dyDescent="0.3">
      <c r="A362" s="113"/>
      <c r="B362" s="171" t="s">
        <v>361</v>
      </c>
      <c r="C362" s="172"/>
      <c r="D362" s="172"/>
      <c r="E362" s="172"/>
      <c r="F362" s="172"/>
      <c r="G362" s="172"/>
      <c r="H362" s="117">
        <f>H360</f>
        <v>0</v>
      </c>
    </row>
    <row r="363" spans="1:8" x14ac:dyDescent="0.25">
      <c r="A363" s="113">
        <f>+IF(F363&gt;0.01,A359+0.001,A359)</f>
        <v>6.1000000000000334</v>
      </c>
      <c r="B363" s="100" t="str">
        <f t="shared" si="45"/>
        <v/>
      </c>
      <c r="C363" s="107"/>
      <c r="D363" s="112"/>
      <c r="E363" s="107"/>
      <c r="F363" s="109"/>
      <c r="G363" s="105"/>
      <c r="H363" s="106" t="str">
        <f t="shared" ref="H363:H375" si="47">IF(F363="","",G363*F363)</f>
        <v/>
      </c>
    </row>
    <row r="364" spans="1:8" x14ac:dyDescent="0.25">
      <c r="A364" s="113">
        <f t="shared" si="44"/>
        <v>6.1000000000000334</v>
      </c>
      <c r="B364" s="100" t="str">
        <f t="shared" si="45"/>
        <v/>
      </c>
      <c r="C364" s="107"/>
      <c r="D364" s="108"/>
      <c r="E364" s="107"/>
      <c r="F364" s="109"/>
      <c r="G364" s="105"/>
      <c r="H364" s="106" t="str">
        <f t="shared" si="47"/>
        <v/>
      </c>
    </row>
    <row r="365" spans="1:8" x14ac:dyDescent="0.25">
      <c r="A365" s="113">
        <f t="shared" si="44"/>
        <v>6.1000000000000334</v>
      </c>
      <c r="B365" s="100" t="str">
        <f t="shared" si="45"/>
        <v/>
      </c>
      <c r="C365" s="107"/>
      <c r="D365" s="108"/>
      <c r="E365" s="107"/>
      <c r="F365" s="109"/>
      <c r="G365" s="105"/>
      <c r="H365" s="106" t="str">
        <f t="shared" si="47"/>
        <v/>
      </c>
    </row>
    <row r="366" spans="1:8" x14ac:dyDescent="0.25">
      <c r="A366" s="113">
        <f t="shared" si="44"/>
        <v>6.1000000000000334</v>
      </c>
      <c r="B366" s="100" t="str">
        <f t="shared" si="45"/>
        <v/>
      </c>
      <c r="C366" s="107"/>
      <c r="D366" s="108"/>
      <c r="E366" s="107"/>
      <c r="F366" s="109"/>
      <c r="G366" s="105"/>
      <c r="H366" s="106" t="str">
        <f t="shared" si="47"/>
        <v/>
      </c>
    </row>
    <row r="367" spans="1:8" x14ac:dyDescent="0.25">
      <c r="A367" s="113">
        <f t="shared" si="44"/>
        <v>6.1000000000000334</v>
      </c>
      <c r="B367" s="100" t="str">
        <f t="shared" si="45"/>
        <v/>
      </c>
      <c r="C367" s="107"/>
      <c r="D367" s="108"/>
      <c r="E367" s="107"/>
      <c r="F367" s="109"/>
      <c r="G367" s="105"/>
      <c r="H367" s="106" t="str">
        <f t="shared" si="47"/>
        <v/>
      </c>
    </row>
    <row r="368" spans="1:8" x14ac:dyDescent="0.25">
      <c r="A368" s="113">
        <f t="shared" si="44"/>
        <v>6.1000000000000334</v>
      </c>
      <c r="B368" s="100" t="str">
        <f t="shared" si="45"/>
        <v/>
      </c>
      <c r="C368" s="107"/>
      <c r="D368" s="108"/>
      <c r="E368" s="107"/>
      <c r="F368" s="109"/>
      <c r="G368" s="105"/>
      <c r="H368" s="106" t="str">
        <f t="shared" si="47"/>
        <v/>
      </c>
    </row>
    <row r="369" spans="1:8" x14ac:dyDescent="0.25">
      <c r="A369" s="113">
        <f t="shared" si="44"/>
        <v>6.1000000000000334</v>
      </c>
      <c r="B369" s="100" t="str">
        <f t="shared" si="45"/>
        <v/>
      </c>
      <c r="C369" s="107"/>
      <c r="D369" s="108"/>
      <c r="E369" s="107"/>
      <c r="F369" s="109"/>
      <c r="G369" s="105"/>
      <c r="H369" s="106" t="str">
        <f t="shared" si="47"/>
        <v/>
      </c>
    </row>
    <row r="370" spans="1:8" x14ac:dyDescent="0.25">
      <c r="A370" s="113">
        <f t="shared" si="44"/>
        <v>6.1000000000000334</v>
      </c>
      <c r="B370" s="100" t="str">
        <f t="shared" si="45"/>
        <v/>
      </c>
      <c r="C370" s="107"/>
      <c r="D370" s="108"/>
      <c r="E370" s="107"/>
      <c r="F370" s="109"/>
      <c r="G370" s="105"/>
      <c r="H370" s="106" t="str">
        <f t="shared" si="47"/>
        <v/>
      </c>
    </row>
    <row r="371" spans="1:8" x14ac:dyDescent="0.25">
      <c r="A371" s="113">
        <f t="shared" si="44"/>
        <v>6.1000000000000334</v>
      </c>
      <c r="B371" s="100" t="str">
        <f t="shared" si="45"/>
        <v/>
      </c>
      <c r="C371" s="107"/>
      <c r="D371" s="108"/>
      <c r="E371" s="107"/>
      <c r="F371" s="109"/>
      <c r="G371" s="105"/>
      <c r="H371" s="106" t="str">
        <f t="shared" si="47"/>
        <v/>
      </c>
    </row>
    <row r="372" spans="1:8" x14ac:dyDescent="0.25">
      <c r="A372" s="113">
        <f t="shared" si="44"/>
        <v>6.1000000000000334</v>
      </c>
      <c r="B372" s="100" t="str">
        <f t="shared" si="45"/>
        <v/>
      </c>
      <c r="C372" s="107"/>
      <c r="D372" s="108"/>
      <c r="E372" s="107"/>
      <c r="F372" s="109"/>
      <c r="G372" s="105"/>
      <c r="H372" s="106" t="str">
        <f t="shared" si="47"/>
        <v/>
      </c>
    </row>
    <row r="373" spans="1:8" x14ac:dyDescent="0.25">
      <c r="A373" s="113">
        <f t="shared" si="44"/>
        <v>6.1000000000000334</v>
      </c>
      <c r="B373" s="100" t="str">
        <f t="shared" si="45"/>
        <v/>
      </c>
      <c r="C373" s="107"/>
      <c r="D373" s="108"/>
      <c r="E373" s="107"/>
      <c r="F373" s="109"/>
      <c r="G373" s="105"/>
      <c r="H373" s="106" t="str">
        <f t="shared" si="47"/>
        <v/>
      </c>
    </row>
    <row r="374" spans="1:8" x14ac:dyDescent="0.25">
      <c r="A374" s="113">
        <f t="shared" si="44"/>
        <v>6.1000000000000334</v>
      </c>
      <c r="B374" s="100" t="str">
        <f t="shared" si="45"/>
        <v/>
      </c>
      <c r="C374" s="107"/>
      <c r="D374" s="108"/>
      <c r="E374" s="107"/>
      <c r="F374" s="109"/>
      <c r="G374" s="105"/>
      <c r="H374" s="106" t="str">
        <f t="shared" si="47"/>
        <v/>
      </c>
    </row>
    <row r="375" spans="1:8" x14ac:dyDescent="0.25">
      <c r="A375" s="113">
        <f t="shared" si="44"/>
        <v>6.1000000000000334</v>
      </c>
      <c r="B375" s="100" t="str">
        <f t="shared" si="45"/>
        <v/>
      </c>
      <c r="C375" s="107"/>
      <c r="D375" s="108"/>
      <c r="E375" s="107"/>
      <c r="F375" s="109"/>
      <c r="G375" s="105"/>
      <c r="H375" s="106" t="str">
        <f t="shared" si="47"/>
        <v/>
      </c>
    </row>
    <row r="376" spans="1:8" x14ac:dyDescent="0.25">
      <c r="A376" s="113">
        <f t="shared" si="44"/>
        <v>6.1000000000000334</v>
      </c>
      <c r="B376" s="100" t="str">
        <f t="shared" si="45"/>
        <v/>
      </c>
      <c r="C376" s="107"/>
      <c r="D376" s="108"/>
      <c r="E376" s="107"/>
      <c r="F376" s="109"/>
      <c r="G376" s="105"/>
      <c r="H376" s="106"/>
    </row>
    <row r="377" spans="1:8" x14ac:dyDescent="0.25">
      <c r="A377" s="113">
        <f t="shared" si="44"/>
        <v>6.1000000000000334</v>
      </c>
      <c r="B377" s="100" t="str">
        <f t="shared" si="45"/>
        <v/>
      </c>
      <c r="C377" s="107"/>
      <c r="D377" s="108"/>
      <c r="E377" s="107"/>
      <c r="F377" s="109"/>
      <c r="G377" s="105"/>
      <c r="H377" s="106"/>
    </row>
    <row r="378" spans="1:8" x14ac:dyDescent="0.25">
      <c r="A378" s="113">
        <f t="shared" si="44"/>
        <v>6.1000000000000334</v>
      </c>
      <c r="B378" s="100" t="str">
        <f t="shared" si="45"/>
        <v/>
      </c>
      <c r="C378" s="107"/>
      <c r="D378" s="108"/>
      <c r="E378" s="107"/>
      <c r="F378" s="109"/>
      <c r="G378" s="105"/>
      <c r="H378" s="106"/>
    </row>
    <row r="379" spans="1:8" x14ac:dyDescent="0.25">
      <c r="A379" s="113">
        <f t="shared" si="44"/>
        <v>6.1000000000000334</v>
      </c>
      <c r="B379" s="100" t="str">
        <f t="shared" si="45"/>
        <v/>
      </c>
      <c r="C379" s="107"/>
      <c r="D379" s="108"/>
      <c r="E379" s="107"/>
      <c r="F379" s="109"/>
      <c r="G379" s="105"/>
      <c r="H379" s="106"/>
    </row>
    <row r="380" spans="1:8" x14ac:dyDescent="0.25">
      <c r="A380" s="113">
        <f t="shared" si="44"/>
        <v>6.1000000000000334</v>
      </c>
      <c r="B380" s="100" t="str">
        <f t="shared" si="45"/>
        <v/>
      </c>
      <c r="C380" s="107"/>
      <c r="D380" s="108"/>
      <c r="E380" s="107"/>
      <c r="F380" s="109"/>
      <c r="G380" s="105"/>
      <c r="H380" s="106"/>
    </row>
    <row r="381" spans="1:8" x14ac:dyDescent="0.25">
      <c r="A381" s="113">
        <f t="shared" si="44"/>
        <v>6.1000000000000334</v>
      </c>
      <c r="B381" s="100" t="str">
        <f t="shared" si="45"/>
        <v/>
      </c>
      <c r="C381" s="107"/>
      <c r="D381" s="108"/>
      <c r="E381" s="107"/>
      <c r="F381" s="109"/>
      <c r="G381" s="105"/>
      <c r="H381" s="106"/>
    </row>
    <row r="382" spans="1:8" x14ac:dyDescent="0.25">
      <c r="A382" s="113">
        <f t="shared" si="44"/>
        <v>6.1000000000000334</v>
      </c>
      <c r="B382" s="100" t="str">
        <f t="shared" si="45"/>
        <v/>
      </c>
      <c r="C382" s="107"/>
      <c r="D382" s="108"/>
      <c r="E382" s="107"/>
      <c r="F382" s="109"/>
      <c r="G382" s="105"/>
      <c r="H382" s="106"/>
    </row>
    <row r="383" spans="1:8" x14ac:dyDescent="0.25">
      <c r="A383" s="113">
        <f t="shared" si="44"/>
        <v>6.1000000000000334</v>
      </c>
      <c r="B383" s="100" t="str">
        <f t="shared" si="45"/>
        <v/>
      </c>
      <c r="C383" s="107"/>
      <c r="D383" s="108"/>
      <c r="E383" s="107"/>
      <c r="F383" s="109"/>
      <c r="G383" s="105"/>
      <c r="H383" s="106"/>
    </row>
    <row r="384" spans="1:8" x14ac:dyDescent="0.25">
      <c r="A384" s="113">
        <f t="shared" si="44"/>
        <v>6.1000000000000334</v>
      </c>
      <c r="B384" s="100" t="str">
        <f t="shared" si="45"/>
        <v/>
      </c>
      <c r="C384" s="107"/>
      <c r="D384" s="108"/>
      <c r="E384" s="107"/>
      <c r="F384" s="109"/>
      <c r="G384" s="105"/>
      <c r="H384" s="106"/>
    </row>
    <row r="385" spans="1:8" x14ac:dyDescent="0.25">
      <c r="A385" s="113">
        <f t="shared" si="44"/>
        <v>6.1000000000000334</v>
      </c>
      <c r="B385" s="100" t="str">
        <f t="shared" si="45"/>
        <v/>
      </c>
      <c r="C385" s="107"/>
      <c r="D385" s="108"/>
      <c r="E385" s="107"/>
      <c r="F385" s="109"/>
      <c r="G385" s="105"/>
      <c r="H385" s="106"/>
    </row>
    <row r="386" spans="1:8" x14ac:dyDescent="0.25">
      <c r="A386" s="113">
        <f t="shared" si="44"/>
        <v>6.1000000000000334</v>
      </c>
      <c r="B386" s="100" t="str">
        <f t="shared" si="45"/>
        <v/>
      </c>
      <c r="C386" s="107"/>
      <c r="D386" s="108"/>
      <c r="E386" s="107"/>
      <c r="F386" s="109"/>
      <c r="G386" s="105"/>
      <c r="H386" s="106"/>
    </row>
    <row r="387" spans="1:8" x14ac:dyDescent="0.25">
      <c r="A387" s="113">
        <f t="shared" si="44"/>
        <v>6.1000000000000334</v>
      </c>
      <c r="B387" s="100" t="str">
        <f t="shared" si="45"/>
        <v/>
      </c>
      <c r="C387" s="107"/>
      <c r="D387" s="108"/>
      <c r="E387" s="107"/>
      <c r="F387" s="109"/>
      <c r="G387" s="105"/>
      <c r="H387" s="106"/>
    </row>
    <row r="388" spans="1:8" x14ac:dyDescent="0.25">
      <c r="A388" s="113">
        <f t="shared" si="44"/>
        <v>6.1000000000000334</v>
      </c>
      <c r="B388" s="100" t="str">
        <f t="shared" si="45"/>
        <v/>
      </c>
      <c r="C388" s="107"/>
      <c r="D388" s="108"/>
      <c r="E388" s="107"/>
      <c r="F388" s="109"/>
      <c r="G388" s="105"/>
      <c r="H388" s="106"/>
    </row>
    <row r="389" spans="1:8" x14ac:dyDescent="0.25">
      <c r="A389" s="113">
        <f t="shared" ref="A389:A399" si="48">+IF(F389&gt;0.01,A388+0.001,A388)</f>
        <v>6.1000000000000334</v>
      </c>
      <c r="B389" s="100" t="str">
        <f t="shared" ref="B389:B399" si="49">+IF(F389&gt;0,A389,"")</f>
        <v/>
      </c>
      <c r="C389" s="107"/>
      <c r="D389" s="108"/>
      <c r="E389" s="107"/>
      <c r="F389" s="109"/>
      <c r="G389" s="105"/>
      <c r="H389" s="106"/>
    </row>
    <row r="390" spans="1:8" x14ac:dyDescent="0.25">
      <c r="A390" s="113">
        <f t="shared" si="48"/>
        <v>6.1000000000000334</v>
      </c>
      <c r="B390" s="100" t="str">
        <f t="shared" si="49"/>
        <v/>
      </c>
      <c r="C390" s="107"/>
      <c r="D390" s="108"/>
      <c r="E390" s="107"/>
      <c r="F390" s="109"/>
      <c r="G390" s="105"/>
      <c r="H390" s="106"/>
    </row>
    <row r="391" spans="1:8" x14ac:dyDescent="0.25">
      <c r="A391" s="113">
        <f t="shared" si="48"/>
        <v>6.1000000000000334</v>
      </c>
      <c r="B391" s="100" t="str">
        <f t="shared" si="49"/>
        <v/>
      </c>
      <c r="C391" s="107"/>
      <c r="D391" s="108"/>
      <c r="E391" s="107"/>
      <c r="F391" s="109"/>
      <c r="G391" s="105"/>
      <c r="H391" s="106"/>
    </row>
    <row r="392" spans="1:8" x14ac:dyDescent="0.25">
      <c r="A392" s="113">
        <f t="shared" si="48"/>
        <v>6.1000000000000334</v>
      </c>
      <c r="B392" s="100" t="str">
        <f t="shared" si="49"/>
        <v/>
      </c>
      <c r="C392" s="107"/>
      <c r="D392" s="108"/>
      <c r="E392" s="107"/>
      <c r="F392" s="109"/>
      <c r="G392" s="105"/>
      <c r="H392" s="106"/>
    </row>
    <row r="393" spans="1:8" x14ac:dyDescent="0.25">
      <c r="A393" s="113">
        <f t="shared" si="48"/>
        <v>6.1000000000000334</v>
      </c>
      <c r="B393" s="100" t="str">
        <f t="shared" si="49"/>
        <v/>
      </c>
      <c r="C393" s="107"/>
      <c r="D393" s="108"/>
      <c r="E393" s="107"/>
      <c r="F393" s="109"/>
      <c r="G393" s="105"/>
      <c r="H393" s="106"/>
    </row>
    <row r="394" spans="1:8" x14ac:dyDescent="0.25">
      <c r="A394" s="113">
        <f t="shared" si="48"/>
        <v>6.1000000000000334</v>
      </c>
      <c r="B394" s="100" t="str">
        <f t="shared" si="49"/>
        <v/>
      </c>
      <c r="C394" s="107"/>
      <c r="D394" s="108"/>
      <c r="E394" s="107"/>
      <c r="F394" s="109"/>
      <c r="G394" s="105"/>
      <c r="H394" s="106"/>
    </row>
    <row r="395" spans="1:8" x14ac:dyDescent="0.25">
      <c r="A395" s="113">
        <f t="shared" si="48"/>
        <v>6.1000000000000334</v>
      </c>
      <c r="B395" s="100" t="str">
        <f t="shared" si="49"/>
        <v/>
      </c>
      <c r="C395" s="107"/>
      <c r="D395" s="108"/>
      <c r="E395" s="107"/>
      <c r="F395" s="109"/>
      <c r="G395" s="105"/>
      <c r="H395" s="106"/>
    </row>
    <row r="396" spans="1:8" x14ac:dyDescent="0.25">
      <c r="A396" s="113">
        <f>+IF(F396&gt;0.01,A395+0.001,A395)</f>
        <v>6.1000000000000334</v>
      </c>
      <c r="B396" s="100" t="str">
        <f t="shared" si="49"/>
        <v/>
      </c>
      <c r="C396" s="107"/>
      <c r="D396" s="108"/>
      <c r="E396" s="107"/>
      <c r="F396" s="109"/>
      <c r="G396" s="105"/>
      <c r="H396" s="106"/>
    </row>
    <row r="397" spans="1:8" x14ac:dyDescent="0.25">
      <c r="A397" s="113">
        <f t="shared" si="48"/>
        <v>6.1000000000000334</v>
      </c>
      <c r="B397" s="100" t="str">
        <f t="shared" si="49"/>
        <v/>
      </c>
      <c r="C397" s="107"/>
      <c r="D397" s="108"/>
      <c r="E397" s="107"/>
      <c r="F397" s="109"/>
      <c r="G397" s="105"/>
      <c r="H397" s="106"/>
    </row>
    <row r="398" spans="1:8" x14ac:dyDescent="0.25">
      <c r="A398" s="113">
        <f t="shared" si="48"/>
        <v>6.1000000000000334</v>
      </c>
      <c r="B398" s="100" t="str">
        <f t="shared" si="49"/>
        <v/>
      </c>
      <c r="C398" s="107"/>
      <c r="D398" s="108"/>
      <c r="E398" s="107"/>
      <c r="F398" s="109"/>
      <c r="G398" s="105"/>
      <c r="H398" s="106"/>
    </row>
    <row r="399" spans="1:8" ht="15.75" thickBot="1" x14ac:dyDescent="0.3">
      <c r="A399" s="113">
        <f t="shared" si="48"/>
        <v>6.1000000000000334</v>
      </c>
      <c r="B399" s="100" t="str">
        <f t="shared" si="49"/>
        <v/>
      </c>
      <c r="C399" s="107"/>
      <c r="D399" s="108"/>
      <c r="E399" s="107"/>
      <c r="F399" s="109"/>
      <c r="G399" s="105"/>
      <c r="H399" s="106"/>
    </row>
    <row r="400" spans="1:8" ht="15.75" thickBot="1" x14ac:dyDescent="0.3">
      <c r="A400" s="113"/>
      <c r="B400" s="173" t="s">
        <v>363</v>
      </c>
      <c r="C400" s="174"/>
      <c r="D400" s="174"/>
      <c r="E400" s="174"/>
      <c r="F400" s="174"/>
      <c r="G400" s="175"/>
      <c r="H400" s="117">
        <f>SUM(H362:H399)</f>
        <v>0</v>
      </c>
    </row>
  </sheetData>
  <mergeCells count="23">
    <mergeCell ref="B196:G196"/>
    <mergeCell ref="B106:G106"/>
    <mergeCell ref="B39:G39"/>
    <mergeCell ref="B41:G41"/>
    <mergeCell ref="B70:G70"/>
    <mergeCell ref="B72:G72"/>
    <mergeCell ref="B104:G104"/>
    <mergeCell ref="B360:G360"/>
    <mergeCell ref="B362:G362"/>
    <mergeCell ref="B400:G400"/>
    <mergeCell ref="B332:G332"/>
    <mergeCell ref="B137:G137"/>
    <mergeCell ref="B139:G139"/>
    <mergeCell ref="B302:G302"/>
    <mergeCell ref="B304:G304"/>
    <mergeCell ref="B330:G330"/>
    <mergeCell ref="B244:G244"/>
    <mergeCell ref="B246:G246"/>
    <mergeCell ref="B275:G275"/>
    <mergeCell ref="B277:G277"/>
    <mergeCell ref="B165:G165"/>
    <mergeCell ref="B167:G167"/>
    <mergeCell ref="B194:G194"/>
  </mergeCells>
  <pageMargins left="0.7" right="0.7" top="0.75" bottom="0.75" header="0.3" footer="0.3"/>
  <pageSetup paperSize="9" scale="79" orientation="portrait" r:id="rId1"/>
  <rowBreaks count="6" manualBreakCount="6">
    <brk id="39" min="1" max="7" man="1"/>
    <brk id="70" min="1" max="7" man="1"/>
    <brk id="104" min="1" max="7" man="1"/>
    <brk id="137" min="1" max="7" man="1"/>
    <brk id="165" min="1" max="7" man="1"/>
    <brk id="194" min="1" max="7" man="1"/>
  </rowBreak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B1:H37"/>
  <sheetViews>
    <sheetView workbookViewId="0">
      <selection activeCell="D3" sqref="D3"/>
    </sheetView>
  </sheetViews>
  <sheetFormatPr defaultRowHeight="15" x14ac:dyDescent="0.25"/>
  <cols>
    <col min="3" max="3" width="10" customWidth="1"/>
    <col min="4" max="4" width="32.42578125" customWidth="1"/>
    <col min="5" max="5" width="11" customWidth="1"/>
    <col min="6" max="6" width="12.140625" customWidth="1"/>
    <col min="7" max="7" width="10.42578125" customWidth="1"/>
    <col min="8" max="8" width="10.7109375" customWidth="1"/>
  </cols>
  <sheetData>
    <row r="1" spans="2:8" ht="24.75" thickBot="1" x14ac:dyDescent="0.3">
      <c r="B1" s="114" t="s">
        <v>36</v>
      </c>
      <c r="C1" s="97" t="s">
        <v>94</v>
      </c>
      <c r="D1" s="115" t="s">
        <v>38</v>
      </c>
      <c r="E1" s="115" t="s">
        <v>37</v>
      </c>
      <c r="F1" s="115" t="s">
        <v>81</v>
      </c>
      <c r="G1" s="116" t="s">
        <v>86</v>
      </c>
      <c r="H1" s="99" t="s">
        <v>95</v>
      </c>
    </row>
    <row r="3" spans="2:8" x14ac:dyDescent="0.25">
      <c r="C3" t="s">
        <v>34</v>
      </c>
      <c r="D3" t="s">
        <v>89</v>
      </c>
      <c r="F3">
        <f>SUM(F4:F19)</f>
        <v>60.437158500000002</v>
      </c>
      <c r="G3">
        <f>G4</f>
        <v>75</v>
      </c>
      <c r="H3">
        <f t="shared" ref="H3:H21" si="0">IF(F3="","",G3*F3)</f>
        <v>4532.7868875000004</v>
      </c>
    </row>
    <row r="4" spans="2:8" x14ac:dyDescent="0.25">
      <c r="D4" t="s">
        <v>339</v>
      </c>
      <c r="E4" t="s">
        <v>48</v>
      </c>
      <c r="F4">
        <v>4.4032499999999999</v>
      </c>
      <c r="G4">
        <v>75</v>
      </c>
      <c r="H4">
        <f t="shared" si="0"/>
        <v>330.24374999999998</v>
      </c>
    </row>
    <row r="5" spans="2:8" x14ac:dyDescent="0.25">
      <c r="D5" t="s">
        <v>340</v>
      </c>
      <c r="E5" t="s">
        <v>48</v>
      </c>
      <c r="F5">
        <v>3.2319</v>
      </c>
      <c r="G5">
        <v>75</v>
      </c>
      <c r="H5">
        <f t="shared" si="0"/>
        <v>242.39250000000001</v>
      </c>
    </row>
    <row r="6" spans="2:8" x14ac:dyDescent="0.25">
      <c r="D6" t="s">
        <v>341</v>
      </c>
      <c r="E6" t="s">
        <v>48</v>
      </c>
      <c r="F6">
        <v>4.0881540000000003</v>
      </c>
      <c r="G6">
        <v>75</v>
      </c>
      <c r="H6">
        <f t="shared" si="0"/>
        <v>306.61155000000002</v>
      </c>
    </row>
    <row r="7" spans="2:8" x14ac:dyDescent="0.25">
      <c r="D7" t="s">
        <v>342</v>
      </c>
      <c r="E7" t="s">
        <v>48</v>
      </c>
      <c r="F7">
        <v>4.0881540000000003</v>
      </c>
      <c r="G7">
        <v>75</v>
      </c>
      <c r="H7">
        <f t="shared" si="0"/>
        <v>306.61155000000002</v>
      </c>
    </row>
    <row r="8" spans="2:8" x14ac:dyDescent="0.25">
      <c r="D8" t="s">
        <v>343</v>
      </c>
      <c r="E8" t="s">
        <v>48</v>
      </c>
      <c r="F8">
        <v>3.599056</v>
      </c>
      <c r="G8">
        <v>75</v>
      </c>
      <c r="H8">
        <f t="shared" si="0"/>
        <v>269.92919999999998</v>
      </c>
    </row>
    <row r="9" spans="2:8" x14ac:dyDescent="0.25">
      <c r="D9" t="s">
        <v>344</v>
      </c>
      <c r="E9" t="s">
        <v>48</v>
      </c>
      <c r="F9">
        <v>4.0939680000000003</v>
      </c>
      <c r="G9">
        <v>75</v>
      </c>
      <c r="H9">
        <f t="shared" si="0"/>
        <v>307.04760000000005</v>
      </c>
    </row>
    <row r="10" spans="2:8" x14ac:dyDescent="0.25">
      <c r="D10" t="s">
        <v>345</v>
      </c>
      <c r="E10" t="s">
        <v>48</v>
      </c>
      <c r="F10">
        <v>1</v>
      </c>
      <c r="G10">
        <v>75</v>
      </c>
      <c r="H10">
        <f t="shared" si="0"/>
        <v>75</v>
      </c>
    </row>
    <row r="11" spans="2:8" x14ac:dyDescent="0.25">
      <c r="D11" t="s">
        <v>346</v>
      </c>
      <c r="E11" t="s">
        <v>48</v>
      </c>
      <c r="F11">
        <v>2.9930224999999999</v>
      </c>
      <c r="G11">
        <v>75</v>
      </c>
      <c r="H11">
        <f t="shared" si="0"/>
        <v>224.4766875</v>
      </c>
    </row>
    <row r="12" spans="2:8" x14ac:dyDescent="0.25">
      <c r="D12" t="s">
        <v>347</v>
      </c>
      <c r="E12" t="s">
        <v>48</v>
      </c>
      <c r="F12">
        <v>3.7882199999999999</v>
      </c>
      <c r="G12">
        <v>75</v>
      </c>
      <c r="H12">
        <f t="shared" si="0"/>
        <v>284.11649999999997</v>
      </c>
    </row>
    <row r="13" spans="2:8" x14ac:dyDescent="0.25">
      <c r="D13" t="s">
        <v>349</v>
      </c>
      <c r="E13" t="s">
        <v>48</v>
      </c>
      <c r="F13">
        <v>4.589906</v>
      </c>
      <c r="G13">
        <v>75</v>
      </c>
      <c r="H13">
        <f t="shared" si="0"/>
        <v>344.24295000000001</v>
      </c>
    </row>
    <row r="14" spans="2:8" x14ac:dyDescent="0.25">
      <c r="D14" t="s">
        <v>350</v>
      </c>
      <c r="E14" t="s">
        <v>48</v>
      </c>
      <c r="F14">
        <v>5.7161879999999998</v>
      </c>
      <c r="G14">
        <v>75</v>
      </c>
      <c r="H14">
        <f t="shared" si="0"/>
        <v>428.71409999999997</v>
      </c>
    </row>
    <row r="15" spans="2:8" x14ac:dyDescent="0.25">
      <c r="D15" t="s">
        <v>351</v>
      </c>
      <c r="E15" t="s">
        <v>48</v>
      </c>
      <c r="F15">
        <v>4.6410159999999996</v>
      </c>
      <c r="G15">
        <v>75</v>
      </c>
      <c r="H15">
        <f t="shared" si="0"/>
        <v>348.07619999999997</v>
      </c>
    </row>
    <row r="16" spans="2:8" x14ac:dyDescent="0.25">
      <c r="D16" t="s">
        <v>352</v>
      </c>
      <c r="E16" t="s">
        <v>48</v>
      </c>
      <c r="F16">
        <v>4.3596640000000004</v>
      </c>
      <c r="G16">
        <v>75</v>
      </c>
      <c r="H16">
        <f t="shared" si="0"/>
        <v>326.97480000000002</v>
      </c>
    </row>
    <row r="17" spans="3:8" x14ac:dyDescent="0.25">
      <c r="D17" t="s">
        <v>353</v>
      </c>
      <c r="E17" t="s">
        <v>48</v>
      </c>
      <c r="F17">
        <v>5.2325809999999997</v>
      </c>
      <c r="G17">
        <v>75</v>
      </c>
      <c r="H17">
        <f t="shared" si="0"/>
        <v>392.44357499999995</v>
      </c>
    </row>
    <row r="18" spans="3:8" x14ac:dyDescent="0.25">
      <c r="D18" t="s">
        <v>354</v>
      </c>
      <c r="E18" t="s">
        <v>48</v>
      </c>
      <c r="F18">
        <v>3.6114440000000001</v>
      </c>
      <c r="G18">
        <v>75</v>
      </c>
      <c r="H18">
        <f t="shared" si="0"/>
        <v>270.85829999999999</v>
      </c>
    </row>
    <row r="19" spans="3:8" x14ac:dyDescent="0.25">
      <c r="D19" t="s">
        <v>355</v>
      </c>
      <c r="E19" t="s">
        <v>48</v>
      </c>
      <c r="F19">
        <v>1.0006349999999999</v>
      </c>
      <c r="G19">
        <v>75</v>
      </c>
      <c r="H19">
        <f t="shared" si="0"/>
        <v>75.047624999999996</v>
      </c>
    </row>
    <row r="20" spans="3:8" x14ac:dyDescent="0.25">
      <c r="H20" t="str">
        <f t="shared" si="0"/>
        <v/>
      </c>
    </row>
    <row r="21" spans="3:8" x14ac:dyDescent="0.25">
      <c r="C21" t="s">
        <v>35</v>
      </c>
      <c r="D21" t="s">
        <v>90</v>
      </c>
      <c r="F21">
        <f>SUM(F22:F37)</f>
        <v>33.059468249999995</v>
      </c>
      <c r="G21">
        <f>G22</f>
        <v>500</v>
      </c>
      <c r="H21">
        <f t="shared" si="0"/>
        <v>16529.734124999999</v>
      </c>
    </row>
    <row r="22" spans="3:8" x14ac:dyDescent="0.25">
      <c r="D22" t="s">
        <v>339</v>
      </c>
      <c r="E22" t="s">
        <v>48</v>
      </c>
      <c r="F22">
        <v>2.2016249999999999</v>
      </c>
      <c r="G22">
        <v>500</v>
      </c>
      <c r="H22">
        <v>1100.8125</v>
      </c>
    </row>
    <row r="23" spans="3:8" x14ac:dyDescent="0.25">
      <c r="D23" t="s">
        <v>340</v>
      </c>
      <c r="E23" t="s">
        <v>48</v>
      </c>
      <c r="F23">
        <v>1.61595</v>
      </c>
      <c r="G23">
        <v>500</v>
      </c>
      <c r="H23">
        <v>807.97500000000002</v>
      </c>
    </row>
    <row r="24" spans="3:8" x14ac:dyDescent="0.25">
      <c r="D24" t="s">
        <v>341</v>
      </c>
      <c r="E24" t="s">
        <v>48</v>
      </c>
      <c r="F24">
        <v>2.0440770000000001</v>
      </c>
      <c r="G24">
        <v>500</v>
      </c>
      <c r="H24">
        <v>1022.0385000000001</v>
      </c>
    </row>
    <row r="25" spans="3:8" x14ac:dyDescent="0.25">
      <c r="D25" t="s">
        <v>342</v>
      </c>
      <c r="E25" t="s">
        <v>48</v>
      </c>
      <c r="F25">
        <v>2.0440770000000001</v>
      </c>
      <c r="G25">
        <v>500</v>
      </c>
      <c r="H25">
        <v>1022.0385000000001</v>
      </c>
    </row>
    <row r="26" spans="3:8" x14ac:dyDescent="0.25">
      <c r="D26" t="s">
        <v>343</v>
      </c>
      <c r="E26" t="s">
        <v>48</v>
      </c>
      <c r="F26">
        <v>1.799528</v>
      </c>
      <c r="G26">
        <v>500</v>
      </c>
      <c r="H26">
        <v>899.76400000000001</v>
      </c>
    </row>
    <row r="27" spans="3:8" x14ac:dyDescent="0.25">
      <c r="D27" t="s">
        <v>344</v>
      </c>
      <c r="E27" t="s">
        <v>48</v>
      </c>
      <c r="F27">
        <v>2.0469840000000001</v>
      </c>
      <c r="G27">
        <v>500</v>
      </c>
      <c r="H27">
        <v>1023.4920000000001</v>
      </c>
    </row>
    <row r="28" spans="3:8" x14ac:dyDescent="0.25">
      <c r="D28" t="s">
        <v>345</v>
      </c>
      <c r="E28" t="s">
        <v>48</v>
      </c>
      <c r="F28">
        <v>1.94</v>
      </c>
      <c r="G28">
        <v>500</v>
      </c>
      <c r="H28">
        <v>970</v>
      </c>
    </row>
    <row r="29" spans="3:8" x14ac:dyDescent="0.25">
      <c r="D29" t="s">
        <v>346</v>
      </c>
      <c r="E29" t="s">
        <v>48</v>
      </c>
      <c r="F29">
        <v>1.49651125</v>
      </c>
      <c r="G29">
        <v>500</v>
      </c>
      <c r="H29">
        <v>748.25562500000001</v>
      </c>
    </row>
    <row r="30" spans="3:8" x14ac:dyDescent="0.25">
      <c r="D30" t="s">
        <v>347</v>
      </c>
      <c r="E30" t="s">
        <v>48</v>
      </c>
      <c r="F30">
        <v>1.89411</v>
      </c>
      <c r="G30">
        <v>500</v>
      </c>
      <c r="H30">
        <v>947.05499999999995</v>
      </c>
    </row>
    <row r="31" spans="3:8" x14ac:dyDescent="0.25">
      <c r="D31" t="s">
        <v>349</v>
      </c>
      <c r="E31" t="s">
        <v>48</v>
      </c>
      <c r="F31">
        <v>2.294953</v>
      </c>
      <c r="G31">
        <v>500</v>
      </c>
      <c r="H31">
        <v>1147.4765</v>
      </c>
    </row>
    <row r="32" spans="3:8" x14ac:dyDescent="0.25">
      <c r="D32" t="s">
        <v>350</v>
      </c>
      <c r="E32" t="s">
        <v>48</v>
      </c>
      <c r="F32">
        <v>2.8580939999999999</v>
      </c>
      <c r="G32">
        <v>500</v>
      </c>
      <c r="H32">
        <v>1429.047</v>
      </c>
    </row>
    <row r="33" spans="4:8" x14ac:dyDescent="0.25">
      <c r="D33" t="s">
        <v>351</v>
      </c>
      <c r="E33" t="s">
        <v>48</v>
      </c>
      <c r="F33">
        <v>2.3205079999999998</v>
      </c>
      <c r="G33">
        <v>500</v>
      </c>
      <c r="H33">
        <v>1160.2539999999999</v>
      </c>
    </row>
    <row r="34" spans="4:8" x14ac:dyDescent="0.25">
      <c r="D34" t="s">
        <v>352</v>
      </c>
      <c r="E34" t="s">
        <v>48</v>
      </c>
      <c r="F34">
        <v>2.1798320000000002</v>
      </c>
      <c r="G34">
        <v>500</v>
      </c>
      <c r="H34">
        <v>1089.9160000000002</v>
      </c>
    </row>
    <row r="35" spans="4:8" x14ac:dyDescent="0.25">
      <c r="D35" t="s">
        <v>353</v>
      </c>
      <c r="E35" t="s">
        <v>48</v>
      </c>
      <c r="F35">
        <v>2.6162904999999999</v>
      </c>
      <c r="G35">
        <v>500</v>
      </c>
      <c r="H35">
        <v>1308.14525</v>
      </c>
    </row>
    <row r="36" spans="4:8" x14ac:dyDescent="0.25">
      <c r="D36" t="s">
        <v>354</v>
      </c>
      <c r="E36" t="s">
        <v>48</v>
      </c>
      <c r="F36">
        <v>1.805722</v>
      </c>
      <c r="G36">
        <v>500</v>
      </c>
      <c r="H36">
        <v>902.86099999999999</v>
      </c>
    </row>
    <row r="37" spans="4:8" x14ac:dyDescent="0.25">
      <c r="D37" t="s">
        <v>355</v>
      </c>
      <c r="E37" t="s">
        <v>48</v>
      </c>
      <c r="F37">
        <v>1.9012065</v>
      </c>
      <c r="G37">
        <v>500</v>
      </c>
      <c r="H37">
        <v>950.60325</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942"/>
  <sheetViews>
    <sheetView topLeftCell="A914" workbookViewId="0">
      <selection activeCell="A2" sqref="A2:A941"/>
    </sheetView>
  </sheetViews>
  <sheetFormatPr defaultRowHeight="15" x14ac:dyDescent="0.25"/>
  <cols>
    <col min="1" max="1" width="255.7109375" customWidth="1"/>
  </cols>
  <sheetData>
    <row r="1" spans="1:1" x14ac:dyDescent="0.25">
      <c r="A1" s="11" t="s">
        <v>5</v>
      </c>
    </row>
    <row r="2" spans="1:1" x14ac:dyDescent="0.25">
      <c r="A2" s="10" t="s">
        <v>43</v>
      </c>
    </row>
    <row r="3" spans="1:1" x14ac:dyDescent="0.25">
      <c r="A3" s="18" t="s">
        <v>52</v>
      </c>
    </row>
    <row r="4" spans="1:1" x14ac:dyDescent="0.25">
      <c r="A4" s="19" t="s">
        <v>52</v>
      </c>
    </row>
    <row r="5" spans="1:1" x14ac:dyDescent="0.25">
      <c r="A5" s="20" t="s">
        <v>52</v>
      </c>
    </row>
    <row r="6" spans="1:1" x14ac:dyDescent="0.25">
      <c r="A6" s="21" t="s">
        <v>52</v>
      </c>
    </row>
    <row r="7" spans="1:1" x14ac:dyDescent="0.25">
      <c r="A7" s="22" t="s">
        <v>666</v>
      </c>
    </row>
    <row r="8" spans="1:1" x14ac:dyDescent="0.25">
      <c r="A8" s="23" t="s">
        <v>52</v>
      </c>
    </row>
    <row r="9" spans="1:1" x14ac:dyDescent="0.25">
      <c r="A9" s="24" t="s">
        <v>52</v>
      </c>
    </row>
    <row r="10" spans="1:1" x14ac:dyDescent="0.25">
      <c r="A10" s="25" t="s">
        <v>52</v>
      </c>
    </row>
    <row r="11" spans="1:1" x14ac:dyDescent="0.25">
      <c r="A11" s="26" t="s">
        <v>286</v>
      </c>
    </row>
    <row r="12" spans="1:1" x14ac:dyDescent="0.25">
      <c r="A12" s="27" t="s">
        <v>667</v>
      </c>
    </row>
    <row r="13" spans="1:1" x14ac:dyDescent="0.25">
      <c r="A13" s="28" t="s">
        <v>829</v>
      </c>
    </row>
    <row r="14" spans="1:1" x14ac:dyDescent="0.25">
      <c r="A14" s="29" t="s">
        <v>52</v>
      </c>
    </row>
    <row r="15" spans="1:1" x14ac:dyDescent="0.25">
      <c r="A15" s="30" t="s">
        <v>52</v>
      </c>
    </row>
    <row r="16" spans="1:1" x14ac:dyDescent="0.25">
      <c r="A16" s="31" t="s">
        <v>52</v>
      </c>
    </row>
    <row r="17" spans="1:1" x14ac:dyDescent="0.25">
      <c r="A17" s="32" t="s">
        <v>52</v>
      </c>
    </row>
    <row r="18" spans="1:1" x14ac:dyDescent="0.25">
      <c r="A18" s="33" t="s">
        <v>52</v>
      </c>
    </row>
    <row r="19" spans="1:1" x14ac:dyDescent="0.25">
      <c r="A19" s="34" t="s">
        <v>52</v>
      </c>
    </row>
    <row r="20" spans="1:1" x14ac:dyDescent="0.25">
      <c r="A20" s="35" t="s">
        <v>52</v>
      </c>
    </row>
    <row r="21" spans="1:1" x14ac:dyDescent="0.25">
      <c r="A21" s="36" t="s">
        <v>52</v>
      </c>
    </row>
    <row r="22" spans="1:1" x14ac:dyDescent="0.25">
      <c r="A22" s="37" t="s">
        <v>52</v>
      </c>
    </row>
    <row r="23" spans="1:1" x14ac:dyDescent="0.25">
      <c r="A23" s="38" t="s">
        <v>52</v>
      </c>
    </row>
    <row r="24" spans="1:1" x14ac:dyDescent="0.25">
      <c r="A24" s="39" t="s">
        <v>52</v>
      </c>
    </row>
    <row r="25" spans="1:1" x14ac:dyDescent="0.25">
      <c r="A25" s="40" t="s">
        <v>52</v>
      </c>
    </row>
    <row r="26" spans="1:1" x14ac:dyDescent="0.25">
      <c r="A26" s="41" t="s">
        <v>52</v>
      </c>
    </row>
    <row r="27" spans="1:1" x14ac:dyDescent="0.25">
      <c r="A27" s="42" t="s">
        <v>52</v>
      </c>
    </row>
    <row r="28" spans="1:1" x14ac:dyDescent="0.25">
      <c r="A28" s="43" t="s">
        <v>52</v>
      </c>
    </row>
    <row r="29" spans="1:1" x14ac:dyDescent="0.25">
      <c r="A29" s="44" t="s">
        <v>52</v>
      </c>
    </row>
    <row r="30" spans="1:1" x14ac:dyDescent="0.25">
      <c r="A30" s="45" t="s">
        <v>52</v>
      </c>
    </row>
    <row r="31" spans="1:1" x14ac:dyDescent="0.25">
      <c r="A31" s="46" t="s">
        <v>52</v>
      </c>
    </row>
    <row r="32" spans="1:1" x14ac:dyDescent="0.25">
      <c r="A32" s="47" t="s">
        <v>52</v>
      </c>
    </row>
    <row r="33" spans="1:1" x14ac:dyDescent="0.25">
      <c r="A33" s="48" t="s">
        <v>52</v>
      </c>
    </row>
    <row r="34" spans="1:1" x14ac:dyDescent="0.25">
      <c r="A34" s="49" t="s">
        <v>52</v>
      </c>
    </row>
    <row r="35" spans="1:1" x14ac:dyDescent="0.25">
      <c r="A35" s="50" t="s">
        <v>52</v>
      </c>
    </row>
    <row r="36" spans="1:1" x14ac:dyDescent="0.25">
      <c r="A36" s="51" t="s">
        <v>52</v>
      </c>
    </row>
    <row r="37" spans="1:1" x14ac:dyDescent="0.25">
      <c r="A37" s="52" t="s">
        <v>52</v>
      </c>
    </row>
    <row r="38" spans="1:1" x14ac:dyDescent="0.25">
      <c r="A38" s="53" t="s">
        <v>52</v>
      </c>
    </row>
    <row r="39" spans="1:1" x14ac:dyDescent="0.25">
      <c r="A39" s="54" t="s">
        <v>52</v>
      </c>
    </row>
    <row r="40" spans="1:1" x14ac:dyDescent="0.25">
      <c r="A40" s="55" t="s">
        <v>52</v>
      </c>
    </row>
    <row r="41" spans="1:1" x14ac:dyDescent="0.25">
      <c r="A41" s="56" t="s">
        <v>52</v>
      </c>
    </row>
    <row r="42" spans="1:1" x14ac:dyDescent="0.25">
      <c r="A42" s="57" t="s">
        <v>52</v>
      </c>
    </row>
    <row r="43" spans="1:1" x14ac:dyDescent="0.25">
      <c r="A43" s="58" t="s">
        <v>52</v>
      </c>
    </row>
    <row r="44" spans="1:1" x14ac:dyDescent="0.25">
      <c r="A44" s="59" t="s">
        <v>52</v>
      </c>
    </row>
    <row r="45" spans="1:1" x14ac:dyDescent="0.25">
      <c r="A45" s="60" t="s">
        <v>52</v>
      </c>
    </row>
    <row r="46" spans="1:1" x14ac:dyDescent="0.25">
      <c r="A46" s="61" t="s">
        <v>52</v>
      </c>
    </row>
    <row r="47" spans="1:1" x14ac:dyDescent="0.25">
      <c r="A47" s="62" t="s">
        <v>52</v>
      </c>
    </row>
    <row r="48" spans="1:1" x14ac:dyDescent="0.25">
      <c r="A48" s="63" t="s">
        <v>52</v>
      </c>
    </row>
    <row r="49" spans="1:1" x14ac:dyDescent="0.25">
      <c r="A49" s="64" t="s">
        <v>52</v>
      </c>
    </row>
    <row r="50" spans="1:1" x14ac:dyDescent="0.25">
      <c r="A50" s="65" t="s">
        <v>52</v>
      </c>
    </row>
    <row r="51" spans="1:1" x14ac:dyDescent="0.25">
      <c r="A51" s="66" t="s">
        <v>52</v>
      </c>
    </row>
    <row r="52" spans="1:1" x14ac:dyDescent="0.25">
      <c r="A52" s="67" t="s">
        <v>52</v>
      </c>
    </row>
    <row r="53" spans="1:1" x14ac:dyDescent="0.25">
      <c r="A53" s="68" t="s">
        <v>52</v>
      </c>
    </row>
    <row r="54" spans="1:1" x14ac:dyDescent="0.25">
      <c r="A54" s="69" t="s">
        <v>52</v>
      </c>
    </row>
    <row r="55" spans="1:1" x14ac:dyDescent="0.25">
      <c r="A55" s="70" t="s">
        <v>52</v>
      </c>
    </row>
    <row r="56" spans="1:1" x14ac:dyDescent="0.25">
      <c r="A56" s="71" t="s">
        <v>52</v>
      </c>
    </row>
    <row r="57" spans="1:1" x14ac:dyDescent="0.25">
      <c r="A57" s="72" t="s">
        <v>52</v>
      </c>
    </row>
    <row r="58" spans="1:1" x14ac:dyDescent="0.25">
      <c r="A58" s="73" t="s">
        <v>52</v>
      </c>
    </row>
    <row r="59" spans="1:1" x14ac:dyDescent="0.25">
      <c r="A59" s="74" t="s">
        <v>52</v>
      </c>
    </row>
    <row r="60" spans="1:1" x14ac:dyDescent="0.25">
      <c r="A60" s="75" t="s">
        <v>52</v>
      </c>
    </row>
    <row r="61" spans="1:1" x14ac:dyDescent="0.25">
      <c r="A61" s="76" t="s">
        <v>52</v>
      </c>
    </row>
    <row r="62" spans="1:1" x14ac:dyDescent="0.25">
      <c r="A62" s="77" t="s">
        <v>52</v>
      </c>
    </row>
    <row r="63" spans="1:1" x14ac:dyDescent="0.25">
      <c r="A63" s="78" t="s">
        <v>52</v>
      </c>
    </row>
    <row r="64" spans="1:1" x14ac:dyDescent="0.25">
      <c r="A64" s="79" t="s">
        <v>52</v>
      </c>
    </row>
    <row r="65" spans="1:1" x14ac:dyDescent="0.25">
      <c r="A65" s="80" t="s">
        <v>52</v>
      </c>
    </row>
    <row r="66" spans="1:1" x14ac:dyDescent="0.25">
      <c r="A66" s="81" t="s">
        <v>52</v>
      </c>
    </row>
    <row r="67" spans="1:1" x14ac:dyDescent="0.25">
      <c r="A67" s="82" t="s">
        <v>52</v>
      </c>
    </row>
    <row r="68" spans="1:1" x14ac:dyDescent="0.25">
      <c r="A68" s="83" t="s">
        <v>52</v>
      </c>
    </row>
    <row r="69" spans="1:1" x14ac:dyDescent="0.25">
      <c r="A69" s="84" t="s">
        <v>52</v>
      </c>
    </row>
    <row r="70" spans="1:1" x14ac:dyDescent="0.25">
      <c r="A70" s="85" t="s">
        <v>52</v>
      </c>
    </row>
    <row r="71" spans="1:1" x14ac:dyDescent="0.25">
      <c r="A71" s="86" t="s">
        <v>52</v>
      </c>
    </row>
    <row r="72" spans="1:1" x14ac:dyDescent="0.25">
      <c r="A72" s="87" t="s">
        <v>52</v>
      </c>
    </row>
    <row r="73" spans="1:1" x14ac:dyDescent="0.25">
      <c r="A73" s="88" t="s">
        <v>52</v>
      </c>
    </row>
    <row r="74" spans="1:1" x14ac:dyDescent="0.25">
      <c r="A74" s="89" t="s">
        <v>52</v>
      </c>
    </row>
    <row r="75" spans="1:1" x14ac:dyDescent="0.25">
      <c r="A75" s="90" t="s">
        <v>52</v>
      </c>
    </row>
    <row r="76" spans="1:1" x14ac:dyDescent="0.25">
      <c r="A76" s="22" t="s">
        <v>668</v>
      </c>
    </row>
    <row r="77" spans="1:1" x14ac:dyDescent="0.25">
      <c r="A77" s="23" t="s">
        <v>52</v>
      </c>
    </row>
    <row r="78" spans="1:1" x14ac:dyDescent="0.25">
      <c r="A78" s="24" t="s">
        <v>52</v>
      </c>
    </row>
    <row r="79" spans="1:1" x14ac:dyDescent="0.25">
      <c r="A79" s="25" t="s">
        <v>52</v>
      </c>
    </row>
    <row r="80" spans="1:1" x14ac:dyDescent="0.25">
      <c r="A80" s="26" t="s">
        <v>287</v>
      </c>
    </row>
    <row r="81" spans="1:1" x14ac:dyDescent="0.25">
      <c r="A81" s="27" t="s">
        <v>669</v>
      </c>
    </row>
    <row r="82" spans="1:1" x14ac:dyDescent="0.25">
      <c r="A82" s="28" t="s">
        <v>830</v>
      </c>
    </row>
    <row r="83" spans="1:1" x14ac:dyDescent="0.25">
      <c r="A83" s="29" t="s">
        <v>52</v>
      </c>
    </row>
    <row r="84" spans="1:1" x14ac:dyDescent="0.25">
      <c r="A84" s="30" t="s">
        <v>52</v>
      </c>
    </row>
    <row r="85" spans="1:1" x14ac:dyDescent="0.25">
      <c r="A85" s="31" t="s">
        <v>52</v>
      </c>
    </row>
    <row r="86" spans="1:1" x14ac:dyDescent="0.25">
      <c r="A86" s="32" t="s">
        <v>52</v>
      </c>
    </row>
    <row r="87" spans="1:1" x14ac:dyDescent="0.25">
      <c r="A87" s="33" t="s">
        <v>52</v>
      </c>
    </row>
    <row r="88" spans="1:1" x14ac:dyDescent="0.25">
      <c r="A88" s="34" t="s">
        <v>52</v>
      </c>
    </row>
    <row r="89" spans="1:1" x14ac:dyDescent="0.25">
      <c r="A89" s="35" t="s">
        <v>52</v>
      </c>
    </row>
    <row r="90" spans="1:1" x14ac:dyDescent="0.25">
      <c r="A90" s="36" t="s">
        <v>52</v>
      </c>
    </row>
    <row r="91" spans="1:1" x14ac:dyDescent="0.25">
      <c r="A91" s="37" t="s">
        <v>52</v>
      </c>
    </row>
    <row r="92" spans="1:1" x14ac:dyDescent="0.25">
      <c r="A92" s="38" t="s">
        <v>52</v>
      </c>
    </row>
    <row r="93" spans="1:1" x14ac:dyDescent="0.25">
      <c r="A93" s="39" t="s">
        <v>52</v>
      </c>
    </row>
    <row r="94" spans="1:1" x14ac:dyDescent="0.25">
      <c r="A94" s="40" t="s">
        <v>52</v>
      </c>
    </row>
    <row r="95" spans="1:1" x14ac:dyDescent="0.25">
      <c r="A95" s="41" t="s">
        <v>52</v>
      </c>
    </row>
    <row r="96" spans="1:1" x14ac:dyDescent="0.25">
      <c r="A96" s="42" t="s">
        <v>52</v>
      </c>
    </row>
    <row r="97" spans="1:1" x14ac:dyDescent="0.25">
      <c r="A97" s="43" t="s">
        <v>52</v>
      </c>
    </row>
    <row r="98" spans="1:1" x14ac:dyDescent="0.25">
      <c r="A98" s="44" t="s">
        <v>52</v>
      </c>
    </row>
    <row r="99" spans="1:1" x14ac:dyDescent="0.25">
      <c r="A99" s="45" t="s">
        <v>52</v>
      </c>
    </row>
    <row r="100" spans="1:1" x14ac:dyDescent="0.25">
      <c r="A100" s="46" t="s">
        <v>52</v>
      </c>
    </row>
    <row r="101" spans="1:1" x14ac:dyDescent="0.25">
      <c r="A101" s="47" t="s">
        <v>52</v>
      </c>
    </row>
    <row r="102" spans="1:1" x14ac:dyDescent="0.25">
      <c r="A102" s="48" t="s">
        <v>52</v>
      </c>
    </row>
    <row r="103" spans="1:1" x14ac:dyDescent="0.25">
      <c r="A103" s="49" t="s">
        <v>52</v>
      </c>
    </row>
    <row r="104" spans="1:1" x14ac:dyDescent="0.25">
      <c r="A104" s="50" t="s">
        <v>52</v>
      </c>
    </row>
    <row r="105" spans="1:1" x14ac:dyDescent="0.25">
      <c r="A105" s="51" t="s">
        <v>52</v>
      </c>
    </row>
    <row r="106" spans="1:1" x14ac:dyDescent="0.25">
      <c r="A106" s="52" t="s">
        <v>52</v>
      </c>
    </row>
    <row r="107" spans="1:1" x14ac:dyDescent="0.25">
      <c r="A107" s="53" t="s">
        <v>52</v>
      </c>
    </row>
    <row r="108" spans="1:1" x14ac:dyDescent="0.25">
      <c r="A108" s="54" t="s">
        <v>52</v>
      </c>
    </row>
    <row r="109" spans="1:1" x14ac:dyDescent="0.25">
      <c r="A109" s="55" t="s">
        <v>52</v>
      </c>
    </row>
    <row r="110" spans="1:1" x14ac:dyDescent="0.25">
      <c r="A110" s="56" t="s">
        <v>52</v>
      </c>
    </row>
    <row r="111" spans="1:1" x14ac:dyDescent="0.25">
      <c r="A111" s="57" t="s">
        <v>52</v>
      </c>
    </row>
    <row r="112" spans="1:1" x14ac:dyDescent="0.25">
      <c r="A112" s="58" t="s">
        <v>52</v>
      </c>
    </row>
    <row r="113" spans="1:1" x14ac:dyDescent="0.25">
      <c r="A113" s="59" t="s">
        <v>52</v>
      </c>
    </row>
    <row r="114" spans="1:1" x14ac:dyDescent="0.25">
      <c r="A114" s="60" t="s">
        <v>52</v>
      </c>
    </row>
    <row r="115" spans="1:1" x14ac:dyDescent="0.25">
      <c r="A115" s="61" t="s">
        <v>52</v>
      </c>
    </row>
    <row r="116" spans="1:1" x14ac:dyDescent="0.25">
      <c r="A116" s="62" t="s">
        <v>52</v>
      </c>
    </row>
    <row r="117" spans="1:1" x14ac:dyDescent="0.25">
      <c r="A117" s="63" t="s">
        <v>52</v>
      </c>
    </row>
    <row r="118" spans="1:1" x14ac:dyDescent="0.25">
      <c r="A118" s="64" t="s">
        <v>52</v>
      </c>
    </row>
    <row r="119" spans="1:1" x14ac:dyDescent="0.25">
      <c r="A119" s="65" t="s">
        <v>52</v>
      </c>
    </row>
    <row r="120" spans="1:1" x14ac:dyDescent="0.25">
      <c r="A120" s="66" t="s">
        <v>52</v>
      </c>
    </row>
    <row r="121" spans="1:1" x14ac:dyDescent="0.25">
      <c r="A121" s="67" t="s">
        <v>52</v>
      </c>
    </row>
    <row r="122" spans="1:1" x14ac:dyDescent="0.25">
      <c r="A122" s="68" t="s">
        <v>52</v>
      </c>
    </row>
    <row r="123" spans="1:1" x14ac:dyDescent="0.25">
      <c r="A123" s="69" t="s">
        <v>52</v>
      </c>
    </row>
    <row r="124" spans="1:1" x14ac:dyDescent="0.25">
      <c r="A124" s="70" t="s">
        <v>52</v>
      </c>
    </row>
    <row r="125" spans="1:1" x14ac:dyDescent="0.25">
      <c r="A125" s="71" t="s">
        <v>52</v>
      </c>
    </row>
    <row r="126" spans="1:1" x14ac:dyDescent="0.25">
      <c r="A126" s="72" t="s">
        <v>52</v>
      </c>
    </row>
    <row r="127" spans="1:1" x14ac:dyDescent="0.25">
      <c r="A127" s="73" t="s">
        <v>52</v>
      </c>
    </row>
    <row r="128" spans="1:1" x14ac:dyDescent="0.25">
      <c r="A128" s="74" t="s">
        <v>52</v>
      </c>
    </row>
    <row r="129" spans="1:1" x14ac:dyDescent="0.25">
      <c r="A129" s="75" t="s">
        <v>52</v>
      </c>
    </row>
    <row r="130" spans="1:1" x14ac:dyDescent="0.25">
      <c r="A130" s="76" t="s">
        <v>52</v>
      </c>
    </row>
    <row r="131" spans="1:1" x14ac:dyDescent="0.25">
      <c r="A131" s="77" t="s">
        <v>52</v>
      </c>
    </row>
    <row r="132" spans="1:1" x14ac:dyDescent="0.25">
      <c r="A132" s="78" t="s">
        <v>52</v>
      </c>
    </row>
    <row r="133" spans="1:1" x14ac:dyDescent="0.25">
      <c r="A133" s="79" t="s">
        <v>52</v>
      </c>
    </row>
    <row r="134" spans="1:1" x14ac:dyDescent="0.25">
      <c r="A134" s="80" t="s">
        <v>52</v>
      </c>
    </row>
    <row r="135" spans="1:1" x14ac:dyDescent="0.25">
      <c r="A135" s="81" t="s">
        <v>52</v>
      </c>
    </row>
    <row r="136" spans="1:1" x14ac:dyDescent="0.25">
      <c r="A136" s="82" t="s">
        <v>52</v>
      </c>
    </row>
    <row r="137" spans="1:1" x14ac:dyDescent="0.25">
      <c r="A137" s="83" t="s">
        <v>52</v>
      </c>
    </row>
    <row r="138" spans="1:1" x14ac:dyDescent="0.25">
      <c r="A138" s="84" t="s">
        <v>52</v>
      </c>
    </row>
    <row r="139" spans="1:1" x14ac:dyDescent="0.25">
      <c r="A139" s="85" t="s">
        <v>52</v>
      </c>
    </row>
    <row r="140" spans="1:1" x14ac:dyDescent="0.25">
      <c r="A140" s="86" t="s">
        <v>52</v>
      </c>
    </row>
    <row r="141" spans="1:1" x14ac:dyDescent="0.25">
      <c r="A141" s="87" t="s">
        <v>52</v>
      </c>
    </row>
    <row r="142" spans="1:1" x14ac:dyDescent="0.25">
      <c r="A142" s="88" t="s">
        <v>52</v>
      </c>
    </row>
    <row r="143" spans="1:1" x14ac:dyDescent="0.25">
      <c r="A143" s="89" t="s">
        <v>52</v>
      </c>
    </row>
    <row r="144" spans="1:1" x14ac:dyDescent="0.25">
      <c r="A144" s="90" t="s">
        <v>52</v>
      </c>
    </row>
    <row r="145" spans="1:1" x14ac:dyDescent="0.25">
      <c r="A145" s="19" t="s">
        <v>670</v>
      </c>
    </row>
    <row r="146" spans="1:1" x14ac:dyDescent="0.25">
      <c r="A146" s="20" t="s">
        <v>52</v>
      </c>
    </row>
    <row r="147" spans="1:1" x14ac:dyDescent="0.25">
      <c r="A147" s="21" t="s">
        <v>52</v>
      </c>
    </row>
    <row r="148" spans="1:1" x14ac:dyDescent="0.25">
      <c r="A148" s="22" t="s">
        <v>52</v>
      </c>
    </row>
    <row r="149" spans="1:1" x14ac:dyDescent="0.25">
      <c r="A149" s="23" t="s">
        <v>52</v>
      </c>
    </row>
    <row r="150" spans="1:1" x14ac:dyDescent="0.25">
      <c r="A150" s="24" t="s">
        <v>52</v>
      </c>
    </row>
    <row r="151" spans="1:1" x14ac:dyDescent="0.25">
      <c r="A151" s="25" t="s">
        <v>52</v>
      </c>
    </row>
    <row r="152" spans="1:1" x14ac:dyDescent="0.25">
      <c r="A152" s="26" t="s">
        <v>52</v>
      </c>
    </row>
    <row r="153" spans="1:1" x14ac:dyDescent="0.25">
      <c r="A153" s="27" t="s">
        <v>52</v>
      </c>
    </row>
    <row r="154" spans="1:1" x14ac:dyDescent="0.25">
      <c r="A154" s="28" t="s">
        <v>831</v>
      </c>
    </row>
    <row r="155" spans="1:1" x14ac:dyDescent="0.25">
      <c r="A155" s="29" t="s">
        <v>52</v>
      </c>
    </row>
    <row r="156" spans="1:1" x14ac:dyDescent="0.25">
      <c r="A156" s="30" t="s">
        <v>52</v>
      </c>
    </row>
    <row r="157" spans="1:1" x14ac:dyDescent="0.25">
      <c r="A157" s="31" t="s">
        <v>52</v>
      </c>
    </row>
    <row r="158" spans="1:1" x14ac:dyDescent="0.25">
      <c r="A158" s="32" t="s">
        <v>52</v>
      </c>
    </row>
    <row r="159" spans="1:1" x14ac:dyDescent="0.25">
      <c r="A159" s="33" t="s">
        <v>52</v>
      </c>
    </row>
    <row r="160" spans="1:1" x14ac:dyDescent="0.25">
      <c r="A160" s="34" t="s">
        <v>52</v>
      </c>
    </row>
    <row r="161" spans="1:1" x14ac:dyDescent="0.25">
      <c r="A161" s="35" t="s">
        <v>52</v>
      </c>
    </row>
    <row r="162" spans="1:1" x14ac:dyDescent="0.25">
      <c r="A162" s="36" t="s">
        <v>52</v>
      </c>
    </row>
    <row r="163" spans="1:1" x14ac:dyDescent="0.25">
      <c r="A163" s="37" t="s">
        <v>52</v>
      </c>
    </row>
    <row r="164" spans="1:1" x14ac:dyDescent="0.25">
      <c r="A164" s="38" t="s">
        <v>52</v>
      </c>
    </row>
    <row r="165" spans="1:1" x14ac:dyDescent="0.25">
      <c r="A165" s="39" t="s">
        <v>52</v>
      </c>
    </row>
    <row r="166" spans="1:1" x14ac:dyDescent="0.25">
      <c r="A166" s="40" t="s">
        <v>52</v>
      </c>
    </row>
    <row r="167" spans="1:1" x14ac:dyDescent="0.25">
      <c r="A167" s="41" t="s">
        <v>52</v>
      </c>
    </row>
    <row r="168" spans="1:1" x14ac:dyDescent="0.25">
      <c r="A168" s="42" t="s">
        <v>52</v>
      </c>
    </row>
    <row r="169" spans="1:1" x14ac:dyDescent="0.25">
      <c r="A169" s="43" t="s">
        <v>52</v>
      </c>
    </row>
    <row r="170" spans="1:1" x14ac:dyDescent="0.25">
      <c r="A170" s="44" t="s">
        <v>52</v>
      </c>
    </row>
    <row r="171" spans="1:1" x14ac:dyDescent="0.25">
      <c r="A171" s="45" t="s">
        <v>52</v>
      </c>
    </row>
    <row r="172" spans="1:1" x14ac:dyDescent="0.25">
      <c r="A172" s="46" t="s">
        <v>52</v>
      </c>
    </row>
    <row r="173" spans="1:1" x14ac:dyDescent="0.25">
      <c r="A173" s="47" t="s">
        <v>52</v>
      </c>
    </row>
    <row r="174" spans="1:1" x14ac:dyDescent="0.25">
      <c r="A174" s="48" t="s">
        <v>52</v>
      </c>
    </row>
    <row r="175" spans="1:1" x14ac:dyDescent="0.25">
      <c r="A175" s="49" t="s">
        <v>52</v>
      </c>
    </row>
    <row r="176" spans="1:1" x14ac:dyDescent="0.25">
      <c r="A176" s="50" t="s">
        <v>52</v>
      </c>
    </row>
    <row r="177" spans="1:1" x14ac:dyDescent="0.25">
      <c r="A177" s="51" t="s">
        <v>138</v>
      </c>
    </row>
    <row r="178" spans="1:1" x14ac:dyDescent="0.25">
      <c r="A178" s="52" t="s">
        <v>52</v>
      </c>
    </row>
    <row r="179" spans="1:1" x14ac:dyDescent="0.25">
      <c r="A179" s="53" t="s">
        <v>52</v>
      </c>
    </row>
    <row r="180" spans="1:1" x14ac:dyDescent="0.25">
      <c r="A180" s="54" t="s">
        <v>139</v>
      </c>
    </row>
    <row r="181" spans="1:1" x14ac:dyDescent="0.25">
      <c r="A181" s="55" t="s">
        <v>52</v>
      </c>
    </row>
    <row r="182" spans="1:1" x14ac:dyDescent="0.25">
      <c r="A182" s="56" t="s">
        <v>52</v>
      </c>
    </row>
    <row r="183" spans="1:1" x14ac:dyDescent="0.25">
      <c r="A183" s="57" t="s">
        <v>52</v>
      </c>
    </row>
    <row r="184" spans="1:1" x14ac:dyDescent="0.25">
      <c r="A184" s="58" t="s">
        <v>140</v>
      </c>
    </row>
    <row r="185" spans="1:1" x14ac:dyDescent="0.25">
      <c r="A185" s="59" t="s">
        <v>52</v>
      </c>
    </row>
    <row r="186" spans="1:1" x14ac:dyDescent="0.25">
      <c r="A186" s="60" t="s">
        <v>52</v>
      </c>
    </row>
    <row r="187" spans="1:1" x14ac:dyDescent="0.25">
      <c r="A187" s="61" t="s">
        <v>52</v>
      </c>
    </row>
    <row r="188" spans="1:1" x14ac:dyDescent="0.25">
      <c r="A188" s="62" t="s">
        <v>52</v>
      </c>
    </row>
    <row r="189" spans="1:1" x14ac:dyDescent="0.25">
      <c r="A189" s="63" t="s">
        <v>52</v>
      </c>
    </row>
    <row r="190" spans="1:1" x14ac:dyDescent="0.25">
      <c r="A190" s="64" t="s">
        <v>52</v>
      </c>
    </row>
    <row r="191" spans="1:1" x14ac:dyDescent="0.25">
      <c r="A191" s="65" t="s">
        <v>52</v>
      </c>
    </row>
    <row r="192" spans="1:1" x14ac:dyDescent="0.25">
      <c r="A192" s="66" t="s">
        <v>52</v>
      </c>
    </row>
    <row r="193" spans="1:1" x14ac:dyDescent="0.25">
      <c r="A193" s="67" t="s">
        <v>52</v>
      </c>
    </row>
    <row r="194" spans="1:1" x14ac:dyDescent="0.25">
      <c r="A194" s="68" t="s">
        <v>52</v>
      </c>
    </row>
    <row r="195" spans="1:1" x14ac:dyDescent="0.25">
      <c r="A195" s="69" t="s">
        <v>141</v>
      </c>
    </row>
    <row r="196" spans="1:1" x14ac:dyDescent="0.25">
      <c r="A196" s="70" t="s">
        <v>52</v>
      </c>
    </row>
    <row r="197" spans="1:1" x14ac:dyDescent="0.25">
      <c r="A197" s="71" t="s">
        <v>52</v>
      </c>
    </row>
    <row r="198" spans="1:1" x14ac:dyDescent="0.25">
      <c r="A198" s="72" t="s">
        <v>52</v>
      </c>
    </row>
    <row r="199" spans="1:1" x14ac:dyDescent="0.25">
      <c r="A199" s="73" t="s">
        <v>52</v>
      </c>
    </row>
    <row r="200" spans="1:1" x14ac:dyDescent="0.25">
      <c r="A200" s="74" t="s">
        <v>52</v>
      </c>
    </row>
    <row r="201" spans="1:1" x14ac:dyDescent="0.25">
      <c r="A201" s="75" t="s">
        <v>52</v>
      </c>
    </row>
    <row r="202" spans="1:1" x14ac:dyDescent="0.25">
      <c r="A202" s="76" t="s">
        <v>52</v>
      </c>
    </row>
    <row r="203" spans="1:1" x14ac:dyDescent="0.25">
      <c r="A203" s="77" t="s">
        <v>52</v>
      </c>
    </row>
    <row r="204" spans="1:1" x14ac:dyDescent="0.25">
      <c r="A204" s="78" t="s">
        <v>52</v>
      </c>
    </row>
    <row r="205" spans="1:1" x14ac:dyDescent="0.25">
      <c r="A205" s="79" t="s">
        <v>52</v>
      </c>
    </row>
    <row r="206" spans="1:1" x14ac:dyDescent="0.25">
      <c r="A206" s="80" t="s">
        <v>52</v>
      </c>
    </row>
    <row r="207" spans="1:1" x14ac:dyDescent="0.25">
      <c r="A207" s="81" t="s">
        <v>52</v>
      </c>
    </row>
    <row r="208" spans="1:1" x14ac:dyDescent="0.25">
      <c r="A208" s="82" t="s">
        <v>52</v>
      </c>
    </row>
    <row r="209" spans="1:1" x14ac:dyDescent="0.25">
      <c r="A209" s="83" t="s">
        <v>52</v>
      </c>
    </row>
    <row r="210" spans="1:1" x14ac:dyDescent="0.25">
      <c r="A210" s="84" t="s">
        <v>52</v>
      </c>
    </row>
    <row r="211" spans="1:1" x14ac:dyDescent="0.25">
      <c r="A211" s="85" t="s">
        <v>52</v>
      </c>
    </row>
    <row r="212" spans="1:1" x14ac:dyDescent="0.25">
      <c r="A212" s="86" t="s">
        <v>52</v>
      </c>
    </row>
    <row r="213" spans="1:1" x14ac:dyDescent="0.25">
      <c r="A213" s="87" t="s">
        <v>52</v>
      </c>
    </row>
    <row r="214" spans="1:1" x14ac:dyDescent="0.25">
      <c r="A214" s="88" t="s">
        <v>52</v>
      </c>
    </row>
    <row r="215" spans="1:1" x14ac:dyDescent="0.25">
      <c r="A215" s="89" t="s">
        <v>52</v>
      </c>
    </row>
    <row r="216" spans="1:1" x14ac:dyDescent="0.25">
      <c r="A216" s="90" t="s">
        <v>52</v>
      </c>
    </row>
    <row r="217" spans="1:1" x14ac:dyDescent="0.25">
      <c r="A217" s="19" t="s">
        <v>671</v>
      </c>
    </row>
    <row r="218" spans="1:1" x14ac:dyDescent="0.25">
      <c r="A218" s="20" t="s">
        <v>52</v>
      </c>
    </row>
    <row r="219" spans="1:1" x14ac:dyDescent="0.25">
      <c r="A219" s="21" t="s">
        <v>52</v>
      </c>
    </row>
    <row r="220" spans="1:1" x14ac:dyDescent="0.25">
      <c r="A220" s="22" t="s">
        <v>52</v>
      </c>
    </row>
    <row r="221" spans="1:1" x14ac:dyDescent="0.25">
      <c r="A221" s="23" t="s">
        <v>52</v>
      </c>
    </row>
    <row r="222" spans="1:1" x14ac:dyDescent="0.25">
      <c r="A222" s="24" t="s">
        <v>52</v>
      </c>
    </row>
    <row r="223" spans="1:1" x14ac:dyDescent="0.25">
      <c r="A223" s="25" t="s">
        <v>52</v>
      </c>
    </row>
    <row r="224" spans="1:1" x14ac:dyDescent="0.25">
      <c r="A224" s="26" t="s">
        <v>52</v>
      </c>
    </row>
    <row r="225" spans="1:1" x14ac:dyDescent="0.25">
      <c r="A225" s="27" t="s">
        <v>52</v>
      </c>
    </row>
    <row r="226" spans="1:1" x14ac:dyDescent="0.25">
      <c r="A226" s="28" t="s">
        <v>52</v>
      </c>
    </row>
    <row r="227" spans="1:1" x14ac:dyDescent="0.25">
      <c r="A227" s="29" t="s">
        <v>52</v>
      </c>
    </row>
    <row r="228" spans="1:1" x14ac:dyDescent="0.25">
      <c r="A228" s="30" t="s">
        <v>52</v>
      </c>
    </row>
    <row r="229" spans="1:1" x14ac:dyDescent="0.25">
      <c r="A229" s="31" t="s">
        <v>52</v>
      </c>
    </row>
    <row r="230" spans="1:1" x14ac:dyDescent="0.25">
      <c r="A230" s="32" t="s">
        <v>52</v>
      </c>
    </row>
    <row r="231" spans="1:1" x14ac:dyDescent="0.25">
      <c r="A231" s="33" t="s">
        <v>52</v>
      </c>
    </row>
    <row r="232" spans="1:1" x14ac:dyDescent="0.25">
      <c r="A232" s="34" t="s">
        <v>52</v>
      </c>
    </row>
    <row r="233" spans="1:1" x14ac:dyDescent="0.25">
      <c r="A233" s="35" t="s">
        <v>52</v>
      </c>
    </row>
    <row r="234" spans="1:1" x14ac:dyDescent="0.25">
      <c r="A234" s="36" t="s">
        <v>52</v>
      </c>
    </row>
    <row r="235" spans="1:1" x14ac:dyDescent="0.25">
      <c r="A235" s="37" t="s">
        <v>52</v>
      </c>
    </row>
    <row r="236" spans="1:1" x14ac:dyDescent="0.25">
      <c r="A236" s="38" t="s">
        <v>52</v>
      </c>
    </row>
    <row r="237" spans="1:1" x14ac:dyDescent="0.25">
      <c r="A237" s="39" t="s">
        <v>52</v>
      </c>
    </row>
    <row r="238" spans="1:1" x14ac:dyDescent="0.25">
      <c r="A238" s="40" t="s">
        <v>52</v>
      </c>
    </row>
    <row r="239" spans="1:1" x14ac:dyDescent="0.25">
      <c r="A239" s="41" t="s">
        <v>52</v>
      </c>
    </row>
    <row r="240" spans="1:1" x14ac:dyDescent="0.25">
      <c r="A240" s="42" t="s">
        <v>52</v>
      </c>
    </row>
    <row r="241" spans="1:1" x14ac:dyDescent="0.25">
      <c r="A241" s="43" t="s">
        <v>52</v>
      </c>
    </row>
    <row r="242" spans="1:1" x14ac:dyDescent="0.25">
      <c r="A242" s="44" t="s">
        <v>52</v>
      </c>
    </row>
    <row r="243" spans="1:1" x14ac:dyDescent="0.25">
      <c r="A243" s="45" t="s">
        <v>52</v>
      </c>
    </row>
    <row r="244" spans="1:1" x14ac:dyDescent="0.25">
      <c r="A244" s="46" t="s">
        <v>52</v>
      </c>
    </row>
    <row r="245" spans="1:1" x14ac:dyDescent="0.25">
      <c r="A245" s="47" t="s">
        <v>52</v>
      </c>
    </row>
    <row r="246" spans="1:1" x14ac:dyDescent="0.25">
      <c r="A246" s="48" t="s">
        <v>672</v>
      </c>
    </row>
    <row r="247" spans="1:1" x14ac:dyDescent="0.25">
      <c r="A247" s="49" t="s">
        <v>52</v>
      </c>
    </row>
    <row r="248" spans="1:1" x14ac:dyDescent="0.25">
      <c r="A248" s="50" t="s">
        <v>52</v>
      </c>
    </row>
    <row r="249" spans="1:1" x14ac:dyDescent="0.25">
      <c r="A249" s="51" t="s">
        <v>52</v>
      </c>
    </row>
    <row r="250" spans="1:1" x14ac:dyDescent="0.25">
      <c r="A250" s="52" t="s">
        <v>52</v>
      </c>
    </row>
    <row r="251" spans="1:1" x14ac:dyDescent="0.25">
      <c r="A251" s="53" t="s">
        <v>52</v>
      </c>
    </row>
    <row r="252" spans="1:1" x14ac:dyDescent="0.25">
      <c r="A252" s="54" t="s">
        <v>52</v>
      </c>
    </row>
    <row r="253" spans="1:1" x14ac:dyDescent="0.25">
      <c r="A253" s="55" t="s">
        <v>52</v>
      </c>
    </row>
    <row r="254" spans="1:1" x14ac:dyDescent="0.25">
      <c r="A254" s="56" t="s">
        <v>52</v>
      </c>
    </row>
    <row r="255" spans="1:1" x14ac:dyDescent="0.25">
      <c r="A255" s="57" t="s">
        <v>52</v>
      </c>
    </row>
    <row r="256" spans="1:1" x14ac:dyDescent="0.25">
      <c r="A256" s="58" t="s">
        <v>52</v>
      </c>
    </row>
    <row r="257" spans="1:1" x14ac:dyDescent="0.25">
      <c r="A257" s="59" t="s">
        <v>52</v>
      </c>
    </row>
    <row r="258" spans="1:1" x14ac:dyDescent="0.25">
      <c r="A258" s="60" t="s">
        <v>52</v>
      </c>
    </row>
    <row r="259" spans="1:1" x14ac:dyDescent="0.25">
      <c r="A259" s="61" t="s">
        <v>52</v>
      </c>
    </row>
    <row r="260" spans="1:1" x14ac:dyDescent="0.25">
      <c r="A260" s="62" t="s">
        <v>52</v>
      </c>
    </row>
    <row r="261" spans="1:1" x14ac:dyDescent="0.25">
      <c r="A261" s="63" t="s">
        <v>52</v>
      </c>
    </row>
    <row r="262" spans="1:1" x14ac:dyDescent="0.25">
      <c r="A262" s="64" t="s">
        <v>52</v>
      </c>
    </row>
    <row r="263" spans="1:1" x14ac:dyDescent="0.25">
      <c r="A263" s="65" t="s">
        <v>52</v>
      </c>
    </row>
    <row r="264" spans="1:1" x14ac:dyDescent="0.25">
      <c r="A264" s="66" t="s">
        <v>52</v>
      </c>
    </row>
    <row r="265" spans="1:1" x14ac:dyDescent="0.25">
      <c r="A265" s="67" t="s">
        <v>52</v>
      </c>
    </row>
    <row r="266" spans="1:1" x14ac:dyDescent="0.25">
      <c r="A266" s="68" t="s">
        <v>52</v>
      </c>
    </row>
    <row r="267" spans="1:1" x14ac:dyDescent="0.25">
      <c r="A267" s="69" t="s">
        <v>52</v>
      </c>
    </row>
    <row r="268" spans="1:1" x14ac:dyDescent="0.25">
      <c r="A268" s="70" t="s">
        <v>52</v>
      </c>
    </row>
    <row r="269" spans="1:1" x14ac:dyDescent="0.25">
      <c r="A269" s="71" t="s">
        <v>52</v>
      </c>
    </row>
    <row r="270" spans="1:1" x14ac:dyDescent="0.25">
      <c r="A270" s="72" t="s">
        <v>52</v>
      </c>
    </row>
    <row r="271" spans="1:1" x14ac:dyDescent="0.25">
      <c r="A271" s="73" t="s">
        <v>52</v>
      </c>
    </row>
    <row r="272" spans="1:1" x14ac:dyDescent="0.25">
      <c r="A272" s="74" t="s">
        <v>52</v>
      </c>
    </row>
    <row r="273" spans="1:1" x14ac:dyDescent="0.25">
      <c r="A273" s="75" t="s">
        <v>52</v>
      </c>
    </row>
    <row r="274" spans="1:1" x14ac:dyDescent="0.25">
      <c r="A274" s="76" t="s">
        <v>179</v>
      </c>
    </row>
    <row r="275" spans="1:1" x14ac:dyDescent="0.25">
      <c r="A275" s="77" t="s">
        <v>52</v>
      </c>
    </row>
    <row r="276" spans="1:1" x14ac:dyDescent="0.25">
      <c r="A276" s="78" t="s">
        <v>52</v>
      </c>
    </row>
    <row r="277" spans="1:1" x14ac:dyDescent="0.25">
      <c r="A277" s="79" t="s">
        <v>52</v>
      </c>
    </row>
    <row r="278" spans="1:1" x14ac:dyDescent="0.25">
      <c r="A278" s="80" t="s">
        <v>52</v>
      </c>
    </row>
    <row r="279" spans="1:1" x14ac:dyDescent="0.25">
      <c r="A279" s="81" t="s">
        <v>52</v>
      </c>
    </row>
    <row r="280" spans="1:1" x14ac:dyDescent="0.25">
      <c r="A280" s="82" t="s">
        <v>52</v>
      </c>
    </row>
    <row r="281" spans="1:1" x14ac:dyDescent="0.25">
      <c r="A281" s="83" t="s">
        <v>52</v>
      </c>
    </row>
    <row r="282" spans="1:1" x14ac:dyDescent="0.25">
      <c r="A282" s="84" t="s">
        <v>52</v>
      </c>
    </row>
    <row r="283" spans="1:1" x14ac:dyDescent="0.25">
      <c r="A283" s="85" t="s">
        <v>52</v>
      </c>
    </row>
    <row r="284" spans="1:1" x14ac:dyDescent="0.25">
      <c r="A284" s="86" t="s">
        <v>52</v>
      </c>
    </row>
    <row r="285" spans="1:1" x14ac:dyDescent="0.25">
      <c r="A285" s="87" t="s">
        <v>52</v>
      </c>
    </row>
    <row r="286" spans="1:1" x14ac:dyDescent="0.25">
      <c r="A286" s="88" t="s">
        <v>52</v>
      </c>
    </row>
    <row r="287" spans="1:1" x14ac:dyDescent="0.25">
      <c r="A287" s="89" t="s">
        <v>52</v>
      </c>
    </row>
    <row r="288" spans="1:1" x14ac:dyDescent="0.25">
      <c r="A288" s="90" t="s">
        <v>52</v>
      </c>
    </row>
    <row r="289" spans="1:1" x14ac:dyDescent="0.25">
      <c r="A289" s="19" t="s">
        <v>673</v>
      </c>
    </row>
    <row r="290" spans="1:1" x14ac:dyDescent="0.25">
      <c r="A290" s="20" t="s">
        <v>52</v>
      </c>
    </row>
    <row r="291" spans="1:1" x14ac:dyDescent="0.25">
      <c r="A291" s="21" t="s">
        <v>52</v>
      </c>
    </row>
    <row r="292" spans="1:1" x14ac:dyDescent="0.25">
      <c r="A292" s="22" t="s">
        <v>52</v>
      </c>
    </row>
    <row r="293" spans="1:1" x14ac:dyDescent="0.25">
      <c r="A293" s="23" t="s">
        <v>52</v>
      </c>
    </row>
    <row r="294" spans="1:1" x14ac:dyDescent="0.25">
      <c r="A294" s="24" t="s">
        <v>52</v>
      </c>
    </row>
    <row r="295" spans="1:1" x14ac:dyDescent="0.25">
      <c r="A295" s="25" t="s">
        <v>52</v>
      </c>
    </row>
    <row r="296" spans="1:1" x14ac:dyDescent="0.25">
      <c r="A296" s="26" t="s">
        <v>52</v>
      </c>
    </row>
    <row r="297" spans="1:1" x14ac:dyDescent="0.25">
      <c r="A297" s="27" t="s">
        <v>52</v>
      </c>
    </row>
    <row r="298" spans="1:1" x14ac:dyDescent="0.25">
      <c r="A298" s="28" t="s">
        <v>832</v>
      </c>
    </row>
    <row r="299" spans="1:1" x14ac:dyDescent="0.25">
      <c r="A299" s="29" t="s">
        <v>52</v>
      </c>
    </row>
    <row r="300" spans="1:1" x14ac:dyDescent="0.25">
      <c r="A300" s="30" t="s">
        <v>52</v>
      </c>
    </row>
    <row r="301" spans="1:1" x14ac:dyDescent="0.25">
      <c r="A301" s="31" t="s">
        <v>52</v>
      </c>
    </row>
    <row r="302" spans="1:1" x14ac:dyDescent="0.25">
      <c r="A302" s="32" t="s">
        <v>52</v>
      </c>
    </row>
    <row r="303" spans="1:1" x14ac:dyDescent="0.25">
      <c r="A303" s="33" t="s">
        <v>52</v>
      </c>
    </row>
    <row r="304" spans="1:1" x14ac:dyDescent="0.25">
      <c r="A304" s="34" t="s">
        <v>52</v>
      </c>
    </row>
    <row r="305" spans="1:1" x14ac:dyDescent="0.25">
      <c r="A305" s="35" t="s">
        <v>52</v>
      </c>
    </row>
    <row r="306" spans="1:1" x14ac:dyDescent="0.25">
      <c r="A306" s="36" t="s">
        <v>52</v>
      </c>
    </row>
    <row r="307" spans="1:1" x14ac:dyDescent="0.25">
      <c r="A307" s="37" t="s">
        <v>52</v>
      </c>
    </row>
    <row r="308" spans="1:1" x14ac:dyDescent="0.25">
      <c r="A308" s="38" t="s">
        <v>52</v>
      </c>
    </row>
    <row r="309" spans="1:1" x14ac:dyDescent="0.25">
      <c r="A309" s="39" t="s">
        <v>52</v>
      </c>
    </row>
    <row r="310" spans="1:1" x14ac:dyDescent="0.25">
      <c r="A310" s="40" t="s">
        <v>52</v>
      </c>
    </row>
    <row r="311" spans="1:1" x14ac:dyDescent="0.25">
      <c r="A311" s="41" t="s">
        <v>52</v>
      </c>
    </row>
    <row r="312" spans="1:1" x14ac:dyDescent="0.25">
      <c r="A312" s="42" t="s">
        <v>52</v>
      </c>
    </row>
    <row r="313" spans="1:1" x14ac:dyDescent="0.25">
      <c r="A313" s="43" t="s">
        <v>52</v>
      </c>
    </row>
    <row r="314" spans="1:1" x14ac:dyDescent="0.25">
      <c r="A314" s="44" t="s">
        <v>52</v>
      </c>
    </row>
    <row r="315" spans="1:1" x14ac:dyDescent="0.25">
      <c r="A315" s="45" t="s">
        <v>52</v>
      </c>
    </row>
    <row r="316" spans="1:1" x14ac:dyDescent="0.25">
      <c r="A316" s="46" t="s">
        <v>52</v>
      </c>
    </row>
    <row r="317" spans="1:1" x14ac:dyDescent="0.25">
      <c r="A317" s="47" t="s">
        <v>52</v>
      </c>
    </row>
    <row r="318" spans="1:1" x14ac:dyDescent="0.25">
      <c r="A318" s="48" t="s">
        <v>674</v>
      </c>
    </row>
    <row r="319" spans="1:1" x14ac:dyDescent="0.25">
      <c r="A319" s="49" t="s">
        <v>180</v>
      </c>
    </row>
    <row r="320" spans="1:1" x14ac:dyDescent="0.25">
      <c r="A320" s="50" t="s">
        <v>52</v>
      </c>
    </row>
    <row r="321" spans="1:1" x14ac:dyDescent="0.25">
      <c r="A321" s="51" t="s">
        <v>142</v>
      </c>
    </row>
    <row r="322" spans="1:1" x14ac:dyDescent="0.25">
      <c r="A322" s="52" t="s">
        <v>52</v>
      </c>
    </row>
    <row r="323" spans="1:1" x14ac:dyDescent="0.25">
      <c r="A323" s="53" t="s">
        <v>52</v>
      </c>
    </row>
    <row r="324" spans="1:1" x14ac:dyDescent="0.25">
      <c r="A324" s="54" t="s">
        <v>143</v>
      </c>
    </row>
    <row r="325" spans="1:1" x14ac:dyDescent="0.25">
      <c r="A325" s="55" t="s">
        <v>52</v>
      </c>
    </row>
    <row r="326" spans="1:1" x14ac:dyDescent="0.25">
      <c r="A326" s="56" t="s">
        <v>52</v>
      </c>
    </row>
    <row r="327" spans="1:1" x14ac:dyDescent="0.25">
      <c r="A327" s="57" t="s">
        <v>52</v>
      </c>
    </row>
    <row r="328" spans="1:1" x14ac:dyDescent="0.25">
      <c r="A328" s="58" t="s">
        <v>144</v>
      </c>
    </row>
    <row r="329" spans="1:1" x14ac:dyDescent="0.25">
      <c r="A329" s="59" t="s">
        <v>52</v>
      </c>
    </row>
    <row r="330" spans="1:1" x14ac:dyDescent="0.25">
      <c r="A330" s="60" t="s">
        <v>52</v>
      </c>
    </row>
    <row r="331" spans="1:1" x14ac:dyDescent="0.25">
      <c r="A331" s="61" t="s">
        <v>52</v>
      </c>
    </row>
    <row r="332" spans="1:1" x14ac:dyDescent="0.25">
      <c r="A332" s="62" t="s">
        <v>52</v>
      </c>
    </row>
    <row r="333" spans="1:1" x14ac:dyDescent="0.25">
      <c r="A333" s="63" t="s">
        <v>52</v>
      </c>
    </row>
    <row r="334" spans="1:1" x14ac:dyDescent="0.25">
      <c r="A334" s="64" t="s">
        <v>52</v>
      </c>
    </row>
    <row r="335" spans="1:1" x14ac:dyDescent="0.25">
      <c r="A335" s="65" t="s">
        <v>52</v>
      </c>
    </row>
    <row r="336" spans="1:1" x14ac:dyDescent="0.25">
      <c r="A336" s="66" t="s">
        <v>52</v>
      </c>
    </row>
    <row r="337" spans="1:1" x14ac:dyDescent="0.25">
      <c r="A337" s="67" t="s">
        <v>52</v>
      </c>
    </row>
    <row r="338" spans="1:1" x14ac:dyDescent="0.25">
      <c r="A338" s="68" t="s">
        <v>52</v>
      </c>
    </row>
    <row r="339" spans="1:1" x14ac:dyDescent="0.25">
      <c r="A339" s="69" t="s">
        <v>145</v>
      </c>
    </row>
    <row r="340" spans="1:1" x14ac:dyDescent="0.25">
      <c r="A340" s="70" t="s">
        <v>52</v>
      </c>
    </row>
    <row r="341" spans="1:1" x14ac:dyDescent="0.25">
      <c r="A341" s="71" t="s">
        <v>52</v>
      </c>
    </row>
    <row r="342" spans="1:1" x14ac:dyDescent="0.25">
      <c r="A342" s="72" t="s">
        <v>52</v>
      </c>
    </row>
    <row r="343" spans="1:1" x14ac:dyDescent="0.25">
      <c r="A343" s="73" t="s">
        <v>52</v>
      </c>
    </row>
    <row r="344" spans="1:1" x14ac:dyDescent="0.25">
      <c r="A344" s="74" t="s">
        <v>52</v>
      </c>
    </row>
    <row r="345" spans="1:1" x14ac:dyDescent="0.25">
      <c r="A345" s="75" t="s">
        <v>52</v>
      </c>
    </row>
    <row r="346" spans="1:1" x14ac:dyDescent="0.25">
      <c r="A346" s="76" t="s">
        <v>52</v>
      </c>
    </row>
    <row r="347" spans="1:1" x14ac:dyDescent="0.25">
      <c r="A347" s="77" t="s">
        <v>52</v>
      </c>
    </row>
    <row r="348" spans="1:1" x14ac:dyDescent="0.25">
      <c r="A348" s="78" t="s">
        <v>52</v>
      </c>
    </row>
    <row r="349" spans="1:1" x14ac:dyDescent="0.25">
      <c r="A349" s="79" t="s">
        <v>52</v>
      </c>
    </row>
    <row r="350" spans="1:1" x14ac:dyDescent="0.25">
      <c r="A350" s="80" t="s">
        <v>52</v>
      </c>
    </row>
    <row r="351" spans="1:1" x14ac:dyDescent="0.25">
      <c r="A351" s="81" t="s">
        <v>52</v>
      </c>
    </row>
    <row r="352" spans="1:1" x14ac:dyDescent="0.25">
      <c r="A352" s="82" t="s">
        <v>52</v>
      </c>
    </row>
    <row r="353" spans="1:1" x14ac:dyDescent="0.25">
      <c r="A353" s="83" t="s">
        <v>52</v>
      </c>
    </row>
    <row r="354" spans="1:1" x14ac:dyDescent="0.25">
      <c r="A354" s="84" t="s">
        <v>52</v>
      </c>
    </row>
    <row r="355" spans="1:1" x14ac:dyDescent="0.25">
      <c r="A355" s="85" t="s">
        <v>52</v>
      </c>
    </row>
    <row r="356" spans="1:1" x14ac:dyDescent="0.25">
      <c r="A356" s="86" t="s">
        <v>52</v>
      </c>
    </row>
    <row r="357" spans="1:1" x14ac:dyDescent="0.25">
      <c r="A357" s="87" t="s">
        <v>52</v>
      </c>
    </row>
    <row r="358" spans="1:1" x14ac:dyDescent="0.25">
      <c r="A358" s="88" t="s">
        <v>52</v>
      </c>
    </row>
    <row r="359" spans="1:1" x14ac:dyDescent="0.25">
      <c r="A359" s="89" t="s">
        <v>52</v>
      </c>
    </row>
    <row r="360" spans="1:1" x14ac:dyDescent="0.25">
      <c r="A360" s="90" t="s">
        <v>52</v>
      </c>
    </row>
    <row r="361" spans="1:1" x14ac:dyDescent="0.25">
      <c r="A361" s="19" t="s">
        <v>675</v>
      </c>
    </row>
    <row r="362" spans="1:1" x14ac:dyDescent="0.25">
      <c r="A362" s="20" t="s">
        <v>52</v>
      </c>
    </row>
    <row r="363" spans="1:1" x14ac:dyDescent="0.25">
      <c r="A363" s="21" t="s">
        <v>52</v>
      </c>
    </row>
    <row r="364" spans="1:1" x14ac:dyDescent="0.25">
      <c r="A364" s="22" t="s">
        <v>52</v>
      </c>
    </row>
    <row r="365" spans="1:1" x14ac:dyDescent="0.25">
      <c r="A365" s="23" t="s">
        <v>52</v>
      </c>
    </row>
    <row r="366" spans="1:1" x14ac:dyDescent="0.25">
      <c r="A366" s="24" t="s">
        <v>52</v>
      </c>
    </row>
    <row r="367" spans="1:1" x14ac:dyDescent="0.25">
      <c r="A367" s="25" t="s">
        <v>52</v>
      </c>
    </row>
    <row r="368" spans="1:1" x14ac:dyDescent="0.25">
      <c r="A368" s="26" t="s">
        <v>52</v>
      </c>
    </row>
    <row r="369" spans="1:1" x14ac:dyDescent="0.25">
      <c r="A369" s="27" t="s">
        <v>52</v>
      </c>
    </row>
    <row r="370" spans="1:1" x14ac:dyDescent="0.25">
      <c r="A370" s="28" t="s">
        <v>833</v>
      </c>
    </row>
    <row r="371" spans="1:1" x14ac:dyDescent="0.25">
      <c r="A371" s="29" t="s">
        <v>52</v>
      </c>
    </row>
    <row r="372" spans="1:1" x14ac:dyDescent="0.25">
      <c r="A372" s="30" t="s">
        <v>52</v>
      </c>
    </row>
    <row r="373" spans="1:1" x14ac:dyDescent="0.25">
      <c r="A373" s="31" t="s">
        <v>52</v>
      </c>
    </row>
    <row r="374" spans="1:1" x14ac:dyDescent="0.25">
      <c r="A374" s="32" t="s">
        <v>52</v>
      </c>
    </row>
    <row r="375" spans="1:1" x14ac:dyDescent="0.25">
      <c r="A375" s="33" t="s">
        <v>52</v>
      </c>
    </row>
    <row r="376" spans="1:1" x14ac:dyDescent="0.25">
      <c r="A376" s="34" t="s">
        <v>52</v>
      </c>
    </row>
    <row r="377" spans="1:1" x14ac:dyDescent="0.25">
      <c r="A377" s="35" t="s">
        <v>52</v>
      </c>
    </row>
    <row r="378" spans="1:1" x14ac:dyDescent="0.25">
      <c r="A378" s="36" t="s">
        <v>52</v>
      </c>
    </row>
    <row r="379" spans="1:1" x14ac:dyDescent="0.25">
      <c r="A379" s="37" t="s">
        <v>52</v>
      </c>
    </row>
    <row r="380" spans="1:1" x14ac:dyDescent="0.25">
      <c r="A380" s="38" t="s">
        <v>52</v>
      </c>
    </row>
    <row r="381" spans="1:1" x14ac:dyDescent="0.25">
      <c r="A381" s="39" t="s">
        <v>52</v>
      </c>
    </row>
    <row r="382" spans="1:1" x14ac:dyDescent="0.25">
      <c r="A382" s="40" t="s">
        <v>52</v>
      </c>
    </row>
    <row r="383" spans="1:1" x14ac:dyDescent="0.25">
      <c r="A383" s="41" t="s">
        <v>52</v>
      </c>
    </row>
    <row r="384" spans="1:1" x14ac:dyDescent="0.25">
      <c r="A384" s="42" t="s">
        <v>52</v>
      </c>
    </row>
    <row r="385" spans="1:1" x14ac:dyDescent="0.25">
      <c r="A385" s="43" t="s">
        <v>52</v>
      </c>
    </row>
    <row r="386" spans="1:1" x14ac:dyDescent="0.25">
      <c r="A386" s="44" t="s">
        <v>52</v>
      </c>
    </row>
    <row r="387" spans="1:1" x14ac:dyDescent="0.25">
      <c r="A387" s="45" t="s">
        <v>52</v>
      </c>
    </row>
    <row r="388" spans="1:1" x14ac:dyDescent="0.25">
      <c r="A388" s="46" t="s">
        <v>52</v>
      </c>
    </row>
    <row r="389" spans="1:1" x14ac:dyDescent="0.25">
      <c r="A389" s="47" t="s">
        <v>52</v>
      </c>
    </row>
    <row r="390" spans="1:1" x14ac:dyDescent="0.25">
      <c r="A390" s="48" t="s">
        <v>676</v>
      </c>
    </row>
    <row r="391" spans="1:1" x14ac:dyDescent="0.25">
      <c r="A391" s="49" t="s">
        <v>181</v>
      </c>
    </row>
    <row r="392" spans="1:1" x14ac:dyDescent="0.25">
      <c r="A392" s="50" t="s">
        <v>52</v>
      </c>
    </row>
    <row r="393" spans="1:1" x14ac:dyDescent="0.25">
      <c r="A393" s="51" t="s">
        <v>146</v>
      </c>
    </row>
    <row r="394" spans="1:1" x14ac:dyDescent="0.25">
      <c r="A394" s="52" t="s">
        <v>52</v>
      </c>
    </row>
    <row r="395" spans="1:1" x14ac:dyDescent="0.25">
      <c r="A395" s="53" t="s">
        <v>182</v>
      </c>
    </row>
    <row r="396" spans="1:1" x14ac:dyDescent="0.25">
      <c r="A396" s="54" t="s">
        <v>147</v>
      </c>
    </row>
    <row r="397" spans="1:1" x14ac:dyDescent="0.25">
      <c r="A397" s="55" t="s">
        <v>52</v>
      </c>
    </row>
    <row r="398" spans="1:1" x14ac:dyDescent="0.25">
      <c r="A398" s="56" t="s">
        <v>52</v>
      </c>
    </row>
    <row r="399" spans="1:1" x14ac:dyDescent="0.25">
      <c r="A399" s="57" t="s">
        <v>52</v>
      </c>
    </row>
    <row r="400" spans="1:1" x14ac:dyDescent="0.25">
      <c r="A400" s="58" t="s">
        <v>148</v>
      </c>
    </row>
    <row r="401" spans="1:1" x14ac:dyDescent="0.25">
      <c r="A401" s="59" t="s">
        <v>52</v>
      </c>
    </row>
    <row r="402" spans="1:1" x14ac:dyDescent="0.25">
      <c r="A402" s="60" t="s">
        <v>52</v>
      </c>
    </row>
    <row r="403" spans="1:1" x14ac:dyDescent="0.25">
      <c r="A403" s="61" t="s">
        <v>52</v>
      </c>
    </row>
    <row r="404" spans="1:1" x14ac:dyDescent="0.25">
      <c r="A404" s="62" t="s">
        <v>52</v>
      </c>
    </row>
    <row r="405" spans="1:1" x14ac:dyDescent="0.25">
      <c r="A405" s="63" t="s">
        <v>52</v>
      </c>
    </row>
    <row r="406" spans="1:1" x14ac:dyDescent="0.25">
      <c r="A406" s="64" t="s">
        <v>52</v>
      </c>
    </row>
    <row r="407" spans="1:1" x14ac:dyDescent="0.25">
      <c r="A407" s="65" t="s">
        <v>52</v>
      </c>
    </row>
    <row r="408" spans="1:1" x14ac:dyDescent="0.25">
      <c r="A408" s="66" t="s">
        <v>52</v>
      </c>
    </row>
    <row r="409" spans="1:1" x14ac:dyDescent="0.25">
      <c r="A409" s="67" t="s">
        <v>52</v>
      </c>
    </row>
    <row r="410" spans="1:1" x14ac:dyDescent="0.25">
      <c r="A410" s="68" t="s">
        <v>52</v>
      </c>
    </row>
    <row r="411" spans="1:1" x14ac:dyDescent="0.25">
      <c r="A411" s="69" t="s">
        <v>149</v>
      </c>
    </row>
    <row r="412" spans="1:1" x14ac:dyDescent="0.25">
      <c r="A412" s="70" t="s">
        <v>52</v>
      </c>
    </row>
    <row r="413" spans="1:1" x14ac:dyDescent="0.25">
      <c r="A413" s="71" t="s">
        <v>52</v>
      </c>
    </row>
    <row r="414" spans="1:1" x14ac:dyDescent="0.25">
      <c r="A414" s="72" t="s">
        <v>52</v>
      </c>
    </row>
    <row r="415" spans="1:1" x14ac:dyDescent="0.25">
      <c r="A415" s="73" t="s">
        <v>52</v>
      </c>
    </row>
    <row r="416" spans="1:1" x14ac:dyDescent="0.25">
      <c r="A416" s="74" t="s">
        <v>52</v>
      </c>
    </row>
    <row r="417" spans="1:1" x14ac:dyDescent="0.25">
      <c r="A417" s="75" t="s">
        <v>52</v>
      </c>
    </row>
    <row r="418" spans="1:1" x14ac:dyDescent="0.25">
      <c r="A418" s="76" t="s">
        <v>52</v>
      </c>
    </row>
    <row r="419" spans="1:1" x14ac:dyDescent="0.25">
      <c r="A419" s="77" t="s">
        <v>52</v>
      </c>
    </row>
    <row r="420" spans="1:1" x14ac:dyDescent="0.25">
      <c r="A420" s="78" t="s">
        <v>52</v>
      </c>
    </row>
    <row r="421" spans="1:1" x14ac:dyDescent="0.25">
      <c r="A421" s="79" t="s">
        <v>52</v>
      </c>
    </row>
    <row r="422" spans="1:1" x14ac:dyDescent="0.25">
      <c r="A422" s="80" t="s">
        <v>52</v>
      </c>
    </row>
    <row r="423" spans="1:1" x14ac:dyDescent="0.25">
      <c r="A423" s="81" t="s">
        <v>52</v>
      </c>
    </row>
    <row r="424" spans="1:1" x14ac:dyDescent="0.25">
      <c r="A424" s="82" t="s">
        <v>52</v>
      </c>
    </row>
    <row r="425" spans="1:1" x14ac:dyDescent="0.25">
      <c r="A425" s="83" t="s">
        <v>52</v>
      </c>
    </row>
    <row r="426" spans="1:1" x14ac:dyDescent="0.25">
      <c r="A426" s="84" t="s">
        <v>52</v>
      </c>
    </row>
    <row r="427" spans="1:1" x14ac:dyDescent="0.25">
      <c r="A427" s="85" t="s">
        <v>52</v>
      </c>
    </row>
    <row r="428" spans="1:1" x14ac:dyDescent="0.25">
      <c r="A428" s="86" t="s">
        <v>52</v>
      </c>
    </row>
    <row r="429" spans="1:1" x14ac:dyDescent="0.25">
      <c r="A429" s="87" t="s">
        <v>52</v>
      </c>
    </row>
    <row r="430" spans="1:1" x14ac:dyDescent="0.25">
      <c r="A430" s="88" t="s">
        <v>52</v>
      </c>
    </row>
    <row r="431" spans="1:1" x14ac:dyDescent="0.25">
      <c r="A431" s="89" t="s">
        <v>52</v>
      </c>
    </row>
    <row r="432" spans="1:1" x14ac:dyDescent="0.25">
      <c r="A432" s="90" t="s">
        <v>52</v>
      </c>
    </row>
    <row r="433" spans="1:1" x14ac:dyDescent="0.25">
      <c r="A433" s="19" t="s">
        <v>677</v>
      </c>
    </row>
    <row r="434" spans="1:1" x14ac:dyDescent="0.25">
      <c r="A434" s="20" t="s">
        <v>52</v>
      </c>
    </row>
    <row r="435" spans="1:1" x14ac:dyDescent="0.25">
      <c r="A435" s="21" t="s">
        <v>52</v>
      </c>
    </row>
    <row r="436" spans="1:1" x14ac:dyDescent="0.25">
      <c r="A436" s="22" t="s">
        <v>52</v>
      </c>
    </row>
    <row r="437" spans="1:1" x14ac:dyDescent="0.25">
      <c r="A437" s="23" t="s">
        <v>52</v>
      </c>
    </row>
    <row r="438" spans="1:1" x14ac:dyDescent="0.25">
      <c r="A438" s="24" t="s">
        <v>52</v>
      </c>
    </row>
    <row r="439" spans="1:1" x14ac:dyDescent="0.25">
      <c r="A439" s="25" t="s">
        <v>52</v>
      </c>
    </row>
    <row r="440" spans="1:1" x14ac:dyDescent="0.25">
      <c r="A440" s="26" t="s">
        <v>52</v>
      </c>
    </row>
    <row r="441" spans="1:1" x14ac:dyDescent="0.25">
      <c r="A441" s="27" t="s">
        <v>52</v>
      </c>
    </row>
    <row r="442" spans="1:1" x14ac:dyDescent="0.25">
      <c r="A442" s="28" t="s">
        <v>834</v>
      </c>
    </row>
    <row r="443" spans="1:1" x14ac:dyDescent="0.25">
      <c r="A443" s="29" t="s">
        <v>52</v>
      </c>
    </row>
    <row r="444" spans="1:1" x14ac:dyDescent="0.25">
      <c r="A444" s="30" t="s">
        <v>52</v>
      </c>
    </row>
    <row r="445" spans="1:1" x14ac:dyDescent="0.25">
      <c r="A445" s="31" t="s">
        <v>52</v>
      </c>
    </row>
    <row r="446" spans="1:1" x14ac:dyDescent="0.25">
      <c r="A446" s="32" t="s">
        <v>52</v>
      </c>
    </row>
    <row r="447" spans="1:1" x14ac:dyDescent="0.25">
      <c r="A447" s="33" t="s">
        <v>52</v>
      </c>
    </row>
    <row r="448" spans="1:1" x14ac:dyDescent="0.25">
      <c r="A448" s="34" t="s">
        <v>52</v>
      </c>
    </row>
    <row r="449" spans="1:1" x14ac:dyDescent="0.25">
      <c r="A449" s="35" t="s">
        <v>52</v>
      </c>
    </row>
    <row r="450" spans="1:1" x14ac:dyDescent="0.25">
      <c r="A450" s="36" t="s">
        <v>52</v>
      </c>
    </row>
    <row r="451" spans="1:1" x14ac:dyDescent="0.25">
      <c r="A451" s="37" t="s">
        <v>52</v>
      </c>
    </row>
    <row r="452" spans="1:1" x14ac:dyDescent="0.25">
      <c r="A452" s="38" t="s">
        <v>52</v>
      </c>
    </row>
    <row r="453" spans="1:1" x14ac:dyDescent="0.25">
      <c r="A453" s="39" t="s">
        <v>52</v>
      </c>
    </row>
    <row r="454" spans="1:1" x14ac:dyDescent="0.25">
      <c r="A454" s="40" t="s">
        <v>52</v>
      </c>
    </row>
    <row r="455" spans="1:1" x14ac:dyDescent="0.25">
      <c r="A455" s="41" t="s">
        <v>52</v>
      </c>
    </row>
    <row r="456" spans="1:1" x14ac:dyDescent="0.25">
      <c r="A456" s="42" t="s">
        <v>52</v>
      </c>
    </row>
    <row r="457" spans="1:1" x14ac:dyDescent="0.25">
      <c r="A457" s="43" t="s">
        <v>52</v>
      </c>
    </row>
    <row r="458" spans="1:1" x14ac:dyDescent="0.25">
      <c r="A458" s="44" t="s">
        <v>52</v>
      </c>
    </row>
    <row r="459" spans="1:1" x14ac:dyDescent="0.25">
      <c r="A459" s="45" t="s">
        <v>52</v>
      </c>
    </row>
    <row r="460" spans="1:1" x14ac:dyDescent="0.25">
      <c r="A460" s="46" t="s">
        <v>52</v>
      </c>
    </row>
    <row r="461" spans="1:1" x14ac:dyDescent="0.25">
      <c r="A461" s="47" t="s">
        <v>52</v>
      </c>
    </row>
    <row r="462" spans="1:1" x14ac:dyDescent="0.25">
      <c r="A462" s="48" t="s">
        <v>52</v>
      </c>
    </row>
    <row r="463" spans="1:1" x14ac:dyDescent="0.25">
      <c r="A463" s="49" t="s">
        <v>183</v>
      </c>
    </row>
    <row r="464" spans="1:1" x14ac:dyDescent="0.25">
      <c r="A464" s="50" t="s">
        <v>52</v>
      </c>
    </row>
    <row r="465" spans="1:1" x14ac:dyDescent="0.25">
      <c r="A465" s="51" t="s">
        <v>150</v>
      </c>
    </row>
    <row r="466" spans="1:1" x14ac:dyDescent="0.25">
      <c r="A466" s="52" t="s">
        <v>52</v>
      </c>
    </row>
    <row r="467" spans="1:1" x14ac:dyDescent="0.25">
      <c r="A467" s="53" t="s">
        <v>52</v>
      </c>
    </row>
    <row r="468" spans="1:1" x14ac:dyDescent="0.25">
      <c r="A468" s="54" t="s">
        <v>151</v>
      </c>
    </row>
    <row r="469" spans="1:1" x14ac:dyDescent="0.25">
      <c r="A469" s="55" t="s">
        <v>52</v>
      </c>
    </row>
    <row r="470" spans="1:1" x14ac:dyDescent="0.25">
      <c r="A470" s="56" t="s">
        <v>52</v>
      </c>
    </row>
    <row r="471" spans="1:1" x14ac:dyDescent="0.25">
      <c r="A471" s="57" t="s">
        <v>52</v>
      </c>
    </row>
    <row r="472" spans="1:1" x14ac:dyDescent="0.25">
      <c r="A472" s="58" t="s">
        <v>152</v>
      </c>
    </row>
    <row r="473" spans="1:1" x14ac:dyDescent="0.25">
      <c r="A473" s="59" t="s">
        <v>52</v>
      </c>
    </row>
    <row r="474" spans="1:1" x14ac:dyDescent="0.25">
      <c r="A474" s="60" t="s">
        <v>52</v>
      </c>
    </row>
    <row r="475" spans="1:1" x14ac:dyDescent="0.25">
      <c r="A475" s="61" t="s">
        <v>52</v>
      </c>
    </row>
    <row r="476" spans="1:1" x14ac:dyDescent="0.25">
      <c r="A476" s="62" t="s">
        <v>52</v>
      </c>
    </row>
    <row r="477" spans="1:1" x14ac:dyDescent="0.25">
      <c r="A477" s="63" t="s">
        <v>52</v>
      </c>
    </row>
    <row r="478" spans="1:1" x14ac:dyDescent="0.25">
      <c r="A478" s="64" t="s">
        <v>52</v>
      </c>
    </row>
    <row r="479" spans="1:1" x14ac:dyDescent="0.25">
      <c r="A479" s="65" t="s">
        <v>52</v>
      </c>
    </row>
    <row r="480" spans="1:1" x14ac:dyDescent="0.25">
      <c r="A480" s="66" t="s">
        <v>52</v>
      </c>
    </row>
    <row r="481" spans="1:1" x14ac:dyDescent="0.25">
      <c r="A481" s="67" t="s">
        <v>52</v>
      </c>
    </row>
    <row r="482" spans="1:1" x14ac:dyDescent="0.25">
      <c r="A482" s="68" t="s">
        <v>52</v>
      </c>
    </row>
    <row r="483" spans="1:1" x14ac:dyDescent="0.25">
      <c r="A483" s="69" t="s">
        <v>153</v>
      </c>
    </row>
    <row r="484" spans="1:1" x14ac:dyDescent="0.25">
      <c r="A484" s="70" t="s">
        <v>52</v>
      </c>
    </row>
    <row r="485" spans="1:1" x14ac:dyDescent="0.25">
      <c r="A485" s="71" t="s">
        <v>52</v>
      </c>
    </row>
    <row r="486" spans="1:1" x14ac:dyDescent="0.25">
      <c r="A486" s="72" t="s">
        <v>52</v>
      </c>
    </row>
    <row r="487" spans="1:1" x14ac:dyDescent="0.25">
      <c r="A487" s="73" t="s">
        <v>52</v>
      </c>
    </row>
    <row r="488" spans="1:1" x14ac:dyDescent="0.25">
      <c r="A488" s="74" t="s">
        <v>52</v>
      </c>
    </row>
    <row r="489" spans="1:1" x14ac:dyDescent="0.25">
      <c r="A489" s="75" t="s">
        <v>52</v>
      </c>
    </row>
    <row r="490" spans="1:1" x14ac:dyDescent="0.25">
      <c r="A490" s="76" t="s">
        <v>52</v>
      </c>
    </row>
    <row r="491" spans="1:1" x14ac:dyDescent="0.25">
      <c r="A491" s="77" t="s">
        <v>52</v>
      </c>
    </row>
    <row r="492" spans="1:1" x14ac:dyDescent="0.25">
      <c r="A492" s="78" t="s">
        <v>52</v>
      </c>
    </row>
    <row r="493" spans="1:1" x14ac:dyDescent="0.25">
      <c r="A493" s="79" t="s">
        <v>52</v>
      </c>
    </row>
    <row r="494" spans="1:1" x14ac:dyDescent="0.25">
      <c r="A494" s="80" t="s">
        <v>52</v>
      </c>
    </row>
    <row r="495" spans="1:1" x14ac:dyDescent="0.25">
      <c r="A495" s="81" t="s">
        <v>52</v>
      </c>
    </row>
    <row r="496" spans="1:1" x14ac:dyDescent="0.25">
      <c r="A496" s="82" t="s">
        <v>52</v>
      </c>
    </row>
    <row r="497" spans="1:1" x14ac:dyDescent="0.25">
      <c r="A497" s="83" t="s">
        <v>52</v>
      </c>
    </row>
    <row r="498" spans="1:1" x14ac:dyDescent="0.25">
      <c r="A498" s="84" t="s">
        <v>52</v>
      </c>
    </row>
    <row r="499" spans="1:1" x14ac:dyDescent="0.25">
      <c r="A499" s="85" t="s">
        <v>52</v>
      </c>
    </row>
    <row r="500" spans="1:1" x14ac:dyDescent="0.25">
      <c r="A500" s="86" t="s">
        <v>52</v>
      </c>
    </row>
    <row r="501" spans="1:1" x14ac:dyDescent="0.25">
      <c r="A501" s="87" t="s">
        <v>52</v>
      </c>
    </row>
    <row r="502" spans="1:1" x14ac:dyDescent="0.25">
      <c r="A502" s="88" t="s">
        <v>52</v>
      </c>
    </row>
    <row r="503" spans="1:1" x14ac:dyDescent="0.25">
      <c r="A503" s="89" t="s">
        <v>52</v>
      </c>
    </row>
    <row r="504" spans="1:1" x14ac:dyDescent="0.25">
      <c r="A504" s="90" t="s">
        <v>52</v>
      </c>
    </row>
    <row r="505" spans="1:1" x14ac:dyDescent="0.25">
      <c r="A505" s="19" t="s">
        <v>678</v>
      </c>
    </row>
    <row r="506" spans="1:1" x14ac:dyDescent="0.25">
      <c r="A506" s="20" t="s">
        <v>52</v>
      </c>
    </row>
    <row r="507" spans="1:1" x14ac:dyDescent="0.25">
      <c r="A507" s="21" t="s">
        <v>52</v>
      </c>
    </row>
    <row r="508" spans="1:1" x14ac:dyDescent="0.25">
      <c r="A508" s="22" t="s">
        <v>52</v>
      </c>
    </row>
    <row r="509" spans="1:1" x14ac:dyDescent="0.25">
      <c r="A509" s="23" t="s">
        <v>52</v>
      </c>
    </row>
    <row r="510" spans="1:1" x14ac:dyDescent="0.25">
      <c r="A510" s="24" t="s">
        <v>52</v>
      </c>
    </row>
    <row r="511" spans="1:1" x14ac:dyDescent="0.25">
      <c r="A511" s="25" t="s">
        <v>52</v>
      </c>
    </row>
    <row r="512" spans="1:1" x14ac:dyDescent="0.25">
      <c r="A512" s="26" t="s">
        <v>52</v>
      </c>
    </row>
    <row r="513" spans="1:1" x14ac:dyDescent="0.25">
      <c r="A513" s="27" t="s">
        <v>52</v>
      </c>
    </row>
    <row r="514" spans="1:1" x14ac:dyDescent="0.25">
      <c r="A514" s="28" t="s">
        <v>835</v>
      </c>
    </row>
    <row r="515" spans="1:1" x14ac:dyDescent="0.25">
      <c r="A515" s="29" t="s">
        <v>52</v>
      </c>
    </row>
    <row r="516" spans="1:1" x14ac:dyDescent="0.25">
      <c r="A516" s="30" t="s">
        <v>52</v>
      </c>
    </row>
    <row r="517" spans="1:1" x14ac:dyDescent="0.25">
      <c r="A517" s="31" t="s">
        <v>52</v>
      </c>
    </row>
    <row r="518" spans="1:1" x14ac:dyDescent="0.25">
      <c r="A518" s="32" t="s">
        <v>52</v>
      </c>
    </row>
    <row r="519" spans="1:1" x14ac:dyDescent="0.25">
      <c r="A519" s="33" t="s">
        <v>52</v>
      </c>
    </row>
    <row r="520" spans="1:1" x14ac:dyDescent="0.25">
      <c r="A520" s="34" t="s">
        <v>52</v>
      </c>
    </row>
    <row r="521" spans="1:1" x14ac:dyDescent="0.25">
      <c r="A521" s="35" t="s">
        <v>52</v>
      </c>
    </row>
    <row r="522" spans="1:1" x14ac:dyDescent="0.25">
      <c r="A522" s="36" t="s">
        <v>52</v>
      </c>
    </row>
    <row r="523" spans="1:1" x14ac:dyDescent="0.25">
      <c r="A523" s="37" t="s">
        <v>52</v>
      </c>
    </row>
    <row r="524" spans="1:1" x14ac:dyDescent="0.25">
      <c r="A524" s="38" t="s">
        <v>52</v>
      </c>
    </row>
    <row r="525" spans="1:1" x14ac:dyDescent="0.25">
      <c r="A525" s="39" t="s">
        <v>52</v>
      </c>
    </row>
    <row r="526" spans="1:1" x14ac:dyDescent="0.25">
      <c r="A526" s="40" t="s">
        <v>52</v>
      </c>
    </row>
    <row r="527" spans="1:1" x14ac:dyDescent="0.25">
      <c r="A527" s="41" t="s">
        <v>52</v>
      </c>
    </row>
    <row r="528" spans="1:1" x14ac:dyDescent="0.25">
      <c r="A528" s="42" t="s">
        <v>52</v>
      </c>
    </row>
    <row r="529" spans="1:1" x14ac:dyDescent="0.25">
      <c r="A529" s="43" t="s">
        <v>52</v>
      </c>
    </row>
    <row r="530" spans="1:1" x14ac:dyDescent="0.25">
      <c r="A530" s="44" t="s">
        <v>52</v>
      </c>
    </row>
    <row r="531" spans="1:1" x14ac:dyDescent="0.25">
      <c r="A531" s="45" t="s">
        <v>52</v>
      </c>
    </row>
    <row r="532" spans="1:1" x14ac:dyDescent="0.25">
      <c r="A532" s="46" t="s">
        <v>52</v>
      </c>
    </row>
    <row r="533" spans="1:1" x14ac:dyDescent="0.25">
      <c r="A533" s="47" t="s">
        <v>52</v>
      </c>
    </row>
    <row r="534" spans="1:1" x14ac:dyDescent="0.25">
      <c r="A534" s="48" t="s">
        <v>52</v>
      </c>
    </row>
    <row r="535" spans="1:1" x14ac:dyDescent="0.25">
      <c r="A535" s="49" t="s">
        <v>184</v>
      </c>
    </row>
    <row r="536" spans="1:1" x14ac:dyDescent="0.25">
      <c r="A536" s="50" t="s">
        <v>52</v>
      </c>
    </row>
    <row r="537" spans="1:1" x14ac:dyDescent="0.25">
      <c r="A537" s="51" t="s">
        <v>154</v>
      </c>
    </row>
    <row r="538" spans="1:1" x14ac:dyDescent="0.25">
      <c r="A538" s="52" t="s">
        <v>52</v>
      </c>
    </row>
    <row r="539" spans="1:1" x14ac:dyDescent="0.25">
      <c r="A539" s="53" t="s">
        <v>185</v>
      </c>
    </row>
    <row r="540" spans="1:1" x14ac:dyDescent="0.25">
      <c r="A540" s="54" t="s">
        <v>155</v>
      </c>
    </row>
    <row r="541" spans="1:1" x14ac:dyDescent="0.25">
      <c r="A541" s="55" t="s">
        <v>52</v>
      </c>
    </row>
    <row r="542" spans="1:1" x14ac:dyDescent="0.25">
      <c r="A542" s="56" t="s">
        <v>52</v>
      </c>
    </row>
    <row r="543" spans="1:1" x14ac:dyDescent="0.25">
      <c r="A543" s="57" t="s">
        <v>52</v>
      </c>
    </row>
    <row r="544" spans="1:1" x14ac:dyDescent="0.25">
      <c r="A544" s="58" t="s">
        <v>156</v>
      </c>
    </row>
    <row r="545" spans="1:1" x14ac:dyDescent="0.25">
      <c r="A545" s="59" t="s">
        <v>52</v>
      </c>
    </row>
    <row r="546" spans="1:1" x14ac:dyDescent="0.25">
      <c r="A546" s="60" t="s">
        <v>52</v>
      </c>
    </row>
    <row r="547" spans="1:1" x14ac:dyDescent="0.25">
      <c r="A547" s="61" t="s">
        <v>52</v>
      </c>
    </row>
    <row r="548" spans="1:1" x14ac:dyDescent="0.25">
      <c r="A548" s="62" t="s">
        <v>52</v>
      </c>
    </row>
    <row r="549" spans="1:1" x14ac:dyDescent="0.25">
      <c r="A549" s="63" t="s">
        <v>52</v>
      </c>
    </row>
    <row r="550" spans="1:1" x14ac:dyDescent="0.25">
      <c r="A550" s="64" t="s">
        <v>52</v>
      </c>
    </row>
    <row r="551" spans="1:1" x14ac:dyDescent="0.25">
      <c r="A551" s="65" t="s">
        <v>52</v>
      </c>
    </row>
    <row r="552" spans="1:1" x14ac:dyDescent="0.25">
      <c r="A552" s="66" t="s">
        <v>52</v>
      </c>
    </row>
    <row r="553" spans="1:1" x14ac:dyDescent="0.25">
      <c r="A553" s="67" t="s">
        <v>52</v>
      </c>
    </row>
    <row r="554" spans="1:1" x14ac:dyDescent="0.25">
      <c r="A554" s="68" t="s">
        <v>52</v>
      </c>
    </row>
    <row r="555" spans="1:1" x14ac:dyDescent="0.25">
      <c r="A555" s="69" t="s">
        <v>157</v>
      </c>
    </row>
    <row r="556" spans="1:1" x14ac:dyDescent="0.25">
      <c r="A556" s="70" t="s">
        <v>52</v>
      </c>
    </row>
    <row r="557" spans="1:1" x14ac:dyDescent="0.25">
      <c r="A557" s="71" t="s">
        <v>52</v>
      </c>
    </row>
    <row r="558" spans="1:1" x14ac:dyDescent="0.25">
      <c r="A558" s="72" t="s">
        <v>52</v>
      </c>
    </row>
    <row r="559" spans="1:1" x14ac:dyDescent="0.25">
      <c r="A559" s="73" t="s">
        <v>52</v>
      </c>
    </row>
    <row r="560" spans="1:1" x14ac:dyDescent="0.25">
      <c r="A560" s="74" t="s">
        <v>52</v>
      </c>
    </row>
    <row r="561" spans="1:1" x14ac:dyDescent="0.25">
      <c r="A561" s="75" t="s">
        <v>52</v>
      </c>
    </row>
    <row r="562" spans="1:1" x14ac:dyDescent="0.25">
      <c r="A562" s="76" t="s">
        <v>52</v>
      </c>
    </row>
    <row r="563" spans="1:1" x14ac:dyDescent="0.25">
      <c r="A563" s="77" t="s">
        <v>52</v>
      </c>
    </row>
    <row r="564" spans="1:1" x14ac:dyDescent="0.25">
      <c r="A564" s="78" t="s">
        <v>52</v>
      </c>
    </row>
    <row r="565" spans="1:1" x14ac:dyDescent="0.25">
      <c r="A565" s="79" t="s">
        <v>52</v>
      </c>
    </row>
    <row r="566" spans="1:1" x14ac:dyDescent="0.25">
      <c r="A566" s="80" t="s">
        <v>52</v>
      </c>
    </row>
    <row r="567" spans="1:1" x14ac:dyDescent="0.25">
      <c r="A567" s="81" t="s">
        <v>52</v>
      </c>
    </row>
    <row r="568" spans="1:1" x14ac:dyDescent="0.25">
      <c r="A568" s="82" t="s">
        <v>52</v>
      </c>
    </row>
    <row r="569" spans="1:1" x14ac:dyDescent="0.25">
      <c r="A569" s="83" t="s">
        <v>52</v>
      </c>
    </row>
    <row r="570" spans="1:1" x14ac:dyDescent="0.25">
      <c r="A570" s="84" t="s">
        <v>52</v>
      </c>
    </row>
    <row r="571" spans="1:1" x14ac:dyDescent="0.25">
      <c r="A571" s="85" t="s">
        <v>52</v>
      </c>
    </row>
    <row r="572" spans="1:1" x14ac:dyDescent="0.25">
      <c r="A572" s="86" t="s">
        <v>52</v>
      </c>
    </row>
    <row r="573" spans="1:1" x14ac:dyDescent="0.25">
      <c r="A573" s="87" t="s">
        <v>52</v>
      </c>
    </row>
    <row r="574" spans="1:1" x14ac:dyDescent="0.25">
      <c r="A574" s="88" t="s">
        <v>52</v>
      </c>
    </row>
    <row r="575" spans="1:1" x14ac:dyDescent="0.25">
      <c r="A575" s="89" t="s">
        <v>52</v>
      </c>
    </row>
    <row r="576" spans="1:1" x14ac:dyDescent="0.25">
      <c r="A576" s="90" t="s">
        <v>52</v>
      </c>
    </row>
    <row r="577" spans="1:1" x14ac:dyDescent="0.25">
      <c r="A577" s="18" t="s">
        <v>158</v>
      </c>
    </row>
    <row r="578" spans="1:1" x14ac:dyDescent="0.25">
      <c r="A578" s="19" t="s">
        <v>52</v>
      </c>
    </row>
    <row r="579" spans="1:1" x14ac:dyDescent="0.25">
      <c r="A579" s="20" t="s">
        <v>52</v>
      </c>
    </row>
    <row r="580" spans="1:1" x14ac:dyDescent="0.25">
      <c r="A580" s="21" t="s">
        <v>52</v>
      </c>
    </row>
    <row r="581" spans="1:1" x14ac:dyDescent="0.25">
      <c r="A581" s="22" t="s">
        <v>679</v>
      </c>
    </row>
    <row r="582" spans="1:1" x14ac:dyDescent="0.25">
      <c r="A582" s="23" t="s">
        <v>52</v>
      </c>
    </row>
    <row r="583" spans="1:1" x14ac:dyDescent="0.25">
      <c r="A583" s="24" t="s">
        <v>52</v>
      </c>
    </row>
    <row r="584" spans="1:1" x14ac:dyDescent="0.25">
      <c r="A584" s="25" t="s">
        <v>52</v>
      </c>
    </row>
    <row r="585" spans="1:1" x14ac:dyDescent="0.25">
      <c r="A585" s="26" t="s">
        <v>288</v>
      </c>
    </row>
    <row r="586" spans="1:1" x14ac:dyDescent="0.25">
      <c r="A586" s="27" t="s">
        <v>680</v>
      </c>
    </row>
    <row r="587" spans="1:1" x14ac:dyDescent="0.25">
      <c r="A587" s="28" t="s">
        <v>836</v>
      </c>
    </row>
    <row r="588" spans="1:1" x14ac:dyDescent="0.25">
      <c r="A588" s="29" t="s">
        <v>52</v>
      </c>
    </row>
    <row r="589" spans="1:1" x14ac:dyDescent="0.25">
      <c r="A589" s="30" t="s">
        <v>52</v>
      </c>
    </row>
    <row r="590" spans="1:1" x14ac:dyDescent="0.25">
      <c r="A590" s="31" t="s">
        <v>52</v>
      </c>
    </row>
    <row r="591" spans="1:1" x14ac:dyDescent="0.25">
      <c r="A591" s="32" t="s">
        <v>52</v>
      </c>
    </row>
    <row r="592" spans="1:1" x14ac:dyDescent="0.25">
      <c r="A592" s="33" t="s">
        <v>52</v>
      </c>
    </row>
    <row r="593" spans="1:1" x14ac:dyDescent="0.25">
      <c r="A593" s="34" t="s">
        <v>52</v>
      </c>
    </row>
    <row r="594" spans="1:1" x14ac:dyDescent="0.25">
      <c r="A594" s="35" t="s">
        <v>52</v>
      </c>
    </row>
    <row r="595" spans="1:1" x14ac:dyDescent="0.25">
      <c r="A595" s="36" t="s">
        <v>52</v>
      </c>
    </row>
    <row r="596" spans="1:1" x14ac:dyDescent="0.25">
      <c r="A596" s="37" t="s">
        <v>52</v>
      </c>
    </row>
    <row r="597" spans="1:1" x14ac:dyDescent="0.25">
      <c r="A597" s="38" t="s">
        <v>52</v>
      </c>
    </row>
    <row r="598" spans="1:1" x14ac:dyDescent="0.25">
      <c r="A598" s="39" t="s">
        <v>52</v>
      </c>
    </row>
    <row r="599" spans="1:1" x14ac:dyDescent="0.25">
      <c r="A599" s="40" t="s">
        <v>52</v>
      </c>
    </row>
    <row r="600" spans="1:1" x14ac:dyDescent="0.25">
      <c r="A600" s="41" t="s">
        <v>52</v>
      </c>
    </row>
    <row r="601" spans="1:1" x14ac:dyDescent="0.25">
      <c r="A601" s="42" t="s">
        <v>52</v>
      </c>
    </row>
    <row r="602" spans="1:1" x14ac:dyDescent="0.25">
      <c r="A602" s="43" t="s">
        <v>52</v>
      </c>
    </row>
    <row r="603" spans="1:1" x14ac:dyDescent="0.25">
      <c r="A603" s="44" t="s">
        <v>52</v>
      </c>
    </row>
    <row r="604" spans="1:1" x14ac:dyDescent="0.25">
      <c r="A604" s="45" t="s">
        <v>52</v>
      </c>
    </row>
    <row r="605" spans="1:1" x14ac:dyDescent="0.25">
      <c r="A605" s="46" t="s">
        <v>52</v>
      </c>
    </row>
    <row r="606" spans="1:1" x14ac:dyDescent="0.25">
      <c r="A606" s="47" t="s">
        <v>52</v>
      </c>
    </row>
    <row r="607" spans="1:1" x14ac:dyDescent="0.25">
      <c r="A607" s="48" t="s">
        <v>52</v>
      </c>
    </row>
    <row r="608" spans="1:1" x14ac:dyDescent="0.25">
      <c r="A608" s="49" t="s">
        <v>52</v>
      </c>
    </row>
    <row r="609" spans="1:1" x14ac:dyDescent="0.25">
      <c r="A609" s="50" t="s">
        <v>52</v>
      </c>
    </row>
    <row r="610" spans="1:1" x14ac:dyDescent="0.25">
      <c r="A610" s="51" t="s">
        <v>52</v>
      </c>
    </row>
    <row r="611" spans="1:1" x14ac:dyDescent="0.25">
      <c r="A611" s="52" t="s">
        <v>52</v>
      </c>
    </row>
    <row r="612" spans="1:1" x14ac:dyDescent="0.25">
      <c r="A612" s="53" t="s">
        <v>52</v>
      </c>
    </row>
    <row r="613" spans="1:1" x14ac:dyDescent="0.25">
      <c r="A613" s="54" t="s">
        <v>52</v>
      </c>
    </row>
    <row r="614" spans="1:1" x14ac:dyDescent="0.25">
      <c r="A614" s="55" t="s">
        <v>52</v>
      </c>
    </row>
    <row r="615" spans="1:1" x14ac:dyDescent="0.25">
      <c r="A615" s="56" t="s">
        <v>52</v>
      </c>
    </row>
    <row r="616" spans="1:1" x14ac:dyDescent="0.25">
      <c r="A616" s="57" t="s">
        <v>52</v>
      </c>
    </row>
    <row r="617" spans="1:1" x14ac:dyDescent="0.25">
      <c r="A617" s="58" t="s">
        <v>52</v>
      </c>
    </row>
    <row r="618" spans="1:1" x14ac:dyDescent="0.25">
      <c r="A618" s="59" t="s">
        <v>52</v>
      </c>
    </row>
    <row r="619" spans="1:1" x14ac:dyDescent="0.25">
      <c r="A619" s="60" t="s">
        <v>52</v>
      </c>
    </row>
    <row r="620" spans="1:1" x14ac:dyDescent="0.25">
      <c r="A620" s="61" t="s">
        <v>52</v>
      </c>
    </row>
    <row r="621" spans="1:1" x14ac:dyDescent="0.25">
      <c r="A621" s="62" t="s">
        <v>52</v>
      </c>
    </row>
    <row r="622" spans="1:1" x14ac:dyDescent="0.25">
      <c r="A622" s="63" t="s">
        <v>52</v>
      </c>
    </row>
    <row r="623" spans="1:1" x14ac:dyDescent="0.25">
      <c r="A623" s="64" t="s">
        <v>52</v>
      </c>
    </row>
    <row r="624" spans="1:1" x14ac:dyDescent="0.25">
      <c r="A624" s="65" t="s">
        <v>52</v>
      </c>
    </row>
    <row r="625" spans="1:1" x14ac:dyDescent="0.25">
      <c r="A625" s="66" t="s">
        <v>52</v>
      </c>
    </row>
    <row r="626" spans="1:1" x14ac:dyDescent="0.25">
      <c r="A626" s="67" t="s">
        <v>52</v>
      </c>
    </row>
    <row r="627" spans="1:1" x14ac:dyDescent="0.25">
      <c r="A627" s="68" t="s">
        <v>52</v>
      </c>
    </row>
    <row r="628" spans="1:1" x14ac:dyDescent="0.25">
      <c r="A628" s="69" t="s">
        <v>52</v>
      </c>
    </row>
    <row r="629" spans="1:1" x14ac:dyDescent="0.25">
      <c r="A629" s="70" t="s">
        <v>52</v>
      </c>
    </row>
    <row r="630" spans="1:1" x14ac:dyDescent="0.25">
      <c r="A630" s="71" t="s">
        <v>52</v>
      </c>
    </row>
    <row r="631" spans="1:1" x14ac:dyDescent="0.25">
      <c r="A631" s="72" t="s">
        <v>52</v>
      </c>
    </row>
    <row r="632" spans="1:1" x14ac:dyDescent="0.25">
      <c r="A632" s="73" t="s">
        <v>52</v>
      </c>
    </row>
    <row r="633" spans="1:1" x14ac:dyDescent="0.25">
      <c r="A633" s="74" t="s">
        <v>52</v>
      </c>
    </row>
    <row r="634" spans="1:1" x14ac:dyDescent="0.25">
      <c r="A634" s="75" t="s">
        <v>52</v>
      </c>
    </row>
    <row r="635" spans="1:1" x14ac:dyDescent="0.25">
      <c r="A635" s="76" t="s">
        <v>52</v>
      </c>
    </row>
    <row r="636" spans="1:1" x14ac:dyDescent="0.25">
      <c r="A636" s="77" t="s">
        <v>52</v>
      </c>
    </row>
    <row r="637" spans="1:1" x14ac:dyDescent="0.25">
      <c r="A637" s="78" t="s">
        <v>52</v>
      </c>
    </row>
    <row r="638" spans="1:1" x14ac:dyDescent="0.25">
      <c r="A638" s="79" t="s">
        <v>52</v>
      </c>
    </row>
    <row r="639" spans="1:1" x14ac:dyDescent="0.25">
      <c r="A639" s="80" t="s">
        <v>52</v>
      </c>
    </row>
    <row r="640" spans="1:1" x14ac:dyDescent="0.25">
      <c r="A640" s="81" t="s">
        <v>52</v>
      </c>
    </row>
    <row r="641" spans="1:1" x14ac:dyDescent="0.25">
      <c r="A641" s="82" t="s">
        <v>52</v>
      </c>
    </row>
    <row r="642" spans="1:1" x14ac:dyDescent="0.25">
      <c r="A642" s="83" t="s">
        <v>52</v>
      </c>
    </row>
    <row r="643" spans="1:1" x14ac:dyDescent="0.25">
      <c r="A643" s="84" t="s">
        <v>52</v>
      </c>
    </row>
    <row r="644" spans="1:1" x14ac:dyDescent="0.25">
      <c r="A644" s="85" t="s">
        <v>52</v>
      </c>
    </row>
    <row r="645" spans="1:1" x14ac:dyDescent="0.25">
      <c r="A645" s="86" t="s">
        <v>52</v>
      </c>
    </row>
    <row r="646" spans="1:1" x14ac:dyDescent="0.25">
      <c r="A646" s="87" t="s">
        <v>52</v>
      </c>
    </row>
    <row r="647" spans="1:1" x14ac:dyDescent="0.25">
      <c r="A647" s="88" t="s">
        <v>52</v>
      </c>
    </row>
    <row r="648" spans="1:1" x14ac:dyDescent="0.25">
      <c r="A648" s="89" t="s">
        <v>52</v>
      </c>
    </row>
    <row r="649" spans="1:1" x14ac:dyDescent="0.25">
      <c r="A649" s="90" t="s">
        <v>52</v>
      </c>
    </row>
    <row r="650" spans="1:1" x14ac:dyDescent="0.25">
      <c r="A650" s="18" t="s">
        <v>159</v>
      </c>
    </row>
    <row r="651" spans="1:1" x14ac:dyDescent="0.25">
      <c r="A651" s="19" t="s">
        <v>52</v>
      </c>
    </row>
    <row r="652" spans="1:1" x14ac:dyDescent="0.25">
      <c r="A652" s="20" t="s">
        <v>52</v>
      </c>
    </row>
    <row r="653" spans="1:1" x14ac:dyDescent="0.25">
      <c r="A653" s="21" t="s">
        <v>52</v>
      </c>
    </row>
    <row r="654" spans="1:1" x14ac:dyDescent="0.25">
      <c r="A654" s="22" t="s">
        <v>681</v>
      </c>
    </row>
    <row r="655" spans="1:1" x14ac:dyDescent="0.25">
      <c r="A655" s="23" t="s">
        <v>52</v>
      </c>
    </row>
    <row r="656" spans="1:1" x14ac:dyDescent="0.25">
      <c r="A656" s="24" t="s">
        <v>52</v>
      </c>
    </row>
    <row r="657" spans="1:1" x14ac:dyDescent="0.25">
      <c r="A657" s="25" t="s">
        <v>52</v>
      </c>
    </row>
    <row r="658" spans="1:1" x14ac:dyDescent="0.25">
      <c r="A658" s="26" t="s">
        <v>289</v>
      </c>
    </row>
    <row r="659" spans="1:1" x14ac:dyDescent="0.25">
      <c r="A659" s="27" t="s">
        <v>682</v>
      </c>
    </row>
    <row r="660" spans="1:1" x14ac:dyDescent="0.25">
      <c r="A660" s="28" t="s">
        <v>837</v>
      </c>
    </row>
    <row r="661" spans="1:1" x14ac:dyDescent="0.25">
      <c r="A661" s="29" t="s">
        <v>52</v>
      </c>
    </row>
    <row r="662" spans="1:1" x14ac:dyDescent="0.25">
      <c r="A662" s="30" t="s">
        <v>52</v>
      </c>
    </row>
    <row r="663" spans="1:1" x14ac:dyDescent="0.25">
      <c r="A663" s="31" t="s">
        <v>52</v>
      </c>
    </row>
    <row r="664" spans="1:1" x14ac:dyDescent="0.25">
      <c r="A664" s="32" t="s">
        <v>52</v>
      </c>
    </row>
    <row r="665" spans="1:1" x14ac:dyDescent="0.25">
      <c r="A665" s="33" t="s">
        <v>52</v>
      </c>
    </row>
    <row r="666" spans="1:1" x14ac:dyDescent="0.25">
      <c r="A666" s="34" t="s">
        <v>52</v>
      </c>
    </row>
    <row r="667" spans="1:1" x14ac:dyDescent="0.25">
      <c r="A667" s="35" t="s">
        <v>52</v>
      </c>
    </row>
    <row r="668" spans="1:1" x14ac:dyDescent="0.25">
      <c r="A668" s="36" t="s">
        <v>52</v>
      </c>
    </row>
    <row r="669" spans="1:1" x14ac:dyDescent="0.25">
      <c r="A669" s="37" t="s">
        <v>52</v>
      </c>
    </row>
    <row r="670" spans="1:1" x14ac:dyDescent="0.25">
      <c r="A670" s="38" t="s">
        <v>52</v>
      </c>
    </row>
    <row r="671" spans="1:1" x14ac:dyDescent="0.25">
      <c r="A671" s="39" t="s">
        <v>52</v>
      </c>
    </row>
    <row r="672" spans="1:1" x14ac:dyDescent="0.25">
      <c r="A672" s="40" t="s">
        <v>52</v>
      </c>
    </row>
    <row r="673" spans="1:1" x14ac:dyDescent="0.25">
      <c r="A673" s="41" t="s">
        <v>52</v>
      </c>
    </row>
    <row r="674" spans="1:1" x14ac:dyDescent="0.25">
      <c r="A674" s="42" t="s">
        <v>52</v>
      </c>
    </row>
    <row r="675" spans="1:1" x14ac:dyDescent="0.25">
      <c r="A675" s="43" t="s">
        <v>52</v>
      </c>
    </row>
    <row r="676" spans="1:1" x14ac:dyDescent="0.25">
      <c r="A676" s="44" t="s">
        <v>52</v>
      </c>
    </row>
    <row r="677" spans="1:1" x14ac:dyDescent="0.25">
      <c r="A677" s="45" t="s">
        <v>52</v>
      </c>
    </row>
    <row r="678" spans="1:1" x14ac:dyDescent="0.25">
      <c r="A678" s="46" t="s">
        <v>52</v>
      </c>
    </row>
    <row r="679" spans="1:1" x14ac:dyDescent="0.25">
      <c r="A679" s="47" t="s">
        <v>52</v>
      </c>
    </row>
    <row r="680" spans="1:1" x14ac:dyDescent="0.25">
      <c r="A680" s="48" t="s">
        <v>52</v>
      </c>
    </row>
    <row r="681" spans="1:1" x14ac:dyDescent="0.25">
      <c r="A681" s="49" t="s">
        <v>52</v>
      </c>
    </row>
    <row r="682" spans="1:1" x14ac:dyDescent="0.25">
      <c r="A682" s="50" t="s">
        <v>52</v>
      </c>
    </row>
    <row r="683" spans="1:1" x14ac:dyDescent="0.25">
      <c r="A683" s="51" t="s">
        <v>52</v>
      </c>
    </row>
    <row r="684" spans="1:1" x14ac:dyDescent="0.25">
      <c r="A684" s="52" t="s">
        <v>52</v>
      </c>
    </row>
    <row r="685" spans="1:1" x14ac:dyDescent="0.25">
      <c r="A685" s="53" t="s">
        <v>52</v>
      </c>
    </row>
    <row r="686" spans="1:1" x14ac:dyDescent="0.25">
      <c r="A686" s="54" t="s">
        <v>52</v>
      </c>
    </row>
    <row r="687" spans="1:1" x14ac:dyDescent="0.25">
      <c r="A687" s="55" t="s">
        <v>52</v>
      </c>
    </row>
    <row r="688" spans="1:1" x14ac:dyDescent="0.25">
      <c r="A688" s="56" t="s">
        <v>52</v>
      </c>
    </row>
    <row r="689" spans="1:1" x14ac:dyDescent="0.25">
      <c r="A689" s="57" t="s">
        <v>52</v>
      </c>
    </row>
    <row r="690" spans="1:1" x14ac:dyDescent="0.25">
      <c r="A690" s="58" t="s">
        <v>52</v>
      </c>
    </row>
    <row r="691" spans="1:1" x14ac:dyDescent="0.25">
      <c r="A691" s="59" t="s">
        <v>52</v>
      </c>
    </row>
    <row r="692" spans="1:1" x14ac:dyDescent="0.25">
      <c r="A692" s="60" t="s">
        <v>52</v>
      </c>
    </row>
    <row r="693" spans="1:1" x14ac:dyDescent="0.25">
      <c r="A693" s="61" t="s">
        <v>52</v>
      </c>
    </row>
    <row r="694" spans="1:1" x14ac:dyDescent="0.25">
      <c r="A694" s="62" t="s">
        <v>52</v>
      </c>
    </row>
    <row r="695" spans="1:1" x14ac:dyDescent="0.25">
      <c r="A695" s="63" t="s">
        <v>52</v>
      </c>
    </row>
    <row r="696" spans="1:1" x14ac:dyDescent="0.25">
      <c r="A696" s="64" t="s">
        <v>52</v>
      </c>
    </row>
    <row r="697" spans="1:1" x14ac:dyDescent="0.25">
      <c r="A697" s="65" t="s">
        <v>52</v>
      </c>
    </row>
    <row r="698" spans="1:1" x14ac:dyDescent="0.25">
      <c r="A698" s="66" t="s">
        <v>52</v>
      </c>
    </row>
    <row r="699" spans="1:1" x14ac:dyDescent="0.25">
      <c r="A699" s="67" t="s">
        <v>52</v>
      </c>
    </row>
    <row r="700" spans="1:1" x14ac:dyDescent="0.25">
      <c r="A700" s="68" t="s">
        <v>52</v>
      </c>
    </row>
    <row r="701" spans="1:1" x14ac:dyDescent="0.25">
      <c r="A701" s="69" t="s">
        <v>52</v>
      </c>
    </row>
    <row r="702" spans="1:1" x14ac:dyDescent="0.25">
      <c r="A702" s="70" t="s">
        <v>52</v>
      </c>
    </row>
    <row r="703" spans="1:1" x14ac:dyDescent="0.25">
      <c r="A703" s="71" t="s">
        <v>52</v>
      </c>
    </row>
    <row r="704" spans="1:1" x14ac:dyDescent="0.25">
      <c r="A704" s="72" t="s">
        <v>52</v>
      </c>
    </row>
    <row r="705" spans="1:1" x14ac:dyDescent="0.25">
      <c r="A705" s="73" t="s">
        <v>52</v>
      </c>
    </row>
    <row r="706" spans="1:1" x14ac:dyDescent="0.25">
      <c r="A706" s="74" t="s">
        <v>52</v>
      </c>
    </row>
    <row r="707" spans="1:1" x14ac:dyDescent="0.25">
      <c r="A707" s="75" t="s">
        <v>52</v>
      </c>
    </row>
    <row r="708" spans="1:1" x14ac:dyDescent="0.25">
      <c r="A708" s="76" t="s">
        <v>52</v>
      </c>
    </row>
    <row r="709" spans="1:1" x14ac:dyDescent="0.25">
      <c r="A709" s="77" t="s">
        <v>52</v>
      </c>
    </row>
    <row r="710" spans="1:1" x14ac:dyDescent="0.25">
      <c r="A710" s="78" t="s">
        <v>52</v>
      </c>
    </row>
    <row r="711" spans="1:1" x14ac:dyDescent="0.25">
      <c r="A711" s="79" t="s">
        <v>52</v>
      </c>
    </row>
    <row r="712" spans="1:1" x14ac:dyDescent="0.25">
      <c r="A712" s="80" t="s">
        <v>52</v>
      </c>
    </row>
    <row r="713" spans="1:1" x14ac:dyDescent="0.25">
      <c r="A713" s="81" t="s">
        <v>52</v>
      </c>
    </row>
    <row r="714" spans="1:1" x14ac:dyDescent="0.25">
      <c r="A714" s="82" t="s">
        <v>52</v>
      </c>
    </row>
    <row r="715" spans="1:1" x14ac:dyDescent="0.25">
      <c r="A715" s="83" t="s">
        <v>52</v>
      </c>
    </row>
    <row r="716" spans="1:1" x14ac:dyDescent="0.25">
      <c r="A716" s="84" t="s">
        <v>52</v>
      </c>
    </row>
    <row r="717" spans="1:1" x14ac:dyDescent="0.25">
      <c r="A717" s="85" t="s">
        <v>52</v>
      </c>
    </row>
    <row r="718" spans="1:1" x14ac:dyDescent="0.25">
      <c r="A718" s="86" t="s">
        <v>52</v>
      </c>
    </row>
    <row r="719" spans="1:1" x14ac:dyDescent="0.25">
      <c r="A719" s="87" t="s">
        <v>52</v>
      </c>
    </row>
    <row r="720" spans="1:1" x14ac:dyDescent="0.25">
      <c r="A720" s="88" t="s">
        <v>52</v>
      </c>
    </row>
    <row r="721" spans="1:1" x14ac:dyDescent="0.25">
      <c r="A721" s="89" t="s">
        <v>52</v>
      </c>
    </row>
    <row r="722" spans="1:1" x14ac:dyDescent="0.25">
      <c r="A722" s="90" t="s">
        <v>52</v>
      </c>
    </row>
    <row r="723" spans="1:1" x14ac:dyDescent="0.25">
      <c r="A723" s="18" t="s">
        <v>160</v>
      </c>
    </row>
    <row r="724" spans="1:1" x14ac:dyDescent="0.25">
      <c r="A724" s="19" t="s">
        <v>52</v>
      </c>
    </row>
    <row r="725" spans="1:1" x14ac:dyDescent="0.25">
      <c r="A725" s="20" t="s">
        <v>52</v>
      </c>
    </row>
    <row r="726" spans="1:1" x14ac:dyDescent="0.25">
      <c r="A726" s="21" t="s">
        <v>52</v>
      </c>
    </row>
    <row r="727" spans="1:1" x14ac:dyDescent="0.25">
      <c r="A727" s="22" t="s">
        <v>683</v>
      </c>
    </row>
    <row r="728" spans="1:1" x14ac:dyDescent="0.25">
      <c r="A728" s="23" t="s">
        <v>52</v>
      </c>
    </row>
    <row r="729" spans="1:1" x14ac:dyDescent="0.25">
      <c r="A729" s="24" t="s">
        <v>52</v>
      </c>
    </row>
    <row r="730" spans="1:1" x14ac:dyDescent="0.25">
      <c r="A730" s="25" t="s">
        <v>52</v>
      </c>
    </row>
    <row r="731" spans="1:1" x14ac:dyDescent="0.25">
      <c r="A731" s="26" t="s">
        <v>290</v>
      </c>
    </row>
    <row r="732" spans="1:1" x14ac:dyDescent="0.25">
      <c r="A732" s="27" t="s">
        <v>684</v>
      </c>
    </row>
    <row r="733" spans="1:1" x14ac:dyDescent="0.25">
      <c r="A733" s="28" t="s">
        <v>838</v>
      </c>
    </row>
    <row r="734" spans="1:1" x14ac:dyDescent="0.25">
      <c r="A734" s="29" t="s">
        <v>52</v>
      </c>
    </row>
    <row r="735" spans="1:1" x14ac:dyDescent="0.25">
      <c r="A735" s="30" t="s">
        <v>52</v>
      </c>
    </row>
    <row r="736" spans="1:1" x14ac:dyDescent="0.25">
      <c r="A736" s="31" t="s">
        <v>52</v>
      </c>
    </row>
    <row r="737" spans="1:1" x14ac:dyDescent="0.25">
      <c r="A737" s="32" t="s">
        <v>52</v>
      </c>
    </row>
    <row r="738" spans="1:1" x14ac:dyDescent="0.25">
      <c r="A738" s="33" t="s">
        <v>52</v>
      </c>
    </row>
    <row r="739" spans="1:1" x14ac:dyDescent="0.25">
      <c r="A739" s="34" t="s">
        <v>52</v>
      </c>
    </row>
    <row r="740" spans="1:1" x14ac:dyDescent="0.25">
      <c r="A740" s="35" t="s">
        <v>52</v>
      </c>
    </row>
    <row r="741" spans="1:1" x14ac:dyDescent="0.25">
      <c r="A741" s="36" t="s">
        <v>52</v>
      </c>
    </row>
    <row r="742" spans="1:1" x14ac:dyDescent="0.25">
      <c r="A742" s="37" t="s">
        <v>52</v>
      </c>
    </row>
    <row r="743" spans="1:1" x14ac:dyDescent="0.25">
      <c r="A743" s="38" t="s">
        <v>52</v>
      </c>
    </row>
    <row r="744" spans="1:1" x14ac:dyDescent="0.25">
      <c r="A744" s="39" t="s">
        <v>52</v>
      </c>
    </row>
    <row r="745" spans="1:1" x14ac:dyDescent="0.25">
      <c r="A745" s="40" t="s">
        <v>52</v>
      </c>
    </row>
    <row r="746" spans="1:1" x14ac:dyDescent="0.25">
      <c r="A746" s="41" t="s">
        <v>52</v>
      </c>
    </row>
    <row r="747" spans="1:1" x14ac:dyDescent="0.25">
      <c r="A747" s="42" t="s">
        <v>52</v>
      </c>
    </row>
    <row r="748" spans="1:1" x14ac:dyDescent="0.25">
      <c r="A748" s="43" t="s">
        <v>52</v>
      </c>
    </row>
    <row r="749" spans="1:1" x14ac:dyDescent="0.25">
      <c r="A749" s="44" t="s">
        <v>52</v>
      </c>
    </row>
    <row r="750" spans="1:1" x14ac:dyDescent="0.25">
      <c r="A750" s="45" t="s">
        <v>52</v>
      </c>
    </row>
    <row r="751" spans="1:1" x14ac:dyDescent="0.25">
      <c r="A751" s="46" t="s">
        <v>52</v>
      </c>
    </row>
    <row r="752" spans="1:1" x14ac:dyDescent="0.25">
      <c r="A752" s="47" t="s">
        <v>52</v>
      </c>
    </row>
    <row r="753" spans="1:1" x14ac:dyDescent="0.25">
      <c r="A753" s="48" t="s">
        <v>52</v>
      </c>
    </row>
    <row r="754" spans="1:1" x14ac:dyDescent="0.25">
      <c r="A754" s="49" t="s">
        <v>52</v>
      </c>
    </row>
    <row r="755" spans="1:1" x14ac:dyDescent="0.25">
      <c r="A755" s="50" t="s">
        <v>52</v>
      </c>
    </row>
    <row r="756" spans="1:1" x14ac:dyDescent="0.25">
      <c r="A756" s="51" t="s">
        <v>52</v>
      </c>
    </row>
    <row r="757" spans="1:1" x14ac:dyDescent="0.25">
      <c r="A757" s="52" t="s">
        <v>52</v>
      </c>
    </row>
    <row r="758" spans="1:1" x14ac:dyDescent="0.25">
      <c r="A758" s="53" t="s">
        <v>52</v>
      </c>
    </row>
    <row r="759" spans="1:1" x14ac:dyDescent="0.25">
      <c r="A759" s="54" t="s">
        <v>52</v>
      </c>
    </row>
    <row r="760" spans="1:1" x14ac:dyDescent="0.25">
      <c r="A760" s="55" t="s">
        <v>52</v>
      </c>
    </row>
    <row r="761" spans="1:1" x14ac:dyDescent="0.25">
      <c r="A761" s="56" t="s">
        <v>52</v>
      </c>
    </row>
    <row r="762" spans="1:1" x14ac:dyDescent="0.25">
      <c r="A762" s="57" t="s">
        <v>52</v>
      </c>
    </row>
    <row r="763" spans="1:1" x14ac:dyDescent="0.25">
      <c r="A763" s="58" t="s">
        <v>52</v>
      </c>
    </row>
    <row r="764" spans="1:1" x14ac:dyDescent="0.25">
      <c r="A764" s="59" t="s">
        <v>52</v>
      </c>
    </row>
    <row r="765" spans="1:1" x14ac:dyDescent="0.25">
      <c r="A765" s="60" t="s">
        <v>52</v>
      </c>
    </row>
    <row r="766" spans="1:1" x14ac:dyDescent="0.25">
      <c r="A766" s="61" t="s">
        <v>52</v>
      </c>
    </row>
    <row r="767" spans="1:1" x14ac:dyDescent="0.25">
      <c r="A767" s="62" t="s">
        <v>52</v>
      </c>
    </row>
    <row r="768" spans="1:1" x14ac:dyDescent="0.25">
      <c r="A768" s="63" t="s">
        <v>52</v>
      </c>
    </row>
    <row r="769" spans="1:1" x14ac:dyDescent="0.25">
      <c r="A769" s="64" t="s">
        <v>52</v>
      </c>
    </row>
    <row r="770" spans="1:1" x14ac:dyDescent="0.25">
      <c r="A770" s="65" t="s">
        <v>52</v>
      </c>
    </row>
    <row r="771" spans="1:1" x14ac:dyDescent="0.25">
      <c r="A771" s="66" t="s">
        <v>52</v>
      </c>
    </row>
    <row r="772" spans="1:1" x14ac:dyDescent="0.25">
      <c r="A772" s="67" t="s">
        <v>52</v>
      </c>
    </row>
    <row r="773" spans="1:1" x14ac:dyDescent="0.25">
      <c r="A773" s="68" t="s">
        <v>52</v>
      </c>
    </row>
    <row r="774" spans="1:1" x14ac:dyDescent="0.25">
      <c r="A774" s="69" t="s">
        <v>52</v>
      </c>
    </row>
    <row r="775" spans="1:1" x14ac:dyDescent="0.25">
      <c r="A775" s="70" t="s">
        <v>52</v>
      </c>
    </row>
    <row r="776" spans="1:1" x14ac:dyDescent="0.25">
      <c r="A776" s="71" t="s">
        <v>52</v>
      </c>
    </row>
    <row r="777" spans="1:1" x14ac:dyDescent="0.25">
      <c r="A777" s="72" t="s">
        <v>52</v>
      </c>
    </row>
    <row r="778" spans="1:1" x14ac:dyDescent="0.25">
      <c r="A778" s="73" t="s">
        <v>52</v>
      </c>
    </row>
    <row r="779" spans="1:1" x14ac:dyDescent="0.25">
      <c r="A779" s="74" t="s">
        <v>52</v>
      </c>
    </row>
    <row r="780" spans="1:1" x14ac:dyDescent="0.25">
      <c r="A780" s="75" t="s">
        <v>52</v>
      </c>
    </row>
    <row r="781" spans="1:1" x14ac:dyDescent="0.25">
      <c r="A781" s="76" t="s">
        <v>52</v>
      </c>
    </row>
    <row r="782" spans="1:1" x14ac:dyDescent="0.25">
      <c r="A782" s="77" t="s">
        <v>52</v>
      </c>
    </row>
    <row r="783" spans="1:1" x14ac:dyDescent="0.25">
      <c r="A783" s="78" t="s">
        <v>52</v>
      </c>
    </row>
    <row r="784" spans="1:1" x14ac:dyDescent="0.25">
      <c r="A784" s="79" t="s">
        <v>52</v>
      </c>
    </row>
    <row r="785" spans="1:1" x14ac:dyDescent="0.25">
      <c r="A785" s="80" t="s">
        <v>52</v>
      </c>
    </row>
    <row r="786" spans="1:1" x14ac:dyDescent="0.25">
      <c r="A786" s="81" t="s">
        <v>52</v>
      </c>
    </row>
    <row r="787" spans="1:1" x14ac:dyDescent="0.25">
      <c r="A787" s="82" t="s">
        <v>52</v>
      </c>
    </row>
    <row r="788" spans="1:1" x14ac:dyDescent="0.25">
      <c r="A788" s="83" t="s">
        <v>52</v>
      </c>
    </row>
    <row r="789" spans="1:1" x14ac:dyDescent="0.25">
      <c r="A789" s="84" t="s">
        <v>52</v>
      </c>
    </row>
    <row r="790" spans="1:1" x14ac:dyDescent="0.25">
      <c r="A790" s="85" t="s">
        <v>52</v>
      </c>
    </row>
    <row r="791" spans="1:1" x14ac:dyDescent="0.25">
      <c r="A791" s="86" t="s">
        <v>52</v>
      </c>
    </row>
    <row r="792" spans="1:1" x14ac:dyDescent="0.25">
      <c r="A792" s="87" t="s">
        <v>52</v>
      </c>
    </row>
    <row r="793" spans="1:1" x14ac:dyDescent="0.25">
      <c r="A793" s="88" t="s">
        <v>52</v>
      </c>
    </row>
    <row r="794" spans="1:1" x14ac:dyDescent="0.25">
      <c r="A794" s="89" t="s">
        <v>52</v>
      </c>
    </row>
    <row r="795" spans="1:1" x14ac:dyDescent="0.25">
      <c r="A795" s="90" t="s">
        <v>52</v>
      </c>
    </row>
    <row r="796" spans="1:1" x14ac:dyDescent="0.25">
      <c r="A796" s="18" t="s">
        <v>186</v>
      </c>
    </row>
    <row r="797" spans="1:1" x14ac:dyDescent="0.25">
      <c r="A797" s="19" t="s">
        <v>52</v>
      </c>
    </row>
    <row r="798" spans="1:1" x14ac:dyDescent="0.25">
      <c r="A798" s="20" t="s">
        <v>52</v>
      </c>
    </row>
    <row r="799" spans="1:1" x14ac:dyDescent="0.25">
      <c r="A799" s="21" t="s">
        <v>52</v>
      </c>
    </row>
    <row r="800" spans="1:1" x14ac:dyDescent="0.25">
      <c r="A800" s="22" t="s">
        <v>52</v>
      </c>
    </row>
    <row r="801" spans="1:1" x14ac:dyDescent="0.25">
      <c r="A801" s="23" t="s">
        <v>52</v>
      </c>
    </row>
    <row r="802" spans="1:1" x14ac:dyDescent="0.25">
      <c r="A802" s="24" t="s">
        <v>52</v>
      </c>
    </row>
    <row r="803" spans="1:1" x14ac:dyDescent="0.25">
      <c r="A803" s="25" t="s">
        <v>52</v>
      </c>
    </row>
    <row r="804" spans="1:1" x14ac:dyDescent="0.25">
      <c r="A804" s="26" t="s">
        <v>291</v>
      </c>
    </row>
    <row r="805" spans="1:1" x14ac:dyDescent="0.25">
      <c r="A805" s="27" t="s">
        <v>685</v>
      </c>
    </row>
    <row r="806" spans="1:1" x14ac:dyDescent="0.25">
      <c r="A806" s="28" t="s">
        <v>52</v>
      </c>
    </row>
    <row r="807" spans="1:1" x14ac:dyDescent="0.25">
      <c r="A807" s="29" t="s">
        <v>52</v>
      </c>
    </row>
    <row r="808" spans="1:1" x14ac:dyDescent="0.25">
      <c r="A808" s="30" t="s">
        <v>52</v>
      </c>
    </row>
    <row r="809" spans="1:1" x14ac:dyDescent="0.25">
      <c r="A809" s="31" t="s">
        <v>52</v>
      </c>
    </row>
    <row r="810" spans="1:1" x14ac:dyDescent="0.25">
      <c r="A810" s="32" t="s">
        <v>52</v>
      </c>
    </row>
    <row r="811" spans="1:1" x14ac:dyDescent="0.25">
      <c r="A811" s="33" t="s">
        <v>52</v>
      </c>
    </row>
    <row r="812" spans="1:1" x14ac:dyDescent="0.25">
      <c r="A812" s="34" t="s">
        <v>52</v>
      </c>
    </row>
    <row r="813" spans="1:1" x14ac:dyDescent="0.25">
      <c r="A813" s="35" t="s">
        <v>52</v>
      </c>
    </row>
    <row r="814" spans="1:1" x14ac:dyDescent="0.25">
      <c r="A814" s="36" t="s">
        <v>52</v>
      </c>
    </row>
    <row r="815" spans="1:1" x14ac:dyDescent="0.25">
      <c r="A815" s="37" t="s">
        <v>52</v>
      </c>
    </row>
    <row r="816" spans="1:1" x14ac:dyDescent="0.25">
      <c r="A816" s="38" t="s">
        <v>52</v>
      </c>
    </row>
    <row r="817" spans="1:1" x14ac:dyDescent="0.25">
      <c r="A817" s="39" t="s">
        <v>52</v>
      </c>
    </row>
    <row r="818" spans="1:1" x14ac:dyDescent="0.25">
      <c r="A818" s="40" t="s">
        <v>52</v>
      </c>
    </row>
    <row r="819" spans="1:1" x14ac:dyDescent="0.25">
      <c r="A819" s="41" t="s">
        <v>52</v>
      </c>
    </row>
    <row r="820" spans="1:1" x14ac:dyDescent="0.25">
      <c r="A820" s="42" t="s">
        <v>52</v>
      </c>
    </row>
    <row r="821" spans="1:1" x14ac:dyDescent="0.25">
      <c r="A821" s="43" t="s">
        <v>52</v>
      </c>
    </row>
    <row r="822" spans="1:1" x14ac:dyDescent="0.25">
      <c r="A822" s="44" t="s">
        <v>52</v>
      </c>
    </row>
    <row r="823" spans="1:1" x14ac:dyDescent="0.25">
      <c r="A823" s="45" t="s">
        <v>52</v>
      </c>
    </row>
    <row r="824" spans="1:1" x14ac:dyDescent="0.25">
      <c r="A824" s="46" t="s">
        <v>52</v>
      </c>
    </row>
    <row r="825" spans="1:1" x14ac:dyDescent="0.25">
      <c r="A825" s="47" t="s">
        <v>52</v>
      </c>
    </row>
    <row r="826" spans="1:1" x14ac:dyDescent="0.25">
      <c r="A826" s="48" t="s">
        <v>686</v>
      </c>
    </row>
    <row r="827" spans="1:1" x14ac:dyDescent="0.25">
      <c r="A827" s="49" t="s">
        <v>52</v>
      </c>
    </row>
    <row r="828" spans="1:1" x14ac:dyDescent="0.25">
      <c r="A828" s="50" t="s">
        <v>52</v>
      </c>
    </row>
    <row r="829" spans="1:1" x14ac:dyDescent="0.25">
      <c r="A829" s="51" t="s">
        <v>52</v>
      </c>
    </row>
    <row r="830" spans="1:1" x14ac:dyDescent="0.25">
      <c r="A830" s="52" t="s">
        <v>52</v>
      </c>
    </row>
    <row r="831" spans="1:1" x14ac:dyDescent="0.25">
      <c r="A831" s="53" t="s">
        <v>52</v>
      </c>
    </row>
    <row r="832" spans="1:1" x14ac:dyDescent="0.25">
      <c r="A832" s="54" t="s">
        <v>52</v>
      </c>
    </row>
    <row r="833" spans="1:1" x14ac:dyDescent="0.25">
      <c r="A833" s="55" t="s">
        <v>52</v>
      </c>
    </row>
    <row r="834" spans="1:1" x14ac:dyDescent="0.25">
      <c r="A834" s="56" t="s">
        <v>52</v>
      </c>
    </row>
    <row r="835" spans="1:1" x14ac:dyDescent="0.25">
      <c r="A835" s="57" t="s">
        <v>52</v>
      </c>
    </row>
    <row r="836" spans="1:1" x14ac:dyDescent="0.25">
      <c r="A836" s="58" t="s">
        <v>52</v>
      </c>
    </row>
    <row r="837" spans="1:1" x14ac:dyDescent="0.25">
      <c r="A837" s="59" t="s">
        <v>52</v>
      </c>
    </row>
    <row r="838" spans="1:1" x14ac:dyDescent="0.25">
      <c r="A838" s="60" t="s">
        <v>52</v>
      </c>
    </row>
    <row r="839" spans="1:1" x14ac:dyDescent="0.25">
      <c r="A839" s="61" t="s">
        <v>52</v>
      </c>
    </row>
    <row r="840" spans="1:1" x14ac:dyDescent="0.25">
      <c r="A840" s="62" t="s">
        <v>52</v>
      </c>
    </row>
    <row r="841" spans="1:1" x14ac:dyDescent="0.25">
      <c r="A841" s="63" t="s">
        <v>52</v>
      </c>
    </row>
    <row r="842" spans="1:1" x14ac:dyDescent="0.25">
      <c r="A842" s="64" t="s">
        <v>52</v>
      </c>
    </row>
    <row r="843" spans="1:1" x14ac:dyDescent="0.25">
      <c r="A843" s="65" t="s">
        <v>52</v>
      </c>
    </row>
    <row r="844" spans="1:1" x14ac:dyDescent="0.25">
      <c r="A844" s="66" t="s">
        <v>52</v>
      </c>
    </row>
    <row r="845" spans="1:1" x14ac:dyDescent="0.25">
      <c r="A845" s="67" t="s">
        <v>52</v>
      </c>
    </row>
    <row r="846" spans="1:1" x14ac:dyDescent="0.25">
      <c r="A846" s="68" t="s">
        <v>52</v>
      </c>
    </row>
    <row r="847" spans="1:1" x14ac:dyDescent="0.25">
      <c r="A847" s="69" t="s">
        <v>52</v>
      </c>
    </row>
    <row r="848" spans="1:1" x14ac:dyDescent="0.25">
      <c r="A848" s="70" t="s">
        <v>52</v>
      </c>
    </row>
    <row r="849" spans="1:1" x14ac:dyDescent="0.25">
      <c r="A849" s="71" t="s">
        <v>52</v>
      </c>
    </row>
    <row r="850" spans="1:1" x14ac:dyDescent="0.25">
      <c r="A850" s="72" t="s">
        <v>52</v>
      </c>
    </row>
    <row r="851" spans="1:1" x14ac:dyDescent="0.25">
      <c r="A851" s="73" t="s">
        <v>52</v>
      </c>
    </row>
    <row r="852" spans="1:1" x14ac:dyDescent="0.25">
      <c r="A852" s="74" t="s">
        <v>52</v>
      </c>
    </row>
    <row r="853" spans="1:1" x14ac:dyDescent="0.25">
      <c r="A853" s="75" t="s">
        <v>52</v>
      </c>
    </row>
    <row r="854" spans="1:1" x14ac:dyDescent="0.25">
      <c r="A854" s="76" t="s">
        <v>52</v>
      </c>
    </row>
    <row r="855" spans="1:1" x14ac:dyDescent="0.25">
      <c r="A855" s="77" t="s">
        <v>52</v>
      </c>
    </row>
    <row r="856" spans="1:1" x14ac:dyDescent="0.25">
      <c r="A856" s="78" t="s">
        <v>52</v>
      </c>
    </row>
    <row r="857" spans="1:1" x14ac:dyDescent="0.25">
      <c r="A857" s="79" t="s">
        <v>52</v>
      </c>
    </row>
    <row r="858" spans="1:1" x14ac:dyDescent="0.25">
      <c r="A858" s="80" t="s">
        <v>52</v>
      </c>
    </row>
    <row r="859" spans="1:1" x14ac:dyDescent="0.25">
      <c r="A859" s="81" t="s">
        <v>52</v>
      </c>
    </row>
    <row r="860" spans="1:1" x14ac:dyDescent="0.25">
      <c r="A860" s="82" t="s">
        <v>52</v>
      </c>
    </row>
    <row r="861" spans="1:1" x14ac:dyDescent="0.25">
      <c r="A861" s="83" t="s">
        <v>52</v>
      </c>
    </row>
    <row r="862" spans="1:1" x14ac:dyDescent="0.25">
      <c r="A862" s="84" t="s">
        <v>52</v>
      </c>
    </row>
    <row r="863" spans="1:1" x14ac:dyDescent="0.25">
      <c r="A863" s="85" t="s">
        <v>52</v>
      </c>
    </row>
    <row r="864" spans="1:1" x14ac:dyDescent="0.25">
      <c r="A864" s="86" t="s">
        <v>52</v>
      </c>
    </row>
    <row r="865" spans="1:1" x14ac:dyDescent="0.25">
      <c r="A865" s="87" t="s">
        <v>52</v>
      </c>
    </row>
    <row r="866" spans="1:1" x14ac:dyDescent="0.25">
      <c r="A866" s="88" t="s">
        <v>52</v>
      </c>
    </row>
    <row r="867" spans="1:1" x14ac:dyDescent="0.25">
      <c r="A867" s="89" t="s">
        <v>52</v>
      </c>
    </row>
    <row r="868" spans="1:1" x14ac:dyDescent="0.25">
      <c r="A868" s="90" t="s">
        <v>52</v>
      </c>
    </row>
    <row r="869" spans="1:1" x14ac:dyDescent="0.25">
      <c r="A869" s="18" t="s">
        <v>187</v>
      </c>
    </row>
    <row r="870" spans="1:1" x14ac:dyDescent="0.25">
      <c r="A870" s="19" t="s">
        <v>687</v>
      </c>
    </row>
    <row r="871" spans="1:1" x14ac:dyDescent="0.25">
      <c r="A871" s="20" t="s">
        <v>52</v>
      </c>
    </row>
    <row r="872" spans="1:1" x14ac:dyDescent="0.25">
      <c r="A872" s="21" t="s">
        <v>52</v>
      </c>
    </row>
    <row r="873" spans="1:1" x14ac:dyDescent="0.25">
      <c r="A873" s="22" t="s">
        <v>52</v>
      </c>
    </row>
    <row r="874" spans="1:1" x14ac:dyDescent="0.25">
      <c r="A874" s="23" t="s">
        <v>52</v>
      </c>
    </row>
    <row r="875" spans="1:1" x14ac:dyDescent="0.25">
      <c r="A875" s="24" t="s">
        <v>52</v>
      </c>
    </row>
    <row r="876" spans="1:1" x14ac:dyDescent="0.25">
      <c r="A876" s="25" t="s">
        <v>52</v>
      </c>
    </row>
    <row r="877" spans="1:1" x14ac:dyDescent="0.25">
      <c r="A877" s="26" t="s">
        <v>292</v>
      </c>
    </row>
    <row r="878" spans="1:1" x14ac:dyDescent="0.25">
      <c r="A878" s="27" t="s">
        <v>688</v>
      </c>
    </row>
    <row r="879" spans="1:1" x14ac:dyDescent="0.25">
      <c r="A879" s="28" t="s">
        <v>52</v>
      </c>
    </row>
    <row r="880" spans="1:1" x14ac:dyDescent="0.25">
      <c r="A880" s="29" t="s">
        <v>52</v>
      </c>
    </row>
    <row r="881" spans="1:1" x14ac:dyDescent="0.25">
      <c r="A881" s="30" t="s">
        <v>52</v>
      </c>
    </row>
    <row r="882" spans="1:1" x14ac:dyDescent="0.25">
      <c r="A882" s="31" t="s">
        <v>52</v>
      </c>
    </row>
    <row r="883" spans="1:1" x14ac:dyDescent="0.25">
      <c r="A883" s="32" t="s">
        <v>52</v>
      </c>
    </row>
    <row r="884" spans="1:1" x14ac:dyDescent="0.25">
      <c r="A884" s="33" t="s">
        <v>52</v>
      </c>
    </row>
    <row r="885" spans="1:1" x14ac:dyDescent="0.25">
      <c r="A885" s="34" t="s">
        <v>52</v>
      </c>
    </row>
    <row r="886" spans="1:1" x14ac:dyDescent="0.25">
      <c r="A886" s="35" t="s">
        <v>52</v>
      </c>
    </row>
    <row r="887" spans="1:1" x14ac:dyDescent="0.25">
      <c r="A887" s="36" t="s">
        <v>52</v>
      </c>
    </row>
    <row r="888" spans="1:1" x14ac:dyDescent="0.25">
      <c r="A888" s="37" t="s">
        <v>52</v>
      </c>
    </row>
    <row r="889" spans="1:1" x14ac:dyDescent="0.25">
      <c r="A889" s="38" t="s">
        <v>52</v>
      </c>
    </row>
    <row r="890" spans="1:1" x14ac:dyDescent="0.25">
      <c r="A890" s="39" t="s">
        <v>52</v>
      </c>
    </row>
    <row r="891" spans="1:1" x14ac:dyDescent="0.25">
      <c r="A891" s="40" t="s">
        <v>52</v>
      </c>
    </row>
    <row r="892" spans="1:1" x14ac:dyDescent="0.25">
      <c r="A892" s="41" t="s">
        <v>52</v>
      </c>
    </row>
    <row r="893" spans="1:1" x14ac:dyDescent="0.25">
      <c r="A893" s="42" t="s">
        <v>52</v>
      </c>
    </row>
    <row r="894" spans="1:1" x14ac:dyDescent="0.25">
      <c r="A894" s="43" t="s">
        <v>52</v>
      </c>
    </row>
    <row r="895" spans="1:1" x14ac:dyDescent="0.25">
      <c r="A895" s="44" t="s">
        <v>52</v>
      </c>
    </row>
    <row r="896" spans="1:1" x14ac:dyDescent="0.25">
      <c r="A896" s="45" t="s">
        <v>52</v>
      </c>
    </row>
    <row r="897" spans="1:1" x14ac:dyDescent="0.25">
      <c r="A897" s="46" t="s">
        <v>52</v>
      </c>
    </row>
    <row r="898" spans="1:1" x14ac:dyDescent="0.25">
      <c r="A898" s="47" t="s">
        <v>52</v>
      </c>
    </row>
    <row r="899" spans="1:1" x14ac:dyDescent="0.25">
      <c r="A899" s="48" t="s">
        <v>689</v>
      </c>
    </row>
    <row r="900" spans="1:1" x14ac:dyDescent="0.25">
      <c r="A900" s="49" t="s">
        <v>52</v>
      </c>
    </row>
    <row r="901" spans="1:1" x14ac:dyDescent="0.25">
      <c r="A901" s="50" t="s">
        <v>52</v>
      </c>
    </row>
    <row r="902" spans="1:1" x14ac:dyDescent="0.25">
      <c r="A902" s="51" t="s">
        <v>52</v>
      </c>
    </row>
    <row r="903" spans="1:1" x14ac:dyDescent="0.25">
      <c r="A903" s="52" t="s">
        <v>52</v>
      </c>
    </row>
    <row r="904" spans="1:1" x14ac:dyDescent="0.25">
      <c r="A904" s="53" t="s">
        <v>52</v>
      </c>
    </row>
    <row r="905" spans="1:1" x14ac:dyDescent="0.25">
      <c r="A905" s="54" t="s">
        <v>52</v>
      </c>
    </row>
    <row r="906" spans="1:1" x14ac:dyDescent="0.25">
      <c r="A906" s="55" t="s">
        <v>52</v>
      </c>
    </row>
    <row r="907" spans="1:1" x14ac:dyDescent="0.25">
      <c r="A907" s="56" t="s">
        <v>52</v>
      </c>
    </row>
    <row r="908" spans="1:1" x14ac:dyDescent="0.25">
      <c r="A908" s="57" t="s">
        <v>52</v>
      </c>
    </row>
    <row r="909" spans="1:1" x14ac:dyDescent="0.25">
      <c r="A909" s="58" t="s">
        <v>52</v>
      </c>
    </row>
    <row r="910" spans="1:1" x14ac:dyDescent="0.25">
      <c r="A910" s="59" t="s">
        <v>52</v>
      </c>
    </row>
    <row r="911" spans="1:1" x14ac:dyDescent="0.25">
      <c r="A911" s="60" t="s">
        <v>52</v>
      </c>
    </row>
    <row r="912" spans="1:1" x14ac:dyDescent="0.25">
      <c r="A912" s="61" t="s">
        <v>52</v>
      </c>
    </row>
    <row r="913" spans="1:1" x14ac:dyDescent="0.25">
      <c r="A913" s="62" t="s">
        <v>52</v>
      </c>
    </row>
    <row r="914" spans="1:1" x14ac:dyDescent="0.25">
      <c r="A914" s="63" t="s">
        <v>52</v>
      </c>
    </row>
    <row r="915" spans="1:1" x14ac:dyDescent="0.25">
      <c r="A915" s="64" t="s">
        <v>52</v>
      </c>
    </row>
    <row r="916" spans="1:1" x14ac:dyDescent="0.25">
      <c r="A916" s="65" t="s">
        <v>52</v>
      </c>
    </row>
    <row r="917" spans="1:1" x14ac:dyDescent="0.25">
      <c r="A917" s="66" t="s">
        <v>52</v>
      </c>
    </row>
    <row r="918" spans="1:1" x14ac:dyDescent="0.25">
      <c r="A918" s="67" t="s">
        <v>52</v>
      </c>
    </row>
    <row r="919" spans="1:1" x14ac:dyDescent="0.25">
      <c r="A919" s="68" t="s">
        <v>52</v>
      </c>
    </row>
    <row r="920" spans="1:1" x14ac:dyDescent="0.25">
      <c r="A920" s="69" t="s">
        <v>52</v>
      </c>
    </row>
    <row r="921" spans="1:1" x14ac:dyDescent="0.25">
      <c r="A921" s="70" t="s">
        <v>52</v>
      </c>
    </row>
    <row r="922" spans="1:1" x14ac:dyDescent="0.25">
      <c r="A922" s="71" t="s">
        <v>52</v>
      </c>
    </row>
    <row r="923" spans="1:1" x14ac:dyDescent="0.25">
      <c r="A923" s="72" t="s">
        <v>52</v>
      </c>
    </row>
    <row r="924" spans="1:1" x14ac:dyDescent="0.25">
      <c r="A924" s="73" t="s">
        <v>52</v>
      </c>
    </row>
    <row r="925" spans="1:1" x14ac:dyDescent="0.25">
      <c r="A925" s="74" t="s">
        <v>52</v>
      </c>
    </row>
    <row r="926" spans="1:1" x14ac:dyDescent="0.25">
      <c r="A926" s="75" t="s">
        <v>52</v>
      </c>
    </row>
    <row r="927" spans="1:1" x14ac:dyDescent="0.25">
      <c r="A927" s="76" t="s">
        <v>52</v>
      </c>
    </row>
    <row r="928" spans="1:1" x14ac:dyDescent="0.25">
      <c r="A928" s="77" t="s">
        <v>52</v>
      </c>
    </row>
    <row r="929" spans="1:1" x14ac:dyDescent="0.25">
      <c r="A929" s="78" t="s">
        <v>52</v>
      </c>
    </row>
    <row r="930" spans="1:1" x14ac:dyDescent="0.25">
      <c r="A930" s="79" t="s">
        <v>52</v>
      </c>
    </row>
    <row r="931" spans="1:1" x14ac:dyDescent="0.25">
      <c r="A931" s="80" t="s">
        <v>52</v>
      </c>
    </row>
    <row r="932" spans="1:1" x14ac:dyDescent="0.25">
      <c r="A932" s="81" t="s">
        <v>52</v>
      </c>
    </row>
    <row r="933" spans="1:1" x14ac:dyDescent="0.25">
      <c r="A933" s="82" t="s">
        <v>52</v>
      </c>
    </row>
    <row r="934" spans="1:1" x14ac:dyDescent="0.25">
      <c r="A934" s="83" t="s">
        <v>52</v>
      </c>
    </row>
    <row r="935" spans="1:1" x14ac:dyDescent="0.25">
      <c r="A935" s="84" t="s">
        <v>52</v>
      </c>
    </row>
    <row r="936" spans="1:1" x14ac:dyDescent="0.25">
      <c r="A936" s="85" t="s">
        <v>52</v>
      </c>
    </row>
    <row r="937" spans="1:1" x14ac:dyDescent="0.25">
      <c r="A937" s="86" t="s">
        <v>52</v>
      </c>
    </row>
    <row r="938" spans="1:1" x14ac:dyDescent="0.25">
      <c r="A938" s="87" t="s">
        <v>52</v>
      </c>
    </row>
    <row r="939" spans="1:1" x14ac:dyDescent="0.25">
      <c r="A939" s="88" t="s">
        <v>52</v>
      </c>
    </row>
    <row r="940" spans="1:1" x14ac:dyDescent="0.25">
      <c r="A940" s="89" t="s">
        <v>52</v>
      </c>
    </row>
    <row r="941" spans="1:1" x14ac:dyDescent="0.25">
      <c r="A941" s="90" t="s">
        <v>52</v>
      </c>
    </row>
    <row r="942" spans="1:1" x14ac:dyDescent="0.25">
      <c r="A942" s="10" t="s">
        <v>6</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B1:H338"/>
  <sheetViews>
    <sheetView workbookViewId="0">
      <selection activeCell="F4" sqref="F4"/>
    </sheetView>
  </sheetViews>
  <sheetFormatPr defaultRowHeight="15" x14ac:dyDescent="0.25"/>
  <cols>
    <col min="2" max="2" width="9.140625" style="143"/>
    <col min="3" max="3" width="9.140625" style="93"/>
    <col min="4" max="4" width="45.5703125" style="94" customWidth="1"/>
    <col min="5" max="6" width="9.140625" style="91"/>
    <col min="7" max="8" width="9.140625" style="92"/>
  </cols>
  <sheetData>
    <row r="1" spans="2:8" x14ac:dyDescent="0.25">
      <c r="C1" s="144" t="s">
        <v>52</v>
      </c>
      <c r="D1" s="94" t="s">
        <v>54</v>
      </c>
    </row>
    <row r="2" spans="2:8" x14ac:dyDescent="0.25">
      <c r="B2" s="142" t="s">
        <v>333</v>
      </c>
      <c r="C2" s="145" t="s">
        <v>332</v>
      </c>
      <c r="D2" s="148" t="s">
        <v>38</v>
      </c>
      <c r="E2" s="140" t="s">
        <v>37</v>
      </c>
      <c r="F2" s="140" t="s">
        <v>81</v>
      </c>
      <c r="G2" s="141" t="s">
        <v>86</v>
      </c>
      <c r="H2" s="141" t="s">
        <v>95</v>
      </c>
    </row>
    <row r="3" spans="2:8" x14ac:dyDescent="0.25">
      <c r="C3" s="93" t="s">
        <v>54</v>
      </c>
    </row>
    <row r="4" spans="2:8" x14ac:dyDescent="0.25">
      <c r="C4" s="147" t="s">
        <v>53</v>
      </c>
      <c r="D4" s="149" t="s">
        <v>91</v>
      </c>
      <c r="E4" s="150"/>
      <c r="F4" s="150">
        <f>SUM(F5:F14)</f>
        <v>1441.82825</v>
      </c>
      <c r="G4" s="151">
        <f>G5</f>
        <v>30</v>
      </c>
      <c r="H4" s="151">
        <f t="shared" ref="H4:H14" si="0">IF(F4="","",G4*F4)</f>
        <v>43254.847500000003</v>
      </c>
    </row>
    <row r="5" spans="2:8" x14ac:dyDescent="0.25">
      <c r="D5" s="94" t="s">
        <v>112</v>
      </c>
      <c r="E5" s="91" t="s">
        <v>48</v>
      </c>
      <c r="F5" s="91">
        <v>21.875</v>
      </c>
      <c r="G5" s="92">
        <v>30</v>
      </c>
      <c r="H5" s="92">
        <f t="shared" si="0"/>
        <v>656.25</v>
      </c>
    </row>
    <row r="6" spans="2:8" x14ac:dyDescent="0.25">
      <c r="D6" s="94" t="s">
        <v>113</v>
      </c>
      <c r="E6" s="91" t="s">
        <v>48</v>
      </c>
      <c r="F6" s="91">
        <v>848.23699999999997</v>
      </c>
      <c r="G6" s="92">
        <v>30</v>
      </c>
      <c r="H6" s="92">
        <f t="shared" si="0"/>
        <v>25447.11</v>
      </c>
    </row>
    <row r="7" spans="2:8" x14ac:dyDescent="0.25">
      <c r="D7" s="94" t="s">
        <v>114</v>
      </c>
      <c r="E7" s="91" t="s">
        <v>48</v>
      </c>
      <c r="F7" s="91">
        <v>13.585000000000001</v>
      </c>
      <c r="G7" s="92">
        <v>30</v>
      </c>
      <c r="H7" s="92">
        <f t="shared" si="0"/>
        <v>407.55</v>
      </c>
    </row>
    <row r="8" spans="2:8" x14ac:dyDescent="0.25">
      <c r="D8" s="94" t="s">
        <v>115</v>
      </c>
      <c r="E8" s="91" t="s">
        <v>48</v>
      </c>
      <c r="F8" s="91">
        <v>80.775000000000006</v>
      </c>
      <c r="G8" s="92">
        <v>30</v>
      </c>
      <c r="H8" s="92">
        <f t="shared" si="0"/>
        <v>2423.25</v>
      </c>
    </row>
    <row r="9" spans="2:8" x14ac:dyDescent="0.25">
      <c r="D9" s="94" t="s">
        <v>116</v>
      </c>
      <c r="E9" s="91" t="s">
        <v>48</v>
      </c>
      <c r="F9" s="91">
        <v>13.68</v>
      </c>
      <c r="G9" s="92">
        <v>30</v>
      </c>
      <c r="H9" s="92">
        <f t="shared" si="0"/>
        <v>410.4</v>
      </c>
    </row>
    <row r="10" spans="2:8" x14ac:dyDescent="0.25">
      <c r="D10" s="94" t="s">
        <v>117</v>
      </c>
      <c r="E10" s="91" t="s">
        <v>48</v>
      </c>
      <c r="F10" s="91">
        <v>20</v>
      </c>
      <c r="G10" s="92">
        <v>30</v>
      </c>
      <c r="H10" s="92">
        <f t="shared" si="0"/>
        <v>600</v>
      </c>
    </row>
    <row r="11" spans="2:8" x14ac:dyDescent="0.25">
      <c r="D11" s="94" t="s">
        <v>118</v>
      </c>
      <c r="E11" s="91" t="s">
        <v>48</v>
      </c>
      <c r="F11" s="91">
        <v>25</v>
      </c>
      <c r="G11" s="92">
        <v>30</v>
      </c>
      <c r="H11" s="92">
        <f t="shared" si="0"/>
        <v>750</v>
      </c>
    </row>
    <row r="12" spans="2:8" x14ac:dyDescent="0.25">
      <c r="D12" s="94" t="s">
        <v>119</v>
      </c>
      <c r="E12" s="91" t="s">
        <v>48</v>
      </c>
      <c r="F12" s="91">
        <v>22.08</v>
      </c>
      <c r="G12" s="92">
        <v>30</v>
      </c>
      <c r="H12" s="92">
        <f t="shared" si="0"/>
        <v>662.4</v>
      </c>
    </row>
    <row r="13" spans="2:8" x14ac:dyDescent="0.25">
      <c r="D13" s="94" t="s">
        <v>120</v>
      </c>
      <c r="E13" s="91" t="s">
        <v>48</v>
      </c>
      <c r="F13" s="91">
        <v>24.48</v>
      </c>
      <c r="G13" s="92">
        <v>30</v>
      </c>
      <c r="H13" s="92">
        <f t="shared" si="0"/>
        <v>734.4</v>
      </c>
    </row>
    <row r="14" spans="2:8" x14ac:dyDescent="0.25">
      <c r="D14" s="94" t="s">
        <v>121</v>
      </c>
      <c r="E14" s="91" t="s">
        <v>48</v>
      </c>
      <c r="F14" s="91">
        <v>372.11624999999998</v>
      </c>
      <c r="G14" s="92">
        <v>30</v>
      </c>
      <c r="H14" s="92">
        <f t="shared" si="0"/>
        <v>11163.487499999999</v>
      </c>
    </row>
    <row r="15" spans="2:8" x14ac:dyDescent="0.25">
      <c r="H15" s="93"/>
    </row>
    <row r="16" spans="2:8" x14ac:dyDescent="0.25">
      <c r="H16" s="93"/>
    </row>
    <row r="17" spans="8:8" x14ac:dyDescent="0.25">
      <c r="H17" s="93"/>
    </row>
    <row r="18" spans="8:8" x14ac:dyDescent="0.25">
      <c r="H18" s="93"/>
    </row>
    <row r="19" spans="8:8" x14ac:dyDescent="0.25">
      <c r="H19" s="93"/>
    </row>
    <row r="20" spans="8:8" x14ac:dyDescent="0.25">
      <c r="H20" s="93"/>
    </row>
    <row r="21" spans="8:8" x14ac:dyDescent="0.25">
      <c r="H21" s="93"/>
    </row>
    <row r="22" spans="8:8" x14ac:dyDescent="0.25">
      <c r="H22" s="93"/>
    </row>
    <row r="23" spans="8:8" x14ac:dyDescent="0.25">
      <c r="H23" s="93"/>
    </row>
    <row r="24" spans="8:8" x14ac:dyDescent="0.25">
      <c r="H24" s="93"/>
    </row>
    <row r="25" spans="8:8" x14ac:dyDescent="0.25">
      <c r="H25" s="93"/>
    </row>
    <row r="26" spans="8:8" x14ac:dyDescent="0.25">
      <c r="H26" s="93"/>
    </row>
    <row r="27" spans="8:8" x14ac:dyDescent="0.25">
      <c r="H27" s="93"/>
    </row>
    <row r="28" spans="8:8" x14ac:dyDescent="0.25">
      <c r="H28" s="93"/>
    </row>
    <row r="29" spans="8:8" x14ac:dyDescent="0.25">
      <c r="H29" s="93"/>
    </row>
    <row r="30" spans="8:8" x14ac:dyDescent="0.25">
      <c r="H30" s="93"/>
    </row>
    <row r="31" spans="8:8" x14ac:dyDescent="0.25">
      <c r="H31" s="93"/>
    </row>
    <row r="32" spans="8:8" x14ac:dyDescent="0.25">
      <c r="H32" s="93"/>
    </row>
    <row r="33" spans="3:8" x14ac:dyDescent="0.25">
      <c r="H33" s="93"/>
    </row>
    <row r="34" spans="3:8" x14ac:dyDescent="0.25">
      <c r="H34" s="93"/>
    </row>
    <row r="35" spans="3:8" x14ac:dyDescent="0.25">
      <c r="H35" s="93"/>
    </row>
    <row r="36" spans="3:8" x14ac:dyDescent="0.25">
      <c r="H36" s="93"/>
    </row>
    <row r="37" spans="3:8" x14ac:dyDescent="0.25">
      <c r="H37" s="93"/>
    </row>
    <row r="38" spans="3:8" x14ac:dyDescent="0.25">
      <c r="H38" s="93"/>
    </row>
    <row r="39" spans="3:8" x14ac:dyDescent="0.25">
      <c r="H39" s="93"/>
    </row>
    <row r="40" spans="3:8" x14ac:dyDescent="0.25">
      <c r="H40" s="93"/>
    </row>
    <row r="41" spans="3:8" x14ac:dyDescent="0.25">
      <c r="H41" s="93"/>
    </row>
    <row r="42" spans="3:8" x14ac:dyDescent="0.25">
      <c r="H42" s="93"/>
    </row>
    <row r="43" spans="3:8" x14ac:dyDescent="0.25">
      <c r="H43" s="93"/>
    </row>
    <row r="44" spans="3:8" x14ac:dyDescent="0.25">
      <c r="H44" s="93"/>
    </row>
    <row r="45" spans="3:8" x14ac:dyDescent="0.25">
      <c r="H45" s="93"/>
    </row>
    <row r="46" spans="3:8" x14ac:dyDescent="0.25">
      <c r="C46" s="146"/>
      <c r="H46" s="146"/>
    </row>
    <row r="47" spans="3:8" x14ac:dyDescent="0.25">
      <c r="C47" s="147"/>
      <c r="H47" s="147"/>
    </row>
    <row r="63" spans="3:3" x14ac:dyDescent="0.25">
      <c r="C63" s="147"/>
    </row>
    <row r="70" spans="3:8" x14ac:dyDescent="0.25">
      <c r="C70" s="147"/>
    </row>
    <row r="77" spans="3:8" x14ac:dyDescent="0.25">
      <c r="H77" s="92" t="str">
        <f t="shared" ref="H77:H111" si="1">IF(F77="","",G77*F77)</f>
        <v/>
      </c>
    </row>
    <row r="78" spans="3:8" x14ac:dyDescent="0.25">
      <c r="H78" s="92" t="str">
        <f t="shared" si="1"/>
        <v/>
      </c>
    </row>
    <row r="79" spans="3:8" x14ac:dyDescent="0.25">
      <c r="H79" s="92" t="str">
        <f t="shared" si="1"/>
        <v/>
      </c>
    </row>
    <row r="80" spans="3:8" x14ac:dyDescent="0.25">
      <c r="H80" s="92" t="str">
        <f t="shared" si="1"/>
        <v/>
      </c>
    </row>
    <row r="81" spans="8:8" x14ac:dyDescent="0.25">
      <c r="H81" s="92" t="str">
        <f t="shared" si="1"/>
        <v/>
      </c>
    </row>
    <row r="82" spans="8:8" x14ac:dyDescent="0.25">
      <c r="H82" s="92" t="str">
        <f t="shared" si="1"/>
        <v/>
      </c>
    </row>
    <row r="83" spans="8:8" x14ac:dyDescent="0.25">
      <c r="H83" s="92" t="str">
        <f t="shared" si="1"/>
        <v/>
      </c>
    </row>
    <row r="84" spans="8:8" x14ac:dyDescent="0.25">
      <c r="H84" s="92" t="str">
        <f t="shared" si="1"/>
        <v/>
      </c>
    </row>
    <row r="85" spans="8:8" x14ac:dyDescent="0.25">
      <c r="H85" s="92" t="str">
        <f t="shared" si="1"/>
        <v/>
      </c>
    </row>
    <row r="86" spans="8:8" x14ac:dyDescent="0.25">
      <c r="H86" s="92" t="str">
        <f t="shared" si="1"/>
        <v/>
      </c>
    </row>
    <row r="87" spans="8:8" x14ac:dyDescent="0.25">
      <c r="H87" s="92" t="str">
        <f t="shared" si="1"/>
        <v/>
      </c>
    </row>
    <row r="88" spans="8:8" x14ac:dyDescent="0.25">
      <c r="H88" s="92" t="str">
        <f t="shared" si="1"/>
        <v/>
      </c>
    </row>
    <row r="89" spans="8:8" x14ac:dyDescent="0.25">
      <c r="H89" s="92" t="str">
        <f t="shared" si="1"/>
        <v/>
      </c>
    </row>
    <row r="90" spans="8:8" x14ac:dyDescent="0.25">
      <c r="H90" s="92" t="str">
        <f t="shared" si="1"/>
        <v/>
      </c>
    </row>
    <row r="91" spans="8:8" x14ac:dyDescent="0.25">
      <c r="H91" s="92" t="str">
        <f t="shared" si="1"/>
        <v/>
      </c>
    </row>
    <row r="92" spans="8:8" x14ac:dyDescent="0.25">
      <c r="H92" s="92" t="str">
        <f t="shared" si="1"/>
        <v/>
      </c>
    </row>
    <row r="93" spans="8:8" x14ac:dyDescent="0.25">
      <c r="H93" s="92" t="str">
        <f t="shared" si="1"/>
        <v/>
      </c>
    </row>
    <row r="94" spans="8:8" x14ac:dyDescent="0.25">
      <c r="H94" s="92" t="str">
        <f t="shared" si="1"/>
        <v/>
      </c>
    </row>
    <row r="95" spans="8:8" x14ac:dyDescent="0.25">
      <c r="H95" s="92" t="str">
        <f t="shared" si="1"/>
        <v/>
      </c>
    </row>
    <row r="96" spans="8:8" x14ac:dyDescent="0.25">
      <c r="H96" s="92" t="str">
        <f t="shared" si="1"/>
        <v/>
      </c>
    </row>
    <row r="97" spans="8:8" x14ac:dyDescent="0.25">
      <c r="H97" s="92" t="str">
        <f t="shared" si="1"/>
        <v/>
      </c>
    </row>
    <row r="98" spans="8:8" x14ac:dyDescent="0.25">
      <c r="H98" s="92" t="str">
        <f t="shared" si="1"/>
        <v/>
      </c>
    </row>
    <row r="99" spans="8:8" x14ac:dyDescent="0.25">
      <c r="H99" s="92" t="str">
        <f t="shared" si="1"/>
        <v/>
      </c>
    </row>
    <row r="100" spans="8:8" x14ac:dyDescent="0.25">
      <c r="H100" s="92" t="str">
        <f t="shared" si="1"/>
        <v/>
      </c>
    </row>
    <row r="101" spans="8:8" x14ac:dyDescent="0.25">
      <c r="H101" s="92" t="str">
        <f t="shared" si="1"/>
        <v/>
      </c>
    </row>
    <row r="102" spans="8:8" x14ac:dyDescent="0.25">
      <c r="H102" s="92" t="str">
        <f t="shared" si="1"/>
        <v/>
      </c>
    </row>
    <row r="103" spans="8:8" x14ac:dyDescent="0.25">
      <c r="H103" s="92" t="str">
        <f t="shared" si="1"/>
        <v/>
      </c>
    </row>
    <row r="104" spans="8:8" x14ac:dyDescent="0.25">
      <c r="H104" s="92" t="str">
        <f t="shared" si="1"/>
        <v/>
      </c>
    </row>
    <row r="105" spans="8:8" x14ac:dyDescent="0.25">
      <c r="H105" s="92" t="str">
        <f t="shared" si="1"/>
        <v/>
      </c>
    </row>
    <row r="106" spans="8:8" x14ac:dyDescent="0.25">
      <c r="H106" s="92" t="str">
        <f t="shared" si="1"/>
        <v/>
      </c>
    </row>
    <row r="107" spans="8:8" x14ac:dyDescent="0.25">
      <c r="H107" s="92" t="str">
        <f t="shared" si="1"/>
        <v/>
      </c>
    </row>
    <row r="108" spans="8:8" x14ac:dyDescent="0.25">
      <c r="H108" s="92" t="str">
        <f t="shared" si="1"/>
        <v/>
      </c>
    </row>
    <row r="109" spans="8:8" x14ac:dyDescent="0.25">
      <c r="H109" s="92" t="str">
        <f t="shared" si="1"/>
        <v/>
      </c>
    </row>
    <row r="110" spans="8:8" x14ac:dyDescent="0.25">
      <c r="H110" s="92" t="str">
        <f t="shared" si="1"/>
        <v/>
      </c>
    </row>
    <row r="111" spans="8:8" x14ac:dyDescent="0.25">
      <c r="H111" s="92" t="str">
        <f t="shared" si="1"/>
        <v/>
      </c>
    </row>
    <row r="112" spans="8:8" x14ac:dyDescent="0.25">
      <c r="H112" s="92" t="str">
        <f t="shared" ref="H112:H175" si="2">IF(F112="","",G112*F112)</f>
        <v/>
      </c>
    </row>
    <row r="113" spans="8:8" x14ac:dyDescent="0.25">
      <c r="H113" s="92" t="str">
        <f t="shared" si="2"/>
        <v/>
      </c>
    </row>
    <row r="114" spans="8:8" x14ac:dyDescent="0.25">
      <c r="H114" s="92" t="str">
        <f t="shared" si="2"/>
        <v/>
      </c>
    </row>
    <row r="115" spans="8:8" x14ac:dyDescent="0.25">
      <c r="H115" s="92" t="str">
        <f t="shared" si="2"/>
        <v/>
      </c>
    </row>
    <row r="116" spans="8:8" x14ac:dyDescent="0.25">
      <c r="H116" s="92" t="str">
        <f t="shared" si="2"/>
        <v/>
      </c>
    </row>
    <row r="117" spans="8:8" x14ac:dyDescent="0.25">
      <c r="H117" s="92" t="str">
        <f t="shared" si="2"/>
        <v/>
      </c>
    </row>
    <row r="118" spans="8:8" x14ac:dyDescent="0.25">
      <c r="H118" s="92" t="str">
        <f t="shared" si="2"/>
        <v/>
      </c>
    </row>
    <row r="119" spans="8:8" x14ac:dyDescent="0.25">
      <c r="H119" s="92" t="str">
        <f t="shared" si="2"/>
        <v/>
      </c>
    </row>
    <row r="120" spans="8:8" x14ac:dyDescent="0.25">
      <c r="H120" s="92" t="str">
        <f t="shared" si="2"/>
        <v/>
      </c>
    </row>
    <row r="121" spans="8:8" x14ac:dyDescent="0.25">
      <c r="H121" s="92" t="str">
        <f t="shared" si="2"/>
        <v/>
      </c>
    </row>
    <row r="122" spans="8:8" x14ac:dyDescent="0.25">
      <c r="H122" s="92" t="str">
        <f t="shared" si="2"/>
        <v/>
      </c>
    </row>
    <row r="123" spans="8:8" x14ac:dyDescent="0.25">
      <c r="H123" s="92" t="str">
        <f t="shared" si="2"/>
        <v/>
      </c>
    </row>
    <row r="124" spans="8:8" x14ac:dyDescent="0.25">
      <c r="H124" s="92" t="str">
        <f t="shared" si="2"/>
        <v/>
      </c>
    </row>
    <row r="125" spans="8:8" x14ac:dyDescent="0.25">
      <c r="H125" s="92" t="str">
        <f t="shared" si="2"/>
        <v/>
      </c>
    </row>
    <row r="126" spans="8:8" x14ac:dyDescent="0.25">
      <c r="H126" s="92" t="str">
        <f t="shared" si="2"/>
        <v/>
      </c>
    </row>
    <row r="127" spans="8:8" x14ac:dyDescent="0.25">
      <c r="H127" s="92" t="str">
        <f t="shared" si="2"/>
        <v/>
      </c>
    </row>
    <row r="128" spans="8:8" x14ac:dyDescent="0.25">
      <c r="H128" s="92" t="str">
        <f t="shared" si="2"/>
        <v/>
      </c>
    </row>
    <row r="129" spans="8:8" x14ac:dyDescent="0.25">
      <c r="H129" s="92" t="str">
        <f t="shared" si="2"/>
        <v/>
      </c>
    </row>
    <row r="130" spans="8:8" x14ac:dyDescent="0.25">
      <c r="H130" s="92" t="str">
        <f t="shared" si="2"/>
        <v/>
      </c>
    </row>
    <row r="131" spans="8:8" x14ac:dyDescent="0.25">
      <c r="H131" s="92" t="str">
        <f t="shared" si="2"/>
        <v/>
      </c>
    </row>
    <row r="132" spans="8:8" x14ac:dyDescent="0.25">
      <c r="H132" s="92" t="str">
        <f t="shared" si="2"/>
        <v/>
      </c>
    </row>
    <row r="133" spans="8:8" x14ac:dyDescent="0.25">
      <c r="H133" s="92" t="str">
        <f t="shared" si="2"/>
        <v/>
      </c>
    </row>
    <row r="134" spans="8:8" x14ac:dyDescent="0.25">
      <c r="H134" s="92" t="str">
        <f t="shared" si="2"/>
        <v/>
      </c>
    </row>
    <row r="135" spans="8:8" x14ac:dyDescent="0.25">
      <c r="H135" s="92" t="str">
        <f t="shared" si="2"/>
        <v/>
      </c>
    </row>
    <row r="136" spans="8:8" x14ac:dyDescent="0.25">
      <c r="H136" s="92" t="str">
        <f t="shared" si="2"/>
        <v/>
      </c>
    </row>
    <row r="137" spans="8:8" x14ac:dyDescent="0.25">
      <c r="H137" s="92" t="str">
        <f t="shared" si="2"/>
        <v/>
      </c>
    </row>
    <row r="138" spans="8:8" x14ac:dyDescent="0.25">
      <c r="H138" s="92" t="str">
        <f t="shared" si="2"/>
        <v/>
      </c>
    </row>
    <row r="139" spans="8:8" x14ac:dyDescent="0.25">
      <c r="H139" s="92" t="str">
        <f t="shared" si="2"/>
        <v/>
      </c>
    </row>
    <row r="140" spans="8:8" x14ac:dyDescent="0.25">
      <c r="H140" s="92" t="str">
        <f t="shared" si="2"/>
        <v/>
      </c>
    </row>
    <row r="141" spans="8:8" x14ac:dyDescent="0.25">
      <c r="H141" s="92" t="str">
        <f t="shared" si="2"/>
        <v/>
      </c>
    </row>
    <row r="142" spans="8:8" x14ac:dyDescent="0.25">
      <c r="H142" s="92" t="str">
        <f t="shared" si="2"/>
        <v/>
      </c>
    </row>
    <row r="143" spans="8:8" x14ac:dyDescent="0.25">
      <c r="H143" s="92" t="str">
        <f t="shared" si="2"/>
        <v/>
      </c>
    </row>
    <row r="144" spans="8:8" x14ac:dyDescent="0.25">
      <c r="H144" s="92" t="str">
        <f t="shared" si="2"/>
        <v/>
      </c>
    </row>
    <row r="145" spans="8:8" x14ac:dyDescent="0.25">
      <c r="H145" s="92" t="str">
        <f t="shared" si="2"/>
        <v/>
      </c>
    </row>
    <row r="146" spans="8:8" x14ac:dyDescent="0.25">
      <c r="H146" s="92" t="str">
        <f t="shared" si="2"/>
        <v/>
      </c>
    </row>
    <row r="147" spans="8:8" x14ac:dyDescent="0.25">
      <c r="H147" s="92" t="str">
        <f t="shared" si="2"/>
        <v/>
      </c>
    </row>
    <row r="148" spans="8:8" x14ac:dyDescent="0.25">
      <c r="H148" s="92" t="str">
        <f t="shared" si="2"/>
        <v/>
      </c>
    </row>
    <row r="149" spans="8:8" x14ac:dyDescent="0.25">
      <c r="H149" s="92" t="str">
        <f t="shared" si="2"/>
        <v/>
      </c>
    </row>
    <row r="150" spans="8:8" x14ac:dyDescent="0.25">
      <c r="H150" s="92" t="str">
        <f t="shared" si="2"/>
        <v/>
      </c>
    </row>
    <row r="151" spans="8:8" x14ac:dyDescent="0.25">
      <c r="H151" s="92" t="str">
        <f t="shared" si="2"/>
        <v/>
      </c>
    </row>
    <row r="152" spans="8:8" x14ac:dyDescent="0.25">
      <c r="H152" s="92" t="str">
        <f t="shared" si="2"/>
        <v/>
      </c>
    </row>
    <row r="153" spans="8:8" x14ac:dyDescent="0.25">
      <c r="H153" s="92" t="str">
        <f t="shared" si="2"/>
        <v/>
      </c>
    </row>
    <row r="154" spans="8:8" x14ac:dyDescent="0.25">
      <c r="H154" s="92" t="str">
        <f t="shared" si="2"/>
        <v/>
      </c>
    </row>
    <row r="155" spans="8:8" x14ac:dyDescent="0.25">
      <c r="H155" s="92" t="str">
        <f t="shared" si="2"/>
        <v/>
      </c>
    </row>
    <row r="156" spans="8:8" x14ac:dyDescent="0.25">
      <c r="H156" s="92" t="str">
        <f t="shared" si="2"/>
        <v/>
      </c>
    </row>
    <row r="157" spans="8:8" x14ac:dyDescent="0.25">
      <c r="H157" s="92" t="str">
        <f t="shared" si="2"/>
        <v/>
      </c>
    </row>
    <row r="158" spans="8:8" x14ac:dyDescent="0.25">
      <c r="H158" s="92" t="str">
        <f t="shared" si="2"/>
        <v/>
      </c>
    </row>
    <row r="159" spans="8:8" x14ac:dyDescent="0.25">
      <c r="H159" s="92" t="str">
        <f t="shared" si="2"/>
        <v/>
      </c>
    </row>
    <row r="160" spans="8:8" x14ac:dyDescent="0.25">
      <c r="H160" s="92" t="str">
        <f t="shared" si="2"/>
        <v/>
      </c>
    </row>
    <row r="161" spans="8:8" x14ac:dyDescent="0.25">
      <c r="H161" s="92" t="str">
        <f t="shared" si="2"/>
        <v/>
      </c>
    </row>
    <row r="162" spans="8:8" x14ac:dyDescent="0.25">
      <c r="H162" s="92" t="str">
        <f t="shared" si="2"/>
        <v/>
      </c>
    </row>
    <row r="163" spans="8:8" x14ac:dyDescent="0.25">
      <c r="H163" s="92" t="str">
        <f t="shared" si="2"/>
        <v/>
      </c>
    </row>
    <row r="164" spans="8:8" x14ac:dyDescent="0.25">
      <c r="H164" s="92" t="str">
        <f t="shared" si="2"/>
        <v/>
      </c>
    </row>
    <row r="165" spans="8:8" x14ac:dyDescent="0.25">
      <c r="H165" s="92" t="str">
        <f t="shared" si="2"/>
        <v/>
      </c>
    </row>
    <row r="166" spans="8:8" x14ac:dyDescent="0.25">
      <c r="H166" s="92" t="str">
        <f t="shared" si="2"/>
        <v/>
      </c>
    </row>
    <row r="167" spans="8:8" x14ac:dyDescent="0.25">
      <c r="H167" s="92" t="str">
        <f t="shared" si="2"/>
        <v/>
      </c>
    </row>
    <row r="168" spans="8:8" x14ac:dyDescent="0.25">
      <c r="H168" s="92" t="str">
        <f t="shared" si="2"/>
        <v/>
      </c>
    </row>
    <row r="169" spans="8:8" x14ac:dyDescent="0.25">
      <c r="H169" s="92" t="str">
        <f t="shared" si="2"/>
        <v/>
      </c>
    </row>
    <row r="170" spans="8:8" x14ac:dyDescent="0.25">
      <c r="H170" s="92" t="str">
        <f t="shared" si="2"/>
        <v/>
      </c>
    </row>
    <row r="171" spans="8:8" x14ac:dyDescent="0.25">
      <c r="H171" s="92" t="str">
        <f t="shared" si="2"/>
        <v/>
      </c>
    </row>
    <row r="172" spans="8:8" x14ac:dyDescent="0.25">
      <c r="H172" s="92" t="str">
        <f t="shared" si="2"/>
        <v/>
      </c>
    </row>
    <row r="173" spans="8:8" x14ac:dyDescent="0.25">
      <c r="H173" s="92" t="str">
        <f t="shared" si="2"/>
        <v/>
      </c>
    </row>
    <row r="174" spans="8:8" x14ac:dyDescent="0.25">
      <c r="H174" s="92" t="str">
        <f t="shared" si="2"/>
        <v/>
      </c>
    </row>
    <row r="175" spans="8:8" x14ac:dyDescent="0.25">
      <c r="H175" s="92" t="str">
        <f t="shared" si="2"/>
        <v/>
      </c>
    </row>
    <row r="176" spans="8:8" x14ac:dyDescent="0.25">
      <c r="H176" s="92" t="str">
        <f t="shared" ref="H176:H239" si="3">IF(F176="","",G176*F176)</f>
        <v/>
      </c>
    </row>
    <row r="177" spans="8:8" x14ac:dyDescent="0.25">
      <c r="H177" s="92" t="str">
        <f t="shared" si="3"/>
        <v/>
      </c>
    </row>
    <row r="178" spans="8:8" x14ac:dyDescent="0.25">
      <c r="H178" s="92" t="str">
        <f t="shared" si="3"/>
        <v/>
      </c>
    </row>
    <row r="179" spans="8:8" x14ac:dyDescent="0.25">
      <c r="H179" s="92" t="str">
        <f t="shared" si="3"/>
        <v/>
      </c>
    </row>
    <row r="180" spans="8:8" x14ac:dyDescent="0.25">
      <c r="H180" s="92" t="str">
        <f t="shared" si="3"/>
        <v/>
      </c>
    </row>
    <row r="181" spans="8:8" x14ac:dyDescent="0.25">
      <c r="H181" s="92" t="str">
        <f t="shared" si="3"/>
        <v/>
      </c>
    </row>
    <row r="182" spans="8:8" x14ac:dyDescent="0.25">
      <c r="H182" s="92" t="str">
        <f t="shared" si="3"/>
        <v/>
      </c>
    </row>
    <row r="183" spans="8:8" x14ac:dyDescent="0.25">
      <c r="H183" s="92" t="str">
        <f t="shared" si="3"/>
        <v/>
      </c>
    </row>
    <row r="184" spans="8:8" x14ac:dyDescent="0.25">
      <c r="H184" s="92" t="str">
        <f t="shared" si="3"/>
        <v/>
      </c>
    </row>
    <row r="185" spans="8:8" x14ac:dyDescent="0.25">
      <c r="H185" s="92" t="str">
        <f t="shared" si="3"/>
        <v/>
      </c>
    </row>
    <row r="186" spans="8:8" x14ac:dyDescent="0.25">
      <c r="H186" s="92" t="str">
        <f t="shared" si="3"/>
        <v/>
      </c>
    </row>
    <row r="187" spans="8:8" x14ac:dyDescent="0.25">
      <c r="H187" s="92" t="str">
        <f t="shared" si="3"/>
        <v/>
      </c>
    </row>
    <row r="188" spans="8:8" x14ac:dyDescent="0.25">
      <c r="H188" s="92" t="str">
        <f t="shared" si="3"/>
        <v/>
      </c>
    </row>
    <row r="189" spans="8:8" x14ac:dyDescent="0.25">
      <c r="H189" s="92" t="str">
        <f t="shared" si="3"/>
        <v/>
      </c>
    </row>
    <row r="190" spans="8:8" x14ac:dyDescent="0.25">
      <c r="H190" s="92" t="str">
        <f t="shared" si="3"/>
        <v/>
      </c>
    </row>
    <row r="191" spans="8:8" x14ac:dyDescent="0.25">
      <c r="H191" s="92" t="str">
        <f t="shared" si="3"/>
        <v/>
      </c>
    </row>
    <row r="192" spans="8:8" x14ac:dyDescent="0.25">
      <c r="H192" s="92" t="str">
        <f t="shared" si="3"/>
        <v/>
      </c>
    </row>
    <row r="193" spans="8:8" x14ac:dyDescent="0.25">
      <c r="H193" s="92" t="str">
        <f t="shared" si="3"/>
        <v/>
      </c>
    </row>
    <row r="194" spans="8:8" x14ac:dyDescent="0.25">
      <c r="H194" s="92" t="str">
        <f t="shared" si="3"/>
        <v/>
      </c>
    </row>
    <row r="195" spans="8:8" x14ac:dyDescent="0.25">
      <c r="H195" s="92" t="str">
        <f t="shared" si="3"/>
        <v/>
      </c>
    </row>
    <row r="196" spans="8:8" x14ac:dyDescent="0.25">
      <c r="H196" s="92" t="str">
        <f t="shared" si="3"/>
        <v/>
      </c>
    </row>
    <row r="197" spans="8:8" x14ac:dyDescent="0.25">
      <c r="H197" s="92" t="str">
        <f t="shared" si="3"/>
        <v/>
      </c>
    </row>
    <row r="198" spans="8:8" x14ac:dyDescent="0.25">
      <c r="H198" s="92" t="str">
        <f t="shared" si="3"/>
        <v/>
      </c>
    </row>
    <row r="199" spans="8:8" x14ac:dyDescent="0.25">
      <c r="H199" s="92" t="str">
        <f t="shared" si="3"/>
        <v/>
      </c>
    </row>
    <row r="200" spans="8:8" x14ac:dyDescent="0.25">
      <c r="H200" s="92" t="str">
        <f t="shared" si="3"/>
        <v/>
      </c>
    </row>
    <row r="201" spans="8:8" x14ac:dyDescent="0.25">
      <c r="H201" s="92" t="str">
        <f t="shared" si="3"/>
        <v/>
      </c>
    </row>
    <row r="202" spans="8:8" x14ac:dyDescent="0.25">
      <c r="H202" s="92" t="str">
        <f t="shared" si="3"/>
        <v/>
      </c>
    </row>
    <row r="203" spans="8:8" x14ac:dyDescent="0.25">
      <c r="H203" s="92" t="str">
        <f t="shared" si="3"/>
        <v/>
      </c>
    </row>
    <row r="204" spans="8:8" x14ac:dyDescent="0.25">
      <c r="H204" s="92" t="str">
        <f t="shared" si="3"/>
        <v/>
      </c>
    </row>
    <row r="205" spans="8:8" x14ac:dyDescent="0.25">
      <c r="H205" s="92" t="str">
        <f t="shared" si="3"/>
        <v/>
      </c>
    </row>
    <row r="206" spans="8:8" x14ac:dyDescent="0.25">
      <c r="H206" s="92" t="str">
        <f t="shared" si="3"/>
        <v/>
      </c>
    </row>
    <row r="207" spans="8:8" x14ac:dyDescent="0.25">
      <c r="H207" s="92" t="str">
        <f t="shared" si="3"/>
        <v/>
      </c>
    </row>
    <row r="208" spans="8:8" x14ac:dyDescent="0.25">
      <c r="H208" s="92" t="str">
        <f t="shared" si="3"/>
        <v/>
      </c>
    </row>
    <row r="209" spans="8:8" x14ac:dyDescent="0.25">
      <c r="H209" s="92" t="str">
        <f t="shared" si="3"/>
        <v/>
      </c>
    </row>
    <row r="210" spans="8:8" x14ac:dyDescent="0.25">
      <c r="H210" s="92" t="str">
        <f t="shared" si="3"/>
        <v/>
      </c>
    </row>
    <row r="211" spans="8:8" x14ac:dyDescent="0.25">
      <c r="H211" s="92" t="str">
        <f t="shared" si="3"/>
        <v/>
      </c>
    </row>
    <row r="212" spans="8:8" x14ac:dyDescent="0.25">
      <c r="H212" s="92" t="str">
        <f t="shared" si="3"/>
        <v/>
      </c>
    </row>
    <row r="213" spans="8:8" x14ac:dyDescent="0.25">
      <c r="H213" s="92" t="str">
        <f t="shared" si="3"/>
        <v/>
      </c>
    </row>
    <row r="214" spans="8:8" x14ac:dyDescent="0.25">
      <c r="H214" s="92" t="str">
        <f t="shared" si="3"/>
        <v/>
      </c>
    </row>
    <row r="215" spans="8:8" x14ac:dyDescent="0.25">
      <c r="H215" s="92" t="str">
        <f t="shared" si="3"/>
        <v/>
      </c>
    </row>
    <row r="216" spans="8:8" x14ac:dyDescent="0.25">
      <c r="H216" s="92" t="str">
        <f t="shared" si="3"/>
        <v/>
      </c>
    </row>
    <row r="217" spans="8:8" x14ac:dyDescent="0.25">
      <c r="H217" s="92" t="str">
        <f t="shared" si="3"/>
        <v/>
      </c>
    </row>
    <row r="218" spans="8:8" x14ac:dyDescent="0.25">
      <c r="H218" s="92" t="str">
        <f t="shared" si="3"/>
        <v/>
      </c>
    </row>
    <row r="219" spans="8:8" x14ac:dyDescent="0.25">
      <c r="H219" s="92" t="str">
        <f t="shared" si="3"/>
        <v/>
      </c>
    </row>
    <row r="220" spans="8:8" x14ac:dyDescent="0.25">
      <c r="H220" s="92" t="str">
        <f t="shared" si="3"/>
        <v/>
      </c>
    </row>
    <row r="221" spans="8:8" x14ac:dyDescent="0.25">
      <c r="H221" s="92" t="str">
        <f t="shared" si="3"/>
        <v/>
      </c>
    </row>
    <row r="222" spans="8:8" x14ac:dyDescent="0.25">
      <c r="H222" s="92" t="str">
        <f t="shared" si="3"/>
        <v/>
      </c>
    </row>
    <row r="223" spans="8:8" x14ac:dyDescent="0.25">
      <c r="H223" s="92" t="str">
        <f t="shared" si="3"/>
        <v/>
      </c>
    </row>
    <row r="224" spans="8:8" x14ac:dyDescent="0.25">
      <c r="H224" s="92" t="str">
        <f t="shared" si="3"/>
        <v/>
      </c>
    </row>
    <row r="225" spans="8:8" x14ac:dyDescent="0.25">
      <c r="H225" s="92" t="str">
        <f t="shared" si="3"/>
        <v/>
      </c>
    </row>
    <row r="226" spans="8:8" x14ac:dyDescent="0.25">
      <c r="H226" s="92" t="str">
        <f t="shared" si="3"/>
        <v/>
      </c>
    </row>
    <row r="227" spans="8:8" x14ac:dyDescent="0.25">
      <c r="H227" s="92" t="str">
        <f t="shared" si="3"/>
        <v/>
      </c>
    </row>
    <row r="228" spans="8:8" x14ac:dyDescent="0.25">
      <c r="H228" s="92" t="str">
        <f t="shared" si="3"/>
        <v/>
      </c>
    </row>
    <row r="229" spans="8:8" x14ac:dyDescent="0.25">
      <c r="H229" s="92" t="str">
        <f t="shared" si="3"/>
        <v/>
      </c>
    </row>
    <row r="230" spans="8:8" x14ac:dyDescent="0.25">
      <c r="H230" s="92" t="str">
        <f t="shared" si="3"/>
        <v/>
      </c>
    </row>
    <row r="231" spans="8:8" x14ac:dyDescent="0.25">
      <c r="H231" s="92" t="str">
        <f t="shared" si="3"/>
        <v/>
      </c>
    </row>
    <row r="232" spans="8:8" x14ac:dyDescent="0.25">
      <c r="H232" s="92" t="str">
        <f t="shared" si="3"/>
        <v/>
      </c>
    </row>
    <row r="233" spans="8:8" x14ac:dyDescent="0.25">
      <c r="H233" s="92" t="str">
        <f t="shared" si="3"/>
        <v/>
      </c>
    </row>
    <row r="234" spans="8:8" x14ac:dyDescent="0.25">
      <c r="H234" s="92" t="str">
        <f t="shared" si="3"/>
        <v/>
      </c>
    </row>
    <row r="235" spans="8:8" x14ac:dyDescent="0.25">
      <c r="H235" s="92" t="str">
        <f t="shared" si="3"/>
        <v/>
      </c>
    </row>
    <row r="236" spans="8:8" x14ac:dyDescent="0.25">
      <c r="H236" s="92" t="str">
        <f t="shared" si="3"/>
        <v/>
      </c>
    </row>
    <row r="237" spans="8:8" x14ac:dyDescent="0.25">
      <c r="H237" s="92" t="str">
        <f t="shared" si="3"/>
        <v/>
      </c>
    </row>
    <row r="238" spans="8:8" x14ac:dyDescent="0.25">
      <c r="H238" s="92" t="str">
        <f t="shared" si="3"/>
        <v/>
      </c>
    </row>
    <row r="239" spans="8:8" x14ac:dyDescent="0.25">
      <c r="H239" s="92" t="str">
        <f t="shared" si="3"/>
        <v/>
      </c>
    </row>
    <row r="240" spans="8:8" x14ac:dyDescent="0.25">
      <c r="H240" s="92" t="str">
        <f t="shared" ref="H240:H303" si="4">IF(F240="","",G240*F240)</f>
        <v/>
      </c>
    </row>
    <row r="241" spans="8:8" x14ac:dyDescent="0.25">
      <c r="H241" s="92" t="str">
        <f t="shared" si="4"/>
        <v/>
      </c>
    </row>
    <row r="242" spans="8:8" x14ac:dyDescent="0.25">
      <c r="H242" s="92" t="str">
        <f t="shared" si="4"/>
        <v/>
      </c>
    </row>
    <row r="243" spans="8:8" x14ac:dyDescent="0.25">
      <c r="H243" s="92" t="str">
        <f t="shared" si="4"/>
        <v/>
      </c>
    </row>
    <row r="244" spans="8:8" x14ac:dyDescent="0.25">
      <c r="H244" s="92" t="str">
        <f t="shared" si="4"/>
        <v/>
      </c>
    </row>
    <row r="245" spans="8:8" x14ac:dyDescent="0.25">
      <c r="H245" s="92" t="str">
        <f t="shared" si="4"/>
        <v/>
      </c>
    </row>
    <row r="246" spans="8:8" x14ac:dyDescent="0.25">
      <c r="H246" s="92" t="str">
        <f t="shared" si="4"/>
        <v/>
      </c>
    </row>
    <row r="247" spans="8:8" x14ac:dyDescent="0.25">
      <c r="H247" s="92" t="str">
        <f t="shared" si="4"/>
        <v/>
      </c>
    </row>
    <row r="248" spans="8:8" x14ac:dyDescent="0.25">
      <c r="H248" s="92" t="str">
        <f t="shared" si="4"/>
        <v/>
      </c>
    </row>
    <row r="249" spans="8:8" x14ac:dyDescent="0.25">
      <c r="H249" s="92" t="str">
        <f t="shared" si="4"/>
        <v/>
      </c>
    </row>
    <row r="250" spans="8:8" x14ac:dyDescent="0.25">
      <c r="H250" s="92" t="str">
        <f t="shared" si="4"/>
        <v/>
      </c>
    </row>
    <row r="251" spans="8:8" x14ac:dyDescent="0.25">
      <c r="H251" s="92" t="str">
        <f t="shared" si="4"/>
        <v/>
      </c>
    </row>
    <row r="252" spans="8:8" x14ac:dyDescent="0.25">
      <c r="H252" s="92" t="str">
        <f t="shared" si="4"/>
        <v/>
      </c>
    </row>
    <row r="253" spans="8:8" x14ac:dyDescent="0.25">
      <c r="H253" s="92" t="str">
        <f t="shared" si="4"/>
        <v/>
      </c>
    </row>
    <row r="254" spans="8:8" x14ac:dyDescent="0.25">
      <c r="H254" s="92" t="str">
        <f t="shared" si="4"/>
        <v/>
      </c>
    </row>
    <row r="255" spans="8:8" x14ac:dyDescent="0.25">
      <c r="H255" s="92" t="str">
        <f t="shared" si="4"/>
        <v/>
      </c>
    </row>
    <row r="256" spans="8:8" x14ac:dyDescent="0.25">
      <c r="H256" s="92" t="str">
        <f t="shared" si="4"/>
        <v/>
      </c>
    </row>
    <row r="257" spans="8:8" x14ac:dyDescent="0.25">
      <c r="H257" s="92" t="str">
        <f t="shared" si="4"/>
        <v/>
      </c>
    </row>
    <row r="258" spans="8:8" x14ac:dyDescent="0.25">
      <c r="H258" s="92" t="str">
        <f t="shared" si="4"/>
        <v/>
      </c>
    </row>
    <row r="259" spans="8:8" x14ac:dyDescent="0.25">
      <c r="H259" s="92" t="str">
        <f t="shared" si="4"/>
        <v/>
      </c>
    </row>
    <row r="260" spans="8:8" x14ac:dyDescent="0.25">
      <c r="H260" s="92" t="str">
        <f t="shared" si="4"/>
        <v/>
      </c>
    </row>
    <row r="261" spans="8:8" x14ac:dyDescent="0.25">
      <c r="H261" s="92" t="str">
        <f t="shared" si="4"/>
        <v/>
      </c>
    </row>
    <row r="262" spans="8:8" x14ac:dyDescent="0.25">
      <c r="H262" s="92" t="str">
        <f t="shared" si="4"/>
        <v/>
      </c>
    </row>
    <row r="263" spans="8:8" x14ac:dyDescent="0.25">
      <c r="H263" s="92" t="str">
        <f t="shared" si="4"/>
        <v/>
      </c>
    </row>
    <row r="264" spans="8:8" x14ac:dyDescent="0.25">
      <c r="H264" s="92" t="str">
        <f t="shared" si="4"/>
        <v/>
      </c>
    </row>
    <row r="265" spans="8:8" x14ac:dyDescent="0.25">
      <c r="H265" s="92" t="str">
        <f t="shared" si="4"/>
        <v/>
      </c>
    </row>
    <row r="266" spans="8:8" x14ac:dyDescent="0.25">
      <c r="H266" s="92" t="str">
        <f t="shared" si="4"/>
        <v/>
      </c>
    </row>
    <row r="267" spans="8:8" x14ac:dyDescent="0.25">
      <c r="H267" s="92" t="str">
        <f t="shared" si="4"/>
        <v/>
      </c>
    </row>
    <row r="268" spans="8:8" x14ac:dyDescent="0.25">
      <c r="H268" s="92" t="str">
        <f t="shared" si="4"/>
        <v/>
      </c>
    </row>
    <row r="269" spans="8:8" x14ac:dyDescent="0.25">
      <c r="H269" s="92" t="str">
        <f t="shared" si="4"/>
        <v/>
      </c>
    </row>
    <row r="270" spans="8:8" x14ac:dyDescent="0.25">
      <c r="H270" s="92" t="str">
        <f t="shared" si="4"/>
        <v/>
      </c>
    </row>
    <row r="271" spans="8:8" x14ac:dyDescent="0.25">
      <c r="H271" s="92" t="str">
        <f t="shared" si="4"/>
        <v/>
      </c>
    </row>
    <row r="272" spans="8:8" x14ac:dyDescent="0.25">
      <c r="H272" s="92" t="str">
        <f t="shared" si="4"/>
        <v/>
      </c>
    </row>
    <row r="273" spans="8:8" x14ac:dyDescent="0.25">
      <c r="H273" s="92" t="str">
        <f t="shared" si="4"/>
        <v/>
      </c>
    </row>
    <row r="274" spans="8:8" x14ac:dyDescent="0.25">
      <c r="H274" s="92" t="str">
        <f t="shared" si="4"/>
        <v/>
      </c>
    </row>
    <row r="275" spans="8:8" x14ac:dyDescent="0.25">
      <c r="H275" s="92" t="str">
        <f t="shared" si="4"/>
        <v/>
      </c>
    </row>
    <row r="276" spans="8:8" x14ac:dyDescent="0.25">
      <c r="H276" s="92" t="str">
        <f t="shared" si="4"/>
        <v/>
      </c>
    </row>
    <row r="277" spans="8:8" x14ac:dyDescent="0.25">
      <c r="H277" s="92" t="str">
        <f t="shared" si="4"/>
        <v/>
      </c>
    </row>
    <row r="278" spans="8:8" x14ac:dyDescent="0.25">
      <c r="H278" s="92" t="str">
        <f t="shared" si="4"/>
        <v/>
      </c>
    </row>
    <row r="279" spans="8:8" x14ac:dyDescent="0.25">
      <c r="H279" s="92" t="str">
        <f t="shared" si="4"/>
        <v/>
      </c>
    </row>
    <row r="280" spans="8:8" x14ac:dyDescent="0.25">
      <c r="H280" s="92" t="str">
        <f t="shared" si="4"/>
        <v/>
      </c>
    </row>
    <row r="281" spans="8:8" x14ac:dyDescent="0.25">
      <c r="H281" s="92" t="str">
        <f t="shared" si="4"/>
        <v/>
      </c>
    </row>
    <row r="282" spans="8:8" x14ac:dyDescent="0.25">
      <c r="H282" s="92" t="str">
        <f t="shared" si="4"/>
        <v/>
      </c>
    </row>
    <row r="283" spans="8:8" x14ac:dyDescent="0.25">
      <c r="H283" s="92" t="str">
        <f t="shared" si="4"/>
        <v/>
      </c>
    </row>
    <row r="284" spans="8:8" x14ac:dyDescent="0.25">
      <c r="H284" s="92" t="str">
        <f t="shared" si="4"/>
        <v/>
      </c>
    </row>
    <row r="285" spans="8:8" x14ac:dyDescent="0.25">
      <c r="H285" s="92" t="str">
        <f t="shared" si="4"/>
        <v/>
      </c>
    </row>
    <row r="286" spans="8:8" x14ac:dyDescent="0.25">
      <c r="H286" s="92" t="str">
        <f t="shared" si="4"/>
        <v/>
      </c>
    </row>
    <row r="287" spans="8:8" x14ac:dyDescent="0.25">
      <c r="H287" s="92" t="str">
        <f t="shared" si="4"/>
        <v/>
      </c>
    </row>
    <row r="288" spans="8:8" x14ac:dyDescent="0.25">
      <c r="H288" s="92" t="str">
        <f t="shared" si="4"/>
        <v/>
      </c>
    </row>
    <row r="289" spans="8:8" x14ac:dyDescent="0.25">
      <c r="H289" s="92" t="str">
        <f t="shared" si="4"/>
        <v/>
      </c>
    </row>
    <row r="290" spans="8:8" x14ac:dyDescent="0.25">
      <c r="H290" s="92" t="str">
        <f t="shared" si="4"/>
        <v/>
      </c>
    </row>
    <row r="291" spans="8:8" x14ac:dyDescent="0.25">
      <c r="H291" s="92" t="str">
        <f t="shared" si="4"/>
        <v/>
      </c>
    </row>
    <row r="292" spans="8:8" x14ac:dyDescent="0.25">
      <c r="H292" s="92" t="str">
        <f t="shared" si="4"/>
        <v/>
      </c>
    </row>
    <row r="293" spans="8:8" x14ac:dyDescent="0.25">
      <c r="H293" s="92" t="str">
        <f t="shared" si="4"/>
        <v/>
      </c>
    </row>
    <row r="294" spans="8:8" x14ac:dyDescent="0.25">
      <c r="H294" s="92" t="str">
        <f t="shared" si="4"/>
        <v/>
      </c>
    </row>
    <row r="295" spans="8:8" x14ac:dyDescent="0.25">
      <c r="H295" s="92" t="str">
        <f t="shared" si="4"/>
        <v/>
      </c>
    </row>
    <row r="296" spans="8:8" x14ac:dyDescent="0.25">
      <c r="H296" s="92" t="str">
        <f t="shared" si="4"/>
        <v/>
      </c>
    </row>
    <row r="297" spans="8:8" x14ac:dyDescent="0.25">
      <c r="H297" s="92" t="str">
        <f t="shared" si="4"/>
        <v/>
      </c>
    </row>
    <row r="298" spans="8:8" x14ac:dyDescent="0.25">
      <c r="H298" s="92" t="str">
        <f t="shared" si="4"/>
        <v/>
      </c>
    </row>
    <row r="299" spans="8:8" x14ac:dyDescent="0.25">
      <c r="H299" s="92" t="str">
        <f t="shared" si="4"/>
        <v/>
      </c>
    </row>
    <row r="300" spans="8:8" x14ac:dyDescent="0.25">
      <c r="H300" s="92" t="str">
        <f t="shared" si="4"/>
        <v/>
      </c>
    </row>
    <row r="301" spans="8:8" x14ac:dyDescent="0.25">
      <c r="H301" s="92" t="str">
        <f t="shared" si="4"/>
        <v/>
      </c>
    </row>
    <row r="302" spans="8:8" x14ac:dyDescent="0.25">
      <c r="H302" s="92" t="str">
        <f t="shared" si="4"/>
        <v/>
      </c>
    </row>
    <row r="303" spans="8:8" x14ac:dyDescent="0.25">
      <c r="H303" s="92" t="str">
        <f t="shared" si="4"/>
        <v/>
      </c>
    </row>
    <row r="304" spans="8:8" x14ac:dyDescent="0.25">
      <c r="H304" s="92" t="str">
        <f t="shared" ref="H304:H338" si="5">IF(F304="","",G304*F304)</f>
        <v/>
      </c>
    </row>
    <row r="305" spans="8:8" x14ac:dyDescent="0.25">
      <c r="H305" s="92" t="str">
        <f t="shared" si="5"/>
        <v/>
      </c>
    </row>
    <row r="306" spans="8:8" x14ac:dyDescent="0.25">
      <c r="H306" s="92" t="str">
        <f t="shared" si="5"/>
        <v/>
      </c>
    </row>
    <row r="307" spans="8:8" x14ac:dyDescent="0.25">
      <c r="H307" s="92" t="str">
        <f t="shared" si="5"/>
        <v/>
      </c>
    </row>
    <row r="308" spans="8:8" x14ac:dyDescent="0.25">
      <c r="H308" s="92" t="str">
        <f t="shared" si="5"/>
        <v/>
      </c>
    </row>
    <row r="309" spans="8:8" x14ac:dyDescent="0.25">
      <c r="H309" s="92" t="str">
        <f t="shared" si="5"/>
        <v/>
      </c>
    </row>
    <row r="310" spans="8:8" x14ac:dyDescent="0.25">
      <c r="H310" s="92" t="str">
        <f t="shared" si="5"/>
        <v/>
      </c>
    </row>
    <row r="311" spans="8:8" x14ac:dyDescent="0.25">
      <c r="H311" s="92" t="str">
        <f t="shared" si="5"/>
        <v/>
      </c>
    </row>
    <row r="312" spans="8:8" x14ac:dyDescent="0.25">
      <c r="H312" s="92" t="str">
        <f t="shared" si="5"/>
        <v/>
      </c>
    </row>
    <row r="313" spans="8:8" x14ac:dyDescent="0.25">
      <c r="H313" s="92" t="str">
        <f t="shared" si="5"/>
        <v/>
      </c>
    </row>
    <row r="314" spans="8:8" x14ac:dyDescent="0.25">
      <c r="H314" s="92" t="str">
        <f t="shared" si="5"/>
        <v/>
      </c>
    </row>
    <row r="315" spans="8:8" x14ac:dyDescent="0.25">
      <c r="H315" s="92" t="str">
        <f t="shared" si="5"/>
        <v/>
      </c>
    </row>
    <row r="316" spans="8:8" x14ac:dyDescent="0.25">
      <c r="H316" s="92" t="str">
        <f t="shared" si="5"/>
        <v/>
      </c>
    </row>
    <row r="317" spans="8:8" x14ac:dyDescent="0.25">
      <c r="H317" s="92" t="str">
        <f t="shared" si="5"/>
        <v/>
      </c>
    </row>
    <row r="318" spans="8:8" x14ac:dyDescent="0.25">
      <c r="H318" s="92" t="str">
        <f t="shared" si="5"/>
        <v/>
      </c>
    </row>
    <row r="319" spans="8:8" x14ac:dyDescent="0.25">
      <c r="H319" s="92" t="str">
        <f t="shared" si="5"/>
        <v/>
      </c>
    </row>
    <row r="320" spans="8:8" x14ac:dyDescent="0.25">
      <c r="H320" s="92" t="str">
        <f t="shared" si="5"/>
        <v/>
      </c>
    </row>
    <row r="321" spans="8:8" x14ac:dyDescent="0.25">
      <c r="H321" s="92" t="str">
        <f t="shared" si="5"/>
        <v/>
      </c>
    </row>
    <row r="322" spans="8:8" x14ac:dyDescent="0.25">
      <c r="H322" s="92" t="str">
        <f t="shared" si="5"/>
        <v/>
      </c>
    </row>
    <row r="323" spans="8:8" x14ac:dyDescent="0.25">
      <c r="H323" s="92" t="str">
        <f t="shared" si="5"/>
        <v/>
      </c>
    </row>
    <row r="324" spans="8:8" x14ac:dyDescent="0.25">
      <c r="H324" s="92" t="str">
        <f t="shared" si="5"/>
        <v/>
      </c>
    </row>
    <row r="325" spans="8:8" x14ac:dyDescent="0.25">
      <c r="H325" s="92" t="str">
        <f t="shared" si="5"/>
        <v/>
      </c>
    </row>
    <row r="326" spans="8:8" x14ac:dyDescent="0.25">
      <c r="H326" s="92" t="str">
        <f t="shared" si="5"/>
        <v/>
      </c>
    </row>
    <row r="327" spans="8:8" x14ac:dyDescent="0.25">
      <c r="H327" s="92" t="str">
        <f t="shared" si="5"/>
        <v/>
      </c>
    </row>
    <row r="328" spans="8:8" x14ac:dyDescent="0.25">
      <c r="H328" s="92" t="str">
        <f t="shared" si="5"/>
        <v/>
      </c>
    </row>
    <row r="329" spans="8:8" x14ac:dyDescent="0.25">
      <c r="H329" s="92" t="str">
        <f t="shared" si="5"/>
        <v/>
      </c>
    </row>
    <row r="330" spans="8:8" x14ac:dyDescent="0.25">
      <c r="H330" s="92" t="str">
        <f t="shared" si="5"/>
        <v/>
      </c>
    </row>
    <row r="331" spans="8:8" x14ac:dyDescent="0.25">
      <c r="H331" s="92" t="str">
        <f t="shared" si="5"/>
        <v/>
      </c>
    </row>
    <row r="332" spans="8:8" x14ac:dyDescent="0.25">
      <c r="H332" s="92" t="str">
        <f t="shared" si="5"/>
        <v/>
      </c>
    </row>
    <row r="333" spans="8:8" x14ac:dyDescent="0.25">
      <c r="H333" s="92" t="str">
        <f t="shared" si="5"/>
        <v/>
      </c>
    </row>
    <row r="334" spans="8:8" x14ac:dyDescent="0.25">
      <c r="H334" s="92" t="str">
        <f t="shared" si="5"/>
        <v/>
      </c>
    </row>
    <row r="335" spans="8:8" x14ac:dyDescent="0.25">
      <c r="H335" s="92" t="str">
        <f t="shared" si="5"/>
        <v/>
      </c>
    </row>
    <row r="336" spans="8:8" x14ac:dyDescent="0.25">
      <c r="H336" s="92" t="str">
        <f t="shared" si="5"/>
        <v/>
      </c>
    </row>
    <row r="337" spans="8:8" x14ac:dyDescent="0.25">
      <c r="H337" s="92" t="str">
        <f t="shared" si="5"/>
        <v/>
      </c>
    </row>
    <row r="338" spans="8:8" x14ac:dyDescent="0.25">
      <c r="H338" s="92" t="str">
        <f t="shared" si="5"/>
        <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796"/>
  <sheetViews>
    <sheetView topLeftCell="A768" workbookViewId="0">
      <selection activeCell="A2" sqref="A2:A795"/>
    </sheetView>
  </sheetViews>
  <sheetFormatPr defaultRowHeight="15" x14ac:dyDescent="0.25"/>
  <cols>
    <col min="1" max="1" width="233.5703125" bestFit="1" customWidth="1"/>
  </cols>
  <sheetData>
    <row r="1" spans="1:1" x14ac:dyDescent="0.25">
      <c r="A1" s="11" t="s">
        <v>5</v>
      </c>
    </row>
    <row r="2" spans="1:1" x14ac:dyDescent="0.25">
      <c r="A2" s="10" t="s">
        <v>24</v>
      </c>
    </row>
    <row r="3" spans="1:1" x14ac:dyDescent="0.25">
      <c r="A3" s="18" t="s">
        <v>52</v>
      </c>
    </row>
    <row r="4" spans="1:1" x14ac:dyDescent="0.25">
      <c r="A4" s="19" t="s">
        <v>690</v>
      </c>
    </row>
    <row r="5" spans="1:1" x14ac:dyDescent="0.25">
      <c r="A5" s="20" t="s">
        <v>52</v>
      </c>
    </row>
    <row r="6" spans="1:1" x14ac:dyDescent="0.25">
      <c r="A6" s="21" t="s">
        <v>52</v>
      </c>
    </row>
    <row r="7" spans="1:1" x14ac:dyDescent="0.25">
      <c r="A7" s="22" t="s">
        <v>52</v>
      </c>
    </row>
    <row r="8" spans="1:1" x14ac:dyDescent="0.25">
      <c r="A8" s="23" t="s">
        <v>52</v>
      </c>
    </row>
    <row r="9" spans="1:1" x14ac:dyDescent="0.25">
      <c r="A9" s="24" t="s">
        <v>52</v>
      </c>
    </row>
    <row r="10" spans="1:1" x14ac:dyDescent="0.25">
      <c r="A10" s="25" t="s">
        <v>52</v>
      </c>
    </row>
    <row r="11" spans="1:1" x14ac:dyDescent="0.25">
      <c r="A11" s="26" t="s">
        <v>52</v>
      </c>
    </row>
    <row r="12" spans="1:1" x14ac:dyDescent="0.25">
      <c r="A12" s="27" t="s">
        <v>52</v>
      </c>
    </row>
    <row r="13" spans="1:1" x14ac:dyDescent="0.25">
      <c r="A13" s="28" t="s">
        <v>52</v>
      </c>
    </row>
    <row r="14" spans="1:1" x14ac:dyDescent="0.25">
      <c r="A14" s="29" t="s">
        <v>52</v>
      </c>
    </row>
    <row r="15" spans="1:1" x14ac:dyDescent="0.25">
      <c r="A15" s="30" t="s">
        <v>131</v>
      </c>
    </row>
    <row r="16" spans="1:1" x14ac:dyDescent="0.25">
      <c r="A16" s="31" t="s">
        <v>52</v>
      </c>
    </row>
    <row r="17" spans="1:1" x14ac:dyDescent="0.25">
      <c r="A17" s="32" t="s">
        <v>52</v>
      </c>
    </row>
    <row r="18" spans="1:1" x14ac:dyDescent="0.25">
      <c r="A18" s="33" t="s">
        <v>52</v>
      </c>
    </row>
    <row r="19" spans="1:1" x14ac:dyDescent="0.25">
      <c r="A19" s="34" t="s">
        <v>52</v>
      </c>
    </row>
    <row r="20" spans="1:1" x14ac:dyDescent="0.25">
      <c r="A20" s="35" t="s">
        <v>52</v>
      </c>
    </row>
    <row r="21" spans="1:1" x14ac:dyDescent="0.25">
      <c r="A21" s="36" t="s">
        <v>52</v>
      </c>
    </row>
    <row r="22" spans="1:1" x14ac:dyDescent="0.25">
      <c r="A22" s="37" t="s">
        <v>52</v>
      </c>
    </row>
    <row r="23" spans="1:1" x14ac:dyDescent="0.25">
      <c r="A23" s="38" t="s">
        <v>52</v>
      </c>
    </row>
    <row r="24" spans="1:1" x14ac:dyDescent="0.25">
      <c r="A24" s="39" t="s">
        <v>52</v>
      </c>
    </row>
    <row r="25" spans="1:1" x14ac:dyDescent="0.25">
      <c r="A25" s="40" t="s">
        <v>52</v>
      </c>
    </row>
    <row r="26" spans="1:1" x14ac:dyDescent="0.25">
      <c r="A26" s="41" t="s">
        <v>52</v>
      </c>
    </row>
    <row r="27" spans="1:1" x14ac:dyDescent="0.25">
      <c r="A27" s="42" t="s">
        <v>52</v>
      </c>
    </row>
    <row r="28" spans="1:1" x14ac:dyDescent="0.25">
      <c r="A28" s="43" t="s">
        <v>52</v>
      </c>
    </row>
    <row r="29" spans="1:1" x14ac:dyDescent="0.25">
      <c r="A29" s="44" t="s">
        <v>52</v>
      </c>
    </row>
    <row r="30" spans="1:1" x14ac:dyDescent="0.25">
      <c r="A30" s="45" t="s">
        <v>52</v>
      </c>
    </row>
    <row r="31" spans="1:1" x14ac:dyDescent="0.25">
      <c r="A31" s="46" t="s">
        <v>52</v>
      </c>
    </row>
    <row r="32" spans="1:1" x14ac:dyDescent="0.25">
      <c r="A32" s="47" t="s">
        <v>52</v>
      </c>
    </row>
    <row r="33" spans="1:1" x14ac:dyDescent="0.25">
      <c r="A33" s="48" t="s">
        <v>52</v>
      </c>
    </row>
    <row r="34" spans="1:1" x14ac:dyDescent="0.25">
      <c r="A34" s="49" t="s">
        <v>52</v>
      </c>
    </row>
    <row r="35" spans="1:1" x14ac:dyDescent="0.25">
      <c r="A35" s="50" t="s">
        <v>52</v>
      </c>
    </row>
    <row r="36" spans="1:1" x14ac:dyDescent="0.25">
      <c r="A36" s="51" t="s">
        <v>52</v>
      </c>
    </row>
    <row r="37" spans="1:1" x14ac:dyDescent="0.25">
      <c r="A37" s="52" t="s">
        <v>52</v>
      </c>
    </row>
    <row r="38" spans="1:1" x14ac:dyDescent="0.25">
      <c r="A38" s="53" t="s">
        <v>52</v>
      </c>
    </row>
    <row r="39" spans="1:1" x14ac:dyDescent="0.25">
      <c r="A39" s="54" t="s">
        <v>52</v>
      </c>
    </row>
    <row r="40" spans="1:1" x14ac:dyDescent="0.25">
      <c r="A40" s="55" t="s">
        <v>52</v>
      </c>
    </row>
    <row r="41" spans="1:1" x14ac:dyDescent="0.25">
      <c r="A41" s="56" t="s">
        <v>52</v>
      </c>
    </row>
    <row r="42" spans="1:1" x14ac:dyDescent="0.25">
      <c r="A42" s="57" t="s">
        <v>52</v>
      </c>
    </row>
    <row r="43" spans="1:1" x14ac:dyDescent="0.25">
      <c r="A43" s="58" t="s">
        <v>52</v>
      </c>
    </row>
    <row r="44" spans="1:1" x14ac:dyDescent="0.25">
      <c r="A44" s="59" t="s">
        <v>52</v>
      </c>
    </row>
    <row r="45" spans="1:1" x14ac:dyDescent="0.25">
      <c r="A45" s="60" t="s">
        <v>52</v>
      </c>
    </row>
    <row r="46" spans="1:1" x14ac:dyDescent="0.25">
      <c r="A46" s="61" t="s">
        <v>52</v>
      </c>
    </row>
    <row r="47" spans="1:1" x14ac:dyDescent="0.25">
      <c r="A47" s="62" t="s">
        <v>52</v>
      </c>
    </row>
    <row r="48" spans="1:1" x14ac:dyDescent="0.25">
      <c r="A48" s="63" t="s">
        <v>52</v>
      </c>
    </row>
    <row r="49" spans="1:1" x14ac:dyDescent="0.25">
      <c r="A49" s="64" t="s">
        <v>52</v>
      </c>
    </row>
    <row r="50" spans="1:1" x14ac:dyDescent="0.25">
      <c r="A50" s="65" t="s">
        <v>52</v>
      </c>
    </row>
    <row r="51" spans="1:1" x14ac:dyDescent="0.25">
      <c r="A51" s="66" t="s">
        <v>52</v>
      </c>
    </row>
    <row r="52" spans="1:1" x14ac:dyDescent="0.25">
      <c r="A52" s="67" t="s">
        <v>52</v>
      </c>
    </row>
    <row r="53" spans="1:1" x14ac:dyDescent="0.25">
      <c r="A53" s="68" t="s">
        <v>52</v>
      </c>
    </row>
    <row r="54" spans="1:1" x14ac:dyDescent="0.25">
      <c r="A54" s="69" t="s">
        <v>52</v>
      </c>
    </row>
    <row r="55" spans="1:1" x14ac:dyDescent="0.25">
      <c r="A55" s="70" t="s">
        <v>52</v>
      </c>
    </row>
    <row r="56" spans="1:1" x14ac:dyDescent="0.25">
      <c r="A56" s="71" t="s">
        <v>52</v>
      </c>
    </row>
    <row r="57" spans="1:1" x14ac:dyDescent="0.25">
      <c r="A57" s="72" t="s">
        <v>52</v>
      </c>
    </row>
    <row r="58" spans="1:1" x14ac:dyDescent="0.25">
      <c r="A58" s="73" t="s">
        <v>52</v>
      </c>
    </row>
    <row r="59" spans="1:1" x14ac:dyDescent="0.25">
      <c r="A59" s="74" t="s">
        <v>52</v>
      </c>
    </row>
    <row r="60" spans="1:1" x14ac:dyDescent="0.25">
      <c r="A60" s="75" t="s">
        <v>52</v>
      </c>
    </row>
    <row r="61" spans="1:1" x14ac:dyDescent="0.25">
      <c r="A61" s="76" t="s">
        <v>52</v>
      </c>
    </row>
    <row r="62" spans="1:1" x14ac:dyDescent="0.25">
      <c r="A62" s="77" t="s">
        <v>52</v>
      </c>
    </row>
    <row r="63" spans="1:1" x14ac:dyDescent="0.25">
      <c r="A63" s="78" t="s">
        <v>52</v>
      </c>
    </row>
    <row r="64" spans="1:1" x14ac:dyDescent="0.25">
      <c r="A64" s="79" t="s">
        <v>52</v>
      </c>
    </row>
    <row r="65" spans="1:1" x14ac:dyDescent="0.25">
      <c r="A65" s="80" t="s">
        <v>52</v>
      </c>
    </row>
    <row r="66" spans="1:1" x14ac:dyDescent="0.25">
      <c r="A66" s="81" t="s">
        <v>52</v>
      </c>
    </row>
    <row r="67" spans="1:1" x14ac:dyDescent="0.25">
      <c r="A67" s="82" t="s">
        <v>52</v>
      </c>
    </row>
    <row r="68" spans="1:1" x14ac:dyDescent="0.25">
      <c r="A68" s="83" t="s">
        <v>52</v>
      </c>
    </row>
    <row r="69" spans="1:1" x14ac:dyDescent="0.25">
      <c r="A69" s="84" t="s">
        <v>52</v>
      </c>
    </row>
    <row r="70" spans="1:1" x14ac:dyDescent="0.25">
      <c r="A70" s="85" t="s">
        <v>52</v>
      </c>
    </row>
    <row r="71" spans="1:1" x14ac:dyDescent="0.25">
      <c r="A71" s="86" t="s">
        <v>52</v>
      </c>
    </row>
    <row r="72" spans="1:1" x14ac:dyDescent="0.25">
      <c r="A72" s="87" t="s">
        <v>52</v>
      </c>
    </row>
    <row r="73" spans="1:1" x14ac:dyDescent="0.25">
      <c r="A73" s="88" t="s">
        <v>52</v>
      </c>
    </row>
    <row r="74" spans="1:1" x14ac:dyDescent="0.25">
      <c r="A74" s="89" t="s">
        <v>52</v>
      </c>
    </row>
    <row r="75" spans="1:1" x14ac:dyDescent="0.25">
      <c r="A75" s="90" t="s">
        <v>52</v>
      </c>
    </row>
    <row r="76" spans="1:1" x14ac:dyDescent="0.25">
      <c r="A76" s="19" t="s">
        <v>691</v>
      </c>
    </row>
    <row r="77" spans="1:1" x14ac:dyDescent="0.25">
      <c r="A77" s="20" t="s">
        <v>52</v>
      </c>
    </row>
    <row r="78" spans="1:1" x14ac:dyDescent="0.25">
      <c r="A78" s="21" t="s">
        <v>52</v>
      </c>
    </row>
    <row r="79" spans="1:1" x14ac:dyDescent="0.25">
      <c r="A79" s="22" t="s">
        <v>52</v>
      </c>
    </row>
    <row r="80" spans="1:1" x14ac:dyDescent="0.25">
      <c r="A80" s="23" t="s">
        <v>52</v>
      </c>
    </row>
    <row r="81" spans="1:1" x14ac:dyDescent="0.25">
      <c r="A81" s="24" t="s">
        <v>52</v>
      </c>
    </row>
    <row r="82" spans="1:1" x14ac:dyDescent="0.25">
      <c r="A82" s="25" t="s">
        <v>52</v>
      </c>
    </row>
    <row r="83" spans="1:1" x14ac:dyDescent="0.25">
      <c r="A83" s="26" t="s">
        <v>52</v>
      </c>
    </row>
    <row r="84" spans="1:1" x14ac:dyDescent="0.25">
      <c r="A84" s="27" t="s">
        <v>52</v>
      </c>
    </row>
    <row r="85" spans="1:1" x14ac:dyDescent="0.25">
      <c r="A85" s="28" t="s">
        <v>52</v>
      </c>
    </row>
    <row r="86" spans="1:1" x14ac:dyDescent="0.25">
      <c r="A86" s="29" t="s">
        <v>52</v>
      </c>
    </row>
    <row r="87" spans="1:1" x14ac:dyDescent="0.25">
      <c r="A87" s="30" t="s">
        <v>161</v>
      </c>
    </row>
    <row r="88" spans="1:1" x14ac:dyDescent="0.25">
      <c r="A88" s="31" t="s">
        <v>52</v>
      </c>
    </row>
    <row r="89" spans="1:1" x14ac:dyDescent="0.25">
      <c r="A89" s="32" t="s">
        <v>52</v>
      </c>
    </row>
    <row r="90" spans="1:1" x14ac:dyDescent="0.25">
      <c r="A90" s="33" t="s">
        <v>52</v>
      </c>
    </row>
    <row r="91" spans="1:1" x14ac:dyDescent="0.25">
      <c r="A91" s="34" t="s">
        <v>52</v>
      </c>
    </row>
    <row r="92" spans="1:1" x14ac:dyDescent="0.25">
      <c r="A92" s="35" t="s">
        <v>52</v>
      </c>
    </row>
    <row r="93" spans="1:1" x14ac:dyDescent="0.25">
      <c r="A93" s="36" t="s">
        <v>52</v>
      </c>
    </row>
    <row r="94" spans="1:1" x14ac:dyDescent="0.25">
      <c r="A94" s="37" t="s">
        <v>52</v>
      </c>
    </row>
    <row r="95" spans="1:1" x14ac:dyDescent="0.25">
      <c r="A95" s="38" t="s">
        <v>52</v>
      </c>
    </row>
    <row r="96" spans="1:1" x14ac:dyDescent="0.25">
      <c r="A96" s="39" t="s">
        <v>52</v>
      </c>
    </row>
    <row r="97" spans="1:1" x14ac:dyDescent="0.25">
      <c r="A97" s="40" t="s">
        <v>52</v>
      </c>
    </row>
    <row r="98" spans="1:1" x14ac:dyDescent="0.25">
      <c r="A98" s="41" t="s">
        <v>52</v>
      </c>
    </row>
    <row r="99" spans="1:1" x14ac:dyDescent="0.25">
      <c r="A99" s="42" t="s">
        <v>52</v>
      </c>
    </row>
    <row r="100" spans="1:1" x14ac:dyDescent="0.25">
      <c r="A100" s="43" t="s">
        <v>52</v>
      </c>
    </row>
    <row r="101" spans="1:1" x14ac:dyDescent="0.25">
      <c r="A101" s="44" t="s">
        <v>52</v>
      </c>
    </row>
    <row r="102" spans="1:1" x14ac:dyDescent="0.25">
      <c r="A102" s="45" t="s">
        <v>52</v>
      </c>
    </row>
    <row r="103" spans="1:1" x14ac:dyDescent="0.25">
      <c r="A103" s="46" t="s">
        <v>52</v>
      </c>
    </row>
    <row r="104" spans="1:1" x14ac:dyDescent="0.25">
      <c r="A104" s="47" t="s">
        <v>52</v>
      </c>
    </row>
    <row r="105" spans="1:1" x14ac:dyDescent="0.25">
      <c r="A105" s="48" t="s">
        <v>52</v>
      </c>
    </row>
    <row r="106" spans="1:1" x14ac:dyDescent="0.25">
      <c r="A106" s="49" t="s">
        <v>52</v>
      </c>
    </row>
    <row r="107" spans="1:1" x14ac:dyDescent="0.25">
      <c r="A107" s="50" t="s">
        <v>52</v>
      </c>
    </row>
    <row r="108" spans="1:1" x14ac:dyDescent="0.25">
      <c r="A108" s="51" t="s">
        <v>52</v>
      </c>
    </row>
    <row r="109" spans="1:1" x14ac:dyDescent="0.25">
      <c r="A109" s="52" t="s">
        <v>52</v>
      </c>
    </row>
    <row r="110" spans="1:1" x14ac:dyDescent="0.25">
      <c r="A110" s="53" t="s">
        <v>52</v>
      </c>
    </row>
    <row r="111" spans="1:1" x14ac:dyDescent="0.25">
      <c r="A111" s="54" t="s">
        <v>52</v>
      </c>
    </row>
    <row r="112" spans="1:1" x14ac:dyDescent="0.25">
      <c r="A112" s="55" t="s">
        <v>52</v>
      </c>
    </row>
    <row r="113" spans="1:1" x14ac:dyDescent="0.25">
      <c r="A113" s="56" t="s">
        <v>52</v>
      </c>
    </row>
    <row r="114" spans="1:1" x14ac:dyDescent="0.25">
      <c r="A114" s="57" t="s">
        <v>52</v>
      </c>
    </row>
    <row r="115" spans="1:1" x14ac:dyDescent="0.25">
      <c r="A115" s="58" t="s">
        <v>52</v>
      </c>
    </row>
    <row r="116" spans="1:1" x14ac:dyDescent="0.25">
      <c r="A116" s="59" t="s">
        <v>52</v>
      </c>
    </row>
    <row r="117" spans="1:1" x14ac:dyDescent="0.25">
      <c r="A117" s="60" t="s">
        <v>52</v>
      </c>
    </row>
    <row r="118" spans="1:1" x14ac:dyDescent="0.25">
      <c r="A118" s="61" t="s">
        <v>52</v>
      </c>
    </row>
    <row r="119" spans="1:1" x14ac:dyDescent="0.25">
      <c r="A119" s="62" t="s">
        <v>52</v>
      </c>
    </row>
    <row r="120" spans="1:1" x14ac:dyDescent="0.25">
      <c r="A120" s="63" t="s">
        <v>52</v>
      </c>
    </row>
    <row r="121" spans="1:1" x14ac:dyDescent="0.25">
      <c r="A121" s="64" t="s">
        <v>52</v>
      </c>
    </row>
    <row r="122" spans="1:1" x14ac:dyDescent="0.25">
      <c r="A122" s="65" t="s">
        <v>52</v>
      </c>
    </row>
    <row r="123" spans="1:1" x14ac:dyDescent="0.25">
      <c r="A123" s="66" t="s">
        <v>52</v>
      </c>
    </row>
    <row r="124" spans="1:1" x14ac:dyDescent="0.25">
      <c r="A124" s="67" t="s">
        <v>52</v>
      </c>
    </row>
    <row r="125" spans="1:1" x14ac:dyDescent="0.25">
      <c r="A125" s="68" t="s">
        <v>52</v>
      </c>
    </row>
    <row r="126" spans="1:1" x14ac:dyDescent="0.25">
      <c r="A126" s="69" t="s">
        <v>52</v>
      </c>
    </row>
    <row r="127" spans="1:1" x14ac:dyDescent="0.25">
      <c r="A127" s="70" t="s">
        <v>52</v>
      </c>
    </row>
    <row r="128" spans="1:1" x14ac:dyDescent="0.25">
      <c r="A128" s="71" t="s">
        <v>52</v>
      </c>
    </row>
    <row r="129" spans="1:1" x14ac:dyDescent="0.25">
      <c r="A129" s="72" t="s">
        <v>52</v>
      </c>
    </row>
    <row r="130" spans="1:1" x14ac:dyDescent="0.25">
      <c r="A130" s="73" t="s">
        <v>52</v>
      </c>
    </row>
    <row r="131" spans="1:1" x14ac:dyDescent="0.25">
      <c r="A131" s="74" t="s">
        <v>52</v>
      </c>
    </row>
    <row r="132" spans="1:1" x14ac:dyDescent="0.25">
      <c r="A132" s="75" t="s">
        <v>52</v>
      </c>
    </row>
    <row r="133" spans="1:1" x14ac:dyDescent="0.25">
      <c r="A133" s="76" t="s">
        <v>52</v>
      </c>
    </row>
    <row r="134" spans="1:1" x14ac:dyDescent="0.25">
      <c r="A134" s="77" t="s">
        <v>52</v>
      </c>
    </row>
    <row r="135" spans="1:1" x14ac:dyDescent="0.25">
      <c r="A135" s="78" t="s">
        <v>52</v>
      </c>
    </row>
    <row r="136" spans="1:1" x14ac:dyDescent="0.25">
      <c r="A136" s="79" t="s">
        <v>52</v>
      </c>
    </row>
    <row r="137" spans="1:1" x14ac:dyDescent="0.25">
      <c r="A137" s="80" t="s">
        <v>52</v>
      </c>
    </row>
    <row r="138" spans="1:1" x14ac:dyDescent="0.25">
      <c r="A138" s="81" t="s">
        <v>52</v>
      </c>
    </row>
    <row r="139" spans="1:1" x14ac:dyDescent="0.25">
      <c r="A139" s="82" t="s">
        <v>52</v>
      </c>
    </row>
    <row r="140" spans="1:1" x14ac:dyDescent="0.25">
      <c r="A140" s="83" t="s">
        <v>52</v>
      </c>
    </row>
    <row r="141" spans="1:1" x14ac:dyDescent="0.25">
      <c r="A141" s="84" t="s">
        <v>52</v>
      </c>
    </row>
    <row r="142" spans="1:1" x14ac:dyDescent="0.25">
      <c r="A142" s="85" t="s">
        <v>52</v>
      </c>
    </row>
    <row r="143" spans="1:1" x14ac:dyDescent="0.25">
      <c r="A143" s="86" t="s">
        <v>52</v>
      </c>
    </row>
    <row r="144" spans="1:1" x14ac:dyDescent="0.25">
      <c r="A144" s="87" t="s">
        <v>52</v>
      </c>
    </row>
    <row r="145" spans="1:1" x14ac:dyDescent="0.25">
      <c r="A145" s="88" t="s">
        <v>52</v>
      </c>
    </row>
    <row r="146" spans="1:1" x14ac:dyDescent="0.25">
      <c r="A146" s="89" t="s">
        <v>52</v>
      </c>
    </row>
    <row r="147" spans="1:1" x14ac:dyDescent="0.25">
      <c r="A147" s="90" t="s">
        <v>52</v>
      </c>
    </row>
    <row r="148" spans="1:1" x14ac:dyDescent="0.25">
      <c r="A148" s="19" t="s">
        <v>692</v>
      </c>
    </row>
    <row r="149" spans="1:1" x14ac:dyDescent="0.25">
      <c r="A149" s="20" t="s">
        <v>52</v>
      </c>
    </row>
    <row r="150" spans="1:1" x14ac:dyDescent="0.25">
      <c r="A150" s="21" t="s">
        <v>52</v>
      </c>
    </row>
    <row r="151" spans="1:1" x14ac:dyDescent="0.25">
      <c r="A151" s="22" t="s">
        <v>52</v>
      </c>
    </row>
    <row r="152" spans="1:1" x14ac:dyDescent="0.25">
      <c r="A152" s="23" t="s">
        <v>52</v>
      </c>
    </row>
    <row r="153" spans="1:1" x14ac:dyDescent="0.25">
      <c r="A153" s="24" t="s">
        <v>52</v>
      </c>
    </row>
    <row r="154" spans="1:1" x14ac:dyDescent="0.25">
      <c r="A154" s="25" t="s">
        <v>52</v>
      </c>
    </row>
    <row r="155" spans="1:1" x14ac:dyDescent="0.25">
      <c r="A155" s="26" t="s">
        <v>52</v>
      </c>
    </row>
    <row r="156" spans="1:1" x14ac:dyDescent="0.25">
      <c r="A156" s="27" t="s">
        <v>52</v>
      </c>
    </row>
    <row r="157" spans="1:1" x14ac:dyDescent="0.25">
      <c r="A157" s="28" t="s">
        <v>52</v>
      </c>
    </row>
    <row r="158" spans="1:1" x14ac:dyDescent="0.25">
      <c r="A158" s="29" t="s">
        <v>52</v>
      </c>
    </row>
    <row r="159" spans="1:1" x14ac:dyDescent="0.25">
      <c r="A159" s="30" t="s">
        <v>162</v>
      </c>
    </row>
    <row r="160" spans="1:1" x14ac:dyDescent="0.25">
      <c r="A160" s="31" t="s">
        <v>52</v>
      </c>
    </row>
    <row r="161" spans="1:1" x14ac:dyDescent="0.25">
      <c r="A161" s="32" t="s">
        <v>52</v>
      </c>
    </row>
    <row r="162" spans="1:1" x14ac:dyDescent="0.25">
      <c r="A162" s="33" t="s">
        <v>52</v>
      </c>
    </row>
    <row r="163" spans="1:1" x14ac:dyDescent="0.25">
      <c r="A163" s="34" t="s">
        <v>52</v>
      </c>
    </row>
    <row r="164" spans="1:1" x14ac:dyDescent="0.25">
      <c r="A164" s="35" t="s">
        <v>52</v>
      </c>
    </row>
    <row r="165" spans="1:1" x14ac:dyDescent="0.25">
      <c r="A165" s="36" t="s">
        <v>52</v>
      </c>
    </row>
    <row r="166" spans="1:1" x14ac:dyDescent="0.25">
      <c r="A166" s="37" t="s">
        <v>52</v>
      </c>
    </row>
    <row r="167" spans="1:1" x14ac:dyDescent="0.25">
      <c r="A167" s="38" t="s">
        <v>52</v>
      </c>
    </row>
    <row r="168" spans="1:1" x14ac:dyDescent="0.25">
      <c r="A168" s="39" t="s">
        <v>52</v>
      </c>
    </row>
    <row r="169" spans="1:1" x14ac:dyDescent="0.25">
      <c r="A169" s="40" t="s">
        <v>52</v>
      </c>
    </row>
    <row r="170" spans="1:1" x14ac:dyDescent="0.25">
      <c r="A170" s="41" t="s">
        <v>52</v>
      </c>
    </row>
    <row r="171" spans="1:1" x14ac:dyDescent="0.25">
      <c r="A171" s="42" t="s">
        <v>52</v>
      </c>
    </row>
    <row r="172" spans="1:1" x14ac:dyDescent="0.25">
      <c r="A172" s="43" t="s">
        <v>52</v>
      </c>
    </row>
    <row r="173" spans="1:1" x14ac:dyDescent="0.25">
      <c r="A173" s="44" t="s">
        <v>52</v>
      </c>
    </row>
    <row r="174" spans="1:1" x14ac:dyDescent="0.25">
      <c r="A174" s="45" t="s">
        <v>52</v>
      </c>
    </row>
    <row r="175" spans="1:1" x14ac:dyDescent="0.25">
      <c r="A175" s="46" t="s">
        <v>52</v>
      </c>
    </row>
    <row r="176" spans="1:1" x14ac:dyDescent="0.25">
      <c r="A176" s="47" t="s">
        <v>52</v>
      </c>
    </row>
    <row r="177" spans="1:1" x14ac:dyDescent="0.25">
      <c r="A177" s="48" t="s">
        <v>52</v>
      </c>
    </row>
    <row r="178" spans="1:1" x14ac:dyDescent="0.25">
      <c r="A178" s="49" t="s">
        <v>52</v>
      </c>
    </row>
    <row r="179" spans="1:1" x14ac:dyDescent="0.25">
      <c r="A179" s="50" t="s">
        <v>52</v>
      </c>
    </row>
    <row r="180" spans="1:1" x14ac:dyDescent="0.25">
      <c r="A180" s="51" t="s">
        <v>52</v>
      </c>
    </row>
    <row r="181" spans="1:1" x14ac:dyDescent="0.25">
      <c r="A181" s="52" t="s">
        <v>52</v>
      </c>
    </row>
    <row r="182" spans="1:1" x14ac:dyDescent="0.25">
      <c r="A182" s="53" t="s">
        <v>52</v>
      </c>
    </row>
    <row r="183" spans="1:1" x14ac:dyDescent="0.25">
      <c r="A183" s="54" t="s">
        <v>52</v>
      </c>
    </row>
    <row r="184" spans="1:1" x14ac:dyDescent="0.25">
      <c r="A184" s="55" t="s">
        <v>52</v>
      </c>
    </row>
    <row r="185" spans="1:1" x14ac:dyDescent="0.25">
      <c r="A185" s="56" t="s">
        <v>52</v>
      </c>
    </row>
    <row r="186" spans="1:1" x14ac:dyDescent="0.25">
      <c r="A186" s="57" t="s">
        <v>52</v>
      </c>
    </row>
    <row r="187" spans="1:1" x14ac:dyDescent="0.25">
      <c r="A187" s="58" t="s">
        <v>52</v>
      </c>
    </row>
    <row r="188" spans="1:1" x14ac:dyDescent="0.25">
      <c r="A188" s="59" t="s">
        <v>52</v>
      </c>
    </row>
    <row r="189" spans="1:1" x14ac:dyDescent="0.25">
      <c r="A189" s="60" t="s">
        <v>52</v>
      </c>
    </row>
    <row r="190" spans="1:1" x14ac:dyDescent="0.25">
      <c r="A190" s="61" t="s">
        <v>52</v>
      </c>
    </row>
    <row r="191" spans="1:1" x14ac:dyDescent="0.25">
      <c r="A191" s="62" t="s">
        <v>52</v>
      </c>
    </row>
    <row r="192" spans="1:1" x14ac:dyDescent="0.25">
      <c r="A192" s="63" t="s">
        <v>52</v>
      </c>
    </row>
    <row r="193" spans="1:1" x14ac:dyDescent="0.25">
      <c r="A193" s="64" t="s">
        <v>52</v>
      </c>
    </row>
    <row r="194" spans="1:1" x14ac:dyDescent="0.25">
      <c r="A194" s="65" t="s">
        <v>52</v>
      </c>
    </row>
    <row r="195" spans="1:1" x14ac:dyDescent="0.25">
      <c r="A195" s="66" t="s">
        <v>52</v>
      </c>
    </row>
    <row r="196" spans="1:1" x14ac:dyDescent="0.25">
      <c r="A196" s="67" t="s">
        <v>52</v>
      </c>
    </row>
    <row r="197" spans="1:1" x14ac:dyDescent="0.25">
      <c r="A197" s="68" t="s">
        <v>52</v>
      </c>
    </row>
    <row r="198" spans="1:1" x14ac:dyDescent="0.25">
      <c r="A198" s="69" t="s">
        <v>52</v>
      </c>
    </row>
    <row r="199" spans="1:1" x14ac:dyDescent="0.25">
      <c r="A199" s="70" t="s">
        <v>52</v>
      </c>
    </row>
    <row r="200" spans="1:1" x14ac:dyDescent="0.25">
      <c r="A200" s="71" t="s">
        <v>52</v>
      </c>
    </row>
    <row r="201" spans="1:1" x14ac:dyDescent="0.25">
      <c r="A201" s="72" t="s">
        <v>52</v>
      </c>
    </row>
    <row r="202" spans="1:1" x14ac:dyDescent="0.25">
      <c r="A202" s="73" t="s">
        <v>52</v>
      </c>
    </row>
    <row r="203" spans="1:1" x14ac:dyDescent="0.25">
      <c r="A203" s="74" t="s">
        <v>52</v>
      </c>
    </row>
    <row r="204" spans="1:1" x14ac:dyDescent="0.25">
      <c r="A204" s="75" t="s">
        <v>52</v>
      </c>
    </row>
    <row r="205" spans="1:1" x14ac:dyDescent="0.25">
      <c r="A205" s="76" t="s">
        <v>52</v>
      </c>
    </row>
    <row r="206" spans="1:1" x14ac:dyDescent="0.25">
      <c r="A206" s="77" t="s">
        <v>52</v>
      </c>
    </row>
    <row r="207" spans="1:1" x14ac:dyDescent="0.25">
      <c r="A207" s="78" t="s">
        <v>52</v>
      </c>
    </row>
    <row r="208" spans="1:1" x14ac:dyDescent="0.25">
      <c r="A208" s="79" t="s">
        <v>52</v>
      </c>
    </row>
    <row r="209" spans="1:1" x14ac:dyDescent="0.25">
      <c r="A209" s="80" t="s">
        <v>52</v>
      </c>
    </row>
    <row r="210" spans="1:1" x14ac:dyDescent="0.25">
      <c r="A210" s="81" t="s">
        <v>52</v>
      </c>
    </row>
    <row r="211" spans="1:1" x14ac:dyDescent="0.25">
      <c r="A211" s="82" t="s">
        <v>52</v>
      </c>
    </row>
    <row r="212" spans="1:1" x14ac:dyDescent="0.25">
      <c r="A212" s="83" t="s">
        <v>52</v>
      </c>
    </row>
    <row r="213" spans="1:1" x14ac:dyDescent="0.25">
      <c r="A213" s="84" t="s">
        <v>52</v>
      </c>
    </row>
    <row r="214" spans="1:1" x14ac:dyDescent="0.25">
      <c r="A214" s="85" t="s">
        <v>52</v>
      </c>
    </row>
    <row r="215" spans="1:1" x14ac:dyDescent="0.25">
      <c r="A215" s="86" t="s">
        <v>52</v>
      </c>
    </row>
    <row r="216" spans="1:1" x14ac:dyDescent="0.25">
      <c r="A216" s="87" t="s">
        <v>52</v>
      </c>
    </row>
    <row r="217" spans="1:1" x14ac:dyDescent="0.25">
      <c r="A217" s="88" t="s">
        <v>52</v>
      </c>
    </row>
    <row r="218" spans="1:1" x14ac:dyDescent="0.25">
      <c r="A218" s="89" t="s">
        <v>52</v>
      </c>
    </row>
    <row r="219" spans="1:1" x14ac:dyDescent="0.25">
      <c r="A219" s="90" t="s">
        <v>52</v>
      </c>
    </row>
    <row r="220" spans="1:1" x14ac:dyDescent="0.25">
      <c r="A220" s="19" t="s">
        <v>693</v>
      </c>
    </row>
    <row r="221" spans="1:1" x14ac:dyDescent="0.25">
      <c r="A221" s="20" t="s">
        <v>52</v>
      </c>
    </row>
    <row r="222" spans="1:1" x14ac:dyDescent="0.25">
      <c r="A222" s="21" t="s">
        <v>52</v>
      </c>
    </row>
    <row r="223" spans="1:1" x14ac:dyDescent="0.25">
      <c r="A223" s="22" t="s">
        <v>52</v>
      </c>
    </row>
    <row r="224" spans="1:1" x14ac:dyDescent="0.25">
      <c r="A224" s="23" t="s">
        <v>52</v>
      </c>
    </row>
    <row r="225" spans="1:1" x14ac:dyDescent="0.25">
      <c r="A225" s="24" t="s">
        <v>52</v>
      </c>
    </row>
    <row r="226" spans="1:1" x14ac:dyDescent="0.25">
      <c r="A226" s="25" t="s">
        <v>52</v>
      </c>
    </row>
    <row r="227" spans="1:1" x14ac:dyDescent="0.25">
      <c r="A227" s="26" t="s">
        <v>52</v>
      </c>
    </row>
    <row r="228" spans="1:1" x14ac:dyDescent="0.25">
      <c r="A228" s="27" t="s">
        <v>52</v>
      </c>
    </row>
    <row r="229" spans="1:1" x14ac:dyDescent="0.25">
      <c r="A229" s="28" t="s">
        <v>52</v>
      </c>
    </row>
    <row r="230" spans="1:1" x14ac:dyDescent="0.25">
      <c r="A230" s="29" t="s">
        <v>52</v>
      </c>
    </row>
    <row r="231" spans="1:1" x14ac:dyDescent="0.25">
      <c r="A231" s="30" t="s">
        <v>163</v>
      </c>
    </row>
    <row r="232" spans="1:1" x14ac:dyDescent="0.25">
      <c r="A232" s="31" t="s">
        <v>52</v>
      </c>
    </row>
    <row r="233" spans="1:1" x14ac:dyDescent="0.25">
      <c r="A233" s="32" t="s">
        <v>52</v>
      </c>
    </row>
    <row r="234" spans="1:1" x14ac:dyDescent="0.25">
      <c r="A234" s="33" t="s">
        <v>52</v>
      </c>
    </row>
    <row r="235" spans="1:1" x14ac:dyDescent="0.25">
      <c r="A235" s="34" t="s">
        <v>52</v>
      </c>
    </row>
    <row r="236" spans="1:1" x14ac:dyDescent="0.25">
      <c r="A236" s="35" t="s">
        <v>52</v>
      </c>
    </row>
    <row r="237" spans="1:1" x14ac:dyDescent="0.25">
      <c r="A237" s="36" t="s">
        <v>52</v>
      </c>
    </row>
    <row r="238" spans="1:1" x14ac:dyDescent="0.25">
      <c r="A238" s="37" t="s">
        <v>52</v>
      </c>
    </row>
    <row r="239" spans="1:1" x14ac:dyDescent="0.25">
      <c r="A239" s="38" t="s">
        <v>52</v>
      </c>
    </row>
    <row r="240" spans="1:1" x14ac:dyDescent="0.25">
      <c r="A240" s="39" t="s">
        <v>52</v>
      </c>
    </row>
    <row r="241" spans="1:1" x14ac:dyDescent="0.25">
      <c r="A241" s="40" t="s">
        <v>52</v>
      </c>
    </row>
    <row r="242" spans="1:1" x14ac:dyDescent="0.25">
      <c r="A242" s="41" t="s">
        <v>52</v>
      </c>
    </row>
    <row r="243" spans="1:1" x14ac:dyDescent="0.25">
      <c r="A243" s="42" t="s">
        <v>52</v>
      </c>
    </row>
    <row r="244" spans="1:1" x14ac:dyDescent="0.25">
      <c r="A244" s="43" t="s">
        <v>52</v>
      </c>
    </row>
    <row r="245" spans="1:1" x14ac:dyDescent="0.25">
      <c r="A245" s="44" t="s">
        <v>52</v>
      </c>
    </row>
    <row r="246" spans="1:1" x14ac:dyDescent="0.25">
      <c r="A246" s="45" t="s">
        <v>52</v>
      </c>
    </row>
    <row r="247" spans="1:1" x14ac:dyDescent="0.25">
      <c r="A247" s="46" t="s">
        <v>52</v>
      </c>
    </row>
    <row r="248" spans="1:1" x14ac:dyDescent="0.25">
      <c r="A248" s="47" t="s">
        <v>52</v>
      </c>
    </row>
    <row r="249" spans="1:1" x14ac:dyDescent="0.25">
      <c r="A249" s="48" t="s">
        <v>52</v>
      </c>
    </row>
    <row r="250" spans="1:1" x14ac:dyDescent="0.25">
      <c r="A250" s="49" t="s">
        <v>52</v>
      </c>
    </row>
    <row r="251" spans="1:1" x14ac:dyDescent="0.25">
      <c r="A251" s="50" t="s">
        <v>52</v>
      </c>
    </row>
    <row r="252" spans="1:1" x14ac:dyDescent="0.25">
      <c r="A252" s="51" t="s">
        <v>52</v>
      </c>
    </row>
    <row r="253" spans="1:1" x14ac:dyDescent="0.25">
      <c r="A253" s="52" t="s">
        <v>52</v>
      </c>
    </row>
    <row r="254" spans="1:1" x14ac:dyDescent="0.25">
      <c r="A254" s="53" t="s">
        <v>52</v>
      </c>
    </row>
    <row r="255" spans="1:1" x14ac:dyDescent="0.25">
      <c r="A255" s="54" t="s">
        <v>52</v>
      </c>
    </row>
    <row r="256" spans="1:1" x14ac:dyDescent="0.25">
      <c r="A256" s="55" t="s">
        <v>52</v>
      </c>
    </row>
    <row r="257" spans="1:1" x14ac:dyDescent="0.25">
      <c r="A257" s="56" t="s">
        <v>52</v>
      </c>
    </row>
    <row r="258" spans="1:1" x14ac:dyDescent="0.25">
      <c r="A258" s="57" t="s">
        <v>52</v>
      </c>
    </row>
    <row r="259" spans="1:1" x14ac:dyDescent="0.25">
      <c r="A259" s="58" t="s">
        <v>52</v>
      </c>
    </row>
    <row r="260" spans="1:1" x14ac:dyDescent="0.25">
      <c r="A260" s="59" t="s">
        <v>52</v>
      </c>
    </row>
    <row r="261" spans="1:1" x14ac:dyDescent="0.25">
      <c r="A261" s="60" t="s">
        <v>52</v>
      </c>
    </row>
    <row r="262" spans="1:1" x14ac:dyDescent="0.25">
      <c r="A262" s="61" t="s">
        <v>52</v>
      </c>
    </row>
    <row r="263" spans="1:1" x14ac:dyDescent="0.25">
      <c r="A263" s="62" t="s">
        <v>52</v>
      </c>
    </row>
    <row r="264" spans="1:1" x14ac:dyDescent="0.25">
      <c r="A264" s="63" t="s">
        <v>52</v>
      </c>
    </row>
    <row r="265" spans="1:1" x14ac:dyDescent="0.25">
      <c r="A265" s="64" t="s">
        <v>52</v>
      </c>
    </row>
    <row r="266" spans="1:1" x14ac:dyDescent="0.25">
      <c r="A266" s="65" t="s">
        <v>52</v>
      </c>
    </row>
    <row r="267" spans="1:1" x14ac:dyDescent="0.25">
      <c r="A267" s="66" t="s">
        <v>52</v>
      </c>
    </row>
    <row r="268" spans="1:1" x14ac:dyDescent="0.25">
      <c r="A268" s="67" t="s">
        <v>52</v>
      </c>
    </row>
    <row r="269" spans="1:1" x14ac:dyDescent="0.25">
      <c r="A269" s="68" t="s">
        <v>52</v>
      </c>
    </row>
    <row r="270" spans="1:1" x14ac:dyDescent="0.25">
      <c r="A270" s="69" t="s">
        <v>52</v>
      </c>
    </row>
    <row r="271" spans="1:1" x14ac:dyDescent="0.25">
      <c r="A271" s="70" t="s">
        <v>52</v>
      </c>
    </row>
    <row r="272" spans="1:1" x14ac:dyDescent="0.25">
      <c r="A272" s="71" t="s">
        <v>52</v>
      </c>
    </row>
    <row r="273" spans="1:1" x14ac:dyDescent="0.25">
      <c r="A273" s="72" t="s">
        <v>52</v>
      </c>
    </row>
    <row r="274" spans="1:1" x14ac:dyDescent="0.25">
      <c r="A274" s="73" t="s">
        <v>52</v>
      </c>
    </row>
    <row r="275" spans="1:1" x14ac:dyDescent="0.25">
      <c r="A275" s="74" t="s">
        <v>52</v>
      </c>
    </row>
    <row r="276" spans="1:1" x14ac:dyDescent="0.25">
      <c r="A276" s="75" t="s">
        <v>52</v>
      </c>
    </row>
    <row r="277" spans="1:1" x14ac:dyDescent="0.25">
      <c r="A277" s="76" t="s">
        <v>52</v>
      </c>
    </row>
    <row r="278" spans="1:1" x14ac:dyDescent="0.25">
      <c r="A278" s="77" t="s">
        <v>52</v>
      </c>
    </row>
    <row r="279" spans="1:1" x14ac:dyDescent="0.25">
      <c r="A279" s="78" t="s">
        <v>52</v>
      </c>
    </row>
    <row r="280" spans="1:1" x14ac:dyDescent="0.25">
      <c r="A280" s="79" t="s">
        <v>52</v>
      </c>
    </row>
    <row r="281" spans="1:1" x14ac:dyDescent="0.25">
      <c r="A281" s="80" t="s">
        <v>52</v>
      </c>
    </row>
    <row r="282" spans="1:1" x14ac:dyDescent="0.25">
      <c r="A282" s="81" t="s">
        <v>52</v>
      </c>
    </row>
    <row r="283" spans="1:1" x14ac:dyDescent="0.25">
      <c r="A283" s="82" t="s">
        <v>52</v>
      </c>
    </row>
    <row r="284" spans="1:1" x14ac:dyDescent="0.25">
      <c r="A284" s="83" t="s">
        <v>52</v>
      </c>
    </row>
    <row r="285" spans="1:1" x14ac:dyDescent="0.25">
      <c r="A285" s="84" t="s">
        <v>52</v>
      </c>
    </row>
    <row r="286" spans="1:1" x14ac:dyDescent="0.25">
      <c r="A286" s="85" t="s">
        <v>52</v>
      </c>
    </row>
    <row r="287" spans="1:1" x14ac:dyDescent="0.25">
      <c r="A287" s="86" t="s">
        <v>52</v>
      </c>
    </row>
    <row r="288" spans="1:1" x14ac:dyDescent="0.25">
      <c r="A288" s="87" t="s">
        <v>52</v>
      </c>
    </row>
    <row r="289" spans="1:1" x14ac:dyDescent="0.25">
      <c r="A289" s="88" t="s">
        <v>52</v>
      </c>
    </row>
    <row r="290" spans="1:1" x14ac:dyDescent="0.25">
      <c r="A290" s="89" t="s">
        <v>52</v>
      </c>
    </row>
    <row r="291" spans="1:1" x14ac:dyDescent="0.25">
      <c r="A291" s="90" t="s">
        <v>52</v>
      </c>
    </row>
    <row r="292" spans="1:1" x14ac:dyDescent="0.25">
      <c r="A292" s="19" t="s">
        <v>694</v>
      </c>
    </row>
    <row r="293" spans="1:1" x14ac:dyDescent="0.25">
      <c r="A293" s="20" t="s">
        <v>52</v>
      </c>
    </row>
    <row r="294" spans="1:1" x14ac:dyDescent="0.25">
      <c r="A294" s="21" t="s">
        <v>52</v>
      </c>
    </row>
    <row r="295" spans="1:1" x14ac:dyDescent="0.25">
      <c r="A295" s="22" t="s">
        <v>52</v>
      </c>
    </row>
    <row r="296" spans="1:1" x14ac:dyDescent="0.25">
      <c r="A296" s="23" t="s">
        <v>52</v>
      </c>
    </row>
    <row r="297" spans="1:1" x14ac:dyDescent="0.25">
      <c r="A297" s="24" t="s">
        <v>52</v>
      </c>
    </row>
    <row r="298" spans="1:1" x14ac:dyDescent="0.25">
      <c r="A298" s="25" t="s">
        <v>52</v>
      </c>
    </row>
    <row r="299" spans="1:1" x14ac:dyDescent="0.25">
      <c r="A299" s="26" t="s">
        <v>52</v>
      </c>
    </row>
    <row r="300" spans="1:1" x14ac:dyDescent="0.25">
      <c r="A300" s="27" t="s">
        <v>52</v>
      </c>
    </row>
    <row r="301" spans="1:1" x14ac:dyDescent="0.25">
      <c r="A301" s="28" t="s">
        <v>52</v>
      </c>
    </row>
    <row r="302" spans="1:1" x14ac:dyDescent="0.25">
      <c r="A302" s="29" t="s">
        <v>52</v>
      </c>
    </row>
    <row r="303" spans="1:1" x14ac:dyDescent="0.25">
      <c r="A303" s="30" t="s">
        <v>164</v>
      </c>
    </row>
    <row r="304" spans="1:1" x14ac:dyDescent="0.25">
      <c r="A304" s="31" t="s">
        <v>52</v>
      </c>
    </row>
    <row r="305" spans="1:1" x14ac:dyDescent="0.25">
      <c r="A305" s="32" t="s">
        <v>52</v>
      </c>
    </row>
    <row r="306" spans="1:1" x14ac:dyDescent="0.25">
      <c r="A306" s="33" t="s">
        <v>52</v>
      </c>
    </row>
    <row r="307" spans="1:1" x14ac:dyDescent="0.25">
      <c r="A307" s="34" t="s">
        <v>52</v>
      </c>
    </row>
    <row r="308" spans="1:1" x14ac:dyDescent="0.25">
      <c r="A308" s="35" t="s">
        <v>52</v>
      </c>
    </row>
    <row r="309" spans="1:1" x14ac:dyDescent="0.25">
      <c r="A309" s="36" t="s">
        <v>52</v>
      </c>
    </row>
    <row r="310" spans="1:1" x14ac:dyDescent="0.25">
      <c r="A310" s="37" t="s">
        <v>52</v>
      </c>
    </row>
    <row r="311" spans="1:1" x14ac:dyDescent="0.25">
      <c r="A311" s="38" t="s">
        <v>52</v>
      </c>
    </row>
    <row r="312" spans="1:1" x14ac:dyDescent="0.25">
      <c r="A312" s="39" t="s">
        <v>52</v>
      </c>
    </row>
    <row r="313" spans="1:1" x14ac:dyDescent="0.25">
      <c r="A313" s="40" t="s">
        <v>52</v>
      </c>
    </row>
    <row r="314" spans="1:1" x14ac:dyDescent="0.25">
      <c r="A314" s="41" t="s">
        <v>52</v>
      </c>
    </row>
    <row r="315" spans="1:1" x14ac:dyDescent="0.25">
      <c r="A315" s="42" t="s">
        <v>52</v>
      </c>
    </row>
    <row r="316" spans="1:1" x14ac:dyDescent="0.25">
      <c r="A316" s="43" t="s">
        <v>52</v>
      </c>
    </row>
    <row r="317" spans="1:1" x14ac:dyDescent="0.25">
      <c r="A317" s="44" t="s">
        <v>52</v>
      </c>
    </row>
    <row r="318" spans="1:1" x14ac:dyDescent="0.25">
      <c r="A318" s="45" t="s">
        <v>52</v>
      </c>
    </row>
    <row r="319" spans="1:1" x14ac:dyDescent="0.25">
      <c r="A319" s="46" t="s">
        <v>52</v>
      </c>
    </row>
    <row r="320" spans="1:1" x14ac:dyDescent="0.25">
      <c r="A320" s="47" t="s">
        <v>52</v>
      </c>
    </row>
    <row r="321" spans="1:1" x14ac:dyDescent="0.25">
      <c r="A321" s="48" t="s">
        <v>52</v>
      </c>
    </row>
    <row r="322" spans="1:1" x14ac:dyDescent="0.25">
      <c r="A322" s="49" t="s">
        <v>52</v>
      </c>
    </row>
    <row r="323" spans="1:1" x14ac:dyDescent="0.25">
      <c r="A323" s="50" t="s">
        <v>52</v>
      </c>
    </row>
    <row r="324" spans="1:1" x14ac:dyDescent="0.25">
      <c r="A324" s="51" t="s">
        <v>52</v>
      </c>
    </row>
    <row r="325" spans="1:1" x14ac:dyDescent="0.25">
      <c r="A325" s="52" t="s">
        <v>52</v>
      </c>
    </row>
    <row r="326" spans="1:1" x14ac:dyDescent="0.25">
      <c r="A326" s="53" t="s">
        <v>52</v>
      </c>
    </row>
    <row r="327" spans="1:1" x14ac:dyDescent="0.25">
      <c r="A327" s="54" t="s">
        <v>52</v>
      </c>
    </row>
    <row r="328" spans="1:1" x14ac:dyDescent="0.25">
      <c r="A328" s="55" t="s">
        <v>52</v>
      </c>
    </row>
    <row r="329" spans="1:1" x14ac:dyDescent="0.25">
      <c r="A329" s="56" t="s">
        <v>52</v>
      </c>
    </row>
    <row r="330" spans="1:1" x14ac:dyDescent="0.25">
      <c r="A330" s="57" t="s">
        <v>52</v>
      </c>
    </row>
    <row r="331" spans="1:1" x14ac:dyDescent="0.25">
      <c r="A331" s="58" t="s">
        <v>52</v>
      </c>
    </row>
    <row r="332" spans="1:1" x14ac:dyDescent="0.25">
      <c r="A332" s="59" t="s">
        <v>52</v>
      </c>
    </row>
    <row r="333" spans="1:1" x14ac:dyDescent="0.25">
      <c r="A333" s="60" t="s">
        <v>52</v>
      </c>
    </row>
    <row r="334" spans="1:1" x14ac:dyDescent="0.25">
      <c r="A334" s="61" t="s">
        <v>52</v>
      </c>
    </row>
    <row r="335" spans="1:1" x14ac:dyDescent="0.25">
      <c r="A335" s="62" t="s">
        <v>52</v>
      </c>
    </row>
    <row r="336" spans="1:1" x14ac:dyDescent="0.25">
      <c r="A336" s="63" t="s">
        <v>52</v>
      </c>
    </row>
    <row r="337" spans="1:1" x14ac:dyDescent="0.25">
      <c r="A337" s="64" t="s">
        <v>52</v>
      </c>
    </row>
    <row r="338" spans="1:1" x14ac:dyDescent="0.25">
      <c r="A338" s="65" t="s">
        <v>52</v>
      </c>
    </row>
    <row r="339" spans="1:1" x14ac:dyDescent="0.25">
      <c r="A339" s="66" t="s">
        <v>52</v>
      </c>
    </row>
    <row r="340" spans="1:1" x14ac:dyDescent="0.25">
      <c r="A340" s="67" t="s">
        <v>52</v>
      </c>
    </row>
    <row r="341" spans="1:1" x14ac:dyDescent="0.25">
      <c r="A341" s="68" t="s">
        <v>52</v>
      </c>
    </row>
    <row r="342" spans="1:1" x14ac:dyDescent="0.25">
      <c r="A342" s="69" t="s">
        <v>52</v>
      </c>
    </row>
    <row r="343" spans="1:1" x14ac:dyDescent="0.25">
      <c r="A343" s="70" t="s">
        <v>52</v>
      </c>
    </row>
    <row r="344" spans="1:1" x14ac:dyDescent="0.25">
      <c r="A344" s="71" t="s">
        <v>52</v>
      </c>
    </row>
    <row r="345" spans="1:1" x14ac:dyDescent="0.25">
      <c r="A345" s="72" t="s">
        <v>52</v>
      </c>
    </row>
    <row r="346" spans="1:1" x14ac:dyDescent="0.25">
      <c r="A346" s="73" t="s">
        <v>52</v>
      </c>
    </row>
    <row r="347" spans="1:1" x14ac:dyDescent="0.25">
      <c r="A347" s="74" t="s">
        <v>52</v>
      </c>
    </row>
    <row r="348" spans="1:1" x14ac:dyDescent="0.25">
      <c r="A348" s="75" t="s">
        <v>52</v>
      </c>
    </row>
    <row r="349" spans="1:1" x14ac:dyDescent="0.25">
      <c r="A349" s="76" t="s">
        <v>52</v>
      </c>
    </row>
    <row r="350" spans="1:1" x14ac:dyDescent="0.25">
      <c r="A350" s="77" t="s">
        <v>52</v>
      </c>
    </row>
    <row r="351" spans="1:1" x14ac:dyDescent="0.25">
      <c r="A351" s="78" t="s">
        <v>52</v>
      </c>
    </row>
    <row r="352" spans="1:1" x14ac:dyDescent="0.25">
      <c r="A352" s="79" t="s">
        <v>52</v>
      </c>
    </row>
    <row r="353" spans="1:1" x14ac:dyDescent="0.25">
      <c r="A353" s="80" t="s">
        <v>52</v>
      </c>
    </row>
    <row r="354" spans="1:1" x14ac:dyDescent="0.25">
      <c r="A354" s="81" t="s">
        <v>52</v>
      </c>
    </row>
    <row r="355" spans="1:1" x14ac:dyDescent="0.25">
      <c r="A355" s="82" t="s">
        <v>52</v>
      </c>
    </row>
    <row r="356" spans="1:1" x14ac:dyDescent="0.25">
      <c r="A356" s="83" t="s">
        <v>52</v>
      </c>
    </row>
    <row r="357" spans="1:1" x14ac:dyDescent="0.25">
      <c r="A357" s="84" t="s">
        <v>52</v>
      </c>
    </row>
    <row r="358" spans="1:1" x14ac:dyDescent="0.25">
      <c r="A358" s="85" t="s">
        <v>52</v>
      </c>
    </row>
    <row r="359" spans="1:1" x14ac:dyDescent="0.25">
      <c r="A359" s="86" t="s">
        <v>52</v>
      </c>
    </row>
    <row r="360" spans="1:1" x14ac:dyDescent="0.25">
      <c r="A360" s="87" t="s">
        <v>52</v>
      </c>
    </row>
    <row r="361" spans="1:1" x14ac:dyDescent="0.25">
      <c r="A361" s="88" t="s">
        <v>52</v>
      </c>
    </row>
    <row r="362" spans="1:1" x14ac:dyDescent="0.25">
      <c r="A362" s="89" t="s">
        <v>52</v>
      </c>
    </row>
    <row r="363" spans="1:1" x14ac:dyDescent="0.25">
      <c r="A363" s="90" t="s">
        <v>52</v>
      </c>
    </row>
    <row r="364" spans="1:1" x14ac:dyDescent="0.25">
      <c r="A364" s="19" t="s">
        <v>695</v>
      </c>
    </row>
    <row r="365" spans="1:1" x14ac:dyDescent="0.25">
      <c r="A365" s="20" t="s">
        <v>52</v>
      </c>
    </row>
    <row r="366" spans="1:1" x14ac:dyDescent="0.25">
      <c r="A366" s="21" t="s">
        <v>52</v>
      </c>
    </row>
    <row r="367" spans="1:1" x14ac:dyDescent="0.25">
      <c r="A367" s="22" t="s">
        <v>52</v>
      </c>
    </row>
    <row r="368" spans="1:1" x14ac:dyDescent="0.25">
      <c r="A368" s="23" t="s">
        <v>52</v>
      </c>
    </row>
    <row r="369" spans="1:1" x14ac:dyDescent="0.25">
      <c r="A369" s="24" t="s">
        <v>52</v>
      </c>
    </row>
    <row r="370" spans="1:1" x14ac:dyDescent="0.25">
      <c r="A370" s="25" t="s">
        <v>52</v>
      </c>
    </row>
    <row r="371" spans="1:1" x14ac:dyDescent="0.25">
      <c r="A371" s="26" t="s">
        <v>52</v>
      </c>
    </row>
    <row r="372" spans="1:1" x14ac:dyDescent="0.25">
      <c r="A372" s="27" t="s">
        <v>52</v>
      </c>
    </row>
    <row r="373" spans="1:1" x14ac:dyDescent="0.25">
      <c r="A373" s="28" t="s">
        <v>52</v>
      </c>
    </row>
    <row r="374" spans="1:1" x14ac:dyDescent="0.25">
      <c r="A374" s="29" t="s">
        <v>52</v>
      </c>
    </row>
    <row r="375" spans="1:1" x14ac:dyDescent="0.25">
      <c r="A375" s="30" t="s">
        <v>165</v>
      </c>
    </row>
    <row r="376" spans="1:1" x14ac:dyDescent="0.25">
      <c r="A376" s="31" t="s">
        <v>52</v>
      </c>
    </row>
    <row r="377" spans="1:1" x14ac:dyDescent="0.25">
      <c r="A377" s="32" t="s">
        <v>52</v>
      </c>
    </row>
    <row r="378" spans="1:1" x14ac:dyDescent="0.25">
      <c r="A378" s="33" t="s">
        <v>52</v>
      </c>
    </row>
    <row r="379" spans="1:1" x14ac:dyDescent="0.25">
      <c r="A379" s="34" t="s">
        <v>52</v>
      </c>
    </row>
    <row r="380" spans="1:1" x14ac:dyDescent="0.25">
      <c r="A380" s="35" t="s">
        <v>52</v>
      </c>
    </row>
    <row r="381" spans="1:1" x14ac:dyDescent="0.25">
      <c r="A381" s="36" t="s">
        <v>52</v>
      </c>
    </row>
    <row r="382" spans="1:1" x14ac:dyDescent="0.25">
      <c r="A382" s="37" t="s">
        <v>52</v>
      </c>
    </row>
    <row r="383" spans="1:1" x14ac:dyDescent="0.25">
      <c r="A383" s="38" t="s">
        <v>52</v>
      </c>
    </row>
    <row r="384" spans="1:1" x14ac:dyDescent="0.25">
      <c r="A384" s="39" t="s">
        <v>52</v>
      </c>
    </row>
    <row r="385" spans="1:1" x14ac:dyDescent="0.25">
      <c r="A385" s="40" t="s">
        <v>52</v>
      </c>
    </row>
    <row r="386" spans="1:1" x14ac:dyDescent="0.25">
      <c r="A386" s="41" t="s">
        <v>52</v>
      </c>
    </row>
    <row r="387" spans="1:1" x14ac:dyDescent="0.25">
      <c r="A387" s="42" t="s">
        <v>52</v>
      </c>
    </row>
    <row r="388" spans="1:1" x14ac:dyDescent="0.25">
      <c r="A388" s="43" t="s">
        <v>52</v>
      </c>
    </row>
    <row r="389" spans="1:1" x14ac:dyDescent="0.25">
      <c r="A389" s="44" t="s">
        <v>52</v>
      </c>
    </row>
    <row r="390" spans="1:1" x14ac:dyDescent="0.25">
      <c r="A390" s="45" t="s">
        <v>52</v>
      </c>
    </row>
    <row r="391" spans="1:1" x14ac:dyDescent="0.25">
      <c r="A391" s="46" t="s">
        <v>52</v>
      </c>
    </row>
    <row r="392" spans="1:1" x14ac:dyDescent="0.25">
      <c r="A392" s="47" t="s">
        <v>52</v>
      </c>
    </row>
    <row r="393" spans="1:1" x14ac:dyDescent="0.25">
      <c r="A393" s="48" t="s">
        <v>52</v>
      </c>
    </row>
    <row r="394" spans="1:1" x14ac:dyDescent="0.25">
      <c r="A394" s="49" t="s">
        <v>52</v>
      </c>
    </row>
    <row r="395" spans="1:1" x14ac:dyDescent="0.25">
      <c r="A395" s="50" t="s">
        <v>52</v>
      </c>
    </row>
    <row r="396" spans="1:1" x14ac:dyDescent="0.25">
      <c r="A396" s="51" t="s">
        <v>52</v>
      </c>
    </row>
    <row r="397" spans="1:1" x14ac:dyDescent="0.25">
      <c r="A397" s="52" t="s">
        <v>52</v>
      </c>
    </row>
    <row r="398" spans="1:1" x14ac:dyDescent="0.25">
      <c r="A398" s="53" t="s">
        <v>52</v>
      </c>
    </row>
    <row r="399" spans="1:1" x14ac:dyDescent="0.25">
      <c r="A399" s="54" t="s">
        <v>52</v>
      </c>
    </row>
    <row r="400" spans="1:1" x14ac:dyDescent="0.25">
      <c r="A400" s="55" t="s">
        <v>52</v>
      </c>
    </row>
    <row r="401" spans="1:1" x14ac:dyDescent="0.25">
      <c r="A401" s="56" t="s">
        <v>52</v>
      </c>
    </row>
    <row r="402" spans="1:1" x14ac:dyDescent="0.25">
      <c r="A402" s="57" t="s">
        <v>52</v>
      </c>
    </row>
    <row r="403" spans="1:1" x14ac:dyDescent="0.25">
      <c r="A403" s="58" t="s">
        <v>52</v>
      </c>
    </row>
    <row r="404" spans="1:1" x14ac:dyDescent="0.25">
      <c r="A404" s="59" t="s">
        <v>52</v>
      </c>
    </row>
    <row r="405" spans="1:1" x14ac:dyDescent="0.25">
      <c r="A405" s="60" t="s">
        <v>52</v>
      </c>
    </row>
    <row r="406" spans="1:1" x14ac:dyDescent="0.25">
      <c r="A406" s="61" t="s">
        <v>52</v>
      </c>
    </row>
    <row r="407" spans="1:1" x14ac:dyDescent="0.25">
      <c r="A407" s="62" t="s">
        <v>52</v>
      </c>
    </row>
    <row r="408" spans="1:1" x14ac:dyDescent="0.25">
      <c r="A408" s="63" t="s">
        <v>52</v>
      </c>
    </row>
    <row r="409" spans="1:1" x14ac:dyDescent="0.25">
      <c r="A409" s="64" t="s">
        <v>52</v>
      </c>
    </row>
    <row r="410" spans="1:1" x14ac:dyDescent="0.25">
      <c r="A410" s="65" t="s">
        <v>52</v>
      </c>
    </row>
    <row r="411" spans="1:1" x14ac:dyDescent="0.25">
      <c r="A411" s="66" t="s">
        <v>52</v>
      </c>
    </row>
    <row r="412" spans="1:1" x14ac:dyDescent="0.25">
      <c r="A412" s="67" t="s">
        <v>52</v>
      </c>
    </row>
    <row r="413" spans="1:1" x14ac:dyDescent="0.25">
      <c r="A413" s="68" t="s">
        <v>52</v>
      </c>
    </row>
    <row r="414" spans="1:1" x14ac:dyDescent="0.25">
      <c r="A414" s="69" t="s">
        <v>52</v>
      </c>
    </row>
    <row r="415" spans="1:1" x14ac:dyDescent="0.25">
      <c r="A415" s="70" t="s">
        <v>52</v>
      </c>
    </row>
    <row r="416" spans="1:1" x14ac:dyDescent="0.25">
      <c r="A416" s="71" t="s">
        <v>52</v>
      </c>
    </row>
    <row r="417" spans="1:1" x14ac:dyDescent="0.25">
      <c r="A417" s="72" t="s">
        <v>52</v>
      </c>
    </row>
    <row r="418" spans="1:1" x14ac:dyDescent="0.25">
      <c r="A418" s="73" t="s">
        <v>52</v>
      </c>
    </row>
    <row r="419" spans="1:1" x14ac:dyDescent="0.25">
      <c r="A419" s="74" t="s">
        <v>52</v>
      </c>
    </row>
    <row r="420" spans="1:1" x14ac:dyDescent="0.25">
      <c r="A420" s="75" t="s">
        <v>52</v>
      </c>
    </row>
    <row r="421" spans="1:1" x14ac:dyDescent="0.25">
      <c r="A421" s="76" t="s">
        <v>52</v>
      </c>
    </row>
    <row r="422" spans="1:1" x14ac:dyDescent="0.25">
      <c r="A422" s="77" t="s">
        <v>52</v>
      </c>
    </row>
    <row r="423" spans="1:1" x14ac:dyDescent="0.25">
      <c r="A423" s="78" t="s">
        <v>52</v>
      </c>
    </row>
    <row r="424" spans="1:1" x14ac:dyDescent="0.25">
      <c r="A424" s="79" t="s">
        <v>52</v>
      </c>
    </row>
    <row r="425" spans="1:1" x14ac:dyDescent="0.25">
      <c r="A425" s="80" t="s">
        <v>52</v>
      </c>
    </row>
    <row r="426" spans="1:1" x14ac:dyDescent="0.25">
      <c r="A426" s="81" t="s">
        <v>52</v>
      </c>
    </row>
    <row r="427" spans="1:1" x14ac:dyDescent="0.25">
      <c r="A427" s="82" t="s">
        <v>52</v>
      </c>
    </row>
    <row r="428" spans="1:1" x14ac:dyDescent="0.25">
      <c r="A428" s="83" t="s">
        <v>52</v>
      </c>
    </row>
    <row r="429" spans="1:1" x14ac:dyDescent="0.25">
      <c r="A429" s="84" t="s">
        <v>52</v>
      </c>
    </row>
    <row r="430" spans="1:1" x14ac:dyDescent="0.25">
      <c r="A430" s="85" t="s">
        <v>52</v>
      </c>
    </row>
    <row r="431" spans="1:1" x14ac:dyDescent="0.25">
      <c r="A431" s="86" t="s">
        <v>52</v>
      </c>
    </row>
    <row r="432" spans="1:1" x14ac:dyDescent="0.25">
      <c r="A432" s="87" t="s">
        <v>52</v>
      </c>
    </row>
    <row r="433" spans="1:1" x14ac:dyDescent="0.25">
      <c r="A433" s="88" t="s">
        <v>52</v>
      </c>
    </row>
    <row r="434" spans="1:1" x14ac:dyDescent="0.25">
      <c r="A434" s="89" t="s">
        <v>52</v>
      </c>
    </row>
    <row r="435" spans="1:1" x14ac:dyDescent="0.25">
      <c r="A435" s="90" t="s">
        <v>52</v>
      </c>
    </row>
    <row r="436" spans="1:1" x14ac:dyDescent="0.25">
      <c r="A436" s="19" t="s">
        <v>696</v>
      </c>
    </row>
    <row r="437" spans="1:1" x14ac:dyDescent="0.25">
      <c r="A437" s="20" t="s">
        <v>52</v>
      </c>
    </row>
    <row r="438" spans="1:1" x14ac:dyDescent="0.25">
      <c r="A438" s="21" t="s">
        <v>52</v>
      </c>
    </row>
    <row r="439" spans="1:1" x14ac:dyDescent="0.25">
      <c r="A439" s="22" t="s">
        <v>52</v>
      </c>
    </row>
    <row r="440" spans="1:1" x14ac:dyDescent="0.25">
      <c r="A440" s="23" t="s">
        <v>52</v>
      </c>
    </row>
    <row r="441" spans="1:1" x14ac:dyDescent="0.25">
      <c r="A441" s="24" t="s">
        <v>52</v>
      </c>
    </row>
    <row r="442" spans="1:1" x14ac:dyDescent="0.25">
      <c r="A442" s="25" t="s">
        <v>52</v>
      </c>
    </row>
    <row r="443" spans="1:1" x14ac:dyDescent="0.25">
      <c r="A443" s="26" t="s">
        <v>52</v>
      </c>
    </row>
    <row r="444" spans="1:1" x14ac:dyDescent="0.25">
      <c r="A444" s="27" t="s">
        <v>52</v>
      </c>
    </row>
    <row r="445" spans="1:1" x14ac:dyDescent="0.25">
      <c r="A445" s="28" t="s">
        <v>52</v>
      </c>
    </row>
    <row r="446" spans="1:1" x14ac:dyDescent="0.25">
      <c r="A446" s="29" t="s">
        <v>52</v>
      </c>
    </row>
    <row r="447" spans="1:1" x14ac:dyDescent="0.25">
      <c r="A447" s="30" t="s">
        <v>166</v>
      </c>
    </row>
    <row r="448" spans="1:1" x14ac:dyDescent="0.25">
      <c r="A448" s="31" t="s">
        <v>52</v>
      </c>
    </row>
    <row r="449" spans="1:1" x14ac:dyDescent="0.25">
      <c r="A449" s="32" t="s">
        <v>52</v>
      </c>
    </row>
    <row r="450" spans="1:1" x14ac:dyDescent="0.25">
      <c r="A450" s="33" t="s">
        <v>52</v>
      </c>
    </row>
    <row r="451" spans="1:1" x14ac:dyDescent="0.25">
      <c r="A451" s="34" t="s">
        <v>52</v>
      </c>
    </row>
    <row r="452" spans="1:1" x14ac:dyDescent="0.25">
      <c r="A452" s="35" t="s">
        <v>52</v>
      </c>
    </row>
    <row r="453" spans="1:1" x14ac:dyDescent="0.25">
      <c r="A453" s="36" t="s">
        <v>52</v>
      </c>
    </row>
    <row r="454" spans="1:1" x14ac:dyDescent="0.25">
      <c r="A454" s="37" t="s">
        <v>52</v>
      </c>
    </row>
    <row r="455" spans="1:1" x14ac:dyDescent="0.25">
      <c r="A455" s="38" t="s">
        <v>52</v>
      </c>
    </row>
    <row r="456" spans="1:1" x14ac:dyDescent="0.25">
      <c r="A456" s="39" t="s">
        <v>52</v>
      </c>
    </row>
    <row r="457" spans="1:1" x14ac:dyDescent="0.25">
      <c r="A457" s="40" t="s">
        <v>52</v>
      </c>
    </row>
    <row r="458" spans="1:1" x14ac:dyDescent="0.25">
      <c r="A458" s="41" t="s">
        <v>52</v>
      </c>
    </row>
    <row r="459" spans="1:1" x14ac:dyDescent="0.25">
      <c r="A459" s="42" t="s">
        <v>52</v>
      </c>
    </row>
    <row r="460" spans="1:1" x14ac:dyDescent="0.25">
      <c r="A460" s="43" t="s">
        <v>52</v>
      </c>
    </row>
    <row r="461" spans="1:1" x14ac:dyDescent="0.25">
      <c r="A461" s="44" t="s">
        <v>52</v>
      </c>
    </row>
    <row r="462" spans="1:1" x14ac:dyDescent="0.25">
      <c r="A462" s="45" t="s">
        <v>52</v>
      </c>
    </row>
    <row r="463" spans="1:1" x14ac:dyDescent="0.25">
      <c r="A463" s="46" t="s">
        <v>52</v>
      </c>
    </row>
    <row r="464" spans="1:1" x14ac:dyDescent="0.25">
      <c r="A464" s="47" t="s">
        <v>52</v>
      </c>
    </row>
    <row r="465" spans="1:1" x14ac:dyDescent="0.25">
      <c r="A465" s="48" t="s">
        <v>52</v>
      </c>
    </row>
    <row r="466" spans="1:1" x14ac:dyDescent="0.25">
      <c r="A466" s="49" t="s">
        <v>52</v>
      </c>
    </row>
    <row r="467" spans="1:1" x14ac:dyDescent="0.25">
      <c r="A467" s="50" t="s">
        <v>52</v>
      </c>
    </row>
    <row r="468" spans="1:1" x14ac:dyDescent="0.25">
      <c r="A468" s="51" t="s">
        <v>52</v>
      </c>
    </row>
    <row r="469" spans="1:1" x14ac:dyDescent="0.25">
      <c r="A469" s="52" t="s">
        <v>52</v>
      </c>
    </row>
    <row r="470" spans="1:1" x14ac:dyDescent="0.25">
      <c r="A470" s="53" t="s">
        <v>52</v>
      </c>
    </row>
    <row r="471" spans="1:1" x14ac:dyDescent="0.25">
      <c r="A471" s="54" t="s">
        <v>52</v>
      </c>
    </row>
    <row r="472" spans="1:1" x14ac:dyDescent="0.25">
      <c r="A472" s="55" t="s">
        <v>52</v>
      </c>
    </row>
    <row r="473" spans="1:1" x14ac:dyDescent="0.25">
      <c r="A473" s="56" t="s">
        <v>52</v>
      </c>
    </row>
    <row r="474" spans="1:1" x14ac:dyDescent="0.25">
      <c r="A474" s="57" t="s">
        <v>52</v>
      </c>
    </row>
    <row r="475" spans="1:1" x14ac:dyDescent="0.25">
      <c r="A475" s="58" t="s">
        <v>52</v>
      </c>
    </row>
    <row r="476" spans="1:1" x14ac:dyDescent="0.25">
      <c r="A476" s="59" t="s">
        <v>52</v>
      </c>
    </row>
    <row r="477" spans="1:1" x14ac:dyDescent="0.25">
      <c r="A477" s="60" t="s">
        <v>52</v>
      </c>
    </row>
    <row r="478" spans="1:1" x14ac:dyDescent="0.25">
      <c r="A478" s="61" t="s">
        <v>52</v>
      </c>
    </row>
    <row r="479" spans="1:1" x14ac:dyDescent="0.25">
      <c r="A479" s="62" t="s">
        <v>52</v>
      </c>
    </row>
    <row r="480" spans="1:1" x14ac:dyDescent="0.25">
      <c r="A480" s="63" t="s">
        <v>52</v>
      </c>
    </row>
    <row r="481" spans="1:1" x14ac:dyDescent="0.25">
      <c r="A481" s="64" t="s">
        <v>52</v>
      </c>
    </row>
    <row r="482" spans="1:1" x14ac:dyDescent="0.25">
      <c r="A482" s="65" t="s">
        <v>52</v>
      </c>
    </row>
    <row r="483" spans="1:1" x14ac:dyDescent="0.25">
      <c r="A483" s="66" t="s">
        <v>52</v>
      </c>
    </row>
    <row r="484" spans="1:1" x14ac:dyDescent="0.25">
      <c r="A484" s="67" t="s">
        <v>52</v>
      </c>
    </row>
    <row r="485" spans="1:1" x14ac:dyDescent="0.25">
      <c r="A485" s="68" t="s">
        <v>52</v>
      </c>
    </row>
    <row r="486" spans="1:1" x14ac:dyDescent="0.25">
      <c r="A486" s="69" t="s">
        <v>52</v>
      </c>
    </row>
    <row r="487" spans="1:1" x14ac:dyDescent="0.25">
      <c r="A487" s="70" t="s">
        <v>52</v>
      </c>
    </row>
    <row r="488" spans="1:1" x14ac:dyDescent="0.25">
      <c r="A488" s="71" t="s">
        <v>52</v>
      </c>
    </row>
    <row r="489" spans="1:1" x14ac:dyDescent="0.25">
      <c r="A489" s="72" t="s">
        <v>52</v>
      </c>
    </row>
    <row r="490" spans="1:1" x14ac:dyDescent="0.25">
      <c r="A490" s="73" t="s">
        <v>52</v>
      </c>
    </row>
    <row r="491" spans="1:1" x14ac:dyDescent="0.25">
      <c r="A491" s="74" t="s">
        <v>52</v>
      </c>
    </row>
    <row r="492" spans="1:1" x14ac:dyDescent="0.25">
      <c r="A492" s="75" t="s">
        <v>52</v>
      </c>
    </row>
    <row r="493" spans="1:1" x14ac:dyDescent="0.25">
      <c r="A493" s="76" t="s">
        <v>52</v>
      </c>
    </row>
    <row r="494" spans="1:1" x14ac:dyDescent="0.25">
      <c r="A494" s="77" t="s">
        <v>52</v>
      </c>
    </row>
    <row r="495" spans="1:1" x14ac:dyDescent="0.25">
      <c r="A495" s="78" t="s">
        <v>52</v>
      </c>
    </row>
    <row r="496" spans="1:1" x14ac:dyDescent="0.25">
      <c r="A496" s="79" t="s">
        <v>52</v>
      </c>
    </row>
    <row r="497" spans="1:1" x14ac:dyDescent="0.25">
      <c r="A497" s="80" t="s">
        <v>52</v>
      </c>
    </row>
    <row r="498" spans="1:1" x14ac:dyDescent="0.25">
      <c r="A498" s="81" t="s">
        <v>52</v>
      </c>
    </row>
    <row r="499" spans="1:1" x14ac:dyDescent="0.25">
      <c r="A499" s="82" t="s">
        <v>52</v>
      </c>
    </row>
    <row r="500" spans="1:1" x14ac:dyDescent="0.25">
      <c r="A500" s="83" t="s">
        <v>52</v>
      </c>
    </row>
    <row r="501" spans="1:1" x14ac:dyDescent="0.25">
      <c r="A501" s="84" t="s">
        <v>52</v>
      </c>
    </row>
    <row r="502" spans="1:1" x14ac:dyDescent="0.25">
      <c r="A502" s="85" t="s">
        <v>52</v>
      </c>
    </row>
    <row r="503" spans="1:1" x14ac:dyDescent="0.25">
      <c r="A503" s="86" t="s">
        <v>52</v>
      </c>
    </row>
    <row r="504" spans="1:1" x14ac:dyDescent="0.25">
      <c r="A504" s="87" t="s">
        <v>52</v>
      </c>
    </row>
    <row r="505" spans="1:1" x14ac:dyDescent="0.25">
      <c r="A505" s="88" t="s">
        <v>52</v>
      </c>
    </row>
    <row r="506" spans="1:1" x14ac:dyDescent="0.25">
      <c r="A506" s="89" t="s">
        <v>52</v>
      </c>
    </row>
    <row r="507" spans="1:1" x14ac:dyDescent="0.25">
      <c r="A507" s="90" t="s">
        <v>52</v>
      </c>
    </row>
    <row r="508" spans="1:1" x14ac:dyDescent="0.25">
      <c r="A508" s="19" t="s">
        <v>697</v>
      </c>
    </row>
    <row r="509" spans="1:1" x14ac:dyDescent="0.25">
      <c r="A509" s="20" t="s">
        <v>52</v>
      </c>
    </row>
    <row r="510" spans="1:1" x14ac:dyDescent="0.25">
      <c r="A510" s="21" t="s">
        <v>52</v>
      </c>
    </row>
    <row r="511" spans="1:1" x14ac:dyDescent="0.25">
      <c r="A511" s="22" t="s">
        <v>52</v>
      </c>
    </row>
    <row r="512" spans="1:1" x14ac:dyDescent="0.25">
      <c r="A512" s="23" t="s">
        <v>52</v>
      </c>
    </row>
    <row r="513" spans="1:1" x14ac:dyDescent="0.25">
      <c r="A513" s="24" t="s">
        <v>52</v>
      </c>
    </row>
    <row r="514" spans="1:1" x14ac:dyDescent="0.25">
      <c r="A514" s="25" t="s">
        <v>52</v>
      </c>
    </row>
    <row r="515" spans="1:1" x14ac:dyDescent="0.25">
      <c r="A515" s="26" t="s">
        <v>52</v>
      </c>
    </row>
    <row r="516" spans="1:1" x14ac:dyDescent="0.25">
      <c r="A516" s="27" t="s">
        <v>52</v>
      </c>
    </row>
    <row r="517" spans="1:1" x14ac:dyDescent="0.25">
      <c r="A517" s="28" t="s">
        <v>52</v>
      </c>
    </row>
    <row r="518" spans="1:1" x14ac:dyDescent="0.25">
      <c r="A518" s="29" t="s">
        <v>52</v>
      </c>
    </row>
    <row r="519" spans="1:1" x14ac:dyDescent="0.25">
      <c r="A519" s="30" t="s">
        <v>167</v>
      </c>
    </row>
    <row r="520" spans="1:1" x14ac:dyDescent="0.25">
      <c r="A520" s="31" t="s">
        <v>52</v>
      </c>
    </row>
    <row r="521" spans="1:1" x14ac:dyDescent="0.25">
      <c r="A521" s="32" t="s">
        <v>52</v>
      </c>
    </row>
    <row r="522" spans="1:1" x14ac:dyDescent="0.25">
      <c r="A522" s="33" t="s">
        <v>52</v>
      </c>
    </row>
    <row r="523" spans="1:1" x14ac:dyDescent="0.25">
      <c r="A523" s="34" t="s">
        <v>52</v>
      </c>
    </row>
    <row r="524" spans="1:1" x14ac:dyDescent="0.25">
      <c r="A524" s="35" t="s">
        <v>52</v>
      </c>
    </row>
    <row r="525" spans="1:1" x14ac:dyDescent="0.25">
      <c r="A525" s="36" t="s">
        <v>52</v>
      </c>
    </row>
    <row r="526" spans="1:1" x14ac:dyDescent="0.25">
      <c r="A526" s="37" t="s">
        <v>52</v>
      </c>
    </row>
    <row r="527" spans="1:1" x14ac:dyDescent="0.25">
      <c r="A527" s="38" t="s">
        <v>52</v>
      </c>
    </row>
    <row r="528" spans="1:1" x14ac:dyDescent="0.25">
      <c r="A528" s="39" t="s">
        <v>52</v>
      </c>
    </row>
    <row r="529" spans="1:1" x14ac:dyDescent="0.25">
      <c r="A529" s="40" t="s">
        <v>52</v>
      </c>
    </row>
    <row r="530" spans="1:1" x14ac:dyDescent="0.25">
      <c r="A530" s="41" t="s">
        <v>52</v>
      </c>
    </row>
    <row r="531" spans="1:1" x14ac:dyDescent="0.25">
      <c r="A531" s="42" t="s">
        <v>52</v>
      </c>
    </row>
    <row r="532" spans="1:1" x14ac:dyDescent="0.25">
      <c r="A532" s="43" t="s">
        <v>52</v>
      </c>
    </row>
    <row r="533" spans="1:1" x14ac:dyDescent="0.25">
      <c r="A533" s="44" t="s">
        <v>52</v>
      </c>
    </row>
    <row r="534" spans="1:1" x14ac:dyDescent="0.25">
      <c r="A534" s="45" t="s">
        <v>52</v>
      </c>
    </row>
    <row r="535" spans="1:1" x14ac:dyDescent="0.25">
      <c r="A535" s="46" t="s">
        <v>52</v>
      </c>
    </row>
    <row r="536" spans="1:1" x14ac:dyDescent="0.25">
      <c r="A536" s="47" t="s">
        <v>52</v>
      </c>
    </row>
    <row r="537" spans="1:1" x14ac:dyDescent="0.25">
      <c r="A537" s="48" t="s">
        <v>52</v>
      </c>
    </row>
    <row r="538" spans="1:1" x14ac:dyDescent="0.25">
      <c r="A538" s="49" t="s">
        <v>52</v>
      </c>
    </row>
    <row r="539" spans="1:1" x14ac:dyDescent="0.25">
      <c r="A539" s="50" t="s">
        <v>52</v>
      </c>
    </row>
    <row r="540" spans="1:1" x14ac:dyDescent="0.25">
      <c r="A540" s="51" t="s">
        <v>52</v>
      </c>
    </row>
    <row r="541" spans="1:1" x14ac:dyDescent="0.25">
      <c r="A541" s="52" t="s">
        <v>52</v>
      </c>
    </row>
    <row r="542" spans="1:1" x14ac:dyDescent="0.25">
      <c r="A542" s="53" t="s">
        <v>52</v>
      </c>
    </row>
    <row r="543" spans="1:1" x14ac:dyDescent="0.25">
      <c r="A543" s="54" t="s">
        <v>52</v>
      </c>
    </row>
    <row r="544" spans="1:1" x14ac:dyDescent="0.25">
      <c r="A544" s="55" t="s">
        <v>52</v>
      </c>
    </row>
    <row r="545" spans="1:1" x14ac:dyDescent="0.25">
      <c r="A545" s="56" t="s">
        <v>52</v>
      </c>
    </row>
    <row r="546" spans="1:1" x14ac:dyDescent="0.25">
      <c r="A546" s="57" t="s">
        <v>52</v>
      </c>
    </row>
    <row r="547" spans="1:1" x14ac:dyDescent="0.25">
      <c r="A547" s="58" t="s">
        <v>52</v>
      </c>
    </row>
    <row r="548" spans="1:1" x14ac:dyDescent="0.25">
      <c r="A548" s="59" t="s">
        <v>52</v>
      </c>
    </row>
    <row r="549" spans="1:1" x14ac:dyDescent="0.25">
      <c r="A549" s="60" t="s">
        <v>52</v>
      </c>
    </row>
    <row r="550" spans="1:1" x14ac:dyDescent="0.25">
      <c r="A550" s="61" t="s">
        <v>52</v>
      </c>
    </row>
    <row r="551" spans="1:1" x14ac:dyDescent="0.25">
      <c r="A551" s="62" t="s">
        <v>52</v>
      </c>
    </row>
    <row r="552" spans="1:1" x14ac:dyDescent="0.25">
      <c r="A552" s="63" t="s">
        <v>52</v>
      </c>
    </row>
    <row r="553" spans="1:1" x14ac:dyDescent="0.25">
      <c r="A553" s="64" t="s">
        <v>52</v>
      </c>
    </row>
    <row r="554" spans="1:1" x14ac:dyDescent="0.25">
      <c r="A554" s="65" t="s">
        <v>52</v>
      </c>
    </row>
    <row r="555" spans="1:1" x14ac:dyDescent="0.25">
      <c r="A555" s="66" t="s">
        <v>52</v>
      </c>
    </row>
    <row r="556" spans="1:1" x14ac:dyDescent="0.25">
      <c r="A556" s="67" t="s">
        <v>52</v>
      </c>
    </row>
    <row r="557" spans="1:1" x14ac:dyDescent="0.25">
      <c r="A557" s="68" t="s">
        <v>52</v>
      </c>
    </row>
    <row r="558" spans="1:1" x14ac:dyDescent="0.25">
      <c r="A558" s="69" t="s">
        <v>52</v>
      </c>
    </row>
    <row r="559" spans="1:1" x14ac:dyDescent="0.25">
      <c r="A559" s="70" t="s">
        <v>52</v>
      </c>
    </row>
    <row r="560" spans="1:1" x14ac:dyDescent="0.25">
      <c r="A560" s="71" t="s">
        <v>52</v>
      </c>
    </row>
    <row r="561" spans="1:1" x14ac:dyDescent="0.25">
      <c r="A561" s="72" t="s">
        <v>52</v>
      </c>
    </row>
    <row r="562" spans="1:1" x14ac:dyDescent="0.25">
      <c r="A562" s="73" t="s">
        <v>52</v>
      </c>
    </row>
    <row r="563" spans="1:1" x14ac:dyDescent="0.25">
      <c r="A563" s="74" t="s">
        <v>52</v>
      </c>
    </row>
    <row r="564" spans="1:1" x14ac:dyDescent="0.25">
      <c r="A564" s="75" t="s">
        <v>52</v>
      </c>
    </row>
    <row r="565" spans="1:1" x14ac:dyDescent="0.25">
      <c r="A565" s="76" t="s">
        <v>52</v>
      </c>
    </row>
    <row r="566" spans="1:1" x14ac:dyDescent="0.25">
      <c r="A566" s="77" t="s">
        <v>52</v>
      </c>
    </row>
    <row r="567" spans="1:1" x14ac:dyDescent="0.25">
      <c r="A567" s="78" t="s">
        <v>52</v>
      </c>
    </row>
    <row r="568" spans="1:1" x14ac:dyDescent="0.25">
      <c r="A568" s="79" t="s">
        <v>52</v>
      </c>
    </row>
    <row r="569" spans="1:1" x14ac:dyDescent="0.25">
      <c r="A569" s="80" t="s">
        <v>52</v>
      </c>
    </row>
    <row r="570" spans="1:1" x14ac:dyDescent="0.25">
      <c r="A570" s="81" t="s">
        <v>52</v>
      </c>
    </row>
    <row r="571" spans="1:1" x14ac:dyDescent="0.25">
      <c r="A571" s="82" t="s">
        <v>52</v>
      </c>
    </row>
    <row r="572" spans="1:1" x14ac:dyDescent="0.25">
      <c r="A572" s="83" t="s">
        <v>52</v>
      </c>
    </row>
    <row r="573" spans="1:1" x14ac:dyDescent="0.25">
      <c r="A573" s="84" t="s">
        <v>52</v>
      </c>
    </row>
    <row r="574" spans="1:1" x14ac:dyDescent="0.25">
      <c r="A574" s="85" t="s">
        <v>52</v>
      </c>
    </row>
    <row r="575" spans="1:1" x14ac:dyDescent="0.25">
      <c r="A575" s="86" t="s">
        <v>52</v>
      </c>
    </row>
    <row r="576" spans="1:1" x14ac:dyDescent="0.25">
      <c r="A576" s="87" t="s">
        <v>52</v>
      </c>
    </row>
    <row r="577" spans="1:1" x14ac:dyDescent="0.25">
      <c r="A577" s="88" t="s">
        <v>52</v>
      </c>
    </row>
    <row r="578" spans="1:1" x14ac:dyDescent="0.25">
      <c r="A578" s="89" t="s">
        <v>52</v>
      </c>
    </row>
    <row r="579" spans="1:1" x14ac:dyDescent="0.25">
      <c r="A579" s="90" t="s">
        <v>52</v>
      </c>
    </row>
    <row r="580" spans="1:1" x14ac:dyDescent="0.25">
      <c r="A580" s="19" t="s">
        <v>698</v>
      </c>
    </row>
    <row r="581" spans="1:1" x14ac:dyDescent="0.25">
      <c r="A581" s="20" t="s">
        <v>52</v>
      </c>
    </row>
    <row r="582" spans="1:1" x14ac:dyDescent="0.25">
      <c r="A582" s="21" t="s">
        <v>52</v>
      </c>
    </row>
    <row r="583" spans="1:1" x14ac:dyDescent="0.25">
      <c r="A583" s="22" t="s">
        <v>52</v>
      </c>
    </row>
    <row r="584" spans="1:1" x14ac:dyDescent="0.25">
      <c r="A584" s="23" t="s">
        <v>52</v>
      </c>
    </row>
    <row r="585" spans="1:1" x14ac:dyDescent="0.25">
      <c r="A585" s="24" t="s">
        <v>52</v>
      </c>
    </row>
    <row r="586" spans="1:1" x14ac:dyDescent="0.25">
      <c r="A586" s="25" t="s">
        <v>52</v>
      </c>
    </row>
    <row r="587" spans="1:1" x14ac:dyDescent="0.25">
      <c r="A587" s="26" t="s">
        <v>52</v>
      </c>
    </row>
    <row r="588" spans="1:1" x14ac:dyDescent="0.25">
      <c r="A588" s="27" t="s">
        <v>52</v>
      </c>
    </row>
    <row r="589" spans="1:1" x14ac:dyDescent="0.25">
      <c r="A589" s="28" t="s">
        <v>52</v>
      </c>
    </row>
    <row r="590" spans="1:1" x14ac:dyDescent="0.25">
      <c r="A590" s="29" t="s">
        <v>52</v>
      </c>
    </row>
    <row r="591" spans="1:1" x14ac:dyDescent="0.25">
      <c r="A591" s="30" t="s">
        <v>168</v>
      </c>
    </row>
    <row r="592" spans="1:1" x14ac:dyDescent="0.25">
      <c r="A592" s="31" t="s">
        <v>52</v>
      </c>
    </row>
    <row r="593" spans="1:1" x14ac:dyDescent="0.25">
      <c r="A593" s="32" t="s">
        <v>52</v>
      </c>
    </row>
    <row r="594" spans="1:1" x14ac:dyDescent="0.25">
      <c r="A594" s="33" t="s">
        <v>52</v>
      </c>
    </row>
    <row r="595" spans="1:1" x14ac:dyDescent="0.25">
      <c r="A595" s="34" t="s">
        <v>52</v>
      </c>
    </row>
    <row r="596" spans="1:1" x14ac:dyDescent="0.25">
      <c r="A596" s="35" t="s">
        <v>52</v>
      </c>
    </row>
    <row r="597" spans="1:1" x14ac:dyDescent="0.25">
      <c r="A597" s="36" t="s">
        <v>52</v>
      </c>
    </row>
    <row r="598" spans="1:1" x14ac:dyDescent="0.25">
      <c r="A598" s="37" t="s">
        <v>52</v>
      </c>
    </row>
    <row r="599" spans="1:1" x14ac:dyDescent="0.25">
      <c r="A599" s="38" t="s">
        <v>52</v>
      </c>
    </row>
    <row r="600" spans="1:1" x14ac:dyDescent="0.25">
      <c r="A600" s="39" t="s">
        <v>52</v>
      </c>
    </row>
    <row r="601" spans="1:1" x14ac:dyDescent="0.25">
      <c r="A601" s="40" t="s">
        <v>52</v>
      </c>
    </row>
    <row r="602" spans="1:1" x14ac:dyDescent="0.25">
      <c r="A602" s="41" t="s">
        <v>52</v>
      </c>
    </row>
    <row r="603" spans="1:1" x14ac:dyDescent="0.25">
      <c r="A603" s="42" t="s">
        <v>52</v>
      </c>
    </row>
    <row r="604" spans="1:1" x14ac:dyDescent="0.25">
      <c r="A604" s="43" t="s">
        <v>52</v>
      </c>
    </row>
    <row r="605" spans="1:1" x14ac:dyDescent="0.25">
      <c r="A605" s="44" t="s">
        <v>52</v>
      </c>
    </row>
    <row r="606" spans="1:1" x14ac:dyDescent="0.25">
      <c r="A606" s="45" t="s">
        <v>52</v>
      </c>
    </row>
    <row r="607" spans="1:1" x14ac:dyDescent="0.25">
      <c r="A607" s="46" t="s">
        <v>52</v>
      </c>
    </row>
    <row r="608" spans="1:1" x14ac:dyDescent="0.25">
      <c r="A608" s="47" t="s">
        <v>52</v>
      </c>
    </row>
    <row r="609" spans="1:1" x14ac:dyDescent="0.25">
      <c r="A609" s="48" t="s">
        <v>52</v>
      </c>
    </row>
    <row r="610" spans="1:1" x14ac:dyDescent="0.25">
      <c r="A610" s="49" t="s">
        <v>52</v>
      </c>
    </row>
    <row r="611" spans="1:1" x14ac:dyDescent="0.25">
      <c r="A611" s="50" t="s">
        <v>52</v>
      </c>
    </row>
    <row r="612" spans="1:1" x14ac:dyDescent="0.25">
      <c r="A612" s="51" t="s">
        <v>52</v>
      </c>
    </row>
    <row r="613" spans="1:1" x14ac:dyDescent="0.25">
      <c r="A613" s="52" t="s">
        <v>52</v>
      </c>
    </row>
    <row r="614" spans="1:1" x14ac:dyDescent="0.25">
      <c r="A614" s="53" t="s">
        <v>52</v>
      </c>
    </row>
    <row r="615" spans="1:1" x14ac:dyDescent="0.25">
      <c r="A615" s="54" t="s">
        <v>52</v>
      </c>
    </row>
    <row r="616" spans="1:1" x14ac:dyDescent="0.25">
      <c r="A616" s="55" t="s">
        <v>52</v>
      </c>
    </row>
    <row r="617" spans="1:1" x14ac:dyDescent="0.25">
      <c r="A617" s="56" t="s">
        <v>52</v>
      </c>
    </row>
    <row r="618" spans="1:1" x14ac:dyDescent="0.25">
      <c r="A618" s="57" t="s">
        <v>52</v>
      </c>
    </row>
    <row r="619" spans="1:1" x14ac:dyDescent="0.25">
      <c r="A619" s="58" t="s">
        <v>52</v>
      </c>
    </row>
    <row r="620" spans="1:1" x14ac:dyDescent="0.25">
      <c r="A620" s="59" t="s">
        <v>52</v>
      </c>
    </row>
    <row r="621" spans="1:1" x14ac:dyDescent="0.25">
      <c r="A621" s="60" t="s">
        <v>52</v>
      </c>
    </row>
    <row r="622" spans="1:1" x14ac:dyDescent="0.25">
      <c r="A622" s="61" t="s">
        <v>52</v>
      </c>
    </row>
    <row r="623" spans="1:1" x14ac:dyDescent="0.25">
      <c r="A623" s="62" t="s">
        <v>52</v>
      </c>
    </row>
    <row r="624" spans="1:1" x14ac:dyDescent="0.25">
      <c r="A624" s="63" t="s">
        <v>52</v>
      </c>
    </row>
    <row r="625" spans="1:1" x14ac:dyDescent="0.25">
      <c r="A625" s="64" t="s">
        <v>52</v>
      </c>
    </row>
    <row r="626" spans="1:1" x14ac:dyDescent="0.25">
      <c r="A626" s="65" t="s">
        <v>52</v>
      </c>
    </row>
    <row r="627" spans="1:1" x14ac:dyDescent="0.25">
      <c r="A627" s="66" t="s">
        <v>52</v>
      </c>
    </row>
    <row r="628" spans="1:1" x14ac:dyDescent="0.25">
      <c r="A628" s="67" t="s">
        <v>52</v>
      </c>
    </row>
    <row r="629" spans="1:1" x14ac:dyDescent="0.25">
      <c r="A629" s="68" t="s">
        <v>52</v>
      </c>
    </row>
    <row r="630" spans="1:1" x14ac:dyDescent="0.25">
      <c r="A630" s="69" t="s">
        <v>52</v>
      </c>
    </row>
    <row r="631" spans="1:1" x14ac:dyDescent="0.25">
      <c r="A631" s="70" t="s">
        <v>52</v>
      </c>
    </row>
    <row r="632" spans="1:1" x14ac:dyDescent="0.25">
      <c r="A632" s="71" t="s">
        <v>52</v>
      </c>
    </row>
    <row r="633" spans="1:1" x14ac:dyDescent="0.25">
      <c r="A633" s="72" t="s">
        <v>52</v>
      </c>
    </row>
    <row r="634" spans="1:1" x14ac:dyDescent="0.25">
      <c r="A634" s="73" t="s">
        <v>52</v>
      </c>
    </row>
    <row r="635" spans="1:1" x14ac:dyDescent="0.25">
      <c r="A635" s="74" t="s">
        <v>52</v>
      </c>
    </row>
    <row r="636" spans="1:1" x14ac:dyDescent="0.25">
      <c r="A636" s="75" t="s">
        <v>52</v>
      </c>
    </row>
    <row r="637" spans="1:1" x14ac:dyDescent="0.25">
      <c r="A637" s="76" t="s">
        <v>52</v>
      </c>
    </row>
    <row r="638" spans="1:1" x14ac:dyDescent="0.25">
      <c r="A638" s="77" t="s">
        <v>52</v>
      </c>
    </row>
    <row r="639" spans="1:1" x14ac:dyDescent="0.25">
      <c r="A639" s="78" t="s">
        <v>52</v>
      </c>
    </row>
    <row r="640" spans="1:1" x14ac:dyDescent="0.25">
      <c r="A640" s="79" t="s">
        <v>52</v>
      </c>
    </row>
    <row r="641" spans="1:1" x14ac:dyDescent="0.25">
      <c r="A641" s="80" t="s">
        <v>52</v>
      </c>
    </row>
    <row r="642" spans="1:1" x14ac:dyDescent="0.25">
      <c r="A642" s="81" t="s">
        <v>52</v>
      </c>
    </row>
    <row r="643" spans="1:1" x14ac:dyDescent="0.25">
      <c r="A643" s="82" t="s">
        <v>52</v>
      </c>
    </row>
    <row r="644" spans="1:1" x14ac:dyDescent="0.25">
      <c r="A644" s="83" t="s">
        <v>52</v>
      </c>
    </row>
    <row r="645" spans="1:1" x14ac:dyDescent="0.25">
      <c r="A645" s="84" t="s">
        <v>52</v>
      </c>
    </row>
    <row r="646" spans="1:1" x14ac:dyDescent="0.25">
      <c r="A646" s="85" t="s">
        <v>52</v>
      </c>
    </row>
    <row r="647" spans="1:1" x14ac:dyDescent="0.25">
      <c r="A647" s="86" t="s">
        <v>52</v>
      </c>
    </row>
    <row r="648" spans="1:1" x14ac:dyDescent="0.25">
      <c r="A648" s="87" t="s">
        <v>52</v>
      </c>
    </row>
    <row r="649" spans="1:1" x14ac:dyDescent="0.25">
      <c r="A649" s="88" t="s">
        <v>52</v>
      </c>
    </row>
    <row r="650" spans="1:1" x14ac:dyDescent="0.25">
      <c r="A650" s="89" t="s">
        <v>52</v>
      </c>
    </row>
    <row r="651" spans="1:1" x14ac:dyDescent="0.25">
      <c r="A651" s="90" t="s">
        <v>52</v>
      </c>
    </row>
    <row r="652" spans="1:1" x14ac:dyDescent="0.25">
      <c r="A652" s="19" t="s">
        <v>699</v>
      </c>
    </row>
    <row r="653" spans="1:1" x14ac:dyDescent="0.25">
      <c r="A653" s="20" t="s">
        <v>52</v>
      </c>
    </row>
    <row r="654" spans="1:1" x14ac:dyDescent="0.25">
      <c r="A654" s="21" t="s">
        <v>52</v>
      </c>
    </row>
    <row r="655" spans="1:1" x14ac:dyDescent="0.25">
      <c r="A655" s="22" t="s">
        <v>52</v>
      </c>
    </row>
    <row r="656" spans="1:1" x14ac:dyDescent="0.25">
      <c r="A656" s="23" t="s">
        <v>52</v>
      </c>
    </row>
    <row r="657" spans="1:1" x14ac:dyDescent="0.25">
      <c r="A657" s="24" t="s">
        <v>52</v>
      </c>
    </row>
    <row r="658" spans="1:1" x14ac:dyDescent="0.25">
      <c r="A658" s="25" t="s">
        <v>52</v>
      </c>
    </row>
    <row r="659" spans="1:1" x14ac:dyDescent="0.25">
      <c r="A659" s="26" t="s">
        <v>52</v>
      </c>
    </row>
    <row r="660" spans="1:1" x14ac:dyDescent="0.25">
      <c r="A660" s="27" t="s">
        <v>52</v>
      </c>
    </row>
    <row r="661" spans="1:1" x14ac:dyDescent="0.25">
      <c r="A661" s="28" t="s">
        <v>52</v>
      </c>
    </row>
    <row r="662" spans="1:1" x14ac:dyDescent="0.25">
      <c r="A662" s="29" t="s">
        <v>52</v>
      </c>
    </row>
    <row r="663" spans="1:1" x14ac:dyDescent="0.25">
      <c r="A663" s="30" t="s">
        <v>169</v>
      </c>
    </row>
    <row r="664" spans="1:1" x14ac:dyDescent="0.25">
      <c r="A664" s="31" t="s">
        <v>52</v>
      </c>
    </row>
    <row r="665" spans="1:1" x14ac:dyDescent="0.25">
      <c r="A665" s="32" t="s">
        <v>52</v>
      </c>
    </row>
    <row r="666" spans="1:1" x14ac:dyDescent="0.25">
      <c r="A666" s="33" t="s">
        <v>52</v>
      </c>
    </row>
    <row r="667" spans="1:1" x14ac:dyDescent="0.25">
      <c r="A667" s="34" t="s">
        <v>52</v>
      </c>
    </row>
    <row r="668" spans="1:1" x14ac:dyDescent="0.25">
      <c r="A668" s="35" t="s">
        <v>52</v>
      </c>
    </row>
    <row r="669" spans="1:1" x14ac:dyDescent="0.25">
      <c r="A669" s="36" t="s">
        <v>52</v>
      </c>
    </row>
    <row r="670" spans="1:1" x14ac:dyDescent="0.25">
      <c r="A670" s="37" t="s">
        <v>52</v>
      </c>
    </row>
    <row r="671" spans="1:1" x14ac:dyDescent="0.25">
      <c r="A671" s="38" t="s">
        <v>52</v>
      </c>
    </row>
    <row r="672" spans="1:1" x14ac:dyDescent="0.25">
      <c r="A672" s="39" t="s">
        <v>52</v>
      </c>
    </row>
    <row r="673" spans="1:1" x14ac:dyDescent="0.25">
      <c r="A673" s="40" t="s">
        <v>52</v>
      </c>
    </row>
    <row r="674" spans="1:1" x14ac:dyDescent="0.25">
      <c r="A674" s="41" t="s">
        <v>52</v>
      </c>
    </row>
    <row r="675" spans="1:1" x14ac:dyDescent="0.25">
      <c r="A675" s="42" t="s">
        <v>52</v>
      </c>
    </row>
    <row r="676" spans="1:1" x14ac:dyDescent="0.25">
      <c r="A676" s="43" t="s">
        <v>52</v>
      </c>
    </row>
    <row r="677" spans="1:1" x14ac:dyDescent="0.25">
      <c r="A677" s="44" t="s">
        <v>52</v>
      </c>
    </row>
    <row r="678" spans="1:1" x14ac:dyDescent="0.25">
      <c r="A678" s="45" t="s">
        <v>52</v>
      </c>
    </row>
    <row r="679" spans="1:1" x14ac:dyDescent="0.25">
      <c r="A679" s="46" t="s">
        <v>52</v>
      </c>
    </row>
    <row r="680" spans="1:1" x14ac:dyDescent="0.25">
      <c r="A680" s="47" t="s">
        <v>52</v>
      </c>
    </row>
    <row r="681" spans="1:1" x14ac:dyDescent="0.25">
      <c r="A681" s="48" t="s">
        <v>52</v>
      </c>
    </row>
    <row r="682" spans="1:1" x14ac:dyDescent="0.25">
      <c r="A682" s="49" t="s">
        <v>52</v>
      </c>
    </row>
    <row r="683" spans="1:1" x14ac:dyDescent="0.25">
      <c r="A683" s="50" t="s">
        <v>52</v>
      </c>
    </row>
    <row r="684" spans="1:1" x14ac:dyDescent="0.25">
      <c r="A684" s="51" t="s">
        <v>52</v>
      </c>
    </row>
    <row r="685" spans="1:1" x14ac:dyDescent="0.25">
      <c r="A685" s="52" t="s">
        <v>52</v>
      </c>
    </row>
    <row r="686" spans="1:1" x14ac:dyDescent="0.25">
      <c r="A686" s="53" t="s">
        <v>52</v>
      </c>
    </row>
    <row r="687" spans="1:1" x14ac:dyDescent="0.25">
      <c r="A687" s="54" t="s">
        <v>52</v>
      </c>
    </row>
    <row r="688" spans="1:1" x14ac:dyDescent="0.25">
      <c r="A688" s="55" t="s">
        <v>52</v>
      </c>
    </row>
    <row r="689" spans="1:1" x14ac:dyDescent="0.25">
      <c r="A689" s="56" t="s">
        <v>52</v>
      </c>
    </row>
    <row r="690" spans="1:1" x14ac:dyDescent="0.25">
      <c r="A690" s="57" t="s">
        <v>52</v>
      </c>
    </row>
    <row r="691" spans="1:1" x14ac:dyDescent="0.25">
      <c r="A691" s="58" t="s">
        <v>52</v>
      </c>
    </row>
    <row r="692" spans="1:1" x14ac:dyDescent="0.25">
      <c r="A692" s="59" t="s">
        <v>52</v>
      </c>
    </row>
    <row r="693" spans="1:1" x14ac:dyDescent="0.25">
      <c r="A693" s="60" t="s">
        <v>52</v>
      </c>
    </row>
    <row r="694" spans="1:1" x14ac:dyDescent="0.25">
      <c r="A694" s="61" t="s">
        <v>52</v>
      </c>
    </row>
    <row r="695" spans="1:1" x14ac:dyDescent="0.25">
      <c r="A695" s="62" t="s">
        <v>52</v>
      </c>
    </row>
    <row r="696" spans="1:1" x14ac:dyDescent="0.25">
      <c r="A696" s="63" t="s">
        <v>52</v>
      </c>
    </row>
    <row r="697" spans="1:1" x14ac:dyDescent="0.25">
      <c r="A697" s="64" t="s">
        <v>52</v>
      </c>
    </row>
    <row r="698" spans="1:1" x14ac:dyDescent="0.25">
      <c r="A698" s="65" t="s">
        <v>52</v>
      </c>
    </row>
    <row r="699" spans="1:1" x14ac:dyDescent="0.25">
      <c r="A699" s="66" t="s">
        <v>52</v>
      </c>
    </row>
    <row r="700" spans="1:1" x14ac:dyDescent="0.25">
      <c r="A700" s="67" t="s">
        <v>52</v>
      </c>
    </row>
    <row r="701" spans="1:1" x14ac:dyDescent="0.25">
      <c r="A701" s="68" t="s">
        <v>52</v>
      </c>
    </row>
    <row r="702" spans="1:1" x14ac:dyDescent="0.25">
      <c r="A702" s="69" t="s">
        <v>52</v>
      </c>
    </row>
    <row r="703" spans="1:1" x14ac:dyDescent="0.25">
      <c r="A703" s="70" t="s">
        <v>52</v>
      </c>
    </row>
    <row r="704" spans="1:1" x14ac:dyDescent="0.25">
      <c r="A704" s="71" t="s">
        <v>52</v>
      </c>
    </row>
    <row r="705" spans="1:1" x14ac:dyDescent="0.25">
      <c r="A705" s="72" t="s">
        <v>52</v>
      </c>
    </row>
    <row r="706" spans="1:1" x14ac:dyDescent="0.25">
      <c r="A706" s="73" t="s">
        <v>52</v>
      </c>
    </row>
    <row r="707" spans="1:1" x14ac:dyDescent="0.25">
      <c r="A707" s="74" t="s">
        <v>52</v>
      </c>
    </row>
    <row r="708" spans="1:1" x14ac:dyDescent="0.25">
      <c r="A708" s="75" t="s">
        <v>52</v>
      </c>
    </row>
    <row r="709" spans="1:1" x14ac:dyDescent="0.25">
      <c r="A709" s="76" t="s">
        <v>52</v>
      </c>
    </row>
    <row r="710" spans="1:1" x14ac:dyDescent="0.25">
      <c r="A710" s="77" t="s">
        <v>52</v>
      </c>
    </row>
    <row r="711" spans="1:1" x14ac:dyDescent="0.25">
      <c r="A711" s="78" t="s">
        <v>52</v>
      </c>
    </row>
    <row r="712" spans="1:1" x14ac:dyDescent="0.25">
      <c r="A712" s="79" t="s">
        <v>52</v>
      </c>
    </row>
    <row r="713" spans="1:1" x14ac:dyDescent="0.25">
      <c r="A713" s="80" t="s">
        <v>52</v>
      </c>
    </row>
    <row r="714" spans="1:1" x14ac:dyDescent="0.25">
      <c r="A714" s="81" t="s">
        <v>52</v>
      </c>
    </row>
    <row r="715" spans="1:1" x14ac:dyDescent="0.25">
      <c r="A715" s="82" t="s">
        <v>52</v>
      </c>
    </row>
    <row r="716" spans="1:1" x14ac:dyDescent="0.25">
      <c r="A716" s="83" t="s">
        <v>52</v>
      </c>
    </row>
    <row r="717" spans="1:1" x14ac:dyDescent="0.25">
      <c r="A717" s="84" t="s">
        <v>52</v>
      </c>
    </row>
    <row r="718" spans="1:1" x14ac:dyDescent="0.25">
      <c r="A718" s="85" t="s">
        <v>52</v>
      </c>
    </row>
    <row r="719" spans="1:1" x14ac:dyDescent="0.25">
      <c r="A719" s="86" t="s">
        <v>52</v>
      </c>
    </row>
    <row r="720" spans="1:1" x14ac:dyDescent="0.25">
      <c r="A720" s="87" t="s">
        <v>52</v>
      </c>
    </row>
    <row r="721" spans="1:1" x14ac:dyDescent="0.25">
      <c r="A721" s="88" t="s">
        <v>52</v>
      </c>
    </row>
    <row r="722" spans="1:1" x14ac:dyDescent="0.25">
      <c r="A722" s="89" t="s">
        <v>52</v>
      </c>
    </row>
    <row r="723" spans="1:1" x14ac:dyDescent="0.25">
      <c r="A723" s="90" t="s">
        <v>52</v>
      </c>
    </row>
    <row r="724" spans="1:1" x14ac:dyDescent="0.25">
      <c r="A724" s="19" t="s">
        <v>700</v>
      </c>
    </row>
    <row r="725" spans="1:1" x14ac:dyDescent="0.25">
      <c r="A725" s="20" t="s">
        <v>52</v>
      </c>
    </row>
    <row r="726" spans="1:1" x14ac:dyDescent="0.25">
      <c r="A726" s="21" t="s">
        <v>52</v>
      </c>
    </row>
    <row r="727" spans="1:1" x14ac:dyDescent="0.25">
      <c r="A727" s="22" t="s">
        <v>52</v>
      </c>
    </row>
    <row r="728" spans="1:1" x14ac:dyDescent="0.25">
      <c r="A728" s="23" t="s">
        <v>52</v>
      </c>
    </row>
    <row r="729" spans="1:1" x14ac:dyDescent="0.25">
      <c r="A729" s="24" t="s">
        <v>52</v>
      </c>
    </row>
    <row r="730" spans="1:1" x14ac:dyDescent="0.25">
      <c r="A730" s="25" t="s">
        <v>52</v>
      </c>
    </row>
    <row r="731" spans="1:1" x14ac:dyDescent="0.25">
      <c r="A731" s="26" t="s">
        <v>52</v>
      </c>
    </row>
    <row r="732" spans="1:1" x14ac:dyDescent="0.25">
      <c r="A732" s="27" t="s">
        <v>52</v>
      </c>
    </row>
    <row r="733" spans="1:1" x14ac:dyDescent="0.25">
      <c r="A733" s="28" t="s">
        <v>52</v>
      </c>
    </row>
    <row r="734" spans="1:1" x14ac:dyDescent="0.25">
      <c r="A734" s="29" t="s">
        <v>52</v>
      </c>
    </row>
    <row r="735" spans="1:1" x14ac:dyDescent="0.25">
      <c r="A735" s="30" t="s">
        <v>170</v>
      </c>
    </row>
    <row r="736" spans="1:1" x14ac:dyDescent="0.25">
      <c r="A736" s="31" t="s">
        <v>52</v>
      </c>
    </row>
    <row r="737" spans="1:1" x14ac:dyDescent="0.25">
      <c r="A737" s="32" t="s">
        <v>52</v>
      </c>
    </row>
    <row r="738" spans="1:1" x14ac:dyDescent="0.25">
      <c r="A738" s="33" t="s">
        <v>52</v>
      </c>
    </row>
    <row r="739" spans="1:1" x14ac:dyDescent="0.25">
      <c r="A739" s="34" t="s">
        <v>52</v>
      </c>
    </row>
    <row r="740" spans="1:1" x14ac:dyDescent="0.25">
      <c r="A740" s="35" t="s">
        <v>52</v>
      </c>
    </row>
    <row r="741" spans="1:1" x14ac:dyDescent="0.25">
      <c r="A741" s="36" t="s">
        <v>52</v>
      </c>
    </row>
    <row r="742" spans="1:1" x14ac:dyDescent="0.25">
      <c r="A742" s="37" t="s">
        <v>52</v>
      </c>
    </row>
    <row r="743" spans="1:1" x14ac:dyDescent="0.25">
      <c r="A743" s="38" t="s">
        <v>52</v>
      </c>
    </row>
    <row r="744" spans="1:1" x14ac:dyDescent="0.25">
      <c r="A744" s="39" t="s">
        <v>52</v>
      </c>
    </row>
    <row r="745" spans="1:1" x14ac:dyDescent="0.25">
      <c r="A745" s="40" t="s">
        <v>52</v>
      </c>
    </row>
    <row r="746" spans="1:1" x14ac:dyDescent="0.25">
      <c r="A746" s="41" t="s">
        <v>52</v>
      </c>
    </row>
    <row r="747" spans="1:1" x14ac:dyDescent="0.25">
      <c r="A747" s="42" t="s">
        <v>52</v>
      </c>
    </row>
    <row r="748" spans="1:1" x14ac:dyDescent="0.25">
      <c r="A748" s="43" t="s">
        <v>52</v>
      </c>
    </row>
    <row r="749" spans="1:1" x14ac:dyDescent="0.25">
      <c r="A749" s="44" t="s">
        <v>52</v>
      </c>
    </row>
    <row r="750" spans="1:1" x14ac:dyDescent="0.25">
      <c r="A750" s="45" t="s">
        <v>52</v>
      </c>
    </row>
    <row r="751" spans="1:1" x14ac:dyDescent="0.25">
      <c r="A751" s="46" t="s">
        <v>52</v>
      </c>
    </row>
    <row r="752" spans="1:1" x14ac:dyDescent="0.25">
      <c r="A752" s="47" t="s">
        <v>52</v>
      </c>
    </row>
    <row r="753" spans="1:1" x14ac:dyDescent="0.25">
      <c r="A753" s="48" t="s">
        <v>52</v>
      </c>
    </row>
    <row r="754" spans="1:1" x14ac:dyDescent="0.25">
      <c r="A754" s="49" t="s">
        <v>52</v>
      </c>
    </row>
    <row r="755" spans="1:1" x14ac:dyDescent="0.25">
      <c r="A755" s="50" t="s">
        <v>52</v>
      </c>
    </row>
    <row r="756" spans="1:1" x14ac:dyDescent="0.25">
      <c r="A756" s="51" t="s">
        <v>52</v>
      </c>
    </row>
    <row r="757" spans="1:1" x14ac:dyDescent="0.25">
      <c r="A757" s="52" t="s">
        <v>52</v>
      </c>
    </row>
    <row r="758" spans="1:1" x14ac:dyDescent="0.25">
      <c r="A758" s="53" t="s">
        <v>52</v>
      </c>
    </row>
    <row r="759" spans="1:1" x14ac:dyDescent="0.25">
      <c r="A759" s="54" t="s">
        <v>52</v>
      </c>
    </row>
    <row r="760" spans="1:1" x14ac:dyDescent="0.25">
      <c r="A760" s="55" t="s">
        <v>52</v>
      </c>
    </row>
    <row r="761" spans="1:1" x14ac:dyDescent="0.25">
      <c r="A761" s="56" t="s">
        <v>52</v>
      </c>
    </row>
    <row r="762" spans="1:1" x14ac:dyDescent="0.25">
      <c r="A762" s="57" t="s">
        <v>52</v>
      </c>
    </row>
    <row r="763" spans="1:1" x14ac:dyDescent="0.25">
      <c r="A763" s="58" t="s">
        <v>52</v>
      </c>
    </row>
    <row r="764" spans="1:1" x14ac:dyDescent="0.25">
      <c r="A764" s="59" t="s">
        <v>52</v>
      </c>
    </row>
    <row r="765" spans="1:1" x14ac:dyDescent="0.25">
      <c r="A765" s="60" t="s">
        <v>52</v>
      </c>
    </row>
    <row r="766" spans="1:1" x14ac:dyDescent="0.25">
      <c r="A766" s="61" t="s">
        <v>52</v>
      </c>
    </row>
    <row r="767" spans="1:1" x14ac:dyDescent="0.25">
      <c r="A767" s="62" t="s">
        <v>52</v>
      </c>
    </row>
    <row r="768" spans="1:1" x14ac:dyDescent="0.25">
      <c r="A768" s="63" t="s">
        <v>52</v>
      </c>
    </row>
    <row r="769" spans="1:1" x14ac:dyDescent="0.25">
      <c r="A769" s="64" t="s">
        <v>52</v>
      </c>
    </row>
    <row r="770" spans="1:1" x14ac:dyDescent="0.25">
      <c r="A770" s="65" t="s">
        <v>52</v>
      </c>
    </row>
    <row r="771" spans="1:1" x14ac:dyDescent="0.25">
      <c r="A771" s="66" t="s">
        <v>52</v>
      </c>
    </row>
    <row r="772" spans="1:1" x14ac:dyDescent="0.25">
      <c r="A772" s="67" t="s">
        <v>52</v>
      </c>
    </row>
    <row r="773" spans="1:1" x14ac:dyDescent="0.25">
      <c r="A773" s="68" t="s">
        <v>52</v>
      </c>
    </row>
    <row r="774" spans="1:1" x14ac:dyDescent="0.25">
      <c r="A774" s="69" t="s">
        <v>52</v>
      </c>
    </row>
    <row r="775" spans="1:1" x14ac:dyDescent="0.25">
      <c r="A775" s="70" t="s">
        <v>52</v>
      </c>
    </row>
    <row r="776" spans="1:1" x14ac:dyDescent="0.25">
      <c r="A776" s="71" t="s">
        <v>52</v>
      </c>
    </row>
    <row r="777" spans="1:1" x14ac:dyDescent="0.25">
      <c r="A777" s="72" t="s">
        <v>52</v>
      </c>
    </row>
    <row r="778" spans="1:1" x14ac:dyDescent="0.25">
      <c r="A778" s="73" t="s">
        <v>52</v>
      </c>
    </row>
    <row r="779" spans="1:1" x14ac:dyDescent="0.25">
      <c r="A779" s="74" t="s">
        <v>52</v>
      </c>
    </row>
    <row r="780" spans="1:1" x14ac:dyDescent="0.25">
      <c r="A780" s="75" t="s">
        <v>52</v>
      </c>
    </row>
    <row r="781" spans="1:1" x14ac:dyDescent="0.25">
      <c r="A781" s="76" t="s">
        <v>52</v>
      </c>
    </row>
    <row r="782" spans="1:1" x14ac:dyDescent="0.25">
      <c r="A782" s="77" t="s">
        <v>52</v>
      </c>
    </row>
    <row r="783" spans="1:1" x14ac:dyDescent="0.25">
      <c r="A783" s="78" t="s">
        <v>52</v>
      </c>
    </row>
    <row r="784" spans="1:1" x14ac:dyDescent="0.25">
      <c r="A784" s="79" t="s">
        <v>52</v>
      </c>
    </row>
    <row r="785" spans="1:1" x14ac:dyDescent="0.25">
      <c r="A785" s="80" t="s">
        <v>52</v>
      </c>
    </row>
    <row r="786" spans="1:1" x14ac:dyDescent="0.25">
      <c r="A786" s="81" t="s">
        <v>52</v>
      </c>
    </row>
    <row r="787" spans="1:1" x14ac:dyDescent="0.25">
      <c r="A787" s="82" t="s">
        <v>52</v>
      </c>
    </row>
    <row r="788" spans="1:1" x14ac:dyDescent="0.25">
      <c r="A788" s="83" t="s">
        <v>52</v>
      </c>
    </row>
    <row r="789" spans="1:1" x14ac:dyDescent="0.25">
      <c r="A789" s="84" t="s">
        <v>52</v>
      </c>
    </row>
    <row r="790" spans="1:1" x14ac:dyDescent="0.25">
      <c r="A790" s="85" t="s">
        <v>52</v>
      </c>
    </row>
    <row r="791" spans="1:1" x14ac:dyDescent="0.25">
      <c r="A791" s="86" t="s">
        <v>52</v>
      </c>
    </row>
    <row r="792" spans="1:1" x14ac:dyDescent="0.25">
      <c r="A792" s="87" t="s">
        <v>52</v>
      </c>
    </row>
    <row r="793" spans="1:1" x14ac:dyDescent="0.25">
      <c r="A793" s="88" t="s">
        <v>52</v>
      </c>
    </row>
    <row r="794" spans="1:1" x14ac:dyDescent="0.25">
      <c r="A794" s="89" t="s">
        <v>52</v>
      </c>
    </row>
    <row r="795" spans="1:1" x14ac:dyDescent="0.25">
      <c r="A795" s="90" t="s">
        <v>52</v>
      </c>
    </row>
    <row r="796" spans="1:1" x14ac:dyDescent="0.25">
      <c r="A796" s="10" t="s">
        <v>6</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1026"/>
  <sheetViews>
    <sheetView topLeftCell="A998" workbookViewId="0">
      <selection activeCell="A2" sqref="A2:A1025"/>
    </sheetView>
  </sheetViews>
  <sheetFormatPr defaultRowHeight="15" x14ac:dyDescent="0.25"/>
  <cols>
    <col min="1" max="1" width="255.7109375" bestFit="1" customWidth="1"/>
  </cols>
  <sheetData>
    <row r="1" spans="1:1" x14ac:dyDescent="0.25">
      <c r="A1" s="11" t="s">
        <v>5</v>
      </c>
    </row>
    <row r="2" spans="1:1" x14ac:dyDescent="0.25">
      <c r="A2" s="10" t="s">
        <v>25</v>
      </c>
    </row>
    <row r="3" spans="1:1" x14ac:dyDescent="0.25">
      <c r="A3" s="18" t="s">
        <v>52</v>
      </c>
    </row>
    <row r="4" spans="1:1" x14ac:dyDescent="0.25">
      <c r="A4" s="19" t="s">
        <v>52</v>
      </c>
    </row>
    <row r="5" spans="1:1" x14ac:dyDescent="0.25">
      <c r="A5" s="20" t="s">
        <v>52</v>
      </c>
    </row>
    <row r="6" spans="1:1" x14ac:dyDescent="0.25">
      <c r="A6" s="21" t="s">
        <v>52</v>
      </c>
    </row>
    <row r="7" spans="1:1" x14ac:dyDescent="0.25">
      <c r="A7" s="22" t="s">
        <v>52</v>
      </c>
    </row>
    <row r="8" spans="1:1" x14ac:dyDescent="0.25">
      <c r="A8" s="23" t="s">
        <v>52</v>
      </c>
    </row>
    <row r="9" spans="1:1" x14ac:dyDescent="0.25">
      <c r="A9" s="24" t="s">
        <v>52</v>
      </c>
    </row>
    <row r="10" spans="1:1" x14ac:dyDescent="0.25">
      <c r="A10" s="25" t="s">
        <v>52</v>
      </c>
    </row>
    <row r="11" spans="1:1" x14ac:dyDescent="0.25">
      <c r="A11" s="26" t="s">
        <v>52</v>
      </c>
    </row>
    <row r="12" spans="1:1" x14ac:dyDescent="0.25">
      <c r="A12" s="27" t="s">
        <v>701</v>
      </c>
    </row>
    <row r="13" spans="1:1" x14ac:dyDescent="0.25">
      <c r="A13" s="28" t="s">
        <v>52</v>
      </c>
    </row>
    <row r="14" spans="1:1" x14ac:dyDescent="0.25">
      <c r="A14" s="29" t="s">
        <v>52</v>
      </c>
    </row>
    <row r="15" spans="1:1" x14ac:dyDescent="0.25">
      <c r="A15" s="30" t="s">
        <v>52</v>
      </c>
    </row>
    <row r="16" spans="1:1" x14ac:dyDescent="0.25">
      <c r="A16" s="31" t="s">
        <v>52</v>
      </c>
    </row>
    <row r="17" spans="1:1" x14ac:dyDescent="0.25">
      <c r="A17" s="32" t="s">
        <v>52</v>
      </c>
    </row>
    <row r="18" spans="1:1" x14ac:dyDescent="0.25">
      <c r="A18" s="33" t="s">
        <v>52</v>
      </c>
    </row>
    <row r="19" spans="1:1" x14ac:dyDescent="0.25">
      <c r="A19" s="34" t="s">
        <v>52</v>
      </c>
    </row>
    <row r="20" spans="1:1" x14ac:dyDescent="0.25">
      <c r="A20" s="35" t="s">
        <v>52</v>
      </c>
    </row>
    <row r="21" spans="1:1" x14ac:dyDescent="0.25">
      <c r="A21" s="36" t="s">
        <v>52</v>
      </c>
    </row>
    <row r="22" spans="1:1" x14ac:dyDescent="0.25">
      <c r="A22" s="37" t="s">
        <v>52</v>
      </c>
    </row>
    <row r="23" spans="1:1" x14ac:dyDescent="0.25">
      <c r="A23" s="38" t="s">
        <v>52</v>
      </c>
    </row>
    <row r="24" spans="1:1" x14ac:dyDescent="0.25">
      <c r="A24" s="39" t="s">
        <v>52</v>
      </c>
    </row>
    <row r="25" spans="1:1" x14ac:dyDescent="0.25">
      <c r="A25" s="40" t="s">
        <v>52</v>
      </c>
    </row>
    <row r="26" spans="1:1" x14ac:dyDescent="0.25">
      <c r="A26" s="41" t="s">
        <v>52</v>
      </c>
    </row>
    <row r="27" spans="1:1" x14ac:dyDescent="0.25">
      <c r="A27" s="42" t="s">
        <v>52</v>
      </c>
    </row>
    <row r="28" spans="1:1" x14ac:dyDescent="0.25">
      <c r="A28" s="43" t="s">
        <v>52</v>
      </c>
    </row>
    <row r="29" spans="1:1" x14ac:dyDescent="0.25">
      <c r="A29" s="44" t="s">
        <v>52</v>
      </c>
    </row>
    <row r="30" spans="1:1" x14ac:dyDescent="0.25">
      <c r="A30" s="45" t="s">
        <v>52</v>
      </c>
    </row>
    <row r="31" spans="1:1" x14ac:dyDescent="0.25">
      <c r="A31" s="46" t="s">
        <v>52</v>
      </c>
    </row>
    <row r="32" spans="1:1" x14ac:dyDescent="0.25">
      <c r="A32" s="47" t="s">
        <v>52</v>
      </c>
    </row>
    <row r="33" spans="1:1" x14ac:dyDescent="0.25">
      <c r="A33" s="48" t="s">
        <v>702</v>
      </c>
    </row>
    <row r="34" spans="1:1" x14ac:dyDescent="0.25">
      <c r="A34" s="49" t="s">
        <v>52</v>
      </c>
    </row>
    <row r="35" spans="1:1" x14ac:dyDescent="0.25">
      <c r="A35" s="50" t="s">
        <v>52</v>
      </c>
    </row>
    <row r="36" spans="1:1" x14ac:dyDescent="0.25">
      <c r="A36" s="51" t="s">
        <v>52</v>
      </c>
    </row>
    <row r="37" spans="1:1" x14ac:dyDescent="0.25">
      <c r="A37" s="52" t="s">
        <v>52</v>
      </c>
    </row>
    <row r="38" spans="1:1" x14ac:dyDescent="0.25">
      <c r="A38" s="53" t="s">
        <v>52</v>
      </c>
    </row>
    <row r="39" spans="1:1" x14ac:dyDescent="0.25">
      <c r="A39" s="54" t="s">
        <v>52</v>
      </c>
    </row>
    <row r="40" spans="1:1" x14ac:dyDescent="0.25">
      <c r="A40" s="55" t="s">
        <v>52</v>
      </c>
    </row>
    <row r="41" spans="1:1" x14ac:dyDescent="0.25">
      <c r="A41" s="56" t="s">
        <v>52</v>
      </c>
    </row>
    <row r="42" spans="1:1" x14ac:dyDescent="0.25">
      <c r="A42" s="57" t="s">
        <v>52</v>
      </c>
    </row>
    <row r="43" spans="1:1" x14ac:dyDescent="0.25">
      <c r="A43" s="58" t="s">
        <v>52</v>
      </c>
    </row>
    <row r="44" spans="1:1" x14ac:dyDescent="0.25">
      <c r="A44" s="59" t="s">
        <v>52</v>
      </c>
    </row>
    <row r="45" spans="1:1" x14ac:dyDescent="0.25">
      <c r="A45" s="60" t="s">
        <v>52</v>
      </c>
    </row>
    <row r="46" spans="1:1" x14ac:dyDescent="0.25">
      <c r="A46" s="61" t="s">
        <v>52</v>
      </c>
    </row>
    <row r="47" spans="1:1" x14ac:dyDescent="0.25">
      <c r="A47" s="62" t="s">
        <v>52</v>
      </c>
    </row>
    <row r="48" spans="1:1" x14ac:dyDescent="0.25">
      <c r="A48" s="63" t="s">
        <v>52</v>
      </c>
    </row>
    <row r="49" spans="1:1" x14ac:dyDescent="0.25">
      <c r="A49" s="64" t="s">
        <v>52</v>
      </c>
    </row>
    <row r="50" spans="1:1" x14ac:dyDescent="0.25">
      <c r="A50" s="65" t="s">
        <v>52</v>
      </c>
    </row>
    <row r="51" spans="1:1" x14ac:dyDescent="0.25">
      <c r="A51" s="66" t="s">
        <v>52</v>
      </c>
    </row>
    <row r="52" spans="1:1" x14ac:dyDescent="0.25">
      <c r="A52" s="67" t="s">
        <v>52</v>
      </c>
    </row>
    <row r="53" spans="1:1" x14ac:dyDescent="0.25">
      <c r="A53" s="68" t="s">
        <v>52</v>
      </c>
    </row>
    <row r="54" spans="1:1" x14ac:dyDescent="0.25">
      <c r="A54" s="69" t="s">
        <v>52</v>
      </c>
    </row>
    <row r="55" spans="1:1" x14ac:dyDescent="0.25">
      <c r="A55" s="70" t="s">
        <v>52</v>
      </c>
    </row>
    <row r="56" spans="1:1" x14ac:dyDescent="0.25">
      <c r="A56" s="71" t="s">
        <v>52</v>
      </c>
    </row>
    <row r="57" spans="1:1" x14ac:dyDescent="0.25">
      <c r="A57" s="72" t="s">
        <v>52</v>
      </c>
    </row>
    <row r="58" spans="1:1" x14ac:dyDescent="0.25">
      <c r="A58" s="73" t="s">
        <v>52</v>
      </c>
    </row>
    <row r="59" spans="1:1" x14ac:dyDescent="0.25">
      <c r="A59" s="74" t="s">
        <v>52</v>
      </c>
    </row>
    <row r="60" spans="1:1" x14ac:dyDescent="0.25">
      <c r="A60" s="75" t="s">
        <v>52</v>
      </c>
    </row>
    <row r="61" spans="1:1" x14ac:dyDescent="0.25">
      <c r="A61" s="76" t="s">
        <v>52</v>
      </c>
    </row>
    <row r="62" spans="1:1" x14ac:dyDescent="0.25">
      <c r="A62" s="77" t="s">
        <v>52</v>
      </c>
    </row>
    <row r="63" spans="1:1" x14ac:dyDescent="0.25">
      <c r="A63" s="78" t="s">
        <v>52</v>
      </c>
    </row>
    <row r="64" spans="1:1" x14ac:dyDescent="0.25">
      <c r="A64" s="79" t="s">
        <v>52</v>
      </c>
    </row>
    <row r="65" spans="1:1" x14ac:dyDescent="0.25">
      <c r="A65" s="80" t="s">
        <v>52</v>
      </c>
    </row>
    <row r="66" spans="1:1" x14ac:dyDescent="0.25">
      <c r="A66" s="81" t="s">
        <v>52</v>
      </c>
    </row>
    <row r="67" spans="1:1" x14ac:dyDescent="0.25">
      <c r="A67" s="82" t="s">
        <v>52</v>
      </c>
    </row>
    <row r="68" spans="1:1" x14ac:dyDescent="0.25">
      <c r="A68" s="83" t="s">
        <v>52</v>
      </c>
    </row>
    <row r="69" spans="1:1" x14ac:dyDescent="0.25">
      <c r="A69" s="84" t="s">
        <v>52</v>
      </c>
    </row>
    <row r="70" spans="1:1" x14ac:dyDescent="0.25">
      <c r="A70" s="85" t="s">
        <v>52</v>
      </c>
    </row>
    <row r="71" spans="1:1" x14ac:dyDescent="0.25">
      <c r="A71" s="86" t="s">
        <v>52</v>
      </c>
    </row>
    <row r="72" spans="1:1" x14ac:dyDescent="0.25">
      <c r="A72" s="87" t="s">
        <v>52</v>
      </c>
    </row>
    <row r="73" spans="1:1" x14ac:dyDescent="0.25">
      <c r="A73" s="88" t="s">
        <v>52</v>
      </c>
    </row>
    <row r="74" spans="1:1" x14ac:dyDescent="0.25">
      <c r="A74" s="89" t="s">
        <v>52</v>
      </c>
    </row>
    <row r="75" spans="1:1" x14ac:dyDescent="0.25">
      <c r="A75" s="90" t="s">
        <v>52</v>
      </c>
    </row>
    <row r="76" spans="1:1" x14ac:dyDescent="0.25">
      <c r="A76" s="120" t="s">
        <v>52</v>
      </c>
    </row>
    <row r="77" spans="1:1" x14ac:dyDescent="0.25">
      <c r="A77" s="121" t="s">
        <v>52</v>
      </c>
    </row>
    <row r="78" spans="1:1" x14ac:dyDescent="0.25">
      <c r="A78" s="122" t="s">
        <v>52</v>
      </c>
    </row>
    <row r="79" spans="1:1" x14ac:dyDescent="0.25">
      <c r="A79" s="123" t="s">
        <v>52</v>
      </c>
    </row>
    <row r="80" spans="1:1" x14ac:dyDescent="0.25">
      <c r="A80" s="124" t="s">
        <v>52</v>
      </c>
    </row>
    <row r="81" spans="1:1" x14ac:dyDescent="0.25">
      <c r="A81" s="125" t="s">
        <v>52</v>
      </c>
    </row>
    <row r="82" spans="1:1" x14ac:dyDescent="0.25">
      <c r="A82" s="126" t="s">
        <v>52</v>
      </c>
    </row>
    <row r="83" spans="1:1" x14ac:dyDescent="0.25">
      <c r="A83" s="127" t="s">
        <v>52</v>
      </c>
    </row>
    <row r="84" spans="1:1" x14ac:dyDescent="0.25">
      <c r="A84" s="128" t="s">
        <v>52</v>
      </c>
    </row>
    <row r="85" spans="1:1" x14ac:dyDescent="0.25">
      <c r="A85" s="129" t="s">
        <v>52</v>
      </c>
    </row>
    <row r="86" spans="1:1" x14ac:dyDescent="0.25">
      <c r="A86" s="130" t="s">
        <v>52</v>
      </c>
    </row>
    <row r="87" spans="1:1" x14ac:dyDescent="0.25">
      <c r="A87" s="131" t="s">
        <v>52</v>
      </c>
    </row>
    <row r="88" spans="1:1" x14ac:dyDescent="0.25">
      <c r="A88" s="132" t="s">
        <v>52</v>
      </c>
    </row>
    <row r="89" spans="1:1" x14ac:dyDescent="0.25">
      <c r="A89" s="133" t="s">
        <v>52</v>
      </c>
    </row>
    <row r="90" spans="1:1" x14ac:dyDescent="0.25">
      <c r="A90" s="134" t="s">
        <v>52</v>
      </c>
    </row>
    <row r="91" spans="1:1" x14ac:dyDescent="0.25">
      <c r="A91" s="135" t="s">
        <v>52</v>
      </c>
    </row>
    <row r="92" spans="1:1" x14ac:dyDescent="0.25">
      <c r="A92" s="136" t="s">
        <v>52</v>
      </c>
    </row>
    <row r="93" spans="1:1" x14ac:dyDescent="0.25">
      <c r="A93" s="137" t="s">
        <v>52</v>
      </c>
    </row>
    <row r="94" spans="1:1" x14ac:dyDescent="0.25">
      <c r="A94" s="138" t="s">
        <v>52</v>
      </c>
    </row>
    <row r="95" spans="1:1" x14ac:dyDescent="0.25">
      <c r="A95" s="139" t="s">
        <v>52</v>
      </c>
    </row>
    <row r="96" spans="1:1" x14ac:dyDescent="0.25">
      <c r="A96" s="18" t="s">
        <v>171</v>
      </c>
    </row>
    <row r="97" spans="1:1" x14ac:dyDescent="0.25">
      <c r="A97" s="19" t="s">
        <v>52</v>
      </c>
    </row>
    <row r="98" spans="1:1" x14ac:dyDescent="0.25">
      <c r="A98" s="20" t="s">
        <v>52</v>
      </c>
    </row>
    <row r="99" spans="1:1" x14ac:dyDescent="0.25">
      <c r="A99" s="21" t="s">
        <v>52</v>
      </c>
    </row>
    <row r="100" spans="1:1" x14ac:dyDescent="0.25">
      <c r="A100" s="22" t="s">
        <v>52</v>
      </c>
    </row>
    <row r="101" spans="1:1" x14ac:dyDescent="0.25">
      <c r="A101" s="23" t="s">
        <v>52</v>
      </c>
    </row>
    <row r="102" spans="1:1" x14ac:dyDescent="0.25">
      <c r="A102" s="24" t="s">
        <v>52</v>
      </c>
    </row>
    <row r="103" spans="1:1" x14ac:dyDescent="0.25">
      <c r="A103" s="25" t="s">
        <v>52</v>
      </c>
    </row>
    <row r="104" spans="1:1" x14ac:dyDescent="0.25">
      <c r="A104" s="26" t="s">
        <v>293</v>
      </c>
    </row>
    <row r="105" spans="1:1" x14ac:dyDescent="0.25">
      <c r="A105" s="27" t="s">
        <v>703</v>
      </c>
    </row>
    <row r="106" spans="1:1" x14ac:dyDescent="0.25">
      <c r="A106" s="28" t="s">
        <v>52</v>
      </c>
    </row>
    <row r="107" spans="1:1" x14ac:dyDescent="0.25">
      <c r="A107" s="29" t="s">
        <v>52</v>
      </c>
    </row>
    <row r="108" spans="1:1" x14ac:dyDescent="0.25">
      <c r="A108" s="30" t="s">
        <v>52</v>
      </c>
    </row>
    <row r="109" spans="1:1" x14ac:dyDescent="0.25">
      <c r="A109" s="31" t="s">
        <v>52</v>
      </c>
    </row>
    <row r="110" spans="1:1" x14ac:dyDescent="0.25">
      <c r="A110" s="32" t="s">
        <v>52</v>
      </c>
    </row>
    <row r="111" spans="1:1" x14ac:dyDescent="0.25">
      <c r="A111" s="33" t="s">
        <v>52</v>
      </c>
    </row>
    <row r="112" spans="1:1" x14ac:dyDescent="0.25">
      <c r="A112" s="34" t="s">
        <v>52</v>
      </c>
    </row>
    <row r="113" spans="1:1" x14ac:dyDescent="0.25">
      <c r="A113" s="35" t="s">
        <v>52</v>
      </c>
    </row>
    <row r="114" spans="1:1" x14ac:dyDescent="0.25">
      <c r="A114" s="36" t="s">
        <v>52</v>
      </c>
    </row>
    <row r="115" spans="1:1" x14ac:dyDescent="0.25">
      <c r="A115" s="37" t="s">
        <v>52</v>
      </c>
    </row>
    <row r="116" spans="1:1" x14ac:dyDescent="0.25">
      <c r="A116" s="38" t="s">
        <v>52</v>
      </c>
    </row>
    <row r="117" spans="1:1" x14ac:dyDescent="0.25">
      <c r="A117" s="39" t="s">
        <v>52</v>
      </c>
    </row>
    <row r="118" spans="1:1" x14ac:dyDescent="0.25">
      <c r="A118" s="40" t="s">
        <v>52</v>
      </c>
    </row>
    <row r="119" spans="1:1" x14ac:dyDescent="0.25">
      <c r="A119" s="41" t="s">
        <v>52</v>
      </c>
    </row>
    <row r="120" spans="1:1" x14ac:dyDescent="0.25">
      <c r="A120" s="42" t="s">
        <v>52</v>
      </c>
    </row>
    <row r="121" spans="1:1" x14ac:dyDescent="0.25">
      <c r="A121" s="43" t="s">
        <v>52</v>
      </c>
    </row>
    <row r="122" spans="1:1" x14ac:dyDescent="0.25">
      <c r="A122" s="44" t="s">
        <v>52</v>
      </c>
    </row>
    <row r="123" spans="1:1" x14ac:dyDescent="0.25">
      <c r="A123" s="45" t="s">
        <v>52</v>
      </c>
    </row>
    <row r="124" spans="1:1" x14ac:dyDescent="0.25">
      <c r="A124" s="46" t="s">
        <v>52</v>
      </c>
    </row>
    <row r="125" spans="1:1" x14ac:dyDescent="0.25">
      <c r="A125" s="47" t="s">
        <v>52</v>
      </c>
    </row>
    <row r="126" spans="1:1" x14ac:dyDescent="0.25">
      <c r="A126" s="48" t="s">
        <v>704</v>
      </c>
    </row>
    <row r="127" spans="1:1" x14ac:dyDescent="0.25">
      <c r="A127" s="49" t="s">
        <v>52</v>
      </c>
    </row>
    <row r="128" spans="1:1" x14ac:dyDescent="0.25">
      <c r="A128" s="50" t="s">
        <v>52</v>
      </c>
    </row>
    <row r="129" spans="1:1" x14ac:dyDescent="0.25">
      <c r="A129" s="51" t="s">
        <v>52</v>
      </c>
    </row>
    <row r="130" spans="1:1" x14ac:dyDescent="0.25">
      <c r="A130" s="52" t="s">
        <v>52</v>
      </c>
    </row>
    <row r="131" spans="1:1" x14ac:dyDescent="0.25">
      <c r="A131" s="53" t="s">
        <v>52</v>
      </c>
    </row>
    <row r="132" spans="1:1" x14ac:dyDescent="0.25">
      <c r="A132" s="54" t="s">
        <v>52</v>
      </c>
    </row>
    <row r="133" spans="1:1" x14ac:dyDescent="0.25">
      <c r="A133" s="55" t="s">
        <v>52</v>
      </c>
    </row>
    <row r="134" spans="1:1" x14ac:dyDescent="0.25">
      <c r="A134" s="56" t="s">
        <v>52</v>
      </c>
    </row>
    <row r="135" spans="1:1" x14ac:dyDescent="0.25">
      <c r="A135" s="57" t="s">
        <v>52</v>
      </c>
    </row>
    <row r="136" spans="1:1" x14ac:dyDescent="0.25">
      <c r="A136" s="58" t="s">
        <v>52</v>
      </c>
    </row>
    <row r="137" spans="1:1" x14ac:dyDescent="0.25">
      <c r="A137" s="59" t="s">
        <v>52</v>
      </c>
    </row>
    <row r="138" spans="1:1" x14ac:dyDescent="0.25">
      <c r="A138" s="60" t="s">
        <v>52</v>
      </c>
    </row>
    <row r="139" spans="1:1" x14ac:dyDescent="0.25">
      <c r="A139" s="61" t="s">
        <v>52</v>
      </c>
    </row>
    <row r="140" spans="1:1" x14ac:dyDescent="0.25">
      <c r="A140" s="62" t="s">
        <v>52</v>
      </c>
    </row>
    <row r="141" spans="1:1" x14ac:dyDescent="0.25">
      <c r="A141" s="63" t="s">
        <v>52</v>
      </c>
    </row>
    <row r="142" spans="1:1" x14ac:dyDescent="0.25">
      <c r="A142" s="64" t="s">
        <v>52</v>
      </c>
    </row>
    <row r="143" spans="1:1" x14ac:dyDescent="0.25">
      <c r="A143" s="65" t="s">
        <v>52</v>
      </c>
    </row>
    <row r="144" spans="1:1" x14ac:dyDescent="0.25">
      <c r="A144" s="66" t="s">
        <v>52</v>
      </c>
    </row>
    <row r="145" spans="1:1" x14ac:dyDescent="0.25">
      <c r="A145" s="67" t="s">
        <v>52</v>
      </c>
    </row>
    <row r="146" spans="1:1" x14ac:dyDescent="0.25">
      <c r="A146" s="68" t="s">
        <v>52</v>
      </c>
    </row>
    <row r="147" spans="1:1" x14ac:dyDescent="0.25">
      <c r="A147" s="69" t="s">
        <v>52</v>
      </c>
    </row>
    <row r="148" spans="1:1" x14ac:dyDescent="0.25">
      <c r="A148" s="70" t="s">
        <v>52</v>
      </c>
    </row>
    <row r="149" spans="1:1" x14ac:dyDescent="0.25">
      <c r="A149" s="71" t="s">
        <v>52</v>
      </c>
    </row>
    <row r="150" spans="1:1" x14ac:dyDescent="0.25">
      <c r="A150" s="72" t="s">
        <v>52</v>
      </c>
    </row>
    <row r="151" spans="1:1" x14ac:dyDescent="0.25">
      <c r="A151" s="73" t="s">
        <v>52</v>
      </c>
    </row>
    <row r="152" spans="1:1" x14ac:dyDescent="0.25">
      <c r="A152" s="74" t="s">
        <v>52</v>
      </c>
    </row>
    <row r="153" spans="1:1" x14ac:dyDescent="0.25">
      <c r="A153" s="75" t="s">
        <v>52</v>
      </c>
    </row>
    <row r="154" spans="1:1" x14ac:dyDescent="0.25">
      <c r="A154" s="76" t="s">
        <v>52</v>
      </c>
    </row>
    <row r="155" spans="1:1" x14ac:dyDescent="0.25">
      <c r="A155" s="77" t="s">
        <v>52</v>
      </c>
    </row>
    <row r="156" spans="1:1" x14ac:dyDescent="0.25">
      <c r="A156" s="78" t="s">
        <v>52</v>
      </c>
    </row>
    <row r="157" spans="1:1" x14ac:dyDescent="0.25">
      <c r="A157" s="79" t="s">
        <v>52</v>
      </c>
    </row>
    <row r="158" spans="1:1" x14ac:dyDescent="0.25">
      <c r="A158" s="80" t="s">
        <v>52</v>
      </c>
    </row>
    <row r="159" spans="1:1" x14ac:dyDescent="0.25">
      <c r="A159" s="81" t="s">
        <v>52</v>
      </c>
    </row>
    <row r="160" spans="1:1" x14ac:dyDescent="0.25">
      <c r="A160" s="82" t="s">
        <v>52</v>
      </c>
    </row>
    <row r="161" spans="1:1" x14ac:dyDescent="0.25">
      <c r="A161" s="83" t="s">
        <v>52</v>
      </c>
    </row>
    <row r="162" spans="1:1" x14ac:dyDescent="0.25">
      <c r="A162" s="84" t="s">
        <v>52</v>
      </c>
    </row>
    <row r="163" spans="1:1" x14ac:dyDescent="0.25">
      <c r="A163" s="85" t="s">
        <v>52</v>
      </c>
    </row>
    <row r="164" spans="1:1" x14ac:dyDescent="0.25">
      <c r="A164" s="86" t="s">
        <v>52</v>
      </c>
    </row>
    <row r="165" spans="1:1" x14ac:dyDescent="0.25">
      <c r="A165" s="87" t="s">
        <v>52</v>
      </c>
    </row>
    <row r="166" spans="1:1" x14ac:dyDescent="0.25">
      <c r="A166" s="88" t="s">
        <v>52</v>
      </c>
    </row>
    <row r="167" spans="1:1" x14ac:dyDescent="0.25">
      <c r="A167" s="89" t="s">
        <v>52</v>
      </c>
    </row>
    <row r="168" spans="1:1" x14ac:dyDescent="0.25">
      <c r="A168" s="90" t="s">
        <v>52</v>
      </c>
    </row>
    <row r="169" spans="1:1" x14ac:dyDescent="0.25">
      <c r="A169" s="120" t="s">
        <v>52</v>
      </c>
    </row>
    <row r="170" spans="1:1" x14ac:dyDescent="0.25">
      <c r="A170" s="121" t="s">
        <v>52</v>
      </c>
    </row>
    <row r="171" spans="1:1" x14ac:dyDescent="0.25">
      <c r="A171" s="122" t="s">
        <v>52</v>
      </c>
    </row>
    <row r="172" spans="1:1" x14ac:dyDescent="0.25">
      <c r="A172" s="123" t="s">
        <v>52</v>
      </c>
    </row>
    <row r="173" spans="1:1" x14ac:dyDescent="0.25">
      <c r="A173" s="124" t="s">
        <v>52</v>
      </c>
    </row>
    <row r="174" spans="1:1" x14ac:dyDescent="0.25">
      <c r="A174" s="125" t="s">
        <v>52</v>
      </c>
    </row>
    <row r="175" spans="1:1" x14ac:dyDescent="0.25">
      <c r="A175" s="126" t="s">
        <v>52</v>
      </c>
    </row>
    <row r="176" spans="1:1" x14ac:dyDescent="0.25">
      <c r="A176" s="127" t="s">
        <v>52</v>
      </c>
    </row>
    <row r="177" spans="1:1" x14ac:dyDescent="0.25">
      <c r="A177" s="128" t="s">
        <v>52</v>
      </c>
    </row>
    <row r="178" spans="1:1" x14ac:dyDescent="0.25">
      <c r="A178" s="129" t="s">
        <v>52</v>
      </c>
    </row>
    <row r="179" spans="1:1" x14ac:dyDescent="0.25">
      <c r="A179" s="130" t="s">
        <v>52</v>
      </c>
    </row>
    <row r="180" spans="1:1" x14ac:dyDescent="0.25">
      <c r="A180" s="131" t="s">
        <v>52</v>
      </c>
    </row>
    <row r="181" spans="1:1" x14ac:dyDescent="0.25">
      <c r="A181" s="132" t="s">
        <v>52</v>
      </c>
    </row>
    <row r="182" spans="1:1" x14ac:dyDescent="0.25">
      <c r="A182" s="133" t="s">
        <v>52</v>
      </c>
    </row>
    <row r="183" spans="1:1" x14ac:dyDescent="0.25">
      <c r="A183" s="134" t="s">
        <v>52</v>
      </c>
    </row>
    <row r="184" spans="1:1" x14ac:dyDescent="0.25">
      <c r="A184" s="135" t="s">
        <v>52</v>
      </c>
    </row>
    <row r="185" spans="1:1" x14ac:dyDescent="0.25">
      <c r="A185" s="136" t="s">
        <v>52</v>
      </c>
    </row>
    <row r="186" spans="1:1" x14ac:dyDescent="0.25">
      <c r="A186" s="137" t="s">
        <v>52</v>
      </c>
    </row>
    <row r="187" spans="1:1" x14ac:dyDescent="0.25">
      <c r="A187" s="138" t="s">
        <v>52</v>
      </c>
    </row>
    <row r="188" spans="1:1" x14ac:dyDescent="0.25">
      <c r="A188" s="139" t="s">
        <v>52</v>
      </c>
    </row>
    <row r="189" spans="1:1" x14ac:dyDescent="0.25">
      <c r="A189" s="18" t="s">
        <v>172</v>
      </c>
    </row>
    <row r="190" spans="1:1" x14ac:dyDescent="0.25">
      <c r="A190" s="19" t="s">
        <v>52</v>
      </c>
    </row>
    <row r="191" spans="1:1" x14ac:dyDescent="0.25">
      <c r="A191" s="20" t="s">
        <v>52</v>
      </c>
    </row>
    <row r="192" spans="1:1" x14ac:dyDescent="0.25">
      <c r="A192" s="21" t="s">
        <v>52</v>
      </c>
    </row>
    <row r="193" spans="1:1" x14ac:dyDescent="0.25">
      <c r="A193" s="22" t="s">
        <v>52</v>
      </c>
    </row>
    <row r="194" spans="1:1" x14ac:dyDescent="0.25">
      <c r="A194" s="23" t="s">
        <v>52</v>
      </c>
    </row>
    <row r="195" spans="1:1" x14ac:dyDescent="0.25">
      <c r="A195" s="24" t="s">
        <v>52</v>
      </c>
    </row>
    <row r="196" spans="1:1" x14ac:dyDescent="0.25">
      <c r="A196" s="25" t="s">
        <v>52</v>
      </c>
    </row>
    <row r="197" spans="1:1" x14ac:dyDescent="0.25">
      <c r="A197" s="26" t="s">
        <v>294</v>
      </c>
    </row>
    <row r="198" spans="1:1" x14ac:dyDescent="0.25">
      <c r="A198" s="27" t="s">
        <v>705</v>
      </c>
    </row>
    <row r="199" spans="1:1" x14ac:dyDescent="0.25">
      <c r="A199" s="28" t="s">
        <v>52</v>
      </c>
    </row>
    <row r="200" spans="1:1" x14ac:dyDescent="0.25">
      <c r="A200" s="29" t="s">
        <v>52</v>
      </c>
    </row>
    <row r="201" spans="1:1" x14ac:dyDescent="0.25">
      <c r="A201" s="30" t="s">
        <v>52</v>
      </c>
    </row>
    <row r="202" spans="1:1" x14ac:dyDescent="0.25">
      <c r="A202" s="31" t="s">
        <v>52</v>
      </c>
    </row>
    <row r="203" spans="1:1" x14ac:dyDescent="0.25">
      <c r="A203" s="32" t="s">
        <v>52</v>
      </c>
    </row>
    <row r="204" spans="1:1" x14ac:dyDescent="0.25">
      <c r="A204" s="33" t="s">
        <v>52</v>
      </c>
    </row>
    <row r="205" spans="1:1" x14ac:dyDescent="0.25">
      <c r="A205" s="34" t="s">
        <v>52</v>
      </c>
    </row>
    <row r="206" spans="1:1" x14ac:dyDescent="0.25">
      <c r="A206" s="35" t="s">
        <v>52</v>
      </c>
    </row>
    <row r="207" spans="1:1" x14ac:dyDescent="0.25">
      <c r="A207" s="36" t="s">
        <v>52</v>
      </c>
    </row>
    <row r="208" spans="1:1" x14ac:dyDescent="0.25">
      <c r="A208" s="37" t="s">
        <v>52</v>
      </c>
    </row>
    <row r="209" spans="1:1" x14ac:dyDescent="0.25">
      <c r="A209" s="38" t="s">
        <v>52</v>
      </c>
    </row>
    <row r="210" spans="1:1" x14ac:dyDescent="0.25">
      <c r="A210" s="39" t="s">
        <v>52</v>
      </c>
    </row>
    <row r="211" spans="1:1" x14ac:dyDescent="0.25">
      <c r="A211" s="40" t="s">
        <v>52</v>
      </c>
    </row>
    <row r="212" spans="1:1" x14ac:dyDescent="0.25">
      <c r="A212" s="41" t="s">
        <v>52</v>
      </c>
    </row>
    <row r="213" spans="1:1" x14ac:dyDescent="0.25">
      <c r="A213" s="42" t="s">
        <v>52</v>
      </c>
    </row>
    <row r="214" spans="1:1" x14ac:dyDescent="0.25">
      <c r="A214" s="43" t="s">
        <v>52</v>
      </c>
    </row>
    <row r="215" spans="1:1" x14ac:dyDescent="0.25">
      <c r="A215" s="44" t="s">
        <v>52</v>
      </c>
    </row>
    <row r="216" spans="1:1" x14ac:dyDescent="0.25">
      <c r="A216" s="45" t="s">
        <v>52</v>
      </c>
    </row>
    <row r="217" spans="1:1" x14ac:dyDescent="0.25">
      <c r="A217" s="46" t="s">
        <v>52</v>
      </c>
    </row>
    <row r="218" spans="1:1" x14ac:dyDescent="0.25">
      <c r="A218" s="47" t="s">
        <v>52</v>
      </c>
    </row>
    <row r="219" spans="1:1" x14ac:dyDescent="0.25">
      <c r="A219" s="48" t="s">
        <v>706</v>
      </c>
    </row>
    <row r="220" spans="1:1" x14ac:dyDescent="0.25">
      <c r="A220" s="49" t="s">
        <v>52</v>
      </c>
    </row>
    <row r="221" spans="1:1" x14ac:dyDescent="0.25">
      <c r="A221" s="50" t="s">
        <v>52</v>
      </c>
    </row>
    <row r="222" spans="1:1" x14ac:dyDescent="0.25">
      <c r="A222" s="51" t="s">
        <v>52</v>
      </c>
    </row>
    <row r="223" spans="1:1" x14ac:dyDescent="0.25">
      <c r="A223" s="52" t="s">
        <v>52</v>
      </c>
    </row>
    <row r="224" spans="1:1" x14ac:dyDescent="0.25">
      <c r="A224" s="53" t="s">
        <v>52</v>
      </c>
    </row>
    <row r="225" spans="1:1" x14ac:dyDescent="0.25">
      <c r="A225" s="54" t="s">
        <v>52</v>
      </c>
    </row>
    <row r="226" spans="1:1" x14ac:dyDescent="0.25">
      <c r="A226" s="55" t="s">
        <v>52</v>
      </c>
    </row>
    <row r="227" spans="1:1" x14ac:dyDescent="0.25">
      <c r="A227" s="56" t="s">
        <v>52</v>
      </c>
    </row>
    <row r="228" spans="1:1" x14ac:dyDescent="0.25">
      <c r="A228" s="57" t="s">
        <v>52</v>
      </c>
    </row>
    <row r="229" spans="1:1" x14ac:dyDescent="0.25">
      <c r="A229" s="58" t="s">
        <v>52</v>
      </c>
    </row>
    <row r="230" spans="1:1" x14ac:dyDescent="0.25">
      <c r="A230" s="59" t="s">
        <v>52</v>
      </c>
    </row>
    <row r="231" spans="1:1" x14ac:dyDescent="0.25">
      <c r="A231" s="60" t="s">
        <v>52</v>
      </c>
    </row>
    <row r="232" spans="1:1" x14ac:dyDescent="0.25">
      <c r="A232" s="61" t="s">
        <v>52</v>
      </c>
    </row>
    <row r="233" spans="1:1" x14ac:dyDescent="0.25">
      <c r="A233" s="62" t="s">
        <v>52</v>
      </c>
    </row>
    <row r="234" spans="1:1" x14ac:dyDescent="0.25">
      <c r="A234" s="63" t="s">
        <v>52</v>
      </c>
    </row>
    <row r="235" spans="1:1" x14ac:dyDescent="0.25">
      <c r="A235" s="64" t="s">
        <v>52</v>
      </c>
    </row>
    <row r="236" spans="1:1" x14ac:dyDescent="0.25">
      <c r="A236" s="65" t="s">
        <v>52</v>
      </c>
    </row>
    <row r="237" spans="1:1" x14ac:dyDescent="0.25">
      <c r="A237" s="66" t="s">
        <v>52</v>
      </c>
    </row>
    <row r="238" spans="1:1" x14ac:dyDescent="0.25">
      <c r="A238" s="67" t="s">
        <v>52</v>
      </c>
    </row>
    <row r="239" spans="1:1" x14ac:dyDescent="0.25">
      <c r="A239" s="68" t="s">
        <v>52</v>
      </c>
    </row>
    <row r="240" spans="1:1" x14ac:dyDescent="0.25">
      <c r="A240" s="69" t="s">
        <v>52</v>
      </c>
    </row>
    <row r="241" spans="1:1" x14ac:dyDescent="0.25">
      <c r="A241" s="70" t="s">
        <v>52</v>
      </c>
    </row>
    <row r="242" spans="1:1" x14ac:dyDescent="0.25">
      <c r="A242" s="71" t="s">
        <v>52</v>
      </c>
    </row>
    <row r="243" spans="1:1" x14ac:dyDescent="0.25">
      <c r="A243" s="72" t="s">
        <v>52</v>
      </c>
    </row>
    <row r="244" spans="1:1" x14ac:dyDescent="0.25">
      <c r="A244" s="73" t="s">
        <v>52</v>
      </c>
    </row>
    <row r="245" spans="1:1" x14ac:dyDescent="0.25">
      <c r="A245" s="74" t="s">
        <v>52</v>
      </c>
    </row>
    <row r="246" spans="1:1" x14ac:dyDescent="0.25">
      <c r="A246" s="75" t="s">
        <v>52</v>
      </c>
    </row>
    <row r="247" spans="1:1" x14ac:dyDescent="0.25">
      <c r="A247" s="76" t="s">
        <v>52</v>
      </c>
    </row>
    <row r="248" spans="1:1" x14ac:dyDescent="0.25">
      <c r="A248" s="77" t="s">
        <v>52</v>
      </c>
    </row>
    <row r="249" spans="1:1" x14ac:dyDescent="0.25">
      <c r="A249" s="78" t="s">
        <v>52</v>
      </c>
    </row>
    <row r="250" spans="1:1" x14ac:dyDescent="0.25">
      <c r="A250" s="79" t="s">
        <v>52</v>
      </c>
    </row>
    <row r="251" spans="1:1" x14ac:dyDescent="0.25">
      <c r="A251" s="80" t="s">
        <v>52</v>
      </c>
    </row>
    <row r="252" spans="1:1" x14ac:dyDescent="0.25">
      <c r="A252" s="81" t="s">
        <v>52</v>
      </c>
    </row>
    <row r="253" spans="1:1" x14ac:dyDescent="0.25">
      <c r="A253" s="82" t="s">
        <v>52</v>
      </c>
    </row>
    <row r="254" spans="1:1" x14ac:dyDescent="0.25">
      <c r="A254" s="83" t="s">
        <v>52</v>
      </c>
    </row>
    <row r="255" spans="1:1" x14ac:dyDescent="0.25">
      <c r="A255" s="84" t="s">
        <v>52</v>
      </c>
    </row>
    <row r="256" spans="1:1" x14ac:dyDescent="0.25">
      <c r="A256" s="85" t="s">
        <v>52</v>
      </c>
    </row>
    <row r="257" spans="1:1" x14ac:dyDescent="0.25">
      <c r="A257" s="86" t="s">
        <v>52</v>
      </c>
    </row>
    <row r="258" spans="1:1" x14ac:dyDescent="0.25">
      <c r="A258" s="87" t="s">
        <v>52</v>
      </c>
    </row>
    <row r="259" spans="1:1" x14ac:dyDescent="0.25">
      <c r="A259" s="88" t="s">
        <v>52</v>
      </c>
    </row>
    <row r="260" spans="1:1" x14ac:dyDescent="0.25">
      <c r="A260" s="89" t="s">
        <v>52</v>
      </c>
    </row>
    <row r="261" spans="1:1" x14ac:dyDescent="0.25">
      <c r="A261" s="90" t="s">
        <v>52</v>
      </c>
    </row>
    <row r="262" spans="1:1" x14ac:dyDescent="0.25">
      <c r="A262" s="120" t="s">
        <v>52</v>
      </c>
    </row>
    <row r="263" spans="1:1" x14ac:dyDescent="0.25">
      <c r="A263" s="121" t="s">
        <v>52</v>
      </c>
    </row>
    <row r="264" spans="1:1" x14ac:dyDescent="0.25">
      <c r="A264" s="122" t="s">
        <v>52</v>
      </c>
    </row>
    <row r="265" spans="1:1" x14ac:dyDescent="0.25">
      <c r="A265" s="123" t="s">
        <v>52</v>
      </c>
    </row>
    <row r="266" spans="1:1" x14ac:dyDescent="0.25">
      <c r="A266" s="124" t="s">
        <v>52</v>
      </c>
    </row>
    <row r="267" spans="1:1" x14ac:dyDescent="0.25">
      <c r="A267" s="125" t="s">
        <v>52</v>
      </c>
    </row>
    <row r="268" spans="1:1" x14ac:dyDescent="0.25">
      <c r="A268" s="126" t="s">
        <v>52</v>
      </c>
    </row>
    <row r="269" spans="1:1" x14ac:dyDescent="0.25">
      <c r="A269" s="127" t="s">
        <v>52</v>
      </c>
    </row>
    <row r="270" spans="1:1" x14ac:dyDescent="0.25">
      <c r="A270" s="128" t="s">
        <v>52</v>
      </c>
    </row>
    <row r="271" spans="1:1" x14ac:dyDescent="0.25">
      <c r="A271" s="129" t="s">
        <v>52</v>
      </c>
    </row>
    <row r="272" spans="1:1" x14ac:dyDescent="0.25">
      <c r="A272" s="130" t="s">
        <v>52</v>
      </c>
    </row>
    <row r="273" spans="1:1" x14ac:dyDescent="0.25">
      <c r="A273" s="131" t="s">
        <v>52</v>
      </c>
    </row>
    <row r="274" spans="1:1" x14ac:dyDescent="0.25">
      <c r="A274" s="132" t="s">
        <v>52</v>
      </c>
    </row>
    <row r="275" spans="1:1" x14ac:dyDescent="0.25">
      <c r="A275" s="133" t="s">
        <v>52</v>
      </c>
    </row>
    <row r="276" spans="1:1" x14ac:dyDescent="0.25">
      <c r="A276" s="134" t="s">
        <v>52</v>
      </c>
    </row>
    <row r="277" spans="1:1" x14ac:dyDescent="0.25">
      <c r="A277" s="135" t="s">
        <v>52</v>
      </c>
    </row>
    <row r="278" spans="1:1" x14ac:dyDescent="0.25">
      <c r="A278" s="136" t="s">
        <v>52</v>
      </c>
    </row>
    <row r="279" spans="1:1" x14ac:dyDescent="0.25">
      <c r="A279" s="137" t="s">
        <v>52</v>
      </c>
    </row>
    <row r="280" spans="1:1" x14ac:dyDescent="0.25">
      <c r="A280" s="138" t="s">
        <v>52</v>
      </c>
    </row>
    <row r="281" spans="1:1" x14ac:dyDescent="0.25">
      <c r="A281" s="139" t="s">
        <v>52</v>
      </c>
    </row>
    <row r="282" spans="1:1" x14ac:dyDescent="0.25">
      <c r="A282" s="18" t="s">
        <v>173</v>
      </c>
    </row>
    <row r="283" spans="1:1" x14ac:dyDescent="0.25">
      <c r="A283" s="19" t="s">
        <v>52</v>
      </c>
    </row>
    <row r="284" spans="1:1" x14ac:dyDescent="0.25">
      <c r="A284" s="20" t="s">
        <v>52</v>
      </c>
    </row>
    <row r="285" spans="1:1" x14ac:dyDescent="0.25">
      <c r="A285" s="21" t="s">
        <v>52</v>
      </c>
    </row>
    <row r="286" spans="1:1" x14ac:dyDescent="0.25">
      <c r="A286" s="22" t="s">
        <v>52</v>
      </c>
    </row>
    <row r="287" spans="1:1" x14ac:dyDescent="0.25">
      <c r="A287" s="23" t="s">
        <v>52</v>
      </c>
    </row>
    <row r="288" spans="1:1" x14ac:dyDescent="0.25">
      <c r="A288" s="24" t="s">
        <v>52</v>
      </c>
    </row>
    <row r="289" spans="1:1" x14ac:dyDescent="0.25">
      <c r="A289" s="25" t="s">
        <v>52</v>
      </c>
    </row>
    <row r="290" spans="1:1" x14ac:dyDescent="0.25">
      <c r="A290" s="26" t="s">
        <v>295</v>
      </c>
    </row>
    <row r="291" spans="1:1" x14ac:dyDescent="0.25">
      <c r="A291" s="27" t="s">
        <v>707</v>
      </c>
    </row>
    <row r="292" spans="1:1" x14ac:dyDescent="0.25">
      <c r="A292" s="28" t="s">
        <v>52</v>
      </c>
    </row>
    <row r="293" spans="1:1" x14ac:dyDescent="0.25">
      <c r="A293" s="29" t="s">
        <v>52</v>
      </c>
    </row>
    <row r="294" spans="1:1" x14ac:dyDescent="0.25">
      <c r="A294" s="30" t="s">
        <v>52</v>
      </c>
    </row>
    <row r="295" spans="1:1" x14ac:dyDescent="0.25">
      <c r="A295" s="31" t="s">
        <v>52</v>
      </c>
    </row>
    <row r="296" spans="1:1" x14ac:dyDescent="0.25">
      <c r="A296" s="32" t="s">
        <v>52</v>
      </c>
    </row>
    <row r="297" spans="1:1" x14ac:dyDescent="0.25">
      <c r="A297" s="33" t="s">
        <v>52</v>
      </c>
    </row>
    <row r="298" spans="1:1" x14ac:dyDescent="0.25">
      <c r="A298" s="34" t="s">
        <v>52</v>
      </c>
    </row>
    <row r="299" spans="1:1" x14ac:dyDescent="0.25">
      <c r="A299" s="35" t="s">
        <v>52</v>
      </c>
    </row>
    <row r="300" spans="1:1" x14ac:dyDescent="0.25">
      <c r="A300" s="36" t="s">
        <v>52</v>
      </c>
    </row>
    <row r="301" spans="1:1" x14ac:dyDescent="0.25">
      <c r="A301" s="37" t="s">
        <v>52</v>
      </c>
    </row>
    <row r="302" spans="1:1" x14ac:dyDescent="0.25">
      <c r="A302" s="38" t="s">
        <v>52</v>
      </c>
    </row>
    <row r="303" spans="1:1" x14ac:dyDescent="0.25">
      <c r="A303" s="39" t="s">
        <v>52</v>
      </c>
    </row>
    <row r="304" spans="1:1" x14ac:dyDescent="0.25">
      <c r="A304" s="40" t="s">
        <v>52</v>
      </c>
    </row>
    <row r="305" spans="1:1" x14ac:dyDescent="0.25">
      <c r="A305" s="41" t="s">
        <v>52</v>
      </c>
    </row>
    <row r="306" spans="1:1" x14ac:dyDescent="0.25">
      <c r="A306" s="42" t="s">
        <v>52</v>
      </c>
    </row>
    <row r="307" spans="1:1" x14ac:dyDescent="0.25">
      <c r="A307" s="43" t="s">
        <v>52</v>
      </c>
    </row>
    <row r="308" spans="1:1" x14ac:dyDescent="0.25">
      <c r="A308" s="44" t="s">
        <v>52</v>
      </c>
    </row>
    <row r="309" spans="1:1" x14ac:dyDescent="0.25">
      <c r="A309" s="45" t="s">
        <v>52</v>
      </c>
    </row>
    <row r="310" spans="1:1" x14ac:dyDescent="0.25">
      <c r="A310" s="46" t="s">
        <v>52</v>
      </c>
    </row>
    <row r="311" spans="1:1" x14ac:dyDescent="0.25">
      <c r="A311" s="47" t="s">
        <v>52</v>
      </c>
    </row>
    <row r="312" spans="1:1" x14ac:dyDescent="0.25">
      <c r="A312" s="48" t="s">
        <v>708</v>
      </c>
    </row>
    <row r="313" spans="1:1" x14ac:dyDescent="0.25">
      <c r="A313" s="49" t="s">
        <v>52</v>
      </c>
    </row>
    <row r="314" spans="1:1" x14ac:dyDescent="0.25">
      <c r="A314" s="50" t="s">
        <v>52</v>
      </c>
    </row>
    <row r="315" spans="1:1" x14ac:dyDescent="0.25">
      <c r="A315" s="51" t="s">
        <v>52</v>
      </c>
    </row>
    <row r="316" spans="1:1" x14ac:dyDescent="0.25">
      <c r="A316" s="52" t="s">
        <v>52</v>
      </c>
    </row>
    <row r="317" spans="1:1" x14ac:dyDescent="0.25">
      <c r="A317" s="53" t="s">
        <v>52</v>
      </c>
    </row>
    <row r="318" spans="1:1" x14ac:dyDescent="0.25">
      <c r="A318" s="54" t="s">
        <v>52</v>
      </c>
    </row>
    <row r="319" spans="1:1" x14ac:dyDescent="0.25">
      <c r="A319" s="55" t="s">
        <v>52</v>
      </c>
    </row>
    <row r="320" spans="1:1" x14ac:dyDescent="0.25">
      <c r="A320" s="56" t="s">
        <v>52</v>
      </c>
    </row>
    <row r="321" spans="1:1" x14ac:dyDescent="0.25">
      <c r="A321" s="57" t="s">
        <v>52</v>
      </c>
    </row>
    <row r="322" spans="1:1" x14ac:dyDescent="0.25">
      <c r="A322" s="58" t="s">
        <v>52</v>
      </c>
    </row>
    <row r="323" spans="1:1" x14ac:dyDescent="0.25">
      <c r="A323" s="59" t="s">
        <v>52</v>
      </c>
    </row>
    <row r="324" spans="1:1" x14ac:dyDescent="0.25">
      <c r="A324" s="60" t="s">
        <v>52</v>
      </c>
    </row>
    <row r="325" spans="1:1" x14ac:dyDescent="0.25">
      <c r="A325" s="61" t="s">
        <v>52</v>
      </c>
    </row>
    <row r="326" spans="1:1" x14ac:dyDescent="0.25">
      <c r="A326" s="62" t="s">
        <v>52</v>
      </c>
    </row>
    <row r="327" spans="1:1" x14ac:dyDescent="0.25">
      <c r="A327" s="63" t="s">
        <v>52</v>
      </c>
    </row>
    <row r="328" spans="1:1" x14ac:dyDescent="0.25">
      <c r="A328" s="64" t="s">
        <v>52</v>
      </c>
    </row>
    <row r="329" spans="1:1" x14ac:dyDescent="0.25">
      <c r="A329" s="65" t="s">
        <v>52</v>
      </c>
    </row>
    <row r="330" spans="1:1" x14ac:dyDescent="0.25">
      <c r="A330" s="66" t="s">
        <v>52</v>
      </c>
    </row>
    <row r="331" spans="1:1" x14ac:dyDescent="0.25">
      <c r="A331" s="67" t="s">
        <v>52</v>
      </c>
    </row>
    <row r="332" spans="1:1" x14ac:dyDescent="0.25">
      <c r="A332" s="68" t="s">
        <v>52</v>
      </c>
    </row>
    <row r="333" spans="1:1" x14ac:dyDescent="0.25">
      <c r="A333" s="69" t="s">
        <v>52</v>
      </c>
    </row>
    <row r="334" spans="1:1" x14ac:dyDescent="0.25">
      <c r="A334" s="70" t="s">
        <v>52</v>
      </c>
    </row>
    <row r="335" spans="1:1" x14ac:dyDescent="0.25">
      <c r="A335" s="71" t="s">
        <v>52</v>
      </c>
    </row>
    <row r="336" spans="1:1" x14ac:dyDescent="0.25">
      <c r="A336" s="72" t="s">
        <v>52</v>
      </c>
    </row>
    <row r="337" spans="1:1" x14ac:dyDescent="0.25">
      <c r="A337" s="73" t="s">
        <v>52</v>
      </c>
    </row>
    <row r="338" spans="1:1" x14ac:dyDescent="0.25">
      <c r="A338" s="74" t="s">
        <v>52</v>
      </c>
    </row>
    <row r="339" spans="1:1" x14ac:dyDescent="0.25">
      <c r="A339" s="75" t="s">
        <v>52</v>
      </c>
    </row>
    <row r="340" spans="1:1" x14ac:dyDescent="0.25">
      <c r="A340" s="76" t="s">
        <v>52</v>
      </c>
    </row>
    <row r="341" spans="1:1" x14ac:dyDescent="0.25">
      <c r="A341" s="77" t="s">
        <v>52</v>
      </c>
    </row>
    <row r="342" spans="1:1" x14ac:dyDescent="0.25">
      <c r="A342" s="78" t="s">
        <v>52</v>
      </c>
    </row>
    <row r="343" spans="1:1" x14ac:dyDescent="0.25">
      <c r="A343" s="79" t="s">
        <v>52</v>
      </c>
    </row>
    <row r="344" spans="1:1" x14ac:dyDescent="0.25">
      <c r="A344" s="80" t="s">
        <v>52</v>
      </c>
    </row>
    <row r="345" spans="1:1" x14ac:dyDescent="0.25">
      <c r="A345" s="81" t="s">
        <v>52</v>
      </c>
    </row>
    <row r="346" spans="1:1" x14ac:dyDescent="0.25">
      <c r="A346" s="82" t="s">
        <v>52</v>
      </c>
    </row>
    <row r="347" spans="1:1" x14ac:dyDescent="0.25">
      <c r="A347" s="83" t="s">
        <v>52</v>
      </c>
    </row>
    <row r="348" spans="1:1" x14ac:dyDescent="0.25">
      <c r="A348" s="84" t="s">
        <v>52</v>
      </c>
    </row>
    <row r="349" spans="1:1" x14ac:dyDescent="0.25">
      <c r="A349" s="85" t="s">
        <v>52</v>
      </c>
    </row>
    <row r="350" spans="1:1" x14ac:dyDescent="0.25">
      <c r="A350" s="86" t="s">
        <v>52</v>
      </c>
    </row>
    <row r="351" spans="1:1" x14ac:dyDescent="0.25">
      <c r="A351" s="87" t="s">
        <v>52</v>
      </c>
    </row>
    <row r="352" spans="1:1" x14ac:dyDescent="0.25">
      <c r="A352" s="88" t="s">
        <v>52</v>
      </c>
    </row>
    <row r="353" spans="1:1" x14ac:dyDescent="0.25">
      <c r="A353" s="89" t="s">
        <v>52</v>
      </c>
    </row>
    <row r="354" spans="1:1" x14ac:dyDescent="0.25">
      <c r="A354" s="90" t="s">
        <v>52</v>
      </c>
    </row>
    <row r="355" spans="1:1" x14ac:dyDescent="0.25">
      <c r="A355" s="120" t="s">
        <v>52</v>
      </c>
    </row>
    <row r="356" spans="1:1" x14ac:dyDescent="0.25">
      <c r="A356" s="121" t="s">
        <v>52</v>
      </c>
    </row>
    <row r="357" spans="1:1" x14ac:dyDescent="0.25">
      <c r="A357" s="122" t="s">
        <v>52</v>
      </c>
    </row>
    <row r="358" spans="1:1" x14ac:dyDescent="0.25">
      <c r="A358" s="123" t="s">
        <v>52</v>
      </c>
    </row>
    <row r="359" spans="1:1" x14ac:dyDescent="0.25">
      <c r="A359" s="124" t="s">
        <v>52</v>
      </c>
    </row>
    <row r="360" spans="1:1" x14ac:dyDescent="0.25">
      <c r="A360" s="125" t="s">
        <v>52</v>
      </c>
    </row>
    <row r="361" spans="1:1" x14ac:dyDescent="0.25">
      <c r="A361" s="126" t="s">
        <v>52</v>
      </c>
    </row>
    <row r="362" spans="1:1" x14ac:dyDescent="0.25">
      <c r="A362" s="127" t="s">
        <v>52</v>
      </c>
    </row>
    <row r="363" spans="1:1" x14ac:dyDescent="0.25">
      <c r="A363" s="128" t="s">
        <v>52</v>
      </c>
    </row>
    <row r="364" spans="1:1" x14ac:dyDescent="0.25">
      <c r="A364" s="129" t="s">
        <v>52</v>
      </c>
    </row>
    <row r="365" spans="1:1" x14ac:dyDescent="0.25">
      <c r="A365" s="130" t="s">
        <v>52</v>
      </c>
    </row>
    <row r="366" spans="1:1" x14ac:dyDescent="0.25">
      <c r="A366" s="131" t="s">
        <v>52</v>
      </c>
    </row>
    <row r="367" spans="1:1" x14ac:dyDescent="0.25">
      <c r="A367" s="132" t="s">
        <v>52</v>
      </c>
    </row>
    <row r="368" spans="1:1" x14ac:dyDescent="0.25">
      <c r="A368" s="133" t="s">
        <v>52</v>
      </c>
    </row>
    <row r="369" spans="1:1" x14ac:dyDescent="0.25">
      <c r="A369" s="134" t="s">
        <v>52</v>
      </c>
    </row>
    <row r="370" spans="1:1" x14ac:dyDescent="0.25">
      <c r="A370" s="135" t="s">
        <v>52</v>
      </c>
    </row>
    <row r="371" spans="1:1" x14ac:dyDescent="0.25">
      <c r="A371" s="136" t="s">
        <v>52</v>
      </c>
    </row>
    <row r="372" spans="1:1" x14ac:dyDescent="0.25">
      <c r="A372" s="137" t="s">
        <v>52</v>
      </c>
    </row>
    <row r="373" spans="1:1" x14ac:dyDescent="0.25">
      <c r="A373" s="138" t="s">
        <v>52</v>
      </c>
    </row>
    <row r="374" spans="1:1" x14ac:dyDescent="0.25">
      <c r="A374" s="139" t="s">
        <v>52</v>
      </c>
    </row>
    <row r="375" spans="1:1" x14ac:dyDescent="0.25">
      <c r="A375" s="18" t="s">
        <v>174</v>
      </c>
    </row>
    <row r="376" spans="1:1" x14ac:dyDescent="0.25">
      <c r="A376" s="19" t="s">
        <v>709</v>
      </c>
    </row>
    <row r="377" spans="1:1" x14ac:dyDescent="0.25">
      <c r="A377" s="20" t="s">
        <v>52</v>
      </c>
    </row>
    <row r="378" spans="1:1" x14ac:dyDescent="0.25">
      <c r="A378" s="21" t="s">
        <v>52</v>
      </c>
    </row>
    <row r="379" spans="1:1" x14ac:dyDescent="0.25">
      <c r="A379" s="22" t="s">
        <v>52</v>
      </c>
    </row>
    <row r="380" spans="1:1" x14ac:dyDescent="0.25">
      <c r="A380" s="23" t="s">
        <v>52</v>
      </c>
    </row>
    <row r="381" spans="1:1" x14ac:dyDescent="0.25">
      <c r="A381" s="24" t="s">
        <v>52</v>
      </c>
    </row>
    <row r="382" spans="1:1" x14ac:dyDescent="0.25">
      <c r="A382" s="25" t="s">
        <v>52</v>
      </c>
    </row>
    <row r="383" spans="1:1" x14ac:dyDescent="0.25">
      <c r="A383" s="26" t="s">
        <v>296</v>
      </c>
    </row>
    <row r="384" spans="1:1" x14ac:dyDescent="0.25">
      <c r="A384" s="27" t="s">
        <v>710</v>
      </c>
    </row>
    <row r="385" spans="1:1" x14ac:dyDescent="0.25">
      <c r="A385" s="28" t="s">
        <v>52</v>
      </c>
    </row>
    <row r="386" spans="1:1" x14ac:dyDescent="0.25">
      <c r="A386" s="29" t="s">
        <v>52</v>
      </c>
    </row>
    <row r="387" spans="1:1" x14ac:dyDescent="0.25">
      <c r="A387" s="30" t="s">
        <v>52</v>
      </c>
    </row>
    <row r="388" spans="1:1" x14ac:dyDescent="0.25">
      <c r="A388" s="31" t="s">
        <v>52</v>
      </c>
    </row>
    <row r="389" spans="1:1" x14ac:dyDescent="0.25">
      <c r="A389" s="32" t="s">
        <v>52</v>
      </c>
    </row>
    <row r="390" spans="1:1" x14ac:dyDescent="0.25">
      <c r="A390" s="33" t="s">
        <v>52</v>
      </c>
    </row>
    <row r="391" spans="1:1" x14ac:dyDescent="0.25">
      <c r="A391" s="34" t="s">
        <v>52</v>
      </c>
    </row>
    <row r="392" spans="1:1" x14ac:dyDescent="0.25">
      <c r="A392" s="35" t="s">
        <v>52</v>
      </c>
    </row>
    <row r="393" spans="1:1" x14ac:dyDescent="0.25">
      <c r="A393" s="36" t="s">
        <v>52</v>
      </c>
    </row>
    <row r="394" spans="1:1" x14ac:dyDescent="0.25">
      <c r="A394" s="37" t="s">
        <v>52</v>
      </c>
    </row>
    <row r="395" spans="1:1" x14ac:dyDescent="0.25">
      <c r="A395" s="38" t="s">
        <v>52</v>
      </c>
    </row>
    <row r="396" spans="1:1" x14ac:dyDescent="0.25">
      <c r="A396" s="39" t="s">
        <v>52</v>
      </c>
    </row>
    <row r="397" spans="1:1" x14ac:dyDescent="0.25">
      <c r="A397" s="40" t="s">
        <v>52</v>
      </c>
    </row>
    <row r="398" spans="1:1" x14ac:dyDescent="0.25">
      <c r="A398" s="41" t="s">
        <v>52</v>
      </c>
    </row>
    <row r="399" spans="1:1" x14ac:dyDescent="0.25">
      <c r="A399" s="42" t="s">
        <v>52</v>
      </c>
    </row>
    <row r="400" spans="1:1" x14ac:dyDescent="0.25">
      <c r="A400" s="43" t="s">
        <v>52</v>
      </c>
    </row>
    <row r="401" spans="1:1" x14ac:dyDescent="0.25">
      <c r="A401" s="44" t="s">
        <v>52</v>
      </c>
    </row>
    <row r="402" spans="1:1" x14ac:dyDescent="0.25">
      <c r="A402" s="45" t="s">
        <v>52</v>
      </c>
    </row>
    <row r="403" spans="1:1" x14ac:dyDescent="0.25">
      <c r="A403" s="46" t="s">
        <v>52</v>
      </c>
    </row>
    <row r="404" spans="1:1" x14ac:dyDescent="0.25">
      <c r="A404" s="47" t="s">
        <v>52</v>
      </c>
    </row>
    <row r="405" spans="1:1" x14ac:dyDescent="0.25">
      <c r="A405" s="48" t="s">
        <v>711</v>
      </c>
    </row>
    <row r="406" spans="1:1" x14ac:dyDescent="0.25">
      <c r="A406" s="49" t="s">
        <v>52</v>
      </c>
    </row>
    <row r="407" spans="1:1" x14ac:dyDescent="0.25">
      <c r="A407" s="50" t="s">
        <v>52</v>
      </c>
    </row>
    <row r="408" spans="1:1" x14ac:dyDescent="0.25">
      <c r="A408" s="51" t="s">
        <v>52</v>
      </c>
    </row>
    <row r="409" spans="1:1" x14ac:dyDescent="0.25">
      <c r="A409" s="52" t="s">
        <v>52</v>
      </c>
    </row>
    <row r="410" spans="1:1" x14ac:dyDescent="0.25">
      <c r="A410" s="53" t="s">
        <v>52</v>
      </c>
    </row>
    <row r="411" spans="1:1" x14ac:dyDescent="0.25">
      <c r="A411" s="54" t="s">
        <v>52</v>
      </c>
    </row>
    <row r="412" spans="1:1" x14ac:dyDescent="0.25">
      <c r="A412" s="55" t="s">
        <v>52</v>
      </c>
    </row>
    <row r="413" spans="1:1" x14ac:dyDescent="0.25">
      <c r="A413" s="56" t="s">
        <v>52</v>
      </c>
    </row>
    <row r="414" spans="1:1" x14ac:dyDescent="0.25">
      <c r="A414" s="57" t="s">
        <v>52</v>
      </c>
    </row>
    <row r="415" spans="1:1" x14ac:dyDescent="0.25">
      <c r="A415" s="58" t="s">
        <v>52</v>
      </c>
    </row>
    <row r="416" spans="1:1" x14ac:dyDescent="0.25">
      <c r="A416" s="59" t="s">
        <v>52</v>
      </c>
    </row>
    <row r="417" spans="1:1" x14ac:dyDescent="0.25">
      <c r="A417" s="60" t="s">
        <v>52</v>
      </c>
    </row>
    <row r="418" spans="1:1" x14ac:dyDescent="0.25">
      <c r="A418" s="61" t="s">
        <v>52</v>
      </c>
    </row>
    <row r="419" spans="1:1" x14ac:dyDescent="0.25">
      <c r="A419" s="62" t="s">
        <v>52</v>
      </c>
    </row>
    <row r="420" spans="1:1" x14ac:dyDescent="0.25">
      <c r="A420" s="63" t="s">
        <v>52</v>
      </c>
    </row>
    <row r="421" spans="1:1" x14ac:dyDescent="0.25">
      <c r="A421" s="64" t="s">
        <v>52</v>
      </c>
    </row>
    <row r="422" spans="1:1" x14ac:dyDescent="0.25">
      <c r="A422" s="65" t="s">
        <v>52</v>
      </c>
    </row>
    <row r="423" spans="1:1" x14ac:dyDescent="0.25">
      <c r="A423" s="66" t="s">
        <v>52</v>
      </c>
    </row>
    <row r="424" spans="1:1" x14ac:dyDescent="0.25">
      <c r="A424" s="67" t="s">
        <v>52</v>
      </c>
    </row>
    <row r="425" spans="1:1" x14ac:dyDescent="0.25">
      <c r="A425" s="68" t="s">
        <v>52</v>
      </c>
    </row>
    <row r="426" spans="1:1" x14ac:dyDescent="0.25">
      <c r="A426" s="69" t="s">
        <v>52</v>
      </c>
    </row>
    <row r="427" spans="1:1" x14ac:dyDescent="0.25">
      <c r="A427" s="70" t="s">
        <v>52</v>
      </c>
    </row>
    <row r="428" spans="1:1" x14ac:dyDescent="0.25">
      <c r="A428" s="71" t="s">
        <v>52</v>
      </c>
    </row>
    <row r="429" spans="1:1" x14ac:dyDescent="0.25">
      <c r="A429" s="72" t="s">
        <v>52</v>
      </c>
    </row>
    <row r="430" spans="1:1" x14ac:dyDescent="0.25">
      <c r="A430" s="73" t="s">
        <v>52</v>
      </c>
    </row>
    <row r="431" spans="1:1" x14ac:dyDescent="0.25">
      <c r="A431" s="74" t="s">
        <v>52</v>
      </c>
    </row>
    <row r="432" spans="1:1" x14ac:dyDescent="0.25">
      <c r="A432" s="75" t="s">
        <v>52</v>
      </c>
    </row>
    <row r="433" spans="1:1" x14ac:dyDescent="0.25">
      <c r="A433" s="76" t="s">
        <v>52</v>
      </c>
    </row>
    <row r="434" spans="1:1" x14ac:dyDescent="0.25">
      <c r="A434" s="77" t="s">
        <v>52</v>
      </c>
    </row>
    <row r="435" spans="1:1" x14ac:dyDescent="0.25">
      <c r="A435" s="78" t="s">
        <v>52</v>
      </c>
    </row>
    <row r="436" spans="1:1" x14ac:dyDescent="0.25">
      <c r="A436" s="79" t="s">
        <v>52</v>
      </c>
    </row>
    <row r="437" spans="1:1" x14ac:dyDescent="0.25">
      <c r="A437" s="80" t="s">
        <v>52</v>
      </c>
    </row>
    <row r="438" spans="1:1" x14ac:dyDescent="0.25">
      <c r="A438" s="81" t="s">
        <v>52</v>
      </c>
    </row>
    <row r="439" spans="1:1" x14ac:dyDescent="0.25">
      <c r="A439" s="82" t="s">
        <v>52</v>
      </c>
    </row>
    <row r="440" spans="1:1" x14ac:dyDescent="0.25">
      <c r="A440" s="83" t="s">
        <v>52</v>
      </c>
    </row>
    <row r="441" spans="1:1" x14ac:dyDescent="0.25">
      <c r="A441" s="84" t="s">
        <v>52</v>
      </c>
    </row>
    <row r="442" spans="1:1" x14ac:dyDescent="0.25">
      <c r="A442" s="85" t="s">
        <v>52</v>
      </c>
    </row>
    <row r="443" spans="1:1" x14ac:dyDescent="0.25">
      <c r="A443" s="86" t="s">
        <v>52</v>
      </c>
    </row>
    <row r="444" spans="1:1" x14ac:dyDescent="0.25">
      <c r="A444" s="87" t="s">
        <v>52</v>
      </c>
    </row>
    <row r="445" spans="1:1" x14ac:dyDescent="0.25">
      <c r="A445" s="88" t="s">
        <v>52</v>
      </c>
    </row>
    <row r="446" spans="1:1" x14ac:dyDescent="0.25">
      <c r="A446" s="89" t="s">
        <v>52</v>
      </c>
    </row>
    <row r="447" spans="1:1" x14ac:dyDescent="0.25">
      <c r="A447" s="90" t="s">
        <v>52</v>
      </c>
    </row>
    <row r="448" spans="1:1" x14ac:dyDescent="0.25">
      <c r="A448" s="120" t="s">
        <v>52</v>
      </c>
    </row>
    <row r="449" spans="1:1" x14ac:dyDescent="0.25">
      <c r="A449" s="121" t="s">
        <v>52</v>
      </c>
    </row>
    <row r="450" spans="1:1" x14ac:dyDescent="0.25">
      <c r="A450" s="122" t="s">
        <v>52</v>
      </c>
    </row>
    <row r="451" spans="1:1" x14ac:dyDescent="0.25">
      <c r="A451" s="123" t="s">
        <v>52</v>
      </c>
    </row>
    <row r="452" spans="1:1" x14ac:dyDescent="0.25">
      <c r="A452" s="124" t="s">
        <v>52</v>
      </c>
    </row>
    <row r="453" spans="1:1" x14ac:dyDescent="0.25">
      <c r="A453" s="125" t="s">
        <v>52</v>
      </c>
    </row>
    <row r="454" spans="1:1" x14ac:dyDescent="0.25">
      <c r="A454" s="126" t="s">
        <v>52</v>
      </c>
    </row>
    <row r="455" spans="1:1" x14ac:dyDescent="0.25">
      <c r="A455" s="127" t="s">
        <v>52</v>
      </c>
    </row>
    <row r="456" spans="1:1" x14ac:dyDescent="0.25">
      <c r="A456" s="128" t="s">
        <v>52</v>
      </c>
    </row>
    <row r="457" spans="1:1" x14ac:dyDescent="0.25">
      <c r="A457" s="129" t="s">
        <v>52</v>
      </c>
    </row>
    <row r="458" spans="1:1" x14ac:dyDescent="0.25">
      <c r="A458" s="130" t="s">
        <v>52</v>
      </c>
    </row>
    <row r="459" spans="1:1" x14ac:dyDescent="0.25">
      <c r="A459" s="131" t="s">
        <v>52</v>
      </c>
    </row>
    <row r="460" spans="1:1" x14ac:dyDescent="0.25">
      <c r="A460" s="132" t="s">
        <v>52</v>
      </c>
    </row>
    <row r="461" spans="1:1" x14ac:dyDescent="0.25">
      <c r="A461" s="133" t="s">
        <v>52</v>
      </c>
    </row>
    <row r="462" spans="1:1" x14ac:dyDescent="0.25">
      <c r="A462" s="134" t="s">
        <v>52</v>
      </c>
    </row>
    <row r="463" spans="1:1" x14ac:dyDescent="0.25">
      <c r="A463" s="135" t="s">
        <v>52</v>
      </c>
    </row>
    <row r="464" spans="1:1" x14ac:dyDescent="0.25">
      <c r="A464" s="136" t="s">
        <v>52</v>
      </c>
    </row>
    <row r="465" spans="1:1" x14ac:dyDescent="0.25">
      <c r="A465" s="137" t="s">
        <v>52</v>
      </c>
    </row>
    <row r="466" spans="1:1" x14ac:dyDescent="0.25">
      <c r="A466" s="138" t="s">
        <v>52</v>
      </c>
    </row>
    <row r="467" spans="1:1" x14ac:dyDescent="0.25">
      <c r="A467" s="139" t="s">
        <v>52</v>
      </c>
    </row>
    <row r="468" spans="1:1" x14ac:dyDescent="0.25">
      <c r="A468" s="18" t="s">
        <v>364</v>
      </c>
    </row>
    <row r="469" spans="1:1" x14ac:dyDescent="0.25">
      <c r="A469" s="19" t="s">
        <v>712</v>
      </c>
    </row>
    <row r="470" spans="1:1" x14ac:dyDescent="0.25">
      <c r="A470" s="20" t="s">
        <v>52</v>
      </c>
    </row>
    <row r="471" spans="1:1" x14ac:dyDescent="0.25">
      <c r="A471" s="21" t="s">
        <v>52</v>
      </c>
    </row>
    <row r="472" spans="1:1" x14ac:dyDescent="0.25">
      <c r="A472" s="22" t="s">
        <v>713</v>
      </c>
    </row>
    <row r="473" spans="1:1" x14ac:dyDescent="0.25">
      <c r="A473" s="23" t="s">
        <v>52</v>
      </c>
    </row>
    <row r="474" spans="1:1" x14ac:dyDescent="0.25">
      <c r="A474" s="24" t="s">
        <v>52</v>
      </c>
    </row>
    <row r="475" spans="1:1" x14ac:dyDescent="0.25">
      <c r="A475" s="25" t="s">
        <v>52</v>
      </c>
    </row>
    <row r="476" spans="1:1" x14ac:dyDescent="0.25">
      <c r="A476" s="26" t="s">
        <v>365</v>
      </c>
    </row>
    <row r="477" spans="1:1" x14ac:dyDescent="0.25">
      <c r="A477" s="27" t="s">
        <v>714</v>
      </c>
    </row>
    <row r="478" spans="1:1" x14ac:dyDescent="0.25">
      <c r="A478" s="28" t="s">
        <v>52</v>
      </c>
    </row>
    <row r="479" spans="1:1" x14ac:dyDescent="0.25">
      <c r="A479" s="29" t="s">
        <v>52</v>
      </c>
    </row>
    <row r="480" spans="1:1" x14ac:dyDescent="0.25">
      <c r="A480" s="30" t="s">
        <v>52</v>
      </c>
    </row>
    <row r="481" spans="1:1" x14ac:dyDescent="0.25">
      <c r="A481" s="31" t="s">
        <v>52</v>
      </c>
    </row>
    <row r="482" spans="1:1" x14ac:dyDescent="0.25">
      <c r="A482" s="32" t="s">
        <v>52</v>
      </c>
    </row>
    <row r="483" spans="1:1" x14ac:dyDescent="0.25">
      <c r="A483" s="33" t="s">
        <v>52</v>
      </c>
    </row>
    <row r="484" spans="1:1" x14ac:dyDescent="0.25">
      <c r="A484" s="34" t="s">
        <v>52</v>
      </c>
    </row>
    <row r="485" spans="1:1" x14ac:dyDescent="0.25">
      <c r="A485" s="35" t="s">
        <v>52</v>
      </c>
    </row>
    <row r="486" spans="1:1" x14ac:dyDescent="0.25">
      <c r="A486" s="36" t="s">
        <v>52</v>
      </c>
    </row>
    <row r="487" spans="1:1" x14ac:dyDescent="0.25">
      <c r="A487" s="37" t="s">
        <v>52</v>
      </c>
    </row>
    <row r="488" spans="1:1" x14ac:dyDescent="0.25">
      <c r="A488" s="38" t="s">
        <v>52</v>
      </c>
    </row>
    <row r="489" spans="1:1" x14ac:dyDescent="0.25">
      <c r="A489" s="39" t="s">
        <v>52</v>
      </c>
    </row>
    <row r="490" spans="1:1" x14ac:dyDescent="0.25">
      <c r="A490" s="40" t="s">
        <v>52</v>
      </c>
    </row>
    <row r="491" spans="1:1" x14ac:dyDescent="0.25">
      <c r="A491" s="41" t="s">
        <v>52</v>
      </c>
    </row>
    <row r="492" spans="1:1" x14ac:dyDescent="0.25">
      <c r="A492" s="42" t="s">
        <v>52</v>
      </c>
    </row>
    <row r="493" spans="1:1" x14ac:dyDescent="0.25">
      <c r="A493" s="43" t="s">
        <v>52</v>
      </c>
    </row>
    <row r="494" spans="1:1" x14ac:dyDescent="0.25">
      <c r="A494" s="44" t="s">
        <v>52</v>
      </c>
    </row>
    <row r="495" spans="1:1" x14ac:dyDescent="0.25">
      <c r="A495" s="45" t="s">
        <v>52</v>
      </c>
    </row>
    <row r="496" spans="1:1" x14ac:dyDescent="0.25">
      <c r="A496" s="46" t="s">
        <v>52</v>
      </c>
    </row>
    <row r="497" spans="1:1" x14ac:dyDescent="0.25">
      <c r="A497" s="47" t="s">
        <v>52</v>
      </c>
    </row>
    <row r="498" spans="1:1" x14ac:dyDescent="0.25">
      <c r="A498" s="48" t="s">
        <v>715</v>
      </c>
    </row>
    <row r="499" spans="1:1" x14ac:dyDescent="0.25">
      <c r="A499" s="49" t="s">
        <v>52</v>
      </c>
    </row>
    <row r="500" spans="1:1" x14ac:dyDescent="0.25">
      <c r="A500" s="50" t="s">
        <v>52</v>
      </c>
    </row>
    <row r="501" spans="1:1" x14ac:dyDescent="0.25">
      <c r="A501" s="51" t="s">
        <v>52</v>
      </c>
    </row>
    <row r="502" spans="1:1" x14ac:dyDescent="0.25">
      <c r="A502" s="52" t="s">
        <v>52</v>
      </c>
    </row>
    <row r="503" spans="1:1" x14ac:dyDescent="0.25">
      <c r="A503" s="53" t="s">
        <v>52</v>
      </c>
    </row>
    <row r="504" spans="1:1" x14ac:dyDescent="0.25">
      <c r="A504" s="54" t="s">
        <v>52</v>
      </c>
    </row>
    <row r="505" spans="1:1" x14ac:dyDescent="0.25">
      <c r="A505" s="55" t="s">
        <v>52</v>
      </c>
    </row>
    <row r="506" spans="1:1" x14ac:dyDescent="0.25">
      <c r="A506" s="56" t="s">
        <v>52</v>
      </c>
    </row>
    <row r="507" spans="1:1" x14ac:dyDescent="0.25">
      <c r="A507" s="57" t="s">
        <v>52</v>
      </c>
    </row>
    <row r="508" spans="1:1" x14ac:dyDescent="0.25">
      <c r="A508" s="58" t="s">
        <v>52</v>
      </c>
    </row>
    <row r="509" spans="1:1" x14ac:dyDescent="0.25">
      <c r="A509" s="59" t="s">
        <v>52</v>
      </c>
    </row>
    <row r="510" spans="1:1" x14ac:dyDescent="0.25">
      <c r="A510" s="60" t="s">
        <v>52</v>
      </c>
    </row>
    <row r="511" spans="1:1" x14ac:dyDescent="0.25">
      <c r="A511" s="61" t="s">
        <v>52</v>
      </c>
    </row>
    <row r="512" spans="1:1" x14ac:dyDescent="0.25">
      <c r="A512" s="62" t="s">
        <v>52</v>
      </c>
    </row>
    <row r="513" spans="1:1" x14ac:dyDescent="0.25">
      <c r="A513" s="63" t="s">
        <v>52</v>
      </c>
    </row>
    <row r="514" spans="1:1" x14ac:dyDescent="0.25">
      <c r="A514" s="64" t="s">
        <v>52</v>
      </c>
    </row>
    <row r="515" spans="1:1" x14ac:dyDescent="0.25">
      <c r="A515" s="65" t="s">
        <v>52</v>
      </c>
    </row>
    <row r="516" spans="1:1" x14ac:dyDescent="0.25">
      <c r="A516" s="66" t="s">
        <v>52</v>
      </c>
    </row>
    <row r="517" spans="1:1" x14ac:dyDescent="0.25">
      <c r="A517" s="67" t="s">
        <v>52</v>
      </c>
    </row>
    <row r="518" spans="1:1" x14ac:dyDescent="0.25">
      <c r="A518" s="68" t="s">
        <v>52</v>
      </c>
    </row>
    <row r="519" spans="1:1" x14ac:dyDescent="0.25">
      <c r="A519" s="69" t="s">
        <v>52</v>
      </c>
    </row>
    <row r="520" spans="1:1" x14ac:dyDescent="0.25">
      <c r="A520" s="70" t="s">
        <v>52</v>
      </c>
    </row>
    <row r="521" spans="1:1" x14ac:dyDescent="0.25">
      <c r="A521" s="71" t="s">
        <v>52</v>
      </c>
    </row>
    <row r="522" spans="1:1" x14ac:dyDescent="0.25">
      <c r="A522" s="72" t="s">
        <v>52</v>
      </c>
    </row>
    <row r="523" spans="1:1" x14ac:dyDescent="0.25">
      <c r="A523" s="73" t="s">
        <v>52</v>
      </c>
    </row>
    <row r="524" spans="1:1" x14ac:dyDescent="0.25">
      <c r="A524" s="74" t="s">
        <v>52</v>
      </c>
    </row>
    <row r="525" spans="1:1" x14ac:dyDescent="0.25">
      <c r="A525" s="75" t="s">
        <v>52</v>
      </c>
    </row>
    <row r="526" spans="1:1" x14ac:dyDescent="0.25">
      <c r="A526" s="76" t="s">
        <v>52</v>
      </c>
    </row>
    <row r="527" spans="1:1" x14ac:dyDescent="0.25">
      <c r="A527" s="77" t="s">
        <v>52</v>
      </c>
    </row>
    <row r="528" spans="1:1" x14ac:dyDescent="0.25">
      <c r="A528" s="78" t="s">
        <v>52</v>
      </c>
    </row>
    <row r="529" spans="1:1" x14ac:dyDescent="0.25">
      <c r="A529" s="79" t="s">
        <v>52</v>
      </c>
    </row>
    <row r="530" spans="1:1" x14ac:dyDescent="0.25">
      <c r="A530" s="80" t="s">
        <v>52</v>
      </c>
    </row>
    <row r="531" spans="1:1" x14ac:dyDescent="0.25">
      <c r="A531" s="81" t="s">
        <v>52</v>
      </c>
    </row>
    <row r="532" spans="1:1" x14ac:dyDescent="0.25">
      <c r="A532" s="82" t="s">
        <v>52</v>
      </c>
    </row>
    <row r="533" spans="1:1" x14ac:dyDescent="0.25">
      <c r="A533" s="83" t="s">
        <v>52</v>
      </c>
    </row>
    <row r="534" spans="1:1" x14ac:dyDescent="0.25">
      <c r="A534" s="84" t="s">
        <v>52</v>
      </c>
    </row>
    <row r="535" spans="1:1" x14ac:dyDescent="0.25">
      <c r="A535" s="85" t="s">
        <v>52</v>
      </c>
    </row>
    <row r="536" spans="1:1" x14ac:dyDescent="0.25">
      <c r="A536" s="86" t="s">
        <v>52</v>
      </c>
    </row>
    <row r="537" spans="1:1" x14ac:dyDescent="0.25">
      <c r="A537" s="87" t="s">
        <v>52</v>
      </c>
    </row>
    <row r="538" spans="1:1" x14ac:dyDescent="0.25">
      <c r="A538" s="88" t="s">
        <v>52</v>
      </c>
    </row>
    <row r="539" spans="1:1" x14ac:dyDescent="0.25">
      <c r="A539" s="89" t="s">
        <v>52</v>
      </c>
    </row>
    <row r="540" spans="1:1" x14ac:dyDescent="0.25">
      <c r="A540" s="90" t="s">
        <v>52</v>
      </c>
    </row>
    <row r="541" spans="1:1" x14ac:dyDescent="0.25">
      <c r="A541" s="120" t="s">
        <v>52</v>
      </c>
    </row>
    <row r="542" spans="1:1" x14ac:dyDescent="0.25">
      <c r="A542" s="121" t="s">
        <v>52</v>
      </c>
    </row>
    <row r="543" spans="1:1" x14ac:dyDescent="0.25">
      <c r="A543" s="122" t="s">
        <v>52</v>
      </c>
    </row>
    <row r="544" spans="1:1" x14ac:dyDescent="0.25">
      <c r="A544" s="123" t="s">
        <v>52</v>
      </c>
    </row>
    <row r="545" spans="1:1" x14ac:dyDescent="0.25">
      <c r="A545" s="124" t="s">
        <v>52</v>
      </c>
    </row>
    <row r="546" spans="1:1" x14ac:dyDescent="0.25">
      <c r="A546" s="125" t="s">
        <v>52</v>
      </c>
    </row>
    <row r="547" spans="1:1" x14ac:dyDescent="0.25">
      <c r="A547" s="126" t="s">
        <v>52</v>
      </c>
    </row>
    <row r="548" spans="1:1" x14ac:dyDescent="0.25">
      <c r="A548" s="127" t="s">
        <v>52</v>
      </c>
    </row>
    <row r="549" spans="1:1" x14ac:dyDescent="0.25">
      <c r="A549" s="128" t="s">
        <v>52</v>
      </c>
    </row>
    <row r="550" spans="1:1" x14ac:dyDescent="0.25">
      <c r="A550" s="129" t="s">
        <v>52</v>
      </c>
    </row>
    <row r="551" spans="1:1" x14ac:dyDescent="0.25">
      <c r="A551" s="130" t="s">
        <v>52</v>
      </c>
    </row>
    <row r="552" spans="1:1" x14ac:dyDescent="0.25">
      <c r="A552" s="131" t="s">
        <v>52</v>
      </c>
    </row>
    <row r="553" spans="1:1" x14ac:dyDescent="0.25">
      <c r="A553" s="132" t="s">
        <v>52</v>
      </c>
    </row>
    <row r="554" spans="1:1" x14ac:dyDescent="0.25">
      <c r="A554" s="133" t="s">
        <v>52</v>
      </c>
    </row>
    <row r="555" spans="1:1" x14ac:dyDescent="0.25">
      <c r="A555" s="134" t="s">
        <v>52</v>
      </c>
    </row>
    <row r="556" spans="1:1" x14ac:dyDescent="0.25">
      <c r="A556" s="135" t="s">
        <v>52</v>
      </c>
    </row>
    <row r="557" spans="1:1" x14ac:dyDescent="0.25">
      <c r="A557" s="136" t="s">
        <v>52</v>
      </c>
    </row>
    <row r="558" spans="1:1" x14ac:dyDescent="0.25">
      <c r="A558" s="137" t="s">
        <v>52</v>
      </c>
    </row>
    <row r="559" spans="1:1" x14ac:dyDescent="0.25">
      <c r="A559" s="138" t="s">
        <v>52</v>
      </c>
    </row>
    <row r="560" spans="1:1" x14ac:dyDescent="0.25">
      <c r="A560" s="139" t="s">
        <v>52</v>
      </c>
    </row>
    <row r="561" spans="1:1" x14ac:dyDescent="0.25">
      <c r="A561" s="18" t="s">
        <v>366</v>
      </c>
    </row>
    <row r="562" spans="1:1" x14ac:dyDescent="0.25">
      <c r="A562" s="19" t="s">
        <v>52</v>
      </c>
    </row>
    <row r="563" spans="1:1" x14ac:dyDescent="0.25">
      <c r="A563" s="20" t="s">
        <v>52</v>
      </c>
    </row>
    <row r="564" spans="1:1" x14ac:dyDescent="0.25">
      <c r="A564" s="21" t="s">
        <v>52</v>
      </c>
    </row>
    <row r="565" spans="1:1" x14ac:dyDescent="0.25">
      <c r="A565" s="22" t="s">
        <v>52</v>
      </c>
    </row>
    <row r="566" spans="1:1" x14ac:dyDescent="0.25">
      <c r="A566" s="23" t="s">
        <v>52</v>
      </c>
    </row>
    <row r="567" spans="1:1" x14ac:dyDescent="0.25">
      <c r="A567" s="24" t="s">
        <v>52</v>
      </c>
    </row>
    <row r="568" spans="1:1" x14ac:dyDescent="0.25">
      <c r="A568" s="25" t="s">
        <v>52</v>
      </c>
    </row>
    <row r="569" spans="1:1" x14ac:dyDescent="0.25">
      <c r="A569" s="26" t="s">
        <v>367</v>
      </c>
    </row>
    <row r="570" spans="1:1" x14ac:dyDescent="0.25">
      <c r="A570" s="27" t="s">
        <v>716</v>
      </c>
    </row>
    <row r="571" spans="1:1" x14ac:dyDescent="0.25">
      <c r="A571" s="28" t="s">
        <v>52</v>
      </c>
    </row>
    <row r="572" spans="1:1" x14ac:dyDescent="0.25">
      <c r="A572" s="29" t="s">
        <v>52</v>
      </c>
    </row>
    <row r="573" spans="1:1" x14ac:dyDescent="0.25">
      <c r="A573" s="30" t="s">
        <v>52</v>
      </c>
    </row>
    <row r="574" spans="1:1" x14ac:dyDescent="0.25">
      <c r="A574" s="31" t="s">
        <v>52</v>
      </c>
    </row>
    <row r="575" spans="1:1" x14ac:dyDescent="0.25">
      <c r="A575" s="32" t="s">
        <v>52</v>
      </c>
    </row>
    <row r="576" spans="1:1" x14ac:dyDescent="0.25">
      <c r="A576" s="33" t="s">
        <v>52</v>
      </c>
    </row>
    <row r="577" spans="1:1" x14ac:dyDescent="0.25">
      <c r="A577" s="34" t="s">
        <v>52</v>
      </c>
    </row>
    <row r="578" spans="1:1" x14ac:dyDescent="0.25">
      <c r="A578" s="35" t="s">
        <v>52</v>
      </c>
    </row>
    <row r="579" spans="1:1" x14ac:dyDescent="0.25">
      <c r="A579" s="36" t="s">
        <v>52</v>
      </c>
    </row>
    <row r="580" spans="1:1" x14ac:dyDescent="0.25">
      <c r="A580" s="37" t="s">
        <v>52</v>
      </c>
    </row>
    <row r="581" spans="1:1" x14ac:dyDescent="0.25">
      <c r="A581" s="38" t="s">
        <v>52</v>
      </c>
    </row>
    <row r="582" spans="1:1" x14ac:dyDescent="0.25">
      <c r="A582" s="39" t="s">
        <v>52</v>
      </c>
    </row>
    <row r="583" spans="1:1" x14ac:dyDescent="0.25">
      <c r="A583" s="40" t="s">
        <v>52</v>
      </c>
    </row>
    <row r="584" spans="1:1" x14ac:dyDescent="0.25">
      <c r="A584" s="41" t="s">
        <v>52</v>
      </c>
    </row>
    <row r="585" spans="1:1" x14ac:dyDescent="0.25">
      <c r="A585" s="42" t="s">
        <v>52</v>
      </c>
    </row>
    <row r="586" spans="1:1" x14ac:dyDescent="0.25">
      <c r="A586" s="43" t="s">
        <v>52</v>
      </c>
    </row>
    <row r="587" spans="1:1" x14ac:dyDescent="0.25">
      <c r="A587" s="44" t="s">
        <v>52</v>
      </c>
    </row>
    <row r="588" spans="1:1" x14ac:dyDescent="0.25">
      <c r="A588" s="45" t="s">
        <v>52</v>
      </c>
    </row>
    <row r="589" spans="1:1" x14ac:dyDescent="0.25">
      <c r="A589" s="46" t="s">
        <v>52</v>
      </c>
    </row>
    <row r="590" spans="1:1" x14ac:dyDescent="0.25">
      <c r="A590" s="47" t="s">
        <v>52</v>
      </c>
    </row>
    <row r="591" spans="1:1" x14ac:dyDescent="0.25">
      <c r="A591" s="48" t="s">
        <v>717</v>
      </c>
    </row>
    <row r="592" spans="1:1" x14ac:dyDescent="0.25">
      <c r="A592" s="49" t="s">
        <v>52</v>
      </c>
    </row>
    <row r="593" spans="1:1" x14ac:dyDescent="0.25">
      <c r="A593" s="50" t="s">
        <v>52</v>
      </c>
    </row>
    <row r="594" spans="1:1" x14ac:dyDescent="0.25">
      <c r="A594" s="51" t="s">
        <v>52</v>
      </c>
    </row>
    <row r="595" spans="1:1" x14ac:dyDescent="0.25">
      <c r="A595" s="52" t="s">
        <v>52</v>
      </c>
    </row>
    <row r="596" spans="1:1" x14ac:dyDescent="0.25">
      <c r="A596" s="53" t="s">
        <v>52</v>
      </c>
    </row>
    <row r="597" spans="1:1" x14ac:dyDescent="0.25">
      <c r="A597" s="54" t="s">
        <v>52</v>
      </c>
    </row>
    <row r="598" spans="1:1" x14ac:dyDescent="0.25">
      <c r="A598" s="55" t="s">
        <v>52</v>
      </c>
    </row>
    <row r="599" spans="1:1" x14ac:dyDescent="0.25">
      <c r="A599" s="56" t="s">
        <v>52</v>
      </c>
    </row>
    <row r="600" spans="1:1" x14ac:dyDescent="0.25">
      <c r="A600" s="57" t="s">
        <v>52</v>
      </c>
    </row>
    <row r="601" spans="1:1" x14ac:dyDescent="0.25">
      <c r="A601" s="58" t="s">
        <v>52</v>
      </c>
    </row>
    <row r="602" spans="1:1" x14ac:dyDescent="0.25">
      <c r="A602" s="59" t="s">
        <v>52</v>
      </c>
    </row>
    <row r="603" spans="1:1" x14ac:dyDescent="0.25">
      <c r="A603" s="60" t="s">
        <v>52</v>
      </c>
    </row>
    <row r="604" spans="1:1" x14ac:dyDescent="0.25">
      <c r="A604" s="61" t="s">
        <v>52</v>
      </c>
    </row>
    <row r="605" spans="1:1" x14ac:dyDescent="0.25">
      <c r="A605" s="62" t="s">
        <v>52</v>
      </c>
    </row>
    <row r="606" spans="1:1" x14ac:dyDescent="0.25">
      <c r="A606" s="63" t="s">
        <v>52</v>
      </c>
    </row>
    <row r="607" spans="1:1" x14ac:dyDescent="0.25">
      <c r="A607" s="64" t="s">
        <v>52</v>
      </c>
    </row>
    <row r="608" spans="1:1" x14ac:dyDescent="0.25">
      <c r="A608" s="65" t="s">
        <v>52</v>
      </c>
    </row>
    <row r="609" spans="1:1" x14ac:dyDescent="0.25">
      <c r="A609" s="66" t="s">
        <v>52</v>
      </c>
    </row>
    <row r="610" spans="1:1" x14ac:dyDescent="0.25">
      <c r="A610" s="67" t="s">
        <v>52</v>
      </c>
    </row>
    <row r="611" spans="1:1" x14ac:dyDescent="0.25">
      <c r="A611" s="68" t="s">
        <v>52</v>
      </c>
    </row>
    <row r="612" spans="1:1" x14ac:dyDescent="0.25">
      <c r="A612" s="69" t="s">
        <v>52</v>
      </c>
    </row>
    <row r="613" spans="1:1" x14ac:dyDescent="0.25">
      <c r="A613" s="70" t="s">
        <v>52</v>
      </c>
    </row>
    <row r="614" spans="1:1" x14ac:dyDescent="0.25">
      <c r="A614" s="71" t="s">
        <v>52</v>
      </c>
    </row>
    <row r="615" spans="1:1" x14ac:dyDescent="0.25">
      <c r="A615" s="72" t="s">
        <v>52</v>
      </c>
    </row>
    <row r="616" spans="1:1" x14ac:dyDescent="0.25">
      <c r="A616" s="73" t="s">
        <v>52</v>
      </c>
    </row>
    <row r="617" spans="1:1" x14ac:dyDescent="0.25">
      <c r="A617" s="74" t="s">
        <v>52</v>
      </c>
    </row>
    <row r="618" spans="1:1" x14ac:dyDescent="0.25">
      <c r="A618" s="75" t="s">
        <v>52</v>
      </c>
    </row>
    <row r="619" spans="1:1" x14ac:dyDescent="0.25">
      <c r="A619" s="76" t="s">
        <v>52</v>
      </c>
    </row>
    <row r="620" spans="1:1" x14ac:dyDescent="0.25">
      <c r="A620" s="77" t="s">
        <v>52</v>
      </c>
    </row>
    <row r="621" spans="1:1" x14ac:dyDescent="0.25">
      <c r="A621" s="78" t="s">
        <v>52</v>
      </c>
    </row>
    <row r="622" spans="1:1" x14ac:dyDescent="0.25">
      <c r="A622" s="79" t="s">
        <v>52</v>
      </c>
    </row>
    <row r="623" spans="1:1" x14ac:dyDescent="0.25">
      <c r="A623" s="80" t="s">
        <v>52</v>
      </c>
    </row>
    <row r="624" spans="1:1" x14ac:dyDescent="0.25">
      <c r="A624" s="81" t="s">
        <v>52</v>
      </c>
    </row>
    <row r="625" spans="1:1" x14ac:dyDescent="0.25">
      <c r="A625" s="82" t="s">
        <v>52</v>
      </c>
    </row>
    <row r="626" spans="1:1" x14ac:dyDescent="0.25">
      <c r="A626" s="83" t="s">
        <v>52</v>
      </c>
    </row>
    <row r="627" spans="1:1" x14ac:dyDescent="0.25">
      <c r="A627" s="84" t="s">
        <v>52</v>
      </c>
    </row>
    <row r="628" spans="1:1" x14ac:dyDescent="0.25">
      <c r="A628" s="85" t="s">
        <v>52</v>
      </c>
    </row>
    <row r="629" spans="1:1" x14ac:dyDescent="0.25">
      <c r="A629" s="86" t="s">
        <v>52</v>
      </c>
    </row>
    <row r="630" spans="1:1" x14ac:dyDescent="0.25">
      <c r="A630" s="87" t="s">
        <v>52</v>
      </c>
    </row>
    <row r="631" spans="1:1" x14ac:dyDescent="0.25">
      <c r="A631" s="88" t="s">
        <v>52</v>
      </c>
    </row>
    <row r="632" spans="1:1" x14ac:dyDescent="0.25">
      <c r="A632" s="89" t="s">
        <v>52</v>
      </c>
    </row>
    <row r="633" spans="1:1" x14ac:dyDescent="0.25">
      <c r="A633" s="90" t="s">
        <v>52</v>
      </c>
    </row>
    <row r="634" spans="1:1" x14ac:dyDescent="0.25">
      <c r="A634" s="120" t="s">
        <v>52</v>
      </c>
    </row>
    <row r="635" spans="1:1" x14ac:dyDescent="0.25">
      <c r="A635" s="121" t="s">
        <v>52</v>
      </c>
    </row>
    <row r="636" spans="1:1" x14ac:dyDescent="0.25">
      <c r="A636" s="122" t="s">
        <v>52</v>
      </c>
    </row>
    <row r="637" spans="1:1" x14ac:dyDescent="0.25">
      <c r="A637" s="123" t="s">
        <v>52</v>
      </c>
    </row>
    <row r="638" spans="1:1" x14ac:dyDescent="0.25">
      <c r="A638" s="124" t="s">
        <v>52</v>
      </c>
    </row>
    <row r="639" spans="1:1" x14ac:dyDescent="0.25">
      <c r="A639" s="125" t="s">
        <v>52</v>
      </c>
    </row>
    <row r="640" spans="1:1" x14ac:dyDescent="0.25">
      <c r="A640" s="126" t="s">
        <v>52</v>
      </c>
    </row>
    <row r="641" spans="1:1" x14ac:dyDescent="0.25">
      <c r="A641" s="127" t="s">
        <v>52</v>
      </c>
    </row>
    <row r="642" spans="1:1" x14ac:dyDescent="0.25">
      <c r="A642" s="128" t="s">
        <v>52</v>
      </c>
    </row>
    <row r="643" spans="1:1" x14ac:dyDescent="0.25">
      <c r="A643" s="129" t="s">
        <v>52</v>
      </c>
    </row>
    <row r="644" spans="1:1" x14ac:dyDescent="0.25">
      <c r="A644" s="130" t="s">
        <v>52</v>
      </c>
    </row>
    <row r="645" spans="1:1" x14ac:dyDescent="0.25">
      <c r="A645" s="131" t="s">
        <v>52</v>
      </c>
    </row>
    <row r="646" spans="1:1" x14ac:dyDescent="0.25">
      <c r="A646" s="132" t="s">
        <v>52</v>
      </c>
    </row>
    <row r="647" spans="1:1" x14ac:dyDescent="0.25">
      <c r="A647" s="133" t="s">
        <v>52</v>
      </c>
    </row>
    <row r="648" spans="1:1" x14ac:dyDescent="0.25">
      <c r="A648" s="134" t="s">
        <v>52</v>
      </c>
    </row>
    <row r="649" spans="1:1" x14ac:dyDescent="0.25">
      <c r="A649" s="135" t="s">
        <v>52</v>
      </c>
    </row>
    <row r="650" spans="1:1" x14ac:dyDescent="0.25">
      <c r="A650" s="136" t="s">
        <v>52</v>
      </c>
    </row>
    <row r="651" spans="1:1" x14ac:dyDescent="0.25">
      <c r="A651" s="137" t="s">
        <v>52</v>
      </c>
    </row>
    <row r="652" spans="1:1" x14ac:dyDescent="0.25">
      <c r="A652" s="138" t="s">
        <v>52</v>
      </c>
    </row>
    <row r="653" spans="1:1" x14ac:dyDescent="0.25">
      <c r="A653" s="139" t="s">
        <v>52</v>
      </c>
    </row>
    <row r="654" spans="1:1" x14ac:dyDescent="0.25">
      <c r="A654" s="18" t="s">
        <v>368</v>
      </c>
    </row>
    <row r="655" spans="1:1" x14ac:dyDescent="0.25">
      <c r="A655" s="19" t="s">
        <v>718</v>
      </c>
    </row>
    <row r="656" spans="1:1" x14ac:dyDescent="0.25">
      <c r="A656" s="20" t="s">
        <v>52</v>
      </c>
    </row>
    <row r="657" spans="1:1" x14ac:dyDescent="0.25">
      <c r="A657" s="21" t="s">
        <v>52</v>
      </c>
    </row>
    <row r="658" spans="1:1" x14ac:dyDescent="0.25">
      <c r="A658" s="22" t="s">
        <v>52</v>
      </c>
    </row>
    <row r="659" spans="1:1" x14ac:dyDescent="0.25">
      <c r="A659" s="23" t="s">
        <v>52</v>
      </c>
    </row>
    <row r="660" spans="1:1" x14ac:dyDescent="0.25">
      <c r="A660" s="24" t="s">
        <v>52</v>
      </c>
    </row>
    <row r="661" spans="1:1" x14ac:dyDescent="0.25">
      <c r="A661" s="25" t="s">
        <v>52</v>
      </c>
    </row>
    <row r="662" spans="1:1" x14ac:dyDescent="0.25">
      <c r="A662" s="26" t="s">
        <v>369</v>
      </c>
    </row>
    <row r="663" spans="1:1" x14ac:dyDescent="0.25">
      <c r="A663" s="27" t="s">
        <v>719</v>
      </c>
    </row>
    <row r="664" spans="1:1" x14ac:dyDescent="0.25">
      <c r="A664" s="28" t="s">
        <v>52</v>
      </c>
    </row>
    <row r="665" spans="1:1" x14ac:dyDescent="0.25">
      <c r="A665" s="29" t="s">
        <v>52</v>
      </c>
    </row>
    <row r="666" spans="1:1" x14ac:dyDescent="0.25">
      <c r="A666" s="30" t="s">
        <v>52</v>
      </c>
    </row>
    <row r="667" spans="1:1" x14ac:dyDescent="0.25">
      <c r="A667" s="31" t="s">
        <v>52</v>
      </c>
    </row>
    <row r="668" spans="1:1" x14ac:dyDescent="0.25">
      <c r="A668" s="32" t="s">
        <v>52</v>
      </c>
    </row>
    <row r="669" spans="1:1" x14ac:dyDescent="0.25">
      <c r="A669" s="33" t="s">
        <v>52</v>
      </c>
    </row>
    <row r="670" spans="1:1" x14ac:dyDescent="0.25">
      <c r="A670" s="34" t="s">
        <v>52</v>
      </c>
    </row>
    <row r="671" spans="1:1" x14ac:dyDescent="0.25">
      <c r="A671" s="35" t="s">
        <v>52</v>
      </c>
    </row>
    <row r="672" spans="1:1" x14ac:dyDescent="0.25">
      <c r="A672" s="36" t="s">
        <v>52</v>
      </c>
    </row>
    <row r="673" spans="1:1" x14ac:dyDescent="0.25">
      <c r="A673" s="37" t="s">
        <v>52</v>
      </c>
    </row>
    <row r="674" spans="1:1" x14ac:dyDescent="0.25">
      <c r="A674" s="38" t="s">
        <v>52</v>
      </c>
    </row>
    <row r="675" spans="1:1" x14ac:dyDescent="0.25">
      <c r="A675" s="39" t="s">
        <v>52</v>
      </c>
    </row>
    <row r="676" spans="1:1" x14ac:dyDescent="0.25">
      <c r="A676" s="40" t="s">
        <v>52</v>
      </c>
    </row>
    <row r="677" spans="1:1" x14ac:dyDescent="0.25">
      <c r="A677" s="41" t="s">
        <v>52</v>
      </c>
    </row>
    <row r="678" spans="1:1" x14ac:dyDescent="0.25">
      <c r="A678" s="42" t="s">
        <v>52</v>
      </c>
    </row>
    <row r="679" spans="1:1" x14ac:dyDescent="0.25">
      <c r="A679" s="43" t="s">
        <v>52</v>
      </c>
    </row>
    <row r="680" spans="1:1" x14ac:dyDescent="0.25">
      <c r="A680" s="44" t="s">
        <v>52</v>
      </c>
    </row>
    <row r="681" spans="1:1" x14ac:dyDescent="0.25">
      <c r="A681" s="45" t="s">
        <v>52</v>
      </c>
    </row>
    <row r="682" spans="1:1" x14ac:dyDescent="0.25">
      <c r="A682" s="46" t="s">
        <v>52</v>
      </c>
    </row>
    <row r="683" spans="1:1" x14ac:dyDescent="0.25">
      <c r="A683" s="47" t="s">
        <v>52</v>
      </c>
    </row>
    <row r="684" spans="1:1" x14ac:dyDescent="0.25">
      <c r="A684" s="48" t="s">
        <v>720</v>
      </c>
    </row>
    <row r="685" spans="1:1" x14ac:dyDescent="0.25">
      <c r="A685" s="49" t="s">
        <v>52</v>
      </c>
    </row>
    <row r="686" spans="1:1" x14ac:dyDescent="0.25">
      <c r="A686" s="50" t="s">
        <v>52</v>
      </c>
    </row>
    <row r="687" spans="1:1" x14ac:dyDescent="0.25">
      <c r="A687" s="51" t="s">
        <v>52</v>
      </c>
    </row>
    <row r="688" spans="1:1" x14ac:dyDescent="0.25">
      <c r="A688" s="52" t="s">
        <v>52</v>
      </c>
    </row>
    <row r="689" spans="1:1" x14ac:dyDescent="0.25">
      <c r="A689" s="53" t="s">
        <v>52</v>
      </c>
    </row>
    <row r="690" spans="1:1" x14ac:dyDescent="0.25">
      <c r="A690" s="54" t="s">
        <v>52</v>
      </c>
    </row>
    <row r="691" spans="1:1" x14ac:dyDescent="0.25">
      <c r="A691" s="55" t="s">
        <v>52</v>
      </c>
    </row>
    <row r="692" spans="1:1" x14ac:dyDescent="0.25">
      <c r="A692" s="56" t="s">
        <v>52</v>
      </c>
    </row>
    <row r="693" spans="1:1" x14ac:dyDescent="0.25">
      <c r="A693" s="57" t="s">
        <v>52</v>
      </c>
    </row>
    <row r="694" spans="1:1" x14ac:dyDescent="0.25">
      <c r="A694" s="58" t="s">
        <v>52</v>
      </c>
    </row>
    <row r="695" spans="1:1" x14ac:dyDescent="0.25">
      <c r="A695" s="59" t="s">
        <v>52</v>
      </c>
    </row>
    <row r="696" spans="1:1" x14ac:dyDescent="0.25">
      <c r="A696" s="60" t="s">
        <v>52</v>
      </c>
    </row>
    <row r="697" spans="1:1" x14ac:dyDescent="0.25">
      <c r="A697" s="61" t="s">
        <v>52</v>
      </c>
    </row>
    <row r="698" spans="1:1" x14ac:dyDescent="0.25">
      <c r="A698" s="62" t="s">
        <v>52</v>
      </c>
    </row>
    <row r="699" spans="1:1" x14ac:dyDescent="0.25">
      <c r="A699" s="63" t="s">
        <v>52</v>
      </c>
    </row>
    <row r="700" spans="1:1" x14ac:dyDescent="0.25">
      <c r="A700" s="64" t="s">
        <v>52</v>
      </c>
    </row>
    <row r="701" spans="1:1" x14ac:dyDescent="0.25">
      <c r="A701" s="65" t="s">
        <v>52</v>
      </c>
    </row>
    <row r="702" spans="1:1" x14ac:dyDescent="0.25">
      <c r="A702" s="66" t="s">
        <v>52</v>
      </c>
    </row>
    <row r="703" spans="1:1" x14ac:dyDescent="0.25">
      <c r="A703" s="67" t="s">
        <v>52</v>
      </c>
    </row>
    <row r="704" spans="1:1" x14ac:dyDescent="0.25">
      <c r="A704" s="68" t="s">
        <v>52</v>
      </c>
    </row>
    <row r="705" spans="1:1" x14ac:dyDescent="0.25">
      <c r="A705" s="69" t="s">
        <v>52</v>
      </c>
    </row>
    <row r="706" spans="1:1" x14ac:dyDescent="0.25">
      <c r="A706" s="70" t="s">
        <v>52</v>
      </c>
    </row>
    <row r="707" spans="1:1" x14ac:dyDescent="0.25">
      <c r="A707" s="71" t="s">
        <v>52</v>
      </c>
    </row>
    <row r="708" spans="1:1" x14ac:dyDescent="0.25">
      <c r="A708" s="72" t="s">
        <v>52</v>
      </c>
    </row>
    <row r="709" spans="1:1" x14ac:dyDescent="0.25">
      <c r="A709" s="73" t="s">
        <v>52</v>
      </c>
    </row>
    <row r="710" spans="1:1" x14ac:dyDescent="0.25">
      <c r="A710" s="74" t="s">
        <v>52</v>
      </c>
    </row>
    <row r="711" spans="1:1" x14ac:dyDescent="0.25">
      <c r="A711" s="75" t="s">
        <v>52</v>
      </c>
    </row>
    <row r="712" spans="1:1" x14ac:dyDescent="0.25">
      <c r="A712" s="76" t="s">
        <v>52</v>
      </c>
    </row>
    <row r="713" spans="1:1" x14ac:dyDescent="0.25">
      <c r="A713" s="77" t="s">
        <v>52</v>
      </c>
    </row>
    <row r="714" spans="1:1" x14ac:dyDescent="0.25">
      <c r="A714" s="78" t="s">
        <v>52</v>
      </c>
    </row>
    <row r="715" spans="1:1" x14ac:dyDescent="0.25">
      <c r="A715" s="79" t="s">
        <v>52</v>
      </c>
    </row>
    <row r="716" spans="1:1" x14ac:dyDescent="0.25">
      <c r="A716" s="80" t="s">
        <v>52</v>
      </c>
    </row>
    <row r="717" spans="1:1" x14ac:dyDescent="0.25">
      <c r="A717" s="81" t="s">
        <v>52</v>
      </c>
    </row>
    <row r="718" spans="1:1" x14ac:dyDescent="0.25">
      <c r="A718" s="82" t="s">
        <v>52</v>
      </c>
    </row>
    <row r="719" spans="1:1" x14ac:dyDescent="0.25">
      <c r="A719" s="83" t="s">
        <v>52</v>
      </c>
    </row>
    <row r="720" spans="1:1" x14ac:dyDescent="0.25">
      <c r="A720" s="84" t="s">
        <v>52</v>
      </c>
    </row>
    <row r="721" spans="1:1" x14ac:dyDescent="0.25">
      <c r="A721" s="85" t="s">
        <v>52</v>
      </c>
    </row>
    <row r="722" spans="1:1" x14ac:dyDescent="0.25">
      <c r="A722" s="86" t="s">
        <v>52</v>
      </c>
    </row>
    <row r="723" spans="1:1" x14ac:dyDescent="0.25">
      <c r="A723" s="87" t="s">
        <v>52</v>
      </c>
    </row>
    <row r="724" spans="1:1" x14ac:dyDescent="0.25">
      <c r="A724" s="88" t="s">
        <v>52</v>
      </c>
    </row>
    <row r="725" spans="1:1" x14ac:dyDescent="0.25">
      <c r="A725" s="89" t="s">
        <v>52</v>
      </c>
    </row>
    <row r="726" spans="1:1" x14ac:dyDescent="0.25">
      <c r="A726" s="90" t="s">
        <v>52</v>
      </c>
    </row>
    <row r="727" spans="1:1" x14ac:dyDescent="0.25">
      <c r="A727" s="120" t="s">
        <v>52</v>
      </c>
    </row>
    <row r="728" spans="1:1" x14ac:dyDescent="0.25">
      <c r="A728" s="121" t="s">
        <v>52</v>
      </c>
    </row>
    <row r="729" spans="1:1" x14ac:dyDescent="0.25">
      <c r="A729" s="122" t="s">
        <v>52</v>
      </c>
    </row>
    <row r="730" spans="1:1" x14ac:dyDescent="0.25">
      <c r="A730" s="123" t="s">
        <v>52</v>
      </c>
    </row>
    <row r="731" spans="1:1" x14ac:dyDescent="0.25">
      <c r="A731" s="124" t="s">
        <v>52</v>
      </c>
    </row>
    <row r="732" spans="1:1" x14ac:dyDescent="0.25">
      <c r="A732" s="125" t="s">
        <v>52</v>
      </c>
    </row>
    <row r="733" spans="1:1" x14ac:dyDescent="0.25">
      <c r="A733" s="126" t="s">
        <v>52</v>
      </c>
    </row>
    <row r="734" spans="1:1" x14ac:dyDescent="0.25">
      <c r="A734" s="127" t="s">
        <v>52</v>
      </c>
    </row>
    <row r="735" spans="1:1" x14ac:dyDescent="0.25">
      <c r="A735" s="128" t="s">
        <v>52</v>
      </c>
    </row>
    <row r="736" spans="1:1" x14ac:dyDescent="0.25">
      <c r="A736" s="129" t="s">
        <v>52</v>
      </c>
    </row>
    <row r="737" spans="1:1" x14ac:dyDescent="0.25">
      <c r="A737" s="130" t="s">
        <v>52</v>
      </c>
    </row>
    <row r="738" spans="1:1" x14ac:dyDescent="0.25">
      <c r="A738" s="131" t="s">
        <v>52</v>
      </c>
    </row>
    <row r="739" spans="1:1" x14ac:dyDescent="0.25">
      <c r="A739" s="132" t="s">
        <v>52</v>
      </c>
    </row>
    <row r="740" spans="1:1" x14ac:dyDescent="0.25">
      <c r="A740" s="133" t="s">
        <v>52</v>
      </c>
    </row>
    <row r="741" spans="1:1" x14ac:dyDescent="0.25">
      <c r="A741" s="134" t="s">
        <v>52</v>
      </c>
    </row>
    <row r="742" spans="1:1" x14ac:dyDescent="0.25">
      <c r="A742" s="135" t="s">
        <v>52</v>
      </c>
    </row>
    <row r="743" spans="1:1" x14ac:dyDescent="0.25">
      <c r="A743" s="136" t="s">
        <v>52</v>
      </c>
    </row>
    <row r="744" spans="1:1" x14ac:dyDescent="0.25">
      <c r="A744" s="137" t="s">
        <v>52</v>
      </c>
    </row>
    <row r="745" spans="1:1" x14ac:dyDescent="0.25">
      <c r="A745" s="138" t="s">
        <v>52</v>
      </c>
    </row>
    <row r="746" spans="1:1" x14ac:dyDescent="0.25">
      <c r="A746" s="139" t="s">
        <v>52</v>
      </c>
    </row>
    <row r="747" spans="1:1" x14ac:dyDescent="0.25">
      <c r="A747" s="18" t="s">
        <v>370</v>
      </c>
    </row>
    <row r="748" spans="1:1" x14ac:dyDescent="0.25">
      <c r="A748" s="19" t="s">
        <v>52</v>
      </c>
    </row>
    <row r="749" spans="1:1" x14ac:dyDescent="0.25">
      <c r="A749" s="20" t="s">
        <v>52</v>
      </c>
    </row>
    <row r="750" spans="1:1" x14ac:dyDescent="0.25">
      <c r="A750" s="21" t="s">
        <v>52</v>
      </c>
    </row>
    <row r="751" spans="1:1" x14ac:dyDescent="0.25">
      <c r="A751" s="22" t="s">
        <v>52</v>
      </c>
    </row>
    <row r="752" spans="1:1" x14ac:dyDescent="0.25">
      <c r="A752" s="23" t="s">
        <v>52</v>
      </c>
    </row>
    <row r="753" spans="1:1" x14ac:dyDescent="0.25">
      <c r="A753" s="24" t="s">
        <v>52</v>
      </c>
    </row>
    <row r="754" spans="1:1" x14ac:dyDescent="0.25">
      <c r="A754" s="25" t="s">
        <v>52</v>
      </c>
    </row>
    <row r="755" spans="1:1" x14ac:dyDescent="0.25">
      <c r="A755" s="26" t="s">
        <v>371</v>
      </c>
    </row>
    <row r="756" spans="1:1" x14ac:dyDescent="0.25">
      <c r="A756" s="27" t="s">
        <v>721</v>
      </c>
    </row>
    <row r="757" spans="1:1" x14ac:dyDescent="0.25">
      <c r="A757" s="28" t="s">
        <v>52</v>
      </c>
    </row>
    <row r="758" spans="1:1" x14ac:dyDescent="0.25">
      <c r="A758" s="29" t="s">
        <v>52</v>
      </c>
    </row>
    <row r="759" spans="1:1" x14ac:dyDescent="0.25">
      <c r="A759" s="30" t="s">
        <v>52</v>
      </c>
    </row>
    <row r="760" spans="1:1" x14ac:dyDescent="0.25">
      <c r="A760" s="31" t="s">
        <v>52</v>
      </c>
    </row>
    <row r="761" spans="1:1" x14ac:dyDescent="0.25">
      <c r="A761" s="32" t="s">
        <v>52</v>
      </c>
    </row>
    <row r="762" spans="1:1" x14ac:dyDescent="0.25">
      <c r="A762" s="33" t="s">
        <v>52</v>
      </c>
    </row>
    <row r="763" spans="1:1" x14ac:dyDescent="0.25">
      <c r="A763" s="34" t="s">
        <v>52</v>
      </c>
    </row>
    <row r="764" spans="1:1" x14ac:dyDescent="0.25">
      <c r="A764" s="35" t="s">
        <v>52</v>
      </c>
    </row>
    <row r="765" spans="1:1" x14ac:dyDescent="0.25">
      <c r="A765" s="36" t="s">
        <v>52</v>
      </c>
    </row>
    <row r="766" spans="1:1" x14ac:dyDescent="0.25">
      <c r="A766" s="37" t="s">
        <v>52</v>
      </c>
    </row>
    <row r="767" spans="1:1" x14ac:dyDescent="0.25">
      <c r="A767" s="38" t="s">
        <v>52</v>
      </c>
    </row>
    <row r="768" spans="1:1" x14ac:dyDescent="0.25">
      <c r="A768" s="39" t="s">
        <v>52</v>
      </c>
    </row>
    <row r="769" spans="1:1" x14ac:dyDescent="0.25">
      <c r="A769" s="40" t="s">
        <v>52</v>
      </c>
    </row>
    <row r="770" spans="1:1" x14ac:dyDescent="0.25">
      <c r="A770" s="41" t="s">
        <v>52</v>
      </c>
    </row>
    <row r="771" spans="1:1" x14ac:dyDescent="0.25">
      <c r="A771" s="42" t="s">
        <v>52</v>
      </c>
    </row>
    <row r="772" spans="1:1" x14ac:dyDescent="0.25">
      <c r="A772" s="43" t="s">
        <v>52</v>
      </c>
    </row>
    <row r="773" spans="1:1" x14ac:dyDescent="0.25">
      <c r="A773" s="44" t="s">
        <v>52</v>
      </c>
    </row>
    <row r="774" spans="1:1" x14ac:dyDescent="0.25">
      <c r="A774" s="45" t="s">
        <v>52</v>
      </c>
    </row>
    <row r="775" spans="1:1" x14ac:dyDescent="0.25">
      <c r="A775" s="46" t="s">
        <v>52</v>
      </c>
    </row>
    <row r="776" spans="1:1" x14ac:dyDescent="0.25">
      <c r="A776" s="47" t="s">
        <v>52</v>
      </c>
    </row>
    <row r="777" spans="1:1" x14ac:dyDescent="0.25">
      <c r="A777" s="48" t="s">
        <v>722</v>
      </c>
    </row>
    <row r="778" spans="1:1" x14ac:dyDescent="0.25">
      <c r="A778" s="49" t="s">
        <v>52</v>
      </c>
    </row>
    <row r="779" spans="1:1" x14ac:dyDescent="0.25">
      <c r="A779" s="50" t="s">
        <v>52</v>
      </c>
    </row>
    <row r="780" spans="1:1" x14ac:dyDescent="0.25">
      <c r="A780" s="51" t="s">
        <v>52</v>
      </c>
    </row>
    <row r="781" spans="1:1" x14ac:dyDescent="0.25">
      <c r="A781" s="52" t="s">
        <v>52</v>
      </c>
    </row>
    <row r="782" spans="1:1" x14ac:dyDescent="0.25">
      <c r="A782" s="53" t="s">
        <v>52</v>
      </c>
    </row>
    <row r="783" spans="1:1" x14ac:dyDescent="0.25">
      <c r="A783" s="54" t="s">
        <v>52</v>
      </c>
    </row>
    <row r="784" spans="1:1" x14ac:dyDescent="0.25">
      <c r="A784" s="55" t="s">
        <v>52</v>
      </c>
    </row>
    <row r="785" spans="1:1" x14ac:dyDescent="0.25">
      <c r="A785" s="56" t="s">
        <v>52</v>
      </c>
    </row>
    <row r="786" spans="1:1" x14ac:dyDescent="0.25">
      <c r="A786" s="57" t="s">
        <v>52</v>
      </c>
    </row>
    <row r="787" spans="1:1" x14ac:dyDescent="0.25">
      <c r="A787" s="58" t="s">
        <v>52</v>
      </c>
    </row>
    <row r="788" spans="1:1" x14ac:dyDescent="0.25">
      <c r="A788" s="59" t="s">
        <v>52</v>
      </c>
    </row>
    <row r="789" spans="1:1" x14ac:dyDescent="0.25">
      <c r="A789" s="60" t="s">
        <v>52</v>
      </c>
    </row>
    <row r="790" spans="1:1" x14ac:dyDescent="0.25">
      <c r="A790" s="61" t="s">
        <v>52</v>
      </c>
    </row>
    <row r="791" spans="1:1" x14ac:dyDescent="0.25">
      <c r="A791" s="62" t="s">
        <v>52</v>
      </c>
    </row>
    <row r="792" spans="1:1" x14ac:dyDescent="0.25">
      <c r="A792" s="63" t="s">
        <v>52</v>
      </c>
    </row>
    <row r="793" spans="1:1" x14ac:dyDescent="0.25">
      <c r="A793" s="64" t="s">
        <v>52</v>
      </c>
    </row>
    <row r="794" spans="1:1" x14ac:dyDescent="0.25">
      <c r="A794" s="65" t="s">
        <v>52</v>
      </c>
    </row>
    <row r="795" spans="1:1" x14ac:dyDescent="0.25">
      <c r="A795" s="66" t="s">
        <v>52</v>
      </c>
    </row>
    <row r="796" spans="1:1" x14ac:dyDescent="0.25">
      <c r="A796" s="67" t="s">
        <v>52</v>
      </c>
    </row>
    <row r="797" spans="1:1" x14ac:dyDescent="0.25">
      <c r="A797" s="68" t="s">
        <v>52</v>
      </c>
    </row>
    <row r="798" spans="1:1" x14ac:dyDescent="0.25">
      <c r="A798" s="69" t="s">
        <v>52</v>
      </c>
    </row>
    <row r="799" spans="1:1" x14ac:dyDescent="0.25">
      <c r="A799" s="70" t="s">
        <v>52</v>
      </c>
    </row>
    <row r="800" spans="1:1" x14ac:dyDescent="0.25">
      <c r="A800" s="71" t="s">
        <v>52</v>
      </c>
    </row>
    <row r="801" spans="1:1" x14ac:dyDescent="0.25">
      <c r="A801" s="72" t="s">
        <v>52</v>
      </c>
    </row>
    <row r="802" spans="1:1" x14ac:dyDescent="0.25">
      <c r="A802" s="73" t="s">
        <v>52</v>
      </c>
    </row>
    <row r="803" spans="1:1" x14ac:dyDescent="0.25">
      <c r="A803" s="74" t="s">
        <v>52</v>
      </c>
    </row>
    <row r="804" spans="1:1" x14ac:dyDescent="0.25">
      <c r="A804" s="75" t="s">
        <v>52</v>
      </c>
    </row>
    <row r="805" spans="1:1" x14ac:dyDescent="0.25">
      <c r="A805" s="76" t="s">
        <v>52</v>
      </c>
    </row>
    <row r="806" spans="1:1" x14ac:dyDescent="0.25">
      <c r="A806" s="77" t="s">
        <v>52</v>
      </c>
    </row>
    <row r="807" spans="1:1" x14ac:dyDescent="0.25">
      <c r="A807" s="78" t="s">
        <v>52</v>
      </c>
    </row>
    <row r="808" spans="1:1" x14ac:dyDescent="0.25">
      <c r="A808" s="79" t="s">
        <v>52</v>
      </c>
    </row>
    <row r="809" spans="1:1" x14ac:dyDescent="0.25">
      <c r="A809" s="80" t="s">
        <v>52</v>
      </c>
    </row>
    <row r="810" spans="1:1" x14ac:dyDescent="0.25">
      <c r="A810" s="81" t="s">
        <v>52</v>
      </c>
    </row>
    <row r="811" spans="1:1" x14ac:dyDescent="0.25">
      <c r="A811" s="82" t="s">
        <v>52</v>
      </c>
    </row>
    <row r="812" spans="1:1" x14ac:dyDescent="0.25">
      <c r="A812" s="83" t="s">
        <v>52</v>
      </c>
    </row>
    <row r="813" spans="1:1" x14ac:dyDescent="0.25">
      <c r="A813" s="84" t="s">
        <v>52</v>
      </c>
    </row>
    <row r="814" spans="1:1" x14ac:dyDescent="0.25">
      <c r="A814" s="85" t="s">
        <v>52</v>
      </c>
    </row>
    <row r="815" spans="1:1" x14ac:dyDescent="0.25">
      <c r="A815" s="86" t="s">
        <v>52</v>
      </c>
    </row>
    <row r="816" spans="1:1" x14ac:dyDescent="0.25">
      <c r="A816" s="87" t="s">
        <v>52</v>
      </c>
    </row>
    <row r="817" spans="1:1" x14ac:dyDescent="0.25">
      <c r="A817" s="88" t="s">
        <v>52</v>
      </c>
    </row>
    <row r="818" spans="1:1" x14ac:dyDescent="0.25">
      <c r="A818" s="89" t="s">
        <v>52</v>
      </c>
    </row>
    <row r="819" spans="1:1" x14ac:dyDescent="0.25">
      <c r="A819" s="90" t="s">
        <v>52</v>
      </c>
    </row>
    <row r="820" spans="1:1" x14ac:dyDescent="0.25">
      <c r="A820" s="120" t="s">
        <v>52</v>
      </c>
    </row>
    <row r="821" spans="1:1" x14ac:dyDescent="0.25">
      <c r="A821" s="121" t="s">
        <v>52</v>
      </c>
    </row>
    <row r="822" spans="1:1" x14ac:dyDescent="0.25">
      <c r="A822" s="122" t="s">
        <v>52</v>
      </c>
    </row>
    <row r="823" spans="1:1" x14ac:dyDescent="0.25">
      <c r="A823" s="123" t="s">
        <v>52</v>
      </c>
    </row>
    <row r="824" spans="1:1" x14ac:dyDescent="0.25">
      <c r="A824" s="124" t="s">
        <v>52</v>
      </c>
    </row>
    <row r="825" spans="1:1" x14ac:dyDescent="0.25">
      <c r="A825" s="125" t="s">
        <v>52</v>
      </c>
    </row>
    <row r="826" spans="1:1" x14ac:dyDescent="0.25">
      <c r="A826" s="126" t="s">
        <v>52</v>
      </c>
    </row>
    <row r="827" spans="1:1" x14ac:dyDescent="0.25">
      <c r="A827" s="127" t="s">
        <v>52</v>
      </c>
    </row>
    <row r="828" spans="1:1" x14ac:dyDescent="0.25">
      <c r="A828" s="128" t="s">
        <v>52</v>
      </c>
    </row>
    <row r="829" spans="1:1" x14ac:dyDescent="0.25">
      <c r="A829" s="129" t="s">
        <v>52</v>
      </c>
    </row>
    <row r="830" spans="1:1" x14ac:dyDescent="0.25">
      <c r="A830" s="130" t="s">
        <v>52</v>
      </c>
    </row>
    <row r="831" spans="1:1" x14ac:dyDescent="0.25">
      <c r="A831" s="131" t="s">
        <v>52</v>
      </c>
    </row>
    <row r="832" spans="1:1" x14ac:dyDescent="0.25">
      <c r="A832" s="132" t="s">
        <v>52</v>
      </c>
    </row>
    <row r="833" spans="1:1" x14ac:dyDescent="0.25">
      <c r="A833" s="133" t="s">
        <v>52</v>
      </c>
    </row>
    <row r="834" spans="1:1" x14ac:dyDescent="0.25">
      <c r="A834" s="134" t="s">
        <v>52</v>
      </c>
    </row>
    <row r="835" spans="1:1" x14ac:dyDescent="0.25">
      <c r="A835" s="135" t="s">
        <v>52</v>
      </c>
    </row>
    <row r="836" spans="1:1" x14ac:dyDescent="0.25">
      <c r="A836" s="136" t="s">
        <v>52</v>
      </c>
    </row>
    <row r="837" spans="1:1" x14ac:dyDescent="0.25">
      <c r="A837" s="137" t="s">
        <v>52</v>
      </c>
    </row>
    <row r="838" spans="1:1" x14ac:dyDescent="0.25">
      <c r="A838" s="138" t="s">
        <v>52</v>
      </c>
    </row>
    <row r="839" spans="1:1" x14ac:dyDescent="0.25">
      <c r="A839" s="139" t="s">
        <v>52</v>
      </c>
    </row>
    <row r="840" spans="1:1" x14ac:dyDescent="0.25">
      <c r="A840" s="18" t="s">
        <v>372</v>
      </c>
    </row>
    <row r="841" spans="1:1" x14ac:dyDescent="0.25">
      <c r="A841" s="19" t="s">
        <v>52</v>
      </c>
    </row>
    <row r="842" spans="1:1" x14ac:dyDescent="0.25">
      <c r="A842" s="20" t="s">
        <v>52</v>
      </c>
    </row>
    <row r="843" spans="1:1" x14ac:dyDescent="0.25">
      <c r="A843" s="21" t="s">
        <v>52</v>
      </c>
    </row>
    <row r="844" spans="1:1" x14ac:dyDescent="0.25">
      <c r="A844" s="22" t="s">
        <v>723</v>
      </c>
    </row>
    <row r="845" spans="1:1" x14ac:dyDescent="0.25">
      <c r="A845" s="23" t="s">
        <v>52</v>
      </c>
    </row>
    <row r="846" spans="1:1" x14ac:dyDescent="0.25">
      <c r="A846" s="24" t="s">
        <v>52</v>
      </c>
    </row>
    <row r="847" spans="1:1" x14ac:dyDescent="0.25">
      <c r="A847" s="25" t="s">
        <v>52</v>
      </c>
    </row>
    <row r="848" spans="1:1" x14ac:dyDescent="0.25">
      <c r="A848" s="26" t="s">
        <v>373</v>
      </c>
    </row>
    <row r="849" spans="1:1" x14ac:dyDescent="0.25">
      <c r="A849" s="27" t="s">
        <v>724</v>
      </c>
    </row>
    <row r="850" spans="1:1" x14ac:dyDescent="0.25">
      <c r="A850" s="28" t="s">
        <v>52</v>
      </c>
    </row>
    <row r="851" spans="1:1" x14ac:dyDescent="0.25">
      <c r="A851" s="29" t="s">
        <v>52</v>
      </c>
    </row>
    <row r="852" spans="1:1" x14ac:dyDescent="0.25">
      <c r="A852" s="30" t="s">
        <v>52</v>
      </c>
    </row>
    <row r="853" spans="1:1" x14ac:dyDescent="0.25">
      <c r="A853" s="31" t="s">
        <v>52</v>
      </c>
    </row>
    <row r="854" spans="1:1" x14ac:dyDescent="0.25">
      <c r="A854" s="32" t="s">
        <v>52</v>
      </c>
    </row>
    <row r="855" spans="1:1" x14ac:dyDescent="0.25">
      <c r="A855" s="33" t="s">
        <v>52</v>
      </c>
    </row>
    <row r="856" spans="1:1" x14ac:dyDescent="0.25">
      <c r="A856" s="34" t="s">
        <v>52</v>
      </c>
    </row>
    <row r="857" spans="1:1" x14ac:dyDescent="0.25">
      <c r="A857" s="35" t="s">
        <v>52</v>
      </c>
    </row>
    <row r="858" spans="1:1" x14ac:dyDescent="0.25">
      <c r="A858" s="36" t="s">
        <v>52</v>
      </c>
    </row>
    <row r="859" spans="1:1" x14ac:dyDescent="0.25">
      <c r="A859" s="37" t="s">
        <v>52</v>
      </c>
    </row>
    <row r="860" spans="1:1" x14ac:dyDescent="0.25">
      <c r="A860" s="38" t="s">
        <v>52</v>
      </c>
    </row>
    <row r="861" spans="1:1" x14ac:dyDescent="0.25">
      <c r="A861" s="39" t="s">
        <v>52</v>
      </c>
    </row>
    <row r="862" spans="1:1" x14ac:dyDescent="0.25">
      <c r="A862" s="40" t="s">
        <v>52</v>
      </c>
    </row>
    <row r="863" spans="1:1" x14ac:dyDescent="0.25">
      <c r="A863" s="41" t="s">
        <v>52</v>
      </c>
    </row>
    <row r="864" spans="1:1" x14ac:dyDescent="0.25">
      <c r="A864" s="42" t="s">
        <v>52</v>
      </c>
    </row>
    <row r="865" spans="1:1" x14ac:dyDescent="0.25">
      <c r="A865" s="43" t="s">
        <v>52</v>
      </c>
    </row>
    <row r="866" spans="1:1" x14ac:dyDescent="0.25">
      <c r="A866" s="44" t="s">
        <v>52</v>
      </c>
    </row>
    <row r="867" spans="1:1" x14ac:dyDescent="0.25">
      <c r="A867" s="45" t="s">
        <v>52</v>
      </c>
    </row>
    <row r="868" spans="1:1" x14ac:dyDescent="0.25">
      <c r="A868" s="46" t="s">
        <v>52</v>
      </c>
    </row>
    <row r="869" spans="1:1" x14ac:dyDescent="0.25">
      <c r="A869" s="47" t="s">
        <v>52</v>
      </c>
    </row>
    <row r="870" spans="1:1" x14ac:dyDescent="0.25">
      <c r="A870" s="48" t="s">
        <v>52</v>
      </c>
    </row>
    <row r="871" spans="1:1" x14ac:dyDescent="0.25">
      <c r="A871" s="49" t="s">
        <v>52</v>
      </c>
    </row>
    <row r="872" spans="1:1" x14ac:dyDescent="0.25">
      <c r="A872" s="50" t="s">
        <v>52</v>
      </c>
    </row>
    <row r="873" spans="1:1" x14ac:dyDescent="0.25">
      <c r="A873" s="51" t="s">
        <v>52</v>
      </c>
    </row>
    <row r="874" spans="1:1" x14ac:dyDescent="0.25">
      <c r="A874" s="52" t="s">
        <v>52</v>
      </c>
    </row>
    <row r="875" spans="1:1" x14ac:dyDescent="0.25">
      <c r="A875" s="53" t="s">
        <v>52</v>
      </c>
    </row>
    <row r="876" spans="1:1" x14ac:dyDescent="0.25">
      <c r="A876" s="54" t="s">
        <v>52</v>
      </c>
    </row>
    <row r="877" spans="1:1" x14ac:dyDescent="0.25">
      <c r="A877" s="55" t="s">
        <v>52</v>
      </c>
    </row>
    <row r="878" spans="1:1" x14ac:dyDescent="0.25">
      <c r="A878" s="56" t="s">
        <v>52</v>
      </c>
    </row>
    <row r="879" spans="1:1" x14ac:dyDescent="0.25">
      <c r="A879" s="57" t="s">
        <v>52</v>
      </c>
    </row>
    <row r="880" spans="1:1" x14ac:dyDescent="0.25">
      <c r="A880" s="58" t="s">
        <v>52</v>
      </c>
    </row>
    <row r="881" spans="1:1" x14ac:dyDescent="0.25">
      <c r="A881" s="59" t="s">
        <v>52</v>
      </c>
    </row>
    <row r="882" spans="1:1" x14ac:dyDescent="0.25">
      <c r="A882" s="60" t="s">
        <v>52</v>
      </c>
    </row>
    <row r="883" spans="1:1" x14ac:dyDescent="0.25">
      <c r="A883" s="61" t="s">
        <v>52</v>
      </c>
    </row>
    <row r="884" spans="1:1" x14ac:dyDescent="0.25">
      <c r="A884" s="62" t="s">
        <v>52</v>
      </c>
    </row>
    <row r="885" spans="1:1" x14ac:dyDescent="0.25">
      <c r="A885" s="63" t="s">
        <v>52</v>
      </c>
    </row>
    <row r="886" spans="1:1" x14ac:dyDescent="0.25">
      <c r="A886" s="64" t="s">
        <v>52</v>
      </c>
    </row>
    <row r="887" spans="1:1" x14ac:dyDescent="0.25">
      <c r="A887" s="65" t="s">
        <v>52</v>
      </c>
    </row>
    <row r="888" spans="1:1" x14ac:dyDescent="0.25">
      <c r="A888" s="66" t="s">
        <v>52</v>
      </c>
    </row>
    <row r="889" spans="1:1" x14ac:dyDescent="0.25">
      <c r="A889" s="67" t="s">
        <v>52</v>
      </c>
    </row>
    <row r="890" spans="1:1" x14ac:dyDescent="0.25">
      <c r="A890" s="68" t="s">
        <v>52</v>
      </c>
    </row>
    <row r="891" spans="1:1" x14ac:dyDescent="0.25">
      <c r="A891" s="69" t="s">
        <v>52</v>
      </c>
    </row>
    <row r="892" spans="1:1" x14ac:dyDescent="0.25">
      <c r="A892" s="70" t="s">
        <v>52</v>
      </c>
    </row>
    <row r="893" spans="1:1" x14ac:dyDescent="0.25">
      <c r="A893" s="71" t="s">
        <v>52</v>
      </c>
    </row>
    <row r="894" spans="1:1" x14ac:dyDescent="0.25">
      <c r="A894" s="72" t="s">
        <v>52</v>
      </c>
    </row>
    <row r="895" spans="1:1" x14ac:dyDescent="0.25">
      <c r="A895" s="73" t="s">
        <v>52</v>
      </c>
    </row>
    <row r="896" spans="1:1" x14ac:dyDescent="0.25">
      <c r="A896" s="74" t="s">
        <v>52</v>
      </c>
    </row>
    <row r="897" spans="1:1" x14ac:dyDescent="0.25">
      <c r="A897" s="75" t="s">
        <v>52</v>
      </c>
    </row>
    <row r="898" spans="1:1" x14ac:dyDescent="0.25">
      <c r="A898" s="76" t="s">
        <v>52</v>
      </c>
    </row>
    <row r="899" spans="1:1" x14ac:dyDescent="0.25">
      <c r="A899" s="77" t="s">
        <v>52</v>
      </c>
    </row>
    <row r="900" spans="1:1" x14ac:dyDescent="0.25">
      <c r="A900" s="78" t="s">
        <v>52</v>
      </c>
    </row>
    <row r="901" spans="1:1" x14ac:dyDescent="0.25">
      <c r="A901" s="79" t="s">
        <v>52</v>
      </c>
    </row>
    <row r="902" spans="1:1" x14ac:dyDescent="0.25">
      <c r="A902" s="80" t="s">
        <v>52</v>
      </c>
    </row>
    <row r="903" spans="1:1" x14ac:dyDescent="0.25">
      <c r="A903" s="81" t="s">
        <v>52</v>
      </c>
    </row>
    <row r="904" spans="1:1" x14ac:dyDescent="0.25">
      <c r="A904" s="82" t="s">
        <v>52</v>
      </c>
    </row>
    <row r="905" spans="1:1" x14ac:dyDescent="0.25">
      <c r="A905" s="83" t="s">
        <v>52</v>
      </c>
    </row>
    <row r="906" spans="1:1" x14ac:dyDescent="0.25">
      <c r="A906" s="84" t="s">
        <v>52</v>
      </c>
    </row>
    <row r="907" spans="1:1" x14ac:dyDescent="0.25">
      <c r="A907" s="85" t="s">
        <v>52</v>
      </c>
    </row>
    <row r="908" spans="1:1" x14ac:dyDescent="0.25">
      <c r="A908" s="86" t="s">
        <v>52</v>
      </c>
    </row>
    <row r="909" spans="1:1" x14ac:dyDescent="0.25">
      <c r="A909" s="87" t="s">
        <v>52</v>
      </c>
    </row>
    <row r="910" spans="1:1" x14ac:dyDescent="0.25">
      <c r="A910" s="88" t="s">
        <v>52</v>
      </c>
    </row>
    <row r="911" spans="1:1" x14ac:dyDescent="0.25">
      <c r="A911" s="89" t="s">
        <v>52</v>
      </c>
    </row>
    <row r="912" spans="1:1" x14ac:dyDescent="0.25">
      <c r="A912" s="90" t="s">
        <v>52</v>
      </c>
    </row>
    <row r="913" spans="1:1" x14ac:dyDescent="0.25">
      <c r="A913" s="120" t="s">
        <v>52</v>
      </c>
    </row>
    <row r="914" spans="1:1" x14ac:dyDescent="0.25">
      <c r="A914" s="121" t="s">
        <v>52</v>
      </c>
    </row>
    <row r="915" spans="1:1" x14ac:dyDescent="0.25">
      <c r="A915" s="122" t="s">
        <v>52</v>
      </c>
    </row>
    <row r="916" spans="1:1" x14ac:dyDescent="0.25">
      <c r="A916" s="123" t="s">
        <v>52</v>
      </c>
    </row>
    <row r="917" spans="1:1" x14ac:dyDescent="0.25">
      <c r="A917" s="124" t="s">
        <v>52</v>
      </c>
    </row>
    <row r="918" spans="1:1" x14ac:dyDescent="0.25">
      <c r="A918" s="125" t="s">
        <v>52</v>
      </c>
    </row>
    <row r="919" spans="1:1" x14ac:dyDescent="0.25">
      <c r="A919" s="126" t="s">
        <v>52</v>
      </c>
    </row>
    <row r="920" spans="1:1" x14ac:dyDescent="0.25">
      <c r="A920" s="127" t="s">
        <v>52</v>
      </c>
    </row>
    <row r="921" spans="1:1" x14ac:dyDescent="0.25">
      <c r="A921" s="128" t="s">
        <v>52</v>
      </c>
    </row>
    <row r="922" spans="1:1" x14ac:dyDescent="0.25">
      <c r="A922" s="129" t="s">
        <v>52</v>
      </c>
    </row>
    <row r="923" spans="1:1" x14ac:dyDescent="0.25">
      <c r="A923" s="130" t="s">
        <v>52</v>
      </c>
    </row>
    <row r="924" spans="1:1" x14ac:dyDescent="0.25">
      <c r="A924" s="131" t="s">
        <v>52</v>
      </c>
    </row>
    <row r="925" spans="1:1" x14ac:dyDescent="0.25">
      <c r="A925" s="132" t="s">
        <v>52</v>
      </c>
    </row>
    <row r="926" spans="1:1" x14ac:dyDescent="0.25">
      <c r="A926" s="133" t="s">
        <v>52</v>
      </c>
    </row>
    <row r="927" spans="1:1" x14ac:dyDescent="0.25">
      <c r="A927" s="134" t="s">
        <v>52</v>
      </c>
    </row>
    <row r="928" spans="1:1" x14ac:dyDescent="0.25">
      <c r="A928" s="135" t="s">
        <v>52</v>
      </c>
    </row>
    <row r="929" spans="1:1" x14ac:dyDescent="0.25">
      <c r="A929" s="136" t="s">
        <v>52</v>
      </c>
    </row>
    <row r="930" spans="1:1" x14ac:dyDescent="0.25">
      <c r="A930" s="137" t="s">
        <v>52</v>
      </c>
    </row>
    <row r="931" spans="1:1" x14ac:dyDescent="0.25">
      <c r="A931" s="138" t="s">
        <v>52</v>
      </c>
    </row>
    <row r="932" spans="1:1" x14ac:dyDescent="0.25">
      <c r="A932" s="139" t="s">
        <v>52</v>
      </c>
    </row>
    <row r="933" spans="1:1" x14ac:dyDescent="0.25">
      <c r="A933" s="18" t="s">
        <v>374</v>
      </c>
    </row>
    <row r="934" spans="1:1" x14ac:dyDescent="0.25">
      <c r="A934" s="19" t="s">
        <v>725</v>
      </c>
    </row>
    <row r="935" spans="1:1" x14ac:dyDescent="0.25">
      <c r="A935" s="20" t="s">
        <v>52</v>
      </c>
    </row>
    <row r="936" spans="1:1" x14ac:dyDescent="0.25">
      <c r="A936" s="21" t="s">
        <v>52</v>
      </c>
    </row>
    <row r="937" spans="1:1" x14ac:dyDescent="0.25">
      <c r="A937" s="22" t="s">
        <v>52</v>
      </c>
    </row>
    <row r="938" spans="1:1" x14ac:dyDescent="0.25">
      <c r="A938" s="23" t="s">
        <v>52</v>
      </c>
    </row>
    <row r="939" spans="1:1" x14ac:dyDescent="0.25">
      <c r="A939" s="24" t="s">
        <v>52</v>
      </c>
    </row>
    <row r="940" spans="1:1" x14ac:dyDescent="0.25">
      <c r="A940" s="25" t="s">
        <v>52</v>
      </c>
    </row>
    <row r="941" spans="1:1" x14ac:dyDescent="0.25">
      <c r="A941" s="26" t="s">
        <v>375</v>
      </c>
    </row>
    <row r="942" spans="1:1" x14ac:dyDescent="0.25">
      <c r="A942" s="27" t="s">
        <v>726</v>
      </c>
    </row>
    <row r="943" spans="1:1" x14ac:dyDescent="0.25">
      <c r="A943" s="28" t="s">
        <v>52</v>
      </c>
    </row>
    <row r="944" spans="1:1" x14ac:dyDescent="0.25">
      <c r="A944" s="29" t="s">
        <v>52</v>
      </c>
    </row>
    <row r="945" spans="1:1" x14ac:dyDescent="0.25">
      <c r="A945" s="30" t="s">
        <v>52</v>
      </c>
    </row>
    <row r="946" spans="1:1" x14ac:dyDescent="0.25">
      <c r="A946" s="31" t="s">
        <v>52</v>
      </c>
    </row>
    <row r="947" spans="1:1" x14ac:dyDescent="0.25">
      <c r="A947" s="32" t="s">
        <v>52</v>
      </c>
    </row>
    <row r="948" spans="1:1" x14ac:dyDescent="0.25">
      <c r="A948" s="33" t="s">
        <v>52</v>
      </c>
    </row>
    <row r="949" spans="1:1" x14ac:dyDescent="0.25">
      <c r="A949" s="34" t="s">
        <v>52</v>
      </c>
    </row>
    <row r="950" spans="1:1" x14ac:dyDescent="0.25">
      <c r="A950" s="35" t="s">
        <v>52</v>
      </c>
    </row>
    <row r="951" spans="1:1" x14ac:dyDescent="0.25">
      <c r="A951" s="36" t="s">
        <v>52</v>
      </c>
    </row>
    <row r="952" spans="1:1" x14ac:dyDescent="0.25">
      <c r="A952" s="37" t="s">
        <v>52</v>
      </c>
    </row>
    <row r="953" spans="1:1" x14ac:dyDescent="0.25">
      <c r="A953" s="38" t="s">
        <v>52</v>
      </c>
    </row>
    <row r="954" spans="1:1" x14ac:dyDescent="0.25">
      <c r="A954" s="39" t="s">
        <v>52</v>
      </c>
    </row>
    <row r="955" spans="1:1" x14ac:dyDescent="0.25">
      <c r="A955" s="40" t="s">
        <v>52</v>
      </c>
    </row>
    <row r="956" spans="1:1" x14ac:dyDescent="0.25">
      <c r="A956" s="41" t="s">
        <v>52</v>
      </c>
    </row>
    <row r="957" spans="1:1" x14ac:dyDescent="0.25">
      <c r="A957" s="42" t="s">
        <v>52</v>
      </c>
    </row>
    <row r="958" spans="1:1" x14ac:dyDescent="0.25">
      <c r="A958" s="43" t="s">
        <v>52</v>
      </c>
    </row>
    <row r="959" spans="1:1" x14ac:dyDescent="0.25">
      <c r="A959" s="44" t="s">
        <v>52</v>
      </c>
    </row>
    <row r="960" spans="1:1" x14ac:dyDescent="0.25">
      <c r="A960" s="45" t="s">
        <v>52</v>
      </c>
    </row>
    <row r="961" spans="1:1" x14ac:dyDescent="0.25">
      <c r="A961" s="46" t="s">
        <v>52</v>
      </c>
    </row>
    <row r="962" spans="1:1" x14ac:dyDescent="0.25">
      <c r="A962" s="47" t="s">
        <v>52</v>
      </c>
    </row>
    <row r="963" spans="1:1" x14ac:dyDescent="0.25">
      <c r="A963" s="48" t="s">
        <v>52</v>
      </c>
    </row>
    <row r="964" spans="1:1" x14ac:dyDescent="0.25">
      <c r="A964" s="49" t="s">
        <v>52</v>
      </c>
    </row>
    <row r="965" spans="1:1" x14ac:dyDescent="0.25">
      <c r="A965" s="50" t="s">
        <v>52</v>
      </c>
    </row>
    <row r="966" spans="1:1" x14ac:dyDescent="0.25">
      <c r="A966" s="51" t="s">
        <v>52</v>
      </c>
    </row>
    <row r="967" spans="1:1" x14ac:dyDescent="0.25">
      <c r="A967" s="52" t="s">
        <v>52</v>
      </c>
    </row>
    <row r="968" spans="1:1" x14ac:dyDescent="0.25">
      <c r="A968" s="53" t="s">
        <v>52</v>
      </c>
    </row>
    <row r="969" spans="1:1" x14ac:dyDescent="0.25">
      <c r="A969" s="54" t="s">
        <v>52</v>
      </c>
    </row>
    <row r="970" spans="1:1" x14ac:dyDescent="0.25">
      <c r="A970" s="55" t="s">
        <v>52</v>
      </c>
    </row>
    <row r="971" spans="1:1" x14ac:dyDescent="0.25">
      <c r="A971" s="56" t="s">
        <v>52</v>
      </c>
    </row>
    <row r="972" spans="1:1" x14ac:dyDescent="0.25">
      <c r="A972" s="57" t="s">
        <v>52</v>
      </c>
    </row>
    <row r="973" spans="1:1" x14ac:dyDescent="0.25">
      <c r="A973" s="58" t="s">
        <v>52</v>
      </c>
    </row>
    <row r="974" spans="1:1" x14ac:dyDescent="0.25">
      <c r="A974" s="59" t="s">
        <v>52</v>
      </c>
    </row>
    <row r="975" spans="1:1" x14ac:dyDescent="0.25">
      <c r="A975" s="60" t="s">
        <v>52</v>
      </c>
    </row>
    <row r="976" spans="1:1" x14ac:dyDescent="0.25">
      <c r="A976" s="61" t="s">
        <v>52</v>
      </c>
    </row>
    <row r="977" spans="1:1" x14ac:dyDescent="0.25">
      <c r="A977" s="62" t="s">
        <v>52</v>
      </c>
    </row>
    <row r="978" spans="1:1" x14ac:dyDescent="0.25">
      <c r="A978" s="63" t="s">
        <v>52</v>
      </c>
    </row>
    <row r="979" spans="1:1" x14ac:dyDescent="0.25">
      <c r="A979" s="64" t="s">
        <v>52</v>
      </c>
    </row>
    <row r="980" spans="1:1" x14ac:dyDescent="0.25">
      <c r="A980" s="65" t="s">
        <v>52</v>
      </c>
    </row>
    <row r="981" spans="1:1" x14ac:dyDescent="0.25">
      <c r="A981" s="66" t="s">
        <v>52</v>
      </c>
    </row>
    <row r="982" spans="1:1" x14ac:dyDescent="0.25">
      <c r="A982" s="67" t="s">
        <v>52</v>
      </c>
    </row>
    <row r="983" spans="1:1" x14ac:dyDescent="0.25">
      <c r="A983" s="68" t="s">
        <v>52</v>
      </c>
    </row>
    <row r="984" spans="1:1" x14ac:dyDescent="0.25">
      <c r="A984" s="69" t="s">
        <v>52</v>
      </c>
    </row>
    <row r="985" spans="1:1" x14ac:dyDescent="0.25">
      <c r="A985" s="70" t="s">
        <v>52</v>
      </c>
    </row>
    <row r="986" spans="1:1" x14ac:dyDescent="0.25">
      <c r="A986" s="71" t="s">
        <v>52</v>
      </c>
    </row>
    <row r="987" spans="1:1" x14ac:dyDescent="0.25">
      <c r="A987" s="72" t="s">
        <v>52</v>
      </c>
    </row>
    <row r="988" spans="1:1" x14ac:dyDescent="0.25">
      <c r="A988" s="73" t="s">
        <v>52</v>
      </c>
    </row>
    <row r="989" spans="1:1" x14ac:dyDescent="0.25">
      <c r="A989" s="74" t="s">
        <v>52</v>
      </c>
    </row>
    <row r="990" spans="1:1" x14ac:dyDescent="0.25">
      <c r="A990" s="75" t="s">
        <v>52</v>
      </c>
    </row>
    <row r="991" spans="1:1" x14ac:dyDescent="0.25">
      <c r="A991" s="76" t="s">
        <v>52</v>
      </c>
    </row>
    <row r="992" spans="1:1" x14ac:dyDescent="0.25">
      <c r="A992" s="77" t="s">
        <v>52</v>
      </c>
    </row>
    <row r="993" spans="1:1" x14ac:dyDescent="0.25">
      <c r="A993" s="78" t="s">
        <v>52</v>
      </c>
    </row>
    <row r="994" spans="1:1" x14ac:dyDescent="0.25">
      <c r="A994" s="79" t="s">
        <v>52</v>
      </c>
    </row>
    <row r="995" spans="1:1" x14ac:dyDescent="0.25">
      <c r="A995" s="80" t="s">
        <v>52</v>
      </c>
    </row>
    <row r="996" spans="1:1" x14ac:dyDescent="0.25">
      <c r="A996" s="81" t="s">
        <v>52</v>
      </c>
    </row>
    <row r="997" spans="1:1" x14ac:dyDescent="0.25">
      <c r="A997" s="82" t="s">
        <v>52</v>
      </c>
    </row>
    <row r="998" spans="1:1" x14ac:dyDescent="0.25">
      <c r="A998" s="83" t="s">
        <v>52</v>
      </c>
    </row>
    <row r="999" spans="1:1" x14ac:dyDescent="0.25">
      <c r="A999" s="84" t="s">
        <v>52</v>
      </c>
    </row>
    <row r="1000" spans="1:1" x14ac:dyDescent="0.25">
      <c r="A1000" s="85" t="s">
        <v>52</v>
      </c>
    </row>
    <row r="1001" spans="1:1" x14ac:dyDescent="0.25">
      <c r="A1001" s="86" t="s">
        <v>52</v>
      </c>
    </row>
    <row r="1002" spans="1:1" x14ac:dyDescent="0.25">
      <c r="A1002" s="87" t="s">
        <v>52</v>
      </c>
    </row>
    <row r="1003" spans="1:1" x14ac:dyDescent="0.25">
      <c r="A1003" s="88" t="s">
        <v>52</v>
      </c>
    </row>
    <row r="1004" spans="1:1" x14ac:dyDescent="0.25">
      <c r="A1004" s="89" t="s">
        <v>52</v>
      </c>
    </row>
    <row r="1005" spans="1:1" x14ac:dyDescent="0.25">
      <c r="A1005" s="90" t="s">
        <v>52</v>
      </c>
    </row>
    <row r="1006" spans="1:1" x14ac:dyDescent="0.25">
      <c r="A1006" s="120" t="s">
        <v>52</v>
      </c>
    </row>
    <row r="1007" spans="1:1" x14ac:dyDescent="0.25">
      <c r="A1007" s="121" t="s">
        <v>52</v>
      </c>
    </row>
    <row r="1008" spans="1:1" x14ac:dyDescent="0.25">
      <c r="A1008" s="122" t="s">
        <v>52</v>
      </c>
    </row>
    <row r="1009" spans="1:1" x14ac:dyDescent="0.25">
      <c r="A1009" s="123" t="s">
        <v>52</v>
      </c>
    </row>
    <row r="1010" spans="1:1" x14ac:dyDescent="0.25">
      <c r="A1010" s="124" t="s">
        <v>52</v>
      </c>
    </row>
    <row r="1011" spans="1:1" x14ac:dyDescent="0.25">
      <c r="A1011" s="125" t="s">
        <v>52</v>
      </c>
    </row>
    <row r="1012" spans="1:1" x14ac:dyDescent="0.25">
      <c r="A1012" s="126" t="s">
        <v>52</v>
      </c>
    </row>
    <row r="1013" spans="1:1" x14ac:dyDescent="0.25">
      <c r="A1013" s="127" t="s">
        <v>52</v>
      </c>
    </row>
    <row r="1014" spans="1:1" x14ac:dyDescent="0.25">
      <c r="A1014" s="128" t="s">
        <v>52</v>
      </c>
    </row>
    <row r="1015" spans="1:1" x14ac:dyDescent="0.25">
      <c r="A1015" s="129" t="s">
        <v>52</v>
      </c>
    </row>
    <row r="1016" spans="1:1" x14ac:dyDescent="0.25">
      <c r="A1016" s="130" t="s">
        <v>52</v>
      </c>
    </row>
    <row r="1017" spans="1:1" x14ac:dyDescent="0.25">
      <c r="A1017" s="131" t="s">
        <v>52</v>
      </c>
    </row>
    <row r="1018" spans="1:1" x14ac:dyDescent="0.25">
      <c r="A1018" s="132" t="s">
        <v>52</v>
      </c>
    </row>
    <row r="1019" spans="1:1" x14ac:dyDescent="0.25">
      <c r="A1019" s="133" t="s">
        <v>52</v>
      </c>
    </row>
    <row r="1020" spans="1:1" x14ac:dyDescent="0.25">
      <c r="A1020" s="134" t="s">
        <v>52</v>
      </c>
    </row>
    <row r="1021" spans="1:1" x14ac:dyDescent="0.25">
      <c r="A1021" s="135" t="s">
        <v>52</v>
      </c>
    </row>
    <row r="1022" spans="1:1" x14ac:dyDescent="0.25">
      <c r="A1022" s="136" t="s">
        <v>52</v>
      </c>
    </row>
    <row r="1023" spans="1:1" x14ac:dyDescent="0.25">
      <c r="A1023" s="137" t="s">
        <v>52</v>
      </c>
    </row>
    <row r="1024" spans="1:1" x14ac:dyDescent="0.25">
      <c r="A1024" s="138" t="s">
        <v>52</v>
      </c>
    </row>
    <row r="1025" spans="1:1" x14ac:dyDescent="0.25">
      <c r="A1025" s="139" t="s">
        <v>52</v>
      </c>
    </row>
    <row r="1026" spans="1:1" x14ac:dyDescent="0.25">
      <c r="A1026" s="10" t="s">
        <v>6</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3"/>
  <sheetViews>
    <sheetView workbookViewId="0">
      <selection activeCell="A2" sqref="A2"/>
    </sheetView>
  </sheetViews>
  <sheetFormatPr defaultRowHeight="15" x14ac:dyDescent="0.25"/>
  <cols>
    <col min="1" max="1" width="13.140625" customWidth="1"/>
  </cols>
  <sheetData>
    <row r="1" spans="1:1" x14ac:dyDescent="0.25">
      <c r="A1" s="11" t="s">
        <v>5</v>
      </c>
    </row>
    <row r="2" spans="1:1" x14ac:dyDescent="0.25">
      <c r="A2" s="10" t="s">
        <v>20</v>
      </c>
    </row>
    <row r="3" spans="1:1" x14ac:dyDescent="0.25">
      <c r="A3" s="10" t="s">
        <v>6</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H294"/>
  <sheetViews>
    <sheetView showGridLines="0" view="pageBreakPreview" zoomScale="120" zoomScaleNormal="100" zoomScaleSheetLayoutView="120" workbookViewId="0">
      <selection activeCell="D3" sqref="D3"/>
    </sheetView>
  </sheetViews>
  <sheetFormatPr defaultRowHeight="15" x14ac:dyDescent="0.25"/>
  <cols>
    <col min="2" max="2" width="8.28515625" style="95" customWidth="1"/>
    <col min="3" max="3" width="9.28515625" style="93" customWidth="1"/>
    <col min="4" max="4" width="32.7109375" style="94" customWidth="1"/>
    <col min="5" max="6" width="8.28515625" style="91" customWidth="1"/>
    <col min="7" max="7" width="9.28515625" style="92" customWidth="1"/>
    <col min="8" max="8" width="11.28515625" style="92" customWidth="1"/>
  </cols>
  <sheetData>
    <row r="1" spans="1:8" ht="24.75" thickBot="1" x14ac:dyDescent="0.3">
      <c r="B1" s="96" t="s">
        <v>36</v>
      </c>
      <c r="C1" s="97" t="s">
        <v>94</v>
      </c>
      <c r="D1" s="97" t="s">
        <v>38</v>
      </c>
      <c r="E1" s="97" t="s">
        <v>37</v>
      </c>
      <c r="F1" s="98" t="s">
        <v>81</v>
      </c>
      <c r="G1" s="99" t="s">
        <v>86</v>
      </c>
      <c r="H1" s="99" t="s">
        <v>95</v>
      </c>
    </row>
    <row r="2" spans="1:8" x14ac:dyDescent="0.25">
      <c r="B2" s="100"/>
      <c r="C2" s="101"/>
      <c r="D2" s="102"/>
      <c r="E2" s="103"/>
      <c r="F2" s="104"/>
      <c r="G2" s="105"/>
      <c r="H2" s="106"/>
    </row>
    <row r="3" spans="1:8" ht="27" x14ac:dyDescent="0.25">
      <c r="A3" s="113">
        <v>7</v>
      </c>
      <c r="B3" s="100" t="str">
        <f t="shared" ref="B3:B22" si="0">+IF(F3&gt;0,A3,"")</f>
        <v/>
      </c>
      <c r="C3" s="101"/>
      <c r="D3" s="102" t="s">
        <v>917</v>
      </c>
      <c r="E3" s="103"/>
      <c r="F3" s="104"/>
      <c r="G3" s="105"/>
      <c r="H3" s="106"/>
    </row>
    <row r="4" spans="1:8" ht="12" customHeight="1" x14ac:dyDescent="0.25">
      <c r="A4" s="113">
        <f t="shared" ref="A4:A22" si="1">+IF(F4&gt;0.01,A3+0.001,A3)</f>
        <v>7</v>
      </c>
      <c r="B4" s="100" t="str">
        <f t="shared" si="0"/>
        <v/>
      </c>
      <c r="C4" s="107" t="s">
        <v>54</v>
      </c>
      <c r="D4" s="108"/>
      <c r="E4" s="107"/>
      <c r="F4" s="109"/>
      <c r="G4" s="105"/>
      <c r="H4" s="106" t="str">
        <f>IF(F4="","",G4*F4)</f>
        <v/>
      </c>
    </row>
    <row r="5" spans="1:8" ht="25.5" x14ac:dyDescent="0.25">
      <c r="A5" s="113">
        <f t="shared" si="1"/>
        <v>7</v>
      </c>
      <c r="B5" s="100" t="str">
        <f t="shared" si="0"/>
        <v/>
      </c>
      <c r="C5" s="110" t="s">
        <v>55</v>
      </c>
      <c r="D5" s="111" t="s">
        <v>126</v>
      </c>
      <c r="E5" s="107"/>
      <c r="F5" s="109"/>
      <c r="G5" s="105"/>
      <c r="H5" s="106" t="str">
        <f>IF(F5="","",G5*F5)</f>
        <v/>
      </c>
    </row>
    <row r="6" spans="1:8" x14ac:dyDescent="0.25">
      <c r="A6" s="113">
        <f t="shared" si="1"/>
        <v>7</v>
      </c>
      <c r="B6" s="100" t="str">
        <f t="shared" si="0"/>
        <v/>
      </c>
      <c r="C6" s="107">
        <v>8.3000000000000007</v>
      </c>
      <c r="D6" s="112" t="s">
        <v>33</v>
      </c>
      <c r="E6" s="107"/>
      <c r="F6" s="109"/>
      <c r="G6" s="105"/>
      <c r="H6" s="106" t="str">
        <f>IF(F6="","",G6*F6)</f>
        <v/>
      </c>
    </row>
    <row r="7" spans="1:8" ht="94.5" x14ac:dyDescent="0.25">
      <c r="A7" s="113">
        <f t="shared" si="1"/>
        <v>7</v>
      </c>
      <c r="B7" s="100" t="str">
        <f t="shared" si="0"/>
        <v/>
      </c>
      <c r="C7" s="107" t="s">
        <v>419</v>
      </c>
      <c r="D7" s="108" t="s">
        <v>87</v>
      </c>
      <c r="E7" s="107"/>
      <c r="F7" s="109"/>
      <c r="G7" s="105"/>
      <c r="H7" s="106" t="str">
        <f>IF(F7="","",G7*F7)</f>
        <v/>
      </c>
    </row>
    <row r="8" spans="1:8" ht="27" x14ac:dyDescent="0.25">
      <c r="A8" s="113">
        <f t="shared" si="1"/>
        <v>7.0010000000000003</v>
      </c>
      <c r="B8" s="100">
        <f t="shared" si="0"/>
        <v>7.0010000000000003</v>
      </c>
      <c r="C8" s="107" t="s">
        <v>1023</v>
      </c>
      <c r="D8" s="108" t="s">
        <v>378</v>
      </c>
      <c r="E8" s="107" t="s">
        <v>47</v>
      </c>
      <c r="F8" s="109">
        <v>30</v>
      </c>
      <c r="G8" s="105"/>
      <c r="H8" s="106">
        <f t="shared" ref="H8:H15" si="2">IF(F8="","",G8*F8)</f>
        <v>0</v>
      </c>
    </row>
    <row r="9" spans="1:8" ht="27" x14ac:dyDescent="0.25">
      <c r="A9" s="113">
        <f t="shared" si="1"/>
        <v>7.0020000000000007</v>
      </c>
      <c r="B9" s="100">
        <f t="shared" si="0"/>
        <v>7.0020000000000007</v>
      </c>
      <c r="C9" s="107" t="s">
        <v>1055</v>
      </c>
      <c r="D9" s="108" t="s">
        <v>122</v>
      </c>
      <c r="E9" s="107" t="s">
        <v>47</v>
      </c>
      <c r="F9" s="109">
        <v>1876.14315788985</v>
      </c>
      <c r="G9" s="105"/>
      <c r="H9" s="106">
        <f t="shared" si="2"/>
        <v>0</v>
      </c>
    </row>
    <row r="10" spans="1:8" ht="27" x14ac:dyDescent="0.25">
      <c r="A10" s="113">
        <f t="shared" si="1"/>
        <v>7.003000000000001</v>
      </c>
      <c r="B10" s="100">
        <f t="shared" si="0"/>
        <v>7.003000000000001</v>
      </c>
      <c r="C10" s="107" t="s">
        <v>1023</v>
      </c>
      <c r="D10" s="108" t="s">
        <v>379</v>
      </c>
      <c r="E10" s="107" t="s">
        <v>47</v>
      </c>
      <c r="F10" s="109">
        <v>21.76</v>
      </c>
      <c r="G10" s="105"/>
      <c r="H10" s="106">
        <f t="shared" si="2"/>
        <v>0</v>
      </c>
    </row>
    <row r="11" spans="1:8" ht="27" x14ac:dyDescent="0.25">
      <c r="A11" s="113">
        <f t="shared" si="1"/>
        <v>7.0040000000000013</v>
      </c>
      <c r="B11" s="100">
        <f t="shared" si="0"/>
        <v>7.0040000000000013</v>
      </c>
      <c r="C11" s="107" t="s">
        <v>1023</v>
      </c>
      <c r="D11" s="108" t="s">
        <v>380</v>
      </c>
      <c r="E11" s="107" t="s">
        <v>47</v>
      </c>
      <c r="F11" s="109">
        <v>21.92</v>
      </c>
      <c r="G11" s="105"/>
      <c r="H11" s="106">
        <f t="shared" si="2"/>
        <v>0</v>
      </c>
    </row>
    <row r="12" spans="1:8" ht="27" x14ac:dyDescent="0.25">
      <c r="A12" s="113">
        <f t="shared" si="1"/>
        <v>7.0050000000000017</v>
      </c>
      <c r="B12" s="100">
        <f t="shared" si="0"/>
        <v>7.0050000000000017</v>
      </c>
      <c r="C12" s="107" t="s">
        <v>1023</v>
      </c>
      <c r="D12" s="108" t="s">
        <v>381</v>
      </c>
      <c r="E12" s="107" t="s">
        <v>47</v>
      </c>
      <c r="F12" s="109">
        <v>21.44</v>
      </c>
      <c r="G12" s="105"/>
      <c r="H12" s="106">
        <f t="shared" si="2"/>
        <v>0</v>
      </c>
    </row>
    <row r="13" spans="1:8" ht="27" x14ac:dyDescent="0.25">
      <c r="A13" s="113">
        <f t="shared" si="1"/>
        <v>7.006000000000002</v>
      </c>
      <c r="B13" s="100">
        <f t="shared" si="0"/>
        <v>7.006000000000002</v>
      </c>
      <c r="C13" s="107" t="s">
        <v>1023</v>
      </c>
      <c r="D13" s="108" t="s">
        <v>382</v>
      </c>
      <c r="E13" s="107" t="s">
        <v>47</v>
      </c>
      <c r="F13" s="109">
        <v>21.92</v>
      </c>
      <c r="G13" s="105"/>
      <c r="H13" s="106">
        <f t="shared" si="2"/>
        <v>0</v>
      </c>
    </row>
    <row r="14" spans="1:8" ht="27" x14ac:dyDescent="0.25">
      <c r="A14" s="113">
        <f t="shared" si="1"/>
        <v>7.0070000000000023</v>
      </c>
      <c r="B14" s="100">
        <f t="shared" si="0"/>
        <v>7.0070000000000023</v>
      </c>
      <c r="C14" s="107" t="s">
        <v>1023</v>
      </c>
      <c r="D14" s="108" t="s">
        <v>383</v>
      </c>
      <c r="E14" s="107" t="s">
        <v>47</v>
      </c>
      <c r="F14" s="109">
        <v>21.44</v>
      </c>
      <c r="G14" s="105"/>
      <c r="H14" s="106">
        <f t="shared" si="2"/>
        <v>0</v>
      </c>
    </row>
    <row r="15" spans="1:8" ht="27" x14ac:dyDescent="0.25">
      <c r="A15" s="113">
        <f t="shared" si="1"/>
        <v>7.0080000000000027</v>
      </c>
      <c r="B15" s="100">
        <f t="shared" si="0"/>
        <v>7.0080000000000027</v>
      </c>
      <c r="C15" s="107" t="s">
        <v>1023</v>
      </c>
      <c r="D15" s="108" t="s">
        <v>384</v>
      </c>
      <c r="E15" s="107" t="s">
        <v>47</v>
      </c>
      <c r="F15" s="109">
        <v>21.44</v>
      </c>
      <c r="G15" s="105"/>
      <c r="H15" s="106">
        <f t="shared" si="2"/>
        <v>0</v>
      </c>
    </row>
    <row r="16" spans="1:8" ht="9.75" customHeight="1" x14ac:dyDescent="0.25">
      <c r="A16" s="113">
        <f t="shared" si="1"/>
        <v>7.009000000000003</v>
      </c>
      <c r="B16" s="100">
        <f t="shared" si="0"/>
        <v>7.009000000000003</v>
      </c>
      <c r="C16" s="107" t="s">
        <v>1055</v>
      </c>
      <c r="D16" s="108" t="s">
        <v>915</v>
      </c>
      <c r="E16" s="107" t="s">
        <v>47</v>
      </c>
      <c r="F16" s="109">
        <v>619</v>
      </c>
      <c r="G16" s="105"/>
      <c r="H16" s="106">
        <f>IF(F16="","",G16*F16)</f>
        <v>0</v>
      </c>
    </row>
    <row r="17" spans="1:8" x14ac:dyDescent="0.25">
      <c r="A17" s="113">
        <f t="shared" si="1"/>
        <v>7.009000000000003</v>
      </c>
      <c r="B17" s="100" t="str">
        <f t="shared" si="0"/>
        <v/>
      </c>
      <c r="C17" s="107"/>
      <c r="D17" s="153"/>
      <c r="E17" s="107"/>
      <c r="F17" s="109"/>
      <c r="G17" s="105"/>
      <c r="H17" s="106" t="str">
        <f>IF(F17="","",G17*F17)</f>
        <v/>
      </c>
    </row>
    <row r="18" spans="1:8" ht="54" x14ac:dyDescent="0.25">
      <c r="A18" s="113">
        <f t="shared" si="1"/>
        <v>7.009000000000003</v>
      </c>
      <c r="B18" s="100" t="str">
        <f t="shared" si="0"/>
        <v/>
      </c>
      <c r="C18" s="107" t="s">
        <v>416</v>
      </c>
      <c r="D18" s="153" t="s">
        <v>916</v>
      </c>
      <c r="E18" s="107"/>
      <c r="F18" s="109"/>
      <c r="G18" s="105"/>
      <c r="H18" s="106" t="str">
        <f>IF(F18="","",G18*F18)</f>
        <v/>
      </c>
    </row>
    <row r="19" spans="1:8" ht="12" customHeight="1" x14ac:dyDescent="0.25">
      <c r="A19" s="113">
        <f t="shared" si="1"/>
        <v>7.0100000000000033</v>
      </c>
      <c r="B19" s="100">
        <f t="shared" si="0"/>
        <v>7.0100000000000033</v>
      </c>
      <c r="C19" s="107" t="s">
        <v>1055</v>
      </c>
      <c r="D19" s="108" t="s">
        <v>122</v>
      </c>
      <c r="E19" s="107" t="s">
        <v>48</v>
      </c>
      <c r="F19" s="109">
        <v>801.25656624999999</v>
      </c>
      <c r="G19" s="105"/>
      <c r="H19" s="106"/>
    </row>
    <row r="20" spans="1:8" x14ac:dyDescent="0.25">
      <c r="A20" s="113">
        <f t="shared" si="1"/>
        <v>7.0110000000000037</v>
      </c>
      <c r="B20" s="100">
        <f t="shared" si="0"/>
        <v>7.0110000000000037</v>
      </c>
      <c r="C20" s="107" t="s">
        <v>1055</v>
      </c>
      <c r="D20" s="108" t="s">
        <v>915</v>
      </c>
      <c r="E20" s="107" t="s">
        <v>48</v>
      </c>
      <c r="F20" s="109">
        <v>212</v>
      </c>
      <c r="G20" s="105"/>
      <c r="H20" s="106">
        <f>IF(F20="","",G20*F20)</f>
        <v>0</v>
      </c>
    </row>
    <row r="21" spans="1:8" x14ac:dyDescent="0.25">
      <c r="A21" s="113">
        <f t="shared" si="1"/>
        <v>7.0110000000000037</v>
      </c>
      <c r="B21" s="100" t="str">
        <f t="shared" si="0"/>
        <v/>
      </c>
      <c r="C21" s="107"/>
      <c r="D21" s="108"/>
      <c r="E21" s="107"/>
      <c r="F21" s="109"/>
      <c r="G21" s="105"/>
      <c r="H21" s="106" t="str">
        <f>IF(F21="","",G21*F21)</f>
        <v/>
      </c>
    </row>
    <row r="22" spans="1:8" ht="54" x14ac:dyDescent="0.25">
      <c r="A22" s="113">
        <f t="shared" si="1"/>
        <v>7.0110000000000037</v>
      </c>
      <c r="B22" s="100" t="str">
        <f t="shared" si="0"/>
        <v/>
      </c>
      <c r="C22" s="107" t="s">
        <v>415</v>
      </c>
      <c r="D22" s="108" t="s">
        <v>88</v>
      </c>
      <c r="E22" s="107"/>
      <c r="F22" s="109"/>
      <c r="G22" s="105"/>
      <c r="H22" s="106" t="str">
        <f>IF(F22="","",G22*F22)</f>
        <v/>
      </c>
    </row>
    <row r="23" spans="1:8" ht="27" x14ac:dyDescent="0.25">
      <c r="A23" s="113">
        <f>+IF(F23&gt;0.01,A22+0.001,A22)</f>
        <v>7.012000000000004</v>
      </c>
      <c r="B23" s="100">
        <f>+IF(F23&gt;0,A23,"")</f>
        <v>7.012000000000004</v>
      </c>
      <c r="C23" s="107" t="s">
        <v>1054</v>
      </c>
      <c r="D23" s="108" t="s">
        <v>385</v>
      </c>
      <c r="E23" s="107" t="s">
        <v>48</v>
      </c>
      <c r="F23" s="109">
        <v>2</v>
      </c>
      <c r="G23" s="105"/>
      <c r="H23" s="106">
        <f>IF(F23="","",G23*F23)</f>
        <v>0</v>
      </c>
    </row>
    <row r="24" spans="1:8" ht="27" x14ac:dyDescent="0.25">
      <c r="A24" s="113">
        <f>+IF(F24&gt;0.01,A23+0.001,A23)</f>
        <v>7.0130000000000043</v>
      </c>
      <c r="B24" s="100">
        <f>+IF(F24&gt;0,A24,"")</f>
        <v>7.0130000000000043</v>
      </c>
      <c r="C24" s="107" t="s">
        <v>1023</v>
      </c>
      <c r="D24" s="108" t="s">
        <v>378</v>
      </c>
      <c r="E24" s="107" t="s">
        <v>48</v>
      </c>
      <c r="F24" s="109">
        <v>37</v>
      </c>
      <c r="G24" s="105"/>
      <c r="H24" s="106">
        <f>IF(F24="","",G24*F24)</f>
        <v>0</v>
      </c>
    </row>
    <row r="25" spans="1:8" ht="27" x14ac:dyDescent="0.25">
      <c r="A25" s="113">
        <f t="shared" ref="A25:A27" si="3">+IF(F25&gt;0.01,A24+0.001,A24)</f>
        <v>7.0140000000000047</v>
      </c>
      <c r="B25" s="100">
        <f t="shared" ref="B25:B27" si="4">+IF(F25&gt;0,A25,"")</f>
        <v>7.0140000000000047</v>
      </c>
      <c r="C25" s="107" t="s">
        <v>1023</v>
      </c>
      <c r="D25" s="108" t="s">
        <v>379</v>
      </c>
      <c r="E25" s="107" t="s">
        <v>48</v>
      </c>
      <c r="F25" s="109">
        <v>36.6111</v>
      </c>
      <c r="G25" s="105"/>
      <c r="H25" s="106"/>
    </row>
    <row r="26" spans="1:8" ht="27" x14ac:dyDescent="0.25">
      <c r="A26" s="113">
        <f t="shared" si="3"/>
        <v>7.015000000000005</v>
      </c>
      <c r="B26" s="100">
        <f t="shared" si="4"/>
        <v>7.015000000000005</v>
      </c>
      <c r="C26" s="107" t="s">
        <v>1023</v>
      </c>
      <c r="D26" s="108" t="s">
        <v>380</v>
      </c>
      <c r="E26" s="107" t="s">
        <v>48</v>
      </c>
      <c r="F26" s="109">
        <v>36.428620199999997</v>
      </c>
      <c r="G26" s="105"/>
      <c r="H26" s="106"/>
    </row>
    <row r="27" spans="1:8" ht="15.75" thickBot="1" x14ac:dyDescent="0.3">
      <c r="A27" s="113">
        <f t="shared" si="3"/>
        <v>7.015000000000005</v>
      </c>
      <c r="B27" s="100" t="str">
        <f t="shared" si="4"/>
        <v/>
      </c>
      <c r="C27" s="107"/>
      <c r="D27" s="108"/>
      <c r="E27" s="107"/>
      <c r="F27" s="109"/>
      <c r="G27" s="105"/>
      <c r="H27" s="106"/>
    </row>
    <row r="28" spans="1:8" ht="15.75" thickBot="1" x14ac:dyDescent="0.3">
      <c r="A28" s="113"/>
      <c r="B28" s="173" t="s">
        <v>408</v>
      </c>
      <c r="C28" s="174"/>
      <c r="D28" s="174"/>
      <c r="E28" s="174"/>
      <c r="F28" s="174"/>
      <c r="G28" s="175"/>
      <c r="H28" s="117">
        <f>SUM(H2:H24)</f>
        <v>0</v>
      </c>
    </row>
    <row r="29" spans="1:8" ht="24.75" thickBot="1" x14ac:dyDescent="0.3">
      <c r="A29" s="113"/>
      <c r="B29" s="114" t="s">
        <v>36</v>
      </c>
      <c r="C29" s="97" t="s">
        <v>94</v>
      </c>
      <c r="D29" s="115" t="s">
        <v>38</v>
      </c>
      <c r="E29" s="115" t="s">
        <v>37</v>
      </c>
      <c r="F29" s="115" t="s">
        <v>81</v>
      </c>
      <c r="G29" s="116" t="s">
        <v>86</v>
      </c>
      <c r="H29" s="99" t="s">
        <v>95</v>
      </c>
    </row>
    <row r="30" spans="1:8" ht="15.75" thickBot="1" x14ac:dyDescent="0.3">
      <c r="A30" s="113"/>
      <c r="B30" s="171" t="s">
        <v>409</v>
      </c>
      <c r="C30" s="172"/>
      <c r="D30" s="172"/>
      <c r="E30" s="172"/>
      <c r="F30" s="172"/>
      <c r="G30" s="172"/>
      <c r="H30" s="117">
        <f>H28</f>
        <v>0</v>
      </c>
    </row>
    <row r="31" spans="1:8" x14ac:dyDescent="0.25">
      <c r="A31" s="113">
        <f>+IF(F31&gt;0.01,A27+0.001,A27)</f>
        <v>7.015000000000005</v>
      </c>
      <c r="B31" s="100" t="str">
        <f>+IF(F31&gt;0,A31,"")</f>
        <v/>
      </c>
      <c r="C31" s="118"/>
      <c r="D31" s="118"/>
      <c r="E31" s="118"/>
      <c r="F31" s="118"/>
      <c r="G31" s="118"/>
      <c r="H31" s="119"/>
    </row>
    <row r="32" spans="1:8" ht="54" x14ac:dyDescent="0.25">
      <c r="A32" s="113">
        <f>+IF(F32&gt;0.01,A31+0.001,A31)</f>
        <v>7.015000000000005</v>
      </c>
      <c r="B32" s="100" t="str">
        <f>+IF(F32&gt;0,A32,"")</f>
        <v/>
      </c>
      <c r="C32" s="107" t="s">
        <v>415</v>
      </c>
      <c r="D32" s="108" t="s">
        <v>88</v>
      </c>
      <c r="E32" s="107"/>
      <c r="F32" s="109"/>
      <c r="G32" s="105"/>
      <c r="H32" s="106" t="str">
        <f>IF(F32="","",G32*F32)</f>
        <v/>
      </c>
    </row>
    <row r="33" spans="1:8" ht="27" x14ac:dyDescent="0.25">
      <c r="A33" s="113">
        <f t="shared" ref="A33:A52" si="5">+IF(F33&gt;0.01,A32+0.001,A32)</f>
        <v>7.0160000000000053</v>
      </c>
      <c r="B33" s="100">
        <f t="shared" ref="B33:B52" si="6">+IF(F33&gt;0,A33,"")</f>
        <v>7.0160000000000053</v>
      </c>
      <c r="C33" s="107" t="s">
        <v>1023</v>
      </c>
      <c r="D33" s="108" t="s">
        <v>381</v>
      </c>
      <c r="E33" s="107" t="s">
        <v>48</v>
      </c>
      <c r="F33" s="109">
        <v>31.948975000000001</v>
      </c>
      <c r="G33" s="105"/>
      <c r="H33" s="106">
        <f>IF(F33="","",G33*F33)</f>
        <v>0</v>
      </c>
    </row>
    <row r="34" spans="1:8" ht="27" x14ac:dyDescent="0.25">
      <c r="A34" s="113">
        <f t="shared" si="5"/>
        <v>7.0170000000000057</v>
      </c>
      <c r="B34" s="100">
        <f t="shared" si="6"/>
        <v>7.0170000000000057</v>
      </c>
      <c r="C34" s="107" t="s">
        <v>1023</v>
      </c>
      <c r="D34" s="108" t="s">
        <v>382</v>
      </c>
      <c r="E34" s="107" t="s">
        <v>48</v>
      </c>
      <c r="F34" s="109">
        <v>47.313324999999999</v>
      </c>
      <c r="G34" s="105"/>
      <c r="H34" s="106">
        <f>IF(F34="","",G34*F34)</f>
        <v>0</v>
      </c>
    </row>
    <row r="35" spans="1:8" ht="27" x14ac:dyDescent="0.25">
      <c r="A35" s="113">
        <f t="shared" si="5"/>
        <v>7.018000000000006</v>
      </c>
      <c r="B35" s="100">
        <f t="shared" si="6"/>
        <v>7.018000000000006</v>
      </c>
      <c r="C35" s="107" t="s">
        <v>1023</v>
      </c>
      <c r="D35" s="108" t="s">
        <v>383</v>
      </c>
      <c r="E35" s="107" t="s">
        <v>48</v>
      </c>
      <c r="F35" s="109">
        <v>33.214089999999999</v>
      </c>
      <c r="G35" s="105"/>
      <c r="H35" s="106">
        <f>IF(F35="","",G35*F35)</f>
        <v>0</v>
      </c>
    </row>
    <row r="36" spans="1:8" ht="27" x14ac:dyDescent="0.25">
      <c r="A36" s="113">
        <f t="shared" si="5"/>
        <v>7.0190000000000063</v>
      </c>
      <c r="B36" s="100">
        <f t="shared" si="6"/>
        <v>7.0190000000000063</v>
      </c>
      <c r="C36" s="107" t="s">
        <v>1023</v>
      </c>
      <c r="D36" s="108" t="s">
        <v>384</v>
      </c>
      <c r="E36" s="107" t="s">
        <v>48</v>
      </c>
      <c r="F36" s="109">
        <v>21.461639999999999</v>
      </c>
      <c r="G36" s="105"/>
      <c r="H36" s="106">
        <f>IF(F36="","",G36*F36)</f>
        <v>0</v>
      </c>
    </row>
    <row r="37" spans="1:8" ht="11.25" customHeight="1" x14ac:dyDescent="0.25">
      <c r="A37" s="113">
        <f t="shared" si="5"/>
        <v>7.0190000000000063</v>
      </c>
      <c r="B37" s="100" t="str">
        <f t="shared" si="6"/>
        <v/>
      </c>
      <c r="C37" s="107"/>
      <c r="D37" s="108"/>
      <c r="E37" s="107"/>
      <c r="F37" s="109"/>
      <c r="G37" s="105"/>
      <c r="H37" s="106"/>
    </row>
    <row r="38" spans="1:8" ht="27" x14ac:dyDescent="0.25">
      <c r="A38" s="113">
        <f t="shared" si="5"/>
        <v>7.0190000000000063</v>
      </c>
      <c r="B38" s="100" t="str">
        <f t="shared" si="6"/>
        <v/>
      </c>
      <c r="C38" s="107" t="s">
        <v>35</v>
      </c>
      <c r="D38" s="108" t="s">
        <v>90</v>
      </c>
      <c r="E38" s="107"/>
      <c r="F38" s="109"/>
      <c r="G38" s="105"/>
      <c r="H38" s="106" t="str">
        <f t="shared" ref="H38:H45" si="7">IF(F38="","",G38*F38)</f>
        <v/>
      </c>
    </row>
    <row r="39" spans="1:8" ht="27" x14ac:dyDescent="0.25">
      <c r="A39" s="113">
        <f t="shared" si="5"/>
        <v>7.0200000000000067</v>
      </c>
      <c r="B39" s="100">
        <f t="shared" si="6"/>
        <v>7.0200000000000067</v>
      </c>
      <c r="C39" s="107" t="s">
        <v>1023</v>
      </c>
      <c r="D39" s="108" t="s">
        <v>378</v>
      </c>
      <c r="E39" s="107" t="s">
        <v>48</v>
      </c>
      <c r="F39" s="109">
        <v>5.5500000000000007</v>
      </c>
      <c r="G39" s="105"/>
      <c r="H39" s="106">
        <f t="shared" si="7"/>
        <v>0</v>
      </c>
    </row>
    <row r="40" spans="1:8" ht="27" x14ac:dyDescent="0.25">
      <c r="A40" s="113">
        <f t="shared" si="5"/>
        <v>7.021000000000007</v>
      </c>
      <c r="B40" s="100">
        <f t="shared" si="6"/>
        <v>7.021000000000007</v>
      </c>
      <c r="C40" s="107" t="s">
        <v>1023</v>
      </c>
      <c r="D40" s="108" t="s">
        <v>379</v>
      </c>
      <c r="E40" s="107" t="s">
        <v>48</v>
      </c>
      <c r="F40" s="109">
        <v>5.4916649999999994</v>
      </c>
      <c r="G40" s="105"/>
      <c r="H40" s="106">
        <f t="shared" si="7"/>
        <v>0</v>
      </c>
    </row>
    <row r="41" spans="1:8" ht="27" x14ac:dyDescent="0.25">
      <c r="A41" s="113">
        <f t="shared" si="5"/>
        <v>7.0220000000000073</v>
      </c>
      <c r="B41" s="100">
        <f t="shared" si="6"/>
        <v>7.0220000000000073</v>
      </c>
      <c r="C41" s="107" t="s">
        <v>1023</v>
      </c>
      <c r="D41" s="108" t="s">
        <v>380</v>
      </c>
      <c r="E41" s="107" t="s">
        <v>48</v>
      </c>
      <c r="F41" s="109">
        <v>5.4642930300000003</v>
      </c>
      <c r="G41" s="105"/>
      <c r="H41" s="106">
        <f t="shared" si="7"/>
        <v>0</v>
      </c>
    </row>
    <row r="42" spans="1:8" ht="27" x14ac:dyDescent="0.25">
      <c r="A42" s="113">
        <f t="shared" si="5"/>
        <v>7.0230000000000077</v>
      </c>
      <c r="B42" s="100">
        <f t="shared" si="6"/>
        <v>7.0230000000000077</v>
      </c>
      <c r="C42" s="107" t="s">
        <v>1023</v>
      </c>
      <c r="D42" s="108" t="s">
        <v>381</v>
      </c>
      <c r="E42" s="107" t="s">
        <v>48</v>
      </c>
      <c r="F42" s="109">
        <v>4.7923462500000005</v>
      </c>
      <c r="G42" s="105"/>
      <c r="H42" s="106">
        <f t="shared" si="7"/>
        <v>0</v>
      </c>
    </row>
    <row r="43" spans="1:8" ht="27" x14ac:dyDescent="0.25">
      <c r="A43" s="113">
        <f t="shared" si="5"/>
        <v>7.024000000000008</v>
      </c>
      <c r="B43" s="100">
        <f t="shared" si="6"/>
        <v>7.024000000000008</v>
      </c>
      <c r="C43" s="107" t="s">
        <v>1023</v>
      </c>
      <c r="D43" s="108" t="s">
        <v>382</v>
      </c>
      <c r="E43" s="107" t="s">
        <v>48</v>
      </c>
      <c r="F43" s="109">
        <v>7.0969987499999991</v>
      </c>
      <c r="G43" s="105"/>
      <c r="H43" s="106">
        <f t="shared" si="7"/>
        <v>0</v>
      </c>
    </row>
    <row r="44" spans="1:8" ht="27" x14ac:dyDescent="0.25">
      <c r="A44" s="113">
        <f t="shared" si="5"/>
        <v>7.0250000000000083</v>
      </c>
      <c r="B44" s="100">
        <f t="shared" si="6"/>
        <v>7.0250000000000083</v>
      </c>
      <c r="C44" s="107" t="s">
        <v>1023</v>
      </c>
      <c r="D44" s="108" t="s">
        <v>383</v>
      </c>
      <c r="E44" s="107" t="s">
        <v>48</v>
      </c>
      <c r="F44" s="109">
        <v>4.9821135000000005</v>
      </c>
      <c r="G44" s="105"/>
      <c r="H44" s="106">
        <f t="shared" si="7"/>
        <v>0</v>
      </c>
    </row>
    <row r="45" spans="1:8" ht="27" x14ac:dyDescent="0.25">
      <c r="A45" s="113">
        <f t="shared" si="5"/>
        <v>7.0260000000000087</v>
      </c>
      <c r="B45" s="100">
        <f t="shared" si="6"/>
        <v>7.0260000000000087</v>
      </c>
      <c r="C45" s="107" t="s">
        <v>1023</v>
      </c>
      <c r="D45" s="108" t="s">
        <v>384</v>
      </c>
      <c r="E45" s="107" t="s">
        <v>48</v>
      </c>
      <c r="F45" s="109">
        <v>3.2192460000000001</v>
      </c>
      <c r="G45" s="105"/>
      <c r="H45" s="106">
        <f t="shared" si="7"/>
        <v>0</v>
      </c>
    </row>
    <row r="46" spans="1:8" x14ac:dyDescent="0.25">
      <c r="A46" s="113"/>
      <c r="B46" s="100"/>
      <c r="C46" s="107"/>
      <c r="D46" s="108"/>
      <c r="E46" s="107"/>
      <c r="F46" s="109"/>
      <c r="G46" s="105"/>
      <c r="H46" s="106"/>
    </row>
    <row r="47" spans="1:8" ht="108" x14ac:dyDescent="0.25">
      <c r="A47" s="113">
        <f>+IF(F47&gt;0.01,A45+0.001,A45)</f>
        <v>7.0260000000000087</v>
      </c>
      <c r="B47" s="100" t="str">
        <f t="shared" si="6"/>
        <v/>
      </c>
      <c r="C47" s="107" t="s">
        <v>417</v>
      </c>
      <c r="D47" s="108" t="s">
        <v>191</v>
      </c>
      <c r="E47" s="107"/>
      <c r="F47" s="109"/>
      <c r="G47" s="105"/>
      <c r="H47" s="106" t="str">
        <f>IF(F47="","",G47*F47)</f>
        <v/>
      </c>
    </row>
    <row r="48" spans="1:8" x14ac:dyDescent="0.25">
      <c r="A48" s="113">
        <f t="shared" si="5"/>
        <v>7.027000000000009</v>
      </c>
      <c r="B48" s="100">
        <f t="shared" si="6"/>
        <v>7.027000000000009</v>
      </c>
      <c r="C48" s="107" t="s">
        <v>1023</v>
      </c>
      <c r="D48" s="108" t="s">
        <v>403</v>
      </c>
      <c r="E48" s="107" t="s">
        <v>48</v>
      </c>
      <c r="F48" s="109">
        <v>14.728999999999999</v>
      </c>
      <c r="G48" s="105"/>
      <c r="H48" s="106">
        <f>IF(F48="","",G48*F48)</f>
        <v>0</v>
      </c>
    </row>
    <row r="49" spans="1:8" ht="27" x14ac:dyDescent="0.25">
      <c r="A49" s="113">
        <f t="shared" si="5"/>
        <v>7.0280000000000094</v>
      </c>
      <c r="B49" s="100">
        <f t="shared" si="6"/>
        <v>7.0280000000000094</v>
      </c>
      <c r="C49" s="107" t="s">
        <v>1023</v>
      </c>
      <c r="D49" s="108" t="s">
        <v>382</v>
      </c>
      <c r="E49" s="107" t="s">
        <v>48</v>
      </c>
      <c r="F49" s="109">
        <v>25.978000000000002</v>
      </c>
      <c r="G49" s="105"/>
      <c r="H49" s="106">
        <f>IF(F49="","",G49*F49)</f>
        <v>0</v>
      </c>
    </row>
    <row r="50" spans="1:8" ht="27" x14ac:dyDescent="0.25">
      <c r="A50" s="113">
        <f t="shared" si="5"/>
        <v>7.0290000000000097</v>
      </c>
      <c r="B50" s="100">
        <f t="shared" si="6"/>
        <v>7.0290000000000097</v>
      </c>
      <c r="C50" s="107" t="s">
        <v>1023</v>
      </c>
      <c r="D50" s="108" t="s">
        <v>383</v>
      </c>
      <c r="E50" s="107" t="s">
        <v>48</v>
      </c>
      <c r="F50" s="109">
        <v>16.603200000000001</v>
      </c>
      <c r="G50" s="105"/>
      <c r="H50" s="106">
        <f>IF(F50="","",G50*F50)</f>
        <v>0</v>
      </c>
    </row>
    <row r="51" spans="1:8" ht="27" x14ac:dyDescent="0.25">
      <c r="A51" s="113">
        <f t="shared" si="5"/>
        <v>7.03000000000001</v>
      </c>
      <c r="B51" s="100">
        <f t="shared" si="6"/>
        <v>7.03000000000001</v>
      </c>
      <c r="C51" s="107" t="s">
        <v>1023</v>
      </c>
      <c r="D51" s="108" t="s">
        <v>384</v>
      </c>
      <c r="E51" s="107" t="s">
        <v>48</v>
      </c>
      <c r="F51" s="109">
        <v>8.9855999999999998</v>
      </c>
      <c r="G51" s="105"/>
      <c r="H51" s="106">
        <f>IF(F51="","",G51*F51)</f>
        <v>0</v>
      </c>
    </row>
    <row r="52" spans="1:8" x14ac:dyDescent="0.25">
      <c r="A52" s="113">
        <f t="shared" si="5"/>
        <v>7.03000000000001</v>
      </c>
      <c r="B52" s="100" t="str">
        <f t="shared" si="6"/>
        <v/>
      </c>
      <c r="C52" s="107"/>
      <c r="D52" s="108"/>
      <c r="E52" s="107"/>
      <c r="F52" s="109"/>
      <c r="G52" s="105"/>
      <c r="H52" s="106"/>
    </row>
    <row r="53" spans="1:8" x14ac:dyDescent="0.25">
      <c r="A53" s="113">
        <f t="shared" ref="A53:A56" si="8">+IF(F53&gt;0.01,A52+0.001,A52)</f>
        <v>7.03000000000001</v>
      </c>
      <c r="B53" s="100" t="str">
        <f t="shared" ref="B53:B56" si="9">+IF(F53&gt;0,A53,"")</f>
        <v/>
      </c>
      <c r="C53" s="107"/>
      <c r="D53" s="108"/>
      <c r="E53" s="107"/>
      <c r="F53" s="109"/>
      <c r="G53" s="105"/>
      <c r="H53" s="106"/>
    </row>
    <row r="54" spans="1:8" x14ac:dyDescent="0.25">
      <c r="A54" s="113">
        <f t="shared" si="8"/>
        <v>7.03000000000001</v>
      </c>
      <c r="B54" s="100" t="str">
        <f t="shared" si="9"/>
        <v/>
      </c>
      <c r="C54" s="107"/>
      <c r="D54" s="108"/>
      <c r="E54" s="107"/>
      <c r="F54" s="109"/>
      <c r="G54" s="105"/>
      <c r="H54" s="106"/>
    </row>
    <row r="55" spans="1:8" x14ac:dyDescent="0.25">
      <c r="A55" s="113">
        <f t="shared" si="8"/>
        <v>7.03000000000001</v>
      </c>
      <c r="B55" s="100" t="str">
        <f t="shared" si="9"/>
        <v/>
      </c>
      <c r="C55" s="107"/>
      <c r="D55" s="108"/>
      <c r="E55" s="107"/>
      <c r="F55" s="109"/>
      <c r="G55" s="105"/>
      <c r="H55" s="106"/>
    </row>
    <row r="56" spans="1:8" ht="15.75" thickBot="1" x14ac:dyDescent="0.3">
      <c r="A56" s="113">
        <f t="shared" si="8"/>
        <v>7.03000000000001</v>
      </c>
      <c r="B56" s="100" t="str">
        <f t="shared" si="9"/>
        <v/>
      </c>
      <c r="C56" s="107"/>
      <c r="D56" s="108"/>
      <c r="E56" s="107"/>
      <c r="F56" s="109"/>
      <c r="G56" s="105"/>
      <c r="H56" s="106"/>
    </row>
    <row r="57" spans="1:8" ht="15.75" thickBot="1" x14ac:dyDescent="0.3">
      <c r="A57" s="113"/>
      <c r="B57" s="173" t="s">
        <v>408</v>
      </c>
      <c r="C57" s="174"/>
      <c r="D57" s="174"/>
      <c r="E57" s="174"/>
      <c r="F57" s="174"/>
      <c r="G57" s="175"/>
      <c r="H57" s="117">
        <f>SUM(H30:H52)</f>
        <v>0</v>
      </c>
    </row>
    <row r="58" spans="1:8" ht="24.75" thickBot="1" x14ac:dyDescent="0.3">
      <c r="A58" s="113"/>
      <c r="B58" s="114" t="s">
        <v>36</v>
      </c>
      <c r="C58" s="97" t="s">
        <v>94</v>
      </c>
      <c r="D58" s="115" t="s">
        <v>38</v>
      </c>
      <c r="E58" s="115" t="s">
        <v>37</v>
      </c>
      <c r="F58" s="115" t="s">
        <v>81</v>
      </c>
      <c r="G58" s="116" t="s">
        <v>86</v>
      </c>
      <c r="H58" s="99" t="s">
        <v>95</v>
      </c>
    </row>
    <row r="59" spans="1:8" ht="15.75" thickBot="1" x14ac:dyDescent="0.3">
      <c r="A59" s="113"/>
      <c r="B59" s="171" t="s">
        <v>409</v>
      </c>
      <c r="C59" s="172"/>
      <c r="D59" s="172"/>
      <c r="E59" s="172"/>
      <c r="F59" s="172"/>
      <c r="G59" s="172"/>
      <c r="H59" s="117">
        <f>H57</f>
        <v>0</v>
      </c>
    </row>
    <row r="60" spans="1:8" x14ac:dyDescent="0.25">
      <c r="A60" s="113">
        <f>+IF(F60&gt;0.01,A56+0.001,A56)</f>
        <v>7.03000000000001</v>
      </c>
      <c r="B60" s="100" t="str">
        <f>+IF(F60&gt;0,A60,"")</f>
        <v/>
      </c>
      <c r="C60" s="107"/>
      <c r="D60" s="108"/>
      <c r="E60" s="107"/>
      <c r="F60" s="109"/>
      <c r="G60" s="105"/>
      <c r="H60" s="106"/>
    </row>
    <row r="61" spans="1:8" ht="54.75" customHeight="1" x14ac:dyDescent="0.25">
      <c r="A61" s="113">
        <f>+IF(F61&gt;0.01,A60+0.001,A60)</f>
        <v>7.03000000000001</v>
      </c>
      <c r="B61" s="100" t="str">
        <f>+IF(F61&gt;0,A61,"")</f>
        <v/>
      </c>
      <c r="C61" s="107" t="s">
        <v>39</v>
      </c>
      <c r="D61" s="108" t="s">
        <v>247</v>
      </c>
      <c r="E61" s="107"/>
      <c r="F61" s="109"/>
      <c r="G61" s="105"/>
      <c r="H61" s="106" t="str">
        <f t="shared" ref="H61:H70" si="10">IF(F61="","",G61*F61)</f>
        <v/>
      </c>
    </row>
    <row r="62" spans="1:8" ht="27" x14ac:dyDescent="0.25">
      <c r="A62" s="113">
        <f t="shared" ref="A62:A70" si="11">+IF(F62&gt;0.01,A61+0.001,A61)</f>
        <v>7.0310000000000104</v>
      </c>
      <c r="B62" s="100">
        <f t="shared" ref="B62:B70" si="12">+IF(F62&gt;0,A62,"")</f>
        <v>7.0310000000000104</v>
      </c>
      <c r="C62" s="107" t="s">
        <v>1023</v>
      </c>
      <c r="D62" s="108" t="s">
        <v>378</v>
      </c>
      <c r="E62" s="107" t="s">
        <v>47</v>
      </c>
      <c r="F62" s="109">
        <v>30</v>
      </c>
      <c r="G62" s="105"/>
      <c r="H62" s="106">
        <f t="shared" si="10"/>
        <v>0</v>
      </c>
    </row>
    <row r="63" spans="1:8" ht="27" x14ac:dyDescent="0.25">
      <c r="A63" s="113">
        <f t="shared" si="11"/>
        <v>7.0320000000000107</v>
      </c>
      <c r="B63" s="100">
        <f t="shared" si="12"/>
        <v>7.0320000000000107</v>
      </c>
      <c r="C63" s="107" t="s">
        <v>1055</v>
      </c>
      <c r="D63" s="108" t="s">
        <v>122</v>
      </c>
      <c r="E63" s="107" t="s">
        <v>47</v>
      </c>
      <c r="F63" s="109">
        <v>1876.14315788985</v>
      </c>
      <c r="G63" s="105"/>
      <c r="H63" s="106">
        <f t="shared" si="10"/>
        <v>0</v>
      </c>
    </row>
    <row r="64" spans="1:8" ht="27" x14ac:dyDescent="0.25">
      <c r="A64" s="113">
        <f t="shared" si="11"/>
        <v>7.033000000000011</v>
      </c>
      <c r="B64" s="100">
        <f t="shared" si="12"/>
        <v>7.033000000000011</v>
      </c>
      <c r="C64" s="107" t="s">
        <v>1023</v>
      </c>
      <c r="D64" s="108" t="s">
        <v>379</v>
      </c>
      <c r="E64" s="107" t="s">
        <v>47</v>
      </c>
      <c r="F64" s="109">
        <v>21.76</v>
      </c>
      <c r="G64" s="105"/>
      <c r="H64" s="106">
        <f t="shared" si="10"/>
        <v>0</v>
      </c>
    </row>
    <row r="65" spans="1:8" ht="27" x14ac:dyDescent="0.25">
      <c r="A65" s="113">
        <f t="shared" si="11"/>
        <v>7.0340000000000114</v>
      </c>
      <c r="B65" s="100">
        <f t="shared" si="12"/>
        <v>7.0340000000000114</v>
      </c>
      <c r="C65" s="107" t="s">
        <v>1023</v>
      </c>
      <c r="D65" s="108" t="s">
        <v>380</v>
      </c>
      <c r="E65" s="107" t="s">
        <v>47</v>
      </c>
      <c r="F65" s="109">
        <v>21.92</v>
      </c>
      <c r="G65" s="105"/>
      <c r="H65" s="106">
        <f t="shared" si="10"/>
        <v>0</v>
      </c>
    </row>
    <row r="66" spans="1:8" ht="27" x14ac:dyDescent="0.25">
      <c r="A66" s="113">
        <f t="shared" si="11"/>
        <v>7.0350000000000117</v>
      </c>
      <c r="B66" s="100">
        <f t="shared" si="12"/>
        <v>7.0350000000000117</v>
      </c>
      <c r="C66" s="107" t="s">
        <v>1023</v>
      </c>
      <c r="D66" s="108" t="s">
        <v>381</v>
      </c>
      <c r="E66" s="107" t="s">
        <v>47</v>
      </c>
      <c r="F66" s="109">
        <v>21.44</v>
      </c>
      <c r="G66" s="105"/>
      <c r="H66" s="106">
        <f t="shared" si="10"/>
        <v>0</v>
      </c>
    </row>
    <row r="67" spans="1:8" ht="27" x14ac:dyDescent="0.25">
      <c r="A67" s="113">
        <f t="shared" si="11"/>
        <v>7.036000000000012</v>
      </c>
      <c r="B67" s="100">
        <f t="shared" si="12"/>
        <v>7.036000000000012</v>
      </c>
      <c r="C67" s="107" t="s">
        <v>1023</v>
      </c>
      <c r="D67" s="108" t="s">
        <v>382</v>
      </c>
      <c r="E67" s="107" t="s">
        <v>47</v>
      </c>
      <c r="F67" s="109">
        <v>21.92</v>
      </c>
      <c r="G67" s="105"/>
      <c r="H67" s="106">
        <f t="shared" si="10"/>
        <v>0</v>
      </c>
    </row>
    <row r="68" spans="1:8" ht="27" x14ac:dyDescent="0.25">
      <c r="A68" s="113">
        <f t="shared" si="11"/>
        <v>7.0370000000000124</v>
      </c>
      <c r="B68" s="100">
        <f t="shared" si="12"/>
        <v>7.0370000000000124</v>
      </c>
      <c r="C68" s="107" t="s">
        <v>1023</v>
      </c>
      <c r="D68" s="108" t="s">
        <v>383</v>
      </c>
      <c r="E68" s="107" t="s">
        <v>47</v>
      </c>
      <c r="F68" s="109">
        <v>21.44</v>
      </c>
      <c r="G68" s="105"/>
      <c r="H68" s="106">
        <f t="shared" si="10"/>
        <v>0</v>
      </c>
    </row>
    <row r="69" spans="1:8" ht="27" x14ac:dyDescent="0.25">
      <c r="A69" s="113">
        <f t="shared" si="11"/>
        <v>7.0380000000000127</v>
      </c>
      <c r="B69" s="100">
        <f t="shared" si="12"/>
        <v>7.0380000000000127</v>
      </c>
      <c r="C69" s="107" t="s">
        <v>1023</v>
      </c>
      <c r="D69" s="108" t="s">
        <v>384</v>
      </c>
      <c r="E69" s="107" t="s">
        <v>47</v>
      </c>
      <c r="F69" s="109">
        <v>21.44</v>
      </c>
      <c r="G69" s="105"/>
      <c r="H69" s="106">
        <f t="shared" si="10"/>
        <v>0</v>
      </c>
    </row>
    <row r="70" spans="1:8" x14ac:dyDescent="0.25">
      <c r="A70" s="113">
        <f t="shared" si="11"/>
        <v>7.039000000000013</v>
      </c>
      <c r="B70" s="100">
        <f t="shared" si="12"/>
        <v>7.039000000000013</v>
      </c>
      <c r="C70" s="107" t="s">
        <v>1055</v>
      </c>
      <c r="D70" s="108" t="s">
        <v>915</v>
      </c>
      <c r="E70" s="107" t="s">
        <v>47</v>
      </c>
      <c r="F70" s="109">
        <v>619</v>
      </c>
      <c r="G70" s="105"/>
      <c r="H70" s="106">
        <f t="shared" si="10"/>
        <v>0</v>
      </c>
    </row>
    <row r="71" spans="1:8" ht="67.5" x14ac:dyDescent="0.25">
      <c r="A71" s="113">
        <f t="shared" ref="A71:A81" si="13">+IF(F71&gt;0.01,A70+0.001,A70)</f>
        <v>7.039000000000013</v>
      </c>
      <c r="B71" s="100" t="str">
        <f t="shared" ref="B71:B81" si="14">+IF(F71&gt;0,A71,"")</f>
        <v/>
      </c>
      <c r="C71" s="107" t="s">
        <v>414</v>
      </c>
      <c r="D71" s="108" t="s">
        <v>192</v>
      </c>
      <c r="E71" s="107"/>
      <c r="F71" s="109"/>
      <c r="G71" s="105"/>
      <c r="H71" s="106" t="str">
        <f t="shared" ref="H71:H80" si="15">IF(F71="","",G71*F71)</f>
        <v/>
      </c>
    </row>
    <row r="72" spans="1:8" ht="27" x14ac:dyDescent="0.25">
      <c r="A72" s="113">
        <f t="shared" si="13"/>
        <v>7.0400000000000134</v>
      </c>
      <c r="B72" s="100">
        <f t="shared" si="14"/>
        <v>7.0400000000000134</v>
      </c>
      <c r="C72" s="107" t="s">
        <v>1023</v>
      </c>
      <c r="D72" s="108" t="s">
        <v>378</v>
      </c>
      <c r="E72" s="107" t="s">
        <v>47</v>
      </c>
      <c r="F72" s="109">
        <v>30</v>
      </c>
      <c r="G72" s="105"/>
      <c r="H72" s="106">
        <f t="shared" si="15"/>
        <v>0</v>
      </c>
    </row>
    <row r="73" spans="1:8" ht="27" x14ac:dyDescent="0.25">
      <c r="A73" s="113">
        <f t="shared" si="13"/>
        <v>7.0410000000000137</v>
      </c>
      <c r="B73" s="100">
        <f t="shared" si="14"/>
        <v>7.0410000000000137</v>
      </c>
      <c r="C73" s="107" t="s">
        <v>1055</v>
      </c>
      <c r="D73" s="108" t="s">
        <v>122</v>
      </c>
      <c r="E73" s="107" t="s">
        <v>47</v>
      </c>
      <c r="F73" s="109">
        <v>1876.14315788985</v>
      </c>
      <c r="G73" s="105"/>
      <c r="H73" s="106">
        <f t="shared" si="15"/>
        <v>0</v>
      </c>
    </row>
    <row r="74" spans="1:8" ht="27" x14ac:dyDescent="0.25">
      <c r="A74" s="113">
        <f t="shared" si="13"/>
        <v>7.042000000000014</v>
      </c>
      <c r="B74" s="100">
        <f t="shared" si="14"/>
        <v>7.042000000000014</v>
      </c>
      <c r="C74" s="107" t="s">
        <v>1023</v>
      </c>
      <c r="D74" s="108" t="s">
        <v>379</v>
      </c>
      <c r="E74" s="107" t="s">
        <v>47</v>
      </c>
      <c r="F74" s="109">
        <v>21.76</v>
      </c>
      <c r="G74" s="105"/>
      <c r="H74" s="106">
        <f t="shared" si="15"/>
        <v>0</v>
      </c>
    </row>
    <row r="75" spans="1:8" ht="27" x14ac:dyDescent="0.25">
      <c r="A75" s="113">
        <f t="shared" si="13"/>
        <v>7.0430000000000144</v>
      </c>
      <c r="B75" s="100">
        <f t="shared" si="14"/>
        <v>7.0430000000000144</v>
      </c>
      <c r="C75" s="107" t="s">
        <v>1023</v>
      </c>
      <c r="D75" s="108" t="s">
        <v>380</v>
      </c>
      <c r="E75" s="107" t="s">
        <v>47</v>
      </c>
      <c r="F75" s="109">
        <v>21.92</v>
      </c>
      <c r="G75" s="105"/>
      <c r="H75" s="106">
        <f t="shared" si="15"/>
        <v>0</v>
      </c>
    </row>
    <row r="76" spans="1:8" ht="27" x14ac:dyDescent="0.25">
      <c r="A76" s="113">
        <f t="shared" si="13"/>
        <v>7.0440000000000147</v>
      </c>
      <c r="B76" s="100">
        <f t="shared" si="14"/>
        <v>7.0440000000000147</v>
      </c>
      <c r="C76" s="107" t="s">
        <v>1023</v>
      </c>
      <c r="D76" s="108" t="s">
        <v>381</v>
      </c>
      <c r="E76" s="107" t="s">
        <v>47</v>
      </c>
      <c r="F76" s="109">
        <v>21.44</v>
      </c>
      <c r="G76" s="105"/>
      <c r="H76" s="106">
        <f t="shared" si="15"/>
        <v>0</v>
      </c>
    </row>
    <row r="77" spans="1:8" ht="27" x14ac:dyDescent="0.25">
      <c r="A77" s="113">
        <f t="shared" si="13"/>
        <v>7.045000000000015</v>
      </c>
      <c r="B77" s="100">
        <f t="shared" si="14"/>
        <v>7.045000000000015</v>
      </c>
      <c r="C77" s="107" t="s">
        <v>1023</v>
      </c>
      <c r="D77" s="108" t="s">
        <v>382</v>
      </c>
      <c r="E77" s="107" t="s">
        <v>47</v>
      </c>
      <c r="F77" s="109">
        <v>21.92</v>
      </c>
      <c r="G77" s="105"/>
      <c r="H77" s="106">
        <f t="shared" si="15"/>
        <v>0</v>
      </c>
    </row>
    <row r="78" spans="1:8" ht="27" x14ac:dyDescent="0.25">
      <c r="A78" s="113">
        <f t="shared" si="13"/>
        <v>7.0460000000000154</v>
      </c>
      <c r="B78" s="100">
        <f t="shared" si="14"/>
        <v>7.0460000000000154</v>
      </c>
      <c r="C78" s="107" t="s">
        <v>1023</v>
      </c>
      <c r="D78" s="108" t="s">
        <v>383</v>
      </c>
      <c r="E78" s="107" t="s">
        <v>47</v>
      </c>
      <c r="F78" s="109">
        <v>21.44</v>
      </c>
      <c r="G78" s="105"/>
      <c r="H78" s="106">
        <f t="shared" si="15"/>
        <v>0</v>
      </c>
    </row>
    <row r="79" spans="1:8" ht="27" x14ac:dyDescent="0.25">
      <c r="A79" s="113">
        <f t="shared" si="13"/>
        <v>7.0470000000000157</v>
      </c>
      <c r="B79" s="100">
        <f t="shared" si="14"/>
        <v>7.0470000000000157</v>
      </c>
      <c r="C79" s="107" t="s">
        <v>1023</v>
      </c>
      <c r="D79" s="108" t="s">
        <v>384</v>
      </c>
      <c r="E79" s="107" t="s">
        <v>47</v>
      </c>
      <c r="F79" s="109">
        <v>21.44</v>
      </c>
      <c r="G79" s="105"/>
      <c r="H79" s="106">
        <f t="shared" si="15"/>
        <v>0</v>
      </c>
    </row>
    <row r="80" spans="1:8" x14ac:dyDescent="0.25">
      <c r="A80" s="113">
        <f t="shared" si="13"/>
        <v>7.048000000000016</v>
      </c>
      <c r="B80" s="100">
        <f t="shared" si="14"/>
        <v>7.048000000000016</v>
      </c>
      <c r="C80" s="107" t="s">
        <v>1055</v>
      </c>
      <c r="D80" s="108" t="s">
        <v>915</v>
      </c>
      <c r="E80" s="107" t="s">
        <v>47</v>
      </c>
      <c r="F80" s="109">
        <v>619</v>
      </c>
      <c r="G80" s="105"/>
      <c r="H80" s="106">
        <f t="shared" si="15"/>
        <v>0</v>
      </c>
    </row>
    <row r="81" spans="1:8" ht="67.5" x14ac:dyDescent="0.25">
      <c r="A81" s="113">
        <f t="shared" si="13"/>
        <v>7.0490000000000164</v>
      </c>
      <c r="B81" s="100">
        <f t="shared" si="14"/>
        <v>7.0490000000000164</v>
      </c>
      <c r="C81" s="107" t="s">
        <v>414</v>
      </c>
      <c r="D81" s="155" t="s">
        <v>413</v>
      </c>
      <c r="E81" s="154" t="s">
        <v>47</v>
      </c>
      <c r="F81" s="156">
        <v>3220</v>
      </c>
      <c r="G81" s="157"/>
      <c r="H81" s="106">
        <f t="shared" ref="H81" si="16">IF(F81="","",G81*F81)</f>
        <v>0</v>
      </c>
    </row>
    <row r="82" spans="1:8" x14ac:dyDescent="0.25">
      <c r="A82" s="113"/>
      <c r="B82" s="100"/>
      <c r="C82" s="107"/>
      <c r="D82" s="155"/>
      <c r="E82" s="154"/>
      <c r="F82" s="156"/>
      <c r="G82" s="157"/>
      <c r="H82" s="106"/>
    </row>
    <row r="83" spans="1:8" ht="15.75" thickBot="1" x14ac:dyDescent="0.3">
      <c r="A83" s="113"/>
      <c r="B83" s="100"/>
      <c r="C83" s="107"/>
      <c r="D83" s="155"/>
      <c r="E83" s="154"/>
      <c r="F83" s="156"/>
      <c r="G83" s="157"/>
      <c r="H83" s="106"/>
    </row>
    <row r="84" spans="1:8" ht="15.75" thickBot="1" x14ac:dyDescent="0.3">
      <c r="A84" s="113"/>
      <c r="B84" s="173" t="s">
        <v>408</v>
      </c>
      <c r="C84" s="174"/>
      <c r="D84" s="174"/>
      <c r="E84" s="174"/>
      <c r="F84" s="174"/>
      <c r="G84" s="175"/>
      <c r="H84" s="117">
        <f>SUM(H59:H81)</f>
        <v>0</v>
      </c>
    </row>
    <row r="85" spans="1:8" ht="24.75" thickBot="1" x14ac:dyDescent="0.3">
      <c r="A85" s="113"/>
      <c r="B85" s="114" t="s">
        <v>36</v>
      </c>
      <c r="C85" s="97" t="s">
        <v>94</v>
      </c>
      <c r="D85" s="115" t="s">
        <v>38</v>
      </c>
      <c r="E85" s="115" t="s">
        <v>37</v>
      </c>
      <c r="F85" s="115" t="s">
        <v>81</v>
      </c>
      <c r="G85" s="116" t="s">
        <v>86</v>
      </c>
      <c r="H85" s="99" t="s">
        <v>95</v>
      </c>
    </row>
    <row r="86" spans="1:8" ht="15.75" thickBot="1" x14ac:dyDescent="0.3">
      <c r="A86" s="113"/>
      <c r="B86" s="171" t="s">
        <v>409</v>
      </c>
      <c r="C86" s="172"/>
      <c r="D86" s="172"/>
      <c r="E86" s="172"/>
      <c r="F86" s="172"/>
      <c r="G86" s="172"/>
      <c r="H86" s="117">
        <f>H84</f>
        <v>0</v>
      </c>
    </row>
    <row r="87" spans="1:8" x14ac:dyDescent="0.25">
      <c r="A87" s="113">
        <f>+IF(F87&gt;0.01,A80+0.001,A80)</f>
        <v>7.048000000000016</v>
      </c>
      <c r="B87" s="100" t="str">
        <f>+IF(F87&gt;0,A87,"")</f>
        <v/>
      </c>
      <c r="C87" s="107"/>
      <c r="D87" s="108"/>
      <c r="E87" s="107"/>
      <c r="F87" s="109"/>
      <c r="G87" s="105"/>
      <c r="H87" s="106"/>
    </row>
    <row r="88" spans="1:8" ht="25.5" x14ac:dyDescent="0.25">
      <c r="A88" s="113">
        <f>+IF(F88&gt;0.01,A87+0.001,A87)</f>
        <v>7.048000000000016</v>
      </c>
      <c r="B88" s="100" t="str">
        <f t="shared" ref="B88:B98" si="17">+IF(F88&gt;0,A88,"")</f>
        <v/>
      </c>
      <c r="C88" s="110" t="s">
        <v>391</v>
      </c>
      <c r="D88" s="111" t="s">
        <v>392</v>
      </c>
      <c r="E88" s="107"/>
      <c r="F88" s="109"/>
      <c r="G88" s="105"/>
      <c r="H88" s="106" t="str">
        <f t="shared" ref="H88:H91" si="18">IF(F88="","",G88*F88)</f>
        <v/>
      </c>
    </row>
    <row r="89" spans="1:8" x14ac:dyDescent="0.25">
      <c r="A89" s="113">
        <f t="shared" ref="A89:A98" si="19">+IF(F89&gt;0.01,A88+0.001,A88)</f>
        <v>7.048000000000016</v>
      </c>
      <c r="B89" s="100" t="str">
        <f t="shared" si="17"/>
        <v/>
      </c>
      <c r="C89" s="107">
        <v>8.3000000000000007</v>
      </c>
      <c r="D89" s="112" t="s">
        <v>56</v>
      </c>
      <c r="E89" s="107"/>
      <c r="F89" s="109"/>
      <c r="G89" s="105"/>
      <c r="H89" s="106" t="str">
        <f t="shared" si="18"/>
        <v/>
      </c>
    </row>
    <row r="90" spans="1:8" ht="40.5" x14ac:dyDescent="0.25">
      <c r="A90" s="113">
        <f t="shared" si="19"/>
        <v>7.048000000000016</v>
      </c>
      <c r="B90" s="100" t="str">
        <f t="shared" si="17"/>
        <v/>
      </c>
      <c r="C90" s="107" t="s">
        <v>393</v>
      </c>
      <c r="D90" s="108" t="s">
        <v>394</v>
      </c>
      <c r="E90" s="107"/>
      <c r="F90" s="109"/>
      <c r="G90" s="105"/>
      <c r="H90" s="106" t="str">
        <f t="shared" si="18"/>
        <v/>
      </c>
    </row>
    <row r="91" spans="1:8" ht="27" x14ac:dyDescent="0.25">
      <c r="A91" s="113">
        <f t="shared" si="19"/>
        <v>7.0490000000000164</v>
      </c>
      <c r="B91" s="100">
        <f t="shared" si="17"/>
        <v>7.0490000000000164</v>
      </c>
      <c r="C91" s="107" t="s">
        <v>1054</v>
      </c>
      <c r="D91" s="108" t="s">
        <v>385</v>
      </c>
      <c r="E91" s="107" t="s">
        <v>4</v>
      </c>
      <c r="F91" s="109">
        <v>11</v>
      </c>
      <c r="G91" s="105"/>
      <c r="H91" s="106">
        <f t="shared" si="18"/>
        <v>0</v>
      </c>
    </row>
    <row r="92" spans="1:8" x14ac:dyDescent="0.25">
      <c r="A92" s="113">
        <f t="shared" si="19"/>
        <v>7.0490000000000164</v>
      </c>
      <c r="B92" s="100" t="str">
        <f t="shared" si="17"/>
        <v/>
      </c>
      <c r="C92" s="107"/>
      <c r="D92" s="108"/>
      <c r="E92" s="107"/>
      <c r="F92" s="109"/>
      <c r="G92" s="105"/>
      <c r="H92" s="106"/>
    </row>
    <row r="93" spans="1:8" ht="27" x14ac:dyDescent="0.25">
      <c r="A93" s="113">
        <f t="shared" si="19"/>
        <v>7.0490000000000164</v>
      </c>
      <c r="B93" s="100" t="str">
        <f t="shared" si="17"/>
        <v/>
      </c>
      <c r="C93" s="107" t="s">
        <v>393</v>
      </c>
      <c r="D93" s="108" t="s">
        <v>395</v>
      </c>
      <c r="E93" s="107"/>
      <c r="F93" s="109"/>
      <c r="G93" s="105"/>
      <c r="H93" s="106" t="str">
        <f>IF(F93="","",G93*F93)</f>
        <v/>
      </c>
    </row>
    <row r="94" spans="1:8" x14ac:dyDescent="0.25">
      <c r="A94" s="113">
        <f t="shared" si="19"/>
        <v>7.0500000000000167</v>
      </c>
      <c r="B94" s="100">
        <f t="shared" si="17"/>
        <v>7.0500000000000167</v>
      </c>
      <c r="C94" s="107" t="s">
        <v>1054</v>
      </c>
      <c r="D94" s="108" t="s">
        <v>396</v>
      </c>
      <c r="E94" s="107" t="s">
        <v>47</v>
      </c>
      <c r="F94" s="109">
        <v>22</v>
      </c>
      <c r="G94" s="105"/>
      <c r="H94" s="106">
        <f>IF(F94="","",G94*F94)</f>
        <v>0</v>
      </c>
    </row>
    <row r="95" spans="1:8" x14ac:dyDescent="0.25">
      <c r="A95" s="113">
        <f t="shared" si="19"/>
        <v>7.0500000000000167</v>
      </c>
      <c r="B95" s="100" t="str">
        <f t="shared" si="17"/>
        <v/>
      </c>
      <c r="C95" s="107"/>
      <c r="D95" s="108"/>
      <c r="E95" s="107"/>
      <c r="F95" s="109"/>
      <c r="G95" s="105"/>
      <c r="H95" s="106"/>
    </row>
    <row r="96" spans="1:8" ht="40.5" x14ac:dyDescent="0.25">
      <c r="A96" s="113">
        <f t="shared" si="19"/>
        <v>7.0500000000000167</v>
      </c>
      <c r="B96" s="100" t="str">
        <f t="shared" si="17"/>
        <v/>
      </c>
      <c r="C96" s="107" t="s">
        <v>397</v>
      </c>
      <c r="D96" s="108" t="s">
        <v>398</v>
      </c>
      <c r="E96" s="107"/>
      <c r="F96" s="109"/>
      <c r="G96" s="105"/>
      <c r="H96" s="106" t="str">
        <f>IF(F96="","",G96*F96)</f>
        <v/>
      </c>
    </row>
    <row r="97" spans="1:8" ht="27" x14ac:dyDescent="0.25">
      <c r="A97" s="113">
        <f t="shared" si="19"/>
        <v>7.051000000000017</v>
      </c>
      <c r="B97" s="100">
        <f t="shared" si="17"/>
        <v>7.051000000000017</v>
      </c>
      <c r="C97" s="107" t="s">
        <v>1054</v>
      </c>
      <c r="D97" s="108" t="s">
        <v>385</v>
      </c>
      <c r="E97" s="107" t="s">
        <v>4</v>
      </c>
      <c r="F97" s="109">
        <v>27</v>
      </c>
      <c r="G97" s="105"/>
      <c r="H97" s="106">
        <f>IF(F97="","",G97*F97)</f>
        <v>0</v>
      </c>
    </row>
    <row r="98" spans="1:8" x14ac:dyDescent="0.25">
      <c r="A98" s="113">
        <f t="shared" si="19"/>
        <v>7.051000000000017</v>
      </c>
      <c r="B98" s="100" t="str">
        <f t="shared" si="17"/>
        <v/>
      </c>
      <c r="C98" s="107"/>
      <c r="D98" s="108"/>
      <c r="E98" s="107"/>
      <c r="F98" s="109"/>
      <c r="G98" s="105"/>
      <c r="H98" s="106"/>
    </row>
    <row r="99" spans="1:8" ht="40.5" x14ac:dyDescent="0.25">
      <c r="A99" s="113">
        <f>+IF(F99&gt;0.01,A98+0.001,A98)</f>
        <v>7.051000000000017</v>
      </c>
      <c r="B99" s="100" t="str">
        <f>+IF(F99&gt;0,A99,"")</f>
        <v/>
      </c>
      <c r="C99" s="107" t="s">
        <v>399</v>
      </c>
      <c r="D99" s="108" t="s">
        <v>400</v>
      </c>
      <c r="E99" s="107"/>
      <c r="F99" s="109"/>
      <c r="G99" s="105"/>
      <c r="H99" s="106" t="str">
        <f>IF(F99="","",G99*F99)</f>
        <v/>
      </c>
    </row>
    <row r="100" spans="1:8" ht="27" x14ac:dyDescent="0.25">
      <c r="A100" s="113">
        <f>+IF(F100&gt;0.01,A99+0.001,A99)</f>
        <v>7.0520000000000174</v>
      </c>
      <c r="B100" s="100">
        <f>+IF(F100&gt;0,A100,"")</f>
        <v>7.0520000000000174</v>
      </c>
      <c r="C100" s="107" t="s">
        <v>1054</v>
      </c>
      <c r="D100" s="108" t="s">
        <v>385</v>
      </c>
      <c r="E100" s="107" t="s">
        <v>48</v>
      </c>
      <c r="F100" s="109">
        <v>4.5</v>
      </c>
      <c r="G100" s="105"/>
      <c r="H100" s="106">
        <f>IF(F100="","",G100*F100)</f>
        <v>0</v>
      </c>
    </row>
    <row r="101" spans="1:8" x14ac:dyDescent="0.25">
      <c r="A101" s="113">
        <f>+IF(F101&gt;0.01,A100+0.001,A100)</f>
        <v>7.0520000000000174</v>
      </c>
      <c r="B101" s="100" t="str">
        <f>+IF(F101&gt;0,A101,"")</f>
        <v/>
      </c>
      <c r="C101" s="107"/>
      <c r="D101" s="108"/>
      <c r="E101" s="107"/>
      <c r="F101" s="109"/>
      <c r="G101" s="105"/>
      <c r="H101" s="106"/>
    </row>
    <row r="102" spans="1:8" x14ac:dyDescent="0.25">
      <c r="A102" s="113">
        <f t="shared" ref="A102:A113" si="20">+IF(F102&gt;0.01,A101+0.001,A101)</f>
        <v>7.0520000000000174</v>
      </c>
      <c r="B102" s="100" t="str">
        <f t="shared" ref="B102:B113" si="21">+IF(F102&gt;0,A102,"")</f>
        <v/>
      </c>
      <c r="C102" s="107"/>
      <c r="D102" s="108"/>
      <c r="E102" s="107"/>
      <c r="F102" s="109"/>
      <c r="G102" s="105"/>
      <c r="H102" s="106"/>
    </row>
    <row r="103" spans="1:8" x14ac:dyDescent="0.25">
      <c r="A103" s="113">
        <f t="shared" si="20"/>
        <v>7.0520000000000174</v>
      </c>
      <c r="B103" s="100" t="str">
        <f t="shared" si="21"/>
        <v/>
      </c>
      <c r="C103" s="107"/>
      <c r="D103" s="108"/>
      <c r="E103" s="107"/>
      <c r="F103" s="109"/>
      <c r="G103" s="105"/>
      <c r="H103" s="106"/>
    </row>
    <row r="104" spans="1:8" x14ac:dyDescent="0.25">
      <c r="A104" s="113">
        <f t="shared" si="20"/>
        <v>7.0520000000000174</v>
      </c>
      <c r="B104" s="100" t="str">
        <f t="shared" si="21"/>
        <v/>
      </c>
      <c r="C104" s="107"/>
      <c r="D104" s="108"/>
      <c r="E104" s="107"/>
      <c r="F104" s="109"/>
      <c r="G104" s="105"/>
      <c r="H104" s="106"/>
    </row>
    <row r="105" spans="1:8" x14ac:dyDescent="0.25">
      <c r="A105" s="113">
        <f t="shared" si="20"/>
        <v>7.0520000000000174</v>
      </c>
      <c r="B105" s="100" t="str">
        <f t="shared" si="21"/>
        <v/>
      </c>
      <c r="C105" s="107"/>
      <c r="D105" s="108"/>
      <c r="E105" s="107"/>
      <c r="F105" s="109"/>
      <c r="G105" s="105"/>
      <c r="H105" s="106"/>
    </row>
    <row r="106" spans="1:8" x14ac:dyDescent="0.25">
      <c r="A106" s="113">
        <f t="shared" si="20"/>
        <v>7.0520000000000174</v>
      </c>
      <c r="B106" s="100" t="str">
        <f t="shared" si="21"/>
        <v/>
      </c>
      <c r="C106" s="107"/>
      <c r="D106" s="108"/>
      <c r="E106" s="107"/>
      <c r="F106" s="109"/>
      <c r="G106" s="105"/>
      <c r="H106" s="106"/>
    </row>
    <row r="107" spans="1:8" x14ac:dyDescent="0.25">
      <c r="A107" s="113">
        <f t="shared" si="20"/>
        <v>7.0520000000000174</v>
      </c>
      <c r="B107" s="100" t="str">
        <f t="shared" si="21"/>
        <v/>
      </c>
      <c r="C107" s="107"/>
      <c r="D107" s="108"/>
      <c r="E107" s="107"/>
      <c r="F107" s="109"/>
      <c r="G107" s="105"/>
      <c r="H107" s="106"/>
    </row>
    <row r="108" spans="1:8" x14ac:dyDescent="0.25">
      <c r="A108" s="113">
        <f t="shared" si="20"/>
        <v>7.0520000000000174</v>
      </c>
      <c r="B108" s="100" t="str">
        <f t="shared" si="21"/>
        <v/>
      </c>
      <c r="C108" s="107"/>
      <c r="D108" s="108"/>
      <c r="E108" s="107"/>
      <c r="F108" s="109"/>
      <c r="G108" s="105"/>
      <c r="H108" s="106"/>
    </row>
    <row r="109" spans="1:8" x14ac:dyDescent="0.25">
      <c r="A109" s="113">
        <f t="shared" si="20"/>
        <v>7.0520000000000174</v>
      </c>
      <c r="B109" s="100" t="str">
        <f t="shared" si="21"/>
        <v/>
      </c>
      <c r="C109" s="107"/>
      <c r="D109" s="108"/>
      <c r="E109" s="107"/>
      <c r="F109" s="109"/>
      <c r="G109" s="105"/>
      <c r="H109" s="106"/>
    </row>
    <row r="110" spans="1:8" x14ac:dyDescent="0.25">
      <c r="A110" s="113">
        <f t="shared" si="20"/>
        <v>7.0520000000000174</v>
      </c>
      <c r="B110" s="100" t="str">
        <f t="shared" si="21"/>
        <v/>
      </c>
      <c r="C110" s="110"/>
      <c r="D110" s="111"/>
      <c r="E110" s="107"/>
      <c r="F110" s="109"/>
      <c r="G110" s="105"/>
      <c r="H110" s="106"/>
    </row>
    <row r="111" spans="1:8" x14ac:dyDescent="0.25">
      <c r="A111" s="113">
        <f t="shared" si="20"/>
        <v>7.0520000000000174</v>
      </c>
      <c r="B111" s="100" t="str">
        <f t="shared" si="21"/>
        <v/>
      </c>
      <c r="C111" s="107"/>
      <c r="D111" s="108"/>
      <c r="E111" s="107"/>
      <c r="F111" s="109"/>
      <c r="G111" s="105"/>
      <c r="H111" s="106"/>
    </row>
    <row r="112" spans="1:8" x14ac:dyDescent="0.25">
      <c r="A112" s="113">
        <f t="shared" si="20"/>
        <v>7.0520000000000174</v>
      </c>
      <c r="B112" s="100" t="str">
        <f t="shared" si="21"/>
        <v/>
      </c>
      <c r="C112" s="107"/>
      <c r="D112" s="108"/>
      <c r="E112" s="107"/>
      <c r="F112" s="109"/>
      <c r="G112" s="105"/>
      <c r="H112" s="106"/>
    </row>
    <row r="113" spans="1:8" x14ac:dyDescent="0.25">
      <c r="A113" s="113">
        <f t="shared" si="20"/>
        <v>7.0520000000000174</v>
      </c>
      <c r="B113" s="100" t="str">
        <f t="shared" si="21"/>
        <v/>
      </c>
      <c r="C113" s="107"/>
      <c r="D113" s="108"/>
      <c r="E113" s="107"/>
      <c r="F113" s="109"/>
      <c r="G113" s="105"/>
      <c r="H113" s="106"/>
    </row>
    <row r="114" spans="1:8" x14ac:dyDescent="0.25">
      <c r="A114" s="113">
        <f t="shared" ref="A114:A122" si="22">+IF(F114&gt;0.01,A113+0.001,A113)</f>
        <v>7.0520000000000174</v>
      </c>
      <c r="B114" s="100" t="str">
        <f t="shared" ref="B114:B122" si="23">+IF(F114&gt;0,A114,"")</f>
        <v/>
      </c>
      <c r="C114" s="107"/>
      <c r="D114" s="108"/>
      <c r="E114" s="107"/>
      <c r="F114" s="109"/>
      <c r="G114" s="105"/>
      <c r="H114" s="106"/>
    </row>
    <row r="115" spans="1:8" x14ac:dyDescent="0.25">
      <c r="A115" s="113">
        <f t="shared" si="22"/>
        <v>7.0520000000000174</v>
      </c>
      <c r="B115" s="100" t="str">
        <f t="shared" si="23"/>
        <v/>
      </c>
      <c r="C115" s="107"/>
      <c r="D115" s="108"/>
      <c r="E115" s="107"/>
      <c r="F115" s="109"/>
      <c r="G115" s="105"/>
      <c r="H115" s="106"/>
    </row>
    <row r="116" spans="1:8" x14ac:dyDescent="0.25">
      <c r="A116" s="113">
        <f t="shared" si="22"/>
        <v>7.0520000000000174</v>
      </c>
      <c r="B116" s="100" t="str">
        <f t="shared" si="23"/>
        <v/>
      </c>
      <c r="C116" s="107"/>
      <c r="D116" s="108"/>
      <c r="E116" s="107"/>
      <c r="F116" s="109"/>
      <c r="G116" s="105"/>
      <c r="H116" s="106"/>
    </row>
    <row r="117" spans="1:8" x14ac:dyDescent="0.25">
      <c r="A117" s="113">
        <f t="shared" si="22"/>
        <v>7.0520000000000174</v>
      </c>
      <c r="B117" s="100" t="str">
        <f t="shared" si="23"/>
        <v/>
      </c>
      <c r="C117" s="107"/>
      <c r="D117" s="108"/>
      <c r="E117" s="107"/>
      <c r="F117" s="109"/>
      <c r="G117" s="105"/>
      <c r="H117" s="106"/>
    </row>
    <row r="118" spans="1:8" x14ac:dyDescent="0.25">
      <c r="A118" s="113">
        <f t="shared" si="22"/>
        <v>7.0520000000000174</v>
      </c>
      <c r="B118" s="100" t="str">
        <f t="shared" si="23"/>
        <v/>
      </c>
      <c r="C118" s="107"/>
      <c r="D118" s="108"/>
      <c r="E118" s="107"/>
      <c r="F118" s="109"/>
      <c r="G118" s="105"/>
      <c r="H118" s="106"/>
    </row>
    <row r="119" spans="1:8" x14ac:dyDescent="0.25">
      <c r="A119" s="113">
        <f t="shared" si="22"/>
        <v>7.0520000000000174</v>
      </c>
      <c r="B119" s="100" t="str">
        <f t="shared" si="23"/>
        <v/>
      </c>
      <c r="C119" s="107"/>
      <c r="D119" s="108"/>
      <c r="E119" s="107"/>
      <c r="F119" s="109"/>
      <c r="G119" s="105"/>
      <c r="H119" s="106"/>
    </row>
    <row r="120" spans="1:8" x14ac:dyDescent="0.25">
      <c r="A120" s="113">
        <f t="shared" si="22"/>
        <v>7.0520000000000174</v>
      </c>
      <c r="B120" s="100" t="str">
        <f t="shared" si="23"/>
        <v/>
      </c>
      <c r="C120" s="107"/>
      <c r="D120" s="108"/>
      <c r="E120" s="107"/>
      <c r="F120" s="109"/>
      <c r="G120" s="105"/>
      <c r="H120" s="106"/>
    </row>
    <row r="121" spans="1:8" x14ac:dyDescent="0.25">
      <c r="A121" s="113">
        <f t="shared" si="22"/>
        <v>7.0520000000000174</v>
      </c>
      <c r="B121" s="100" t="str">
        <f t="shared" si="23"/>
        <v/>
      </c>
      <c r="C121" s="107"/>
      <c r="D121" s="108"/>
      <c r="E121" s="107"/>
      <c r="F121" s="109"/>
      <c r="G121" s="105"/>
      <c r="H121" s="106"/>
    </row>
    <row r="122" spans="1:8" ht="21" customHeight="1" thickBot="1" x14ac:dyDescent="0.3">
      <c r="A122" s="113">
        <f t="shared" si="22"/>
        <v>7.0520000000000174</v>
      </c>
      <c r="B122" s="100" t="str">
        <f t="shared" si="23"/>
        <v/>
      </c>
      <c r="C122" s="107"/>
      <c r="D122" s="108"/>
      <c r="E122" s="107"/>
      <c r="F122" s="109"/>
      <c r="G122" s="105"/>
      <c r="H122" s="106"/>
    </row>
    <row r="123" spans="1:8" ht="15.75" thickBot="1" x14ac:dyDescent="0.3">
      <c r="A123" s="113"/>
      <c r="B123" s="173" t="s">
        <v>408</v>
      </c>
      <c r="C123" s="174"/>
      <c r="D123" s="174"/>
      <c r="E123" s="174"/>
      <c r="F123" s="174"/>
      <c r="G123" s="175"/>
      <c r="H123" s="117">
        <f>SUM(H86:H122)</f>
        <v>0</v>
      </c>
    </row>
    <row r="124" spans="1:8" ht="24.75" thickBot="1" x14ac:dyDescent="0.3">
      <c r="A124" s="113"/>
      <c r="B124" s="114" t="s">
        <v>36</v>
      </c>
      <c r="C124" s="97" t="s">
        <v>94</v>
      </c>
      <c r="D124" s="115" t="s">
        <v>38</v>
      </c>
      <c r="E124" s="115" t="s">
        <v>37</v>
      </c>
      <c r="F124" s="115" t="s">
        <v>81</v>
      </c>
      <c r="G124" s="116" t="s">
        <v>86</v>
      </c>
      <c r="H124" s="99" t="s">
        <v>95</v>
      </c>
    </row>
    <row r="125" spans="1:8" ht="15.75" thickBot="1" x14ac:dyDescent="0.3">
      <c r="A125" s="113"/>
      <c r="B125" s="171" t="s">
        <v>409</v>
      </c>
      <c r="C125" s="172"/>
      <c r="D125" s="172"/>
      <c r="E125" s="172"/>
      <c r="F125" s="172"/>
      <c r="G125" s="172"/>
      <c r="H125" s="117">
        <f>H123</f>
        <v>0</v>
      </c>
    </row>
    <row r="126" spans="1:8" x14ac:dyDescent="0.25">
      <c r="A126" s="113">
        <f>+IF(F126&gt;0.01,A122+0.001,A122)</f>
        <v>7.0520000000000174</v>
      </c>
      <c r="B126" s="100" t="str">
        <f>+IF(F126&gt;0,A126,"")</f>
        <v/>
      </c>
      <c r="C126" s="107"/>
      <c r="D126" s="108"/>
      <c r="E126" s="107"/>
      <c r="F126" s="109"/>
      <c r="G126" s="105"/>
      <c r="H126" s="106"/>
    </row>
    <row r="127" spans="1:8" ht="25.5" x14ac:dyDescent="0.25">
      <c r="A127" s="113">
        <f>+IF(F127&gt;0.01,A126+0.001,A126)</f>
        <v>7.0520000000000174</v>
      </c>
      <c r="B127" s="100" t="str">
        <f>+IF(F127&gt;0,A127,"")</f>
        <v/>
      </c>
      <c r="C127" s="110" t="s">
        <v>26</v>
      </c>
      <c r="D127" s="111" t="s">
        <v>127</v>
      </c>
      <c r="E127" s="107"/>
      <c r="F127" s="109"/>
      <c r="G127" s="105"/>
      <c r="H127" s="106"/>
    </row>
    <row r="128" spans="1:8" ht="45.75" customHeight="1" x14ac:dyDescent="0.25">
      <c r="A128" s="113">
        <f t="shared" ref="A128:A153" si="24">+IF(F128&gt;0.01,A127+0.001,A127)</f>
        <v>7.0520000000000174</v>
      </c>
      <c r="B128" s="100" t="str">
        <f t="shared" ref="B128:B153" si="25">+IF(F128&gt;0,A128,"")</f>
        <v/>
      </c>
      <c r="C128" s="107" t="s">
        <v>429</v>
      </c>
      <c r="D128" s="112" t="s">
        <v>41</v>
      </c>
      <c r="E128" s="107"/>
      <c r="F128" s="109"/>
      <c r="G128" s="105"/>
      <c r="H128" s="106"/>
    </row>
    <row r="129" spans="1:8" ht="27" x14ac:dyDescent="0.25">
      <c r="A129" s="113">
        <f t="shared" si="24"/>
        <v>7.0520000000000174</v>
      </c>
      <c r="B129" s="100" t="str">
        <f t="shared" si="25"/>
        <v/>
      </c>
      <c r="C129" s="107" t="s">
        <v>423</v>
      </c>
      <c r="D129" s="108" t="s">
        <v>248</v>
      </c>
      <c r="E129" s="107"/>
      <c r="F129" s="109"/>
      <c r="G129" s="105"/>
      <c r="H129" s="106" t="str">
        <f t="shared" ref="H129:H136" si="26">IF(F129="","",G129*F129)</f>
        <v/>
      </c>
    </row>
    <row r="130" spans="1:8" ht="27" x14ac:dyDescent="0.25">
      <c r="A130" s="113">
        <f t="shared" si="24"/>
        <v>7.0530000000000177</v>
      </c>
      <c r="B130" s="100">
        <f t="shared" si="25"/>
        <v>7.0530000000000177</v>
      </c>
      <c r="C130" s="107" t="s">
        <v>1023</v>
      </c>
      <c r="D130" s="108" t="s">
        <v>378</v>
      </c>
      <c r="E130" s="107" t="s">
        <v>47</v>
      </c>
      <c r="F130" s="109">
        <v>14</v>
      </c>
      <c r="G130" s="105"/>
      <c r="H130" s="106">
        <f t="shared" si="26"/>
        <v>0</v>
      </c>
    </row>
    <row r="131" spans="1:8" ht="27" x14ac:dyDescent="0.25">
      <c r="A131" s="113">
        <f t="shared" si="24"/>
        <v>7.054000000000018</v>
      </c>
      <c r="B131" s="100">
        <f t="shared" si="25"/>
        <v>7.054000000000018</v>
      </c>
      <c r="C131" s="107" t="s">
        <v>1023</v>
      </c>
      <c r="D131" s="108" t="s">
        <v>379</v>
      </c>
      <c r="E131" s="107" t="s">
        <v>47</v>
      </c>
      <c r="F131" s="109">
        <v>58.4070059649952</v>
      </c>
      <c r="G131" s="105"/>
      <c r="H131" s="106">
        <f t="shared" si="26"/>
        <v>0</v>
      </c>
    </row>
    <row r="132" spans="1:8" ht="27" x14ac:dyDescent="0.25">
      <c r="A132" s="113">
        <f t="shared" si="24"/>
        <v>7.0550000000000184</v>
      </c>
      <c r="B132" s="100">
        <f t="shared" si="25"/>
        <v>7.0550000000000184</v>
      </c>
      <c r="C132" s="107" t="s">
        <v>1023</v>
      </c>
      <c r="D132" s="108" t="s">
        <v>380</v>
      </c>
      <c r="E132" s="107" t="s">
        <v>47</v>
      </c>
      <c r="F132" s="109">
        <v>58.150055671374403</v>
      </c>
      <c r="G132" s="105"/>
      <c r="H132" s="106">
        <f t="shared" si="26"/>
        <v>0</v>
      </c>
    </row>
    <row r="133" spans="1:8" ht="27" x14ac:dyDescent="0.25">
      <c r="A133" s="113">
        <f t="shared" si="24"/>
        <v>7.0560000000000187</v>
      </c>
      <c r="B133" s="100">
        <f t="shared" si="25"/>
        <v>7.0560000000000187</v>
      </c>
      <c r="C133" s="107" t="s">
        <v>1023</v>
      </c>
      <c r="D133" s="108" t="s">
        <v>381</v>
      </c>
      <c r="E133" s="107" t="s">
        <v>47</v>
      </c>
      <c r="F133" s="109">
        <v>30.985232105547801</v>
      </c>
      <c r="G133" s="105"/>
      <c r="H133" s="106">
        <f t="shared" si="26"/>
        <v>0</v>
      </c>
    </row>
    <row r="134" spans="1:8" ht="27" x14ac:dyDescent="0.25">
      <c r="A134" s="113">
        <f t="shared" si="24"/>
        <v>7.057000000000019</v>
      </c>
      <c r="B134" s="100">
        <f t="shared" si="25"/>
        <v>7.057000000000019</v>
      </c>
      <c r="C134" s="107" t="s">
        <v>1023</v>
      </c>
      <c r="D134" s="108" t="s">
        <v>382</v>
      </c>
      <c r="E134" s="107" t="s">
        <v>47</v>
      </c>
      <c r="F134" s="109">
        <v>38.926414318335901</v>
      </c>
      <c r="G134" s="105"/>
      <c r="H134" s="106">
        <f t="shared" si="26"/>
        <v>0</v>
      </c>
    </row>
    <row r="135" spans="1:8" ht="27" x14ac:dyDescent="0.25">
      <c r="A135" s="113">
        <f t="shared" si="24"/>
        <v>7.0580000000000194</v>
      </c>
      <c r="B135" s="100">
        <f t="shared" si="25"/>
        <v>7.0580000000000194</v>
      </c>
      <c r="C135" s="107" t="s">
        <v>1023</v>
      </c>
      <c r="D135" s="108" t="s">
        <v>383</v>
      </c>
      <c r="E135" s="107" t="s">
        <v>47</v>
      </c>
      <c r="F135" s="109">
        <v>30.685690789532799</v>
      </c>
      <c r="G135" s="105"/>
      <c r="H135" s="106">
        <f t="shared" si="26"/>
        <v>0</v>
      </c>
    </row>
    <row r="136" spans="1:8" ht="27" x14ac:dyDescent="0.25">
      <c r="A136" s="113">
        <f t="shared" si="24"/>
        <v>7.0590000000000197</v>
      </c>
      <c r="B136" s="100">
        <f t="shared" si="25"/>
        <v>7.0590000000000197</v>
      </c>
      <c r="C136" s="107" t="s">
        <v>1023</v>
      </c>
      <c r="D136" s="108" t="s">
        <v>384</v>
      </c>
      <c r="E136" s="107" t="s">
        <v>47</v>
      </c>
      <c r="F136" s="109">
        <v>23.475241258295799</v>
      </c>
      <c r="G136" s="105"/>
      <c r="H136" s="106">
        <f t="shared" si="26"/>
        <v>0</v>
      </c>
    </row>
    <row r="137" spans="1:8" x14ac:dyDescent="0.25">
      <c r="A137" s="113">
        <f t="shared" si="24"/>
        <v>7.0590000000000197</v>
      </c>
      <c r="B137" s="100" t="str">
        <f t="shared" si="25"/>
        <v/>
      </c>
      <c r="C137" s="107"/>
      <c r="D137" s="108"/>
      <c r="E137" s="107"/>
      <c r="F137" s="109"/>
      <c r="G137" s="105"/>
      <c r="H137" s="106"/>
    </row>
    <row r="138" spans="1:8" ht="27" x14ac:dyDescent="0.25">
      <c r="A138" s="113">
        <f t="shared" si="24"/>
        <v>7.0590000000000197</v>
      </c>
      <c r="B138" s="100" t="str">
        <f t="shared" si="25"/>
        <v/>
      </c>
      <c r="C138" s="107" t="s">
        <v>423</v>
      </c>
      <c r="D138" s="108" t="s">
        <v>322</v>
      </c>
      <c r="E138" s="107"/>
      <c r="F138" s="109"/>
      <c r="G138" s="105"/>
      <c r="H138" s="106" t="str">
        <f t="shared" ref="H138:H145" si="27">IF(F138="","",G138*F138)</f>
        <v/>
      </c>
    </row>
    <row r="139" spans="1:8" ht="27" x14ac:dyDescent="0.25">
      <c r="A139" s="113">
        <f t="shared" si="24"/>
        <v>7.06000000000002</v>
      </c>
      <c r="B139" s="100">
        <f t="shared" si="25"/>
        <v>7.06000000000002</v>
      </c>
      <c r="C139" s="107" t="s">
        <v>1023</v>
      </c>
      <c r="D139" s="108" t="s">
        <v>378</v>
      </c>
      <c r="E139" s="107" t="s">
        <v>47</v>
      </c>
      <c r="F139" s="109">
        <v>20.3</v>
      </c>
      <c r="G139" s="105"/>
      <c r="H139" s="106">
        <f t="shared" si="27"/>
        <v>0</v>
      </c>
    </row>
    <row r="140" spans="1:8" ht="27" x14ac:dyDescent="0.25">
      <c r="A140" s="113">
        <f t="shared" si="24"/>
        <v>7.0610000000000204</v>
      </c>
      <c r="B140" s="100">
        <f t="shared" si="25"/>
        <v>7.0610000000000204</v>
      </c>
      <c r="C140" s="107" t="s">
        <v>1023</v>
      </c>
      <c r="D140" s="108" t="s">
        <v>379</v>
      </c>
      <c r="E140" s="107" t="s">
        <v>47</v>
      </c>
      <c r="F140" s="109">
        <v>7.2</v>
      </c>
      <c r="G140" s="105"/>
      <c r="H140" s="106">
        <f t="shared" si="27"/>
        <v>0</v>
      </c>
    </row>
    <row r="141" spans="1:8" ht="27" x14ac:dyDescent="0.25">
      <c r="A141" s="113">
        <f t="shared" si="24"/>
        <v>7.0620000000000207</v>
      </c>
      <c r="B141" s="100">
        <f t="shared" si="25"/>
        <v>7.0620000000000207</v>
      </c>
      <c r="C141" s="107" t="s">
        <v>1023</v>
      </c>
      <c r="D141" s="108" t="s">
        <v>380</v>
      </c>
      <c r="E141" s="107" t="s">
        <v>47</v>
      </c>
      <c r="F141" s="109">
        <v>5.58</v>
      </c>
      <c r="G141" s="105"/>
      <c r="H141" s="106">
        <f t="shared" si="27"/>
        <v>0</v>
      </c>
    </row>
    <row r="142" spans="1:8" ht="27" x14ac:dyDescent="0.25">
      <c r="A142" s="113">
        <f t="shared" si="24"/>
        <v>7.063000000000021</v>
      </c>
      <c r="B142" s="100">
        <f t="shared" si="25"/>
        <v>7.063000000000021</v>
      </c>
      <c r="C142" s="107" t="s">
        <v>1023</v>
      </c>
      <c r="D142" s="108" t="s">
        <v>381</v>
      </c>
      <c r="E142" s="107" t="s">
        <v>47</v>
      </c>
      <c r="F142" s="109">
        <v>2.25</v>
      </c>
      <c r="G142" s="105"/>
      <c r="H142" s="106">
        <f t="shared" si="27"/>
        <v>0</v>
      </c>
    </row>
    <row r="143" spans="1:8" ht="27" x14ac:dyDescent="0.25">
      <c r="A143" s="113">
        <f t="shared" si="24"/>
        <v>7.0640000000000214</v>
      </c>
      <c r="B143" s="100">
        <f t="shared" si="25"/>
        <v>7.0640000000000214</v>
      </c>
      <c r="C143" s="107" t="s">
        <v>1023</v>
      </c>
      <c r="D143" s="108" t="s">
        <v>382</v>
      </c>
      <c r="E143" s="107" t="s">
        <v>47</v>
      </c>
      <c r="F143" s="109">
        <v>3.15</v>
      </c>
      <c r="G143" s="105"/>
      <c r="H143" s="106">
        <f t="shared" si="27"/>
        <v>0</v>
      </c>
    </row>
    <row r="144" spans="1:8" ht="27" x14ac:dyDescent="0.25">
      <c r="A144" s="113">
        <f t="shared" si="24"/>
        <v>7.0650000000000217</v>
      </c>
      <c r="B144" s="100">
        <f t="shared" si="25"/>
        <v>7.0650000000000217</v>
      </c>
      <c r="C144" s="107" t="s">
        <v>1023</v>
      </c>
      <c r="D144" s="108" t="s">
        <v>383</v>
      </c>
      <c r="E144" s="107" t="s">
        <v>47</v>
      </c>
      <c r="F144" s="109">
        <v>2</v>
      </c>
      <c r="G144" s="105"/>
      <c r="H144" s="106">
        <f t="shared" si="27"/>
        <v>0</v>
      </c>
    </row>
    <row r="145" spans="1:8" ht="27" x14ac:dyDescent="0.25">
      <c r="A145" s="113">
        <f t="shared" si="24"/>
        <v>7.066000000000022</v>
      </c>
      <c r="B145" s="100">
        <f t="shared" si="25"/>
        <v>7.066000000000022</v>
      </c>
      <c r="C145" s="107" t="s">
        <v>1023</v>
      </c>
      <c r="D145" s="108" t="s">
        <v>384</v>
      </c>
      <c r="E145" s="107" t="s">
        <v>47</v>
      </c>
      <c r="F145" s="109">
        <v>0.9</v>
      </c>
      <c r="G145" s="105"/>
      <c r="H145" s="106">
        <f t="shared" si="27"/>
        <v>0</v>
      </c>
    </row>
    <row r="146" spans="1:8" ht="12" customHeight="1" x14ac:dyDescent="0.25">
      <c r="A146" s="113">
        <f t="shared" si="24"/>
        <v>7.066000000000022</v>
      </c>
      <c r="B146" s="100" t="str">
        <f t="shared" si="25"/>
        <v/>
      </c>
      <c r="C146" s="107"/>
      <c r="D146" s="108"/>
      <c r="E146" s="107"/>
      <c r="F146" s="109"/>
      <c r="G146" s="105"/>
      <c r="H146" s="106"/>
    </row>
    <row r="147" spans="1:8" ht="54" x14ac:dyDescent="0.25">
      <c r="A147" s="113">
        <f t="shared" si="24"/>
        <v>7.066000000000022</v>
      </c>
      <c r="B147" s="100" t="str">
        <f t="shared" si="25"/>
        <v/>
      </c>
      <c r="C147" s="107" t="s">
        <v>424</v>
      </c>
      <c r="D147" s="108" t="s">
        <v>323</v>
      </c>
      <c r="E147" s="107"/>
      <c r="F147" s="109"/>
      <c r="G147" s="105"/>
      <c r="H147" s="106" t="str">
        <f t="shared" ref="H147:H153" si="28">IF(F147="","",G147*F147)</f>
        <v/>
      </c>
    </row>
    <row r="148" spans="1:8" x14ac:dyDescent="0.25">
      <c r="A148" s="113">
        <f t="shared" si="24"/>
        <v>7.0670000000000224</v>
      </c>
      <c r="B148" s="100">
        <f t="shared" si="25"/>
        <v>7.0670000000000224</v>
      </c>
      <c r="C148" s="107" t="s">
        <v>1023</v>
      </c>
      <c r="D148" s="108" t="s">
        <v>401</v>
      </c>
      <c r="E148" s="107" t="s">
        <v>40</v>
      </c>
      <c r="F148" s="109">
        <v>7</v>
      </c>
      <c r="G148" s="105"/>
      <c r="H148" s="106">
        <f t="shared" si="28"/>
        <v>0</v>
      </c>
    </row>
    <row r="149" spans="1:8" x14ac:dyDescent="0.25">
      <c r="A149" s="113">
        <f t="shared" si="24"/>
        <v>7.0680000000000227</v>
      </c>
      <c r="B149" s="100">
        <f t="shared" si="25"/>
        <v>7.0680000000000227</v>
      </c>
      <c r="C149" s="107" t="s">
        <v>1023</v>
      </c>
      <c r="D149" s="108" t="s">
        <v>402</v>
      </c>
      <c r="E149" s="107" t="s">
        <v>40</v>
      </c>
      <c r="F149" s="109">
        <v>6</v>
      </c>
      <c r="G149" s="105"/>
      <c r="H149" s="106">
        <f t="shared" si="28"/>
        <v>0</v>
      </c>
    </row>
    <row r="150" spans="1:8" x14ac:dyDescent="0.25">
      <c r="A150" s="113">
        <f t="shared" si="24"/>
        <v>7.069000000000023</v>
      </c>
      <c r="B150" s="100">
        <f t="shared" si="25"/>
        <v>7.069000000000023</v>
      </c>
      <c r="C150" s="107" t="s">
        <v>1023</v>
      </c>
      <c r="D150" s="108" t="s">
        <v>403</v>
      </c>
      <c r="E150" s="107" t="s">
        <v>40</v>
      </c>
      <c r="F150" s="109">
        <v>5</v>
      </c>
      <c r="G150" s="105"/>
      <c r="H150" s="106">
        <f t="shared" si="28"/>
        <v>0</v>
      </c>
    </row>
    <row r="151" spans="1:8" x14ac:dyDescent="0.25">
      <c r="A151" s="113">
        <f t="shared" si="24"/>
        <v>7.0700000000000234</v>
      </c>
      <c r="B151" s="100">
        <f t="shared" si="25"/>
        <v>7.0700000000000234</v>
      </c>
      <c r="C151" s="107" t="s">
        <v>1023</v>
      </c>
      <c r="D151" s="108" t="s">
        <v>404</v>
      </c>
      <c r="E151" s="107" t="s">
        <v>40</v>
      </c>
      <c r="F151" s="109">
        <v>5</v>
      </c>
      <c r="G151" s="105"/>
      <c r="H151" s="106">
        <f t="shared" si="28"/>
        <v>0</v>
      </c>
    </row>
    <row r="152" spans="1:8" x14ac:dyDescent="0.25">
      <c r="A152" s="113">
        <f t="shared" si="24"/>
        <v>7.0710000000000237</v>
      </c>
      <c r="B152" s="100">
        <f t="shared" si="25"/>
        <v>7.0710000000000237</v>
      </c>
      <c r="C152" s="107" t="s">
        <v>1023</v>
      </c>
      <c r="D152" s="108" t="s">
        <v>405</v>
      </c>
      <c r="E152" s="107" t="s">
        <v>40</v>
      </c>
      <c r="F152" s="109">
        <v>4</v>
      </c>
      <c r="G152" s="105"/>
      <c r="H152" s="106">
        <f t="shared" si="28"/>
        <v>0</v>
      </c>
    </row>
    <row r="153" spans="1:8" x14ac:dyDescent="0.25">
      <c r="A153" s="113">
        <f t="shared" si="24"/>
        <v>7.072000000000024</v>
      </c>
      <c r="B153" s="100">
        <f t="shared" si="25"/>
        <v>7.072000000000024</v>
      </c>
      <c r="C153" s="107" t="s">
        <v>1023</v>
      </c>
      <c r="D153" s="108" t="s">
        <v>406</v>
      </c>
      <c r="E153" s="107" t="s">
        <v>40</v>
      </c>
      <c r="F153" s="109">
        <v>3</v>
      </c>
      <c r="G153" s="105"/>
      <c r="H153" s="106">
        <f t="shared" si="28"/>
        <v>0</v>
      </c>
    </row>
    <row r="154" spans="1:8" ht="12" customHeight="1" thickBot="1" x14ac:dyDescent="0.3">
      <c r="A154" s="113">
        <f>+IF(F154&gt;0.01,A153+0.001,A153)</f>
        <v>7.072000000000024</v>
      </c>
      <c r="B154" s="100" t="str">
        <f>+IF(F154&gt;0,A154,"")</f>
        <v/>
      </c>
      <c r="C154" s="107"/>
      <c r="D154" s="108"/>
      <c r="E154" s="107"/>
      <c r="F154" s="109"/>
      <c r="G154" s="105"/>
      <c r="H154" s="106"/>
    </row>
    <row r="155" spans="1:8" ht="15.75" thickBot="1" x14ac:dyDescent="0.3">
      <c r="A155" s="113"/>
      <c r="B155" s="173" t="s">
        <v>408</v>
      </c>
      <c r="C155" s="174"/>
      <c r="D155" s="174"/>
      <c r="E155" s="174"/>
      <c r="F155" s="174"/>
      <c r="G155" s="175"/>
      <c r="H155" s="117">
        <f>SUM(H125:H154)</f>
        <v>0</v>
      </c>
    </row>
    <row r="156" spans="1:8" ht="24.75" thickBot="1" x14ac:dyDescent="0.3">
      <c r="A156" s="113"/>
      <c r="B156" s="114" t="s">
        <v>36</v>
      </c>
      <c r="C156" s="97" t="s">
        <v>94</v>
      </c>
      <c r="D156" s="115" t="s">
        <v>38</v>
      </c>
      <c r="E156" s="115" t="s">
        <v>37</v>
      </c>
      <c r="F156" s="115" t="s">
        <v>81</v>
      </c>
      <c r="G156" s="116" t="s">
        <v>86</v>
      </c>
      <c r="H156" s="99" t="s">
        <v>95</v>
      </c>
    </row>
    <row r="157" spans="1:8" ht="15.75" thickBot="1" x14ac:dyDescent="0.3">
      <c r="A157" s="113"/>
      <c r="B157" s="171" t="s">
        <v>409</v>
      </c>
      <c r="C157" s="172"/>
      <c r="D157" s="172"/>
      <c r="E157" s="172"/>
      <c r="F157" s="172"/>
      <c r="G157" s="172"/>
      <c r="H157" s="117">
        <f>H155</f>
        <v>0</v>
      </c>
    </row>
    <row r="158" spans="1:8" x14ac:dyDescent="0.25">
      <c r="A158" s="113">
        <f>+IF(F158&gt;0.01,A154+0.001,A154)</f>
        <v>7.072000000000024</v>
      </c>
      <c r="B158" s="100" t="str">
        <f>+IF(F158&gt;0,A158,"")</f>
        <v/>
      </c>
      <c r="C158" s="107"/>
      <c r="D158" s="108"/>
      <c r="E158" s="107"/>
      <c r="F158" s="109"/>
      <c r="G158" s="105"/>
      <c r="H158" s="106"/>
    </row>
    <row r="159" spans="1:8" ht="27" x14ac:dyDescent="0.25">
      <c r="A159" s="113">
        <f>+IF(F159&gt;0.01,A158+0.001,A158)</f>
        <v>7.072000000000024</v>
      </c>
      <c r="B159" s="100" t="str">
        <f>+IF(F159&gt;0,A159,"")</f>
        <v/>
      </c>
      <c r="C159" s="107" t="s">
        <v>425</v>
      </c>
      <c r="D159" s="112" t="s">
        <v>32</v>
      </c>
      <c r="E159" s="107"/>
      <c r="F159" s="109"/>
      <c r="G159" s="105"/>
      <c r="H159" s="106" t="str">
        <f>IF(F159="","",G159*F159)</f>
        <v/>
      </c>
    </row>
    <row r="160" spans="1:8" ht="42.75" customHeight="1" x14ac:dyDescent="0.25">
      <c r="A160" s="113">
        <f>+IF(F160&gt;0.01,A159+0.001,A159)</f>
        <v>7.072000000000024</v>
      </c>
      <c r="B160" s="100" t="str">
        <f>+IF(F160&gt;0,A160,"")</f>
        <v/>
      </c>
      <c r="C160" s="107" t="s">
        <v>427</v>
      </c>
      <c r="D160" s="108" t="s">
        <v>251</v>
      </c>
      <c r="E160" s="107"/>
      <c r="F160" s="109"/>
      <c r="G160" s="105"/>
      <c r="H160" s="106" t="str">
        <f>IF(F160="","",G160*F160)</f>
        <v/>
      </c>
    </row>
    <row r="161" spans="1:8" ht="27" x14ac:dyDescent="0.25">
      <c r="A161" s="113">
        <f>+IF(F161&gt;0.01,A160+0.001,A160)</f>
        <v>7.0730000000000244</v>
      </c>
      <c r="B161" s="100">
        <f>+IF(F161&gt;0,A161,"")</f>
        <v>7.0730000000000244</v>
      </c>
      <c r="C161" s="107" t="s">
        <v>1023</v>
      </c>
      <c r="D161" s="108" t="s">
        <v>378</v>
      </c>
      <c r="E161" s="107" t="s">
        <v>2</v>
      </c>
      <c r="F161" s="109">
        <v>30</v>
      </c>
      <c r="G161" s="105"/>
      <c r="H161" s="106">
        <f>IF(F161="","",G161*F161)</f>
        <v>0</v>
      </c>
    </row>
    <row r="162" spans="1:8" x14ac:dyDescent="0.25">
      <c r="A162" s="113">
        <f>+IF(F162&gt;0.01,A161+0.001,A161)</f>
        <v>7.0730000000000244</v>
      </c>
      <c r="B162" s="100" t="str">
        <f>+IF(F162&gt;0,A162,"")</f>
        <v/>
      </c>
      <c r="C162" s="107"/>
      <c r="D162" s="108"/>
      <c r="E162" s="107"/>
      <c r="F162" s="109"/>
      <c r="G162" s="105"/>
      <c r="H162" s="106"/>
    </row>
    <row r="163" spans="1:8" ht="39.75" customHeight="1" x14ac:dyDescent="0.25">
      <c r="A163" s="113">
        <f t="shared" ref="A163:A184" si="29">+IF(F163&gt;0.01,A162+0.001,A162)</f>
        <v>7.0730000000000244</v>
      </c>
      <c r="B163" s="100" t="str">
        <f t="shared" ref="B163:B184" si="30">+IF(F163&gt;0,A163,"")</f>
        <v/>
      </c>
      <c r="C163" s="107" t="s">
        <v>428</v>
      </c>
      <c r="D163" s="108" t="s">
        <v>386</v>
      </c>
      <c r="E163" s="107"/>
      <c r="F163" s="109"/>
      <c r="G163" s="105"/>
      <c r="H163" s="106" t="str">
        <f>IF(F163="","",G163*F163)</f>
        <v/>
      </c>
    </row>
    <row r="164" spans="1:8" ht="27" x14ac:dyDescent="0.25">
      <c r="A164" s="113">
        <f t="shared" si="29"/>
        <v>7.0740000000000247</v>
      </c>
      <c r="B164" s="100">
        <f t="shared" si="30"/>
        <v>7.0740000000000247</v>
      </c>
      <c r="C164" s="107" t="s">
        <v>1023</v>
      </c>
      <c r="D164" s="108" t="s">
        <v>385</v>
      </c>
      <c r="E164" s="107" t="s">
        <v>47</v>
      </c>
      <c r="F164" s="109">
        <v>3</v>
      </c>
      <c r="G164" s="105"/>
      <c r="H164" s="106">
        <f>IF(F164="","",G164*F164)</f>
        <v>0</v>
      </c>
    </row>
    <row r="165" spans="1:8" x14ac:dyDescent="0.25">
      <c r="A165" s="113">
        <f t="shared" si="29"/>
        <v>7.0740000000000247</v>
      </c>
      <c r="B165" s="100" t="str">
        <f t="shared" si="30"/>
        <v/>
      </c>
      <c r="C165" s="107"/>
      <c r="D165" s="108"/>
      <c r="E165" s="107"/>
      <c r="F165" s="109"/>
      <c r="G165" s="105"/>
      <c r="H165" s="106"/>
    </row>
    <row r="166" spans="1:8" ht="41.25" customHeight="1" x14ac:dyDescent="0.25">
      <c r="A166" s="113">
        <f t="shared" si="29"/>
        <v>7.0740000000000247</v>
      </c>
      <c r="B166" s="100" t="str">
        <f t="shared" si="30"/>
        <v/>
      </c>
      <c r="C166" s="107" t="s">
        <v>428</v>
      </c>
      <c r="D166" s="108" t="s">
        <v>78</v>
      </c>
      <c r="E166" s="107"/>
      <c r="F166" s="109"/>
      <c r="G166" s="105"/>
      <c r="H166" s="106" t="str">
        <f>IF(F166="","",G166*F166)</f>
        <v/>
      </c>
    </row>
    <row r="167" spans="1:8" ht="27" x14ac:dyDescent="0.25">
      <c r="A167" s="113">
        <f t="shared" si="29"/>
        <v>7.075000000000025</v>
      </c>
      <c r="B167" s="100">
        <f t="shared" si="30"/>
        <v>7.075000000000025</v>
      </c>
      <c r="C167" s="107" t="s">
        <v>1023</v>
      </c>
      <c r="D167" s="108" t="s">
        <v>378</v>
      </c>
      <c r="E167" s="107" t="s">
        <v>47</v>
      </c>
      <c r="F167" s="109">
        <v>38</v>
      </c>
      <c r="G167" s="105"/>
      <c r="H167" s="106">
        <f>IF(F167="","",G167*F167)</f>
        <v>0</v>
      </c>
    </row>
    <row r="168" spans="1:8" ht="27" x14ac:dyDescent="0.25">
      <c r="A168" s="113">
        <f t="shared" si="29"/>
        <v>7.0760000000000254</v>
      </c>
      <c r="B168" s="100">
        <f t="shared" si="30"/>
        <v>7.0760000000000254</v>
      </c>
      <c r="C168" s="107" t="s">
        <v>1023</v>
      </c>
      <c r="D168" s="108" t="s">
        <v>381</v>
      </c>
      <c r="E168" s="107" t="s">
        <v>47</v>
      </c>
      <c r="F168" s="109">
        <v>21.466799999999999</v>
      </c>
      <c r="G168" s="105"/>
      <c r="H168" s="106">
        <f>IF(F168="","",G168*F168)</f>
        <v>0</v>
      </c>
    </row>
    <row r="169" spans="1:8" ht="27" x14ac:dyDescent="0.25">
      <c r="A169" s="113">
        <f t="shared" si="29"/>
        <v>7.0770000000000257</v>
      </c>
      <c r="B169" s="100">
        <f t="shared" si="30"/>
        <v>7.0770000000000257</v>
      </c>
      <c r="C169" s="107" t="s">
        <v>1023</v>
      </c>
      <c r="D169" s="108" t="s">
        <v>383</v>
      </c>
      <c r="E169" s="107" t="s">
        <v>47</v>
      </c>
      <c r="F169" s="109">
        <v>19.456800000000001</v>
      </c>
      <c r="G169" s="105"/>
      <c r="H169" s="106">
        <f>IF(F169="","",G169*F169)</f>
        <v>0</v>
      </c>
    </row>
    <row r="170" spans="1:8" ht="27" x14ac:dyDescent="0.25">
      <c r="A170" s="113">
        <f t="shared" si="29"/>
        <v>7.078000000000026</v>
      </c>
      <c r="B170" s="100">
        <f t="shared" si="30"/>
        <v>7.078000000000026</v>
      </c>
      <c r="C170" s="107" t="s">
        <v>1023</v>
      </c>
      <c r="D170" s="108" t="s">
        <v>384</v>
      </c>
      <c r="E170" s="107" t="s">
        <v>47</v>
      </c>
      <c r="F170" s="109">
        <v>15.1152</v>
      </c>
      <c r="G170" s="105"/>
      <c r="H170" s="106">
        <f>IF(F170="","",G170*F170)</f>
        <v>0</v>
      </c>
    </row>
    <row r="171" spans="1:8" x14ac:dyDescent="0.25">
      <c r="A171" s="113">
        <f t="shared" si="29"/>
        <v>7.078000000000026</v>
      </c>
      <c r="B171" s="100" t="str">
        <f t="shared" si="30"/>
        <v/>
      </c>
      <c r="C171" s="107"/>
      <c r="D171" s="108"/>
      <c r="E171" s="107"/>
      <c r="F171" s="109"/>
      <c r="G171" s="105"/>
      <c r="H171" s="106"/>
    </row>
    <row r="172" spans="1:8" ht="44.25" customHeight="1" x14ac:dyDescent="0.25">
      <c r="A172" s="113">
        <f t="shared" si="29"/>
        <v>7.078000000000026</v>
      </c>
      <c r="B172" s="100" t="str">
        <f t="shared" si="30"/>
        <v/>
      </c>
      <c r="C172" s="107" t="s">
        <v>428</v>
      </c>
      <c r="D172" s="108" t="s">
        <v>79</v>
      </c>
      <c r="E172" s="107"/>
      <c r="F172" s="109"/>
      <c r="G172" s="105"/>
      <c r="H172" s="106" t="str">
        <f>IF(F172="","",G172*F172)</f>
        <v/>
      </c>
    </row>
    <row r="173" spans="1:8" ht="27" x14ac:dyDescent="0.25">
      <c r="A173" s="113">
        <f t="shared" si="29"/>
        <v>7.0790000000000264</v>
      </c>
      <c r="B173" s="100">
        <f t="shared" si="30"/>
        <v>7.0790000000000264</v>
      </c>
      <c r="C173" s="107" t="s">
        <v>1023</v>
      </c>
      <c r="D173" s="108" t="s">
        <v>379</v>
      </c>
      <c r="E173" s="107" t="s">
        <v>47</v>
      </c>
      <c r="F173" s="109">
        <v>30.046399999999998</v>
      </c>
      <c r="G173" s="105"/>
      <c r="H173" s="106">
        <f>IF(F173="","",G173*F173)</f>
        <v>0</v>
      </c>
    </row>
    <row r="174" spans="1:8" ht="27" x14ac:dyDescent="0.25">
      <c r="A174" s="113">
        <f t="shared" si="29"/>
        <v>7.0800000000000267</v>
      </c>
      <c r="B174" s="100">
        <f t="shared" si="30"/>
        <v>7.0800000000000267</v>
      </c>
      <c r="C174" s="107" t="s">
        <v>1023</v>
      </c>
      <c r="D174" s="108" t="s">
        <v>380</v>
      </c>
      <c r="E174" s="107" t="s">
        <v>47</v>
      </c>
      <c r="F174" s="109">
        <v>24.347519999999999</v>
      </c>
      <c r="G174" s="105"/>
      <c r="H174" s="106">
        <f>IF(F174="","",G174*F174)</f>
        <v>0</v>
      </c>
    </row>
    <row r="175" spans="1:8" ht="27" x14ac:dyDescent="0.25">
      <c r="A175" s="113">
        <f t="shared" si="29"/>
        <v>7.0810000000000271</v>
      </c>
      <c r="B175" s="100">
        <f t="shared" si="30"/>
        <v>7.0810000000000271</v>
      </c>
      <c r="C175" s="107" t="s">
        <v>1023</v>
      </c>
      <c r="D175" s="108" t="s">
        <v>382</v>
      </c>
      <c r="E175" s="107" t="s">
        <v>47</v>
      </c>
      <c r="F175" s="109">
        <v>23.414400000000001</v>
      </c>
      <c r="G175" s="105"/>
      <c r="H175" s="106">
        <f>IF(F175="","",G175*F175)</f>
        <v>0</v>
      </c>
    </row>
    <row r="176" spans="1:8" x14ac:dyDescent="0.25">
      <c r="A176" s="113">
        <f t="shared" si="29"/>
        <v>7.0810000000000271</v>
      </c>
      <c r="B176" s="100" t="str">
        <f t="shared" si="30"/>
        <v/>
      </c>
      <c r="C176" s="110"/>
      <c r="D176" s="108"/>
      <c r="E176" s="107"/>
      <c r="F176" s="109"/>
      <c r="G176" s="105"/>
      <c r="H176" s="106"/>
    </row>
    <row r="177" spans="1:8" x14ac:dyDescent="0.25">
      <c r="A177" s="113">
        <f t="shared" si="29"/>
        <v>7.0810000000000271</v>
      </c>
      <c r="B177" s="100" t="str">
        <f t="shared" si="30"/>
        <v/>
      </c>
      <c r="C177" s="107"/>
      <c r="D177" s="108"/>
      <c r="E177" s="107"/>
      <c r="F177" s="109"/>
      <c r="G177" s="105"/>
      <c r="H177" s="106"/>
    </row>
    <row r="178" spans="1:8" x14ac:dyDescent="0.25">
      <c r="A178" s="113">
        <f t="shared" si="29"/>
        <v>7.0810000000000271</v>
      </c>
      <c r="B178" s="100" t="str">
        <f t="shared" si="30"/>
        <v/>
      </c>
      <c r="C178" s="110"/>
      <c r="D178" s="108"/>
      <c r="E178" s="107"/>
      <c r="F178" s="109"/>
      <c r="G178" s="105"/>
      <c r="H178" s="106"/>
    </row>
    <row r="179" spans="1:8" x14ac:dyDescent="0.25">
      <c r="A179" s="113">
        <f t="shared" si="29"/>
        <v>7.0810000000000271</v>
      </c>
      <c r="B179" s="100" t="str">
        <f t="shared" si="30"/>
        <v/>
      </c>
      <c r="C179" s="110"/>
      <c r="D179" s="108"/>
      <c r="E179" s="107"/>
      <c r="F179" s="109"/>
      <c r="G179" s="105"/>
      <c r="H179" s="106"/>
    </row>
    <row r="180" spans="1:8" x14ac:dyDescent="0.25">
      <c r="A180" s="113">
        <f t="shared" si="29"/>
        <v>7.0810000000000271</v>
      </c>
      <c r="B180" s="100" t="str">
        <f t="shared" si="30"/>
        <v/>
      </c>
      <c r="C180" s="110"/>
      <c r="D180" s="108"/>
      <c r="E180" s="107"/>
      <c r="F180" s="109"/>
      <c r="G180" s="105"/>
      <c r="H180" s="106"/>
    </row>
    <row r="181" spans="1:8" x14ac:dyDescent="0.25">
      <c r="A181" s="113">
        <f t="shared" si="29"/>
        <v>7.0810000000000271</v>
      </c>
      <c r="B181" s="100" t="str">
        <f t="shared" si="30"/>
        <v/>
      </c>
      <c r="C181" s="110"/>
      <c r="D181" s="108"/>
      <c r="E181" s="107"/>
      <c r="F181" s="109"/>
      <c r="G181" s="105"/>
      <c r="H181" s="106"/>
    </row>
    <row r="182" spans="1:8" x14ac:dyDescent="0.25">
      <c r="A182" s="113">
        <f t="shared" si="29"/>
        <v>7.0810000000000271</v>
      </c>
      <c r="B182" s="100" t="str">
        <f t="shared" si="30"/>
        <v/>
      </c>
      <c r="C182" s="110"/>
      <c r="D182" s="108"/>
      <c r="E182" s="107"/>
      <c r="F182" s="109"/>
      <c r="G182" s="105"/>
      <c r="H182" s="106"/>
    </row>
    <row r="183" spans="1:8" x14ac:dyDescent="0.25">
      <c r="A183" s="113">
        <f t="shared" si="29"/>
        <v>7.0810000000000271</v>
      </c>
      <c r="B183" s="100" t="str">
        <f t="shared" si="30"/>
        <v/>
      </c>
      <c r="C183" s="110"/>
      <c r="D183" s="108"/>
      <c r="E183" s="107"/>
      <c r="F183" s="109"/>
      <c r="G183" s="105"/>
      <c r="H183" s="106"/>
    </row>
    <row r="184" spans="1:8" x14ac:dyDescent="0.25">
      <c r="A184" s="113">
        <f t="shared" si="29"/>
        <v>7.0810000000000271</v>
      </c>
      <c r="B184" s="100" t="str">
        <f t="shared" si="30"/>
        <v/>
      </c>
      <c r="C184" s="110"/>
      <c r="D184" s="108"/>
      <c r="E184" s="107"/>
      <c r="F184" s="109"/>
      <c r="G184" s="105"/>
      <c r="H184" s="106"/>
    </row>
    <row r="185" spans="1:8" x14ac:dyDescent="0.25">
      <c r="A185" s="113">
        <f t="shared" ref="A185:A187" si="31">+IF(F185&gt;0.01,A184+0.001,A184)</f>
        <v>7.0810000000000271</v>
      </c>
      <c r="B185" s="100" t="str">
        <f t="shared" ref="B185:B187" si="32">+IF(F185&gt;0,A185,"")</f>
        <v/>
      </c>
      <c r="C185" s="110"/>
      <c r="D185" s="108"/>
      <c r="E185" s="107"/>
      <c r="F185" s="109"/>
      <c r="G185" s="105"/>
      <c r="H185" s="106"/>
    </row>
    <row r="186" spans="1:8" x14ac:dyDescent="0.25">
      <c r="A186" s="113">
        <f t="shared" si="31"/>
        <v>7.0810000000000271</v>
      </c>
      <c r="B186" s="100" t="str">
        <f t="shared" si="32"/>
        <v/>
      </c>
      <c r="C186" s="110"/>
      <c r="D186" s="108"/>
      <c r="E186" s="107"/>
      <c r="F186" s="109"/>
      <c r="G186" s="105"/>
      <c r="H186" s="106"/>
    </row>
    <row r="187" spans="1:8" ht="15.75" thickBot="1" x14ac:dyDescent="0.3">
      <c r="A187" s="113">
        <f t="shared" si="31"/>
        <v>7.0810000000000271</v>
      </c>
      <c r="B187" s="100" t="str">
        <f t="shared" si="32"/>
        <v/>
      </c>
      <c r="C187" s="110"/>
      <c r="D187" s="108"/>
      <c r="E187" s="107"/>
      <c r="F187" s="109"/>
      <c r="G187" s="105"/>
      <c r="H187" s="106"/>
    </row>
    <row r="188" spans="1:8" ht="15.75" thickBot="1" x14ac:dyDescent="0.3">
      <c r="A188" s="113"/>
      <c r="B188" s="173" t="s">
        <v>408</v>
      </c>
      <c r="C188" s="174"/>
      <c r="D188" s="174"/>
      <c r="E188" s="174"/>
      <c r="F188" s="174"/>
      <c r="G188" s="175"/>
      <c r="H188" s="117">
        <f>SUM(H157:H187)</f>
        <v>0</v>
      </c>
    </row>
    <row r="189" spans="1:8" ht="24.75" thickBot="1" x14ac:dyDescent="0.3">
      <c r="A189" s="113"/>
      <c r="B189" s="114" t="s">
        <v>36</v>
      </c>
      <c r="C189" s="97" t="s">
        <v>94</v>
      </c>
      <c r="D189" s="115" t="s">
        <v>38</v>
      </c>
      <c r="E189" s="115" t="s">
        <v>37</v>
      </c>
      <c r="F189" s="115" t="s">
        <v>81</v>
      </c>
      <c r="G189" s="116" t="s">
        <v>86</v>
      </c>
      <c r="H189" s="99" t="s">
        <v>95</v>
      </c>
    </row>
    <row r="190" spans="1:8" ht="15.75" thickBot="1" x14ac:dyDescent="0.3">
      <c r="A190" s="113"/>
      <c r="B190" s="171" t="s">
        <v>409</v>
      </c>
      <c r="C190" s="172"/>
      <c r="D190" s="172"/>
      <c r="E190" s="172"/>
      <c r="F190" s="172"/>
      <c r="G190" s="172"/>
      <c r="H190" s="117">
        <f>H188</f>
        <v>0</v>
      </c>
    </row>
    <row r="191" spans="1:8" x14ac:dyDescent="0.25">
      <c r="A191" s="113">
        <f>+IF(F191&gt;0.01,A187+0.001,A187)</f>
        <v>7.0810000000000271</v>
      </c>
      <c r="B191" s="100" t="str">
        <f>+IF(F191&gt;0,A191,"")</f>
        <v/>
      </c>
      <c r="C191" s="110"/>
      <c r="D191" s="108"/>
      <c r="E191" s="107"/>
      <c r="F191" s="109"/>
      <c r="G191" s="105"/>
      <c r="H191" s="106"/>
    </row>
    <row r="192" spans="1:8" ht="46.5" customHeight="1" x14ac:dyDescent="0.25">
      <c r="A192" s="113">
        <f t="shared" ref="A192" si="33">+IF(F192&gt;0.01,A191+0.001,A191)</f>
        <v>7.0810000000000271</v>
      </c>
      <c r="B192" s="100" t="str">
        <f t="shared" ref="B192" si="34">+IF(F192&gt;0,A192,"")</f>
        <v/>
      </c>
      <c r="C192" s="107" t="s">
        <v>428</v>
      </c>
      <c r="D192" s="108" t="s">
        <v>80</v>
      </c>
      <c r="E192" s="107"/>
      <c r="F192" s="109"/>
      <c r="G192" s="105"/>
      <c r="H192" s="106" t="str">
        <f t="shared" ref="H192:H199" si="35">IF(F192="","",G192*F192)</f>
        <v/>
      </c>
    </row>
    <row r="193" spans="1:8" ht="27" x14ac:dyDescent="0.25">
      <c r="A193" s="113">
        <f t="shared" ref="A193:A199" si="36">+IF(F193&gt;0.01,A192+0.001,A192)</f>
        <v>7.0820000000000274</v>
      </c>
      <c r="B193" s="100">
        <f t="shared" ref="B193:B199" si="37">+IF(F193&gt;0,A193,"")</f>
        <v>7.0820000000000274</v>
      </c>
      <c r="C193" s="107" t="s">
        <v>1023</v>
      </c>
      <c r="D193" s="108" t="s">
        <v>378</v>
      </c>
      <c r="E193" s="107" t="s">
        <v>47</v>
      </c>
      <c r="F193" s="109">
        <v>23</v>
      </c>
      <c r="G193" s="105"/>
      <c r="H193" s="106">
        <f t="shared" si="35"/>
        <v>0</v>
      </c>
    </row>
    <row r="194" spans="1:8" ht="27" x14ac:dyDescent="0.25">
      <c r="A194" s="113">
        <f t="shared" si="36"/>
        <v>7.0830000000000277</v>
      </c>
      <c r="B194" s="100">
        <f t="shared" si="37"/>
        <v>7.0830000000000277</v>
      </c>
      <c r="C194" s="107" t="s">
        <v>1023</v>
      </c>
      <c r="D194" s="108" t="s">
        <v>379</v>
      </c>
      <c r="E194" s="107" t="s">
        <v>47</v>
      </c>
      <c r="F194" s="109">
        <v>22.000800000000002</v>
      </c>
      <c r="G194" s="105"/>
      <c r="H194" s="106">
        <f t="shared" si="35"/>
        <v>0</v>
      </c>
    </row>
    <row r="195" spans="1:8" ht="27" x14ac:dyDescent="0.25">
      <c r="A195" s="113">
        <f t="shared" si="36"/>
        <v>7.0840000000000281</v>
      </c>
      <c r="B195" s="100">
        <f t="shared" si="37"/>
        <v>7.0840000000000281</v>
      </c>
      <c r="C195" s="107" t="s">
        <v>1023</v>
      </c>
      <c r="D195" s="108" t="s">
        <v>380</v>
      </c>
      <c r="E195" s="107" t="s">
        <v>47</v>
      </c>
      <c r="F195" s="109">
        <v>17.595592</v>
      </c>
      <c r="G195" s="105"/>
      <c r="H195" s="106">
        <f t="shared" si="35"/>
        <v>0</v>
      </c>
    </row>
    <row r="196" spans="1:8" ht="27" x14ac:dyDescent="0.25">
      <c r="A196" s="113">
        <f t="shared" si="36"/>
        <v>7.0850000000000284</v>
      </c>
      <c r="B196" s="100">
        <f t="shared" si="37"/>
        <v>7.0850000000000284</v>
      </c>
      <c r="C196" s="107" t="s">
        <v>1023</v>
      </c>
      <c r="D196" s="108" t="s">
        <v>381</v>
      </c>
      <c r="E196" s="107" t="s">
        <v>47</v>
      </c>
      <c r="F196" s="109">
        <v>15.6462</v>
      </c>
      <c r="G196" s="105"/>
      <c r="H196" s="106">
        <f t="shared" si="35"/>
        <v>0</v>
      </c>
    </row>
    <row r="197" spans="1:8" ht="27" x14ac:dyDescent="0.25">
      <c r="A197" s="113">
        <f t="shared" si="36"/>
        <v>7.0860000000000287</v>
      </c>
      <c r="B197" s="100">
        <f t="shared" si="37"/>
        <v>7.0860000000000287</v>
      </c>
      <c r="C197" s="107" t="s">
        <v>1023</v>
      </c>
      <c r="D197" s="108" t="s">
        <v>382</v>
      </c>
      <c r="E197" s="107" t="s">
        <v>47</v>
      </c>
      <c r="F197" s="109">
        <v>16</v>
      </c>
      <c r="G197" s="105"/>
      <c r="H197" s="106">
        <f t="shared" si="35"/>
        <v>0</v>
      </c>
    </row>
    <row r="198" spans="1:8" ht="27" x14ac:dyDescent="0.25">
      <c r="A198" s="113">
        <f t="shared" si="36"/>
        <v>7.0870000000000291</v>
      </c>
      <c r="B198" s="100">
        <f t="shared" si="37"/>
        <v>7.0870000000000291</v>
      </c>
      <c r="C198" s="107" t="s">
        <v>1023</v>
      </c>
      <c r="D198" s="108" t="s">
        <v>383</v>
      </c>
      <c r="E198" s="107" t="s">
        <v>47</v>
      </c>
      <c r="F198" s="109">
        <v>12.5</v>
      </c>
      <c r="G198" s="105"/>
      <c r="H198" s="106">
        <f t="shared" si="35"/>
        <v>0</v>
      </c>
    </row>
    <row r="199" spans="1:8" ht="27" x14ac:dyDescent="0.25">
      <c r="A199" s="113">
        <f t="shared" si="36"/>
        <v>7.0880000000000294</v>
      </c>
      <c r="B199" s="100">
        <f t="shared" si="37"/>
        <v>7.0880000000000294</v>
      </c>
      <c r="C199" s="107" t="s">
        <v>1023</v>
      </c>
      <c r="D199" s="108" t="s">
        <v>384</v>
      </c>
      <c r="E199" s="107" t="s">
        <v>47</v>
      </c>
      <c r="F199" s="109">
        <v>7.5</v>
      </c>
      <c r="G199" s="105"/>
      <c r="H199" s="106">
        <f t="shared" si="35"/>
        <v>0</v>
      </c>
    </row>
    <row r="200" spans="1:8" x14ac:dyDescent="0.25">
      <c r="A200" s="113">
        <f t="shared" ref="A200:A217" si="38">+IF(F200&gt;0.01,A199+0.001,A199)</f>
        <v>7.0880000000000294</v>
      </c>
      <c r="B200" s="100" t="str">
        <f t="shared" ref="B200:B217" si="39">+IF(F200&gt;0,A200,"")</f>
        <v/>
      </c>
      <c r="C200" s="110"/>
      <c r="D200" s="108"/>
      <c r="E200" s="107"/>
      <c r="F200" s="109"/>
      <c r="G200" s="105"/>
      <c r="H200" s="106"/>
    </row>
    <row r="201" spans="1:8" x14ac:dyDescent="0.25">
      <c r="A201" s="113">
        <f t="shared" si="38"/>
        <v>7.0880000000000294</v>
      </c>
      <c r="B201" s="100" t="str">
        <f t="shared" si="39"/>
        <v/>
      </c>
      <c r="C201" s="107">
        <v>8.4</v>
      </c>
      <c r="D201" s="112" t="s">
        <v>31</v>
      </c>
      <c r="E201" s="107"/>
      <c r="F201" s="109"/>
      <c r="G201" s="105"/>
      <c r="H201" s="106" t="str">
        <f t="shared" ref="H201:H209" si="40">IF(F201="","",G201*F201)</f>
        <v/>
      </c>
    </row>
    <row r="202" spans="1:8" ht="54" x14ac:dyDescent="0.25">
      <c r="A202" s="113">
        <f t="shared" si="38"/>
        <v>7.0880000000000294</v>
      </c>
      <c r="B202" s="100" t="str">
        <f t="shared" si="39"/>
        <v/>
      </c>
      <c r="C202" s="107" t="s">
        <v>426</v>
      </c>
      <c r="D202" s="108" t="s">
        <v>236</v>
      </c>
      <c r="E202" s="107"/>
      <c r="F202" s="109"/>
      <c r="G202" s="105"/>
      <c r="H202" s="106" t="str">
        <f t="shared" si="40"/>
        <v/>
      </c>
    </row>
    <row r="203" spans="1:8" ht="27" x14ac:dyDescent="0.25">
      <c r="A203" s="113">
        <f t="shared" si="38"/>
        <v>7.0890000000000297</v>
      </c>
      <c r="B203" s="100">
        <f t="shared" si="39"/>
        <v>7.0890000000000297</v>
      </c>
      <c r="C203" s="107" t="s">
        <v>1023</v>
      </c>
      <c r="D203" s="108" t="s">
        <v>378</v>
      </c>
      <c r="E203" s="107" t="s">
        <v>47</v>
      </c>
      <c r="F203" s="109">
        <v>52</v>
      </c>
      <c r="G203" s="105"/>
      <c r="H203" s="106">
        <f t="shared" si="40"/>
        <v>0</v>
      </c>
    </row>
    <row r="204" spans="1:8" ht="27" x14ac:dyDescent="0.25">
      <c r="A204" s="113">
        <f t="shared" si="38"/>
        <v>7.0900000000000301</v>
      </c>
      <c r="B204" s="100">
        <f t="shared" si="39"/>
        <v>7.0900000000000301</v>
      </c>
      <c r="C204" s="107" t="s">
        <v>1023</v>
      </c>
      <c r="D204" s="108" t="s">
        <v>379</v>
      </c>
      <c r="E204" s="107" t="s">
        <v>47</v>
      </c>
      <c r="F204" s="109">
        <v>41.52</v>
      </c>
      <c r="G204" s="105"/>
      <c r="H204" s="106">
        <f t="shared" si="40"/>
        <v>0</v>
      </c>
    </row>
    <row r="205" spans="1:8" ht="27" x14ac:dyDescent="0.25">
      <c r="A205" s="113">
        <f t="shared" si="38"/>
        <v>7.0910000000000304</v>
      </c>
      <c r="B205" s="100">
        <f t="shared" si="39"/>
        <v>7.0910000000000304</v>
      </c>
      <c r="C205" s="107" t="s">
        <v>1023</v>
      </c>
      <c r="D205" s="108" t="s">
        <v>380</v>
      </c>
      <c r="E205" s="107" t="s">
        <v>47</v>
      </c>
      <c r="F205" s="109">
        <v>35.8384</v>
      </c>
      <c r="G205" s="105"/>
      <c r="H205" s="106">
        <f t="shared" si="40"/>
        <v>0</v>
      </c>
    </row>
    <row r="206" spans="1:8" ht="27" x14ac:dyDescent="0.25">
      <c r="A206" s="113">
        <f t="shared" si="38"/>
        <v>7.0920000000000307</v>
      </c>
      <c r="B206" s="100">
        <f t="shared" si="39"/>
        <v>7.0920000000000307</v>
      </c>
      <c r="C206" s="107" t="s">
        <v>1023</v>
      </c>
      <c r="D206" s="108" t="s">
        <v>381</v>
      </c>
      <c r="E206" s="107" t="s">
        <v>47</v>
      </c>
      <c r="F206" s="109">
        <v>30.542000000000002</v>
      </c>
      <c r="G206" s="105"/>
      <c r="H206" s="106">
        <f t="shared" si="40"/>
        <v>0</v>
      </c>
    </row>
    <row r="207" spans="1:8" ht="27" x14ac:dyDescent="0.25">
      <c r="A207" s="113">
        <f t="shared" si="38"/>
        <v>7.0930000000000311</v>
      </c>
      <c r="B207" s="100">
        <f t="shared" si="39"/>
        <v>7.0930000000000311</v>
      </c>
      <c r="C207" s="107" t="s">
        <v>1023</v>
      </c>
      <c r="D207" s="108" t="s">
        <v>382</v>
      </c>
      <c r="E207" s="107" t="s">
        <v>47</v>
      </c>
      <c r="F207" s="109">
        <v>33.159999999999997</v>
      </c>
      <c r="G207" s="105"/>
      <c r="H207" s="106">
        <f t="shared" si="40"/>
        <v>0</v>
      </c>
    </row>
    <row r="208" spans="1:8" ht="27" x14ac:dyDescent="0.25">
      <c r="A208" s="113">
        <f t="shared" si="38"/>
        <v>7.0940000000000314</v>
      </c>
      <c r="B208" s="100">
        <f t="shared" si="39"/>
        <v>7.0940000000000314</v>
      </c>
      <c r="C208" s="107" t="s">
        <v>1023</v>
      </c>
      <c r="D208" s="108" t="s">
        <v>383</v>
      </c>
      <c r="E208" s="107" t="s">
        <v>47</v>
      </c>
      <c r="F208" s="109">
        <v>28.492000000000001</v>
      </c>
      <c r="G208" s="105"/>
      <c r="H208" s="106">
        <f t="shared" si="40"/>
        <v>0</v>
      </c>
    </row>
    <row r="209" spans="1:8" ht="27" x14ac:dyDescent="0.25">
      <c r="A209" s="113">
        <f t="shared" si="38"/>
        <v>7.0950000000000317</v>
      </c>
      <c r="B209" s="100">
        <f t="shared" si="39"/>
        <v>7.0950000000000317</v>
      </c>
      <c r="C209" s="107" t="s">
        <v>1023</v>
      </c>
      <c r="D209" s="108" t="s">
        <v>384</v>
      </c>
      <c r="E209" s="107" t="s">
        <v>47</v>
      </c>
      <c r="F209" s="109">
        <v>23.423999999999999</v>
      </c>
      <c r="G209" s="105"/>
      <c r="H209" s="106">
        <f t="shared" si="40"/>
        <v>0</v>
      </c>
    </row>
    <row r="210" spans="1:8" x14ac:dyDescent="0.25">
      <c r="A210" s="113">
        <f t="shared" si="38"/>
        <v>7.0950000000000317</v>
      </c>
      <c r="B210" s="100" t="str">
        <f t="shared" si="39"/>
        <v/>
      </c>
      <c r="C210" s="110"/>
      <c r="D210" s="108"/>
      <c r="E210" s="107"/>
      <c r="F210" s="109"/>
      <c r="G210" s="105"/>
      <c r="H210" s="106"/>
    </row>
    <row r="211" spans="1:8" ht="54" x14ac:dyDescent="0.25">
      <c r="A211" s="113">
        <f t="shared" si="38"/>
        <v>7.0950000000000317</v>
      </c>
      <c r="B211" s="100" t="str">
        <f t="shared" si="39"/>
        <v/>
      </c>
      <c r="C211" s="107" t="s">
        <v>431</v>
      </c>
      <c r="D211" s="153" t="s">
        <v>123</v>
      </c>
      <c r="E211" s="107"/>
      <c r="F211" s="109"/>
      <c r="G211" s="105"/>
      <c r="H211" s="106" t="str">
        <f>IF(F211="","",G211*F211)</f>
        <v/>
      </c>
    </row>
    <row r="212" spans="1:8" ht="27" x14ac:dyDescent="0.25">
      <c r="A212" s="113">
        <f t="shared" si="38"/>
        <v>7.0960000000000321</v>
      </c>
      <c r="B212" s="100">
        <f t="shared" si="39"/>
        <v>7.0960000000000321</v>
      </c>
      <c r="C212" s="107" t="s">
        <v>1054</v>
      </c>
      <c r="D212" s="108" t="s">
        <v>387</v>
      </c>
      <c r="E212" s="107" t="s">
        <v>48</v>
      </c>
      <c r="F212" s="109">
        <v>1</v>
      </c>
      <c r="G212" s="105"/>
      <c r="H212" s="106">
        <f>IF(F212="","",G212*F212)</f>
        <v>0</v>
      </c>
    </row>
    <row r="213" spans="1:8" x14ac:dyDescent="0.25">
      <c r="A213" s="113">
        <f t="shared" si="38"/>
        <v>7.0960000000000321</v>
      </c>
      <c r="B213" s="100" t="str">
        <f t="shared" si="39"/>
        <v/>
      </c>
      <c r="C213" s="110"/>
      <c r="D213" s="108"/>
      <c r="E213" s="107"/>
      <c r="F213" s="109"/>
      <c r="G213" s="105"/>
      <c r="H213" s="106"/>
    </row>
    <row r="214" spans="1:8" x14ac:dyDescent="0.25">
      <c r="A214" s="113">
        <f t="shared" si="38"/>
        <v>7.0960000000000321</v>
      </c>
      <c r="B214" s="100" t="str">
        <f t="shared" si="39"/>
        <v/>
      </c>
      <c r="C214" s="110"/>
      <c r="D214" s="108"/>
      <c r="E214" s="107"/>
      <c r="F214" s="109"/>
      <c r="G214" s="105"/>
      <c r="H214" s="106"/>
    </row>
    <row r="215" spans="1:8" x14ac:dyDescent="0.25">
      <c r="A215" s="113">
        <f t="shared" si="38"/>
        <v>7.0960000000000321</v>
      </c>
      <c r="B215" s="100" t="str">
        <f t="shared" si="39"/>
        <v/>
      </c>
      <c r="C215" s="110"/>
      <c r="D215" s="108"/>
      <c r="E215" s="107"/>
      <c r="F215" s="109"/>
      <c r="G215" s="105"/>
      <c r="H215" s="106"/>
    </row>
    <row r="216" spans="1:8" x14ac:dyDescent="0.25">
      <c r="A216" s="113">
        <f t="shared" si="38"/>
        <v>7.0960000000000321</v>
      </c>
      <c r="B216" s="100" t="str">
        <f t="shared" si="39"/>
        <v/>
      </c>
      <c r="C216" s="110"/>
      <c r="D216" s="108"/>
      <c r="E216" s="107"/>
      <c r="F216" s="109"/>
      <c r="G216" s="105"/>
      <c r="H216" s="106"/>
    </row>
    <row r="217" spans="1:8" ht="15.75" thickBot="1" x14ac:dyDescent="0.3">
      <c r="A217" s="113">
        <f t="shared" si="38"/>
        <v>7.0960000000000321</v>
      </c>
      <c r="B217" s="100" t="str">
        <f t="shared" si="39"/>
        <v/>
      </c>
      <c r="C217" s="110"/>
      <c r="D217" s="108"/>
      <c r="E217" s="107"/>
      <c r="F217" s="109"/>
      <c r="G217" s="105"/>
      <c r="H217" s="106"/>
    </row>
    <row r="218" spans="1:8" ht="15.75" thickBot="1" x14ac:dyDescent="0.3">
      <c r="A218" s="113"/>
      <c r="B218" s="173" t="s">
        <v>408</v>
      </c>
      <c r="C218" s="174"/>
      <c r="D218" s="174"/>
      <c r="E218" s="174"/>
      <c r="F218" s="174"/>
      <c r="G218" s="175"/>
      <c r="H218" s="117">
        <f>SUM(H190:H217)</f>
        <v>0</v>
      </c>
    </row>
    <row r="219" spans="1:8" ht="24.75" thickBot="1" x14ac:dyDescent="0.3">
      <c r="A219" s="113"/>
      <c r="B219" s="114" t="s">
        <v>36</v>
      </c>
      <c r="C219" s="97" t="s">
        <v>94</v>
      </c>
      <c r="D219" s="115" t="s">
        <v>38</v>
      </c>
      <c r="E219" s="115" t="s">
        <v>37</v>
      </c>
      <c r="F219" s="115" t="s">
        <v>81</v>
      </c>
      <c r="G219" s="116" t="s">
        <v>86</v>
      </c>
      <c r="H219" s="99" t="s">
        <v>95</v>
      </c>
    </row>
    <row r="220" spans="1:8" ht="15.75" thickBot="1" x14ac:dyDescent="0.3">
      <c r="A220" s="113"/>
      <c r="B220" s="171" t="s">
        <v>409</v>
      </c>
      <c r="C220" s="172"/>
      <c r="D220" s="172"/>
      <c r="E220" s="172"/>
      <c r="F220" s="172"/>
      <c r="G220" s="172"/>
      <c r="H220" s="117">
        <f>H218</f>
        <v>0</v>
      </c>
    </row>
    <row r="221" spans="1:8" x14ac:dyDescent="0.25">
      <c r="A221" s="113"/>
      <c r="B221" s="100"/>
      <c r="C221" s="110"/>
      <c r="D221" s="108"/>
      <c r="E221" s="107"/>
      <c r="F221" s="109"/>
      <c r="G221" s="105"/>
      <c r="H221" s="106"/>
    </row>
    <row r="222" spans="1:8" x14ac:dyDescent="0.25">
      <c r="A222" s="113"/>
      <c r="B222" s="100"/>
      <c r="C222" s="110"/>
      <c r="D222" s="108"/>
      <c r="E222" s="107"/>
      <c r="F222" s="109"/>
      <c r="G222" s="105"/>
      <c r="H222" s="106"/>
    </row>
    <row r="223" spans="1:8" ht="54" x14ac:dyDescent="0.25">
      <c r="A223" s="113">
        <f>+IF(F223&gt;0.01,A217+0.001,A217)</f>
        <v>7.0960000000000321</v>
      </c>
      <c r="B223" s="100" t="str">
        <f t="shared" ref="B223:B230" si="41">+IF(F223&gt;0,A223,"")</f>
        <v/>
      </c>
      <c r="C223" s="107" t="s">
        <v>431</v>
      </c>
      <c r="D223" s="153" t="s">
        <v>407</v>
      </c>
      <c r="E223" s="107"/>
      <c r="F223" s="109"/>
      <c r="G223" s="105"/>
      <c r="H223" s="106" t="str">
        <f t="shared" ref="H223:H230" si="42">IF(F223="","",G223*F223)</f>
        <v/>
      </c>
    </row>
    <row r="224" spans="1:8" ht="27" x14ac:dyDescent="0.25">
      <c r="A224" s="113">
        <f t="shared" ref="A224:A230" si="43">+IF(F224&gt;0.01,A223+0.001,A223)</f>
        <v>7.0970000000000324</v>
      </c>
      <c r="B224" s="100">
        <f t="shared" si="41"/>
        <v>7.0970000000000324</v>
      </c>
      <c r="C224" s="107" t="s">
        <v>1023</v>
      </c>
      <c r="D224" s="108" t="s">
        <v>378</v>
      </c>
      <c r="E224" s="107" t="s">
        <v>48</v>
      </c>
      <c r="F224" s="109">
        <v>24</v>
      </c>
      <c r="G224" s="105"/>
      <c r="H224" s="106">
        <f t="shared" si="42"/>
        <v>0</v>
      </c>
    </row>
    <row r="225" spans="1:8" ht="27" x14ac:dyDescent="0.25">
      <c r="A225" s="113">
        <f t="shared" si="43"/>
        <v>7.0980000000000327</v>
      </c>
      <c r="B225" s="100">
        <f t="shared" si="41"/>
        <v>7.0980000000000327</v>
      </c>
      <c r="C225" s="107" t="s">
        <v>1023</v>
      </c>
      <c r="D225" s="108" t="s">
        <v>379</v>
      </c>
      <c r="E225" s="107" t="s">
        <v>48</v>
      </c>
      <c r="F225" s="109">
        <v>32.177999999999997</v>
      </c>
      <c r="G225" s="105"/>
      <c r="H225" s="106">
        <f t="shared" si="42"/>
        <v>0</v>
      </c>
    </row>
    <row r="226" spans="1:8" ht="27" x14ac:dyDescent="0.25">
      <c r="A226" s="113">
        <f t="shared" si="43"/>
        <v>7.0990000000000331</v>
      </c>
      <c r="B226" s="100">
        <f t="shared" si="41"/>
        <v>7.0990000000000331</v>
      </c>
      <c r="C226" s="107" t="s">
        <v>1023</v>
      </c>
      <c r="D226" s="108" t="s">
        <v>380</v>
      </c>
      <c r="E226" s="107" t="s">
        <v>48</v>
      </c>
      <c r="F226" s="109">
        <v>30.305420479999999</v>
      </c>
      <c r="G226" s="105"/>
      <c r="H226" s="106">
        <f t="shared" si="42"/>
        <v>0</v>
      </c>
    </row>
    <row r="227" spans="1:8" ht="27" x14ac:dyDescent="0.25">
      <c r="A227" s="113">
        <f t="shared" si="43"/>
        <v>7.1000000000000334</v>
      </c>
      <c r="B227" s="100">
        <f t="shared" si="41"/>
        <v>7.1000000000000334</v>
      </c>
      <c r="C227" s="107" t="s">
        <v>1023</v>
      </c>
      <c r="D227" s="108" t="s">
        <v>381</v>
      </c>
      <c r="E227" s="107" t="s">
        <v>48</v>
      </c>
      <c r="F227" s="109">
        <v>16.51343</v>
      </c>
      <c r="G227" s="105"/>
      <c r="H227" s="106">
        <f t="shared" si="42"/>
        <v>0</v>
      </c>
    </row>
    <row r="228" spans="1:8" ht="27" x14ac:dyDescent="0.25">
      <c r="A228" s="113">
        <f t="shared" si="43"/>
        <v>7.1010000000000337</v>
      </c>
      <c r="B228" s="100">
        <f t="shared" si="41"/>
        <v>7.1010000000000337</v>
      </c>
      <c r="C228" s="107" t="s">
        <v>1023</v>
      </c>
      <c r="D228" s="108" t="s">
        <v>382</v>
      </c>
      <c r="E228" s="107" t="s">
        <v>48</v>
      </c>
      <c r="F228" s="109">
        <v>20.100000000000001</v>
      </c>
      <c r="G228" s="105"/>
      <c r="H228" s="106">
        <f t="shared" si="42"/>
        <v>0</v>
      </c>
    </row>
    <row r="229" spans="1:8" ht="27" x14ac:dyDescent="0.25">
      <c r="A229" s="113">
        <f t="shared" si="43"/>
        <v>7.1020000000000341</v>
      </c>
      <c r="B229" s="100">
        <f t="shared" si="41"/>
        <v>7.1020000000000341</v>
      </c>
      <c r="C229" s="107" t="s">
        <v>1023</v>
      </c>
      <c r="D229" s="108" t="s">
        <v>383</v>
      </c>
      <c r="E229" s="107" t="s">
        <v>48</v>
      </c>
      <c r="F229" s="109">
        <v>15.98068</v>
      </c>
      <c r="G229" s="105"/>
      <c r="H229" s="106">
        <f t="shared" si="42"/>
        <v>0</v>
      </c>
    </row>
    <row r="230" spans="1:8" ht="27" x14ac:dyDescent="0.25">
      <c r="A230" s="113">
        <f t="shared" si="43"/>
        <v>7.1030000000000344</v>
      </c>
      <c r="B230" s="100">
        <f t="shared" si="41"/>
        <v>7.1030000000000344</v>
      </c>
      <c r="C230" s="107" t="s">
        <v>1023</v>
      </c>
      <c r="D230" s="108" t="s">
        <v>384</v>
      </c>
      <c r="E230" s="107" t="s">
        <v>48</v>
      </c>
      <c r="F230" s="109">
        <v>11</v>
      </c>
      <c r="G230" s="105"/>
      <c r="H230" s="106">
        <f t="shared" si="42"/>
        <v>0</v>
      </c>
    </row>
    <row r="231" spans="1:8" x14ac:dyDescent="0.25">
      <c r="A231" s="113">
        <f t="shared" ref="A231:A259" si="44">+IF(F231&gt;0.01,A230+0.001,A230)</f>
        <v>7.1030000000000344</v>
      </c>
      <c r="B231" s="100" t="str">
        <f t="shared" ref="B231:B259" si="45">+IF(F231&gt;0,A231,"")</f>
        <v/>
      </c>
      <c r="C231" s="110"/>
      <c r="D231" s="108"/>
      <c r="E231" s="107"/>
      <c r="F231" s="109"/>
      <c r="G231" s="105"/>
      <c r="H231" s="106"/>
    </row>
    <row r="232" spans="1:8" x14ac:dyDescent="0.25">
      <c r="A232" s="113">
        <f t="shared" si="44"/>
        <v>7.1030000000000344</v>
      </c>
      <c r="B232" s="100" t="str">
        <f t="shared" si="45"/>
        <v/>
      </c>
      <c r="C232" s="107" t="s">
        <v>42</v>
      </c>
      <c r="D232" s="108" t="s">
        <v>93</v>
      </c>
      <c r="E232" s="107"/>
      <c r="F232" s="109"/>
      <c r="G232" s="105"/>
      <c r="H232" s="106" t="str">
        <f t="shared" ref="H232:H239" si="46">IF(F232="","",G232*F232)</f>
        <v/>
      </c>
    </row>
    <row r="233" spans="1:8" ht="27" x14ac:dyDescent="0.25">
      <c r="A233" s="113">
        <f t="shared" si="44"/>
        <v>7.1040000000000347</v>
      </c>
      <c r="B233" s="100">
        <f t="shared" si="45"/>
        <v>7.1040000000000347</v>
      </c>
      <c r="C233" s="107" t="s">
        <v>1054</v>
      </c>
      <c r="D233" s="108" t="s">
        <v>385</v>
      </c>
      <c r="E233" s="107" t="s">
        <v>47</v>
      </c>
      <c r="F233" s="109">
        <v>3</v>
      </c>
      <c r="G233" s="105"/>
      <c r="H233" s="106">
        <f t="shared" si="46"/>
        <v>0</v>
      </c>
    </row>
    <row r="234" spans="1:8" ht="27" x14ac:dyDescent="0.25">
      <c r="A234" s="113">
        <f t="shared" si="44"/>
        <v>7.1050000000000351</v>
      </c>
      <c r="B234" s="100">
        <f t="shared" si="45"/>
        <v>7.1050000000000351</v>
      </c>
      <c r="C234" s="107" t="s">
        <v>1023</v>
      </c>
      <c r="D234" s="108" t="s">
        <v>379</v>
      </c>
      <c r="E234" s="107" t="s">
        <v>47</v>
      </c>
      <c r="F234" s="109">
        <v>7.86</v>
      </c>
      <c r="G234" s="105"/>
      <c r="H234" s="106">
        <f t="shared" si="46"/>
        <v>0</v>
      </c>
    </row>
    <row r="235" spans="1:8" ht="27" x14ac:dyDescent="0.25">
      <c r="A235" s="113">
        <f t="shared" si="44"/>
        <v>7.1060000000000354</v>
      </c>
      <c r="B235" s="100">
        <f t="shared" si="45"/>
        <v>7.1060000000000354</v>
      </c>
      <c r="C235" s="107" t="s">
        <v>1023</v>
      </c>
      <c r="D235" s="108" t="s">
        <v>380</v>
      </c>
      <c r="E235" s="107" t="s">
        <v>47</v>
      </c>
      <c r="F235" s="109">
        <v>7.26</v>
      </c>
      <c r="G235" s="105"/>
      <c r="H235" s="106">
        <f t="shared" si="46"/>
        <v>0</v>
      </c>
    </row>
    <row r="236" spans="1:8" ht="27" x14ac:dyDescent="0.25">
      <c r="A236" s="113">
        <f t="shared" si="44"/>
        <v>7.1070000000000357</v>
      </c>
      <c r="B236" s="100">
        <f t="shared" si="45"/>
        <v>7.1070000000000357</v>
      </c>
      <c r="C236" s="107" t="s">
        <v>1023</v>
      </c>
      <c r="D236" s="108" t="s">
        <v>381</v>
      </c>
      <c r="E236" s="107" t="s">
        <v>47</v>
      </c>
      <c r="F236" s="109">
        <v>7.08</v>
      </c>
      <c r="G236" s="105"/>
      <c r="H236" s="106">
        <f t="shared" si="46"/>
        <v>0</v>
      </c>
    </row>
    <row r="237" spans="1:8" ht="27" x14ac:dyDescent="0.25">
      <c r="A237" s="113">
        <f t="shared" si="44"/>
        <v>7.1080000000000361</v>
      </c>
      <c r="B237" s="100">
        <f t="shared" si="45"/>
        <v>7.1080000000000361</v>
      </c>
      <c r="C237" s="107" t="s">
        <v>1023</v>
      </c>
      <c r="D237" s="108" t="s">
        <v>382</v>
      </c>
      <c r="E237" s="107" t="s">
        <v>47</v>
      </c>
      <c r="F237" s="109">
        <v>7.35</v>
      </c>
      <c r="G237" s="105"/>
      <c r="H237" s="106">
        <f t="shared" si="46"/>
        <v>0</v>
      </c>
    </row>
    <row r="238" spans="1:8" ht="27" x14ac:dyDescent="0.25">
      <c r="A238" s="113">
        <f t="shared" si="44"/>
        <v>7.1090000000000364</v>
      </c>
      <c r="B238" s="100">
        <f t="shared" si="45"/>
        <v>7.1090000000000364</v>
      </c>
      <c r="C238" s="107" t="s">
        <v>1023</v>
      </c>
      <c r="D238" s="108" t="s">
        <v>383</v>
      </c>
      <c r="E238" s="107" t="s">
        <v>47</v>
      </c>
      <c r="F238" s="109">
        <v>6.66</v>
      </c>
      <c r="G238" s="105"/>
      <c r="H238" s="106">
        <f t="shared" si="46"/>
        <v>0</v>
      </c>
    </row>
    <row r="239" spans="1:8" ht="27" x14ac:dyDescent="0.25">
      <c r="A239" s="113">
        <f t="shared" si="44"/>
        <v>7.1100000000000367</v>
      </c>
      <c r="B239" s="100">
        <f t="shared" si="45"/>
        <v>7.1100000000000367</v>
      </c>
      <c r="C239" s="107" t="s">
        <v>1023</v>
      </c>
      <c r="D239" s="108" t="s">
        <v>384</v>
      </c>
      <c r="E239" s="107" t="s">
        <v>47</v>
      </c>
      <c r="F239" s="109">
        <v>6.36</v>
      </c>
      <c r="G239" s="105"/>
      <c r="H239" s="106">
        <f t="shared" si="46"/>
        <v>0</v>
      </c>
    </row>
    <row r="240" spans="1:8" x14ac:dyDescent="0.25">
      <c r="A240" s="113">
        <f t="shared" ref="A240:A253" si="47">+IF(F240&gt;0.01,A239+0.001,A239)</f>
        <v>7.1100000000000367</v>
      </c>
      <c r="B240" s="100" t="str">
        <f t="shared" ref="B240:B253" si="48">+IF(F240&gt;0,A240,"")</f>
        <v/>
      </c>
      <c r="C240" s="110"/>
      <c r="D240" s="108"/>
      <c r="E240" s="107"/>
      <c r="F240" s="109"/>
      <c r="G240" s="105"/>
      <c r="H240" s="106"/>
    </row>
    <row r="241" spans="1:8" x14ac:dyDescent="0.25">
      <c r="A241" s="113">
        <f t="shared" si="47"/>
        <v>7.1100000000000367</v>
      </c>
      <c r="B241" s="100" t="str">
        <f t="shared" si="48"/>
        <v/>
      </c>
      <c r="C241" s="110"/>
      <c r="D241" s="108"/>
      <c r="E241" s="107"/>
      <c r="F241" s="109"/>
      <c r="G241" s="105"/>
      <c r="H241" s="106"/>
    </row>
    <row r="242" spans="1:8" x14ac:dyDescent="0.25">
      <c r="A242" s="113">
        <f t="shared" si="47"/>
        <v>7.1100000000000367</v>
      </c>
      <c r="B242" s="100" t="str">
        <f t="shared" si="48"/>
        <v/>
      </c>
      <c r="C242" s="110"/>
      <c r="D242" s="108"/>
      <c r="E242" s="107"/>
      <c r="F242" s="109"/>
      <c r="G242" s="105"/>
      <c r="H242" s="106"/>
    </row>
    <row r="243" spans="1:8" x14ac:dyDescent="0.25">
      <c r="A243" s="113">
        <f t="shared" si="47"/>
        <v>7.1100000000000367</v>
      </c>
      <c r="B243" s="100" t="str">
        <f t="shared" si="48"/>
        <v/>
      </c>
      <c r="C243" s="110"/>
      <c r="D243" s="108"/>
      <c r="E243" s="107"/>
      <c r="F243" s="109"/>
      <c r="G243" s="105"/>
      <c r="H243" s="106"/>
    </row>
    <row r="244" spans="1:8" x14ac:dyDescent="0.25">
      <c r="A244" s="113">
        <f t="shared" si="47"/>
        <v>7.1100000000000367</v>
      </c>
      <c r="B244" s="100" t="str">
        <f t="shared" si="48"/>
        <v/>
      </c>
      <c r="C244" s="110"/>
      <c r="D244" s="108"/>
      <c r="E244" s="107"/>
      <c r="F244" s="109"/>
      <c r="G244" s="105"/>
      <c r="H244" s="106"/>
    </row>
    <row r="245" spans="1:8" x14ac:dyDescent="0.25">
      <c r="A245" s="113">
        <f t="shared" si="47"/>
        <v>7.1100000000000367</v>
      </c>
      <c r="B245" s="100" t="str">
        <f t="shared" si="48"/>
        <v/>
      </c>
      <c r="C245" s="110"/>
      <c r="D245" s="108"/>
      <c r="E245" s="107"/>
      <c r="F245" s="109"/>
      <c r="G245" s="105"/>
      <c r="H245" s="106"/>
    </row>
    <row r="246" spans="1:8" x14ac:dyDescent="0.25">
      <c r="A246" s="113">
        <f t="shared" si="47"/>
        <v>7.1100000000000367</v>
      </c>
      <c r="B246" s="100" t="str">
        <f t="shared" si="48"/>
        <v/>
      </c>
      <c r="C246" s="110"/>
      <c r="D246" s="108"/>
      <c r="E246" s="107"/>
      <c r="F246" s="109"/>
      <c r="G246" s="105"/>
      <c r="H246" s="106"/>
    </row>
    <row r="247" spans="1:8" x14ac:dyDescent="0.25">
      <c r="A247" s="113">
        <f t="shared" si="47"/>
        <v>7.1100000000000367</v>
      </c>
      <c r="B247" s="100" t="str">
        <f t="shared" si="48"/>
        <v/>
      </c>
      <c r="C247" s="110"/>
      <c r="D247" s="108"/>
      <c r="E247" s="107"/>
      <c r="F247" s="109"/>
      <c r="G247" s="105"/>
      <c r="H247" s="106"/>
    </row>
    <row r="248" spans="1:8" x14ac:dyDescent="0.25">
      <c r="A248" s="113">
        <f t="shared" si="47"/>
        <v>7.1100000000000367</v>
      </c>
      <c r="B248" s="100" t="str">
        <f t="shared" si="48"/>
        <v/>
      </c>
      <c r="C248" s="110"/>
      <c r="D248" s="108"/>
      <c r="E248" s="107"/>
      <c r="F248" s="109"/>
      <c r="G248" s="105"/>
      <c r="H248" s="106"/>
    </row>
    <row r="249" spans="1:8" x14ac:dyDescent="0.25">
      <c r="A249" s="113">
        <f t="shared" si="47"/>
        <v>7.1100000000000367</v>
      </c>
      <c r="B249" s="100" t="str">
        <f t="shared" si="48"/>
        <v/>
      </c>
      <c r="C249" s="110"/>
      <c r="D249" s="108"/>
      <c r="E249" s="107"/>
      <c r="F249" s="109"/>
      <c r="G249" s="105"/>
      <c r="H249" s="106"/>
    </row>
    <row r="250" spans="1:8" x14ac:dyDescent="0.25">
      <c r="A250" s="113">
        <f t="shared" si="47"/>
        <v>7.1100000000000367</v>
      </c>
      <c r="B250" s="100" t="str">
        <f t="shared" si="48"/>
        <v/>
      </c>
      <c r="C250" s="110"/>
      <c r="D250" s="108"/>
      <c r="E250" s="107"/>
      <c r="F250" s="109"/>
      <c r="G250" s="105"/>
      <c r="H250" s="106"/>
    </row>
    <row r="251" spans="1:8" x14ac:dyDescent="0.25">
      <c r="A251" s="113">
        <f t="shared" si="47"/>
        <v>7.1100000000000367</v>
      </c>
      <c r="B251" s="100" t="str">
        <f t="shared" si="48"/>
        <v/>
      </c>
      <c r="C251" s="110"/>
      <c r="D251" s="108"/>
      <c r="E251" s="107"/>
      <c r="F251" s="109"/>
      <c r="G251" s="105"/>
      <c r="H251" s="106"/>
    </row>
    <row r="252" spans="1:8" x14ac:dyDescent="0.25">
      <c r="A252" s="113">
        <f t="shared" si="47"/>
        <v>7.1100000000000367</v>
      </c>
      <c r="B252" s="100" t="str">
        <f t="shared" si="48"/>
        <v/>
      </c>
      <c r="C252" s="110"/>
      <c r="D252" s="108"/>
      <c r="E252" s="107"/>
      <c r="F252" s="109"/>
      <c r="G252" s="105"/>
      <c r="H252" s="106"/>
    </row>
    <row r="253" spans="1:8" ht="15.75" thickBot="1" x14ac:dyDescent="0.3">
      <c r="A253" s="113">
        <f t="shared" si="47"/>
        <v>7.1100000000000367</v>
      </c>
      <c r="B253" s="100" t="str">
        <f t="shared" si="48"/>
        <v/>
      </c>
      <c r="C253" s="110"/>
      <c r="D253" s="108"/>
      <c r="E253" s="107"/>
      <c r="F253" s="109"/>
      <c r="G253" s="105"/>
      <c r="H253" s="106"/>
    </row>
    <row r="254" spans="1:8" ht="15.75" thickBot="1" x14ac:dyDescent="0.3">
      <c r="A254" s="113"/>
      <c r="B254" s="173" t="s">
        <v>408</v>
      </c>
      <c r="C254" s="174"/>
      <c r="D254" s="174"/>
      <c r="E254" s="174"/>
      <c r="F254" s="174"/>
      <c r="G254" s="175"/>
      <c r="H254" s="117">
        <f>SUM(H220:H253)</f>
        <v>0</v>
      </c>
    </row>
    <row r="255" spans="1:8" ht="24.75" thickBot="1" x14ac:dyDescent="0.3">
      <c r="A255" s="113"/>
      <c r="B255" s="114" t="s">
        <v>36</v>
      </c>
      <c r="C255" s="97" t="s">
        <v>94</v>
      </c>
      <c r="D255" s="115" t="s">
        <v>38</v>
      </c>
      <c r="E255" s="115" t="s">
        <v>37</v>
      </c>
      <c r="F255" s="115" t="s">
        <v>81</v>
      </c>
      <c r="G255" s="116" t="s">
        <v>86</v>
      </c>
      <c r="H255" s="99" t="s">
        <v>95</v>
      </c>
    </row>
    <row r="256" spans="1:8" ht="15.75" thickBot="1" x14ac:dyDescent="0.3">
      <c r="A256" s="113"/>
      <c r="B256" s="171" t="s">
        <v>409</v>
      </c>
      <c r="C256" s="172"/>
      <c r="D256" s="172"/>
      <c r="E256" s="172"/>
      <c r="F256" s="172"/>
      <c r="G256" s="172"/>
      <c r="H256" s="117">
        <f>H254</f>
        <v>0</v>
      </c>
    </row>
    <row r="257" spans="1:8" x14ac:dyDescent="0.25">
      <c r="A257" s="113"/>
      <c r="B257" s="100"/>
      <c r="C257" s="110"/>
      <c r="D257" s="108"/>
      <c r="E257" s="107"/>
      <c r="F257" s="109"/>
      <c r="G257" s="105"/>
      <c r="H257" s="106"/>
    </row>
    <row r="258" spans="1:8" ht="25.5" x14ac:dyDescent="0.25">
      <c r="A258" s="113">
        <f>+IF(F258&gt;0.01,A253+0.001,A253)</f>
        <v>7.1100000000000367</v>
      </c>
      <c r="B258" s="100" t="str">
        <f t="shared" si="45"/>
        <v/>
      </c>
      <c r="C258" s="110" t="s">
        <v>124</v>
      </c>
      <c r="D258" s="111" t="s">
        <v>388</v>
      </c>
      <c r="E258" s="107"/>
      <c r="F258" s="109"/>
      <c r="G258" s="105"/>
      <c r="H258" s="106" t="str">
        <f>IF(F258="","",G258*F258)</f>
        <v/>
      </c>
    </row>
    <row r="259" spans="1:8" x14ac:dyDescent="0.25">
      <c r="A259" s="113">
        <f t="shared" si="44"/>
        <v>7.1100000000000367</v>
      </c>
      <c r="B259" s="100" t="str">
        <f t="shared" si="45"/>
        <v/>
      </c>
      <c r="C259" s="107">
        <v>8.1999999999999993</v>
      </c>
      <c r="D259" s="112" t="s">
        <v>56</v>
      </c>
      <c r="E259" s="107"/>
      <c r="F259" s="109"/>
      <c r="G259" s="105"/>
      <c r="H259" s="106" t="str">
        <f>IF(F259="","",G259*F259)</f>
        <v/>
      </c>
    </row>
    <row r="260" spans="1:8" ht="67.5" x14ac:dyDescent="0.25">
      <c r="A260" s="113">
        <f t="shared" ref="A260:A265" si="49">+IF(F260&gt;0.01,A259+0.001,A259)</f>
        <v>7.1100000000000367</v>
      </c>
      <c r="B260" s="100" t="str">
        <f t="shared" ref="B260:B265" si="50">+IF(F260&gt;0,A260,"")</f>
        <v/>
      </c>
      <c r="C260" s="107" t="s">
        <v>77</v>
      </c>
      <c r="D260" s="108" t="s">
        <v>125</v>
      </c>
      <c r="E260" s="107"/>
      <c r="F260" s="109"/>
      <c r="G260" s="105"/>
      <c r="H260" s="106" t="str">
        <f>IF(F260="","",G260*F260)</f>
        <v/>
      </c>
    </row>
    <row r="261" spans="1:8" ht="27" x14ac:dyDescent="0.25">
      <c r="A261" s="113">
        <f t="shared" si="49"/>
        <v>7.1110000000000371</v>
      </c>
      <c r="B261" s="100">
        <f t="shared" si="50"/>
        <v>7.1110000000000371</v>
      </c>
      <c r="C261" s="107" t="s">
        <v>1054</v>
      </c>
      <c r="D261" s="108" t="s">
        <v>387</v>
      </c>
      <c r="E261" s="107" t="s">
        <v>4</v>
      </c>
      <c r="F261" s="109">
        <v>15</v>
      </c>
      <c r="G261" s="105"/>
      <c r="H261" s="106">
        <f>IF(F261="","",G261*F261)</f>
        <v>0</v>
      </c>
    </row>
    <row r="262" spans="1:8" x14ac:dyDescent="0.25">
      <c r="A262" s="113">
        <f t="shared" si="49"/>
        <v>7.1110000000000371</v>
      </c>
      <c r="B262" s="100" t="str">
        <f t="shared" si="50"/>
        <v/>
      </c>
      <c r="C262" s="110"/>
      <c r="D262" s="108"/>
      <c r="E262" s="107"/>
      <c r="F262" s="109"/>
      <c r="G262" s="105"/>
      <c r="H262" s="106"/>
    </row>
    <row r="263" spans="1:8" ht="54" x14ac:dyDescent="0.25">
      <c r="A263" s="113">
        <f t="shared" si="49"/>
        <v>7.1110000000000371</v>
      </c>
      <c r="B263" s="100" t="str">
        <f t="shared" si="50"/>
        <v/>
      </c>
      <c r="C263" s="107" t="s">
        <v>389</v>
      </c>
      <c r="D263" s="108" t="s">
        <v>390</v>
      </c>
      <c r="E263" s="107"/>
      <c r="F263" s="109"/>
      <c r="G263" s="105"/>
      <c r="H263" s="106" t="str">
        <f>IF(F263="","",G263*F263)</f>
        <v/>
      </c>
    </row>
    <row r="264" spans="1:8" ht="27" x14ac:dyDescent="0.25">
      <c r="A264" s="113">
        <f t="shared" si="49"/>
        <v>7.1120000000000374</v>
      </c>
      <c r="B264" s="100">
        <f t="shared" si="50"/>
        <v>7.1120000000000374</v>
      </c>
      <c r="C264" s="107" t="s">
        <v>1054</v>
      </c>
      <c r="D264" s="108" t="s">
        <v>385</v>
      </c>
      <c r="E264" s="107" t="s">
        <v>47</v>
      </c>
      <c r="F264" s="109">
        <v>6</v>
      </c>
      <c r="G264" s="105"/>
      <c r="H264" s="106">
        <f>IF(F264="","",G264*F264)</f>
        <v>0</v>
      </c>
    </row>
    <row r="265" spans="1:8" x14ac:dyDescent="0.25">
      <c r="A265" s="113">
        <f t="shared" si="49"/>
        <v>7.1120000000000374</v>
      </c>
      <c r="B265" s="100" t="str">
        <f t="shared" si="50"/>
        <v/>
      </c>
      <c r="C265" s="110"/>
      <c r="D265" s="108"/>
      <c r="E265" s="107"/>
      <c r="F265" s="109"/>
      <c r="G265" s="105"/>
      <c r="H265" s="106"/>
    </row>
    <row r="266" spans="1:8" x14ac:dyDescent="0.25">
      <c r="A266" s="113">
        <f t="shared" ref="A266:A293" si="51">+IF(F266&gt;0.01,A265+0.001,A265)</f>
        <v>7.1120000000000374</v>
      </c>
      <c r="B266" s="100" t="str">
        <f t="shared" ref="B266:B293" si="52">+IF(F266&gt;0,A266,"")</f>
        <v/>
      </c>
      <c r="C266" s="110"/>
      <c r="D266" s="108"/>
      <c r="E266" s="107"/>
      <c r="F266" s="109"/>
      <c r="G266" s="105"/>
      <c r="H266" s="106"/>
    </row>
    <row r="267" spans="1:8" x14ac:dyDescent="0.25">
      <c r="A267" s="113">
        <f t="shared" si="51"/>
        <v>7.1120000000000374</v>
      </c>
      <c r="B267" s="100" t="str">
        <f t="shared" si="52"/>
        <v/>
      </c>
      <c r="C267" s="110"/>
      <c r="D267" s="108"/>
      <c r="E267" s="107"/>
      <c r="F267" s="109"/>
      <c r="G267" s="105"/>
      <c r="H267" s="106"/>
    </row>
    <row r="268" spans="1:8" x14ac:dyDescent="0.25">
      <c r="A268" s="113">
        <f t="shared" si="51"/>
        <v>7.1120000000000374</v>
      </c>
      <c r="B268" s="100" t="str">
        <f t="shared" si="52"/>
        <v/>
      </c>
      <c r="C268" s="110"/>
      <c r="D268" s="108"/>
      <c r="E268" s="107"/>
      <c r="F268" s="109"/>
      <c r="G268" s="105"/>
      <c r="H268" s="106"/>
    </row>
    <row r="269" spans="1:8" x14ac:dyDescent="0.25">
      <c r="A269" s="113">
        <f t="shared" si="51"/>
        <v>7.1120000000000374</v>
      </c>
      <c r="B269" s="100" t="str">
        <f t="shared" si="52"/>
        <v/>
      </c>
      <c r="C269" s="110"/>
      <c r="D269" s="108"/>
      <c r="E269" s="107"/>
      <c r="F269" s="109"/>
      <c r="G269" s="105"/>
      <c r="H269" s="106"/>
    </row>
    <row r="270" spans="1:8" x14ac:dyDescent="0.25">
      <c r="A270" s="113">
        <f t="shared" si="51"/>
        <v>7.1120000000000374</v>
      </c>
      <c r="B270" s="100" t="str">
        <f t="shared" si="52"/>
        <v/>
      </c>
      <c r="C270" s="110"/>
      <c r="D270" s="108"/>
      <c r="E270" s="107"/>
      <c r="F270" s="109"/>
      <c r="G270" s="105"/>
      <c r="H270" s="106"/>
    </row>
    <row r="271" spans="1:8" x14ac:dyDescent="0.25">
      <c r="A271" s="113">
        <f t="shared" si="51"/>
        <v>7.1120000000000374</v>
      </c>
      <c r="B271" s="100" t="str">
        <f t="shared" si="52"/>
        <v/>
      </c>
      <c r="C271" s="110"/>
      <c r="D271" s="108"/>
      <c r="E271" s="107"/>
      <c r="F271" s="109"/>
      <c r="G271" s="105"/>
      <c r="H271" s="106"/>
    </row>
    <row r="272" spans="1:8" x14ac:dyDescent="0.25">
      <c r="A272" s="113">
        <f t="shared" si="51"/>
        <v>7.1120000000000374</v>
      </c>
      <c r="B272" s="100" t="str">
        <f t="shared" si="52"/>
        <v/>
      </c>
      <c r="C272" s="110"/>
      <c r="D272" s="108"/>
      <c r="E272" s="107"/>
      <c r="F272" s="109"/>
      <c r="G272" s="105"/>
      <c r="H272" s="106"/>
    </row>
    <row r="273" spans="1:8" x14ac:dyDescent="0.25">
      <c r="A273" s="113">
        <f t="shared" si="51"/>
        <v>7.1120000000000374</v>
      </c>
      <c r="B273" s="100" t="str">
        <f t="shared" si="52"/>
        <v/>
      </c>
      <c r="C273" s="110"/>
      <c r="D273" s="108"/>
      <c r="E273" s="107"/>
      <c r="F273" s="109"/>
      <c r="G273" s="105"/>
      <c r="H273" s="106"/>
    </row>
    <row r="274" spans="1:8" x14ac:dyDescent="0.25">
      <c r="A274" s="113">
        <f t="shared" si="51"/>
        <v>7.1120000000000374</v>
      </c>
      <c r="B274" s="100" t="str">
        <f t="shared" si="52"/>
        <v/>
      </c>
      <c r="C274" s="110"/>
      <c r="D274" s="108"/>
      <c r="E274" s="107"/>
      <c r="F274" s="109"/>
      <c r="G274" s="105"/>
      <c r="H274" s="106"/>
    </row>
    <row r="275" spans="1:8" x14ac:dyDescent="0.25">
      <c r="A275" s="113">
        <f t="shared" si="51"/>
        <v>7.1120000000000374</v>
      </c>
      <c r="B275" s="100" t="str">
        <f t="shared" si="52"/>
        <v/>
      </c>
      <c r="C275" s="110"/>
      <c r="D275" s="108"/>
      <c r="E275" s="107"/>
      <c r="F275" s="109"/>
      <c r="G275" s="105"/>
      <c r="H275" s="106"/>
    </row>
    <row r="276" spans="1:8" x14ac:dyDescent="0.25">
      <c r="A276" s="113">
        <f t="shared" si="51"/>
        <v>7.1120000000000374</v>
      </c>
      <c r="B276" s="100" t="str">
        <f t="shared" si="52"/>
        <v/>
      </c>
      <c r="C276" s="110"/>
      <c r="D276" s="108"/>
      <c r="E276" s="107"/>
      <c r="F276" s="109"/>
      <c r="G276" s="105"/>
      <c r="H276" s="106"/>
    </row>
    <row r="277" spans="1:8" x14ac:dyDescent="0.25">
      <c r="A277" s="113">
        <f t="shared" si="51"/>
        <v>7.1120000000000374</v>
      </c>
      <c r="B277" s="100" t="str">
        <f t="shared" si="52"/>
        <v/>
      </c>
      <c r="C277" s="110"/>
      <c r="D277" s="108"/>
      <c r="E277" s="107"/>
      <c r="F277" s="109"/>
      <c r="G277" s="105"/>
      <c r="H277" s="106"/>
    </row>
    <row r="278" spans="1:8" x14ac:dyDescent="0.25">
      <c r="A278" s="113">
        <f t="shared" si="51"/>
        <v>7.1120000000000374</v>
      </c>
      <c r="B278" s="100" t="str">
        <f t="shared" si="52"/>
        <v/>
      </c>
      <c r="C278" s="110"/>
      <c r="D278" s="108"/>
      <c r="E278" s="107"/>
      <c r="F278" s="109"/>
      <c r="G278" s="105"/>
      <c r="H278" s="106"/>
    </row>
    <row r="279" spans="1:8" x14ac:dyDescent="0.25">
      <c r="A279" s="113">
        <f t="shared" si="51"/>
        <v>7.1120000000000374</v>
      </c>
      <c r="B279" s="100" t="str">
        <f t="shared" si="52"/>
        <v/>
      </c>
      <c r="C279" s="110"/>
      <c r="D279" s="108"/>
      <c r="E279" s="107"/>
      <c r="F279" s="109"/>
      <c r="G279" s="105"/>
      <c r="H279" s="106"/>
    </row>
    <row r="280" spans="1:8" x14ac:dyDescent="0.25">
      <c r="A280" s="113">
        <f t="shared" si="51"/>
        <v>7.1120000000000374</v>
      </c>
      <c r="B280" s="100" t="str">
        <f t="shared" si="52"/>
        <v/>
      </c>
      <c r="C280" s="110"/>
      <c r="D280" s="108"/>
      <c r="E280" s="107"/>
      <c r="F280" s="109"/>
      <c r="G280" s="105"/>
      <c r="H280" s="106"/>
    </row>
    <row r="281" spans="1:8" x14ac:dyDescent="0.25">
      <c r="A281" s="113">
        <f t="shared" si="51"/>
        <v>7.1120000000000374</v>
      </c>
      <c r="B281" s="100" t="str">
        <f t="shared" si="52"/>
        <v/>
      </c>
      <c r="C281" s="110"/>
      <c r="D281" s="108"/>
      <c r="E281" s="107"/>
      <c r="F281" s="109"/>
      <c r="G281" s="105"/>
      <c r="H281" s="106"/>
    </row>
    <row r="282" spans="1:8" x14ac:dyDescent="0.25">
      <c r="A282" s="113">
        <f t="shared" si="51"/>
        <v>7.1120000000000374</v>
      </c>
      <c r="B282" s="100" t="str">
        <f t="shared" si="52"/>
        <v/>
      </c>
      <c r="C282" s="110"/>
      <c r="D282" s="108"/>
      <c r="E282" s="107"/>
      <c r="F282" s="109"/>
      <c r="G282" s="105"/>
      <c r="H282" s="106"/>
    </row>
    <row r="283" spans="1:8" x14ac:dyDescent="0.25">
      <c r="A283" s="113">
        <f t="shared" si="51"/>
        <v>7.1120000000000374</v>
      </c>
      <c r="B283" s="100" t="str">
        <f t="shared" si="52"/>
        <v/>
      </c>
      <c r="C283" s="110"/>
      <c r="D283" s="108"/>
      <c r="E283" s="107"/>
      <c r="F283" s="109"/>
      <c r="G283" s="105"/>
      <c r="H283" s="106"/>
    </row>
    <row r="284" spans="1:8" x14ac:dyDescent="0.25">
      <c r="A284" s="113">
        <f t="shared" si="51"/>
        <v>7.1120000000000374</v>
      </c>
      <c r="B284" s="100" t="str">
        <f t="shared" si="52"/>
        <v/>
      </c>
      <c r="C284" s="110"/>
      <c r="D284" s="108"/>
      <c r="E284" s="107"/>
      <c r="F284" s="109"/>
      <c r="G284" s="105"/>
      <c r="H284" s="106"/>
    </row>
    <row r="285" spans="1:8" x14ac:dyDescent="0.25">
      <c r="A285" s="113">
        <f t="shared" si="51"/>
        <v>7.1120000000000374</v>
      </c>
      <c r="B285" s="100" t="str">
        <f t="shared" si="52"/>
        <v/>
      </c>
      <c r="C285" s="110"/>
      <c r="D285" s="108"/>
      <c r="E285" s="107"/>
      <c r="F285" s="109"/>
      <c r="G285" s="105"/>
      <c r="H285" s="106"/>
    </row>
    <row r="286" spans="1:8" x14ac:dyDescent="0.25">
      <c r="A286" s="113">
        <f t="shared" si="51"/>
        <v>7.1120000000000374</v>
      </c>
      <c r="B286" s="100" t="str">
        <f t="shared" si="52"/>
        <v/>
      </c>
      <c r="C286" s="110"/>
      <c r="D286" s="108"/>
      <c r="E286" s="107"/>
      <c r="F286" s="109"/>
      <c r="G286" s="105"/>
      <c r="H286" s="106"/>
    </row>
    <row r="287" spans="1:8" x14ac:dyDescent="0.25">
      <c r="A287" s="113">
        <f t="shared" si="51"/>
        <v>7.1120000000000374</v>
      </c>
      <c r="B287" s="100" t="str">
        <f t="shared" si="52"/>
        <v/>
      </c>
      <c r="C287" s="110"/>
      <c r="D287" s="108"/>
      <c r="E287" s="107"/>
      <c r="F287" s="109"/>
      <c r="G287" s="105"/>
      <c r="H287" s="106"/>
    </row>
    <row r="288" spans="1:8" x14ac:dyDescent="0.25">
      <c r="A288" s="113">
        <f t="shared" si="51"/>
        <v>7.1120000000000374</v>
      </c>
      <c r="B288" s="100" t="str">
        <f t="shared" si="52"/>
        <v/>
      </c>
      <c r="C288" s="110"/>
      <c r="D288" s="108"/>
      <c r="E288" s="107"/>
      <c r="F288" s="109"/>
      <c r="G288" s="105"/>
      <c r="H288" s="106"/>
    </row>
    <row r="289" spans="1:8" x14ac:dyDescent="0.25">
      <c r="A289" s="113">
        <f t="shared" si="51"/>
        <v>7.1120000000000374</v>
      </c>
      <c r="B289" s="100" t="str">
        <f t="shared" si="52"/>
        <v/>
      </c>
      <c r="C289" s="110"/>
      <c r="D289" s="108"/>
      <c r="E289" s="107"/>
      <c r="F289" s="109"/>
      <c r="G289" s="105"/>
      <c r="H289" s="106"/>
    </row>
    <row r="290" spans="1:8" x14ac:dyDescent="0.25">
      <c r="A290" s="113">
        <f t="shared" si="51"/>
        <v>7.1120000000000374</v>
      </c>
      <c r="B290" s="100" t="str">
        <f t="shared" si="52"/>
        <v/>
      </c>
      <c r="C290" s="110"/>
      <c r="D290" s="108"/>
      <c r="E290" s="107"/>
      <c r="F290" s="109"/>
      <c r="G290" s="105"/>
      <c r="H290" s="106"/>
    </row>
    <row r="291" spans="1:8" x14ac:dyDescent="0.25">
      <c r="A291" s="113">
        <f t="shared" si="51"/>
        <v>7.1120000000000374</v>
      </c>
      <c r="B291" s="100" t="str">
        <f t="shared" si="52"/>
        <v/>
      </c>
      <c r="C291" s="110"/>
      <c r="D291" s="108"/>
      <c r="E291" s="107"/>
      <c r="F291" s="109"/>
      <c r="G291" s="105"/>
      <c r="H291" s="106"/>
    </row>
    <row r="292" spans="1:8" x14ac:dyDescent="0.25">
      <c r="A292" s="113">
        <f t="shared" si="51"/>
        <v>7.1120000000000374</v>
      </c>
      <c r="B292" s="100" t="str">
        <f t="shared" si="52"/>
        <v/>
      </c>
      <c r="C292" s="110"/>
      <c r="D292" s="108"/>
      <c r="E292" s="107"/>
      <c r="F292" s="109"/>
      <c r="G292" s="105"/>
      <c r="H292" s="106"/>
    </row>
    <row r="293" spans="1:8" ht="15.75" thickBot="1" x14ac:dyDescent="0.3">
      <c r="A293" s="113">
        <f t="shared" si="51"/>
        <v>7.1120000000000374</v>
      </c>
      <c r="B293" s="100" t="str">
        <f t="shared" si="52"/>
        <v/>
      </c>
      <c r="C293" s="110"/>
      <c r="D293" s="108"/>
      <c r="E293" s="107"/>
      <c r="F293" s="109"/>
      <c r="G293" s="105"/>
      <c r="H293" s="106"/>
    </row>
    <row r="294" spans="1:8" ht="15.75" thickBot="1" x14ac:dyDescent="0.3">
      <c r="A294" s="113"/>
      <c r="B294" s="173" t="s">
        <v>410</v>
      </c>
      <c r="C294" s="174"/>
      <c r="D294" s="174"/>
      <c r="E294" s="174"/>
      <c r="F294" s="174"/>
      <c r="G294" s="175"/>
      <c r="H294" s="117">
        <f>SUM(H256:H293)</f>
        <v>0</v>
      </c>
    </row>
  </sheetData>
  <mergeCells count="17">
    <mergeCell ref="B220:G220"/>
    <mergeCell ref="B254:G254"/>
    <mergeCell ref="B256:G256"/>
    <mergeCell ref="B125:G125"/>
    <mergeCell ref="B294:G294"/>
    <mergeCell ref="B190:G190"/>
    <mergeCell ref="B218:G218"/>
    <mergeCell ref="B28:G28"/>
    <mergeCell ref="B30:G30"/>
    <mergeCell ref="B57:G57"/>
    <mergeCell ref="B59:G59"/>
    <mergeCell ref="B84:G84"/>
    <mergeCell ref="B86:G86"/>
    <mergeCell ref="B123:G123"/>
    <mergeCell ref="B155:G155"/>
    <mergeCell ref="B157:G157"/>
    <mergeCell ref="B188:G188"/>
  </mergeCells>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1107"/>
  <sheetViews>
    <sheetView workbookViewId="0">
      <selection activeCell="A2" sqref="A2:A1199"/>
    </sheetView>
  </sheetViews>
  <sheetFormatPr defaultRowHeight="15" x14ac:dyDescent="0.25"/>
  <cols>
    <col min="1" max="1" width="255.7109375" bestFit="1" customWidth="1"/>
  </cols>
  <sheetData>
    <row r="1" spans="1:1" x14ac:dyDescent="0.25">
      <c r="A1" s="11" t="s">
        <v>5</v>
      </c>
    </row>
    <row r="2" spans="1:1" x14ac:dyDescent="0.25">
      <c r="A2" s="10">
        <v>6</v>
      </c>
    </row>
    <row r="3" spans="1:1" x14ac:dyDescent="0.25">
      <c r="A3" s="18" t="s">
        <v>52</v>
      </c>
    </row>
    <row r="4" spans="1:1" x14ac:dyDescent="0.25">
      <c r="A4" s="19" t="s">
        <v>52</v>
      </c>
    </row>
    <row r="5" spans="1:1" x14ac:dyDescent="0.25">
      <c r="A5" s="20" t="s">
        <v>52</v>
      </c>
    </row>
    <row r="6" spans="1:1" x14ac:dyDescent="0.25">
      <c r="A6" s="21" t="s">
        <v>52</v>
      </c>
    </row>
    <row r="7" spans="1:1" x14ac:dyDescent="0.25">
      <c r="A7" s="22" t="s">
        <v>52</v>
      </c>
    </row>
    <row r="8" spans="1:1" x14ac:dyDescent="0.25">
      <c r="A8" s="23" t="s">
        <v>52</v>
      </c>
    </row>
    <row r="9" spans="1:1" x14ac:dyDescent="0.25">
      <c r="A9" s="24" t="s">
        <v>52</v>
      </c>
    </row>
    <row r="10" spans="1:1" x14ac:dyDescent="0.25">
      <c r="A10" s="25" t="s">
        <v>52</v>
      </c>
    </row>
    <row r="11" spans="1:1" x14ac:dyDescent="0.25">
      <c r="A11" s="26" t="s">
        <v>52</v>
      </c>
    </row>
    <row r="12" spans="1:1" x14ac:dyDescent="0.25">
      <c r="A12" s="27" t="s">
        <v>509</v>
      </c>
    </row>
    <row r="13" spans="1:1" x14ac:dyDescent="0.25">
      <c r="A13" s="28" t="s">
        <v>52</v>
      </c>
    </row>
    <row r="14" spans="1:1" x14ac:dyDescent="0.25">
      <c r="A14" s="29" t="s">
        <v>52</v>
      </c>
    </row>
    <row r="15" spans="1:1" x14ac:dyDescent="0.25">
      <c r="A15" s="30" t="s">
        <v>52</v>
      </c>
    </row>
    <row r="16" spans="1:1" x14ac:dyDescent="0.25">
      <c r="A16" s="31" t="s">
        <v>52</v>
      </c>
    </row>
    <row r="17" spans="1:1" x14ac:dyDescent="0.25">
      <c r="A17" s="32" t="s">
        <v>52</v>
      </c>
    </row>
    <row r="18" spans="1:1" x14ac:dyDescent="0.25">
      <c r="A18" s="33" t="s">
        <v>52</v>
      </c>
    </row>
    <row r="19" spans="1:1" x14ac:dyDescent="0.25">
      <c r="A19" s="34" t="s">
        <v>52</v>
      </c>
    </row>
    <row r="20" spans="1:1" x14ac:dyDescent="0.25">
      <c r="A20" s="35" t="s">
        <v>52</v>
      </c>
    </row>
    <row r="21" spans="1:1" x14ac:dyDescent="0.25">
      <c r="A21" s="36" t="s">
        <v>52</v>
      </c>
    </row>
    <row r="22" spans="1:1" x14ac:dyDescent="0.25">
      <c r="A22" s="37" t="s">
        <v>52</v>
      </c>
    </row>
    <row r="23" spans="1:1" x14ac:dyDescent="0.25">
      <c r="A23" s="38" t="s">
        <v>52</v>
      </c>
    </row>
    <row r="24" spans="1:1" x14ac:dyDescent="0.25">
      <c r="A24" s="39" t="s">
        <v>52</v>
      </c>
    </row>
    <row r="25" spans="1:1" x14ac:dyDescent="0.25">
      <c r="A25" s="40" t="s">
        <v>52</v>
      </c>
    </row>
    <row r="26" spans="1:1" x14ac:dyDescent="0.25">
      <c r="A26" s="41" t="s">
        <v>52</v>
      </c>
    </row>
    <row r="27" spans="1:1" x14ac:dyDescent="0.25">
      <c r="A27" s="42" t="s">
        <v>52</v>
      </c>
    </row>
    <row r="28" spans="1:1" x14ac:dyDescent="0.25">
      <c r="A28" s="43" t="s">
        <v>52</v>
      </c>
    </row>
    <row r="29" spans="1:1" x14ac:dyDescent="0.25">
      <c r="A29" s="44" t="s">
        <v>52</v>
      </c>
    </row>
    <row r="30" spans="1:1" x14ac:dyDescent="0.25">
      <c r="A30" s="45" t="s">
        <v>52</v>
      </c>
    </row>
    <row r="31" spans="1:1" x14ac:dyDescent="0.25">
      <c r="A31" s="46" t="s">
        <v>52</v>
      </c>
    </row>
    <row r="32" spans="1:1" x14ac:dyDescent="0.25">
      <c r="A32" s="47" t="s">
        <v>52</v>
      </c>
    </row>
    <row r="33" spans="1:1" x14ac:dyDescent="0.25">
      <c r="A33" s="48" t="s">
        <v>518</v>
      </c>
    </row>
    <row r="34" spans="1:1" x14ac:dyDescent="0.25">
      <c r="A34" s="49" t="s">
        <v>52</v>
      </c>
    </row>
    <row r="35" spans="1:1" x14ac:dyDescent="0.25">
      <c r="A35" s="50" t="s">
        <v>52</v>
      </c>
    </row>
    <row r="36" spans="1:1" x14ac:dyDescent="0.25">
      <c r="A36" s="51" t="s">
        <v>52</v>
      </c>
    </row>
    <row r="37" spans="1:1" x14ac:dyDescent="0.25">
      <c r="A37" s="52" t="s">
        <v>52</v>
      </c>
    </row>
    <row r="38" spans="1:1" x14ac:dyDescent="0.25">
      <c r="A38" s="53" t="s">
        <v>52</v>
      </c>
    </row>
    <row r="39" spans="1:1" x14ac:dyDescent="0.25">
      <c r="A39" s="54" t="s">
        <v>52</v>
      </c>
    </row>
    <row r="40" spans="1:1" x14ac:dyDescent="0.25">
      <c r="A40" s="55" t="s">
        <v>52</v>
      </c>
    </row>
    <row r="41" spans="1:1" x14ac:dyDescent="0.25">
      <c r="A41" s="56" t="s">
        <v>52</v>
      </c>
    </row>
    <row r="42" spans="1:1" x14ac:dyDescent="0.25">
      <c r="A42" s="57" t="s">
        <v>52</v>
      </c>
    </row>
    <row r="43" spans="1:1" x14ac:dyDescent="0.25">
      <c r="A43" s="58" t="s">
        <v>52</v>
      </c>
    </row>
    <row r="44" spans="1:1" x14ac:dyDescent="0.25">
      <c r="A44" s="59" t="s">
        <v>52</v>
      </c>
    </row>
    <row r="45" spans="1:1" x14ac:dyDescent="0.25">
      <c r="A45" s="60" t="s">
        <v>52</v>
      </c>
    </row>
    <row r="46" spans="1:1" x14ac:dyDescent="0.25">
      <c r="A46" s="61" t="s">
        <v>52</v>
      </c>
    </row>
    <row r="47" spans="1:1" x14ac:dyDescent="0.25">
      <c r="A47" s="62" t="s">
        <v>52</v>
      </c>
    </row>
    <row r="48" spans="1:1" x14ac:dyDescent="0.25">
      <c r="A48" s="63" t="s">
        <v>52</v>
      </c>
    </row>
    <row r="49" spans="1:1" x14ac:dyDescent="0.25">
      <c r="A49" s="64" t="s">
        <v>52</v>
      </c>
    </row>
    <row r="50" spans="1:1" x14ac:dyDescent="0.25">
      <c r="A50" s="65" t="s">
        <v>52</v>
      </c>
    </row>
    <row r="51" spans="1:1" x14ac:dyDescent="0.25">
      <c r="A51" s="66" t="s">
        <v>52</v>
      </c>
    </row>
    <row r="52" spans="1:1" x14ac:dyDescent="0.25">
      <c r="A52" s="67" t="s">
        <v>52</v>
      </c>
    </row>
    <row r="53" spans="1:1" x14ac:dyDescent="0.25">
      <c r="A53" s="68" t="s">
        <v>52</v>
      </c>
    </row>
    <row r="54" spans="1:1" x14ac:dyDescent="0.25">
      <c r="A54" s="69" t="s">
        <v>52</v>
      </c>
    </row>
    <row r="55" spans="1:1" x14ac:dyDescent="0.25">
      <c r="A55" s="70" t="s">
        <v>52</v>
      </c>
    </row>
    <row r="56" spans="1:1" x14ac:dyDescent="0.25">
      <c r="A56" s="71" t="s">
        <v>52</v>
      </c>
    </row>
    <row r="57" spans="1:1" x14ac:dyDescent="0.25">
      <c r="A57" s="72" t="s">
        <v>52</v>
      </c>
    </row>
    <row r="58" spans="1:1" x14ac:dyDescent="0.25">
      <c r="A58" s="73" t="s">
        <v>52</v>
      </c>
    </row>
    <row r="59" spans="1:1" x14ac:dyDescent="0.25">
      <c r="A59" s="74" t="s">
        <v>52</v>
      </c>
    </row>
    <row r="60" spans="1:1" x14ac:dyDescent="0.25">
      <c r="A60" s="75" t="s">
        <v>52</v>
      </c>
    </row>
    <row r="61" spans="1:1" x14ac:dyDescent="0.25">
      <c r="A61" s="76" t="s">
        <v>52</v>
      </c>
    </row>
    <row r="62" spans="1:1" x14ac:dyDescent="0.25">
      <c r="A62" s="77" t="s">
        <v>52</v>
      </c>
    </row>
    <row r="63" spans="1:1" x14ac:dyDescent="0.25">
      <c r="A63" s="78" t="s">
        <v>52</v>
      </c>
    </row>
    <row r="64" spans="1:1" x14ac:dyDescent="0.25">
      <c r="A64" s="79" t="s">
        <v>52</v>
      </c>
    </row>
    <row r="65" spans="1:1" x14ac:dyDescent="0.25">
      <c r="A65" s="80" t="s">
        <v>52</v>
      </c>
    </row>
    <row r="66" spans="1:1" x14ac:dyDescent="0.25">
      <c r="A66" s="81" t="s">
        <v>52</v>
      </c>
    </row>
    <row r="67" spans="1:1" x14ac:dyDescent="0.25">
      <c r="A67" s="82" t="s">
        <v>52</v>
      </c>
    </row>
    <row r="68" spans="1:1" x14ac:dyDescent="0.25">
      <c r="A68" s="83" t="s">
        <v>52</v>
      </c>
    </row>
    <row r="69" spans="1:1" x14ac:dyDescent="0.25">
      <c r="A69" s="84" t="s">
        <v>52</v>
      </c>
    </row>
    <row r="70" spans="1:1" x14ac:dyDescent="0.25">
      <c r="A70" s="85" t="s">
        <v>52</v>
      </c>
    </row>
    <row r="71" spans="1:1" x14ac:dyDescent="0.25">
      <c r="A71" s="86" t="s">
        <v>52</v>
      </c>
    </row>
    <row r="72" spans="1:1" x14ac:dyDescent="0.25">
      <c r="A72" s="87" t="s">
        <v>432</v>
      </c>
    </row>
    <row r="73" spans="1:1" x14ac:dyDescent="0.25">
      <c r="A73" s="88" t="s">
        <v>52</v>
      </c>
    </row>
    <row r="74" spans="1:1" x14ac:dyDescent="0.25">
      <c r="A74" s="89" t="s">
        <v>52</v>
      </c>
    </row>
    <row r="75" spans="1:1" x14ac:dyDescent="0.25">
      <c r="A75" s="90" t="s">
        <v>52</v>
      </c>
    </row>
    <row r="76" spans="1:1" x14ac:dyDescent="0.25">
      <c r="A76" s="120" t="s">
        <v>52</v>
      </c>
    </row>
    <row r="77" spans="1:1" x14ac:dyDescent="0.25">
      <c r="A77" s="121" t="s">
        <v>52</v>
      </c>
    </row>
    <row r="78" spans="1:1" x14ac:dyDescent="0.25">
      <c r="A78" s="122" t="s">
        <v>52</v>
      </c>
    </row>
    <row r="79" spans="1:1" x14ac:dyDescent="0.25">
      <c r="A79" s="123" t="s">
        <v>52</v>
      </c>
    </row>
    <row r="80" spans="1:1" x14ac:dyDescent="0.25">
      <c r="A80" s="124" t="s">
        <v>52</v>
      </c>
    </row>
    <row r="81" spans="1:1" x14ac:dyDescent="0.25">
      <c r="A81" s="125" t="s">
        <v>52</v>
      </c>
    </row>
    <row r="82" spans="1:1" x14ac:dyDescent="0.25">
      <c r="A82" s="126" t="s">
        <v>52</v>
      </c>
    </row>
    <row r="83" spans="1:1" x14ac:dyDescent="0.25">
      <c r="A83" s="127" t="s">
        <v>52</v>
      </c>
    </row>
    <row r="84" spans="1:1" x14ac:dyDescent="0.25">
      <c r="A84" s="128" t="s">
        <v>52</v>
      </c>
    </row>
    <row r="85" spans="1:1" x14ac:dyDescent="0.25">
      <c r="A85" s="129" t="s">
        <v>52</v>
      </c>
    </row>
    <row r="86" spans="1:1" x14ac:dyDescent="0.25">
      <c r="A86" s="130" t="s">
        <v>52</v>
      </c>
    </row>
    <row r="87" spans="1:1" x14ac:dyDescent="0.25">
      <c r="A87" s="131" t="s">
        <v>52</v>
      </c>
    </row>
    <row r="88" spans="1:1" x14ac:dyDescent="0.25">
      <c r="A88" s="132" t="s">
        <v>52</v>
      </c>
    </row>
    <row r="89" spans="1:1" x14ac:dyDescent="0.25">
      <c r="A89" s="133" t="s">
        <v>52</v>
      </c>
    </row>
    <row r="90" spans="1:1" x14ac:dyDescent="0.25">
      <c r="A90" s="134" t="s">
        <v>52</v>
      </c>
    </row>
    <row r="91" spans="1:1" x14ac:dyDescent="0.25">
      <c r="A91" s="135" t="s">
        <v>52</v>
      </c>
    </row>
    <row r="92" spans="1:1" x14ac:dyDescent="0.25">
      <c r="A92" s="136" t="s">
        <v>52</v>
      </c>
    </row>
    <row r="93" spans="1:1" x14ac:dyDescent="0.25">
      <c r="A93" s="137" t="s">
        <v>52</v>
      </c>
    </row>
    <row r="94" spans="1:1" x14ac:dyDescent="0.25">
      <c r="A94" s="138" t="s">
        <v>52</v>
      </c>
    </row>
    <row r="95" spans="1:1" x14ac:dyDescent="0.25">
      <c r="A95" s="139" t="s">
        <v>52</v>
      </c>
    </row>
    <row r="96" spans="1:1" x14ac:dyDescent="0.25">
      <c r="A96" s="27" t="s">
        <v>510</v>
      </c>
    </row>
    <row r="97" spans="1:1" x14ac:dyDescent="0.25">
      <c r="A97" s="28" t="s">
        <v>52</v>
      </c>
    </row>
    <row r="98" spans="1:1" x14ac:dyDescent="0.25">
      <c r="A98" s="29" t="s">
        <v>52</v>
      </c>
    </row>
    <row r="99" spans="1:1" x14ac:dyDescent="0.25">
      <c r="A99" s="30" t="s">
        <v>52</v>
      </c>
    </row>
    <row r="100" spans="1:1" x14ac:dyDescent="0.25">
      <c r="A100" s="31" t="s">
        <v>52</v>
      </c>
    </row>
    <row r="101" spans="1:1" x14ac:dyDescent="0.25">
      <c r="A101" s="32" t="s">
        <v>52</v>
      </c>
    </row>
    <row r="102" spans="1:1" x14ac:dyDescent="0.25">
      <c r="A102" s="33" t="s">
        <v>52</v>
      </c>
    </row>
    <row r="103" spans="1:1" x14ac:dyDescent="0.25">
      <c r="A103" s="34" t="s">
        <v>52</v>
      </c>
    </row>
    <row r="104" spans="1:1" x14ac:dyDescent="0.25">
      <c r="A104" s="35" t="s">
        <v>52</v>
      </c>
    </row>
    <row r="105" spans="1:1" x14ac:dyDescent="0.25">
      <c r="A105" s="36" t="s">
        <v>52</v>
      </c>
    </row>
    <row r="106" spans="1:1" x14ac:dyDescent="0.25">
      <c r="A106" s="37" t="s">
        <v>52</v>
      </c>
    </row>
    <row r="107" spans="1:1" x14ac:dyDescent="0.25">
      <c r="A107" s="38" t="s">
        <v>52</v>
      </c>
    </row>
    <row r="108" spans="1:1" x14ac:dyDescent="0.25">
      <c r="A108" s="39" t="s">
        <v>52</v>
      </c>
    </row>
    <row r="109" spans="1:1" x14ac:dyDescent="0.25">
      <c r="A109" s="40" t="s">
        <v>52</v>
      </c>
    </row>
    <row r="110" spans="1:1" x14ac:dyDescent="0.25">
      <c r="A110" s="41" t="s">
        <v>52</v>
      </c>
    </row>
    <row r="111" spans="1:1" x14ac:dyDescent="0.25">
      <c r="A111" s="42" t="s">
        <v>52</v>
      </c>
    </row>
    <row r="112" spans="1:1" x14ac:dyDescent="0.25">
      <c r="A112" s="43" t="s">
        <v>52</v>
      </c>
    </row>
    <row r="113" spans="1:1" x14ac:dyDescent="0.25">
      <c r="A113" s="44" t="s">
        <v>52</v>
      </c>
    </row>
    <row r="114" spans="1:1" x14ac:dyDescent="0.25">
      <c r="A114" s="45" t="s">
        <v>52</v>
      </c>
    </row>
    <row r="115" spans="1:1" x14ac:dyDescent="0.25">
      <c r="A115" s="46" t="s">
        <v>52</v>
      </c>
    </row>
    <row r="116" spans="1:1" x14ac:dyDescent="0.25">
      <c r="A116" s="47" t="s">
        <v>52</v>
      </c>
    </row>
    <row r="117" spans="1:1" x14ac:dyDescent="0.25">
      <c r="A117" s="48" t="s">
        <v>519</v>
      </c>
    </row>
    <row r="118" spans="1:1" x14ac:dyDescent="0.25">
      <c r="A118" s="49" t="s">
        <v>52</v>
      </c>
    </row>
    <row r="119" spans="1:1" x14ac:dyDescent="0.25">
      <c r="A119" s="50" t="s">
        <v>52</v>
      </c>
    </row>
    <row r="120" spans="1:1" x14ac:dyDescent="0.25">
      <c r="A120" s="51" t="s">
        <v>52</v>
      </c>
    </row>
    <row r="121" spans="1:1" x14ac:dyDescent="0.25">
      <c r="A121" s="52" t="s">
        <v>52</v>
      </c>
    </row>
    <row r="122" spans="1:1" x14ac:dyDescent="0.25">
      <c r="A122" s="53" t="s">
        <v>52</v>
      </c>
    </row>
    <row r="123" spans="1:1" x14ac:dyDescent="0.25">
      <c r="A123" s="54" t="s">
        <v>52</v>
      </c>
    </row>
    <row r="124" spans="1:1" x14ac:dyDescent="0.25">
      <c r="A124" s="55" t="s">
        <v>52</v>
      </c>
    </row>
    <row r="125" spans="1:1" x14ac:dyDescent="0.25">
      <c r="A125" s="56" t="s">
        <v>52</v>
      </c>
    </row>
    <row r="126" spans="1:1" x14ac:dyDescent="0.25">
      <c r="A126" s="57" t="s">
        <v>52</v>
      </c>
    </row>
    <row r="127" spans="1:1" x14ac:dyDescent="0.25">
      <c r="A127" s="58" t="s">
        <v>52</v>
      </c>
    </row>
    <row r="128" spans="1:1" x14ac:dyDescent="0.25">
      <c r="A128" s="59" t="s">
        <v>52</v>
      </c>
    </row>
    <row r="129" spans="1:1" x14ac:dyDescent="0.25">
      <c r="A129" s="60" t="s">
        <v>52</v>
      </c>
    </row>
    <row r="130" spans="1:1" x14ac:dyDescent="0.25">
      <c r="A130" s="61" t="s">
        <v>52</v>
      </c>
    </row>
    <row r="131" spans="1:1" x14ac:dyDescent="0.25">
      <c r="A131" s="62" t="s">
        <v>52</v>
      </c>
    </row>
    <row r="132" spans="1:1" x14ac:dyDescent="0.25">
      <c r="A132" s="63" t="s">
        <v>52</v>
      </c>
    </row>
    <row r="133" spans="1:1" x14ac:dyDescent="0.25">
      <c r="A133" s="64" t="s">
        <v>52</v>
      </c>
    </row>
    <row r="134" spans="1:1" x14ac:dyDescent="0.25">
      <c r="A134" s="65" t="s">
        <v>52</v>
      </c>
    </row>
    <row r="135" spans="1:1" x14ac:dyDescent="0.25">
      <c r="A135" s="66" t="s">
        <v>52</v>
      </c>
    </row>
    <row r="136" spans="1:1" x14ac:dyDescent="0.25">
      <c r="A136" s="67" t="s">
        <v>52</v>
      </c>
    </row>
    <row r="137" spans="1:1" x14ac:dyDescent="0.25">
      <c r="A137" s="68" t="s">
        <v>52</v>
      </c>
    </row>
    <row r="138" spans="1:1" x14ac:dyDescent="0.25">
      <c r="A138" s="69" t="s">
        <v>52</v>
      </c>
    </row>
    <row r="139" spans="1:1" x14ac:dyDescent="0.25">
      <c r="A139" s="70" t="s">
        <v>52</v>
      </c>
    </row>
    <row r="140" spans="1:1" x14ac:dyDescent="0.25">
      <c r="A140" s="71" t="s">
        <v>52</v>
      </c>
    </row>
    <row r="141" spans="1:1" x14ac:dyDescent="0.25">
      <c r="A141" s="72" t="s">
        <v>52</v>
      </c>
    </row>
    <row r="142" spans="1:1" x14ac:dyDescent="0.25">
      <c r="A142" s="73" t="s">
        <v>52</v>
      </c>
    </row>
    <row r="143" spans="1:1" x14ac:dyDescent="0.25">
      <c r="A143" s="74" t="s">
        <v>52</v>
      </c>
    </row>
    <row r="144" spans="1:1" x14ac:dyDescent="0.25">
      <c r="A144" s="75" t="s">
        <v>52</v>
      </c>
    </row>
    <row r="145" spans="1:1" x14ac:dyDescent="0.25">
      <c r="A145" s="76" t="s">
        <v>52</v>
      </c>
    </row>
    <row r="146" spans="1:1" x14ac:dyDescent="0.25">
      <c r="A146" s="77" t="s">
        <v>52</v>
      </c>
    </row>
    <row r="147" spans="1:1" x14ac:dyDescent="0.25">
      <c r="A147" s="78" t="s">
        <v>52</v>
      </c>
    </row>
    <row r="148" spans="1:1" x14ac:dyDescent="0.25">
      <c r="A148" s="79" t="s">
        <v>52</v>
      </c>
    </row>
    <row r="149" spans="1:1" x14ac:dyDescent="0.25">
      <c r="A149" s="80" t="s">
        <v>52</v>
      </c>
    </row>
    <row r="150" spans="1:1" x14ac:dyDescent="0.25">
      <c r="A150" s="81" t="s">
        <v>52</v>
      </c>
    </row>
    <row r="151" spans="1:1" x14ac:dyDescent="0.25">
      <c r="A151" s="82" t="s">
        <v>52</v>
      </c>
    </row>
    <row r="152" spans="1:1" x14ac:dyDescent="0.25">
      <c r="A152" s="83" t="s">
        <v>52</v>
      </c>
    </row>
    <row r="153" spans="1:1" x14ac:dyDescent="0.25">
      <c r="A153" s="84" t="s">
        <v>52</v>
      </c>
    </row>
    <row r="154" spans="1:1" x14ac:dyDescent="0.25">
      <c r="A154" s="85" t="s">
        <v>52</v>
      </c>
    </row>
    <row r="155" spans="1:1" x14ac:dyDescent="0.25">
      <c r="A155" s="86" t="s">
        <v>52</v>
      </c>
    </row>
    <row r="156" spans="1:1" x14ac:dyDescent="0.25">
      <c r="A156" s="87" t="s">
        <v>433</v>
      </c>
    </row>
    <row r="157" spans="1:1" x14ac:dyDescent="0.25">
      <c r="A157" s="88" t="s">
        <v>52</v>
      </c>
    </row>
    <row r="158" spans="1:1" x14ac:dyDescent="0.25">
      <c r="A158" s="89" t="s">
        <v>52</v>
      </c>
    </row>
    <row r="159" spans="1:1" x14ac:dyDescent="0.25">
      <c r="A159" s="90" t="s">
        <v>52</v>
      </c>
    </row>
    <row r="160" spans="1:1" x14ac:dyDescent="0.25">
      <c r="A160" s="120" t="s">
        <v>52</v>
      </c>
    </row>
    <row r="161" spans="1:1" x14ac:dyDescent="0.25">
      <c r="A161" s="121" t="s">
        <v>52</v>
      </c>
    </row>
    <row r="162" spans="1:1" x14ac:dyDescent="0.25">
      <c r="A162" s="122" t="s">
        <v>52</v>
      </c>
    </row>
    <row r="163" spans="1:1" x14ac:dyDescent="0.25">
      <c r="A163" s="123" t="s">
        <v>52</v>
      </c>
    </row>
    <row r="164" spans="1:1" x14ac:dyDescent="0.25">
      <c r="A164" s="124" t="s">
        <v>52</v>
      </c>
    </row>
    <row r="165" spans="1:1" x14ac:dyDescent="0.25">
      <c r="A165" s="125" t="s">
        <v>52</v>
      </c>
    </row>
    <row r="166" spans="1:1" x14ac:dyDescent="0.25">
      <c r="A166" s="126" t="s">
        <v>52</v>
      </c>
    </row>
    <row r="167" spans="1:1" x14ac:dyDescent="0.25">
      <c r="A167" s="127" t="s">
        <v>52</v>
      </c>
    </row>
    <row r="168" spans="1:1" x14ac:dyDescent="0.25">
      <c r="A168" s="128" t="s">
        <v>52</v>
      </c>
    </row>
    <row r="169" spans="1:1" x14ac:dyDescent="0.25">
      <c r="A169" s="129" t="s">
        <v>52</v>
      </c>
    </row>
    <row r="170" spans="1:1" x14ac:dyDescent="0.25">
      <c r="A170" s="130" t="s">
        <v>52</v>
      </c>
    </row>
    <row r="171" spans="1:1" x14ac:dyDescent="0.25">
      <c r="A171" s="131" t="s">
        <v>52</v>
      </c>
    </row>
    <row r="172" spans="1:1" x14ac:dyDescent="0.25">
      <c r="A172" s="132" t="s">
        <v>52</v>
      </c>
    </row>
    <row r="173" spans="1:1" x14ac:dyDescent="0.25">
      <c r="A173" s="133" t="s">
        <v>52</v>
      </c>
    </row>
    <row r="174" spans="1:1" x14ac:dyDescent="0.25">
      <c r="A174" s="134" t="s">
        <v>52</v>
      </c>
    </row>
    <row r="175" spans="1:1" x14ac:dyDescent="0.25">
      <c r="A175" s="135" t="s">
        <v>52</v>
      </c>
    </row>
    <row r="176" spans="1:1" x14ac:dyDescent="0.25">
      <c r="A176" s="136" t="s">
        <v>52</v>
      </c>
    </row>
    <row r="177" spans="1:1" x14ac:dyDescent="0.25">
      <c r="A177" s="137" t="s">
        <v>52</v>
      </c>
    </row>
    <row r="178" spans="1:1" x14ac:dyDescent="0.25">
      <c r="A178" s="138" t="s">
        <v>52</v>
      </c>
    </row>
    <row r="179" spans="1:1" x14ac:dyDescent="0.25">
      <c r="A179" s="139" t="s">
        <v>52</v>
      </c>
    </row>
    <row r="180" spans="1:1" x14ac:dyDescent="0.25">
      <c r="A180" s="19" t="s">
        <v>497</v>
      </c>
    </row>
    <row r="181" spans="1:1" x14ac:dyDescent="0.25">
      <c r="A181" s="20" t="s">
        <v>52</v>
      </c>
    </row>
    <row r="182" spans="1:1" x14ac:dyDescent="0.25">
      <c r="A182" s="21" t="s">
        <v>52</v>
      </c>
    </row>
    <row r="183" spans="1:1" x14ac:dyDescent="0.25">
      <c r="A183" s="22" t="s">
        <v>52</v>
      </c>
    </row>
    <row r="184" spans="1:1" x14ac:dyDescent="0.25">
      <c r="A184" s="23" t="s">
        <v>52</v>
      </c>
    </row>
    <row r="185" spans="1:1" x14ac:dyDescent="0.25">
      <c r="A185" s="24" t="s">
        <v>52</v>
      </c>
    </row>
    <row r="186" spans="1:1" x14ac:dyDescent="0.25">
      <c r="A186" s="25" t="s">
        <v>52</v>
      </c>
    </row>
    <row r="187" spans="1:1" x14ac:dyDescent="0.25">
      <c r="A187" s="26" t="s">
        <v>52</v>
      </c>
    </row>
    <row r="188" spans="1:1" x14ac:dyDescent="0.25">
      <c r="A188" s="27" t="s">
        <v>52</v>
      </c>
    </row>
    <row r="189" spans="1:1" x14ac:dyDescent="0.25">
      <c r="A189" s="28" t="s">
        <v>52</v>
      </c>
    </row>
    <row r="190" spans="1:1" x14ac:dyDescent="0.25">
      <c r="A190" s="29" t="s">
        <v>52</v>
      </c>
    </row>
    <row r="191" spans="1:1" x14ac:dyDescent="0.25">
      <c r="A191" s="30" t="s">
        <v>434</v>
      </c>
    </row>
    <row r="192" spans="1:1" x14ac:dyDescent="0.25">
      <c r="A192" s="31" t="s">
        <v>52</v>
      </c>
    </row>
    <row r="193" spans="1:1" x14ac:dyDescent="0.25">
      <c r="A193" s="32" t="s">
        <v>52</v>
      </c>
    </row>
    <row r="194" spans="1:1" x14ac:dyDescent="0.25">
      <c r="A194" s="33" t="s">
        <v>52</v>
      </c>
    </row>
    <row r="195" spans="1:1" x14ac:dyDescent="0.25">
      <c r="A195" s="34" t="s">
        <v>52</v>
      </c>
    </row>
    <row r="196" spans="1:1" x14ac:dyDescent="0.25">
      <c r="A196" s="35" t="s">
        <v>52</v>
      </c>
    </row>
    <row r="197" spans="1:1" x14ac:dyDescent="0.25">
      <c r="A197" s="36" t="s">
        <v>52</v>
      </c>
    </row>
    <row r="198" spans="1:1" x14ac:dyDescent="0.25">
      <c r="A198" s="37" t="s">
        <v>435</v>
      </c>
    </row>
    <row r="199" spans="1:1" x14ac:dyDescent="0.25">
      <c r="A199" s="38" t="s">
        <v>52</v>
      </c>
    </row>
    <row r="200" spans="1:1" x14ac:dyDescent="0.25">
      <c r="A200" s="39" t="s">
        <v>52</v>
      </c>
    </row>
    <row r="201" spans="1:1" x14ac:dyDescent="0.25">
      <c r="A201" s="40" t="s">
        <v>52</v>
      </c>
    </row>
    <row r="202" spans="1:1" x14ac:dyDescent="0.25">
      <c r="A202" s="41" t="s">
        <v>52</v>
      </c>
    </row>
    <row r="203" spans="1:1" x14ac:dyDescent="0.25">
      <c r="A203" s="42" t="s">
        <v>52</v>
      </c>
    </row>
    <row r="204" spans="1:1" x14ac:dyDescent="0.25">
      <c r="A204" s="43" t="s">
        <v>52</v>
      </c>
    </row>
    <row r="205" spans="1:1" x14ac:dyDescent="0.25">
      <c r="A205" s="44" t="s">
        <v>436</v>
      </c>
    </row>
    <row r="206" spans="1:1" x14ac:dyDescent="0.25">
      <c r="A206" s="45" t="s">
        <v>52</v>
      </c>
    </row>
    <row r="207" spans="1:1" x14ac:dyDescent="0.25">
      <c r="A207" s="46" t="s">
        <v>52</v>
      </c>
    </row>
    <row r="208" spans="1:1" x14ac:dyDescent="0.25">
      <c r="A208" s="47" t="s">
        <v>52</v>
      </c>
    </row>
    <row r="209" spans="1:1" x14ac:dyDescent="0.25">
      <c r="A209" s="48" t="s">
        <v>52</v>
      </c>
    </row>
    <row r="210" spans="1:1" x14ac:dyDescent="0.25">
      <c r="A210" s="49" t="s">
        <v>52</v>
      </c>
    </row>
    <row r="211" spans="1:1" x14ac:dyDescent="0.25">
      <c r="A211" s="50" t="s">
        <v>52</v>
      </c>
    </row>
    <row r="212" spans="1:1" x14ac:dyDescent="0.25">
      <c r="A212" s="51" t="s">
        <v>52</v>
      </c>
    </row>
    <row r="213" spans="1:1" x14ac:dyDescent="0.25">
      <c r="A213" s="52" t="s">
        <v>52</v>
      </c>
    </row>
    <row r="214" spans="1:1" x14ac:dyDescent="0.25">
      <c r="A214" s="53" t="s">
        <v>52</v>
      </c>
    </row>
    <row r="215" spans="1:1" x14ac:dyDescent="0.25">
      <c r="A215" s="54" t="s">
        <v>52</v>
      </c>
    </row>
    <row r="216" spans="1:1" x14ac:dyDescent="0.25">
      <c r="A216" s="55" t="s">
        <v>52</v>
      </c>
    </row>
    <row r="217" spans="1:1" x14ac:dyDescent="0.25">
      <c r="A217" s="56" t="s">
        <v>52</v>
      </c>
    </row>
    <row r="218" spans="1:1" x14ac:dyDescent="0.25">
      <c r="A218" s="57" t="s">
        <v>52</v>
      </c>
    </row>
    <row r="219" spans="1:1" x14ac:dyDescent="0.25">
      <c r="A219" s="58" t="s">
        <v>52</v>
      </c>
    </row>
    <row r="220" spans="1:1" x14ac:dyDescent="0.25">
      <c r="A220" s="59" t="s">
        <v>52</v>
      </c>
    </row>
    <row r="221" spans="1:1" x14ac:dyDescent="0.25">
      <c r="A221" s="60" t="s">
        <v>52</v>
      </c>
    </row>
    <row r="222" spans="1:1" x14ac:dyDescent="0.25">
      <c r="A222" s="61" t="s">
        <v>52</v>
      </c>
    </row>
    <row r="223" spans="1:1" x14ac:dyDescent="0.25">
      <c r="A223" s="62" t="s">
        <v>52</v>
      </c>
    </row>
    <row r="224" spans="1:1" x14ac:dyDescent="0.25">
      <c r="A224" s="63" t="s">
        <v>52</v>
      </c>
    </row>
    <row r="225" spans="1:1" x14ac:dyDescent="0.25">
      <c r="A225" s="64" t="s">
        <v>52</v>
      </c>
    </row>
    <row r="226" spans="1:1" x14ac:dyDescent="0.25">
      <c r="A226" s="65" t="s">
        <v>52</v>
      </c>
    </row>
    <row r="227" spans="1:1" x14ac:dyDescent="0.25">
      <c r="A227" s="66" t="s">
        <v>52</v>
      </c>
    </row>
    <row r="228" spans="1:1" x14ac:dyDescent="0.25">
      <c r="A228" s="67" t="s">
        <v>52</v>
      </c>
    </row>
    <row r="229" spans="1:1" x14ac:dyDescent="0.25">
      <c r="A229" s="68" t="s">
        <v>52</v>
      </c>
    </row>
    <row r="230" spans="1:1" x14ac:dyDescent="0.25">
      <c r="A230" s="69" t="s">
        <v>52</v>
      </c>
    </row>
    <row r="231" spans="1:1" x14ac:dyDescent="0.25">
      <c r="A231" s="70" t="s">
        <v>52</v>
      </c>
    </row>
    <row r="232" spans="1:1" x14ac:dyDescent="0.25">
      <c r="A232" s="71" t="s">
        <v>52</v>
      </c>
    </row>
    <row r="233" spans="1:1" x14ac:dyDescent="0.25">
      <c r="A233" s="72" t="s">
        <v>52</v>
      </c>
    </row>
    <row r="234" spans="1:1" x14ac:dyDescent="0.25">
      <c r="A234" s="73" t="s">
        <v>52</v>
      </c>
    </row>
    <row r="235" spans="1:1" x14ac:dyDescent="0.25">
      <c r="A235" s="74" t="s">
        <v>52</v>
      </c>
    </row>
    <row r="236" spans="1:1" x14ac:dyDescent="0.25">
      <c r="A236" s="75" t="s">
        <v>52</v>
      </c>
    </row>
    <row r="237" spans="1:1" x14ac:dyDescent="0.25">
      <c r="A237" s="76" t="s">
        <v>52</v>
      </c>
    </row>
    <row r="238" spans="1:1" x14ac:dyDescent="0.25">
      <c r="A238" s="77" t="s">
        <v>52</v>
      </c>
    </row>
    <row r="239" spans="1:1" x14ac:dyDescent="0.25">
      <c r="A239" s="78" t="s">
        <v>52</v>
      </c>
    </row>
    <row r="240" spans="1:1" x14ac:dyDescent="0.25">
      <c r="A240" s="79" t="s">
        <v>52</v>
      </c>
    </row>
    <row r="241" spans="1:1" x14ac:dyDescent="0.25">
      <c r="A241" s="80" t="s">
        <v>52</v>
      </c>
    </row>
    <row r="242" spans="1:1" x14ac:dyDescent="0.25">
      <c r="A242" s="81" t="s">
        <v>52</v>
      </c>
    </row>
    <row r="243" spans="1:1" x14ac:dyDescent="0.25">
      <c r="A243" s="82" t="s">
        <v>52</v>
      </c>
    </row>
    <row r="244" spans="1:1" x14ac:dyDescent="0.25">
      <c r="A244" s="83" t="s">
        <v>52</v>
      </c>
    </row>
    <row r="245" spans="1:1" x14ac:dyDescent="0.25">
      <c r="A245" s="84" t="s">
        <v>52</v>
      </c>
    </row>
    <row r="246" spans="1:1" x14ac:dyDescent="0.25">
      <c r="A246" s="85" t="s">
        <v>52</v>
      </c>
    </row>
    <row r="247" spans="1:1" x14ac:dyDescent="0.25">
      <c r="A247" s="86" t="s">
        <v>52</v>
      </c>
    </row>
    <row r="248" spans="1:1" x14ac:dyDescent="0.25">
      <c r="A248" s="87" t="s">
        <v>52</v>
      </c>
    </row>
    <row r="249" spans="1:1" x14ac:dyDescent="0.25">
      <c r="A249" s="88" t="s">
        <v>437</v>
      </c>
    </row>
    <row r="250" spans="1:1" x14ac:dyDescent="0.25">
      <c r="A250" s="89" t="s">
        <v>52</v>
      </c>
    </row>
    <row r="251" spans="1:1" x14ac:dyDescent="0.25">
      <c r="A251" s="90" t="s">
        <v>438</v>
      </c>
    </row>
    <row r="252" spans="1:1" x14ac:dyDescent="0.25">
      <c r="A252" s="120" t="s">
        <v>439</v>
      </c>
    </row>
    <row r="253" spans="1:1" x14ac:dyDescent="0.25">
      <c r="A253" s="121" t="s">
        <v>440</v>
      </c>
    </row>
    <row r="254" spans="1:1" x14ac:dyDescent="0.25">
      <c r="A254" s="122" t="s">
        <v>441</v>
      </c>
    </row>
    <row r="255" spans="1:1" x14ac:dyDescent="0.25">
      <c r="A255" s="123" t="s">
        <v>442</v>
      </c>
    </row>
    <row r="256" spans="1:1" x14ac:dyDescent="0.25">
      <c r="A256" s="124" t="s">
        <v>443</v>
      </c>
    </row>
    <row r="257" spans="1:1" x14ac:dyDescent="0.25">
      <c r="A257" s="125" t="s">
        <v>444</v>
      </c>
    </row>
    <row r="258" spans="1:1" x14ac:dyDescent="0.25">
      <c r="A258" s="126" t="s">
        <v>52</v>
      </c>
    </row>
    <row r="259" spans="1:1" x14ac:dyDescent="0.25">
      <c r="A259" s="127" t="s">
        <v>52</v>
      </c>
    </row>
    <row r="260" spans="1:1" x14ac:dyDescent="0.25">
      <c r="A260" s="128" t="s">
        <v>52</v>
      </c>
    </row>
    <row r="261" spans="1:1" x14ac:dyDescent="0.25">
      <c r="A261" s="129" t="s">
        <v>52</v>
      </c>
    </row>
    <row r="262" spans="1:1" x14ac:dyDescent="0.25">
      <c r="A262" s="130" t="s">
        <v>52</v>
      </c>
    </row>
    <row r="263" spans="1:1" x14ac:dyDescent="0.25">
      <c r="A263" s="131" t="s">
        <v>445</v>
      </c>
    </row>
    <row r="264" spans="1:1" x14ac:dyDescent="0.25">
      <c r="A264" s="132" t="s">
        <v>446</v>
      </c>
    </row>
    <row r="265" spans="1:1" x14ac:dyDescent="0.25">
      <c r="A265" s="133" t="s">
        <v>447</v>
      </c>
    </row>
    <row r="266" spans="1:1" x14ac:dyDescent="0.25">
      <c r="A266" s="134" t="s">
        <v>448</v>
      </c>
    </row>
    <row r="267" spans="1:1" x14ac:dyDescent="0.25">
      <c r="A267" s="135" t="s">
        <v>52</v>
      </c>
    </row>
    <row r="268" spans="1:1" x14ac:dyDescent="0.25">
      <c r="A268" s="136" t="s">
        <v>52</v>
      </c>
    </row>
    <row r="269" spans="1:1" x14ac:dyDescent="0.25">
      <c r="A269" s="137" t="s">
        <v>52</v>
      </c>
    </row>
    <row r="270" spans="1:1" x14ac:dyDescent="0.25">
      <c r="A270" s="138" t="s">
        <v>52</v>
      </c>
    </row>
    <row r="271" spans="1:1" x14ac:dyDescent="0.25">
      <c r="A271" s="139" t="s">
        <v>52</v>
      </c>
    </row>
    <row r="272" spans="1:1" x14ac:dyDescent="0.25">
      <c r="A272" s="19" t="s">
        <v>498</v>
      </c>
    </row>
    <row r="273" spans="1:1" x14ac:dyDescent="0.25">
      <c r="A273" s="20" t="s">
        <v>52</v>
      </c>
    </row>
    <row r="274" spans="1:1" x14ac:dyDescent="0.25">
      <c r="A274" s="21" t="s">
        <v>52</v>
      </c>
    </row>
    <row r="275" spans="1:1" x14ac:dyDescent="0.25">
      <c r="A275" s="22" t="s">
        <v>52</v>
      </c>
    </row>
    <row r="276" spans="1:1" x14ac:dyDescent="0.25">
      <c r="A276" s="23" t="s">
        <v>52</v>
      </c>
    </row>
    <row r="277" spans="1:1" x14ac:dyDescent="0.25">
      <c r="A277" s="24" t="s">
        <v>52</v>
      </c>
    </row>
    <row r="278" spans="1:1" x14ac:dyDescent="0.25">
      <c r="A278" s="25" t="s">
        <v>52</v>
      </c>
    </row>
    <row r="279" spans="1:1" x14ac:dyDescent="0.25">
      <c r="A279" s="26" t="s">
        <v>52</v>
      </c>
    </row>
    <row r="280" spans="1:1" x14ac:dyDescent="0.25">
      <c r="A280" s="27" t="s">
        <v>52</v>
      </c>
    </row>
    <row r="281" spans="1:1" x14ac:dyDescent="0.25">
      <c r="A281" s="28" t="s">
        <v>52</v>
      </c>
    </row>
    <row r="282" spans="1:1" x14ac:dyDescent="0.25">
      <c r="A282" s="29" t="s">
        <v>52</v>
      </c>
    </row>
    <row r="283" spans="1:1" x14ac:dyDescent="0.25">
      <c r="A283" s="30" t="s">
        <v>52</v>
      </c>
    </row>
    <row r="284" spans="1:1" x14ac:dyDescent="0.25">
      <c r="A284" s="31" t="s">
        <v>449</v>
      </c>
    </row>
    <row r="285" spans="1:1" x14ac:dyDescent="0.25">
      <c r="A285" s="32" t="s">
        <v>450</v>
      </c>
    </row>
    <row r="286" spans="1:1" x14ac:dyDescent="0.25">
      <c r="A286" s="33" t="s">
        <v>52</v>
      </c>
    </row>
    <row r="287" spans="1:1" x14ac:dyDescent="0.25">
      <c r="A287" s="34" t="s">
        <v>52</v>
      </c>
    </row>
    <row r="288" spans="1:1" x14ac:dyDescent="0.25">
      <c r="A288" s="35" t="s">
        <v>52</v>
      </c>
    </row>
    <row r="289" spans="1:1" x14ac:dyDescent="0.25">
      <c r="A289" s="36" t="s">
        <v>52</v>
      </c>
    </row>
    <row r="290" spans="1:1" x14ac:dyDescent="0.25">
      <c r="A290" s="37" t="s">
        <v>451</v>
      </c>
    </row>
    <row r="291" spans="1:1" x14ac:dyDescent="0.25">
      <c r="A291" s="38" t="s">
        <v>52</v>
      </c>
    </row>
    <row r="292" spans="1:1" x14ac:dyDescent="0.25">
      <c r="A292" s="39" t="s">
        <v>52</v>
      </c>
    </row>
    <row r="293" spans="1:1" x14ac:dyDescent="0.25">
      <c r="A293" s="40" t="s">
        <v>52</v>
      </c>
    </row>
    <row r="294" spans="1:1" x14ac:dyDescent="0.25">
      <c r="A294" s="41" t="s">
        <v>52</v>
      </c>
    </row>
    <row r="295" spans="1:1" x14ac:dyDescent="0.25">
      <c r="A295" s="42" t="s">
        <v>52</v>
      </c>
    </row>
    <row r="296" spans="1:1" x14ac:dyDescent="0.25">
      <c r="A296" s="43" t="s">
        <v>52</v>
      </c>
    </row>
    <row r="297" spans="1:1" x14ac:dyDescent="0.25">
      <c r="A297" s="44" t="s">
        <v>52</v>
      </c>
    </row>
    <row r="298" spans="1:1" x14ac:dyDescent="0.25">
      <c r="A298" s="45" t="s">
        <v>52</v>
      </c>
    </row>
    <row r="299" spans="1:1" x14ac:dyDescent="0.25">
      <c r="A299" s="46" t="s">
        <v>452</v>
      </c>
    </row>
    <row r="300" spans="1:1" x14ac:dyDescent="0.25">
      <c r="A300" s="47" t="s">
        <v>52</v>
      </c>
    </row>
    <row r="301" spans="1:1" x14ac:dyDescent="0.25">
      <c r="A301" s="48" t="s">
        <v>52</v>
      </c>
    </row>
    <row r="302" spans="1:1" x14ac:dyDescent="0.25">
      <c r="A302" s="49" t="s">
        <v>52</v>
      </c>
    </row>
    <row r="303" spans="1:1" x14ac:dyDescent="0.25">
      <c r="A303" s="50" t="s">
        <v>52</v>
      </c>
    </row>
    <row r="304" spans="1:1" x14ac:dyDescent="0.25">
      <c r="A304" s="51" t="s">
        <v>52</v>
      </c>
    </row>
    <row r="305" spans="1:1" x14ac:dyDescent="0.25">
      <c r="A305" s="52" t="s">
        <v>52</v>
      </c>
    </row>
    <row r="306" spans="1:1" x14ac:dyDescent="0.25">
      <c r="A306" s="53" t="s">
        <v>52</v>
      </c>
    </row>
    <row r="307" spans="1:1" x14ac:dyDescent="0.25">
      <c r="A307" s="54" t="s">
        <v>52</v>
      </c>
    </row>
    <row r="308" spans="1:1" x14ac:dyDescent="0.25">
      <c r="A308" s="55" t="s">
        <v>52</v>
      </c>
    </row>
    <row r="309" spans="1:1" x14ac:dyDescent="0.25">
      <c r="A309" s="56" t="s">
        <v>52</v>
      </c>
    </row>
    <row r="310" spans="1:1" x14ac:dyDescent="0.25">
      <c r="A310" s="57" t="s">
        <v>52</v>
      </c>
    </row>
    <row r="311" spans="1:1" x14ac:dyDescent="0.25">
      <c r="A311" s="58" t="s">
        <v>52</v>
      </c>
    </row>
    <row r="312" spans="1:1" x14ac:dyDescent="0.25">
      <c r="A312" s="59" t="s">
        <v>52</v>
      </c>
    </row>
    <row r="313" spans="1:1" x14ac:dyDescent="0.25">
      <c r="A313" s="60" t="s">
        <v>52</v>
      </c>
    </row>
    <row r="314" spans="1:1" x14ac:dyDescent="0.25">
      <c r="A314" s="61" t="s">
        <v>52</v>
      </c>
    </row>
    <row r="315" spans="1:1" x14ac:dyDescent="0.25">
      <c r="A315" s="62" t="s">
        <v>52</v>
      </c>
    </row>
    <row r="316" spans="1:1" x14ac:dyDescent="0.25">
      <c r="A316" s="63" t="s">
        <v>52</v>
      </c>
    </row>
    <row r="317" spans="1:1" x14ac:dyDescent="0.25">
      <c r="A317" s="64" t="s">
        <v>52</v>
      </c>
    </row>
    <row r="318" spans="1:1" x14ac:dyDescent="0.25">
      <c r="A318" s="65" t="s">
        <v>52</v>
      </c>
    </row>
    <row r="319" spans="1:1" x14ac:dyDescent="0.25">
      <c r="A319" s="66" t="s">
        <v>52</v>
      </c>
    </row>
    <row r="320" spans="1:1" x14ac:dyDescent="0.25">
      <c r="A320" s="67" t="s">
        <v>52</v>
      </c>
    </row>
    <row r="321" spans="1:1" x14ac:dyDescent="0.25">
      <c r="A321" s="68" t="s">
        <v>52</v>
      </c>
    </row>
    <row r="322" spans="1:1" x14ac:dyDescent="0.25">
      <c r="A322" s="69" t="s">
        <v>453</v>
      </c>
    </row>
    <row r="323" spans="1:1" x14ac:dyDescent="0.25">
      <c r="A323" s="70" t="s">
        <v>52</v>
      </c>
    </row>
    <row r="324" spans="1:1" x14ac:dyDescent="0.25">
      <c r="A324" s="71" t="s">
        <v>52</v>
      </c>
    </row>
    <row r="325" spans="1:1" x14ac:dyDescent="0.25">
      <c r="A325" s="72" t="s">
        <v>52</v>
      </c>
    </row>
    <row r="326" spans="1:1" x14ac:dyDescent="0.25">
      <c r="A326" s="73" t="s">
        <v>52</v>
      </c>
    </row>
    <row r="327" spans="1:1" x14ac:dyDescent="0.25">
      <c r="A327" s="74" t="s">
        <v>52</v>
      </c>
    </row>
    <row r="328" spans="1:1" x14ac:dyDescent="0.25">
      <c r="A328" s="75" t="s">
        <v>454</v>
      </c>
    </row>
    <row r="329" spans="1:1" x14ac:dyDescent="0.25">
      <c r="A329" s="76" t="s">
        <v>52</v>
      </c>
    </row>
    <row r="330" spans="1:1" x14ac:dyDescent="0.25">
      <c r="A330" s="77" t="s">
        <v>52</v>
      </c>
    </row>
    <row r="331" spans="1:1" x14ac:dyDescent="0.25">
      <c r="A331" s="78" t="s">
        <v>52</v>
      </c>
    </row>
    <row r="332" spans="1:1" x14ac:dyDescent="0.25">
      <c r="A332" s="79" t="s">
        <v>52</v>
      </c>
    </row>
    <row r="333" spans="1:1" x14ac:dyDescent="0.25">
      <c r="A333" s="80" t="s">
        <v>52</v>
      </c>
    </row>
    <row r="334" spans="1:1" x14ac:dyDescent="0.25">
      <c r="A334" s="81" t="s">
        <v>52</v>
      </c>
    </row>
    <row r="335" spans="1:1" x14ac:dyDescent="0.25">
      <c r="A335" s="82" t="s">
        <v>52</v>
      </c>
    </row>
    <row r="336" spans="1:1" x14ac:dyDescent="0.25">
      <c r="A336" s="83" t="s">
        <v>52</v>
      </c>
    </row>
    <row r="337" spans="1:1" x14ac:dyDescent="0.25">
      <c r="A337" s="84" t="s">
        <v>52</v>
      </c>
    </row>
    <row r="338" spans="1:1" x14ac:dyDescent="0.25">
      <c r="A338" s="85" t="s">
        <v>52</v>
      </c>
    </row>
    <row r="339" spans="1:1" x14ac:dyDescent="0.25">
      <c r="A339" s="86" t="s">
        <v>52</v>
      </c>
    </row>
    <row r="340" spans="1:1" x14ac:dyDescent="0.25">
      <c r="A340" s="87" t="s">
        <v>52</v>
      </c>
    </row>
    <row r="341" spans="1:1" x14ac:dyDescent="0.25">
      <c r="A341" s="88" t="s">
        <v>455</v>
      </c>
    </row>
    <row r="342" spans="1:1" x14ac:dyDescent="0.25">
      <c r="A342" s="89" t="s">
        <v>52</v>
      </c>
    </row>
    <row r="343" spans="1:1" x14ac:dyDescent="0.25">
      <c r="A343" s="90" t="s">
        <v>52</v>
      </c>
    </row>
    <row r="344" spans="1:1" x14ac:dyDescent="0.25">
      <c r="A344" s="120" t="s">
        <v>52</v>
      </c>
    </row>
    <row r="345" spans="1:1" x14ac:dyDescent="0.25">
      <c r="A345" s="121" t="s">
        <v>52</v>
      </c>
    </row>
    <row r="346" spans="1:1" x14ac:dyDescent="0.25">
      <c r="A346" s="122" t="s">
        <v>52</v>
      </c>
    </row>
    <row r="347" spans="1:1" x14ac:dyDescent="0.25">
      <c r="A347" s="123" t="s">
        <v>52</v>
      </c>
    </row>
    <row r="348" spans="1:1" x14ac:dyDescent="0.25">
      <c r="A348" s="124" t="s">
        <v>52</v>
      </c>
    </row>
    <row r="349" spans="1:1" x14ac:dyDescent="0.25">
      <c r="A349" s="125" t="s">
        <v>52</v>
      </c>
    </row>
    <row r="350" spans="1:1" x14ac:dyDescent="0.25">
      <c r="A350" s="126" t="s">
        <v>52</v>
      </c>
    </row>
    <row r="351" spans="1:1" x14ac:dyDescent="0.25">
      <c r="A351" s="127" t="s">
        <v>52</v>
      </c>
    </row>
    <row r="352" spans="1:1" x14ac:dyDescent="0.25">
      <c r="A352" s="128" t="s">
        <v>52</v>
      </c>
    </row>
    <row r="353" spans="1:1" x14ac:dyDescent="0.25">
      <c r="A353" s="129" t="s">
        <v>52</v>
      </c>
    </row>
    <row r="354" spans="1:1" x14ac:dyDescent="0.25">
      <c r="A354" s="130" t="s">
        <v>52</v>
      </c>
    </row>
    <row r="355" spans="1:1" x14ac:dyDescent="0.25">
      <c r="A355" s="131" t="s">
        <v>52</v>
      </c>
    </row>
    <row r="356" spans="1:1" x14ac:dyDescent="0.25">
      <c r="A356" s="132" t="s">
        <v>52</v>
      </c>
    </row>
    <row r="357" spans="1:1" x14ac:dyDescent="0.25">
      <c r="A357" s="133" t="s">
        <v>52</v>
      </c>
    </row>
    <row r="358" spans="1:1" x14ac:dyDescent="0.25">
      <c r="A358" s="134" t="s">
        <v>52</v>
      </c>
    </row>
    <row r="359" spans="1:1" x14ac:dyDescent="0.25">
      <c r="A359" s="135" t="s">
        <v>52</v>
      </c>
    </row>
    <row r="360" spans="1:1" x14ac:dyDescent="0.25">
      <c r="A360" s="136" t="s">
        <v>52</v>
      </c>
    </row>
    <row r="361" spans="1:1" x14ac:dyDescent="0.25">
      <c r="A361" s="137" t="s">
        <v>52</v>
      </c>
    </row>
    <row r="362" spans="1:1" x14ac:dyDescent="0.25">
      <c r="A362" s="138" t="s">
        <v>52</v>
      </c>
    </row>
    <row r="363" spans="1:1" x14ac:dyDescent="0.25">
      <c r="A363" s="139" t="s">
        <v>52</v>
      </c>
    </row>
    <row r="364" spans="1:1" x14ac:dyDescent="0.25">
      <c r="A364" s="19" t="s">
        <v>499</v>
      </c>
    </row>
    <row r="365" spans="1:1" x14ac:dyDescent="0.25">
      <c r="A365" s="20" t="s">
        <v>52</v>
      </c>
    </row>
    <row r="366" spans="1:1" x14ac:dyDescent="0.25">
      <c r="A366" s="21" t="s">
        <v>52</v>
      </c>
    </row>
    <row r="367" spans="1:1" x14ac:dyDescent="0.25">
      <c r="A367" s="22" t="s">
        <v>52</v>
      </c>
    </row>
    <row r="368" spans="1:1" x14ac:dyDescent="0.25">
      <c r="A368" s="23" t="s">
        <v>52</v>
      </c>
    </row>
    <row r="369" spans="1:1" x14ac:dyDescent="0.25">
      <c r="A369" s="24" t="s">
        <v>52</v>
      </c>
    </row>
    <row r="370" spans="1:1" x14ac:dyDescent="0.25">
      <c r="A370" s="25" t="s">
        <v>52</v>
      </c>
    </row>
    <row r="371" spans="1:1" x14ac:dyDescent="0.25">
      <c r="A371" s="26" t="s">
        <v>52</v>
      </c>
    </row>
    <row r="372" spans="1:1" x14ac:dyDescent="0.25">
      <c r="A372" s="27" t="s">
        <v>52</v>
      </c>
    </row>
    <row r="373" spans="1:1" x14ac:dyDescent="0.25">
      <c r="A373" s="28" t="s">
        <v>52</v>
      </c>
    </row>
    <row r="374" spans="1:1" x14ac:dyDescent="0.25">
      <c r="A374" s="29" t="s">
        <v>52</v>
      </c>
    </row>
    <row r="375" spans="1:1" x14ac:dyDescent="0.25">
      <c r="A375" s="30" t="s">
        <v>52</v>
      </c>
    </row>
    <row r="376" spans="1:1" x14ac:dyDescent="0.25">
      <c r="A376" s="31" t="s">
        <v>456</v>
      </c>
    </row>
    <row r="377" spans="1:1" x14ac:dyDescent="0.25">
      <c r="A377" s="32" t="s">
        <v>457</v>
      </c>
    </row>
    <row r="378" spans="1:1" x14ac:dyDescent="0.25">
      <c r="A378" s="33" t="s">
        <v>52</v>
      </c>
    </row>
    <row r="379" spans="1:1" x14ac:dyDescent="0.25">
      <c r="A379" s="34" t="s">
        <v>52</v>
      </c>
    </row>
    <row r="380" spans="1:1" x14ac:dyDescent="0.25">
      <c r="A380" s="35" t="s">
        <v>52</v>
      </c>
    </row>
    <row r="381" spans="1:1" x14ac:dyDescent="0.25">
      <c r="A381" s="36" t="s">
        <v>52</v>
      </c>
    </row>
    <row r="382" spans="1:1" x14ac:dyDescent="0.25">
      <c r="A382" s="37" t="s">
        <v>458</v>
      </c>
    </row>
    <row r="383" spans="1:1" x14ac:dyDescent="0.25">
      <c r="A383" s="38" t="s">
        <v>52</v>
      </c>
    </row>
    <row r="384" spans="1:1" x14ac:dyDescent="0.25">
      <c r="A384" s="39" t="s">
        <v>52</v>
      </c>
    </row>
    <row r="385" spans="1:1" x14ac:dyDescent="0.25">
      <c r="A385" s="40" t="s">
        <v>52</v>
      </c>
    </row>
    <row r="386" spans="1:1" x14ac:dyDescent="0.25">
      <c r="A386" s="41" t="s">
        <v>52</v>
      </c>
    </row>
    <row r="387" spans="1:1" x14ac:dyDescent="0.25">
      <c r="A387" s="42" t="s">
        <v>52</v>
      </c>
    </row>
    <row r="388" spans="1:1" x14ac:dyDescent="0.25">
      <c r="A388" s="43" t="s">
        <v>52</v>
      </c>
    </row>
    <row r="389" spans="1:1" x14ac:dyDescent="0.25">
      <c r="A389" s="44" t="s">
        <v>52</v>
      </c>
    </row>
    <row r="390" spans="1:1" x14ac:dyDescent="0.25">
      <c r="A390" s="45" t="s">
        <v>52</v>
      </c>
    </row>
    <row r="391" spans="1:1" x14ac:dyDescent="0.25">
      <c r="A391" s="46" t="s">
        <v>459</v>
      </c>
    </row>
    <row r="392" spans="1:1" x14ac:dyDescent="0.25">
      <c r="A392" s="47" t="s">
        <v>52</v>
      </c>
    </row>
    <row r="393" spans="1:1" x14ac:dyDescent="0.25">
      <c r="A393" s="48" t="s">
        <v>52</v>
      </c>
    </row>
    <row r="394" spans="1:1" x14ac:dyDescent="0.25">
      <c r="A394" s="49" t="s">
        <v>52</v>
      </c>
    </row>
    <row r="395" spans="1:1" x14ac:dyDescent="0.25">
      <c r="A395" s="50" t="s">
        <v>52</v>
      </c>
    </row>
    <row r="396" spans="1:1" x14ac:dyDescent="0.25">
      <c r="A396" s="51" t="s">
        <v>52</v>
      </c>
    </row>
    <row r="397" spans="1:1" x14ac:dyDescent="0.25">
      <c r="A397" s="52" t="s">
        <v>52</v>
      </c>
    </row>
    <row r="398" spans="1:1" x14ac:dyDescent="0.25">
      <c r="A398" s="53" t="s">
        <v>52</v>
      </c>
    </row>
    <row r="399" spans="1:1" x14ac:dyDescent="0.25">
      <c r="A399" s="54" t="s">
        <v>52</v>
      </c>
    </row>
    <row r="400" spans="1:1" x14ac:dyDescent="0.25">
      <c r="A400" s="55" t="s">
        <v>52</v>
      </c>
    </row>
    <row r="401" spans="1:1" x14ac:dyDescent="0.25">
      <c r="A401" s="56" t="s">
        <v>52</v>
      </c>
    </row>
    <row r="402" spans="1:1" x14ac:dyDescent="0.25">
      <c r="A402" s="57" t="s">
        <v>52</v>
      </c>
    </row>
    <row r="403" spans="1:1" x14ac:dyDescent="0.25">
      <c r="A403" s="58" t="s">
        <v>52</v>
      </c>
    </row>
    <row r="404" spans="1:1" x14ac:dyDescent="0.25">
      <c r="A404" s="59" t="s">
        <v>52</v>
      </c>
    </row>
    <row r="405" spans="1:1" x14ac:dyDescent="0.25">
      <c r="A405" s="60" t="s">
        <v>52</v>
      </c>
    </row>
    <row r="406" spans="1:1" x14ac:dyDescent="0.25">
      <c r="A406" s="61" t="s">
        <v>52</v>
      </c>
    </row>
    <row r="407" spans="1:1" x14ac:dyDescent="0.25">
      <c r="A407" s="62" t="s">
        <v>52</v>
      </c>
    </row>
    <row r="408" spans="1:1" x14ac:dyDescent="0.25">
      <c r="A408" s="63" t="s">
        <v>52</v>
      </c>
    </row>
    <row r="409" spans="1:1" x14ac:dyDescent="0.25">
      <c r="A409" s="64" t="s">
        <v>52</v>
      </c>
    </row>
    <row r="410" spans="1:1" x14ac:dyDescent="0.25">
      <c r="A410" s="65" t="s">
        <v>52</v>
      </c>
    </row>
    <row r="411" spans="1:1" x14ac:dyDescent="0.25">
      <c r="A411" s="66" t="s">
        <v>52</v>
      </c>
    </row>
    <row r="412" spans="1:1" x14ac:dyDescent="0.25">
      <c r="A412" s="67" t="s">
        <v>52</v>
      </c>
    </row>
    <row r="413" spans="1:1" x14ac:dyDescent="0.25">
      <c r="A413" s="68" t="s">
        <v>52</v>
      </c>
    </row>
    <row r="414" spans="1:1" x14ac:dyDescent="0.25">
      <c r="A414" s="69" t="s">
        <v>460</v>
      </c>
    </row>
    <row r="415" spans="1:1" x14ac:dyDescent="0.25">
      <c r="A415" s="70" t="s">
        <v>52</v>
      </c>
    </row>
    <row r="416" spans="1:1" x14ac:dyDescent="0.25">
      <c r="A416" s="71" t="s">
        <v>52</v>
      </c>
    </row>
    <row r="417" spans="1:1" x14ac:dyDescent="0.25">
      <c r="A417" s="72" t="s">
        <v>52</v>
      </c>
    </row>
    <row r="418" spans="1:1" x14ac:dyDescent="0.25">
      <c r="A418" s="73" t="s">
        <v>52</v>
      </c>
    </row>
    <row r="419" spans="1:1" x14ac:dyDescent="0.25">
      <c r="A419" s="74" t="s">
        <v>52</v>
      </c>
    </row>
    <row r="420" spans="1:1" x14ac:dyDescent="0.25">
      <c r="A420" s="75" t="s">
        <v>461</v>
      </c>
    </row>
    <row r="421" spans="1:1" x14ac:dyDescent="0.25">
      <c r="A421" s="76" t="s">
        <v>52</v>
      </c>
    </row>
    <row r="422" spans="1:1" x14ac:dyDescent="0.25">
      <c r="A422" s="77" t="s">
        <v>52</v>
      </c>
    </row>
    <row r="423" spans="1:1" x14ac:dyDescent="0.25">
      <c r="A423" s="78" t="s">
        <v>52</v>
      </c>
    </row>
    <row r="424" spans="1:1" x14ac:dyDescent="0.25">
      <c r="A424" s="79" t="s">
        <v>52</v>
      </c>
    </row>
    <row r="425" spans="1:1" x14ac:dyDescent="0.25">
      <c r="A425" s="80" t="s">
        <v>52</v>
      </c>
    </row>
    <row r="426" spans="1:1" x14ac:dyDescent="0.25">
      <c r="A426" s="81" t="s">
        <v>52</v>
      </c>
    </row>
    <row r="427" spans="1:1" x14ac:dyDescent="0.25">
      <c r="A427" s="82" t="s">
        <v>52</v>
      </c>
    </row>
    <row r="428" spans="1:1" x14ac:dyDescent="0.25">
      <c r="A428" s="83" t="s">
        <v>52</v>
      </c>
    </row>
    <row r="429" spans="1:1" x14ac:dyDescent="0.25">
      <c r="A429" s="84" t="s">
        <v>52</v>
      </c>
    </row>
    <row r="430" spans="1:1" x14ac:dyDescent="0.25">
      <c r="A430" s="85" t="s">
        <v>52</v>
      </c>
    </row>
    <row r="431" spans="1:1" x14ac:dyDescent="0.25">
      <c r="A431" s="86" t="s">
        <v>52</v>
      </c>
    </row>
    <row r="432" spans="1:1" x14ac:dyDescent="0.25">
      <c r="A432" s="87" t="s">
        <v>52</v>
      </c>
    </row>
    <row r="433" spans="1:1" x14ac:dyDescent="0.25">
      <c r="A433" s="88" t="s">
        <v>462</v>
      </c>
    </row>
    <row r="434" spans="1:1" x14ac:dyDescent="0.25">
      <c r="A434" s="89" t="s">
        <v>52</v>
      </c>
    </row>
    <row r="435" spans="1:1" x14ac:dyDescent="0.25">
      <c r="A435" s="90" t="s">
        <v>52</v>
      </c>
    </row>
    <row r="436" spans="1:1" x14ac:dyDescent="0.25">
      <c r="A436" s="120" t="s">
        <v>52</v>
      </c>
    </row>
    <row r="437" spans="1:1" x14ac:dyDescent="0.25">
      <c r="A437" s="121" t="s">
        <v>52</v>
      </c>
    </row>
    <row r="438" spans="1:1" x14ac:dyDescent="0.25">
      <c r="A438" s="122" t="s">
        <v>52</v>
      </c>
    </row>
    <row r="439" spans="1:1" x14ac:dyDescent="0.25">
      <c r="A439" s="123" t="s">
        <v>52</v>
      </c>
    </row>
    <row r="440" spans="1:1" x14ac:dyDescent="0.25">
      <c r="A440" s="124" t="s">
        <v>52</v>
      </c>
    </row>
    <row r="441" spans="1:1" x14ac:dyDescent="0.25">
      <c r="A441" s="125" t="s">
        <v>52</v>
      </c>
    </row>
    <row r="442" spans="1:1" x14ac:dyDescent="0.25">
      <c r="A442" s="126" t="s">
        <v>52</v>
      </c>
    </row>
    <row r="443" spans="1:1" x14ac:dyDescent="0.25">
      <c r="A443" s="127" t="s">
        <v>52</v>
      </c>
    </row>
    <row r="444" spans="1:1" x14ac:dyDescent="0.25">
      <c r="A444" s="128" t="s">
        <v>52</v>
      </c>
    </row>
    <row r="445" spans="1:1" x14ac:dyDescent="0.25">
      <c r="A445" s="129" t="s">
        <v>52</v>
      </c>
    </row>
    <row r="446" spans="1:1" x14ac:dyDescent="0.25">
      <c r="A446" s="130" t="s">
        <v>52</v>
      </c>
    </row>
    <row r="447" spans="1:1" x14ac:dyDescent="0.25">
      <c r="A447" s="131" t="s">
        <v>52</v>
      </c>
    </row>
    <row r="448" spans="1:1" x14ac:dyDescent="0.25">
      <c r="A448" s="132" t="s">
        <v>52</v>
      </c>
    </row>
    <row r="449" spans="1:1" x14ac:dyDescent="0.25">
      <c r="A449" s="133" t="s">
        <v>52</v>
      </c>
    </row>
    <row r="450" spans="1:1" x14ac:dyDescent="0.25">
      <c r="A450" s="134" t="s">
        <v>52</v>
      </c>
    </row>
    <row r="451" spans="1:1" x14ac:dyDescent="0.25">
      <c r="A451" s="135" t="s">
        <v>52</v>
      </c>
    </row>
    <row r="452" spans="1:1" x14ac:dyDescent="0.25">
      <c r="A452" s="136" t="s">
        <v>52</v>
      </c>
    </row>
    <row r="453" spans="1:1" x14ac:dyDescent="0.25">
      <c r="A453" s="137" t="s">
        <v>52</v>
      </c>
    </row>
    <row r="454" spans="1:1" x14ac:dyDescent="0.25">
      <c r="A454" s="138" t="s">
        <v>52</v>
      </c>
    </row>
    <row r="455" spans="1:1" x14ac:dyDescent="0.25">
      <c r="A455" s="139" t="s">
        <v>52</v>
      </c>
    </row>
    <row r="456" spans="1:1" x14ac:dyDescent="0.25">
      <c r="A456" s="18" t="s">
        <v>463</v>
      </c>
    </row>
    <row r="457" spans="1:1" x14ac:dyDescent="0.25">
      <c r="A457" s="19" t="s">
        <v>500</v>
      </c>
    </row>
    <row r="458" spans="1:1" x14ac:dyDescent="0.25">
      <c r="A458" s="20" t="s">
        <v>501</v>
      </c>
    </row>
    <row r="459" spans="1:1" x14ac:dyDescent="0.25">
      <c r="A459" s="21" t="s">
        <v>464</v>
      </c>
    </row>
    <row r="460" spans="1:1" x14ac:dyDescent="0.25">
      <c r="A460" s="22" t="s">
        <v>52</v>
      </c>
    </row>
    <row r="461" spans="1:1" x14ac:dyDescent="0.25">
      <c r="A461" s="23" t="s">
        <v>52</v>
      </c>
    </row>
    <row r="462" spans="1:1" x14ac:dyDescent="0.25">
      <c r="A462" s="24" t="s">
        <v>52</v>
      </c>
    </row>
    <row r="463" spans="1:1" x14ac:dyDescent="0.25">
      <c r="A463" s="25" t="s">
        <v>52</v>
      </c>
    </row>
    <row r="464" spans="1:1" x14ac:dyDescent="0.25">
      <c r="A464" s="26" t="s">
        <v>465</v>
      </c>
    </row>
    <row r="465" spans="1:1" x14ac:dyDescent="0.25">
      <c r="A465" s="27" t="s">
        <v>511</v>
      </c>
    </row>
    <row r="466" spans="1:1" x14ac:dyDescent="0.25">
      <c r="A466" s="28" t="s">
        <v>52</v>
      </c>
    </row>
    <row r="467" spans="1:1" x14ac:dyDescent="0.25">
      <c r="A467" s="29" t="s">
        <v>52</v>
      </c>
    </row>
    <row r="468" spans="1:1" x14ac:dyDescent="0.25">
      <c r="A468" s="30" t="s">
        <v>466</v>
      </c>
    </row>
    <row r="469" spans="1:1" x14ac:dyDescent="0.25">
      <c r="A469" s="31" t="s">
        <v>467</v>
      </c>
    </row>
    <row r="470" spans="1:1" x14ac:dyDescent="0.25">
      <c r="A470" s="32" t="s">
        <v>52</v>
      </c>
    </row>
    <row r="471" spans="1:1" x14ac:dyDescent="0.25">
      <c r="A471" s="33" t="s">
        <v>52</v>
      </c>
    </row>
    <row r="472" spans="1:1" x14ac:dyDescent="0.25">
      <c r="A472" s="34" t="s">
        <v>52</v>
      </c>
    </row>
    <row r="473" spans="1:1" x14ac:dyDescent="0.25">
      <c r="A473" s="35" t="s">
        <v>468</v>
      </c>
    </row>
    <row r="474" spans="1:1" x14ac:dyDescent="0.25">
      <c r="A474" s="36" t="s">
        <v>52</v>
      </c>
    </row>
    <row r="475" spans="1:1" x14ac:dyDescent="0.25">
      <c r="A475" s="37" t="s">
        <v>469</v>
      </c>
    </row>
    <row r="476" spans="1:1" x14ac:dyDescent="0.25">
      <c r="A476" s="38" t="s">
        <v>52</v>
      </c>
    </row>
    <row r="477" spans="1:1" x14ac:dyDescent="0.25">
      <c r="A477" s="39" t="s">
        <v>52</v>
      </c>
    </row>
    <row r="478" spans="1:1" x14ac:dyDescent="0.25">
      <c r="A478" s="40" t="s">
        <v>52</v>
      </c>
    </row>
    <row r="479" spans="1:1" x14ac:dyDescent="0.25">
      <c r="A479" s="41" t="s">
        <v>52</v>
      </c>
    </row>
    <row r="480" spans="1:1" x14ac:dyDescent="0.25">
      <c r="A480" s="42" t="s">
        <v>52</v>
      </c>
    </row>
    <row r="481" spans="1:1" x14ac:dyDescent="0.25">
      <c r="A481" s="43" t="s">
        <v>470</v>
      </c>
    </row>
    <row r="482" spans="1:1" x14ac:dyDescent="0.25">
      <c r="A482" s="44" t="s">
        <v>471</v>
      </c>
    </row>
    <row r="483" spans="1:1" x14ac:dyDescent="0.25">
      <c r="A483" s="45" t="s">
        <v>52</v>
      </c>
    </row>
    <row r="484" spans="1:1" x14ac:dyDescent="0.25">
      <c r="A484" s="46" t="s">
        <v>52</v>
      </c>
    </row>
    <row r="485" spans="1:1" x14ac:dyDescent="0.25">
      <c r="A485" s="47" t="s">
        <v>52</v>
      </c>
    </row>
    <row r="486" spans="1:1" x14ac:dyDescent="0.25">
      <c r="A486" s="48" t="s">
        <v>520</v>
      </c>
    </row>
    <row r="487" spans="1:1" x14ac:dyDescent="0.25">
      <c r="A487" s="49" t="s">
        <v>52</v>
      </c>
    </row>
    <row r="488" spans="1:1" x14ac:dyDescent="0.25">
      <c r="A488" s="50" t="s">
        <v>52</v>
      </c>
    </row>
    <row r="489" spans="1:1" x14ac:dyDescent="0.25">
      <c r="A489" s="51" t="s">
        <v>52</v>
      </c>
    </row>
    <row r="490" spans="1:1" x14ac:dyDescent="0.25">
      <c r="A490" s="52" t="s">
        <v>52</v>
      </c>
    </row>
    <row r="491" spans="1:1" x14ac:dyDescent="0.25">
      <c r="A491" s="53" t="s">
        <v>52</v>
      </c>
    </row>
    <row r="492" spans="1:1" x14ac:dyDescent="0.25">
      <c r="A492" s="54" t="s">
        <v>52</v>
      </c>
    </row>
    <row r="493" spans="1:1" x14ac:dyDescent="0.25">
      <c r="A493" s="55" t="s">
        <v>52</v>
      </c>
    </row>
    <row r="494" spans="1:1" x14ac:dyDescent="0.25">
      <c r="A494" s="56" t="s">
        <v>52</v>
      </c>
    </row>
    <row r="495" spans="1:1" x14ac:dyDescent="0.25">
      <c r="A495" s="57" t="s">
        <v>52</v>
      </c>
    </row>
    <row r="496" spans="1:1" x14ac:dyDescent="0.25">
      <c r="A496" s="58" t="s">
        <v>52</v>
      </c>
    </row>
    <row r="497" spans="1:1" x14ac:dyDescent="0.25">
      <c r="A497" s="59" t="s">
        <v>52</v>
      </c>
    </row>
    <row r="498" spans="1:1" x14ac:dyDescent="0.25">
      <c r="A498" s="60" t="s">
        <v>52</v>
      </c>
    </row>
    <row r="499" spans="1:1" x14ac:dyDescent="0.25">
      <c r="A499" s="61" t="s">
        <v>52</v>
      </c>
    </row>
    <row r="500" spans="1:1" x14ac:dyDescent="0.25">
      <c r="A500" s="62" t="s">
        <v>52</v>
      </c>
    </row>
    <row r="501" spans="1:1" x14ac:dyDescent="0.25">
      <c r="A501" s="63" t="s">
        <v>52</v>
      </c>
    </row>
    <row r="502" spans="1:1" x14ac:dyDescent="0.25">
      <c r="A502" s="64" t="s">
        <v>52</v>
      </c>
    </row>
    <row r="503" spans="1:1" x14ac:dyDescent="0.25">
      <c r="A503" s="65" t="s">
        <v>52</v>
      </c>
    </row>
    <row r="504" spans="1:1" x14ac:dyDescent="0.25">
      <c r="A504" s="66" t="s">
        <v>52</v>
      </c>
    </row>
    <row r="505" spans="1:1" x14ac:dyDescent="0.25">
      <c r="A505" s="67" t="s">
        <v>52</v>
      </c>
    </row>
    <row r="506" spans="1:1" x14ac:dyDescent="0.25">
      <c r="A506" s="68" t="s">
        <v>52</v>
      </c>
    </row>
    <row r="507" spans="1:1" x14ac:dyDescent="0.25">
      <c r="A507" s="69" t="s">
        <v>52</v>
      </c>
    </row>
    <row r="508" spans="1:1" x14ac:dyDescent="0.25">
      <c r="A508" s="70" t="s">
        <v>52</v>
      </c>
    </row>
    <row r="509" spans="1:1" x14ac:dyDescent="0.25">
      <c r="A509" s="71" t="s">
        <v>52</v>
      </c>
    </row>
    <row r="510" spans="1:1" x14ac:dyDescent="0.25">
      <c r="A510" s="72" t="s">
        <v>52</v>
      </c>
    </row>
    <row r="511" spans="1:1" x14ac:dyDescent="0.25">
      <c r="A511" s="73" t="s">
        <v>52</v>
      </c>
    </row>
    <row r="512" spans="1:1" x14ac:dyDescent="0.25">
      <c r="A512" s="74" t="s">
        <v>52</v>
      </c>
    </row>
    <row r="513" spans="1:1" x14ac:dyDescent="0.25">
      <c r="A513" s="75" t="s">
        <v>52</v>
      </c>
    </row>
    <row r="514" spans="1:1" x14ac:dyDescent="0.25">
      <c r="A514" s="76" t="s">
        <v>52</v>
      </c>
    </row>
    <row r="515" spans="1:1" x14ac:dyDescent="0.25">
      <c r="A515" s="77" t="s">
        <v>52</v>
      </c>
    </row>
    <row r="516" spans="1:1" x14ac:dyDescent="0.25">
      <c r="A516" s="78" t="s">
        <v>52</v>
      </c>
    </row>
    <row r="517" spans="1:1" x14ac:dyDescent="0.25">
      <c r="A517" s="79" t="s">
        <v>52</v>
      </c>
    </row>
    <row r="518" spans="1:1" x14ac:dyDescent="0.25">
      <c r="A518" s="80" t="s">
        <v>52</v>
      </c>
    </row>
    <row r="519" spans="1:1" x14ac:dyDescent="0.25">
      <c r="A519" s="81" t="s">
        <v>52</v>
      </c>
    </row>
    <row r="520" spans="1:1" x14ac:dyDescent="0.25">
      <c r="A520" s="82" t="s">
        <v>52</v>
      </c>
    </row>
    <row r="521" spans="1:1" x14ac:dyDescent="0.25">
      <c r="A521" s="83" t="s">
        <v>52</v>
      </c>
    </row>
    <row r="522" spans="1:1" x14ac:dyDescent="0.25">
      <c r="A522" s="84" t="s">
        <v>52</v>
      </c>
    </row>
    <row r="523" spans="1:1" x14ac:dyDescent="0.25">
      <c r="A523" s="85" t="s">
        <v>52</v>
      </c>
    </row>
    <row r="524" spans="1:1" x14ac:dyDescent="0.25">
      <c r="A524" s="86" t="s">
        <v>52</v>
      </c>
    </row>
    <row r="525" spans="1:1" x14ac:dyDescent="0.25">
      <c r="A525" s="87" t="s">
        <v>52</v>
      </c>
    </row>
    <row r="526" spans="1:1" x14ac:dyDescent="0.25">
      <c r="A526" s="88" t="s">
        <v>472</v>
      </c>
    </row>
    <row r="527" spans="1:1" x14ac:dyDescent="0.25">
      <c r="A527" s="89" t="s">
        <v>473</v>
      </c>
    </row>
    <row r="528" spans="1:1" x14ac:dyDescent="0.25">
      <c r="A528" s="90" t="s">
        <v>52</v>
      </c>
    </row>
    <row r="529" spans="1:1" x14ac:dyDescent="0.25">
      <c r="A529" s="120" t="s">
        <v>52</v>
      </c>
    </row>
    <row r="530" spans="1:1" x14ac:dyDescent="0.25">
      <c r="A530" s="121" t="s">
        <v>52</v>
      </c>
    </row>
    <row r="531" spans="1:1" x14ac:dyDescent="0.25">
      <c r="A531" s="122" t="s">
        <v>52</v>
      </c>
    </row>
    <row r="532" spans="1:1" x14ac:dyDescent="0.25">
      <c r="A532" s="123" t="s">
        <v>52</v>
      </c>
    </row>
    <row r="533" spans="1:1" x14ac:dyDescent="0.25">
      <c r="A533" s="124" t="s">
        <v>52</v>
      </c>
    </row>
    <row r="534" spans="1:1" x14ac:dyDescent="0.25">
      <c r="A534" s="125" t="s">
        <v>52</v>
      </c>
    </row>
    <row r="535" spans="1:1" x14ac:dyDescent="0.25">
      <c r="A535" s="126" t="s">
        <v>52</v>
      </c>
    </row>
    <row r="536" spans="1:1" x14ac:dyDescent="0.25">
      <c r="A536" s="127" t="s">
        <v>52</v>
      </c>
    </row>
    <row r="537" spans="1:1" x14ac:dyDescent="0.25">
      <c r="A537" s="128" t="s">
        <v>52</v>
      </c>
    </row>
    <row r="538" spans="1:1" x14ac:dyDescent="0.25">
      <c r="A538" s="129" t="s">
        <v>52</v>
      </c>
    </row>
    <row r="539" spans="1:1" x14ac:dyDescent="0.25">
      <c r="A539" s="130" t="s">
        <v>52</v>
      </c>
    </row>
    <row r="540" spans="1:1" x14ac:dyDescent="0.25">
      <c r="A540" s="131" t="s">
        <v>52</v>
      </c>
    </row>
    <row r="541" spans="1:1" x14ac:dyDescent="0.25">
      <c r="A541" s="132" t="s">
        <v>52</v>
      </c>
    </row>
    <row r="542" spans="1:1" x14ac:dyDescent="0.25">
      <c r="A542" s="133" t="s">
        <v>52</v>
      </c>
    </row>
    <row r="543" spans="1:1" x14ac:dyDescent="0.25">
      <c r="A543" s="134" t="s">
        <v>52</v>
      </c>
    </row>
    <row r="544" spans="1:1" x14ac:dyDescent="0.25">
      <c r="A544" s="135" t="s">
        <v>474</v>
      </c>
    </row>
    <row r="545" spans="1:1" x14ac:dyDescent="0.25">
      <c r="A545" s="136" t="s">
        <v>52</v>
      </c>
    </row>
    <row r="546" spans="1:1" x14ac:dyDescent="0.25">
      <c r="A546" s="137" t="s">
        <v>52</v>
      </c>
    </row>
    <row r="547" spans="1:1" x14ac:dyDescent="0.25">
      <c r="A547" s="138" t="s">
        <v>52</v>
      </c>
    </row>
    <row r="548" spans="1:1" x14ac:dyDescent="0.25">
      <c r="A548" s="139" t="s">
        <v>52</v>
      </c>
    </row>
    <row r="549" spans="1:1" x14ac:dyDescent="0.25">
      <c r="A549" s="18" t="s">
        <v>475</v>
      </c>
    </row>
    <row r="550" spans="1:1" x14ac:dyDescent="0.25">
      <c r="A550" s="19" t="s">
        <v>502</v>
      </c>
    </row>
    <row r="551" spans="1:1" x14ac:dyDescent="0.25">
      <c r="A551" s="20" t="s">
        <v>503</v>
      </c>
    </row>
    <row r="552" spans="1:1" x14ac:dyDescent="0.25">
      <c r="A552" s="21" t="s">
        <v>476</v>
      </c>
    </row>
    <row r="553" spans="1:1" x14ac:dyDescent="0.25">
      <c r="A553" s="22" t="s">
        <v>52</v>
      </c>
    </row>
    <row r="554" spans="1:1" x14ac:dyDescent="0.25">
      <c r="A554" s="23" t="s">
        <v>52</v>
      </c>
    </row>
    <row r="555" spans="1:1" x14ac:dyDescent="0.25">
      <c r="A555" s="24" t="s">
        <v>52</v>
      </c>
    </row>
    <row r="556" spans="1:1" x14ac:dyDescent="0.25">
      <c r="A556" s="25" t="s">
        <v>52</v>
      </c>
    </row>
    <row r="557" spans="1:1" x14ac:dyDescent="0.25">
      <c r="A557" s="26" t="s">
        <v>477</v>
      </c>
    </row>
    <row r="558" spans="1:1" x14ac:dyDescent="0.25">
      <c r="A558" s="27" t="s">
        <v>512</v>
      </c>
    </row>
    <row r="559" spans="1:1" x14ac:dyDescent="0.25">
      <c r="A559" s="28" t="s">
        <v>52</v>
      </c>
    </row>
    <row r="560" spans="1:1" x14ac:dyDescent="0.25">
      <c r="A560" s="29" t="s">
        <v>52</v>
      </c>
    </row>
    <row r="561" spans="1:1" x14ac:dyDescent="0.25">
      <c r="A561" s="30" t="s">
        <v>478</v>
      </c>
    </row>
    <row r="562" spans="1:1" x14ac:dyDescent="0.25">
      <c r="A562" s="31" t="s">
        <v>479</v>
      </c>
    </row>
    <row r="563" spans="1:1" x14ac:dyDescent="0.25">
      <c r="A563" s="32" t="s">
        <v>52</v>
      </c>
    </row>
    <row r="564" spans="1:1" x14ac:dyDescent="0.25">
      <c r="A564" s="33" t="s">
        <v>52</v>
      </c>
    </row>
    <row r="565" spans="1:1" x14ac:dyDescent="0.25">
      <c r="A565" s="34" t="s">
        <v>52</v>
      </c>
    </row>
    <row r="566" spans="1:1" x14ac:dyDescent="0.25">
      <c r="A566" s="35" t="s">
        <v>480</v>
      </c>
    </row>
    <row r="567" spans="1:1" x14ac:dyDescent="0.25">
      <c r="A567" s="36" t="s">
        <v>52</v>
      </c>
    </row>
    <row r="568" spans="1:1" x14ac:dyDescent="0.25">
      <c r="A568" s="37" t="s">
        <v>481</v>
      </c>
    </row>
    <row r="569" spans="1:1" x14ac:dyDescent="0.25">
      <c r="A569" s="38" t="s">
        <v>52</v>
      </c>
    </row>
    <row r="570" spans="1:1" x14ac:dyDescent="0.25">
      <c r="A570" s="39" t="s">
        <v>52</v>
      </c>
    </row>
    <row r="571" spans="1:1" x14ac:dyDescent="0.25">
      <c r="A571" s="40" t="s">
        <v>52</v>
      </c>
    </row>
    <row r="572" spans="1:1" x14ac:dyDescent="0.25">
      <c r="A572" s="41" t="s">
        <v>52</v>
      </c>
    </row>
    <row r="573" spans="1:1" x14ac:dyDescent="0.25">
      <c r="A573" s="42" t="s">
        <v>52</v>
      </c>
    </row>
    <row r="574" spans="1:1" x14ac:dyDescent="0.25">
      <c r="A574" s="43" t="s">
        <v>482</v>
      </c>
    </row>
    <row r="575" spans="1:1" x14ac:dyDescent="0.25">
      <c r="A575" s="44" t="s">
        <v>483</v>
      </c>
    </row>
    <row r="576" spans="1:1" x14ac:dyDescent="0.25">
      <c r="A576" s="45" t="s">
        <v>52</v>
      </c>
    </row>
    <row r="577" spans="1:1" x14ac:dyDescent="0.25">
      <c r="A577" s="46" t="s">
        <v>52</v>
      </c>
    </row>
    <row r="578" spans="1:1" x14ac:dyDescent="0.25">
      <c r="A578" s="47" t="s">
        <v>52</v>
      </c>
    </row>
    <row r="579" spans="1:1" x14ac:dyDescent="0.25">
      <c r="A579" s="48" t="s">
        <v>521</v>
      </c>
    </row>
    <row r="580" spans="1:1" x14ac:dyDescent="0.25">
      <c r="A580" s="49" t="s">
        <v>52</v>
      </c>
    </row>
    <row r="581" spans="1:1" x14ac:dyDescent="0.25">
      <c r="A581" s="50" t="s">
        <v>52</v>
      </c>
    </row>
    <row r="582" spans="1:1" x14ac:dyDescent="0.25">
      <c r="A582" s="51" t="s">
        <v>52</v>
      </c>
    </row>
    <row r="583" spans="1:1" x14ac:dyDescent="0.25">
      <c r="A583" s="52" t="s">
        <v>52</v>
      </c>
    </row>
    <row r="584" spans="1:1" x14ac:dyDescent="0.25">
      <c r="A584" s="53" t="s">
        <v>52</v>
      </c>
    </row>
    <row r="585" spans="1:1" x14ac:dyDescent="0.25">
      <c r="A585" s="54" t="s">
        <v>52</v>
      </c>
    </row>
    <row r="586" spans="1:1" x14ac:dyDescent="0.25">
      <c r="A586" s="55" t="s">
        <v>52</v>
      </c>
    </row>
    <row r="587" spans="1:1" x14ac:dyDescent="0.25">
      <c r="A587" s="56" t="s">
        <v>52</v>
      </c>
    </row>
    <row r="588" spans="1:1" x14ac:dyDescent="0.25">
      <c r="A588" s="57" t="s">
        <v>52</v>
      </c>
    </row>
    <row r="589" spans="1:1" x14ac:dyDescent="0.25">
      <c r="A589" s="58" t="s">
        <v>52</v>
      </c>
    </row>
    <row r="590" spans="1:1" x14ac:dyDescent="0.25">
      <c r="A590" s="59" t="s">
        <v>52</v>
      </c>
    </row>
    <row r="591" spans="1:1" x14ac:dyDescent="0.25">
      <c r="A591" s="60" t="s">
        <v>52</v>
      </c>
    </row>
    <row r="592" spans="1:1" x14ac:dyDescent="0.25">
      <c r="A592" s="61" t="s">
        <v>52</v>
      </c>
    </row>
    <row r="593" spans="1:1" x14ac:dyDescent="0.25">
      <c r="A593" s="62" t="s">
        <v>52</v>
      </c>
    </row>
    <row r="594" spans="1:1" x14ac:dyDescent="0.25">
      <c r="A594" s="63" t="s">
        <v>52</v>
      </c>
    </row>
    <row r="595" spans="1:1" x14ac:dyDescent="0.25">
      <c r="A595" s="64" t="s">
        <v>52</v>
      </c>
    </row>
    <row r="596" spans="1:1" x14ac:dyDescent="0.25">
      <c r="A596" s="65" t="s">
        <v>52</v>
      </c>
    </row>
    <row r="597" spans="1:1" x14ac:dyDescent="0.25">
      <c r="A597" s="66" t="s">
        <v>52</v>
      </c>
    </row>
    <row r="598" spans="1:1" x14ac:dyDescent="0.25">
      <c r="A598" s="67" t="s">
        <v>52</v>
      </c>
    </row>
    <row r="599" spans="1:1" x14ac:dyDescent="0.25">
      <c r="A599" s="68" t="s">
        <v>52</v>
      </c>
    </row>
    <row r="600" spans="1:1" x14ac:dyDescent="0.25">
      <c r="A600" s="69" t="s">
        <v>52</v>
      </c>
    </row>
    <row r="601" spans="1:1" x14ac:dyDescent="0.25">
      <c r="A601" s="70" t="s">
        <v>52</v>
      </c>
    </row>
    <row r="602" spans="1:1" x14ac:dyDescent="0.25">
      <c r="A602" s="71" t="s">
        <v>52</v>
      </c>
    </row>
    <row r="603" spans="1:1" x14ac:dyDescent="0.25">
      <c r="A603" s="72" t="s">
        <v>52</v>
      </c>
    </row>
    <row r="604" spans="1:1" x14ac:dyDescent="0.25">
      <c r="A604" s="73" t="s">
        <v>52</v>
      </c>
    </row>
    <row r="605" spans="1:1" x14ac:dyDescent="0.25">
      <c r="A605" s="74" t="s">
        <v>52</v>
      </c>
    </row>
    <row r="606" spans="1:1" x14ac:dyDescent="0.25">
      <c r="A606" s="75" t="s">
        <v>52</v>
      </c>
    </row>
    <row r="607" spans="1:1" x14ac:dyDescent="0.25">
      <c r="A607" s="76" t="s">
        <v>52</v>
      </c>
    </row>
    <row r="608" spans="1:1" x14ac:dyDescent="0.25">
      <c r="A608" s="77" t="s">
        <v>52</v>
      </c>
    </row>
    <row r="609" spans="1:1" x14ac:dyDescent="0.25">
      <c r="A609" s="78" t="s">
        <v>52</v>
      </c>
    </row>
    <row r="610" spans="1:1" x14ac:dyDescent="0.25">
      <c r="A610" s="79" t="s">
        <v>52</v>
      </c>
    </row>
    <row r="611" spans="1:1" x14ac:dyDescent="0.25">
      <c r="A611" s="80" t="s">
        <v>52</v>
      </c>
    </row>
    <row r="612" spans="1:1" x14ac:dyDescent="0.25">
      <c r="A612" s="81" t="s">
        <v>52</v>
      </c>
    </row>
    <row r="613" spans="1:1" x14ac:dyDescent="0.25">
      <c r="A613" s="82" t="s">
        <v>52</v>
      </c>
    </row>
    <row r="614" spans="1:1" x14ac:dyDescent="0.25">
      <c r="A614" s="83" t="s">
        <v>52</v>
      </c>
    </row>
    <row r="615" spans="1:1" x14ac:dyDescent="0.25">
      <c r="A615" s="84" t="s">
        <v>52</v>
      </c>
    </row>
    <row r="616" spans="1:1" x14ac:dyDescent="0.25">
      <c r="A616" s="85" t="s">
        <v>52</v>
      </c>
    </row>
    <row r="617" spans="1:1" x14ac:dyDescent="0.25">
      <c r="A617" s="86" t="s">
        <v>52</v>
      </c>
    </row>
    <row r="618" spans="1:1" x14ac:dyDescent="0.25">
      <c r="A618" s="87" t="s">
        <v>52</v>
      </c>
    </row>
    <row r="619" spans="1:1" x14ac:dyDescent="0.25">
      <c r="A619" s="88" t="s">
        <v>484</v>
      </c>
    </row>
    <row r="620" spans="1:1" x14ac:dyDescent="0.25">
      <c r="A620" s="89" t="s">
        <v>485</v>
      </c>
    </row>
    <row r="621" spans="1:1" x14ac:dyDescent="0.25">
      <c r="A621" s="90" t="s">
        <v>52</v>
      </c>
    </row>
    <row r="622" spans="1:1" x14ac:dyDescent="0.25">
      <c r="A622" s="120" t="s">
        <v>52</v>
      </c>
    </row>
    <row r="623" spans="1:1" x14ac:dyDescent="0.25">
      <c r="A623" s="121" t="s">
        <v>52</v>
      </c>
    </row>
    <row r="624" spans="1:1" x14ac:dyDescent="0.25">
      <c r="A624" s="122" t="s">
        <v>52</v>
      </c>
    </row>
    <row r="625" spans="1:1" x14ac:dyDescent="0.25">
      <c r="A625" s="123" t="s">
        <v>52</v>
      </c>
    </row>
    <row r="626" spans="1:1" x14ac:dyDescent="0.25">
      <c r="A626" s="124" t="s">
        <v>52</v>
      </c>
    </row>
    <row r="627" spans="1:1" x14ac:dyDescent="0.25">
      <c r="A627" s="125" t="s">
        <v>52</v>
      </c>
    </row>
    <row r="628" spans="1:1" x14ac:dyDescent="0.25">
      <c r="A628" s="126" t="s">
        <v>52</v>
      </c>
    </row>
    <row r="629" spans="1:1" x14ac:dyDescent="0.25">
      <c r="A629" s="127" t="s">
        <v>52</v>
      </c>
    </row>
    <row r="630" spans="1:1" x14ac:dyDescent="0.25">
      <c r="A630" s="128" t="s">
        <v>52</v>
      </c>
    </row>
    <row r="631" spans="1:1" x14ac:dyDescent="0.25">
      <c r="A631" s="129" t="s">
        <v>52</v>
      </c>
    </row>
    <row r="632" spans="1:1" x14ac:dyDescent="0.25">
      <c r="A632" s="130" t="s">
        <v>52</v>
      </c>
    </row>
    <row r="633" spans="1:1" x14ac:dyDescent="0.25">
      <c r="A633" s="131" t="s">
        <v>52</v>
      </c>
    </row>
    <row r="634" spans="1:1" x14ac:dyDescent="0.25">
      <c r="A634" s="132" t="s">
        <v>52</v>
      </c>
    </row>
    <row r="635" spans="1:1" x14ac:dyDescent="0.25">
      <c r="A635" s="133" t="s">
        <v>52</v>
      </c>
    </row>
    <row r="636" spans="1:1" x14ac:dyDescent="0.25">
      <c r="A636" s="134" t="s">
        <v>52</v>
      </c>
    </row>
    <row r="637" spans="1:1" x14ac:dyDescent="0.25">
      <c r="A637" s="135" t="s">
        <v>486</v>
      </c>
    </row>
    <row r="638" spans="1:1" x14ac:dyDescent="0.25">
      <c r="A638" s="136" t="s">
        <v>52</v>
      </c>
    </row>
    <row r="639" spans="1:1" x14ac:dyDescent="0.25">
      <c r="A639" s="137" t="s">
        <v>52</v>
      </c>
    </row>
    <row r="640" spans="1:1" x14ac:dyDescent="0.25">
      <c r="A640" s="138" t="s">
        <v>52</v>
      </c>
    </row>
    <row r="641" spans="1:1" x14ac:dyDescent="0.25">
      <c r="A641" s="139" t="s">
        <v>52</v>
      </c>
    </row>
    <row r="642" spans="1:1" x14ac:dyDescent="0.25">
      <c r="A642" s="18" t="s">
        <v>487</v>
      </c>
    </row>
    <row r="643" spans="1:1" x14ac:dyDescent="0.25">
      <c r="A643" s="19" t="s">
        <v>52</v>
      </c>
    </row>
    <row r="644" spans="1:1" x14ac:dyDescent="0.25">
      <c r="A644" s="20" t="s">
        <v>52</v>
      </c>
    </row>
    <row r="645" spans="1:1" x14ac:dyDescent="0.25">
      <c r="A645" s="21" t="s">
        <v>52</v>
      </c>
    </row>
    <row r="646" spans="1:1" x14ac:dyDescent="0.25">
      <c r="A646" s="22" t="s">
        <v>504</v>
      </c>
    </row>
    <row r="647" spans="1:1" x14ac:dyDescent="0.25">
      <c r="A647" s="23" t="s">
        <v>52</v>
      </c>
    </row>
    <row r="648" spans="1:1" x14ac:dyDescent="0.25">
      <c r="A648" s="24" t="s">
        <v>52</v>
      </c>
    </row>
    <row r="649" spans="1:1" x14ac:dyDescent="0.25">
      <c r="A649" s="25" t="s">
        <v>52</v>
      </c>
    </row>
    <row r="650" spans="1:1" x14ac:dyDescent="0.25">
      <c r="A650" s="26" t="s">
        <v>488</v>
      </c>
    </row>
    <row r="651" spans="1:1" x14ac:dyDescent="0.25">
      <c r="A651" s="27" t="s">
        <v>513</v>
      </c>
    </row>
    <row r="652" spans="1:1" x14ac:dyDescent="0.25">
      <c r="A652" s="28" t="s">
        <v>52</v>
      </c>
    </row>
    <row r="653" spans="1:1" x14ac:dyDescent="0.25">
      <c r="A653" s="29" t="s">
        <v>52</v>
      </c>
    </row>
    <row r="654" spans="1:1" x14ac:dyDescent="0.25">
      <c r="A654" s="30" t="s">
        <v>52</v>
      </c>
    </row>
    <row r="655" spans="1:1" x14ac:dyDescent="0.25">
      <c r="A655" s="31" t="s">
        <v>52</v>
      </c>
    </row>
    <row r="656" spans="1:1" x14ac:dyDescent="0.25">
      <c r="A656" s="32" t="s">
        <v>52</v>
      </c>
    </row>
    <row r="657" spans="1:1" x14ac:dyDescent="0.25">
      <c r="A657" s="33" t="s">
        <v>52</v>
      </c>
    </row>
    <row r="658" spans="1:1" x14ac:dyDescent="0.25">
      <c r="A658" s="34" t="s">
        <v>52</v>
      </c>
    </row>
    <row r="659" spans="1:1" x14ac:dyDescent="0.25">
      <c r="A659" s="35" t="s">
        <v>52</v>
      </c>
    </row>
    <row r="660" spans="1:1" x14ac:dyDescent="0.25">
      <c r="A660" s="36" t="s">
        <v>52</v>
      </c>
    </row>
    <row r="661" spans="1:1" x14ac:dyDescent="0.25">
      <c r="A661" s="37" t="s">
        <v>52</v>
      </c>
    </row>
    <row r="662" spans="1:1" x14ac:dyDescent="0.25">
      <c r="A662" s="38" t="s">
        <v>52</v>
      </c>
    </row>
    <row r="663" spans="1:1" x14ac:dyDescent="0.25">
      <c r="A663" s="39" t="s">
        <v>52</v>
      </c>
    </row>
    <row r="664" spans="1:1" x14ac:dyDescent="0.25">
      <c r="A664" s="40" t="s">
        <v>52</v>
      </c>
    </row>
    <row r="665" spans="1:1" x14ac:dyDescent="0.25">
      <c r="A665" s="41" t="s">
        <v>52</v>
      </c>
    </row>
    <row r="666" spans="1:1" x14ac:dyDescent="0.25">
      <c r="A666" s="42" t="s">
        <v>52</v>
      </c>
    </row>
    <row r="667" spans="1:1" x14ac:dyDescent="0.25">
      <c r="A667" s="43" t="s">
        <v>52</v>
      </c>
    </row>
    <row r="668" spans="1:1" x14ac:dyDescent="0.25">
      <c r="A668" s="44" t="s">
        <v>52</v>
      </c>
    </row>
    <row r="669" spans="1:1" x14ac:dyDescent="0.25">
      <c r="A669" s="45" t="s">
        <v>52</v>
      </c>
    </row>
    <row r="670" spans="1:1" x14ac:dyDescent="0.25">
      <c r="A670" s="46" t="s">
        <v>52</v>
      </c>
    </row>
    <row r="671" spans="1:1" x14ac:dyDescent="0.25">
      <c r="A671" s="47" t="s">
        <v>52</v>
      </c>
    </row>
    <row r="672" spans="1:1" x14ac:dyDescent="0.25">
      <c r="A672" s="48" t="s">
        <v>52</v>
      </c>
    </row>
    <row r="673" spans="1:1" x14ac:dyDescent="0.25">
      <c r="A673" s="49" t="s">
        <v>52</v>
      </c>
    </row>
    <row r="674" spans="1:1" x14ac:dyDescent="0.25">
      <c r="A674" s="50" t="s">
        <v>52</v>
      </c>
    </row>
    <row r="675" spans="1:1" x14ac:dyDescent="0.25">
      <c r="A675" s="51" t="s">
        <v>52</v>
      </c>
    </row>
    <row r="676" spans="1:1" x14ac:dyDescent="0.25">
      <c r="A676" s="52" t="s">
        <v>52</v>
      </c>
    </row>
    <row r="677" spans="1:1" x14ac:dyDescent="0.25">
      <c r="A677" s="53" t="s">
        <v>52</v>
      </c>
    </row>
    <row r="678" spans="1:1" x14ac:dyDescent="0.25">
      <c r="A678" s="54" t="s">
        <v>52</v>
      </c>
    </row>
    <row r="679" spans="1:1" x14ac:dyDescent="0.25">
      <c r="A679" s="55" t="s">
        <v>52</v>
      </c>
    </row>
    <row r="680" spans="1:1" x14ac:dyDescent="0.25">
      <c r="A680" s="56" t="s">
        <v>52</v>
      </c>
    </row>
    <row r="681" spans="1:1" x14ac:dyDescent="0.25">
      <c r="A681" s="57" t="s">
        <v>52</v>
      </c>
    </row>
    <row r="682" spans="1:1" x14ac:dyDescent="0.25">
      <c r="A682" s="58" t="s">
        <v>52</v>
      </c>
    </row>
    <row r="683" spans="1:1" x14ac:dyDescent="0.25">
      <c r="A683" s="59" t="s">
        <v>52</v>
      </c>
    </row>
    <row r="684" spans="1:1" x14ac:dyDescent="0.25">
      <c r="A684" s="60" t="s">
        <v>52</v>
      </c>
    </row>
    <row r="685" spans="1:1" x14ac:dyDescent="0.25">
      <c r="A685" s="61" t="s">
        <v>52</v>
      </c>
    </row>
    <row r="686" spans="1:1" x14ac:dyDescent="0.25">
      <c r="A686" s="62" t="s">
        <v>52</v>
      </c>
    </row>
    <row r="687" spans="1:1" x14ac:dyDescent="0.25">
      <c r="A687" s="63" t="s">
        <v>52</v>
      </c>
    </row>
    <row r="688" spans="1:1" x14ac:dyDescent="0.25">
      <c r="A688" s="64" t="s">
        <v>52</v>
      </c>
    </row>
    <row r="689" spans="1:1" x14ac:dyDescent="0.25">
      <c r="A689" s="65" t="s">
        <v>52</v>
      </c>
    </row>
    <row r="690" spans="1:1" x14ac:dyDescent="0.25">
      <c r="A690" s="66" t="s">
        <v>52</v>
      </c>
    </row>
    <row r="691" spans="1:1" x14ac:dyDescent="0.25">
      <c r="A691" s="67" t="s">
        <v>52</v>
      </c>
    </row>
    <row r="692" spans="1:1" x14ac:dyDescent="0.25">
      <c r="A692" s="68" t="s">
        <v>52</v>
      </c>
    </row>
    <row r="693" spans="1:1" x14ac:dyDescent="0.25">
      <c r="A693" s="69" t="s">
        <v>52</v>
      </c>
    </row>
    <row r="694" spans="1:1" x14ac:dyDescent="0.25">
      <c r="A694" s="70" t="s">
        <v>52</v>
      </c>
    </row>
    <row r="695" spans="1:1" x14ac:dyDescent="0.25">
      <c r="A695" s="71" t="s">
        <v>52</v>
      </c>
    </row>
    <row r="696" spans="1:1" x14ac:dyDescent="0.25">
      <c r="A696" s="72" t="s">
        <v>52</v>
      </c>
    </row>
    <row r="697" spans="1:1" x14ac:dyDescent="0.25">
      <c r="A697" s="73" t="s">
        <v>52</v>
      </c>
    </row>
    <row r="698" spans="1:1" x14ac:dyDescent="0.25">
      <c r="A698" s="74" t="s">
        <v>52</v>
      </c>
    </row>
    <row r="699" spans="1:1" x14ac:dyDescent="0.25">
      <c r="A699" s="75" t="s">
        <v>52</v>
      </c>
    </row>
    <row r="700" spans="1:1" x14ac:dyDescent="0.25">
      <c r="A700" s="76" t="s">
        <v>52</v>
      </c>
    </row>
    <row r="701" spans="1:1" x14ac:dyDescent="0.25">
      <c r="A701" s="77" t="s">
        <v>52</v>
      </c>
    </row>
    <row r="702" spans="1:1" x14ac:dyDescent="0.25">
      <c r="A702" s="78" t="s">
        <v>52</v>
      </c>
    </row>
    <row r="703" spans="1:1" x14ac:dyDescent="0.25">
      <c r="A703" s="79" t="s">
        <v>52</v>
      </c>
    </row>
    <row r="704" spans="1:1" x14ac:dyDescent="0.25">
      <c r="A704" s="80" t="s">
        <v>52</v>
      </c>
    </row>
    <row r="705" spans="1:1" x14ac:dyDescent="0.25">
      <c r="A705" s="81" t="s">
        <v>52</v>
      </c>
    </row>
    <row r="706" spans="1:1" x14ac:dyDescent="0.25">
      <c r="A706" s="82" t="s">
        <v>52</v>
      </c>
    </row>
    <row r="707" spans="1:1" x14ac:dyDescent="0.25">
      <c r="A707" s="83" t="s">
        <v>52</v>
      </c>
    </row>
    <row r="708" spans="1:1" x14ac:dyDescent="0.25">
      <c r="A708" s="84" t="s">
        <v>52</v>
      </c>
    </row>
    <row r="709" spans="1:1" x14ac:dyDescent="0.25">
      <c r="A709" s="85" t="s">
        <v>52</v>
      </c>
    </row>
    <row r="710" spans="1:1" x14ac:dyDescent="0.25">
      <c r="A710" s="86" t="s">
        <v>52</v>
      </c>
    </row>
    <row r="711" spans="1:1" x14ac:dyDescent="0.25">
      <c r="A711" s="87" t="s">
        <v>52</v>
      </c>
    </row>
    <row r="712" spans="1:1" x14ac:dyDescent="0.25">
      <c r="A712" s="88" t="s">
        <v>52</v>
      </c>
    </row>
    <row r="713" spans="1:1" x14ac:dyDescent="0.25">
      <c r="A713" s="89" t="s">
        <v>52</v>
      </c>
    </row>
    <row r="714" spans="1:1" x14ac:dyDescent="0.25">
      <c r="A714" s="90" t="s">
        <v>52</v>
      </c>
    </row>
    <row r="715" spans="1:1" x14ac:dyDescent="0.25">
      <c r="A715" s="120" t="s">
        <v>52</v>
      </c>
    </row>
    <row r="716" spans="1:1" x14ac:dyDescent="0.25">
      <c r="A716" s="121" t="s">
        <v>52</v>
      </c>
    </row>
    <row r="717" spans="1:1" x14ac:dyDescent="0.25">
      <c r="A717" s="122" t="s">
        <v>52</v>
      </c>
    </row>
    <row r="718" spans="1:1" x14ac:dyDescent="0.25">
      <c r="A718" s="123" t="s">
        <v>52</v>
      </c>
    </row>
    <row r="719" spans="1:1" x14ac:dyDescent="0.25">
      <c r="A719" s="124" t="s">
        <v>52</v>
      </c>
    </row>
    <row r="720" spans="1:1" x14ac:dyDescent="0.25">
      <c r="A720" s="125" t="s">
        <v>52</v>
      </c>
    </row>
    <row r="721" spans="1:1" x14ac:dyDescent="0.25">
      <c r="A721" s="126" t="s">
        <v>52</v>
      </c>
    </row>
    <row r="722" spans="1:1" x14ac:dyDescent="0.25">
      <c r="A722" s="127" t="s">
        <v>52</v>
      </c>
    </row>
    <row r="723" spans="1:1" x14ac:dyDescent="0.25">
      <c r="A723" s="128" t="s">
        <v>52</v>
      </c>
    </row>
    <row r="724" spans="1:1" x14ac:dyDescent="0.25">
      <c r="A724" s="129" t="s">
        <v>52</v>
      </c>
    </row>
    <row r="725" spans="1:1" x14ac:dyDescent="0.25">
      <c r="A725" s="130" t="s">
        <v>52</v>
      </c>
    </row>
    <row r="726" spans="1:1" x14ac:dyDescent="0.25">
      <c r="A726" s="131" t="s">
        <v>52</v>
      </c>
    </row>
    <row r="727" spans="1:1" x14ac:dyDescent="0.25">
      <c r="A727" s="132" t="s">
        <v>52</v>
      </c>
    </row>
    <row r="728" spans="1:1" x14ac:dyDescent="0.25">
      <c r="A728" s="133" t="s">
        <v>52</v>
      </c>
    </row>
    <row r="729" spans="1:1" x14ac:dyDescent="0.25">
      <c r="A729" s="134" t="s">
        <v>52</v>
      </c>
    </row>
    <row r="730" spans="1:1" x14ac:dyDescent="0.25">
      <c r="A730" s="135" t="s">
        <v>52</v>
      </c>
    </row>
    <row r="731" spans="1:1" x14ac:dyDescent="0.25">
      <c r="A731" s="136" t="s">
        <v>52</v>
      </c>
    </row>
    <row r="732" spans="1:1" x14ac:dyDescent="0.25">
      <c r="A732" s="137" t="s">
        <v>52</v>
      </c>
    </row>
    <row r="733" spans="1:1" x14ac:dyDescent="0.25">
      <c r="A733" s="138" t="s">
        <v>52</v>
      </c>
    </row>
    <row r="734" spans="1:1" x14ac:dyDescent="0.25">
      <c r="A734" s="139" t="s">
        <v>52</v>
      </c>
    </row>
    <row r="735" spans="1:1" x14ac:dyDescent="0.25">
      <c r="A735" s="18" t="s">
        <v>489</v>
      </c>
    </row>
    <row r="736" spans="1:1" x14ac:dyDescent="0.25">
      <c r="A736" s="19" t="s">
        <v>52</v>
      </c>
    </row>
    <row r="737" spans="1:1" x14ac:dyDescent="0.25">
      <c r="A737" s="20" t="s">
        <v>52</v>
      </c>
    </row>
    <row r="738" spans="1:1" x14ac:dyDescent="0.25">
      <c r="A738" s="21" t="s">
        <v>52</v>
      </c>
    </row>
    <row r="739" spans="1:1" x14ac:dyDescent="0.25">
      <c r="A739" s="22" t="s">
        <v>505</v>
      </c>
    </row>
    <row r="740" spans="1:1" x14ac:dyDescent="0.25">
      <c r="A740" s="23" t="s">
        <v>52</v>
      </c>
    </row>
    <row r="741" spans="1:1" x14ac:dyDescent="0.25">
      <c r="A741" s="24" t="s">
        <v>52</v>
      </c>
    </row>
    <row r="742" spans="1:1" x14ac:dyDescent="0.25">
      <c r="A742" s="25" t="s">
        <v>52</v>
      </c>
    </row>
    <row r="743" spans="1:1" x14ac:dyDescent="0.25">
      <c r="A743" s="26" t="s">
        <v>490</v>
      </c>
    </row>
    <row r="744" spans="1:1" x14ac:dyDescent="0.25">
      <c r="A744" s="27" t="s">
        <v>514</v>
      </c>
    </row>
    <row r="745" spans="1:1" x14ac:dyDescent="0.25">
      <c r="A745" s="28" t="s">
        <v>52</v>
      </c>
    </row>
    <row r="746" spans="1:1" x14ac:dyDescent="0.25">
      <c r="A746" s="29" t="s">
        <v>52</v>
      </c>
    </row>
    <row r="747" spans="1:1" x14ac:dyDescent="0.25">
      <c r="A747" s="30" t="s">
        <v>52</v>
      </c>
    </row>
    <row r="748" spans="1:1" x14ac:dyDescent="0.25">
      <c r="A748" s="31" t="s">
        <v>52</v>
      </c>
    </row>
    <row r="749" spans="1:1" x14ac:dyDescent="0.25">
      <c r="A749" s="32" t="s">
        <v>52</v>
      </c>
    </row>
    <row r="750" spans="1:1" x14ac:dyDescent="0.25">
      <c r="A750" s="33" t="s">
        <v>52</v>
      </c>
    </row>
    <row r="751" spans="1:1" x14ac:dyDescent="0.25">
      <c r="A751" s="34" t="s">
        <v>52</v>
      </c>
    </row>
    <row r="752" spans="1:1" x14ac:dyDescent="0.25">
      <c r="A752" s="35" t="s">
        <v>52</v>
      </c>
    </row>
    <row r="753" spans="1:1" x14ac:dyDescent="0.25">
      <c r="A753" s="36" t="s">
        <v>52</v>
      </c>
    </row>
    <row r="754" spans="1:1" x14ac:dyDescent="0.25">
      <c r="A754" s="37" t="s">
        <v>52</v>
      </c>
    </row>
    <row r="755" spans="1:1" x14ac:dyDescent="0.25">
      <c r="A755" s="38" t="s">
        <v>52</v>
      </c>
    </row>
    <row r="756" spans="1:1" x14ac:dyDescent="0.25">
      <c r="A756" s="39" t="s">
        <v>52</v>
      </c>
    </row>
    <row r="757" spans="1:1" x14ac:dyDescent="0.25">
      <c r="A757" s="40" t="s">
        <v>52</v>
      </c>
    </row>
    <row r="758" spans="1:1" x14ac:dyDescent="0.25">
      <c r="A758" s="41" t="s">
        <v>52</v>
      </c>
    </row>
    <row r="759" spans="1:1" x14ac:dyDescent="0.25">
      <c r="A759" s="42" t="s">
        <v>52</v>
      </c>
    </row>
    <row r="760" spans="1:1" x14ac:dyDescent="0.25">
      <c r="A760" s="43" t="s">
        <v>52</v>
      </c>
    </row>
    <row r="761" spans="1:1" x14ac:dyDescent="0.25">
      <c r="A761" s="44" t="s">
        <v>52</v>
      </c>
    </row>
    <row r="762" spans="1:1" x14ac:dyDescent="0.25">
      <c r="A762" s="45" t="s">
        <v>52</v>
      </c>
    </row>
    <row r="763" spans="1:1" x14ac:dyDescent="0.25">
      <c r="A763" s="46" t="s">
        <v>52</v>
      </c>
    </row>
    <row r="764" spans="1:1" x14ac:dyDescent="0.25">
      <c r="A764" s="47" t="s">
        <v>52</v>
      </c>
    </row>
    <row r="765" spans="1:1" x14ac:dyDescent="0.25">
      <c r="A765" s="48" t="s">
        <v>52</v>
      </c>
    </row>
    <row r="766" spans="1:1" x14ac:dyDescent="0.25">
      <c r="A766" s="49" t="s">
        <v>52</v>
      </c>
    </row>
    <row r="767" spans="1:1" x14ac:dyDescent="0.25">
      <c r="A767" s="50" t="s">
        <v>52</v>
      </c>
    </row>
    <row r="768" spans="1:1" x14ac:dyDescent="0.25">
      <c r="A768" s="51" t="s">
        <v>52</v>
      </c>
    </row>
    <row r="769" spans="1:1" x14ac:dyDescent="0.25">
      <c r="A769" s="52" t="s">
        <v>52</v>
      </c>
    </row>
    <row r="770" spans="1:1" x14ac:dyDescent="0.25">
      <c r="A770" s="53" t="s">
        <v>52</v>
      </c>
    </row>
    <row r="771" spans="1:1" x14ac:dyDescent="0.25">
      <c r="A771" s="54" t="s">
        <v>52</v>
      </c>
    </row>
    <row r="772" spans="1:1" x14ac:dyDescent="0.25">
      <c r="A772" s="55" t="s">
        <v>52</v>
      </c>
    </row>
    <row r="773" spans="1:1" x14ac:dyDescent="0.25">
      <c r="A773" s="56" t="s">
        <v>52</v>
      </c>
    </row>
    <row r="774" spans="1:1" x14ac:dyDescent="0.25">
      <c r="A774" s="57" t="s">
        <v>52</v>
      </c>
    </row>
    <row r="775" spans="1:1" x14ac:dyDescent="0.25">
      <c r="A775" s="58" t="s">
        <v>52</v>
      </c>
    </row>
    <row r="776" spans="1:1" x14ac:dyDescent="0.25">
      <c r="A776" s="59" t="s">
        <v>52</v>
      </c>
    </row>
    <row r="777" spans="1:1" x14ac:dyDescent="0.25">
      <c r="A777" s="60" t="s">
        <v>52</v>
      </c>
    </row>
    <row r="778" spans="1:1" x14ac:dyDescent="0.25">
      <c r="A778" s="61" t="s">
        <v>52</v>
      </c>
    </row>
    <row r="779" spans="1:1" x14ac:dyDescent="0.25">
      <c r="A779" s="62" t="s">
        <v>52</v>
      </c>
    </row>
    <row r="780" spans="1:1" x14ac:dyDescent="0.25">
      <c r="A780" s="63" t="s">
        <v>52</v>
      </c>
    </row>
    <row r="781" spans="1:1" x14ac:dyDescent="0.25">
      <c r="A781" s="64" t="s">
        <v>52</v>
      </c>
    </row>
    <row r="782" spans="1:1" x14ac:dyDescent="0.25">
      <c r="A782" s="65" t="s">
        <v>52</v>
      </c>
    </row>
    <row r="783" spans="1:1" x14ac:dyDescent="0.25">
      <c r="A783" s="66" t="s">
        <v>52</v>
      </c>
    </row>
    <row r="784" spans="1:1" x14ac:dyDescent="0.25">
      <c r="A784" s="67" t="s">
        <v>52</v>
      </c>
    </row>
    <row r="785" spans="1:1" x14ac:dyDescent="0.25">
      <c r="A785" s="68" t="s">
        <v>52</v>
      </c>
    </row>
    <row r="786" spans="1:1" x14ac:dyDescent="0.25">
      <c r="A786" s="69" t="s">
        <v>52</v>
      </c>
    </row>
    <row r="787" spans="1:1" x14ac:dyDescent="0.25">
      <c r="A787" s="70" t="s">
        <v>52</v>
      </c>
    </row>
    <row r="788" spans="1:1" x14ac:dyDescent="0.25">
      <c r="A788" s="71" t="s">
        <v>52</v>
      </c>
    </row>
    <row r="789" spans="1:1" x14ac:dyDescent="0.25">
      <c r="A789" s="72" t="s">
        <v>52</v>
      </c>
    </row>
    <row r="790" spans="1:1" x14ac:dyDescent="0.25">
      <c r="A790" s="73" t="s">
        <v>52</v>
      </c>
    </row>
    <row r="791" spans="1:1" x14ac:dyDescent="0.25">
      <c r="A791" s="74" t="s">
        <v>52</v>
      </c>
    </row>
    <row r="792" spans="1:1" x14ac:dyDescent="0.25">
      <c r="A792" s="75" t="s">
        <v>52</v>
      </c>
    </row>
    <row r="793" spans="1:1" x14ac:dyDescent="0.25">
      <c r="A793" s="76" t="s">
        <v>52</v>
      </c>
    </row>
    <row r="794" spans="1:1" x14ac:dyDescent="0.25">
      <c r="A794" s="77" t="s">
        <v>52</v>
      </c>
    </row>
    <row r="795" spans="1:1" x14ac:dyDescent="0.25">
      <c r="A795" s="78" t="s">
        <v>52</v>
      </c>
    </row>
    <row r="796" spans="1:1" x14ac:dyDescent="0.25">
      <c r="A796" s="79" t="s">
        <v>52</v>
      </c>
    </row>
    <row r="797" spans="1:1" x14ac:dyDescent="0.25">
      <c r="A797" s="80" t="s">
        <v>52</v>
      </c>
    </row>
    <row r="798" spans="1:1" x14ac:dyDescent="0.25">
      <c r="A798" s="81" t="s">
        <v>52</v>
      </c>
    </row>
    <row r="799" spans="1:1" x14ac:dyDescent="0.25">
      <c r="A799" s="82" t="s">
        <v>52</v>
      </c>
    </row>
    <row r="800" spans="1:1" x14ac:dyDescent="0.25">
      <c r="A800" s="83" t="s">
        <v>52</v>
      </c>
    </row>
    <row r="801" spans="1:1" x14ac:dyDescent="0.25">
      <c r="A801" s="84" t="s">
        <v>52</v>
      </c>
    </row>
    <row r="802" spans="1:1" x14ac:dyDescent="0.25">
      <c r="A802" s="85" t="s">
        <v>52</v>
      </c>
    </row>
    <row r="803" spans="1:1" x14ac:dyDescent="0.25">
      <c r="A803" s="86" t="s">
        <v>52</v>
      </c>
    </row>
    <row r="804" spans="1:1" x14ac:dyDescent="0.25">
      <c r="A804" s="87" t="s">
        <v>52</v>
      </c>
    </row>
    <row r="805" spans="1:1" x14ac:dyDescent="0.25">
      <c r="A805" s="88" t="s">
        <v>52</v>
      </c>
    </row>
    <row r="806" spans="1:1" x14ac:dyDescent="0.25">
      <c r="A806" s="89" t="s">
        <v>52</v>
      </c>
    </row>
    <row r="807" spans="1:1" x14ac:dyDescent="0.25">
      <c r="A807" s="90" t="s">
        <v>52</v>
      </c>
    </row>
    <row r="808" spans="1:1" x14ac:dyDescent="0.25">
      <c r="A808" s="120" t="s">
        <v>52</v>
      </c>
    </row>
    <row r="809" spans="1:1" x14ac:dyDescent="0.25">
      <c r="A809" s="121" t="s">
        <v>52</v>
      </c>
    </row>
    <row r="810" spans="1:1" x14ac:dyDescent="0.25">
      <c r="A810" s="122" t="s">
        <v>52</v>
      </c>
    </row>
    <row r="811" spans="1:1" x14ac:dyDescent="0.25">
      <c r="A811" s="123" t="s">
        <v>52</v>
      </c>
    </row>
    <row r="812" spans="1:1" x14ac:dyDescent="0.25">
      <c r="A812" s="124" t="s">
        <v>52</v>
      </c>
    </row>
    <row r="813" spans="1:1" x14ac:dyDescent="0.25">
      <c r="A813" s="125" t="s">
        <v>52</v>
      </c>
    </row>
    <row r="814" spans="1:1" x14ac:dyDescent="0.25">
      <c r="A814" s="126" t="s">
        <v>52</v>
      </c>
    </row>
    <row r="815" spans="1:1" x14ac:dyDescent="0.25">
      <c r="A815" s="127" t="s">
        <v>52</v>
      </c>
    </row>
    <row r="816" spans="1:1" x14ac:dyDescent="0.25">
      <c r="A816" s="128" t="s">
        <v>52</v>
      </c>
    </row>
    <row r="817" spans="1:1" x14ac:dyDescent="0.25">
      <c r="A817" s="129" t="s">
        <v>52</v>
      </c>
    </row>
    <row r="818" spans="1:1" x14ac:dyDescent="0.25">
      <c r="A818" s="130" t="s">
        <v>52</v>
      </c>
    </row>
    <row r="819" spans="1:1" x14ac:dyDescent="0.25">
      <c r="A819" s="131" t="s">
        <v>52</v>
      </c>
    </row>
    <row r="820" spans="1:1" x14ac:dyDescent="0.25">
      <c r="A820" s="132" t="s">
        <v>52</v>
      </c>
    </row>
    <row r="821" spans="1:1" x14ac:dyDescent="0.25">
      <c r="A821" s="133" t="s">
        <v>52</v>
      </c>
    </row>
    <row r="822" spans="1:1" x14ac:dyDescent="0.25">
      <c r="A822" s="134" t="s">
        <v>52</v>
      </c>
    </row>
    <row r="823" spans="1:1" x14ac:dyDescent="0.25">
      <c r="A823" s="135" t="s">
        <v>52</v>
      </c>
    </row>
    <row r="824" spans="1:1" x14ac:dyDescent="0.25">
      <c r="A824" s="136" t="s">
        <v>52</v>
      </c>
    </row>
    <row r="825" spans="1:1" x14ac:dyDescent="0.25">
      <c r="A825" s="137" t="s">
        <v>52</v>
      </c>
    </row>
    <row r="826" spans="1:1" x14ac:dyDescent="0.25">
      <c r="A826" s="138" t="s">
        <v>52</v>
      </c>
    </row>
    <row r="827" spans="1:1" x14ac:dyDescent="0.25">
      <c r="A827" s="139" t="s">
        <v>52</v>
      </c>
    </row>
    <row r="828" spans="1:1" x14ac:dyDescent="0.25">
      <c r="A828" s="18" t="s">
        <v>491</v>
      </c>
    </row>
    <row r="829" spans="1:1" x14ac:dyDescent="0.25">
      <c r="A829" s="19" t="s">
        <v>52</v>
      </c>
    </row>
    <row r="830" spans="1:1" x14ac:dyDescent="0.25">
      <c r="A830" s="20" t="s">
        <v>52</v>
      </c>
    </row>
    <row r="831" spans="1:1" x14ac:dyDescent="0.25">
      <c r="A831" s="21" t="s">
        <v>52</v>
      </c>
    </row>
    <row r="832" spans="1:1" x14ac:dyDescent="0.25">
      <c r="A832" s="22" t="s">
        <v>506</v>
      </c>
    </row>
    <row r="833" spans="1:1" x14ac:dyDescent="0.25">
      <c r="A833" s="23" t="s">
        <v>52</v>
      </c>
    </row>
    <row r="834" spans="1:1" x14ac:dyDescent="0.25">
      <c r="A834" s="24" t="s">
        <v>52</v>
      </c>
    </row>
    <row r="835" spans="1:1" x14ac:dyDescent="0.25">
      <c r="A835" s="25" t="s">
        <v>52</v>
      </c>
    </row>
    <row r="836" spans="1:1" x14ac:dyDescent="0.25">
      <c r="A836" s="26" t="s">
        <v>492</v>
      </c>
    </row>
    <row r="837" spans="1:1" x14ac:dyDescent="0.25">
      <c r="A837" s="27" t="s">
        <v>515</v>
      </c>
    </row>
    <row r="838" spans="1:1" x14ac:dyDescent="0.25">
      <c r="A838" s="28" t="s">
        <v>52</v>
      </c>
    </row>
    <row r="839" spans="1:1" x14ac:dyDescent="0.25">
      <c r="A839" s="29" t="s">
        <v>52</v>
      </c>
    </row>
    <row r="840" spans="1:1" x14ac:dyDescent="0.25">
      <c r="A840" s="30" t="s">
        <v>52</v>
      </c>
    </row>
    <row r="841" spans="1:1" x14ac:dyDescent="0.25">
      <c r="A841" s="31" t="s">
        <v>52</v>
      </c>
    </row>
    <row r="842" spans="1:1" x14ac:dyDescent="0.25">
      <c r="A842" s="32" t="s">
        <v>52</v>
      </c>
    </row>
    <row r="843" spans="1:1" x14ac:dyDescent="0.25">
      <c r="A843" s="33" t="s">
        <v>52</v>
      </c>
    </row>
    <row r="844" spans="1:1" x14ac:dyDescent="0.25">
      <c r="A844" s="34" t="s">
        <v>52</v>
      </c>
    </row>
    <row r="845" spans="1:1" x14ac:dyDescent="0.25">
      <c r="A845" s="35" t="s">
        <v>52</v>
      </c>
    </row>
    <row r="846" spans="1:1" x14ac:dyDescent="0.25">
      <c r="A846" s="36" t="s">
        <v>52</v>
      </c>
    </row>
    <row r="847" spans="1:1" x14ac:dyDescent="0.25">
      <c r="A847" s="37" t="s">
        <v>52</v>
      </c>
    </row>
    <row r="848" spans="1:1" x14ac:dyDescent="0.25">
      <c r="A848" s="38" t="s">
        <v>52</v>
      </c>
    </row>
    <row r="849" spans="1:1" x14ac:dyDescent="0.25">
      <c r="A849" s="39" t="s">
        <v>52</v>
      </c>
    </row>
    <row r="850" spans="1:1" x14ac:dyDescent="0.25">
      <c r="A850" s="40" t="s">
        <v>52</v>
      </c>
    </row>
    <row r="851" spans="1:1" x14ac:dyDescent="0.25">
      <c r="A851" s="41" t="s">
        <v>52</v>
      </c>
    </row>
    <row r="852" spans="1:1" x14ac:dyDescent="0.25">
      <c r="A852" s="42" t="s">
        <v>52</v>
      </c>
    </row>
    <row r="853" spans="1:1" x14ac:dyDescent="0.25">
      <c r="A853" s="43" t="s">
        <v>52</v>
      </c>
    </row>
    <row r="854" spans="1:1" x14ac:dyDescent="0.25">
      <c r="A854" s="44" t="s">
        <v>52</v>
      </c>
    </row>
    <row r="855" spans="1:1" x14ac:dyDescent="0.25">
      <c r="A855" s="45" t="s">
        <v>52</v>
      </c>
    </row>
    <row r="856" spans="1:1" x14ac:dyDescent="0.25">
      <c r="A856" s="46" t="s">
        <v>52</v>
      </c>
    </row>
    <row r="857" spans="1:1" x14ac:dyDescent="0.25">
      <c r="A857" s="47" t="s">
        <v>52</v>
      </c>
    </row>
    <row r="858" spans="1:1" x14ac:dyDescent="0.25">
      <c r="A858" s="48" t="s">
        <v>52</v>
      </c>
    </row>
    <row r="859" spans="1:1" x14ac:dyDescent="0.25">
      <c r="A859" s="49" t="s">
        <v>52</v>
      </c>
    </row>
    <row r="860" spans="1:1" x14ac:dyDescent="0.25">
      <c r="A860" s="50" t="s">
        <v>52</v>
      </c>
    </row>
    <row r="861" spans="1:1" x14ac:dyDescent="0.25">
      <c r="A861" s="51" t="s">
        <v>52</v>
      </c>
    </row>
    <row r="862" spans="1:1" x14ac:dyDescent="0.25">
      <c r="A862" s="52" t="s">
        <v>52</v>
      </c>
    </row>
    <row r="863" spans="1:1" x14ac:dyDescent="0.25">
      <c r="A863" s="53" t="s">
        <v>52</v>
      </c>
    </row>
    <row r="864" spans="1:1" x14ac:dyDescent="0.25">
      <c r="A864" s="54" t="s">
        <v>52</v>
      </c>
    </row>
    <row r="865" spans="1:1" x14ac:dyDescent="0.25">
      <c r="A865" s="55" t="s">
        <v>52</v>
      </c>
    </row>
    <row r="866" spans="1:1" x14ac:dyDescent="0.25">
      <c r="A866" s="56" t="s">
        <v>52</v>
      </c>
    </row>
    <row r="867" spans="1:1" x14ac:dyDescent="0.25">
      <c r="A867" s="57" t="s">
        <v>52</v>
      </c>
    </row>
    <row r="868" spans="1:1" x14ac:dyDescent="0.25">
      <c r="A868" s="58" t="s">
        <v>52</v>
      </c>
    </row>
    <row r="869" spans="1:1" x14ac:dyDescent="0.25">
      <c r="A869" s="59" t="s">
        <v>52</v>
      </c>
    </row>
    <row r="870" spans="1:1" x14ac:dyDescent="0.25">
      <c r="A870" s="60" t="s">
        <v>52</v>
      </c>
    </row>
    <row r="871" spans="1:1" x14ac:dyDescent="0.25">
      <c r="A871" s="61" t="s">
        <v>52</v>
      </c>
    </row>
    <row r="872" spans="1:1" x14ac:dyDescent="0.25">
      <c r="A872" s="62" t="s">
        <v>52</v>
      </c>
    </row>
    <row r="873" spans="1:1" x14ac:dyDescent="0.25">
      <c r="A873" s="63" t="s">
        <v>52</v>
      </c>
    </row>
    <row r="874" spans="1:1" x14ac:dyDescent="0.25">
      <c r="A874" s="64" t="s">
        <v>52</v>
      </c>
    </row>
    <row r="875" spans="1:1" x14ac:dyDescent="0.25">
      <c r="A875" s="65" t="s">
        <v>52</v>
      </c>
    </row>
    <row r="876" spans="1:1" x14ac:dyDescent="0.25">
      <c r="A876" s="66" t="s">
        <v>52</v>
      </c>
    </row>
    <row r="877" spans="1:1" x14ac:dyDescent="0.25">
      <c r="A877" s="67" t="s">
        <v>52</v>
      </c>
    </row>
    <row r="878" spans="1:1" x14ac:dyDescent="0.25">
      <c r="A878" s="68" t="s">
        <v>52</v>
      </c>
    </row>
    <row r="879" spans="1:1" x14ac:dyDescent="0.25">
      <c r="A879" s="69" t="s">
        <v>52</v>
      </c>
    </row>
    <row r="880" spans="1:1" x14ac:dyDescent="0.25">
      <c r="A880" s="70" t="s">
        <v>52</v>
      </c>
    </row>
    <row r="881" spans="1:1" x14ac:dyDescent="0.25">
      <c r="A881" s="71" t="s">
        <v>52</v>
      </c>
    </row>
    <row r="882" spans="1:1" x14ac:dyDescent="0.25">
      <c r="A882" s="72" t="s">
        <v>52</v>
      </c>
    </row>
    <row r="883" spans="1:1" x14ac:dyDescent="0.25">
      <c r="A883" s="73" t="s">
        <v>52</v>
      </c>
    </row>
    <row r="884" spans="1:1" x14ac:dyDescent="0.25">
      <c r="A884" s="74" t="s">
        <v>52</v>
      </c>
    </row>
    <row r="885" spans="1:1" x14ac:dyDescent="0.25">
      <c r="A885" s="75" t="s">
        <v>52</v>
      </c>
    </row>
    <row r="886" spans="1:1" x14ac:dyDescent="0.25">
      <c r="A886" s="76" t="s">
        <v>52</v>
      </c>
    </row>
    <row r="887" spans="1:1" x14ac:dyDescent="0.25">
      <c r="A887" s="77" t="s">
        <v>52</v>
      </c>
    </row>
    <row r="888" spans="1:1" x14ac:dyDescent="0.25">
      <c r="A888" s="78" t="s">
        <v>52</v>
      </c>
    </row>
    <row r="889" spans="1:1" x14ac:dyDescent="0.25">
      <c r="A889" s="79" t="s">
        <v>52</v>
      </c>
    </row>
    <row r="890" spans="1:1" x14ac:dyDescent="0.25">
      <c r="A890" s="80" t="s">
        <v>52</v>
      </c>
    </row>
    <row r="891" spans="1:1" x14ac:dyDescent="0.25">
      <c r="A891" s="81" t="s">
        <v>52</v>
      </c>
    </row>
    <row r="892" spans="1:1" x14ac:dyDescent="0.25">
      <c r="A892" s="82" t="s">
        <v>52</v>
      </c>
    </row>
    <row r="893" spans="1:1" x14ac:dyDescent="0.25">
      <c r="A893" s="83" t="s">
        <v>52</v>
      </c>
    </row>
    <row r="894" spans="1:1" x14ac:dyDescent="0.25">
      <c r="A894" s="84" t="s">
        <v>52</v>
      </c>
    </row>
    <row r="895" spans="1:1" x14ac:dyDescent="0.25">
      <c r="A895" s="85" t="s">
        <v>52</v>
      </c>
    </row>
    <row r="896" spans="1:1" x14ac:dyDescent="0.25">
      <c r="A896" s="86" t="s">
        <v>52</v>
      </c>
    </row>
    <row r="897" spans="1:1" x14ac:dyDescent="0.25">
      <c r="A897" s="87" t="s">
        <v>52</v>
      </c>
    </row>
    <row r="898" spans="1:1" x14ac:dyDescent="0.25">
      <c r="A898" s="88" t="s">
        <v>52</v>
      </c>
    </row>
    <row r="899" spans="1:1" x14ac:dyDescent="0.25">
      <c r="A899" s="89" t="s">
        <v>52</v>
      </c>
    </row>
    <row r="900" spans="1:1" x14ac:dyDescent="0.25">
      <c r="A900" s="90" t="s">
        <v>52</v>
      </c>
    </row>
    <row r="901" spans="1:1" x14ac:dyDescent="0.25">
      <c r="A901" s="120" t="s">
        <v>52</v>
      </c>
    </row>
    <row r="902" spans="1:1" x14ac:dyDescent="0.25">
      <c r="A902" s="121" t="s">
        <v>52</v>
      </c>
    </row>
    <row r="903" spans="1:1" x14ac:dyDescent="0.25">
      <c r="A903" s="122" t="s">
        <v>52</v>
      </c>
    </row>
    <row r="904" spans="1:1" x14ac:dyDescent="0.25">
      <c r="A904" s="123" t="s">
        <v>52</v>
      </c>
    </row>
    <row r="905" spans="1:1" x14ac:dyDescent="0.25">
      <c r="A905" s="124" t="s">
        <v>52</v>
      </c>
    </row>
    <row r="906" spans="1:1" x14ac:dyDescent="0.25">
      <c r="A906" s="125" t="s">
        <v>52</v>
      </c>
    </row>
    <row r="907" spans="1:1" x14ac:dyDescent="0.25">
      <c r="A907" s="126" t="s">
        <v>52</v>
      </c>
    </row>
    <row r="908" spans="1:1" x14ac:dyDescent="0.25">
      <c r="A908" s="127" t="s">
        <v>52</v>
      </c>
    </row>
    <row r="909" spans="1:1" x14ac:dyDescent="0.25">
      <c r="A909" s="128" t="s">
        <v>52</v>
      </c>
    </row>
    <row r="910" spans="1:1" x14ac:dyDescent="0.25">
      <c r="A910" s="129" t="s">
        <v>52</v>
      </c>
    </row>
    <row r="911" spans="1:1" x14ac:dyDescent="0.25">
      <c r="A911" s="130" t="s">
        <v>52</v>
      </c>
    </row>
    <row r="912" spans="1:1" x14ac:dyDescent="0.25">
      <c r="A912" s="131" t="s">
        <v>52</v>
      </c>
    </row>
    <row r="913" spans="1:1" x14ac:dyDescent="0.25">
      <c r="A913" s="132" t="s">
        <v>52</v>
      </c>
    </row>
    <row r="914" spans="1:1" x14ac:dyDescent="0.25">
      <c r="A914" s="133" t="s">
        <v>52</v>
      </c>
    </row>
    <row r="915" spans="1:1" x14ac:dyDescent="0.25">
      <c r="A915" s="134" t="s">
        <v>52</v>
      </c>
    </row>
    <row r="916" spans="1:1" x14ac:dyDescent="0.25">
      <c r="A916" s="135" t="s">
        <v>52</v>
      </c>
    </row>
    <row r="917" spans="1:1" x14ac:dyDescent="0.25">
      <c r="A917" s="136" t="s">
        <v>52</v>
      </c>
    </row>
    <row r="918" spans="1:1" x14ac:dyDescent="0.25">
      <c r="A918" s="137" t="s">
        <v>52</v>
      </c>
    </row>
    <row r="919" spans="1:1" x14ac:dyDescent="0.25">
      <c r="A919" s="138" t="s">
        <v>52</v>
      </c>
    </row>
    <row r="920" spans="1:1" x14ac:dyDescent="0.25">
      <c r="A920" s="139" t="s">
        <v>52</v>
      </c>
    </row>
    <row r="921" spans="1:1" x14ac:dyDescent="0.25">
      <c r="A921" s="18" t="s">
        <v>493</v>
      </c>
    </row>
    <row r="922" spans="1:1" x14ac:dyDescent="0.25">
      <c r="A922" s="19" t="s">
        <v>52</v>
      </c>
    </row>
    <row r="923" spans="1:1" x14ac:dyDescent="0.25">
      <c r="A923" s="20" t="s">
        <v>52</v>
      </c>
    </row>
    <row r="924" spans="1:1" x14ac:dyDescent="0.25">
      <c r="A924" s="21" t="s">
        <v>52</v>
      </c>
    </row>
    <row r="925" spans="1:1" x14ac:dyDescent="0.25">
      <c r="A925" s="22" t="s">
        <v>507</v>
      </c>
    </row>
    <row r="926" spans="1:1" x14ac:dyDescent="0.25">
      <c r="A926" s="23" t="s">
        <v>52</v>
      </c>
    </row>
    <row r="927" spans="1:1" x14ac:dyDescent="0.25">
      <c r="A927" s="24" t="s">
        <v>52</v>
      </c>
    </row>
    <row r="928" spans="1:1" x14ac:dyDescent="0.25">
      <c r="A928" s="25" t="s">
        <v>52</v>
      </c>
    </row>
    <row r="929" spans="1:1" x14ac:dyDescent="0.25">
      <c r="A929" s="26" t="s">
        <v>494</v>
      </c>
    </row>
    <row r="930" spans="1:1" x14ac:dyDescent="0.25">
      <c r="A930" s="27" t="s">
        <v>516</v>
      </c>
    </row>
    <row r="931" spans="1:1" x14ac:dyDescent="0.25">
      <c r="A931" s="28" t="s">
        <v>52</v>
      </c>
    </row>
    <row r="932" spans="1:1" x14ac:dyDescent="0.25">
      <c r="A932" s="29" t="s">
        <v>52</v>
      </c>
    </row>
    <row r="933" spans="1:1" x14ac:dyDescent="0.25">
      <c r="A933" s="30" t="s">
        <v>52</v>
      </c>
    </row>
    <row r="934" spans="1:1" x14ac:dyDescent="0.25">
      <c r="A934" s="31" t="s">
        <v>52</v>
      </c>
    </row>
    <row r="935" spans="1:1" x14ac:dyDescent="0.25">
      <c r="A935" s="32" t="s">
        <v>52</v>
      </c>
    </row>
    <row r="936" spans="1:1" x14ac:dyDescent="0.25">
      <c r="A936" s="33" t="s">
        <v>52</v>
      </c>
    </row>
    <row r="937" spans="1:1" x14ac:dyDescent="0.25">
      <c r="A937" s="34" t="s">
        <v>52</v>
      </c>
    </row>
    <row r="938" spans="1:1" x14ac:dyDescent="0.25">
      <c r="A938" s="35" t="s">
        <v>52</v>
      </c>
    </row>
    <row r="939" spans="1:1" x14ac:dyDescent="0.25">
      <c r="A939" s="36" t="s">
        <v>52</v>
      </c>
    </row>
    <row r="940" spans="1:1" x14ac:dyDescent="0.25">
      <c r="A940" s="37" t="s">
        <v>52</v>
      </c>
    </row>
    <row r="941" spans="1:1" x14ac:dyDescent="0.25">
      <c r="A941" s="38" t="s">
        <v>52</v>
      </c>
    </row>
    <row r="942" spans="1:1" x14ac:dyDescent="0.25">
      <c r="A942" s="39" t="s">
        <v>52</v>
      </c>
    </row>
    <row r="943" spans="1:1" x14ac:dyDescent="0.25">
      <c r="A943" s="40" t="s">
        <v>52</v>
      </c>
    </row>
    <row r="944" spans="1:1" x14ac:dyDescent="0.25">
      <c r="A944" s="41" t="s">
        <v>52</v>
      </c>
    </row>
    <row r="945" spans="1:1" x14ac:dyDescent="0.25">
      <c r="A945" s="42" t="s">
        <v>52</v>
      </c>
    </row>
    <row r="946" spans="1:1" x14ac:dyDescent="0.25">
      <c r="A946" s="43" t="s">
        <v>52</v>
      </c>
    </row>
    <row r="947" spans="1:1" x14ac:dyDescent="0.25">
      <c r="A947" s="44" t="s">
        <v>52</v>
      </c>
    </row>
    <row r="948" spans="1:1" x14ac:dyDescent="0.25">
      <c r="A948" s="45" t="s">
        <v>52</v>
      </c>
    </row>
    <row r="949" spans="1:1" x14ac:dyDescent="0.25">
      <c r="A949" s="46" t="s">
        <v>52</v>
      </c>
    </row>
    <row r="950" spans="1:1" x14ac:dyDescent="0.25">
      <c r="A950" s="47" t="s">
        <v>52</v>
      </c>
    </row>
    <row r="951" spans="1:1" x14ac:dyDescent="0.25">
      <c r="A951" s="48" t="s">
        <v>52</v>
      </c>
    </row>
    <row r="952" spans="1:1" x14ac:dyDescent="0.25">
      <c r="A952" s="49" t="s">
        <v>52</v>
      </c>
    </row>
    <row r="953" spans="1:1" x14ac:dyDescent="0.25">
      <c r="A953" s="50" t="s">
        <v>52</v>
      </c>
    </row>
    <row r="954" spans="1:1" x14ac:dyDescent="0.25">
      <c r="A954" s="51" t="s">
        <v>52</v>
      </c>
    </row>
    <row r="955" spans="1:1" x14ac:dyDescent="0.25">
      <c r="A955" s="52" t="s">
        <v>52</v>
      </c>
    </row>
    <row r="956" spans="1:1" x14ac:dyDescent="0.25">
      <c r="A956" s="53" t="s">
        <v>52</v>
      </c>
    </row>
    <row r="957" spans="1:1" x14ac:dyDescent="0.25">
      <c r="A957" s="54" t="s">
        <v>52</v>
      </c>
    </row>
    <row r="958" spans="1:1" x14ac:dyDescent="0.25">
      <c r="A958" s="55" t="s">
        <v>52</v>
      </c>
    </row>
    <row r="959" spans="1:1" x14ac:dyDescent="0.25">
      <c r="A959" s="56" t="s">
        <v>52</v>
      </c>
    </row>
    <row r="960" spans="1:1" x14ac:dyDescent="0.25">
      <c r="A960" s="57" t="s">
        <v>52</v>
      </c>
    </row>
    <row r="961" spans="1:1" x14ac:dyDescent="0.25">
      <c r="A961" s="58" t="s">
        <v>52</v>
      </c>
    </row>
    <row r="962" spans="1:1" x14ac:dyDescent="0.25">
      <c r="A962" s="59" t="s">
        <v>52</v>
      </c>
    </row>
    <row r="963" spans="1:1" x14ac:dyDescent="0.25">
      <c r="A963" s="60" t="s">
        <v>52</v>
      </c>
    </row>
    <row r="964" spans="1:1" x14ac:dyDescent="0.25">
      <c r="A964" s="61" t="s">
        <v>52</v>
      </c>
    </row>
    <row r="965" spans="1:1" x14ac:dyDescent="0.25">
      <c r="A965" s="62" t="s">
        <v>52</v>
      </c>
    </row>
    <row r="966" spans="1:1" x14ac:dyDescent="0.25">
      <c r="A966" s="63" t="s">
        <v>52</v>
      </c>
    </row>
    <row r="967" spans="1:1" x14ac:dyDescent="0.25">
      <c r="A967" s="64" t="s">
        <v>52</v>
      </c>
    </row>
    <row r="968" spans="1:1" x14ac:dyDescent="0.25">
      <c r="A968" s="65" t="s">
        <v>52</v>
      </c>
    </row>
    <row r="969" spans="1:1" x14ac:dyDescent="0.25">
      <c r="A969" s="66" t="s">
        <v>52</v>
      </c>
    </row>
    <row r="970" spans="1:1" x14ac:dyDescent="0.25">
      <c r="A970" s="67" t="s">
        <v>52</v>
      </c>
    </row>
    <row r="971" spans="1:1" x14ac:dyDescent="0.25">
      <c r="A971" s="68" t="s">
        <v>52</v>
      </c>
    </row>
    <row r="972" spans="1:1" x14ac:dyDescent="0.25">
      <c r="A972" s="69" t="s">
        <v>52</v>
      </c>
    </row>
    <row r="973" spans="1:1" x14ac:dyDescent="0.25">
      <c r="A973" s="70" t="s">
        <v>52</v>
      </c>
    </row>
    <row r="974" spans="1:1" x14ac:dyDescent="0.25">
      <c r="A974" s="71" t="s">
        <v>52</v>
      </c>
    </row>
    <row r="975" spans="1:1" x14ac:dyDescent="0.25">
      <c r="A975" s="72" t="s">
        <v>52</v>
      </c>
    </row>
    <row r="976" spans="1:1" x14ac:dyDescent="0.25">
      <c r="A976" s="73" t="s">
        <v>52</v>
      </c>
    </row>
    <row r="977" spans="1:1" x14ac:dyDescent="0.25">
      <c r="A977" s="74" t="s">
        <v>52</v>
      </c>
    </row>
    <row r="978" spans="1:1" x14ac:dyDescent="0.25">
      <c r="A978" s="75" t="s">
        <v>52</v>
      </c>
    </row>
    <row r="979" spans="1:1" x14ac:dyDescent="0.25">
      <c r="A979" s="76" t="s">
        <v>52</v>
      </c>
    </row>
    <row r="980" spans="1:1" x14ac:dyDescent="0.25">
      <c r="A980" s="77" t="s">
        <v>52</v>
      </c>
    </row>
    <row r="981" spans="1:1" x14ac:dyDescent="0.25">
      <c r="A981" s="78" t="s">
        <v>52</v>
      </c>
    </row>
    <row r="982" spans="1:1" x14ac:dyDescent="0.25">
      <c r="A982" s="79" t="s">
        <v>52</v>
      </c>
    </row>
    <row r="983" spans="1:1" x14ac:dyDescent="0.25">
      <c r="A983" s="80" t="s">
        <v>52</v>
      </c>
    </row>
    <row r="984" spans="1:1" x14ac:dyDescent="0.25">
      <c r="A984" s="81" t="s">
        <v>52</v>
      </c>
    </row>
    <row r="985" spans="1:1" x14ac:dyDescent="0.25">
      <c r="A985" s="82" t="s">
        <v>52</v>
      </c>
    </row>
    <row r="986" spans="1:1" x14ac:dyDescent="0.25">
      <c r="A986" s="83" t="s">
        <v>52</v>
      </c>
    </row>
    <row r="987" spans="1:1" x14ac:dyDescent="0.25">
      <c r="A987" s="84" t="s">
        <v>52</v>
      </c>
    </row>
    <row r="988" spans="1:1" x14ac:dyDescent="0.25">
      <c r="A988" s="85" t="s">
        <v>52</v>
      </c>
    </row>
    <row r="989" spans="1:1" x14ac:dyDescent="0.25">
      <c r="A989" s="86" t="s">
        <v>52</v>
      </c>
    </row>
    <row r="990" spans="1:1" x14ac:dyDescent="0.25">
      <c r="A990" s="87" t="s">
        <v>52</v>
      </c>
    </row>
    <row r="991" spans="1:1" x14ac:dyDescent="0.25">
      <c r="A991" s="88" t="s">
        <v>52</v>
      </c>
    </row>
    <row r="992" spans="1:1" x14ac:dyDescent="0.25">
      <c r="A992" s="89" t="s">
        <v>52</v>
      </c>
    </row>
    <row r="993" spans="1:1" x14ac:dyDescent="0.25">
      <c r="A993" s="90" t="s">
        <v>52</v>
      </c>
    </row>
    <row r="994" spans="1:1" x14ac:dyDescent="0.25">
      <c r="A994" s="120" t="s">
        <v>52</v>
      </c>
    </row>
    <row r="995" spans="1:1" x14ac:dyDescent="0.25">
      <c r="A995" s="121" t="s">
        <v>52</v>
      </c>
    </row>
    <row r="996" spans="1:1" x14ac:dyDescent="0.25">
      <c r="A996" s="122" t="s">
        <v>52</v>
      </c>
    </row>
    <row r="997" spans="1:1" x14ac:dyDescent="0.25">
      <c r="A997" s="123" t="s">
        <v>52</v>
      </c>
    </row>
    <row r="998" spans="1:1" x14ac:dyDescent="0.25">
      <c r="A998" s="124" t="s">
        <v>52</v>
      </c>
    </row>
    <row r="999" spans="1:1" x14ac:dyDescent="0.25">
      <c r="A999" s="125" t="s">
        <v>52</v>
      </c>
    </row>
    <row r="1000" spans="1:1" x14ac:dyDescent="0.25">
      <c r="A1000" s="126" t="s">
        <v>52</v>
      </c>
    </row>
    <row r="1001" spans="1:1" x14ac:dyDescent="0.25">
      <c r="A1001" s="127" t="s">
        <v>52</v>
      </c>
    </row>
    <row r="1002" spans="1:1" x14ac:dyDescent="0.25">
      <c r="A1002" s="128" t="s">
        <v>52</v>
      </c>
    </row>
    <row r="1003" spans="1:1" x14ac:dyDescent="0.25">
      <c r="A1003" s="129" t="s">
        <v>52</v>
      </c>
    </row>
    <row r="1004" spans="1:1" x14ac:dyDescent="0.25">
      <c r="A1004" s="130" t="s">
        <v>52</v>
      </c>
    </row>
    <row r="1005" spans="1:1" x14ac:dyDescent="0.25">
      <c r="A1005" s="131" t="s">
        <v>52</v>
      </c>
    </row>
    <row r="1006" spans="1:1" x14ac:dyDescent="0.25">
      <c r="A1006" s="132" t="s">
        <v>52</v>
      </c>
    </row>
    <row r="1007" spans="1:1" x14ac:dyDescent="0.25">
      <c r="A1007" s="133" t="s">
        <v>52</v>
      </c>
    </row>
    <row r="1008" spans="1:1" x14ac:dyDescent="0.25">
      <c r="A1008" s="134" t="s">
        <v>52</v>
      </c>
    </row>
    <row r="1009" spans="1:1" x14ac:dyDescent="0.25">
      <c r="A1009" s="135" t="s">
        <v>52</v>
      </c>
    </row>
    <row r="1010" spans="1:1" x14ac:dyDescent="0.25">
      <c r="A1010" s="136" t="s">
        <v>52</v>
      </c>
    </row>
    <row r="1011" spans="1:1" x14ac:dyDescent="0.25">
      <c r="A1011" s="137" t="s">
        <v>52</v>
      </c>
    </row>
    <row r="1012" spans="1:1" x14ac:dyDescent="0.25">
      <c r="A1012" s="138" t="s">
        <v>52</v>
      </c>
    </row>
    <row r="1013" spans="1:1" x14ac:dyDescent="0.25">
      <c r="A1013" s="139" t="s">
        <v>52</v>
      </c>
    </row>
    <row r="1014" spans="1:1" x14ac:dyDescent="0.25">
      <c r="A1014" s="18" t="s">
        <v>495</v>
      </c>
    </row>
    <row r="1015" spans="1:1" x14ac:dyDescent="0.25">
      <c r="A1015" s="19" t="s">
        <v>52</v>
      </c>
    </row>
    <row r="1016" spans="1:1" x14ac:dyDescent="0.25">
      <c r="A1016" s="20" t="s">
        <v>52</v>
      </c>
    </row>
    <row r="1017" spans="1:1" x14ac:dyDescent="0.25">
      <c r="A1017" s="21" t="s">
        <v>52</v>
      </c>
    </row>
    <row r="1018" spans="1:1" x14ac:dyDescent="0.25">
      <c r="A1018" s="22" t="s">
        <v>508</v>
      </c>
    </row>
    <row r="1019" spans="1:1" x14ac:dyDescent="0.25">
      <c r="A1019" s="23" t="s">
        <v>52</v>
      </c>
    </row>
    <row r="1020" spans="1:1" x14ac:dyDescent="0.25">
      <c r="A1020" s="24" t="s">
        <v>52</v>
      </c>
    </row>
    <row r="1021" spans="1:1" x14ac:dyDescent="0.25">
      <c r="A1021" s="25" t="s">
        <v>52</v>
      </c>
    </row>
    <row r="1022" spans="1:1" x14ac:dyDescent="0.25">
      <c r="A1022" s="26" t="s">
        <v>496</v>
      </c>
    </row>
    <row r="1023" spans="1:1" x14ac:dyDescent="0.25">
      <c r="A1023" s="27" t="s">
        <v>517</v>
      </c>
    </row>
    <row r="1024" spans="1:1" x14ac:dyDescent="0.25">
      <c r="A1024" s="28" t="s">
        <v>52</v>
      </c>
    </row>
    <row r="1025" spans="1:1" x14ac:dyDescent="0.25">
      <c r="A1025" s="29" t="s">
        <v>52</v>
      </c>
    </row>
    <row r="1026" spans="1:1" x14ac:dyDescent="0.25">
      <c r="A1026" s="30" t="s">
        <v>52</v>
      </c>
    </row>
    <row r="1027" spans="1:1" x14ac:dyDescent="0.25">
      <c r="A1027" s="31" t="s">
        <v>52</v>
      </c>
    </row>
    <row r="1028" spans="1:1" x14ac:dyDescent="0.25">
      <c r="A1028" s="32" t="s">
        <v>52</v>
      </c>
    </row>
    <row r="1029" spans="1:1" x14ac:dyDescent="0.25">
      <c r="A1029" s="33" t="s">
        <v>52</v>
      </c>
    </row>
    <row r="1030" spans="1:1" x14ac:dyDescent="0.25">
      <c r="A1030" s="34" t="s">
        <v>52</v>
      </c>
    </row>
    <row r="1031" spans="1:1" x14ac:dyDescent="0.25">
      <c r="A1031" s="35" t="s">
        <v>52</v>
      </c>
    </row>
    <row r="1032" spans="1:1" x14ac:dyDescent="0.25">
      <c r="A1032" s="36" t="s">
        <v>52</v>
      </c>
    </row>
    <row r="1033" spans="1:1" x14ac:dyDescent="0.25">
      <c r="A1033" s="37" t="s">
        <v>52</v>
      </c>
    </row>
    <row r="1034" spans="1:1" x14ac:dyDescent="0.25">
      <c r="A1034" s="38" t="s">
        <v>52</v>
      </c>
    </row>
    <row r="1035" spans="1:1" x14ac:dyDescent="0.25">
      <c r="A1035" s="39" t="s">
        <v>52</v>
      </c>
    </row>
    <row r="1036" spans="1:1" x14ac:dyDescent="0.25">
      <c r="A1036" s="40" t="s">
        <v>52</v>
      </c>
    </row>
    <row r="1037" spans="1:1" x14ac:dyDescent="0.25">
      <c r="A1037" s="41" t="s">
        <v>52</v>
      </c>
    </row>
    <row r="1038" spans="1:1" x14ac:dyDescent="0.25">
      <c r="A1038" s="42" t="s">
        <v>52</v>
      </c>
    </row>
    <row r="1039" spans="1:1" x14ac:dyDescent="0.25">
      <c r="A1039" s="43" t="s">
        <v>52</v>
      </c>
    </row>
    <row r="1040" spans="1:1" x14ac:dyDescent="0.25">
      <c r="A1040" s="44" t="s">
        <v>52</v>
      </c>
    </row>
    <row r="1041" spans="1:1" x14ac:dyDescent="0.25">
      <c r="A1041" s="45" t="s">
        <v>52</v>
      </c>
    </row>
    <row r="1042" spans="1:1" x14ac:dyDescent="0.25">
      <c r="A1042" s="46" t="s">
        <v>52</v>
      </c>
    </row>
    <row r="1043" spans="1:1" x14ac:dyDescent="0.25">
      <c r="A1043" s="47" t="s">
        <v>52</v>
      </c>
    </row>
    <row r="1044" spans="1:1" x14ac:dyDescent="0.25">
      <c r="A1044" s="48" t="s">
        <v>52</v>
      </c>
    </row>
    <row r="1045" spans="1:1" x14ac:dyDescent="0.25">
      <c r="A1045" s="49" t="s">
        <v>52</v>
      </c>
    </row>
    <row r="1046" spans="1:1" x14ac:dyDescent="0.25">
      <c r="A1046" s="50" t="s">
        <v>52</v>
      </c>
    </row>
    <row r="1047" spans="1:1" x14ac:dyDescent="0.25">
      <c r="A1047" s="51" t="s">
        <v>52</v>
      </c>
    </row>
    <row r="1048" spans="1:1" x14ac:dyDescent="0.25">
      <c r="A1048" s="52" t="s">
        <v>52</v>
      </c>
    </row>
    <row r="1049" spans="1:1" x14ac:dyDescent="0.25">
      <c r="A1049" s="53" t="s">
        <v>52</v>
      </c>
    </row>
    <row r="1050" spans="1:1" x14ac:dyDescent="0.25">
      <c r="A1050" s="54" t="s">
        <v>52</v>
      </c>
    </row>
    <row r="1051" spans="1:1" x14ac:dyDescent="0.25">
      <c r="A1051" s="55" t="s">
        <v>52</v>
      </c>
    </row>
    <row r="1052" spans="1:1" x14ac:dyDescent="0.25">
      <c r="A1052" s="56" t="s">
        <v>52</v>
      </c>
    </row>
    <row r="1053" spans="1:1" x14ac:dyDescent="0.25">
      <c r="A1053" s="57" t="s">
        <v>52</v>
      </c>
    </row>
    <row r="1054" spans="1:1" x14ac:dyDescent="0.25">
      <c r="A1054" s="58" t="s">
        <v>52</v>
      </c>
    </row>
    <row r="1055" spans="1:1" x14ac:dyDescent="0.25">
      <c r="A1055" s="59" t="s">
        <v>52</v>
      </c>
    </row>
    <row r="1056" spans="1:1" x14ac:dyDescent="0.25">
      <c r="A1056" s="60" t="s">
        <v>52</v>
      </c>
    </row>
    <row r="1057" spans="1:1" x14ac:dyDescent="0.25">
      <c r="A1057" s="61" t="s">
        <v>52</v>
      </c>
    </row>
    <row r="1058" spans="1:1" x14ac:dyDescent="0.25">
      <c r="A1058" s="62" t="s">
        <v>52</v>
      </c>
    </row>
    <row r="1059" spans="1:1" x14ac:dyDescent="0.25">
      <c r="A1059" s="63" t="s">
        <v>52</v>
      </c>
    </row>
    <row r="1060" spans="1:1" x14ac:dyDescent="0.25">
      <c r="A1060" s="64" t="s">
        <v>52</v>
      </c>
    </row>
    <row r="1061" spans="1:1" x14ac:dyDescent="0.25">
      <c r="A1061" s="65" t="s">
        <v>52</v>
      </c>
    </row>
    <row r="1062" spans="1:1" x14ac:dyDescent="0.25">
      <c r="A1062" s="66" t="s">
        <v>52</v>
      </c>
    </row>
    <row r="1063" spans="1:1" x14ac:dyDescent="0.25">
      <c r="A1063" s="67" t="s">
        <v>52</v>
      </c>
    </row>
    <row r="1064" spans="1:1" x14ac:dyDescent="0.25">
      <c r="A1064" s="68" t="s">
        <v>52</v>
      </c>
    </row>
    <row r="1065" spans="1:1" x14ac:dyDescent="0.25">
      <c r="A1065" s="69" t="s">
        <v>52</v>
      </c>
    </row>
    <row r="1066" spans="1:1" x14ac:dyDescent="0.25">
      <c r="A1066" s="70" t="s">
        <v>52</v>
      </c>
    </row>
    <row r="1067" spans="1:1" x14ac:dyDescent="0.25">
      <c r="A1067" s="71" t="s">
        <v>52</v>
      </c>
    </row>
    <row r="1068" spans="1:1" x14ac:dyDescent="0.25">
      <c r="A1068" s="72" t="s">
        <v>52</v>
      </c>
    </row>
    <row r="1069" spans="1:1" x14ac:dyDescent="0.25">
      <c r="A1069" s="73" t="s">
        <v>52</v>
      </c>
    </row>
    <row r="1070" spans="1:1" x14ac:dyDescent="0.25">
      <c r="A1070" s="74" t="s">
        <v>52</v>
      </c>
    </row>
    <row r="1071" spans="1:1" x14ac:dyDescent="0.25">
      <c r="A1071" s="75" t="s">
        <v>52</v>
      </c>
    </row>
    <row r="1072" spans="1:1" x14ac:dyDescent="0.25">
      <c r="A1072" s="76" t="s">
        <v>52</v>
      </c>
    </row>
    <row r="1073" spans="1:1" x14ac:dyDescent="0.25">
      <c r="A1073" s="77" t="s">
        <v>52</v>
      </c>
    </row>
    <row r="1074" spans="1:1" x14ac:dyDescent="0.25">
      <c r="A1074" s="78" t="s">
        <v>52</v>
      </c>
    </row>
    <row r="1075" spans="1:1" x14ac:dyDescent="0.25">
      <c r="A1075" s="79" t="s">
        <v>52</v>
      </c>
    </row>
    <row r="1076" spans="1:1" x14ac:dyDescent="0.25">
      <c r="A1076" s="80" t="s">
        <v>52</v>
      </c>
    </row>
    <row r="1077" spans="1:1" x14ac:dyDescent="0.25">
      <c r="A1077" s="81" t="s">
        <v>52</v>
      </c>
    </row>
    <row r="1078" spans="1:1" x14ac:dyDescent="0.25">
      <c r="A1078" s="82" t="s">
        <v>52</v>
      </c>
    </row>
    <row r="1079" spans="1:1" x14ac:dyDescent="0.25">
      <c r="A1079" s="83" t="s">
        <v>52</v>
      </c>
    </row>
    <row r="1080" spans="1:1" x14ac:dyDescent="0.25">
      <c r="A1080" s="84" t="s">
        <v>52</v>
      </c>
    </row>
    <row r="1081" spans="1:1" x14ac:dyDescent="0.25">
      <c r="A1081" s="85" t="s">
        <v>52</v>
      </c>
    </row>
    <row r="1082" spans="1:1" x14ac:dyDescent="0.25">
      <c r="A1082" s="86" t="s">
        <v>52</v>
      </c>
    </row>
    <row r="1083" spans="1:1" x14ac:dyDescent="0.25">
      <c r="A1083" s="87" t="s">
        <v>52</v>
      </c>
    </row>
    <row r="1084" spans="1:1" x14ac:dyDescent="0.25">
      <c r="A1084" s="88" t="s">
        <v>52</v>
      </c>
    </row>
    <row r="1085" spans="1:1" x14ac:dyDescent="0.25">
      <c r="A1085" s="89" t="s">
        <v>52</v>
      </c>
    </row>
    <row r="1086" spans="1:1" x14ac:dyDescent="0.25">
      <c r="A1086" s="90" t="s">
        <v>52</v>
      </c>
    </row>
    <row r="1087" spans="1:1" x14ac:dyDescent="0.25">
      <c r="A1087" s="120" t="s">
        <v>52</v>
      </c>
    </row>
    <row r="1088" spans="1:1" x14ac:dyDescent="0.25">
      <c r="A1088" s="121" t="s">
        <v>52</v>
      </c>
    </row>
    <row r="1089" spans="1:1" x14ac:dyDescent="0.25">
      <c r="A1089" s="122" t="s">
        <v>52</v>
      </c>
    </row>
    <row r="1090" spans="1:1" x14ac:dyDescent="0.25">
      <c r="A1090" s="123" t="s">
        <v>52</v>
      </c>
    </row>
    <row r="1091" spans="1:1" x14ac:dyDescent="0.25">
      <c r="A1091" s="124" t="s">
        <v>52</v>
      </c>
    </row>
    <row r="1092" spans="1:1" x14ac:dyDescent="0.25">
      <c r="A1092" s="125" t="s">
        <v>52</v>
      </c>
    </row>
    <row r="1093" spans="1:1" x14ac:dyDescent="0.25">
      <c r="A1093" s="126" t="s">
        <v>52</v>
      </c>
    </row>
    <row r="1094" spans="1:1" x14ac:dyDescent="0.25">
      <c r="A1094" s="127" t="s">
        <v>52</v>
      </c>
    </row>
    <row r="1095" spans="1:1" x14ac:dyDescent="0.25">
      <c r="A1095" s="128" t="s">
        <v>52</v>
      </c>
    </row>
    <row r="1096" spans="1:1" x14ac:dyDescent="0.25">
      <c r="A1096" s="129" t="s">
        <v>52</v>
      </c>
    </row>
    <row r="1097" spans="1:1" x14ac:dyDescent="0.25">
      <c r="A1097" s="130" t="s">
        <v>52</v>
      </c>
    </row>
    <row r="1098" spans="1:1" x14ac:dyDescent="0.25">
      <c r="A1098" s="131" t="s">
        <v>52</v>
      </c>
    </row>
    <row r="1099" spans="1:1" x14ac:dyDescent="0.25">
      <c r="A1099" s="132" t="s">
        <v>52</v>
      </c>
    </row>
    <row r="1100" spans="1:1" x14ac:dyDescent="0.25">
      <c r="A1100" s="133" t="s">
        <v>52</v>
      </c>
    </row>
    <row r="1101" spans="1:1" x14ac:dyDescent="0.25">
      <c r="A1101" s="134" t="s">
        <v>52</v>
      </c>
    </row>
    <row r="1102" spans="1:1" x14ac:dyDescent="0.25">
      <c r="A1102" s="135" t="s">
        <v>52</v>
      </c>
    </row>
    <row r="1103" spans="1:1" x14ac:dyDescent="0.25">
      <c r="A1103" s="136" t="s">
        <v>52</v>
      </c>
    </row>
    <row r="1104" spans="1:1" x14ac:dyDescent="0.25">
      <c r="A1104" s="137" t="s">
        <v>52</v>
      </c>
    </row>
    <row r="1105" spans="1:1" x14ac:dyDescent="0.25">
      <c r="A1105" s="138" t="s">
        <v>52</v>
      </c>
    </row>
    <row r="1106" spans="1:1" x14ac:dyDescent="0.25">
      <c r="A1106" s="139" t="s">
        <v>52</v>
      </c>
    </row>
    <row r="1107" spans="1:1" x14ac:dyDescent="0.25">
      <c r="A1107" s="10" t="s">
        <v>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26</vt:i4>
      </vt:variant>
      <vt:variant>
        <vt:lpstr>Named Ranges</vt:lpstr>
      </vt:variant>
      <vt:variant>
        <vt:i4>8</vt:i4>
      </vt:variant>
    </vt:vector>
  </HeadingPairs>
  <TitlesOfParts>
    <vt:vector size="34" baseType="lpstr">
      <vt:lpstr>Excavation</vt:lpstr>
      <vt:lpstr>Concrete Cut-off walls</vt:lpstr>
      <vt:lpstr>Concrete</vt:lpstr>
      <vt:lpstr>Backfill Costs</vt:lpstr>
      <vt:lpstr>Key</vt:lpstr>
      <vt:lpstr>Cluster 1</vt:lpstr>
      <vt:lpstr>Cl 1 _Simplification</vt:lpstr>
      <vt:lpstr>SUMMARY</vt:lpstr>
      <vt:lpstr>S1. Prelim and General</vt:lpstr>
      <vt:lpstr>S2. CLUSTER 1 BoQ</vt:lpstr>
      <vt:lpstr>S3. CLUSTER 2A BoQ </vt:lpstr>
      <vt:lpstr>Cluster 2A</vt:lpstr>
      <vt:lpstr>CLUSTER 2B</vt:lpstr>
      <vt:lpstr>S4. CLUSTER 2B BoQ</vt:lpstr>
      <vt:lpstr>S5. CLUSTER 3A BoQ</vt:lpstr>
      <vt:lpstr>CLUSTER 3A</vt:lpstr>
      <vt:lpstr>CLUSTER 3B</vt:lpstr>
      <vt:lpstr>S6. CLUSTER 3B BoQ</vt:lpstr>
      <vt:lpstr>CLUSTER 3B Simplification</vt:lpstr>
      <vt:lpstr>CLUSTER 3C</vt:lpstr>
      <vt:lpstr>3C Simplification</vt:lpstr>
      <vt:lpstr>CLUSTER 4A</vt:lpstr>
      <vt:lpstr>CLUSTER 4B</vt:lpstr>
      <vt:lpstr>CLUSTER 5A</vt:lpstr>
      <vt:lpstr>S7. CLUSTER 5A BoQ</vt:lpstr>
      <vt:lpstr>CLUSTER 6</vt:lpstr>
      <vt:lpstr>'S1. Prelim and General'!Print_Area</vt:lpstr>
      <vt:lpstr>'S2. CLUSTER 1 BoQ'!Print_Area</vt:lpstr>
      <vt:lpstr>'S3. CLUSTER 2A BoQ '!Print_Area</vt:lpstr>
      <vt:lpstr>'S4. CLUSTER 2B BoQ'!Print_Area</vt:lpstr>
      <vt:lpstr>'S5. CLUSTER 3A BoQ'!Print_Area</vt:lpstr>
      <vt:lpstr>'S6. CLUSTER 3B BoQ'!Print_Area</vt:lpstr>
      <vt:lpstr>'S7. CLUSTER 5A BoQ'!Print_Area</vt:lpstr>
      <vt:lpstr>SUMMARY!Print_Area</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Ryan Domleo</dc:creator>
  <cp:lastModifiedBy>Keaton Parker</cp:lastModifiedBy>
  <cp:lastPrinted>2016-11-28T13:16:31Z</cp:lastPrinted>
  <dcterms:created xsi:type="dcterms:W3CDTF">2016-06-30T12:16:02Z</dcterms:created>
  <dcterms:modified xsi:type="dcterms:W3CDTF">2019-02-15T13:56:15Z</dcterms:modified>
</cp:coreProperties>
</file>